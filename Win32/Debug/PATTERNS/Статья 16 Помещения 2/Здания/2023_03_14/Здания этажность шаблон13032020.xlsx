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okyo\Cadastral_Valuation\Win32\PATTERNS\Здания\2023_03_14\"/>
    </mc:Choice>
  </mc:AlternateContent>
  <xr:revisionPtr revIDLastSave="0" documentId="13_ncr:1_{A7B3FEC1-8717-4344-A21E-BB116D713385}" xr6:coauthVersionLast="45" xr6:coauthVersionMax="45" xr10:uidLastSave="{00000000-0000-0000-0000-000000000000}"/>
  <bookViews>
    <workbookView xWindow="4665" yWindow="2940" windowWidth="18900" windowHeight="11055" xr2:uid="{00000000-000D-0000-FFFF-FFFF00000000}"/>
  </bookViews>
  <sheets>
    <sheet name="Опр этажности" sheetId="1" r:id="rId1"/>
    <sheet name="Лист1" sheetId="3" r:id="rId2"/>
    <sheet name="Справочник соответствий" sheetId="2" r:id="rId3"/>
  </sheets>
  <definedNames>
    <definedName name="_FilterDatabase" localSheetId="0" hidden="1">'Опр этажности'!$A$1:$R$4</definedName>
    <definedName name="_FilterDatabase" localSheetId="2" hidden="1">'Справочник соответствий'!$A$1:$E$988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97" i="1" l="1"/>
  <c r="L3497" i="1"/>
  <c r="O3497" i="1" s="1"/>
  <c r="P3497" i="1" s="1"/>
  <c r="R3497" i="1" s="1"/>
  <c r="J3497" i="1"/>
  <c r="I3497" i="1"/>
  <c r="K3497" i="1" s="1"/>
  <c r="N3497" i="1" s="1"/>
  <c r="Q3497" i="1" s="1"/>
  <c r="S3496" i="1"/>
  <c r="L3496" i="1"/>
  <c r="O3496" i="1" s="1"/>
  <c r="P3496" i="1" s="1"/>
  <c r="R3496" i="1" s="1"/>
  <c r="J3496" i="1"/>
  <c r="I3496" i="1"/>
  <c r="M3496" i="1" s="1"/>
  <c r="S3495" i="1"/>
  <c r="L3495" i="1"/>
  <c r="O3495" i="1" s="1"/>
  <c r="P3495" i="1" s="1"/>
  <c r="R3495" i="1" s="1"/>
  <c r="K3495" i="1"/>
  <c r="N3495" i="1" s="1"/>
  <c r="Q3495" i="1" s="1"/>
  <c r="J3495" i="1"/>
  <c r="I3495" i="1"/>
  <c r="M3495" i="1" s="1"/>
  <c r="S3494" i="1"/>
  <c r="O3494" i="1"/>
  <c r="P3494" i="1" s="1"/>
  <c r="R3494" i="1" s="1"/>
  <c r="L3494" i="1"/>
  <c r="K3494" i="1"/>
  <c r="N3494" i="1" s="1"/>
  <c r="Q3494" i="1" s="1"/>
  <c r="J3494" i="1"/>
  <c r="I3494" i="1"/>
  <c r="M3494" i="1" s="1"/>
  <c r="S3493" i="1"/>
  <c r="L3493" i="1"/>
  <c r="O3493" i="1" s="1"/>
  <c r="P3493" i="1" s="1"/>
  <c r="R3493" i="1" s="1"/>
  <c r="J3493" i="1"/>
  <c r="I3493" i="1"/>
  <c r="K3493" i="1" s="1"/>
  <c r="N3493" i="1" s="1"/>
  <c r="Q3493" i="1" s="1"/>
  <c r="S3492" i="1"/>
  <c r="O3492" i="1"/>
  <c r="P3492" i="1" s="1"/>
  <c r="R3492" i="1" s="1"/>
  <c r="L3492" i="1"/>
  <c r="J3492" i="1"/>
  <c r="I3492" i="1"/>
  <c r="M3492" i="1" s="1"/>
  <c r="S3491" i="1"/>
  <c r="N3491" i="1"/>
  <c r="Q3491" i="1" s="1"/>
  <c r="L3491" i="1"/>
  <c r="O3491" i="1" s="1"/>
  <c r="P3491" i="1" s="1"/>
  <c r="R3491" i="1" s="1"/>
  <c r="K3491" i="1"/>
  <c r="J3491" i="1"/>
  <c r="I3491" i="1"/>
  <c r="M3491" i="1" s="1"/>
  <c r="S3490" i="1"/>
  <c r="O3490" i="1"/>
  <c r="P3490" i="1" s="1"/>
  <c r="R3490" i="1" s="1"/>
  <c r="L3490" i="1"/>
  <c r="J3490" i="1"/>
  <c r="I3490" i="1"/>
  <c r="K3490" i="1" s="1"/>
  <c r="N3490" i="1" s="1"/>
  <c r="Q3490" i="1" s="1"/>
  <c r="S3489" i="1"/>
  <c r="L3489" i="1"/>
  <c r="O3489" i="1" s="1"/>
  <c r="P3489" i="1" s="1"/>
  <c r="R3489" i="1" s="1"/>
  <c r="J3489" i="1"/>
  <c r="I3489" i="1"/>
  <c r="K3489" i="1" s="1"/>
  <c r="N3489" i="1" s="1"/>
  <c r="Q3489" i="1" s="1"/>
  <c r="S3488" i="1"/>
  <c r="O3488" i="1"/>
  <c r="P3488" i="1" s="1"/>
  <c r="R3488" i="1" s="1"/>
  <c r="L3488" i="1"/>
  <c r="J3488" i="1"/>
  <c r="I3488" i="1"/>
  <c r="M3488" i="1" s="1"/>
  <c r="S3487" i="1"/>
  <c r="N3487" i="1"/>
  <c r="Q3487" i="1" s="1"/>
  <c r="L3487" i="1"/>
  <c r="O3487" i="1" s="1"/>
  <c r="P3487" i="1" s="1"/>
  <c r="R3487" i="1" s="1"/>
  <c r="K3487" i="1"/>
  <c r="J3487" i="1"/>
  <c r="I3487" i="1"/>
  <c r="M3487" i="1" s="1"/>
  <c r="S3486" i="1"/>
  <c r="O3486" i="1"/>
  <c r="P3486" i="1" s="1"/>
  <c r="R3486" i="1" s="1"/>
  <c r="L3486" i="1"/>
  <c r="J3486" i="1"/>
  <c r="I3486" i="1"/>
  <c r="K3486" i="1" s="1"/>
  <c r="N3486" i="1" s="1"/>
  <c r="Q3486" i="1" s="1"/>
  <c r="S3485" i="1"/>
  <c r="L3485" i="1"/>
  <c r="O3485" i="1" s="1"/>
  <c r="P3485" i="1" s="1"/>
  <c r="R3485" i="1" s="1"/>
  <c r="J3485" i="1"/>
  <c r="I3485" i="1"/>
  <c r="K3485" i="1" s="1"/>
  <c r="N3485" i="1" s="1"/>
  <c r="Q3485" i="1" s="1"/>
  <c r="S3484" i="1"/>
  <c r="O3484" i="1"/>
  <c r="P3484" i="1" s="1"/>
  <c r="R3484" i="1" s="1"/>
  <c r="L3484" i="1"/>
  <c r="K3484" i="1"/>
  <c r="N3484" i="1" s="1"/>
  <c r="Q3484" i="1" s="1"/>
  <c r="J3484" i="1"/>
  <c r="I3484" i="1"/>
  <c r="M3484" i="1" s="1"/>
  <c r="S3483" i="1"/>
  <c r="N3483" i="1"/>
  <c r="Q3483" i="1" s="1"/>
  <c r="L3483" i="1"/>
  <c r="O3483" i="1" s="1"/>
  <c r="P3483" i="1" s="1"/>
  <c r="R3483" i="1" s="1"/>
  <c r="K3483" i="1"/>
  <c r="J3483" i="1"/>
  <c r="I3483" i="1"/>
  <c r="M3483" i="1" s="1"/>
  <c r="S3482" i="1"/>
  <c r="O3482" i="1"/>
  <c r="P3482" i="1" s="1"/>
  <c r="R3482" i="1" s="1"/>
  <c r="L3482" i="1"/>
  <c r="J3482" i="1"/>
  <c r="I3482" i="1"/>
  <c r="K3482" i="1" s="1"/>
  <c r="N3482" i="1" s="1"/>
  <c r="Q3482" i="1" s="1"/>
  <c r="S3481" i="1"/>
  <c r="L3481" i="1"/>
  <c r="O3481" i="1" s="1"/>
  <c r="P3481" i="1" s="1"/>
  <c r="R3481" i="1" s="1"/>
  <c r="J3481" i="1"/>
  <c r="I3481" i="1"/>
  <c r="K3481" i="1" s="1"/>
  <c r="N3481" i="1" s="1"/>
  <c r="Q3481" i="1" s="1"/>
  <c r="S3480" i="1"/>
  <c r="O3480" i="1"/>
  <c r="P3480" i="1" s="1"/>
  <c r="R3480" i="1" s="1"/>
  <c r="L3480" i="1"/>
  <c r="K3480" i="1"/>
  <c r="N3480" i="1" s="1"/>
  <c r="Q3480" i="1" s="1"/>
  <c r="J3480" i="1"/>
  <c r="I3480" i="1"/>
  <c r="M3480" i="1" s="1"/>
  <c r="S3479" i="1"/>
  <c r="N3479" i="1"/>
  <c r="Q3479" i="1" s="1"/>
  <c r="L3479" i="1"/>
  <c r="O3479" i="1" s="1"/>
  <c r="P3479" i="1" s="1"/>
  <c r="R3479" i="1" s="1"/>
  <c r="K3479" i="1"/>
  <c r="J3479" i="1"/>
  <c r="I3479" i="1"/>
  <c r="M3479" i="1" s="1"/>
  <c r="S3478" i="1"/>
  <c r="O3478" i="1"/>
  <c r="P3478" i="1" s="1"/>
  <c r="R3478" i="1" s="1"/>
  <c r="L3478" i="1"/>
  <c r="J3478" i="1"/>
  <c r="I3478" i="1"/>
  <c r="K3478" i="1" s="1"/>
  <c r="N3478" i="1" s="1"/>
  <c r="Q3478" i="1" s="1"/>
  <c r="S3477" i="1"/>
  <c r="L3477" i="1"/>
  <c r="O3477" i="1" s="1"/>
  <c r="P3477" i="1" s="1"/>
  <c r="R3477" i="1" s="1"/>
  <c r="J3477" i="1"/>
  <c r="I3477" i="1"/>
  <c r="K3477" i="1" s="1"/>
  <c r="N3477" i="1" s="1"/>
  <c r="Q3477" i="1" s="1"/>
  <c r="S3476" i="1"/>
  <c r="O3476" i="1"/>
  <c r="P3476" i="1" s="1"/>
  <c r="R3476" i="1" s="1"/>
  <c r="L3476" i="1"/>
  <c r="J3476" i="1"/>
  <c r="I3476" i="1"/>
  <c r="S3475" i="1"/>
  <c r="N3475" i="1"/>
  <c r="Q3475" i="1" s="1"/>
  <c r="L3475" i="1"/>
  <c r="O3475" i="1" s="1"/>
  <c r="P3475" i="1" s="1"/>
  <c r="R3475" i="1" s="1"/>
  <c r="K3475" i="1"/>
  <c r="J3475" i="1"/>
  <c r="I3475" i="1"/>
  <c r="M3475" i="1" s="1"/>
  <c r="S3474" i="1"/>
  <c r="O3474" i="1"/>
  <c r="P3474" i="1" s="1"/>
  <c r="R3474" i="1" s="1"/>
  <c r="L3474" i="1"/>
  <c r="K3474" i="1"/>
  <c r="N3474" i="1" s="1"/>
  <c r="Q3474" i="1" s="1"/>
  <c r="J3474" i="1"/>
  <c r="I3474" i="1"/>
  <c r="M3474" i="1" s="1"/>
  <c r="S3473" i="1"/>
  <c r="P3473" i="1"/>
  <c r="R3473" i="1" s="1"/>
  <c r="L3473" i="1"/>
  <c r="O3473" i="1" s="1"/>
  <c r="J3473" i="1"/>
  <c r="I3473" i="1"/>
  <c r="K3473" i="1" s="1"/>
  <c r="N3473" i="1" s="1"/>
  <c r="Q3473" i="1" s="1"/>
  <c r="S3472" i="1"/>
  <c r="O3472" i="1"/>
  <c r="P3472" i="1" s="1"/>
  <c r="R3472" i="1" s="1"/>
  <c r="L3472" i="1"/>
  <c r="J3472" i="1"/>
  <c r="I3472" i="1"/>
  <c r="K3472" i="1" s="1"/>
  <c r="N3472" i="1" s="1"/>
  <c r="Q3472" i="1" s="1"/>
  <c r="S3471" i="1"/>
  <c r="P3471" i="1"/>
  <c r="R3471" i="1" s="1"/>
  <c r="N3471" i="1"/>
  <c r="Q3471" i="1" s="1"/>
  <c r="L3471" i="1"/>
  <c r="O3471" i="1" s="1"/>
  <c r="K3471" i="1"/>
  <c r="J3471" i="1"/>
  <c r="I3471" i="1"/>
  <c r="M3471" i="1" s="1"/>
  <c r="S3470" i="1"/>
  <c r="O3470" i="1"/>
  <c r="P3470" i="1" s="1"/>
  <c r="R3470" i="1" s="1"/>
  <c r="L3470" i="1"/>
  <c r="J3470" i="1"/>
  <c r="I3470" i="1"/>
  <c r="K3470" i="1" s="1"/>
  <c r="N3470" i="1" s="1"/>
  <c r="Q3470" i="1" s="1"/>
  <c r="S3469" i="1"/>
  <c r="P3469" i="1"/>
  <c r="R3469" i="1" s="1"/>
  <c r="N3469" i="1"/>
  <c r="Q3469" i="1" s="1"/>
  <c r="L3469" i="1"/>
  <c r="O3469" i="1" s="1"/>
  <c r="J3469" i="1"/>
  <c r="I3469" i="1"/>
  <c r="K3469" i="1" s="1"/>
  <c r="S3468" i="1"/>
  <c r="O3468" i="1"/>
  <c r="P3468" i="1" s="1"/>
  <c r="R3468" i="1" s="1"/>
  <c r="L3468" i="1"/>
  <c r="J3468" i="1"/>
  <c r="I3468" i="1"/>
  <c r="K3468" i="1" s="1"/>
  <c r="N3468" i="1" s="1"/>
  <c r="Q3468" i="1" s="1"/>
  <c r="S3467" i="1"/>
  <c r="N3467" i="1"/>
  <c r="Q3467" i="1" s="1"/>
  <c r="L3467" i="1"/>
  <c r="O3467" i="1" s="1"/>
  <c r="P3467" i="1" s="1"/>
  <c r="R3467" i="1" s="1"/>
  <c r="K3467" i="1"/>
  <c r="J3467" i="1"/>
  <c r="I3467" i="1"/>
  <c r="M3467" i="1" s="1"/>
  <c r="S3466" i="1"/>
  <c r="O3466" i="1"/>
  <c r="P3466" i="1" s="1"/>
  <c r="R3466" i="1" s="1"/>
  <c r="L3466" i="1"/>
  <c r="J3466" i="1"/>
  <c r="I3466" i="1"/>
  <c r="K3466" i="1" s="1"/>
  <c r="N3466" i="1" s="1"/>
  <c r="Q3466" i="1" s="1"/>
  <c r="S3465" i="1"/>
  <c r="N3465" i="1"/>
  <c r="Q3465" i="1" s="1"/>
  <c r="L3465" i="1"/>
  <c r="O3465" i="1" s="1"/>
  <c r="P3465" i="1" s="1"/>
  <c r="R3465" i="1" s="1"/>
  <c r="J3465" i="1"/>
  <c r="I3465" i="1"/>
  <c r="K3465" i="1" s="1"/>
  <c r="S3464" i="1"/>
  <c r="O3464" i="1"/>
  <c r="P3464" i="1" s="1"/>
  <c r="R3464" i="1" s="1"/>
  <c r="L3464" i="1"/>
  <c r="K3464" i="1"/>
  <c r="N3464" i="1" s="1"/>
  <c r="Q3464" i="1" s="1"/>
  <c r="J3464" i="1"/>
  <c r="I3464" i="1"/>
  <c r="M3464" i="1" s="1"/>
  <c r="S3463" i="1"/>
  <c r="N3463" i="1"/>
  <c r="Q3463" i="1" s="1"/>
  <c r="L3463" i="1"/>
  <c r="O3463" i="1" s="1"/>
  <c r="P3463" i="1" s="1"/>
  <c r="R3463" i="1" s="1"/>
  <c r="K3463" i="1"/>
  <c r="J3463" i="1"/>
  <c r="I3463" i="1"/>
  <c r="M3463" i="1" s="1"/>
  <c r="S3462" i="1"/>
  <c r="O3462" i="1"/>
  <c r="P3462" i="1" s="1"/>
  <c r="R3462" i="1" s="1"/>
  <c r="L3462" i="1"/>
  <c r="K3462" i="1"/>
  <c r="N3462" i="1" s="1"/>
  <c r="Q3462" i="1" s="1"/>
  <c r="J3462" i="1"/>
  <c r="I3462" i="1"/>
  <c r="M3462" i="1" s="1"/>
  <c r="S3461" i="1"/>
  <c r="R3461" i="1"/>
  <c r="P3461" i="1"/>
  <c r="L3461" i="1"/>
  <c r="O3461" i="1" s="1"/>
  <c r="J3461" i="1"/>
  <c r="I3461" i="1"/>
  <c r="K3461" i="1" s="1"/>
  <c r="N3461" i="1" s="1"/>
  <c r="Q3461" i="1" s="1"/>
  <c r="S3460" i="1"/>
  <c r="O3460" i="1"/>
  <c r="P3460" i="1" s="1"/>
  <c r="R3460" i="1" s="1"/>
  <c r="L3460" i="1"/>
  <c r="J3460" i="1"/>
  <c r="I3460" i="1"/>
  <c r="M3460" i="1" s="1"/>
  <c r="S3459" i="1"/>
  <c r="P3459" i="1"/>
  <c r="R3459" i="1" s="1"/>
  <c r="N3459" i="1"/>
  <c r="Q3459" i="1" s="1"/>
  <c r="L3459" i="1"/>
  <c r="O3459" i="1" s="1"/>
  <c r="K3459" i="1"/>
  <c r="J3459" i="1"/>
  <c r="I3459" i="1"/>
  <c r="M3459" i="1" s="1"/>
  <c r="S3458" i="1"/>
  <c r="O3458" i="1"/>
  <c r="P3458" i="1" s="1"/>
  <c r="R3458" i="1" s="1"/>
  <c r="L3458" i="1"/>
  <c r="J3458" i="1"/>
  <c r="I3458" i="1"/>
  <c r="M3458" i="1" s="1"/>
  <c r="S3457" i="1"/>
  <c r="P3457" i="1"/>
  <c r="R3457" i="1" s="1"/>
  <c r="L3457" i="1"/>
  <c r="O3457" i="1" s="1"/>
  <c r="J3457" i="1"/>
  <c r="I3457" i="1"/>
  <c r="K3457" i="1" s="1"/>
  <c r="N3457" i="1" s="1"/>
  <c r="Q3457" i="1" s="1"/>
  <c r="S3456" i="1"/>
  <c r="O3456" i="1"/>
  <c r="P3456" i="1" s="1"/>
  <c r="R3456" i="1" s="1"/>
  <c r="L3456" i="1"/>
  <c r="J3456" i="1"/>
  <c r="I3456" i="1"/>
  <c r="S3455" i="1"/>
  <c r="O3455" i="1"/>
  <c r="P3455" i="1" s="1"/>
  <c r="R3455" i="1" s="1"/>
  <c r="N3455" i="1"/>
  <c r="Q3455" i="1" s="1"/>
  <c r="L3455" i="1"/>
  <c r="K3455" i="1"/>
  <c r="J3455" i="1"/>
  <c r="I3455" i="1"/>
  <c r="M3455" i="1" s="1"/>
  <c r="S3454" i="1"/>
  <c r="O3454" i="1"/>
  <c r="P3454" i="1" s="1"/>
  <c r="R3454" i="1" s="1"/>
  <c r="L3454" i="1"/>
  <c r="K3454" i="1"/>
  <c r="N3454" i="1" s="1"/>
  <c r="Q3454" i="1" s="1"/>
  <c r="J3454" i="1"/>
  <c r="I3454" i="1"/>
  <c r="M3454" i="1" s="1"/>
  <c r="S3453" i="1"/>
  <c r="L3453" i="1"/>
  <c r="O3453" i="1" s="1"/>
  <c r="P3453" i="1" s="1"/>
  <c r="R3453" i="1" s="1"/>
  <c r="J3453" i="1"/>
  <c r="I3453" i="1"/>
  <c r="S3452" i="1"/>
  <c r="O3452" i="1"/>
  <c r="P3452" i="1" s="1"/>
  <c r="R3452" i="1" s="1"/>
  <c r="L3452" i="1"/>
  <c r="J3452" i="1"/>
  <c r="I3452" i="1"/>
  <c r="M3452" i="1" s="1"/>
  <c r="S3451" i="1"/>
  <c r="P3451" i="1"/>
  <c r="R3451" i="1" s="1"/>
  <c r="O3451" i="1"/>
  <c r="L3451" i="1"/>
  <c r="K3451" i="1"/>
  <c r="N3451" i="1" s="1"/>
  <c r="Q3451" i="1" s="1"/>
  <c r="J3451" i="1"/>
  <c r="I3451" i="1"/>
  <c r="M3451" i="1" s="1"/>
  <c r="S3450" i="1"/>
  <c r="R3450" i="1"/>
  <c r="O3450" i="1"/>
  <c r="P3450" i="1" s="1"/>
  <c r="L3450" i="1"/>
  <c r="J3450" i="1"/>
  <c r="I3450" i="1"/>
  <c r="K3450" i="1" s="1"/>
  <c r="N3450" i="1" s="1"/>
  <c r="Q3450" i="1" s="1"/>
  <c r="S3449" i="1"/>
  <c r="P3449" i="1"/>
  <c r="R3449" i="1" s="1"/>
  <c r="L3449" i="1"/>
  <c r="O3449" i="1" s="1"/>
  <c r="K3449" i="1"/>
  <c r="N3449" i="1" s="1"/>
  <c r="Q3449" i="1" s="1"/>
  <c r="J3449" i="1"/>
  <c r="I3449" i="1"/>
  <c r="M3449" i="1" s="1"/>
  <c r="S3448" i="1"/>
  <c r="L3448" i="1"/>
  <c r="O3448" i="1" s="1"/>
  <c r="P3448" i="1" s="1"/>
  <c r="R3448" i="1" s="1"/>
  <c r="J3448" i="1"/>
  <c r="I3448" i="1"/>
  <c r="M3448" i="1" s="1"/>
  <c r="S3447" i="1"/>
  <c r="L3447" i="1"/>
  <c r="O3447" i="1" s="1"/>
  <c r="P3447" i="1" s="1"/>
  <c r="R3447" i="1" s="1"/>
  <c r="J3447" i="1"/>
  <c r="I3447" i="1"/>
  <c r="S3446" i="1"/>
  <c r="L3446" i="1"/>
  <c r="K3446" i="1"/>
  <c r="J3446" i="1"/>
  <c r="I3446" i="1"/>
  <c r="M3446" i="1" s="1"/>
  <c r="S3445" i="1"/>
  <c r="O3445" i="1"/>
  <c r="P3445" i="1" s="1"/>
  <c r="R3445" i="1" s="1"/>
  <c r="L3445" i="1"/>
  <c r="K3445" i="1"/>
  <c r="N3445" i="1" s="1"/>
  <c r="Q3445" i="1" s="1"/>
  <c r="J3445" i="1"/>
  <c r="I3445" i="1"/>
  <c r="M3445" i="1" s="1"/>
  <c r="S3444" i="1"/>
  <c r="L3444" i="1"/>
  <c r="O3444" i="1" s="1"/>
  <c r="P3444" i="1" s="1"/>
  <c r="R3444" i="1" s="1"/>
  <c r="J3444" i="1"/>
  <c r="I3444" i="1"/>
  <c r="M3444" i="1" s="1"/>
  <c r="S3443" i="1"/>
  <c r="L3443" i="1"/>
  <c r="O3443" i="1" s="1"/>
  <c r="P3443" i="1" s="1"/>
  <c r="R3443" i="1" s="1"/>
  <c r="J3443" i="1"/>
  <c r="I3443" i="1"/>
  <c r="S3442" i="1"/>
  <c r="L3442" i="1"/>
  <c r="K3442" i="1"/>
  <c r="J3442" i="1"/>
  <c r="I3442" i="1"/>
  <c r="M3442" i="1" s="1"/>
  <c r="S3441" i="1"/>
  <c r="O3441" i="1"/>
  <c r="P3441" i="1" s="1"/>
  <c r="R3441" i="1" s="1"/>
  <c r="L3441" i="1"/>
  <c r="K3441" i="1"/>
  <c r="N3441" i="1" s="1"/>
  <c r="Q3441" i="1" s="1"/>
  <c r="J3441" i="1"/>
  <c r="I3441" i="1"/>
  <c r="M3441" i="1" s="1"/>
  <c r="S3440" i="1"/>
  <c r="L3440" i="1"/>
  <c r="O3440" i="1" s="1"/>
  <c r="P3440" i="1" s="1"/>
  <c r="R3440" i="1" s="1"/>
  <c r="J3440" i="1"/>
  <c r="I3440" i="1"/>
  <c r="M3440" i="1" s="1"/>
  <c r="S3439" i="1"/>
  <c r="L3439" i="1"/>
  <c r="O3439" i="1" s="1"/>
  <c r="P3439" i="1" s="1"/>
  <c r="R3439" i="1" s="1"/>
  <c r="J3439" i="1"/>
  <c r="I3439" i="1"/>
  <c r="S3438" i="1"/>
  <c r="P3438" i="1"/>
  <c r="R3438" i="1" s="1"/>
  <c r="L3438" i="1"/>
  <c r="O3438" i="1" s="1"/>
  <c r="K3438" i="1"/>
  <c r="N3438" i="1" s="1"/>
  <c r="Q3438" i="1" s="1"/>
  <c r="J3438" i="1"/>
  <c r="I3438" i="1"/>
  <c r="M3438" i="1" s="1"/>
  <c r="S3437" i="1"/>
  <c r="O3437" i="1"/>
  <c r="P3437" i="1" s="1"/>
  <c r="R3437" i="1" s="1"/>
  <c r="L3437" i="1"/>
  <c r="K3437" i="1"/>
  <c r="N3437" i="1" s="1"/>
  <c r="Q3437" i="1" s="1"/>
  <c r="J3437" i="1"/>
  <c r="I3437" i="1"/>
  <c r="M3437" i="1" s="1"/>
  <c r="S3436" i="1"/>
  <c r="L3436" i="1"/>
  <c r="O3436" i="1" s="1"/>
  <c r="P3436" i="1" s="1"/>
  <c r="R3436" i="1" s="1"/>
  <c r="J3436" i="1"/>
  <c r="I3436" i="1"/>
  <c r="M3436" i="1" s="1"/>
  <c r="S3435" i="1"/>
  <c r="L3435" i="1"/>
  <c r="O3435" i="1" s="1"/>
  <c r="P3435" i="1" s="1"/>
  <c r="R3435" i="1" s="1"/>
  <c r="J3435" i="1"/>
  <c r="I3435" i="1"/>
  <c r="S3434" i="1"/>
  <c r="L3434" i="1"/>
  <c r="O3434" i="1" s="1"/>
  <c r="P3434" i="1" s="1"/>
  <c r="R3434" i="1" s="1"/>
  <c r="K3434" i="1"/>
  <c r="N3434" i="1" s="1"/>
  <c r="Q3434" i="1" s="1"/>
  <c r="J3434" i="1"/>
  <c r="I3434" i="1"/>
  <c r="M3434" i="1" s="1"/>
  <c r="S3433" i="1"/>
  <c r="R3433" i="1"/>
  <c r="O3433" i="1"/>
  <c r="P3433" i="1" s="1"/>
  <c r="L3433" i="1"/>
  <c r="K3433" i="1"/>
  <c r="N3433" i="1" s="1"/>
  <c r="Q3433" i="1" s="1"/>
  <c r="J3433" i="1"/>
  <c r="I3433" i="1"/>
  <c r="M3433" i="1" s="1"/>
  <c r="S3432" i="1"/>
  <c r="R3432" i="1"/>
  <c r="M3432" i="1"/>
  <c r="L3432" i="1"/>
  <c r="O3432" i="1" s="1"/>
  <c r="P3432" i="1" s="1"/>
  <c r="J3432" i="1"/>
  <c r="I3432" i="1"/>
  <c r="K3432" i="1" s="1"/>
  <c r="N3432" i="1" s="1"/>
  <c r="Q3432" i="1" s="1"/>
  <c r="S3431" i="1"/>
  <c r="Q3431" i="1"/>
  <c r="L3431" i="1"/>
  <c r="O3431" i="1" s="1"/>
  <c r="P3431" i="1" s="1"/>
  <c r="R3431" i="1" s="1"/>
  <c r="J3431" i="1"/>
  <c r="I3431" i="1"/>
  <c r="K3431" i="1" s="1"/>
  <c r="N3431" i="1" s="1"/>
  <c r="S3430" i="1"/>
  <c r="O3430" i="1"/>
  <c r="P3430" i="1" s="1"/>
  <c r="R3430" i="1" s="1"/>
  <c r="L3430" i="1"/>
  <c r="K3430" i="1"/>
  <c r="N3430" i="1" s="1"/>
  <c r="Q3430" i="1" s="1"/>
  <c r="J3430" i="1"/>
  <c r="I3430" i="1"/>
  <c r="M3430" i="1" s="1"/>
  <c r="S3429" i="1"/>
  <c r="O3429" i="1"/>
  <c r="P3429" i="1" s="1"/>
  <c r="R3429" i="1" s="1"/>
  <c r="N3429" i="1"/>
  <c r="Q3429" i="1" s="1"/>
  <c r="L3429" i="1"/>
  <c r="K3429" i="1"/>
  <c r="J3429" i="1"/>
  <c r="I3429" i="1"/>
  <c r="M3429" i="1" s="1"/>
  <c r="S3428" i="1"/>
  <c r="L3428" i="1"/>
  <c r="O3428" i="1" s="1"/>
  <c r="P3428" i="1" s="1"/>
  <c r="R3428" i="1" s="1"/>
  <c r="J3428" i="1"/>
  <c r="I3428" i="1"/>
  <c r="S3427" i="1"/>
  <c r="P3427" i="1"/>
  <c r="R3427" i="1" s="1"/>
  <c r="M3427" i="1"/>
  <c r="L3427" i="1"/>
  <c r="O3427" i="1" s="1"/>
  <c r="J3427" i="1"/>
  <c r="I3427" i="1"/>
  <c r="K3427" i="1" s="1"/>
  <c r="N3427" i="1" s="1"/>
  <c r="Q3427" i="1" s="1"/>
  <c r="S3426" i="1"/>
  <c r="L3426" i="1"/>
  <c r="O3426" i="1" s="1"/>
  <c r="P3426" i="1" s="1"/>
  <c r="R3426" i="1" s="1"/>
  <c r="K3426" i="1"/>
  <c r="N3426" i="1" s="1"/>
  <c r="Q3426" i="1" s="1"/>
  <c r="J3426" i="1"/>
  <c r="I3426" i="1"/>
  <c r="M3426" i="1" s="1"/>
  <c r="S3425" i="1"/>
  <c r="R3425" i="1"/>
  <c r="O3425" i="1"/>
  <c r="P3425" i="1" s="1"/>
  <c r="L3425" i="1"/>
  <c r="K3425" i="1"/>
  <c r="N3425" i="1" s="1"/>
  <c r="Q3425" i="1" s="1"/>
  <c r="J3425" i="1"/>
  <c r="I3425" i="1"/>
  <c r="M3425" i="1" s="1"/>
  <c r="S3424" i="1"/>
  <c r="R3424" i="1"/>
  <c r="M3424" i="1"/>
  <c r="L3424" i="1"/>
  <c r="O3424" i="1" s="1"/>
  <c r="P3424" i="1" s="1"/>
  <c r="J3424" i="1"/>
  <c r="I3424" i="1"/>
  <c r="K3424" i="1" s="1"/>
  <c r="N3424" i="1" s="1"/>
  <c r="Q3424" i="1" s="1"/>
  <c r="S3423" i="1"/>
  <c r="Q3423" i="1"/>
  <c r="L3423" i="1"/>
  <c r="O3423" i="1" s="1"/>
  <c r="P3423" i="1" s="1"/>
  <c r="R3423" i="1" s="1"/>
  <c r="J3423" i="1"/>
  <c r="I3423" i="1"/>
  <c r="K3423" i="1" s="1"/>
  <c r="N3423" i="1" s="1"/>
  <c r="S3422" i="1"/>
  <c r="P3422" i="1"/>
  <c r="R3422" i="1" s="1"/>
  <c r="O3422" i="1"/>
  <c r="L3422" i="1"/>
  <c r="K3422" i="1"/>
  <c r="N3422" i="1" s="1"/>
  <c r="Q3422" i="1" s="1"/>
  <c r="J3422" i="1"/>
  <c r="I3422" i="1"/>
  <c r="M3422" i="1" s="1"/>
  <c r="S3421" i="1"/>
  <c r="O3421" i="1"/>
  <c r="P3421" i="1" s="1"/>
  <c r="R3421" i="1" s="1"/>
  <c r="N3421" i="1"/>
  <c r="Q3421" i="1" s="1"/>
  <c r="L3421" i="1"/>
  <c r="K3421" i="1"/>
  <c r="J3421" i="1"/>
  <c r="I3421" i="1"/>
  <c r="M3421" i="1" s="1"/>
  <c r="S3420" i="1"/>
  <c r="L3420" i="1"/>
  <c r="O3420" i="1" s="1"/>
  <c r="P3420" i="1" s="1"/>
  <c r="R3420" i="1" s="1"/>
  <c r="J3420" i="1"/>
  <c r="I3420" i="1"/>
  <c r="S3419" i="1"/>
  <c r="P3419" i="1"/>
  <c r="R3419" i="1" s="1"/>
  <c r="L3419" i="1"/>
  <c r="O3419" i="1" s="1"/>
  <c r="J3419" i="1"/>
  <c r="I3419" i="1"/>
  <c r="S3418" i="1"/>
  <c r="L3418" i="1"/>
  <c r="O3418" i="1" s="1"/>
  <c r="P3418" i="1" s="1"/>
  <c r="R3418" i="1" s="1"/>
  <c r="K3418" i="1"/>
  <c r="N3418" i="1" s="1"/>
  <c r="Q3418" i="1" s="1"/>
  <c r="J3418" i="1"/>
  <c r="I3418" i="1"/>
  <c r="M3418" i="1" s="1"/>
  <c r="S3417" i="1"/>
  <c r="R3417" i="1"/>
  <c r="O3417" i="1"/>
  <c r="P3417" i="1" s="1"/>
  <c r="L3417" i="1"/>
  <c r="K3417" i="1"/>
  <c r="N3417" i="1" s="1"/>
  <c r="Q3417" i="1" s="1"/>
  <c r="J3417" i="1"/>
  <c r="I3417" i="1"/>
  <c r="M3417" i="1" s="1"/>
  <c r="S3416" i="1"/>
  <c r="M3416" i="1"/>
  <c r="L3416" i="1"/>
  <c r="O3416" i="1" s="1"/>
  <c r="P3416" i="1" s="1"/>
  <c r="R3416" i="1" s="1"/>
  <c r="J3416" i="1"/>
  <c r="I3416" i="1"/>
  <c r="K3416" i="1" s="1"/>
  <c r="N3416" i="1" s="1"/>
  <c r="Q3416" i="1" s="1"/>
  <c r="S3415" i="1"/>
  <c r="L3415" i="1"/>
  <c r="O3415" i="1" s="1"/>
  <c r="P3415" i="1" s="1"/>
  <c r="R3415" i="1" s="1"/>
  <c r="J3415" i="1"/>
  <c r="I3415" i="1"/>
  <c r="S3414" i="1"/>
  <c r="O3414" i="1"/>
  <c r="P3414" i="1" s="1"/>
  <c r="R3414" i="1" s="1"/>
  <c r="N3414" i="1"/>
  <c r="Q3414" i="1" s="1"/>
  <c r="L3414" i="1"/>
  <c r="K3414" i="1"/>
  <c r="J3414" i="1"/>
  <c r="I3414" i="1"/>
  <c r="M3414" i="1" s="1"/>
  <c r="S3413" i="1"/>
  <c r="O3413" i="1"/>
  <c r="P3413" i="1" s="1"/>
  <c r="R3413" i="1" s="1"/>
  <c r="L3413" i="1"/>
  <c r="K3413" i="1"/>
  <c r="N3413" i="1" s="1"/>
  <c r="Q3413" i="1" s="1"/>
  <c r="J3413" i="1"/>
  <c r="I3413" i="1"/>
  <c r="M3413" i="1" s="1"/>
  <c r="S3412" i="1"/>
  <c r="R3412" i="1"/>
  <c r="M3412" i="1"/>
  <c r="L3412" i="1"/>
  <c r="O3412" i="1" s="1"/>
  <c r="P3412" i="1" s="1"/>
  <c r="J3412" i="1"/>
  <c r="I3412" i="1"/>
  <c r="K3412" i="1" s="1"/>
  <c r="N3412" i="1" s="1"/>
  <c r="Q3412" i="1" s="1"/>
  <c r="S3411" i="1"/>
  <c r="O3411" i="1"/>
  <c r="P3411" i="1" s="1"/>
  <c r="R3411" i="1" s="1"/>
  <c r="N3411" i="1"/>
  <c r="Q3411" i="1" s="1"/>
  <c r="L3411" i="1"/>
  <c r="K3411" i="1"/>
  <c r="J3411" i="1"/>
  <c r="I3411" i="1"/>
  <c r="M3411" i="1" s="1"/>
  <c r="S3410" i="1"/>
  <c r="L3410" i="1"/>
  <c r="O3410" i="1" s="1"/>
  <c r="P3410" i="1" s="1"/>
  <c r="R3410" i="1" s="1"/>
  <c r="J3410" i="1"/>
  <c r="I3410" i="1"/>
  <c r="S3409" i="1"/>
  <c r="Q3409" i="1"/>
  <c r="M3409" i="1"/>
  <c r="L3409" i="1"/>
  <c r="O3409" i="1" s="1"/>
  <c r="P3409" i="1" s="1"/>
  <c r="R3409" i="1" s="1"/>
  <c r="J3409" i="1"/>
  <c r="I3409" i="1"/>
  <c r="K3409" i="1" s="1"/>
  <c r="N3409" i="1" s="1"/>
  <c r="S3408" i="1"/>
  <c r="O3408" i="1"/>
  <c r="P3408" i="1" s="1"/>
  <c r="R3408" i="1" s="1"/>
  <c r="L3408" i="1"/>
  <c r="K3408" i="1"/>
  <c r="N3408" i="1" s="1"/>
  <c r="Q3408" i="1" s="1"/>
  <c r="J3408" i="1"/>
  <c r="I3408" i="1"/>
  <c r="M3408" i="1" s="1"/>
  <c r="S3407" i="1"/>
  <c r="R3407" i="1"/>
  <c r="O3407" i="1"/>
  <c r="P3407" i="1" s="1"/>
  <c r="L3407" i="1"/>
  <c r="K3407" i="1"/>
  <c r="N3407" i="1" s="1"/>
  <c r="Q3407" i="1" s="1"/>
  <c r="J3407" i="1"/>
  <c r="I3407" i="1"/>
  <c r="M3407" i="1" s="1"/>
  <c r="S3406" i="1"/>
  <c r="L3406" i="1"/>
  <c r="O3406" i="1" s="1"/>
  <c r="P3406" i="1" s="1"/>
  <c r="R3406" i="1" s="1"/>
  <c r="J3406" i="1"/>
  <c r="I3406" i="1"/>
  <c r="K3406" i="1" s="1"/>
  <c r="N3406" i="1" s="1"/>
  <c r="Q3406" i="1" s="1"/>
  <c r="S3405" i="1"/>
  <c r="Q3405" i="1"/>
  <c r="P3405" i="1"/>
  <c r="R3405" i="1" s="1"/>
  <c r="M3405" i="1"/>
  <c r="L3405" i="1"/>
  <c r="O3405" i="1" s="1"/>
  <c r="J3405" i="1"/>
  <c r="I3405" i="1"/>
  <c r="K3405" i="1" s="1"/>
  <c r="N3405" i="1" s="1"/>
  <c r="S3404" i="1"/>
  <c r="O3404" i="1"/>
  <c r="P3404" i="1" s="1"/>
  <c r="R3404" i="1" s="1"/>
  <c r="L3404" i="1"/>
  <c r="K3404" i="1"/>
  <c r="N3404" i="1" s="1"/>
  <c r="Q3404" i="1" s="1"/>
  <c r="J3404" i="1"/>
  <c r="I3404" i="1"/>
  <c r="M3404" i="1" s="1"/>
  <c r="S3403" i="1"/>
  <c r="R3403" i="1"/>
  <c r="O3403" i="1"/>
  <c r="P3403" i="1" s="1"/>
  <c r="N3403" i="1"/>
  <c r="Q3403" i="1" s="1"/>
  <c r="L3403" i="1"/>
  <c r="K3403" i="1"/>
  <c r="J3403" i="1"/>
  <c r="I3403" i="1"/>
  <c r="M3403" i="1" s="1"/>
  <c r="S3402" i="1"/>
  <c r="L3402" i="1"/>
  <c r="O3402" i="1" s="1"/>
  <c r="P3402" i="1" s="1"/>
  <c r="R3402" i="1" s="1"/>
  <c r="J3402" i="1"/>
  <c r="I3402" i="1"/>
  <c r="S3401" i="1"/>
  <c r="Q3401" i="1"/>
  <c r="M3401" i="1"/>
  <c r="L3401" i="1"/>
  <c r="O3401" i="1" s="1"/>
  <c r="P3401" i="1" s="1"/>
  <c r="R3401" i="1" s="1"/>
  <c r="J3401" i="1"/>
  <c r="I3401" i="1"/>
  <c r="K3401" i="1" s="1"/>
  <c r="N3401" i="1" s="1"/>
  <c r="S3400" i="1"/>
  <c r="O3400" i="1"/>
  <c r="P3400" i="1" s="1"/>
  <c r="R3400" i="1" s="1"/>
  <c r="L3400" i="1"/>
  <c r="K3400" i="1"/>
  <c r="N3400" i="1" s="1"/>
  <c r="Q3400" i="1" s="1"/>
  <c r="J3400" i="1"/>
  <c r="I3400" i="1"/>
  <c r="M3400" i="1" s="1"/>
  <c r="S3399" i="1"/>
  <c r="R3399" i="1"/>
  <c r="O3399" i="1"/>
  <c r="P3399" i="1" s="1"/>
  <c r="L3399" i="1"/>
  <c r="K3399" i="1"/>
  <c r="N3399" i="1" s="1"/>
  <c r="Q3399" i="1" s="1"/>
  <c r="J3399" i="1"/>
  <c r="I3399" i="1"/>
  <c r="M3399" i="1" s="1"/>
  <c r="S3398" i="1"/>
  <c r="L3398" i="1"/>
  <c r="O3398" i="1" s="1"/>
  <c r="P3398" i="1" s="1"/>
  <c r="R3398" i="1" s="1"/>
  <c r="J3398" i="1"/>
  <c r="I3398" i="1"/>
  <c r="K3398" i="1" s="1"/>
  <c r="N3398" i="1" s="1"/>
  <c r="Q3398" i="1" s="1"/>
  <c r="S3397" i="1"/>
  <c r="Q3397" i="1"/>
  <c r="P3397" i="1"/>
  <c r="R3397" i="1" s="1"/>
  <c r="M3397" i="1"/>
  <c r="L3397" i="1"/>
  <c r="O3397" i="1" s="1"/>
  <c r="J3397" i="1"/>
  <c r="I3397" i="1"/>
  <c r="K3397" i="1" s="1"/>
  <c r="N3397" i="1" s="1"/>
  <c r="S3396" i="1"/>
  <c r="O3396" i="1"/>
  <c r="P3396" i="1" s="1"/>
  <c r="R3396" i="1" s="1"/>
  <c r="L3396" i="1"/>
  <c r="K3396" i="1"/>
  <c r="N3396" i="1" s="1"/>
  <c r="Q3396" i="1" s="1"/>
  <c r="J3396" i="1"/>
  <c r="I3396" i="1"/>
  <c r="M3396" i="1" s="1"/>
  <c r="S3395" i="1"/>
  <c r="R3395" i="1"/>
  <c r="O3395" i="1"/>
  <c r="P3395" i="1" s="1"/>
  <c r="N3395" i="1"/>
  <c r="Q3395" i="1" s="1"/>
  <c r="L3395" i="1"/>
  <c r="K3395" i="1"/>
  <c r="J3395" i="1"/>
  <c r="I3395" i="1"/>
  <c r="M3395" i="1" s="1"/>
  <c r="S3394" i="1"/>
  <c r="L3394" i="1"/>
  <c r="O3394" i="1" s="1"/>
  <c r="P3394" i="1" s="1"/>
  <c r="R3394" i="1" s="1"/>
  <c r="J3394" i="1"/>
  <c r="I3394" i="1"/>
  <c r="S3393" i="1"/>
  <c r="Q3393" i="1"/>
  <c r="M3393" i="1"/>
  <c r="L3393" i="1"/>
  <c r="O3393" i="1" s="1"/>
  <c r="P3393" i="1" s="1"/>
  <c r="R3393" i="1" s="1"/>
  <c r="J3393" i="1"/>
  <c r="I3393" i="1"/>
  <c r="K3393" i="1" s="1"/>
  <c r="N3393" i="1" s="1"/>
  <c r="S3392" i="1"/>
  <c r="O3392" i="1"/>
  <c r="P3392" i="1" s="1"/>
  <c r="R3392" i="1" s="1"/>
  <c r="L3392" i="1"/>
  <c r="K3392" i="1"/>
  <c r="N3392" i="1" s="1"/>
  <c r="Q3392" i="1" s="1"/>
  <c r="J3392" i="1"/>
  <c r="I3392" i="1"/>
  <c r="M3392" i="1" s="1"/>
  <c r="S3391" i="1"/>
  <c r="R3391" i="1"/>
  <c r="O3391" i="1"/>
  <c r="P3391" i="1" s="1"/>
  <c r="L3391" i="1"/>
  <c r="K3391" i="1"/>
  <c r="N3391" i="1" s="1"/>
  <c r="Q3391" i="1" s="1"/>
  <c r="J3391" i="1"/>
  <c r="I3391" i="1"/>
  <c r="M3391" i="1" s="1"/>
  <c r="S3390" i="1"/>
  <c r="L3390" i="1"/>
  <c r="O3390" i="1" s="1"/>
  <c r="P3390" i="1" s="1"/>
  <c r="R3390" i="1" s="1"/>
  <c r="J3390" i="1"/>
  <c r="I3390" i="1"/>
  <c r="K3390" i="1" s="1"/>
  <c r="N3390" i="1" s="1"/>
  <c r="Q3390" i="1" s="1"/>
  <c r="S3389" i="1"/>
  <c r="Q3389" i="1"/>
  <c r="P3389" i="1"/>
  <c r="R3389" i="1" s="1"/>
  <c r="M3389" i="1"/>
  <c r="L3389" i="1"/>
  <c r="O3389" i="1" s="1"/>
  <c r="J3389" i="1"/>
  <c r="I3389" i="1"/>
  <c r="K3389" i="1" s="1"/>
  <c r="N3389" i="1" s="1"/>
  <c r="S3388" i="1"/>
  <c r="O3388" i="1"/>
  <c r="P3388" i="1" s="1"/>
  <c r="R3388" i="1" s="1"/>
  <c r="L3388" i="1"/>
  <c r="K3388" i="1"/>
  <c r="N3388" i="1" s="1"/>
  <c r="Q3388" i="1" s="1"/>
  <c r="J3388" i="1"/>
  <c r="I3388" i="1"/>
  <c r="M3388" i="1" s="1"/>
  <c r="S3387" i="1"/>
  <c r="R3387" i="1"/>
  <c r="O3387" i="1"/>
  <c r="P3387" i="1" s="1"/>
  <c r="N3387" i="1"/>
  <c r="Q3387" i="1" s="1"/>
  <c r="L3387" i="1"/>
  <c r="K3387" i="1"/>
  <c r="J3387" i="1"/>
  <c r="I3387" i="1"/>
  <c r="M3387" i="1" s="1"/>
  <c r="S3386" i="1"/>
  <c r="L3386" i="1"/>
  <c r="O3386" i="1" s="1"/>
  <c r="P3386" i="1" s="1"/>
  <c r="R3386" i="1" s="1"/>
  <c r="J3386" i="1"/>
  <c r="I3386" i="1"/>
  <c r="S3385" i="1"/>
  <c r="Q3385" i="1"/>
  <c r="M3385" i="1"/>
  <c r="L3385" i="1"/>
  <c r="O3385" i="1" s="1"/>
  <c r="P3385" i="1" s="1"/>
  <c r="R3385" i="1" s="1"/>
  <c r="J3385" i="1"/>
  <c r="I3385" i="1"/>
  <c r="K3385" i="1" s="1"/>
  <c r="N3385" i="1" s="1"/>
  <c r="S3384" i="1"/>
  <c r="O3384" i="1"/>
  <c r="P3384" i="1" s="1"/>
  <c r="R3384" i="1" s="1"/>
  <c r="L3384" i="1"/>
  <c r="K3384" i="1"/>
  <c r="N3384" i="1" s="1"/>
  <c r="Q3384" i="1" s="1"/>
  <c r="J3384" i="1"/>
  <c r="I3384" i="1"/>
  <c r="M3384" i="1" s="1"/>
  <c r="S3383" i="1"/>
  <c r="R3383" i="1"/>
  <c r="O3383" i="1"/>
  <c r="P3383" i="1" s="1"/>
  <c r="L3383" i="1"/>
  <c r="K3383" i="1"/>
  <c r="N3383" i="1" s="1"/>
  <c r="Q3383" i="1" s="1"/>
  <c r="J3383" i="1"/>
  <c r="I3383" i="1"/>
  <c r="M3383" i="1" s="1"/>
  <c r="S3382" i="1"/>
  <c r="L3382" i="1"/>
  <c r="O3382" i="1" s="1"/>
  <c r="P3382" i="1" s="1"/>
  <c r="R3382" i="1" s="1"/>
  <c r="J3382" i="1"/>
  <c r="I3382" i="1"/>
  <c r="K3382" i="1" s="1"/>
  <c r="N3382" i="1" s="1"/>
  <c r="Q3382" i="1" s="1"/>
  <c r="S3381" i="1"/>
  <c r="Q3381" i="1"/>
  <c r="P3381" i="1"/>
  <c r="R3381" i="1" s="1"/>
  <c r="L3381" i="1"/>
  <c r="O3381" i="1" s="1"/>
  <c r="J3381" i="1"/>
  <c r="I3381" i="1"/>
  <c r="K3381" i="1" s="1"/>
  <c r="N3381" i="1" s="1"/>
  <c r="S3380" i="1"/>
  <c r="O3380" i="1"/>
  <c r="P3380" i="1" s="1"/>
  <c r="R3380" i="1" s="1"/>
  <c r="L3380" i="1"/>
  <c r="K3380" i="1"/>
  <c r="N3380" i="1" s="1"/>
  <c r="Q3380" i="1" s="1"/>
  <c r="J3380" i="1"/>
  <c r="I3380" i="1"/>
  <c r="M3380" i="1" s="1"/>
  <c r="S3379" i="1"/>
  <c r="O3379" i="1"/>
  <c r="P3379" i="1" s="1"/>
  <c r="R3379" i="1" s="1"/>
  <c r="L3379" i="1"/>
  <c r="K3379" i="1"/>
  <c r="N3379" i="1" s="1"/>
  <c r="Q3379" i="1" s="1"/>
  <c r="J3379" i="1"/>
  <c r="I3379" i="1"/>
  <c r="M3379" i="1" s="1"/>
  <c r="S3378" i="1"/>
  <c r="R3378" i="1"/>
  <c r="M3378" i="1"/>
  <c r="L3378" i="1"/>
  <c r="O3378" i="1" s="1"/>
  <c r="P3378" i="1" s="1"/>
  <c r="J3378" i="1"/>
  <c r="I3378" i="1"/>
  <c r="K3378" i="1" s="1"/>
  <c r="N3378" i="1" s="1"/>
  <c r="Q3378" i="1" s="1"/>
  <c r="S3377" i="1"/>
  <c r="M3377" i="1"/>
  <c r="L3377" i="1"/>
  <c r="O3377" i="1" s="1"/>
  <c r="P3377" i="1" s="1"/>
  <c r="R3377" i="1" s="1"/>
  <c r="J3377" i="1"/>
  <c r="I3377" i="1"/>
  <c r="K3377" i="1" s="1"/>
  <c r="N3377" i="1" s="1"/>
  <c r="Q3377" i="1" s="1"/>
  <c r="S3376" i="1"/>
  <c r="O3376" i="1"/>
  <c r="P3376" i="1" s="1"/>
  <c r="R3376" i="1" s="1"/>
  <c r="N3376" i="1"/>
  <c r="Q3376" i="1" s="1"/>
  <c r="L3376" i="1"/>
  <c r="K3376" i="1"/>
  <c r="J3376" i="1"/>
  <c r="I3376" i="1"/>
  <c r="M3376" i="1" s="1"/>
  <c r="S3375" i="1"/>
  <c r="Q3375" i="1"/>
  <c r="O3375" i="1"/>
  <c r="P3375" i="1" s="1"/>
  <c r="R3375" i="1" s="1"/>
  <c r="L3375" i="1"/>
  <c r="K3375" i="1"/>
  <c r="N3375" i="1" s="1"/>
  <c r="J3375" i="1"/>
  <c r="I3375" i="1"/>
  <c r="M3375" i="1" s="1"/>
  <c r="S3374" i="1"/>
  <c r="L3374" i="1"/>
  <c r="O3374" i="1" s="1"/>
  <c r="P3374" i="1" s="1"/>
  <c r="R3374" i="1" s="1"/>
  <c r="J3374" i="1"/>
  <c r="I3374" i="1"/>
  <c r="S3373" i="1"/>
  <c r="O3373" i="1"/>
  <c r="P3373" i="1" s="1"/>
  <c r="R3373" i="1" s="1"/>
  <c r="L3373" i="1"/>
  <c r="J3373" i="1"/>
  <c r="I3373" i="1"/>
  <c r="M3373" i="1" s="1"/>
  <c r="S3372" i="1"/>
  <c r="P3372" i="1"/>
  <c r="R3372" i="1" s="1"/>
  <c r="O3372" i="1"/>
  <c r="L3372" i="1"/>
  <c r="K3372" i="1"/>
  <c r="N3372" i="1" s="1"/>
  <c r="Q3372" i="1" s="1"/>
  <c r="J3372" i="1"/>
  <c r="I3372" i="1"/>
  <c r="M3372" i="1" s="1"/>
  <c r="S3371" i="1"/>
  <c r="R3371" i="1"/>
  <c r="O3371" i="1"/>
  <c r="P3371" i="1" s="1"/>
  <c r="M3371" i="1"/>
  <c r="L3371" i="1"/>
  <c r="J3371" i="1"/>
  <c r="I3371" i="1"/>
  <c r="K3371" i="1" s="1"/>
  <c r="N3371" i="1" s="1"/>
  <c r="Q3371" i="1" s="1"/>
  <c r="S3370" i="1"/>
  <c r="P3370" i="1"/>
  <c r="R3370" i="1" s="1"/>
  <c r="L3370" i="1"/>
  <c r="O3370" i="1" s="1"/>
  <c r="J3370" i="1"/>
  <c r="I3370" i="1"/>
  <c r="K3370" i="1" s="1"/>
  <c r="N3370" i="1" s="1"/>
  <c r="Q3370" i="1" s="1"/>
  <c r="S3369" i="1"/>
  <c r="P3369" i="1"/>
  <c r="R3369" i="1" s="1"/>
  <c r="O3369" i="1"/>
  <c r="L3369" i="1"/>
  <c r="K3369" i="1"/>
  <c r="N3369" i="1" s="1"/>
  <c r="Q3369" i="1" s="1"/>
  <c r="J3369" i="1"/>
  <c r="I3369" i="1"/>
  <c r="M3369" i="1" s="1"/>
  <c r="S3368" i="1"/>
  <c r="P3368" i="1"/>
  <c r="R3368" i="1" s="1"/>
  <c r="L3368" i="1"/>
  <c r="O3368" i="1" s="1"/>
  <c r="K3368" i="1"/>
  <c r="N3368" i="1" s="1"/>
  <c r="Q3368" i="1" s="1"/>
  <c r="J3368" i="1"/>
  <c r="I3368" i="1"/>
  <c r="M3368" i="1" s="1"/>
  <c r="S3367" i="1"/>
  <c r="R3367" i="1"/>
  <c r="O3367" i="1"/>
  <c r="P3367" i="1" s="1"/>
  <c r="L3367" i="1"/>
  <c r="J3367" i="1"/>
  <c r="I3367" i="1"/>
  <c r="K3367" i="1" s="1"/>
  <c r="N3367" i="1" s="1"/>
  <c r="Q3367" i="1" s="1"/>
  <c r="S3366" i="1"/>
  <c r="Q3366" i="1"/>
  <c r="L3366" i="1"/>
  <c r="O3366" i="1" s="1"/>
  <c r="P3366" i="1" s="1"/>
  <c r="R3366" i="1" s="1"/>
  <c r="J3366" i="1"/>
  <c r="I3366" i="1"/>
  <c r="K3366" i="1" s="1"/>
  <c r="N3366" i="1" s="1"/>
  <c r="S3365" i="1"/>
  <c r="Q3365" i="1"/>
  <c r="L3365" i="1"/>
  <c r="O3365" i="1" s="1"/>
  <c r="P3365" i="1" s="1"/>
  <c r="R3365" i="1" s="1"/>
  <c r="K3365" i="1"/>
  <c r="N3365" i="1" s="1"/>
  <c r="J3365" i="1"/>
  <c r="I3365" i="1"/>
  <c r="M3365" i="1" s="1"/>
  <c r="S3364" i="1"/>
  <c r="R3364" i="1"/>
  <c r="N3364" i="1"/>
  <c r="Q3364" i="1" s="1"/>
  <c r="L3364" i="1"/>
  <c r="O3364" i="1" s="1"/>
  <c r="P3364" i="1" s="1"/>
  <c r="K3364" i="1"/>
  <c r="J3364" i="1"/>
  <c r="I3364" i="1"/>
  <c r="M3364" i="1" s="1"/>
  <c r="S3363" i="1"/>
  <c r="O3363" i="1"/>
  <c r="P3363" i="1" s="1"/>
  <c r="R3363" i="1" s="1"/>
  <c r="N3363" i="1"/>
  <c r="Q3363" i="1" s="1"/>
  <c r="L3363" i="1"/>
  <c r="K3363" i="1"/>
  <c r="J3363" i="1"/>
  <c r="I3363" i="1"/>
  <c r="M3363" i="1" s="1"/>
  <c r="S3362" i="1"/>
  <c r="M3362" i="1"/>
  <c r="L3362" i="1"/>
  <c r="O3362" i="1" s="1"/>
  <c r="P3362" i="1" s="1"/>
  <c r="R3362" i="1" s="1"/>
  <c r="J3362" i="1"/>
  <c r="I3362" i="1"/>
  <c r="K3362" i="1" s="1"/>
  <c r="N3362" i="1" s="1"/>
  <c r="Q3362" i="1" s="1"/>
  <c r="S3361" i="1"/>
  <c r="L3361" i="1"/>
  <c r="O3361" i="1" s="1"/>
  <c r="P3361" i="1" s="1"/>
  <c r="R3361" i="1" s="1"/>
  <c r="J3361" i="1"/>
  <c r="I3361" i="1"/>
  <c r="K3361" i="1" s="1"/>
  <c r="N3361" i="1" s="1"/>
  <c r="Q3361" i="1" s="1"/>
  <c r="S3360" i="1"/>
  <c r="O3360" i="1"/>
  <c r="P3360" i="1" s="1"/>
  <c r="R3360" i="1" s="1"/>
  <c r="N3360" i="1"/>
  <c r="Q3360" i="1" s="1"/>
  <c r="L3360" i="1"/>
  <c r="K3360" i="1"/>
  <c r="J3360" i="1"/>
  <c r="I3360" i="1"/>
  <c r="M3360" i="1" s="1"/>
  <c r="S3359" i="1"/>
  <c r="O3359" i="1"/>
  <c r="P3359" i="1" s="1"/>
  <c r="R3359" i="1" s="1"/>
  <c r="L3359" i="1"/>
  <c r="K3359" i="1"/>
  <c r="N3359" i="1" s="1"/>
  <c r="Q3359" i="1" s="1"/>
  <c r="J3359" i="1"/>
  <c r="I3359" i="1"/>
  <c r="M3359" i="1" s="1"/>
  <c r="S3358" i="1"/>
  <c r="R3358" i="1"/>
  <c r="M3358" i="1"/>
  <c r="L3358" i="1"/>
  <c r="O3358" i="1" s="1"/>
  <c r="P3358" i="1" s="1"/>
  <c r="J3358" i="1"/>
  <c r="I3358" i="1"/>
  <c r="K3358" i="1" s="1"/>
  <c r="N3358" i="1" s="1"/>
  <c r="Q3358" i="1" s="1"/>
  <c r="S3357" i="1"/>
  <c r="O3357" i="1"/>
  <c r="P3357" i="1" s="1"/>
  <c r="R3357" i="1" s="1"/>
  <c r="M3357" i="1"/>
  <c r="L3357" i="1"/>
  <c r="J3357" i="1"/>
  <c r="I3357" i="1"/>
  <c r="K3357" i="1" s="1"/>
  <c r="S3356" i="1"/>
  <c r="O3356" i="1"/>
  <c r="P3356" i="1" s="1"/>
  <c r="R3356" i="1" s="1"/>
  <c r="L3356" i="1"/>
  <c r="K3356" i="1"/>
  <c r="N3356" i="1" s="1"/>
  <c r="Q3356" i="1" s="1"/>
  <c r="J3356" i="1"/>
  <c r="I3356" i="1"/>
  <c r="M3356" i="1" s="1"/>
  <c r="S3355" i="1"/>
  <c r="R3355" i="1"/>
  <c r="O3355" i="1"/>
  <c r="P3355" i="1" s="1"/>
  <c r="L3355" i="1"/>
  <c r="J3355" i="1"/>
  <c r="I3355" i="1"/>
  <c r="S3354" i="1"/>
  <c r="P3354" i="1"/>
  <c r="R3354" i="1" s="1"/>
  <c r="L3354" i="1"/>
  <c r="O3354" i="1" s="1"/>
  <c r="J3354" i="1"/>
  <c r="I3354" i="1"/>
  <c r="S3353" i="1"/>
  <c r="P3353" i="1"/>
  <c r="R3353" i="1" s="1"/>
  <c r="O3353" i="1"/>
  <c r="L3353" i="1"/>
  <c r="K3353" i="1"/>
  <c r="N3353" i="1" s="1"/>
  <c r="Q3353" i="1" s="1"/>
  <c r="J3353" i="1"/>
  <c r="I3353" i="1"/>
  <c r="M3353" i="1" s="1"/>
  <c r="S3352" i="1"/>
  <c r="P3352" i="1"/>
  <c r="R3352" i="1" s="1"/>
  <c r="L3352" i="1"/>
  <c r="O3352" i="1" s="1"/>
  <c r="K3352" i="1"/>
  <c r="N3352" i="1" s="1"/>
  <c r="Q3352" i="1" s="1"/>
  <c r="J3352" i="1"/>
  <c r="I3352" i="1"/>
  <c r="M3352" i="1" s="1"/>
  <c r="S3351" i="1"/>
  <c r="R3351" i="1"/>
  <c r="O3351" i="1"/>
  <c r="P3351" i="1" s="1"/>
  <c r="L3351" i="1"/>
  <c r="J3351" i="1"/>
  <c r="I3351" i="1"/>
  <c r="S3350" i="1"/>
  <c r="L3350" i="1"/>
  <c r="O3350" i="1" s="1"/>
  <c r="P3350" i="1" s="1"/>
  <c r="R3350" i="1" s="1"/>
  <c r="J3350" i="1"/>
  <c r="I3350" i="1"/>
  <c r="K3350" i="1" s="1"/>
  <c r="N3350" i="1" s="1"/>
  <c r="Q3350" i="1" s="1"/>
  <c r="S3349" i="1"/>
  <c r="Q3349" i="1"/>
  <c r="L3349" i="1"/>
  <c r="O3349" i="1" s="1"/>
  <c r="P3349" i="1" s="1"/>
  <c r="R3349" i="1" s="1"/>
  <c r="K3349" i="1"/>
  <c r="N3349" i="1" s="1"/>
  <c r="J3349" i="1"/>
  <c r="I3349" i="1"/>
  <c r="M3349" i="1" s="1"/>
  <c r="S3348" i="1"/>
  <c r="N3348" i="1"/>
  <c r="Q3348" i="1" s="1"/>
  <c r="L3348" i="1"/>
  <c r="O3348" i="1" s="1"/>
  <c r="P3348" i="1" s="1"/>
  <c r="R3348" i="1" s="1"/>
  <c r="K3348" i="1"/>
  <c r="J3348" i="1"/>
  <c r="I3348" i="1"/>
  <c r="M3348" i="1" s="1"/>
  <c r="S3347" i="1"/>
  <c r="O3347" i="1"/>
  <c r="P3347" i="1" s="1"/>
  <c r="R3347" i="1" s="1"/>
  <c r="L3347" i="1"/>
  <c r="K3347" i="1"/>
  <c r="N3347" i="1" s="1"/>
  <c r="Q3347" i="1" s="1"/>
  <c r="J3347" i="1"/>
  <c r="I3347" i="1"/>
  <c r="M3347" i="1" s="1"/>
  <c r="S3346" i="1"/>
  <c r="M3346" i="1"/>
  <c r="L3346" i="1"/>
  <c r="O3346" i="1" s="1"/>
  <c r="P3346" i="1" s="1"/>
  <c r="R3346" i="1" s="1"/>
  <c r="J3346" i="1"/>
  <c r="I3346" i="1"/>
  <c r="K3346" i="1" s="1"/>
  <c r="N3346" i="1" s="1"/>
  <c r="Q3346" i="1" s="1"/>
  <c r="S3345" i="1"/>
  <c r="L3345" i="1"/>
  <c r="O3345" i="1" s="1"/>
  <c r="P3345" i="1" s="1"/>
  <c r="R3345" i="1" s="1"/>
  <c r="J3345" i="1"/>
  <c r="I3345" i="1"/>
  <c r="S3344" i="1"/>
  <c r="O3344" i="1"/>
  <c r="P3344" i="1" s="1"/>
  <c r="R3344" i="1" s="1"/>
  <c r="N3344" i="1"/>
  <c r="Q3344" i="1" s="1"/>
  <c r="L3344" i="1"/>
  <c r="K3344" i="1"/>
  <c r="J3344" i="1"/>
  <c r="I3344" i="1"/>
  <c r="M3344" i="1" s="1"/>
  <c r="S3343" i="1"/>
  <c r="O3343" i="1"/>
  <c r="P3343" i="1" s="1"/>
  <c r="R3343" i="1" s="1"/>
  <c r="L3343" i="1"/>
  <c r="K3343" i="1"/>
  <c r="N3343" i="1" s="1"/>
  <c r="Q3343" i="1" s="1"/>
  <c r="J3343" i="1"/>
  <c r="I3343" i="1"/>
  <c r="M3343" i="1" s="1"/>
  <c r="S3342" i="1"/>
  <c r="R3342" i="1"/>
  <c r="M3342" i="1"/>
  <c r="L3342" i="1"/>
  <c r="O3342" i="1" s="1"/>
  <c r="P3342" i="1" s="1"/>
  <c r="J3342" i="1"/>
  <c r="I3342" i="1"/>
  <c r="K3342" i="1" s="1"/>
  <c r="N3342" i="1" s="1"/>
  <c r="Q3342" i="1" s="1"/>
  <c r="S3341" i="1"/>
  <c r="O3341" i="1"/>
  <c r="P3341" i="1" s="1"/>
  <c r="R3341" i="1" s="1"/>
  <c r="M3341" i="1"/>
  <c r="L3341" i="1"/>
  <c r="J3341" i="1"/>
  <c r="I3341" i="1"/>
  <c r="K3341" i="1" s="1"/>
  <c r="N3341" i="1" s="1"/>
  <c r="Q3341" i="1" s="1"/>
  <c r="S3340" i="1"/>
  <c r="O3340" i="1"/>
  <c r="P3340" i="1" s="1"/>
  <c r="R3340" i="1" s="1"/>
  <c r="L3340" i="1"/>
  <c r="K3340" i="1"/>
  <c r="N3340" i="1" s="1"/>
  <c r="Q3340" i="1" s="1"/>
  <c r="J3340" i="1"/>
  <c r="I3340" i="1"/>
  <c r="M3340" i="1" s="1"/>
  <c r="S3339" i="1"/>
  <c r="R3339" i="1"/>
  <c r="O3339" i="1"/>
  <c r="P3339" i="1" s="1"/>
  <c r="L3339" i="1"/>
  <c r="J3339" i="1"/>
  <c r="I3339" i="1"/>
  <c r="K3339" i="1" s="1"/>
  <c r="N3339" i="1" s="1"/>
  <c r="Q3339" i="1" s="1"/>
  <c r="S3338" i="1"/>
  <c r="P3338" i="1"/>
  <c r="R3338" i="1" s="1"/>
  <c r="L3338" i="1"/>
  <c r="O3338" i="1" s="1"/>
  <c r="J3338" i="1"/>
  <c r="I3338" i="1"/>
  <c r="S3337" i="1"/>
  <c r="P3337" i="1"/>
  <c r="R3337" i="1" s="1"/>
  <c r="O3337" i="1"/>
  <c r="L3337" i="1"/>
  <c r="K3337" i="1"/>
  <c r="N3337" i="1" s="1"/>
  <c r="Q3337" i="1" s="1"/>
  <c r="J3337" i="1"/>
  <c r="I3337" i="1"/>
  <c r="M3337" i="1" s="1"/>
  <c r="S3336" i="1"/>
  <c r="R3336" i="1"/>
  <c r="P3336" i="1"/>
  <c r="L3336" i="1"/>
  <c r="O3336" i="1" s="1"/>
  <c r="K3336" i="1"/>
  <c r="N3336" i="1" s="1"/>
  <c r="Q3336" i="1" s="1"/>
  <c r="J3336" i="1"/>
  <c r="I3336" i="1"/>
  <c r="M3336" i="1" s="1"/>
  <c r="S3335" i="1"/>
  <c r="R3335" i="1"/>
  <c r="O3335" i="1"/>
  <c r="P3335" i="1" s="1"/>
  <c r="L3335" i="1"/>
  <c r="J3335" i="1"/>
  <c r="I3335" i="1"/>
  <c r="K3335" i="1" s="1"/>
  <c r="N3335" i="1" s="1"/>
  <c r="Q3335" i="1" s="1"/>
  <c r="S3334" i="1"/>
  <c r="P3334" i="1"/>
  <c r="R3334" i="1" s="1"/>
  <c r="L3334" i="1"/>
  <c r="O3334" i="1" s="1"/>
  <c r="J3334" i="1"/>
  <c r="I3334" i="1"/>
  <c r="K3334" i="1" s="1"/>
  <c r="N3334" i="1" s="1"/>
  <c r="Q3334" i="1" s="1"/>
  <c r="S3333" i="1"/>
  <c r="L3333" i="1"/>
  <c r="O3333" i="1" s="1"/>
  <c r="P3333" i="1" s="1"/>
  <c r="R3333" i="1" s="1"/>
  <c r="K3333" i="1"/>
  <c r="N3333" i="1" s="1"/>
  <c r="Q3333" i="1" s="1"/>
  <c r="J3333" i="1"/>
  <c r="I3333" i="1"/>
  <c r="M3333" i="1" s="1"/>
  <c r="S3332" i="1"/>
  <c r="R3332" i="1"/>
  <c r="L3332" i="1"/>
  <c r="O3332" i="1" s="1"/>
  <c r="P3332" i="1" s="1"/>
  <c r="J3332" i="1"/>
  <c r="I3332" i="1"/>
  <c r="S3331" i="1"/>
  <c r="O3331" i="1"/>
  <c r="P3331" i="1" s="1"/>
  <c r="R3331" i="1" s="1"/>
  <c r="L3331" i="1"/>
  <c r="K3331" i="1"/>
  <c r="N3331" i="1" s="1"/>
  <c r="Q3331" i="1" s="1"/>
  <c r="J3331" i="1"/>
  <c r="I3331" i="1"/>
  <c r="M3331" i="1" s="1"/>
  <c r="S3330" i="1"/>
  <c r="R3330" i="1"/>
  <c r="O3330" i="1"/>
  <c r="P3330" i="1" s="1"/>
  <c r="N3330" i="1"/>
  <c r="Q3330" i="1" s="1"/>
  <c r="L3330" i="1"/>
  <c r="K3330" i="1"/>
  <c r="J3330" i="1"/>
  <c r="I3330" i="1"/>
  <c r="M3330" i="1" s="1"/>
  <c r="S3329" i="1"/>
  <c r="L3329" i="1"/>
  <c r="O3329" i="1" s="1"/>
  <c r="P3329" i="1" s="1"/>
  <c r="R3329" i="1" s="1"/>
  <c r="J3329" i="1"/>
  <c r="I3329" i="1"/>
  <c r="S3328" i="1"/>
  <c r="M3328" i="1"/>
  <c r="L3328" i="1"/>
  <c r="O3328" i="1" s="1"/>
  <c r="P3328" i="1" s="1"/>
  <c r="R3328" i="1" s="1"/>
  <c r="J3328" i="1"/>
  <c r="I3328" i="1"/>
  <c r="K3328" i="1" s="1"/>
  <c r="N3328" i="1" s="1"/>
  <c r="Q3328" i="1" s="1"/>
  <c r="S3327" i="1"/>
  <c r="O3327" i="1"/>
  <c r="P3327" i="1" s="1"/>
  <c r="R3327" i="1" s="1"/>
  <c r="N3327" i="1"/>
  <c r="Q3327" i="1" s="1"/>
  <c r="L3327" i="1"/>
  <c r="K3327" i="1"/>
  <c r="J3327" i="1"/>
  <c r="I3327" i="1"/>
  <c r="M3327" i="1" s="1"/>
  <c r="S3326" i="1"/>
  <c r="Q3326" i="1"/>
  <c r="O3326" i="1"/>
  <c r="P3326" i="1" s="1"/>
  <c r="R3326" i="1" s="1"/>
  <c r="L3326" i="1"/>
  <c r="K3326" i="1"/>
  <c r="N3326" i="1" s="1"/>
  <c r="J3326" i="1"/>
  <c r="I3326" i="1"/>
  <c r="M3326" i="1" s="1"/>
  <c r="S3325" i="1"/>
  <c r="L3325" i="1"/>
  <c r="O3325" i="1" s="1"/>
  <c r="P3325" i="1" s="1"/>
  <c r="R3325" i="1" s="1"/>
  <c r="J3325" i="1"/>
  <c r="I3325" i="1"/>
  <c r="S3324" i="1"/>
  <c r="O3324" i="1"/>
  <c r="P3324" i="1" s="1"/>
  <c r="R3324" i="1" s="1"/>
  <c r="L3324" i="1"/>
  <c r="J3324" i="1"/>
  <c r="I3324" i="1"/>
  <c r="M3324" i="1" s="1"/>
  <c r="S3323" i="1"/>
  <c r="P3323" i="1"/>
  <c r="R3323" i="1" s="1"/>
  <c r="O3323" i="1"/>
  <c r="L3323" i="1"/>
  <c r="K3323" i="1"/>
  <c r="N3323" i="1" s="1"/>
  <c r="Q3323" i="1" s="1"/>
  <c r="J3323" i="1"/>
  <c r="I3323" i="1"/>
  <c r="M3323" i="1" s="1"/>
  <c r="S3322" i="1"/>
  <c r="R3322" i="1"/>
  <c r="O3322" i="1"/>
  <c r="P3322" i="1" s="1"/>
  <c r="M3322" i="1"/>
  <c r="L3322" i="1"/>
  <c r="J3322" i="1"/>
  <c r="I3322" i="1"/>
  <c r="K3322" i="1" s="1"/>
  <c r="N3322" i="1" s="1"/>
  <c r="Q3322" i="1" s="1"/>
  <c r="S3321" i="1"/>
  <c r="P3321" i="1"/>
  <c r="R3321" i="1" s="1"/>
  <c r="L3321" i="1"/>
  <c r="O3321" i="1" s="1"/>
  <c r="J3321" i="1"/>
  <c r="I3321" i="1"/>
  <c r="K3321" i="1" s="1"/>
  <c r="N3321" i="1" s="1"/>
  <c r="Q3321" i="1" s="1"/>
  <c r="S3320" i="1"/>
  <c r="P3320" i="1"/>
  <c r="R3320" i="1" s="1"/>
  <c r="O3320" i="1"/>
  <c r="L3320" i="1"/>
  <c r="K3320" i="1"/>
  <c r="N3320" i="1" s="1"/>
  <c r="Q3320" i="1" s="1"/>
  <c r="J3320" i="1"/>
  <c r="I3320" i="1"/>
  <c r="M3320" i="1" s="1"/>
  <c r="S3319" i="1"/>
  <c r="L3319" i="1"/>
  <c r="O3319" i="1" s="1"/>
  <c r="P3319" i="1" s="1"/>
  <c r="R3319" i="1" s="1"/>
  <c r="K3319" i="1"/>
  <c r="N3319" i="1" s="1"/>
  <c r="Q3319" i="1" s="1"/>
  <c r="J3319" i="1"/>
  <c r="I3319" i="1"/>
  <c r="M3319" i="1" s="1"/>
  <c r="S3318" i="1"/>
  <c r="R3318" i="1"/>
  <c r="O3318" i="1"/>
  <c r="P3318" i="1" s="1"/>
  <c r="L3318" i="1"/>
  <c r="J3318" i="1"/>
  <c r="I3318" i="1"/>
  <c r="M3318" i="1" s="1"/>
  <c r="S3317" i="1"/>
  <c r="Q3317" i="1"/>
  <c r="L3317" i="1"/>
  <c r="O3317" i="1" s="1"/>
  <c r="P3317" i="1" s="1"/>
  <c r="R3317" i="1" s="1"/>
  <c r="J3317" i="1"/>
  <c r="I3317" i="1"/>
  <c r="K3317" i="1" s="1"/>
  <c r="N3317" i="1" s="1"/>
  <c r="S3316" i="1"/>
  <c r="Q3316" i="1"/>
  <c r="L3316" i="1"/>
  <c r="O3316" i="1" s="1"/>
  <c r="P3316" i="1" s="1"/>
  <c r="R3316" i="1" s="1"/>
  <c r="K3316" i="1"/>
  <c r="N3316" i="1" s="1"/>
  <c r="J3316" i="1"/>
  <c r="I3316" i="1"/>
  <c r="M3316" i="1" s="1"/>
  <c r="S3315" i="1"/>
  <c r="N3315" i="1"/>
  <c r="Q3315" i="1" s="1"/>
  <c r="L3315" i="1"/>
  <c r="O3315" i="1" s="1"/>
  <c r="P3315" i="1" s="1"/>
  <c r="R3315" i="1" s="1"/>
  <c r="K3315" i="1"/>
  <c r="J3315" i="1"/>
  <c r="I3315" i="1"/>
  <c r="M3315" i="1" s="1"/>
  <c r="S3314" i="1"/>
  <c r="O3314" i="1"/>
  <c r="P3314" i="1" s="1"/>
  <c r="R3314" i="1" s="1"/>
  <c r="L3314" i="1"/>
  <c r="K3314" i="1"/>
  <c r="N3314" i="1" s="1"/>
  <c r="Q3314" i="1" s="1"/>
  <c r="J3314" i="1"/>
  <c r="I3314" i="1"/>
  <c r="M3314" i="1" s="1"/>
  <c r="S3313" i="1"/>
  <c r="M3313" i="1"/>
  <c r="L3313" i="1"/>
  <c r="O3313" i="1" s="1"/>
  <c r="P3313" i="1" s="1"/>
  <c r="R3313" i="1" s="1"/>
  <c r="J3313" i="1"/>
  <c r="I3313" i="1"/>
  <c r="K3313" i="1" s="1"/>
  <c r="N3313" i="1" s="1"/>
  <c r="Q3313" i="1" s="1"/>
  <c r="S3312" i="1"/>
  <c r="M3312" i="1"/>
  <c r="L3312" i="1"/>
  <c r="O3312" i="1" s="1"/>
  <c r="P3312" i="1" s="1"/>
  <c r="R3312" i="1" s="1"/>
  <c r="J3312" i="1"/>
  <c r="I3312" i="1"/>
  <c r="K3312" i="1" s="1"/>
  <c r="N3312" i="1" s="1"/>
  <c r="Q3312" i="1" s="1"/>
  <c r="S3311" i="1"/>
  <c r="O3311" i="1"/>
  <c r="P3311" i="1" s="1"/>
  <c r="R3311" i="1" s="1"/>
  <c r="N3311" i="1"/>
  <c r="Q3311" i="1" s="1"/>
  <c r="L3311" i="1"/>
  <c r="K3311" i="1"/>
  <c r="J3311" i="1"/>
  <c r="I3311" i="1"/>
  <c r="M3311" i="1" s="1"/>
  <c r="S3310" i="1"/>
  <c r="Q3310" i="1"/>
  <c r="O3310" i="1"/>
  <c r="P3310" i="1" s="1"/>
  <c r="R3310" i="1" s="1"/>
  <c r="L3310" i="1"/>
  <c r="K3310" i="1"/>
  <c r="N3310" i="1" s="1"/>
  <c r="J3310" i="1"/>
  <c r="I3310" i="1"/>
  <c r="M3310" i="1" s="1"/>
  <c r="S3309" i="1"/>
  <c r="L3309" i="1"/>
  <c r="O3309" i="1" s="1"/>
  <c r="P3309" i="1" s="1"/>
  <c r="R3309" i="1" s="1"/>
  <c r="J3309" i="1"/>
  <c r="I3309" i="1"/>
  <c r="S3308" i="1"/>
  <c r="O3308" i="1"/>
  <c r="P3308" i="1" s="1"/>
  <c r="R3308" i="1" s="1"/>
  <c r="L3308" i="1"/>
  <c r="J3308" i="1"/>
  <c r="I3308" i="1"/>
  <c r="M3308" i="1" s="1"/>
  <c r="S3307" i="1"/>
  <c r="P3307" i="1"/>
  <c r="R3307" i="1" s="1"/>
  <c r="O3307" i="1"/>
  <c r="L3307" i="1"/>
  <c r="K3307" i="1"/>
  <c r="N3307" i="1" s="1"/>
  <c r="Q3307" i="1" s="1"/>
  <c r="J3307" i="1"/>
  <c r="I3307" i="1"/>
  <c r="M3307" i="1" s="1"/>
  <c r="S3306" i="1"/>
  <c r="R3306" i="1"/>
  <c r="O3306" i="1"/>
  <c r="P3306" i="1" s="1"/>
  <c r="L3306" i="1"/>
  <c r="J3306" i="1"/>
  <c r="I3306" i="1"/>
  <c r="S3305" i="1"/>
  <c r="P3305" i="1"/>
  <c r="R3305" i="1" s="1"/>
  <c r="L3305" i="1"/>
  <c r="O3305" i="1" s="1"/>
  <c r="J3305" i="1"/>
  <c r="I3305" i="1"/>
  <c r="M3305" i="1" s="1"/>
  <c r="S3304" i="1"/>
  <c r="P3304" i="1"/>
  <c r="R3304" i="1" s="1"/>
  <c r="O3304" i="1"/>
  <c r="L3304" i="1"/>
  <c r="K3304" i="1"/>
  <c r="N3304" i="1" s="1"/>
  <c r="Q3304" i="1" s="1"/>
  <c r="J3304" i="1"/>
  <c r="I3304" i="1"/>
  <c r="M3304" i="1" s="1"/>
  <c r="S3303" i="1"/>
  <c r="L3303" i="1"/>
  <c r="O3303" i="1" s="1"/>
  <c r="P3303" i="1" s="1"/>
  <c r="R3303" i="1" s="1"/>
  <c r="K3303" i="1"/>
  <c r="N3303" i="1" s="1"/>
  <c r="Q3303" i="1" s="1"/>
  <c r="J3303" i="1"/>
  <c r="I3303" i="1"/>
  <c r="M3303" i="1" s="1"/>
  <c r="S3302" i="1"/>
  <c r="R3302" i="1"/>
  <c r="O3302" i="1"/>
  <c r="P3302" i="1" s="1"/>
  <c r="L3302" i="1"/>
  <c r="J3302" i="1"/>
  <c r="I3302" i="1"/>
  <c r="M3302" i="1" s="1"/>
  <c r="S3301" i="1"/>
  <c r="Q3301" i="1"/>
  <c r="L3301" i="1"/>
  <c r="O3301" i="1" s="1"/>
  <c r="P3301" i="1" s="1"/>
  <c r="R3301" i="1" s="1"/>
  <c r="J3301" i="1"/>
  <c r="I3301" i="1"/>
  <c r="K3301" i="1" s="1"/>
  <c r="N3301" i="1" s="1"/>
  <c r="S3300" i="1"/>
  <c r="Q3300" i="1"/>
  <c r="L3300" i="1"/>
  <c r="O3300" i="1" s="1"/>
  <c r="P3300" i="1" s="1"/>
  <c r="R3300" i="1" s="1"/>
  <c r="K3300" i="1"/>
  <c r="N3300" i="1" s="1"/>
  <c r="J3300" i="1"/>
  <c r="I3300" i="1"/>
  <c r="M3300" i="1" s="1"/>
  <c r="S3299" i="1"/>
  <c r="N3299" i="1"/>
  <c r="Q3299" i="1" s="1"/>
  <c r="L3299" i="1"/>
  <c r="O3299" i="1" s="1"/>
  <c r="P3299" i="1" s="1"/>
  <c r="R3299" i="1" s="1"/>
  <c r="K3299" i="1"/>
  <c r="J3299" i="1"/>
  <c r="I3299" i="1"/>
  <c r="M3299" i="1" s="1"/>
  <c r="S3298" i="1"/>
  <c r="O3298" i="1"/>
  <c r="P3298" i="1" s="1"/>
  <c r="R3298" i="1" s="1"/>
  <c r="L3298" i="1"/>
  <c r="K3298" i="1"/>
  <c r="N3298" i="1" s="1"/>
  <c r="Q3298" i="1" s="1"/>
  <c r="J3298" i="1"/>
  <c r="I3298" i="1"/>
  <c r="M3298" i="1" s="1"/>
  <c r="S3297" i="1"/>
  <c r="M3297" i="1"/>
  <c r="L3297" i="1"/>
  <c r="O3297" i="1" s="1"/>
  <c r="P3297" i="1" s="1"/>
  <c r="R3297" i="1" s="1"/>
  <c r="J3297" i="1"/>
  <c r="I3297" i="1"/>
  <c r="K3297" i="1" s="1"/>
  <c r="N3297" i="1" s="1"/>
  <c r="Q3297" i="1" s="1"/>
  <c r="S3296" i="1"/>
  <c r="M3296" i="1"/>
  <c r="L3296" i="1"/>
  <c r="O3296" i="1" s="1"/>
  <c r="P3296" i="1" s="1"/>
  <c r="R3296" i="1" s="1"/>
  <c r="J3296" i="1"/>
  <c r="I3296" i="1"/>
  <c r="K3296" i="1" s="1"/>
  <c r="N3296" i="1" s="1"/>
  <c r="Q3296" i="1" s="1"/>
  <c r="S3295" i="1"/>
  <c r="L3295" i="1"/>
  <c r="O3295" i="1" s="1"/>
  <c r="P3295" i="1" s="1"/>
  <c r="R3295" i="1" s="1"/>
  <c r="K3295" i="1"/>
  <c r="N3295" i="1" s="1"/>
  <c r="Q3295" i="1" s="1"/>
  <c r="J3295" i="1"/>
  <c r="I3295" i="1"/>
  <c r="M3295" i="1" s="1"/>
  <c r="S3294" i="1"/>
  <c r="O3294" i="1"/>
  <c r="P3294" i="1" s="1"/>
  <c r="R3294" i="1" s="1"/>
  <c r="L3294" i="1"/>
  <c r="K3294" i="1"/>
  <c r="N3294" i="1" s="1"/>
  <c r="Q3294" i="1" s="1"/>
  <c r="J3294" i="1"/>
  <c r="I3294" i="1"/>
  <c r="M3294" i="1" s="1"/>
  <c r="S3293" i="1"/>
  <c r="L3293" i="1"/>
  <c r="O3293" i="1" s="1"/>
  <c r="P3293" i="1" s="1"/>
  <c r="R3293" i="1" s="1"/>
  <c r="J3293" i="1"/>
  <c r="I3293" i="1"/>
  <c r="M3293" i="1" s="1"/>
  <c r="S3292" i="1"/>
  <c r="M3292" i="1"/>
  <c r="L3292" i="1"/>
  <c r="O3292" i="1" s="1"/>
  <c r="P3292" i="1" s="1"/>
  <c r="R3292" i="1" s="1"/>
  <c r="J3292" i="1"/>
  <c r="I3292" i="1"/>
  <c r="K3292" i="1" s="1"/>
  <c r="N3292" i="1" s="1"/>
  <c r="Q3292" i="1" s="1"/>
  <c r="S3291" i="1"/>
  <c r="L3291" i="1"/>
  <c r="O3291" i="1" s="1"/>
  <c r="P3291" i="1" s="1"/>
  <c r="R3291" i="1" s="1"/>
  <c r="K3291" i="1"/>
  <c r="N3291" i="1" s="1"/>
  <c r="Q3291" i="1" s="1"/>
  <c r="J3291" i="1"/>
  <c r="I3291" i="1"/>
  <c r="M3291" i="1" s="1"/>
  <c r="S3290" i="1"/>
  <c r="O3290" i="1"/>
  <c r="P3290" i="1" s="1"/>
  <c r="R3290" i="1" s="1"/>
  <c r="L3290" i="1"/>
  <c r="K3290" i="1"/>
  <c r="N3290" i="1" s="1"/>
  <c r="Q3290" i="1" s="1"/>
  <c r="J3290" i="1"/>
  <c r="I3290" i="1"/>
  <c r="M3290" i="1" s="1"/>
  <c r="S3289" i="1"/>
  <c r="L3289" i="1"/>
  <c r="O3289" i="1" s="1"/>
  <c r="P3289" i="1" s="1"/>
  <c r="R3289" i="1" s="1"/>
  <c r="J3289" i="1"/>
  <c r="I3289" i="1"/>
  <c r="M3289" i="1" s="1"/>
  <c r="S3288" i="1"/>
  <c r="M3288" i="1"/>
  <c r="L3288" i="1"/>
  <c r="O3288" i="1" s="1"/>
  <c r="P3288" i="1" s="1"/>
  <c r="R3288" i="1" s="1"/>
  <c r="J3288" i="1"/>
  <c r="I3288" i="1"/>
  <c r="K3288" i="1" s="1"/>
  <c r="N3288" i="1" s="1"/>
  <c r="Q3288" i="1" s="1"/>
  <c r="S3287" i="1"/>
  <c r="L3287" i="1"/>
  <c r="O3287" i="1" s="1"/>
  <c r="P3287" i="1" s="1"/>
  <c r="R3287" i="1" s="1"/>
  <c r="K3287" i="1"/>
  <c r="N3287" i="1" s="1"/>
  <c r="Q3287" i="1" s="1"/>
  <c r="J3287" i="1"/>
  <c r="I3287" i="1"/>
  <c r="M3287" i="1" s="1"/>
  <c r="S3286" i="1"/>
  <c r="R3286" i="1"/>
  <c r="O3286" i="1"/>
  <c r="P3286" i="1" s="1"/>
  <c r="L3286" i="1"/>
  <c r="K3286" i="1"/>
  <c r="N3286" i="1" s="1"/>
  <c r="Q3286" i="1" s="1"/>
  <c r="J3286" i="1"/>
  <c r="I3286" i="1"/>
  <c r="M3286" i="1" s="1"/>
  <c r="S3285" i="1"/>
  <c r="R3285" i="1"/>
  <c r="M3285" i="1"/>
  <c r="L3285" i="1"/>
  <c r="O3285" i="1" s="1"/>
  <c r="P3285" i="1" s="1"/>
  <c r="J3285" i="1"/>
  <c r="I3285" i="1"/>
  <c r="K3285" i="1" s="1"/>
  <c r="N3285" i="1" s="1"/>
  <c r="Q3285" i="1" s="1"/>
  <c r="S3284" i="1"/>
  <c r="Q3284" i="1"/>
  <c r="M3284" i="1"/>
  <c r="L3284" i="1"/>
  <c r="O3284" i="1" s="1"/>
  <c r="P3284" i="1" s="1"/>
  <c r="R3284" i="1" s="1"/>
  <c r="J3284" i="1"/>
  <c r="I3284" i="1"/>
  <c r="K3284" i="1" s="1"/>
  <c r="N3284" i="1" s="1"/>
  <c r="S3283" i="1"/>
  <c r="O3283" i="1"/>
  <c r="P3283" i="1" s="1"/>
  <c r="R3283" i="1" s="1"/>
  <c r="L3283" i="1"/>
  <c r="K3283" i="1"/>
  <c r="N3283" i="1" s="1"/>
  <c r="Q3283" i="1" s="1"/>
  <c r="J3283" i="1"/>
  <c r="I3283" i="1"/>
  <c r="M3283" i="1" s="1"/>
  <c r="S3282" i="1"/>
  <c r="O3282" i="1"/>
  <c r="P3282" i="1" s="1"/>
  <c r="R3282" i="1" s="1"/>
  <c r="N3282" i="1"/>
  <c r="Q3282" i="1" s="1"/>
  <c r="L3282" i="1"/>
  <c r="K3282" i="1"/>
  <c r="J3282" i="1"/>
  <c r="I3282" i="1"/>
  <c r="M3282" i="1" s="1"/>
  <c r="S3281" i="1"/>
  <c r="L3281" i="1"/>
  <c r="O3281" i="1" s="1"/>
  <c r="P3281" i="1" s="1"/>
  <c r="R3281" i="1" s="1"/>
  <c r="J3281" i="1"/>
  <c r="I3281" i="1"/>
  <c r="S3280" i="1"/>
  <c r="P3280" i="1"/>
  <c r="R3280" i="1" s="1"/>
  <c r="M3280" i="1"/>
  <c r="L3280" i="1"/>
  <c r="O3280" i="1" s="1"/>
  <c r="J3280" i="1"/>
  <c r="I3280" i="1"/>
  <c r="K3280" i="1" s="1"/>
  <c r="N3280" i="1" s="1"/>
  <c r="Q3280" i="1" s="1"/>
  <c r="S3279" i="1"/>
  <c r="L3279" i="1"/>
  <c r="O3279" i="1" s="1"/>
  <c r="P3279" i="1" s="1"/>
  <c r="R3279" i="1" s="1"/>
  <c r="K3279" i="1"/>
  <c r="N3279" i="1" s="1"/>
  <c r="Q3279" i="1" s="1"/>
  <c r="J3279" i="1"/>
  <c r="I3279" i="1"/>
  <c r="M3279" i="1" s="1"/>
  <c r="S3278" i="1"/>
  <c r="R3278" i="1"/>
  <c r="O3278" i="1"/>
  <c r="P3278" i="1" s="1"/>
  <c r="L3278" i="1"/>
  <c r="K3278" i="1"/>
  <c r="N3278" i="1" s="1"/>
  <c r="Q3278" i="1" s="1"/>
  <c r="J3278" i="1"/>
  <c r="I3278" i="1"/>
  <c r="M3278" i="1" s="1"/>
  <c r="S3277" i="1"/>
  <c r="R3277" i="1"/>
  <c r="M3277" i="1"/>
  <c r="L3277" i="1"/>
  <c r="O3277" i="1" s="1"/>
  <c r="P3277" i="1" s="1"/>
  <c r="J3277" i="1"/>
  <c r="I3277" i="1"/>
  <c r="K3277" i="1" s="1"/>
  <c r="N3277" i="1" s="1"/>
  <c r="Q3277" i="1" s="1"/>
  <c r="S3276" i="1"/>
  <c r="Q3276" i="1"/>
  <c r="M3276" i="1"/>
  <c r="L3276" i="1"/>
  <c r="O3276" i="1" s="1"/>
  <c r="P3276" i="1" s="1"/>
  <c r="R3276" i="1" s="1"/>
  <c r="J3276" i="1"/>
  <c r="I3276" i="1"/>
  <c r="K3276" i="1" s="1"/>
  <c r="N3276" i="1" s="1"/>
  <c r="S3275" i="1"/>
  <c r="O3275" i="1"/>
  <c r="P3275" i="1" s="1"/>
  <c r="R3275" i="1" s="1"/>
  <c r="L3275" i="1"/>
  <c r="K3275" i="1"/>
  <c r="N3275" i="1" s="1"/>
  <c r="Q3275" i="1" s="1"/>
  <c r="J3275" i="1"/>
  <c r="I3275" i="1"/>
  <c r="M3275" i="1" s="1"/>
  <c r="S3274" i="1"/>
  <c r="O3274" i="1"/>
  <c r="P3274" i="1" s="1"/>
  <c r="R3274" i="1" s="1"/>
  <c r="N3274" i="1"/>
  <c r="Q3274" i="1" s="1"/>
  <c r="L3274" i="1"/>
  <c r="K3274" i="1"/>
  <c r="J3274" i="1"/>
  <c r="I3274" i="1"/>
  <c r="M3274" i="1" s="1"/>
  <c r="S3273" i="1"/>
  <c r="L3273" i="1"/>
  <c r="O3273" i="1" s="1"/>
  <c r="P3273" i="1" s="1"/>
  <c r="R3273" i="1" s="1"/>
  <c r="J3273" i="1"/>
  <c r="I3273" i="1"/>
  <c r="S3272" i="1"/>
  <c r="M3272" i="1"/>
  <c r="L3272" i="1"/>
  <c r="J3272" i="1"/>
  <c r="I3272" i="1"/>
  <c r="K3272" i="1" s="1"/>
  <c r="S3271" i="1"/>
  <c r="L3271" i="1"/>
  <c r="K3271" i="1"/>
  <c r="J3271" i="1"/>
  <c r="I3271" i="1"/>
  <c r="M3271" i="1" s="1"/>
  <c r="S3270" i="1"/>
  <c r="R3270" i="1"/>
  <c r="O3270" i="1"/>
  <c r="P3270" i="1" s="1"/>
  <c r="L3270" i="1"/>
  <c r="K3270" i="1"/>
  <c r="N3270" i="1" s="1"/>
  <c r="Q3270" i="1" s="1"/>
  <c r="J3270" i="1"/>
  <c r="I3270" i="1"/>
  <c r="M3270" i="1" s="1"/>
  <c r="S3269" i="1"/>
  <c r="R3269" i="1"/>
  <c r="M3269" i="1"/>
  <c r="L3269" i="1"/>
  <c r="O3269" i="1" s="1"/>
  <c r="P3269" i="1" s="1"/>
  <c r="J3269" i="1"/>
  <c r="I3269" i="1"/>
  <c r="K3269" i="1" s="1"/>
  <c r="N3269" i="1" s="1"/>
  <c r="Q3269" i="1" s="1"/>
  <c r="S3268" i="1"/>
  <c r="Q3268" i="1"/>
  <c r="M3268" i="1"/>
  <c r="L3268" i="1"/>
  <c r="O3268" i="1" s="1"/>
  <c r="P3268" i="1" s="1"/>
  <c r="R3268" i="1" s="1"/>
  <c r="J3268" i="1"/>
  <c r="I3268" i="1"/>
  <c r="K3268" i="1" s="1"/>
  <c r="N3268" i="1" s="1"/>
  <c r="S3267" i="1"/>
  <c r="O3267" i="1"/>
  <c r="P3267" i="1" s="1"/>
  <c r="R3267" i="1" s="1"/>
  <c r="L3267" i="1"/>
  <c r="K3267" i="1"/>
  <c r="N3267" i="1" s="1"/>
  <c r="Q3267" i="1" s="1"/>
  <c r="J3267" i="1"/>
  <c r="I3267" i="1"/>
  <c r="M3267" i="1" s="1"/>
  <c r="S3266" i="1"/>
  <c r="O3266" i="1"/>
  <c r="P3266" i="1" s="1"/>
  <c r="R3266" i="1" s="1"/>
  <c r="N3266" i="1"/>
  <c r="Q3266" i="1" s="1"/>
  <c r="L3266" i="1"/>
  <c r="K3266" i="1"/>
  <c r="J3266" i="1"/>
  <c r="I3266" i="1"/>
  <c r="M3266" i="1" s="1"/>
  <c r="S3265" i="1"/>
  <c r="L3265" i="1"/>
  <c r="O3265" i="1" s="1"/>
  <c r="P3265" i="1" s="1"/>
  <c r="R3265" i="1" s="1"/>
  <c r="J3265" i="1"/>
  <c r="I3265" i="1"/>
  <c r="S3264" i="1"/>
  <c r="P3264" i="1"/>
  <c r="R3264" i="1" s="1"/>
  <c r="M3264" i="1"/>
  <c r="L3264" i="1"/>
  <c r="O3264" i="1" s="1"/>
  <c r="J3264" i="1"/>
  <c r="I3264" i="1"/>
  <c r="K3264" i="1" s="1"/>
  <c r="N3264" i="1" s="1"/>
  <c r="Q3264" i="1" s="1"/>
  <c r="S3263" i="1"/>
  <c r="L3263" i="1"/>
  <c r="O3263" i="1" s="1"/>
  <c r="P3263" i="1" s="1"/>
  <c r="R3263" i="1" s="1"/>
  <c r="K3263" i="1"/>
  <c r="N3263" i="1" s="1"/>
  <c r="Q3263" i="1" s="1"/>
  <c r="J3263" i="1"/>
  <c r="I3263" i="1"/>
  <c r="M3263" i="1" s="1"/>
  <c r="S3262" i="1"/>
  <c r="R3262" i="1"/>
  <c r="O3262" i="1"/>
  <c r="P3262" i="1" s="1"/>
  <c r="L3262" i="1"/>
  <c r="K3262" i="1"/>
  <c r="N3262" i="1" s="1"/>
  <c r="Q3262" i="1" s="1"/>
  <c r="J3262" i="1"/>
  <c r="I3262" i="1"/>
  <c r="M3262" i="1" s="1"/>
  <c r="S3261" i="1"/>
  <c r="R3261" i="1"/>
  <c r="M3261" i="1"/>
  <c r="L3261" i="1"/>
  <c r="O3261" i="1" s="1"/>
  <c r="P3261" i="1" s="1"/>
  <c r="J3261" i="1"/>
  <c r="I3261" i="1"/>
  <c r="K3261" i="1" s="1"/>
  <c r="N3261" i="1" s="1"/>
  <c r="Q3261" i="1" s="1"/>
  <c r="S3260" i="1"/>
  <c r="Q3260" i="1"/>
  <c r="L3260" i="1"/>
  <c r="O3260" i="1" s="1"/>
  <c r="P3260" i="1" s="1"/>
  <c r="R3260" i="1" s="1"/>
  <c r="J3260" i="1"/>
  <c r="I3260" i="1"/>
  <c r="K3260" i="1" s="1"/>
  <c r="N3260" i="1" s="1"/>
  <c r="S3259" i="1"/>
  <c r="O3259" i="1"/>
  <c r="P3259" i="1" s="1"/>
  <c r="R3259" i="1" s="1"/>
  <c r="L3259" i="1"/>
  <c r="K3259" i="1"/>
  <c r="N3259" i="1" s="1"/>
  <c r="Q3259" i="1" s="1"/>
  <c r="J3259" i="1"/>
  <c r="I3259" i="1"/>
  <c r="M3259" i="1" s="1"/>
  <c r="S3258" i="1"/>
  <c r="O3258" i="1"/>
  <c r="P3258" i="1" s="1"/>
  <c r="R3258" i="1" s="1"/>
  <c r="N3258" i="1"/>
  <c r="Q3258" i="1" s="1"/>
  <c r="L3258" i="1"/>
  <c r="K3258" i="1"/>
  <c r="J3258" i="1"/>
  <c r="I3258" i="1"/>
  <c r="M3258" i="1" s="1"/>
  <c r="S3257" i="1"/>
  <c r="L3257" i="1"/>
  <c r="O3257" i="1" s="1"/>
  <c r="P3257" i="1" s="1"/>
  <c r="R3257" i="1" s="1"/>
  <c r="J3257" i="1"/>
  <c r="I3257" i="1"/>
  <c r="S3256" i="1"/>
  <c r="P3256" i="1"/>
  <c r="R3256" i="1" s="1"/>
  <c r="M3256" i="1"/>
  <c r="L3256" i="1"/>
  <c r="O3256" i="1" s="1"/>
  <c r="J3256" i="1"/>
  <c r="I3256" i="1"/>
  <c r="K3256" i="1" s="1"/>
  <c r="N3256" i="1" s="1"/>
  <c r="Q3256" i="1" s="1"/>
  <c r="S3255" i="1"/>
  <c r="L3255" i="1"/>
  <c r="O3255" i="1" s="1"/>
  <c r="P3255" i="1" s="1"/>
  <c r="R3255" i="1" s="1"/>
  <c r="K3255" i="1"/>
  <c r="N3255" i="1" s="1"/>
  <c r="Q3255" i="1" s="1"/>
  <c r="J3255" i="1"/>
  <c r="I3255" i="1"/>
  <c r="M3255" i="1" s="1"/>
  <c r="S3254" i="1"/>
  <c r="R3254" i="1"/>
  <c r="O3254" i="1"/>
  <c r="P3254" i="1" s="1"/>
  <c r="L3254" i="1"/>
  <c r="K3254" i="1"/>
  <c r="N3254" i="1" s="1"/>
  <c r="Q3254" i="1" s="1"/>
  <c r="J3254" i="1"/>
  <c r="I3254" i="1"/>
  <c r="M3254" i="1" s="1"/>
  <c r="S3253" i="1"/>
  <c r="M3253" i="1"/>
  <c r="L3253" i="1"/>
  <c r="O3253" i="1" s="1"/>
  <c r="P3253" i="1" s="1"/>
  <c r="R3253" i="1" s="1"/>
  <c r="J3253" i="1"/>
  <c r="I3253" i="1"/>
  <c r="K3253" i="1" s="1"/>
  <c r="N3253" i="1" s="1"/>
  <c r="Q3253" i="1" s="1"/>
  <c r="S3252" i="1"/>
  <c r="Q3252" i="1"/>
  <c r="L3252" i="1"/>
  <c r="O3252" i="1" s="1"/>
  <c r="P3252" i="1" s="1"/>
  <c r="R3252" i="1" s="1"/>
  <c r="J3252" i="1"/>
  <c r="I3252" i="1"/>
  <c r="K3252" i="1" s="1"/>
  <c r="N3252" i="1" s="1"/>
  <c r="S3251" i="1"/>
  <c r="O3251" i="1"/>
  <c r="P3251" i="1" s="1"/>
  <c r="R3251" i="1" s="1"/>
  <c r="L3251" i="1"/>
  <c r="K3251" i="1"/>
  <c r="N3251" i="1" s="1"/>
  <c r="Q3251" i="1" s="1"/>
  <c r="J3251" i="1"/>
  <c r="I3251" i="1"/>
  <c r="M3251" i="1" s="1"/>
  <c r="S3250" i="1"/>
  <c r="O3250" i="1"/>
  <c r="P3250" i="1" s="1"/>
  <c r="R3250" i="1" s="1"/>
  <c r="N3250" i="1"/>
  <c r="Q3250" i="1" s="1"/>
  <c r="L3250" i="1"/>
  <c r="K3250" i="1"/>
  <c r="J3250" i="1"/>
  <c r="I3250" i="1"/>
  <c r="M3250" i="1" s="1"/>
  <c r="S3249" i="1"/>
  <c r="L3249" i="1"/>
  <c r="O3249" i="1" s="1"/>
  <c r="P3249" i="1" s="1"/>
  <c r="R3249" i="1" s="1"/>
  <c r="J3249" i="1"/>
  <c r="I3249" i="1"/>
  <c r="S3248" i="1"/>
  <c r="P3248" i="1"/>
  <c r="R3248" i="1" s="1"/>
  <c r="M3248" i="1"/>
  <c r="L3248" i="1"/>
  <c r="O3248" i="1" s="1"/>
  <c r="J3248" i="1"/>
  <c r="I3248" i="1"/>
  <c r="K3248" i="1" s="1"/>
  <c r="N3248" i="1" s="1"/>
  <c r="Q3248" i="1" s="1"/>
  <c r="S3247" i="1"/>
  <c r="L3247" i="1"/>
  <c r="O3247" i="1" s="1"/>
  <c r="P3247" i="1" s="1"/>
  <c r="R3247" i="1" s="1"/>
  <c r="K3247" i="1"/>
  <c r="N3247" i="1" s="1"/>
  <c r="Q3247" i="1" s="1"/>
  <c r="J3247" i="1"/>
  <c r="I3247" i="1"/>
  <c r="M3247" i="1" s="1"/>
  <c r="S3246" i="1"/>
  <c r="R3246" i="1"/>
  <c r="O3246" i="1"/>
  <c r="P3246" i="1" s="1"/>
  <c r="L3246" i="1"/>
  <c r="K3246" i="1"/>
  <c r="N3246" i="1" s="1"/>
  <c r="Q3246" i="1" s="1"/>
  <c r="J3246" i="1"/>
  <c r="I3246" i="1"/>
  <c r="M3246" i="1" s="1"/>
  <c r="S3245" i="1"/>
  <c r="M3245" i="1"/>
  <c r="L3245" i="1"/>
  <c r="O3245" i="1" s="1"/>
  <c r="P3245" i="1" s="1"/>
  <c r="R3245" i="1" s="1"/>
  <c r="J3245" i="1"/>
  <c r="I3245" i="1"/>
  <c r="K3245" i="1" s="1"/>
  <c r="N3245" i="1" s="1"/>
  <c r="Q3245" i="1" s="1"/>
  <c r="S3244" i="1"/>
  <c r="Q3244" i="1"/>
  <c r="L3244" i="1"/>
  <c r="O3244" i="1" s="1"/>
  <c r="P3244" i="1" s="1"/>
  <c r="R3244" i="1" s="1"/>
  <c r="J3244" i="1"/>
  <c r="I3244" i="1"/>
  <c r="K3244" i="1" s="1"/>
  <c r="N3244" i="1" s="1"/>
  <c r="S3243" i="1"/>
  <c r="O3243" i="1"/>
  <c r="P3243" i="1" s="1"/>
  <c r="R3243" i="1" s="1"/>
  <c r="L3243" i="1"/>
  <c r="K3243" i="1"/>
  <c r="N3243" i="1" s="1"/>
  <c r="Q3243" i="1" s="1"/>
  <c r="J3243" i="1"/>
  <c r="I3243" i="1"/>
  <c r="M3243" i="1" s="1"/>
  <c r="S3242" i="1"/>
  <c r="O3242" i="1"/>
  <c r="P3242" i="1" s="1"/>
  <c r="R3242" i="1" s="1"/>
  <c r="N3242" i="1"/>
  <c r="Q3242" i="1" s="1"/>
  <c r="L3242" i="1"/>
  <c r="K3242" i="1"/>
  <c r="J3242" i="1"/>
  <c r="I3242" i="1"/>
  <c r="M3242" i="1" s="1"/>
  <c r="S3241" i="1"/>
  <c r="L3241" i="1"/>
  <c r="O3241" i="1" s="1"/>
  <c r="P3241" i="1" s="1"/>
  <c r="R3241" i="1" s="1"/>
  <c r="J3241" i="1"/>
  <c r="I3241" i="1"/>
  <c r="S3240" i="1"/>
  <c r="P3240" i="1"/>
  <c r="R3240" i="1" s="1"/>
  <c r="M3240" i="1"/>
  <c r="L3240" i="1"/>
  <c r="O3240" i="1" s="1"/>
  <c r="J3240" i="1"/>
  <c r="I3240" i="1"/>
  <c r="K3240" i="1" s="1"/>
  <c r="N3240" i="1" s="1"/>
  <c r="Q3240" i="1" s="1"/>
  <c r="S3239" i="1"/>
  <c r="L3239" i="1"/>
  <c r="O3239" i="1" s="1"/>
  <c r="P3239" i="1" s="1"/>
  <c r="R3239" i="1" s="1"/>
  <c r="K3239" i="1"/>
  <c r="N3239" i="1" s="1"/>
  <c r="Q3239" i="1" s="1"/>
  <c r="J3239" i="1"/>
  <c r="I3239" i="1"/>
  <c r="M3239" i="1" s="1"/>
  <c r="S3238" i="1"/>
  <c r="R3238" i="1"/>
  <c r="O3238" i="1"/>
  <c r="P3238" i="1" s="1"/>
  <c r="L3238" i="1"/>
  <c r="K3238" i="1"/>
  <c r="N3238" i="1" s="1"/>
  <c r="Q3238" i="1" s="1"/>
  <c r="J3238" i="1"/>
  <c r="I3238" i="1"/>
  <c r="M3238" i="1" s="1"/>
  <c r="S3237" i="1"/>
  <c r="R3237" i="1"/>
  <c r="M3237" i="1"/>
  <c r="L3237" i="1"/>
  <c r="O3237" i="1" s="1"/>
  <c r="P3237" i="1" s="1"/>
  <c r="J3237" i="1"/>
  <c r="I3237" i="1"/>
  <c r="K3237" i="1" s="1"/>
  <c r="N3237" i="1" s="1"/>
  <c r="Q3237" i="1" s="1"/>
  <c r="S3236" i="1"/>
  <c r="Q3236" i="1"/>
  <c r="L3236" i="1"/>
  <c r="O3236" i="1" s="1"/>
  <c r="P3236" i="1" s="1"/>
  <c r="R3236" i="1" s="1"/>
  <c r="J3236" i="1"/>
  <c r="I3236" i="1"/>
  <c r="K3236" i="1" s="1"/>
  <c r="N3236" i="1" s="1"/>
  <c r="S3235" i="1"/>
  <c r="O3235" i="1"/>
  <c r="P3235" i="1" s="1"/>
  <c r="R3235" i="1" s="1"/>
  <c r="L3235" i="1"/>
  <c r="K3235" i="1"/>
  <c r="N3235" i="1" s="1"/>
  <c r="Q3235" i="1" s="1"/>
  <c r="J3235" i="1"/>
  <c r="I3235" i="1"/>
  <c r="M3235" i="1" s="1"/>
  <c r="S3234" i="1"/>
  <c r="O3234" i="1"/>
  <c r="P3234" i="1" s="1"/>
  <c r="R3234" i="1" s="1"/>
  <c r="N3234" i="1"/>
  <c r="Q3234" i="1" s="1"/>
  <c r="L3234" i="1"/>
  <c r="K3234" i="1"/>
  <c r="J3234" i="1"/>
  <c r="I3234" i="1"/>
  <c r="M3234" i="1" s="1"/>
  <c r="S3233" i="1"/>
  <c r="L3233" i="1"/>
  <c r="O3233" i="1" s="1"/>
  <c r="P3233" i="1" s="1"/>
  <c r="R3233" i="1" s="1"/>
  <c r="J3233" i="1"/>
  <c r="I3233" i="1"/>
  <c r="S3232" i="1"/>
  <c r="P3232" i="1"/>
  <c r="R3232" i="1" s="1"/>
  <c r="M3232" i="1"/>
  <c r="L3232" i="1"/>
  <c r="O3232" i="1" s="1"/>
  <c r="J3232" i="1"/>
  <c r="I3232" i="1"/>
  <c r="K3232" i="1" s="1"/>
  <c r="N3232" i="1" s="1"/>
  <c r="Q3232" i="1" s="1"/>
  <c r="S3231" i="1"/>
  <c r="L3231" i="1"/>
  <c r="O3231" i="1" s="1"/>
  <c r="P3231" i="1" s="1"/>
  <c r="R3231" i="1" s="1"/>
  <c r="K3231" i="1"/>
  <c r="N3231" i="1" s="1"/>
  <c r="Q3231" i="1" s="1"/>
  <c r="J3231" i="1"/>
  <c r="I3231" i="1"/>
  <c r="M3231" i="1" s="1"/>
  <c r="S3230" i="1"/>
  <c r="R3230" i="1"/>
  <c r="O3230" i="1"/>
  <c r="P3230" i="1" s="1"/>
  <c r="L3230" i="1"/>
  <c r="K3230" i="1"/>
  <c r="N3230" i="1" s="1"/>
  <c r="Q3230" i="1" s="1"/>
  <c r="J3230" i="1"/>
  <c r="I3230" i="1"/>
  <c r="M3230" i="1" s="1"/>
  <c r="S3229" i="1"/>
  <c r="R3229" i="1"/>
  <c r="M3229" i="1"/>
  <c r="L3229" i="1"/>
  <c r="O3229" i="1" s="1"/>
  <c r="P3229" i="1" s="1"/>
  <c r="J3229" i="1"/>
  <c r="I3229" i="1"/>
  <c r="K3229" i="1" s="1"/>
  <c r="N3229" i="1" s="1"/>
  <c r="Q3229" i="1" s="1"/>
  <c r="S3228" i="1"/>
  <c r="Q3228" i="1"/>
  <c r="L3228" i="1"/>
  <c r="O3228" i="1" s="1"/>
  <c r="P3228" i="1" s="1"/>
  <c r="R3228" i="1" s="1"/>
  <c r="J3228" i="1"/>
  <c r="I3228" i="1"/>
  <c r="K3228" i="1" s="1"/>
  <c r="N3228" i="1" s="1"/>
  <c r="S3227" i="1"/>
  <c r="O3227" i="1"/>
  <c r="P3227" i="1" s="1"/>
  <c r="R3227" i="1" s="1"/>
  <c r="L3227" i="1"/>
  <c r="K3227" i="1"/>
  <c r="N3227" i="1" s="1"/>
  <c r="Q3227" i="1" s="1"/>
  <c r="J3227" i="1"/>
  <c r="I3227" i="1"/>
  <c r="M3227" i="1" s="1"/>
  <c r="S3226" i="1"/>
  <c r="O3226" i="1"/>
  <c r="P3226" i="1" s="1"/>
  <c r="R3226" i="1" s="1"/>
  <c r="L3226" i="1"/>
  <c r="K3226" i="1"/>
  <c r="N3226" i="1" s="1"/>
  <c r="Q3226" i="1" s="1"/>
  <c r="J3226" i="1"/>
  <c r="I3226" i="1"/>
  <c r="M3226" i="1" s="1"/>
  <c r="S3225" i="1"/>
  <c r="M3225" i="1"/>
  <c r="L3225" i="1"/>
  <c r="O3225" i="1" s="1"/>
  <c r="P3225" i="1" s="1"/>
  <c r="R3225" i="1" s="1"/>
  <c r="J3225" i="1"/>
  <c r="I3225" i="1"/>
  <c r="K3225" i="1" s="1"/>
  <c r="N3225" i="1" s="1"/>
  <c r="Q3225" i="1" s="1"/>
  <c r="S3224" i="1"/>
  <c r="O3224" i="1"/>
  <c r="P3224" i="1" s="1"/>
  <c r="R3224" i="1" s="1"/>
  <c r="L3224" i="1"/>
  <c r="J3224" i="1"/>
  <c r="I3224" i="1"/>
  <c r="K3224" i="1" s="1"/>
  <c r="N3224" i="1" s="1"/>
  <c r="Q3224" i="1" s="1"/>
  <c r="S3223" i="1"/>
  <c r="O3223" i="1"/>
  <c r="P3223" i="1" s="1"/>
  <c r="R3223" i="1" s="1"/>
  <c r="L3223" i="1"/>
  <c r="K3223" i="1"/>
  <c r="N3223" i="1" s="1"/>
  <c r="Q3223" i="1" s="1"/>
  <c r="J3223" i="1"/>
  <c r="I3223" i="1"/>
  <c r="M3223" i="1" s="1"/>
  <c r="S3222" i="1"/>
  <c r="R3222" i="1"/>
  <c r="O3222" i="1"/>
  <c r="P3222" i="1" s="1"/>
  <c r="L3222" i="1"/>
  <c r="J3222" i="1"/>
  <c r="I3222" i="1"/>
  <c r="K3222" i="1" s="1"/>
  <c r="N3222" i="1" s="1"/>
  <c r="Q3222" i="1" s="1"/>
  <c r="S3221" i="1"/>
  <c r="P3221" i="1"/>
  <c r="R3221" i="1" s="1"/>
  <c r="L3221" i="1"/>
  <c r="O3221" i="1" s="1"/>
  <c r="J3221" i="1"/>
  <c r="I3221" i="1"/>
  <c r="S3220" i="1"/>
  <c r="O3220" i="1"/>
  <c r="P3220" i="1" s="1"/>
  <c r="R3220" i="1" s="1"/>
  <c r="L3220" i="1"/>
  <c r="K3220" i="1"/>
  <c r="N3220" i="1" s="1"/>
  <c r="Q3220" i="1" s="1"/>
  <c r="J3220" i="1"/>
  <c r="I3220" i="1"/>
  <c r="M3220" i="1" s="1"/>
  <c r="S3219" i="1"/>
  <c r="P3219" i="1"/>
  <c r="R3219" i="1" s="1"/>
  <c r="L3219" i="1"/>
  <c r="O3219" i="1" s="1"/>
  <c r="K3219" i="1"/>
  <c r="N3219" i="1" s="1"/>
  <c r="Q3219" i="1" s="1"/>
  <c r="J3219" i="1"/>
  <c r="I3219" i="1"/>
  <c r="M3219" i="1" s="1"/>
  <c r="S3218" i="1"/>
  <c r="R3218" i="1"/>
  <c r="O3218" i="1"/>
  <c r="P3218" i="1" s="1"/>
  <c r="M3218" i="1"/>
  <c r="L3218" i="1"/>
  <c r="J3218" i="1"/>
  <c r="I3218" i="1"/>
  <c r="K3218" i="1" s="1"/>
  <c r="N3218" i="1" s="1"/>
  <c r="Q3218" i="1" s="1"/>
  <c r="S3217" i="1"/>
  <c r="P3217" i="1"/>
  <c r="R3217" i="1" s="1"/>
  <c r="L3217" i="1"/>
  <c r="O3217" i="1" s="1"/>
  <c r="J3217" i="1"/>
  <c r="I3217" i="1"/>
  <c r="K3217" i="1" s="1"/>
  <c r="N3217" i="1" s="1"/>
  <c r="Q3217" i="1" s="1"/>
  <c r="S3216" i="1"/>
  <c r="P3216" i="1"/>
  <c r="R3216" i="1" s="1"/>
  <c r="L3216" i="1"/>
  <c r="O3216" i="1" s="1"/>
  <c r="K3216" i="1"/>
  <c r="N3216" i="1" s="1"/>
  <c r="Q3216" i="1" s="1"/>
  <c r="J3216" i="1"/>
  <c r="I3216" i="1"/>
  <c r="M3216" i="1" s="1"/>
  <c r="S3215" i="1"/>
  <c r="R3215" i="1"/>
  <c r="N3215" i="1"/>
  <c r="Q3215" i="1" s="1"/>
  <c r="L3215" i="1"/>
  <c r="O3215" i="1" s="1"/>
  <c r="P3215" i="1" s="1"/>
  <c r="K3215" i="1"/>
  <c r="J3215" i="1"/>
  <c r="I3215" i="1"/>
  <c r="M3215" i="1" s="1"/>
  <c r="S3214" i="1"/>
  <c r="O3214" i="1"/>
  <c r="P3214" i="1" s="1"/>
  <c r="R3214" i="1" s="1"/>
  <c r="N3214" i="1"/>
  <c r="Q3214" i="1" s="1"/>
  <c r="L3214" i="1"/>
  <c r="K3214" i="1"/>
  <c r="J3214" i="1"/>
  <c r="I3214" i="1"/>
  <c r="M3214" i="1" s="1"/>
  <c r="S3213" i="1"/>
  <c r="M3213" i="1"/>
  <c r="L3213" i="1"/>
  <c r="O3213" i="1" s="1"/>
  <c r="P3213" i="1" s="1"/>
  <c r="R3213" i="1" s="1"/>
  <c r="J3213" i="1"/>
  <c r="I3213" i="1"/>
  <c r="K3213" i="1" s="1"/>
  <c r="N3213" i="1" s="1"/>
  <c r="Q3213" i="1" s="1"/>
  <c r="S3212" i="1"/>
  <c r="Q3212" i="1"/>
  <c r="L3212" i="1"/>
  <c r="O3212" i="1" s="1"/>
  <c r="P3212" i="1" s="1"/>
  <c r="R3212" i="1" s="1"/>
  <c r="J3212" i="1"/>
  <c r="I3212" i="1"/>
  <c r="K3212" i="1" s="1"/>
  <c r="N3212" i="1" s="1"/>
  <c r="S3211" i="1"/>
  <c r="O3211" i="1"/>
  <c r="P3211" i="1" s="1"/>
  <c r="R3211" i="1" s="1"/>
  <c r="N3211" i="1"/>
  <c r="Q3211" i="1" s="1"/>
  <c r="L3211" i="1"/>
  <c r="K3211" i="1"/>
  <c r="J3211" i="1"/>
  <c r="I3211" i="1"/>
  <c r="M3211" i="1" s="1"/>
  <c r="S3210" i="1"/>
  <c r="O3210" i="1"/>
  <c r="P3210" i="1" s="1"/>
  <c r="R3210" i="1" s="1"/>
  <c r="L3210" i="1"/>
  <c r="K3210" i="1"/>
  <c r="N3210" i="1" s="1"/>
  <c r="Q3210" i="1" s="1"/>
  <c r="J3210" i="1"/>
  <c r="I3210" i="1"/>
  <c r="M3210" i="1" s="1"/>
  <c r="S3209" i="1"/>
  <c r="M3209" i="1"/>
  <c r="L3209" i="1"/>
  <c r="O3209" i="1" s="1"/>
  <c r="P3209" i="1" s="1"/>
  <c r="R3209" i="1" s="1"/>
  <c r="J3209" i="1"/>
  <c r="I3209" i="1"/>
  <c r="K3209" i="1" s="1"/>
  <c r="N3209" i="1" s="1"/>
  <c r="Q3209" i="1" s="1"/>
  <c r="S3208" i="1"/>
  <c r="O3208" i="1"/>
  <c r="P3208" i="1" s="1"/>
  <c r="R3208" i="1" s="1"/>
  <c r="L3208" i="1"/>
  <c r="J3208" i="1"/>
  <c r="I3208" i="1"/>
  <c r="S3207" i="1"/>
  <c r="O3207" i="1"/>
  <c r="P3207" i="1" s="1"/>
  <c r="R3207" i="1" s="1"/>
  <c r="L3207" i="1"/>
  <c r="K3207" i="1"/>
  <c r="N3207" i="1" s="1"/>
  <c r="Q3207" i="1" s="1"/>
  <c r="J3207" i="1"/>
  <c r="I3207" i="1"/>
  <c r="M3207" i="1" s="1"/>
  <c r="S3206" i="1"/>
  <c r="Q3206" i="1"/>
  <c r="L3206" i="1"/>
  <c r="O3206" i="1" s="1"/>
  <c r="P3206" i="1" s="1"/>
  <c r="R3206" i="1" s="1"/>
  <c r="J3206" i="1"/>
  <c r="I3206" i="1"/>
  <c r="K3206" i="1" s="1"/>
  <c r="N3206" i="1" s="1"/>
  <c r="S3205" i="1"/>
  <c r="O3205" i="1"/>
  <c r="P3205" i="1" s="1"/>
  <c r="R3205" i="1" s="1"/>
  <c r="L3205" i="1"/>
  <c r="K3205" i="1"/>
  <c r="N3205" i="1" s="1"/>
  <c r="Q3205" i="1" s="1"/>
  <c r="J3205" i="1"/>
  <c r="I3205" i="1"/>
  <c r="M3205" i="1" s="1"/>
  <c r="S3204" i="1"/>
  <c r="O3204" i="1"/>
  <c r="P3204" i="1" s="1"/>
  <c r="R3204" i="1" s="1"/>
  <c r="N3204" i="1"/>
  <c r="Q3204" i="1" s="1"/>
  <c r="L3204" i="1"/>
  <c r="K3204" i="1"/>
  <c r="J3204" i="1"/>
  <c r="I3204" i="1"/>
  <c r="M3204" i="1" s="1"/>
  <c r="S3203" i="1"/>
  <c r="M3203" i="1"/>
  <c r="L3203" i="1"/>
  <c r="O3203" i="1" s="1"/>
  <c r="P3203" i="1" s="1"/>
  <c r="R3203" i="1" s="1"/>
  <c r="J3203" i="1"/>
  <c r="I3203" i="1"/>
  <c r="K3203" i="1" s="1"/>
  <c r="N3203" i="1" s="1"/>
  <c r="Q3203" i="1" s="1"/>
  <c r="S3202" i="1"/>
  <c r="P3202" i="1"/>
  <c r="R3202" i="1" s="1"/>
  <c r="L3202" i="1"/>
  <c r="O3202" i="1" s="1"/>
  <c r="J3202" i="1"/>
  <c r="I3202" i="1"/>
  <c r="K3202" i="1" s="1"/>
  <c r="N3202" i="1" s="1"/>
  <c r="Q3202" i="1" s="1"/>
  <c r="S3201" i="1"/>
  <c r="O3201" i="1"/>
  <c r="P3201" i="1" s="1"/>
  <c r="R3201" i="1" s="1"/>
  <c r="L3201" i="1"/>
  <c r="K3201" i="1"/>
  <c r="N3201" i="1" s="1"/>
  <c r="Q3201" i="1" s="1"/>
  <c r="J3201" i="1"/>
  <c r="I3201" i="1"/>
  <c r="M3201" i="1" s="1"/>
  <c r="S3200" i="1"/>
  <c r="R3200" i="1"/>
  <c r="O3200" i="1"/>
  <c r="P3200" i="1" s="1"/>
  <c r="N3200" i="1"/>
  <c r="Q3200" i="1" s="1"/>
  <c r="L3200" i="1"/>
  <c r="K3200" i="1"/>
  <c r="J3200" i="1"/>
  <c r="I3200" i="1"/>
  <c r="M3200" i="1" s="1"/>
  <c r="S3199" i="1"/>
  <c r="L3199" i="1"/>
  <c r="O3199" i="1" s="1"/>
  <c r="P3199" i="1" s="1"/>
  <c r="R3199" i="1" s="1"/>
  <c r="J3199" i="1"/>
  <c r="I3199" i="1"/>
  <c r="S3198" i="1"/>
  <c r="P3198" i="1"/>
  <c r="R3198" i="1" s="1"/>
  <c r="L3198" i="1"/>
  <c r="O3198" i="1" s="1"/>
  <c r="J3198" i="1"/>
  <c r="I3198" i="1"/>
  <c r="K3198" i="1" s="1"/>
  <c r="N3198" i="1" s="1"/>
  <c r="Q3198" i="1" s="1"/>
  <c r="S3197" i="1"/>
  <c r="O3197" i="1"/>
  <c r="P3197" i="1" s="1"/>
  <c r="R3197" i="1" s="1"/>
  <c r="L3197" i="1"/>
  <c r="K3197" i="1"/>
  <c r="N3197" i="1" s="1"/>
  <c r="Q3197" i="1" s="1"/>
  <c r="J3197" i="1"/>
  <c r="I3197" i="1"/>
  <c r="M3197" i="1" s="1"/>
  <c r="S3196" i="1"/>
  <c r="R3196" i="1"/>
  <c r="O3196" i="1"/>
  <c r="P3196" i="1" s="1"/>
  <c r="N3196" i="1"/>
  <c r="Q3196" i="1" s="1"/>
  <c r="L3196" i="1"/>
  <c r="K3196" i="1"/>
  <c r="J3196" i="1"/>
  <c r="I3196" i="1"/>
  <c r="M3196" i="1" s="1"/>
  <c r="S3195" i="1"/>
  <c r="L3195" i="1"/>
  <c r="O3195" i="1" s="1"/>
  <c r="P3195" i="1" s="1"/>
  <c r="R3195" i="1" s="1"/>
  <c r="J3195" i="1"/>
  <c r="I3195" i="1"/>
  <c r="K3195" i="1" s="1"/>
  <c r="N3195" i="1" s="1"/>
  <c r="Q3195" i="1" s="1"/>
  <c r="S3194" i="1"/>
  <c r="L3194" i="1"/>
  <c r="O3194" i="1" s="1"/>
  <c r="P3194" i="1" s="1"/>
  <c r="R3194" i="1" s="1"/>
  <c r="J3194" i="1"/>
  <c r="I3194" i="1"/>
  <c r="K3194" i="1" s="1"/>
  <c r="N3194" i="1" s="1"/>
  <c r="Q3194" i="1" s="1"/>
  <c r="S3193" i="1"/>
  <c r="O3193" i="1"/>
  <c r="P3193" i="1" s="1"/>
  <c r="R3193" i="1" s="1"/>
  <c r="L3193" i="1"/>
  <c r="K3193" i="1"/>
  <c r="N3193" i="1" s="1"/>
  <c r="Q3193" i="1" s="1"/>
  <c r="J3193" i="1"/>
  <c r="I3193" i="1"/>
  <c r="M3193" i="1" s="1"/>
  <c r="S3192" i="1"/>
  <c r="R3192" i="1"/>
  <c r="O3192" i="1"/>
  <c r="P3192" i="1" s="1"/>
  <c r="N3192" i="1"/>
  <c r="Q3192" i="1" s="1"/>
  <c r="L3192" i="1"/>
  <c r="K3192" i="1"/>
  <c r="J3192" i="1"/>
  <c r="I3192" i="1"/>
  <c r="M3192" i="1" s="1"/>
  <c r="S3191" i="1"/>
  <c r="L3191" i="1"/>
  <c r="O3191" i="1" s="1"/>
  <c r="P3191" i="1" s="1"/>
  <c r="R3191" i="1" s="1"/>
  <c r="J3191" i="1"/>
  <c r="I3191" i="1"/>
  <c r="K3191" i="1" s="1"/>
  <c r="N3191" i="1" s="1"/>
  <c r="Q3191" i="1" s="1"/>
  <c r="S3190" i="1"/>
  <c r="P3190" i="1"/>
  <c r="R3190" i="1" s="1"/>
  <c r="L3190" i="1"/>
  <c r="O3190" i="1" s="1"/>
  <c r="J3190" i="1"/>
  <c r="I3190" i="1"/>
  <c r="K3190" i="1" s="1"/>
  <c r="N3190" i="1" s="1"/>
  <c r="Q3190" i="1" s="1"/>
  <c r="S3189" i="1"/>
  <c r="O3189" i="1"/>
  <c r="P3189" i="1" s="1"/>
  <c r="R3189" i="1" s="1"/>
  <c r="L3189" i="1"/>
  <c r="K3189" i="1"/>
  <c r="N3189" i="1" s="1"/>
  <c r="Q3189" i="1" s="1"/>
  <c r="J3189" i="1"/>
  <c r="I3189" i="1"/>
  <c r="M3189" i="1" s="1"/>
  <c r="S3188" i="1"/>
  <c r="O3188" i="1"/>
  <c r="P3188" i="1" s="1"/>
  <c r="R3188" i="1" s="1"/>
  <c r="N3188" i="1"/>
  <c r="Q3188" i="1" s="1"/>
  <c r="L3188" i="1"/>
  <c r="K3188" i="1"/>
  <c r="J3188" i="1"/>
  <c r="I3188" i="1"/>
  <c r="M3188" i="1" s="1"/>
  <c r="S3187" i="1"/>
  <c r="M3187" i="1"/>
  <c r="L3187" i="1"/>
  <c r="O3187" i="1" s="1"/>
  <c r="P3187" i="1" s="1"/>
  <c r="R3187" i="1" s="1"/>
  <c r="J3187" i="1"/>
  <c r="I3187" i="1"/>
  <c r="K3187" i="1" s="1"/>
  <c r="N3187" i="1" s="1"/>
  <c r="Q3187" i="1" s="1"/>
  <c r="S3186" i="1"/>
  <c r="L3186" i="1"/>
  <c r="J3186" i="1"/>
  <c r="I3186" i="1"/>
  <c r="K3186" i="1" s="1"/>
  <c r="S3185" i="1"/>
  <c r="O3185" i="1"/>
  <c r="P3185" i="1" s="1"/>
  <c r="R3185" i="1" s="1"/>
  <c r="L3185" i="1"/>
  <c r="K3185" i="1"/>
  <c r="J3185" i="1"/>
  <c r="I3185" i="1"/>
  <c r="M3185" i="1" s="1"/>
  <c r="S3184" i="1"/>
  <c r="R3184" i="1"/>
  <c r="O3184" i="1"/>
  <c r="P3184" i="1" s="1"/>
  <c r="N3184" i="1"/>
  <c r="Q3184" i="1" s="1"/>
  <c r="L3184" i="1"/>
  <c r="K3184" i="1"/>
  <c r="J3184" i="1"/>
  <c r="I3184" i="1"/>
  <c r="M3184" i="1" s="1"/>
  <c r="S3183" i="1"/>
  <c r="L3183" i="1"/>
  <c r="O3183" i="1" s="1"/>
  <c r="P3183" i="1" s="1"/>
  <c r="R3183" i="1" s="1"/>
  <c r="J3183" i="1"/>
  <c r="I3183" i="1"/>
  <c r="S3182" i="1"/>
  <c r="P3182" i="1"/>
  <c r="R3182" i="1" s="1"/>
  <c r="L3182" i="1"/>
  <c r="O3182" i="1" s="1"/>
  <c r="J3182" i="1"/>
  <c r="I3182" i="1"/>
  <c r="K3182" i="1" s="1"/>
  <c r="N3182" i="1" s="1"/>
  <c r="Q3182" i="1" s="1"/>
  <c r="S3181" i="1"/>
  <c r="O3181" i="1"/>
  <c r="P3181" i="1" s="1"/>
  <c r="R3181" i="1" s="1"/>
  <c r="L3181" i="1"/>
  <c r="K3181" i="1"/>
  <c r="N3181" i="1" s="1"/>
  <c r="Q3181" i="1" s="1"/>
  <c r="J3181" i="1"/>
  <c r="I3181" i="1"/>
  <c r="M3181" i="1" s="1"/>
  <c r="S3180" i="1"/>
  <c r="R3180" i="1"/>
  <c r="O3180" i="1"/>
  <c r="P3180" i="1" s="1"/>
  <c r="N3180" i="1"/>
  <c r="Q3180" i="1" s="1"/>
  <c r="L3180" i="1"/>
  <c r="K3180" i="1"/>
  <c r="J3180" i="1"/>
  <c r="I3180" i="1"/>
  <c r="M3180" i="1" s="1"/>
  <c r="S3179" i="1"/>
  <c r="L3179" i="1"/>
  <c r="O3179" i="1" s="1"/>
  <c r="P3179" i="1" s="1"/>
  <c r="R3179" i="1" s="1"/>
  <c r="J3179" i="1"/>
  <c r="I3179" i="1"/>
  <c r="K3179" i="1" s="1"/>
  <c r="N3179" i="1" s="1"/>
  <c r="Q3179" i="1" s="1"/>
  <c r="S3178" i="1"/>
  <c r="L3178" i="1"/>
  <c r="O3178" i="1" s="1"/>
  <c r="P3178" i="1" s="1"/>
  <c r="R3178" i="1" s="1"/>
  <c r="J3178" i="1"/>
  <c r="I3178" i="1"/>
  <c r="K3178" i="1" s="1"/>
  <c r="N3178" i="1" s="1"/>
  <c r="Q3178" i="1" s="1"/>
  <c r="S3177" i="1"/>
  <c r="O3177" i="1"/>
  <c r="P3177" i="1" s="1"/>
  <c r="R3177" i="1" s="1"/>
  <c r="L3177" i="1"/>
  <c r="K3177" i="1"/>
  <c r="N3177" i="1" s="1"/>
  <c r="Q3177" i="1" s="1"/>
  <c r="J3177" i="1"/>
  <c r="I3177" i="1"/>
  <c r="M3177" i="1" s="1"/>
  <c r="S3176" i="1"/>
  <c r="R3176" i="1"/>
  <c r="O3176" i="1"/>
  <c r="P3176" i="1" s="1"/>
  <c r="N3176" i="1"/>
  <c r="Q3176" i="1" s="1"/>
  <c r="L3176" i="1"/>
  <c r="K3176" i="1"/>
  <c r="J3176" i="1"/>
  <c r="I3176" i="1"/>
  <c r="M3176" i="1" s="1"/>
  <c r="S3175" i="1"/>
  <c r="L3175" i="1"/>
  <c r="O3175" i="1" s="1"/>
  <c r="P3175" i="1" s="1"/>
  <c r="R3175" i="1" s="1"/>
  <c r="J3175" i="1"/>
  <c r="I3175" i="1"/>
  <c r="K3175" i="1" s="1"/>
  <c r="N3175" i="1" s="1"/>
  <c r="Q3175" i="1" s="1"/>
  <c r="S3174" i="1"/>
  <c r="Q3174" i="1"/>
  <c r="P3174" i="1"/>
  <c r="R3174" i="1" s="1"/>
  <c r="L3174" i="1"/>
  <c r="O3174" i="1" s="1"/>
  <c r="J3174" i="1"/>
  <c r="I3174" i="1"/>
  <c r="K3174" i="1" s="1"/>
  <c r="N3174" i="1" s="1"/>
  <c r="S3173" i="1"/>
  <c r="O3173" i="1"/>
  <c r="P3173" i="1" s="1"/>
  <c r="R3173" i="1" s="1"/>
  <c r="L3173" i="1"/>
  <c r="K3173" i="1"/>
  <c r="N3173" i="1" s="1"/>
  <c r="Q3173" i="1" s="1"/>
  <c r="J3173" i="1"/>
  <c r="I3173" i="1"/>
  <c r="M3173" i="1" s="1"/>
  <c r="S3172" i="1"/>
  <c r="R3172" i="1"/>
  <c r="O3172" i="1"/>
  <c r="P3172" i="1" s="1"/>
  <c r="N3172" i="1"/>
  <c r="Q3172" i="1" s="1"/>
  <c r="L3172" i="1"/>
  <c r="K3172" i="1"/>
  <c r="J3172" i="1"/>
  <c r="I3172" i="1"/>
  <c r="M3172" i="1" s="1"/>
  <c r="S3171" i="1"/>
  <c r="L3171" i="1"/>
  <c r="O3171" i="1" s="1"/>
  <c r="P3171" i="1" s="1"/>
  <c r="R3171" i="1" s="1"/>
  <c r="J3171" i="1"/>
  <c r="I3171" i="1"/>
  <c r="S3170" i="1"/>
  <c r="Q3170" i="1"/>
  <c r="M3170" i="1"/>
  <c r="L3170" i="1"/>
  <c r="O3170" i="1" s="1"/>
  <c r="P3170" i="1" s="1"/>
  <c r="R3170" i="1" s="1"/>
  <c r="J3170" i="1"/>
  <c r="I3170" i="1"/>
  <c r="K3170" i="1" s="1"/>
  <c r="N3170" i="1" s="1"/>
  <c r="S3169" i="1"/>
  <c r="P3169" i="1"/>
  <c r="R3169" i="1" s="1"/>
  <c r="O3169" i="1"/>
  <c r="L3169" i="1"/>
  <c r="K3169" i="1"/>
  <c r="N3169" i="1" s="1"/>
  <c r="Q3169" i="1" s="1"/>
  <c r="J3169" i="1"/>
  <c r="I3169" i="1"/>
  <c r="M3169" i="1" s="1"/>
  <c r="S3168" i="1"/>
  <c r="R3168" i="1"/>
  <c r="O3168" i="1"/>
  <c r="P3168" i="1" s="1"/>
  <c r="L3168" i="1"/>
  <c r="K3168" i="1"/>
  <c r="N3168" i="1" s="1"/>
  <c r="Q3168" i="1" s="1"/>
  <c r="J3168" i="1"/>
  <c r="I3168" i="1"/>
  <c r="M3168" i="1" s="1"/>
  <c r="S3167" i="1"/>
  <c r="L3167" i="1"/>
  <c r="O3167" i="1" s="1"/>
  <c r="P3167" i="1" s="1"/>
  <c r="R3167" i="1" s="1"/>
  <c r="J3167" i="1"/>
  <c r="I3167" i="1"/>
  <c r="K3167" i="1" s="1"/>
  <c r="N3167" i="1" s="1"/>
  <c r="Q3167" i="1" s="1"/>
  <c r="S3166" i="1"/>
  <c r="Q3166" i="1"/>
  <c r="P3166" i="1"/>
  <c r="R3166" i="1" s="1"/>
  <c r="L3166" i="1"/>
  <c r="O3166" i="1" s="1"/>
  <c r="J3166" i="1"/>
  <c r="I3166" i="1"/>
  <c r="K3166" i="1" s="1"/>
  <c r="N3166" i="1" s="1"/>
  <c r="S3165" i="1"/>
  <c r="O3165" i="1"/>
  <c r="P3165" i="1" s="1"/>
  <c r="R3165" i="1" s="1"/>
  <c r="L3165" i="1"/>
  <c r="K3165" i="1"/>
  <c r="N3165" i="1" s="1"/>
  <c r="Q3165" i="1" s="1"/>
  <c r="J3165" i="1"/>
  <c r="I3165" i="1"/>
  <c r="M3165" i="1" s="1"/>
  <c r="S3164" i="1"/>
  <c r="R3164" i="1"/>
  <c r="O3164" i="1"/>
  <c r="P3164" i="1" s="1"/>
  <c r="N3164" i="1"/>
  <c r="Q3164" i="1" s="1"/>
  <c r="L3164" i="1"/>
  <c r="K3164" i="1"/>
  <c r="J3164" i="1"/>
  <c r="I3164" i="1"/>
  <c r="M3164" i="1" s="1"/>
  <c r="S3163" i="1"/>
  <c r="L3163" i="1"/>
  <c r="O3163" i="1" s="1"/>
  <c r="P3163" i="1" s="1"/>
  <c r="R3163" i="1" s="1"/>
  <c r="J3163" i="1"/>
  <c r="I3163" i="1"/>
  <c r="S3162" i="1"/>
  <c r="Q3162" i="1"/>
  <c r="M3162" i="1"/>
  <c r="L3162" i="1"/>
  <c r="O3162" i="1" s="1"/>
  <c r="P3162" i="1" s="1"/>
  <c r="R3162" i="1" s="1"/>
  <c r="J3162" i="1"/>
  <c r="I3162" i="1"/>
  <c r="K3162" i="1" s="1"/>
  <c r="N3162" i="1" s="1"/>
  <c r="S3161" i="1"/>
  <c r="P3161" i="1"/>
  <c r="R3161" i="1" s="1"/>
  <c r="O3161" i="1"/>
  <c r="L3161" i="1"/>
  <c r="K3161" i="1"/>
  <c r="N3161" i="1" s="1"/>
  <c r="Q3161" i="1" s="1"/>
  <c r="J3161" i="1"/>
  <c r="I3161" i="1"/>
  <c r="M3161" i="1" s="1"/>
  <c r="S3160" i="1"/>
  <c r="R3160" i="1"/>
  <c r="O3160" i="1"/>
  <c r="P3160" i="1" s="1"/>
  <c r="L3160" i="1"/>
  <c r="K3160" i="1"/>
  <c r="N3160" i="1" s="1"/>
  <c r="Q3160" i="1" s="1"/>
  <c r="J3160" i="1"/>
  <c r="I3160" i="1"/>
  <c r="M3160" i="1" s="1"/>
  <c r="S3159" i="1"/>
  <c r="R3159" i="1"/>
  <c r="L3159" i="1"/>
  <c r="O3159" i="1" s="1"/>
  <c r="P3159" i="1" s="1"/>
  <c r="J3159" i="1"/>
  <c r="I3159" i="1"/>
  <c r="K3159" i="1" s="1"/>
  <c r="N3159" i="1" s="1"/>
  <c r="Q3159" i="1" s="1"/>
  <c r="S3158" i="1"/>
  <c r="Q3158" i="1"/>
  <c r="P3158" i="1"/>
  <c r="R3158" i="1" s="1"/>
  <c r="L3158" i="1"/>
  <c r="O3158" i="1" s="1"/>
  <c r="J3158" i="1"/>
  <c r="I3158" i="1"/>
  <c r="K3158" i="1" s="1"/>
  <c r="N3158" i="1" s="1"/>
  <c r="S3157" i="1"/>
  <c r="O3157" i="1"/>
  <c r="P3157" i="1" s="1"/>
  <c r="R3157" i="1" s="1"/>
  <c r="L3157" i="1"/>
  <c r="K3157" i="1"/>
  <c r="N3157" i="1" s="1"/>
  <c r="Q3157" i="1" s="1"/>
  <c r="J3157" i="1"/>
  <c r="I3157" i="1"/>
  <c r="M3157" i="1" s="1"/>
  <c r="S3156" i="1"/>
  <c r="R3156" i="1"/>
  <c r="O3156" i="1"/>
  <c r="P3156" i="1" s="1"/>
  <c r="N3156" i="1"/>
  <c r="Q3156" i="1" s="1"/>
  <c r="L3156" i="1"/>
  <c r="K3156" i="1"/>
  <c r="J3156" i="1"/>
  <c r="I3156" i="1"/>
  <c r="M3156" i="1" s="1"/>
  <c r="S3155" i="1"/>
  <c r="L3155" i="1"/>
  <c r="O3155" i="1" s="1"/>
  <c r="P3155" i="1" s="1"/>
  <c r="R3155" i="1" s="1"/>
  <c r="J3155" i="1"/>
  <c r="I3155" i="1"/>
  <c r="S3154" i="1"/>
  <c r="Q3154" i="1"/>
  <c r="M3154" i="1"/>
  <c r="L3154" i="1"/>
  <c r="O3154" i="1" s="1"/>
  <c r="P3154" i="1" s="1"/>
  <c r="R3154" i="1" s="1"/>
  <c r="J3154" i="1"/>
  <c r="I3154" i="1"/>
  <c r="K3154" i="1" s="1"/>
  <c r="N3154" i="1" s="1"/>
  <c r="S3153" i="1"/>
  <c r="P3153" i="1"/>
  <c r="R3153" i="1" s="1"/>
  <c r="O3153" i="1"/>
  <c r="L3153" i="1"/>
  <c r="K3153" i="1"/>
  <c r="N3153" i="1" s="1"/>
  <c r="Q3153" i="1" s="1"/>
  <c r="J3153" i="1"/>
  <c r="I3153" i="1"/>
  <c r="M3153" i="1" s="1"/>
  <c r="S3152" i="1"/>
  <c r="R3152" i="1"/>
  <c r="O3152" i="1"/>
  <c r="P3152" i="1" s="1"/>
  <c r="L3152" i="1"/>
  <c r="K3152" i="1"/>
  <c r="N3152" i="1" s="1"/>
  <c r="Q3152" i="1" s="1"/>
  <c r="J3152" i="1"/>
  <c r="I3152" i="1"/>
  <c r="M3152" i="1" s="1"/>
  <c r="S3151" i="1"/>
  <c r="L3151" i="1"/>
  <c r="O3151" i="1" s="1"/>
  <c r="P3151" i="1" s="1"/>
  <c r="R3151" i="1" s="1"/>
  <c r="J3151" i="1"/>
  <c r="I3151" i="1"/>
  <c r="K3151" i="1" s="1"/>
  <c r="N3151" i="1" s="1"/>
  <c r="Q3151" i="1" s="1"/>
  <c r="S3150" i="1"/>
  <c r="Q3150" i="1"/>
  <c r="P3150" i="1"/>
  <c r="R3150" i="1" s="1"/>
  <c r="L3150" i="1"/>
  <c r="O3150" i="1" s="1"/>
  <c r="J3150" i="1"/>
  <c r="I3150" i="1"/>
  <c r="K3150" i="1" s="1"/>
  <c r="N3150" i="1" s="1"/>
  <c r="S3149" i="1"/>
  <c r="O3149" i="1"/>
  <c r="P3149" i="1" s="1"/>
  <c r="R3149" i="1" s="1"/>
  <c r="L3149" i="1"/>
  <c r="K3149" i="1"/>
  <c r="N3149" i="1" s="1"/>
  <c r="Q3149" i="1" s="1"/>
  <c r="J3149" i="1"/>
  <c r="I3149" i="1"/>
  <c r="M3149" i="1" s="1"/>
  <c r="S3148" i="1"/>
  <c r="R3148" i="1"/>
  <c r="O3148" i="1"/>
  <c r="P3148" i="1" s="1"/>
  <c r="L3148" i="1"/>
  <c r="J3148" i="1"/>
  <c r="I3148" i="1"/>
  <c r="S3147" i="1"/>
  <c r="P3147" i="1"/>
  <c r="R3147" i="1" s="1"/>
  <c r="L3147" i="1"/>
  <c r="O3147" i="1" s="1"/>
  <c r="J3147" i="1"/>
  <c r="I3147" i="1"/>
  <c r="K3147" i="1" s="1"/>
  <c r="N3147" i="1" s="1"/>
  <c r="Q3147" i="1" s="1"/>
  <c r="S3146" i="1"/>
  <c r="P3146" i="1"/>
  <c r="R3146" i="1" s="1"/>
  <c r="O3146" i="1"/>
  <c r="L3146" i="1"/>
  <c r="K3146" i="1"/>
  <c r="N3146" i="1" s="1"/>
  <c r="Q3146" i="1" s="1"/>
  <c r="J3146" i="1"/>
  <c r="I3146" i="1"/>
  <c r="M3146" i="1" s="1"/>
  <c r="S3145" i="1"/>
  <c r="L3145" i="1"/>
  <c r="O3145" i="1" s="1"/>
  <c r="P3145" i="1" s="1"/>
  <c r="R3145" i="1" s="1"/>
  <c r="K3145" i="1"/>
  <c r="N3145" i="1" s="1"/>
  <c r="Q3145" i="1" s="1"/>
  <c r="J3145" i="1"/>
  <c r="I3145" i="1"/>
  <c r="M3145" i="1" s="1"/>
  <c r="S3144" i="1"/>
  <c r="R3144" i="1"/>
  <c r="O3144" i="1"/>
  <c r="P3144" i="1" s="1"/>
  <c r="L3144" i="1"/>
  <c r="J3144" i="1"/>
  <c r="I3144" i="1"/>
  <c r="M3144" i="1" s="1"/>
  <c r="S3143" i="1"/>
  <c r="Q3143" i="1"/>
  <c r="L3143" i="1"/>
  <c r="O3143" i="1" s="1"/>
  <c r="P3143" i="1" s="1"/>
  <c r="R3143" i="1" s="1"/>
  <c r="J3143" i="1"/>
  <c r="I3143" i="1"/>
  <c r="K3143" i="1" s="1"/>
  <c r="N3143" i="1" s="1"/>
  <c r="S3142" i="1"/>
  <c r="Q3142" i="1"/>
  <c r="L3142" i="1"/>
  <c r="O3142" i="1" s="1"/>
  <c r="P3142" i="1" s="1"/>
  <c r="R3142" i="1" s="1"/>
  <c r="K3142" i="1"/>
  <c r="N3142" i="1" s="1"/>
  <c r="J3142" i="1"/>
  <c r="I3142" i="1"/>
  <c r="M3142" i="1" s="1"/>
  <c r="S3141" i="1"/>
  <c r="N3141" i="1"/>
  <c r="Q3141" i="1" s="1"/>
  <c r="L3141" i="1"/>
  <c r="O3141" i="1" s="1"/>
  <c r="P3141" i="1" s="1"/>
  <c r="R3141" i="1" s="1"/>
  <c r="K3141" i="1"/>
  <c r="J3141" i="1"/>
  <c r="I3141" i="1"/>
  <c r="M3141" i="1" s="1"/>
  <c r="S3140" i="1"/>
  <c r="P3140" i="1"/>
  <c r="R3140" i="1" s="1"/>
  <c r="L3140" i="1"/>
  <c r="O3140" i="1" s="1"/>
  <c r="K3140" i="1"/>
  <c r="N3140" i="1" s="1"/>
  <c r="Q3140" i="1" s="1"/>
  <c r="J3140" i="1"/>
  <c r="I3140" i="1"/>
  <c r="M3140" i="1" s="1"/>
  <c r="S3139" i="1"/>
  <c r="O3139" i="1"/>
  <c r="P3139" i="1" s="1"/>
  <c r="R3139" i="1" s="1"/>
  <c r="L3139" i="1"/>
  <c r="K3139" i="1"/>
  <c r="N3139" i="1" s="1"/>
  <c r="Q3139" i="1" s="1"/>
  <c r="J3139" i="1"/>
  <c r="I3139" i="1"/>
  <c r="M3139" i="1" s="1"/>
  <c r="S3138" i="1"/>
  <c r="R3138" i="1"/>
  <c r="L3138" i="1"/>
  <c r="O3138" i="1" s="1"/>
  <c r="P3138" i="1" s="1"/>
  <c r="J3138" i="1"/>
  <c r="I3138" i="1"/>
  <c r="M3138" i="1" s="1"/>
  <c r="S3137" i="1"/>
  <c r="M3137" i="1"/>
  <c r="L3137" i="1"/>
  <c r="O3137" i="1" s="1"/>
  <c r="P3137" i="1" s="1"/>
  <c r="R3137" i="1" s="1"/>
  <c r="J3137" i="1"/>
  <c r="I3137" i="1"/>
  <c r="K3137" i="1" s="1"/>
  <c r="N3137" i="1" s="1"/>
  <c r="Q3137" i="1" s="1"/>
  <c r="S3136" i="1"/>
  <c r="P3136" i="1"/>
  <c r="R3136" i="1" s="1"/>
  <c r="L3136" i="1"/>
  <c r="O3136" i="1" s="1"/>
  <c r="K3136" i="1"/>
  <c r="N3136" i="1" s="1"/>
  <c r="Q3136" i="1" s="1"/>
  <c r="J3136" i="1"/>
  <c r="I3136" i="1"/>
  <c r="M3136" i="1" s="1"/>
  <c r="S3135" i="1"/>
  <c r="O3135" i="1"/>
  <c r="P3135" i="1" s="1"/>
  <c r="R3135" i="1" s="1"/>
  <c r="L3135" i="1"/>
  <c r="K3135" i="1"/>
  <c r="N3135" i="1" s="1"/>
  <c r="Q3135" i="1" s="1"/>
  <c r="J3135" i="1"/>
  <c r="I3135" i="1"/>
  <c r="M3135" i="1" s="1"/>
  <c r="S3134" i="1"/>
  <c r="R3134" i="1"/>
  <c r="L3134" i="1"/>
  <c r="O3134" i="1" s="1"/>
  <c r="P3134" i="1" s="1"/>
  <c r="J3134" i="1"/>
  <c r="I3134" i="1"/>
  <c r="M3134" i="1" s="1"/>
  <c r="S3133" i="1"/>
  <c r="M3133" i="1"/>
  <c r="L3133" i="1"/>
  <c r="O3133" i="1" s="1"/>
  <c r="P3133" i="1" s="1"/>
  <c r="R3133" i="1" s="1"/>
  <c r="J3133" i="1"/>
  <c r="I3133" i="1"/>
  <c r="K3133" i="1" s="1"/>
  <c r="N3133" i="1" s="1"/>
  <c r="Q3133" i="1" s="1"/>
  <c r="S3132" i="1"/>
  <c r="P3132" i="1"/>
  <c r="R3132" i="1" s="1"/>
  <c r="L3132" i="1"/>
  <c r="O3132" i="1" s="1"/>
  <c r="K3132" i="1"/>
  <c r="N3132" i="1" s="1"/>
  <c r="Q3132" i="1" s="1"/>
  <c r="J3132" i="1"/>
  <c r="I3132" i="1"/>
  <c r="M3132" i="1" s="1"/>
  <c r="S3131" i="1"/>
  <c r="O3131" i="1"/>
  <c r="P3131" i="1" s="1"/>
  <c r="R3131" i="1" s="1"/>
  <c r="L3131" i="1"/>
  <c r="K3131" i="1"/>
  <c r="N3131" i="1" s="1"/>
  <c r="Q3131" i="1" s="1"/>
  <c r="J3131" i="1"/>
  <c r="I3131" i="1"/>
  <c r="M3131" i="1" s="1"/>
  <c r="S3130" i="1"/>
  <c r="R3130" i="1"/>
  <c r="L3130" i="1"/>
  <c r="O3130" i="1" s="1"/>
  <c r="P3130" i="1" s="1"/>
  <c r="J3130" i="1"/>
  <c r="I3130" i="1"/>
  <c r="M3130" i="1" s="1"/>
  <c r="S3129" i="1"/>
  <c r="M3129" i="1"/>
  <c r="L3129" i="1"/>
  <c r="O3129" i="1" s="1"/>
  <c r="P3129" i="1" s="1"/>
  <c r="R3129" i="1" s="1"/>
  <c r="J3129" i="1"/>
  <c r="I3129" i="1"/>
  <c r="K3129" i="1" s="1"/>
  <c r="N3129" i="1" s="1"/>
  <c r="Q3129" i="1" s="1"/>
  <c r="S3128" i="1"/>
  <c r="P3128" i="1"/>
  <c r="R3128" i="1" s="1"/>
  <c r="L3128" i="1"/>
  <c r="O3128" i="1" s="1"/>
  <c r="K3128" i="1"/>
  <c r="N3128" i="1" s="1"/>
  <c r="Q3128" i="1" s="1"/>
  <c r="J3128" i="1"/>
  <c r="I3128" i="1"/>
  <c r="M3128" i="1" s="1"/>
  <c r="S3127" i="1"/>
  <c r="O3127" i="1"/>
  <c r="P3127" i="1" s="1"/>
  <c r="R3127" i="1" s="1"/>
  <c r="L3127" i="1"/>
  <c r="K3127" i="1"/>
  <c r="N3127" i="1" s="1"/>
  <c r="Q3127" i="1" s="1"/>
  <c r="J3127" i="1"/>
  <c r="I3127" i="1"/>
  <c r="M3127" i="1" s="1"/>
  <c r="S3126" i="1"/>
  <c r="R3126" i="1"/>
  <c r="L3126" i="1"/>
  <c r="O3126" i="1" s="1"/>
  <c r="P3126" i="1" s="1"/>
  <c r="J3126" i="1"/>
  <c r="I3126" i="1"/>
  <c r="M3126" i="1" s="1"/>
  <c r="S3125" i="1"/>
  <c r="M3125" i="1"/>
  <c r="L3125" i="1"/>
  <c r="O3125" i="1" s="1"/>
  <c r="P3125" i="1" s="1"/>
  <c r="R3125" i="1" s="1"/>
  <c r="J3125" i="1"/>
  <c r="I3125" i="1"/>
  <c r="K3125" i="1" s="1"/>
  <c r="N3125" i="1" s="1"/>
  <c r="Q3125" i="1" s="1"/>
  <c r="S3124" i="1"/>
  <c r="P3124" i="1"/>
  <c r="R3124" i="1" s="1"/>
  <c r="L3124" i="1"/>
  <c r="O3124" i="1" s="1"/>
  <c r="K3124" i="1"/>
  <c r="N3124" i="1" s="1"/>
  <c r="Q3124" i="1" s="1"/>
  <c r="J3124" i="1"/>
  <c r="I3124" i="1"/>
  <c r="M3124" i="1" s="1"/>
  <c r="S3123" i="1"/>
  <c r="O3123" i="1"/>
  <c r="P3123" i="1" s="1"/>
  <c r="R3123" i="1" s="1"/>
  <c r="L3123" i="1"/>
  <c r="K3123" i="1"/>
  <c r="N3123" i="1" s="1"/>
  <c r="Q3123" i="1" s="1"/>
  <c r="J3123" i="1"/>
  <c r="I3123" i="1"/>
  <c r="M3123" i="1" s="1"/>
  <c r="S3122" i="1"/>
  <c r="R3122" i="1"/>
  <c r="L3122" i="1"/>
  <c r="O3122" i="1" s="1"/>
  <c r="P3122" i="1" s="1"/>
  <c r="J3122" i="1"/>
  <c r="I3122" i="1"/>
  <c r="M3122" i="1" s="1"/>
  <c r="S3121" i="1"/>
  <c r="M3121" i="1"/>
  <c r="L3121" i="1"/>
  <c r="O3121" i="1" s="1"/>
  <c r="P3121" i="1" s="1"/>
  <c r="R3121" i="1" s="1"/>
  <c r="J3121" i="1"/>
  <c r="I3121" i="1"/>
  <c r="K3121" i="1" s="1"/>
  <c r="N3121" i="1" s="1"/>
  <c r="Q3121" i="1" s="1"/>
  <c r="S3120" i="1"/>
  <c r="P3120" i="1"/>
  <c r="R3120" i="1" s="1"/>
  <c r="L3120" i="1"/>
  <c r="O3120" i="1" s="1"/>
  <c r="K3120" i="1"/>
  <c r="N3120" i="1" s="1"/>
  <c r="Q3120" i="1" s="1"/>
  <c r="J3120" i="1"/>
  <c r="I3120" i="1"/>
  <c r="M3120" i="1" s="1"/>
  <c r="S3119" i="1"/>
  <c r="O3119" i="1"/>
  <c r="P3119" i="1" s="1"/>
  <c r="R3119" i="1" s="1"/>
  <c r="L3119" i="1"/>
  <c r="K3119" i="1"/>
  <c r="N3119" i="1" s="1"/>
  <c r="Q3119" i="1" s="1"/>
  <c r="J3119" i="1"/>
  <c r="I3119" i="1"/>
  <c r="M3119" i="1" s="1"/>
  <c r="S3118" i="1"/>
  <c r="R3118" i="1"/>
  <c r="L3118" i="1"/>
  <c r="O3118" i="1" s="1"/>
  <c r="P3118" i="1" s="1"/>
  <c r="J3118" i="1"/>
  <c r="I3118" i="1"/>
  <c r="M3118" i="1" s="1"/>
  <c r="S3117" i="1"/>
  <c r="M3117" i="1"/>
  <c r="L3117" i="1"/>
  <c r="O3117" i="1" s="1"/>
  <c r="P3117" i="1" s="1"/>
  <c r="R3117" i="1" s="1"/>
  <c r="J3117" i="1"/>
  <c r="I3117" i="1"/>
  <c r="K3117" i="1" s="1"/>
  <c r="N3117" i="1" s="1"/>
  <c r="Q3117" i="1" s="1"/>
  <c r="S3116" i="1"/>
  <c r="P3116" i="1"/>
  <c r="R3116" i="1" s="1"/>
  <c r="L3116" i="1"/>
  <c r="O3116" i="1" s="1"/>
  <c r="K3116" i="1"/>
  <c r="N3116" i="1" s="1"/>
  <c r="Q3116" i="1" s="1"/>
  <c r="J3116" i="1"/>
  <c r="I3116" i="1"/>
  <c r="M3116" i="1" s="1"/>
  <c r="S3115" i="1"/>
  <c r="O3115" i="1"/>
  <c r="P3115" i="1" s="1"/>
  <c r="R3115" i="1" s="1"/>
  <c r="L3115" i="1"/>
  <c r="K3115" i="1"/>
  <c r="N3115" i="1" s="1"/>
  <c r="Q3115" i="1" s="1"/>
  <c r="J3115" i="1"/>
  <c r="I3115" i="1"/>
  <c r="M3115" i="1" s="1"/>
  <c r="S3114" i="1"/>
  <c r="R3114" i="1"/>
  <c r="L3114" i="1"/>
  <c r="O3114" i="1" s="1"/>
  <c r="P3114" i="1" s="1"/>
  <c r="J3114" i="1"/>
  <c r="I3114" i="1"/>
  <c r="M3114" i="1" s="1"/>
  <c r="S3113" i="1"/>
  <c r="M3113" i="1"/>
  <c r="L3113" i="1"/>
  <c r="O3113" i="1" s="1"/>
  <c r="P3113" i="1" s="1"/>
  <c r="R3113" i="1" s="1"/>
  <c r="J3113" i="1"/>
  <c r="I3113" i="1"/>
  <c r="K3113" i="1" s="1"/>
  <c r="N3113" i="1" s="1"/>
  <c r="Q3113" i="1" s="1"/>
  <c r="S3112" i="1"/>
  <c r="P3112" i="1"/>
  <c r="R3112" i="1" s="1"/>
  <c r="L3112" i="1"/>
  <c r="O3112" i="1" s="1"/>
  <c r="K3112" i="1"/>
  <c r="N3112" i="1" s="1"/>
  <c r="Q3112" i="1" s="1"/>
  <c r="J3112" i="1"/>
  <c r="I3112" i="1"/>
  <c r="M3112" i="1" s="1"/>
  <c r="S3111" i="1"/>
  <c r="O3111" i="1"/>
  <c r="P3111" i="1" s="1"/>
  <c r="R3111" i="1" s="1"/>
  <c r="L3111" i="1"/>
  <c r="K3111" i="1"/>
  <c r="N3111" i="1" s="1"/>
  <c r="Q3111" i="1" s="1"/>
  <c r="J3111" i="1"/>
  <c r="I3111" i="1"/>
  <c r="M3111" i="1" s="1"/>
  <c r="S3110" i="1"/>
  <c r="R3110" i="1"/>
  <c r="L3110" i="1"/>
  <c r="O3110" i="1" s="1"/>
  <c r="P3110" i="1" s="1"/>
  <c r="J3110" i="1"/>
  <c r="I3110" i="1"/>
  <c r="M3110" i="1" s="1"/>
  <c r="S3109" i="1"/>
  <c r="M3109" i="1"/>
  <c r="L3109" i="1"/>
  <c r="O3109" i="1" s="1"/>
  <c r="P3109" i="1" s="1"/>
  <c r="R3109" i="1" s="1"/>
  <c r="J3109" i="1"/>
  <c r="I3109" i="1"/>
  <c r="K3109" i="1" s="1"/>
  <c r="N3109" i="1" s="1"/>
  <c r="Q3109" i="1" s="1"/>
  <c r="S3108" i="1"/>
  <c r="P3108" i="1"/>
  <c r="R3108" i="1" s="1"/>
  <c r="L3108" i="1"/>
  <c r="O3108" i="1" s="1"/>
  <c r="K3108" i="1"/>
  <c r="N3108" i="1" s="1"/>
  <c r="Q3108" i="1" s="1"/>
  <c r="J3108" i="1"/>
  <c r="I3108" i="1"/>
  <c r="M3108" i="1" s="1"/>
  <c r="S3107" i="1"/>
  <c r="O3107" i="1"/>
  <c r="P3107" i="1" s="1"/>
  <c r="R3107" i="1" s="1"/>
  <c r="L3107" i="1"/>
  <c r="K3107" i="1"/>
  <c r="N3107" i="1" s="1"/>
  <c r="Q3107" i="1" s="1"/>
  <c r="J3107" i="1"/>
  <c r="I3107" i="1"/>
  <c r="M3107" i="1" s="1"/>
  <c r="S3106" i="1"/>
  <c r="R3106" i="1"/>
  <c r="L3106" i="1"/>
  <c r="O3106" i="1" s="1"/>
  <c r="P3106" i="1" s="1"/>
  <c r="J3106" i="1"/>
  <c r="I3106" i="1"/>
  <c r="M3106" i="1" s="1"/>
  <c r="S3105" i="1"/>
  <c r="M3105" i="1"/>
  <c r="L3105" i="1"/>
  <c r="O3105" i="1" s="1"/>
  <c r="P3105" i="1" s="1"/>
  <c r="R3105" i="1" s="1"/>
  <c r="J3105" i="1"/>
  <c r="I3105" i="1"/>
  <c r="K3105" i="1" s="1"/>
  <c r="N3105" i="1" s="1"/>
  <c r="Q3105" i="1" s="1"/>
  <c r="S3104" i="1"/>
  <c r="P3104" i="1"/>
  <c r="R3104" i="1" s="1"/>
  <c r="L3104" i="1"/>
  <c r="O3104" i="1" s="1"/>
  <c r="K3104" i="1"/>
  <c r="N3104" i="1" s="1"/>
  <c r="Q3104" i="1" s="1"/>
  <c r="J3104" i="1"/>
  <c r="I3104" i="1"/>
  <c r="M3104" i="1" s="1"/>
  <c r="S3103" i="1"/>
  <c r="O3103" i="1"/>
  <c r="P3103" i="1" s="1"/>
  <c r="R3103" i="1" s="1"/>
  <c r="L3103" i="1"/>
  <c r="K3103" i="1"/>
  <c r="N3103" i="1" s="1"/>
  <c r="Q3103" i="1" s="1"/>
  <c r="J3103" i="1"/>
  <c r="I3103" i="1"/>
  <c r="M3103" i="1" s="1"/>
  <c r="S3102" i="1"/>
  <c r="R3102" i="1"/>
  <c r="L3102" i="1"/>
  <c r="O3102" i="1" s="1"/>
  <c r="P3102" i="1" s="1"/>
  <c r="J3102" i="1"/>
  <c r="I3102" i="1"/>
  <c r="M3102" i="1" s="1"/>
  <c r="S3101" i="1"/>
  <c r="M3101" i="1"/>
  <c r="L3101" i="1"/>
  <c r="O3101" i="1" s="1"/>
  <c r="P3101" i="1" s="1"/>
  <c r="R3101" i="1" s="1"/>
  <c r="J3101" i="1"/>
  <c r="I3101" i="1"/>
  <c r="K3101" i="1" s="1"/>
  <c r="N3101" i="1" s="1"/>
  <c r="Q3101" i="1" s="1"/>
  <c r="S3100" i="1"/>
  <c r="L3100" i="1"/>
  <c r="K3100" i="1"/>
  <c r="J3100" i="1"/>
  <c r="I3100" i="1"/>
  <c r="M3100" i="1" s="1"/>
  <c r="S3099" i="1"/>
  <c r="O3099" i="1"/>
  <c r="P3099" i="1" s="1"/>
  <c r="R3099" i="1" s="1"/>
  <c r="L3099" i="1"/>
  <c r="K3099" i="1"/>
  <c r="N3099" i="1" s="1"/>
  <c r="Q3099" i="1" s="1"/>
  <c r="J3099" i="1"/>
  <c r="I3099" i="1"/>
  <c r="M3099" i="1" s="1"/>
  <c r="S3098" i="1"/>
  <c r="R3098" i="1"/>
  <c r="L3098" i="1"/>
  <c r="O3098" i="1" s="1"/>
  <c r="P3098" i="1" s="1"/>
  <c r="J3098" i="1"/>
  <c r="I3098" i="1"/>
  <c r="M3098" i="1" s="1"/>
  <c r="S3097" i="1"/>
  <c r="M3097" i="1"/>
  <c r="L3097" i="1"/>
  <c r="O3097" i="1" s="1"/>
  <c r="P3097" i="1" s="1"/>
  <c r="R3097" i="1" s="1"/>
  <c r="J3097" i="1"/>
  <c r="I3097" i="1"/>
  <c r="K3097" i="1" s="1"/>
  <c r="S3096" i="1"/>
  <c r="L3096" i="1"/>
  <c r="K3096" i="1"/>
  <c r="J3096" i="1"/>
  <c r="I3096" i="1"/>
  <c r="M3096" i="1" s="1"/>
  <c r="S3095" i="1"/>
  <c r="O3095" i="1"/>
  <c r="P3095" i="1" s="1"/>
  <c r="R3095" i="1" s="1"/>
  <c r="L3095" i="1"/>
  <c r="K3095" i="1"/>
  <c r="N3095" i="1" s="1"/>
  <c r="Q3095" i="1" s="1"/>
  <c r="J3095" i="1"/>
  <c r="I3095" i="1"/>
  <c r="M3095" i="1" s="1"/>
  <c r="S3094" i="1"/>
  <c r="R3094" i="1"/>
  <c r="L3094" i="1"/>
  <c r="O3094" i="1" s="1"/>
  <c r="P3094" i="1" s="1"/>
  <c r="J3094" i="1"/>
  <c r="I3094" i="1"/>
  <c r="M3094" i="1" s="1"/>
  <c r="S3093" i="1"/>
  <c r="M3093" i="1"/>
  <c r="L3093" i="1"/>
  <c r="O3093" i="1" s="1"/>
  <c r="P3093" i="1" s="1"/>
  <c r="R3093" i="1" s="1"/>
  <c r="J3093" i="1"/>
  <c r="I3093" i="1"/>
  <c r="K3093" i="1" s="1"/>
  <c r="N3093" i="1" s="1"/>
  <c r="Q3093" i="1" s="1"/>
  <c r="S3092" i="1"/>
  <c r="P3092" i="1"/>
  <c r="R3092" i="1" s="1"/>
  <c r="L3092" i="1"/>
  <c r="O3092" i="1" s="1"/>
  <c r="K3092" i="1"/>
  <c r="N3092" i="1" s="1"/>
  <c r="Q3092" i="1" s="1"/>
  <c r="J3092" i="1"/>
  <c r="I3092" i="1"/>
  <c r="M3092" i="1" s="1"/>
  <c r="S3091" i="1"/>
  <c r="O3091" i="1"/>
  <c r="P3091" i="1" s="1"/>
  <c r="R3091" i="1" s="1"/>
  <c r="L3091" i="1"/>
  <c r="K3091" i="1"/>
  <c r="N3091" i="1" s="1"/>
  <c r="Q3091" i="1" s="1"/>
  <c r="J3091" i="1"/>
  <c r="I3091" i="1"/>
  <c r="M3091" i="1" s="1"/>
  <c r="S3090" i="1"/>
  <c r="R3090" i="1"/>
  <c r="L3090" i="1"/>
  <c r="O3090" i="1" s="1"/>
  <c r="P3090" i="1" s="1"/>
  <c r="J3090" i="1"/>
  <c r="I3090" i="1"/>
  <c r="M3090" i="1" s="1"/>
  <c r="S3089" i="1"/>
  <c r="M3089" i="1"/>
  <c r="L3089" i="1"/>
  <c r="O3089" i="1" s="1"/>
  <c r="P3089" i="1" s="1"/>
  <c r="R3089" i="1" s="1"/>
  <c r="J3089" i="1"/>
  <c r="I3089" i="1"/>
  <c r="K3089" i="1" s="1"/>
  <c r="N3089" i="1" s="1"/>
  <c r="Q3089" i="1" s="1"/>
  <c r="S3088" i="1"/>
  <c r="P3088" i="1"/>
  <c r="R3088" i="1" s="1"/>
  <c r="L3088" i="1"/>
  <c r="O3088" i="1" s="1"/>
  <c r="K3088" i="1"/>
  <c r="N3088" i="1" s="1"/>
  <c r="Q3088" i="1" s="1"/>
  <c r="J3088" i="1"/>
  <c r="I3088" i="1"/>
  <c r="M3088" i="1" s="1"/>
  <c r="S3087" i="1"/>
  <c r="O3087" i="1"/>
  <c r="P3087" i="1" s="1"/>
  <c r="R3087" i="1" s="1"/>
  <c r="L3087" i="1"/>
  <c r="K3087" i="1"/>
  <c r="N3087" i="1" s="1"/>
  <c r="Q3087" i="1" s="1"/>
  <c r="J3087" i="1"/>
  <c r="I3087" i="1"/>
  <c r="M3087" i="1" s="1"/>
  <c r="S3086" i="1"/>
  <c r="R3086" i="1"/>
  <c r="L3086" i="1"/>
  <c r="O3086" i="1" s="1"/>
  <c r="P3086" i="1" s="1"/>
  <c r="J3086" i="1"/>
  <c r="I3086" i="1"/>
  <c r="M3086" i="1" s="1"/>
  <c r="S3085" i="1"/>
  <c r="M3085" i="1"/>
  <c r="L3085" i="1"/>
  <c r="O3085" i="1" s="1"/>
  <c r="P3085" i="1" s="1"/>
  <c r="R3085" i="1" s="1"/>
  <c r="J3085" i="1"/>
  <c r="I3085" i="1"/>
  <c r="K3085" i="1" s="1"/>
  <c r="N3085" i="1" s="1"/>
  <c r="Q3085" i="1" s="1"/>
  <c r="S3084" i="1"/>
  <c r="P3084" i="1"/>
  <c r="R3084" i="1" s="1"/>
  <c r="L3084" i="1"/>
  <c r="O3084" i="1" s="1"/>
  <c r="K3084" i="1"/>
  <c r="N3084" i="1" s="1"/>
  <c r="Q3084" i="1" s="1"/>
  <c r="J3084" i="1"/>
  <c r="I3084" i="1"/>
  <c r="M3084" i="1" s="1"/>
  <c r="S3083" i="1"/>
  <c r="O3083" i="1"/>
  <c r="P3083" i="1" s="1"/>
  <c r="R3083" i="1" s="1"/>
  <c r="L3083" i="1"/>
  <c r="K3083" i="1"/>
  <c r="N3083" i="1" s="1"/>
  <c r="Q3083" i="1" s="1"/>
  <c r="J3083" i="1"/>
  <c r="I3083" i="1"/>
  <c r="M3083" i="1" s="1"/>
  <c r="S3082" i="1"/>
  <c r="R3082" i="1"/>
  <c r="L3082" i="1"/>
  <c r="O3082" i="1" s="1"/>
  <c r="P3082" i="1" s="1"/>
  <c r="J3082" i="1"/>
  <c r="I3082" i="1"/>
  <c r="M3082" i="1" s="1"/>
  <c r="S3081" i="1"/>
  <c r="M3081" i="1"/>
  <c r="L3081" i="1"/>
  <c r="O3081" i="1" s="1"/>
  <c r="P3081" i="1" s="1"/>
  <c r="R3081" i="1" s="1"/>
  <c r="J3081" i="1"/>
  <c r="I3081" i="1"/>
  <c r="K3081" i="1" s="1"/>
  <c r="N3081" i="1" s="1"/>
  <c r="Q3081" i="1" s="1"/>
  <c r="S3080" i="1"/>
  <c r="P3080" i="1"/>
  <c r="R3080" i="1" s="1"/>
  <c r="L3080" i="1"/>
  <c r="O3080" i="1" s="1"/>
  <c r="K3080" i="1"/>
  <c r="N3080" i="1" s="1"/>
  <c r="Q3080" i="1" s="1"/>
  <c r="J3080" i="1"/>
  <c r="I3080" i="1"/>
  <c r="M3080" i="1" s="1"/>
  <c r="S3079" i="1"/>
  <c r="O3079" i="1"/>
  <c r="P3079" i="1" s="1"/>
  <c r="R3079" i="1" s="1"/>
  <c r="L3079" i="1"/>
  <c r="K3079" i="1"/>
  <c r="N3079" i="1" s="1"/>
  <c r="Q3079" i="1" s="1"/>
  <c r="J3079" i="1"/>
  <c r="I3079" i="1"/>
  <c r="M3079" i="1" s="1"/>
  <c r="S3078" i="1"/>
  <c r="R3078" i="1"/>
  <c r="L3078" i="1"/>
  <c r="O3078" i="1" s="1"/>
  <c r="P3078" i="1" s="1"/>
  <c r="J3078" i="1"/>
  <c r="I3078" i="1"/>
  <c r="M3078" i="1" s="1"/>
  <c r="S3077" i="1"/>
  <c r="M3077" i="1"/>
  <c r="L3077" i="1"/>
  <c r="O3077" i="1" s="1"/>
  <c r="P3077" i="1" s="1"/>
  <c r="R3077" i="1" s="1"/>
  <c r="J3077" i="1"/>
  <c r="I3077" i="1"/>
  <c r="K3077" i="1" s="1"/>
  <c r="N3077" i="1" s="1"/>
  <c r="Q3077" i="1" s="1"/>
  <c r="S3076" i="1"/>
  <c r="P3076" i="1"/>
  <c r="R3076" i="1" s="1"/>
  <c r="L3076" i="1"/>
  <c r="O3076" i="1" s="1"/>
  <c r="K3076" i="1"/>
  <c r="N3076" i="1" s="1"/>
  <c r="Q3076" i="1" s="1"/>
  <c r="J3076" i="1"/>
  <c r="I3076" i="1"/>
  <c r="M3076" i="1" s="1"/>
  <c r="S3075" i="1"/>
  <c r="O3075" i="1"/>
  <c r="P3075" i="1" s="1"/>
  <c r="R3075" i="1" s="1"/>
  <c r="L3075" i="1"/>
  <c r="K3075" i="1"/>
  <c r="N3075" i="1" s="1"/>
  <c r="Q3075" i="1" s="1"/>
  <c r="J3075" i="1"/>
  <c r="I3075" i="1"/>
  <c r="M3075" i="1" s="1"/>
  <c r="S3074" i="1"/>
  <c r="R3074" i="1"/>
  <c r="L3074" i="1"/>
  <c r="O3074" i="1" s="1"/>
  <c r="P3074" i="1" s="1"/>
  <c r="J3074" i="1"/>
  <c r="I3074" i="1"/>
  <c r="M3074" i="1" s="1"/>
  <c r="S3073" i="1"/>
  <c r="M3073" i="1"/>
  <c r="L3073" i="1"/>
  <c r="O3073" i="1" s="1"/>
  <c r="P3073" i="1" s="1"/>
  <c r="R3073" i="1" s="1"/>
  <c r="J3073" i="1"/>
  <c r="I3073" i="1"/>
  <c r="K3073" i="1" s="1"/>
  <c r="N3073" i="1" s="1"/>
  <c r="Q3073" i="1" s="1"/>
  <c r="S3072" i="1"/>
  <c r="P3072" i="1"/>
  <c r="R3072" i="1" s="1"/>
  <c r="L3072" i="1"/>
  <c r="O3072" i="1" s="1"/>
  <c r="K3072" i="1"/>
  <c r="N3072" i="1" s="1"/>
  <c r="Q3072" i="1" s="1"/>
  <c r="J3072" i="1"/>
  <c r="I3072" i="1"/>
  <c r="M3072" i="1" s="1"/>
  <c r="S3071" i="1"/>
  <c r="O3071" i="1"/>
  <c r="P3071" i="1" s="1"/>
  <c r="R3071" i="1" s="1"/>
  <c r="L3071" i="1"/>
  <c r="K3071" i="1"/>
  <c r="N3071" i="1" s="1"/>
  <c r="Q3071" i="1" s="1"/>
  <c r="J3071" i="1"/>
  <c r="I3071" i="1"/>
  <c r="M3071" i="1" s="1"/>
  <c r="S3070" i="1"/>
  <c r="R3070" i="1"/>
  <c r="L3070" i="1"/>
  <c r="O3070" i="1" s="1"/>
  <c r="P3070" i="1" s="1"/>
  <c r="J3070" i="1"/>
  <c r="I3070" i="1"/>
  <c r="M3070" i="1" s="1"/>
  <c r="S3069" i="1"/>
  <c r="M3069" i="1"/>
  <c r="L3069" i="1"/>
  <c r="O3069" i="1" s="1"/>
  <c r="P3069" i="1" s="1"/>
  <c r="R3069" i="1" s="1"/>
  <c r="J3069" i="1"/>
  <c r="I3069" i="1"/>
  <c r="K3069" i="1" s="1"/>
  <c r="N3069" i="1" s="1"/>
  <c r="Q3069" i="1" s="1"/>
  <c r="S3068" i="1"/>
  <c r="P3068" i="1"/>
  <c r="R3068" i="1" s="1"/>
  <c r="L3068" i="1"/>
  <c r="O3068" i="1" s="1"/>
  <c r="K3068" i="1"/>
  <c r="N3068" i="1" s="1"/>
  <c r="Q3068" i="1" s="1"/>
  <c r="J3068" i="1"/>
  <c r="I3068" i="1"/>
  <c r="M3068" i="1" s="1"/>
  <c r="S3067" i="1"/>
  <c r="O3067" i="1"/>
  <c r="P3067" i="1" s="1"/>
  <c r="R3067" i="1" s="1"/>
  <c r="L3067" i="1"/>
  <c r="K3067" i="1"/>
  <c r="N3067" i="1" s="1"/>
  <c r="Q3067" i="1" s="1"/>
  <c r="J3067" i="1"/>
  <c r="I3067" i="1"/>
  <c r="M3067" i="1" s="1"/>
  <c r="S3066" i="1"/>
  <c r="R3066" i="1"/>
  <c r="L3066" i="1"/>
  <c r="O3066" i="1" s="1"/>
  <c r="P3066" i="1" s="1"/>
  <c r="J3066" i="1"/>
  <c r="I3066" i="1"/>
  <c r="M3066" i="1" s="1"/>
  <c r="S3065" i="1"/>
  <c r="M3065" i="1"/>
  <c r="L3065" i="1"/>
  <c r="O3065" i="1" s="1"/>
  <c r="P3065" i="1" s="1"/>
  <c r="R3065" i="1" s="1"/>
  <c r="J3065" i="1"/>
  <c r="I3065" i="1"/>
  <c r="K3065" i="1" s="1"/>
  <c r="N3065" i="1" s="1"/>
  <c r="Q3065" i="1" s="1"/>
  <c r="S3064" i="1"/>
  <c r="P3064" i="1"/>
  <c r="R3064" i="1" s="1"/>
  <c r="L3064" i="1"/>
  <c r="O3064" i="1" s="1"/>
  <c r="K3064" i="1"/>
  <c r="N3064" i="1" s="1"/>
  <c r="Q3064" i="1" s="1"/>
  <c r="J3064" i="1"/>
  <c r="I3064" i="1"/>
  <c r="M3064" i="1" s="1"/>
  <c r="S3063" i="1"/>
  <c r="O3063" i="1"/>
  <c r="P3063" i="1" s="1"/>
  <c r="R3063" i="1" s="1"/>
  <c r="L3063" i="1"/>
  <c r="K3063" i="1"/>
  <c r="N3063" i="1" s="1"/>
  <c r="Q3063" i="1" s="1"/>
  <c r="J3063" i="1"/>
  <c r="I3063" i="1"/>
  <c r="M3063" i="1" s="1"/>
  <c r="S3062" i="1"/>
  <c r="R3062" i="1"/>
  <c r="L3062" i="1"/>
  <c r="O3062" i="1" s="1"/>
  <c r="P3062" i="1" s="1"/>
  <c r="J3062" i="1"/>
  <c r="I3062" i="1"/>
  <c r="M3062" i="1" s="1"/>
  <c r="S3061" i="1"/>
  <c r="M3061" i="1"/>
  <c r="L3061" i="1"/>
  <c r="O3061" i="1" s="1"/>
  <c r="P3061" i="1" s="1"/>
  <c r="R3061" i="1" s="1"/>
  <c r="J3061" i="1"/>
  <c r="I3061" i="1"/>
  <c r="K3061" i="1" s="1"/>
  <c r="N3061" i="1" s="1"/>
  <c r="Q3061" i="1" s="1"/>
  <c r="S3060" i="1"/>
  <c r="P3060" i="1"/>
  <c r="R3060" i="1" s="1"/>
  <c r="L3060" i="1"/>
  <c r="O3060" i="1" s="1"/>
  <c r="K3060" i="1"/>
  <c r="N3060" i="1" s="1"/>
  <c r="Q3060" i="1" s="1"/>
  <c r="J3060" i="1"/>
  <c r="I3060" i="1"/>
  <c r="M3060" i="1" s="1"/>
  <c r="S3059" i="1"/>
  <c r="O3059" i="1"/>
  <c r="P3059" i="1" s="1"/>
  <c r="R3059" i="1" s="1"/>
  <c r="L3059" i="1"/>
  <c r="K3059" i="1"/>
  <c r="N3059" i="1" s="1"/>
  <c r="Q3059" i="1" s="1"/>
  <c r="J3059" i="1"/>
  <c r="I3059" i="1"/>
  <c r="M3059" i="1" s="1"/>
  <c r="S3058" i="1"/>
  <c r="L3058" i="1"/>
  <c r="O3058" i="1" s="1"/>
  <c r="P3058" i="1" s="1"/>
  <c r="R3058" i="1" s="1"/>
  <c r="J3058" i="1"/>
  <c r="I3058" i="1"/>
  <c r="M3058" i="1" s="1"/>
  <c r="S3057" i="1"/>
  <c r="M3057" i="1"/>
  <c r="L3057" i="1"/>
  <c r="O3057" i="1" s="1"/>
  <c r="P3057" i="1" s="1"/>
  <c r="R3057" i="1" s="1"/>
  <c r="J3057" i="1"/>
  <c r="I3057" i="1"/>
  <c r="K3057" i="1" s="1"/>
  <c r="N3057" i="1" s="1"/>
  <c r="Q3057" i="1" s="1"/>
  <c r="S3056" i="1"/>
  <c r="P3056" i="1"/>
  <c r="R3056" i="1" s="1"/>
  <c r="L3056" i="1"/>
  <c r="O3056" i="1" s="1"/>
  <c r="K3056" i="1"/>
  <c r="N3056" i="1" s="1"/>
  <c r="Q3056" i="1" s="1"/>
  <c r="J3056" i="1"/>
  <c r="I3056" i="1"/>
  <c r="M3056" i="1" s="1"/>
  <c r="S3055" i="1"/>
  <c r="O3055" i="1"/>
  <c r="P3055" i="1" s="1"/>
  <c r="R3055" i="1" s="1"/>
  <c r="L3055" i="1"/>
  <c r="K3055" i="1"/>
  <c r="N3055" i="1" s="1"/>
  <c r="Q3055" i="1" s="1"/>
  <c r="J3055" i="1"/>
  <c r="I3055" i="1"/>
  <c r="M3055" i="1" s="1"/>
  <c r="S3054" i="1"/>
  <c r="L3054" i="1"/>
  <c r="O3054" i="1" s="1"/>
  <c r="P3054" i="1" s="1"/>
  <c r="R3054" i="1" s="1"/>
  <c r="J3054" i="1"/>
  <c r="I3054" i="1"/>
  <c r="M3054" i="1" s="1"/>
  <c r="S3053" i="1"/>
  <c r="M3053" i="1"/>
  <c r="L3053" i="1"/>
  <c r="O3053" i="1" s="1"/>
  <c r="P3053" i="1" s="1"/>
  <c r="R3053" i="1" s="1"/>
  <c r="J3053" i="1"/>
  <c r="I3053" i="1"/>
  <c r="K3053" i="1" s="1"/>
  <c r="N3053" i="1" s="1"/>
  <c r="Q3053" i="1" s="1"/>
  <c r="S3052" i="1"/>
  <c r="P3052" i="1"/>
  <c r="R3052" i="1" s="1"/>
  <c r="L3052" i="1"/>
  <c r="O3052" i="1" s="1"/>
  <c r="K3052" i="1"/>
  <c r="N3052" i="1" s="1"/>
  <c r="Q3052" i="1" s="1"/>
  <c r="J3052" i="1"/>
  <c r="I3052" i="1"/>
  <c r="M3052" i="1" s="1"/>
  <c r="S3051" i="1"/>
  <c r="O3051" i="1"/>
  <c r="P3051" i="1" s="1"/>
  <c r="R3051" i="1" s="1"/>
  <c r="L3051" i="1"/>
  <c r="K3051" i="1"/>
  <c r="N3051" i="1" s="1"/>
  <c r="Q3051" i="1" s="1"/>
  <c r="J3051" i="1"/>
  <c r="I3051" i="1"/>
  <c r="M3051" i="1" s="1"/>
  <c r="S3050" i="1"/>
  <c r="L3050" i="1"/>
  <c r="O3050" i="1" s="1"/>
  <c r="P3050" i="1" s="1"/>
  <c r="R3050" i="1" s="1"/>
  <c r="J3050" i="1"/>
  <c r="I3050" i="1"/>
  <c r="M3050" i="1" s="1"/>
  <c r="S3049" i="1"/>
  <c r="M3049" i="1"/>
  <c r="L3049" i="1"/>
  <c r="O3049" i="1" s="1"/>
  <c r="P3049" i="1" s="1"/>
  <c r="R3049" i="1" s="1"/>
  <c r="J3049" i="1"/>
  <c r="I3049" i="1"/>
  <c r="K3049" i="1" s="1"/>
  <c r="N3049" i="1" s="1"/>
  <c r="Q3049" i="1" s="1"/>
  <c r="S3048" i="1"/>
  <c r="P3048" i="1"/>
  <c r="R3048" i="1" s="1"/>
  <c r="L3048" i="1"/>
  <c r="O3048" i="1" s="1"/>
  <c r="K3048" i="1"/>
  <c r="N3048" i="1" s="1"/>
  <c r="Q3048" i="1" s="1"/>
  <c r="J3048" i="1"/>
  <c r="I3048" i="1"/>
  <c r="M3048" i="1" s="1"/>
  <c r="S3047" i="1"/>
  <c r="O3047" i="1"/>
  <c r="P3047" i="1" s="1"/>
  <c r="R3047" i="1" s="1"/>
  <c r="L3047" i="1"/>
  <c r="K3047" i="1"/>
  <c r="N3047" i="1" s="1"/>
  <c r="Q3047" i="1" s="1"/>
  <c r="J3047" i="1"/>
  <c r="I3047" i="1"/>
  <c r="M3047" i="1" s="1"/>
  <c r="S3046" i="1"/>
  <c r="L3046" i="1"/>
  <c r="O3046" i="1" s="1"/>
  <c r="P3046" i="1" s="1"/>
  <c r="R3046" i="1" s="1"/>
  <c r="J3046" i="1"/>
  <c r="I3046" i="1"/>
  <c r="M3046" i="1" s="1"/>
  <c r="S3045" i="1"/>
  <c r="M3045" i="1"/>
  <c r="L3045" i="1"/>
  <c r="O3045" i="1" s="1"/>
  <c r="P3045" i="1" s="1"/>
  <c r="R3045" i="1" s="1"/>
  <c r="J3045" i="1"/>
  <c r="I3045" i="1"/>
  <c r="K3045" i="1" s="1"/>
  <c r="N3045" i="1" s="1"/>
  <c r="Q3045" i="1" s="1"/>
  <c r="S3044" i="1"/>
  <c r="P3044" i="1"/>
  <c r="R3044" i="1" s="1"/>
  <c r="L3044" i="1"/>
  <c r="O3044" i="1" s="1"/>
  <c r="K3044" i="1"/>
  <c r="N3044" i="1" s="1"/>
  <c r="Q3044" i="1" s="1"/>
  <c r="J3044" i="1"/>
  <c r="I3044" i="1"/>
  <c r="M3044" i="1" s="1"/>
  <c r="S3043" i="1"/>
  <c r="O3043" i="1"/>
  <c r="P3043" i="1" s="1"/>
  <c r="R3043" i="1" s="1"/>
  <c r="L3043" i="1"/>
  <c r="K3043" i="1"/>
  <c r="N3043" i="1" s="1"/>
  <c r="Q3043" i="1" s="1"/>
  <c r="J3043" i="1"/>
  <c r="I3043" i="1"/>
  <c r="M3043" i="1" s="1"/>
  <c r="S3042" i="1"/>
  <c r="L3042" i="1"/>
  <c r="O3042" i="1" s="1"/>
  <c r="P3042" i="1" s="1"/>
  <c r="R3042" i="1" s="1"/>
  <c r="J3042" i="1"/>
  <c r="I3042" i="1"/>
  <c r="M3042" i="1" s="1"/>
  <c r="S3041" i="1"/>
  <c r="M3041" i="1"/>
  <c r="L3041" i="1"/>
  <c r="O3041" i="1" s="1"/>
  <c r="P3041" i="1" s="1"/>
  <c r="R3041" i="1" s="1"/>
  <c r="J3041" i="1"/>
  <c r="I3041" i="1"/>
  <c r="K3041" i="1" s="1"/>
  <c r="N3041" i="1" s="1"/>
  <c r="Q3041" i="1" s="1"/>
  <c r="S3040" i="1"/>
  <c r="P3040" i="1"/>
  <c r="R3040" i="1" s="1"/>
  <c r="L3040" i="1"/>
  <c r="O3040" i="1" s="1"/>
  <c r="K3040" i="1"/>
  <c r="N3040" i="1" s="1"/>
  <c r="Q3040" i="1" s="1"/>
  <c r="J3040" i="1"/>
  <c r="I3040" i="1"/>
  <c r="M3040" i="1" s="1"/>
  <c r="S3039" i="1"/>
  <c r="O3039" i="1"/>
  <c r="P3039" i="1" s="1"/>
  <c r="R3039" i="1" s="1"/>
  <c r="L3039" i="1"/>
  <c r="K3039" i="1"/>
  <c r="N3039" i="1" s="1"/>
  <c r="Q3039" i="1" s="1"/>
  <c r="J3039" i="1"/>
  <c r="I3039" i="1"/>
  <c r="M3039" i="1" s="1"/>
  <c r="S3038" i="1"/>
  <c r="L3038" i="1"/>
  <c r="O3038" i="1" s="1"/>
  <c r="P3038" i="1" s="1"/>
  <c r="R3038" i="1" s="1"/>
  <c r="J3038" i="1"/>
  <c r="I3038" i="1"/>
  <c r="M3038" i="1" s="1"/>
  <c r="S3037" i="1"/>
  <c r="M3037" i="1"/>
  <c r="L3037" i="1"/>
  <c r="O3037" i="1" s="1"/>
  <c r="P3037" i="1" s="1"/>
  <c r="R3037" i="1" s="1"/>
  <c r="J3037" i="1"/>
  <c r="I3037" i="1"/>
  <c r="K3037" i="1" s="1"/>
  <c r="N3037" i="1" s="1"/>
  <c r="Q3037" i="1" s="1"/>
  <c r="S3036" i="1"/>
  <c r="P3036" i="1"/>
  <c r="R3036" i="1" s="1"/>
  <c r="L3036" i="1"/>
  <c r="O3036" i="1" s="1"/>
  <c r="K3036" i="1"/>
  <c r="N3036" i="1" s="1"/>
  <c r="Q3036" i="1" s="1"/>
  <c r="J3036" i="1"/>
  <c r="I3036" i="1"/>
  <c r="M3036" i="1" s="1"/>
  <c r="S3035" i="1"/>
  <c r="O3035" i="1"/>
  <c r="P3035" i="1" s="1"/>
  <c r="R3035" i="1" s="1"/>
  <c r="L3035" i="1"/>
  <c r="K3035" i="1"/>
  <c r="N3035" i="1" s="1"/>
  <c r="Q3035" i="1" s="1"/>
  <c r="J3035" i="1"/>
  <c r="I3035" i="1"/>
  <c r="M3035" i="1" s="1"/>
  <c r="S3034" i="1"/>
  <c r="L3034" i="1"/>
  <c r="O3034" i="1" s="1"/>
  <c r="P3034" i="1" s="1"/>
  <c r="R3034" i="1" s="1"/>
  <c r="J3034" i="1"/>
  <c r="I3034" i="1"/>
  <c r="M3034" i="1" s="1"/>
  <c r="S3033" i="1"/>
  <c r="M3033" i="1"/>
  <c r="L3033" i="1"/>
  <c r="O3033" i="1" s="1"/>
  <c r="P3033" i="1" s="1"/>
  <c r="R3033" i="1" s="1"/>
  <c r="J3033" i="1"/>
  <c r="I3033" i="1"/>
  <c r="K3033" i="1" s="1"/>
  <c r="N3033" i="1" s="1"/>
  <c r="Q3033" i="1" s="1"/>
  <c r="S3032" i="1"/>
  <c r="P3032" i="1"/>
  <c r="R3032" i="1" s="1"/>
  <c r="L3032" i="1"/>
  <c r="O3032" i="1" s="1"/>
  <c r="K3032" i="1"/>
  <c r="N3032" i="1" s="1"/>
  <c r="Q3032" i="1" s="1"/>
  <c r="J3032" i="1"/>
  <c r="I3032" i="1"/>
  <c r="M3032" i="1" s="1"/>
  <c r="S3031" i="1"/>
  <c r="O3031" i="1"/>
  <c r="P3031" i="1" s="1"/>
  <c r="R3031" i="1" s="1"/>
  <c r="L3031" i="1"/>
  <c r="K3031" i="1"/>
  <c r="N3031" i="1" s="1"/>
  <c r="Q3031" i="1" s="1"/>
  <c r="J3031" i="1"/>
  <c r="I3031" i="1"/>
  <c r="M3031" i="1" s="1"/>
  <c r="S3030" i="1"/>
  <c r="L3030" i="1"/>
  <c r="O3030" i="1" s="1"/>
  <c r="P3030" i="1" s="1"/>
  <c r="R3030" i="1" s="1"/>
  <c r="J3030" i="1"/>
  <c r="I3030" i="1"/>
  <c r="M3030" i="1" s="1"/>
  <c r="S3029" i="1"/>
  <c r="M3029" i="1"/>
  <c r="L3029" i="1"/>
  <c r="O3029" i="1" s="1"/>
  <c r="P3029" i="1" s="1"/>
  <c r="R3029" i="1" s="1"/>
  <c r="J3029" i="1"/>
  <c r="I3029" i="1"/>
  <c r="K3029" i="1" s="1"/>
  <c r="N3029" i="1" s="1"/>
  <c r="Q3029" i="1" s="1"/>
  <c r="S3028" i="1"/>
  <c r="P3028" i="1"/>
  <c r="R3028" i="1" s="1"/>
  <c r="L3028" i="1"/>
  <c r="O3028" i="1" s="1"/>
  <c r="K3028" i="1"/>
  <c r="N3028" i="1" s="1"/>
  <c r="Q3028" i="1" s="1"/>
  <c r="J3028" i="1"/>
  <c r="I3028" i="1"/>
  <c r="M3028" i="1" s="1"/>
  <c r="S3027" i="1"/>
  <c r="O3027" i="1"/>
  <c r="P3027" i="1" s="1"/>
  <c r="R3027" i="1" s="1"/>
  <c r="L3027" i="1"/>
  <c r="K3027" i="1"/>
  <c r="N3027" i="1" s="1"/>
  <c r="Q3027" i="1" s="1"/>
  <c r="J3027" i="1"/>
  <c r="I3027" i="1"/>
  <c r="M3027" i="1" s="1"/>
  <c r="S3026" i="1"/>
  <c r="L3026" i="1"/>
  <c r="O3026" i="1" s="1"/>
  <c r="P3026" i="1" s="1"/>
  <c r="R3026" i="1" s="1"/>
  <c r="J3026" i="1"/>
  <c r="I3026" i="1"/>
  <c r="M3026" i="1" s="1"/>
  <c r="S3025" i="1"/>
  <c r="M3025" i="1"/>
  <c r="L3025" i="1"/>
  <c r="O3025" i="1" s="1"/>
  <c r="P3025" i="1" s="1"/>
  <c r="R3025" i="1" s="1"/>
  <c r="J3025" i="1"/>
  <c r="I3025" i="1"/>
  <c r="K3025" i="1" s="1"/>
  <c r="N3025" i="1" s="1"/>
  <c r="Q3025" i="1" s="1"/>
  <c r="S3024" i="1"/>
  <c r="P3024" i="1"/>
  <c r="R3024" i="1" s="1"/>
  <c r="L3024" i="1"/>
  <c r="O3024" i="1" s="1"/>
  <c r="K3024" i="1"/>
  <c r="N3024" i="1" s="1"/>
  <c r="Q3024" i="1" s="1"/>
  <c r="J3024" i="1"/>
  <c r="I3024" i="1"/>
  <c r="M3024" i="1" s="1"/>
  <c r="S3023" i="1"/>
  <c r="O3023" i="1"/>
  <c r="P3023" i="1" s="1"/>
  <c r="R3023" i="1" s="1"/>
  <c r="L3023" i="1"/>
  <c r="K3023" i="1"/>
  <c r="N3023" i="1" s="1"/>
  <c r="Q3023" i="1" s="1"/>
  <c r="J3023" i="1"/>
  <c r="I3023" i="1"/>
  <c r="M3023" i="1" s="1"/>
  <c r="S3022" i="1"/>
  <c r="L3022" i="1"/>
  <c r="O3022" i="1" s="1"/>
  <c r="P3022" i="1" s="1"/>
  <c r="R3022" i="1" s="1"/>
  <c r="J3022" i="1"/>
  <c r="I3022" i="1"/>
  <c r="M3022" i="1" s="1"/>
  <c r="S3021" i="1"/>
  <c r="M3021" i="1"/>
  <c r="L3021" i="1"/>
  <c r="O3021" i="1" s="1"/>
  <c r="P3021" i="1" s="1"/>
  <c r="R3021" i="1" s="1"/>
  <c r="J3021" i="1"/>
  <c r="I3021" i="1"/>
  <c r="K3021" i="1" s="1"/>
  <c r="N3021" i="1" s="1"/>
  <c r="Q3021" i="1" s="1"/>
  <c r="S3020" i="1"/>
  <c r="P3020" i="1"/>
  <c r="R3020" i="1" s="1"/>
  <c r="L3020" i="1"/>
  <c r="O3020" i="1" s="1"/>
  <c r="K3020" i="1"/>
  <c r="N3020" i="1" s="1"/>
  <c r="Q3020" i="1" s="1"/>
  <c r="J3020" i="1"/>
  <c r="I3020" i="1"/>
  <c r="M3020" i="1" s="1"/>
  <c r="S3019" i="1"/>
  <c r="O3019" i="1"/>
  <c r="P3019" i="1" s="1"/>
  <c r="R3019" i="1" s="1"/>
  <c r="L3019" i="1"/>
  <c r="K3019" i="1"/>
  <c r="N3019" i="1" s="1"/>
  <c r="Q3019" i="1" s="1"/>
  <c r="J3019" i="1"/>
  <c r="I3019" i="1"/>
  <c r="M3019" i="1" s="1"/>
  <c r="S3018" i="1"/>
  <c r="L3018" i="1"/>
  <c r="O3018" i="1" s="1"/>
  <c r="P3018" i="1" s="1"/>
  <c r="R3018" i="1" s="1"/>
  <c r="J3018" i="1"/>
  <c r="I3018" i="1"/>
  <c r="M3018" i="1" s="1"/>
  <c r="S3017" i="1"/>
  <c r="M3017" i="1"/>
  <c r="L3017" i="1"/>
  <c r="O3017" i="1" s="1"/>
  <c r="P3017" i="1" s="1"/>
  <c r="R3017" i="1" s="1"/>
  <c r="J3017" i="1"/>
  <c r="I3017" i="1"/>
  <c r="K3017" i="1" s="1"/>
  <c r="N3017" i="1" s="1"/>
  <c r="Q3017" i="1" s="1"/>
  <c r="S3016" i="1"/>
  <c r="P3016" i="1"/>
  <c r="R3016" i="1" s="1"/>
  <c r="L3016" i="1"/>
  <c r="O3016" i="1" s="1"/>
  <c r="K3016" i="1"/>
  <c r="N3016" i="1" s="1"/>
  <c r="Q3016" i="1" s="1"/>
  <c r="J3016" i="1"/>
  <c r="I3016" i="1"/>
  <c r="M3016" i="1" s="1"/>
  <c r="S3015" i="1"/>
  <c r="O3015" i="1"/>
  <c r="P3015" i="1" s="1"/>
  <c r="R3015" i="1" s="1"/>
  <c r="L3015" i="1"/>
  <c r="K3015" i="1"/>
  <c r="N3015" i="1" s="1"/>
  <c r="Q3015" i="1" s="1"/>
  <c r="J3015" i="1"/>
  <c r="I3015" i="1"/>
  <c r="M3015" i="1" s="1"/>
  <c r="S3014" i="1"/>
  <c r="L3014" i="1"/>
  <c r="O3014" i="1" s="1"/>
  <c r="P3014" i="1" s="1"/>
  <c r="R3014" i="1" s="1"/>
  <c r="J3014" i="1"/>
  <c r="I3014" i="1"/>
  <c r="M3014" i="1" s="1"/>
  <c r="S3013" i="1"/>
  <c r="M3013" i="1"/>
  <c r="L3013" i="1"/>
  <c r="O3013" i="1" s="1"/>
  <c r="P3013" i="1" s="1"/>
  <c r="R3013" i="1" s="1"/>
  <c r="J3013" i="1"/>
  <c r="I3013" i="1"/>
  <c r="K3013" i="1" s="1"/>
  <c r="N3013" i="1" s="1"/>
  <c r="Q3013" i="1" s="1"/>
  <c r="S3012" i="1"/>
  <c r="L3012" i="1"/>
  <c r="K3012" i="1"/>
  <c r="J3012" i="1"/>
  <c r="I3012" i="1"/>
  <c r="M3012" i="1" s="1"/>
  <c r="S3011" i="1"/>
  <c r="O3011" i="1"/>
  <c r="P3011" i="1" s="1"/>
  <c r="R3011" i="1" s="1"/>
  <c r="L3011" i="1"/>
  <c r="K3011" i="1"/>
  <c r="N3011" i="1" s="1"/>
  <c r="Q3011" i="1" s="1"/>
  <c r="J3011" i="1"/>
  <c r="I3011" i="1"/>
  <c r="M3011" i="1" s="1"/>
  <c r="S3010" i="1"/>
  <c r="L3010" i="1"/>
  <c r="O3010" i="1" s="1"/>
  <c r="P3010" i="1" s="1"/>
  <c r="R3010" i="1" s="1"/>
  <c r="J3010" i="1"/>
  <c r="I3010" i="1"/>
  <c r="M3010" i="1" s="1"/>
  <c r="S3009" i="1"/>
  <c r="M3009" i="1"/>
  <c r="L3009" i="1"/>
  <c r="O3009" i="1" s="1"/>
  <c r="P3009" i="1" s="1"/>
  <c r="R3009" i="1" s="1"/>
  <c r="J3009" i="1"/>
  <c r="I3009" i="1"/>
  <c r="K3009" i="1" s="1"/>
  <c r="S3008" i="1"/>
  <c r="L3008" i="1"/>
  <c r="K3008" i="1"/>
  <c r="J3008" i="1"/>
  <c r="I3008" i="1"/>
  <c r="M3008" i="1" s="1"/>
  <c r="S3007" i="1"/>
  <c r="O3007" i="1"/>
  <c r="P3007" i="1" s="1"/>
  <c r="R3007" i="1" s="1"/>
  <c r="L3007" i="1"/>
  <c r="K3007" i="1"/>
  <c r="N3007" i="1" s="1"/>
  <c r="Q3007" i="1" s="1"/>
  <c r="J3007" i="1"/>
  <c r="I3007" i="1"/>
  <c r="M3007" i="1" s="1"/>
  <c r="S3006" i="1"/>
  <c r="L3006" i="1"/>
  <c r="O3006" i="1" s="1"/>
  <c r="P3006" i="1" s="1"/>
  <c r="R3006" i="1" s="1"/>
  <c r="J3006" i="1"/>
  <c r="I3006" i="1"/>
  <c r="M3006" i="1" s="1"/>
  <c r="S3005" i="1"/>
  <c r="M3005" i="1"/>
  <c r="L3005" i="1"/>
  <c r="O3005" i="1" s="1"/>
  <c r="P3005" i="1" s="1"/>
  <c r="R3005" i="1" s="1"/>
  <c r="J3005" i="1"/>
  <c r="I3005" i="1"/>
  <c r="K3005" i="1" s="1"/>
  <c r="N3005" i="1" s="1"/>
  <c r="Q3005" i="1" s="1"/>
  <c r="S3004" i="1"/>
  <c r="P3004" i="1"/>
  <c r="R3004" i="1" s="1"/>
  <c r="L3004" i="1"/>
  <c r="O3004" i="1" s="1"/>
  <c r="K3004" i="1"/>
  <c r="N3004" i="1" s="1"/>
  <c r="Q3004" i="1" s="1"/>
  <c r="J3004" i="1"/>
  <c r="I3004" i="1"/>
  <c r="M3004" i="1" s="1"/>
  <c r="S3003" i="1"/>
  <c r="O3003" i="1"/>
  <c r="P3003" i="1" s="1"/>
  <c r="R3003" i="1" s="1"/>
  <c r="L3003" i="1"/>
  <c r="K3003" i="1"/>
  <c r="N3003" i="1" s="1"/>
  <c r="Q3003" i="1" s="1"/>
  <c r="J3003" i="1"/>
  <c r="I3003" i="1"/>
  <c r="M3003" i="1" s="1"/>
  <c r="S3002" i="1"/>
  <c r="L3002" i="1"/>
  <c r="O3002" i="1" s="1"/>
  <c r="P3002" i="1" s="1"/>
  <c r="R3002" i="1" s="1"/>
  <c r="J3002" i="1"/>
  <c r="I3002" i="1"/>
  <c r="M3002" i="1" s="1"/>
  <c r="S3001" i="1"/>
  <c r="M3001" i="1"/>
  <c r="L3001" i="1"/>
  <c r="O3001" i="1" s="1"/>
  <c r="P3001" i="1" s="1"/>
  <c r="R3001" i="1" s="1"/>
  <c r="J3001" i="1"/>
  <c r="I3001" i="1"/>
  <c r="K3001" i="1" s="1"/>
  <c r="N3001" i="1" s="1"/>
  <c r="Q3001" i="1" s="1"/>
  <c r="S3000" i="1"/>
  <c r="P3000" i="1"/>
  <c r="R3000" i="1" s="1"/>
  <c r="L3000" i="1"/>
  <c r="O3000" i="1" s="1"/>
  <c r="K3000" i="1"/>
  <c r="N3000" i="1" s="1"/>
  <c r="Q3000" i="1" s="1"/>
  <c r="J3000" i="1"/>
  <c r="I3000" i="1"/>
  <c r="M3000" i="1" s="1"/>
  <c r="S2999" i="1"/>
  <c r="O2999" i="1"/>
  <c r="P2999" i="1" s="1"/>
  <c r="R2999" i="1" s="1"/>
  <c r="L2999" i="1"/>
  <c r="K2999" i="1"/>
  <c r="N2999" i="1" s="1"/>
  <c r="Q2999" i="1" s="1"/>
  <c r="J2999" i="1"/>
  <c r="I2999" i="1"/>
  <c r="M2999" i="1" s="1"/>
  <c r="S2998" i="1"/>
  <c r="L2998" i="1"/>
  <c r="O2998" i="1" s="1"/>
  <c r="P2998" i="1" s="1"/>
  <c r="R2998" i="1" s="1"/>
  <c r="J2998" i="1"/>
  <c r="I2998" i="1"/>
  <c r="M2998" i="1" s="1"/>
  <c r="S2997" i="1"/>
  <c r="M2997" i="1"/>
  <c r="L2997" i="1"/>
  <c r="O2997" i="1" s="1"/>
  <c r="P2997" i="1" s="1"/>
  <c r="R2997" i="1" s="1"/>
  <c r="J2997" i="1"/>
  <c r="I2997" i="1"/>
  <c r="K2997" i="1" s="1"/>
  <c r="N2997" i="1" s="1"/>
  <c r="Q2997" i="1" s="1"/>
  <c r="S2996" i="1"/>
  <c r="P2996" i="1"/>
  <c r="R2996" i="1" s="1"/>
  <c r="L2996" i="1"/>
  <c r="O2996" i="1" s="1"/>
  <c r="K2996" i="1"/>
  <c r="N2996" i="1" s="1"/>
  <c r="Q2996" i="1" s="1"/>
  <c r="J2996" i="1"/>
  <c r="I2996" i="1"/>
  <c r="M2996" i="1" s="1"/>
  <c r="S2995" i="1"/>
  <c r="O2995" i="1"/>
  <c r="P2995" i="1" s="1"/>
  <c r="R2995" i="1" s="1"/>
  <c r="L2995" i="1"/>
  <c r="K2995" i="1"/>
  <c r="N2995" i="1" s="1"/>
  <c r="Q2995" i="1" s="1"/>
  <c r="J2995" i="1"/>
  <c r="I2995" i="1"/>
  <c r="M2995" i="1" s="1"/>
  <c r="S2994" i="1"/>
  <c r="R2994" i="1"/>
  <c r="O2994" i="1"/>
  <c r="P2994" i="1" s="1"/>
  <c r="L2994" i="1"/>
  <c r="J2994" i="1"/>
  <c r="I2994" i="1"/>
  <c r="M2994" i="1" s="1"/>
  <c r="S2993" i="1"/>
  <c r="L2993" i="1"/>
  <c r="O2993" i="1" s="1"/>
  <c r="P2993" i="1" s="1"/>
  <c r="R2993" i="1" s="1"/>
  <c r="J2993" i="1"/>
  <c r="I2993" i="1"/>
  <c r="S2992" i="1"/>
  <c r="L2992" i="1"/>
  <c r="O2992" i="1" s="1"/>
  <c r="P2992" i="1" s="1"/>
  <c r="R2992" i="1" s="1"/>
  <c r="K2992" i="1"/>
  <c r="N2992" i="1" s="1"/>
  <c r="Q2992" i="1" s="1"/>
  <c r="J2992" i="1"/>
  <c r="I2992" i="1"/>
  <c r="M2992" i="1" s="1"/>
  <c r="S2991" i="1"/>
  <c r="O2991" i="1"/>
  <c r="P2991" i="1" s="1"/>
  <c r="R2991" i="1" s="1"/>
  <c r="L2991" i="1"/>
  <c r="K2991" i="1"/>
  <c r="N2991" i="1" s="1"/>
  <c r="Q2991" i="1" s="1"/>
  <c r="J2991" i="1"/>
  <c r="I2991" i="1"/>
  <c r="M2991" i="1" s="1"/>
  <c r="S2990" i="1"/>
  <c r="O2990" i="1"/>
  <c r="P2990" i="1" s="1"/>
  <c r="R2990" i="1" s="1"/>
  <c r="L2990" i="1"/>
  <c r="J2990" i="1"/>
  <c r="I2990" i="1"/>
  <c r="M2990" i="1" s="1"/>
  <c r="S2989" i="1"/>
  <c r="L2989" i="1"/>
  <c r="O2989" i="1" s="1"/>
  <c r="P2989" i="1" s="1"/>
  <c r="R2989" i="1" s="1"/>
  <c r="J2989" i="1"/>
  <c r="I2989" i="1"/>
  <c r="K2989" i="1" s="1"/>
  <c r="N2989" i="1" s="1"/>
  <c r="Q2989" i="1" s="1"/>
  <c r="S2988" i="1"/>
  <c r="L2988" i="1"/>
  <c r="O2988" i="1" s="1"/>
  <c r="P2988" i="1" s="1"/>
  <c r="R2988" i="1" s="1"/>
  <c r="K2988" i="1"/>
  <c r="N2988" i="1" s="1"/>
  <c r="Q2988" i="1" s="1"/>
  <c r="J2988" i="1"/>
  <c r="I2988" i="1"/>
  <c r="M2988" i="1" s="1"/>
  <c r="S2987" i="1"/>
  <c r="O2987" i="1"/>
  <c r="P2987" i="1" s="1"/>
  <c r="R2987" i="1" s="1"/>
  <c r="L2987" i="1"/>
  <c r="K2987" i="1"/>
  <c r="N2987" i="1" s="1"/>
  <c r="Q2987" i="1" s="1"/>
  <c r="J2987" i="1"/>
  <c r="I2987" i="1"/>
  <c r="M2987" i="1" s="1"/>
  <c r="S2986" i="1"/>
  <c r="O2986" i="1"/>
  <c r="P2986" i="1" s="1"/>
  <c r="R2986" i="1" s="1"/>
  <c r="L2986" i="1"/>
  <c r="J2986" i="1"/>
  <c r="I2986" i="1"/>
  <c r="M2986" i="1" s="1"/>
  <c r="S2985" i="1"/>
  <c r="M2985" i="1"/>
  <c r="L2985" i="1"/>
  <c r="O2985" i="1" s="1"/>
  <c r="P2985" i="1" s="1"/>
  <c r="R2985" i="1" s="1"/>
  <c r="J2985" i="1"/>
  <c r="I2985" i="1"/>
  <c r="K2985" i="1" s="1"/>
  <c r="N2985" i="1" s="1"/>
  <c r="Q2985" i="1" s="1"/>
  <c r="S2984" i="1"/>
  <c r="P2984" i="1"/>
  <c r="R2984" i="1" s="1"/>
  <c r="L2984" i="1"/>
  <c r="O2984" i="1" s="1"/>
  <c r="K2984" i="1"/>
  <c r="N2984" i="1" s="1"/>
  <c r="Q2984" i="1" s="1"/>
  <c r="J2984" i="1"/>
  <c r="I2984" i="1"/>
  <c r="M2984" i="1" s="1"/>
  <c r="S2983" i="1"/>
  <c r="O2983" i="1"/>
  <c r="P2983" i="1" s="1"/>
  <c r="R2983" i="1" s="1"/>
  <c r="L2983" i="1"/>
  <c r="K2983" i="1"/>
  <c r="N2983" i="1" s="1"/>
  <c r="Q2983" i="1" s="1"/>
  <c r="J2983" i="1"/>
  <c r="I2983" i="1"/>
  <c r="M2983" i="1" s="1"/>
  <c r="S2982" i="1"/>
  <c r="R2982" i="1"/>
  <c r="O2982" i="1"/>
  <c r="P2982" i="1" s="1"/>
  <c r="L2982" i="1"/>
  <c r="J2982" i="1"/>
  <c r="I2982" i="1"/>
  <c r="M2982" i="1" s="1"/>
  <c r="S2981" i="1"/>
  <c r="M2981" i="1"/>
  <c r="L2981" i="1"/>
  <c r="O2981" i="1" s="1"/>
  <c r="P2981" i="1" s="1"/>
  <c r="R2981" i="1" s="1"/>
  <c r="J2981" i="1"/>
  <c r="I2981" i="1"/>
  <c r="K2981" i="1" s="1"/>
  <c r="N2981" i="1" s="1"/>
  <c r="Q2981" i="1" s="1"/>
  <c r="S2980" i="1"/>
  <c r="L2980" i="1"/>
  <c r="O2980" i="1" s="1"/>
  <c r="P2980" i="1" s="1"/>
  <c r="R2980" i="1" s="1"/>
  <c r="K2980" i="1"/>
  <c r="N2980" i="1" s="1"/>
  <c r="Q2980" i="1" s="1"/>
  <c r="J2980" i="1"/>
  <c r="I2980" i="1"/>
  <c r="M2980" i="1" s="1"/>
  <c r="S2979" i="1"/>
  <c r="R2979" i="1"/>
  <c r="O2979" i="1"/>
  <c r="P2979" i="1" s="1"/>
  <c r="L2979" i="1"/>
  <c r="K2979" i="1"/>
  <c r="N2979" i="1" s="1"/>
  <c r="Q2979" i="1" s="1"/>
  <c r="J2979" i="1"/>
  <c r="I2979" i="1"/>
  <c r="M2979" i="1" s="1"/>
  <c r="S2978" i="1"/>
  <c r="R2978" i="1"/>
  <c r="O2978" i="1"/>
  <c r="P2978" i="1" s="1"/>
  <c r="M2978" i="1"/>
  <c r="L2978" i="1"/>
  <c r="J2978" i="1"/>
  <c r="I2978" i="1"/>
  <c r="K2978" i="1" s="1"/>
  <c r="N2978" i="1" s="1"/>
  <c r="Q2978" i="1" s="1"/>
  <c r="S2977" i="1"/>
  <c r="Q2977" i="1"/>
  <c r="M2977" i="1"/>
  <c r="L2977" i="1"/>
  <c r="O2977" i="1" s="1"/>
  <c r="P2977" i="1" s="1"/>
  <c r="R2977" i="1" s="1"/>
  <c r="J2977" i="1"/>
  <c r="I2977" i="1"/>
  <c r="K2977" i="1" s="1"/>
  <c r="N2977" i="1" s="1"/>
  <c r="S2976" i="1"/>
  <c r="P2976" i="1"/>
  <c r="R2976" i="1" s="1"/>
  <c r="O2976" i="1"/>
  <c r="L2976" i="1"/>
  <c r="K2976" i="1"/>
  <c r="N2976" i="1" s="1"/>
  <c r="Q2976" i="1" s="1"/>
  <c r="J2976" i="1"/>
  <c r="I2976" i="1"/>
  <c r="M2976" i="1" s="1"/>
  <c r="S2975" i="1"/>
  <c r="O2975" i="1"/>
  <c r="P2975" i="1" s="1"/>
  <c r="R2975" i="1" s="1"/>
  <c r="N2975" i="1"/>
  <c r="Q2975" i="1" s="1"/>
  <c r="L2975" i="1"/>
  <c r="K2975" i="1"/>
  <c r="J2975" i="1"/>
  <c r="I2975" i="1"/>
  <c r="M2975" i="1" s="1"/>
  <c r="S2974" i="1"/>
  <c r="O2974" i="1"/>
  <c r="P2974" i="1" s="1"/>
  <c r="R2974" i="1" s="1"/>
  <c r="M2974" i="1"/>
  <c r="L2974" i="1"/>
  <c r="J2974" i="1"/>
  <c r="I2974" i="1"/>
  <c r="K2974" i="1" s="1"/>
  <c r="N2974" i="1" s="1"/>
  <c r="Q2974" i="1" s="1"/>
  <c r="S2973" i="1"/>
  <c r="Q2973" i="1"/>
  <c r="P2973" i="1"/>
  <c r="R2973" i="1" s="1"/>
  <c r="L2973" i="1"/>
  <c r="O2973" i="1" s="1"/>
  <c r="J2973" i="1"/>
  <c r="I2973" i="1"/>
  <c r="K2973" i="1" s="1"/>
  <c r="N2973" i="1" s="1"/>
  <c r="S2972" i="1"/>
  <c r="O2972" i="1"/>
  <c r="P2972" i="1" s="1"/>
  <c r="R2972" i="1" s="1"/>
  <c r="L2972" i="1"/>
  <c r="K2972" i="1"/>
  <c r="N2972" i="1" s="1"/>
  <c r="Q2972" i="1" s="1"/>
  <c r="J2972" i="1"/>
  <c r="I2972" i="1"/>
  <c r="M2972" i="1" s="1"/>
  <c r="S2971" i="1"/>
  <c r="O2971" i="1"/>
  <c r="P2971" i="1" s="1"/>
  <c r="R2971" i="1" s="1"/>
  <c r="N2971" i="1"/>
  <c r="Q2971" i="1" s="1"/>
  <c r="L2971" i="1"/>
  <c r="K2971" i="1"/>
  <c r="J2971" i="1"/>
  <c r="I2971" i="1"/>
  <c r="M2971" i="1" s="1"/>
  <c r="S2970" i="1"/>
  <c r="O2970" i="1"/>
  <c r="P2970" i="1" s="1"/>
  <c r="R2970" i="1" s="1"/>
  <c r="L2970" i="1"/>
  <c r="K2970" i="1"/>
  <c r="N2970" i="1" s="1"/>
  <c r="Q2970" i="1" s="1"/>
  <c r="J2970" i="1"/>
  <c r="I2970" i="1"/>
  <c r="M2970" i="1" s="1"/>
  <c r="S2969" i="1"/>
  <c r="M2969" i="1"/>
  <c r="L2969" i="1"/>
  <c r="O2969" i="1" s="1"/>
  <c r="P2969" i="1" s="1"/>
  <c r="R2969" i="1" s="1"/>
  <c r="J2969" i="1"/>
  <c r="I2969" i="1"/>
  <c r="K2969" i="1" s="1"/>
  <c r="N2969" i="1" s="1"/>
  <c r="Q2969" i="1" s="1"/>
  <c r="S2968" i="1"/>
  <c r="L2968" i="1"/>
  <c r="O2968" i="1" s="1"/>
  <c r="P2968" i="1" s="1"/>
  <c r="R2968" i="1" s="1"/>
  <c r="J2968" i="1"/>
  <c r="I2968" i="1"/>
  <c r="S2967" i="1"/>
  <c r="O2967" i="1"/>
  <c r="P2967" i="1" s="1"/>
  <c r="R2967" i="1" s="1"/>
  <c r="N2967" i="1"/>
  <c r="Q2967" i="1" s="1"/>
  <c r="L2967" i="1"/>
  <c r="K2967" i="1"/>
  <c r="J2967" i="1"/>
  <c r="I2967" i="1"/>
  <c r="M2967" i="1" s="1"/>
  <c r="S2966" i="1"/>
  <c r="Q2966" i="1"/>
  <c r="L2966" i="1"/>
  <c r="O2966" i="1" s="1"/>
  <c r="P2966" i="1" s="1"/>
  <c r="R2966" i="1" s="1"/>
  <c r="K2966" i="1"/>
  <c r="N2966" i="1" s="1"/>
  <c r="J2966" i="1"/>
  <c r="I2966" i="1"/>
  <c r="M2966" i="1" s="1"/>
  <c r="S2965" i="1"/>
  <c r="O2965" i="1"/>
  <c r="P2965" i="1" s="1"/>
  <c r="R2965" i="1" s="1"/>
  <c r="L2965" i="1"/>
  <c r="K2965" i="1"/>
  <c r="N2965" i="1" s="1"/>
  <c r="Q2965" i="1" s="1"/>
  <c r="J2965" i="1"/>
  <c r="I2965" i="1"/>
  <c r="M2965" i="1" s="1"/>
  <c r="S2964" i="1"/>
  <c r="R2964" i="1"/>
  <c r="O2964" i="1"/>
  <c r="P2964" i="1" s="1"/>
  <c r="L2964" i="1"/>
  <c r="J2964" i="1"/>
  <c r="I2964" i="1"/>
  <c r="M2964" i="1" s="1"/>
  <c r="S2963" i="1"/>
  <c r="L2963" i="1"/>
  <c r="O2963" i="1" s="1"/>
  <c r="P2963" i="1" s="1"/>
  <c r="R2963" i="1" s="1"/>
  <c r="J2963" i="1"/>
  <c r="I2963" i="1"/>
  <c r="S2962" i="1"/>
  <c r="P2962" i="1"/>
  <c r="R2962" i="1" s="1"/>
  <c r="L2962" i="1"/>
  <c r="O2962" i="1" s="1"/>
  <c r="K2962" i="1"/>
  <c r="N2962" i="1" s="1"/>
  <c r="Q2962" i="1" s="1"/>
  <c r="J2962" i="1"/>
  <c r="I2962" i="1"/>
  <c r="M2962" i="1" s="1"/>
  <c r="S2961" i="1"/>
  <c r="O2961" i="1"/>
  <c r="P2961" i="1" s="1"/>
  <c r="R2961" i="1" s="1"/>
  <c r="L2961" i="1"/>
  <c r="K2961" i="1"/>
  <c r="N2961" i="1" s="1"/>
  <c r="Q2961" i="1" s="1"/>
  <c r="J2961" i="1"/>
  <c r="I2961" i="1"/>
  <c r="M2961" i="1" s="1"/>
  <c r="S2960" i="1"/>
  <c r="R2960" i="1"/>
  <c r="O2960" i="1"/>
  <c r="P2960" i="1" s="1"/>
  <c r="L2960" i="1"/>
  <c r="J2960" i="1"/>
  <c r="I2960" i="1"/>
  <c r="M2960" i="1" s="1"/>
  <c r="S2959" i="1"/>
  <c r="L2959" i="1"/>
  <c r="O2959" i="1" s="1"/>
  <c r="P2959" i="1" s="1"/>
  <c r="R2959" i="1" s="1"/>
  <c r="J2959" i="1"/>
  <c r="I2959" i="1"/>
  <c r="K2959" i="1" s="1"/>
  <c r="N2959" i="1" s="1"/>
  <c r="Q2959" i="1" s="1"/>
  <c r="S2958" i="1"/>
  <c r="L2958" i="1"/>
  <c r="O2958" i="1" s="1"/>
  <c r="P2958" i="1" s="1"/>
  <c r="R2958" i="1" s="1"/>
  <c r="K2958" i="1"/>
  <c r="N2958" i="1" s="1"/>
  <c r="Q2958" i="1" s="1"/>
  <c r="J2958" i="1"/>
  <c r="I2958" i="1"/>
  <c r="M2958" i="1" s="1"/>
  <c r="S2957" i="1"/>
  <c r="O2957" i="1"/>
  <c r="P2957" i="1" s="1"/>
  <c r="R2957" i="1" s="1"/>
  <c r="L2957" i="1"/>
  <c r="K2957" i="1"/>
  <c r="N2957" i="1" s="1"/>
  <c r="Q2957" i="1" s="1"/>
  <c r="J2957" i="1"/>
  <c r="I2957" i="1"/>
  <c r="M2957" i="1" s="1"/>
  <c r="S2956" i="1"/>
  <c r="O2956" i="1"/>
  <c r="P2956" i="1" s="1"/>
  <c r="R2956" i="1" s="1"/>
  <c r="L2956" i="1"/>
  <c r="J2956" i="1"/>
  <c r="I2956" i="1"/>
  <c r="M2956" i="1" s="1"/>
  <c r="S2955" i="1"/>
  <c r="L2955" i="1"/>
  <c r="O2955" i="1" s="1"/>
  <c r="P2955" i="1" s="1"/>
  <c r="R2955" i="1" s="1"/>
  <c r="J2955" i="1"/>
  <c r="I2955" i="1"/>
  <c r="K2955" i="1" s="1"/>
  <c r="N2955" i="1" s="1"/>
  <c r="Q2955" i="1" s="1"/>
  <c r="S2954" i="1"/>
  <c r="P2954" i="1"/>
  <c r="R2954" i="1" s="1"/>
  <c r="L2954" i="1"/>
  <c r="O2954" i="1" s="1"/>
  <c r="K2954" i="1"/>
  <c r="N2954" i="1" s="1"/>
  <c r="Q2954" i="1" s="1"/>
  <c r="J2954" i="1"/>
  <c r="I2954" i="1"/>
  <c r="M2954" i="1" s="1"/>
  <c r="S2953" i="1"/>
  <c r="O2953" i="1"/>
  <c r="P2953" i="1" s="1"/>
  <c r="R2953" i="1" s="1"/>
  <c r="L2953" i="1"/>
  <c r="K2953" i="1"/>
  <c r="N2953" i="1" s="1"/>
  <c r="Q2953" i="1" s="1"/>
  <c r="J2953" i="1"/>
  <c r="I2953" i="1"/>
  <c r="M2953" i="1" s="1"/>
  <c r="S2952" i="1"/>
  <c r="R2952" i="1"/>
  <c r="O2952" i="1"/>
  <c r="P2952" i="1" s="1"/>
  <c r="L2952" i="1"/>
  <c r="J2952" i="1"/>
  <c r="I2952" i="1"/>
  <c r="M2952" i="1" s="1"/>
  <c r="S2951" i="1"/>
  <c r="M2951" i="1"/>
  <c r="L2951" i="1"/>
  <c r="O2951" i="1" s="1"/>
  <c r="P2951" i="1" s="1"/>
  <c r="R2951" i="1" s="1"/>
  <c r="J2951" i="1"/>
  <c r="I2951" i="1"/>
  <c r="K2951" i="1" s="1"/>
  <c r="N2951" i="1" s="1"/>
  <c r="Q2951" i="1" s="1"/>
  <c r="S2950" i="1"/>
  <c r="P2950" i="1"/>
  <c r="R2950" i="1" s="1"/>
  <c r="L2950" i="1"/>
  <c r="O2950" i="1" s="1"/>
  <c r="K2950" i="1"/>
  <c r="N2950" i="1" s="1"/>
  <c r="Q2950" i="1" s="1"/>
  <c r="J2950" i="1"/>
  <c r="I2950" i="1"/>
  <c r="M2950" i="1" s="1"/>
  <c r="S2949" i="1"/>
  <c r="O2949" i="1"/>
  <c r="P2949" i="1" s="1"/>
  <c r="R2949" i="1" s="1"/>
  <c r="L2949" i="1"/>
  <c r="K2949" i="1"/>
  <c r="N2949" i="1" s="1"/>
  <c r="Q2949" i="1" s="1"/>
  <c r="J2949" i="1"/>
  <c r="I2949" i="1"/>
  <c r="M2949" i="1" s="1"/>
  <c r="S2948" i="1"/>
  <c r="R2948" i="1"/>
  <c r="O2948" i="1"/>
  <c r="P2948" i="1" s="1"/>
  <c r="L2948" i="1"/>
  <c r="J2948" i="1"/>
  <c r="I2948" i="1"/>
  <c r="M2948" i="1" s="1"/>
  <c r="S2947" i="1"/>
  <c r="L2947" i="1"/>
  <c r="O2947" i="1" s="1"/>
  <c r="P2947" i="1" s="1"/>
  <c r="R2947" i="1" s="1"/>
  <c r="J2947" i="1"/>
  <c r="I2947" i="1"/>
  <c r="S2946" i="1"/>
  <c r="P2946" i="1"/>
  <c r="R2946" i="1" s="1"/>
  <c r="L2946" i="1"/>
  <c r="O2946" i="1" s="1"/>
  <c r="K2946" i="1"/>
  <c r="N2946" i="1" s="1"/>
  <c r="Q2946" i="1" s="1"/>
  <c r="J2946" i="1"/>
  <c r="I2946" i="1"/>
  <c r="M2946" i="1" s="1"/>
  <c r="S2945" i="1"/>
  <c r="O2945" i="1"/>
  <c r="P2945" i="1" s="1"/>
  <c r="R2945" i="1" s="1"/>
  <c r="L2945" i="1"/>
  <c r="K2945" i="1"/>
  <c r="N2945" i="1" s="1"/>
  <c r="Q2945" i="1" s="1"/>
  <c r="J2945" i="1"/>
  <c r="I2945" i="1"/>
  <c r="M2945" i="1" s="1"/>
  <c r="S2944" i="1"/>
  <c r="R2944" i="1"/>
  <c r="O2944" i="1"/>
  <c r="P2944" i="1" s="1"/>
  <c r="N2944" i="1"/>
  <c r="Q2944" i="1" s="1"/>
  <c r="L2944" i="1"/>
  <c r="K2944" i="1"/>
  <c r="J2944" i="1"/>
  <c r="I2944" i="1"/>
  <c r="M2944" i="1" s="1"/>
  <c r="S2943" i="1"/>
  <c r="L2943" i="1"/>
  <c r="O2943" i="1" s="1"/>
  <c r="P2943" i="1" s="1"/>
  <c r="R2943" i="1" s="1"/>
  <c r="J2943" i="1"/>
  <c r="I2943" i="1"/>
  <c r="K2943" i="1" s="1"/>
  <c r="N2943" i="1" s="1"/>
  <c r="Q2943" i="1" s="1"/>
  <c r="S2942" i="1"/>
  <c r="P2942" i="1"/>
  <c r="R2942" i="1" s="1"/>
  <c r="L2942" i="1"/>
  <c r="O2942" i="1" s="1"/>
  <c r="J2942" i="1"/>
  <c r="I2942" i="1"/>
  <c r="K2942" i="1" s="1"/>
  <c r="N2942" i="1" s="1"/>
  <c r="Q2942" i="1" s="1"/>
  <c r="S2941" i="1"/>
  <c r="O2941" i="1"/>
  <c r="P2941" i="1" s="1"/>
  <c r="R2941" i="1" s="1"/>
  <c r="L2941" i="1"/>
  <c r="K2941" i="1"/>
  <c r="N2941" i="1" s="1"/>
  <c r="Q2941" i="1" s="1"/>
  <c r="J2941" i="1"/>
  <c r="I2941" i="1"/>
  <c r="M2941" i="1" s="1"/>
  <c r="S2940" i="1"/>
  <c r="O2940" i="1"/>
  <c r="P2940" i="1" s="1"/>
  <c r="R2940" i="1" s="1"/>
  <c r="N2940" i="1"/>
  <c r="Q2940" i="1" s="1"/>
  <c r="L2940" i="1"/>
  <c r="K2940" i="1"/>
  <c r="J2940" i="1"/>
  <c r="I2940" i="1"/>
  <c r="M2940" i="1" s="1"/>
  <c r="S2939" i="1"/>
  <c r="M2939" i="1"/>
  <c r="L2939" i="1"/>
  <c r="O2939" i="1" s="1"/>
  <c r="P2939" i="1" s="1"/>
  <c r="R2939" i="1" s="1"/>
  <c r="J2939" i="1"/>
  <c r="I2939" i="1"/>
  <c r="K2939" i="1" s="1"/>
  <c r="N2939" i="1" s="1"/>
  <c r="Q2939" i="1" s="1"/>
  <c r="S2938" i="1"/>
  <c r="P2938" i="1"/>
  <c r="R2938" i="1" s="1"/>
  <c r="L2938" i="1"/>
  <c r="O2938" i="1" s="1"/>
  <c r="J2938" i="1"/>
  <c r="I2938" i="1"/>
  <c r="K2938" i="1" s="1"/>
  <c r="N2938" i="1" s="1"/>
  <c r="Q2938" i="1" s="1"/>
  <c r="S2937" i="1"/>
  <c r="O2937" i="1"/>
  <c r="P2937" i="1" s="1"/>
  <c r="R2937" i="1" s="1"/>
  <c r="L2937" i="1"/>
  <c r="K2937" i="1"/>
  <c r="N2937" i="1" s="1"/>
  <c r="Q2937" i="1" s="1"/>
  <c r="J2937" i="1"/>
  <c r="I2937" i="1"/>
  <c r="M2937" i="1" s="1"/>
  <c r="S2936" i="1"/>
  <c r="R2936" i="1"/>
  <c r="O2936" i="1"/>
  <c r="P2936" i="1" s="1"/>
  <c r="N2936" i="1"/>
  <c r="Q2936" i="1" s="1"/>
  <c r="L2936" i="1"/>
  <c r="K2936" i="1"/>
  <c r="J2936" i="1"/>
  <c r="I2936" i="1"/>
  <c r="M2936" i="1" s="1"/>
  <c r="S2935" i="1"/>
  <c r="L2935" i="1"/>
  <c r="O2935" i="1" s="1"/>
  <c r="P2935" i="1" s="1"/>
  <c r="R2935" i="1" s="1"/>
  <c r="J2935" i="1"/>
  <c r="I2935" i="1"/>
  <c r="S2934" i="1"/>
  <c r="P2934" i="1"/>
  <c r="R2934" i="1" s="1"/>
  <c r="L2934" i="1"/>
  <c r="O2934" i="1" s="1"/>
  <c r="J2934" i="1"/>
  <c r="I2934" i="1"/>
  <c r="K2934" i="1" s="1"/>
  <c r="N2934" i="1" s="1"/>
  <c r="Q2934" i="1" s="1"/>
  <c r="S2933" i="1"/>
  <c r="O2933" i="1"/>
  <c r="P2933" i="1" s="1"/>
  <c r="R2933" i="1" s="1"/>
  <c r="L2933" i="1"/>
  <c r="K2933" i="1"/>
  <c r="N2933" i="1" s="1"/>
  <c r="Q2933" i="1" s="1"/>
  <c r="J2933" i="1"/>
  <c r="I2933" i="1"/>
  <c r="M2933" i="1" s="1"/>
  <c r="S2932" i="1"/>
  <c r="R2932" i="1"/>
  <c r="O2932" i="1"/>
  <c r="P2932" i="1" s="1"/>
  <c r="N2932" i="1"/>
  <c r="Q2932" i="1" s="1"/>
  <c r="L2932" i="1"/>
  <c r="K2932" i="1"/>
  <c r="J2932" i="1"/>
  <c r="I2932" i="1"/>
  <c r="M2932" i="1" s="1"/>
  <c r="S2931" i="1"/>
  <c r="L2931" i="1"/>
  <c r="O2931" i="1" s="1"/>
  <c r="P2931" i="1" s="1"/>
  <c r="R2931" i="1" s="1"/>
  <c r="J2931" i="1"/>
  <c r="I2931" i="1"/>
  <c r="K2931" i="1" s="1"/>
  <c r="N2931" i="1" s="1"/>
  <c r="Q2931" i="1" s="1"/>
  <c r="S2930" i="1"/>
  <c r="L2930" i="1"/>
  <c r="O2930" i="1" s="1"/>
  <c r="P2930" i="1" s="1"/>
  <c r="R2930" i="1" s="1"/>
  <c r="J2930" i="1"/>
  <c r="I2930" i="1"/>
  <c r="K2930" i="1" s="1"/>
  <c r="N2930" i="1" s="1"/>
  <c r="Q2930" i="1" s="1"/>
  <c r="S2929" i="1"/>
  <c r="O2929" i="1"/>
  <c r="P2929" i="1" s="1"/>
  <c r="R2929" i="1" s="1"/>
  <c r="L2929" i="1"/>
  <c r="K2929" i="1"/>
  <c r="N2929" i="1" s="1"/>
  <c r="Q2929" i="1" s="1"/>
  <c r="J2929" i="1"/>
  <c r="I2929" i="1"/>
  <c r="M2929" i="1" s="1"/>
  <c r="S2928" i="1"/>
  <c r="R2928" i="1"/>
  <c r="O2928" i="1"/>
  <c r="P2928" i="1" s="1"/>
  <c r="N2928" i="1"/>
  <c r="Q2928" i="1" s="1"/>
  <c r="L2928" i="1"/>
  <c r="K2928" i="1"/>
  <c r="J2928" i="1"/>
  <c r="I2928" i="1"/>
  <c r="M2928" i="1" s="1"/>
  <c r="S2927" i="1"/>
  <c r="L2927" i="1"/>
  <c r="O2927" i="1" s="1"/>
  <c r="P2927" i="1" s="1"/>
  <c r="R2927" i="1" s="1"/>
  <c r="J2927" i="1"/>
  <c r="I2927" i="1"/>
  <c r="K2927" i="1" s="1"/>
  <c r="N2927" i="1" s="1"/>
  <c r="Q2927" i="1" s="1"/>
  <c r="S2926" i="1"/>
  <c r="P2926" i="1"/>
  <c r="R2926" i="1" s="1"/>
  <c r="L2926" i="1"/>
  <c r="O2926" i="1" s="1"/>
  <c r="J2926" i="1"/>
  <c r="I2926" i="1"/>
  <c r="K2926" i="1" s="1"/>
  <c r="N2926" i="1" s="1"/>
  <c r="Q2926" i="1" s="1"/>
  <c r="S2925" i="1"/>
  <c r="O2925" i="1"/>
  <c r="P2925" i="1" s="1"/>
  <c r="R2925" i="1" s="1"/>
  <c r="L2925" i="1"/>
  <c r="K2925" i="1"/>
  <c r="N2925" i="1" s="1"/>
  <c r="Q2925" i="1" s="1"/>
  <c r="J2925" i="1"/>
  <c r="I2925" i="1"/>
  <c r="M2925" i="1" s="1"/>
  <c r="S2924" i="1"/>
  <c r="O2924" i="1"/>
  <c r="P2924" i="1" s="1"/>
  <c r="R2924" i="1" s="1"/>
  <c r="N2924" i="1"/>
  <c r="Q2924" i="1" s="1"/>
  <c r="L2924" i="1"/>
  <c r="K2924" i="1"/>
  <c r="J2924" i="1"/>
  <c r="I2924" i="1"/>
  <c r="M2924" i="1" s="1"/>
  <c r="S2923" i="1"/>
  <c r="M2923" i="1"/>
  <c r="L2923" i="1"/>
  <c r="O2923" i="1" s="1"/>
  <c r="P2923" i="1" s="1"/>
  <c r="R2923" i="1" s="1"/>
  <c r="J2923" i="1"/>
  <c r="I2923" i="1"/>
  <c r="K2923" i="1" s="1"/>
  <c r="N2923" i="1" s="1"/>
  <c r="Q2923" i="1" s="1"/>
  <c r="S2922" i="1"/>
  <c r="L2922" i="1"/>
  <c r="J2922" i="1"/>
  <c r="I2922" i="1"/>
  <c r="K2922" i="1" s="1"/>
  <c r="S2921" i="1"/>
  <c r="O2921" i="1"/>
  <c r="P2921" i="1" s="1"/>
  <c r="R2921" i="1" s="1"/>
  <c r="L2921" i="1"/>
  <c r="K2921" i="1"/>
  <c r="J2921" i="1"/>
  <c r="I2921" i="1"/>
  <c r="M2921" i="1" s="1"/>
  <c r="S2920" i="1"/>
  <c r="R2920" i="1"/>
  <c r="O2920" i="1"/>
  <c r="P2920" i="1" s="1"/>
  <c r="N2920" i="1"/>
  <c r="Q2920" i="1" s="1"/>
  <c r="L2920" i="1"/>
  <c r="K2920" i="1"/>
  <c r="J2920" i="1"/>
  <c r="I2920" i="1"/>
  <c r="M2920" i="1" s="1"/>
  <c r="S2919" i="1"/>
  <c r="L2919" i="1"/>
  <c r="O2919" i="1" s="1"/>
  <c r="P2919" i="1" s="1"/>
  <c r="R2919" i="1" s="1"/>
  <c r="J2919" i="1"/>
  <c r="I2919" i="1"/>
  <c r="S2918" i="1"/>
  <c r="P2918" i="1"/>
  <c r="R2918" i="1" s="1"/>
  <c r="L2918" i="1"/>
  <c r="O2918" i="1" s="1"/>
  <c r="J2918" i="1"/>
  <c r="I2918" i="1"/>
  <c r="K2918" i="1" s="1"/>
  <c r="N2918" i="1" s="1"/>
  <c r="Q2918" i="1" s="1"/>
  <c r="S2917" i="1"/>
  <c r="O2917" i="1"/>
  <c r="P2917" i="1" s="1"/>
  <c r="R2917" i="1" s="1"/>
  <c r="L2917" i="1"/>
  <c r="K2917" i="1"/>
  <c r="N2917" i="1" s="1"/>
  <c r="Q2917" i="1" s="1"/>
  <c r="J2917" i="1"/>
  <c r="I2917" i="1"/>
  <c r="M2917" i="1" s="1"/>
  <c r="S2916" i="1"/>
  <c r="R2916" i="1"/>
  <c r="O2916" i="1"/>
  <c r="P2916" i="1" s="1"/>
  <c r="N2916" i="1"/>
  <c r="Q2916" i="1" s="1"/>
  <c r="L2916" i="1"/>
  <c r="K2916" i="1"/>
  <c r="J2916" i="1"/>
  <c r="I2916" i="1"/>
  <c r="M2916" i="1" s="1"/>
  <c r="S2915" i="1"/>
  <c r="L2915" i="1"/>
  <c r="O2915" i="1" s="1"/>
  <c r="P2915" i="1" s="1"/>
  <c r="R2915" i="1" s="1"/>
  <c r="J2915" i="1"/>
  <c r="I2915" i="1"/>
  <c r="K2915" i="1" s="1"/>
  <c r="N2915" i="1" s="1"/>
  <c r="Q2915" i="1" s="1"/>
  <c r="S2914" i="1"/>
  <c r="L2914" i="1"/>
  <c r="O2914" i="1" s="1"/>
  <c r="P2914" i="1" s="1"/>
  <c r="R2914" i="1" s="1"/>
  <c r="J2914" i="1"/>
  <c r="I2914" i="1"/>
  <c r="K2914" i="1" s="1"/>
  <c r="N2914" i="1" s="1"/>
  <c r="Q2914" i="1" s="1"/>
  <c r="S2913" i="1"/>
  <c r="O2913" i="1"/>
  <c r="P2913" i="1" s="1"/>
  <c r="R2913" i="1" s="1"/>
  <c r="L2913" i="1"/>
  <c r="K2913" i="1"/>
  <c r="N2913" i="1" s="1"/>
  <c r="Q2913" i="1" s="1"/>
  <c r="J2913" i="1"/>
  <c r="I2913" i="1"/>
  <c r="M2913" i="1" s="1"/>
  <c r="S2912" i="1"/>
  <c r="R2912" i="1"/>
  <c r="O2912" i="1"/>
  <c r="P2912" i="1" s="1"/>
  <c r="N2912" i="1"/>
  <c r="Q2912" i="1" s="1"/>
  <c r="L2912" i="1"/>
  <c r="K2912" i="1"/>
  <c r="J2912" i="1"/>
  <c r="I2912" i="1"/>
  <c r="M2912" i="1" s="1"/>
  <c r="S2911" i="1"/>
  <c r="L2911" i="1"/>
  <c r="O2911" i="1" s="1"/>
  <c r="P2911" i="1" s="1"/>
  <c r="R2911" i="1" s="1"/>
  <c r="J2911" i="1"/>
  <c r="I2911" i="1"/>
  <c r="K2911" i="1" s="1"/>
  <c r="N2911" i="1" s="1"/>
  <c r="Q2911" i="1" s="1"/>
  <c r="S2910" i="1"/>
  <c r="P2910" i="1"/>
  <c r="R2910" i="1" s="1"/>
  <c r="L2910" i="1"/>
  <c r="O2910" i="1" s="1"/>
  <c r="J2910" i="1"/>
  <c r="I2910" i="1"/>
  <c r="K2910" i="1" s="1"/>
  <c r="N2910" i="1" s="1"/>
  <c r="Q2910" i="1" s="1"/>
  <c r="S2909" i="1"/>
  <c r="O2909" i="1"/>
  <c r="P2909" i="1" s="1"/>
  <c r="R2909" i="1" s="1"/>
  <c r="L2909" i="1"/>
  <c r="K2909" i="1"/>
  <c r="N2909" i="1" s="1"/>
  <c r="Q2909" i="1" s="1"/>
  <c r="J2909" i="1"/>
  <c r="I2909" i="1"/>
  <c r="M2909" i="1" s="1"/>
  <c r="S2908" i="1"/>
  <c r="O2908" i="1"/>
  <c r="P2908" i="1" s="1"/>
  <c r="R2908" i="1" s="1"/>
  <c r="N2908" i="1"/>
  <c r="Q2908" i="1" s="1"/>
  <c r="L2908" i="1"/>
  <c r="K2908" i="1"/>
  <c r="J2908" i="1"/>
  <c r="I2908" i="1"/>
  <c r="M2908" i="1" s="1"/>
  <c r="S2907" i="1"/>
  <c r="M2907" i="1"/>
  <c r="L2907" i="1"/>
  <c r="O2907" i="1" s="1"/>
  <c r="P2907" i="1" s="1"/>
  <c r="R2907" i="1" s="1"/>
  <c r="J2907" i="1"/>
  <c r="I2907" i="1"/>
  <c r="K2907" i="1" s="1"/>
  <c r="N2907" i="1" s="1"/>
  <c r="Q2907" i="1" s="1"/>
  <c r="S2906" i="1"/>
  <c r="P2906" i="1"/>
  <c r="R2906" i="1" s="1"/>
  <c r="L2906" i="1"/>
  <c r="O2906" i="1" s="1"/>
  <c r="J2906" i="1"/>
  <c r="I2906" i="1"/>
  <c r="K2906" i="1" s="1"/>
  <c r="N2906" i="1" s="1"/>
  <c r="Q2906" i="1" s="1"/>
  <c r="S2905" i="1"/>
  <c r="O2905" i="1"/>
  <c r="P2905" i="1" s="1"/>
  <c r="R2905" i="1" s="1"/>
  <c r="L2905" i="1"/>
  <c r="K2905" i="1"/>
  <c r="N2905" i="1" s="1"/>
  <c r="Q2905" i="1" s="1"/>
  <c r="J2905" i="1"/>
  <c r="I2905" i="1"/>
  <c r="M2905" i="1" s="1"/>
  <c r="S2904" i="1"/>
  <c r="R2904" i="1"/>
  <c r="O2904" i="1"/>
  <c r="P2904" i="1" s="1"/>
  <c r="N2904" i="1"/>
  <c r="Q2904" i="1" s="1"/>
  <c r="L2904" i="1"/>
  <c r="K2904" i="1"/>
  <c r="J2904" i="1"/>
  <c r="I2904" i="1"/>
  <c r="M2904" i="1" s="1"/>
  <c r="S2903" i="1"/>
  <c r="L2903" i="1"/>
  <c r="O2903" i="1" s="1"/>
  <c r="P2903" i="1" s="1"/>
  <c r="R2903" i="1" s="1"/>
  <c r="J2903" i="1"/>
  <c r="I2903" i="1"/>
  <c r="S2902" i="1"/>
  <c r="P2902" i="1"/>
  <c r="R2902" i="1" s="1"/>
  <c r="L2902" i="1"/>
  <c r="O2902" i="1" s="1"/>
  <c r="J2902" i="1"/>
  <c r="I2902" i="1"/>
  <c r="K2902" i="1" s="1"/>
  <c r="N2902" i="1" s="1"/>
  <c r="Q2902" i="1" s="1"/>
  <c r="S2901" i="1"/>
  <c r="O2901" i="1"/>
  <c r="P2901" i="1" s="1"/>
  <c r="R2901" i="1" s="1"/>
  <c r="L2901" i="1"/>
  <c r="K2901" i="1"/>
  <c r="N2901" i="1" s="1"/>
  <c r="Q2901" i="1" s="1"/>
  <c r="J2901" i="1"/>
  <c r="I2901" i="1"/>
  <c r="M2901" i="1" s="1"/>
  <c r="S2900" i="1"/>
  <c r="R2900" i="1"/>
  <c r="O2900" i="1"/>
  <c r="P2900" i="1" s="1"/>
  <c r="N2900" i="1"/>
  <c r="Q2900" i="1" s="1"/>
  <c r="L2900" i="1"/>
  <c r="K2900" i="1"/>
  <c r="J2900" i="1"/>
  <c r="I2900" i="1"/>
  <c r="M2900" i="1" s="1"/>
  <c r="S2899" i="1"/>
  <c r="L2899" i="1"/>
  <c r="O2899" i="1" s="1"/>
  <c r="P2899" i="1" s="1"/>
  <c r="R2899" i="1" s="1"/>
  <c r="J2899" i="1"/>
  <c r="I2899" i="1"/>
  <c r="K2899" i="1" s="1"/>
  <c r="N2899" i="1" s="1"/>
  <c r="Q2899" i="1" s="1"/>
  <c r="S2898" i="1"/>
  <c r="L2898" i="1"/>
  <c r="O2898" i="1" s="1"/>
  <c r="P2898" i="1" s="1"/>
  <c r="R2898" i="1" s="1"/>
  <c r="J2898" i="1"/>
  <c r="I2898" i="1"/>
  <c r="K2898" i="1" s="1"/>
  <c r="N2898" i="1" s="1"/>
  <c r="Q2898" i="1" s="1"/>
  <c r="S2897" i="1"/>
  <c r="O2897" i="1"/>
  <c r="P2897" i="1" s="1"/>
  <c r="R2897" i="1" s="1"/>
  <c r="L2897" i="1"/>
  <c r="K2897" i="1"/>
  <c r="N2897" i="1" s="1"/>
  <c r="Q2897" i="1" s="1"/>
  <c r="J2897" i="1"/>
  <c r="I2897" i="1"/>
  <c r="M2897" i="1" s="1"/>
  <c r="S2896" i="1"/>
  <c r="R2896" i="1"/>
  <c r="O2896" i="1"/>
  <c r="P2896" i="1" s="1"/>
  <c r="N2896" i="1"/>
  <c r="Q2896" i="1" s="1"/>
  <c r="L2896" i="1"/>
  <c r="K2896" i="1"/>
  <c r="J2896" i="1"/>
  <c r="I2896" i="1"/>
  <c r="M2896" i="1" s="1"/>
  <c r="S2895" i="1"/>
  <c r="L2895" i="1"/>
  <c r="O2895" i="1" s="1"/>
  <c r="P2895" i="1" s="1"/>
  <c r="R2895" i="1" s="1"/>
  <c r="J2895" i="1"/>
  <c r="I2895" i="1"/>
  <c r="K2895" i="1" s="1"/>
  <c r="N2895" i="1" s="1"/>
  <c r="Q2895" i="1" s="1"/>
  <c r="S2894" i="1"/>
  <c r="P2894" i="1"/>
  <c r="R2894" i="1" s="1"/>
  <c r="L2894" i="1"/>
  <c r="O2894" i="1" s="1"/>
  <c r="J2894" i="1"/>
  <c r="I2894" i="1"/>
  <c r="K2894" i="1" s="1"/>
  <c r="N2894" i="1" s="1"/>
  <c r="Q2894" i="1" s="1"/>
  <c r="S2893" i="1"/>
  <c r="O2893" i="1"/>
  <c r="P2893" i="1" s="1"/>
  <c r="R2893" i="1" s="1"/>
  <c r="L2893" i="1"/>
  <c r="K2893" i="1"/>
  <c r="N2893" i="1" s="1"/>
  <c r="Q2893" i="1" s="1"/>
  <c r="J2893" i="1"/>
  <c r="I2893" i="1"/>
  <c r="M2893" i="1" s="1"/>
  <c r="S2892" i="1"/>
  <c r="O2892" i="1"/>
  <c r="P2892" i="1" s="1"/>
  <c r="R2892" i="1" s="1"/>
  <c r="N2892" i="1"/>
  <c r="Q2892" i="1" s="1"/>
  <c r="L2892" i="1"/>
  <c r="K2892" i="1"/>
  <c r="J2892" i="1"/>
  <c r="I2892" i="1"/>
  <c r="M2892" i="1" s="1"/>
  <c r="S2891" i="1"/>
  <c r="M2891" i="1"/>
  <c r="L2891" i="1"/>
  <c r="O2891" i="1" s="1"/>
  <c r="P2891" i="1" s="1"/>
  <c r="R2891" i="1" s="1"/>
  <c r="J2891" i="1"/>
  <c r="I2891" i="1"/>
  <c r="K2891" i="1" s="1"/>
  <c r="N2891" i="1" s="1"/>
  <c r="Q2891" i="1" s="1"/>
  <c r="S2890" i="1"/>
  <c r="P2890" i="1"/>
  <c r="R2890" i="1" s="1"/>
  <c r="L2890" i="1"/>
  <c r="O2890" i="1" s="1"/>
  <c r="J2890" i="1"/>
  <c r="I2890" i="1"/>
  <c r="K2890" i="1" s="1"/>
  <c r="N2890" i="1" s="1"/>
  <c r="Q2890" i="1" s="1"/>
  <c r="S2889" i="1"/>
  <c r="O2889" i="1"/>
  <c r="P2889" i="1" s="1"/>
  <c r="R2889" i="1" s="1"/>
  <c r="L2889" i="1"/>
  <c r="K2889" i="1"/>
  <c r="N2889" i="1" s="1"/>
  <c r="Q2889" i="1" s="1"/>
  <c r="J2889" i="1"/>
  <c r="I2889" i="1"/>
  <c r="M2889" i="1" s="1"/>
  <c r="S2888" i="1"/>
  <c r="R2888" i="1"/>
  <c r="O2888" i="1"/>
  <c r="P2888" i="1" s="1"/>
  <c r="N2888" i="1"/>
  <c r="Q2888" i="1" s="1"/>
  <c r="L2888" i="1"/>
  <c r="K2888" i="1"/>
  <c r="J2888" i="1"/>
  <c r="I2888" i="1"/>
  <c r="M2888" i="1" s="1"/>
  <c r="S2887" i="1"/>
  <c r="L2887" i="1"/>
  <c r="O2887" i="1" s="1"/>
  <c r="P2887" i="1" s="1"/>
  <c r="R2887" i="1" s="1"/>
  <c r="J2887" i="1"/>
  <c r="I2887" i="1"/>
  <c r="S2886" i="1"/>
  <c r="P2886" i="1"/>
  <c r="R2886" i="1" s="1"/>
  <c r="L2886" i="1"/>
  <c r="O2886" i="1" s="1"/>
  <c r="J2886" i="1"/>
  <c r="I2886" i="1"/>
  <c r="K2886" i="1" s="1"/>
  <c r="N2886" i="1" s="1"/>
  <c r="Q2886" i="1" s="1"/>
  <c r="S2885" i="1"/>
  <c r="O2885" i="1"/>
  <c r="P2885" i="1" s="1"/>
  <c r="R2885" i="1" s="1"/>
  <c r="L2885" i="1"/>
  <c r="K2885" i="1"/>
  <c r="N2885" i="1" s="1"/>
  <c r="Q2885" i="1" s="1"/>
  <c r="J2885" i="1"/>
  <c r="I2885" i="1"/>
  <c r="M2885" i="1" s="1"/>
  <c r="S2884" i="1"/>
  <c r="R2884" i="1"/>
  <c r="O2884" i="1"/>
  <c r="P2884" i="1" s="1"/>
  <c r="N2884" i="1"/>
  <c r="Q2884" i="1" s="1"/>
  <c r="L2884" i="1"/>
  <c r="K2884" i="1"/>
  <c r="J2884" i="1"/>
  <c r="I2884" i="1"/>
  <c r="M2884" i="1" s="1"/>
  <c r="S2883" i="1"/>
  <c r="L2883" i="1"/>
  <c r="O2883" i="1" s="1"/>
  <c r="P2883" i="1" s="1"/>
  <c r="R2883" i="1" s="1"/>
  <c r="J2883" i="1"/>
  <c r="I2883" i="1"/>
  <c r="K2883" i="1" s="1"/>
  <c r="N2883" i="1" s="1"/>
  <c r="Q2883" i="1" s="1"/>
  <c r="S2882" i="1"/>
  <c r="L2882" i="1"/>
  <c r="O2882" i="1" s="1"/>
  <c r="P2882" i="1" s="1"/>
  <c r="R2882" i="1" s="1"/>
  <c r="J2882" i="1"/>
  <c r="I2882" i="1"/>
  <c r="K2882" i="1" s="1"/>
  <c r="N2882" i="1" s="1"/>
  <c r="Q2882" i="1" s="1"/>
  <c r="S2881" i="1"/>
  <c r="O2881" i="1"/>
  <c r="P2881" i="1" s="1"/>
  <c r="R2881" i="1" s="1"/>
  <c r="L2881" i="1"/>
  <c r="K2881" i="1"/>
  <c r="N2881" i="1" s="1"/>
  <c r="Q2881" i="1" s="1"/>
  <c r="J2881" i="1"/>
  <c r="I2881" i="1"/>
  <c r="M2881" i="1" s="1"/>
  <c r="S2880" i="1"/>
  <c r="R2880" i="1"/>
  <c r="O2880" i="1"/>
  <c r="P2880" i="1" s="1"/>
  <c r="N2880" i="1"/>
  <c r="Q2880" i="1" s="1"/>
  <c r="L2880" i="1"/>
  <c r="K2880" i="1"/>
  <c r="J2880" i="1"/>
  <c r="I2880" i="1"/>
  <c r="M2880" i="1" s="1"/>
  <c r="S2879" i="1"/>
  <c r="L2879" i="1"/>
  <c r="O2879" i="1" s="1"/>
  <c r="P2879" i="1" s="1"/>
  <c r="R2879" i="1" s="1"/>
  <c r="J2879" i="1"/>
  <c r="I2879" i="1"/>
  <c r="K2879" i="1" s="1"/>
  <c r="N2879" i="1" s="1"/>
  <c r="Q2879" i="1" s="1"/>
  <c r="S2878" i="1"/>
  <c r="P2878" i="1"/>
  <c r="R2878" i="1" s="1"/>
  <c r="L2878" i="1"/>
  <c r="O2878" i="1" s="1"/>
  <c r="J2878" i="1"/>
  <c r="I2878" i="1"/>
  <c r="K2878" i="1" s="1"/>
  <c r="N2878" i="1" s="1"/>
  <c r="Q2878" i="1" s="1"/>
  <c r="S2877" i="1"/>
  <c r="O2877" i="1"/>
  <c r="P2877" i="1" s="1"/>
  <c r="R2877" i="1" s="1"/>
  <c r="L2877" i="1"/>
  <c r="K2877" i="1"/>
  <c r="N2877" i="1" s="1"/>
  <c r="Q2877" i="1" s="1"/>
  <c r="J2877" i="1"/>
  <c r="I2877" i="1"/>
  <c r="M2877" i="1" s="1"/>
  <c r="S2876" i="1"/>
  <c r="O2876" i="1"/>
  <c r="P2876" i="1" s="1"/>
  <c r="R2876" i="1" s="1"/>
  <c r="N2876" i="1"/>
  <c r="Q2876" i="1" s="1"/>
  <c r="L2876" i="1"/>
  <c r="K2876" i="1"/>
  <c r="J2876" i="1"/>
  <c r="I2876" i="1"/>
  <c r="M2876" i="1" s="1"/>
  <c r="S2875" i="1"/>
  <c r="M2875" i="1"/>
  <c r="L2875" i="1"/>
  <c r="O2875" i="1" s="1"/>
  <c r="P2875" i="1" s="1"/>
  <c r="R2875" i="1" s="1"/>
  <c r="J2875" i="1"/>
  <c r="I2875" i="1"/>
  <c r="K2875" i="1" s="1"/>
  <c r="N2875" i="1" s="1"/>
  <c r="Q2875" i="1" s="1"/>
  <c r="S2874" i="1"/>
  <c r="P2874" i="1"/>
  <c r="R2874" i="1" s="1"/>
  <c r="L2874" i="1"/>
  <c r="O2874" i="1" s="1"/>
  <c r="J2874" i="1"/>
  <c r="I2874" i="1"/>
  <c r="K2874" i="1" s="1"/>
  <c r="N2874" i="1" s="1"/>
  <c r="Q2874" i="1" s="1"/>
  <c r="S2873" i="1"/>
  <c r="O2873" i="1"/>
  <c r="P2873" i="1" s="1"/>
  <c r="R2873" i="1" s="1"/>
  <c r="L2873" i="1"/>
  <c r="K2873" i="1"/>
  <c r="N2873" i="1" s="1"/>
  <c r="Q2873" i="1" s="1"/>
  <c r="J2873" i="1"/>
  <c r="I2873" i="1"/>
  <c r="M2873" i="1" s="1"/>
  <c r="S2872" i="1"/>
  <c r="R2872" i="1"/>
  <c r="O2872" i="1"/>
  <c r="P2872" i="1" s="1"/>
  <c r="N2872" i="1"/>
  <c r="Q2872" i="1" s="1"/>
  <c r="L2872" i="1"/>
  <c r="K2872" i="1"/>
  <c r="J2872" i="1"/>
  <c r="I2872" i="1"/>
  <c r="M2872" i="1" s="1"/>
  <c r="S2871" i="1"/>
  <c r="L2871" i="1"/>
  <c r="O2871" i="1" s="1"/>
  <c r="P2871" i="1" s="1"/>
  <c r="R2871" i="1" s="1"/>
  <c r="J2871" i="1"/>
  <c r="I2871" i="1"/>
  <c r="S2870" i="1"/>
  <c r="P2870" i="1"/>
  <c r="R2870" i="1" s="1"/>
  <c r="L2870" i="1"/>
  <c r="O2870" i="1" s="1"/>
  <c r="J2870" i="1"/>
  <c r="I2870" i="1"/>
  <c r="K2870" i="1" s="1"/>
  <c r="N2870" i="1" s="1"/>
  <c r="Q2870" i="1" s="1"/>
  <c r="S2869" i="1"/>
  <c r="O2869" i="1"/>
  <c r="P2869" i="1" s="1"/>
  <c r="R2869" i="1" s="1"/>
  <c r="L2869" i="1"/>
  <c r="K2869" i="1"/>
  <c r="N2869" i="1" s="1"/>
  <c r="Q2869" i="1" s="1"/>
  <c r="J2869" i="1"/>
  <c r="I2869" i="1"/>
  <c r="M2869" i="1" s="1"/>
  <c r="S2868" i="1"/>
  <c r="R2868" i="1"/>
  <c r="O2868" i="1"/>
  <c r="P2868" i="1" s="1"/>
  <c r="N2868" i="1"/>
  <c r="Q2868" i="1" s="1"/>
  <c r="L2868" i="1"/>
  <c r="K2868" i="1"/>
  <c r="J2868" i="1"/>
  <c r="I2868" i="1"/>
  <c r="M2868" i="1" s="1"/>
  <c r="S2867" i="1"/>
  <c r="L2867" i="1"/>
  <c r="O2867" i="1" s="1"/>
  <c r="P2867" i="1" s="1"/>
  <c r="R2867" i="1" s="1"/>
  <c r="J2867" i="1"/>
  <c r="I2867" i="1"/>
  <c r="K2867" i="1" s="1"/>
  <c r="N2867" i="1" s="1"/>
  <c r="Q2867" i="1" s="1"/>
  <c r="S2866" i="1"/>
  <c r="L2866" i="1"/>
  <c r="O2866" i="1" s="1"/>
  <c r="P2866" i="1" s="1"/>
  <c r="R2866" i="1" s="1"/>
  <c r="J2866" i="1"/>
  <c r="I2866" i="1"/>
  <c r="K2866" i="1" s="1"/>
  <c r="N2866" i="1" s="1"/>
  <c r="Q2866" i="1" s="1"/>
  <c r="S2865" i="1"/>
  <c r="O2865" i="1"/>
  <c r="P2865" i="1" s="1"/>
  <c r="R2865" i="1" s="1"/>
  <c r="L2865" i="1"/>
  <c r="K2865" i="1"/>
  <c r="N2865" i="1" s="1"/>
  <c r="Q2865" i="1" s="1"/>
  <c r="J2865" i="1"/>
  <c r="I2865" i="1"/>
  <c r="M2865" i="1" s="1"/>
  <c r="S2864" i="1"/>
  <c r="R2864" i="1"/>
  <c r="O2864" i="1"/>
  <c r="P2864" i="1" s="1"/>
  <c r="N2864" i="1"/>
  <c r="Q2864" i="1" s="1"/>
  <c r="L2864" i="1"/>
  <c r="K2864" i="1"/>
  <c r="J2864" i="1"/>
  <c r="I2864" i="1"/>
  <c r="M2864" i="1" s="1"/>
  <c r="S2863" i="1"/>
  <c r="L2863" i="1"/>
  <c r="O2863" i="1" s="1"/>
  <c r="P2863" i="1" s="1"/>
  <c r="R2863" i="1" s="1"/>
  <c r="J2863" i="1"/>
  <c r="I2863" i="1"/>
  <c r="K2863" i="1" s="1"/>
  <c r="N2863" i="1" s="1"/>
  <c r="Q2863" i="1" s="1"/>
  <c r="S2862" i="1"/>
  <c r="P2862" i="1"/>
  <c r="R2862" i="1" s="1"/>
  <c r="L2862" i="1"/>
  <c r="O2862" i="1" s="1"/>
  <c r="J2862" i="1"/>
  <c r="I2862" i="1"/>
  <c r="K2862" i="1" s="1"/>
  <c r="N2862" i="1" s="1"/>
  <c r="Q2862" i="1" s="1"/>
  <c r="S2861" i="1"/>
  <c r="O2861" i="1"/>
  <c r="P2861" i="1" s="1"/>
  <c r="R2861" i="1" s="1"/>
  <c r="L2861" i="1"/>
  <c r="K2861" i="1"/>
  <c r="N2861" i="1" s="1"/>
  <c r="Q2861" i="1" s="1"/>
  <c r="J2861" i="1"/>
  <c r="I2861" i="1"/>
  <c r="M2861" i="1" s="1"/>
  <c r="S2860" i="1"/>
  <c r="O2860" i="1"/>
  <c r="P2860" i="1" s="1"/>
  <c r="R2860" i="1" s="1"/>
  <c r="N2860" i="1"/>
  <c r="Q2860" i="1" s="1"/>
  <c r="L2860" i="1"/>
  <c r="K2860" i="1"/>
  <c r="J2860" i="1"/>
  <c r="I2860" i="1"/>
  <c r="M2860" i="1" s="1"/>
  <c r="S2859" i="1"/>
  <c r="M2859" i="1"/>
  <c r="L2859" i="1"/>
  <c r="O2859" i="1" s="1"/>
  <c r="P2859" i="1" s="1"/>
  <c r="R2859" i="1" s="1"/>
  <c r="J2859" i="1"/>
  <c r="I2859" i="1"/>
  <c r="K2859" i="1" s="1"/>
  <c r="N2859" i="1" s="1"/>
  <c r="Q2859" i="1" s="1"/>
  <c r="S2858" i="1"/>
  <c r="P2858" i="1"/>
  <c r="R2858" i="1" s="1"/>
  <c r="L2858" i="1"/>
  <c r="O2858" i="1" s="1"/>
  <c r="J2858" i="1"/>
  <c r="I2858" i="1"/>
  <c r="K2858" i="1" s="1"/>
  <c r="N2858" i="1" s="1"/>
  <c r="Q2858" i="1" s="1"/>
  <c r="S2857" i="1"/>
  <c r="O2857" i="1"/>
  <c r="P2857" i="1" s="1"/>
  <c r="R2857" i="1" s="1"/>
  <c r="L2857" i="1"/>
  <c r="K2857" i="1"/>
  <c r="N2857" i="1" s="1"/>
  <c r="Q2857" i="1" s="1"/>
  <c r="J2857" i="1"/>
  <c r="I2857" i="1"/>
  <c r="M2857" i="1" s="1"/>
  <c r="S2856" i="1"/>
  <c r="R2856" i="1"/>
  <c r="O2856" i="1"/>
  <c r="P2856" i="1" s="1"/>
  <c r="N2856" i="1"/>
  <c r="Q2856" i="1" s="1"/>
  <c r="L2856" i="1"/>
  <c r="K2856" i="1"/>
  <c r="J2856" i="1"/>
  <c r="I2856" i="1"/>
  <c r="M2856" i="1" s="1"/>
  <c r="S2855" i="1"/>
  <c r="L2855" i="1"/>
  <c r="O2855" i="1" s="1"/>
  <c r="P2855" i="1" s="1"/>
  <c r="R2855" i="1" s="1"/>
  <c r="J2855" i="1"/>
  <c r="I2855" i="1"/>
  <c r="S2854" i="1"/>
  <c r="P2854" i="1"/>
  <c r="R2854" i="1" s="1"/>
  <c r="L2854" i="1"/>
  <c r="O2854" i="1" s="1"/>
  <c r="J2854" i="1"/>
  <c r="I2854" i="1"/>
  <c r="K2854" i="1" s="1"/>
  <c r="N2854" i="1" s="1"/>
  <c r="Q2854" i="1" s="1"/>
  <c r="S2853" i="1"/>
  <c r="O2853" i="1"/>
  <c r="P2853" i="1" s="1"/>
  <c r="R2853" i="1" s="1"/>
  <c r="L2853" i="1"/>
  <c r="K2853" i="1"/>
  <c r="N2853" i="1" s="1"/>
  <c r="Q2853" i="1" s="1"/>
  <c r="J2853" i="1"/>
  <c r="I2853" i="1"/>
  <c r="M2853" i="1" s="1"/>
  <c r="S2852" i="1"/>
  <c r="R2852" i="1"/>
  <c r="O2852" i="1"/>
  <c r="P2852" i="1" s="1"/>
  <c r="N2852" i="1"/>
  <c r="Q2852" i="1" s="1"/>
  <c r="L2852" i="1"/>
  <c r="K2852" i="1"/>
  <c r="J2852" i="1"/>
  <c r="I2852" i="1"/>
  <c r="M2852" i="1" s="1"/>
  <c r="S2851" i="1"/>
  <c r="L2851" i="1"/>
  <c r="O2851" i="1" s="1"/>
  <c r="P2851" i="1" s="1"/>
  <c r="R2851" i="1" s="1"/>
  <c r="J2851" i="1"/>
  <c r="I2851" i="1"/>
  <c r="K2851" i="1" s="1"/>
  <c r="N2851" i="1" s="1"/>
  <c r="Q2851" i="1" s="1"/>
  <c r="S2850" i="1"/>
  <c r="L2850" i="1"/>
  <c r="O2850" i="1" s="1"/>
  <c r="P2850" i="1" s="1"/>
  <c r="R2850" i="1" s="1"/>
  <c r="J2850" i="1"/>
  <c r="I2850" i="1"/>
  <c r="K2850" i="1" s="1"/>
  <c r="N2850" i="1" s="1"/>
  <c r="Q2850" i="1" s="1"/>
  <c r="S2849" i="1"/>
  <c r="O2849" i="1"/>
  <c r="P2849" i="1" s="1"/>
  <c r="R2849" i="1" s="1"/>
  <c r="L2849" i="1"/>
  <c r="K2849" i="1"/>
  <c r="N2849" i="1" s="1"/>
  <c r="Q2849" i="1" s="1"/>
  <c r="J2849" i="1"/>
  <c r="I2849" i="1"/>
  <c r="M2849" i="1" s="1"/>
  <c r="S2848" i="1"/>
  <c r="R2848" i="1"/>
  <c r="O2848" i="1"/>
  <c r="P2848" i="1" s="1"/>
  <c r="N2848" i="1"/>
  <c r="Q2848" i="1" s="1"/>
  <c r="L2848" i="1"/>
  <c r="K2848" i="1"/>
  <c r="J2848" i="1"/>
  <c r="I2848" i="1"/>
  <c r="M2848" i="1" s="1"/>
  <c r="S2847" i="1"/>
  <c r="L2847" i="1"/>
  <c r="O2847" i="1" s="1"/>
  <c r="P2847" i="1" s="1"/>
  <c r="R2847" i="1" s="1"/>
  <c r="J2847" i="1"/>
  <c r="I2847" i="1"/>
  <c r="S2846" i="1"/>
  <c r="Q2846" i="1"/>
  <c r="M2846" i="1"/>
  <c r="L2846" i="1"/>
  <c r="O2846" i="1" s="1"/>
  <c r="P2846" i="1" s="1"/>
  <c r="R2846" i="1" s="1"/>
  <c r="J2846" i="1"/>
  <c r="I2846" i="1"/>
  <c r="K2846" i="1" s="1"/>
  <c r="N2846" i="1" s="1"/>
  <c r="S2845" i="1"/>
  <c r="P2845" i="1"/>
  <c r="R2845" i="1" s="1"/>
  <c r="O2845" i="1"/>
  <c r="L2845" i="1"/>
  <c r="K2845" i="1"/>
  <c r="N2845" i="1" s="1"/>
  <c r="Q2845" i="1" s="1"/>
  <c r="J2845" i="1"/>
  <c r="I2845" i="1"/>
  <c r="M2845" i="1" s="1"/>
  <c r="S2844" i="1"/>
  <c r="R2844" i="1"/>
  <c r="O2844" i="1"/>
  <c r="P2844" i="1" s="1"/>
  <c r="L2844" i="1"/>
  <c r="K2844" i="1"/>
  <c r="N2844" i="1" s="1"/>
  <c r="Q2844" i="1" s="1"/>
  <c r="J2844" i="1"/>
  <c r="I2844" i="1"/>
  <c r="M2844" i="1" s="1"/>
  <c r="S2843" i="1"/>
  <c r="L2843" i="1"/>
  <c r="O2843" i="1" s="1"/>
  <c r="P2843" i="1" s="1"/>
  <c r="R2843" i="1" s="1"/>
  <c r="J2843" i="1"/>
  <c r="I2843" i="1"/>
  <c r="K2843" i="1" s="1"/>
  <c r="N2843" i="1" s="1"/>
  <c r="Q2843" i="1" s="1"/>
  <c r="S2842" i="1"/>
  <c r="Q2842" i="1"/>
  <c r="P2842" i="1"/>
  <c r="R2842" i="1" s="1"/>
  <c r="L2842" i="1"/>
  <c r="O2842" i="1" s="1"/>
  <c r="J2842" i="1"/>
  <c r="I2842" i="1"/>
  <c r="K2842" i="1" s="1"/>
  <c r="N2842" i="1" s="1"/>
  <c r="S2841" i="1"/>
  <c r="O2841" i="1"/>
  <c r="P2841" i="1" s="1"/>
  <c r="R2841" i="1" s="1"/>
  <c r="L2841" i="1"/>
  <c r="K2841" i="1"/>
  <c r="N2841" i="1" s="1"/>
  <c r="Q2841" i="1" s="1"/>
  <c r="J2841" i="1"/>
  <c r="I2841" i="1"/>
  <c r="M2841" i="1" s="1"/>
  <c r="S2840" i="1"/>
  <c r="R2840" i="1"/>
  <c r="O2840" i="1"/>
  <c r="P2840" i="1" s="1"/>
  <c r="N2840" i="1"/>
  <c r="Q2840" i="1" s="1"/>
  <c r="L2840" i="1"/>
  <c r="K2840" i="1"/>
  <c r="J2840" i="1"/>
  <c r="I2840" i="1"/>
  <c r="M2840" i="1" s="1"/>
  <c r="S2839" i="1"/>
  <c r="L2839" i="1"/>
  <c r="O2839" i="1" s="1"/>
  <c r="P2839" i="1" s="1"/>
  <c r="R2839" i="1" s="1"/>
  <c r="J2839" i="1"/>
  <c r="I2839" i="1"/>
  <c r="S2838" i="1"/>
  <c r="Q2838" i="1"/>
  <c r="M2838" i="1"/>
  <c r="L2838" i="1"/>
  <c r="O2838" i="1" s="1"/>
  <c r="P2838" i="1" s="1"/>
  <c r="R2838" i="1" s="1"/>
  <c r="J2838" i="1"/>
  <c r="I2838" i="1"/>
  <c r="K2838" i="1" s="1"/>
  <c r="N2838" i="1" s="1"/>
  <c r="S2837" i="1"/>
  <c r="P2837" i="1"/>
  <c r="R2837" i="1" s="1"/>
  <c r="O2837" i="1"/>
  <c r="L2837" i="1"/>
  <c r="K2837" i="1"/>
  <c r="N2837" i="1" s="1"/>
  <c r="Q2837" i="1" s="1"/>
  <c r="J2837" i="1"/>
  <c r="I2837" i="1"/>
  <c r="M2837" i="1" s="1"/>
  <c r="S2836" i="1"/>
  <c r="R2836" i="1"/>
  <c r="O2836" i="1"/>
  <c r="P2836" i="1" s="1"/>
  <c r="L2836" i="1"/>
  <c r="K2836" i="1"/>
  <c r="N2836" i="1" s="1"/>
  <c r="Q2836" i="1" s="1"/>
  <c r="J2836" i="1"/>
  <c r="I2836" i="1"/>
  <c r="M2836" i="1" s="1"/>
  <c r="S2835" i="1"/>
  <c r="R2835" i="1"/>
  <c r="L2835" i="1"/>
  <c r="O2835" i="1" s="1"/>
  <c r="P2835" i="1" s="1"/>
  <c r="J2835" i="1"/>
  <c r="I2835" i="1"/>
  <c r="K2835" i="1" s="1"/>
  <c r="N2835" i="1" s="1"/>
  <c r="Q2835" i="1" s="1"/>
  <c r="S2834" i="1"/>
  <c r="L2834" i="1"/>
  <c r="J2834" i="1"/>
  <c r="I2834" i="1"/>
  <c r="K2834" i="1" s="1"/>
  <c r="S2833" i="1"/>
  <c r="O2833" i="1"/>
  <c r="P2833" i="1" s="1"/>
  <c r="R2833" i="1" s="1"/>
  <c r="L2833" i="1"/>
  <c r="N2833" i="1" s="1"/>
  <c r="Q2833" i="1" s="1"/>
  <c r="K2833" i="1"/>
  <c r="J2833" i="1"/>
  <c r="I2833" i="1"/>
  <c r="M2833" i="1" s="1"/>
  <c r="S2832" i="1"/>
  <c r="R2832" i="1"/>
  <c r="O2832" i="1"/>
  <c r="P2832" i="1" s="1"/>
  <c r="N2832" i="1"/>
  <c r="Q2832" i="1" s="1"/>
  <c r="L2832" i="1"/>
  <c r="K2832" i="1"/>
  <c r="J2832" i="1"/>
  <c r="I2832" i="1"/>
  <c r="M2832" i="1" s="1"/>
  <c r="S2831" i="1"/>
  <c r="L2831" i="1"/>
  <c r="O2831" i="1" s="1"/>
  <c r="P2831" i="1" s="1"/>
  <c r="R2831" i="1" s="1"/>
  <c r="J2831" i="1"/>
  <c r="I2831" i="1"/>
  <c r="S2830" i="1"/>
  <c r="Q2830" i="1"/>
  <c r="M2830" i="1"/>
  <c r="L2830" i="1"/>
  <c r="O2830" i="1" s="1"/>
  <c r="P2830" i="1" s="1"/>
  <c r="R2830" i="1" s="1"/>
  <c r="J2830" i="1"/>
  <c r="I2830" i="1"/>
  <c r="K2830" i="1" s="1"/>
  <c r="N2830" i="1" s="1"/>
  <c r="S2829" i="1"/>
  <c r="P2829" i="1"/>
  <c r="R2829" i="1" s="1"/>
  <c r="O2829" i="1"/>
  <c r="L2829" i="1"/>
  <c r="K2829" i="1"/>
  <c r="N2829" i="1" s="1"/>
  <c r="Q2829" i="1" s="1"/>
  <c r="J2829" i="1"/>
  <c r="I2829" i="1"/>
  <c r="M2829" i="1" s="1"/>
  <c r="S2828" i="1"/>
  <c r="R2828" i="1"/>
  <c r="O2828" i="1"/>
  <c r="P2828" i="1" s="1"/>
  <c r="L2828" i="1"/>
  <c r="K2828" i="1"/>
  <c r="N2828" i="1" s="1"/>
  <c r="Q2828" i="1" s="1"/>
  <c r="J2828" i="1"/>
  <c r="I2828" i="1"/>
  <c r="M2828" i="1" s="1"/>
  <c r="S2827" i="1"/>
  <c r="L2827" i="1"/>
  <c r="O2827" i="1" s="1"/>
  <c r="P2827" i="1" s="1"/>
  <c r="R2827" i="1" s="1"/>
  <c r="J2827" i="1"/>
  <c r="I2827" i="1"/>
  <c r="K2827" i="1" s="1"/>
  <c r="N2827" i="1" s="1"/>
  <c r="Q2827" i="1" s="1"/>
  <c r="S2826" i="1"/>
  <c r="Q2826" i="1"/>
  <c r="P2826" i="1"/>
  <c r="R2826" i="1" s="1"/>
  <c r="L2826" i="1"/>
  <c r="O2826" i="1" s="1"/>
  <c r="J2826" i="1"/>
  <c r="I2826" i="1"/>
  <c r="K2826" i="1" s="1"/>
  <c r="N2826" i="1" s="1"/>
  <c r="S2825" i="1"/>
  <c r="O2825" i="1"/>
  <c r="P2825" i="1" s="1"/>
  <c r="R2825" i="1" s="1"/>
  <c r="L2825" i="1"/>
  <c r="K2825" i="1"/>
  <c r="N2825" i="1" s="1"/>
  <c r="Q2825" i="1" s="1"/>
  <c r="J2825" i="1"/>
  <c r="I2825" i="1"/>
  <c r="M2825" i="1" s="1"/>
  <c r="S2824" i="1"/>
  <c r="R2824" i="1"/>
  <c r="O2824" i="1"/>
  <c r="P2824" i="1" s="1"/>
  <c r="N2824" i="1"/>
  <c r="Q2824" i="1" s="1"/>
  <c r="L2824" i="1"/>
  <c r="K2824" i="1"/>
  <c r="J2824" i="1"/>
  <c r="I2824" i="1"/>
  <c r="M2824" i="1" s="1"/>
  <c r="S2823" i="1"/>
  <c r="L2823" i="1"/>
  <c r="O2823" i="1" s="1"/>
  <c r="P2823" i="1" s="1"/>
  <c r="R2823" i="1" s="1"/>
  <c r="J2823" i="1"/>
  <c r="I2823" i="1"/>
  <c r="S2822" i="1"/>
  <c r="Q2822" i="1"/>
  <c r="M2822" i="1"/>
  <c r="L2822" i="1"/>
  <c r="O2822" i="1" s="1"/>
  <c r="P2822" i="1" s="1"/>
  <c r="R2822" i="1" s="1"/>
  <c r="J2822" i="1"/>
  <c r="I2822" i="1"/>
  <c r="K2822" i="1" s="1"/>
  <c r="N2822" i="1" s="1"/>
  <c r="S2821" i="1"/>
  <c r="P2821" i="1"/>
  <c r="R2821" i="1" s="1"/>
  <c r="O2821" i="1"/>
  <c r="L2821" i="1"/>
  <c r="K2821" i="1"/>
  <c r="N2821" i="1" s="1"/>
  <c r="Q2821" i="1" s="1"/>
  <c r="J2821" i="1"/>
  <c r="I2821" i="1"/>
  <c r="M2821" i="1" s="1"/>
  <c r="S2820" i="1"/>
  <c r="R2820" i="1"/>
  <c r="O2820" i="1"/>
  <c r="P2820" i="1" s="1"/>
  <c r="L2820" i="1"/>
  <c r="K2820" i="1"/>
  <c r="N2820" i="1" s="1"/>
  <c r="Q2820" i="1" s="1"/>
  <c r="J2820" i="1"/>
  <c r="I2820" i="1"/>
  <c r="M2820" i="1" s="1"/>
  <c r="S2819" i="1"/>
  <c r="L2819" i="1"/>
  <c r="O2819" i="1" s="1"/>
  <c r="P2819" i="1" s="1"/>
  <c r="R2819" i="1" s="1"/>
  <c r="J2819" i="1"/>
  <c r="I2819" i="1"/>
  <c r="K2819" i="1" s="1"/>
  <c r="N2819" i="1" s="1"/>
  <c r="Q2819" i="1" s="1"/>
  <c r="S2818" i="1"/>
  <c r="Q2818" i="1"/>
  <c r="P2818" i="1"/>
  <c r="R2818" i="1" s="1"/>
  <c r="L2818" i="1"/>
  <c r="O2818" i="1" s="1"/>
  <c r="J2818" i="1"/>
  <c r="I2818" i="1"/>
  <c r="K2818" i="1" s="1"/>
  <c r="N2818" i="1" s="1"/>
  <c r="S2817" i="1"/>
  <c r="O2817" i="1"/>
  <c r="P2817" i="1" s="1"/>
  <c r="R2817" i="1" s="1"/>
  <c r="L2817" i="1"/>
  <c r="K2817" i="1"/>
  <c r="N2817" i="1" s="1"/>
  <c r="Q2817" i="1" s="1"/>
  <c r="J2817" i="1"/>
  <c r="I2817" i="1"/>
  <c r="M2817" i="1" s="1"/>
  <c r="S2816" i="1"/>
  <c r="R2816" i="1"/>
  <c r="O2816" i="1"/>
  <c r="P2816" i="1" s="1"/>
  <c r="N2816" i="1"/>
  <c r="Q2816" i="1" s="1"/>
  <c r="L2816" i="1"/>
  <c r="K2816" i="1"/>
  <c r="J2816" i="1"/>
  <c r="I2816" i="1"/>
  <c r="M2816" i="1" s="1"/>
  <c r="S2815" i="1"/>
  <c r="L2815" i="1"/>
  <c r="O2815" i="1" s="1"/>
  <c r="P2815" i="1" s="1"/>
  <c r="R2815" i="1" s="1"/>
  <c r="J2815" i="1"/>
  <c r="I2815" i="1"/>
  <c r="S2814" i="1"/>
  <c r="Q2814" i="1"/>
  <c r="M2814" i="1"/>
  <c r="L2814" i="1"/>
  <c r="O2814" i="1" s="1"/>
  <c r="P2814" i="1" s="1"/>
  <c r="R2814" i="1" s="1"/>
  <c r="J2814" i="1"/>
  <c r="I2814" i="1"/>
  <c r="K2814" i="1" s="1"/>
  <c r="N2814" i="1" s="1"/>
  <c r="S2813" i="1"/>
  <c r="L2813" i="1"/>
  <c r="O2813" i="1" s="1"/>
  <c r="P2813" i="1" s="1"/>
  <c r="R2813" i="1" s="1"/>
  <c r="K2813" i="1"/>
  <c r="N2813" i="1" s="1"/>
  <c r="Q2813" i="1" s="1"/>
  <c r="J2813" i="1"/>
  <c r="I2813" i="1"/>
  <c r="M2813" i="1" s="1"/>
  <c r="S2812" i="1"/>
  <c r="R2812" i="1"/>
  <c r="O2812" i="1"/>
  <c r="P2812" i="1" s="1"/>
  <c r="L2812" i="1"/>
  <c r="K2812" i="1"/>
  <c r="N2812" i="1" s="1"/>
  <c r="Q2812" i="1" s="1"/>
  <c r="J2812" i="1"/>
  <c r="I2812" i="1"/>
  <c r="M2812" i="1" s="1"/>
  <c r="S2811" i="1"/>
  <c r="L2811" i="1"/>
  <c r="O2811" i="1" s="1"/>
  <c r="P2811" i="1" s="1"/>
  <c r="R2811" i="1" s="1"/>
  <c r="J2811" i="1"/>
  <c r="I2811" i="1"/>
  <c r="K2811" i="1" s="1"/>
  <c r="N2811" i="1" s="1"/>
  <c r="Q2811" i="1" s="1"/>
  <c r="S2810" i="1"/>
  <c r="Q2810" i="1"/>
  <c r="P2810" i="1"/>
  <c r="R2810" i="1" s="1"/>
  <c r="L2810" i="1"/>
  <c r="O2810" i="1" s="1"/>
  <c r="J2810" i="1"/>
  <c r="I2810" i="1"/>
  <c r="K2810" i="1" s="1"/>
  <c r="N2810" i="1" s="1"/>
  <c r="S2809" i="1"/>
  <c r="O2809" i="1"/>
  <c r="P2809" i="1" s="1"/>
  <c r="R2809" i="1" s="1"/>
  <c r="L2809" i="1"/>
  <c r="K2809" i="1"/>
  <c r="N2809" i="1" s="1"/>
  <c r="Q2809" i="1" s="1"/>
  <c r="J2809" i="1"/>
  <c r="I2809" i="1"/>
  <c r="M2809" i="1" s="1"/>
  <c r="S2808" i="1"/>
  <c r="R2808" i="1"/>
  <c r="O2808" i="1"/>
  <c r="P2808" i="1" s="1"/>
  <c r="N2808" i="1"/>
  <c r="Q2808" i="1" s="1"/>
  <c r="L2808" i="1"/>
  <c r="K2808" i="1"/>
  <c r="J2808" i="1"/>
  <c r="I2808" i="1"/>
  <c r="M2808" i="1" s="1"/>
  <c r="S2807" i="1"/>
  <c r="L2807" i="1"/>
  <c r="O2807" i="1" s="1"/>
  <c r="P2807" i="1" s="1"/>
  <c r="R2807" i="1" s="1"/>
  <c r="J2807" i="1"/>
  <c r="I2807" i="1"/>
  <c r="S2806" i="1"/>
  <c r="M2806" i="1"/>
  <c r="L2806" i="1"/>
  <c r="O2806" i="1" s="1"/>
  <c r="P2806" i="1" s="1"/>
  <c r="R2806" i="1" s="1"/>
  <c r="J2806" i="1"/>
  <c r="I2806" i="1"/>
  <c r="K2806" i="1" s="1"/>
  <c r="N2806" i="1" s="1"/>
  <c r="Q2806" i="1" s="1"/>
  <c r="S2805" i="1"/>
  <c r="L2805" i="1"/>
  <c r="O2805" i="1" s="1"/>
  <c r="P2805" i="1" s="1"/>
  <c r="R2805" i="1" s="1"/>
  <c r="K2805" i="1"/>
  <c r="N2805" i="1" s="1"/>
  <c r="Q2805" i="1" s="1"/>
  <c r="J2805" i="1"/>
  <c r="I2805" i="1"/>
  <c r="M2805" i="1" s="1"/>
  <c r="S2804" i="1"/>
  <c r="R2804" i="1"/>
  <c r="O2804" i="1"/>
  <c r="P2804" i="1" s="1"/>
  <c r="L2804" i="1"/>
  <c r="K2804" i="1"/>
  <c r="N2804" i="1" s="1"/>
  <c r="Q2804" i="1" s="1"/>
  <c r="J2804" i="1"/>
  <c r="I2804" i="1"/>
  <c r="M2804" i="1" s="1"/>
  <c r="S2803" i="1"/>
  <c r="M2803" i="1"/>
  <c r="L2803" i="1"/>
  <c r="O2803" i="1" s="1"/>
  <c r="P2803" i="1" s="1"/>
  <c r="R2803" i="1" s="1"/>
  <c r="J2803" i="1"/>
  <c r="I2803" i="1"/>
  <c r="K2803" i="1" s="1"/>
  <c r="N2803" i="1" s="1"/>
  <c r="Q2803" i="1" s="1"/>
  <c r="S2802" i="1"/>
  <c r="Q2802" i="1"/>
  <c r="P2802" i="1"/>
  <c r="R2802" i="1" s="1"/>
  <c r="L2802" i="1"/>
  <c r="O2802" i="1" s="1"/>
  <c r="J2802" i="1"/>
  <c r="I2802" i="1"/>
  <c r="K2802" i="1" s="1"/>
  <c r="N2802" i="1" s="1"/>
  <c r="S2801" i="1"/>
  <c r="O2801" i="1"/>
  <c r="P2801" i="1" s="1"/>
  <c r="R2801" i="1" s="1"/>
  <c r="L2801" i="1"/>
  <c r="K2801" i="1"/>
  <c r="N2801" i="1" s="1"/>
  <c r="Q2801" i="1" s="1"/>
  <c r="J2801" i="1"/>
  <c r="I2801" i="1"/>
  <c r="M2801" i="1" s="1"/>
  <c r="S2800" i="1"/>
  <c r="O2800" i="1"/>
  <c r="P2800" i="1" s="1"/>
  <c r="R2800" i="1" s="1"/>
  <c r="N2800" i="1"/>
  <c r="Q2800" i="1" s="1"/>
  <c r="L2800" i="1"/>
  <c r="K2800" i="1"/>
  <c r="J2800" i="1"/>
  <c r="I2800" i="1"/>
  <c r="M2800" i="1" s="1"/>
  <c r="S2799" i="1"/>
  <c r="L2799" i="1"/>
  <c r="O2799" i="1" s="1"/>
  <c r="P2799" i="1" s="1"/>
  <c r="R2799" i="1" s="1"/>
  <c r="J2799" i="1"/>
  <c r="I2799" i="1"/>
  <c r="S2798" i="1"/>
  <c r="M2798" i="1"/>
  <c r="L2798" i="1"/>
  <c r="O2798" i="1" s="1"/>
  <c r="P2798" i="1" s="1"/>
  <c r="R2798" i="1" s="1"/>
  <c r="J2798" i="1"/>
  <c r="I2798" i="1"/>
  <c r="K2798" i="1" s="1"/>
  <c r="N2798" i="1" s="1"/>
  <c r="Q2798" i="1" s="1"/>
  <c r="S2797" i="1"/>
  <c r="L2797" i="1"/>
  <c r="O2797" i="1" s="1"/>
  <c r="P2797" i="1" s="1"/>
  <c r="R2797" i="1" s="1"/>
  <c r="K2797" i="1"/>
  <c r="N2797" i="1" s="1"/>
  <c r="Q2797" i="1" s="1"/>
  <c r="J2797" i="1"/>
  <c r="I2797" i="1"/>
  <c r="M2797" i="1" s="1"/>
  <c r="S2796" i="1"/>
  <c r="R2796" i="1"/>
  <c r="O2796" i="1"/>
  <c r="P2796" i="1" s="1"/>
  <c r="L2796" i="1"/>
  <c r="K2796" i="1"/>
  <c r="N2796" i="1" s="1"/>
  <c r="Q2796" i="1" s="1"/>
  <c r="J2796" i="1"/>
  <c r="I2796" i="1"/>
  <c r="M2796" i="1" s="1"/>
  <c r="S2795" i="1"/>
  <c r="M2795" i="1"/>
  <c r="L2795" i="1"/>
  <c r="O2795" i="1" s="1"/>
  <c r="P2795" i="1" s="1"/>
  <c r="R2795" i="1" s="1"/>
  <c r="J2795" i="1"/>
  <c r="I2795" i="1"/>
  <c r="K2795" i="1" s="1"/>
  <c r="N2795" i="1" s="1"/>
  <c r="Q2795" i="1" s="1"/>
  <c r="S2794" i="1"/>
  <c r="Q2794" i="1"/>
  <c r="P2794" i="1"/>
  <c r="R2794" i="1" s="1"/>
  <c r="L2794" i="1"/>
  <c r="O2794" i="1" s="1"/>
  <c r="J2794" i="1"/>
  <c r="I2794" i="1"/>
  <c r="K2794" i="1" s="1"/>
  <c r="N2794" i="1" s="1"/>
  <c r="S2793" i="1"/>
  <c r="O2793" i="1"/>
  <c r="P2793" i="1" s="1"/>
  <c r="R2793" i="1" s="1"/>
  <c r="L2793" i="1"/>
  <c r="K2793" i="1"/>
  <c r="N2793" i="1" s="1"/>
  <c r="Q2793" i="1" s="1"/>
  <c r="J2793" i="1"/>
  <c r="I2793" i="1"/>
  <c r="M2793" i="1" s="1"/>
  <c r="S2792" i="1"/>
  <c r="O2792" i="1"/>
  <c r="P2792" i="1" s="1"/>
  <c r="R2792" i="1" s="1"/>
  <c r="N2792" i="1"/>
  <c r="Q2792" i="1" s="1"/>
  <c r="L2792" i="1"/>
  <c r="K2792" i="1"/>
  <c r="J2792" i="1"/>
  <c r="I2792" i="1"/>
  <c r="M2792" i="1" s="1"/>
  <c r="S2791" i="1"/>
  <c r="L2791" i="1"/>
  <c r="O2791" i="1" s="1"/>
  <c r="P2791" i="1" s="1"/>
  <c r="R2791" i="1" s="1"/>
  <c r="J2791" i="1"/>
  <c r="I2791" i="1"/>
  <c r="S2790" i="1"/>
  <c r="O2790" i="1"/>
  <c r="P2790" i="1" s="1"/>
  <c r="R2790" i="1" s="1"/>
  <c r="L2790" i="1"/>
  <c r="J2790" i="1"/>
  <c r="I2790" i="1"/>
  <c r="K2790" i="1" s="1"/>
  <c r="N2790" i="1" s="1"/>
  <c r="Q2790" i="1" s="1"/>
  <c r="S2789" i="1"/>
  <c r="P2789" i="1"/>
  <c r="R2789" i="1" s="1"/>
  <c r="O2789" i="1"/>
  <c r="L2789" i="1"/>
  <c r="K2789" i="1"/>
  <c r="N2789" i="1" s="1"/>
  <c r="Q2789" i="1" s="1"/>
  <c r="J2789" i="1"/>
  <c r="I2789" i="1"/>
  <c r="M2789" i="1" s="1"/>
  <c r="S2788" i="1"/>
  <c r="R2788" i="1"/>
  <c r="O2788" i="1"/>
  <c r="P2788" i="1" s="1"/>
  <c r="L2788" i="1"/>
  <c r="J2788" i="1"/>
  <c r="I2788" i="1"/>
  <c r="K2788" i="1" s="1"/>
  <c r="N2788" i="1" s="1"/>
  <c r="Q2788" i="1" s="1"/>
  <c r="S2787" i="1"/>
  <c r="P2787" i="1"/>
  <c r="R2787" i="1" s="1"/>
  <c r="L2787" i="1"/>
  <c r="O2787" i="1" s="1"/>
  <c r="J2787" i="1"/>
  <c r="I2787" i="1"/>
  <c r="K2787" i="1" s="1"/>
  <c r="N2787" i="1" s="1"/>
  <c r="Q2787" i="1" s="1"/>
  <c r="S2786" i="1"/>
  <c r="P2786" i="1"/>
  <c r="R2786" i="1" s="1"/>
  <c r="O2786" i="1"/>
  <c r="L2786" i="1"/>
  <c r="K2786" i="1"/>
  <c r="N2786" i="1" s="1"/>
  <c r="Q2786" i="1" s="1"/>
  <c r="J2786" i="1"/>
  <c r="I2786" i="1"/>
  <c r="M2786" i="1" s="1"/>
  <c r="S2785" i="1"/>
  <c r="L2785" i="1"/>
  <c r="O2785" i="1" s="1"/>
  <c r="P2785" i="1" s="1"/>
  <c r="R2785" i="1" s="1"/>
  <c r="K2785" i="1"/>
  <c r="N2785" i="1" s="1"/>
  <c r="Q2785" i="1" s="1"/>
  <c r="J2785" i="1"/>
  <c r="I2785" i="1"/>
  <c r="M2785" i="1" s="1"/>
  <c r="S2784" i="1"/>
  <c r="R2784" i="1"/>
  <c r="O2784" i="1"/>
  <c r="P2784" i="1" s="1"/>
  <c r="N2784" i="1"/>
  <c r="Q2784" i="1" s="1"/>
  <c r="L2784" i="1"/>
  <c r="J2784" i="1"/>
  <c r="I2784" i="1"/>
  <c r="K2784" i="1" s="1"/>
  <c r="S2783" i="1"/>
  <c r="M2783" i="1"/>
  <c r="L2783" i="1"/>
  <c r="O2783" i="1" s="1"/>
  <c r="P2783" i="1" s="1"/>
  <c r="R2783" i="1" s="1"/>
  <c r="J2783" i="1"/>
  <c r="I2783" i="1"/>
  <c r="K2783" i="1" s="1"/>
  <c r="N2783" i="1" s="1"/>
  <c r="Q2783" i="1" s="1"/>
  <c r="S2782" i="1"/>
  <c r="Q2782" i="1"/>
  <c r="L2782" i="1"/>
  <c r="O2782" i="1" s="1"/>
  <c r="P2782" i="1" s="1"/>
  <c r="R2782" i="1" s="1"/>
  <c r="K2782" i="1"/>
  <c r="N2782" i="1" s="1"/>
  <c r="J2782" i="1"/>
  <c r="I2782" i="1"/>
  <c r="M2782" i="1" s="1"/>
  <c r="S2781" i="1"/>
  <c r="N2781" i="1"/>
  <c r="Q2781" i="1" s="1"/>
  <c r="L2781" i="1"/>
  <c r="O2781" i="1" s="1"/>
  <c r="P2781" i="1" s="1"/>
  <c r="R2781" i="1" s="1"/>
  <c r="K2781" i="1"/>
  <c r="J2781" i="1"/>
  <c r="I2781" i="1"/>
  <c r="M2781" i="1" s="1"/>
  <c r="S2780" i="1"/>
  <c r="O2780" i="1"/>
  <c r="P2780" i="1" s="1"/>
  <c r="R2780" i="1" s="1"/>
  <c r="L2780" i="1"/>
  <c r="K2780" i="1"/>
  <c r="N2780" i="1" s="1"/>
  <c r="Q2780" i="1" s="1"/>
  <c r="J2780" i="1"/>
  <c r="I2780" i="1"/>
  <c r="M2780" i="1" s="1"/>
  <c r="S2779" i="1"/>
  <c r="R2779" i="1"/>
  <c r="M2779" i="1"/>
  <c r="L2779" i="1"/>
  <c r="O2779" i="1" s="1"/>
  <c r="P2779" i="1" s="1"/>
  <c r="J2779" i="1"/>
  <c r="I2779" i="1"/>
  <c r="K2779" i="1" s="1"/>
  <c r="N2779" i="1" s="1"/>
  <c r="Q2779" i="1" s="1"/>
  <c r="S2778" i="1"/>
  <c r="L2778" i="1"/>
  <c r="O2778" i="1" s="1"/>
  <c r="P2778" i="1" s="1"/>
  <c r="R2778" i="1" s="1"/>
  <c r="J2778" i="1"/>
  <c r="I2778" i="1"/>
  <c r="K2778" i="1" s="1"/>
  <c r="N2778" i="1" s="1"/>
  <c r="Q2778" i="1" s="1"/>
  <c r="S2777" i="1"/>
  <c r="O2777" i="1"/>
  <c r="P2777" i="1" s="1"/>
  <c r="R2777" i="1" s="1"/>
  <c r="N2777" i="1"/>
  <c r="Q2777" i="1" s="1"/>
  <c r="L2777" i="1"/>
  <c r="K2777" i="1"/>
  <c r="J2777" i="1"/>
  <c r="I2777" i="1"/>
  <c r="M2777" i="1" s="1"/>
  <c r="S2776" i="1"/>
  <c r="O2776" i="1"/>
  <c r="P2776" i="1" s="1"/>
  <c r="R2776" i="1" s="1"/>
  <c r="L2776" i="1"/>
  <c r="K2776" i="1"/>
  <c r="N2776" i="1" s="1"/>
  <c r="Q2776" i="1" s="1"/>
  <c r="J2776" i="1"/>
  <c r="I2776" i="1"/>
  <c r="M2776" i="1" s="1"/>
  <c r="S2775" i="1"/>
  <c r="R2775" i="1"/>
  <c r="P2775" i="1"/>
  <c r="L2775" i="1"/>
  <c r="O2775" i="1" s="1"/>
  <c r="J2775" i="1"/>
  <c r="I2775" i="1"/>
  <c r="S2774" i="1"/>
  <c r="O2774" i="1"/>
  <c r="P2774" i="1" s="1"/>
  <c r="R2774" i="1" s="1"/>
  <c r="L2774" i="1"/>
  <c r="J2774" i="1"/>
  <c r="I2774" i="1"/>
  <c r="K2774" i="1" s="1"/>
  <c r="N2774" i="1" s="1"/>
  <c r="Q2774" i="1" s="1"/>
  <c r="S2773" i="1"/>
  <c r="P2773" i="1"/>
  <c r="R2773" i="1" s="1"/>
  <c r="O2773" i="1"/>
  <c r="L2773" i="1"/>
  <c r="K2773" i="1"/>
  <c r="N2773" i="1" s="1"/>
  <c r="Q2773" i="1" s="1"/>
  <c r="J2773" i="1"/>
  <c r="I2773" i="1"/>
  <c r="M2773" i="1" s="1"/>
  <c r="S2772" i="1"/>
  <c r="R2772" i="1"/>
  <c r="O2772" i="1"/>
  <c r="P2772" i="1" s="1"/>
  <c r="L2772" i="1"/>
  <c r="J2772" i="1"/>
  <c r="I2772" i="1"/>
  <c r="K2772" i="1" s="1"/>
  <c r="N2772" i="1" s="1"/>
  <c r="Q2772" i="1" s="1"/>
  <c r="S2771" i="1"/>
  <c r="P2771" i="1"/>
  <c r="R2771" i="1" s="1"/>
  <c r="L2771" i="1"/>
  <c r="O2771" i="1" s="1"/>
  <c r="J2771" i="1"/>
  <c r="I2771" i="1"/>
  <c r="K2771" i="1" s="1"/>
  <c r="N2771" i="1" s="1"/>
  <c r="Q2771" i="1" s="1"/>
  <c r="S2770" i="1"/>
  <c r="P2770" i="1"/>
  <c r="R2770" i="1" s="1"/>
  <c r="O2770" i="1"/>
  <c r="L2770" i="1"/>
  <c r="K2770" i="1"/>
  <c r="N2770" i="1" s="1"/>
  <c r="Q2770" i="1" s="1"/>
  <c r="J2770" i="1"/>
  <c r="I2770" i="1"/>
  <c r="M2770" i="1" s="1"/>
  <c r="S2769" i="1"/>
  <c r="L2769" i="1"/>
  <c r="O2769" i="1" s="1"/>
  <c r="P2769" i="1" s="1"/>
  <c r="R2769" i="1" s="1"/>
  <c r="K2769" i="1"/>
  <c r="N2769" i="1" s="1"/>
  <c r="Q2769" i="1" s="1"/>
  <c r="J2769" i="1"/>
  <c r="I2769" i="1"/>
  <c r="M2769" i="1" s="1"/>
  <c r="S2768" i="1"/>
  <c r="R2768" i="1"/>
  <c r="O2768" i="1"/>
  <c r="P2768" i="1" s="1"/>
  <c r="N2768" i="1"/>
  <c r="Q2768" i="1" s="1"/>
  <c r="L2768" i="1"/>
  <c r="J2768" i="1"/>
  <c r="I2768" i="1"/>
  <c r="K2768" i="1" s="1"/>
  <c r="S2767" i="1"/>
  <c r="M2767" i="1"/>
  <c r="L2767" i="1"/>
  <c r="O2767" i="1" s="1"/>
  <c r="P2767" i="1" s="1"/>
  <c r="R2767" i="1" s="1"/>
  <c r="J2767" i="1"/>
  <c r="I2767" i="1"/>
  <c r="K2767" i="1" s="1"/>
  <c r="N2767" i="1" s="1"/>
  <c r="Q2767" i="1" s="1"/>
  <c r="S2766" i="1"/>
  <c r="Q2766" i="1"/>
  <c r="L2766" i="1"/>
  <c r="O2766" i="1" s="1"/>
  <c r="P2766" i="1" s="1"/>
  <c r="R2766" i="1" s="1"/>
  <c r="K2766" i="1"/>
  <c r="N2766" i="1" s="1"/>
  <c r="J2766" i="1"/>
  <c r="I2766" i="1"/>
  <c r="M2766" i="1" s="1"/>
  <c r="S2765" i="1"/>
  <c r="N2765" i="1"/>
  <c r="Q2765" i="1" s="1"/>
  <c r="L2765" i="1"/>
  <c r="O2765" i="1" s="1"/>
  <c r="P2765" i="1" s="1"/>
  <c r="R2765" i="1" s="1"/>
  <c r="K2765" i="1"/>
  <c r="J2765" i="1"/>
  <c r="I2765" i="1"/>
  <c r="M2765" i="1" s="1"/>
  <c r="S2764" i="1"/>
  <c r="O2764" i="1"/>
  <c r="P2764" i="1" s="1"/>
  <c r="R2764" i="1" s="1"/>
  <c r="L2764" i="1"/>
  <c r="K2764" i="1"/>
  <c r="N2764" i="1" s="1"/>
  <c r="Q2764" i="1" s="1"/>
  <c r="J2764" i="1"/>
  <c r="I2764" i="1"/>
  <c r="M2764" i="1" s="1"/>
  <c r="S2763" i="1"/>
  <c r="R2763" i="1"/>
  <c r="M2763" i="1"/>
  <c r="L2763" i="1"/>
  <c r="O2763" i="1" s="1"/>
  <c r="P2763" i="1" s="1"/>
  <c r="J2763" i="1"/>
  <c r="I2763" i="1"/>
  <c r="K2763" i="1" s="1"/>
  <c r="N2763" i="1" s="1"/>
  <c r="Q2763" i="1" s="1"/>
  <c r="S2762" i="1"/>
  <c r="L2762" i="1"/>
  <c r="O2762" i="1" s="1"/>
  <c r="P2762" i="1" s="1"/>
  <c r="R2762" i="1" s="1"/>
  <c r="J2762" i="1"/>
  <c r="I2762" i="1"/>
  <c r="K2762" i="1" s="1"/>
  <c r="N2762" i="1" s="1"/>
  <c r="Q2762" i="1" s="1"/>
  <c r="S2761" i="1"/>
  <c r="O2761" i="1"/>
  <c r="P2761" i="1" s="1"/>
  <c r="R2761" i="1" s="1"/>
  <c r="N2761" i="1"/>
  <c r="Q2761" i="1" s="1"/>
  <c r="L2761" i="1"/>
  <c r="K2761" i="1"/>
  <c r="J2761" i="1"/>
  <c r="I2761" i="1"/>
  <c r="M2761" i="1" s="1"/>
  <c r="S2760" i="1"/>
  <c r="O2760" i="1"/>
  <c r="P2760" i="1" s="1"/>
  <c r="R2760" i="1" s="1"/>
  <c r="L2760" i="1"/>
  <c r="K2760" i="1"/>
  <c r="N2760" i="1" s="1"/>
  <c r="Q2760" i="1" s="1"/>
  <c r="J2760" i="1"/>
  <c r="I2760" i="1"/>
  <c r="M2760" i="1" s="1"/>
  <c r="S2759" i="1"/>
  <c r="R2759" i="1"/>
  <c r="P2759" i="1"/>
  <c r="L2759" i="1"/>
  <c r="O2759" i="1" s="1"/>
  <c r="J2759" i="1"/>
  <c r="I2759" i="1"/>
  <c r="S2758" i="1"/>
  <c r="O2758" i="1"/>
  <c r="P2758" i="1" s="1"/>
  <c r="R2758" i="1" s="1"/>
  <c r="L2758" i="1"/>
  <c r="J2758" i="1"/>
  <c r="I2758" i="1"/>
  <c r="K2758" i="1" s="1"/>
  <c r="N2758" i="1" s="1"/>
  <c r="Q2758" i="1" s="1"/>
  <c r="S2757" i="1"/>
  <c r="P2757" i="1"/>
  <c r="R2757" i="1" s="1"/>
  <c r="O2757" i="1"/>
  <c r="L2757" i="1"/>
  <c r="K2757" i="1"/>
  <c r="N2757" i="1" s="1"/>
  <c r="Q2757" i="1" s="1"/>
  <c r="J2757" i="1"/>
  <c r="I2757" i="1"/>
  <c r="M2757" i="1" s="1"/>
  <c r="S2756" i="1"/>
  <c r="R2756" i="1"/>
  <c r="O2756" i="1"/>
  <c r="P2756" i="1" s="1"/>
  <c r="L2756" i="1"/>
  <c r="J2756" i="1"/>
  <c r="I2756" i="1"/>
  <c r="K2756" i="1" s="1"/>
  <c r="N2756" i="1" s="1"/>
  <c r="Q2756" i="1" s="1"/>
  <c r="S2755" i="1"/>
  <c r="P2755" i="1"/>
  <c r="R2755" i="1" s="1"/>
  <c r="L2755" i="1"/>
  <c r="O2755" i="1" s="1"/>
  <c r="J2755" i="1"/>
  <c r="I2755" i="1"/>
  <c r="K2755" i="1" s="1"/>
  <c r="N2755" i="1" s="1"/>
  <c r="Q2755" i="1" s="1"/>
  <c r="S2754" i="1"/>
  <c r="P2754" i="1"/>
  <c r="R2754" i="1" s="1"/>
  <c r="O2754" i="1"/>
  <c r="L2754" i="1"/>
  <c r="K2754" i="1"/>
  <c r="N2754" i="1" s="1"/>
  <c r="Q2754" i="1" s="1"/>
  <c r="J2754" i="1"/>
  <c r="I2754" i="1"/>
  <c r="M2754" i="1" s="1"/>
  <c r="S2753" i="1"/>
  <c r="L2753" i="1"/>
  <c r="O2753" i="1" s="1"/>
  <c r="P2753" i="1" s="1"/>
  <c r="R2753" i="1" s="1"/>
  <c r="K2753" i="1"/>
  <c r="N2753" i="1" s="1"/>
  <c r="Q2753" i="1" s="1"/>
  <c r="J2753" i="1"/>
  <c r="I2753" i="1"/>
  <c r="M2753" i="1" s="1"/>
  <c r="S2752" i="1"/>
  <c r="R2752" i="1"/>
  <c r="O2752" i="1"/>
  <c r="P2752" i="1" s="1"/>
  <c r="N2752" i="1"/>
  <c r="Q2752" i="1" s="1"/>
  <c r="L2752" i="1"/>
  <c r="J2752" i="1"/>
  <c r="I2752" i="1"/>
  <c r="K2752" i="1" s="1"/>
  <c r="S2751" i="1"/>
  <c r="M2751" i="1"/>
  <c r="L2751" i="1"/>
  <c r="J2751" i="1"/>
  <c r="I2751" i="1"/>
  <c r="K2751" i="1" s="1"/>
  <c r="S2750" i="1"/>
  <c r="L2750" i="1"/>
  <c r="K2750" i="1"/>
  <c r="J2750" i="1"/>
  <c r="I2750" i="1"/>
  <c r="M2750" i="1" s="1"/>
  <c r="S2749" i="1"/>
  <c r="N2749" i="1"/>
  <c r="Q2749" i="1" s="1"/>
  <c r="L2749" i="1"/>
  <c r="O2749" i="1" s="1"/>
  <c r="P2749" i="1" s="1"/>
  <c r="R2749" i="1" s="1"/>
  <c r="K2749" i="1"/>
  <c r="J2749" i="1"/>
  <c r="I2749" i="1"/>
  <c r="M2749" i="1" s="1"/>
  <c r="S2748" i="1"/>
  <c r="O2748" i="1"/>
  <c r="P2748" i="1" s="1"/>
  <c r="R2748" i="1" s="1"/>
  <c r="L2748" i="1"/>
  <c r="K2748" i="1"/>
  <c r="N2748" i="1" s="1"/>
  <c r="Q2748" i="1" s="1"/>
  <c r="J2748" i="1"/>
  <c r="I2748" i="1"/>
  <c r="M2748" i="1" s="1"/>
  <c r="S2747" i="1"/>
  <c r="R2747" i="1"/>
  <c r="M2747" i="1"/>
  <c r="L2747" i="1"/>
  <c r="O2747" i="1" s="1"/>
  <c r="P2747" i="1" s="1"/>
  <c r="J2747" i="1"/>
  <c r="I2747" i="1"/>
  <c r="K2747" i="1" s="1"/>
  <c r="S2746" i="1"/>
  <c r="L2746" i="1"/>
  <c r="O2746" i="1" s="1"/>
  <c r="P2746" i="1" s="1"/>
  <c r="R2746" i="1" s="1"/>
  <c r="J2746" i="1"/>
  <c r="I2746" i="1"/>
  <c r="K2746" i="1" s="1"/>
  <c r="N2746" i="1" s="1"/>
  <c r="Q2746" i="1" s="1"/>
  <c r="S2745" i="1"/>
  <c r="O2745" i="1"/>
  <c r="P2745" i="1" s="1"/>
  <c r="R2745" i="1" s="1"/>
  <c r="N2745" i="1"/>
  <c r="Q2745" i="1" s="1"/>
  <c r="L2745" i="1"/>
  <c r="K2745" i="1"/>
  <c r="J2745" i="1"/>
  <c r="I2745" i="1"/>
  <c r="M2745" i="1" s="1"/>
  <c r="S2744" i="1"/>
  <c r="O2744" i="1"/>
  <c r="P2744" i="1" s="1"/>
  <c r="R2744" i="1" s="1"/>
  <c r="L2744" i="1"/>
  <c r="K2744" i="1"/>
  <c r="N2744" i="1" s="1"/>
  <c r="Q2744" i="1" s="1"/>
  <c r="J2744" i="1"/>
  <c r="I2744" i="1"/>
  <c r="M2744" i="1" s="1"/>
  <c r="S2743" i="1"/>
  <c r="R2743" i="1"/>
  <c r="P2743" i="1"/>
  <c r="L2743" i="1"/>
  <c r="O2743" i="1" s="1"/>
  <c r="J2743" i="1"/>
  <c r="I2743" i="1"/>
  <c r="S2742" i="1"/>
  <c r="O2742" i="1"/>
  <c r="P2742" i="1" s="1"/>
  <c r="R2742" i="1" s="1"/>
  <c r="L2742" i="1"/>
  <c r="J2742" i="1"/>
  <c r="I2742" i="1"/>
  <c r="K2742" i="1" s="1"/>
  <c r="N2742" i="1" s="1"/>
  <c r="Q2742" i="1" s="1"/>
  <c r="S2741" i="1"/>
  <c r="P2741" i="1"/>
  <c r="R2741" i="1" s="1"/>
  <c r="O2741" i="1"/>
  <c r="L2741" i="1"/>
  <c r="K2741" i="1"/>
  <c r="N2741" i="1" s="1"/>
  <c r="Q2741" i="1" s="1"/>
  <c r="J2741" i="1"/>
  <c r="I2741" i="1"/>
  <c r="M2741" i="1" s="1"/>
  <c r="S2740" i="1"/>
  <c r="R2740" i="1"/>
  <c r="O2740" i="1"/>
  <c r="P2740" i="1" s="1"/>
  <c r="L2740" i="1"/>
  <c r="J2740" i="1"/>
  <c r="I2740" i="1"/>
  <c r="K2740" i="1" s="1"/>
  <c r="N2740" i="1" s="1"/>
  <c r="Q2740" i="1" s="1"/>
  <c r="S2739" i="1"/>
  <c r="P2739" i="1"/>
  <c r="R2739" i="1" s="1"/>
  <c r="L2739" i="1"/>
  <c r="O2739" i="1" s="1"/>
  <c r="J2739" i="1"/>
  <c r="I2739" i="1"/>
  <c r="K2739" i="1" s="1"/>
  <c r="N2739" i="1" s="1"/>
  <c r="Q2739" i="1" s="1"/>
  <c r="S2738" i="1"/>
  <c r="P2738" i="1"/>
  <c r="R2738" i="1" s="1"/>
  <c r="O2738" i="1"/>
  <c r="L2738" i="1"/>
  <c r="K2738" i="1"/>
  <c r="N2738" i="1" s="1"/>
  <c r="Q2738" i="1" s="1"/>
  <c r="J2738" i="1"/>
  <c r="I2738" i="1"/>
  <c r="M2738" i="1" s="1"/>
  <c r="S2737" i="1"/>
  <c r="L2737" i="1"/>
  <c r="O2737" i="1" s="1"/>
  <c r="P2737" i="1" s="1"/>
  <c r="R2737" i="1" s="1"/>
  <c r="K2737" i="1"/>
  <c r="N2737" i="1" s="1"/>
  <c r="Q2737" i="1" s="1"/>
  <c r="J2737" i="1"/>
  <c r="I2737" i="1"/>
  <c r="M2737" i="1" s="1"/>
  <c r="S2736" i="1"/>
  <c r="R2736" i="1"/>
  <c r="O2736" i="1"/>
  <c r="P2736" i="1" s="1"/>
  <c r="N2736" i="1"/>
  <c r="Q2736" i="1" s="1"/>
  <c r="L2736" i="1"/>
  <c r="J2736" i="1"/>
  <c r="I2736" i="1"/>
  <c r="K2736" i="1" s="1"/>
  <c r="S2735" i="1"/>
  <c r="M2735" i="1"/>
  <c r="L2735" i="1"/>
  <c r="O2735" i="1" s="1"/>
  <c r="P2735" i="1" s="1"/>
  <c r="R2735" i="1" s="1"/>
  <c r="J2735" i="1"/>
  <c r="I2735" i="1"/>
  <c r="K2735" i="1" s="1"/>
  <c r="N2735" i="1" s="1"/>
  <c r="Q2735" i="1" s="1"/>
  <c r="S2734" i="1"/>
  <c r="L2734" i="1"/>
  <c r="O2734" i="1" s="1"/>
  <c r="P2734" i="1" s="1"/>
  <c r="R2734" i="1" s="1"/>
  <c r="K2734" i="1"/>
  <c r="N2734" i="1" s="1"/>
  <c r="Q2734" i="1" s="1"/>
  <c r="J2734" i="1"/>
  <c r="I2734" i="1"/>
  <c r="M2734" i="1" s="1"/>
  <c r="S2733" i="1"/>
  <c r="R2733" i="1"/>
  <c r="N2733" i="1"/>
  <c r="Q2733" i="1" s="1"/>
  <c r="L2733" i="1"/>
  <c r="O2733" i="1" s="1"/>
  <c r="P2733" i="1" s="1"/>
  <c r="K2733" i="1"/>
  <c r="J2733" i="1"/>
  <c r="I2733" i="1"/>
  <c r="M2733" i="1" s="1"/>
  <c r="S2732" i="1"/>
  <c r="O2732" i="1"/>
  <c r="P2732" i="1" s="1"/>
  <c r="R2732" i="1" s="1"/>
  <c r="N2732" i="1"/>
  <c r="Q2732" i="1" s="1"/>
  <c r="L2732" i="1"/>
  <c r="K2732" i="1"/>
  <c r="J2732" i="1"/>
  <c r="I2732" i="1"/>
  <c r="M2732" i="1" s="1"/>
  <c r="S2731" i="1"/>
  <c r="R2731" i="1"/>
  <c r="M2731" i="1"/>
  <c r="L2731" i="1"/>
  <c r="O2731" i="1" s="1"/>
  <c r="P2731" i="1" s="1"/>
  <c r="J2731" i="1"/>
  <c r="I2731" i="1"/>
  <c r="K2731" i="1" s="1"/>
  <c r="N2731" i="1" s="1"/>
  <c r="Q2731" i="1" s="1"/>
  <c r="S2730" i="1"/>
  <c r="M2730" i="1"/>
  <c r="L2730" i="1"/>
  <c r="O2730" i="1" s="1"/>
  <c r="P2730" i="1" s="1"/>
  <c r="R2730" i="1" s="1"/>
  <c r="J2730" i="1"/>
  <c r="I2730" i="1"/>
  <c r="K2730" i="1" s="1"/>
  <c r="N2730" i="1" s="1"/>
  <c r="Q2730" i="1" s="1"/>
  <c r="S2729" i="1"/>
  <c r="O2729" i="1"/>
  <c r="P2729" i="1" s="1"/>
  <c r="R2729" i="1" s="1"/>
  <c r="N2729" i="1"/>
  <c r="Q2729" i="1" s="1"/>
  <c r="L2729" i="1"/>
  <c r="K2729" i="1"/>
  <c r="J2729" i="1"/>
  <c r="I2729" i="1"/>
  <c r="M2729" i="1" s="1"/>
  <c r="S2728" i="1"/>
  <c r="Q2728" i="1"/>
  <c r="O2728" i="1"/>
  <c r="P2728" i="1" s="1"/>
  <c r="R2728" i="1" s="1"/>
  <c r="L2728" i="1"/>
  <c r="K2728" i="1"/>
  <c r="N2728" i="1" s="1"/>
  <c r="J2728" i="1"/>
  <c r="I2728" i="1"/>
  <c r="M2728" i="1" s="1"/>
  <c r="S2727" i="1"/>
  <c r="R2727" i="1"/>
  <c r="P2727" i="1"/>
  <c r="L2727" i="1"/>
  <c r="O2727" i="1" s="1"/>
  <c r="J2727" i="1"/>
  <c r="I2727" i="1"/>
  <c r="K2727" i="1" s="1"/>
  <c r="N2727" i="1" s="1"/>
  <c r="Q2727" i="1" s="1"/>
  <c r="S2726" i="1"/>
  <c r="O2726" i="1"/>
  <c r="P2726" i="1" s="1"/>
  <c r="R2726" i="1" s="1"/>
  <c r="M2726" i="1"/>
  <c r="L2726" i="1"/>
  <c r="J2726" i="1"/>
  <c r="I2726" i="1"/>
  <c r="K2726" i="1" s="1"/>
  <c r="N2726" i="1" s="1"/>
  <c r="Q2726" i="1" s="1"/>
  <c r="S2725" i="1"/>
  <c r="P2725" i="1"/>
  <c r="R2725" i="1" s="1"/>
  <c r="O2725" i="1"/>
  <c r="L2725" i="1"/>
  <c r="K2725" i="1"/>
  <c r="N2725" i="1" s="1"/>
  <c r="Q2725" i="1" s="1"/>
  <c r="J2725" i="1"/>
  <c r="I2725" i="1"/>
  <c r="M2725" i="1" s="1"/>
  <c r="S2724" i="1"/>
  <c r="R2724" i="1"/>
  <c r="Q2724" i="1"/>
  <c r="O2724" i="1"/>
  <c r="P2724" i="1" s="1"/>
  <c r="L2724" i="1"/>
  <c r="J2724" i="1"/>
  <c r="I2724" i="1"/>
  <c r="K2724" i="1" s="1"/>
  <c r="N2724" i="1" s="1"/>
  <c r="S2723" i="1"/>
  <c r="P2723" i="1"/>
  <c r="R2723" i="1" s="1"/>
  <c r="L2723" i="1"/>
  <c r="O2723" i="1" s="1"/>
  <c r="J2723" i="1"/>
  <c r="I2723" i="1"/>
  <c r="S2722" i="1"/>
  <c r="P2722" i="1"/>
  <c r="R2722" i="1" s="1"/>
  <c r="O2722" i="1"/>
  <c r="L2722" i="1"/>
  <c r="K2722" i="1"/>
  <c r="N2722" i="1" s="1"/>
  <c r="Q2722" i="1" s="1"/>
  <c r="J2722" i="1"/>
  <c r="I2722" i="1"/>
  <c r="M2722" i="1" s="1"/>
  <c r="S2721" i="1"/>
  <c r="P2721" i="1"/>
  <c r="R2721" i="1" s="1"/>
  <c r="L2721" i="1"/>
  <c r="O2721" i="1" s="1"/>
  <c r="K2721" i="1"/>
  <c r="N2721" i="1" s="1"/>
  <c r="Q2721" i="1" s="1"/>
  <c r="J2721" i="1"/>
  <c r="I2721" i="1"/>
  <c r="M2721" i="1" s="1"/>
  <c r="S2720" i="1"/>
  <c r="R2720" i="1"/>
  <c r="O2720" i="1"/>
  <c r="P2720" i="1" s="1"/>
  <c r="L2720" i="1"/>
  <c r="J2720" i="1"/>
  <c r="I2720" i="1"/>
  <c r="K2720" i="1" s="1"/>
  <c r="N2720" i="1" s="1"/>
  <c r="Q2720" i="1" s="1"/>
  <c r="S2719" i="1"/>
  <c r="P2719" i="1"/>
  <c r="R2719" i="1" s="1"/>
  <c r="M2719" i="1"/>
  <c r="L2719" i="1"/>
  <c r="O2719" i="1" s="1"/>
  <c r="J2719" i="1"/>
  <c r="I2719" i="1"/>
  <c r="K2719" i="1" s="1"/>
  <c r="N2719" i="1" s="1"/>
  <c r="Q2719" i="1" s="1"/>
  <c r="S2718" i="1"/>
  <c r="L2718" i="1"/>
  <c r="O2718" i="1" s="1"/>
  <c r="P2718" i="1" s="1"/>
  <c r="R2718" i="1" s="1"/>
  <c r="K2718" i="1"/>
  <c r="N2718" i="1" s="1"/>
  <c r="Q2718" i="1" s="1"/>
  <c r="J2718" i="1"/>
  <c r="I2718" i="1"/>
  <c r="M2718" i="1" s="1"/>
  <c r="S2717" i="1"/>
  <c r="R2717" i="1"/>
  <c r="N2717" i="1"/>
  <c r="Q2717" i="1" s="1"/>
  <c r="L2717" i="1"/>
  <c r="O2717" i="1" s="1"/>
  <c r="P2717" i="1" s="1"/>
  <c r="K2717" i="1"/>
  <c r="J2717" i="1"/>
  <c r="I2717" i="1"/>
  <c r="M2717" i="1" s="1"/>
  <c r="S2716" i="1"/>
  <c r="O2716" i="1"/>
  <c r="P2716" i="1" s="1"/>
  <c r="R2716" i="1" s="1"/>
  <c r="N2716" i="1"/>
  <c r="Q2716" i="1" s="1"/>
  <c r="L2716" i="1"/>
  <c r="K2716" i="1"/>
  <c r="J2716" i="1"/>
  <c r="I2716" i="1"/>
  <c r="M2716" i="1" s="1"/>
  <c r="S2715" i="1"/>
  <c r="R2715" i="1"/>
  <c r="M2715" i="1"/>
  <c r="L2715" i="1"/>
  <c r="O2715" i="1" s="1"/>
  <c r="P2715" i="1" s="1"/>
  <c r="J2715" i="1"/>
  <c r="I2715" i="1"/>
  <c r="K2715" i="1" s="1"/>
  <c r="N2715" i="1" s="1"/>
  <c r="Q2715" i="1" s="1"/>
  <c r="S2714" i="1"/>
  <c r="M2714" i="1"/>
  <c r="L2714" i="1"/>
  <c r="O2714" i="1" s="1"/>
  <c r="P2714" i="1" s="1"/>
  <c r="R2714" i="1" s="1"/>
  <c r="J2714" i="1"/>
  <c r="I2714" i="1"/>
  <c r="K2714" i="1" s="1"/>
  <c r="N2714" i="1" s="1"/>
  <c r="Q2714" i="1" s="1"/>
  <c r="S2713" i="1"/>
  <c r="O2713" i="1"/>
  <c r="P2713" i="1" s="1"/>
  <c r="R2713" i="1" s="1"/>
  <c r="N2713" i="1"/>
  <c r="Q2713" i="1" s="1"/>
  <c r="L2713" i="1"/>
  <c r="K2713" i="1"/>
  <c r="J2713" i="1"/>
  <c r="I2713" i="1"/>
  <c r="M2713" i="1" s="1"/>
  <c r="S2712" i="1"/>
  <c r="Q2712" i="1"/>
  <c r="O2712" i="1"/>
  <c r="P2712" i="1" s="1"/>
  <c r="R2712" i="1" s="1"/>
  <c r="L2712" i="1"/>
  <c r="K2712" i="1"/>
  <c r="N2712" i="1" s="1"/>
  <c r="J2712" i="1"/>
  <c r="I2712" i="1"/>
  <c r="M2712" i="1" s="1"/>
  <c r="S2711" i="1"/>
  <c r="R2711" i="1"/>
  <c r="P2711" i="1"/>
  <c r="L2711" i="1"/>
  <c r="O2711" i="1" s="1"/>
  <c r="J2711" i="1"/>
  <c r="I2711" i="1"/>
  <c r="K2711" i="1" s="1"/>
  <c r="N2711" i="1" s="1"/>
  <c r="Q2711" i="1" s="1"/>
  <c r="S2710" i="1"/>
  <c r="O2710" i="1"/>
  <c r="P2710" i="1" s="1"/>
  <c r="R2710" i="1" s="1"/>
  <c r="M2710" i="1"/>
  <c r="L2710" i="1"/>
  <c r="J2710" i="1"/>
  <c r="I2710" i="1"/>
  <c r="K2710" i="1" s="1"/>
  <c r="N2710" i="1" s="1"/>
  <c r="Q2710" i="1" s="1"/>
  <c r="S2709" i="1"/>
  <c r="P2709" i="1"/>
  <c r="R2709" i="1" s="1"/>
  <c r="O2709" i="1"/>
  <c r="L2709" i="1"/>
  <c r="K2709" i="1"/>
  <c r="N2709" i="1" s="1"/>
  <c r="Q2709" i="1" s="1"/>
  <c r="J2709" i="1"/>
  <c r="I2709" i="1"/>
  <c r="M2709" i="1" s="1"/>
  <c r="S2708" i="1"/>
  <c r="R2708" i="1"/>
  <c r="Q2708" i="1"/>
  <c r="O2708" i="1"/>
  <c r="P2708" i="1" s="1"/>
  <c r="L2708" i="1"/>
  <c r="J2708" i="1"/>
  <c r="I2708" i="1"/>
  <c r="K2708" i="1" s="1"/>
  <c r="N2708" i="1" s="1"/>
  <c r="S2707" i="1"/>
  <c r="P2707" i="1"/>
  <c r="R2707" i="1" s="1"/>
  <c r="L2707" i="1"/>
  <c r="O2707" i="1" s="1"/>
  <c r="J2707" i="1"/>
  <c r="I2707" i="1"/>
  <c r="S2706" i="1"/>
  <c r="P2706" i="1"/>
  <c r="R2706" i="1" s="1"/>
  <c r="O2706" i="1"/>
  <c r="L2706" i="1"/>
  <c r="K2706" i="1"/>
  <c r="N2706" i="1" s="1"/>
  <c r="Q2706" i="1" s="1"/>
  <c r="J2706" i="1"/>
  <c r="I2706" i="1"/>
  <c r="M2706" i="1" s="1"/>
  <c r="S2705" i="1"/>
  <c r="R2705" i="1"/>
  <c r="P2705" i="1"/>
  <c r="L2705" i="1"/>
  <c r="O2705" i="1" s="1"/>
  <c r="K2705" i="1"/>
  <c r="N2705" i="1" s="1"/>
  <c r="Q2705" i="1" s="1"/>
  <c r="J2705" i="1"/>
  <c r="I2705" i="1"/>
  <c r="M2705" i="1" s="1"/>
  <c r="S2704" i="1"/>
  <c r="R2704" i="1"/>
  <c r="O2704" i="1"/>
  <c r="P2704" i="1" s="1"/>
  <c r="L2704" i="1"/>
  <c r="J2704" i="1"/>
  <c r="I2704" i="1"/>
  <c r="K2704" i="1" s="1"/>
  <c r="N2704" i="1" s="1"/>
  <c r="Q2704" i="1" s="1"/>
  <c r="S2703" i="1"/>
  <c r="P2703" i="1"/>
  <c r="R2703" i="1" s="1"/>
  <c r="M2703" i="1"/>
  <c r="L2703" i="1"/>
  <c r="O2703" i="1" s="1"/>
  <c r="J2703" i="1"/>
  <c r="I2703" i="1"/>
  <c r="K2703" i="1" s="1"/>
  <c r="N2703" i="1" s="1"/>
  <c r="Q2703" i="1" s="1"/>
  <c r="S2702" i="1"/>
  <c r="L2702" i="1"/>
  <c r="O2702" i="1" s="1"/>
  <c r="P2702" i="1" s="1"/>
  <c r="R2702" i="1" s="1"/>
  <c r="K2702" i="1"/>
  <c r="N2702" i="1" s="1"/>
  <c r="Q2702" i="1" s="1"/>
  <c r="J2702" i="1"/>
  <c r="I2702" i="1"/>
  <c r="M2702" i="1" s="1"/>
  <c r="S2701" i="1"/>
  <c r="R2701" i="1"/>
  <c r="N2701" i="1"/>
  <c r="Q2701" i="1" s="1"/>
  <c r="L2701" i="1"/>
  <c r="O2701" i="1" s="1"/>
  <c r="P2701" i="1" s="1"/>
  <c r="K2701" i="1"/>
  <c r="J2701" i="1"/>
  <c r="I2701" i="1"/>
  <c r="M2701" i="1" s="1"/>
  <c r="S2700" i="1"/>
  <c r="O2700" i="1"/>
  <c r="P2700" i="1" s="1"/>
  <c r="R2700" i="1" s="1"/>
  <c r="N2700" i="1"/>
  <c r="Q2700" i="1" s="1"/>
  <c r="L2700" i="1"/>
  <c r="K2700" i="1"/>
  <c r="J2700" i="1"/>
  <c r="I2700" i="1"/>
  <c r="M2700" i="1" s="1"/>
  <c r="S2699" i="1"/>
  <c r="R2699" i="1"/>
  <c r="M2699" i="1"/>
  <c r="L2699" i="1"/>
  <c r="O2699" i="1" s="1"/>
  <c r="P2699" i="1" s="1"/>
  <c r="J2699" i="1"/>
  <c r="I2699" i="1"/>
  <c r="K2699" i="1" s="1"/>
  <c r="N2699" i="1" s="1"/>
  <c r="Q2699" i="1" s="1"/>
  <c r="S2698" i="1"/>
  <c r="M2698" i="1"/>
  <c r="L2698" i="1"/>
  <c r="O2698" i="1" s="1"/>
  <c r="P2698" i="1" s="1"/>
  <c r="R2698" i="1" s="1"/>
  <c r="J2698" i="1"/>
  <c r="I2698" i="1"/>
  <c r="K2698" i="1" s="1"/>
  <c r="N2698" i="1" s="1"/>
  <c r="Q2698" i="1" s="1"/>
  <c r="S2697" i="1"/>
  <c r="O2697" i="1"/>
  <c r="P2697" i="1" s="1"/>
  <c r="R2697" i="1" s="1"/>
  <c r="N2697" i="1"/>
  <c r="Q2697" i="1" s="1"/>
  <c r="L2697" i="1"/>
  <c r="K2697" i="1"/>
  <c r="J2697" i="1"/>
  <c r="I2697" i="1"/>
  <c r="M2697" i="1" s="1"/>
  <c r="S2696" i="1"/>
  <c r="Q2696" i="1"/>
  <c r="O2696" i="1"/>
  <c r="P2696" i="1" s="1"/>
  <c r="R2696" i="1" s="1"/>
  <c r="L2696" i="1"/>
  <c r="K2696" i="1"/>
  <c r="N2696" i="1" s="1"/>
  <c r="J2696" i="1"/>
  <c r="I2696" i="1"/>
  <c r="M2696" i="1" s="1"/>
  <c r="S2695" i="1"/>
  <c r="R2695" i="1"/>
  <c r="P2695" i="1"/>
  <c r="L2695" i="1"/>
  <c r="O2695" i="1" s="1"/>
  <c r="J2695" i="1"/>
  <c r="I2695" i="1"/>
  <c r="K2695" i="1" s="1"/>
  <c r="N2695" i="1" s="1"/>
  <c r="Q2695" i="1" s="1"/>
  <c r="S2694" i="1"/>
  <c r="O2694" i="1"/>
  <c r="P2694" i="1" s="1"/>
  <c r="R2694" i="1" s="1"/>
  <c r="M2694" i="1"/>
  <c r="L2694" i="1"/>
  <c r="J2694" i="1"/>
  <c r="I2694" i="1"/>
  <c r="K2694" i="1" s="1"/>
  <c r="N2694" i="1" s="1"/>
  <c r="Q2694" i="1" s="1"/>
  <c r="S2693" i="1"/>
  <c r="P2693" i="1"/>
  <c r="R2693" i="1" s="1"/>
  <c r="O2693" i="1"/>
  <c r="L2693" i="1"/>
  <c r="K2693" i="1"/>
  <c r="N2693" i="1" s="1"/>
  <c r="Q2693" i="1" s="1"/>
  <c r="J2693" i="1"/>
  <c r="I2693" i="1"/>
  <c r="M2693" i="1" s="1"/>
  <c r="S2692" i="1"/>
  <c r="R2692" i="1"/>
  <c r="Q2692" i="1"/>
  <c r="O2692" i="1"/>
  <c r="P2692" i="1" s="1"/>
  <c r="L2692" i="1"/>
  <c r="J2692" i="1"/>
  <c r="I2692" i="1"/>
  <c r="K2692" i="1" s="1"/>
  <c r="N2692" i="1" s="1"/>
  <c r="S2691" i="1"/>
  <c r="P2691" i="1"/>
  <c r="R2691" i="1" s="1"/>
  <c r="L2691" i="1"/>
  <c r="O2691" i="1" s="1"/>
  <c r="J2691" i="1"/>
  <c r="I2691" i="1"/>
  <c r="S2690" i="1"/>
  <c r="P2690" i="1"/>
  <c r="R2690" i="1" s="1"/>
  <c r="O2690" i="1"/>
  <c r="L2690" i="1"/>
  <c r="K2690" i="1"/>
  <c r="N2690" i="1" s="1"/>
  <c r="Q2690" i="1" s="1"/>
  <c r="J2690" i="1"/>
  <c r="I2690" i="1"/>
  <c r="M2690" i="1" s="1"/>
  <c r="S2689" i="1"/>
  <c r="R2689" i="1"/>
  <c r="P2689" i="1"/>
  <c r="L2689" i="1"/>
  <c r="O2689" i="1" s="1"/>
  <c r="K2689" i="1"/>
  <c r="N2689" i="1" s="1"/>
  <c r="Q2689" i="1" s="1"/>
  <c r="J2689" i="1"/>
  <c r="I2689" i="1"/>
  <c r="M2689" i="1" s="1"/>
  <c r="S2688" i="1"/>
  <c r="R2688" i="1"/>
  <c r="O2688" i="1"/>
  <c r="P2688" i="1" s="1"/>
  <c r="L2688" i="1"/>
  <c r="J2688" i="1"/>
  <c r="I2688" i="1"/>
  <c r="K2688" i="1" s="1"/>
  <c r="N2688" i="1" s="1"/>
  <c r="Q2688" i="1" s="1"/>
  <c r="S2687" i="1"/>
  <c r="P2687" i="1"/>
  <c r="R2687" i="1" s="1"/>
  <c r="M2687" i="1"/>
  <c r="L2687" i="1"/>
  <c r="O2687" i="1" s="1"/>
  <c r="J2687" i="1"/>
  <c r="I2687" i="1"/>
  <c r="K2687" i="1" s="1"/>
  <c r="N2687" i="1" s="1"/>
  <c r="Q2687" i="1" s="1"/>
  <c r="S2686" i="1"/>
  <c r="L2686" i="1"/>
  <c r="O2686" i="1" s="1"/>
  <c r="P2686" i="1" s="1"/>
  <c r="R2686" i="1" s="1"/>
  <c r="K2686" i="1"/>
  <c r="N2686" i="1" s="1"/>
  <c r="Q2686" i="1" s="1"/>
  <c r="J2686" i="1"/>
  <c r="I2686" i="1"/>
  <c r="M2686" i="1" s="1"/>
  <c r="S2685" i="1"/>
  <c r="R2685" i="1"/>
  <c r="N2685" i="1"/>
  <c r="Q2685" i="1" s="1"/>
  <c r="L2685" i="1"/>
  <c r="O2685" i="1" s="1"/>
  <c r="P2685" i="1" s="1"/>
  <c r="K2685" i="1"/>
  <c r="J2685" i="1"/>
  <c r="I2685" i="1"/>
  <c r="M2685" i="1" s="1"/>
  <c r="S2684" i="1"/>
  <c r="O2684" i="1"/>
  <c r="P2684" i="1" s="1"/>
  <c r="R2684" i="1" s="1"/>
  <c r="N2684" i="1"/>
  <c r="Q2684" i="1" s="1"/>
  <c r="L2684" i="1"/>
  <c r="K2684" i="1"/>
  <c r="J2684" i="1"/>
  <c r="I2684" i="1"/>
  <c r="M2684" i="1" s="1"/>
  <c r="S2683" i="1"/>
  <c r="R2683" i="1"/>
  <c r="M2683" i="1"/>
  <c r="L2683" i="1"/>
  <c r="O2683" i="1" s="1"/>
  <c r="P2683" i="1" s="1"/>
  <c r="J2683" i="1"/>
  <c r="I2683" i="1"/>
  <c r="K2683" i="1" s="1"/>
  <c r="N2683" i="1" s="1"/>
  <c r="Q2683" i="1" s="1"/>
  <c r="S2682" i="1"/>
  <c r="M2682" i="1"/>
  <c r="L2682" i="1"/>
  <c r="O2682" i="1" s="1"/>
  <c r="P2682" i="1" s="1"/>
  <c r="R2682" i="1" s="1"/>
  <c r="J2682" i="1"/>
  <c r="I2682" i="1"/>
  <c r="K2682" i="1" s="1"/>
  <c r="N2682" i="1" s="1"/>
  <c r="Q2682" i="1" s="1"/>
  <c r="S2681" i="1"/>
  <c r="O2681" i="1"/>
  <c r="P2681" i="1" s="1"/>
  <c r="R2681" i="1" s="1"/>
  <c r="N2681" i="1"/>
  <c r="Q2681" i="1" s="1"/>
  <c r="L2681" i="1"/>
  <c r="K2681" i="1"/>
  <c r="J2681" i="1"/>
  <c r="I2681" i="1"/>
  <c r="M2681" i="1" s="1"/>
  <c r="S2680" i="1"/>
  <c r="O2680" i="1"/>
  <c r="P2680" i="1" s="1"/>
  <c r="R2680" i="1" s="1"/>
  <c r="L2680" i="1"/>
  <c r="K2680" i="1"/>
  <c r="N2680" i="1" s="1"/>
  <c r="Q2680" i="1" s="1"/>
  <c r="J2680" i="1"/>
  <c r="I2680" i="1"/>
  <c r="M2680" i="1" s="1"/>
  <c r="S2679" i="1"/>
  <c r="R2679" i="1"/>
  <c r="P2679" i="1"/>
  <c r="L2679" i="1"/>
  <c r="O2679" i="1" s="1"/>
  <c r="J2679" i="1"/>
  <c r="I2679" i="1"/>
  <c r="K2679" i="1" s="1"/>
  <c r="N2679" i="1" s="1"/>
  <c r="Q2679" i="1" s="1"/>
  <c r="S2678" i="1"/>
  <c r="O2678" i="1"/>
  <c r="P2678" i="1" s="1"/>
  <c r="R2678" i="1" s="1"/>
  <c r="L2678" i="1"/>
  <c r="J2678" i="1"/>
  <c r="I2678" i="1"/>
  <c r="K2678" i="1" s="1"/>
  <c r="N2678" i="1" s="1"/>
  <c r="Q2678" i="1" s="1"/>
  <c r="S2677" i="1"/>
  <c r="P2677" i="1"/>
  <c r="R2677" i="1" s="1"/>
  <c r="O2677" i="1"/>
  <c r="L2677" i="1"/>
  <c r="K2677" i="1"/>
  <c r="N2677" i="1" s="1"/>
  <c r="Q2677" i="1" s="1"/>
  <c r="J2677" i="1"/>
  <c r="I2677" i="1"/>
  <c r="M2677" i="1" s="1"/>
  <c r="S2676" i="1"/>
  <c r="R2676" i="1"/>
  <c r="Q2676" i="1"/>
  <c r="O2676" i="1"/>
  <c r="P2676" i="1" s="1"/>
  <c r="L2676" i="1"/>
  <c r="J2676" i="1"/>
  <c r="I2676" i="1"/>
  <c r="K2676" i="1" s="1"/>
  <c r="N2676" i="1" s="1"/>
  <c r="S2675" i="1"/>
  <c r="P2675" i="1"/>
  <c r="R2675" i="1" s="1"/>
  <c r="L2675" i="1"/>
  <c r="O2675" i="1" s="1"/>
  <c r="J2675" i="1"/>
  <c r="I2675" i="1"/>
  <c r="S2674" i="1"/>
  <c r="P2674" i="1"/>
  <c r="R2674" i="1" s="1"/>
  <c r="O2674" i="1"/>
  <c r="L2674" i="1"/>
  <c r="K2674" i="1"/>
  <c r="N2674" i="1" s="1"/>
  <c r="Q2674" i="1" s="1"/>
  <c r="J2674" i="1"/>
  <c r="I2674" i="1"/>
  <c r="M2674" i="1" s="1"/>
  <c r="S2673" i="1"/>
  <c r="R2673" i="1"/>
  <c r="P2673" i="1"/>
  <c r="L2673" i="1"/>
  <c r="O2673" i="1" s="1"/>
  <c r="K2673" i="1"/>
  <c r="N2673" i="1" s="1"/>
  <c r="Q2673" i="1" s="1"/>
  <c r="J2673" i="1"/>
  <c r="I2673" i="1"/>
  <c r="M2673" i="1" s="1"/>
  <c r="S2672" i="1"/>
  <c r="R2672" i="1"/>
  <c r="O2672" i="1"/>
  <c r="P2672" i="1" s="1"/>
  <c r="L2672" i="1"/>
  <c r="J2672" i="1"/>
  <c r="I2672" i="1"/>
  <c r="K2672" i="1" s="1"/>
  <c r="N2672" i="1" s="1"/>
  <c r="Q2672" i="1" s="1"/>
  <c r="S2671" i="1"/>
  <c r="P2671" i="1"/>
  <c r="R2671" i="1" s="1"/>
  <c r="M2671" i="1"/>
  <c r="L2671" i="1"/>
  <c r="O2671" i="1" s="1"/>
  <c r="J2671" i="1"/>
  <c r="I2671" i="1"/>
  <c r="K2671" i="1" s="1"/>
  <c r="N2671" i="1" s="1"/>
  <c r="Q2671" i="1" s="1"/>
  <c r="S2670" i="1"/>
  <c r="L2670" i="1"/>
  <c r="O2670" i="1" s="1"/>
  <c r="P2670" i="1" s="1"/>
  <c r="R2670" i="1" s="1"/>
  <c r="K2670" i="1"/>
  <c r="N2670" i="1" s="1"/>
  <c r="Q2670" i="1" s="1"/>
  <c r="J2670" i="1"/>
  <c r="I2670" i="1"/>
  <c r="M2670" i="1" s="1"/>
  <c r="S2669" i="1"/>
  <c r="R2669" i="1"/>
  <c r="N2669" i="1"/>
  <c r="Q2669" i="1" s="1"/>
  <c r="L2669" i="1"/>
  <c r="O2669" i="1" s="1"/>
  <c r="P2669" i="1" s="1"/>
  <c r="K2669" i="1"/>
  <c r="J2669" i="1"/>
  <c r="I2669" i="1"/>
  <c r="M2669" i="1" s="1"/>
  <c r="S2668" i="1"/>
  <c r="O2668" i="1"/>
  <c r="P2668" i="1" s="1"/>
  <c r="R2668" i="1" s="1"/>
  <c r="N2668" i="1"/>
  <c r="Q2668" i="1" s="1"/>
  <c r="L2668" i="1"/>
  <c r="K2668" i="1"/>
  <c r="J2668" i="1"/>
  <c r="I2668" i="1"/>
  <c r="M2668" i="1" s="1"/>
  <c r="S2667" i="1"/>
  <c r="M2667" i="1"/>
  <c r="L2667" i="1"/>
  <c r="O2667" i="1" s="1"/>
  <c r="P2667" i="1" s="1"/>
  <c r="R2667" i="1" s="1"/>
  <c r="J2667" i="1"/>
  <c r="I2667" i="1"/>
  <c r="K2667" i="1" s="1"/>
  <c r="N2667" i="1" s="1"/>
  <c r="Q2667" i="1" s="1"/>
  <c r="S2666" i="1"/>
  <c r="L2666" i="1"/>
  <c r="O2666" i="1" s="1"/>
  <c r="P2666" i="1" s="1"/>
  <c r="R2666" i="1" s="1"/>
  <c r="J2666" i="1"/>
  <c r="I2666" i="1"/>
  <c r="K2666" i="1" s="1"/>
  <c r="N2666" i="1" s="1"/>
  <c r="Q2666" i="1" s="1"/>
  <c r="S2665" i="1"/>
  <c r="O2665" i="1"/>
  <c r="P2665" i="1" s="1"/>
  <c r="R2665" i="1" s="1"/>
  <c r="N2665" i="1"/>
  <c r="Q2665" i="1" s="1"/>
  <c r="L2665" i="1"/>
  <c r="K2665" i="1"/>
  <c r="J2665" i="1"/>
  <c r="I2665" i="1"/>
  <c r="M2665" i="1" s="1"/>
  <c r="S2664" i="1"/>
  <c r="O2664" i="1"/>
  <c r="P2664" i="1" s="1"/>
  <c r="R2664" i="1" s="1"/>
  <c r="L2664" i="1"/>
  <c r="K2664" i="1"/>
  <c r="N2664" i="1" s="1"/>
  <c r="Q2664" i="1" s="1"/>
  <c r="J2664" i="1"/>
  <c r="I2664" i="1"/>
  <c r="M2664" i="1" s="1"/>
  <c r="S2663" i="1"/>
  <c r="R2663" i="1"/>
  <c r="P2663" i="1"/>
  <c r="N2663" i="1"/>
  <c r="Q2663" i="1" s="1"/>
  <c r="L2663" i="1"/>
  <c r="O2663" i="1" s="1"/>
  <c r="J2663" i="1"/>
  <c r="I2663" i="1"/>
  <c r="K2663" i="1" s="1"/>
  <c r="S2662" i="1"/>
  <c r="O2662" i="1"/>
  <c r="P2662" i="1" s="1"/>
  <c r="R2662" i="1" s="1"/>
  <c r="L2662" i="1"/>
  <c r="J2662" i="1"/>
  <c r="I2662" i="1"/>
  <c r="K2662" i="1" s="1"/>
  <c r="S2661" i="1"/>
  <c r="P2661" i="1"/>
  <c r="R2661" i="1" s="1"/>
  <c r="O2661" i="1"/>
  <c r="L2661" i="1"/>
  <c r="N2661" i="1" s="1"/>
  <c r="Q2661" i="1" s="1"/>
  <c r="K2661" i="1"/>
  <c r="J2661" i="1"/>
  <c r="I2661" i="1"/>
  <c r="M2661" i="1" s="1"/>
  <c r="S2660" i="1"/>
  <c r="R2660" i="1"/>
  <c r="Q2660" i="1"/>
  <c r="O2660" i="1"/>
  <c r="P2660" i="1" s="1"/>
  <c r="L2660" i="1"/>
  <c r="J2660" i="1"/>
  <c r="I2660" i="1"/>
  <c r="K2660" i="1" s="1"/>
  <c r="N2660" i="1" s="1"/>
  <c r="S2659" i="1"/>
  <c r="P2659" i="1"/>
  <c r="R2659" i="1" s="1"/>
  <c r="L2659" i="1"/>
  <c r="O2659" i="1" s="1"/>
  <c r="J2659" i="1"/>
  <c r="I2659" i="1"/>
  <c r="S2658" i="1"/>
  <c r="P2658" i="1"/>
  <c r="R2658" i="1" s="1"/>
  <c r="O2658" i="1"/>
  <c r="L2658" i="1"/>
  <c r="K2658" i="1"/>
  <c r="N2658" i="1" s="1"/>
  <c r="Q2658" i="1" s="1"/>
  <c r="J2658" i="1"/>
  <c r="I2658" i="1"/>
  <c r="M2658" i="1" s="1"/>
  <c r="S2657" i="1"/>
  <c r="R2657" i="1"/>
  <c r="P2657" i="1"/>
  <c r="L2657" i="1"/>
  <c r="O2657" i="1" s="1"/>
  <c r="K2657" i="1"/>
  <c r="N2657" i="1" s="1"/>
  <c r="Q2657" i="1" s="1"/>
  <c r="J2657" i="1"/>
  <c r="I2657" i="1"/>
  <c r="M2657" i="1" s="1"/>
  <c r="S2656" i="1"/>
  <c r="R2656" i="1"/>
  <c r="O2656" i="1"/>
  <c r="P2656" i="1" s="1"/>
  <c r="L2656" i="1"/>
  <c r="J2656" i="1"/>
  <c r="I2656" i="1"/>
  <c r="K2656" i="1" s="1"/>
  <c r="N2656" i="1" s="1"/>
  <c r="Q2656" i="1" s="1"/>
  <c r="S2655" i="1"/>
  <c r="P2655" i="1"/>
  <c r="R2655" i="1" s="1"/>
  <c r="M2655" i="1"/>
  <c r="L2655" i="1"/>
  <c r="O2655" i="1" s="1"/>
  <c r="J2655" i="1"/>
  <c r="I2655" i="1"/>
  <c r="K2655" i="1" s="1"/>
  <c r="N2655" i="1" s="1"/>
  <c r="Q2655" i="1" s="1"/>
  <c r="S2654" i="1"/>
  <c r="L2654" i="1"/>
  <c r="O2654" i="1" s="1"/>
  <c r="P2654" i="1" s="1"/>
  <c r="R2654" i="1" s="1"/>
  <c r="K2654" i="1"/>
  <c r="N2654" i="1" s="1"/>
  <c r="Q2654" i="1" s="1"/>
  <c r="J2654" i="1"/>
  <c r="I2654" i="1"/>
  <c r="M2654" i="1" s="1"/>
  <c r="S2653" i="1"/>
  <c r="R2653" i="1"/>
  <c r="N2653" i="1"/>
  <c r="Q2653" i="1" s="1"/>
  <c r="L2653" i="1"/>
  <c r="O2653" i="1" s="1"/>
  <c r="P2653" i="1" s="1"/>
  <c r="K2653" i="1"/>
  <c r="J2653" i="1"/>
  <c r="I2653" i="1"/>
  <c r="M2653" i="1" s="1"/>
  <c r="S2652" i="1"/>
  <c r="O2652" i="1"/>
  <c r="P2652" i="1" s="1"/>
  <c r="R2652" i="1" s="1"/>
  <c r="N2652" i="1"/>
  <c r="Q2652" i="1" s="1"/>
  <c r="L2652" i="1"/>
  <c r="K2652" i="1"/>
  <c r="J2652" i="1"/>
  <c r="I2652" i="1"/>
  <c r="M2652" i="1" s="1"/>
  <c r="S2651" i="1"/>
  <c r="M2651" i="1"/>
  <c r="L2651" i="1"/>
  <c r="O2651" i="1" s="1"/>
  <c r="P2651" i="1" s="1"/>
  <c r="R2651" i="1" s="1"/>
  <c r="J2651" i="1"/>
  <c r="I2651" i="1"/>
  <c r="K2651" i="1" s="1"/>
  <c r="N2651" i="1" s="1"/>
  <c r="Q2651" i="1" s="1"/>
  <c r="S2650" i="1"/>
  <c r="L2650" i="1"/>
  <c r="O2650" i="1" s="1"/>
  <c r="P2650" i="1" s="1"/>
  <c r="R2650" i="1" s="1"/>
  <c r="J2650" i="1"/>
  <c r="I2650" i="1"/>
  <c r="K2650" i="1" s="1"/>
  <c r="N2650" i="1" s="1"/>
  <c r="Q2650" i="1" s="1"/>
  <c r="S2649" i="1"/>
  <c r="O2649" i="1"/>
  <c r="P2649" i="1" s="1"/>
  <c r="R2649" i="1" s="1"/>
  <c r="N2649" i="1"/>
  <c r="Q2649" i="1" s="1"/>
  <c r="L2649" i="1"/>
  <c r="K2649" i="1"/>
  <c r="J2649" i="1"/>
  <c r="I2649" i="1"/>
  <c r="M2649" i="1" s="1"/>
  <c r="S2648" i="1"/>
  <c r="O2648" i="1"/>
  <c r="P2648" i="1" s="1"/>
  <c r="R2648" i="1" s="1"/>
  <c r="L2648" i="1"/>
  <c r="K2648" i="1"/>
  <c r="N2648" i="1" s="1"/>
  <c r="Q2648" i="1" s="1"/>
  <c r="J2648" i="1"/>
  <c r="I2648" i="1"/>
  <c r="M2648" i="1" s="1"/>
  <c r="S2647" i="1"/>
  <c r="R2647" i="1"/>
  <c r="P2647" i="1"/>
  <c r="L2647" i="1"/>
  <c r="O2647" i="1" s="1"/>
  <c r="J2647" i="1"/>
  <c r="I2647" i="1"/>
  <c r="K2647" i="1" s="1"/>
  <c r="N2647" i="1" s="1"/>
  <c r="Q2647" i="1" s="1"/>
  <c r="S2646" i="1"/>
  <c r="O2646" i="1"/>
  <c r="P2646" i="1" s="1"/>
  <c r="R2646" i="1" s="1"/>
  <c r="L2646" i="1"/>
  <c r="J2646" i="1"/>
  <c r="I2646" i="1"/>
  <c r="K2646" i="1" s="1"/>
  <c r="N2646" i="1" s="1"/>
  <c r="Q2646" i="1" s="1"/>
  <c r="S2645" i="1"/>
  <c r="P2645" i="1"/>
  <c r="R2645" i="1" s="1"/>
  <c r="O2645" i="1"/>
  <c r="L2645" i="1"/>
  <c r="K2645" i="1"/>
  <c r="N2645" i="1" s="1"/>
  <c r="Q2645" i="1" s="1"/>
  <c r="J2645" i="1"/>
  <c r="I2645" i="1"/>
  <c r="M2645" i="1" s="1"/>
  <c r="S2644" i="1"/>
  <c r="R2644" i="1"/>
  <c r="Q2644" i="1"/>
  <c r="O2644" i="1"/>
  <c r="P2644" i="1" s="1"/>
  <c r="M2644" i="1"/>
  <c r="L2644" i="1"/>
  <c r="J2644" i="1"/>
  <c r="I2644" i="1"/>
  <c r="K2644" i="1" s="1"/>
  <c r="N2644" i="1" s="1"/>
  <c r="S2643" i="1"/>
  <c r="P2643" i="1"/>
  <c r="R2643" i="1" s="1"/>
  <c r="L2643" i="1"/>
  <c r="O2643" i="1" s="1"/>
  <c r="J2643" i="1"/>
  <c r="I2643" i="1"/>
  <c r="S2642" i="1"/>
  <c r="O2642" i="1"/>
  <c r="P2642" i="1" s="1"/>
  <c r="R2642" i="1" s="1"/>
  <c r="L2642" i="1"/>
  <c r="K2642" i="1"/>
  <c r="N2642" i="1" s="1"/>
  <c r="Q2642" i="1" s="1"/>
  <c r="J2642" i="1"/>
  <c r="I2642" i="1"/>
  <c r="M2642" i="1" s="1"/>
  <c r="S2641" i="1"/>
  <c r="L2641" i="1"/>
  <c r="O2641" i="1" s="1"/>
  <c r="P2641" i="1" s="1"/>
  <c r="R2641" i="1" s="1"/>
  <c r="K2641" i="1"/>
  <c r="N2641" i="1" s="1"/>
  <c r="Q2641" i="1" s="1"/>
  <c r="J2641" i="1"/>
  <c r="I2641" i="1"/>
  <c r="M2641" i="1" s="1"/>
  <c r="S2640" i="1"/>
  <c r="R2640" i="1"/>
  <c r="O2640" i="1"/>
  <c r="P2640" i="1" s="1"/>
  <c r="M2640" i="1"/>
  <c r="L2640" i="1"/>
  <c r="J2640" i="1"/>
  <c r="I2640" i="1"/>
  <c r="K2640" i="1" s="1"/>
  <c r="N2640" i="1" s="1"/>
  <c r="Q2640" i="1" s="1"/>
  <c r="S2639" i="1"/>
  <c r="P2639" i="1"/>
  <c r="R2639" i="1" s="1"/>
  <c r="M2639" i="1"/>
  <c r="L2639" i="1"/>
  <c r="O2639" i="1" s="1"/>
  <c r="J2639" i="1"/>
  <c r="I2639" i="1"/>
  <c r="K2639" i="1" s="1"/>
  <c r="N2639" i="1" s="1"/>
  <c r="Q2639" i="1" s="1"/>
  <c r="S2638" i="1"/>
  <c r="Q2638" i="1"/>
  <c r="L2638" i="1"/>
  <c r="O2638" i="1" s="1"/>
  <c r="P2638" i="1" s="1"/>
  <c r="R2638" i="1" s="1"/>
  <c r="K2638" i="1"/>
  <c r="N2638" i="1" s="1"/>
  <c r="J2638" i="1"/>
  <c r="I2638" i="1"/>
  <c r="M2638" i="1" s="1"/>
  <c r="S2637" i="1"/>
  <c r="R2637" i="1"/>
  <c r="N2637" i="1"/>
  <c r="Q2637" i="1" s="1"/>
  <c r="L2637" i="1"/>
  <c r="O2637" i="1" s="1"/>
  <c r="P2637" i="1" s="1"/>
  <c r="K2637" i="1"/>
  <c r="J2637" i="1"/>
  <c r="I2637" i="1"/>
  <c r="M2637" i="1" s="1"/>
  <c r="S2636" i="1"/>
  <c r="O2636" i="1"/>
  <c r="P2636" i="1" s="1"/>
  <c r="R2636" i="1" s="1"/>
  <c r="N2636" i="1"/>
  <c r="Q2636" i="1" s="1"/>
  <c r="L2636" i="1"/>
  <c r="K2636" i="1"/>
  <c r="J2636" i="1"/>
  <c r="I2636" i="1"/>
  <c r="M2636" i="1" s="1"/>
  <c r="S2635" i="1"/>
  <c r="M2635" i="1"/>
  <c r="L2635" i="1"/>
  <c r="O2635" i="1" s="1"/>
  <c r="P2635" i="1" s="1"/>
  <c r="R2635" i="1" s="1"/>
  <c r="J2635" i="1"/>
  <c r="I2635" i="1"/>
  <c r="K2635" i="1" s="1"/>
  <c r="N2635" i="1" s="1"/>
  <c r="Q2635" i="1" s="1"/>
  <c r="S2634" i="1"/>
  <c r="L2634" i="1"/>
  <c r="O2634" i="1" s="1"/>
  <c r="P2634" i="1" s="1"/>
  <c r="R2634" i="1" s="1"/>
  <c r="J2634" i="1"/>
  <c r="I2634" i="1"/>
  <c r="K2634" i="1" s="1"/>
  <c r="N2634" i="1" s="1"/>
  <c r="Q2634" i="1" s="1"/>
  <c r="S2633" i="1"/>
  <c r="O2633" i="1"/>
  <c r="P2633" i="1" s="1"/>
  <c r="R2633" i="1" s="1"/>
  <c r="N2633" i="1"/>
  <c r="Q2633" i="1" s="1"/>
  <c r="L2633" i="1"/>
  <c r="K2633" i="1"/>
  <c r="J2633" i="1"/>
  <c r="I2633" i="1"/>
  <c r="M2633" i="1" s="1"/>
  <c r="S2632" i="1"/>
  <c r="O2632" i="1"/>
  <c r="P2632" i="1" s="1"/>
  <c r="R2632" i="1" s="1"/>
  <c r="L2632" i="1"/>
  <c r="K2632" i="1"/>
  <c r="N2632" i="1" s="1"/>
  <c r="Q2632" i="1" s="1"/>
  <c r="J2632" i="1"/>
  <c r="I2632" i="1"/>
  <c r="M2632" i="1" s="1"/>
  <c r="S2631" i="1"/>
  <c r="R2631" i="1"/>
  <c r="P2631" i="1"/>
  <c r="L2631" i="1"/>
  <c r="O2631" i="1" s="1"/>
  <c r="J2631" i="1"/>
  <c r="I2631" i="1"/>
  <c r="K2631" i="1" s="1"/>
  <c r="N2631" i="1" s="1"/>
  <c r="Q2631" i="1" s="1"/>
  <c r="S2630" i="1"/>
  <c r="O2630" i="1"/>
  <c r="P2630" i="1" s="1"/>
  <c r="R2630" i="1" s="1"/>
  <c r="L2630" i="1"/>
  <c r="J2630" i="1"/>
  <c r="I2630" i="1"/>
  <c r="K2630" i="1" s="1"/>
  <c r="N2630" i="1" s="1"/>
  <c r="Q2630" i="1" s="1"/>
  <c r="S2629" i="1"/>
  <c r="P2629" i="1"/>
  <c r="R2629" i="1" s="1"/>
  <c r="O2629" i="1"/>
  <c r="L2629" i="1"/>
  <c r="K2629" i="1"/>
  <c r="N2629" i="1" s="1"/>
  <c r="Q2629" i="1" s="1"/>
  <c r="J2629" i="1"/>
  <c r="I2629" i="1"/>
  <c r="M2629" i="1" s="1"/>
  <c r="S2628" i="1"/>
  <c r="R2628" i="1"/>
  <c r="Q2628" i="1"/>
  <c r="O2628" i="1"/>
  <c r="P2628" i="1" s="1"/>
  <c r="M2628" i="1"/>
  <c r="L2628" i="1"/>
  <c r="J2628" i="1"/>
  <c r="I2628" i="1"/>
  <c r="K2628" i="1" s="1"/>
  <c r="N2628" i="1" s="1"/>
  <c r="S2627" i="1"/>
  <c r="P2627" i="1"/>
  <c r="R2627" i="1" s="1"/>
  <c r="L2627" i="1"/>
  <c r="O2627" i="1" s="1"/>
  <c r="J2627" i="1"/>
  <c r="I2627" i="1"/>
  <c r="S2626" i="1"/>
  <c r="O2626" i="1"/>
  <c r="P2626" i="1" s="1"/>
  <c r="R2626" i="1" s="1"/>
  <c r="L2626" i="1"/>
  <c r="K2626" i="1"/>
  <c r="N2626" i="1" s="1"/>
  <c r="Q2626" i="1" s="1"/>
  <c r="J2626" i="1"/>
  <c r="I2626" i="1"/>
  <c r="M2626" i="1" s="1"/>
  <c r="S2625" i="1"/>
  <c r="L2625" i="1"/>
  <c r="O2625" i="1" s="1"/>
  <c r="P2625" i="1" s="1"/>
  <c r="R2625" i="1" s="1"/>
  <c r="K2625" i="1"/>
  <c r="N2625" i="1" s="1"/>
  <c r="Q2625" i="1" s="1"/>
  <c r="J2625" i="1"/>
  <c r="I2625" i="1"/>
  <c r="M2625" i="1" s="1"/>
  <c r="S2624" i="1"/>
  <c r="R2624" i="1"/>
  <c r="O2624" i="1"/>
  <c r="P2624" i="1" s="1"/>
  <c r="M2624" i="1"/>
  <c r="L2624" i="1"/>
  <c r="J2624" i="1"/>
  <c r="I2624" i="1"/>
  <c r="K2624" i="1" s="1"/>
  <c r="N2624" i="1" s="1"/>
  <c r="Q2624" i="1" s="1"/>
  <c r="S2623" i="1"/>
  <c r="P2623" i="1"/>
  <c r="R2623" i="1" s="1"/>
  <c r="M2623" i="1"/>
  <c r="L2623" i="1"/>
  <c r="O2623" i="1" s="1"/>
  <c r="J2623" i="1"/>
  <c r="I2623" i="1"/>
  <c r="K2623" i="1" s="1"/>
  <c r="N2623" i="1" s="1"/>
  <c r="Q2623" i="1" s="1"/>
  <c r="S2622" i="1"/>
  <c r="Q2622" i="1"/>
  <c r="L2622" i="1"/>
  <c r="O2622" i="1" s="1"/>
  <c r="P2622" i="1" s="1"/>
  <c r="R2622" i="1" s="1"/>
  <c r="K2622" i="1"/>
  <c r="N2622" i="1" s="1"/>
  <c r="J2622" i="1"/>
  <c r="I2622" i="1"/>
  <c r="M2622" i="1" s="1"/>
  <c r="S2621" i="1"/>
  <c r="R2621" i="1"/>
  <c r="N2621" i="1"/>
  <c r="Q2621" i="1" s="1"/>
  <c r="L2621" i="1"/>
  <c r="O2621" i="1" s="1"/>
  <c r="P2621" i="1" s="1"/>
  <c r="K2621" i="1"/>
  <c r="J2621" i="1"/>
  <c r="I2621" i="1"/>
  <c r="M2621" i="1" s="1"/>
  <c r="S2620" i="1"/>
  <c r="O2620" i="1"/>
  <c r="P2620" i="1" s="1"/>
  <c r="R2620" i="1" s="1"/>
  <c r="L2620" i="1"/>
  <c r="J2620" i="1"/>
  <c r="K2620" i="1" s="1"/>
  <c r="N2620" i="1" s="1"/>
  <c r="Q2620" i="1" s="1"/>
  <c r="I2620" i="1"/>
  <c r="M2620" i="1" s="1"/>
  <c r="S2619" i="1"/>
  <c r="M2619" i="1"/>
  <c r="L2619" i="1"/>
  <c r="O2619" i="1" s="1"/>
  <c r="P2619" i="1" s="1"/>
  <c r="R2619" i="1" s="1"/>
  <c r="J2619" i="1"/>
  <c r="I2619" i="1"/>
  <c r="K2619" i="1" s="1"/>
  <c r="N2619" i="1" s="1"/>
  <c r="Q2619" i="1" s="1"/>
  <c r="S2618" i="1"/>
  <c r="L2618" i="1"/>
  <c r="O2618" i="1" s="1"/>
  <c r="P2618" i="1" s="1"/>
  <c r="R2618" i="1" s="1"/>
  <c r="J2618" i="1"/>
  <c r="I2618" i="1"/>
  <c r="K2618" i="1" s="1"/>
  <c r="N2618" i="1" s="1"/>
  <c r="Q2618" i="1" s="1"/>
  <c r="S2617" i="1"/>
  <c r="O2617" i="1"/>
  <c r="P2617" i="1" s="1"/>
  <c r="R2617" i="1" s="1"/>
  <c r="N2617" i="1"/>
  <c r="Q2617" i="1" s="1"/>
  <c r="L2617" i="1"/>
  <c r="K2617" i="1"/>
  <c r="J2617" i="1"/>
  <c r="I2617" i="1"/>
  <c r="M2617" i="1" s="1"/>
  <c r="S2616" i="1"/>
  <c r="O2616" i="1"/>
  <c r="P2616" i="1" s="1"/>
  <c r="R2616" i="1" s="1"/>
  <c r="L2616" i="1"/>
  <c r="K2616" i="1"/>
  <c r="N2616" i="1" s="1"/>
  <c r="Q2616" i="1" s="1"/>
  <c r="J2616" i="1"/>
  <c r="I2616" i="1"/>
  <c r="M2616" i="1" s="1"/>
  <c r="S2615" i="1"/>
  <c r="R2615" i="1"/>
  <c r="P2615" i="1"/>
  <c r="L2615" i="1"/>
  <c r="O2615" i="1" s="1"/>
  <c r="J2615" i="1"/>
  <c r="I2615" i="1"/>
  <c r="K2615" i="1" s="1"/>
  <c r="N2615" i="1" s="1"/>
  <c r="Q2615" i="1" s="1"/>
  <c r="S2614" i="1"/>
  <c r="O2614" i="1"/>
  <c r="P2614" i="1" s="1"/>
  <c r="R2614" i="1" s="1"/>
  <c r="L2614" i="1"/>
  <c r="J2614" i="1"/>
  <c r="I2614" i="1"/>
  <c r="K2614" i="1" s="1"/>
  <c r="N2614" i="1" s="1"/>
  <c r="Q2614" i="1" s="1"/>
  <c r="S2613" i="1"/>
  <c r="P2613" i="1"/>
  <c r="R2613" i="1" s="1"/>
  <c r="O2613" i="1"/>
  <c r="L2613" i="1"/>
  <c r="K2613" i="1"/>
  <c r="N2613" i="1" s="1"/>
  <c r="Q2613" i="1" s="1"/>
  <c r="J2613" i="1"/>
  <c r="I2613" i="1"/>
  <c r="M2613" i="1" s="1"/>
  <c r="S2612" i="1"/>
  <c r="R2612" i="1"/>
  <c r="Q2612" i="1"/>
  <c r="O2612" i="1"/>
  <c r="P2612" i="1" s="1"/>
  <c r="M2612" i="1"/>
  <c r="L2612" i="1"/>
  <c r="J2612" i="1"/>
  <c r="I2612" i="1"/>
  <c r="K2612" i="1" s="1"/>
  <c r="N2612" i="1" s="1"/>
  <c r="S2611" i="1"/>
  <c r="P2611" i="1"/>
  <c r="R2611" i="1" s="1"/>
  <c r="L2611" i="1"/>
  <c r="O2611" i="1" s="1"/>
  <c r="J2611" i="1"/>
  <c r="I2611" i="1"/>
  <c r="S2610" i="1"/>
  <c r="O2610" i="1"/>
  <c r="P2610" i="1" s="1"/>
  <c r="R2610" i="1" s="1"/>
  <c r="L2610" i="1"/>
  <c r="K2610" i="1"/>
  <c r="N2610" i="1" s="1"/>
  <c r="Q2610" i="1" s="1"/>
  <c r="J2610" i="1"/>
  <c r="I2610" i="1"/>
  <c r="M2610" i="1" s="1"/>
  <c r="S2609" i="1"/>
  <c r="R2609" i="1"/>
  <c r="O2609" i="1"/>
  <c r="P2609" i="1" s="1"/>
  <c r="M2609" i="1"/>
  <c r="L2609" i="1"/>
  <c r="J2609" i="1"/>
  <c r="I2609" i="1"/>
  <c r="K2609" i="1" s="1"/>
  <c r="N2609" i="1" s="1"/>
  <c r="Q2609" i="1" s="1"/>
  <c r="S2608" i="1"/>
  <c r="L2608" i="1"/>
  <c r="O2608" i="1" s="1"/>
  <c r="P2608" i="1" s="1"/>
  <c r="R2608" i="1" s="1"/>
  <c r="J2608" i="1"/>
  <c r="I2608" i="1"/>
  <c r="K2608" i="1" s="1"/>
  <c r="N2608" i="1" s="1"/>
  <c r="Q2608" i="1" s="1"/>
  <c r="S2607" i="1"/>
  <c r="L2607" i="1"/>
  <c r="O2607" i="1" s="1"/>
  <c r="P2607" i="1" s="1"/>
  <c r="R2607" i="1" s="1"/>
  <c r="K2607" i="1"/>
  <c r="N2607" i="1" s="1"/>
  <c r="Q2607" i="1" s="1"/>
  <c r="J2607" i="1"/>
  <c r="I2607" i="1"/>
  <c r="M2607" i="1" s="1"/>
  <c r="S2606" i="1"/>
  <c r="O2606" i="1"/>
  <c r="P2606" i="1" s="1"/>
  <c r="R2606" i="1" s="1"/>
  <c r="N2606" i="1"/>
  <c r="Q2606" i="1" s="1"/>
  <c r="L2606" i="1"/>
  <c r="K2606" i="1"/>
  <c r="J2606" i="1"/>
  <c r="I2606" i="1"/>
  <c r="M2606" i="1" s="1"/>
  <c r="S2605" i="1"/>
  <c r="O2605" i="1"/>
  <c r="P2605" i="1" s="1"/>
  <c r="R2605" i="1" s="1"/>
  <c r="L2605" i="1"/>
  <c r="J2605" i="1"/>
  <c r="I2605" i="1"/>
  <c r="K2605" i="1" s="1"/>
  <c r="N2605" i="1" s="1"/>
  <c r="Q2605" i="1" s="1"/>
  <c r="S2604" i="1"/>
  <c r="Q2604" i="1"/>
  <c r="P2604" i="1"/>
  <c r="R2604" i="1" s="1"/>
  <c r="M2604" i="1"/>
  <c r="L2604" i="1"/>
  <c r="O2604" i="1" s="1"/>
  <c r="J2604" i="1"/>
  <c r="I2604" i="1"/>
  <c r="K2604" i="1" s="1"/>
  <c r="N2604" i="1" s="1"/>
  <c r="S2603" i="1"/>
  <c r="O2603" i="1"/>
  <c r="P2603" i="1" s="1"/>
  <c r="R2603" i="1" s="1"/>
  <c r="L2603" i="1"/>
  <c r="K2603" i="1"/>
  <c r="N2603" i="1" s="1"/>
  <c r="Q2603" i="1" s="1"/>
  <c r="J2603" i="1"/>
  <c r="I2603" i="1"/>
  <c r="M2603" i="1" s="1"/>
  <c r="S2602" i="1"/>
  <c r="O2602" i="1"/>
  <c r="P2602" i="1" s="1"/>
  <c r="R2602" i="1" s="1"/>
  <c r="N2602" i="1"/>
  <c r="Q2602" i="1" s="1"/>
  <c r="L2602" i="1"/>
  <c r="K2602" i="1"/>
  <c r="J2602" i="1"/>
  <c r="I2602" i="1"/>
  <c r="M2602" i="1" s="1"/>
  <c r="S2601" i="1"/>
  <c r="Q2601" i="1"/>
  <c r="O2601" i="1"/>
  <c r="P2601" i="1" s="1"/>
  <c r="R2601" i="1" s="1"/>
  <c r="N2601" i="1"/>
  <c r="L2601" i="1"/>
  <c r="K2601" i="1"/>
  <c r="J2601" i="1"/>
  <c r="I2601" i="1"/>
  <c r="M2601" i="1" s="1"/>
  <c r="S2600" i="1"/>
  <c r="L2600" i="1"/>
  <c r="O2600" i="1" s="1"/>
  <c r="P2600" i="1" s="1"/>
  <c r="R2600" i="1" s="1"/>
  <c r="J2600" i="1"/>
  <c r="I2600" i="1"/>
  <c r="K2600" i="1" s="1"/>
  <c r="N2600" i="1" s="1"/>
  <c r="Q2600" i="1" s="1"/>
  <c r="S2599" i="1"/>
  <c r="O2599" i="1"/>
  <c r="P2599" i="1" s="1"/>
  <c r="R2599" i="1" s="1"/>
  <c r="L2599" i="1"/>
  <c r="J2599" i="1"/>
  <c r="I2599" i="1"/>
  <c r="K2599" i="1" s="1"/>
  <c r="N2599" i="1" s="1"/>
  <c r="Q2599" i="1" s="1"/>
  <c r="S2598" i="1"/>
  <c r="P2598" i="1"/>
  <c r="R2598" i="1" s="1"/>
  <c r="O2598" i="1"/>
  <c r="L2598" i="1"/>
  <c r="K2598" i="1"/>
  <c r="N2598" i="1" s="1"/>
  <c r="Q2598" i="1" s="1"/>
  <c r="J2598" i="1"/>
  <c r="I2598" i="1"/>
  <c r="M2598" i="1" s="1"/>
  <c r="S2597" i="1"/>
  <c r="R2597" i="1"/>
  <c r="O2597" i="1"/>
  <c r="P2597" i="1" s="1"/>
  <c r="L2597" i="1"/>
  <c r="J2597" i="1"/>
  <c r="I2597" i="1"/>
  <c r="K2597" i="1" s="1"/>
  <c r="N2597" i="1" s="1"/>
  <c r="Q2597" i="1" s="1"/>
  <c r="S2596" i="1"/>
  <c r="P2596" i="1"/>
  <c r="R2596" i="1" s="1"/>
  <c r="M2596" i="1"/>
  <c r="L2596" i="1"/>
  <c r="O2596" i="1" s="1"/>
  <c r="J2596" i="1"/>
  <c r="I2596" i="1"/>
  <c r="K2596" i="1" s="1"/>
  <c r="N2596" i="1" s="1"/>
  <c r="Q2596" i="1" s="1"/>
  <c r="S2595" i="1"/>
  <c r="P2595" i="1"/>
  <c r="R2595" i="1" s="1"/>
  <c r="O2595" i="1"/>
  <c r="L2595" i="1"/>
  <c r="K2595" i="1"/>
  <c r="N2595" i="1" s="1"/>
  <c r="Q2595" i="1" s="1"/>
  <c r="J2595" i="1"/>
  <c r="I2595" i="1"/>
  <c r="M2595" i="1" s="1"/>
  <c r="S2594" i="1"/>
  <c r="R2594" i="1"/>
  <c r="L2594" i="1"/>
  <c r="O2594" i="1" s="1"/>
  <c r="P2594" i="1" s="1"/>
  <c r="K2594" i="1"/>
  <c r="N2594" i="1" s="1"/>
  <c r="Q2594" i="1" s="1"/>
  <c r="J2594" i="1"/>
  <c r="I2594" i="1"/>
  <c r="M2594" i="1" s="1"/>
  <c r="S2593" i="1"/>
  <c r="R2593" i="1"/>
  <c r="O2593" i="1"/>
  <c r="P2593" i="1" s="1"/>
  <c r="N2593" i="1"/>
  <c r="Q2593" i="1" s="1"/>
  <c r="L2593" i="1"/>
  <c r="J2593" i="1"/>
  <c r="I2593" i="1"/>
  <c r="K2593" i="1" s="1"/>
  <c r="S2592" i="1"/>
  <c r="L2592" i="1"/>
  <c r="O2592" i="1" s="1"/>
  <c r="P2592" i="1" s="1"/>
  <c r="R2592" i="1" s="1"/>
  <c r="J2592" i="1"/>
  <c r="I2592" i="1"/>
  <c r="K2592" i="1" s="1"/>
  <c r="N2592" i="1" s="1"/>
  <c r="Q2592" i="1" s="1"/>
  <c r="S2591" i="1"/>
  <c r="Q2591" i="1"/>
  <c r="L2591" i="1"/>
  <c r="O2591" i="1" s="1"/>
  <c r="P2591" i="1" s="1"/>
  <c r="R2591" i="1" s="1"/>
  <c r="K2591" i="1"/>
  <c r="N2591" i="1" s="1"/>
  <c r="J2591" i="1"/>
  <c r="I2591" i="1"/>
  <c r="M2591" i="1" s="1"/>
  <c r="S2590" i="1"/>
  <c r="N2590" i="1"/>
  <c r="Q2590" i="1" s="1"/>
  <c r="L2590" i="1"/>
  <c r="O2590" i="1" s="1"/>
  <c r="P2590" i="1" s="1"/>
  <c r="R2590" i="1" s="1"/>
  <c r="K2590" i="1"/>
  <c r="J2590" i="1"/>
  <c r="I2590" i="1"/>
  <c r="M2590" i="1" s="1"/>
  <c r="S2589" i="1"/>
  <c r="O2589" i="1"/>
  <c r="P2589" i="1" s="1"/>
  <c r="R2589" i="1" s="1"/>
  <c r="L2589" i="1"/>
  <c r="K2589" i="1"/>
  <c r="N2589" i="1" s="1"/>
  <c r="Q2589" i="1" s="1"/>
  <c r="J2589" i="1"/>
  <c r="I2589" i="1"/>
  <c r="M2589" i="1" s="1"/>
  <c r="S2588" i="1"/>
  <c r="R2588" i="1"/>
  <c r="P2588" i="1"/>
  <c r="M2588" i="1"/>
  <c r="L2588" i="1"/>
  <c r="O2588" i="1" s="1"/>
  <c r="J2588" i="1"/>
  <c r="I2588" i="1"/>
  <c r="K2588" i="1" s="1"/>
  <c r="N2588" i="1" s="1"/>
  <c r="Q2588" i="1" s="1"/>
  <c r="S2587" i="1"/>
  <c r="M2587" i="1"/>
  <c r="L2587" i="1"/>
  <c r="O2587" i="1" s="1"/>
  <c r="P2587" i="1" s="1"/>
  <c r="R2587" i="1" s="1"/>
  <c r="J2587" i="1"/>
  <c r="I2587" i="1"/>
  <c r="K2587" i="1" s="1"/>
  <c r="N2587" i="1" s="1"/>
  <c r="Q2587" i="1" s="1"/>
  <c r="S2586" i="1"/>
  <c r="O2586" i="1"/>
  <c r="P2586" i="1" s="1"/>
  <c r="R2586" i="1" s="1"/>
  <c r="N2586" i="1"/>
  <c r="Q2586" i="1" s="1"/>
  <c r="L2586" i="1"/>
  <c r="K2586" i="1"/>
  <c r="J2586" i="1"/>
  <c r="I2586" i="1"/>
  <c r="M2586" i="1" s="1"/>
  <c r="S2585" i="1"/>
  <c r="Q2585" i="1"/>
  <c r="O2585" i="1"/>
  <c r="P2585" i="1" s="1"/>
  <c r="R2585" i="1" s="1"/>
  <c r="N2585" i="1"/>
  <c r="L2585" i="1"/>
  <c r="K2585" i="1"/>
  <c r="J2585" i="1"/>
  <c r="I2585" i="1"/>
  <c r="M2585" i="1" s="1"/>
  <c r="S2584" i="1"/>
  <c r="L2584" i="1"/>
  <c r="O2584" i="1" s="1"/>
  <c r="P2584" i="1" s="1"/>
  <c r="R2584" i="1" s="1"/>
  <c r="J2584" i="1"/>
  <c r="I2584" i="1"/>
  <c r="S2583" i="1"/>
  <c r="O2583" i="1"/>
  <c r="P2583" i="1" s="1"/>
  <c r="R2583" i="1" s="1"/>
  <c r="L2583" i="1"/>
  <c r="J2583" i="1"/>
  <c r="I2583" i="1"/>
  <c r="K2583" i="1" s="1"/>
  <c r="N2583" i="1" s="1"/>
  <c r="Q2583" i="1" s="1"/>
  <c r="S2582" i="1"/>
  <c r="P2582" i="1"/>
  <c r="R2582" i="1" s="1"/>
  <c r="O2582" i="1"/>
  <c r="L2582" i="1"/>
  <c r="K2582" i="1"/>
  <c r="N2582" i="1" s="1"/>
  <c r="Q2582" i="1" s="1"/>
  <c r="J2582" i="1"/>
  <c r="I2582" i="1"/>
  <c r="M2582" i="1" s="1"/>
  <c r="S2581" i="1"/>
  <c r="R2581" i="1"/>
  <c r="O2581" i="1"/>
  <c r="P2581" i="1" s="1"/>
  <c r="M2581" i="1"/>
  <c r="L2581" i="1"/>
  <c r="J2581" i="1"/>
  <c r="I2581" i="1"/>
  <c r="K2581" i="1" s="1"/>
  <c r="N2581" i="1" s="1"/>
  <c r="Q2581" i="1" s="1"/>
  <c r="S2580" i="1"/>
  <c r="P2580" i="1"/>
  <c r="R2580" i="1" s="1"/>
  <c r="M2580" i="1"/>
  <c r="L2580" i="1"/>
  <c r="O2580" i="1" s="1"/>
  <c r="J2580" i="1"/>
  <c r="I2580" i="1"/>
  <c r="K2580" i="1" s="1"/>
  <c r="N2580" i="1" s="1"/>
  <c r="Q2580" i="1" s="1"/>
  <c r="S2579" i="1"/>
  <c r="P2579" i="1"/>
  <c r="R2579" i="1" s="1"/>
  <c r="O2579" i="1"/>
  <c r="L2579" i="1"/>
  <c r="K2579" i="1"/>
  <c r="N2579" i="1" s="1"/>
  <c r="Q2579" i="1" s="1"/>
  <c r="J2579" i="1"/>
  <c r="I2579" i="1"/>
  <c r="M2579" i="1" s="1"/>
  <c r="S2578" i="1"/>
  <c r="R2578" i="1"/>
  <c r="L2578" i="1"/>
  <c r="O2578" i="1" s="1"/>
  <c r="P2578" i="1" s="1"/>
  <c r="K2578" i="1"/>
  <c r="N2578" i="1" s="1"/>
  <c r="Q2578" i="1" s="1"/>
  <c r="J2578" i="1"/>
  <c r="I2578" i="1"/>
  <c r="M2578" i="1" s="1"/>
  <c r="S2577" i="1"/>
  <c r="R2577" i="1"/>
  <c r="O2577" i="1"/>
  <c r="P2577" i="1" s="1"/>
  <c r="N2577" i="1"/>
  <c r="Q2577" i="1" s="1"/>
  <c r="L2577" i="1"/>
  <c r="J2577" i="1"/>
  <c r="I2577" i="1"/>
  <c r="K2577" i="1" s="1"/>
  <c r="S2576" i="1"/>
  <c r="L2576" i="1"/>
  <c r="O2576" i="1" s="1"/>
  <c r="P2576" i="1" s="1"/>
  <c r="R2576" i="1" s="1"/>
  <c r="J2576" i="1"/>
  <c r="I2576" i="1"/>
  <c r="K2576" i="1" s="1"/>
  <c r="N2576" i="1" s="1"/>
  <c r="Q2576" i="1" s="1"/>
  <c r="S2575" i="1"/>
  <c r="Q2575" i="1"/>
  <c r="L2575" i="1"/>
  <c r="O2575" i="1" s="1"/>
  <c r="P2575" i="1" s="1"/>
  <c r="R2575" i="1" s="1"/>
  <c r="K2575" i="1"/>
  <c r="N2575" i="1" s="1"/>
  <c r="J2575" i="1"/>
  <c r="I2575" i="1"/>
  <c r="M2575" i="1" s="1"/>
  <c r="S2574" i="1"/>
  <c r="N2574" i="1"/>
  <c r="Q2574" i="1" s="1"/>
  <c r="L2574" i="1"/>
  <c r="O2574" i="1" s="1"/>
  <c r="P2574" i="1" s="1"/>
  <c r="R2574" i="1" s="1"/>
  <c r="K2574" i="1"/>
  <c r="J2574" i="1"/>
  <c r="I2574" i="1"/>
  <c r="M2574" i="1" s="1"/>
  <c r="S2573" i="1"/>
  <c r="O2573" i="1"/>
  <c r="P2573" i="1" s="1"/>
  <c r="R2573" i="1" s="1"/>
  <c r="L2573" i="1"/>
  <c r="K2573" i="1"/>
  <c r="N2573" i="1" s="1"/>
  <c r="Q2573" i="1" s="1"/>
  <c r="J2573" i="1"/>
  <c r="I2573" i="1"/>
  <c r="M2573" i="1" s="1"/>
  <c r="S2572" i="1"/>
  <c r="R2572" i="1"/>
  <c r="P2572" i="1"/>
  <c r="M2572" i="1"/>
  <c r="L2572" i="1"/>
  <c r="O2572" i="1" s="1"/>
  <c r="J2572" i="1"/>
  <c r="I2572" i="1"/>
  <c r="K2572" i="1" s="1"/>
  <c r="S2571" i="1"/>
  <c r="M2571" i="1"/>
  <c r="L2571" i="1"/>
  <c r="J2571" i="1"/>
  <c r="I2571" i="1"/>
  <c r="K2571" i="1" s="1"/>
  <c r="S2570" i="1"/>
  <c r="O2570" i="1"/>
  <c r="P2570" i="1" s="1"/>
  <c r="R2570" i="1" s="1"/>
  <c r="L2570" i="1"/>
  <c r="N2570" i="1" s="1"/>
  <c r="Q2570" i="1" s="1"/>
  <c r="K2570" i="1"/>
  <c r="J2570" i="1"/>
  <c r="I2570" i="1"/>
  <c r="M2570" i="1" s="1"/>
  <c r="S2569" i="1"/>
  <c r="Q2569" i="1"/>
  <c r="N2569" i="1"/>
  <c r="L2569" i="1"/>
  <c r="O2569" i="1" s="1"/>
  <c r="P2569" i="1" s="1"/>
  <c r="R2569" i="1" s="1"/>
  <c r="K2569" i="1"/>
  <c r="J2569" i="1"/>
  <c r="I2569" i="1"/>
  <c r="M2569" i="1" s="1"/>
  <c r="S2568" i="1"/>
  <c r="O2568" i="1"/>
  <c r="P2568" i="1" s="1"/>
  <c r="R2568" i="1" s="1"/>
  <c r="L2568" i="1"/>
  <c r="K2568" i="1"/>
  <c r="N2568" i="1" s="1"/>
  <c r="Q2568" i="1" s="1"/>
  <c r="J2568" i="1"/>
  <c r="I2568" i="1"/>
  <c r="M2568" i="1" s="1"/>
  <c r="S2567" i="1"/>
  <c r="R2567" i="1"/>
  <c r="N2567" i="1"/>
  <c r="Q2567" i="1" s="1"/>
  <c r="L2567" i="1"/>
  <c r="O2567" i="1" s="1"/>
  <c r="P2567" i="1" s="1"/>
  <c r="J2567" i="1"/>
  <c r="I2567" i="1"/>
  <c r="K2567" i="1" s="1"/>
  <c r="S2566" i="1"/>
  <c r="O2566" i="1"/>
  <c r="P2566" i="1" s="1"/>
  <c r="R2566" i="1" s="1"/>
  <c r="M2566" i="1"/>
  <c r="L2566" i="1"/>
  <c r="J2566" i="1"/>
  <c r="I2566" i="1"/>
  <c r="K2566" i="1" s="1"/>
  <c r="N2566" i="1" s="1"/>
  <c r="Q2566" i="1" s="1"/>
  <c r="S2565" i="1"/>
  <c r="P2565" i="1"/>
  <c r="R2565" i="1" s="1"/>
  <c r="N2565" i="1"/>
  <c r="Q2565" i="1" s="1"/>
  <c r="L2565" i="1"/>
  <c r="O2565" i="1" s="1"/>
  <c r="K2565" i="1"/>
  <c r="J2565" i="1"/>
  <c r="I2565" i="1"/>
  <c r="M2565" i="1" s="1"/>
  <c r="S2564" i="1"/>
  <c r="O2564" i="1"/>
  <c r="P2564" i="1" s="1"/>
  <c r="R2564" i="1" s="1"/>
  <c r="L2564" i="1"/>
  <c r="K2564" i="1"/>
  <c r="N2564" i="1" s="1"/>
  <c r="Q2564" i="1" s="1"/>
  <c r="J2564" i="1"/>
  <c r="I2564" i="1"/>
  <c r="M2564" i="1" s="1"/>
  <c r="S2563" i="1"/>
  <c r="N2563" i="1"/>
  <c r="Q2563" i="1" s="1"/>
  <c r="L2563" i="1"/>
  <c r="O2563" i="1" s="1"/>
  <c r="P2563" i="1" s="1"/>
  <c r="R2563" i="1" s="1"/>
  <c r="J2563" i="1"/>
  <c r="I2563" i="1"/>
  <c r="K2563" i="1" s="1"/>
  <c r="S2562" i="1"/>
  <c r="O2562" i="1"/>
  <c r="P2562" i="1" s="1"/>
  <c r="R2562" i="1" s="1"/>
  <c r="L2562" i="1"/>
  <c r="K2562" i="1"/>
  <c r="N2562" i="1" s="1"/>
  <c r="Q2562" i="1" s="1"/>
  <c r="J2562" i="1"/>
  <c r="I2562" i="1"/>
  <c r="M2562" i="1" s="1"/>
  <c r="S2561" i="1"/>
  <c r="P2561" i="1"/>
  <c r="R2561" i="1" s="1"/>
  <c r="N2561" i="1"/>
  <c r="Q2561" i="1" s="1"/>
  <c r="L2561" i="1"/>
  <c r="O2561" i="1" s="1"/>
  <c r="K2561" i="1"/>
  <c r="J2561" i="1"/>
  <c r="I2561" i="1"/>
  <c r="M2561" i="1" s="1"/>
  <c r="S2560" i="1"/>
  <c r="O2560" i="1"/>
  <c r="P2560" i="1" s="1"/>
  <c r="R2560" i="1" s="1"/>
  <c r="L2560" i="1"/>
  <c r="K2560" i="1"/>
  <c r="N2560" i="1" s="1"/>
  <c r="Q2560" i="1" s="1"/>
  <c r="J2560" i="1"/>
  <c r="I2560" i="1"/>
  <c r="M2560" i="1" s="1"/>
  <c r="S2559" i="1"/>
  <c r="P2559" i="1"/>
  <c r="R2559" i="1" s="1"/>
  <c r="L2559" i="1"/>
  <c r="O2559" i="1" s="1"/>
  <c r="J2559" i="1"/>
  <c r="I2559" i="1"/>
  <c r="K2559" i="1" s="1"/>
  <c r="N2559" i="1" s="1"/>
  <c r="Q2559" i="1" s="1"/>
  <c r="S2558" i="1"/>
  <c r="O2558" i="1"/>
  <c r="P2558" i="1" s="1"/>
  <c r="R2558" i="1" s="1"/>
  <c r="L2558" i="1"/>
  <c r="J2558" i="1"/>
  <c r="I2558" i="1"/>
  <c r="K2558" i="1" s="1"/>
  <c r="N2558" i="1" s="1"/>
  <c r="Q2558" i="1" s="1"/>
  <c r="S2557" i="1"/>
  <c r="P2557" i="1"/>
  <c r="R2557" i="1" s="1"/>
  <c r="N2557" i="1"/>
  <c r="Q2557" i="1" s="1"/>
  <c r="L2557" i="1"/>
  <c r="O2557" i="1" s="1"/>
  <c r="K2557" i="1"/>
  <c r="J2557" i="1"/>
  <c r="I2557" i="1"/>
  <c r="M2557" i="1" s="1"/>
  <c r="S2556" i="1"/>
  <c r="O2556" i="1"/>
  <c r="P2556" i="1" s="1"/>
  <c r="R2556" i="1" s="1"/>
  <c r="L2556" i="1"/>
  <c r="J2556" i="1"/>
  <c r="I2556" i="1"/>
  <c r="K2556" i="1" s="1"/>
  <c r="N2556" i="1" s="1"/>
  <c r="Q2556" i="1" s="1"/>
  <c r="S2555" i="1"/>
  <c r="P2555" i="1"/>
  <c r="R2555" i="1" s="1"/>
  <c r="N2555" i="1"/>
  <c r="Q2555" i="1" s="1"/>
  <c r="L2555" i="1"/>
  <c r="O2555" i="1" s="1"/>
  <c r="J2555" i="1"/>
  <c r="I2555" i="1"/>
  <c r="K2555" i="1" s="1"/>
  <c r="S2554" i="1"/>
  <c r="O2554" i="1"/>
  <c r="P2554" i="1" s="1"/>
  <c r="R2554" i="1" s="1"/>
  <c r="L2554" i="1"/>
  <c r="J2554" i="1"/>
  <c r="I2554" i="1"/>
  <c r="M2554" i="1" s="1"/>
  <c r="S2553" i="1"/>
  <c r="N2553" i="1"/>
  <c r="Q2553" i="1" s="1"/>
  <c r="L2553" i="1"/>
  <c r="O2553" i="1" s="1"/>
  <c r="P2553" i="1" s="1"/>
  <c r="R2553" i="1" s="1"/>
  <c r="K2553" i="1"/>
  <c r="J2553" i="1"/>
  <c r="I2553" i="1"/>
  <c r="M2553" i="1" s="1"/>
  <c r="S2552" i="1"/>
  <c r="O2552" i="1"/>
  <c r="P2552" i="1" s="1"/>
  <c r="R2552" i="1" s="1"/>
  <c r="L2552" i="1"/>
  <c r="J2552" i="1"/>
  <c r="I2552" i="1"/>
  <c r="M2552" i="1" s="1"/>
  <c r="S2551" i="1"/>
  <c r="N2551" i="1"/>
  <c r="Q2551" i="1" s="1"/>
  <c r="L2551" i="1"/>
  <c r="O2551" i="1" s="1"/>
  <c r="P2551" i="1" s="1"/>
  <c r="R2551" i="1" s="1"/>
  <c r="J2551" i="1"/>
  <c r="I2551" i="1"/>
  <c r="K2551" i="1" s="1"/>
  <c r="S2550" i="1"/>
  <c r="O2550" i="1"/>
  <c r="P2550" i="1" s="1"/>
  <c r="R2550" i="1" s="1"/>
  <c r="L2550" i="1"/>
  <c r="K2550" i="1"/>
  <c r="N2550" i="1" s="1"/>
  <c r="Q2550" i="1" s="1"/>
  <c r="J2550" i="1"/>
  <c r="I2550" i="1"/>
  <c r="M2550" i="1" s="1"/>
  <c r="S2549" i="1"/>
  <c r="N2549" i="1"/>
  <c r="Q2549" i="1" s="1"/>
  <c r="L2549" i="1"/>
  <c r="O2549" i="1" s="1"/>
  <c r="P2549" i="1" s="1"/>
  <c r="R2549" i="1" s="1"/>
  <c r="K2549" i="1"/>
  <c r="J2549" i="1"/>
  <c r="I2549" i="1"/>
  <c r="M2549" i="1" s="1"/>
  <c r="S2548" i="1"/>
  <c r="O2548" i="1"/>
  <c r="P2548" i="1" s="1"/>
  <c r="R2548" i="1" s="1"/>
  <c r="L2548" i="1"/>
  <c r="K2548" i="1"/>
  <c r="N2548" i="1" s="1"/>
  <c r="Q2548" i="1" s="1"/>
  <c r="J2548" i="1"/>
  <c r="I2548" i="1"/>
  <c r="M2548" i="1" s="1"/>
  <c r="S2547" i="1"/>
  <c r="N2547" i="1"/>
  <c r="Q2547" i="1" s="1"/>
  <c r="L2547" i="1"/>
  <c r="O2547" i="1" s="1"/>
  <c r="P2547" i="1" s="1"/>
  <c r="R2547" i="1" s="1"/>
  <c r="J2547" i="1"/>
  <c r="I2547" i="1"/>
  <c r="K2547" i="1" s="1"/>
  <c r="S2546" i="1"/>
  <c r="O2546" i="1"/>
  <c r="P2546" i="1" s="1"/>
  <c r="R2546" i="1" s="1"/>
  <c r="L2546" i="1"/>
  <c r="K2546" i="1"/>
  <c r="N2546" i="1" s="1"/>
  <c r="Q2546" i="1" s="1"/>
  <c r="J2546" i="1"/>
  <c r="I2546" i="1"/>
  <c r="M2546" i="1" s="1"/>
  <c r="S2545" i="1"/>
  <c r="P2545" i="1"/>
  <c r="R2545" i="1" s="1"/>
  <c r="N2545" i="1"/>
  <c r="Q2545" i="1" s="1"/>
  <c r="L2545" i="1"/>
  <c r="O2545" i="1" s="1"/>
  <c r="K2545" i="1"/>
  <c r="J2545" i="1"/>
  <c r="I2545" i="1"/>
  <c r="M2545" i="1" s="1"/>
  <c r="S2544" i="1"/>
  <c r="O2544" i="1"/>
  <c r="P2544" i="1" s="1"/>
  <c r="R2544" i="1" s="1"/>
  <c r="L2544" i="1"/>
  <c r="K2544" i="1"/>
  <c r="N2544" i="1" s="1"/>
  <c r="Q2544" i="1" s="1"/>
  <c r="J2544" i="1"/>
  <c r="I2544" i="1"/>
  <c r="M2544" i="1" s="1"/>
  <c r="S2543" i="1"/>
  <c r="M2543" i="1"/>
  <c r="L2543" i="1"/>
  <c r="O2543" i="1" s="1"/>
  <c r="P2543" i="1" s="1"/>
  <c r="R2543" i="1" s="1"/>
  <c r="J2543" i="1"/>
  <c r="I2543" i="1"/>
  <c r="K2543" i="1" s="1"/>
  <c r="N2543" i="1" s="1"/>
  <c r="Q2543" i="1" s="1"/>
  <c r="S2542" i="1"/>
  <c r="L2542" i="1"/>
  <c r="O2542" i="1" s="1"/>
  <c r="P2542" i="1" s="1"/>
  <c r="R2542" i="1" s="1"/>
  <c r="J2542" i="1"/>
  <c r="I2542" i="1"/>
  <c r="M2542" i="1" s="1"/>
  <c r="S2541" i="1"/>
  <c r="O2541" i="1"/>
  <c r="P2541" i="1" s="1"/>
  <c r="R2541" i="1" s="1"/>
  <c r="N2541" i="1"/>
  <c r="Q2541" i="1" s="1"/>
  <c r="L2541" i="1"/>
  <c r="K2541" i="1"/>
  <c r="J2541" i="1"/>
  <c r="I2541" i="1"/>
  <c r="M2541" i="1" s="1"/>
  <c r="S2540" i="1"/>
  <c r="O2540" i="1"/>
  <c r="P2540" i="1" s="1"/>
  <c r="R2540" i="1" s="1"/>
  <c r="L2540" i="1"/>
  <c r="K2540" i="1"/>
  <c r="N2540" i="1" s="1"/>
  <c r="Q2540" i="1" s="1"/>
  <c r="J2540" i="1"/>
  <c r="I2540" i="1"/>
  <c r="M2540" i="1" s="1"/>
  <c r="S2539" i="1"/>
  <c r="R2539" i="1"/>
  <c r="P2539" i="1"/>
  <c r="M2539" i="1"/>
  <c r="L2539" i="1"/>
  <c r="O2539" i="1" s="1"/>
  <c r="J2539" i="1"/>
  <c r="I2539" i="1"/>
  <c r="K2539" i="1" s="1"/>
  <c r="N2539" i="1" s="1"/>
  <c r="Q2539" i="1" s="1"/>
  <c r="S2538" i="1"/>
  <c r="O2538" i="1"/>
  <c r="P2538" i="1" s="1"/>
  <c r="R2538" i="1" s="1"/>
  <c r="L2538" i="1"/>
  <c r="J2538" i="1"/>
  <c r="I2538" i="1"/>
  <c r="K2538" i="1" s="1"/>
  <c r="N2538" i="1" s="1"/>
  <c r="Q2538" i="1" s="1"/>
  <c r="S2537" i="1"/>
  <c r="O2537" i="1"/>
  <c r="P2537" i="1" s="1"/>
  <c r="R2537" i="1" s="1"/>
  <c r="L2537" i="1"/>
  <c r="K2537" i="1"/>
  <c r="N2537" i="1" s="1"/>
  <c r="Q2537" i="1" s="1"/>
  <c r="J2537" i="1"/>
  <c r="I2537" i="1"/>
  <c r="M2537" i="1" s="1"/>
  <c r="S2536" i="1"/>
  <c r="R2536" i="1"/>
  <c r="O2536" i="1"/>
  <c r="P2536" i="1" s="1"/>
  <c r="L2536" i="1"/>
  <c r="J2536" i="1"/>
  <c r="I2536" i="1"/>
  <c r="M2536" i="1" s="1"/>
  <c r="S2535" i="1"/>
  <c r="P2535" i="1"/>
  <c r="R2535" i="1" s="1"/>
  <c r="L2535" i="1"/>
  <c r="O2535" i="1" s="1"/>
  <c r="J2535" i="1"/>
  <c r="I2535" i="1"/>
  <c r="K2535" i="1" s="1"/>
  <c r="N2535" i="1" s="1"/>
  <c r="Q2535" i="1" s="1"/>
  <c r="S2534" i="1"/>
  <c r="O2534" i="1"/>
  <c r="P2534" i="1" s="1"/>
  <c r="R2534" i="1" s="1"/>
  <c r="L2534" i="1"/>
  <c r="K2534" i="1"/>
  <c r="N2534" i="1" s="1"/>
  <c r="Q2534" i="1" s="1"/>
  <c r="J2534" i="1"/>
  <c r="I2534" i="1"/>
  <c r="M2534" i="1" s="1"/>
  <c r="S2533" i="1"/>
  <c r="L2533" i="1"/>
  <c r="O2533" i="1" s="1"/>
  <c r="P2533" i="1" s="1"/>
  <c r="R2533" i="1" s="1"/>
  <c r="K2533" i="1"/>
  <c r="N2533" i="1" s="1"/>
  <c r="Q2533" i="1" s="1"/>
  <c r="J2533" i="1"/>
  <c r="I2533" i="1"/>
  <c r="M2533" i="1" s="1"/>
  <c r="S2532" i="1"/>
  <c r="R2532" i="1"/>
  <c r="O2532" i="1"/>
  <c r="P2532" i="1" s="1"/>
  <c r="L2532" i="1"/>
  <c r="J2532" i="1"/>
  <c r="I2532" i="1"/>
  <c r="K2532" i="1" s="1"/>
  <c r="N2532" i="1" s="1"/>
  <c r="Q2532" i="1" s="1"/>
  <c r="S2531" i="1"/>
  <c r="P2531" i="1"/>
  <c r="R2531" i="1" s="1"/>
  <c r="M2531" i="1"/>
  <c r="L2531" i="1"/>
  <c r="O2531" i="1" s="1"/>
  <c r="J2531" i="1"/>
  <c r="I2531" i="1"/>
  <c r="K2531" i="1" s="1"/>
  <c r="N2531" i="1" s="1"/>
  <c r="Q2531" i="1" s="1"/>
  <c r="S2530" i="1"/>
  <c r="L2530" i="1"/>
  <c r="O2530" i="1" s="1"/>
  <c r="P2530" i="1" s="1"/>
  <c r="R2530" i="1" s="1"/>
  <c r="K2530" i="1"/>
  <c r="N2530" i="1" s="1"/>
  <c r="Q2530" i="1" s="1"/>
  <c r="J2530" i="1"/>
  <c r="I2530" i="1"/>
  <c r="M2530" i="1" s="1"/>
  <c r="S2529" i="1"/>
  <c r="N2529" i="1"/>
  <c r="Q2529" i="1" s="1"/>
  <c r="L2529" i="1"/>
  <c r="O2529" i="1" s="1"/>
  <c r="P2529" i="1" s="1"/>
  <c r="R2529" i="1" s="1"/>
  <c r="K2529" i="1"/>
  <c r="J2529" i="1"/>
  <c r="I2529" i="1"/>
  <c r="M2529" i="1" s="1"/>
  <c r="S2528" i="1"/>
  <c r="O2528" i="1"/>
  <c r="P2528" i="1" s="1"/>
  <c r="R2528" i="1" s="1"/>
  <c r="N2528" i="1"/>
  <c r="Q2528" i="1" s="1"/>
  <c r="L2528" i="1"/>
  <c r="K2528" i="1"/>
  <c r="J2528" i="1"/>
  <c r="I2528" i="1"/>
  <c r="M2528" i="1" s="1"/>
  <c r="S2527" i="1"/>
  <c r="O2527" i="1"/>
  <c r="P2527" i="1" s="1"/>
  <c r="R2527" i="1" s="1"/>
  <c r="L2527" i="1"/>
  <c r="J2527" i="1"/>
  <c r="I2527" i="1"/>
  <c r="K2527" i="1" s="1"/>
  <c r="N2527" i="1" s="1"/>
  <c r="Q2527" i="1" s="1"/>
  <c r="S2526" i="1"/>
  <c r="L2526" i="1"/>
  <c r="O2526" i="1" s="1"/>
  <c r="P2526" i="1" s="1"/>
  <c r="R2526" i="1" s="1"/>
  <c r="J2526" i="1"/>
  <c r="I2526" i="1"/>
  <c r="M2526" i="1" s="1"/>
  <c r="S2525" i="1"/>
  <c r="O2525" i="1"/>
  <c r="P2525" i="1" s="1"/>
  <c r="R2525" i="1" s="1"/>
  <c r="L2525" i="1"/>
  <c r="K2525" i="1"/>
  <c r="N2525" i="1" s="1"/>
  <c r="Q2525" i="1" s="1"/>
  <c r="J2525" i="1"/>
  <c r="I2525" i="1"/>
  <c r="M2525" i="1" s="1"/>
  <c r="S2524" i="1"/>
  <c r="O2524" i="1"/>
  <c r="P2524" i="1" s="1"/>
  <c r="R2524" i="1" s="1"/>
  <c r="N2524" i="1"/>
  <c r="Q2524" i="1" s="1"/>
  <c r="L2524" i="1"/>
  <c r="K2524" i="1"/>
  <c r="J2524" i="1"/>
  <c r="I2524" i="1"/>
  <c r="M2524" i="1" s="1"/>
  <c r="S2523" i="1"/>
  <c r="O2523" i="1"/>
  <c r="P2523" i="1" s="1"/>
  <c r="R2523" i="1" s="1"/>
  <c r="L2523" i="1"/>
  <c r="J2523" i="1"/>
  <c r="I2523" i="1"/>
  <c r="K2523" i="1" s="1"/>
  <c r="N2523" i="1" s="1"/>
  <c r="Q2523" i="1" s="1"/>
  <c r="S2522" i="1"/>
  <c r="L2522" i="1"/>
  <c r="O2522" i="1" s="1"/>
  <c r="P2522" i="1" s="1"/>
  <c r="R2522" i="1" s="1"/>
  <c r="J2522" i="1"/>
  <c r="I2522" i="1"/>
  <c r="M2522" i="1" s="1"/>
  <c r="S2521" i="1"/>
  <c r="O2521" i="1"/>
  <c r="P2521" i="1" s="1"/>
  <c r="R2521" i="1" s="1"/>
  <c r="L2521" i="1"/>
  <c r="K2521" i="1"/>
  <c r="N2521" i="1" s="1"/>
  <c r="Q2521" i="1" s="1"/>
  <c r="J2521" i="1"/>
  <c r="I2521" i="1"/>
  <c r="M2521" i="1" s="1"/>
  <c r="S2520" i="1"/>
  <c r="O2520" i="1"/>
  <c r="P2520" i="1" s="1"/>
  <c r="R2520" i="1" s="1"/>
  <c r="N2520" i="1"/>
  <c r="Q2520" i="1" s="1"/>
  <c r="L2520" i="1"/>
  <c r="K2520" i="1"/>
  <c r="J2520" i="1"/>
  <c r="I2520" i="1"/>
  <c r="M2520" i="1" s="1"/>
  <c r="S2519" i="1"/>
  <c r="O2519" i="1"/>
  <c r="P2519" i="1" s="1"/>
  <c r="R2519" i="1" s="1"/>
  <c r="L2519" i="1"/>
  <c r="J2519" i="1"/>
  <c r="I2519" i="1"/>
  <c r="K2519" i="1" s="1"/>
  <c r="N2519" i="1" s="1"/>
  <c r="Q2519" i="1" s="1"/>
  <c r="S2518" i="1"/>
  <c r="L2518" i="1"/>
  <c r="O2518" i="1" s="1"/>
  <c r="P2518" i="1" s="1"/>
  <c r="R2518" i="1" s="1"/>
  <c r="J2518" i="1"/>
  <c r="I2518" i="1"/>
  <c r="M2518" i="1" s="1"/>
  <c r="S2517" i="1"/>
  <c r="O2517" i="1"/>
  <c r="P2517" i="1" s="1"/>
  <c r="R2517" i="1" s="1"/>
  <c r="L2517" i="1"/>
  <c r="K2517" i="1"/>
  <c r="N2517" i="1" s="1"/>
  <c r="Q2517" i="1" s="1"/>
  <c r="J2517" i="1"/>
  <c r="I2517" i="1"/>
  <c r="M2517" i="1" s="1"/>
  <c r="S2516" i="1"/>
  <c r="O2516" i="1"/>
  <c r="P2516" i="1" s="1"/>
  <c r="R2516" i="1" s="1"/>
  <c r="N2516" i="1"/>
  <c r="Q2516" i="1" s="1"/>
  <c r="L2516" i="1"/>
  <c r="K2516" i="1"/>
  <c r="J2516" i="1"/>
  <c r="I2516" i="1"/>
  <c r="M2516" i="1" s="1"/>
  <c r="S2515" i="1"/>
  <c r="O2515" i="1"/>
  <c r="P2515" i="1" s="1"/>
  <c r="R2515" i="1" s="1"/>
  <c r="L2515" i="1"/>
  <c r="J2515" i="1"/>
  <c r="I2515" i="1"/>
  <c r="K2515" i="1" s="1"/>
  <c r="N2515" i="1" s="1"/>
  <c r="Q2515" i="1" s="1"/>
  <c r="S2514" i="1"/>
  <c r="L2514" i="1"/>
  <c r="O2514" i="1" s="1"/>
  <c r="P2514" i="1" s="1"/>
  <c r="R2514" i="1" s="1"/>
  <c r="J2514" i="1"/>
  <c r="I2514" i="1"/>
  <c r="M2514" i="1" s="1"/>
  <c r="S2513" i="1"/>
  <c r="O2513" i="1"/>
  <c r="P2513" i="1" s="1"/>
  <c r="R2513" i="1" s="1"/>
  <c r="L2513" i="1"/>
  <c r="K2513" i="1"/>
  <c r="N2513" i="1" s="1"/>
  <c r="Q2513" i="1" s="1"/>
  <c r="J2513" i="1"/>
  <c r="I2513" i="1"/>
  <c r="M2513" i="1" s="1"/>
  <c r="S2512" i="1"/>
  <c r="O2512" i="1"/>
  <c r="P2512" i="1" s="1"/>
  <c r="R2512" i="1" s="1"/>
  <c r="N2512" i="1"/>
  <c r="Q2512" i="1" s="1"/>
  <c r="L2512" i="1"/>
  <c r="K2512" i="1"/>
  <c r="J2512" i="1"/>
  <c r="I2512" i="1"/>
  <c r="M2512" i="1" s="1"/>
  <c r="S2511" i="1"/>
  <c r="O2511" i="1"/>
  <c r="P2511" i="1" s="1"/>
  <c r="R2511" i="1" s="1"/>
  <c r="L2511" i="1"/>
  <c r="J2511" i="1"/>
  <c r="I2511" i="1"/>
  <c r="K2511" i="1" s="1"/>
  <c r="N2511" i="1" s="1"/>
  <c r="Q2511" i="1" s="1"/>
  <c r="S2510" i="1"/>
  <c r="L2510" i="1"/>
  <c r="O2510" i="1" s="1"/>
  <c r="P2510" i="1" s="1"/>
  <c r="R2510" i="1" s="1"/>
  <c r="J2510" i="1"/>
  <c r="I2510" i="1"/>
  <c r="M2510" i="1" s="1"/>
  <c r="S2509" i="1"/>
  <c r="O2509" i="1"/>
  <c r="P2509" i="1" s="1"/>
  <c r="R2509" i="1" s="1"/>
  <c r="L2509" i="1"/>
  <c r="K2509" i="1"/>
  <c r="N2509" i="1" s="1"/>
  <c r="Q2509" i="1" s="1"/>
  <c r="J2509" i="1"/>
  <c r="I2509" i="1"/>
  <c r="M2509" i="1" s="1"/>
  <c r="S2508" i="1"/>
  <c r="O2508" i="1"/>
  <c r="P2508" i="1" s="1"/>
  <c r="R2508" i="1" s="1"/>
  <c r="N2508" i="1"/>
  <c r="Q2508" i="1" s="1"/>
  <c r="L2508" i="1"/>
  <c r="K2508" i="1"/>
  <c r="J2508" i="1"/>
  <c r="I2508" i="1"/>
  <c r="M2508" i="1" s="1"/>
  <c r="S2507" i="1"/>
  <c r="O2507" i="1"/>
  <c r="P2507" i="1" s="1"/>
  <c r="R2507" i="1" s="1"/>
  <c r="L2507" i="1"/>
  <c r="J2507" i="1"/>
  <c r="I2507" i="1"/>
  <c r="K2507" i="1" s="1"/>
  <c r="N2507" i="1" s="1"/>
  <c r="Q2507" i="1" s="1"/>
  <c r="S2506" i="1"/>
  <c r="L2506" i="1"/>
  <c r="O2506" i="1" s="1"/>
  <c r="P2506" i="1" s="1"/>
  <c r="R2506" i="1" s="1"/>
  <c r="J2506" i="1"/>
  <c r="I2506" i="1"/>
  <c r="M2506" i="1" s="1"/>
  <c r="S2505" i="1"/>
  <c r="O2505" i="1"/>
  <c r="P2505" i="1" s="1"/>
  <c r="R2505" i="1" s="1"/>
  <c r="L2505" i="1"/>
  <c r="K2505" i="1"/>
  <c r="N2505" i="1" s="1"/>
  <c r="Q2505" i="1" s="1"/>
  <c r="J2505" i="1"/>
  <c r="I2505" i="1"/>
  <c r="M2505" i="1" s="1"/>
  <c r="S2504" i="1"/>
  <c r="O2504" i="1"/>
  <c r="P2504" i="1" s="1"/>
  <c r="R2504" i="1" s="1"/>
  <c r="N2504" i="1"/>
  <c r="Q2504" i="1" s="1"/>
  <c r="L2504" i="1"/>
  <c r="K2504" i="1"/>
  <c r="J2504" i="1"/>
  <c r="I2504" i="1"/>
  <c r="M2504" i="1" s="1"/>
  <c r="S2503" i="1"/>
  <c r="O2503" i="1"/>
  <c r="P2503" i="1" s="1"/>
  <c r="R2503" i="1" s="1"/>
  <c r="L2503" i="1"/>
  <c r="J2503" i="1"/>
  <c r="I2503" i="1"/>
  <c r="K2503" i="1" s="1"/>
  <c r="N2503" i="1" s="1"/>
  <c r="Q2503" i="1" s="1"/>
  <c r="S2502" i="1"/>
  <c r="L2502" i="1"/>
  <c r="O2502" i="1" s="1"/>
  <c r="P2502" i="1" s="1"/>
  <c r="R2502" i="1" s="1"/>
  <c r="J2502" i="1"/>
  <c r="I2502" i="1"/>
  <c r="M2502" i="1" s="1"/>
  <c r="S2501" i="1"/>
  <c r="O2501" i="1"/>
  <c r="P2501" i="1" s="1"/>
  <c r="R2501" i="1" s="1"/>
  <c r="L2501" i="1"/>
  <c r="K2501" i="1"/>
  <c r="N2501" i="1" s="1"/>
  <c r="Q2501" i="1" s="1"/>
  <c r="J2501" i="1"/>
  <c r="I2501" i="1"/>
  <c r="M2501" i="1" s="1"/>
  <c r="S2500" i="1"/>
  <c r="O2500" i="1"/>
  <c r="P2500" i="1" s="1"/>
  <c r="R2500" i="1" s="1"/>
  <c r="L2500" i="1"/>
  <c r="J2500" i="1"/>
  <c r="K2500" i="1" s="1"/>
  <c r="N2500" i="1" s="1"/>
  <c r="Q2500" i="1" s="1"/>
  <c r="I2500" i="1"/>
  <c r="M2500" i="1" s="1"/>
  <c r="S2499" i="1"/>
  <c r="O2499" i="1"/>
  <c r="P2499" i="1" s="1"/>
  <c r="R2499" i="1" s="1"/>
  <c r="L2499" i="1"/>
  <c r="J2499" i="1"/>
  <c r="I2499" i="1"/>
  <c r="K2499" i="1" s="1"/>
  <c r="N2499" i="1" s="1"/>
  <c r="Q2499" i="1" s="1"/>
  <c r="S2498" i="1"/>
  <c r="L2498" i="1"/>
  <c r="O2498" i="1" s="1"/>
  <c r="P2498" i="1" s="1"/>
  <c r="R2498" i="1" s="1"/>
  <c r="J2498" i="1"/>
  <c r="I2498" i="1"/>
  <c r="M2498" i="1" s="1"/>
  <c r="S2497" i="1"/>
  <c r="O2497" i="1"/>
  <c r="P2497" i="1" s="1"/>
  <c r="R2497" i="1" s="1"/>
  <c r="L2497" i="1"/>
  <c r="K2497" i="1"/>
  <c r="N2497" i="1" s="1"/>
  <c r="Q2497" i="1" s="1"/>
  <c r="J2497" i="1"/>
  <c r="I2497" i="1"/>
  <c r="M2497" i="1" s="1"/>
  <c r="S2496" i="1"/>
  <c r="O2496" i="1"/>
  <c r="P2496" i="1" s="1"/>
  <c r="R2496" i="1" s="1"/>
  <c r="N2496" i="1"/>
  <c r="Q2496" i="1" s="1"/>
  <c r="L2496" i="1"/>
  <c r="K2496" i="1"/>
  <c r="J2496" i="1"/>
  <c r="I2496" i="1"/>
  <c r="M2496" i="1" s="1"/>
  <c r="S2495" i="1"/>
  <c r="O2495" i="1"/>
  <c r="P2495" i="1" s="1"/>
  <c r="R2495" i="1" s="1"/>
  <c r="L2495" i="1"/>
  <c r="J2495" i="1"/>
  <c r="I2495" i="1"/>
  <c r="K2495" i="1" s="1"/>
  <c r="N2495" i="1" s="1"/>
  <c r="Q2495" i="1" s="1"/>
  <c r="S2494" i="1"/>
  <c r="L2494" i="1"/>
  <c r="O2494" i="1" s="1"/>
  <c r="P2494" i="1" s="1"/>
  <c r="R2494" i="1" s="1"/>
  <c r="J2494" i="1"/>
  <c r="I2494" i="1"/>
  <c r="M2494" i="1" s="1"/>
  <c r="S2493" i="1"/>
  <c r="O2493" i="1"/>
  <c r="P2493" i="1" s="1"/>
  <c r="R2493" i="1" s="1"/>
  <c r="L2493" i="1"/>
  <c r="K2493" i="1"/>
  <c r="N2493" i="1" s="1"/>
  <c r="Q2493" i="1" s="1"/>
  <c r="J2493" i="1"/>
  <c r="I2493" i="1"/>
  <c r="M2493" i="1" s="1"/>
  <c r="S2492" i="1"/>
  <c r="O2492" i="1"/>
  <c r="P2492" i="1" s="1"/>
  <c r="R2492" i="1" s="1"/>
  <c r="N2492" i="1"/>
  <c r="Q2492" i="1" s="1"/>
  <c r="L2492" i="1"/>
  <c r="K2492" i="1"/>
  <c r="J2492" i="1"/>
  <c r="I2492" i="1"/>
  <c r="M2492" i="1" s="1"/>
  <c r="S2491" i="1"/>
  <c r="O2491" i="1"/>
  <c r="P2491" i="1" s="1"/>
  <c r="R2491" i="1" s="1"/>
  <c r="L2491" i="1"/>
  <c r="J2491" i="1"/>
  <c r="I2491" i="1"/>
  <c r="K2491" i="1" s="1"/>
  <c r="N2491" i="1" s="1"/>
  <c r="Q2491" i="1" s="1"/>
  <c r="S2490" i="1"/>
  <c r="L2490" i="1"/>
  <c r="O2490" i="1" s="1"/>
  <c r="P2490" i="1" s="1"/>
  <c r="R2490" i="1" s="1"/>
  <c r="J2490" i="1"/>
  <c r="I2490" i="1"/>
  <c r="M2490" i="1" s="1"/>
  <c r="S2489" i="1"/>
  <c r="O2489" i="1"/>
  <c r="P2489" i="1" s="1"/>
  <c r="R2489" i="1" s="1"/>
  <c r="L2489" i="1"/>
  <c r="K2489" i="1"/>
  <c r="N2489" i="1" s="1"/>
  <c r="Q2489" i="1" s="1"/>
  <c r="J2489" i="1"/>
  <c r="I2489" i="1"/>
  <c r="M2489" i="1" s="1"/>
  <c r="S2488" i="1"/>
  <c r="O2488" i="1"/>
  <c r="P2488" i="1" s="1"/>
  <c r="R2488" i="1" s="1"/>
  <c r="N2488" i="1"/>
  <c r="Q2488" i="1" s="1"/>
  <c r="L2488" i="1"/>
  <c r="K2488" i="1"/>
  <c r="J2488" i="1"/>
  <c r="I2488" i="1"/>
  <c r="M2488" i="1" s="1"/>
  <c r="S2487" i="1"/>
  <c r="O2487" i="1"/>
  <c r="P2487" i="1" s="1"/>
  <c r="R2487" i="1" s="1"/>
  <c r="M2487" i="1"/>
  <c r="L2487" i="1"/>
  <c r="J2487" i="1"/>
  <c r="I2487" i="1"/>
  <c r="K2487" i="1" s="1"/>
  <c r="N2487" i="1" s="1"/>
  <c r="Q2487" i="1" s="1"/>
  <c r="S2486" i="1"/>
  <c r="L2486" i="1"/>
  <c r="J2486" i="1"/>
  <c r="I2486" i="1"/>
  <c r="M2486" i="1" s="1"/>
  <c r="S2485" i="1"/>
  <c r="O2485" i="1"/>
  <c r="P2485" i="1" s="1"/>
  <c r="R2485" i="1" s="1"/>
  <c r="L2485" i="1"/>
  <c r="K2485" i="1"/>
  <c r="J2485" i="1"/>
  <c r="I2485" i="1"/>
  <c r="M2485" i="1" s="1"/>
  <c r="S2484" i="1"/>
  <c r="R2484" i="1"/>
  <c r="O2484" i="1"/>
  <c r="P2484" i="1" s="1"/>
  <c r="N2484" i="1"/>
  <c r="Q2484" i="1" s="1"/>
  <c r="L2484" i="1"/>
  <c r="K2484" i="1"/>
  <c r="J2484" i="1"/>
  <c r="I2484" i="1"/>
  <c r="M2484" i="1" s="1"/>
  <c r="S2483" i="1"/>
  <c r="Q2483" i="1"/>
  <c r="O2483" i="1"/>
  <c r="P2483" i="1" s="1"/>
  <c r="R2483" i="1" s="1"/>
  <c r="M2483" i="1"/>
  <c r="L2483" i="1"/>
  <c r="J2483" i="1"/>
  <c r="I2483" i="1"/>
  <c r="K2483" i="1" s="1"/>
  <c r="N2483" i="1" s="1"/>
  <c r="S2482" i="1"/>
  <c r="L2482" i="1"/>
  <c r="O2482" i="1" s="1"/>
  <c r="P2482" i="1" s="1"/>
  <c r="R2482" i="1" s="1"/>
  <c r="J2482" i="1"/>
  <c r="I2482" i="1"/>
  <c r="M2482" i="1" s="1"/>
  <c r="S2481" i="1"/>
  <c r="O2481" i="1"/>
  <c r="P2481" i="1" s="1"/>
  <c r="R2481" i="1" s="1"/>
  <c r="L2481" i="1"/>
  <c r="K2481" i="1"/>
  <c r="N2481" i="1" s="1"/>
  <c r="Q2481" i="1" s="1"/>
  <c r="J2481" i="1"/>
  <c r="I2481" i="1"/>
  <c r="M2481" i="1" s="1"/>
  <c r="S2480" i="1"/>
  <c r="O2480" i="1"/>
  <c r="P2480" i="1" s="1"/>
  <c r="R2480" i="1" s="1"/>
  <c r="N2480" i="1"/>
  <c r="Q2480" i="1" s="1"/>
  <c r="L2480" i="1"/>
  <c r="K2480" i="1"/>
  <c r="J2480" i="1"/>
  <c r="I2480" i="1"/>
  <c r="M2480" i="1" s="1"/>
  <c r="S2479" i="1"/>
  <c r="O2479" i="1"/>
  <c r="P2479" i="1" s="1"/>
  <c r="R2479" i="1" s="1"/>
  <c r="M2479" i="1"/>
  <c r="L2479" i="1"/>
  <c r="J2479" i="1"/>
  <c r="I2479" i="1"/>
  <c r="K2479" i="1" s="1"/>
  <c r="N2479" i="1" s="1"/>
  <c r="Q2479" i="1" s="1"/>
  <c r="S2478" i="1"/>
  <c r="L2478" i="1"/>
  <c r="O2478" i="1" s="1"/>
  <c r="P2478" i="1" s="1"/>
  <c r="R2478" i="1" s="1"/>
  <c r="J2478" i="1"/>
  <c r="I2478" i="1"/>
  <c r="M2478" i="1" s="1"/>
  <c r="S2477" i="1"/>
  <c r="O2477" i="1"/>
  <c r="P2477" i="1" s="1"/>
  <c r="R2477" i="1" s="1"/>
  <c r="L2477" i="1"/>
  <c r="K2477" i="1"/>
  <c r="N2477" i="1" s="1"/>
  <c r="Q2477" i="1" s="1"/>
  <c r="J2477" i="1"/>
  <c r="I2477" i="1"/>
  <c r="M2477" i="1" s="1"/>
  <c r="S2476" i="1"/>
  <c r="R2476" i="1"/>
  <c r="O2476" i="1"/>
  <c r="P2476" i="1" s="1"/>
  <c r="N2476" i="1"/>
  <c r="Q2476" i="1" s="1"/>
  <c r="L2476" i="1"/>
  <c r="K2476" i="1"/>
  <c r="J2476" i="1"/>
  <c r="I2476" i="1"/>
  <c r="M2476" i="1" s="1"/>
  <c r="S2475" i="1"/>
  <c r="Q2475" i="1"/>
  <c r="O2475" i="1"/>
  <c r="P2475" i="1" s="1"/>
  <c r="R2475" i="1" s="1"/>
  <c r="M2475" i="1"/>
  <c r="L2475" i="1"/>
  <c r="J2475" i="1"/>
  <c r="I2475" i="1"/>
  <c r="K2475" i="1" s="1"/>
  <c r="N2475" i="1" s="1"/>
  <c r="S2474" i="1"/>
  <c r="L2474" i="1"/>
  <c r="O2474" i="1" s="1"/>
  <c r="P2474" i="1" s="1"/>
  <c r="R2474" i="1" s="1"/>
  <c r="J2474" i="1"/>
  <c r="I2474" i="1"/>
  <c r="M2474" i="1" s="1"/>
  <c r="S2473" i="1"/>
  <c r="O2473" i="1"/>
  <c r="P2473" i="1" s="1"/>
  <c r="R2473" i="1" s="1"/>
  <c r="L2473" i="1"/>
  <c r="K2473" i="1"/>
  <c r="N2473" i="1" s="1"/>
  <c r="Q2473" i="1" s="1"/>
  <c r="J2473" i="1"/>
  <c r="I2473" i="1"/>
  <c r="M2473" i="1" s="1"/>
  <c r="S2472" i="1"/>
  <c r="O2472" i="1"/>
  <c r="P2472" i="1" s="1"/>
  <c r="R2472" i="1" s="1"/>
  <c r="N2472" i="1"/>
  <c r="Q2472" i="1" s="1"/>
  <c r="L2472" i="1"/>
  <c r="K2472" i="1"/>
  <c r="J2472" i="1"/>
  <c r="I2472" i="1"/>
  <c r="M2472" i="1" s="1"/>
  <c r="S2471" i="1"/>
  <c r="O2471" i="1"/>
  <c r="P2471" i="1" s="1"/>
  <c r="R2471" i="1" s="1"/>
  <c r="M2471" i="1"/>
  <c r="L2471" i="1"/>
  <c r="J2471" i="1"/>
  <c r="I2471" i="1"/>
  <c r="K2471" i="1" s="1"/>
  <c r="N2471" i="1" s="1"/>
  <c r="Q2471" i="1" s="1"/>
  <c r="S2470" i="1"/>
  <c r="P2470" i="1"/>
  <c r="R2470" i="1" s="1"/>
  <c r="L2470" i="1"/>
  <c r="O2470" i="1" s="1"/>
  <c r="J2470" i="1"/>
  <c r="I2470" i="1"/>
  <c r="K2470" i="1" s="1"/>
  <c r="N2470" i="1" s="1"/>
  <c r="Q2470" i="1" s="1"/>
  <c r="S2469" i="1"/>
  <c r="L2469" i="1"/>
  <c r="O2469" i="1" s="1"/>
  <c r="P2469" i="1" s="1"/>
  <c r="R2469" i="1" s="1"/>
  <c r="K2469" i="1"/>
  <c r="N2469" i="1" s="1"/>
  <c r="Q2469" i="1" s="1"/>
  <c r="J2469" i="1"/>
  <c r="I2469" i="1"/>
  <c r="M2469" i="1" s="1"/>
  <c r="S2468" i="1"/>
  <c r="O2468" i="1"/>
  <c r="P2468" i="1" s="1"/>
  <c r="R2468" i="1" s="1"/>
  <c r="N2468" i="1"/>
  <c r="Q2468" i="1" s="1"/>
  <c r="L2468" i="1"/>
  <c r="K2468" i="1"/>
  <c r="J2468" i="1"/>
  <c r="I2468" i="1"/>
  <c r="M2468" i="1" s="1"/>
  <c r="S2467" i="1"/>
  <c r="O2467" i="1"/>
  <c r="P2467" i="1" s="1"/>
  <c r="R2467" i="1" s="1"/>
  <c r="L2467" i="1"/>
  <c r="J2467" i="1"/>
  <c r="I2467" i="1"/>
  <c r="K2467" i="1" s="1"/>
  <c r="N2467" i="1" s="1"/>
  <c r="Q2467" i="1" s="1"/>
  <c r="S2466" i="1"/>
  <c r="P2466" i="1"/>
  <c r="R2466" i="1" s="1"/>
  <c r="M2466" i="1"/>
  <c r="L2466" i="1"/>
  <c r="O2466" i="1" s="1"/>
  <c r="J2466" i="1"/>
  <c r="I2466" i="1"/>
  <c r="K2466" i="1" s="1"/>
  <c r="N2466" i="1" s="1"/>
  <c r="Q2466" i="1" s="1"/>
  <c r="S2465" i="1"/>
  <c r="L2465" i="1"/>
  <c r="O2465" i="1" s="1"/>
  <c r="P2465" i="1" s="1"/>
  <c r="R2465" i="1" s="1"/>
  <c r="K2465" i="1"/>
  <c r="N2465" i="1" s="1"/>
  <c r="Q2465" i="1" s="1"/>
  <c r="J2465" i="1"/>
  <c r="I2465" i="1"/>
  <c r="M2465" i="1" s="1"/>
  <c r="S2464" i="1"/>
  <c r="R2464" i="1"/>
  <c r="O2464" i="1"/>
  <c r="P2464" i="1" s="1"/>
  <c r="L2464" i="1"/>
  <c r="K2464" i="1"/>
  <c r="N2464" i="1" s="1"/>
  <c r="Q2464" i="1" s="1"/>
  <c r="J2464" i="1"/>
  <c r="I2464" i="1"/>
  <c r="M2464" i="1" s="1"/>
  <c r="S2463" i="1"/>
  <c r="R2463" i="1"/>
  <c r="O2463" i="1"/>
  <c r="P2463" i="1" s="1"/>
  <c r="M2463" i="1"/>
  <c r="L2463" i="1"/>
  <c r="J2463" i="1"/>
  <c r="I2463" i="1"/>
  <c r="K2463" i="1" s="1"/>
  <c r="N2463" i="1" s="1"/>
  <c r="Q2463" i="1" s="1"/>
  <c r="S2462" i="1"/>
  <c r="M2462" i="1"/>
  <c r="L2462" i="1"/>
  <c r="O2462" i="1" s="1"/>
  <c r="P2462" i="1" s="1"/>
  <c r="R2462" i="1" s="1"/>
  <c r="J2462" i="1"/>
  <c r="I2462" i="1"/>
  <c r="K2462" i="1" s="1"/>
  <c r="N2462" i="1" s="1"/>
  <c r="Q2462" i="1" s="1"/>
  <c r="S2461" i="1"/>
  <c r="L2461" i="1"/>
  <c r="O2461" i="1" s="1"/>
  <c r="P2461" i="1" s="1"/>
  <c r="R2461" i="1" s="1"/>
  <c r="K2461" i="1"/>
  <c r="N2461" i="1" s="1"/>
  <c r="Q2461" i="1" s="1"/>
  <c r="J2461" i="1"/>
  <c r="I2461" i="1"/>
  <c r="M2461" i="1" s="1"/>
  <c r="S2460" i="1"/>
  <c r="O2460" i="1"/>
  <c r="P2460" i="1" s="1"/>
  <c r="R2460" i="1" s="1"/>
  <c r="L2460" i="1"/>
  <c r="K2460" i="1"/>
  <c r="N2460" i="1" s="1"/>
  <c r="Q2460" i="1" s="1"/>
  <c r="J2460" i="1"/>
  <c r="I2460" i="1"/>
  <c r="M2460" i="1" s="1"/>
  <c r="S2459" i="1"/>
  <c r="R2459" i="1"/>
  <c r="O2459" i="1"/>
  <c r="P2459" i="1" s="1"/>
  <c r="M2459" i="1"/>
  <c r="L2459" i="1"/>
  <c r="J2459" i="1"/>
  <c r="I2459" i="1"/>
  <c r="K2459" i="1" s="1"/>
  <c r="N2459" i="1" s="1"/>
  <c r="Q2459" i="1" s="1"/>
  <c r="S2458" i="1"/>
  <c r="Q2458" i="1"/>
  <c r="M2458" i="1"/>
  <c r="L2458" i="1"/>
  <c r="O2458" i="1" s="1"/>
  <c r="P2458" i="1" s="1"/>
  <c r="R2458" i="1" s="1"/>
  <c r="J2458" i="1"/>
  <c r="I2458" i="1"/>
  <c r="K2458" i="1" s="1"/>
  <c r="N2458" i="1" s="1"/>
  <c r="S2457" i="1"/>
  <c r="O2457" i="1"/>
  <c r="P2457" i="1" s="1"/>
  <c r="R2457" i="1" s="1"/>
  <c r="L2457" i="1"/>
  <c r="K2457" i="1"/>
  <c r="N2457" i="1" s="1"/>
  <c r="Q2457" i="1" s="1"/>
  <c r="J2457" i="1"/>
  <c r="I2457" i="1"/>
  <c r="M2457" i="1" s="1"/>
  <c r="S2456" i="1"/>
  <c r="O2456" i="1"/>
  <c r="P2456" i="1" s="1"/>
  <c r="R2456" i="1" s="1"/>
  <c r="N2456" i="1"/>
  <c r="Q2456" i="1" s="1"/>
  <c r="L2456" i="1"/>
  <c r="K2456" i="1"/>
  <c r="J2456" i="1"/>
  <c r="I2456" i="1"/>
  <c r="M2456" i="1" s="1"/>
  <c r="S2455" i="1"/>
  <c r="O2455" i="1"/>
  <c r="P2455" i="1" s="1"/>
  <c r="R2455" i="1" s="1"/>
  <c r="M2455" i="1"/>
  <c r="L2455" i="1"/>
  <c r="J2455" i="1"/>
  <c r="I2455" i="1"/>
  <c r="K2455" i="1" s="1"/>
  <c r="N2455" i="1" s="1"/>
  <c r="Q2455" i="1" s="1"/>
  <c r="S2454" i="1"/>
  <c r="P2454" i="1"/>
  <c r="R2454" i="1" s="1"/>
  <c r="L2454" i="1"/>
  <c r="O2454" i="1" s="1"/>
  <c r="J2454" i="1"/>
  <c r="I2454" i="1"/>
  <c r="K2454" i="1" s="1"/>
  <c r="N2454" i="1" s="1"/>
  <c r="Q2454" i="1" s="1"/>
  <c r="S2453" i="1"/>
  <c r="L2453" i="1"/>
  <c r="O2453" i="1" s="1"/>
  <c r="P2453" i="1" s="1"/>
  <c r="R2453" i="1" s="1"/>
  <c r="K2453" i="1"/>
  <c r="N2453" i="1" s="1"/>
  <c r="Q2453" i="1" s="1"/>
  <c r="J2453" i="1"/>
  <c r="I2453" i="1"/>
  <c r="M2453" i="1" s="1"/>
  <c r="S2452" i="1"/>
  <c r="O2452" i="1"/>
  <c r="P2452" i="1" s="1"/>
  <c r="R2452" i="1" s="1"/>
  <c r="N2452" i="1"/>
  <c r="Q2452" i="1" s="1"/>
  <c r="L2452" i="1"/>
  <c r="K2452" i="1"/>
  <c r="J2452" i="1"/>
  <c r="I2452" i="1"/>
  <c r="M2452" i="1" s="1"/>
  <c r="S2451" i="1"/>
  <c r="O2451" i="1"/>
  <c r="P2451" i="1" s="1"/>
  <c r="R2451" i="1" s="1"/>
  <c r="L2451" i="1"/>
  <c r="K2451" i="1"/>
  <c r="N2451" i="1" s="1"/>
  <c r="Q2451" i="1" s="1"/>
  <c r="J2451" i="1"/>
  <c r="I2451" i="1"/>
  <c r="M2451" i="1" s="1"/>
  <c r="S2450" i="1"/>
  <c r="O2450" i="1"/>
  <c r="P2450" i="1" s="1"/>
  <c r="R2450" i="1" s="1"/>
  <c r="N2450" i="1"/>
  <c r="Q2450" i="1" s="1"/>
  <c r="L2450" i="1"/>
  <c r="K2450" i="1"/>
  <c r="J2450" i="1"/>
  <c r="I2450" i="1"/>
  <c r="M2450" i="1" s="1"/>
  <c r="S2449" i="1"/>
  <c r="O2449" i="1"/>
  <c r="P2449" i="1" s="1"/>
  <c r="R2449" i="1" s="1"/>
  <c r="L2449" i="1"/>
  <c r="J2449" i="1"/>
  <c r="I2449" i="1"/>
  <c r="K2449" i="1" s="1"/>
  <c r="N2449" i="1" s="1"/>
  <c r="Q2449" i="1" s="1"/>
  <c r="S2448" i="1"/>
  <c r="L2448" i="1"/>
  <c r="O2448" i="1" s="1"/>
  <c r="P2448" i="1" s="1"/>
  <c r="R2448" i="1" s="1"/>
  <c r="J2448" i="1"/>
  <c r="I2448" i="1"/>
  <c r="M2448" i="1" s="1"/>
  <c r="S2447" i="1"/>
  <c r="O2447" i="1"/>
  <c r="P2447" i="1" s="1"/>
  <c r="R2447" i="1" s="1"/>
  <c r="L2447" i="1"/>
  <c r="K2447" i="1"/>
  <c r="N2447" i="1" s="1"/>
  <c r="Q2447" i="1" s="1"/>
  <c r="J2447" i="1"/>
  <c r="I2447" i="1"/>
  <c r="M2447" i="1" s="1"/>
  <c r="S2446" i="1"/>
  <c r="O2446" i="1"/>
  <c r="P2446" i="1" s="1"/>
  <c r="R2446" i="1" s="1"/>
  <c r="N2446" i="1"/>
  <c r="Q2446" i="1" s="1"/>
  <c r="L2446" i="1"/>
  <c r="K2446" i="1"/>
  <c r="J2446" i="1"/>
  <c r="I2446" i="1"/>
  <c r="M2446" i="1" s="1"/>
  <c r="S2445" i="1"/>
  <c r="O2445" i="1"/>
  <c r="P2445" i="1" s="1"/>
  <c r="R2445" i="1" s="1"/>
  <c r="L2445" i="1"/>
  <c r="J2445" i="1"/>
  <c r="I2445" i="1"/>
  <c r="K2445" i="1" s="1"/>
  <c r="N2445" i="1" s="1"/>
  <c r="Q2445" i="1" s="1"/>
  <c r="S2444" i="1"/>
  <c r="L2444" i="1"/>
  <c r="O2444" i="1" s="1"/>
  <c r="P2444" i="1" s="1"/>
  <c r="R2444" i="1" s="1"/>
  <c r="J2444" i="1"/>
  <c r="I2444" i="1"/>
  <c r="M2444" i="1" s="1"/>
  <c r="S2443" i="1"/>
  <c r="O2443" i="1"/>
  <c r="P2443" i="1" s="1"/>
  <c r="R2443" i="1" s="1"/>
  <c r="L2443" i="1"/>
  <c r="K2443" i="1"/>
  <c r="N2443" i="1" s="1"/>
  <c r="Q2443" i="1" s="1"/>
  <c r="J2443" i="1"/>
  <c r="I2443" i="1"/>
  <c r="M2443" i="1" s="1"/>
  <c r="S2442" i="1"/>
  <c r="O2442" i="1"/>
  <c r="P2442" i="1" s="1"/>
  <c r="R2442" i="1" s="1"/>
  <c r="N2442" i="1"/>
  <c r="Q2442" i="1" s="1"/>
  <c r="L2442" i="1"/>
  <c r="K2442" i="1"/>
  <c r="J2442" i="1"/>
  <c r="I2442" i="1"/>
  <c r="M2442" i="1" s="1"/>
  <c r="S2441" i="1"/>
  <c r="O2441" i="1"/>
  <c r="P2441" i="1" s="1"/>
  <c r="R2441" i="1" s="1"/>
  <c r="L2441" i="1"/>
  <c r="J2441" i="1"/>
  <c r="I2441" i="1"/>
  <c r="K2441" i="1" s="1"/>
  <c r="N2441" i="1" s="1"/>
  <c r="Q2441" i="1" s="1"/>
  <c r="S2440" i="1"/>
  <c r="L2440" i="1"/>
  <c r="O2440" i="1" s="1"/>
  <c r="P2440" i="1" s="1"/>
  <c r="R2440" i="1" s="1"/>
  <c r="J2440" i="1"/>
  <c r="I2440" i="1"/>
  <c r="M2440" i="1" s="1"/>
  <c r="S2439" i="1"/>
  <c r="O2439" i="1"/>
  <c r="P2439" i="1" s="1"/>
  <c r="R2439" i="1" s="1"/>
  <c r="L2439" i="1"/>
  <c r="K2439" i="1"/>
  <c r="N2439" i="1" s="1"/>
  <c r="Q2439" i="1" s="1"/>
  <c r="J2439" i="1"/>
  <c r="I2439" i="1"/>
  <c r="M2439" i="1" s="1"/>
  <c r="S2438" i="1"/>
  <c r="O2438" i="1"/>
  <c r="P2438" i="1" s="1"/>
  <c r="R2438" i="1" s="1"/>
  <c r="N2438" i="1"/>
  <c r="Q2438" i="1" s="1"/>
  <c r="L2438" i="1"/>
  <c r="K2438" i="1"/>
  <c r="J2438" i="1"/>
  <c r="I2438" i="1"/>
  <c r="M2438" i="1" s="1"/>
  <c r="S2437" i="1"/>
  <c r="O2437" i="1"/>
  <c r="P2437" i="1" s="1"/>
  <c r="R2437" i="1" s="1"/>
  <c r="L2437" i="1"/>
  <c r="J2437" i="1"/>
  <c r="I2437" i="1"/>
  <c r="K2437" i="1" s="1"/>
  <c r="N2437" i="1" s="1"/>
  <c r="Q2437" i="1" s="1"/>
  <c r="S2436" i="1"/>
  <c r="L2436" i="1"/>
  <c r="O2436" i="1" s="1"/>
  <c r="P2436" i="1" s="1"/>
  <c r="R2436" i="1" s="1"/>
  <c r="J2436" i="1"/>
  <c r="I2436" i="1"/>
  <c r="M2436" i="1" s="1"/>
  <c r="S2435" i="1"/>
  <c r="O2435" i="1"/>
  <c r="P2435" i="1" s="1"/>
  <c r="R2435" i="1" s="1"/>
  <c r="L2435" i="1"/>
  <c r="K2435" i="1"/>
  <c r="N2435" i="1" s="1"/>
  <c r="Q2435" i="1" s="1"/>
  <c r="J2435" i="1"/>
  <c r="I2435" i="1"/>
  <c r="M2435" i="1" s="1"/>
  <c r="S2434" i="1"/>
  <c r="O2434" i="1"/>
  <c r="P2434" i="1" s="1"/>
  <c r="R2434" i="1" s="1"/>
  <c r="N2434" i="1"/>
  <c r="Q2434" i="1" s="1"/>
  <c r="L2434" i="1"/>
  <c r="K2434" i="1"/>
  <c r="J2434" i="1"/>
  <c r="I2434" i="1"/>
  <c r="M2434" i="1" s="1"/>
  <c r="S2433" i="1"/>
  <c r="O2433" i="1"/>
  <c r="P2433" i="1" s="1"/>
  <c r="R2433" i="1" s="1"/>
  <c r="L2433" i="1"/>
  <c r="J2433" i="1"/>
  <c r="I2433" i="1"/>
  <c r="K2433" i="1" s="1"/>
  <c r="N2433" i="1" s="1"/>
  <c r="Q2433" i="1" s="1"/>
  <c r="S2432" i="1"/>
  <c r="L2432" i="1"/>
  <c r="O2432" i="1" s="1"/>
  <c r="P2432" i="1" s="1"/>
  <c r="R2432" i="1" s="1"/>
  <c r="J2432" i="1"/>
  <c r="I2432" i="1"/>
  <c r="M2432" i="1" s="1"/>
  <c r="S2431" i="1"/>
  <c r="O2431" i="1"/>
  <c r="P2431" i="1" s="1"/>
  <c r="R2431" i="1" s="1"/>
  <c r="L2431" i="1"/>
  <c r="K2431" i="1"/>
  <c r="N2431" i="1" s="1"/>
  <c r="Q2431" i="1" s="1"/>
  <c r="J2431" i="1"/>
  <c r="I2431" i="1"/>
  <c r="M2431" i="1" s="1"/>
  <c r="S2430" i="1"/>
  <c r="O2430" i="1"/>
  <c r="P2430" i="1" s="1"/>
  <c r="R2430" i="1" s="1"/>
  <c r="N2430" i="1"/>
  <c r="Q2430" i="1" s="1"/>
  <c r="L2430" i="1"/>
  <c r="K2430" i="1"/>
  <c r="J2430" i="1"/>
  <c r="I2430" i="1"/>
  <c r="M2430" i="1" s="1"/>
  <c r="S2429" i="1"/>
  <c r="O2429" i="1"/>
  <c r="P2429" i="1" s="1"/>
  <c r="R2429" i="1" s="1"/>
  <c r="L2429" i="1"/>
  <c r="J2429" i="1"/>
  <c r="I2429" i="1"/>
  <c r="K2429" i="1" s="1"/>
  <c r="N2429" i="1" s="1"/>
  <c r="Q2429" i="1" s="1"/>
  <c r="S2428" i="1"/>
  <c r="L2428" i="1"/>
  <c r="O2428" i="1" s="1"/>
  <c r="P2428" i="1" s="1"/>
  <c r="R2428" i="1" s="1"/>
  <c r="J2428" i="1"/>
  <c r="I2428" i="1"/>
  <c r="M2428" i="1" s="1"/>
  <c r="S2427" i="1"/>
  <c r="O2427" i="1"/>
  <c r="P2427" i="1" s="1"/>
  <c r="R2427" i="1" s="1"/>
  <c r="L2427" i="1"/>
  <c r="K2427" i="1"/>
  <c r="N2427" i="1" s="1"/>
  <c r="Q2427" i="1" s="1"/>
  <c r="J2427" i="1"/>
  <c r="I2427" i="1"/>
  <c r="M2427" i="1" s="1"/>
  <c r="S2426" i="1"/>
  <c r="O2426" i="1"/>
  <c r="P2426" i="1" s="1"/>
  <c r="R2426" i="1" s="1"/>
  <c r="N2426" i="1"/>
  <c r="Q2426" i="1" s="1"/>
  <c r="L2426" i="1"/>
  <c r="K2426" i="1"/>
  <c r="J2426" i="1"/>
  <c r="I2426" i="1"/>
  <c r="M2426" i="1" s="1"/>
  <c r="S2425" i="1"/>
  <c r="O2425" i="1"/>
  <c r="P2425" i="1" s="1"/>
  <c r="R2425" i="1" s="1"/>
  <c r="L2425" i="1"/>
  <c r="J2425" i="1"/>
  <c r="I2425" i="1"/>
  <c r="K2425" i="1" s="1"/>
  <c r="N2425" i="1" s="1"/>
  <c r="Q2425" i="1" s="1"/>
  <c r="S2424" i="1"/>
  <c r="L2424" i="1"/>
  <c r="O2424" i="1" s="1"/>
  <c r="P2424" i="1" s="1"/>
  <c r="R2424" i="1" s="1"/>
  <c r="J2424" i="1"/>
  <c r="I2424" i="1"/>
  <c r="M2424" i="1" s="1"/>
  <c r="S2423" i="1"/>
  <c r="O2423" i="1"/>
  <c r="P2423" i="1" s="1"/>
  <c r="R2423" i="1" s="1"/>
  <c r="L2423" i="1"/>
  <c r="K2423" i="1"/>
  <c r="N2423" i="1" s="1"/>
  <c r="Q2423" i="1" s="1"/>
  <c r="J2423" i="1"/>
  <c r="I2423" i="1"/>
  <c r="M2423" i="1" s="1"/>
  <c r="S2422" i="1"/>
  <c r="O2422" i="1"/>
  <c r="P2422" i="1" s="1"/>
  <c r="R2422" i="1" s="1"/>
  <c r="N2422" i="1"/>
  <c r="Q2422" i="1" s="1"/>
  <c r="L2422" i="1"/>
  <c r="K2422" i="1"/>
  <c r="J2422" i="1"/>
  <c r="I2422" i="1"/>
  <c r="M2422" i="1" s="1"/>
  <c r="S2421" i="1"/>
  <c r="O2421" i="1"/>
  <c r="P2421" i="1" s="1"/>
  <c r="R2421" i="1" s="1"/>
  <c r="L2421" i="1"/>
  <c r="J2421" i="1"/>
  <c r="I2421" i="1"/>
  <c r="K2421" i="1" s="1"/>
  <c r="N2421" i="1" s="1"/>
  <c r="Q2421" i="1" s="1"/>
  <c r="S2420" i="1"/>
  <c r="L2420" i="1"/>
  <c r="O2420" i="1" s="1"/>
  <c r="P2420" i="1" s="1"/>
  <c r="R2420" i="1" s="1"/>
  <c r="J2420" i="1"/>
  <c r="I2420" i="1"/>
  <c r="M2420" i="1" s="1"/>
  <c r="S2419" i="1"/>
  <c r="O2419" i="1"/>
  <c r="P2419" i="1" s="1"/>
  <c r="R2419" i="1" s="1"/>
  <c r="L2419" i="1"/>
  <c r="K2419" i="1"/>
  <c r="N2419" i="1" s="1"/>
  <c r="Q2419" i="1" s="1"/>
  <c r="J2419" i="1"/>
  <c r="I2419" i="1"/>
  <c r="M2419" i="1" s="1"/>
  <c r="S2418" i="1"/>
  <c r="O2418" i="1"/>
  <c r="P2418" i="1" s="1"/>
  <c r="R2418" i="1" s="1"/>
  <c r="N2418" i="1"/>
  <c r="Q2418" i="1" s="1"/>
  <c r="L2418" i="1"/>
  <c r="K2418" i="1"/>
  <c r="J2418" i="1"/>
  <c r="I2418" i="1"/>
  <c r="M2418" i="1" s="1"/>
  <c r="S2417" i="1"/>
  <c r="O2417" i="1"/>
  <c r="P2417" i="1" s="1"/>
  <c r="R2417" i="1" s="1"/>
  <c r="L2417" i="1"/>
  <c r="J2417" i="1"/>
  <c r="I2417" i="1"/>
  <c r="K2417" i="1" s="1"/>
  <c r="N2417" i="1" s="1"/>
  <c r="Q2417" i="1" s="1"/>
  <c r="S2416" i="1"/>
  <c r="L2416" i="1"/>
  <c r="O2416" i="1" s="1"/>
  <c r="P2416" i="1" s="1"/>
  <c r="R2416" i="1" s="1"/>
  <c r="J2416" i="1"/>
  <c r="I2416" i="1"/>
  <c r="M2416" i="1" s="1"/>
  <c r="S2415" i="1"/>
  <c r="O2415" i="1"/>
  <c r="P2415" i="1" s="1"/>
  <c r="R2415" i="1" s="1"/>
  <c r="L2415" i="1"/>
  <c r="K2415" i="1"/>
  <c r="N2415" i="1" s="1"/>
  <c r="Q2415" i="1" s="1"/>
  <c r="J2415" i="1"/>
  <c r="I2415" i="1"/>
  <c r="M2415" i="1" s="1"/>
  <c r="S2414" i="1"/>
  <c r="O2414" i="1"/>
  <c r="P2414" i="1" s="1"/>
  <c r="R2414" i="1" s="1"/>
  <c r="N2414" i="1"/>
  <c r="Q2414" i="1" s="1"/>
  <c r="L2414" i="1"/>
  <c r="K2414" i="1"/>
  <c r="J2414" i="1"/>
  <c r="I2414" i="1"/>
  <c r="M2414" i="1" s="1"/>
  <c r="S2413" i="1"/>
  <c r="O2413" i="1"/>
  <c r="P2413" i="1" s="1"/>
  <c r="R2413" i="1" s="1"/>
  <c r="L2413" i="1"/>
  <c r="J2413" i="1"/>
  <c r="I2413" i="1"/>
  <c r="K2413" i="1" s="1"/>
  <c r="N2413" i="1" s="1"/>
  <c r="Q2413" i="1" s="1"/>
  <c r="S2412" i="1"/>
  <c r="L2412" i="1"/>
  <c r="O2412" i="1" s="1"/>
  <c r="P2412" i="1" s="1"/>
  <c r="R2412" i="1" s="1"/>
  <c r="J2412" i="1"/>
  <c r="I2412" i="1"/>
  <c r="M2412" i="1" s="1"/>
  <c r="S2411" i="1"/>
  <c r="O2411" i="1"/>
  <c r="P2411" i="1" s="1"/>
  <c r="R2411" i="1" s="1"/>
  <c r="L2411" i="1"/>
  <c r="K2411" i="1"/>
  <c r="N2411" i="1" s="1"/>
  <c r="Q2411" i="1" s="1"/>
  <c r="J2411" i="1"/>
  <c r="I2411" i="1"/>
  <c r="M2411" i="1" s="1"/>
  <c r="S2410" i="1"/>
  <c r="O2410" i="1"/>
  <c r="P2410" i="1" s="1"/>
  <c r="R2410" i="1" s="1"/>
  <c r="N2410" i="1"/>
  <c r="Q2410" i="1" s="1"/>
  <c r="L2410" i="1"/>
  <c r="K2410" i="1"/>
  <c r="J2410" i="1"/>
  <c r="I2410" i="1"/>
  <c r="M2410" i="1" s="1"/>
  <c r="S2409" i="1"/>
  <c r="O2409" i="1"/>
  <c r="P2409" i="1" s="1"/>
  <c r="R2409" i="1" s="1"/>
  <c r="L2409" i="1"/>
  <c r="J2409" i="1"/>
  <c r="I2409" i="1"/>
  <c r="K2409" i="1" s="1"/>
  <c r="N2409" i="1" s="1"/>
  <c r="Q2409" i="1" s="1"/>
  <c r="S2408" i="1"/>
  <c r="L2408" i="1"/>
  <c r="O2408" i="1" s="1"/>
  <c r="P2408" i="1" s="1"/>
  <c r="R2408" i="1" s="1"/>
  <c r="J2408" i="1"/>
  <c r="I2408" i="1"/>
  <c r="M2408" i="1" s="1"/>
  <c r="S2407" i="1"/>
  <c r="O2407" i="1"/>
  <c r="P2407" i="1" s="1"/>
  <c r="R2407" i="1" s="1"/>
  <c r="L2407" i="1"/>
  <c r="K2407" i="1"/>
  <c r="N2407" i="1" s="1"/>
  <c r="Q2407" i="1" s="1"/>
  <c r="J2407" i="1"/>
  <c r="I2407" i="1"/>
  <c r="M2407" i="1" s="1"/>
  <c r="S2406" i="1"/>
  <c r="O2406" i="1"/>
  <c r="P2406" i="1" s="1"/>
  <c r="R2406" i="1" s="1"/>
  <c r="N2406" i="1"/>
  <c r="Q2406" i="1" s="1"/>
  <c r="L2406" i="1"/>
  <c r="K2406" i="1"/>
  <c r="J2406" i="1"/>
  <c r="I2406" i="1"/>
  <c r="M2406" i="1" s="1"/>
  <c r="S2405" i="1"/>
  <c r="O2405" i="1"/>
  <c r="P2405" i="1" s="1"/>
  <c r="R2405" i="1" s="1"/>
  <c r="L2405" i="1"/>
  <c r="J2405" i="1"/>
  <c r="I2405" i="1"/>
  <c r="K2405" i="1" s="1"/>
  <c r="N2405" i="1" s="1"/>
  <c r="Q2405" i="1" s="1"/>
  <c r="S2404" i="1"/>
  <c r="L2404" i="1"/>
  <c r="O2404" i="1" s="1"/>
  <c r="P2404" i="1" s="1"/>
  <c r="R2404" i="1" s="1"/>
  <c r="J2404" i="1"/>
  <c r="I2404" i="1"/>
  <c r="M2404" i="1" s="1"/>
  <c r="S2403" i="1"/>
  <c r="O2403" i="1"/>
  <c r="P2403" i="1" s="1"/>
  <c r="R2403" i="1" s="1"/>
  <c r="L2403" i="1"/>
  <c r="K2403" i="1"/>
  <c r="N2403" i="1" s="1"/>
  <c r="Q2403" i="1" s="1"/>
  <c r="J2403" i="1"/>
  <c r="I2403" i="1"/>
  <c r="M2403" i="1" s="1"/>
  <c r="S2402" i="1"/>
  <c r="O2402" i="1"/>
  <c r="P2402" i="1" s="1"/>
  <c r="R2402" i="1" s="1"/>
  <c r="N2402" i="1"/>
  <c r="Q2402" i="1" s="1"/>
  <c r="L2402" i="1"/>
  <c r="K2402" i="1"/>
  <c r="J2402" i="1"/>
  <c r="I2402" i="1"/>
  <c r="M2402" i="1" s="1"/>
  <c r="S2401" i="1"/>
  <c r="O2401" i="1"/>
  <c r="P2401" i="1" s="1"/>
  <c r="R2401" i="1" s="1"/>
  <c r="L2401" i="1"/>
  <c r="J2401" i="1"/>
  <c r="I2401" i="1"/>
  <c r="K2401" i="1" s="1"/>
  <c r="N2401" i="1" s="1"/>
  <c r="Q2401" i="1" s="1"/>
  <c r="S2400" i="1"/>
  <c r="L2400" i="1"/>
  <c r="O2400" i="1" s="1"/>
  <c r="P2400" i="1" s="1"/>
  <c r="R2400" i="1" s="1"/>
  <c r="J2400" i="1"/>
  <c r="I2400" i="1"/>
  <c r="M2400" i="1" s="1"/>
  <c r="S2399" i="1"/>
  <c r="O2399" i="1"/>
  <c r="P2399" i="1" s="1"/>
  <c r="R2399" i="1" s="1"/>
  <c r="L2399" i="1"/>
  <c r="K2399" i="1"/>
  <c r="N2399" i="1" s="1"/>
  <c r="Q2399" i="1" s="1"/>
  <c r="J2399" i="1"/>
  <c r="I2399" i="1"/>
  <c r="M2399" i="1" s="1"/>
  <c r="S2398" i="1"/>
  <c r="O2398" i="1"/>
  <c r="P2398" i="1" s="1"/>
  <c r="R2398" i="1" s="1"/>
  <c r="N2398" i="1"/>
  <c r="Q2398" i="1" s="1"/>
  <c r="L2398" i="1"/>
  <c r="K2398" i="1"/>
  <c r="J2398" i="1"/>
  <c r="I2398" i="1"/>
  <c r="M2398" i="1" s="1"/>
  <c r="S2397" i="1"/>
  <c r="O2397" i="1"/>
  <c r="P2397" i="1" s="1"/>
  <c r="R2397" i="1" s="1"/>
  <c r="L2397" i="1"/>
  <c r="J2397" i="1"/>
  <c r="I2397" i="1"/>
  <c r="K2397" i="1" s="1"/>
  <c r="N2397" i="1" s="1"/>
  <c r="Q2397" i="1" s="1"/>
  <c r="S2396" i="1"/>
  <c r="L2396" i="1"/>
  <c r="O2396" i="1" s="1"/>
  <c r="P2396" i="1" s="1"/>
  <c r="R2396" i="1" s="1"/>
  <c r="J2396" i="1"/>
  <c r="I2396" i="1"/>
  <c r="M2396" i="1" s="1"/>
  <c r="S2395" i="1"/>
  <c r="O2395" i="1"/>
  <c r="P2395" i="1" s="1"/>
  <c r="R2395" i="1" s="1"/>
  <c r="L2395" i="1"/>
  <c r="K2395" i="1"/>
  <c r="N2395" i="1" s="1"/>
  <c r="Q2395" i="1" s="1"/>
  <c r="J2395" i="1"/>
  <c r="I2395" i="1"/>
  <c r="M2395" i="1" s="1"/>
  <c r="S2394" i="1"/>
  <c r="O2394" i="1"/>
  <c r="P2394" i="1" s="1"/>
  <c r="R2394" i="1" s="1"/>
  <c r="N2394" i="1"/>
  <c r="Q2394" i="1" s="1"/>
  <c r="L2394" i="1"/>
  <c r="K2394" i="1"/>
  <c r="J2394" i="1"/>
  <c r="I2394" i="1"/>
  <c r="M2394" i="1" s="1"/>
  <c r="S2393" i="1"/>
  <c r="L2393" i="1"/>
  <c r="O2393" i="1" s="1"/>
  <c r="P2393" i="1" s="1"/>
  <c r="R2393" i="1" s="1"/>
  <c r="J2393" i="1"/>
  <c r="I2393" i="1"/>
  <c r="K2393" i="1" s="1"/>
  <c r="N2393" i="1" s="1"/>
  <c r="Q2393" i="1" s="1"/>
  <c r="S2392" i="1"/>
  <c r="L2392" i="1"/>
  <c r="O2392" i="1" s="1"/>
  <c r="P2392" i="1" s="1"/>
  <c r="R2392" i="1" s="1"/>
  <c r="J2392" i="1"/>
  <c r="I2392" i="1"/>
  <c r="M2392" i="1" s="1"/>
  <c r="S2391" i="1"/>
  <c r="O2391" i="1"/>
  <c r="P2391" i="1" s="1"/>
  <c r="R2391" i="1" s="1"/>
  <c r="L2391" i="1"/>
  <c r="K2391" i="1"/>
  <c r="N2391" i="1" s="1"/>
  <c r="Q2391" i="1" s="1"/>
  <c r="J2391" i="1"/>
  <c r="I2391" i="1"/>
  <c r="M2391" i="1" s="1"/>
  <c r="S2390" i="1"/>
  <c r="O2390" i="1"/>
  <c r="P2390" i="1" s="1"/>
  <c r="R2390" i="1" s="1"/>
  <c r="N2390" i="1"/>
  <c r="Q2390" i="1" s="1"/>
  <c r="L2390" i="1"/>
  <c r="K2390" i="1"/>
  <c r="J2390" i="1"/>
  <c r="I2390" i="1"/>
  <c r="M2390" i="1" s="1"/>
  <c r="S2389" i="1"/>
  <c r="L2389" i="1"/>
  <c r="O2389" i="1" s="1"/>
  <c r="P2389" i="1" s="1"/>
  <c r="R2389" i="1" s="1"/>
  <c r="J2389" i="1"/>
  <c r="I2389" i="1"/>
  <c r="K2389" i="1" s="1"/>
  <c r="N2389" i="1" s="1"/>
  <c r="Q2389" i="1" s="1"/>
  <c r="S2388" i="1"/>
  <c r="L2388" i="1"/>
  <c r="O2388" i="1" s="1"/>
  <c r="P2388" i="1" s="1"/>
  <c r="R2388" i="1" s="1"/>
  <c r="J2388" i="1"/>
  <c r="I2388" i="1"/>
  <c r="M2388" i="1" s="1"/>
  <c r="S2387" i="1"/>
  <c r="O2387" i="1"/>
  <c r="P2387" i="1" s="1"/>
  <c r="R2387" i="1" s="1"/>
  <c r="L2387" i="1"/>
  <c r="K2387" i="1"/>
  <c r="N2387" i="1" s="1"/>
  <c r="Q2387" i="1" s="1"/>
  <c r="J2387" i="1"/>
  <c r="I2387" i="1"/>
  <c r="M2387" i="1" s="1"/>
  <c r="S2386" i="1"/>
  <c r="O2386" i="1"/>
  <c r="P2386" i="1" s="1"/>
  <c r="R2386" i="1" s="1"/>
  <c r="N2386" i="1"/>
  <c r="Q2386" i="1" s="1"/>
  <c r="L2386" i="1"/>
  <c r="K2386" i="1"/>
  <c r="J2386" i="1"/>
  <c r="I2386" i="1"/>
  <c r="M2386" i="1" s="1"/>
  <c r="S2385" i="1"/>
  <c r="L2385" i="1"/>
  <c r="O2385" i="1" s="1"/>
  <c r="P2385" i="1" s="1"/>
  <c r="R2385" i="1" s="1"/>
  <c r="J2385" i="1"/>
  <c r="I2385" i="1"/>
  <c r="K2385" i="1" s="1"/>
  <c r="N2385" i="1" s="1"/>
  <c r="Q2385" i="1" s="1"/>
  <c r="S2384" i="1"/>
  <c r="L2384" i="1"/>
  <c r="O2384" i="1" s="1"/>
  <c r="P2384" i="1" s="1"/>
  <c r="R2384" i="1" s="1"/>
  <c r="J2384" i="1"/>
  <c r="I2384" i="1"/>
  <c r="M2384" i="1" s="1"/>
  <c r="S2383" i="1"/>
  <c r="O2383" i="1"/>
  <c r="P2383" i="1" s="1"/>
  <c r="R2383" i="1" s="1"/>
  <c r="L2383" i="1"/>
  <c r="K2383" i="1"/>
  <c r="N2383" i="1" s="1"/>
  <c r="Q2383" i="1" s="1"/>
  <c r="J2383" i="1"/>
  <c r="I2383" i="1"/>
  <c r="M2383" i="1" s="1"/>
  <c r="S2382" i="1"/>
  <c r="O2382" i="1"/>
  <c r="P2382" i="1" s="1"/>
  <c r="R2382" i="1" s="1"/>
  <c r="N2382" i="1"/>
  <c r="Q2382" i="1" s="1"/>
  <c r="L2382" i="1"/>
  <c r="K2382" i="1"/>
  <c r="J2382" i="1"/>
  <c r="I2382" i="1"/>
  <c r="M2382" i="1" s="1"/>
  <c r="S2381" i="1"/>
  <c r="L2381" i="1"/>
  <c r="O2381" i="1" s="1"/>
  <c r="P2381" i="1" s="1"/>
  <c r="R2381" i="1" s="1"/>
  <c r="J2381" i="1"/>
  <c r="I2381" i="1"/>
  <c r="K2381" i="1" s="1"/>
  <c r="N2381" i="1" s="1"/>
  <c r="Q2381" i="1" s="1"/>
  <c r="S2380" i="1"/>
  <c r="L2380" i="1"/>
  <c r="O2380" i="1" s="1"/>
  <c r="P2380" i="1" s="1"/>
  <c r="R2380" i="1" s="1"/>
  <c r="J2380" i="1"/>
  <c r="I2380" i="1"/>
  <c r="M2380" i="1" s="1"/>
  <c r="S2379" i="1"/>
  <c r="O2379" i="1"/>
  <c r="P2379" i="1" s="1"/>
  <c r="R2379" i="1" s="1"/>
  <c r="L2379" i="1"/>
  <c r="K2379" i="1"/>
  <c r="N2379" i="1" s="1"/>
  <c r="Q2379" i="1" s="1"/>
  <c r="J2379" i="1"/>
  <c r="I2379" i="1"/>
  <c r="M2379" i="1" s="1"/>
  <c r="S2378" i="1"/>
  <c r="O2378" i="1"/>
  <c r="P2378" i="1" s="1"/>
  <c r="R2378" i="1" s="1"/>
  <c r="N2378" i="1"/>
  <c r="Q2378" i="1" s="1"/>
  <c r="L2378" i="1"/>
  <c r="K2378" i="1"/>
  <c r="J2378" i="1"/>
  <c r="I2378" i="1"/>
  <c r="M2378" i="1" s="1"/>
  <c r="S2377" i="1"/>
  <c r="L2377" i="1"/>
  <c r="O2377" i="1" s="1"/>
  <c r="P2377" i="1" s="1"/>
  <c r="R2377" i="1" s="1"/>
  <c r="J2377" i="1"/>
  <c r="I2377" i="1"/>
  <c r="K2377" i="1" s="1"/>
  <c r="N2377" i="1" s="1"/>
  <c r="Q2377" i="1" s="1"/>
  <c r="S2376" i="1"/>
  <c r="L2376" i="1"/>
  <c r="O2376" i="1" s="1"/>
  <c r="P2376" i="1" s="1"/>
  <c r="R2376" i="1" s="1"/>
  <c r="J2376" i="1"/>
  <c r="I2376" i="1"/>
  <c r="M2376" i="1" s="1"/>
  <c r="S2375" i="1"/>
  <c r="O2375" i="1"/>
  <c r="P2375" i="1" s="1"/>
  <c r="R2375" i="1" s="1"/>
  <c r="L2375" i="1"/>
  <c r="K2375" i="1"/>
  <c r="N2375" i="1" s="1"/>
  <c r="Q2375" i="1" s="1"/>
  <c r="J2375" i="1"/>
  <c r="I2375" i="1"/>
  <c r="M2375" i="1" s="1"/>
  <c r="S2374" i="1"/>
  <c r="O2374" i="1"/>
  <c r="P2374" i="1" s="1"/>
  <c r="R2374" i="1" s="1"/>
  <c r="N2374" i="1"/>
  <c r="Q2374" i="1" s="1"/>
  <c r="L2374" i="1"/>
  <c r="K2374" i="1"/>
  <c r="J2374" i="1"/>
  <c r="I2374" i="1"/>
  <c r="M2374" i="1" s="1"/>
  <c r="S2373" i="1"/>
  <c r="L2373" i="1"/>
  <c r="O2373" i="1" s="1"/>
  <c r="P2373" i="1" s="1"/>
  <c r="R2373" i="1" s="1"/>
  <c r="J2373" i="1"/>
  <c r="I2373" i="1"/>
  <c r="K2373" i="1" s="1"/>
  <c r="N2373" i="1" s="1"/>
  <c r="Q2373" i="1" s="1"/>
  <c r="S2372" i="1"/>
  <c r="L2372" i="1"/>
  <c r="O2372" i="1" s="1"/>
  <c r="P2372" i="1" s="1"/>
  <c r="R2372" i="1" s="1"/>
  <c r="J2372" i="1"/>
  <c r="I2372" i="1"/>
  <c r="M2372" i="1" s="1"/>
  <c r="S2371" i="1"/>
  <c r="O2371" i="1"/>
  <c r="P2371" i="1" s="1"/>
  <c r="R2371" i="1" s="1"/>
  <c r="L2371" i="1"/>
  <c r="K2371" i="1"/>
  <c r="N2371" i="1" s="1"/>
  <c r="Q2371" i="1" s="1"/>
  <c r="J2371" i="1"/>
  <c r="I2371" i="1"/>
  <c r="M2371" i="1" s="1"/>
  <c r="S2370" i="1"/>
  <c r="O2370" i="1"/>
  <c r="P2370" i="1" s="1"/>
  <c r="R2370" i="1" s="1"/>
  <c r="N2370" i="1"/>
  <c r="Q2370" i="1" s="1"/>
  <c r="L2370" i="1"/>
  <c r="K2370" i="1"/>
  <c r="J2370" i="1"/>
  <c r="I2370" i="1"/>
  <c r="M2370" i="1" s="1"/>
  <c r="S2369" i="1"/>
  <c r="L2369" i="1"/>
  <c r="O2369" i="1" s="1"/>
  <c r="P2369" i="1" s="1"/>
  <c r="R2369" i="1" s="1"/>
  <c r="J2369" i="1"/>
  <c r="I2369" i="1"/>
  <c r="K2369" i="1" s="1"/>
  <c r="N2369" i="1" s="1"/>
  <c r="Q2369" i="1" s="1"/>
  <c r="S2368" i="1"/>
  <c r="L2368" i="1"/>
  <c r="O2368" i="1" s="1"/>
  <c r="P2368" i="1" s="1"/>
  <c r="R2368" i="1" s="1"/>
  <c r="J2368" i="1"/>
  <c r="I2368" i="1"/>
  <c r="M2368" i="1" s="1"/>
  <c r="S2367" i="1"/>
  <c r="O2367" i="1"/>
  <c r="P2367" i="1" s="1"/>
  <c r="R2367" i="1" s="1"/>
  <c r="L2367" i="1"/>
  <c r="K2367" i="1"/>
  <c r="N2367" i="1" s="1"/>
  <c r="Q2367" i="1" s="1"/>
  <c r="J2367" i="1"/>
  <c r="I2367" i="1"/>
  <c r="M2367" i="1" s="1"/>
  <c r="S2366" i="1"/>
  <c r="O2366" i="1"/>
  <c r="P2366" i="1" s="1"/>
  <c r="R2366" i="1" s="1"/>
  <c r="N2366" i="1"/>
  <c r="Q2366" i="1" s="1"/>
  <c r="L2366" i="1"/>
  <c r="K2366" i="1"/>
  <c r="J2366" i="1"/>
  <c r="I2366" i="1"/>
  <c r="M2366" i="1" s="1"/>
  <c r="S2365" i="1"/>
  <c r="L2365" i="1"/>
  <c r="O2365" i="1" s="1"/>
  <c r="P2365" i="1" s="1"/>
  <c r="R2365" i="1" s="1"/>
  <c r="J2365" i="1"/>
  <c r="I2365" i="1"/>
  <c r="K2365" i="1" s="1"/>
  <c r="N2365" i="1" s="1"/>
  <c r="Q2365" i="1" s="1"/>
  <c r="S2364" i="1"/>
  <c r="L2364" i="1"/>
  <c r="O2364" i="1" s="1"/>
  <c r="P2364" i="1" s="1"/>
  <c r="R2364" i="1" s="1"/>
  <c r="J2364" i="1"/>
  <c r="I2364" i="1"/>
  <c r="M2364" i="1" s="1"/>
  <c r="S2363" i="1"/>
  <c r="O2363" i="1"/>
  <c r="P2363" i="1" s="1"/>
  <c r="R2363" i="1" s="1"/>
  <c r="L2363" i="1"/>
  <c r="K2363" i="1"/>
  <c r="N2363" i="1" s="1"/>
  <c r="Q2363" i="1" s="1"/>
  <c r="J2363" i="1"/>
  <c r="I2363" i="1"/>
  <c r="M2363" i="1" s="1"/>
  <c r="S2362" i="1"/>
  <c r="O2362" i="1"/>
  <c r="P2362" i="1" s="1"/>
  <c r="R2362" i="1" s="1"/>
  <c r="N2362" i="1"/>
  <c r="Q2362" i="1" s="1"/>
  <c r="L2362" i="1"/>
  <c r="K2362" i="1"/>
  <c r="J2362" i="1"/>
  <c r="I2362" i="1"/>
  <c r="M2362" i="1" s="1"/>
  <c r="S2361" i="1"/>
  <c r="L2361" i="1"/>
  <c r="O2361" i="1" s="1"/>
  <c r="P2361" i="1" s="1"/>
  <c r="R2361" i="1" s="1"/>
  <c r="J2361" i="1"/>
  <c r="I2361" i="1"/>
  <c r="K2361" i="1" s="1"/>
  <c r="N2361" i="1" s="1"/>
  <c r="Q2361" i="1" s="1"/>
  <c r="S2360" i="1"/>
  <c r="L2360" i="1"/>
  <c r="O2360" i="1" s="1"/>
  <c r="P2360" i="1" s="1"/>
  <c r="R2360" i="1" s="1"/>
  <c r="J2360" i="1"/>
  <c r="I2360" i="1"/>
  <c r="M2360" i="1" s="1"/>
  <c r="S2359" i="1"/>
  <c r="O2359" i="1"/>
  <c r="P2359" i="1" s="1"/>
  <c r="R2359" i="1" s="1"/>
  <c r="L2359" i="1"/>
  <c r="K2359" i="1"/>
  <c r="N2359" i="1" s="1"/>
  <c r="Q2359" i="1" s="1"/>
  <c r="J2359" i="1"/>
  <c r="I2359" i="1"/>
  <c r="M2359" i="1" s="1"/>
  <c r="S2358" i="1"/>
  <c r="O2358" i="1"/>
  <c r="P2358" i="1" s="1"/>
  <c r="R2358" i="1" s="1"/>
  <c r="N2358" i="1"/>
  <c r="Q2358" i="1" s="1"/>
  <c r="L2358" i="1"/>
  <c r="K2358" i="1"/>
  <c r="J2358" i="1"/>
  <c r="I2358" i="1"/>
  <c r="M2358" i="1" s="1"/>
  <c r="S2357" i="1"/>
  <c r="L2357" i="1"/>
  <c r="O2357" i="1" s="1"/>
  <c r="P2357" i="1" s="1"/>
  <c r="R2357" i="1" s="1"/>
  <c r="J2357" i="1"/>
  <c r="I2357" i="1"/>
  <c r="K2357" i="1" s="1"/>
  <c r="N2357" i="1" s="1"/>
  <c r="Q2357" i="1" s="1"/>
  <c r="S2356" i="1"/>
  <c r="L2356" i="1"/>
  <c r="O2356" i="1" s="1"/>
  <c r="P2356" i="1" s="1"/>
  <c r="R2356" i="1" s="1"/>
  <c r="J2356" i="1"/>
  <c r="I2356" i="1"/>
  <c r="M2356" i="1" s="1"/>
  <c r="S2355" i="1"/>
  <c r="O2355" i="1"/>
  <c r="P2355" i="1" s="1"/>
  <c r="R2355" i="1" s="1"/>
  <c r="L2355" i="1"/>
  <c r="K2355" i="1"/>
  <c r="N2355" i="1" s="1"/>
  <c r="Q2355" i="1" s="1"/>
  <c r="J2355" i="1"/>
  <c r="I2355" i="1"/>
  <c r="M2355" i="1" s="1"/>
  <c r="S2354" i="1"/>
  <c r="O2354" i="1"/>
  <c r="P2354" i="1" s="1"/>
  <c r="R2354" i="1" s="1"/>
  <c r="N2354" i="1"/>
  <c r="Q2354" i="1" s="1"/>
  <c r="L2354" i="1"/>
  <c r="K2354" i="1"/>
  <c r="J2354" i="1"/>
  <c r="I2354" i="1"/>
  <c r="M2354" i="1" s="1"/>
  <c r="S2353" i="1"/>
  <c r="L2353" i="1"/>
  <c r="O2353" i="1" s="1"/>
  <c r="P2353" i="1" s="1"/>
  <c r="R2353" i="1" s="1"/>
  <c r="J2353" i="1"/>
  <c r="I2353" i="1"/>
  <c r="K2353" i="1" s="1"/>
  <c r="N2353" i="1" s="1"/>
  <c r="Q2353" i="1" s="1"/>
  <c r="S2352" i="1"/>
  <c r="L2352" i="1"/>
  <c r="O2352" i="1" s="1"/>
  <c r="P2352" i="1" s="1"/>
  <c r="R2352" i="1" s="1"/>
  <c r="J2352" i="1"/>
  <c r="I2352" i="1"/>
  <c r="M2352" i="1" s="1"/>
  <c r="S2351" i="1"/>
  <c r="O2351" i="1"/>
  <c r="P2351" i="1" s="1"/>
  <c r="R2351" i="1" s="1"/>
  <c r="L2351" i="1"/>
  <c r="K2351" i="1"/>
  <c r="N2351" i="1" s="1"/>
  <c r="Q2351" i="1" s="1"/>
  <c r="J2351" i="1"/>
  <c r="I2351" i="1"/>
  <c r="M2351" i="1" s="1"/>
  <c r="S2350" i="1"/>
  <c r="O2350" i="1"/>
  <c r="P2350" i="1" s="1"/>
  <c r="R2350" i="1" s="1"/>
  <c r="N2350" i="1"/>
  <c r="Q2350" i="1" s="1"/>
  <c r="L2350" i="1"/>
  <c r="K2350" i="1"/>
  <c r="J2350" i="1"/>
  <c r="I2350" i="1"/>
  <c r="M2350" i="1" s="1"/>
  <c r="S2349" i="1"/>
  <c r="L2349" i="1"/>
  <c r="O2349" i="1" s="1"/>
  <c r="P2349" i="1" s="1"/>
  <c r="R2349" i="1" s="1"/>
  <c r="J2349" i="1"/>
  <c r="I2349" i="1"/>
  <c r="K2349" i="1" s="1"/>
  <c r="N2349" i="1" s="1"/>
  <c r="Q2349" i="1" s="1"/>
  <c r="S2348" i="1"/>
  <c r="L2348" i="1"/>
  <c r="O2348" i="1" s="1"/>
  <c r="P2348" i="1" s="1"/>
  <c r="R2348" i="1" s="1"/>
  <c r="J2348" i="1"/>
  <c r="I2348" i="1"/>
  <c r="M2348" i="1" s="1"/>
  <c r="S2347" i="1"/>
  <c r="O2347" i="1"/>
  <c r="P2347" i="1" s="1"/>
  <c r="R2347" i="1" s="1"/>
  <c r="L2347" i="1"/>
  <c r="K2347" i="1"/>
  <c r="N2347" i="1" s="1"/>
  <c r="Q2347" i="1" s="1"/>
  <c r="J2347" i="1"/>
  <c r="I2347" i="1"/>
  <c r="M2347" i="1" s="1"/>
  <c r="S2346" i="1"/>
  <c r="O2346" i="1"/>
  <c r="P2346" i="1" s="1"/>
  <c r="R2346" i="1" s="1"/>
  <c r="N2346" i="1"/>
  <c r="Q2346" i="1" s="1"/>
  <c r="L2346" i="1"/>
  <c r="K2346" i="1"/>
  <c r="J2346" i="1"/>
  <c r="I2346" i="1"/>
  <c r="M2346" i="1" s="1"/>
  <c r="S2345" i="1"/>
  <c r="L2345" i="1"/>
  <c r="O2345" i="1" s="1"/>
  <c r="P2345" i="1" s="1"/>
  <c r="R2345" i="1" s="1"/>
  <c r="J2345" i="1"/>
  <c r="I2345" i="1"/>
  <c r="K2345" i="1" s="1"/>
  <c r="N2345" i="1" s="1"/>
  <c r="Q2345" i="1" s="1"/>
  <c r="S2344" i="1"/>
  <c r="L2344" i="1"/>
  <c r="O2344" i="1" s="1"/>
  <c r="P2344" i="1" s="1"/>
  <c r="R2344" i="1" s="1"/>
  <c r="J2344" i="1"/>
  <c r="I2344" i="1"/>
  <c r="M2344" i="1" s="1"/>
  <c r="S2343" i="1"/>
  <c r="O2343" i="1"/>
  <c r="P2343" i="1" s="1"/>
  <c r="R2343" i="1" s="1"/>
  <c r="L2343" i="1"/>
  <c r="K2343" i="1"/>
  <c r="N2343" i="1" s="1"/>
  <c r="Q2343" i="1" s="1"/>
  <c r="J2343" i="1"/>
  <c r="I2343" i="1"/>
  <c r="M2343" i="1" s="1"/>
  <c r="S2342" i="1"/>
  <c r="O2342" i="1"/>
  <c r="P2342" i="1" s="1"/>
  <c r="R2342" i="1" s="1"/>
  <c r="L2342" i="1"/>
  <c r="J2342" i="1"/>
  <c r="I2342" i="1"/>
  <c r="K2342" i="1" s="1"/>
  <c r="N2342" i="1" s="1"/>
  <c r="Q2342" i="1" s="1"/>
  <c r="S2341" i="1"/>
  <c r="L2341" i="1"/>
  <c r="O2341" i="1" s="1"/>
  <c r="P2341" i="1" s="1"/>
  <c r="R2341" i="1" s="1"/>
  <c r="J2341" i="1"/>
  <c r="I2341" i="1"/>
  <c r="K2341" i="1" s="1"/>
  <c r="N2341" i="1" s="1"/>
  <c r="Q2341" i="1" s="1"/>
  <c r="S2340" i="1"/>
  <c r="L2340" i="1"/>
  <c r="O2340" i="1" s="1"/>
  <c r="P2340" i="1" s="1"/>
  <c r="R2340" i="1" s="1"/>
  <c r="K2340" i="1"/>
  <c r="N2340" i="1" s="1"/>
  <c r="Q2340" i="1" s="1"/>
  <c r="J2340" i="1"/>
  <c r="I2340" i="1"/>
  <c r="M2340" i="1" s="1"/>
  <c r="S2339" i="1"/>
  <c r="O2339" i="1"/>
  <c r="P2339" i="1" s="1"/>
  <c r="R2339" i="1" s="1"/>
  <c r="L2339" i="1"/>
  <c r="K2339" i="1"/>
  <c r="N2339" i="1" s="1"/>
  <c r="Q2339" i="1" s="1"/>
  <c r="J2339" i="1"/>
  <c r="I2339" i="1"/>
  <c r="M2339" i="1" s="1"/>
  <c r="S2338" i="1"/>
  <c r="O2338" i="1"/>
  <c r="P2338" i="1" s="1"/>
  <c r="R2338" i="1" s="1"/>
  <c r="L2338" i="1"/>
  <c r="J2338" i="1"/>
  <c r="I2338" i="1"/>
  <c r="K2338" i="1" s="1"/>
  <c r="N2338" i="1" s="1"/>
  <c r="Q2338" i="1" s="1"/>
  <c r="S2337" i="1"/>
  <c r="L2337" i="1"/>
  <c r="O2337" i="1" s="1"/>
  <c r="P2337" i="1" s="1"/>
  <c r="R2337" i="1" s="1"/>
  <c r="J2337" i="1"/>
  <c r="I2337" i="1"/>
  <c r="K2337" i="1" s="1"/>
  <c r="N2337" i="1" s="1"/>
  <c r="Q2337" i="1" s="1"/>
  <c r="S2336" i="1"/>
  <c r="L2336" i="1"/>
  <c r="O2336" i="1" s="1"/>
  <c r="P2336" i="1" s="1"/>
  <c r="R2336" i="1" s="1"/>
  <c r="K2336" i="1"/>
  <c r="N2336" i="1" s="1"/>
  <c r="Q2336" i="1" s="1"/>
  <c r="J2336" i="1"/>
  <c r="I2336" i="1"/>
  <c r="M2336" i="1" s="1"/>
  <c r="S2335" i="1"/>
  <c r="O2335" i="1"/>
  <c r="P2335" i="1" s="1"/>
  <c r="R2335" i="1" s="1"/>
  <c r="L2335" i="1"/>
  <c r="K2335" i="1"/>
  <c r="N2335" i="1" s="1"/>
  <c r="Q2335" i="1" s="1"/>
  <c r="J2335" i="1"/>
  <c r="I2335" i="1"/>
  <c r="M2335" i="1" s="1"/>
  <c r="S2334" i="1"/>
  <c r="O2334" i="1"/>
  <c r="P2334" i="1" s="1"/>
  <c r="R2334" i="1" s="1"/>
  <c r="L2334" i="1"/>
  <c r="J2334" i="1"/>
  <c r="I2334" i="1"/>
  <c r="K2334" i="1" s="1"/>
  <c r="N2334" i="1" s="1"/>
  <c r="Q2334" i="1" s="1"/>
  <c r="S2333" i="1"/>
  <c r="L2333" i="1"/>
  <c r="O2333" i="1" s="1"/>
  <c r="P2333" i="1" s="1"/>
  <c r="R2333" i="1" s="1"/>
  <c r="J2333" i="1"/>
  <c r="I2333" i="1"/>
  <c r="K2333" i="1" s="1"/>
  <c r="N2333" i="1" s="1"/>
  <c r="Q2333" i="1" s="1"/>
  <c r="S2332" i="1"/>
  <c r="L2332" i="1"/>
  <c r="O2332" i="1" s="1"/>
  <c r="P2332" i="1" s="1"/>
  <c r="R2332" i="1" s="1"/>
  <c r="K2332" i="1"/>
  <c r="N2332" i="1" s="1"/>
  <c r="Q2332" i="1" s="1"/>
  <c r="J2332" i="1"/>
  <c r="I2332" i="1"/>
  <c r="M2332" i="1" s="1"/>
  <c r="S2331" i="1"/>
  <c r="O2331" i="1"/>
  <c r="P2331" i="1" s="1"/>
  <c r="R2331" i="1" s="1"/>
  <c r="L2331" i="1"/>
  <c r="K2331" i="1"/>
  <c r="N2331" i="1" s="1"/>
  <c r="Q2331" i="1" s="1"/>
  <c r="J2331" i="1"/>
  <c r="I2331" i="1"/>
  <c r="M2331" i="1" s="1"/>
  <c r="S2330" i="1"/>
  <c r="O2330" i="1"/>
  <c r="P2330" i="1" s="1"/>
  <c r="R2330" i="1" s="1"/>
  <c r="L2330" i="1"/>
  <c r="J2330" i="1"/>
  <c r="I2330" i="1"/>
  <c r="K2330" i="1" s="1"/>
  <c r="N2330" i="1" s="1"/>
  <c r="Q2330" i="1" s="1"/>
  <c r="S2329" i="1"/>
  <c r="L2329" i="1"/>
  <c r="O2329" i="1" s="1"/>
  <c r="P2329" i="1" s="1"/>
  <c r="R2329" i="1" s="1"/>
  <c r="J2329" i="1"/>
  <c r="I2329" i="1"/>
  <c r="K2329" i="1" s="1"/>
  <c r="N2329" i="1" s="1"/>
  <c r="Q2329" i="1" s="1"/>
  <c r="S2328" i="1"/>
  <c r="L2328" i="1"/>
  <c r="O2328" i="1" s="1"/>
  <c r="P2328" i="1" s="1"/>
  <c r="R2328" i="1" s="1"/>
  <c r="K2328" i="1"/>
  <c r="N2328" i="1" s="1"/>
  <c r="Q2328" i="1" s="1"/>
  <c r="J2328" i="1"/>
  <c r="I2328" i="1"/>
  <c r="M2328" i="1" s="1"/>
  <c r="S2327" i="1"/>
  <c r="O2327" i="1"/>
  <c r="P2327" i="1" s="1"/>
  <c r="R2327" i="1" s="1"/>
  <c r="L2327" i="1"/>
  <c r="K2327" i="1"/>
  <c r="N2327" i="1" s="1"/>
  <c r="Q2327" i="1" s="1"/>
  <c r="J2327" i="1"/>
  <c r="I2327" i="1"/>
  <c r="M2327" i="1" s="1"/>
  <c r="S2326" i="1"/>
  <c r="O2326" i="1"/>
  <c r="P2326" i="1" s="1"/>
  <c r="R2326" i="1" s="1"/>
  <c r="L2326" i="1"/>
  <c r="J2326" i="1"/>
  <c r="I2326" i="1"/>
  <c r="K2326" i="1" s="1"/>
  <c r="N2326" i="1" s="1"/>
  <c r="Q2326" i="1" s="1"/>
  <c r="S2325" i="1"/>
  <c r="L2325" i="1"/>
  <c r="O2325" i="1" s="1"/>
  <c r="P2325" i="1" s="1"/>
  <c r="R2325" i="1" s="1"/>
  <c r="J2325" i="1"/>
  <c r="I2325" i="1"/>
  <c r="K2325" i="1" s="1"/>
  <c r="N2325" i="1" s="1"/>
  <c r="Q2325" i="1" s="1"/>
  <c r="S2324" i="1"/>
  <c r="L2324" i="1"/>
  <c r="O2324" i="1" s="1"/>
  <c r="P2324" i="1" s="1"/>
  <c r="R2324" i="1" s="1"/>
  <c r="K2324" i="1"/>
  <c r="N2324" i="1" s="1"/>
  <c r="Q2324" i="1" s="1"/>
  <c r="J2324" i="1"/>
  <c r="I2324" i="1"/>
  <c r="M2324" i="1" s="1"/>
  <c r="S2323" i="1"/>
  <c r="O2323" i="1"/>
  <c r="P2323" i="1" s="1"/>
  <c r="R2323" i="1" s="1"/>
  <c r="L2323" i="1"/>
  <c r="K2323" i="1"/>
  <c r="N2323" i="1" s="1"/>
  <c r="Q2323" i="1" s="1"/>
  <c r="J2323" i="1"/>
  <c r="I2323" i="1"/>
  <c r="M2323" i="1" s="1"/>
  <c r="S2322" i="1"/>
  <c r="O2322" i="1"/>
  <c r="P2322" i="1" s="1"/>
  <c r="R2322" i="1" s="1"/>
  <c r="L2322" i="1"/>
  <c r="J2322" i="1"/>
  <c r="I2322" i="1"/>
  <c r="K2322" i="1" s="1"/>
  <c r="N2322" i="1" s="1"/>
  <c r="Q2322" i="1" s="1"/>
  <c r="S2321" i="1"/>
  <c r="L2321" i="1"/>
  <c r="O2321" i="1" s="1"/>
  <c r="P2321" i="1" s="1"/>
  <c r="R2321" i="1" s="1"/>
  <c r="J2321" i="1"/>
  <c r="I2321" i="1"/>
  <c r="K2321" i="1" s="1"/>
  <c r="N2321" i="1" s="1"/>
  <c r="Q2321" i="1" s="1"/>
  <c r="S2320" i="1"/>
  <c r="L2320" i="1"/>
  <c r="O2320" i="1" s="1"/>
  <c r="P2320" i="1" s="1"/>
  <c r="R2320" i="1" s="1"/>
  <c r="K2320" i="1"/>
  <c r="N2320" i="1" s="1"/>
  <c r="Q2320" i="1" s="1"/>
  <c r="J2320" i="1"/>
  <c r="I2320" i="1"/>
  <c r="M2320" i="1" s="1"/>
  <c r="S2319" i="1"/>
  <c r="O2319" i="1"/>
  <c r="P2319" i="1" s="1"/>
  <c r="R2319" i="1" s="1"/>
  <c r="L2319" i="1"/>
  <c r="K2319" i="1"/>
  <c r="N2319" i="1" s="1"/>
  <c r="Q2319" i="1" s="1"/>
  <c r="J2319" i="1"/>
  <c r="I2319" i="1"/>
  <c r="M2319" i="1" s="1"/>
  <c r="S2318" i="1"/>
  <c r="O2318" i="1"/>
  <c r="P2318" i="1" s="1"/>
  <c r="R2318" i="1" s="1"/>
  <c r="L2318" i="1"/>
  <c r="J2318" i="1"/>
  <c r="I2318" i="1"/>
  <c r="K2318" i="1" s="1"/>
  <c r="N2318" i="1" s="1"/>
  <c r="Q2318" i="1" s="1"/>
  <c r="S2317" i="1"/>
  <c r="L2317" i="1"/>
  <c r="O2317" i="1" s="1"/>
  <c r="P2317" i="1" s="1"/>
  <c r="R2317" i="1" s="1"/>
  <c r="J2317" i="1"/>
  <c r="I2317" i="1"/>
  <c r="K2317" i="1" s="1"/>
  <c r="N2317" i="1" s="1"/>
  <c r="Q2317" i="1" s="1"/>
  <c r="S2316" i="1"/>
  <c r="L2316" i="1"/>
  <c r="O2316" i="1" s="1"/>
  <c r="P2316" i="1" s="1"/>
  <c r="R2316" i="1" s="1"/>
  <c r="K2316" i="1"/>
  <c r="N2316" i="1" s="1"/>
  <c r="Q2316" i="1" s="1"/>
  <c r="J2316" i="1"/>
  <c r="I2316" i="1"/>
  <c r="M2316" i="1" s="1"/>
  <c r="S2315" i="1"/>
  <c r="O2315" i="1"/>
  <c r="P2315" i="1" s="1"/>
  <c r="R2315" i="1" s="1"/>
  <c r="L2315" i="1"/>
  <c r="K2315" i="1"/>
  <c r="N2315" i="1" s="1"/>
  <c r="Q2315" i="1" s="1"/>
  <c r="J2315" i="1"/>
  <c r="I2315" i="1"/>
  <c r="M2315" i="1" s="1"/>
  <c r="S2314" i="1"/>
  <c r="O2314" i="1"/>
  <c r="P2314" i="1" s="1"/>
  <c r="R2314" i="1" s="1"/>
  <c r="L2314" i="1"/>
  <c r="J2314" i="1"/>
  <c r="I2314" i="1"/>
  <c r="K2314" i="1" s="1"/>
  <c r="N2314" i="1" s="1"/>
  <c r="Q2314" i="1" s="1"/>
  <c r="S2313" i="1"/>
  <c r="L2313" i="1"/>
  <c r="O2313" i="1" s="1"/>
  <c r="P2313" i="1" s="1"/>
  <c r="R2313" i="1" s="1"/>
  <c r="J2313" i="1"/>
  <c r="I2313" i="1"/>
  <c r="K2313" i="1" s="1"/>
  <c r="N2313" i="1" s="1"/>
  <c r="Q2313" i="1" s="1"/>
  <c r="S2312" i="1"/>
  <c r="L2312" i="1"/>
  <c r="O2312" i="1" s="1"/>
  <c r="P2312" i="1" s="1"/>
  <c r="R2312" i="1" s="1"/>
  <c r="K2312" i="1"/>
  <c r="N2312" i="1" s="1"/>
  <c r="Q2312" i="1" s="1"/>
  <c r="J2312" i="1"/>
  <c r="I2312" i="1"/>
  <c r="M2312" i="1" s="1"/>
  <c r="S2311" i="1"/>
  <c r="O2311" i="1"/>
  <c r="P2311" i="1" s="1"/>
  <c r="R2311" i="1" s="1"/>
  <c r="L2311" i="1"/>
  <c r="K2311" i="1"/>
  <c r="N2311" i="1" s="1"/>
  <c r="Q2311" i="1" s="1"/>
  <c r="J2311" i="1"/>
  <c r="I2311" i="1"/>
  <c r="M2311" i="1" s="1"/>
  <c r="S2310" i="1"/>
  <c r="O2310" i="1"/>
  <c r="P2310" i="1" s="1"/>
  <c r="R2310" i="1" s="1"/>
  <c r="L2310" i="1"/>
  <c r="J2310" i="1"/>
  <c r="I2310" i="1"/>
  <c r="K2310" i="1" s="1"/>
  <c r="N2310" i="1" s="1"/>
  <c r="Q2310" i="1" s="1"/>
  <c r="S2309" i="1"/>
  <c r="L2309" i="1"/>
  <c r="O2309" i="1" s="1"/>
  <c r="P2309" i="1" s="1"/>
  <c r="R2309" i="1" s="1"/>
  <c r="J2309" i="1"/>
  <c r="I2309" i="1"/>
  <c r="K2309" i="1" s="1"/>
  <c r="N2309" i="1" s="1"/>
  <c r="Q2309" i="1" s="1"/>
  <c r="S2308" i="1"/>
  <c r="L2308" i="1"/>
  <c r="O2308" i="1" s="1"/>
  <c r="P2308" i="1" s="1"/>
  <c r="R2308" i="1" s="1"/>
  <c r="K2308" i="1"/>
  <c r="N2308" i="1" s="1"/>
  <c r="Q2308" i="1" s="1"/>
  <c r="J2308" i="1"/>
  <c r="I2308" i="1"/>
  <c r="M2308" i="1" s="1"/>
  <c r="S2307" i="1"/>
  <c r="O2307" i="1"/>
  <c r="P2307" i="1" s="1"/>
  <c r="R2307" i="1" s="1"/>
  <c r="L2307" i="1"/>
  <c r="K2307" i="1"/>
  <c r="N2307" i="1" s="1"/>
  <c r="Q2307" i="1" s="1"/>
  <c r="J2307" i="1"/>
  <c r="I2307" i="1"/>
  <c r="M2307" i="1" s="1"/>
  <c r="S2306" i="1"/>
  <c r="O2306" i="1"/>
  <c r="P2306" i="1" s="1"/>
  <c r="R2306" i="1" s="1"/>
  <c r="L2306" i="1"/>
  <c r="J2306" i="1"/>
  <c r="I2306" i="1"/>
  <c r="K2306" i="1" s="1"/>
  <c r="N2306" i="1" s="1"/>
  <c r="Q2306" i="1" s="1"/>
  <c r="S2305" i="1"/>
  <c r="L2305" i="1"/>
  <c r="O2305" i="1" s="1"/>
  <c r="P2305" i="1" s="1"/>
  <c r="R2305" i="1" s="1"/>
  <c r="J2305" i="1"/>
  <c r="I2305" i="1"/>
  <c r="K2305" i="1" s="1"/>
  <c r="N2305" i="1" s="1"/>
  <c r="Q2305" i="1" s="1"/>
  <c r="S2304" i="1"/>
  <c r="L2304" i="1"/>
  <c r="O2304" i="1" s="1"/>
  <c r="P2304" i="1" s="1"/>
  <c r="R2304" i="1" s="1"/>
  <c r="K2304" i="1"/>
  <c r="N2304" i="1" s="1"/>
  <c r="Q2304" i="1" s="1"/>
  <c r="J2304" i="1"/>
  <c r="I2304" i="1"/>
  <c r="M2304" i="1" s="1"/>
  <c r="S2303" i="1"/>
  <c r="O2303" i="1"/>
  <c r="P2303" i="1" s="1"/>
  <c r="R2303" i="1" s="1"/>
  <c r="L2303" i="1"/>
  <c r="K2303" i="1"/>
  <c r="N2303" i="1" s="1"/>
  <c r="Q2303" i="1" s="1"/>
  <c r="J2303" i="1"/>
  <c r="I2303" i="1"/>
  <c r="M2303" i="1" s="1"/>
  <c r="S2302" i="1"/>
  <c r="O2302" i="1"/>
  <c r="P2302" i="1" s="1"/>
  <c r="R2302" i="1" s="1"/>
  <c r="L2302" i="1"/>
  <c r="J2302" i="1"/>
  <c r="I2302" i="1"/>
  <c r="K2302" i="1" s="1"/>
  <c r="N2302" i="1" s="1"/>
  <c r="Q2302" i="1" s="1"/>
  <c r="S2301" i="1"/>
  <c r="L2301" i="1"/>
  <c r="O2301" i="1" s="1"/>
  <c r="P2301" i="1" s="1"/>
  <c r="R2301" i="1" s="1"/>
  <c r="J2301" i="1"/>
  <c r="I2301" i="1"/>
  <c r="K2301" i="1" s="1"/>
  <c r="N2301" i="1" s="1"/>
  <c r="Q2301" i="1" s="1"/>
  <c r="S2300" i="1"/>
  <c r="L2300" i="1"/>
  <c r="O2300" i="1" s="1"/>
  <c r="P2300" i="1" s="1"/>
  <c r="R2300" i="1" s="1"/>
  <c r="K2300" i="1"/>
  <c r="N2300" i="1" s="1"/>
  <c r="Q2300" i="1" s="1"/>
  <c r="J2300" i="1"/>
  <c r="I2300" i="1"/>
  <c r="M2300" i="1" s="1"/>
  <c r="S2299" i="1"/>
  <c r="O2299" i="1"/>
  <c r="P2299" i="1" s="1"/>
  <c r="R2299" i="1" s="1"/>
  <c r="L2299" i="1"/>
  <c r="K2299" i="1"/>
  <c r="N2299" i="1" s="1"/>
  <c r="Q2299" i="1" s="1"/>
  <c r="J2299" i="1"/>
  <c r="I2299" i="1"/>
  <c r="M2299" i="1" s="1"/>
  <c r="S2298" i="1"/>
  <c r="O2298" i="1"/>
  <c r="P2298" i="1" s="1"/>
  <c r="R2298" i="1" s="1"/>
  <c r="L2298" i="1"/>
  <c r="J2298" i="1"/>
  <c r="I2298" i="1"/>
  <c r="K2298" i="1" s="1"/>
  <c r="N2298" i="1" s="1"/>
  <c r="Q2298" i="1" s="1"/>
  <c r="S2297" i="1"/>
  <c r="L2297" i="1"/>
  <c r="O2297" i="1" s="1"/>
  <c r="P2297" i="1" s="1"/>
  <c r="R2297" i="1" s="1"/>
  <c r="J2297" i="1"/>
  <c r="I2297" i="1"/>
  <c r="K2297" i="1" s="1"/>
  <c r="N2297" i="1" s="1"/>
  <c r="Q2297" i="1" s="1"/>
  <c r="S2296" i="1"/>
  <c r="L2296" i="1"/>
  <c r="O2296" i="1" s="1"/>
  <c r="P2296" i="1" s="1"/>
  <c r="R2296" i="1" s="1"/>
  <c r="K2296" i="1"/>
  <c r="N2296" i="1" s="1"/>
  <c r="Q2296" i="1" s="1"/>
  <c r="J2296" i="1"/>
  <c r="I2296" i="1"/>
  <c r="M2296" i="1" s="1"/>
  <c r="S2295" i="1"/>
  <c r="O2295" i="1"/>
  <c r="P2295" i="1" s="1"/>
  <c r="R2295" i="1" s="1"/>
  <c r="L2295" i="1"/>
  <c r="K2295" i="1"/>
  <c r="N2295" i="1" s="1"/>
  <c r="Q2295" i="1" s="1"/>
  <c r="J2295" i="1"/>
  <c r="I2295" i="1"/>
  <c r="M2295" i="1" s="1"/>
  <c r="S2294" i="1"/>
  <c r="O2294" i="1"/>
  <c r="P2294" i="1" s="1"/>
  <c r="R2294" i="1" s="1"/>
  <c r="L2294" i="1"/>
  <c r="J2294" i="1"/>
  <c r="I2294" i="1"/>
  <c r="K2294" i="1" s="1"/>
  <c r="N2294" i="1" s="1"/>
  <c r="Q2294" i="1" s="1"/>
  <c r="S2293" i="1"/>
  <c r="L2293" i="1"/>
  <c r="O2293" i="1" s="1"/>
  <c r="P2293" i="1" s="1"/>
  <c r="R2293" i="1" s="1"/>
  <c r="J2293" i="1"/>
  <c r="I2293" i="1"/>
  <c r="K2293" i="1" s="1"/>
  <c r="N2293" i="1" s="1"/>
  <c r="Q2293" i="1" s="1"/>
  <c r="S2292" i="1"/>
  <c r="L2292" i="1"/>
  <c r="O2292" i="1" s="1"/>
  <c r="P2292" i="1" s="1"/>
  <c r="R2292" i="1" s="1"/>
  <c r="K2292" i="1"/>
  <c r="N2292" i="1" s="1"/>
  <c r="Q2292" i="1" s="1"/>
  <c r="J2292" i="1"/>
  <c r="I2292" i="1"/>
  <c r="M2292" i="1" s="1"/>
  <c r="S2291" i="1"/>
  <c r="O2291" i="1"/>
  <c r="P2291" i="1" s="1"/>
  <c r="R2291" i="1" s="1"/>
  <c r="L2291" i="1"/>
  <c r="K2291" i="1"/>
  <c r="N2291" i="1" s="1"/>
  <c r="Q2291" i="1" s="1"/>
  <c r="J2291" i="1"/>
  <c r="I2291" i="1"/>
  <c r="M2291" i="1" s="1"/>
  <c r="S2290" i="1"/>
  <c r="O2290" i="1"/>
  <c r="P2290" i="1" s="1"/>
  <c r="R2290" i="1" s="1"/>
  <c r="L2290" i="1"/>
  <c r="J2290" i="1"/>
  <c r="I2290" i="1"/>
  <c r="K2290" i="1" s="1"/>
  <c r="N2290" i="1" s="1"/>
  <c r="Q2290" i="1" s="1"/>
  <c r="S2289" i="1"/>
  <c r="L2289" i="1"/>
  <c r="O2289" i="1" s="1"/>
  <c r="P2289" i="1" s="1"/>
  <c r="R2289" i="1" s="1"/>
  <c r="J2289" i="1"/>
  <c r="I2289" i="1"/>
  <c r="K2289" i="1" s="1"/>
  <c r="N2289" i="1" s="1"/>
  <c r="Q2289" i="1" s="1"/>
  <c r="S2288" i="1"/>
  <c r="L2288" i="1"/>
  <c r="O2288" i="1" s="1"/>
  <c r="P2288" i="1" s="1"/>
  <c r="R2288" i="1" s="1"/>
  <c r="K2288" i="1"/>
  <c r="N2288" i="1" s="1"/>
  <c r="Q2288" i="1" s="1"/>
  <c r="J2288" i="1"/>
  <c r="I2288" i="1"/>
  <c r="M2288" i="1" s="1"/>
  <c r="S2287" i="1"/>
  <c r="O2287" i="1"/>
  <c r="P2287" i="1" s="1"/>
  <c r="R2287" i="1" s="1"/>
  <c r="L2287" i="1"/>
  <c r="K2287" i="1"/>
  <c r="N2287" i="1" s="1"/>
  <c r="Q2287" i="1" s="1"/>
  <c r="J2287" i="1"/>
  <c r="I2287" i="1"/>
  <c r="M2287" i="1" s="1"/>
  <c r="S2286" i="1"/>
  <c r="O2286" i="1"/>
  <c r="P2286" i="1" s="1"/>
  <c r="R2286" i="1" s="1"/>
  <c r="L2286" i="1"/>
  <c r="J2286" i="1"/>
  <c r="I2286" i="1"/>
  <c r="K2286" i="1" s="1"/>
  <c r="N2286" i="1" s="1"/>
  <c r="Q2286" i="1" s="1"/>
  <c r="S2285" i="1"/>
  <c r="L2285" i="1"/>
  <c r="O2285" i="1" s="1"/>
  <c r="P2285" i="1" s="1"/>
  <c r="R2285" i="1" s="1"/>
  <c r="J2285" i="1"/>
  <c r="I2285" i="1"/>
  <c r="K2285" i="1" s="1"/>
  <c r="S2284" i="1"/>
  <c r="L2284" i="1"/>
  <c r="N2284" i="1" s="1"/>
  <c r="Q2284" i="1" s="1"/>
  <c r="K2284" i="1"/>
  <c r="J2284" i="1"/>
  <c r="I2284" i="1"/>
  <c r="M2284" i="1" s="1"/>
  <c r="S2283" i="1"/>
  <c r="O2283" i="1"/>
  <c r="P2283" i="1" s="1"/>
  <c r="R2283" i="1" s="1"/>
  <c r="L2283" i="1"/>
  <c r="K2283" i="1"/>
  <c r="N2283" i="1" s="1"/>
  <c r="Q2283" i="1" s="1"/>
  <c r="J2283" i="1"/>
  <c r="I2283" i="1"/>
  <c r="M2283" i="1" s="1"/>
  <c r="S2282" i="1"/>
  <c r="O2282" i="1"/>
  <c r="P2282" i="1" s="1"/>
  <c r="R2282" i="1" s="1"/>
  <c r="L2282" i="1"/>
  <c r="J2282" i="1"/>
  <c r="I2282" i="1"/>
  <c r="K2282" i="1" s="1"/>
  <c r="N2282" i="1" s="1"/>
  <c r="Q2282" i="1" s="1"/>
  <c r="S2281" i="1"/>
  <c r="L2281" i="1"/>
  <c r="O2281" i="1" s="1"/>
  <c r="P2281" i="1" s="1"/>
  <c r="R2281" i="1" s="1"/>
  <c r="J2281" i="1"/>
  <c r="I2281" i="1"/>
  <c r="K2281" i="1" s="1"/>
  <c r="S2280" i="1"/>
  <c r="L2280" i="1"/>
  <c r="K2280" i="1"/>
  <c r="J2280" i="1"/>
  <c r="I2280" i="1"/>
  <c r="M2280" i="1" s="1"/>
  <c r="S2279" i="1"/>
  <c r="O2279" i="1"/>
  <c r="P2279" i="1" s="1"/>
  <c r="R2279" i="1" s="1"/>
  <c r="L2279" i="1"/>
  <c r="K2279" i="1"/>
  <c r="N2279" i="1" s="1"/>
  <c r="Q2279" i="1" s="1"/>
  <c r="J2279" i="1"/>
  <c r="I2279" i="1"/>
  <c r="M2279" i="1" s="1"/>
  <c r="S2278" i="1"/>
  <c r="R2278" i="1"/>
  <c r="O2278" i="1"/>
  <c r="P2278" i="1" s="1"/>
  <c r="N2278" i="1"/>
  <c r="Q2278" i="1" s="1"/>
  <c r="L2278" i="1"/>
  <c r="J2278" i="1"/>
  <c r="I2278" i="1"/>
  <c r="K2278" i="1" s="1"/>
  <c r="S2277" i="1"/>
  <c r="M2277" i="1"/>
  <c r="L2277" i="1"/>
  <c r="O2277" i="1" s="1"/>
  <c r="P2277" i="1" s="1"/>
  <c r="R2277" i="1" s="1"/>
  <c r="J2277" i="1"/>
  <c r="I2277" i="1"/>
  <c r="K2277" i="1" s="1"/>
  <c r="S2276" i="1"/>
  <c r="L2276" i="1"/>
  <c r="K2276" i="1"/>
  <c r="J2276" i="1"/>
  <c r="I2276" i="1"/>
  <c r="M2276" i="1" s="1"/>
  <c r="S2275" i="1"/>
  <c r="O2275" i="1"/>
  <c r="P2275" i="1" s="1"/>
  <c r="R2275" i="1" s="1"/>
  <c r="L2275" i="1"/>
  <c r="K2275" i="1"/>
  <c r="N2275" i="1" s="1"/>
  <c r="Q2275" i="1" s="1"/>
  <c r="J2275" i="1"/>
  <c r="I2275" i="1"/>
  <c r="M2275" i="1" s="1"/>
  <c r="S2274" i="1"/>
  <c r="O2274" i="1"/>
  <c r="P2274" i="1" s="1"/>
  <c r="R2274" i="1" s="1"/>
  <c r="L2274" i="1"/>
  <c r="J2274" i="1"/>
  <c r="I2274" i="1"/>
  <c r="K2274" i="1" s="1"/>
  <c r="N2274" i="1" s="1"/>
  <c r="Q2274" i="1" s="1"/>
  <c r="S2273" i="1"/>
  <c r="L2273" i="1"/>
  <c r="O2273" i="1" s="1"/>
  <c r="P2273" i="1" s="1"/>
  <c r="R2273" i="1" s="1"/>
  <c r="J2273" i="1"/>
  <c r="I2273" i="1"/>
  <c r="K2273" i="1" s="1"/>
  <c r="S2272" i="1"/>
  <c r="L2272" i="1"/>
  <c r="K2272" i="1"/>
  <c r="J2272" i="1"/>
  <c r="I2272" i="1"/>
  <c r="M2272" i="1" s="1"/>
  <c r="S2271" i="1"/>
  <c r="O2271" i="1"/>
  <c r="P2271" i="1" s="1"/>
  <c r="R2271" i="1" s="1"/>
  <c r="L2271" i="1"/>
  <c r="K2271" i="1"/>
  <c r="N2271" i="1" s="1"/>
  <c r="Q2271" i="1" s="1"/>
  <c r="J2271" i="1"/>
  <c r="I2271" i="1"/>
  <c r="M2271" i="1" s="1"/>
  <c r="S2270" i="1"/>
  <c r="R2270" i="1"/>
  <c r="O2270" i="1"/>
  <c r="P2270" i="1" s="1"/>
  <c r="N2270" i="1"/>
  <c r="Q2270" i="1" s="1"/>
  <c r="L2270" i="1"/>
  <c r="J2270" i="1"/>
  <c r="I2270" i="1"/>
  <c r="K2270" i="1" s="1"/>
  <c r="S2269" i="1"/>
  <c r="M2269" i="1"/>
  <c r="L2269" i="1"/>
  <c r="O2269" i="1" s="1"/>
  <c r="P2269" i="1" s="1"/>
  <c r="R2269" i="1" s="1"/>
  <c r="J2269" i="1"/>
  <c r="I2269" i="1"/>
  <c r="K2269" i="1" s="1"/>
  <c r="S2268" i="1"/>
  <c r="L2268" i="1"/>
  <c r="K2268" i="1"/>
  <c r="J2268" i="1"/>
  <c r="I2268" i="1"/>
  <c r="M2268" i="1" s="1"/>
  <c r="S2267" i="1"/>
  <c r="O2267" i="1"/>
  <c r="P2267" i="1" s="1"/>
  <c r="R2267" i="1" s="1"/>
  <c r="N2267" i="1"/>
  <c r="Q2267" i="1" s="1"/>
  <c r="L2267" i="1"/>
  <c r="K2267" i="1"/>
  <c r="J2267" i="1"/>
  <c r="I2267" i="1"/>
  <c r="M2267" i="1" s="1"/>
  <c r="S2266" i="1"/>
  <c r="R2266" i="1"/>
  <c r="O2266" i="1"/>
  <c r="P2266" i="1" s="1"/>
  <c r="N2266" i="1"/>
  <c r="Q2266" i="1" s="1"/>
  <c r="L2266" i="1"/>
  <c r="J2266" i="1"/>
  <c r="I2266" i="1"/>
  <c r="K2266" i="1" s="1"/>
  <c r="S2265" i="1"/>
  <c r="M2265" i="1"/>
  <c r="L2265" i="1"/>
  <c r="O2265" i="1" s="1"/>
  <c r="P2265" i="1" s="1"/>
  <c r="R2265" i="1" s="1"/>
  <c r="J2265" i="1"/>
  <c r="I2265" i="1"/>
  <c r="K2265" i="1" s="1"/>
  <c r="S2264" i="1"/>
  <c r="L2264" i="1"/>
  <c r="K2264" i="1"/>
  <c r="J2264" i="1"/>
  <c r="I2264" i="1"/>
  <c r="M2264" i="1" s="1"/>
  <c r="S2263" i="1"/>
  <c r="O2263" i="1"/>
  <c r="P2263" i="1" s="1"/>
  <c r="R2263" i="1" s="1"/>
  <c r="L2263" i="1"/>
  <c r="K2263" i="1"/>
  <c r="N2263" i="1" s="1"/>
  <c r="Q2263" i="1" s="1"/>
  <c r="J2263" i="1"/>
  <c r="I2263" i="1"/>
  <c r="M2263" i="1" s="1"/>
  <c r="S2262" i="1"/>
  <c r="O2262" i="1"/>
  <c r="P2262" i="1" s="1"/>
  <c r="R2262" i="1" s="1"/>
  <c r="L2262" i="1"/>
  <c r="J2262" i="1"/>
  <c r="I2262" i="1"/>
  <c r="K2262" i="1" s="1"/>
  <c r="N2262" i="1" s="1"/>
  <c r="Q2262" i="1" s="1"/>
  <c r="S2261" i="1"/>
  <c r="L2261" i="1"/>
  <c r="O2261" i="1" s="1"/>
  <c r="P2261" i="1" s="1"/>
  <c r="R2261" i="1" s="1"/>
  <c r="J2261" i="1"/>
  <c r="I2261" i="1"/>
  <c r="K2261" i="1" s="1"/>
  <c r="S2260" i="1"/>
  <c r="L2260" i="1"/>
  <c r="K2260" i="1"/>
  <c r="J2260" i="1"/>
  <c r="I2260" i="1"/>
  <c r="M2260" i="1" s="1"/>
  <c r="S2259" i="1"/>
  <c r="O2259" i="1"/>
  <c r="P2259" i="1" s="1"/>
  <c r="R2259" i="1" s="1"/>
  <c r="L2259" i="1"/>
  <c r="K2259" i="1"/>
  <c r="N2259" i="1" s="1"/>
  <c r="Q2259" i="1" s="1"/>
  <c r="J2259" i="1"/>
  <c r="I2259" i="1"/>
  <c r="M2259" i="1" s="1"/>
  <c r="S2258" i="1"/>
  <c r="R2258" i="1"/>
  <c r="O2258" i="1"/>
  <c r="P2258" i="1" s="1"/>
  <c r="N2258" i="1"/>
  <c r="Q2258" i="1" s="1"/>
  <c r="L2258" i="1"/>
  <c r="J2258" i="1"/>
  <c r="I2258" i="1"/>
  <c r="K2258" i="1" s="1"/>
  <c r="S2257" i="1"/>
  <c r="M2257" i="1"/>
  <c r="L2257" i="1"/>
  <c r="O2257" i="1" s="1"/>
  <c r="P2257" i="1" s="1"/>
  <c r="R2257" i="1" s="1"/>
  <c r="J2257" i="1"/>
  <c r="I2257" i="1"/>
  <c r="K2257" i="1" s="1"/>
  <c r="S2256" i="1"/>
  <c r="L2256" i="1"/>
  <c r="K2256" i="1"/>
  <c r="J2256" i="1"/>
  <c r="I2256" i="1"/>
  <c r="M2256" i="1" s="1"/>
  <c r="S2255" i="1"/>
  <c r="O2255" i="1"/>
  <c r="P2255" i="1" s="1"/>
  <c r="R2255" i="1" s="1"/>
  <c r="L2255" i="1"/>
  <c r="K2255" i="1"/>
  <c r="N2255" i="1" s="1"/>
  <c r="Q2255" i="1" s="1"/>
  <c r="J2255" i="1"/>
  <c r="I2255" i="1"/>
  <c r="M2255" i="1" s="1"/>
  <c r="S2254" i="1"/>
  <c r="O2254" i="1"/>
  <c r="P2254" i="1" s="1"/>
  <c r="R2254" i="1" s="1"/>
  <c r="N2254" i="1"/>
  <c r="Q2254" i="1" s="1"/>
  <c r="L2254" i="1"/>
  <c r="J2254" i="1"/>
  <c r="I2254" i="1"/>
  <c r="K2254" i="1" s="1"/>
  <c r="S2253" i="1"/>
  <c r="L2253" i="1"/>
  <c r="O2253" i="1" s="1"/>
  <c r="P2253" i="1" s="1"/>
  <c r="R2253" i="1" s="1"/>
  <c r="J2253" i="1"/>
  <c r="I2253" i="1"/>
  <c r="K2253" i="1" s="1"/>
  <c r="S2252" i="1"/>
  <c r="L2252" i="1"/>
  <c r="K2252" i="1"/>
  <c r="J2252" i="1"/>
  <c r="I2252" i="1"/>
  <c r="M2252" i="1" s="1"/>
  <c r="S2251" i="1"/>
  <c r="R2251" i="1"/>
  <c r="O2251" i="1"/>
  <c r="P2251" i="1" s="1"/>
  <c r="L2251" i="1"/>
  <c r="K2251" i="1"/>
  <c r="N2251" i="1" s="1"/>
  <c r="Q2251" i="1" s="1"/>
  <c r="J2251" i="1"/>
  <c r="I2251" i="1"/>
  <c r="M2251" i="1" s="1"/>
  <c r="S2250" i="1"/>
  <c r="O2250" i="1"/>
  <c r="P2250" i="1" s="1"/>
  <c r="R2250" i="1" s="1"/>
  <c r="M2250" i="1"/>
  <c r="L2250" i="1"/>
  <c r="J2250" i="1"/>
  <c r="I2250" i="1"/>
  <c r="K2250" i="1" s="1"/>
  <c r="N2250" i="1" s="1"/>
  <c r="Q2250" i="1" s="1"/>
  <c r="S2249" i="1"/>
  <c r="L2249" i="1"/>
  <c r="J2249" i="1"/>
  <c r="I2249" i="1"/>
  <c r="K2249" i="1" s="1"/>
  <c r="S2248" i="1"/>
  <c r="L2248" i="1"/>
  <c r="N2248" i="1" s="1"/>
  <c r="Q2248" i="1" s="1"/>
  <c r="K2248" i="1"/>
  <c r="J2248" i="1"/>
  <c r="I2248" i="1"/>
  <c r="M2248" i="1" s="1"/>
  <c r="S2247" i="1"/>
  <c r="O2247" i="1"/>
  <c r="P2247" i="1" s="1"/>
  <c r="R2247" i="1" s="1"/>
  <c r="L2247" i="1"/>
  <c r="K2247" i="1"/>
  <c r="N2247" i="1" s="1"/>
  <c r="Q2247" i="1" s="1"/>
  <c r="J2247" i="1"/>
  <c r="I2247" i="1"/>
  <c r="M2247" i="1" s="1"/>
  <c r="S2246" i="1"/>
  <c r="R2246" i="1"/>
  <c r="O2246" i="1"/>
  <c r="P2246" i="1" s="1"/>
  <c r="L2246" i="1"/>
  <c r="J2246" i="1"/>
  <c r="I2246" i="1"/>
  <c r="K2246" i="1" s="1"/>
  <c r="N2246" i="1" s="1"/>
  <c r="Q2246" i="1" s="1"/>
  <c r="S2245" i="1"/>
  <c r="Q2245" i="1"/>
  <c r="M2245" i="1"/>
  <c r="L2245" i="1"/>
  <c r="O2245" i="1" s="1"/>
  <c r="P2245" i="1" s="1"/>
  <c r="R2245" i="1" s="1"/>
  <c r="J2245" i="1"/>
  <c r="I2245" i="1"/>
  <c r="K2245" i="1" s="1"/>
  <c r="N2245" i="1" s="1"/>
  <c r="S2244" i="1"/>
  <c r="O2244" i="1"/>
  <c r="P2244" i="1" s="1"/>
  <c r="R2244" i="1" s="1"/>
  <c r="L2244" i="1"/>
  <c r="K2244" i="1"/>
  <c r="N2244" i="1" s="1"/>
  <c r="Q2244" i="1" s="1"/>
  <c r="J2244" i="1"/>
  <c r="I2244" i="1"/>
  <c r="M2244" i="1" s="1"/>
  <c r="S2243" i="1"/>
  <c r="R2243" i="1"/>
  <c r="O2243" i="1"/>
  <c r="P2243" i="1" s="1"/>
  <c r="L2243" i="1"/>
  <c r="K2243" i="1"/>
  <c r="N2243" i="1" s="1"/>
  <c r="Q2243" i="1" s="1"/>
  <c r="J2243" i="1"/>
  <c r="I2243" i="1"/>
  <c r="M2243" i="1" s="1"/>
  <c r="S2242" i="1"/>
  <c r="R2242" i="1"/>
  <c r="O2242" i="1"/>
  <c r="P2242" i="1" s="1"/>
  <c r="M2242" i="1"/>
  <c r="L2242" i="1"/>
  <c r="J2242" i="1"/>
  <c r="I2242" i="1"/>
  <c r="K2242" i="1" s="1"/>
  <c r="N2242" i="1" s="1"/>
  <c r="Q2242" i="1" s="1"/>
  <c r="S2241" i="1"/>
  <c r="L2241" i="1"/>
  <c r="O2241" i="1" s="1"/>
  <c r="P2241" i="1" s="1"/>
  <c r="R2241" i="1" s="1"/>
  <c r="J2241" i="1"/>
  <c r="I2241" i="1"/>
  <c r="K2241" i="1" s="1"/>
  <c r="N2241" i="1" s="1"/>
  <c r="Q2241" i="1" s="1"/>
  <c r="S2240" i="1"/>
  <c r="L2240" i="1"/>
  <c r="O2240" i="1" s="1"/>
  <c r="P2240" i="1" s="1"/>
  <c r="R2240" i="1" s="1"/>
  <c r="K2240" i="1"/>
  <c r="N2240" i="1" s="1"/>
  <c r="Q2240" i="1" s="1"/>
  <c r="J2240" i="1"/>
  <c r="I2240" i="1"/>
  <c r="M2240" i="1" s="1"/>
  <c r="S2239" i="1"/>
  <c r="P2239" i="1"/>
  <c r="R2239" i="1" s="1"/>
  <c r="O2239" i="1"/>
  <c r="L2239" i="1"/>
  <c r="K2239" i="1"/>
  <c r="N2239" i="1" s="1"/>
  <c r="Q2239" i="1" s="1"/>
  <c r="J2239" i="1"/>
  <c r="I2239" i="1"/>
  <c r="M2239" i="1" s="1"/>
  <c r="S2238" i="1"/>
  <c r="R2238" i="1"/>
  <c r="O2238" i="1"/>
  <c r="P2238" i="1" s="1"/>
  <c r="L2238" i="1"/>
  <c r="J2238" i="1"/>
  <c r="I2238" i="1"/>
  <c r="M2238" i="1" s="1"/>
  <c r="S2237" i="1"/>
  <c r="P2237" i="1"/>
  <c r="R2237" i="1" s="1"/>
  <c r="M2237" i="1"/>
  <c r="L2237" i="1"/>
  <c r="O2237" i="1" s="1"/>
  <c r="J2237" i="1"/>
  <c r="I2237" i="1"/>
  <c r="K2237" i="1" s="1"/>
  <c r="N2237" i="1" s="1"/>
  <c r="Q2237" i="1" s="1"/>
  <c r="S2236" i="1"/>
  <c r="P2236" i="1"/>
  <c r="R2236" i="1" s="1"/>
  <c r="O2236" i="1"/>
  <c r="L2236" i="1"/>
  <c r="K2236" i="1"/>
  <c r="N2236" i="1" s="1"/>
  <c r="Q2236" i="1" s="1"/>
  <c r="J2236" i="1"/>
  <c r="I2236" i="1"/>
  <c r="M2236" i="1" s="1"/>
  <c r="S2235" i="1"/>
  <c r="L2235" i="1"/>
  <c r="O2235" i="1" s="1"/>
  <c r="P2235" i="1" s="1"/>
  <c r="R2235" i="1" s="1"/>
  <c r="K2235" i="1"/>
  <c r="N2235" i="1" s="1"/>
  <c r="Q2235" i="1" s="1"/>
  <c r="J2235" i="1"/>
  <c r="I2235" i="1"/>
  <c r="M2235" i="1" s="1"/>
  <c r="S2234" i="1"/>
  <c r="R2234" i="1"/>
  <c r="O2234" i="1"/>
  <c r="P2234" i="1" s="1"/>
  <c r="L2234" i="1"/>
  <c r="J2234" i="1"/>
  <c r="I2234" i="1"/>
  <c r="K2234" i="1" s="1"/>
  <c r="N2234" i="1" s="1"/>
  <c r="Q2234" i="1" s="1"/>
  <c r="S2233" i="1"/>
  <c r="L2233" i="1"/>
  <c r="O2233" i="1" s="1"/>
  <c r="P2233" i="1" s="1"/>
  <c r="R2233" i="1" s="1"/>
  <c r="J2233" i="1"/>
  <c r="I2233" i="1"/>
  <c r="K2233" i="1" s="1"/>
  <c r="N2233" i="1" s="1"/>
  <c r="Q2233" i="1" s="1"/>
  <c r="S2232" i="1"/>
  <c r="Q2232" i="1"/>
  <c r="L2232" i="1"/>
  <c r="O2232" i="1" s="1"/>
  <c r="P2232" i="1" s="1"/>
  <c r="R2232" i="1" s="1"/>
  <c r="K2232" i="1"/>
  <c r="N2232" i="1" s="1"/>
  <c r="J2232" i="1"/>
  <c r="I2232" i="1"/>
  <c r="M2232" i="1" s="1"/>
  <c r="S2231" i="1"/>
  <c r="O2231" i="1"/>
  <c r="P2231" i="1" s="1"/>
  <c r="R2231" i="1" s="1"/>
  <c r="L2231" i="1"/>
  <c r="K2231" i="1"/>
  <c r="N2231" i="1" s="1"/>
  <c r="Q2231" i="1" s="1"/>
  <c r="J2231" i="1"/>
  <c r="I2231" i="1"/>
  <c r="M2231" i="1" s="1"/>
  <c r="S2230" i="1"/>
  <c r="L2230" i="1"/>
  <c r="O2230" i="1" s="1"/>
  <c r="P2230" i="1" s="1"/>
  <c r="R2230" i="1" s="1"/>
  <c r="J2230" i="1"/>
  <c r="I2230" i="1"/>
  <c r="K2230" i="1" s="1"/>
  <c r="N2230" i="1" s="1"/>
  <c r="Q2230" i="1" s="1"/>
  <c r="S2229" i="1"/>
  <c r="O2229" i="1"/>
  <c r="P2229" i="1" s="1"/>
  <c r="R2229" i="1" s="1"/>
  <c r="L2229" i="1"/>
  <c r="J2229" i="1"/>
  <c r="I2229" i="1"/>
  <c r="M2229" i="1" s="1"/>
  <c r="S2228" i="1"/>
  <c r="N2228" i="1"/>
  <c r="Q2228" i="1" s="1"/>
  <c r="L2228" i="1"/>
  <c r="O2228" i="1" s="1"/>
  <c r="P2228" i="1" s="1"/>
  <c r="R2228" i="1" s="1"/>
  <c r="K2228" i="1"/>
  <c r="J2228" i="1"/>
  <c r="I2228" i="1"/>
  <c r="M2228" i="1" s="1"/>
  <c r="S2227" i="1"/>
  <c r="O2227" i="1"/>
  <c r="P2227" i="1" s="1"/>
  <c r="R2227" i="1" s="1"/>
  <c r="L2227" i="1"/>
  <c r="K2227" i="1"/>
  <c r="N2227" i="1" s="1"/>
  <c r="Q2227" i="1" s="1"/>
  <c r="J2227" i="1"/>
  <c r="I2227" i="1"/>
  <c r="M2227" i="1" s="1"/>
  <c r="S2226" i="1"/>
  <c r="L2226" i="1"/>
  <c r="O2226" i="1" s="1"/>
  <c r="P2226" i="1" s="1"/>
  <c r="R2226" i="1" s="1"/>
  <c r="J2226" i="1"/>
  <c r="I2226" i="1"/>
  <c r="K2226" i="1" s="1"/>
  <c r="N2226" i="1" s="1"/>
  <c r="Q2226" i="1" s="1"/>
  <c r="S2225" i="1"/>
  <c r="O2225" i="1"/>
  <c r="P2225" i="1" s="1"/>
  <c r="R2225" i="1" s="1"/>
  <c r="L2225" i="1"/>
  <c r="J2225" i="1"/>
  <c r="I2225" i="1"/>
  <c r="M2225" i="1" s="1"/>
  <c r="S2224" i="1"/>
  <c r="N2224" i="1"/>
  <c r="Q2224" i="1" s="1"/>
  <c r="L2224" i="1"/>
  <c r="O2224" i="1" s="1"/>
  <c r="P2224" i="1" s="1"/>
  <c r="R2224" i="1" s="1"/>
  <c r="K2224" i="1"/>
  <c r="J2224" i="1"/>
  <c r="I2224" i="1"/>
  <c r="M2224" i="1" s="1"/>
  <c r="S2223" i="1"/>
  <c r="O2223" i="1"/>
  <c r="P2223" i="1" s="1"/>
  <c r="R2223" i="1" s="1"/>
  <c r="L2223" i="1"/>
  <c r="K2223" i="1"/>
  <c r="N2223" i="1" s="1"/>
  <c r="Q2223" i="1" s="1"/>
  <c r="J2223" i="1"/>
  <c r="I2223" i="1"/>
  <c r="M2223" i="1" s="1"/>
  <c r="S2222" i="1"/>
  <c r="L2222" i="1"/>
  <c r="O2222" i="1" s="1"/>
  <c r="P2222" i="1" s="1"/>
  <c r="R2222" i="1" s="1"/>
  <c r="J2222" i="1"/>
  <c r="I2222" i="1"/>
  <c r="K2222" i="1" s="1"/>
  <c r="N2222" i="1" s="1"/>
  <c r="Q2222" i="1" s="1"/>
  <c r="S2221" i="1"/>
  <c r="O2221" i="1"/>
  <c r="P2221" i="1" s="1"/>
  <c r="R2221" i="1" s="1"/>
  <c r="L2221" i="1"/>
  <c r="J2221" i="1"/>
  <c r="I2221" i="1"/>
  <c r="M2221" i="1" s="1"/>
  <c r="S2220" i="1"/>
  <c r="N2220" i="1"/>
  <c r="Q2220" i="1" s="1"/>
  <c r="L2220" i="1"/>
  <c r="O2220" i="1" s="1"/>
  <c r="P2220" i="1" s="1"/>
  <c r="R2220" i="1" s="1"/>
  <c r="K2220" i="1"/>
  <c r="J2220" i="1"/>
  <c r="I2220" i="1"/>
  <c r="M2220" i="1" s="1"/>
  <c r="S2219" i="1"/>
  <c r="O2219" i="1"/>
  <c r="P2219" i="1" s="1"/>
  <c r="R2219" i="1" s="1"/>
  <c r="L2219" i="1"/>
  <c r="K2219" i="1"/>
  <c r="N2219" i="1" s="1"/>
  <c r="Q2219" i="1" s="1"/>
  <c r="J2219" i="1"/>
  <c r="I2219" i="1"/>
  <c r="M2219" i="1" s="1"/>
  <c r="S2218" i="1"/>
  <c r="L2218" i="1"/>
  <c r="O2218" i="1" s="1"/>
  <c r="P2218" i="1" s="1"/>
  <c r="R2218" i="1" s="1"/>
  <c r="J2218" i="1"/>
  <c r="I2218" i="1"/>
  <c r="K2218" i="1" s="1"/>
  <c r="N2218" i="1" s="1"/>
  <c r="Q2218" i="1" s="1"/>
  <c r="S2217" i="1"/>
  <c r="O2217" i="1"/>
  <c r="P2217" i="1" s="1"/>
  <c r="R2217" i="1" s="1"/>
  <c r="L2217" i="1"/>
  <c r="J2217" i="1"/>
  <c r="I2217" i="1"/>
  <c r="M2217" i="1" s="1"/>
  <c r="S2216" i="1"/>
  <c r="N2216" i="1"/>
  <c r="Q2216" i="1" s="1"/>
  <c r="L2216" i="1"/>
  <c r="O2216" i="1" s="1"/>
  <c r="P2216" i="1" s="1"/>
  <c r="R2216" i="1" s="1"/>
  <c r="K2216" i="1"/>
  <c r="J2216" i="1"/>
  <c r="I2216" i="1"/>
  <c r="M2216" i="1" s="1"/>
  <c r="S2215" i="1"/>
  <c r="O2215" i="1"/>
  <c r="P2215" i="1" s="1"/>
  <c r="R2215" i="1" s="1"/>
  <c r="L2215" i="1"/>
  <c r="K2215" i="1"/>
  <c r="N2215" i="1" s="1"/>
  <c r="Q2215" i="1" s="1"/>
  <c r="J2215" i="1"/>
  <c r="I2215" i="1"/>
  <c r="M2215" i="1" s="1"/>
  <c r="S2214" i="1"/>
  <c r="L2214" i="1"/>
  <c r="O2214" i="1" s="1"/>
  <c r="P2214" i="1" s="1"/>
  <c r="R2214" i="1" s="1"/>
  <c r="J2214" i="1"/>
  <c r="I2214" i="1"/>
  <c r="K2214" i="1" s="1"/>
  <c r="N2214" i="1" s="1"/>
  <c r="Q2214" i="1" s="1"/>
  <c r="S2213" i="1"/>
  <c r="O2213" i="1"/>
  <c r="P2213" i="1" s="1"/>
  <c r="R2213" i="1" s="1"/>
  <c r="L2213" i="1"/>
  <c r="J2213" i="1"/>
  <c r="I2213" i="1"/>
  <c r="M2213" i="1" s="1"/>
  <c r="S2212" i="1"/>
  <c r="N2212" i="1"/>
  <c r="Q2212" i="1" s="1"/>
  <c r="L2212" i="1"/>
  <c r="O2212" i="1" s="1"/>
  <c r="P2212" i="1" s="1"/>
  <c r="R2212" i="1" s="1"/>
  <c r="K2212" i="1"/>
  <c r="J2212" i="1"/>
  <c r="I2212" i="1"/>
  <c r="M2212" i="1" s="1"/>
  <c r="S2211" i="1"/>
  <c r="O2211" i="1"/>
  <c r="P2211" i="1" s="1"/>
  <c r="R2211" i="1" s="1"/>
  <c r="L2211" i="1"/>
  <c r="J2211" i="1"/>
  <c r="I2211" i="1"/>
  <c r="K2211" i="1" s="1"/>
  <c r="N2211" i="1" s="1"/>
  <c r="Q2211" i="1" s="1"/>
  <c r="S2210" i="1"/>
  <c r="L2210" i="1"/>
  <c r="O2210" i="1" s="1"/>
  <c r="P2210" i="1" s="1"/>
  <c r="R2210" i="1" s="1"/>
  <c r="J2210" i="1"/>
  <c r="I2210" i="1"/>
  <c r="K2210" i="1" s="1"/>
  <c r="N2210" i="1" s="1"/>
  <c r="Q2210" i="1" s="1"/>
  <c r="S2209" i="1"/>
  <c r="O2209" i="1"/>
  <c r="P2209" i="1" s="1"/>
  <c r="R2209" i="1" s="1"/>
  <c r="L2209" i="1"/>
  <c r="K2209" i="1"/>
  <c r="N2209" i="1" s="1"/>
  <c r="Q2209" i="1" s="1"/>
  <c r="J2209" i="1"/>
  <c r="I2209" i="1"/>
  <c r="M2209" i="1" s="1"/>
  <c r="S2208" i="1"/>
  <c r="N2208" i="1"/>
  <c r="Q2208" i="1" s="1"/>
  <c r="L2208" i="1"/>
  <c r="O2208" i="1" s="1"/>
  <c r="P2208" i="1" s="1"/>
  <c r="R2208" i="1" s="1"/>
  <c r="K2208" i="1"/>
  <c r="J2208" i="1"/>
  <c r="I2208" i="1"/>
  <c r="M2208" i="1" s="1"/>
  <c r="S2207" i="1"/>
  <c r="O2207" i="1"/>
  <c r="P2207" i="1" s="1"/>
  <c r="R2207" i="1" s="1"/>
  <c r="L2207" i="1"/>
  <c r="J2207" i="1"/>
  <c r="I2207" i="1"/>
  <c r="K2207" i="1" s="1"/>
  <c r="N2207" i="1" s="1"/>
  <c r="Q2207" i="1" s="1"/>
  <c r="S2206" i="1"/>
  <c r="L2206" i="1"/>
  <c r="O2206" i="1" s="1"/>
  <c r="P2206" i="1" s="1"/>
  <c r="R2206" i="1" s="1"/>
  <c r="J2206" i="1"/>
  <c r="I2206" i="1"/>
  <c r="K2206" i="1" s="1"/>
  <c r="N2206" i="1" s="1"/>
  <c r="Q2206" i="1" s="1"/>
  <c r="S2205" i="1"/>
  <c r="O2205" i="1"/>
  <c r="P2205" i="1" s="1"/>
  <c r="R2205" i="1" s="1"/>
  <c r="L2205" i="1"/>
  <c r="K2205" i="1"/>
  <c r="N2205" i="1" s="1"/>
  <c r="Q2205" i="1" s="1"/>
  <c r="J2205" i="1"/>
  <c r="I2205" i="1"/>
  <c r="M2205" i="1" s="1"/>
  <c r="S2204" i="1"/>
  <c r="N2204" i="1"/>
  <c r="Q2204" i="1" s="1"/>
  <c r="L2204" i="1"/>
  <c r="O2204" i="1" s="1"/>
  <c r="P2204" i="1" s="1"/>
  <c r="R2204" i="1" s="1"/>
  <c r="K2204" i="1"/>
  <c r="J2204" i="1"/>
  <c r="I2204" i="1"/>
  <c r="M2204" i="1" s="1"/>
  <c r="S2203" i="1"/>
  <c r="O2203" i="1"/>
  <c r="P2203" i="1" s="1"/>
  <c r="R2203" i="1" s="1"/>
  <c r="L2203" i="1"/>
  <c r="J2203" i="1"/>
  <c r="I2203" i="1"/>
  <c r="K2203" i="1" s="1"/>
  <c r="N2203" i="1" s="1"/>
  <c r="Q2203" i="1" s="1"/>
  <c r="S2202" i="1"/>
  <c r="L2202" i="1"/>
  <c r="O2202" i="1" s="1"/>
  <c r="P2202" i="1" s="1"/>
  <c r="R2202" i="1" s="1"/>
  <c r="J2202" i="1"/>
  <c r="I2202" i="1"/>
  <c r="K2202" i="1" s="1"/>
  <c r="N2202" i="1" s="1"/>
  <c r="Q2202" i="1" s="1"/>
  <c r="S2201" i="1"/>
  <c r="O2201" i="1"/>
  <c r="P2201" i="1" s="1"/>
  <c r="R2201" i="1" s="1"/>
  <c r="L2201" i="1"/>
  <c r="K2201" i="1"/>
  <c r="N2201" i="1" s="1"/>
  <c r="Q2201" i="1" s="1"/>
  <c r="J2201" i="1"/>
  <c r="I2201" i="1"/>
  <c r="M2201" i="1" s="1"/>
  <c r="S2200" i="1"/>
  <c r="N2200" i="1"/>
  <c r="Q2200" i="1" s="1"/>
  <c r="L2200" i="1"/>
  <c r="O2200" i="1" s="1"/>
  <c r="P2200" i="1" s="1"/>
  <c r="R2200" i="1" s="1"/>
  <c r="K2200" i="1"/>
  <c r="J2200" i="1"/>
  <c r="I2200" i="1"/>
  <c r="M2200" i="1" s="1"/>
  <c r="S2199" i="1"/>
  <c r="O2199" i="1"/>
  <c r="P2199" i="1" s="1"/>
  <c r="R2199" i="1" s="1"/>
  <c r="L2199" i="1"/>
  <c r="J2199" i="1"/>
  <c r="I2199" i="1"/>
  <c r="K2199" i="1" s="1"/>
  <c r="N2199" i="1" s="1"/>
  <c r="Q2199" i="1" s="1"/>
  <c r="S2198" i="1"/>
  <c r="L2198" i="1"/>
  <c r="O2198" i="1" s="1"/>
  <c r="P2198" i="1" s="1"/>
  <c r="R2198" i="1" s="1"/>
  <c r="J2198" i="1"/>
  <c r="I2198" i="1"/>
  <c r="K2198" i="1" s="1"/>
  <c r="N2198" i="1" s="1"/>
  <c r="Q2198" i="1" s="1"/>
  <c r="S2197" i="1"/>
  <c r="O2197" i="1"/>
  <c r="P2197" i="1" s="1"/>
  <c r="R2197" i="1" s="1"/>
  <c r="L2197" i="1"/>
  <c r="K2197" i="1"/>
  <c r="N2197" i="1" s="1"/>
  <c r="Q2197" i="1" s="1"/>
  <c r="J2197" i="1"/>
  <c r="I2197" i="1"/>
  <c r="M2197" i="1" s="1"/>
  <c r="S2196" i="1"/>
  <c r="N2196" i="1"/>
  <c r="Q2196" i="1" s="1"/>
  <c r="L2196" i="1"/>
  <c r="O2196" i="1" s="1"/>
  <c r="P2196" i="1" s="1"/>
  <c r="R2196" i="1" s="1"/>
  <c r="K2196" i="1"/>
  <c r="J2196" i="1"/>
  <c r="I2196" i="1"/>
  <c r="M2196" i="1" s="1"/>
  <c r="S2195" i="1"/>
  <c r="O2195" i="1"/>
  <c r="P2195" i="1" s="1"/>
  <c r="R2195" i="1" s="1"/>
  <c r="L2195" i="1"/>
  <c r="J2195" i="1"/>
  <c r="I2195" i="1"/>
  <c r="K2195" i="1" s="1"/>
  <c r="N2195" i="1" s="1"/>
  <c r="Q2195" i="1" s="1"/>
  <c r="S2194" i="1"/>
  <c r="L2194" i="1"/>
  <c r="O2194" i="1" s="1"/>
  <c r="P2194" i="1" s="1"/>
  <c r="R2194" i="1" s="1"/>
  <c r="J2194" i="1"/>
  <c r="I2194" i="1"/>
  <c r="K2194" i="1" s="1"/>
  <c r="N2194" i="1" s="1"/>
  <c r="Q2194" i="1" s="1"/>
  <c r="S2193" i="1"/>
  <c r="O2193" i="1"/>
  <c r="P2193" i="1" s="1"/>
  <c r="R2193" i="1" s="1"/>
  <c r="L2193" i="1"/>
  <c r="K2193" i="1"/>
  <c r="N2193" i="1" s="1"/>
  <c r="Q2193" i="1" s="1"/>
  <c r="J2193" i="1"/>
  <c r="I2193" i="1"/>
  <c r="M2193" i="1" s="1"/>
  <c r="S2192" i="1"/>
  <c r="N2192" i="1"/>
  <c r="Q2192" i="1" s="1"/>
  <c r="L2192" i="1"/>
  <c r="O2192" i="1" s="1"/>
  <c r="P2192" i="1" s="1"/>
  <c r="R2192" i="1" s="1"/>
  <c r="K2192" i="1"/>
  <c r="J2192" i="1"/>
  <c r="I2192" i="1"/>
  <c r="M2192" i="1" s="1"/>
  <c r="S2191" i="1"/>
  <c r="O2191" i="1"/>
  <c r="P2191" i="1" s="1"/>
  <c r="R2191" i="1" s="1"/>
  <c r="L2191" i="1"/>
  <c r="J2191" i="1"/>
  <c r="I2191" i="1"/>
  <c r="K2191" i="1" s="1"/>
  <c r="N2191" i="1" s="1"/>
  <c r="Q2191" i="1" s="1"/>
  <c r="S2190" i="1"/>
  <c r="L2190" i="1"/>
  <c r="O2190" i="1" s="1"/>
  <c r="P2190" i="1" s="1"/>
  <c r="R2190" i="1" s="1"/>
  <c r="J2190" i="1"/>
  <c r="I2190" i="1"/>
  <c r="K2190" i="1" s="1"/>
  <c r="N2190" i="1" s="1"/>
  <c r="Q2190" i="1" s="1"/>
  <c r="S2189" i="1"/>
  <c r="O2189" i="1"/>
  <c r="P2189" i="1" s="1"/>
  <c r="R2189" i="1" s="1"/>
  <c r="L2189" i="1"/>
  <c r="K2189" i="1"/>
  <c r="N2189" i="1" s="1"/>
  <c r="Q2189" i="1" s="1"/>
  <c r="J2189" i="1"/>
  <c r="I2189" i="1"/>
  <c r="M2189" i="1" s="1"/>
  <c r="S2188" i="1"/>
  <c r="N2188" i="1"/>
  <c r="Q2188" i="1" s="1"/>
  <c r="L2188" i="1"/>
  <c r="O2188" i="1" s="1"/>
  <c r="P2188" i="1" s="1"/>
  <c r="R2188" i="1" s="1"/>
  <c r="K2188" i="1"/>
  <c r="J2188" i="1"/>
  <c r="I2188" i="1"/>
  <c r="M2188" i="1" s="1"/>
  <c r="S2187" i="1"/>
  <c r="O2187" i="1"/>
  <c r="P2187" i="1" s="1"/>
  <c r="R2187" i="1" s="1"/>
  <c r="L2187" i="1"/>
  <c r="J2187" i="1"/>
  <c r="I2187" i="1"/>
  <c r="K2187" i="1" s="1"/>
  <c r="N2187" i="1" s="1"/>
  <c r="Q2187" i="1" s="1"/>
  <c r="S2186" i="1"/>
  <c r="L2186" i="1"/>
  <c r="O2186" i="1" s="1"/>
  <c r="P2186" i="1" s="1"/>
  <c r="R2186" i="1" s="1"/>
  <c r="J2186" i="1"/>
  <c r="I2186" i="1"/>
  <c r="K2186" i="1" s="1"/>
  <c r="N2186" i="1" s="1"/>
  <c r="Q2186" i="1" s="1"/>
  <c r="S2185" i="1"/>
  <c r="O2185" i="1"/>
  <c r="P2185" i="1" s="1"/>
  <c r="R2185" i="1" s="1"/>
  <c r="L2185" i="1"/>
  <c r="K2185" i="1"/>
  <c r="N2185" i="1" s="1"/>
  <c r="Q2185" i="1" s="1"/>
  <c r="J2185" i="1"/>
  <c r="I2185" i="1"/>
  <c r="M2185" i="1" s="1"/>
  <c r="S2184" i="1"/>
  <c r="N2184" i="1"/>
  <c r="Q2184" i="1" s="1"/>
  <c r="L2184" i="1"/>
  <c r="O2184" i="1" s="1"/>
  <c r="P2184" i="1" s="1"/>
  <c r="R2184" i="1" s="1"/>
  <c r="K2184" i="1"/>
  <c r="J2184" i="1"/>
  <c r="I2184" i="1"/>
  <c r="M2184" i="1" s="1"/>
  <c r="S2183" i="1"/>
  <c r="O2183" i="1"/>
  <c r="P2183" i="1" s="1"/>
  <c r="R2183" i="1" s="1"/>
  <c r="L2183" i="1"/>
  <c r="J2183" i="1"/>
  <c r="I2183" i="1"/>
  <c r="K2183" i="1" s="1"/>
  <c r="N2183" i="1" s="1"/>
  <c r="Q2183" i="1" s="1"/>
  <c r="S2182" i="1"/>
  <c r="L2182" i="1"/>
  <c r="O2182" i="1" s="1"/>
  <c r="P2182" i="1" s="1"/>
  <c r="R2182" i="1" s="1"/>
  <c r="J2182" i="1"/>
  <c r="I2182" i="1"/>
  <c r="K2182" i="1" s="1"/>
  <c r="N2182" i="1" s="1"/>
  <c r="Q2182" i="1" s="1"/>
  <c r="S2181" i="1"/>
  <c r="O2181" i="1"/>
  <c r="P2181" i="1" s="1"/>
  <c r="R2181" i="1" s="1"/>
  <c r="L2181" i="1"/>
  <c r="K2181" i="1"/>
  <c r="N2181" i="1" s="1"/>
  <c r="Q2181" i="1" s="1"/>
  <c r="J2181" i="1"/>
  <c r="I2181" i="1"/>
  <c r="M2181" i="1" s="1"/>
  <c r="S2180" i="1"/>
  <c r="N2180" i="1"/>
  <c r="Q2180" i="1" s="1"/>
  <c r="L2180" i="1"/>
  <c r="O2180" i="1" s="1"/>
  <c r="P2180" i="1" s="1"/>
  <c r="R2180" i="1" s="1"/>
  <c r="K2180" i="1"/>
  <c r="J2180" i="1"/>
  <c r="I2180" i="1"/>
  <c r="M2180" i="1" s="1"/>
  <c r="S2179" i="1"/>
  <c r="O2179" i="1"/>
  <c r="P2179" i="1" s="1"/>
  <c r="R2179" i="1" s="1"/>
  <c r="L2179" i="1"/>
  <c r="J2179" i="1"/>
  <c r="I2179" i="1"/>
  <c r="K2179" i="1" s="1"/>
  <c r="N2179" i="1" s="1"/>
  <c r="Q2179" i="1" s="1"/>
  <c r="S2178" i="1"/>
  <c r="L2178" i="1"/>
  <c r="O2178" i="1" s="1"/>
  <c r="P2178" i="1" s="1"/>
  <c r="R2178" i="1" s="1"/>
  <c r="J2178" i="1"/>
  <c r="I2178" i="1"/>
  <c r="K2178" i="1" s="1"/>
  <c r="N2178" i="1" s="1"/>
  <c r="Q2178" i="1" s="1"/>
  <c r="S2177" i="1"/>
  <c r="O2177" i="1"/>
  <c r="P2177" i="1" s="1"/>
  <c r="R2177" i="1" s="1"/>
  <c r="L2177" i="1"/>
  <c r="K2177" i="1"/>
  <c r="N2177" i="1" s="1"/>
  <c r="Q2177" i="1" s="1"/>
  <c r="J2177" i="1"/>
  <c r="I2177" i="1"/>
  <c r="M2177" i="1" s="1"/>
  <c r="S2176" i="1"/>
  <c r="N2176" i="1"/>
  <c r="Q2176" i="1" s="1"/>
  <c r="L2176" i="1"/>
  <c r="O2176" i="1" s="1"/>
  <c r="P2176" i="1" s="1"/>
  <c r="R2176" i="1" s="1"/>
  <c r="K2176" i="1"/>
  <c r="J2176" i="1"/>
  <c r="I2176" i="1"/>
  <c r="M2176" i="1" s="1"/>
  <c r="S2175" i="1"/>
  <c r="O2175" i="1"/>
  <c r="P2175" i="1" s="1"/>
  <c r="R2175" i="1" s="1"/>
  <c r="L2175" i="1"/>
  <c r="J2175" i="1"/>
  <c r="I2175" i="1"/>
  <c r="K2175" i="1" s="1"/>
  <c r="N2175" i="1" s="1"/>
  <c r="Q2175" i="1" s="1"/>
  <c r="S2174" i="1"/>
  <c r="L2174" i="1"/>
  <c r="O2174" i="1" s="1"/>
  <c r="P2174" i="1" s="1"/>
  <c r="R2174" i="1" s="1"/>
  <c r="J2174" i="1"/>
  <c r="I2174" i="1"/>
  <c r="K2174" i="1" s="1"/>
  <c r="N2174" i="1" s="1"/>
  <c r="Q2174" i="1" s="1"/>
  <c r="S2173" i="1"/>
  <c r="O2173" i="1"/>
  <c r="P2173" i="1" s="1"/>
  <c r="R2173" i="1" s="1"/>
  <c r="L2173" i="1"/>
  <c r="K2173" i="1"/>
  <c r="N2173" i="1" s="1"/>
  <c r="Q2173" i="1" s="1"/>
  <c r="J2173" i="1"/>
  <c r="I2173" i="1"/>
  <c r="M2173" i="1" s="1"/>
  <c r="S2172" i="1"/>
  <c r="N2172" i="1"/>
  <c r="Q2172" i="1" s="1"/>
  <c r="L2172" i="1"/>
  <c r="O2172" i="1" s="1"/>
  <c r="P2172" i="1" s="1"/>
  <c r="R2172" i="1" s="1"/>
  <c r="K2172" i="1"/>
  <c r="J2172" i="1"/>
  <c r="I2172" i="1"/>
  <c r="M2172" i="1" s="1"/>
  <c r="S2171" i="1"/>
  <c r="O2171" i="1"/>
  <c r="P2171" i="1" s="1"/>
  <c r="R2171" i="1" s="1"/>
  <c r="L2171" i="1"/>
  <c r="J2171" i="1"/>
  <c r="I2171" i="1"/>
  <c r="K2171" i="1" s="1"/>
  <c r="N2171" i="1" s="1"/>
  <c r="Q2171" i="1" s="1"/>
  <c r="S2170" i="1"/>
  <c r="L2170" i="1"/>
  <c r="O2170" i="1" s="1"/>
  <c r="P2170" i="1" s="1"/>
  <c r="R2170" i="1" s="1"/>
  <c r="J2170" i="1"/>
  <c r="I2170" i="1"/>
  <c r="K2170" i="1" s="1"/>
  <c r="N2170" i="1" s="1"/>
  <c r="Q2170" i="1" s="1"/>
  <c r="S2169" i="1"/>
  <c r="O2169" i="1"/>
  <c r="P2169" i="1" s="1"/>
  <c r="R2169" i="1" s="1"/>
  <c r="L2169" i="1"/>
  <c r="K2169" i="1"/>
  <c r="N2169" i="1" s="1"/>
  <c r="Q2169" i="1" s="1"/>
  <c r="J2169" i="1"/>
  <c r="I2169" i="1"/>
  <c r="M2169" i="1" s="1"/>
  <c r="S2168" i="1"/>
  <c r="N2168" i="1"/>
  <c r="Q2168" i="1" s="1"/>
  <c r="L2168" i="1"/>
  <c r="O2168" i="1" s="1"/>
  <c r="P2168" i="1" s="1"/>
  <c r="R2168" i="1" s="1"/>
  <c r="K2168" i="1"/>
  <c r="J2168" i="1"/>
  <c r="I2168" i="1"/>
  <c r="M2168" i="1" s="1"/>
  <c r="S2167" i="1"/>
  <c r="O2167" i="1"/>
  <c r="P2167" i="1" s="1"/>
  <c r="R2167" i="1" s="1"/>
  <c r="L2167" i="1"/>
  <c r="J2167" i="1"/>
  <c r="I2167" i="1"/>
  <c r="K2167" i="1" s="1"/>
  <c r="N2167" i="1" s="1"/>
  <c r="Q2167" i="1" s="1"/>
  <c r="S2166" i="1"/>
  <c r="L2166" i="1"/>
  <c r="O2166" i="1" s="1"/>
  <c r="P2166" i="1" s="1"/>
  <c r="R2166" i="1" s="1"/>
  <c r="J2166" i="1"/>
  <c r="I2166" i="1"/>
  <c r="K2166" i="1" s="1"/>
  <c r="N2166" i="1" s="1"/>
  <c r="Q2166" i="1" s="1"/>
  <c r="S2165" i="1"/>
  <c r="O2165" i="1"/>
  <c r="P2165" i="1" s="1"/>
  <c r="R2165" i="1" s="1"/>
  <c r="L2165" i="1"/>
  <c r="K2165" i="1"/>
  <c r="N2165" i="1" s="1"/>
  <c r="Q2165" i="1" s="1"/>
  <c r="J2165" i="1"/>
  <c r="I2165" i="1"/>
  <c r="M2165" i="1" s="1"/>
  <c r="S2164" i="1"/>
  <c r="N2164" i="1"/>
  <c r="Q2164" i="1" s="1"/>
  <c r="L2164" i="1"/>
  <c r="O2164" i="1" s="1"/>
  <c r="P2164" i="1" s="1"/>
  <c r="R2164" i="1" s="1"/>
  <c r="K2164" i="1"/>
  <c r="J2164" i="1"/>
  <c r="I2164" i="1"/>
  <c r="M2164" i="1" s="1"/>
  <c r="S2163" i="1"/>
  <c r="O2163" i="1"/>
  <c r="P2163" i="1" s="1"/>
  <c r="R2163" i="1" s="1"/>
  <c r="L2163" i="1"/>
  <c r="J2163" i="1"/>
  <c r="I2163" i="1"/>
  <c r="K2163" i="1" s="1"/>
  <c r="N2163" i="1" s="1"/>
  <c r="Q2163" i="1" s="1"/>
  <c r="S2162" i="1"/>
  <c r="L2162" i="1"/>
  <c r="O2162" i="1" s="1"/>
  <c r="P2162" i="1" s="1"/>
  <c r="R2162" i="1" s="1"/>
  <c r="J2162" i="1"/>
  <c r="I2162" i="1"/>
  <c r="K2162" i="1" s="1"/>
  <c r="N2162" i="1" s="1"/>
  <c r="Q2162" i="1" s="1"/>
  <c r="S2161" i="1"/>
  <c r="O2161" i="1"/>
  <c r="P2161" i="1" s="1"/>
  <c r="R2161" i="1" s="1"/>
  <c r="L2161" i="1"/>
  <c r="K2161" i="1"/>
  <c r="N2161" i="1" s="1"/>
  <c r="Q2161" i="1" s="1"/>
  <c r="J2161" i="1"/>
  <c r="I2161" i="1"/>
  <c r="M2161" i="1" s="1"/>
  <c r="S2160" i="1"/>
  <c r="N2160" i="1"/>
  <c r="Q2160" i="1" s="1"/>
  <c r="L2160" i="1"/>
  <c r="O2160" i="1" s="1"/>
  <c r="P2160" i="1" s="1"/>
  <c r="R2160" i="1" s="1"/>
  <c r="K2160" i="1"/>
  <c r="J2160" i="1"/>
  <c r="I2160" i="1"/>
  <c r="M2160" i="1" s="1"/>
  <c r="S2159" i="1"/>
  <c r="O2159" i="1"/>
  <c r="P2159" i="1" s="1"/>
  <c r="R2159" i="1" s="1"/>
  <c r="L2159" i="1"/>
  <c r="J2159" i="1"/>
  <c r="I2159" i="1"/>
  <c r="K2159" i="1" s="1"/>
  <c r="N2159" i="1" s="1"/>
  <c r="Q2159" i="1" s="1"/>
  <c r="S2158" i="1"/>
  <c r="L2158" i="1"/>
  <c r="O2158" i="1" s="1"/>
  <c r="P2158" i="1" s="1"/>
  <c r="R2158" i="1" s="1"/>
  <c r="J2158" i="1"/>
  <c r="I2158" i="1"/>
  <c r="K2158" i="1" s="1"/>
  <c r="N2158" i="1" s="1"/>
  <c r="Q2158" i="1" s="1"/>
  <c r="S2157" i="1"/>
  <c r="O2157" i="1"/>
  <c r="P2157" i="1" s="1"/>
  <c r="R2157" i="1" s="1"/>
  <c r="L2157" i="1"/>
  <c r="K2157" i="1"/>
  <c r="N2157" i="1" s="1"/>
  <c r="Q2157" i="1" s="1"/>
  <c r="J2157" i="1"/>
  <c r="I2157" i="1"/>
  <c r="M2157" i="1" s="1"/>
  <c r="S2156" i="1"/>
  <c r="N2156" i="1"/>
  <c r="Q2156" i="1" s="1"/>
  <c r="L2156" i="1"/>
  <c r="O2156" i="1" s="1"/>
  <c r="P2156" i="1" s="1"/>
  <c r="R2156" i="1" s="1"/>
  <c r="K2156" i="1"/>
  <c r="J2156" i="1"/>
  <c r="I2156" i="1"/>
  <c r="M2156" i="1" s="1"/>
  <c r="S2155" i="1"/>
  <c r="O2155" i="1"/>
  <c r="P2155" i="1" s="1"/>
  <c r="R2155" i="1" s="1"/>
  <c r="L2155" i="1"/>
  <c r="J2155" i="1"/>
  <c r="I2155" i="1"/>
  <c r="K2155" i="1" s="1"/>
  <c r="N2155" i="1" s="1"/>
  <c r="Q2155" i="1" s="1"/>
  <c r="S2154" i="1"/>
  <c r="L2154" i="1"/>
  <c r="O2154" i="1" s="1"/>
  <c r="P2154" i="1" s="1"/>
  <c r="R2154" i="1" s="1"/>
  <c r="J2154" i="1"/>
  <c r="I2154" i="1"/>
  <c r="K2154" i="1" s="1"/>
  <c r="N2154" i="1" s="1"/>
  <c r="Q2154" i="1" s="1"/>
  <c r="S2153" i="1"/>
  <c r="O2153" i="1"/>
  <c r="P2153" i="1" s="1"/>
  <c r="R2153" i="1" s="1"/>
  <c r="L2153" i="1"/>
  <c r="K2153" i="1"/>
  <c r="N2153" i="1" s="1"/>
  <c r="Q2153" i="1" s="1"/>
  <c r="J2153" i="1"/>
  <c r="I2153" i="1"/>
  <c r="M2153" i="1" s="1"/>
  <c r="S2152" i="1"/>
  <c r="N2152" i="1"/>
  <c r="Q2152" i="1" s="1"/>
  <c r="L2152" i="1"/>
  <c r="O2152" i="1" s="1"/>
  <c r="P2152" i="1" s="1"/>
  <c r="R2152" i="1" s="1"/>
  <c r="K2152" i="1"/>
  <c r="J2152" i="1"/>
  <c r="I2152" i="1"/>
  <c r="M2152" i="1" s="1"/>
  <c r="S2151" i="1"/>
  <c r="O2151" i="1"/>
  <c r="P2151" i="1" s="1"/>
  <c r="R2151" i="1" s="1"/>
  <c r="L2151" i="1"/>
  <c r="J2151" i="1"/>
  <c r="I2151" i="1"/>
  <c r="K2151" i="1" s="1"/>
  <c r="N2151" i="1" s="1"/>
  <c r="Q2151" i="1" s="1"/>
  <c r="S2150" i="1"/>
  <c r="L2150" i="1"/>
  <c r="O2150" i="1" s="1"/>
  <c r="P2150" i="1" s="1"/>
  <c r="R2150" i="1" s="1"/>
  <c r="J2150" i="1"/>
  <c r="I2150" i="1"/>
  <c r="K2150" i="1" s="1"/>
  <c r="N2150" i="1" s="1"/>
  <c r="Q2150" i="1" s="1"/>
  <c r="S2149" i="1"/>
  <c r="O2149" i="1"/>
  <c r="P2149" i="1" s="1"/>
  <c r="R2149" i="1" s="1"/>
  <c r="L2149" i="1"/>
  <c r="K2149" i="1"/>
  <c r="N2149" i="1" s="1"/>
  <c r="Q2149" i="1" s="1"/>
  <c r="J2149" i="1"/>
  <c r="I2149" i="1"/>
  <c r="M2149" i="1" s="1"/>
  <c r="S2148" i="1"/>
  <c r="N2148" i="1"/>
  <c r="Q2148" i="1" s="1"/>
  <c r="L2148" i="1"/>
  <c r="O2148" i="1" s="1"/>
  <c r="P2148" i="1" s="1"/>
  <c r="R2148" i="1" s="1"/>
  <c r="K2148" i="1"/>
  <c r="J2148" i="1"/>
  <c r="I2148" i="1"/>
  <c r="M2148" i="1" s="1"/>
  <c r="S2147" i="1"/>
  <c r="O2147" i="1"/>
  <c r="P2147" i="1" s="1"/>
  <c r="R2147" i="1" s="1"/>
  <c r="L2147" i="1"/>
  <c r="J2147" i="1"/>
  <c r="I2147" i="1"/>
  <c r="K2147" i="1" s="1"/>
  <c r="N2147" i="1" s="1"/>
  <c r="Q2147" i="1" s="1"/>
  <c r="S2146" i="1"/>
  <c r="L2146" i="1"/>
  <c r="O2146" i="1" s="1"/>
  <c r="P2146" i="1" s="1"/>
  <c r="R2146" i="1" s="1"/>
  <c r="J2146" i="1"/>
  <c r="I2146" i="1"/>
  <c r="K2146" i="1" s="1"/>
  <c r="N2146" i="1" s="1"/>
  <c r="Q2146" i="1" s="1"/>
  <c r="S2145" i="1"/>
  <c r="O2145" i="1"/>
  <c r="P2145" i="1" s="1"/>
  <c r="R2145" i="1" s="1"/>
  <c r="L2145" i="1"/>
  <c r="K2145" i="1"/>
  <c r="N2145" i="1" s="1"/>
  <c r="Q2145" i="1" s="1"/>
  <c r="J2145" i="1"/>
  <c r="I2145" i="1"/>
  <c r="M2145" i="1" s="1"/>
  <c r="S2144" i="1"/>
  <c r="N2144" i="1"/>
  <c r="Q2144" i="1" s="1"/>
  <c r="L2144" i="1"/>
  <c r="O2144" i="1" s="1"/>
  <c r="P2144" i="1" s="1"/>
  <c r="R2144" i="1" s="1"/>
  <c r="K2144" i="1"/>
  <c r="J2144" i="1"/>
  <c r="I2144" i="1"/>
  <c r="M2144" i="1" s="1"/>
  <c r="S2143" i="1"/>
  <c r="O2143" i="1"/>
  <c r="P2143" i="1" s="1"/>
  <c r="R2143" i="1" s="1"/>
  <c r="L2143" i="1"/>
  <c r="J2143" i="1"/>
  <c r="I2143" i="1"/>
  <c r="K2143" i="1" s="1"/>
  <c r="N2143" i="1" s="1"/>
  <c r="Q2143" i="1" s="1"/>
  <c r="S2142" i="1"/>
  <c r="L2142" i="1"/>
  <c r="O2142" i="1" s="1"/>
  <c r="P2142" i="1" s="1"/>
  <c r="R2142" i="1" s="1"/>
  <c r="J2142" i="1"/>
  <c r="I2142" i="1"/>
  <c r="K2142" i="1" s="1"/>
  <c r="N2142" i="1" s="1"/>
  <c r="Q2142" i="1" s="1"/>
  <c r="S2141" i="1"/>
  <c r="O2141" i="1"/>
  <c r="P2141" i="1" s="1"/>
  <c r="R2141" i="1" s="1"/>
  <c r="L2141" i="1"/>
  <c r="K2141" i="1"/>
  <c r="N2141" i="1" s="1"/>
  <c r="Q2141" i="1" s="1"/>
  <c r="J2141" i="1"/>
  <c r="I2141" i="1"/>
  <c r="M2141" i="1" s="1"/>
  <c r="S2140" i="1"/>
  <c r="N2140" i="1"/>
  <c r="Q2140" i="1" s="1"/>
  <c r="L2140" i="1"/>
  <c r="O2140" i="1" s="1"/>
  <c r="P2140" i="1" s="1"/>
  <c r="R2140" i="1" s="1"/>
  <c r="K2140" i="1"/>
  <c r="J2140" i="1"/>
  <c r="I2140" i="1"/>
  <c r="M2140" i="1" s="1"/>
  <c r="S2139" i="1"/>
  <c r="O2139" i="1"/>
  <c r="P2139" i="1" s="1"/>
  <c r="R2139" i="1" s="1"/>
  <c r="L2139" i="1"/>
  <c r="J2139" i="1"/>
  <c r="I2139" i="1"/>
  <c r="K2139" i="1" s="1"/>
  <c r="N2139" i="1" s="1"/>
  <c r="Q2139" i="1" s="1"/>
  <c r="S2138" i="1"/>
  <c r="L2138" i="1"/>
  <c r="O2138" i="1" s="1"/>
  <c r="P2138" i="1" s="1"/>
  <c r="R2138" i="1" s="1"/>
  <c r="J2138" i="1"/>
  <c r="I2138" i="1"/>
  <c r="K2138" i="1" s="1"/>
  <c r="N2138" i="1" s="1"/>
  <c r="Q2138" i="1" s="1"/>
  <c r="S2137" i="1"/>
  <c r="O2137" i="1"/>
  <c r="P2137" i="1" s="1"/>
  <c r="R2137" i="1" s="1"/>
  <c r="L2137" i="1"/>
  <c r="K2137" i="1"/>
  <c r="N2137" i="1" s="1"/>
  <c r="Q2137" i="1" s="1"/>
  <c r="J2137" i="1"/>
  <c r="I2137" i="1"/>
  <c r="M2137" i="1" s="1"/>
  <c r="S2136" i="1"/>
  <c r="N2136" i="1"/>
  <c r="Q2136" i="1" s="1"/>
  <c r="L2136" i="1"/>
  <c r="O2136" i="1" s="1"/>
  <c r="P2136" i="1" s="1"/>
  <c r="R2136" i="1" s="1"/>
  <c r="K2136" i="1"/>
  <c r="J2136" i="1"/>
  <c r="I2136" i="1"/>
  <c r="M2136" i="1" s="1"/>
  <c r="S2135" i="1"/>
  <c r="O2135" i="1"/>
  <c r="P2135" i="1" s="1"/>
  <c r="R2135" i="1" s="1"/>
  <c r="L2135" i="1"/>
  <c r="J2135" i="1"/>
  <c r="I2135" i="1"/>
  <c r="K2135" i="1" s="1"/>
  <c r="N2135" i="1" s="1"/>
  <c r="Q2135" i="1" s="1"/>
  <c r="S2134" i="1"/>
  <c r="L2134" i="1"/>
  <c r="O2134" i="1" s="1"/>
  <c r="P2134" i="1" s="1"/>
  <c r="R2134" i="1" s="1"/>
  <c r="J2134" i="1"/>
  <c r="I2134" i="1"/>
  <c r="K2134" i="1" s="1"/>
  <c r="N2134" i="1" s="1"/>
  <c r="Q2134" i="1" s="1"/>
  <c r="S2133" i="1"/>
  <c r="O2133" i="1"/>
  <c r="P2133" i="1" s="1"/>
  <c r="R2133" i="1" s="1"/>
  <c r="L2133" i="1"/>
  <c r="K2133" i="1"/>
  <c r="N2133" i="1" s="1"/>
  <c r="Q2133" i="1" s="1"/>
  <c r="J2133" i="1"/>
  <c r="I2133" i="1"/>
  <c r="M2133" i="1" s="1"/>
  <c r="S2132" i="1"/>
  <c r="N2132" i="1"/>
  <c r="Q2132" i="1" s="1"/>
  <c r="L2132" i="1"/>
  <c r="O2132" i="1" s="1"/>
  <c r="P2132" i="1" s="1"/>
  <c r="R2132" i="1" s="1"/>
  <c r="K2132" i="1"/>
  <c r="J2132" i="1"/>
  <c r="I2132" i="1"/>
  <c r="M2132" i="1" s="1"/>
  <c r="S2131" i="1"/>
  <c r="O2131" i="1"/>
  <c r="P2131" i="1" s="1"/>
  <c r="R2131" i="1" s="1"/>
  <c r="L2131" i="1"/>
  <c r="J2131" i="1"/>
  <c r="I2131" i="1"/>
  <c r="K2131" i="1" s="1"/>
  <c r="N2131" i="1" s="1"/>
  <c r="Q2131" i="1" s="1"/>
  <c r="S2130" i="1"/>
  <c r="L2130" i="1"/>
  <c r="O2130" i="1" s="1"/>
  <c r="P2130" i="1" s="1"/>
  <c r="R2130" i="1" s="1"/>
  <c r="J2130" i="1"/>
  <c r="I2130" i="1"/>
  <c r="K2130" i="1" s="1"/>
  <c r="N2130" i="1" s="1"/>
  <c r="Q2130" i="1" s="1"/>
  <c r="S2129" i="1"/>
  <c r="O2129" i="1"/>
  <c r="P2129" i="1" s="1"/>
  <c r="R2129" i="1" s="1"/>
  <c r="L2129" i="1"/>
  <c r="K2129" i="1"/>
  <c r="N2129" i="1" s="1"/>
  <c r="Q2129" i="1" s="1"/>
  <c r="J2129" i="1"/>
  <c r="I2129" i="1"/>
  <c r="M2129" i="1" s="1"/>
  <c r="S2128" i="1"/>
  <c r="L2128" i="1"/>
  <c r="O2128" i="1" s="1"/>
  <c r="P2128" i="1" s="1"/>
  <c r="R2128" i="1" s="1"/>
  <c r="J2128" i="1"/>
  <c r="I2128" i="1"/>
  <c r="M2128" i="1" s="1"/>
  <c r="S2127" i="1"/>
  <c r="O2127" i="1"/>
  <c r="P2127" i="1" s="1"/>
  <c r="R2127" i="1" s="1"/>
  <c r="L2127" i="1"/>
  <c r="K2127" i="1"/>
  <c r="N2127" i="1" s="1"/>
  <c r="Q2127" i="1" s="1"/>
  <c r="J2127" i="1"/>
  <c r="I2127" i="1"/>
  <c r="M2127" i="1" s="1"/>
  <c r="S2126" i="1"/>
  <c r="O2126" i="1"/>
  <c r="P2126" i="1" s="1"/>
  <c r="R2126" i="1" s="1"/>
  <c r="N2126" i="1"/>
  <c r="Q2126" i="1" s="1"/>
  <c r="L2126" i="1"/>
  <c r="K2126" i="1"/>
  <c r="J2126" i="1"/>
  <c r="I2126" i="1"/>
  <c r="M2126" i="1" s="1"/>
  <c r="S2125" i="1"/>
  <c r="O2125" i="1"/>
  <c r="P2125" i="1" s="1"/>
  <c r="R2125" i="1" s="1"/>
  <c r="L2125" i="1"/>
  <c r="J2125" i="1"/>
  <c r="I2125" i="1"/>
  <c r="M2125" i="1" s="1"/>
  <c r="S2124" i="1"/>
  <c r="L2124" i="1"/>
  <c r="O2124" i="1" s="1"/>
  <c r="P2124" i="1" s="1"/>
  <c r="R2124" i="1" s="1"/>
  <c r="J2124" i="1"/>
  <c r="I2124" i="1"/>
  <c r="M2124" i="1" s="1"/>
  <c r="S2123" i="1"/>
  <c r="O2123" i="1"/>
  <c r="P2123" i="1" s="1"/>
  <c r="R2123" i="1" s="1"/>
  <c r="L2123" i="1"/>
  <c r="K2123" i="1"/>
  <c r="N2123" i="1" s="1"/>
  <c r="Q2123" i="1" s="1"/>
  <c r="J2123" i="1"/>
  <c r="I2123" i="1"/>
  <c r="M2123" i="1" s="1"/>
  <c r="S2122" i="1"/>
  <c r="O2122" i="1"/>
  <c r="P2122" i="1" s="1"/>
  <c r="R2122" i="1" s="1"/>
  <c r="N2122" i="1"/>
  <c r="Q2122" i="1" s="1"/>
  <c r="L2122" i="1"/>
  <c r="K2122" i="1"/>
  <c r="J2122" i="1"/>
  <c r="I2122" i="1"/>
  <c r="M2122" i="1" s="1"/>
  <c r="S2121" i="1"/>
  <c r="O2121" i="1"/>
  <c r="P2121" i="1" s="1"/>
  <c r="R2121" i="1" s="1"/>
  <c r="L2121" i="1"/>
  <c r="J2121" i="1"/>
  <c r="I2121" i="1"/>
  <c r="M2121" i="1" s="1"/>
  <c r="S2120" i="1"/>
  <c r="L2120" i="1"/>
  <c r="O2120" i="1" s="1"/>
  <c r="P2120" i="1" s="1"/>
  <c r="R2120" i="1" s="1"/>
  <c r="J2120" i="1"/>
  <c r="I2120" i="1"/>
  <c r="M2120" i="1" s="1"/>
  <c r="S2119" i="1"/>
  <c r="O2119" i="1"/>
  <c r="P2119" i="1" s="1"/>
  <c r="R2119" i="1" s="1"/>
  <c r="L2119" i="1"/>
  <c r="K2119" i="1"/>
  <c r="N2119" i="1" s="1"/>
  <c r="Q2119" i="1" s="1"/>
  <c r="J2119" i="1"/>
  <c r="I2119" i="1"/>
  <c r="M2119" i="1" s="1"/>
  <c r="S2118" i="1"/>
  <c r="O2118" i="1"/>
  <c r="P2118" i="1" s="1"/>
  <c r="R2118" i="1" s="1"/>
  <c r="N2118" i="1"/>
  <c r="Q2118" i="1" s="1"/>
  <c r="L2118" i="1"/>
  <c r="K2118" i="1"/>
  <c r="J2118" i="1"/>
  <c r="I2118" i="1"/>
  <c r="M2118" i="1" s="1"/>
  <c r="S2117" i="1"/>
  <c r="O2117" i="1"/>
  <c r="P2117" i="1" s="1"/>
  <c r="R2117" i="1" s="1"/>
  <c r="L2117" i="1"/>
  <c r="J2117" i="1"/>
  <c r="I2117" i="1"/>
  <c r="M2117" i="1" s="1"/>
  <c r="S2116" i="1"/>
  <c r="L2116" i="1"/>
  <c r="O2116" i="1" s="1"/>
  <c r="P2116" i="1" s="1"/>
  <c r="R2116" i="1" s="1"/>
  <c r="J2116" i="1"/>
  <c r="I2116" i="1"/>
  <c r="M2116" i="1" s="1"/>
  <c r="S2115" i="1"/>
  <c r="O2115" i="1"/>
  <c r="P2115" i="1" s="1"/>
  <c r="R2115" i="1" s="1"/>
  <c r="L2115" i="1"/>
  <c r="K2115" i="1"/>
  <c r="N2115" i="1" s="1"/>
  <c r="Q2115" i="1" s="1"/>
  <c r="J2115" i="1"/>
  <c r="I2115" i="1"/>
  <c r="M2115" i="1" s="1"/>
  <c r="S2114" i="1"/>
  <c r="O2114" i="1"/>
  <c r="P2114" i="1" s="1"/>
  <c r="R2114" i="1" s="1"/>
  <c r="N2114" i="1"/>
  <c r="Q2114" i="1" s="1"/>
  <c r="L2114" i="1"/>
  <c r="K2114" i="1"/>
  <c r="J2114" i="1"/>
  <c r="I2114" i="1"/>
  <c r="M2114" i="1" s="1"/>
  <c r="S2113" i="1"/>
  <c r="O2113" i="1"/>
  <c r="P2113" i="1" s="1"/>
  <c r="R2113" i="1" s="1"/>
  <c r="L2113" i="1"/>
  <c r="J2113" i="1"/>
  <c r="I2113" i="1"/>
  <c r="M2113" i="1" s="1"/>
  <c r="S2112" i="1"/>
  <c r="L2112" i="1"/>
  <c r="O2112" i="1" s="1"/>
  <c r="P2112" i="1" s="1"/>
  <c r="R2112" i="1" s="1"/>
  <c r="J2112" i="1"/>
  <c r="I2112" i="1"/>
  <c r="M2112" i="1" s="1"/>
  <c r="S2111" i="1"/>
  <c r="O2111" i="1"/>
  <c r="P2111" i="1" s="1"/>
  <c r="R2111" i="1" s="1"/>
  <c r="L2111" i="1"/>
  <c r="K2111" i="1"/>
  <c r="N2111" i="1" s="1"/>
  <c r="Q2111" i="1" s="1"/>
  <c r="J2111" i="1"/>
  <c r="I2111" i="1"/>
  <c r="M2111" i="1" s="1"/>
  <c r="S2110" i="1"/>
  <c r="O2110" i="1"/>
  <c r="P2110" i="1" s="1"/>
  <c r="R2110" i="1" s="1"/>
  <c r="N2110" i="1"/>
  <c r="Q2110" i="1" s="1"/>
  <c r="L2110" i="1"/>
  <c r="K2110" i="1"/>
  <c r="J2110" i="1"/>
  <c r="I2110" i="1"/>
  <c r="M2110" i="1" s="1"/>
  <c r="S2109" i="1"/>
  <c r="O2109" i="1"/>
  <c r="P2109" i="1" s="1"/>
  <c r="R2109" i="1" s="1"/>
  <c r="L2109" i="1"/>
  <c r="J2109" i="1"/>
  <c r="I2109" i="1"/>
  <c r="M2109" i="1" s="1"/>
  <c r="S2108" i="1"/>
  <c r="L2108" i="1"/>
  <c r="O2108" i="1" s="1"/>
  <c r="P2108" i="1" s="1"/>
  <c r="R2108" i="1" s="1"/>
  <c r="J2108" i="1"/>
  <c r="I2108" i="1"/>
  <c r="M2108" i="1" s="1"/>
  <c r="S2107" i="1"/>
  <c r="O2107" i="1"/>
  <c r="P2107" i="1" s="1"/>
  <c r="R2107" i="1" s="1"/>
  <c r="L2107" i="1"/>
  <c r="K2107" i="1"/>
  <c r="N2107" i="1" s="1"/>
  <c r="Q2107" i="1" s="1"/>
  <c r="J2107" i="1"/>
  <c r="I2107" i="1"/>
  <c r="M2107" i="1" s="1"/>
  <c r="S2106" i="1"/>
  <c r="O2106" i="1"/>
  <c r="P2106" i="1" s="1"/>
  <c r="R2106" i="1" s="1"/>
  <c r="N2106" i="1"/>
  <c r="Q2106" i="1" s="1"/>
  <c r="L2106" i="1"/>
  <c r="K2106" i="1"/>
  <c r="J2106" i="1"/>
  <c r="I2106" i="1"/>
  <c r="M2106" i="1" s="1"/>
  <c r="S2105" i="1"/>
  <c r="O2105" i="1"/>
  <c r="P2105" i="1" s="1"/>
  <c r="R2105" i="1" s="1"/>
  <c r="L2105" i="1"/>
  <c r="J2105" i="1"/>
  <c r="I2105" i="1"/>
  <c r="M2105" i="1" s="1"/>
  <c r="S2104" i="1"/>
  <c r="L2104" i="1"/>
  <c r="O2104" i="1" s="1"/>
  <c r="P2104" i="1" s="1"/>
  <c r="R2104" i="1" s="1"/>
  <c r="J2104" i="1"/>
  <c r="I2104" i="1"/>
  <c r="M2104" i="1" s="1"/>
  <c r="S2103" i="1"/>
  <c r="O2103" i="1"/>
  <c r="P2103" i="1" s="1"/>
  <c r="R2103" i="1" s="1"/>
  <c r="L2103" i="1"/>
  <c r="K2103" i="1"/>
  <c r="N2103" i="1" s="1"/>
  <c r="Q2103" i="1" s="1"/>
  <c r="J2103" i="1"/>
  <c r="I2103" i="1"/>
  <c r="M2103" i="1" s="1"/>
  <c r="S2102" i="1"/>
  <c r="O2102" i="1"/>
  <c r="P2102" i="1" s="1"/>
  <c r="R2102" i="1" s="1"/>
  <c r="N2102" i="1"/>
  <c r="Q2102" i="1" s="1"/>
  <c r="L2102" i="1"/>
  <c r="K2102" i="1"/>
  <c r="J2102" i="1"/>
  <c r="I2102" i="1"/>
  <c r="M2102" i="1" s="1"/>
  <c r="S2101" i="1"/>
  <c r="O2101" i="1"/>
  <c r="P2101" i="1" s="1"/>
  <c r="R2101" i="1" s="1"/>
  <c r="L2101" i="1"/>
  <c r="J2101" i="1"/>
  <c r="I2101" i="1"/>
  <c r="M2101" i="1" s="1"/>
  <c r="S2100" i="1"/>
  <c r="L2100" i="1"/>
  <c r="O2100" i="1" s="1"/>
  <c r="P2100" i="1" s="1"/>
  <c r="R2100" i="1" s="1"/>
  <c r="J2100" i="1"/>
  <c r="I2100" i="1"/>
  <c r="M2100" i="1" s="1"/>
  <c r="S2099" i="1"/>
  <c r="O2099" i="1"/>
  <c r="P2099" i="1" s="1"/>
  <c r="R2099" i="1" s="1"/>
  <c r="L2099" i="1"/>
  <c r="K2099" i="1"/>
  <c r="N2099" i="1" s="1"/>
  <c r="Q2099" i="1" s="1"/>
  <c r="J2099" i="1"/>
  <c r="I2099" i="1"/>
  <c r="M2099" i="1" s="1"/>
  <c r="S2098" i="1"/>
  <c r="O2098" i="1"/>
  <c r="P2098" i="1" s="1"/>
  <c r="R2098" i="1" s="1"/>
  <c r="N2098" i="1"/>
  <c r="Q2098" i="1" s="1"/>
  <c r="L2098" i="1"/>
  <c r="K2098" i="1"/>
  <c r="J2098" i="1"/>
  <c r="I2098" i="1"/>
  <c r="M2098" i="1" s="1"/>
  <c r="S2097" i="1"/>
  <c r="O2097" i="1"/>
  <c r="P2097" i="1" s="1"/>
  <c r="R2097" i="1" s="1"/>
  <c r="L2097" i="1"/>
  <c r="J2097" i="1"/>
  <c r="I2097" i="1"/>
  <c r="M2097" i="1" s="1"/>
  <c r="S2096" i="1"/>
  <c r="L2096" i="1"/>
  <c r="O2096" i="1" s="1"/>
  <c r="P2096" i="1" s="1"/>
  <c r="R2096" i="1" s="1"/>
  <c r="J2096" i="1"/>
  <c r="I2096" i="1"/>
  <c r="M2096" i="1" s="1"/>
  <c r="S2095" i="1"/>
  <c r="O2095" i="1"/>
  <c r="P2095" i="1" s="1"/>
  <c r="R2095" i="1" s="1"/>
  <c r="L2095" i="1"/>
  <c r="K2095" i="1"/>
  <c r="N2095" i="1" s="1"/>
  <c r="Q2095" i="1" s="1"/>
  <c r="J2095" i="1"/>
  <c r="I2095" i="1"/>
  <c r="M2095" i="1" s="1"/>
  <c r="S2094" i="1"/>
  <c r="O2094" i="1"/>
  <c r="P2094" i="1" s="1"/>
  <c r="R2094" i="1" s="1"/>
  <c r="N2094" i="1"/>
  <c r="Q2094" i="1" s="1"/>
  <c r="L2094" i="1"/>
  <c r="K2094" i="1"/>
  <c r="J2094" i="1"/>
  <c r="I2094" i="1"/>
  <c r="M2094" i="1" s="1"/>
  <c r="S2093" i="1"/>
  <c r="O2093" i="1"/>
  <c r="P2093" i="1" s="1"/>
  <c r="R2093" i="1" s="1"/>
  <c r="L2093" i="1"/>
  <c r="J2093" i="1"/>
  <c r="I2093" i="1"/>
  <c r="M2093" i="1" s="1"/>
  <c r="S2092" i="1"/>
  <c r="L2092" i="1"/>
  <c r="O2092" i="1" s="1"/>
  <c r="P2092" i="1" s="1"/>
  <c r="R2092" i="1" s="1"/>
  <c r="J2092" i="1"/>
  <c r="I2092" i="1"/>
  <c r="M2092" i="1" s="1"/>
  <c r="S2091" i="1"/>
  <c r="O2091" i="1"/>
  <c r="P2091" i="1" s="1"/>
  <c r="R2091" i="1" s="1"/>
  <c r="L2091" i="1"/>
  <c r="K2091" i="1"/>
  <c r="N2091" i="1" s="1"/>
  <c r="Q2091" i="1" s="1"/>
  <c r="J2091" i="1"/>
  <c r="I2091" i="1"/>
  <c r="M2091" i="1" s="1"/>
  <c r="S2090" i="1"/>
  <c r="O2090" i="1"/>
  <c r="P2090" i="1" s="1"/>
  <c r="R2090" i="1" s="1"/>
  <c r="N2090" i="1"/>
  <c r="Q2090" i="1" s="1"/>
  <c r="L2090" i="1"/>
  <c r="K2090" i="1"/>
  <c r="J2090" i="1"/>
  <c r="I2090" i="1"/>
  <c r="M2090" i="1" s="1"/>
  <c r="S2089" i="1"/>
  <c r="O2089" i="1"/>
  <c r="P2089" i="1" s="1"/>
  <c r="R2089" i="1" s="1"/>
  <c r="L2089" i="1"/>
  <c r="J2089" i="1"/>
  <c r="I2089" i="1"/>
  <c r="M2089" i="1" s="1"/>
  <c r="S2088" i="1"/>
  <c r="L2088" i="1"/>
  <c r="O2088" i="1" s="1"/>
  <c r="P2088" i="1" s="1"/>
  <c r="R2088" i="1" s="1"/>
  <c r="J2088" i="1"/>
  <c r="I2088" i="1"/>
  <c r="M2088" i="1" s="1"/>
  <c r="S2087" i="1"/>
  <c r="O2087" i="1"/>
  <c r="P2087" i="1" s="1"/>
  <c r="R2087" i="1" s="1"/>
  <c r="L2087" i="1"/>
  <c r="K2087" i="1"/>
  <c r="N2087" i="1" s="1"/>
  <c r="Q2087" i="1" s="1"/>
  <c r="J2087" i="1"/>
  <c r="I2087" i="1"/>
  <c r="M2087" i="1" s="1"/>
  <c r="S2086" i="1"/>
  <c r="O2086" i="1"/>
  <c r="P2086" i="1" s="1"/>
  <c r="R2086" i="1" s="1"/>
  <c r="N2086" i="1"/>
  <c r="Q2086" i="1" s="1"/>
  <c r="L2086" i="1"/>
  <c r="K2086" i="1"/>
  <c r="J2086" i="1"/>
  <c r="I2086" i="1"/>
  <c r="M2086" i="1" s="1"/>
  <c r="S2085" i="1"/>
  <c r="O2085" i="1"/>
  <c r="P2085" i="1" s="1"/>
  <c r="R2085" i="1" s="1"/>
  <c r="L2085" i="1"/>
  <c r="J2085" i="1"/>
  <c r="I2085" i="1"/>
  <c r="M2085" i="1" s="1"/>
  <c r="S2084" i="1"/>
  <c r="L2084" i="1"/>
  <c r="O2084" i="1" s="1"/>
  <c r="P2084" i="1" s="1"/>
  <c r="R2084" i="1" s="1"/>
  <c r="J2084" i="1"/>
  <c r="I2084" i="1"/>
  <c r="M2084" i="1" s="1"/>
  <c r="S2083" i="1"/>
  <c r="O2083" i="1"/>
  <c r="P2083" i="1" s="1"/>
  <c r="R2083" i="1" s="1"/>
  <c r="L2083" i="1"/>
  <c r="K2083" i="1"/>
  <c r="N2083" i="1" s="1"/>
  <c r="Q2083" i="1" s="1"/>
  <c r="J2083" i="1"/>
  <c r="I2083" i="1"/>
  <c r="M2083" i="1" s="1"/>
  <c r="S2082" i="1"/>
  <c r="O2082" i="1"/>
  <c r="P2082" i="1" s="1"/>
  <c r="R2082" i="1" s="1"/>
  <c r="N2082" i="1"/>
  <c r="Q2082" i="1" s="1"/>
  <c r="L2082" i="1"/>
  <c r="K2082" i="1"/>
  <c r="J2082" i="1"/>
  <c r="I2082" i="1"/>
  <c r="M2082" i="1" s="1"/>
  <c r="S2081" i="1"/>
  <c r="O2081" i="1"/>
  <c r="P2081" i="1" s="1"/>
  <c r="R2081" i="1" s="1"/>
  <c r="L2081" i="1"/>
  <c r="J2081" i="1"/>
  <c r="I2081" i="1"/>
  <c r="M2081" i="1" s="1"/>
  <c r="S2080" i="1"/>
  <c r="L2080" i="1"/>
  <c r="O2080" i="1" s="1"/>
  <c r="P2080" i="1" s="1"/>
  <c r="R2080" i="1" s="1"/>
  <c r="J2080" i="1"/>
  <c r="I2080" i="1"/>
  <c r="M2080" i="1" s="1"/>
  <c r="S2079" i="1"/>
  <c r="O2079" i="1"/>
  <c r="P2079" i="1" s="1"/>
  <c r="R2079" i="1" s="1"/>
  <c r="L2079" i="1"/>
  <c r="N2079" i="1" s="1"/>
  <c r="Q2079" i="1" s="1"/>
  <c r="K2079" i="1"/>
  <c r="J2079" i="1"/>
  <c r="I2079" i="1"/>
  <c r="M2079" i="1" s="1"/>
  <c r="S2078" i="1"/>
  <c r="O2078" i="1"/>
  <c r="P2078" i="1" s="1"/>
  <c r="R2078" i="1" s="1"/>
  <c r="N2078" i="1"/>
  <c r="Q2078" i="1" s="1"/>
  <c r="L2078" i="1"/>
  <c r="K2078" i="1"/>
  <c r="J2078" i="1"/>
  <c r="I2078" i="1"/>
  <c r="M2078" i="1" s="1"/>
  <c r="S2077" i="1"/>
  <c r="O2077" i="1"/>
  <c r="P2077" i="1" s="1"/>
  <c r="R2077" i="1" s="1"/>
  <c r="L2077" i="1"/>
  <c r="J2077" i="1"/>
  <c r="I2077" i="1"/>
  <c r="M2077" i="1" s="1"/>
  <c r="S2076" i="1"/>
  <c r="L2076" i="1"/>
  <c r="O2076" i="1" s="1"/>
  <c r="P2076" i="1" s="1"/>
  <c r="R2076" i="1" s="1"/>
  <c r="J2076" i="1"/>
  <c r="I2076" i="1"/>
  <c r="M2076" i="1" s="1"/>
  <c r="S2075" i="1"/>
  <c r="O2075" i="1"/>
  <c r="P2075" i="1" s="1"/>
  <c r="R2075" i="1" s="1"/>
  <c r="L2075" i="1"/>
  <c r="N2075" i="1" s="1"/>
  <c r="Q2075" i="1" s="1"/>
  <c r="K2075" i="1"/>
  <c r="J2075" i="1"/>
  <c r="I2075" i="1"/>
  <c r="M2075" i="1" s="1"/>
  <c r="S2074" i="1"/>
  <c r="O2074" i="1"/>
  <c r="P2074" i="1" s="1"/>
  <c r="R2074" i="1" s="1"/>
  <c r="N2074" i="1"/>
  <c r="Q2074" i="1" s="1"/>
  <c r="L2074" i="1"/>
  <c r="K2074" i="1"/>
  <c r="J2074" i="1"/>
  <c r="I2074" i="1"/>
  <c r="M2074" i="1" s="1"/>
  <c r="S2073" i="1"/>
  <c r="O2073" i="1"/>
  <c r="P2073" i="1" s="1"/>
  <c r="R2073" i="1" s="1"/>
  <c r="L2073" i="1"/>
  <c r="J2073" i="1"/>
  <c r="I2073" i="1"/>
  <c r="M2073" i="1" s="1"/>
  <c r="S2072" i="1"/>
  <c r="L2072" i="1"/>
  <c r="O2072" i="1" s="1"/>
  <c r="P2072" i="1" s="1"/>
  <c r="R2072" i="1" s="1"/>
  <c r="J2072" i="1"/>
  <c r="I2072" i="1"/>
  <c r="M2072" i="1" s="1"/>
  <c r="S2071" i="1"/>
  <c r="O2071" i="1"/>
  <c r="P2071" i="1" s="1"/>
  <c r="R2071" i="1" s="1"/>
  <c r="L2071" i="1"/>
  <c r="K2071" i="1"/>
  <c r="J2071" i="1"/>
  <c r="I2071" i="1"/>
  <c r="M2071" i="1" s="1"/>
  <c r="S2070" i="1"/>
  <c r="R2070" i="1"/>
  <c r="O2070" i="1"/>
  <c r="P2070" i="1" s="1"/>
  <c r="N2070" i="1"/>
  <c r="Q2070" i="1" s="1"/>
  <c r="L2070" i="1"/>
  <c r="K2070" i="1"/>
  <c r="J2070" i="1"/>
  <c r="I2070" i="1"/>
  <c r="M2070" i="1" s="1"/>
  <c r="S2069" i="1"/>
  <c r="Q2069" i="1"/>
  <c r="O2069" i="1"/>
  <c r="P2069" i="1" s="1"/>
  <c r="R2069" i="1" s="1"/>
  <c r="M2069" i="1"/>
  <c r="L2069" i="1"/>
  <c r="J2069" i="1"/>
  <c r="I2069" i="1"/>
  <c r="K2069" i="1" s="1"/>
  <c r="N2069" i="1" s="1"/>
  <c r="S2068" i="1"/>
  <c r="L2068" i="1"/>
  <c r="J2068" i="1"/>
  <c r="I2068" i="1"/>
  <c r="M2068" i="1" s="1"/>
  <c r="S2067" i="1"/>
  <c r="O2067" i="1"/>
  <c r="P2067" i="1" s="1"/>
  <c r="R2067" i="1" s="1"/>
  <c r="L2067" i="1"/>
  <c r="K2067" i="1"/>
  <c r="J2067" i="1"/>
  <c r="I2067" i="1"/>
  <c r="M2067" i="1" s="1"/>
  <c r="S2066" i="1"/>
  <c r="R2066" i="1"/>
  <c r="O2066" i="1"/>
  <c r="P2066" i="1" s="1"/>
  <c r="N2066" i="1"/>
  <c r="Q2066" i="1" s="1"/>
  <c r="L2066" i="1"/>
  <c r="K2066" i="1"/>
  <c r="J2066" i="1"/>
  <c r="I2066" i="1"/>
  <c r="M2066" i="1" s="1"/>
  <c r="S2065" i="1"/>
  <c r="Q2065" i="1"/>
  <c r="O2065" i="1"/>
  <c r="P2065" i="1" s="1"/>
  <c r="R2065" i="1" s="1"/>
  <c r="M2065" i="1"/>
  <c r="L2065" i="1"/>
  <c r="J2065" i="1"/>
  <c r="I2065" i="1"/>
  <c r="K2065" i="1" s="1"/>
  <c r="N2065" i="1" s="1"/>
  <c r="S2064" i="1"/>
  <c r="L2064" i="1"/>
  <c r="J2064" i="1"/>
  <c r="I2064" i="1"/>
  <c r="M2064" i="1" s="1"/>
  <c r="S2063" i="1"/>
  <c r="O2063" i="1"/>
  <c r="P2063" i="1" s="1"/>
  <c r="R2063" i="1" s="1"/>
  <c r="L2063" i="1"/>
  <c r="K2063" i="1"/>
  <c r="J2063" i="1"/>
  <c r="I2063" i="1"/>
  <c r="M2063" i="1" s="1"/>
  <c r="S2062" i="1"/>
  <c r="R2062" i="1"/>
  <c r="O2062" i="1"/>
  <c r="P2062" i="1" s="1"/>
  <c r="L2062" i="1"/>
  <c r="J2062" i="1"/>
  <c r="K2062" i="1" s="1"/>
  <c r="N2062" i="1" s="1"/>
  <c r="Q2062" i="1" s="1"/>
  <c r="I2062" i="1"/>
  <c r="M2062" i="1" s="1"/>
  <c r="S2061" i="1"/>
  <c r="O2061" i="1"/>
  <c r="P2061" i="1" s="1"/>
  <c r="R2061" i="1" s="1"/>
  <c r="L2061" i="1"/>
  <c r="J2061" i="1"/>
  <c r="I2061" i="1"/>
  <c r="K2061" i="1" s="1"/>
  <c r="N2061" i="1" s="1"/>
  <c r="Q2061" i="1" s="1"/>
  <c r="S2060" i="1"/>
  <c r="L2060" i="1"/>
  <c r="J2060" i="1"/>
  <c r="I2060" i="1"/>
  <c r="M2060" i="1" s="1"/>
  <c r="S2059" i="1"/>
  <c r="O2059" i="1"/>
  <c r="P2059" i="1" s="1"/>
  <c r="R2059" i="1" s="1"/>
  <c r="L2059" i="1"/>
  <c r="N2059" i="1" s="1"/>
  <c r="Q2059" i="1" s="1"/>
  <c r="K2059" i="1"/>
  <c r="J2059" i="1"/>
  <c r="I2059" i="1"/>
  <c r="M2059" i="1" s="1"/>
  <c r="S2058" i="1"/>
  <c r="O2058" i="1"/>
  <c r="P2058" i="1" s="1"/>
  <c r="R2058" i="1" s="1"/>
  <c r="N2058" i="1"/>
  <c r="Q2058" i="1" s="1"/>
  <c r="L2058" i="1"/>
  <c r="K2058" i="1"/>
  <c r="J2058" i="1"/>
  <c r="I2058" i="1"/>
  <c r="M2058" i="1" s="1"/>
  <c r="S2057" i="1"/>
  <c r="Q2057" i="1"/>
  <c r="O2057" i="1"/>
  <c r="P2057" i="1" s="1"/>
  <c r="R2057" i="1" s="1"/>
  <c r="N2057" i="1"/>
  <c r="M2057" i="1"/>
  <c r="L2057" i="1"/>
  <c r="J2057" i="1"/>
  <c r="I2057" i="1"/>
  <c r="K2057" i="1" s="1"/>
  <c r="S2056" i="1"/>
  <c r="L2056" i="1"/>
  <c r="J2056" i="1"/>
  <c r="I2056" i="1"/>
  <c r="M2056" i="1" s="1"/>
  <c r="S2055" i="1"/>
  <c r="O2055" i="1"/>
  <c r="P2055" i="1" s="1"/>
  <c r="R2055" i="1" s="1"/>
  <c r="L2055" i="1"/>
  <c r="K2055" i="1"/>
  <c r="J2055" i="1"/>
  <c r="I2055" i="1"/>
  <c r="M2055" i="1" s="1"/>
  <c r="S2054" i="1"/>
  <c r="R2054" i="1"/>
  <c r="O2054" i="1"/>
  <c r="P2054" i="1" s="1"/>
  <c r="N2054" i="1"/>
  <c r="Q2054" i="1" s="1"/>
  <c r="L2054" i="1"/>
  <c r="K2054" i="1"/>
  <c r="J2054" i="1"/>
  <c r="I2054" i="1"/>
  <c r="M2054" i="1" s="1"/>
  <c r="S2053" i="1"/>
  <c r="Q2053" i="1"/>
  <c r="O2053" i="1"/>
  <c r="P2053" i="1" s="1"/>
  <c r="R2053" i="1" s="1"/>
  <c r="M2053" i="1"/>
  <c r="L2053" i="1"/>
  <c r="J2053" i="1"/>
  <c r="I2053" i="1"/>
  <c r="K2053" i="1" s="1"/>
  <c r="N2053" i="1" s="1"/>
  <c r="S2052" i="1"/>
  <c r="L2052" i="1"/>
  <c r="J2052" i="1"/>
  <c r="I2052" i="1"/>
  <c r="M2052" i="1" s="1"/>
  <c r="S2051" i="1"/>
  <c r="O2051" i="1"/>
  <c r="P2051" i="1" s="1"/>
  <c r="R2051" i="1" s="1"/>
  <c r="L2051" i="1"/>
  <c r="K2051" i="1"/>
  <c r="J2051" i="1"/>
  <c r="I2051" i="1"/>
  <c r="M2051" i="1" s="1"/>
  <c r="S2050" i="1"/>
  <c r="R2050" i="1"/>
  <c r="O2050" i="1"/>
  <c r="P2050" i="1" s="1"/>
  <c r="N2050" i="1"/>
  <c r="Q2050" i="1" s="1"/>
  <c r="L2050" i="1"/>
  <c r="K2050" i="1"/>
  <c r="J2050" i="1"/>
  <c r="I2050" i="1"/>
  <c r="M2050" i="1" s="1"/>
  <c r="S2049" i="1"/>
  <c r="O2049" i="1"/>
  <c r="P2049" i="1" s="1"/>
  <c r="R2049" i="1" s="1"/>
  <c r="M2049" i="1"/>
  <c r="L2049" i="1"/>
  <c r="J2049" i="1"/>
  <c r="I2049" i="1"/>
  <c r="K2049" i="1" s="1"/>
  <c r="N2049" i="1" s="1"/>
  <c r="Q2049" i="1" s="1"/>
  <c r="S2048" i="1"/>
  <c r="L2048" i="1"/>
  <c r="J2048" i="1"/>
  <c r="I2048" i="1"/>
  <c r="K2048" i="1" s="1"/>
  <c r="S2047" i="1"/>
  <c r="L2047" i="1"/>
  <c r="N2047" i="1" s="1"/>
  <c r="Q2047" i="1" s="1"/>
  <c r="K2047" i="1"/>
  <c r="J2047" i="1"/>
  <c r="I2047" i="1"/>
  <c r="M2047" i="1" s="1"/>
  <c r="S2046" i="1"/>
  <c r="O2046" i="1"/>
  <c r="P2046" i="1" s="1"/>
  <c r="R2046" i="1" s="1"/>
  <c r="L2046" i="1"/>
  <c r="K2046" i="1"/>
  <c r="N2046" i="1" s="1"/>
  <c r="Q2046" i="1" s="1"/>
  <c r="J2046" i="1"/>
  <c r="I2046" i="1"/>
  <c r="M2046" i="1" s="1"/>
  <c r="S2045" i="1"/>
  <c r="R2045" i="1"/>
  <c r="O2045" i="1"/>
  <c r="P2045" i="1" s="1"/>
  <c r="L2045" i="1"/>
  <c r="J2045" i="1"/>
  <c r="I2045" i="1"/>
  <c r="M2045" i="1" s="1"/>
  <c r="S2044" i="1"/>
  <c r="L2044" i="1"/>
  <c r="O2044" i="1" s="1"/>
  <c r="P2044" i="1" s="1"/>
  <c r="R2044" i="1" s="1"/>
  <c r="J2044" i="1"/>
  <c r="I2044" i="1"/>
  <c r="K2044" i="1" s="1"/>
  <c r="N2044" i="1" s="1"/>
  <c r="Q2044" i="1" s="1"/>
  <c r="S2043" i="1"/>
  <c r="Q2043" i="1"/>
  <c r="O2043" i="1"/>
  <c r="P2043" i="1" s="1"/>
  <c r="R2043" i="1" s="1"/>
  <c r="L2043" i="1"/>
  <c r="K2043" i="1"/>
  <c r="N2043" i="1" s="1"/>
  <c r="J2043" i="1"/>
  <c r="I2043" i="1"/>
  <c r="M2043" i="1" s="1"/>
  <c r="S2042" i="1"/>
  <c r="L2042" i="1"/>
  <c r="O2042" i="1" s="1"/>
  <c r="P2042" i="1" s="1"/>
  <c r="R2042" i="1" s="1"/>
  <c r="K2042" i="1"/>
  <c r="N2042" i="1" s="1"/>
  <c r="Q2042" i="1" s="1"/>
  <c r="J2042" i="1"/>
  <c r="I2042" i="1"/>
  <c r="M2042" i="1" s="1"/>
  <c r="S2041" i="1"/>
  <c r="R2041" i="1"/>
  <c r="O2041" i="1"/>
  <c r="P2041" i="1" s="1"/>
  <c r="L2041" i="1"/>
  <c r="J2041" i="1"/>
  <c r="I2041" i="1"/>
  <c r="K2041" i="1" s="1"/>
  <c r="N2041" i="1" s="1"/>
  <c r="Q2041" i="1" s="1"/>
  <c r="S2040" i="1"/>
  <c r="P2040" i="1"/>
  <c r="R2040" i="1" s="1"/>
  <c r="M2040" i="1"/>
  <c r="L2040" i="1"/>
  <c r="O2040" i="1" s="1"/>
  <c r="J2040" i="1"/>
  <c r="I2040" i="1"/>
  <c r="K2040" i="1" s="1"/>
  <c r="N2040" i="1" s="1"/>
  <c r="Q2040" i="1" s="1"/>
  <c r="S2039" i="1"/>
  <c r="L2039" i="1"/>
  <c r="O2039" i="1" s="1"/>
  <c r="P2039" i="1" s="1"/>
  <c r="R2039" i="1" s="1"/>
  <c r="K2039" i="1"/>
  <c r="N2039" i="1" s="1"/>
  <c r="Q2039" i="1" s="1"/>
  <c r="J2039" i="1"/>
  <c r="I2039" i="1"/>
  <c r="M2039" i="1" s="1"/>
  <c r="S2038" i="1"/>
  <c r="N2038" i="1"/>
  <c r="Q2038" i="1" s="1"/>
  <c r="L2038" i="1"/>
  <c r="O2038" i="1" s="1"/>
  <c r="P2038" i="1" s="1"/>
  <c r="R2038" i="1" s="1"/>
  <c r="K2038" i="1"/>
  <c r="J2038" i="1"/>
  <c r="I2038" i="1"/>
  <c r="M2038" i="1" s="1"/>
  <c r="S2037" i="1"/>
  <c r="O2037" i="1"/>
  <c r="P2037" i="1" s="1"/>
  <c r="R2037" i="1" s="1"/>
  <c r="N2037" i="1"/>
  <c r="Q2037" i="1" s="1"/>
  <c r="L2037" i="1"/>
  <c r="K2037" i="1"/>
  <c r="J2037" i="1"/>
  <c r="I2037" i="1"/>
  <c r="M2037" i="1" s="1"/>
  <c r="S2036" i="1"/>
  <c r="L2036" i="1"/>
  <c r="O2036" i="1" s="1"/>
  <c r="P2036" i="1" s="1"/>
  <c r="R2036" i="1" s="1"/>
  <c r="J2036" i="1"/>
  <c r="I2036" i="1"/>
  <c r="M2036" i="1" s="1"/>
  <c r="S2035" i="1"/>
  <c r="O2035" i="1"/>
  <c r="P2035" i="1" s="1"/>
  <c r="R2035" i="1" s="1"/>
  <c r="L2035" i="1"/>
  <c r="K2035" i="1"/>
  <c r="N2035" i="1" s="1"/>
  <c r="Q2035" i="1" s="1"/>
  <c r="J2035" i="1"/>
  <c r="I2035" i="1"/>
  <c r="M2035" i="1" s="1"/>
  <c r="S2034" i="1"/>
  <c r="N2034" i="1"/>
  <c r="Q2034" i="1" s="1"/>
  <c r="L2034" i="1"/>
  <c r="O2034" i="1" s="1"/>
  <c r="P2034" i="1" s="1"/>
  <c r="R2034" i="1" s="1"/>
  <c r="K2034" i="1"/>
  <c r="J2034" i="1"/>
  <c r="I2034" i="1"/>
  <c r="M2034" i="1" s="1"/>
  <c r="S2033" i="1"/>
  <c r="O2033" i="1"/>
  <c r="P2033" i="1" s="1"/>
  <c r="R2033" i="1" s="1"/>
  <c r="L2033" i="1"/>
  <c r="J2033" i="1"/>
  <c r="I2033" i="1"/>
  <c r="K2033" i="1" s="1"/>
  <c r="N2033" i="1" s="1"/>
  <c r="Q2033" i="1" s="1"/>
  <c r="S2032" i="1"/>
  <c r="L2032" i="1"/>
  <c r="O2032" i="1" s="1"/>
  <c r="P2032" i="1" s="1"/>
  <c r="R2032" i="1" s="1"/>
  <c r="J2032" i="1"/>
  <c r="I2032" i="1"/>
  <c r="M2032" i="1" s="1"/>
  <c r="S2031" i="1"/>
  <c r="O2031" i="1"/>
  <c r="P2031" i="1" s="1"/>
  <c r="R2031" i="1" s="1"/>
  <c r="L2031" i="1"/>
  <c r="K2031" i="1"/>
  <c r="N2031" i="1" s="1"/>
  <c r="Q2031" i="1" s="1"/>
  <c r="J2031" i="1"/>
  <c r="I2031" i="1"/>
  <c r="M2031" i="1" s="1"/>
  <c r="S2030" i="1"/>
  <c r="N2030" i="1"/>
  <c r="Q2030" i="1" s="1"/>
  <c r="L2030" i="1"/>
  <c r="O2030" i="1" s="1"/>
  <c r="P2030" i="1" s="1"/>
  <c r="R2030" i="1" s="1"/>
  <c r="K2030" i="1"/>
  <c r="J2030" i="1"/>
  <c r="I2030" i="1"/>
  <c r="M2030" i="1" s="1"/>
  <c r="S2029" i="1"/>
  <c r="O2029" i="1"/>
  <c r="P2029" i="1" s="1"/>
  <c r="R2029" i="1" s="1"/>
  <c r="L2029" i="1"/>
  <c r="J2029" i="1"/>
  <c r="I2029" i="1"/>
  <c r="K2029" i="1" s="1"/>
  <c r="N2029" i="1" s="1"/>
  <c r="Q2029" i="1" s="1"/>
  <c r="S2028" i="1"/>
  <c r="L2028" i="1"/>
  <c r="O2028" i="1" s="1"/>
  <c r="P2028" i="1" s="1"/>
  <c r="R2028" i="1" s="1"/>
  <c r="J2028" i="1"/>
  <c r="I2028" i="1"/>
  <c r="M2028" i="1" s="1"/>
  <c r="S2027" i="1"/>
  <c r="O2027" i="1"/>
  <c r="P2027" i="1" s="1"/>
  <c r="R2027" i="1" s="1"/>
  <c r="L2027" i="1"/>
  <c r="K2027" i="1"/>
  <c r="N2027" i="1" s="1"/>
  <c r="Q2027" i="1" s="1"/>
  <c r="J2027" i="1"/>
  <c r="I2027" i="1"/>
  <c r="M2027" i="1" s="1"/>
  <c r="S2026" i="1"/>
  <c r="N2026" i="1"/>
  <c r="Q2026" i="1" s="1"/>
  <c r="L2026" i="1"/>
  <c r="O2026" i="1" s="1"/>
  <c r="P2026" i="1" s="1"/>
  <c r="R2026" i="1" s="1"/>
  <c r="K2026" i="1"/>
  <c r="J2026" i="1"/>
  <c r="I2026" i="1"/>
  <c r="M2026" i="1" s="1"/>
  <c r="S2025" i="1"/>
  <c r="O2025" i="1"/>
  <c r="P2025" i="1" s="1"/>
  <c r="R2025" i="1" s="1"/>
  <c r="L2025" i="1"/>
  <c r="J2025" i="1"/>
  <c r="I2025" i="1"/>
  <c r="K2025" i="1" s="1"/>
  <c r="N2025" i="1" s="1"/>
  <c r="Q2025" i="1" s="1"/>
  <c r="S2024" i="1"/>
  <c r="L2024" i="1"/>
  <c r="O2024" i="1" s="1"/>
  <c r="P2024" i="1" s="1"/>
  <c r="R2024" i="1" s="1"/>
  <c r="J2024" i="1"/>
  <c r="I2024" i="1"/>
  <c r="M2024" i="1" s="1"/>
  <c r="S2023" i="1"/>
  <c r="O2023" i="1"/>
  <c r="P2023" i="1" s="1"/>
  <c r="R2023" i="1" s="1"/>
  <c r="L2023" i="1"/>
  <c r="K2023" i="1"/>
  <c r="N2023" i="1" s="1"/>
  <c r="Q2023" i="1" s="1"/>
  <c r="J2023" i="1"/>
  <c r="I2023" i="1"/>
  <c r="M2023" i="1" s="1"/>
  <c r="S2022" i="1"/>
  <c r="N2022" i="1"/>
  <c r="Q2022" i="1" s="1"/>
  <c r="L2022" i="1"/>
  <c r="O2022" i="1" s="1"/>
  <c r="P2022" i="1" s="1"/>
  <c r="R2022" i="1" s="1"/>
  <c r="K2022" i="1"/>
  <c r="J2022" i="1"/>
  <c r="I2022" i="1"/>
  <c r="M2022" i="1" s="1"/>
  <c r="S2021" i="1"/>
  <c r="O2021" i="1"/>
  <c r="P2021" i="1" s="1"/>
  <c r="R2021" i="1" s="1"/>
  <c r="L2021" i="1"/>
  <c r="J2021" i="1"/>
  <c r="I2021" i="1"/>
  <c r="K2021" i="1" s="1"/>
  <c r="N2021" i="1" s="1"/>
  <c r="Q2021" i="1" s="1"/>
  <c r="S2020" i="1"/>
  <c r="L2020" i="1"/>
  <c r="O2020" i="1" s="1"/>
  <c r="P2020" i="1" s="1"/>
  <c r="R2020" i="1" s="1"/>
  <c r="J2020" i="1"/>
  <c r="I2020" i="1"/>
  <c r="M2020" i="1" s="1"/>
  <c r="S2019" i="1"/>
  <c r="O2019" i="1"/>
  <c r="P2019" i="1" s="1"/>
  <c r="R2019" i="1" s="1"/>
  <c r="L2019" i="1"/>
  <c r="K2019" i="1"/>
  <c r="N2019" i="1" s="1"/>
  <c r="Q2019" i="1" s="1"/>
  <c r="J2019" i="1"/>
  <c r="I2019" i="1"/>
  <c r="M2019" i="1" s="1"/>
  <c r="S2018" i="1"/>
  <c r="N2018" i="1"/>
  <c r="Q2018" i="1" s="1"/>
  <c r="L2018" i="1"/>
  <c r="O2018" i="1" s="1"/>
  <c r="P2018" i="1" s="1"/>
  <c r="R2018" i="1" s="1"/>
  <c r="K2018" i="1"/>
  <c r="J2018" i="1"/>
  <c r="I2018" i="1"/>
  <c r="M2018" i="1" s="1"/>
  <c r="S2017" i="1"/>
  <c r="O2017" i="1"/>
  <c r="P2017" i="1" s="1"/>
  <c r="R2017" i="1" s="1"/>
  <c r="L2017" i="1"/>
  <c r="J2017" i="1"/>
  <c r="I2017" i="1"/>
  <c r="K2017" i="1" s="1"/>
  <c r="N2017" i="1" s="1"/>
  <c r="Q2017" i="1" s="1"/>
  <c r="S2016" i="1"/>
  <c r="L2016" i="1"/>
  <c r="O2016" i="1" s="1"/>
  <c r="P2016" i="1" s="1"/>
  <c r="R2016" i="1" s="1"/>
  <c r="J2016" i="1"/>
  <c r="I2016" i="1"/>
  <c r="M2016" i="1" s="1"/>
  <c r="S2015" i="1"/>
  <c r="O2015" i="1"/>
  <c r="P2015" i="1" s="1"/>
  <c r="R2015" i="1" s="1"/>
  <c r="L2015" i="1"/>
  <c r="K2015" i="1"/>
  <c r="N2015" i="1" s="1"/>
  <c r="Q2015" i="1" s="1"/>
  <c r="J2015" i="1"/>
  <c r="I2015" i="1"/>
  <c r="M2015" i="1" s="1"/>
  <c r="S2014" i="1"/>
  <c r="N2014" i="1"/>
  <c r="Q2014" i="1" s="1"/>
  <c r="L2014" i="1"/>
  <c r="O2014" i="1" s="1"/>
  <c r="P2014" i="1" s="1"/>
  <c r="R2014" i="1" s="1"/>
  <c r="K2014" i="1"/>
  <c r="J2014" i="1"/>
  <c r="I2014" i="1"/>
  <c r="M2014" i="1" s="1"/>
  <c r="S2013" i="1"/>
  <c r="O2013" i="1"/>
  <c r="P2013" i="1" s="1"/>
  <c r="R2013" i="1" s="1"/>
  <c r="L2013" i="1"/>
  <c r="J2013" i="1"/>
  <c r="I2013" i="1"/>
  <c r="K2013" i="1" s="1"/>
  <c r="N2013" i="1" s="1"/>
  <c r="Q2013" i="1" s="1"/>
  <c r="S2012" i="1"/>
  <c r="L2012" i="1"/>
  <c r="O2012" i="1" s="1"/>
  <c r="P2012" i="1" s="1"/>
  <c r="R2012" i="1" s="1"/>
  <c r="J2012" i="1"/>
  <c r="I2012" i="1"/>
  <c r="M2012" i="1" s="1"/>
  <c r="S2011" i="1"/>
  <c r="O2011" i="1"/>
  <c r="P2011" i="1" s="1"/>
  <c r="R2011" i="1" s="1"/>
  <c r="L2011" i="1"/>
  <c r="K2011" i="1"/>
  <c r="N2011" i="1" s="1"/>
  <c r="Q2011" i="1" s="1"/>
  <c r="J2011" i="1"/>
  <c r="I2011" i="1"/>
  <c r="M2011" i="1" s="1"/>
  <c r="S2010" i="1"/>
  <c r="N2010" i="1"/>
  <c r="Q2010" i="1" s="1"/>
  <c r="L2010" i="1"/>
  <c r="O2010" i="1" s="1"/>
  <c r="P2010" i="1" s="1"/>
  <c r="R2010" i="1" s="1"/>
  <c r="K2010" i="1"/>
  <c r="J2010" i="1"/>
  <c r="I2010" i="1"/>
  <c r="M2010" i="1" s="1"/>
  <c r="S2009" i="1"/>
  <c r="O2009" i="1"/>
  <c r="P2009" i="1" s="1"/>
  <c r="R2009" i="1" s="1"/>
  <c r="L2009" i="1"/>
  <c r="J2009" i="1"/>
  <c r="I2009" i="1"/>
  <c r="K2009" i="1" s="1"/>
  <c r="N2009" i="1" s="1"/>
  <c r="Q2009" i="1" s="1"/>
  <c r="S2008" i="1"/>
  <c r="L2008" i="1"/>
  <c r="O2008" i="1" s="1"/>
  <c r="P2008" i="1" s="1"/>
  <c r="R2008" i="1" s="1"/>
  <c r="J2008" i="1"/>
  <c r="I2008" i="1"/>
  <c r="M2008" i="1" s="1"/>
  <c r="S2007" i="1"/>
  <c r="O2007" i="1"/>
  <c r="P2007" i="1" s="1"/>
  <c r="R2007" i="1" s="1"/>
  <c r="L2007" i="1"/>
  <c r="K2007" i="1"/>
  <c r="N2007" i="1" s="1"/>
  <c r="Q2007" i="1" s="1"/>
  <c r="J2007" i="1"/>
  <c r="I2007" i="1"/>
  <c r="M2007" i="1" s="1"/>
  <c r="S2006" i="1"/>
  <c r="N2006" i="1"/>
  <c r="Q2006" i="1" s="1"/>
  <c r="L2006" i="1"/>
  <c r="O2006" i="1" s="1"/>
  <c r="P2006" i="1" s="1"/>
  <c r="R2006" i="1" s="1"/>
  <c r="K2006" i="1"/>
  <c r="J2006" i="1"/>
  <c r="I2006" i="1"/>
  <c r="M2006" i="1" s="1"/>
  <c r="S2005" i="1"/>
  <c r="O2005" i="1"/>
  <c r="P2005" i="1" s="1"/>
  <c r="R2005" i="1" s="1"/>
  <c r="L2005" i="1"/>
  <c r="J2005" i="1"/>
  <c r="I2005" i="1"/>
  <c r="K2005" i="1" s="1"/>
  <c r="N2005" i="1" s="1"/>
  <c r="Q2005" i="1" s="1"/>
  <c r="S2004" i="1"/>
  <c r="L2004" i="1"/>
  <c r="O2004" i="1" s="1"/>
  <c r="P2004" i="1" s="1"/>
  <c r="R2004" i="1" s="1"/>
  <c r="J2004" i="1"/>
  <c r="I2004" i="1"/>
  <c r="M2004" i="1" s="1"/>
  <c r="S2003" i="1"/>
  <c r="O2003" i="1"/>
  <c r="P2003" i="1" s="1"/>
  <c r="R2003" i="1" s="1"/>
  <c r="L2003" i="1"/>
  <c r="K2003" i="1"/>
  <c r="N2003" i="1" s="1"/>
  <c r="Q2003" i="1" s="1"/>
  <c r="J2003" i="1"/>
  <c r="I2003" i="1"/>
  <c r="M2003" i="1" s="1"/>
  <c r="S2002" i="1"/>
  <c r="N2002" i="1"/>
  <c r="Q2002" i="1" s="1"/>
  <c r="L2002" i="1"/>
  <c r="O2002" i="1" s="1"/>
  <c r="P2002" i="1" s="1"/>
  <c r="R2002" i="1" s="1"/>
  <c r="K2002" i="1"/>
  <c r="J2002" i="1"/>
  <c r="I2002" i="1"/>
  <c r="M2002" i="1" s="1"/>
  <c r="S2001" i="1"/>
  <c r="O2001" i="1"/>
  <c r="P2001" i="1" s="1"/>
  <c r="R2001" i="1" s="1"/>
  <c r="L2001" i="1"/>
  <c r="J2001" i="1"/>
  <c r="I2001" i="1"/>
  <c r="K2001" i="1" s="1"/>
  <c r="N2001" i="1" s="1"/>
  <c r="Q2001" i="1" s="1"/>
  <c r="S2000" i="1"/>
  <c r="L2000" i="1"/>
  <c r="O2000" i="1" s="1"/>
  <c r="P2000" i="1" s="1"/>
  <c r="R2000" i="1" s="1"/>
  <c r="J2000" i="1"/>
  <c r="I2000" i="1"/>
  <c r="M2000" i="1" s="1"/>
  <c r="S1999" i="1"/>
  <c r="O1999" i="1"/>
  <c r="P1999" i="1" s="1"/>
  <c r="R1999" i="1" s="1"/>
  <c r="L1999" i="1"/>
  <c r="K1999" i="1"/>
  <c r="N1999" i="1" s="1"/>
  <c r="Q1999" i="1" s="1"/>
  <c r="J1999" i="1"/>
  <c r="I1999" i="1"/>
  <c r="M1999" i="1" s="1"/>
  <c r="S1998" i="1"/>
  <c r="N1998" i="1"/>
  <c r="Q1998" i="1" s="1"/>
  <c r="L1998" i="1"/>
  <c r="O1998" i="1" s="1"/>
  <c r="P1998" i="1" s="1"/>
  <c r="R1998" i="1" s="1"/>
  <c r="K1998" i="1"/>
  <c r="J1998" i="1"/>
  <c r="I1998" i="1"/>
  <c r="M1998" i="1" s="1"/>
  <c r="S1997" i="1"/>
  <c r="O1997" i="1"/>
  <c r="P1997" i="1" s="1"/>
  <c r="R1997" i="1" s="1"/>
  <c r="L1997" i="1"/>
  <c r="J1997" i="1"/>
  <c r="I1997" i="1"/>
  <c r="K1997" i="1" s="1"/>
  <c r="N1997" i="1" s="1"/>
  <c r="Q1997" i="1" s="1"/>
  <c r="S1996" i="1"/>
  <c r="L1996" i="1"/>
  <c r="O1996" i="1" s="1"/>
  <c r="P1996" i="1" s="1"/>
  <c r="R1996" i="1" s="1"/>
  <c r="J1996" i="1"/>
  <c r="I1996" i="1"/>
  <c r="M1996" i="1" s="1"/>
  <c r="S1995" i="1"/>
  <c r="O1995" i="1"/>
  <c r="P1995" i="1" s="1"/>
  <c r="R1995" i="1" s="1"/>
  <c r="L1995" i="1"/>
  <c r="K1995" i="1"/>
  <c r="N1995" i="1" s="1"/>
  <c r="Q1995" i="1" s="1"/>
  <c r="J1995" i="1"/>
  <c r="I1995" i="1"/>
  <c r="M1995" i="1" s="1"/>
  <c r="S1994" i="1"/>
  <c r="N1994" i="1"/>
  <c r="Q1994" i="1" s="1"/>
  <c r="L1994" i="1"/>
  <c r="O1994" i="1" s="1"/>
  <c r="P1994" i="1" s="1"/>
  <c r="R1994" i="1" s="1"/>
  <c r="K1994" i="1"/>
  <c r="J1994" i="1"/>
  <c r="I1994" i="1"/>
  <c r="M1994" i="1" s="1"/>
  <c r="S1993" i="1"/>
  <c r="O1993" i="1"/>
  <c r="P1993" i="1" s="1"/>
  <c r="R1993" i="1" s="1"/>
  <c r="L1993" i="1"/>
  <c r="J1993" i="1"/>
  <c r="I1993" i="1"/>
  <c r="K1993" i="1" s="1"/>
  <c r="N1993" i="1" s="1"/>
  <c r="Q1993" i="1" s="1"/>
  <c r="S1992" i="1"/>
  <c r="L1992" i="1"/>
  <c r="O1992" i="1" s="1"/>
  <c r="P1992" i="1" s="1"/>
  <c r="R1992" i="1" s="1"/>
  <c r="J1992" i="1"/>
  <c r="I1992" i="1"/>
  <c r="M1992" i="1" s="1"/>
  <c r="S1991" i="1"/>
  <c r="O1991" i="1"/>
  <c r="P1991" i="1" s="1"/>
  <c r="R1991" i="1" s="1"/>
  <c r="L1991" i="1"/>
  <c r="K1991" i="1"/>
  <c r="N1991" i="1" s="1"/>
  <c r="Q1991" i="1" s="1"/>
  <c r="J1991" i="1"/>
  <c r="I1991" i="1"/>
  <c r="M1991" i="1" s="1"/>
  <c r="S1990" i="1"/>
  <c r="N1990" i="1"/>
  <c r="Q1990" i="1" s="1"/>
  <c r="L1990" i="1"/>
  <c r="O1990" i="1" s="1"/>
  <c r="P1990" i="1" s="1"/>
  <c r="R1990" i="1" s="1"/>
  <c r="K1990" i="1"/>
  <c r="J1990" i="1"/>
  <c r="I1990" i="1"/>
  <c r="M1990" i="1" s="1"/>
  <c r="S1989" i="1"/>
  <c r="O1989" i="1"/>
  <c r="P1989" i="1" s="1"/>
  <c r="R1989" i="1" s="1"/>
  <c r="L1989" i="1"/>
  <c r="J1989" i="1"/>
  <c r="I1989" i="1"/>
  <c r="K1989" i="1" s="1"/>
  <c r="N1989" i="1" s="1"/>
  <c r="Q1989" i="1" s="1"/>
  <c r="S1988" i="1"/>
  <c r="L1988" i="1"/>
  <c r="O1988" i="1" s="1"/>
  <c r="P1988" i="1" s="1"/>
  <c r="R1988" i="1" s="1"/>
  <c r="J1988" i="1"/>
  <c r="I1988" i="1"/>
  <c r="M1988" i="1" s="1"/>
  <c r="S1987" i="1"/>
  <c r="O1987" i="1"/>
  <c r="P1987" i="1" s="1"/>
  <c r="R1987" i="1" s="1"/>
  <c r="L1987" i="1"/>
  <c r="K1987" i="1"/>
  <c r="N1987" i="1" s="1"/>
  <c r="Q1987" i="1" s="1"/>
  <c r="J1987" i="1"/>
  <c r="I1987" i="1"/>
  <c r="M1987" i="1" s="1"/>
  <c r="S1986" i="1"/>
  <c r="N1986" i="1"/>
  <c r="Q1986" i="1" s="1"/>
  <c r="L1986" i="1"/>
  <c r="O1986" i="1" s="1"/>
  <c r="P1986" i="1" s="1"/>
  <c r="R1986" i="1" s="1"/>
  <c r="K1986" i="1"/>
  <c r="J1986" i="1"/>
  <c r="I1986" i="1"/>
  <c r="M1986" i="1" s="1"/>
  <c r="S1985" i="1"/>
  <c r="O1985" i="1"/>
  <c r="P1985" i="1" s="1"/>
  <c r="R1985" i="1" s="1"/>
  <c r="L1985" i="1"/>
  <c r="J1985" i="1"/>
  <c r="I1985" i="1"/>
  <c r="K1985" i="1" s="1"/>
  <c r="N1985" i="1" s="1"/>
  <c r="Q1985" i="1" s="1"/>
  <c r="S1984" i="1"/>
  <c r="L1984" i="1"/>
  <c r="O1984" i="1" s="1"/>
  <c r="P1984" i="1" s="1"/>
  <c r="R1984" i="1" s="1"/>
  <c r="J1984" i="1"/>
  <c r="I1984" i="1"/>
  <c r="M1984" i="1" s="1"/>
  <c r="S1983" i="1"/>
  <c r="O1983" i="1"/>
  <c r="P1983" i="1" s="1"/>
  <c r="R1983" i="1" s="1"/>
  <c r="L1983" i="1"/>
  <c r="K1983" i="1"/>
  <c r="N1983" i="1" s="1"/>
  <c r="Q1983" i="1" s="1"/>
  <c r="J1983" i="1"/>
  <c r="I1983" i="1"/>
  <c r="M1983" i="1" s="1"/>
  <c r="S1982" i="1"/>
  <c r="N1982" i="1"/>
  <c r="Q1982" i="1" s="1"/>
  <c r="L1982" i="1"/>
  <c r="O1982" i="1" s="1"/>
  <c r="P1982" i="1" s="1"/>
  <c r="R1982" i="1" s="1"/>
  <c r="K1982" i="1"/>
  <c r="J1982" i="1"/>
  <c r="I1982" i="1"/>
  <c r="M1982" i="1" s="1"/>
  <c r="S1981" i="1"/>
  <c r="O1981" i="1"/>
  <c r="P1981" i="1" s="1"/>
  <c r="R1981" i="1" s="1"/>
  <c r="L1981" i="1"/>
  <c r="J1981" i="1"/>
  <c r="I1981" i="1"/>
  <c r="K1981" i="1" s="1"/>
  <c r="N1981" i="1" s="1"/>
  <c r="Q1981" i="1" s="1"/>
  <c r="S1980" i="1"/>
  <c r="L1980" i="1"/>
  <c r="O1980" i="1" s="1"/>
  <c r="P1980" i="1" s="1"/>
  <c r="R1980" i="1" s="1"/>
  <c r="J1980" i="1"/>
  <c r="I1980" i="1"/>
  <c r="M1980" i="1" s="1"/>
  <c r="S1979" i="1"/>
  <c r="O1979" i="1"/>
  <c r="P1979" i="1" s="1"/>
  <c r="R1979" i="1" s="1"/>
  <c r="L1979" i="1"/>
  <c r="K1979" i="1"/>
  <c r="N1979" i="1" s="1"/>
  <c r="Q1979" i="1" s="1"/>
  <c r="J1979" i="1"/>
  <c r="I1979" i="1"/>
  <c r="M1979" i="1" s="1"/>
  <c r="S1978" i="1"/>
  <c r="L1978" i="1"/>
  <c r="O1978" i="1" s="1"/>
  <c r="P1978" i="1" s="1"/>
  <c r="R1978" i="1" s="1"/>
  <c r="J1978" i="1"/>
  <c r="K1978" i="1" s="1"/>
  <c r="N1978" i="1" s="1"/>
  <c r="Q1978" i="1" s="1"/>
  <c r="I1978" i="1"/>
  <c r="M1978" i="1" s="1"/>
  <c r="S1977" i="1"/>
  <c r="O1977" i="1"/>
  <c r="P1977" i="1" s="1"/>
  <c r="R1977" i="1" s="1"/>
  <c r="L1977" i="1"/>
  <c r="J1977" i="1"/>
  <c r="I1977" i="1"/>
  <c r="K1977" i="1" s="1"/>
  <c r="N1977" i="1" s="1"/>
  <c r="Q1977" i="1" s="1"/>
  <c r="S1976" i="1"/>
  <c r="L1976" i="1"/>
  <c r="O1976" i="1" s="1"/>
  <c r="P1976" i="1" s="1"/>
  <c r="R1976" i="1" s="1"/>
  <c r="J1976" i="1"/>
  <c r="I1976" i="1"/>
  <c r="M1976" i="1" s="1"/>
  <c r="S1975" i="1"/>
  <c r="O1975" i="1"/>
  <c r="P1975" i="1" s="1"/>
  <c r="R1975" i="1" s="1"/>
  <c r="L1975" i="1"/>
  <c r="K1975" i="1"/>
  <c r="N1975" i="1" s="1"/>
  <c r="Q1975" i="1" s="1"/>
  <c r="J1975" i="1"/>
  <c r="I1975" i="1"/>
  <c r="M1975" i="1" s="1"/>
  <c r="S1974" i="1"/>
  <c r="N1974" i="1"/>
  <c r="Q1974" i="1" s="1"/>
  <c r="L1974" i="1"/>
  <c r="O1974" i="1" s="1"/>
  <c r="P1974" i="1" s="1"/>
  <c r="R1974" i="1" s="1"/>
  <c r="K1974" i="1"/>
  <c r="J1974" i="1"/>
  <c r="I1974" i="1"/>
  <c r="M1974" i="1" s="1"/>
  <c r="S1973" i="1"/>
  <c r="O1973" i="1"/>
  <c r="P1973" i="1" s="1"/>
  <c r="R1973" i="1" s="1"/>
  <c r="L1973" i="1"/>
  <c r="J1973" i="1"/>
  <c r="I1973" i="1"/>
  <c r="K1973" i="1" s="1"/>
  <c r="N1973" i="1" s="1"/>
  <c r="Q1973" i="1" s="1"/>
  <c r="S1972" i="1"/>
  <c r="L1972" i="1"/>
  <c r="O1972" i="1" s="1"/>
  <c r="P1972" i="1" s="1"/>
  <c r="R1972" i="1" s="1"/>
  <c r="J1972" i="1"/>
  <c r="I1972" i="1"/>
  <c r="M1972" i="1" s="1"/>
  <c r="S1971" i="1"/>
  <c r="O1971" i="1"/>
  <c r="P1971" i="1" s="1"/>
  <c r="R1971" i="1" s="1"/>
  <c r="L1971" i="1"/>
  <c r="K1971" i="1"/>
  <c r="N1971" i="1" s="1"/>
  <c r="Q1971" i="1" s="1"/>
  <c r="J1971" i="1"/>
  <c r="I1971" i="1"/>
  <c r="M1971" i="1" s="1"/>
  <c r="S1970" i="1"/>
  <c r="N1970" i="1"/>
  <c r="Q1970" i="1" s="1"/>
  <c r="L1970" i="1"/>
  <c r="O1970" i="1" s="1"/>
  <c r="P1970" i="1" s="1"/>
  <c r="R1970" i="1" s="1"/>
  <c r="K1970" i="1"/>
  <c r="J1970" i="1"/>
  <c r="I1970" i="1"/>
  <c r="M1970" i="1" s="1"/>
  <c r="S1969" i="1"/>
  <c r="O1969" i="1"/>
  <c r="P1969" i="1" s="1"/>
  <c r="R1969" i="1" s="1"/>
  <c r="L1969" i="1"/>
  <c r="J1969" i="1"/>
  <c r="I1969" i="1"/>
  <c r="K1969" i="1" s="1"/>
  <c r="N1969" i="1" s="1"/>
  <c r="Q1969" i="1" s="1"/>
  <c r="S1968" i="1"/>
  <c r="L1968" i="1"/>
  <c r="O1968" i="1" s="1"/>
  <c r="P1968" i="1" s="1"/>
  <c r="R1968" i="1" s="1"/>
  <c r="J1968" i="1"/>
  <c r="I1968" i="1"/>
  <c r="M1968" i="1" s="1"/>
  <c r="S1967" i="1"/>
  <c r="O1967" i="1"/>
  <c r="P1967" i="1" s="1"/>
  <c r="R1967" i="1" s="1"/>
  <c r="L1967" i="1"/>
  <c r="K1967" i="1"/>
  <c r="N1967" i="1" s="1"/>
  <c r="Q1967" i="1" s="1"/>
  <c r="J1967" i="1"/>
  <c r="I1967" i="1"/>
  <c r="M1967" i="1" s="1"/>
  <c r="S1966" i="1"/>
  <c r="N1966" i="1"/>
  <c r="Q1966" i="1" s="1"/>
  <c r="L1966" i="1"/>
  <c r="O1966" i="1" s="1"/>
  <c r="P1966" i="1" s="1"/>
  <c r="R1966" i="1" s="1"/>
  <c r="K1966" i="1"/>
  <c r="J1966" i="1"/>
  <c r="I1966" i="1"/>
  <c r="M1966" i="1" s="1"/>
  <c r="S1965" i="1"/>
  <c r="O1965" i="1"/>
  <c r="P1965" i="1" s="1"/>
  <c r="R1965" i="1" s="1"/>
  <c r="L1965" i="1"/>
  <c r="J1965" i="1"/>
  <c r="I1965" i="1"/>
  <c r="K1965" i="1" s="1"/>
  <c r="N1965" i="1" s="1"/>
  <c r="Q1965" i="1" s="1"/>
  <c r="S1964" i="1"/>
  <c r="L1964" i="1"/>
  <c r="O1964" i="1" s="1"/>
  <c r="P1964" i="1" s="1"/>
  <c r="R1964" i="1" s="1"/>
  <c r="J1964" i="1"/>
  <c r="I1964" i="1"/>
  <c r="M1964" i="1" s="1"/>
  <c r="S1963" i="1"/>
  <c r="O1963" i="1"/>
  <c r="P1963" i="1" s="1"/>
  <c r="R1963" i="1" s="1"/>
  <c r="L1963" i="1"/>
  <c r="K1963" i="1"/>
  <c r="N1963" i="1" s="1"/>
  <c r="Q1963" i="1" s="1"/>
  <c r="J1963" i="1"/>
  <c r="I1963" i="1"/>
  <c r="M1963" i="1" s="1"/>
  <c r="S1962" i="1"/>
  <c r="N1962" i="1"/>
  <c r="Q1962" i="1" s="1"/>
  <c r="L1962" i="1"/>
  <c r="O1962" i="1" s="1"/>
  <c r="P1962" i="1" s="1"/>
  <c r="R1962" i="1" s="1"/>
  <c r="K1962" i="1"/>
  <c r="J1962" i="1"/>
  <c r="I1962" i="1"/>
  <c r="M1962" i="1" s="1"/>
  <c r="S1961" i="1"/>
  <c r="O1961" i="1"/>
  <c r="P1961" i="1" s="1"/>
  <c r="R1961" i="1" s="1"/>
  <c r="L1961" i="1"/>
  <c r="J1961" i="1"/>
  <c r="I1961" i="1"/>
  <c r="K1961" i="1" s="1"/>
  <c r="N1961" i="1" s="1"/>
  <c r="Q1961" i="1" s="1"/>
  <c r="S1960" i="1"/>
  <c r="L1960" i="1"/>
  <c r="O1960" i="1" s="1"/>
  <c r="P1960" i="1" s="1"/>
  <c r="R1960" i="1" s="1"/>
  <c r="J1960" i="1"/>
  <c r="I1960" i="1"/>
  <c r="M1960" i="1" s="1"/>
  <c r="S1959" i="1"/>
  <c r="O1959" i="1"/>
  <c r="P1959" i="1" s="1"/>
  <c r="R1959" i="1" s="1"/>
  <c r="L1959" i="1"/>
  <c r="K1959" i="1"/>
  <c r="N1959" i="1" s="1"/>
  <c r="Q1959" i="1" s="1"/>
  <c r="J1959" i="1"/>
  <c r="I1959" i="1"/>
  <c r="M1959" i="1" s="1"/>
  <c r="S1958" i="1"/>
  <c r="N1958" i="1"/>
  <c r="Q1958" i="1" s="1"/>
  <c r="L1958" i="1"/>
  <c r="O1958" i="1" s="1"/>
  <c r="P1958" i="1" s="1"/>
  <c r="R1958" i="1" s="1"/>
  <c r="K1958" i="1"/>
  <c r="J1958" i="1"/>
  <c r="I1958" i="1"/>
  <c r="M1958" i="1" s="1"/>
  <c r="S1957" i="1"/>
  <c r="O1957" i="1"/>
  <c r="P1957" i="1" s="1"/>
  <c r="R1957" i="1" s="1"/>
  <c r="L1957" i="1"/>
  <c r="J1957" i="1"/>
  <c r="I1957" i="1"/>
  <c r="K1957" i="1" s="1"/>
  <c r="N1957" i="1" s="1"/>
  <c r="Q1957" i="1" s="1"/>
  <c r="S1956" i="1"/>
  <c r="L1956" i="1"/>
  <c r="O1956" i="1" s="1"/>
  <c r="P1956" i="1" s="1"/>
  <c r="R1956" i="1" s="1"/>
  <c r="J1956" i="1"/>
  <c r="I1956" i="1"/>
  <c r="M1956" i="1" s="1"/>
  <c r="S1955" i="1"/>
  <c r="O1955" i="1"/>
  <c r="P1955" i="1" s="1"/>
  <c r="R1955" i="1" s="1"/>
  <c r="L1955" i="1"/>
  <c r="K1955" i="1"/>
  <c r="N1955" i="1" s="1"/>
  <c r="Q1955" i="1" s="1"/>
  <c r="J1955" i="1"/>
  <c r="I1955" i="1"/>
  <c r="M1955" i="1" s="1"/>
  <c r="S1954" i="1"/>
  <c r="N1954" i="1"/>
  <c r="Q1954" i="1" s="1"/>
  <c r="L1954" i="1"/>
  <c r="O1954" i="1" s="1"/>
  <c r="P1954" i="1" s="1"/>
  <c r="R1954" i="1" s="1"/>
  <c r="K1954" i="1"/>
  <c r="J1954" i="1"/>
  <c r="I1954" i="1"/>
  <c r="M1954" i="1" s="1"/>
  <c r="S1953" i="1"/>
  <c r="O1953" i="1"/>
  <c r="P1953" i="1" s="1"/>
  <c r="R1953" i="1" s="1"/>
  <c r="L1953" i="1"/>
  <c r="J1953" i="1"/>
  <c r="I1953" i="1"/>
  <c r="K1953" i="1" s="1"/>
  <c r="N1953" i="1" s="1"/>
  <c r="Q1953" i="1" s="1"/>
  <c r="S1952" i="1"/>
  <c r="L1952" i="1"/>
  <c r="O1952" i="1" s="1"/>
  <c r="P1952" i="1" s="1"/>
  <c r="R1952" i="1" s="1"/>
  <c r="J1952" i="1"/>
  <c r="I1952" i="1"/>
  <c r="M1952" i="1" s="1"/>
  <c r="S1951" i="1"/>
  <c r="O1951" i="1"/>
  <c r="P1951" i="1" s="1"/>
  <c r="R1951" i="1" s="1"/>
  <c r="L1951" i="1"/>
  <c r="K1951" i="1"/>
  <c r="N1951" i="1" s="1"/>
  <c r="Q1951" i="1" s="1"/>
  <c r="J1951" i="1"/>
  <c r="I1951" i="1"/>
  <c r="M1951" i="1" s="1"/>
  <c r="S1950" i="1"/>
  <c r="N1950" i="1"/>
  <c r="Q1950" i="1" s="1"/>
  <c r="L1950" i="1"/>
  <c r="O1950" i="1" s="1"/>
  <c r="P1950" i="1" s="1"/>
  <c r="R1950" i="1" s="1"/>
  <c r="K1950" i="1"/>
  <c r="J1950" i="1"/>
  <c r="I1950" i="1"/>
  <c r="M1950" i="1" s="1"/>
  <c r="S1949" i="1"/>
  <c r="O1949" i="1"/>
  <c r="P1949" i="1" s="1"/>
  <c r="R1949" i="1" s="1"/>
  <c r="L1949" i="1"/>
  <c r="J1949" i="1"/>
  <c r="I1949" i="1"/>
  <c r="K1949" i="1" s="1"/>
  <c r="N1949" i="1" s="1"/>
  <c r="Q1949" i="1" s="1"/>
  <c r="S1948" i="1"/>
  <c r="L1948" i="1"/>
  <c r="O1948" i="1" s="1"/>
  <c r="P1948" i="1" s="1"/>
  <c r="R1948" i="1" s="1"/>
  <c r="J1948" i="1"/>
  <c r="I1948" i="1"/>
  <c r="M1948" i="1" s="1"/>
  <c r="S1947" i="1"/>
  <c r="O1947" i="1"/>
  <c r="P1947" i="1" s="1"/>
  <c r="R1947" i="1" s="1"/>
  <c r="L1947" i="1"/>
  <c r="K1947" i="1"/>
  <c r="N1947" i="1" s="1"/>
  <c r="Q1947" i="1" s="1"/>
  <c r="J1947" i="1"/>
  <c r="I1947" i="1"/>
  <c r="M1947" i="1" s="1"/>
  <c r="S1946" i="1"/>
  <c r="N1946" i="1"/>
  <c r="Q1946" i="1" s="1"/>
  <c r="L1946" i="1"/>
  <c r="O1946" i="1" s="1"/>
  <c r="P1946" i="1" s="1"/>
  <c r="R1946" i="1" s="1"/>
  <c r="K1946" i="1"/>
  <c r="J1946" i="1"/>
  <c r="I1946" i="1"/>
  <c r="M1946" i="1" s="1"/>
  <c r="S1945" i="1"/>
  <c r="O1945" i="1"/>
  <c r="P1945" i="1" s="1"/>
  <c r="R1945" i="1" s="1"/>
  <c r="L1945" i="1"/>
  <c r="J1945" i="1"/>
  <c r="I1945" i="1"/>
  <c r="K1945" i="1" s="1"/>
  <c r="N1945" i="1" s="1"/>
  <c r="Q1945" i="1" s="1"/>
  <c r="S1944" i="1"/>
  <c r="L1944" i="1"/>
  <c r="O1944" i="1" s="1"/>
  <c r="P1944" i="1" s="1"/>
  <c r="R1944" i="1" s="1"/>
  <c r="J1944" i="1"/>
  <c r="I1944" i="1"/>
  <c r="M1944" i="1" s="1"/>
  <c r="S1943" i="1"/>
  <c r="O1943" i="1"/>
  <c r="P1943" i="1" s="1"/>
  <c r="R1943" i="1" s="1"/>
  <c r="L1943" i="1"/>
  <c r="K1943" i="1"/>
  <c r="N1943" i="1" s="1"/>
  <c r="Q1943" i="1" s="1"/>
  <c r="J1943" i="1"/>
  <c r="I1943" i="1"/>
  <c r="M1943" i="1" s="1"/>
  <c r="S1942" i="1"/>
  <c r="N1942" i="1"/>
  <c r="Q1942" i="1" s="1"/>
  <c r="L1942" i="1"/>
  <c r="O1942" i="1" s="1"/>
  <c r="P1942" i="1" s="1"/>
  <c r="R1942" i="1" s="1"/>
  <c r="K1942" i="1"/>
  <c r="J1942" i="1"/>
  <c r="I1942" i="1"/>
  <c r="M1942" i="1" s="1"/>
  <c r="S1941" i="1"/>
  <c r="O1941" i="1"/>
  <c r="P1941" i="1" s="1"/>
  <c r="R1941" i="1" s="1"/>
  <c r="L1941" i="1"/>
  <c r="J1941" i="1"/>
  <c r="I1941" i="1"/>
  <c r="K1941" i="1" s="1"/>
  <c r="N1941" i="1" s="1"/>
  <c r="Q1941" i="1" s="1"/>
  <c r="S1940" i="1"/>
  <c r="L1940" i="1"/>
  <c r="O1940" i="1" s="1"/>
  <c r="P1940" i="1" s="1"/>
  <c r="R1940" i="1" s="1"/>
  <c r="J1940" i="1"/>
  <c r="I1940" i="1"/>
  <c r="M1940" i="1" s="1"/>
  <c r="S1939" i="1"/>
  <c r="O1939" i="1"/>
  <c r="P1939" i="1" s="1"/>
  <c r="R1939" i="1" s="1"/>
  <c r="L1939" i="1"/>
  <c r="K1939" i="1"/>
  <c r="N1939" i="1" s="1"/>
  <c r="Q1939" i="1" s="1"/>
  <c r="J1939" i="1"/>
  <c r="I1939" i="1"/>
  <c r="M1939" i="1" s="1"/>
  <c r="S1938" i="1"/>
  <c r="N1938" i="1"/>
  <c r="Q1938" i="1" s="1"/>
  <c r="L1938" i="1"/>
  <c r="O1938" i="1" s="1"/>
  <c r="P1938" i="1" s="1"/>
  <c r="R1938" i="1" s="1"/>
  <c r="K1938" i="1"/>
  <c r="J1938" i="1"/>
  <c r="I1938" i="1"/>
  <c r="M1938" i="1" s="1"/>
  <c r="S1937" i="1"/>
  <c r="O1937" i="1"/>
  <c r="P1937" i="1" s="1"/>
  <c r="R1937" i="1" s="1"/>
  <c r="L1937" i="1"/>
  <c r="J1937" i="1"/>
  <c r="I1937" i="1"/>
  <c r="K1937" i="1" s="1"/>
  <c r="N1937" i="1" s="1"/>
  <c r="Q1937" i="1" s="1"/>
  <c r="S1936" i="1"/>
  <c r="L1936" i="1"/>
  <c r="O1936" i="1" s="1"/>
  <c r="P1936" i="1" s="1"/>
  <c r="R1936" i="1" s="1"/>
  <c r="J1936" i="1"/>
  <c r="I1936" i="1"/>
  <c r="M1936" i="1" s="1"/>
  <c r="S1935" i="1"/>
  <c r="O1935" i="1"/>
  <c r="P1935" i="1" s="1"/>
  <c r="R1935" i="1" s="1"/>
  <c r="L1935" i="1"/>
  <c r="K1935" i="1"/>
  <c r="N1935" i="1" s="1"/>
  <c r="Q1935" i="1" s="1"/>
  <c r="J1935" i="1"/>
  <c r="I1935" i="1"/>
  <c r="M1935" i="1" s="1"/>
  <c r="S1934" i="1"/>
  <c r="N1934" i="1"/>
  <c r="Q1934" i="1" s="1"/>
  <c r="L1934" i="1"/>
  <c r="O1934" i="1" s="1"/>
  <c r="P1934" i="1" s="1"/>
  <c r="R1934" i="1" s="1"/>
  <c r="K1934" i="1"/>
  <c r="J1934" i="1"/>
  <c r="I1934" i="1"/>
  <c r="M1934" i="1" s="1"/>
  <c r="S1933" i="1"/>
  <c r="O1933" i="1"/>
  <c r="P1933" i="1" s="1"/>
  <c r="R1933" i="1" s="1"/>
  <c r="L1933" i="1"/>
  <c r="J1933" i="1"/>
  <c r="I1933" i="1"/>
  <c r="K1933" i="1" s="1"/>
  <c r="N1933" i="1" s="1"/>
  <c r="Q1933" i="1" s="1"/>
  <c r="S1932" i="1"/>
  <c r="L1932" i="1"/>
  <c r="O1932" i="1" s="1"/>
  <c r="P1932" i="1" s="1"/>
  <c r="R1932" i="1" s="1"/>
  <c r="J1932" i="1"/>
  <c r="I1932" i="1"/>
  <c r="M1932" i="1" s="1"/>
  <c r="S1931" i="1"/>
  <c r="O1931" i="1"/>
  <c r="P1931" i="1" s="1"/>
  <c r="R1931" i="1" s="1"/>
  <c r="L1931" i="1"/>
  <c r="K1931" i="1"/>
  <c r="N1931" i="1" s="1"/>
  <c r="Q1931" i="1" s="1"/>
  <c r="J1931" i="1"/>
  <c r="I1931" i="1"/>
  <c r="M1931" i="1" s="1"/>
  <c r="S1930" i="1"/>
  <c r="N1930" i="1"/>
  <c r="Q1930" i="1" s="1"/>
  <c r="L1930" i="1"/>
  <c r="O1930" i="1" s="1"/>
  <c r="P1930" i="1" s="1"/>
  <c r="R1930" i="1" s="1"/>
  <c r="K1930" i="1"/>
  <c r="J1930" i="1"/>
  <c r="I1930" i="1"/>
  <c r="M1930" i="1" s="1"/>
  <c r="S1929" i="1"/>
  <c r="O1929" i="1"/>
  <c r="P1929" i="1" s="1"/>
  <c r="R1929" i="1" s="1"/>
  <c r="L1929" i="1"/>
  <c r="J1929" i="1"/>
  <c r="I1929" i="1"/>
  <c r="K1929" i="1" s="1"/>
  <c r="N1929" i="1" s="1"/>
  <c r="Q1929" i="1" s="1"/>
  <c r="S1928" i="1"/>
  <c r="L1928" i="1"/>
  <c r="O1928" i="1" s="1"/>
  <c r="P1928" i="1" s="1"/>
  <c r="R1928" i="1" s="1"/>
  <c r="J1928" i="1"/>
  <c r="I1928" i="1"/>
  <c r="M1928" i="1" s="1"/>
  <c r="S1927" i="1"/>
  <c r="O1927" i="1"/>
  <c r="P1927" i="1" s="1"/>
  <c r="R1927" i="1" s="1"/>
  <c r="L1927" i="1"/>
  <c r="K1927" i="1"/>
  <c r="N1927" i="1" s="1"/>
  <c r="Q1927" i="1" s="1"/>
  <c r="J1927" i="1"/>
  <c r="I1927" i="1"/>
  <c r="M1927" i="1" s="1"/>
  <c r="S1926" i="1"/>
  <c r="N1926" i="1"/>
  <c r="Q1926" i="1" s="1"/>
  <c r="L1926" i="1"/>
  <c r="O1926" i="1" s="1"/>
  <c r="P1926" i="1" s="1"/>
  <c r="R1926" i="1" s="1"/>
  <c r="K1926" i="1"/>
  <c r="J1926" i="1"/>
  <c r="I1926" i="1"/>
  <c r="M1926" i="1" s="1"/>
  <c r="S1925" i="1"/>
  <c r="O1925" i="1"/>
  <c r="P1925" i="1" s="1"/>
  <c r="R1925" i="1" s="1"/>
  <c r="L1925" i="1"/>
  <c r="J1925" i="1"/>
  <c r="I1925" i="1"/>
  <c r="K1925" i="1" s="1"/>
  <c r="N1925" i="1" s="1"/>
  <c r="Q1925" i="1" s="1"/>
  <c r="S1924" i="1"/>
  <c r="L1924" i="1"/>
  <c r="O1924" i="1" s="1"/>
  <c r="P1924" i="1" s="1"/>
  <c r="R1924" i="1" s="1"/>
  <c r="J1924" i="1"/>
  <c r="I1924" i="1"/>
  <c r="M1924" i="1" s="1"/>
  <c r="S1923" i="1"/>
  <c r="O1923" i="1"/>
  <c r="P1923" i="1" s="1"/>
  <c r="R1923" i="1" s="1"/>
  <c r="L1923" i="1"/>
  <c r="K1923" i="1"/>
  <c r="N1923" i="1" s="1"/>
  <c r="Q1923" i="1" s="1"/>
  <c r="J1923" i="1"/>
  <c r="I1923" i="1"/>
  <c r="M1923" i="1" s="1"/>
  <c r="S1922" i="1"/>
  <c r="N1922" i="1"/>
  <c r="Q1922" i="1" s="1"/>
  <c r="L1922" i="1"/>
  <c r="O1922" i="1" s="1"/>
  <c r="P1922" i="1" s="1"/>
  <c r="R1922" i="1" s="1"/>
  <c r="K1922" i="1"/>
  <c r="J1922" i="1"/>
  <c r="I1922" i="1"/>
  <c r="M1922" i="1" s="1"/>
  <c r="S1921" i="1"/>
  <c r="O1921" i="1"/>
  <c r="P1921" i="1" s="1"/>
  <c r="R1921" i="1" s="1"/>
  <c r="L1921" i="1"/>
  <c r="J1921" i="1"/>
  <c r="I1921" i="1"/>
  <c r="K1921" i="1" s="1"/>
  <c r="N1921" i="1" s="1"/>
  <c r="Q1921" i="1" s="1"/>
  <c r="S1920" i="1"/>
  <c r="L1920" i="1"/>
  <c r="O1920" i="1" s="1"/>
  <c r="P1920" i="1" s="1"/>
  <c r="R1920" i="1" s="1"/>
  <c r="J1920" i="1"/>
  <c r="I1920" i="1"/>
  <c r="M1920" i="1" s="1"/>
  <c r="S1919" i="1"/>
  <c r="O1919" i="1"/>
  <c r="P1919" i="1" s="1"/>
  <c r="R1919" i="1" s="1"/>
  <c r="L1919" i="1"/>
  <c r="K1919" i="1"/>
  <c r="N1919" i="1" s="1"/>
  <c r="Q1919" i="1" s="1"/>
  <c r="J1919" i="1"/>
  <c r="I1919" i="1"/>
  <c r="M1919" i="1" s="1"/>
  <c r="S1918" i="1"/>
  <c r="N1918" i="1"/>
  <c r="Q1918" i="1" s="1"/>
  <c r="L1918" i="1"/>
  <c r="O1918" i="1" s="1"/>
  <c r="P1918" i="1" s="1"/>
  <c r="R1918" i="1" s="1"/>
  <c r="K1918" i="1"/>
  <c r="J1918" i="1"/>
  <c r="I1918" i="1"/>
  <c r="M1918" i="1" s="1"/>
  <c r="S1917" i="1"/>
  <c r="O1917" i="1"/>
  <c r="P1917" i="1" s="1"/>
  <c r="R1917" i="1" s="1"/>
  <c r="L1917" i="1"/>
  <c r="J1917" i="1"/>
  <c r="I1917" i="1"/>
  <c r="K1917" i="1" s="1"/>
  <c r="N1917" i="1" s="1"/>
  <c r="Q1917" i="1" s="1"/>
  <c r="S1916" i="1"/>
  <c r="L1916" i="1"/>
  <c r="O1916" i="1" s="1"/>
  <c r="P1916" i="1" s="1"/>
  <c r="R1916" i="1" s="1"/>
  <c r="J1916" i="1"/>
  <c r="I1916" i="1"/>
  <c r="M1916" i="1" s="1"/>
  <c r="S1915" i="1"/>
  <c r="O1915" i="1"/>
  <c r="P1915" i="1" s="1"/>
  <c r="R1915" i="1" s="1"/>
  <c r="L1915" i="1"/>
  <c r="K1915" i="1"/>
  <c r="N1915" i="1" s="1"/>
  <c r="Q1915" i="1" s="1"/>
  <c r="J1915" i="1"/>
  <c r="I1915" i="1"/>
  <c r="M1915" i="1" s="1"/>
  <c r="S1914" i="1"/>
  <c r="N1914" i="1"/>
  <c r="Q1914" i="1" s="1"/>
  <c r="L1914" i="1"/>
  <c r="O1914" i="1" s="1"/>
  <c r="P1914" i="1" s="1"/>
  <c r="R1914" i="1" s="1"/>
  <c r="K1914" i="1"/>
  <c r="J1914" i="1"/>
  <c r="I1914" i="1"/>
  <c r="M1914" i="1" s="1"/>
  <c r="S1913" i="1"/>
  <c r="O1913" i="1"/>
  <c r="P1913" i="1" s="1"/>
  <c r="R1913" i="1" s="1"/>
  <c r="L1913" i="1"/>
  <c r="J1913" i="1"/>
  <c r="I1913" i="1"/>
  <c r="K1913" i="1" s="1"/>
  <c r="N1913" i="1" s="1"/>
  <c r="Q1913" i="1" s="1"/>
  <c r="S1912" i="1"/>
  <c r="L1912" i="1"/>
  <c r="O1912" i="1" s="1"/>
  <c r="P1912" i="1" s="1"/>
  <c r="R1912" i="1" s="1"/>
  <c r="J1912" i="1"/>
  <c r="I1912" i="1"/>
  <c r="M1912" i="1" s="1"/>
  <c r="S1911" i="1"/>
  <c r="O1911" i="1"/>
  <c r="P1911" i="1" s="1"/>
  <c r="R1911" i="1" s="1"/>
  <c r="L1911" i="1"/>
  <c r="K1911" i="1"/>
  <c r="N1911" i="1" s="1"/>
  <c r="Q1911" i="1" s="1"/>
  <c r="J1911" i="1"/>
  <c r="I1911" i="1"/>
  <c r="M1911" i="1" s="1"/>
  <c r="S1910" i="1"/>
  <c r="N1910" i="1"/>
  <c r="Q1910" i="1" s="1"/>
  <c r="L1910" i="1"/>
  <c r="O1910" i="1" s="1"/>
  <c r="P1910" i="1" s="1"/>
  <c r="R1910" i="1" s="1"/>
  <c r="K1910" i="1"/>
  <c r="J1910" i="1"/>
  <c r="I1910" i="1"/>
  <c r="M1910" i="1" s="1"/>
  <c r="S1909" i="1"/>
  <c r="O1909" i="1"/>
  <c r="P1909" i="1" s="1"/>
  <c r="R1909" i="1" s="1"/>
  <c r="L1909" i="1"/>
  <c r="J1909" i="1"/>
  <c r="I1909" i="1"/>
  <c r="K1909" i="1" s="1"/>
  <c r="N1909" i="1" s="1"/>
  <c r="Q1909" i="1" s="1"/>
  <c r="S1908" i="1"/>
  <c r="L1908" i="1"/>
  <c r="O1908" i="1" s="1"/>
  <c r="P1908" i="1" s="1"/>
  <c r="R1908" i="1" s="1"/>
  <c r="J1908" i="1"/>
  <c r="I1908" i="1"/>
  <c r="M1908" i="1" s="1"/>
  <c r="S1907" i="1"/>
  <c r="O1907" i="1"/>
  <c r="P1907" i="1" s="1"/>
  <c r="R1907" i="1" s="1"/>
  <c r="L1907" i="1"/>
  <c r="K1907" i="1"/>
  <c r="N1907" i="1" s="1"/>
  <c r="Q1907" i="1" s="1"/>
  <c r="J1907" i="1"/>
  <c r="I1907" i="1"/>
  <c r="M1907" i="1" s="1"/>
  <c r="S1906" i="1"/>
  <c r="N1906" i="1"/>
  <c r="Q1906" i="1" s="1"/>
  <c r="L1906" i="1"/>
  <c r="O1906" i="1" s="1"/>
  <c r="P1906" i="1" s="1"/>
  <c r="R1906" i="1" s="1"/>
  <c r="K1906" i="1"/>
  <c r="J1906" i="1"/>
  <c r="I1906" i="1"/>
  <c r="M1906" i="1" s="1"/>
  <c r="S1905" i="1"/>
  <c r="O1905" i="1"/>
  <c r="P1905" i="1" s="1"/>
  <c r="R1905" i="1" s="1"/>
  <c r="L1905" i="1"/>
  <c r="J1905" i="1"/>
  <c r="I1905" i="1"/>
  <c r="K1905" i="1" s="1"/>
  <c r="N1905" i="1" s="1"/>
  <c r="Q1905" i="1" s="1"/>
  <c r="S1904" i="1"/>
  <c r="L1904" i="1"/>
  <c r="O1904" i="1" s="1"/>
  <c r="P1904" i="1" s="1"/>
  <c r="R1904" i="1" s="1"/>
  <c r="J1904" i="1"/>
  <c r="I1904" i="1"/>
  <c r="M1904" i="1" s="1"/>
  <c r="S1903" i="1"/>
  <c r="O1903" i="1"/>
  <c r="P1903" i="1" s="1"/>
  <c r="R1903" i="1" s="1"/>
  <c r="L1903" i="1"/>
  <c r="K1903" i="1"/>
  <c r="N1903" i="1" s="1"/>
  <c r="Q1903" i="1" s="1"/>
  <c r="J1903" i="1"/>
  <c r="I1903" i="1"/>
  <c r="M1903" i="1" s="1"/>
  <c r="S1902" i="1"/>
  <c r="L1902" i="1"/>
  <c r="O1902" i="1" s="1"/>
  <c r="P1902" i="1" s="1"/>
  <c r="R1902" i="1" s="1"/>
  <c r="J1902" i="1"/>
  <c r="K1902" i="1" s="1"/>
  <c r="N1902" i="1" s="1"/>
  <c r="Q1902" i="1" s="1"/>
  <c r="I1902" i="1"/>
  <c r="M1902" i="1" s="1"/>
  <c r="S1901" i="1"/>
  <c r="O1901" i="1"/>
  <c r="P1901" i="1" s="1"/>
  <c r="R1901" i="1" s="1"/>
  <c r="L1901" i="1"/>
  <c r="J1901" i="1"/>
  <c r="I1901" i="1"/>
  <c r="K1901" i="1" s="1"/>
  <c r="N1901" i="1" s="1"/>
  <c r="Q1901" i="1" s="1"/>
  <c r="S1900" i="1"/>
  <c r="L1900" i="1"/>
  <c r="O1900" i="1" s="1"/>
  <c r="P1900" i="1" s="1"/>
  <c r="R1900" i="1" s="1"/>
  <c r="J1900" i="1"/>
  <c r="I1900" i="1"/>
  <c r="M1900" i="1" s="1"/>
  <c r="S1899" i="1"/>
  <c r="O1899" i="1"/>
  <c r="P1899" i="1" s="1"/>
  <c r="R1899" i="1" s="1"/>
  <c r="L1899" i="1"/>
  <c r="K1899" i="1"/>
  <c r="N1899" i="1" s="1"/>
  <c r="Q1899" i="1" s="1"/>
  <c r="J1899" i="1"/>
  <c r="I1899" i="1"/>
  <c r="M1899" i="1" s="1"/>
  <c r="S1898" i="1"/>
  <c r="L1898" i="1"/>
  <c r="O1898" i="1" s="1"/>
  <c r="P1898" i="1" s="1"/>
  <c r="R1898" i="1" s="1"/>
  <c r="J1898" i="1"/>
  <c r="I1898" i="1"/>
  <c r="K1898" i="1" s="1"/>
  <c r="N1898" i="1" s="1"/>
  <c r="Q1898" i="1" s="1"/>
  <c r="S1897" i="1"/>
  <c r="O1897" i="1"/>
  <c r="P1897" i="1" s="1"/>
  <c r="R1897" i="1" s="1"/>
  <c r="L1897" i="1"/>
  <c r="J1897" i="1"/>
  <c r="I1897" i="1"/>
  <c r="K1897" i="1" s="1"/>
  <c r="N1897" i="1" s="1"/>
  <c r="Q1897" i="1" s="1"/>
  <c r="S1896" i="1"/>
  <c r="N1896" i="1"/>
  <c r="Q1896" i="1" s="1"/>
  <c r="L1896" i="1"/>
  <c r="O1896" i="1" s="1"/>
  <c r="P1896" i="1" s="1"/>
  <c r="R1896" i="1" s="1"/>
  <c r="K1896" i="1"/>
  <c r="J1896" i="1"/>
  <c r="I1896" i="1"/>
  <c r="M1896" i="1" s="1"/>
  <c r="S1895" i="1"/>
  <c r="O1895" i="1"/>
  <c r="P1895" i="1" s="1"/>
  <c r="R1895" i="1" s="1"/>
  <c r="L1895" i="1"/>
  <c r="K1895" i="1"/>
  <c r="N1895" i="1" s="1"/>
  <c r="Q1895" i="1" s="1"/>
  <c r="J1895" i="1"/>
  <c r="I1895" i="1"/>
  <c r="M1895" i="1" s="1"/>
  <c r="S1894" i="1"/>
  <c r="L1894" i="1"/>
  <c r="O1894" i="1" s="1"/>
  <c r="P1894" i="1" s="1"/>
  <c r="R1894" i="1" s="1"/>
  <c r="J1894" i="1"/>
  <c r="I1894" i="1"/>
  <c r="K1894" i="1" s="1"/>
  <c r="N1894" i="1" s="1"/>
  <c r="Q1894" i="1" s="1"/>
  <c r="S1893" i="1"/>
  <c r="O1893" i="1"/>
  <c r="P1893" i="1" s="1"/>
  <c r="R1893" i="1" s="1"/>
  <c r="L1893" i="1"/>
  <c r="J1893" i="1"/>
  <c r="I1893" i="1"/>
  <c r="K1893" i="1" s="1"/>
  <c r="N1893" i="1" s="1"/>
  <c r="Q1893" i="1" s="1"/>
  <c r="S1892" i="1"/>
  <c r="N1892" i="1"/>
  <c r="Q1892" i="1" s="1"/>
  <c r="L1892" i="1"/>
  <c r="O1892" i="1" s="1"/>
  <c r="P1892" i="1" s="1"/>
  <c r="R1892" i="1" s="1"/>
  <c r="K1892" i="1"/>
  <c r="J1892" i="1"/>
  <c r="I1892" i="1"/>
  <c r="M1892" i="1" s="1"/>
  <c r="S1891" i="1"/>
  <c r="O1891" i="1"/>
  <c r="P1891" i="1" s="1"/>
  <c r="R1891" i="1" s="1"/>
  <c r="L1891" i="1"/>
  <c r="K1891" i="1"/>
  <c r="N1891" i="1" s="1"/>
  <c r="Q1891" i="1" s="1"/>
  <c r="J1891" i="1"/>
  <c r="I1891" i="1"/>
  <c r="M1891" i="1" s="1"/>
  <c r="S1890" i="1"/>
  <c r="L1890" i="1"/>
  <c r="O1890" i="1" s="1"/>
  <c r="P1890" i="1" s="1"/>
  <c r="R1890" i="1" s="1"/>
  <c r="J1890" i="1"/>
  <c r="I1890" i="1"/>
  <c r="K1890" i="1" s="1"/>
  <c r="N1890" i="1" s="1"/>
  <c r="Q1890" i="1" s="1"/>
  <c r="S1889" i="1"/>
  <c r="O1889" i="1"/>
  <c r="P1889" i="1" s="1"/>
  <c r="R1889" i="1" s="1"/>
  <c r="L1889" i="1"/>
  <c r="J1889" i="1"/>
  <c r="I1889" i="1"/>
  <c r="K1889" i="1" s="1"/>
  <c r="N1889" i="1" s="1"/>
  <c r="Q1889" i="1" s="1"/>
  <c r="S1888" i="1"/>
  <c r="L1888" i="1"/>
  <c r="O1888" i="1" s="1"/>
  <c r="P1888" i="1" s="1"/>
  <c r="R1888" i="1" s="1"/>
  <c r="K1888" i="1"/>
  <c r="N1888" i="1" s="1"/>
  <c r="Q1888" i="1" s="1"/>
  <c r="J1888" i="1"/>
  <c r="I1888" i="1"/>
  <c r="M1888" i="1" s="1"/>
  <c r="S1887" i="1"/>
  <c r="O1887" i="1"/>
  <c r="P1887" i="1" s="1"/>
  <c r="R1887" i="1" s="1"/>
  <c r="L1887" i="1"/>
  <c r="K1887" i="1"/>
  <c r="N1887" i="1" s="1"/>
  <c r="Q1887" i="1" s="1"/>
  <c r="J1887" i="1"/>
  <c r="I1887" i="1"/>
  <c r="M1887" i="1" s="1"/>
  <c r="S1886" i="1"/>
  <c r="L1886" i="1"/>
  <c r="O1886" i="1" s="1"/>
  <c r="P1886" i="1" s="1"/>
  <c r="R1886" i="1" s="1"/>
  <c r="J1886" i="1"/>
  <c r="I1886" i="1"/>
  <c r="K1886" i="1" s="1"/>
  <c r="N1886" i="1" s="1"/>
  <c r="Q1886" i="1" s="1"/>
  <c r="S1885" i="1"/>
  <c r="L1885" i="1"/>
  <c r="O1885" i="1" s="1"/>
  <c r="P1885" i="1" s="1"/>
  <c r="R1885" i="1" s="1"/>
  <c r="J1885" i="1"/>
  <c r="I1885" i="1"/>
  <c r="K1885" i="1" s="1"/>
  <c r="N1885" i="1" s="1"/>
  <c r="Q1885" i="1" s="1"/>
  <c r="S1884" i="1"/>
  <c r="L1884" i="1"/>
  <c r="O1884" i="1" s="1"/>
  <c r="P1884" i="1" s="1"/>
  <c r="R1884" i="1" s="1"/>
  <c r="K1884" i="1"/>
  <c r="N1884" i="1" s="1"/>
  <c r="Q1884" i="1" s="1"/>
  <c r="J1884" i="1"/>
  <c r="I1884" i="1"/>
  <c r="M1884" i="1" s="1"/>
  <c r="S1883" i="1"/>
  <c r="O1883" i="1"/>
  <c r="P1883" i="1" s="1"/>
  <c r="R1883" i="1" s="1"/>
  <c r="L1883" i="1"/>
  <c r="K1883" i="1"/>
  <c r="N1883" i="1" s="1"/>
  <c r="Q1883" i="1" s="1"/>
  <c r="J1883" i="1"/>
  <c r="I1883" i="1"/>
  <c r="M1883" i="1" s="1"/>
  <c r="S1882" i="1"/>
  <c r="L1882" i="1"/>
  <c r="O1882" i="1" s="1"/>
  <c r="P1882" i="1" s="1"/>
  <c r="R1882" i="1" s="1"/>
  <c r="J1882" i="1"/>
  <c r="I1882" i="1"/>
  <c r="K1882" i="1" s="1"/>
  <c r="N1882" i="1" s="1"/>
  <c r="Q1882" i="1" s="1"/>
  <c r="S1881" i="1"/>
  <c r="O1881" i="1"/>
  <c r="P1881" i="1" s="1"/>
  <c r="R1881" i="1" s="1"/>
  <c r="L1881" i="1"/>
  <c r="J1881" i="1"/>
  <c r="I1881" i="1"/>
  <c r="K1881" i="1" s="1"/>
  <c r="N1881" i="1" s="1"/>
  <c r="Q1881" i="1" s="1"/>
  <c r="S1880" i="1"/>
  <c r="N1880" i="1"/>
  <c r="Q1880" i="1" s="1"/>
  <c r="L1880" i="1"/>
  <c r="O1880" i="1" s="1"/>
  <c r="P1880" i="1" s="1"/>
  <c r="R1880" i="1" s="1"/>
  <c r="K1880" i="1"/>
  <c r="J1880" i="1"/>
  <c r="I1880" i="1"/>
  <c r="M1880" i="1" s="1"/>
  <c r="S1879" i="1"/>
  <c r="O1879" i="1"/>
  <c r="P1879" i="1" s="1"/>
  <c r="R1879" i="1" s="1"/>
  <c r="L1879" i="1"/>
  <c r="K1879" i="1"/>
  <c r="N1879" i="1" s="1"/>
  <c r="Q1879" i="1" s="1"/>
  <c r="J1879" i="1"/>
  <c r="I1879" i="1"/>
  <c r="M1879" i="1" s="1"/>
  <c r="S1878" i="1"/>
  <c r="L1878" i="1"/>
  <c r="O1878" i="1" s="1"/>
  <c r="P1878" i="1" s="1"/>
  <c r="R1878" i="1" s="1"/>
  <c r="J1878" i="1"/>
  <c r="I1878" i="1"/>
  <c r="K1878" i="1" s="1"/>
  <c r="N1878" i="1" s="1"/>
  <c r="Q1878" i="1" s="1"/>
  <c r="S1877" i="1"/>
  <c r="O1877" i="1"/>
  <c r="P1877" i="1" s="1"/>
  <c r="R1877" i="1" s="1"/>
  <c r="L1877" i="1"/>
  <c r="J1877" i="1"/>
  <c r="I1877" i="1"/>
  <c r="K1877" i="1" s="1"/>
  <c r="N1877" i="1" s="1"/>
  <c r="Q1877" i="1" s="1"/>
  <c r="S1876" i="1"/>
  <c r="N1876" i="1"/>
  <c r="Q1876" i="1" s="1"/>
  <c r="L1876" i="1"/>
  <c r="O1876" i="1" s="1"/>
  <c r="P1876" i="1" s="1"/>
  <c r="R1876" i="1" s="1"/>
  <c r="K1876" i="1"/>
  <c r="J1876" i="1"/>
  <c r="I1876" i="1"/>
  <c r="M1876" i="1" s="1"/>
  <c r="S1875" i="1"/>
  <c r="O1875" i="1"/>
  <c r="P1875" i="1" s="1"/>
  <c r="R1875" i="1" s="1"/>
  <c r="L1875" i="1"/>
  <c r="N1875" i="1" s="1"/>
  <c r="Q1875" i="1" s="1"/>
  <c r="K1875" i="1"/>
  <c r="J1875" i="1"/>
  <c r="I1875" i="1"/>
  <c r="M1875" i="1" s="1"/>
  <c r="S1874" i="1"/>
  <c r="L1874" i="1"/>
  <c r="O1874" i="1" s="1"/>
  <c r="P1874" i="1" s="1"/>
  <c r="R1874" i="1" s="1"/>
  <c r="J1874" i="1"/>
  <c r="I1874" i="1"/>
  <c r="K1874" i="1" s="1"/>
  <c r="N1874" i="1" s="1"/>
  <c r="Q1874" i="1" s="1"/>
  <c r="S1873" i="1"/>
  <c r="O1873" i="1"/>
  <c r="P1873" i="1" s="1"/>
  <c r="R1873" i="1" s="1"/>
  <c r="L1873" i="1"/>
  <c r="J1873" i="1"/>
  <c r="I1873" i="1"/>
  <c r="K1873" i="1" s="1"/>
  <c r="S1872" i="1"/>
  <c r="L1872" i="1"/>
  <c r="J1872" i="1"/>
  <c r="I1872" i="1"/>
  <c r="M1872" i="1" s="1"/>
  <c r="S1871" i="1"/>
  <c r="O1871" i="1"/>
  <c r="P1871" i="1" s="1"/>
  <c r="R1871" i="1" s="1"/>
  <c r="L1871" i="1"/>
  <c r="N1871" i="1" s="1"/>
  <c r="Q1871" i="1" s="1"/>
  <c r="K1871" i="1"/>
  <c r="J1871" i="1"/>
  <c r="I1871" i="1"/>
  <c r="M1871" i="1" s="1"/>
  <c r="S1870" i="1"/>
  <c r="N1870" i="1"/>
  <c r="Q1870" i="1" s="1"/>
  <c r="L1870" i="1"/>
  <c r="O1870" i="1" s="1"/>
  <c r="P1870" i="1" s="1"/>
  <c r="R1870" i="1" s="1"/>
  <c r="K1870" i="1"/>
  <c r="J1870" i="1"/>
  <c r="I1870" i="1"/>
  <c r="M1870" i="1" s="1"/>
  <c r="S1869" i="1"/>
  <c r="O1869" i="1"/>
  <c r="P1869" i="1" s="1"/>
  <c r="R1869" i="1" s="1"/>
  <c r="L1869" i="1"/>
  <c r="N1869" i="1" s="1"/>
  <c r="Q1869" i="1" s="1"/>
  <c r="J1869" i="1"/>
  <c r="I1869" i="1"/>
  <c r="K1869" i="1" s="1"/>
  <c r="S1868" i="1"/>
  <c r="L1868" i="1"/>
  <c r="J1868" i="1"/>
  <c r="I1868" i="1"/>
  <c r="M1868" i="1" s="1"/>
  <c r="S1867" i="1"/>
  <c r="O1867" i="1"/>
  <c r="P1867" i="1" s="1"/>
  <c r="R1867" i="1" s="1"/>
  <c r="L1867" i="1"/>
  <c r="N1867" i="1" s="1"/>
  <c r="Q1867" i="1" s="1"/>
  <c r="K1867" i="1"/>
  <c r="J1867" i="1"/>
  <c r="I1867" i="1"/>
  <c r="M1867" i="1" s="1"/>
  <c r="S1866" i="1"/>
  <c r="N1866" i="1"/>
  <c r="Q1866" i="1" s="1"/>
  <c r="L1866" i="1"/>
  <c r="O1866" i="1" s="1"/>
  <c r="P1866" i="1" s="1"/>
  <c r="R1866" i="1" s="1"/>
  <c r="K1866" i="1"/>
  <c r="J1866" i="1"/>
  <c r="I1866" i="1"/>
  <c r="M1866" i="1" s="1"/>
  <c r="S1865" i="1"/>
  <c r="O1865" i="1"/>
  <c r="P1865" i="1" s="1"/>
  <c r="R1865" i="1" s="1"/>
  <c r="L1865" i="1"/>
  <c r="N1865" i="1" s="1"/>
  <c r="Q1865" i="1" s="1"/>
  <c r="J1865" i="1"/>
  <c r="I1865" i="1"/>
  <c r="K1865" i="1" s="1"/>
  <c r="S1864" i="1"/>
  <c r="L1864" i="1"/>
  <c r="J1864" i="1"/>
  <c r="I1864" i="1"/>
  <c r="M1864" i="1" s="1"/>
  <c r="S1863" i="1"/>
  <c r="O1863" i="1"/>
  <c r="P1863" i="1" s="1"/>
  <c r="R1863" i="1" s="1"/>
  <c r="L1863" i="1"/>
  <c r="N1863" i="1" s="1"/>
  <c r="Q1863" i="1" s="1"/>
  <c r="K1863" i="1"/>
  <c r="J1863" i="1"/>
  <c r="I1863" i="1"/>
  <c r="M1863" i="1" s="1"/>
  <c r="S1862" i="1"/>
  <c r="N1862" i="1"/>
  <c r="Q1862" i="1" s="1"/>
  <c r="L1862" i="1"/>
  <c r="O1862" i="1" s="1"/>
  <c r="P1862" i="1" s="1"/>
  <c r="R1862" i="1" s="1"/>
  <c r="K1862" i="1"/>
  <c r="J1862" i="1"/>
  <c r="I1862" i="1"/>
  <c r="M1862" i="1" s="1"/>
  <c r="S1861" i="1"/>
  <c r="O1861" i="1"/>
  <c r="P1861" i="1" s="1"/>
  <c r="R1861" i="1" s="1"/>
  <c r="L1861" i="1"/>
  <c r="J1861" i="1"/>
  <c r="I1861" i="1"/>
  <c r="K1861" i="1" s="1"/>
  <c r="N1861" i="1" s="1"/>
  <c r="Q1861" i="1" s="1"/>
  <c r="S1860" i="1"/>
  <c r="L1860" i="1"/>
  <c r="J1860" i="1"/>
  <c r="I1860" i="1"/>
  <c r="M1860" i="1" s="1"/>
  <c r="S1859" i="1"/>
  <c r="O1859" i="1"/>
  <c r="P1859" i="1" s="1"/>
  <c r="R1859" i="1" s="1"/>
  <c r="L1859" i="1"/>
  <c r="N1859" i="1" s="1"/>
  <c r="Q1859" i="1" s="1"/>
  <c r="K1859" i="1"/>
  <c r="J1859" i="1"/>
  <c r="I1859" i="1"/>
  <c r="M1859" i="1" s="1"/>
  <c r="S1858" i="1"/>
  <c r="N1858" i="1"/>
  <c r="Q1858" i="1" s="1"/>
  <c r="L1858" i="1"/>
  <c r="O1858" i="1" s="1"/>
  <c r="P1858" i="1" s="1"/>
  <c r="R1858" i="1" s="1"/>
  <c r="K1858" i="1"/>
  <c r="J1858" i="1"/>
  <c r="I1858" i="1"/>
  <c r="M1858" i="1" s="1"/>
  <c r="S1857" i="1"/>
  <c r="O1857" i="1"/>
  <c r="P1857" i="1" s="1"/>
  <c r="R1857" i="1" s="1"/>
  <c r="L1857" i="1"/>
  <c r="J1857" i="1"/>
  <c r="I1857" i="1"/>
  <c r="K1857" i="1" s="1"/>
  <c r="N1857" i="1" s="1"/>
  <c r="Q1857" i="1" s="1"/>
  <c r="S1856" i="1"/>
  <c r="L1856" i="1"/>
  <c r="J1856" i="1"/>
  <c r="I1856" i="1"/>
  <c r="M1856" i="1" s="1"/>
  <c r="S1855" i="1"/>
  <c r="O1855" i="1"/>
  <c r="P1855" i="1" s="1"/>
  <c r="R1855" i="1" s="1"/>
  <c r="L1855" i="1"/>
  <c r="N1855" i="1" s="1"/>
  <c r="Q1855" i="1" s="1"/>
  <c r="K1855" i="1"/>
  <c r="J1855" i="1"/>
  <c r="I1855" i="1"/>
  <c r="M1855" i="1" s="1"/>
  <c r="S1854" i="1"/>
  <c r="N1854" i="1"/>
  <c r="Q1854" i="1" s="1"/>
  <c r="L1854" i="1"/>
  <c r="O1854" i="1" s="1"/>
  <c r="P1854" i="1" s="1"/>
  <c r="R1854" i="1" s="1"/>
  <c r="K1854" i="1"/>
  <c r="J1854" i="1"/>
  <c r="I1854" i="1"/>
  <c r="M1854" i="1" s="1"/>
  <c r="S1853" i="1"/>
  <c r="O1853" i="1"/>
  <c r="P1853" i="1" s="1"/>
  <c r="R1853" i="1" s="1"/>
  <c r="L1853" i="1"/>
  <c r="N1853" i="1" s="1"/>
  <c r="Q1853" i="1" s="1"/>
  <c r="J1853" i="1"/>
  <c r="I1853" i="1"/>
  <c r="K1853" i="1" s="1"/>
  <c r="S1852" i="1"/>
  <c r="L1852" i="1"/>
  <c r="J1852" i="1"/>
  <c r="I1852" i="1"/>
  <c r="M1852" i="1" s="1"/>
  <c r="S1851" i="1"/>
  <c r="O1851" i="1"/>
  <c r="P1851" i="1" s="1"/>
  <c r="R1851" i="1" s="1"/>
  <c r="L1851" i="1"/>
  <c r="N1851" i="1" s="1"/>
  <c r="Q1851" i="1" s="1"/>
  <c r="K1851" i="1"/>
  <c r="J1851" i="1"/>
  <c r="I1851" i="1"/>
  <c r="M1851" i="1" s="1"/>
  <c r="S1850" i="1"/>
  <c r="N1850" i="1"/>
  <c r="Q1850" i="1" s="1"/>
  <c r="L1850" i="1"/>
  <c r="O1850" i="1" s="1"/>
  <c r="P1850" i="1" s="1"/>
  <c r="R1850" i="1" s="1"/>
  <c r="K1850" i="1"/>
  <c r="J1850" i="1"/>
  <c r="I1850" i="1"/>
  <c r="M1850" i="1" s="1"/>
  <c r="S1849" i="1"/>
  <c r="O1849" i="1"/>
  <c r="P1849" i="1" s="1"/>
  <c r="R1849" i="1" s="1"/>
  <c r="L1849" i="1"/>
  <c r="N1849" i="1" s="1"/>
  <c r="Q1849" i="1" s="1"/>
  <c r="J1849" i="1"/>
  <c r="I1849" i="1"/>
  <c r="K1849" i="1" s="1"/>
  <c r="S1848" i="1"/>
  <c r="L1848" i="1"/>
  <c r="N1848" i="1" s="1"/>
  <c r="Q1848" i="1" s="1"/>
  <c r="J1848" i="1"/>
  <c r="I1848" i="1"/>
  <c r="M1848" i="1" s="1"/>
  <c r="S1847" i="1"/>
  <c r="O1847" i="1"/>
  <c r="P1847" i="1" s="1"/>
  <c r="R1847" i="1" s="1"/>
  <c r="L1847" i="1"/>
  <c r="N1847" i="1" s="1"/>
  <c r="Q1847" i="1" s="1"/>
  <c r="K1847" i="1"/>
  <c r="J1847" i="1"/>
  <c r="I1847" i="1"/>
  <c r="M1847" i="1" s="1"/>
  <c r="S1846" i="1"/>
  <c r="N1846" i="1"/>
  <c r="Q1846" i="1" s="1"/>
  <c r="L1846" i="1"/>
  <c r="O1846" i="1" s="1"/>
  <c r="P1846" i="1" s="1"/>
  <c r="R1846" i="1" s="1"/>
  <c r="K1846" i="1"/>
  <c r="J1846" i="1"/>
  <c r="I1846" i="1"/>
  <c r="M1846" i="1" s="1"/>
  <c r="S1845" i="1"/>
  <c r="O1845" i="1"/>
  <c r="P1845" i="1" s="1"/>
  <c r="R1845" i="1" s="1"/>
  <c r="L1845" i="1"/>
  <c r="N1845" i="1" s="1"/>
  <c r="Q1845" i="1" s="1"/>
  <c r="J1845" i="1"/>
  <c r="I1845" i="1"/>
  <c r="K1845" i="1" s="1"/>
  <c r="S1844" i="1"/>
  <c r="L1844" i="1"/>
  <c r="J1844" i="1"/>
  <c r="I1844" i="1"/>
  <c r="M1844" i="1" s="1"/>
  <c r="S1843" i="1"/>
  <c r="O1843" i="1"/>
  <c r="P1843" i="1" s="1"/>
  <c r="R1843" i="1" s="1"/>
  <c r="L1843" i="1"/>
  <c r="N1843" i="1" s="1"/>
  <c r="Q1843" i="1" s="1"/>
  <c r="K1843" i="1"/>
  <c r="J1843" i="1"/>
  <c r="I1843" i="1"/>
  <c r="M1843" i="1" s="1"/>
  <c r="S1842" i="1"/>
  <c r="L1842" i="1"/>
  <c r="O1842" i="1" s="1"/>
  <c r="P1842" i="1" s="1"/>
  <c r="R1842" i="1" s="1"/>
  <c r="J1842" i="1"/>
  <c r="I1842" i="1"/>
  <c r="K1842" i="1" s="1"/>
  <c r="N1842" i="1" s="1"/>
  <c r="Q1842" i="1" s="1"/>
  <c r="S1841" i="1"/>
  <c r="O1841" i="1"/>
  <c r="P1841" i="1" s="1"/>
  <c r="R1841" i="1" s="1"/>
  <c r="L1841" i="1"/>
  <c r="N1841" i="1" s="1"/>
  <c r="Q1841" i="1" s="1"/>
  <c r="J1841" i="1"/>
  <c r="I1841" i="1"/>
  <c r="K1841" i="1" s="1"/>
  <c r="S1840" i="1"/>
  <c r="L1840" i="1"/>
  <c r="N1840" i="1" s="1"/>
  <c r="Q1840" i="1" s="1"/>
  <c r="K1840" i="1"/>
  <c r="J1840" i="1"/>
  <c r="I1840" i="1"/>
  <c r="M1840" i="1" s="1"/>
  <c r="S1839" i="1"/>
  <c r="O1839" i="1"/>
  <c r="P1839" i="1" s="1"/>
  <c r="R1839" i="1" s="1"/>
  <c r="L1839" i="1"/>
  <c r="K1839" i="1"/>
  <c r="N1839" i="1" s="1"/>
  <c r="Q1839" i="1" s="1"/>
  <c r="J1839" i="1"/>
  <c r="I1839" i="1"/>
  <c r="M1839" i="1" s="1"/>
  <c r="S1838" i="1"/>
  <c r="L1838" i="1"/>
  <c r="O1838" i="1" s="1"/>
  <c r="P1838" i="1" s="1"/>
  <c r="R1838" i="1" s="1"/>
  <c r="J1838" i="1"/>
  <c r="I1838" i="1"/>
  <c r="K1838" i="1" s="1"/>
  <c r="N1838" i="1" s="1"/>
  <c r="Q1838" i="1" s="1"/>
  <c r="S1837" i="1"/>
  <c r="O1837" i="1"/>
  <c r="P1837" i="1" s="1"/>
  <c r="R1837" i="1" s="1"/>
  <c r="L1837" i="1"/>
  <c r="J1837" i="1"/>
  <c r="I1837" i="1"/>
  <c r="K1837" i="1" s="1"/>
  <c r="N1837" i="1" s="1"/>
  <c r="Q1837" i="1" s="1"/>
  <c r="S1836" i="1"/>
  <c r="N1836" i="1"/>
  <c r="Q1836" i="1" s="1"/>
  <c r="L1836" i="1"/>
  <c r="O1836" i="1" s="1"/>
  <c r="P1836" i="1" s="1"/>
  <c r="R1836" i="1" s="1"/>
  <c r="K1836" i="1"/>
  <c r="J1836" i="1"/>
  <c r="I1836" i="1"/>
  <c r="M1836" i="1" s="1"/>
  <c r="S1835" i="1"/>
  <c r="O1835" i="1"/>
  <c r="P1835" i="1" s="1"/>
  <c r="R1835" i="1" s="1"/>
  <c r="L1835" i="1"/>
  <c r="K1835" i="1"/>
  <c r="N1835" i="1" s="1"/>
  <c r="Q1835" i="1" s="1"/>
  <c r="J1835" i="1"/>
  <c r="I1835" i="1"/>
  <c r="M1835" i="1" s="1"/>
  <c r="S1834" i="1"/>
  <c r="L1834" i="1"/>
  <c r="O1834" i="1" s="1"/>
  <c r="P1834" i="1" s="1"/>
  <c r="R1834" i="1" s="1"/>
  <c r="J1834" i="1"/>
  <c r="I1834" i="1"/>
  <c r="K1834" i="1" s="1"/>
  <c r="N1834" i="1" s="1"/>
  <c r="Q1834" i="1" s="1"/>
  <c r="S1833" i="1"/>
  <c r="O1833" i="1"/>
  <c r="P1833" i="1" s="1"/>
  <c r="R1833" i="1" s="1"/>
  <c r="L1833" i="1"/>
  <c r="J1833" i="1"/>
  <c r="I1833" i="1"/>
  <c r="K1833" i="1" s="1"/>
  <c r="N1833" i="1" s="1"/>
  <c r="Q1833" i="1" s="1"/>
  <c r="S1832" i="1"/>
  <c r="N1832" i="1"/>
  <c r="Q1832" i="1" s="1"/>
  <c r="L1832" i="1"/>
  <c r="O1832" i="1" s="1"/>
  <c r="P1832" i="1" s="1"/>
  <c r="R1832" i="1" s="1"/>
  <c r="K1832" i="1"/>
  <c r="J1832" i="1"/>
  <c r="I1832" i="1"/>
  <c r="M1832" i="1" s="1"/>
  <c r="S1831" i="1"/>
  <c r="O1831" i="1"/>
  <c r="P1831" i="1" s="1"/>
  <c r="R1831" i="1" s="1"/>
  <c r="L1831" i="1"/>
  <c r="K1831" i="1"/>
  <c r="N1831" i="1" s="1"/>
  <c r="Q1831" i="1" s="1"/>
  <c r="J1831" i="1"/>
  <c r="I1831" i="1"/>
  <c r="M1831" i="1" s="1"/>
  <c r="S1830" i="1"/>
  <c r="L1830" i="1"/>
  <c r="O1830" i="1" s="1"/>
  <c r="P1830" i="1" s="1"/>
  <c r="R1830" i="1" s="1"/>
  <c r="J1830" i="1"/>
  <c r="I1830" i="1"/>
  <c r="K1830" i="1" s="1"/>
  <c r="N1830" i="1" s="1"/>
  <c r="Q1830" i="1" s="1"/>
  <c r="S1829" i="1"/>
  <c r="O1829" i="1"/>
  <c r="P1829" i="1" s="1"/>
  <c r="R1829" i="1" s="1"/>
  <c r="L1829" i="1"/>
  <c r="J1829" i="1"/>
  <c r="I1829" i="1"/>
  <c r="K1829" i="1" s="1"/>
  <c r="N1829" i="1" s="1"/>
  <c r="Q1829" i="1" s="1"/>
  <c r="S1828" i="1"/>
  <c r="N1828" i="1"/>
  <c r="Q1828" i="1" s="1"/>
  <c r="L1828" i="1"/>
  <c r="O1828" i="1" s="1"/>
  <c r="P1828" i="1" s="1"/>
  <c r="R1828" i="1" s="1"/>
  <c r="K1828" i="1"/>
  <c r="J1828" i="1"/>
  <c r="I1828" i="1"/>
  <c r="M1828" i="1" s="1"/>
  <c r="S1827" i="1"/>
  <c r="O1827" i="1"/>
  <c r="P1827" i="1" s="1"/>
  <c r="R1827" i="1" s="1"/>
  <c r="L1827" i="1"/>
  <c r="K1827" i="1"/>
  <c r="N1827" i="1" s="1"/>
  <c r="Q1827" i="1" s="1"/>
  <c r="J1827" i="1"/>
  <c r="I1827" i="1"/>
  <c r="M1827" i="1" s="1"/>
  <c r="S1826" i="1"/>
  <c r="L1826" i="1"/>
  <c r="O1826" i="1" s="1"/>
  <c r="P1826" i="1" s="1"/>
  <c r="R1826" i="1" s="1"/>
  <c r="J1826" i="1"/>
  <c r="I1826" i="1"/>
  <c r="K1826" i="1" s="1"/>
  <c r="N1826" i="1" s="1"/>
  <c r="Q1826" i="1" s="1"/>
  <c r="S1825" i="1"/>
  <c r="O1825" i="1"/>
  <c r="P1825" i="1" s="1"/>
  <c r="R1825" i="1" s="1"/>
  <c r="L1825" i="1"/>
  <c r="J1825" i="1"/>
  <c r="I1825" i="1"/>
  <c r="K1825" i="1" s="1"/>
  <c r="N1825" i="1" s="1"/>
  <c r="Q1825" i="1" s="1"/>
  <c r="S1824" i="1"/>
  <c r="N1824" i="1"/>
  <c r="Q1824" i="1" s="1"/>
  <c r="L1824" i="1"/>
  <c r="O1824" i="1" s="1"/>
  <c r="P1824" i="1" s="1"/>
  <c r="R1824" i="1" s="1"/>
  <c r="K1824" i="1"/>
  <c r="J1824" i="1"/>
  <c r="I1824" i="1"/>
  <c r="M1824" i="1" s="1"/>
  <c r="S1823" i="1"/>
  <c r="O1823" i="1"/>
  <c r="P1823" i="1" s="1"/>
  <c r="R1823" i="1" s="1"/>
  <c r="L1823" i="1"/>
  <c r="K1823" i="1"/>
  <c r="N1823" i="1" s="1"/>
  <c r="Q1823" i="1" s="1"/>
  <c r="J1823" i="1"/>
  <c r="I1823" i="1"/>
  <c r="M1823" i="1" s="1"/>
  <c r="S1822" i="1"/>
  <c r="L1822" i="1"/>
  <c r="O1822" i="1" s="1"/>
  <c r="P1822" i="1" s="1"/>
  <c r="R1822" i="1" s="1"/>
  <c r="J1822" i="1"/>
  <c r="I1822" i="1"/>
  <c r="K1822" i="1" s="1"/>
  <c r="N1822" i="1" s="1"/>
  <c r="Q1822" i="1" s="1"/>
  <c r="S1821" i="1"/>
  <c r="O1821" i="1"/>
  <c r="P1821" i="1" s="1"/>
  <c r="R1821" i="1" s="1"/>
  <c r="L1821" i="1"/>
  <c r="J1821" i="1"/>
  <c r="I1821" i="1"/>
  <c r="K1821" i="1" s="1"/>
  <c r="N1821" i="1" s="1"/>
  <c r="Q1821" i="1" s="1"/>
  <c r="S1820" i="1"/>
  <c r="N1820" i="1"/>
  <c r="Q1820" i="1" s="1"/>
  <c r="L1820" i="1"/>
  <c r="O1820" i="1" s="1"/>
  <c r="P1820" i="1" s="1"/>
  <c r="R1820" i="1" s="1"/>
  <c r="K1820" i="1"/>
  <c r="J1820" i="1"/>
  <c r="I1820" i="1"/>
  <c r="M1820" i="1" s="1"/>
  <c r="S1819" i="1"/>
  <c r="O1819" i="1"/>
  <c r="P1819" i="1" s="1"/>
  <c r="R1819" i="1" s="1"/>
  <c r="L1819" i="1"/>
  <c r="K1819" i="1"/>
  <c r="N1819" i="1" s="1"/>
  <c r="Q1819" i="1" s="1"/>
  <c r="J1819" i="1"/>
  <c r="I1819" i="1"/>
  <c r="M1819" i="1" s="1"/>
  <c r="S1818" i="1"/>
  <c r="L1818" i="1"/>
  <c r="O1818" i="1" s="1"/>
  <c r="P1818" i="1" s="1"/>
  <c r="R1818" i="1" s="1"/>
  <c r="J1818" i="1"/>
  <c r="I1818" i="1"/>
  <c r="K1818" i="1" s="1"/>
  <c r="N1818" i="1" s="1"/>
  <c r="Q1818" i="1" s="1"/>
  <c r="S1817" i="1"/>
  <c r="O1817" i="1"/>
  <c r="P1817" i="1" s="1"/>
  <c r="R1817" i="1" s="1"/>
  <c r="L1817" i="1"/>
  <c r="J1817" i="1"/>
  <c r="I1817" i="1"/>
  <c r="K1817" i="1" s="1"/>
  <c r="N1817" i="1" s="1"/>
  <c r="Q1817" i="1" s="1"/>
  <c r="S1816" i="1"/>
  <c r="N1816" i="1"/>
  <c r="Q1816" i="1" s="1"/>
  <c r="L1816" i="1"/>
  <c r="O1816" i="1" s="1"/>
  <c r="P1816" i="1" s="1"/>
  <c r="R1816" i="1" s="1"/>
  <c r="K1816" i="1"/>
  <c r="J1816" i="1"/>
  <c r="I1816" i="1"/>
  <c r="M1816" i="1" s="1"/>
  <c r="S1815" i="1"/>
  <c r="O1815" i="1"/>
  <c r="P1815" i="1" s="1"/>
  <c r="R1815" i="1" s="1"/>
  <c r="L1815" i="1"/>
  <c r="K1815" i="1"/>
  <c r="N1815" i="1" s="1"/>
  <c r="Q1815" i="1" s="1"/>
  <c r="J1815" i="1"/>
  <c r="I1815" i="1"/>
  <c r="M1815" i="1" s="1"/>
  <c r="S1814" i="1"/>
  <c r="L1814" i="1"/>
  <c r="O1814" i="1" s="1"/>
  <c r="P1814" i="1" s="1"/>
  <c r="R1814" i="1" s="1"/>
  <c r="J1814" i="1"/>
  <c r="I1814" i="1"/>
  <c r="K1814" i="1" s="1"/>
  <c r="N1814" i="1" s="1"/>
  <c r="Q1814" i="1" s="1"/>
  <c r="S1813" i="1"/>
  <c r="O1813" i="1"/>
  <c r="P1813" i="1" s="1"/>
  <c r="R1813" i="1" s="1"/>
  <c r="L1813" i="1"/>
  <c r="J1813" i="1"/>
  <c r="I1813" i="1"/>
  <c r="K1813" i="1" s="1"/>
  <c r="N1813" i="1" s="1"/>
  <c r="Q1813" i="1" s="1"/>
  <c r="S1812" i="1"/>
  <c r="N1812" i="1"/>
  <c r="Q1812" i="1" s="1"/>
  <c r="L1812" i="1"/>
  <c r="O1812" i="1" s="1"/>
  <c r="P1812" i="1" s="1"/>
  <c r="R1812" i="1" s="1"/>
  <c r="K1812" i="1"/>
  <c r="J1812" i="1"/>
  <c r="I1812" i="1"/>
  <c r="M1812" i="1" s="1"/>
  <c r="S1811" i="1"/>
  <c r="O1811" i="1"/>
  <c r="P1811" i="1" s="1"/>
  <c r="R1811" i="1" s="1"/>
  <c r="L1811" i="1"/>
  <c r="K1811" i="1"/>
  <c r="N1811" i="1" s="1"/>
  <c r="Q1811" i="1" s="1"/>
  <c r="J1811" i="1"/>
  <c r="I1811" i="1"/>
  <c r="M1811" i="1" s="1"/>
  <c r="S1810" i="1"/>
  <c r="L1810" i="1"/>
  <c r="O1810" i="1" s="1"/>
  <c r="P1810" i="1" s="1"/>
  <c r="R1810" i="1" s="1"/>
  <c r="J1810" i="1"/>
  <c r="I1810" i="1"/>
  <c r="K1810" i="1" s="1"/>
  <c r="N1810" i="1" s="1"/>
  <c r="Q1810" i="1" s="1"/>
  <c r="S1809" i="1"/>
  <c r="O1809" i="1"/>
  <c r="P1809" i="1" s="1"/>
  <c r="R1809" i="1" s="1"/>
  <c r="L1809" i="1"/>
  <c r="J1809" i="1"/>
  <c r="I1809" i="1"/>
  <c r="K1809" i="1" s="1"/>
  <c r="N1809" i="1" s="1"/>
  <c r="Q1809" i="1" s="1"/>
  <c r="S1808" i="1"/>
  <c r="N1808" i="1"/>
  <c r="Q1808" i="1" s="1"/>
  <c r="L1808" i="1"/>
  <c r="O1808" i="1" s="1"/>
  <c r="P1808" i="1" s="1"/>
  <c r="R1808" i="1" s="1"/>
  <c r="K1808" i="1"/>
  <c r="J1808" i="1"/>
  <c r="I1808" i="1"/>
  <c r="M1808" i="1" s="1"/>
  <c r="S1807" i="1"/>
  <c r="O1807" i="1"/>
  <c r="P1807" i="1" s="1"/>
  <c r="R1807" i="1" s="1"/>
  <c r="L1807" i="1"/>
  <c r="K1807" i="1"/>
  <c r="N1807" i="1" s="1"/>
  <c r="Q1807" i="1" s="1"/>
  <c r="J1807" i="1"/>
  <c r="I1807" i="1"/>
  <c r="M1807" i="1" s="1"/>
  <c r="S1806" i="1"/>
  <c r="L1806" i="1"/>
  <c r="O1806" i="1" s="1"/>
  <c r="P1806" i="1" s="1"/>
  <c r="R1806" i="1" s="1"/>
  <c r="J1806" i="1"/>
  <c r="I1806" i="1"/>
  <c r="K1806" i="1" s="1"/>
  <c r="N1806" i="1" s="1"/>
  <c r="Q1806" i="1" s="1"/>
  <c r="S1805" i="1"/>
  <c r="O1805" i="1"/>
  <c r="P1805" i="1" s="1"/>
  <c r="R1805" i="1" s="1"/>
  <c r="L1805" i="1"/>
  <c r="J1805" i="1"/>
  <c r="I1805" i="1"/>
  <c r="K1805" i="1" s="1"/>
  <c r="N1805" i="1" s="1"/>
  <c r="Q1805" i="1" s="1"/>
  <c r="S1804" i="1"/>
  <c r="N1804" i="1"/>
  <c r="Q1804" i="1" s="1"/>
  <c r="L1804" i="1"/>
  <c r="O1804" i="1" s="1"/>
  <c r="P1804" i="1" s="1"/>
  <c r="R1804" i="1" s="1"/>
  <c r="K1804" i="1"/>
  <c r="J1804" i="1"/>
  <c r="I1804" i="1"/>
  <c r="M1804" i="1" s="1"/>
  <c r="S1803" i="1"/>
  <c r="O1803" i="1"/>
  <c r="P1803" i="1" s="1"/>
  <c r="R1803" i="1" s="1"/>
  <c r="L1803" i="1"/>
  <c r="K1803" i="1"/>
  <c r="N1803" i="1" s="1"/>
  <c r="Q1803" i="1" s="1"/>
  <c r="J1803" i="1"/>
  <c r="I1803" i="1"/>
  <c r="M1803" i="1" s="1"/>
  <c r="S1802" i="1"/>
  <c r="L1802" i="1"/>
  <c r="O1802" i="1" s="1"/>
  <c r="P1802" i="1" s="1"/>
  <c r="R1802" i="1" s="1"/>
  <c r="J1802" i="1"/>
  <c r="I1802" i="1"/>
  <c r="K1802" i="1" s="1"/>
  <c r="N1802" i="1" s="1"/>
  <c r="Q1802" i="1" s="1"/>
  <c r="S1801" i="1"/>
  <c r="O1801" i="1"/>
  <c r="P1801" i="1" s="1"/>
  <c r="R1801" i="1" s="1"/>
  <c r="L1801" i="1"/>
  <c r="J1801" i="1"/>
  <c r="I1801" i="1"/>
  <c r="K1801" i="1" s="1"/>
  <c r="N1801" i="1" s="1"/>
  <c r="Q1801" i="1" s="1"/>
  <c r="S1800" i="1"/>
  <c r="N1800" i="1"/>
  <c r="Q1800" i="1" s="1"/>
  <c r="L1800" i="1"/>
  <c r="O1800" i="1" s="1"/>
  <c r="P1800" i="1" s="1"/>
  <c r="R1800" i="1" s="1"/>
  <c r="K1800" i="1"/>
  <c r="J1800" i="1"/>
  <c r="I1800" i="1"/>
  <c r="M1800" i="1" s="1"/>
  <c r="S1799" i="1"/>
  <c r="O1799" i="1"/>
  <c r="P1799" i="1" s="1"/>
  <c r="R1799" i="1" s="1"/>
  <c r="L1799" i="1"/>
  <c r="K1799" i="1"/>
  <c r="N1799" i="1" s="1"/>
  <c r="Q1799" i="1" s="1"/>
  <c r="J1799" i="1"/>
  <c r="I1799" i="1"/>
  <c r="M1799" i="1" s="1"/>
  <c r="S1798" i="1"/>
  <c r="L1798" i="1"/>
  <c r="O1798" i="1" s="1"/>
  <c r="P1798" i="1" s="1"/>
  <c r="R1798" i="1" s="1"/>
  <c r="J1798" i="1"/>
  <c r="I1798" i="1"/>
  <c r="K1798" i="1" s="1"/>
  <c r="N1798" i="1" s="1"/>
  <c r="Q1798" i="1" s="1"/>
  <c r="S1797" i="1"/>
  <c r="O1797" i="1"/>
  <c r="P1797" i="1" s="1"/>
  <c r="R1797" i="1" s="1"/>
  <c r="L1797" i="1"/>
  <c r="J1797" i="1"/>
  <c r="I1797" i="1"/>
  <c r="K1797" i="1" s="1"/>
  <c r="N1797" i="1" s="1"/>
  <c r="Q1797" i="1" s="1"/>
  <c r="S1796" i="1"/>
  <c r="N1796" i="1"/>
  <c r="Q1796" i="1" s="1"/>
  <c r="L1796" i="1"/>
  <c r="O1796" i="1" s="1"/>
  <c r="P1796" i="1" s="1"/>
  <c r="R1796" i="1" s="1"/>
  <c r="K1796" i="1"/>
  <c r="J1796" i="1"/>
  <c r="I1796" i="1"/>
  <c r="M1796" i="1" s="1"/>
  <c r="S1795" i="1"/>
  <c r="O1795" i="1"/>
  <c r="P1795" i="1" s="1"/>
  <c r="R1795" i="1" s="1"/>
  <c r="L1795" i="1"/>
  <c r="K1795" i="1"/>
  <c r="N1795" i="1" s="1"/>
  <c r="Q1795" i="1" s="1"/>
  <c r="J1795" i="1"/>
  <c r="I1795" i="1"/>
  <c r="M1795" i="1" s="1"/>
  <c r="S1794" i="1"/>
  <c r="L1794" i="1"/>
  <c r="O1794" i="1" s="1"/>
  <c r="P1794" i="1" s="1"/>
  <c r="R1794" i="1" s="1"/>
  <c r="J1794" i="1"/>
  <c r="I1794" i="1"/>
  <c r="K1794" i="1" s="1"/>
  <c r="N1794" i="1" s="1"/>
  <c r="Q1794" i="1" s="1"/>
  <c r="S1793" i="1"/>
  <c r="O1793" i="1"/>
  <c r="P1793" i="1" s="1"/>
  <c r="R1793" i="1" s="1"/>
  <c r="L1793" i="1"/>
  <c r="J1793" i="1"/>
  <c r="I1793" i="1"/>
  <c r="K1793" i="1" s="1"/>
  <c r="N1793" i="1" s="1"/>
  <c r="Q1793" i="1" s="1"/>
  <c r="S1792" i="1"/>
  <c r="N1792" i="1"/>
  <c r="Q1792" i="1" s="1"/>
  <c r="L1792" i="1"/>
  <c r="O1792" i="1" s="1"/>
  <c r="P1792" i="1" s="1"/>
  <c r="R1792" i="1" s="1"/>
  <c r="K1792" i="1"/>
  <c r="J1792" i="1"/>
  <c r="I1792" i="1"/>
  <c r="M1792" i="1" s="1"/>
  <c r="S1791" i="1"/>
  <c r="O1791" i="1"/>
  <c r="P1791" i="1" s="1"/>
  <c r="R1791" i="1" s="1"/>
  <c r="L1791" i="1"/>
  <c r="K1791" i="1"/>
  <c r="N1791" i="1" s="1"/>
  <c r="Q1791" i="1" s="1"/>
  <c r="J1791" i="1"/>
  <c r="I1791" i="1"/>
  <c r="M1791" i="1" s="1"/>
  <c r="S1790" i="1"/>
  <c r="L1790" i="1"/>
  <c r="O1790" i="1" s="1"/>
  <c r="P1790" i="1" s="1"/>
  <c r="R1790" i="1" s="1"/>
  <c r="J1790" i="1"/>
  <c r="I1790" i="1"/>
  <c r="K1790" i="1" s="1"/>
  <c r="N1790" i="1" s="1"/>
  <c r="Q1790" i="1" s="1"/>
  <c r="S1789" i="1"/>
  <c r="O1789" i="1"/>
  <c r="P1789" i="1" s="1"/>
  <c r="R1789" i="1" s="1"/>
  <c r="L1789" i="1"/>
  <c r="J1789" i="1"/>
  <c r="I1789" i="1"/>
  <c r="K1789" i="1" s="1"/>
  <c r="N1789" i="1" s="1"/>
  <c r="Q1789" i="1" s="1"/>
  <c r="S1788" i="1"/>
  <c r="N1788" i="1"/>
  <c r="Q1788" i="1" s="1"/>
  <c r="L1788" i="1"/>
  <c r="O1788" i="1" s="1"/>
  <c r="P1788" i="1" s="1"/>
  <c r="R1788" i="1" s="1"/>
  <c r="K1788" i="1"/>
  <c r="J1788" i="1"/>
  <c r="I1788" i="1"/>
  <c r="M1788" i="1" s="1"/>
  <c r="S1787" i="1"/>
  <c r="O1787" i="1"/>
  <c r="P1787" i="1" s="1"/>
  <c r="R1787" i="1" s="1"/>
  <c r="L1787" i="1"/>
  <c r="K1787" i="1"/>
  <c r="N1787" i="1" s="1"/>
  <c r="Q1787" i="1" s="1"/>
  <c r="J1787" i="1"/>
  <c r="I1787" i="1"/>
  <c r="M1787" i="1" s="1"/>
  <c r="S1786" i="1"/>
  <c r="L1786" i="1"/>
  <c r="O1786" i="1" s="1"/>
  <c r="P1786" i="1" s="1"/>
  <c r="R1786" i="1" s="1"/>
  <c r="J1786" i="1"/>
  <c r="I1786" i="1"/>
  <c r="K1786" i="1" s="1"/>
  <c r="N1786" i="1" s="1"/>
  <c r="Q1786" i="1" s="1"/>
  <c r="S1785" i="1"/>
  <c r="O1785" i="1"/>
  <c r="P1785" i="1" s="1"/>
  <c r="R1785" i="1" s="1"/>
  <c r="L1785" i="1"/>
  <c r="J1785" i="1"/>
  <c r="I1785" i="1"/>
  <c r="K1785" i="1" s="1"/>
  <c r="N1785" i="1" s="1"/>
  <c r="Q1785" i="1" s="1"/>
  <c r="S1784" i="1"/>
  <c r="N1784" i="1"/>
  <c r="Q1784" i="1" s="1"/>
  <c r="L1784" i="1"/>
  <c r="O1784" i="1" s="1"/>
  <c r="P1784" i="1" s="1"/>
  <c r="R1784" i="1" s="1"/>
  <c r="K1784" i="1"/>
  <c r="J1784" i="1"/>
  <c r="I1784" i="1"/>
  <c r="M1784" i="1" s="1"/>
  <c r="S1783" i="1"/>
  <c r="O1783" i="1"/>
  <c r="P1783" i="1" s="1"/>
  <c r="R1783" i="1" s="1"/>
  <c r="L1783" i="1"/>
  <c r="K1783" i="1"/>
  <c r="N1783" i="1" s="1"/>
  <c r="Q1783" i="1" s="1"/>
  <c r="J1783" i="1"/>
  <c r="I1783" i="1"/>
  <c r="M1783" i="1" s="1"/>
  <c r="S1782" i="1"/>
  <c r="L1782" i="1"/>
  <c r="O1782" i="1" s="1"/>
  <c r="P1782" i="1" s="1"/>
  <c r="R1782" i="1" s="1"/>
  <c r="J1782" i="1"/>
  <c r="I1782" i="1"/>
  <c r="K1782" i="1" s="1"/>
  <c r="N1782" i="1" s="1"/>
  <c r="Q1782" i="1" s="1"/>
  <c r="S1781" i="1"/>
  <c r="O1781" i="1"/>
  <c r="P1781" i="1" s="1"/>
  <c r="R1781" i="1" s="1"/>
  <c r="L1781" i="1"/>
  <c r="J1781" i="1"/>
  <c r="I1781" i="1"/>
  <c r="K1781" i="1" s="1"/>
  <c r="N1781" i="1" s="1"/>
  <c r="Q1781" i="1" s="1"/>
  <c r="S1780" i="1"/>
  <c r="N1780" i="1"/>
  <c r="Q1780" i="1" s="1"/>
  <c r="L1780" i="1"/>
  <c r="O1780" i="1" s="1"/>
  <c r="P1780" i="1" s="1"/>
  <c r="R1780" i="1" s="1"/>
  <c r="K1780" i="1"/>
  <c r="J1780" i="1"/>
  <c r="I1780" i="1"/>
  <c r="M1780" i="1" s="1"/>
  <c r="S1779" i="1"/>
  <c r="O1779" i="1"/>
  <c r="P1779" i="1" s="1"/>
  <c r="R1779" i="1" s="1"/>
  <c r="L1779" i="1"/>
  <c r="K1779" i="1"/>
  <c r="N1779" i="1" s="1"/>
  <c r="Q1779" i="1" s="1"/>
  <c r="J1779" i="1"/>
  <c r="I1779" i="1"/>
  <c r="M1779" i="1" s="1"/>
  <c r="S1778" i="1"/>
  <c r="L1778" i="1"/>
  <c r="O1778" i="1" s="1"/>
  <c r="P1778" i="1" s="1"/>
  <c r="R1778" i="1" s="1"/>
  <c r="J1778" i="1"/>
  <c r="I1778" i="1"/>
  <c r="K1778" i="1" s="1"/>
  <c r="N1778" i="1" s="1"/>
  <c r="Q1778" i="1" s="1"/>
  <c r="S1777" i="1"/>
  <c r="O1777" i="1"/>
  <c r="P1777" i="1" s="1"/>
  <c r="R1777" i="1" s="1"/>
  <c r="L1777" i="1"/>
  <c r="J1777" i="1"/>
  <c r="I1777" i="1"/>
  <c r="K1777" i="1" s="1"/>
  <c r="N1777" i="1" s="1"/>
  <c r="Q1777" i="1" s="1"/>
  <c r="S1776" i="1"/>
  <c r="N1776" i="1"/>
  <c r="Q1776" i="1" s="1"/>
  <c r="L1776" i="1"/>
  <c r="O1776" i="1" s="1"/>
  <c r="P1776" i="1" s="1"/>
  <c r="R1776" i="1" s="1"/>
  <c r="K1776" i="1"/>
  <c r="J1776" i="1"/>
  <c r="I1776" i="1"/>
  <c r="M1776" i="1" s="1"/>
  <c r="S1775" i="1"/>
  <c r="O1775" i="1"/>
  <c r="P1775" i="1" s="1"/>
  <c r="R1775" i="1" s="1"/>
  <c r="L1775" i="1"/>
  <c r="K1775" i="1"/>
  <c r="N1775" i="1" s="1"/>
  <c r="Q1775" i="1" s="1"/>
  <c r="J1775" i="1"/>
  <c r="I1775" i="1"/>
  <c r="M1775" i="1" s="1"/>
  <c r="S1774" i="1"/>
  <c r="L1774" i="1"/>
  <c r="O1774" i="1" s="1"/>
  <c r="P1774" i="1" s="1"/>
  <c r="R1774" i="1" s="1"/>
  <c r="J1774" i="1"/>
  <c r="I1774" i="1"/>
  <c r="K1774" i="1" s="1"/>
  <c r="N1774" i="1" s="1"/>
  <c r="Q1774" i="1" s="1"/>
  <c r="S1773" i="1"/>
  <c r="O1773" i="1"/>
  <c r="P1773" i="1" s="1"/>
  <c r="R1773" i="1" s="1"/>
  <c r="L1773" i="1"/>
  <c r="J1773" i="1"/>
  <c r="I1773" i="1"/>
  <c r="K1773" i="1" s="1"/>
  <c r="N1773" i="1" s="1"/>
  <c r="Q1773" i="1" s="1"/>
  <c r="S1772" i="1"/>
  <c r="N1772" i="1"/>
  <c r="Q1772" i="1" s="1"/>
  <c r="L1772" i="1"/>
  <c r="O1772" i="1" s="1"/>
  <c r="P1772" i="1" s="1"/>
  <c r="R1772" i="1" s="1"/>
  <c r="K1772" i="1"/>
  <c r="J1772" i="1"/>
  <c r="I1772" i="1"/>
  <c r="M1772" i="1" s="1"/>
  <c r="S1771" i="1"/>
  <c r="O1771" i="1"/>
  <c r="P1771" i="1" s="1"/>
  <c r="R1771" i="1" s="1"/>
  <c r="L1771" i="1"/>
  <c r="K1771" i="1"/>
  <c r="N1771" i="1" s="1"/>
  <c r="Q1771" i="1" s="1"/>
  <c r="J1771" i="1"/>
  <c r="I1771" i="1"/>
  <c r="M1771" i="1" s="1"/>
  <c r="S1770" i="1"/>
  <c r="L1770" i="1"/>
  <c r="O1770" i="1" s="1"/>
  <c r="P1770" i="1" s="1"/>
  <c r="R1770" i="1" s="1"/>
  <c r="J1770" i="1"/>
  <c r="I1770" i="1"/>
  <c r="K1770" i="1" s="1"/>
  <c r="N1770" i="1" s="1"/>
  <c r="Q1770" i="1" s="1"/>
  <c r="S1769" i="1"/>
  <c r="O1769" i="1"/>
  <c r="P1769" i="1" s="1"/>
  <c r="R1769" i="1" s="1"/>
  <c r="L1769" i="1"/>
  <c r="J1769" i="1"/>
  <c r="I1769" i="1"/>
  <c r="K1769" i="1" s="1"/>
  <c r="N1769" i="1" s="1"/>
  <c r="Q1769" i="1" s="1"/>
  <c r="S1768" i="1"/>
  <c r="N1768" i="1"/>
  <c r="Q1768" i="1" s="1"/>
  <c r="L1768" i="1"/>
  <c r="O1768" i="1" s="1"/>
  <c r="P1768" i="1" s="1"/>
  <c r="R1768" i="1" s="1"/>
  <c r="K1768" i="1"/>
  <c r="J1768" i="1"/>
  <c r="I1768" i="1"/>
  <c r="M1768" i="1" s="1"/>
  <c r="S1767" i="1"/>
  <c r="O1767" i="1"/>
  <c r="P1767" i="1" s="1"/>
  <c r="R1767" i="1" s="1"/>
  <c r="L1767" i="1"/>
  <c r="K1767" i="1"/>
  <c r="N1767" i="1" s="1"/>
  <c r="Q1767" i="1" s="1"/>
  <c r="J1767" i="1"/>
  <c r="I1767" i="1"/>
  <c r="M1767" i="1" s="1"/>
  <c r="S1766" i="1"/>
  <c r="L1766" i="1"/>
  <c r="O1766" i="1" s="1"/>
  <c r="P1766" i="1" s="1"/>
  <c r="R1766" i="1" s="1"/>
  <c r="J1766" i="1"/>
  <c r="I1766" i="1"/>
  <c r="K1766" i="1" s="1"/>
  <c r="N1766" i="1" s="1"/>
  <c r="Q1766" i="1" s="1"/>
  <c r="S1765" i="1"/>
  <c r="O1765" i="1"/>
  <c r="P1765" i="1" s="1"/>
  <c r="R1765" i="1" s="1"/>
  <c r="L1765" i="1"/>
  <c r="J1765" i="1"/>
  <c r="I1765" i="1"/>
  <c r="K1765" i="1" s="1"/>
  <c r="N1765" i="1" s="1"/>
  <c r="Q1765" i="1" s="1"/>
  <c r="S1764" i="1"/>
  <c r="N1764" i="1"/>
  <c r="Q1764" i="1" s="1"/>
  <c r="L1764" i="1"/>
  <c r="O1764" i="1" s="1"/>
  <c r="P1764" i="1" s="1"/>
  <c r="R1764" i="1" s="1"/>
  <c r="K1764" i="1"/>
  <c r="J1764" i="1"/>
  <c r="I1764" i="1"/>
  <c r="M1764" i="1" s="1"/>
  <c r="S1763" i="1"/>
  <c r="O1763" i="1"/>
  <c r="P1763" i="1" s="1"/>
  <c r="R1763" i="1" s="1"/>
  <c r="L1763" i="1"/>
  <c r="K1763" i="1"/>
  <c r="N1763" i="1" s="1"/>
  <c r="Q1763" i="1" s="1"/>
  <c r="J1763" i="1"/>
  <c r="I1763" i="1"/>
  <c r="M1763" i="1" s="1"/>
  <c r="S1762" i="1"/>
  <c r="L1762" i="1"/>
  <c r="O1762" i="1" s="1"/>
  <c r="P1762" i="1" s="1"/>
  <c r="R1762" i="1" s="1"/>
  <c r="J1762" i="1"/>
  <c r="I1762" i="1"/>
  <c r="K1762" i="1" s="1"/>
  <c r="N1762" i="1" s="1"/>
  <c r="Q1762" i="1" s="1"/>
  <c r="S1761" i="1"/>
  <c r="O1761" i="1"/>
  <c r="P1761" i="1" s="1"/>
  <c r="R1761" i="1" s="1"/>
  <c r="L1761" i="1"/>
  <c r="J1761" i="1"/>
  <c r="I1761" i="1"/>
  <c r="K1761" i="1" s="1"/>
  <c r="N1761" i="1" s="1"/>
  <c r="Q1761" i="1" s="1"/>
  <c r="S1760" i="1"/>
  <c r="N1760" i="1"/>
  <c r="Q1760" i="1" s="1"/>
  <c r="L1760" i="1"/>
  <c r="O1760" i="1" s="1"/>
  <c r="P1760" i="1" s="1"/>
  <c r="R1760" i="1" s="1"/>
  <c r="K1760" i="1"/>
  <c r="J1760" i="1"/>
  <c r="I1760" i="1"/>
  <c r="M1760" i="1" s="1"/>
  <c r="S1759" i="1"/>
  <c r="O1759" i="1"/>
  <c r="P1759" i="1" s="1"/>
  <c r="R1759" i="1" s="1"/>
  <c r="L1759" i="1"/>
  <c r="K1759" i="1"/>
  <c r="N1759" i="1" s="1"/>
  <c r="Q1759" i="1" s="1"/>
  <c r="J1759" i="1"/>
  <c r="I1759" i="1"/>
  <c r="M1759" i="1" s="1"/>
  <c r="S1758" i="1"/>
  <c r="L1758" i="1"/>
  <c r="O1758" i="1" s="1"/>
  <c r="P1758" i="1" s="1"/>
  <c r="R1758" i="1" s="1"/>
  <c r="J1758" i="1"/>
  <c r="I1758" i="1"/>
  <c r="K1758" i="1" s="1"/>
  <c r="N1758" i="1" s="1"/>
  <c r="Q1758" i="1" s="1"/>
  <c r="S1757" i="1"/>
  <c r="O1757" i="1"/>
  <c r="P1757" i="1" s="1"/>
  <c r="R1757" i="1" s="1"/>
  <c r="L1757" i="1"/>
  <c r="J1757" i="1"/>
  <c r="I1757" i="1"/>
  <c r="K1757" i="1" s="1"/>
  <c r="N1757" i="1" s="1"/>
  <c r="Q1757" i="1" s="1"/>
  <c r="S1756" i="1"/>
  <c r="N1756" i="1"/>
  <c r="Q1756" i="1" s="1"/>
  <c r="L1756" i="1"/>
  <c r="O1756" i="1" s="1"/>
  <c r="P1756" i="1" s="1"/>
  <c r="R1756" i="1" s="1"/>
  <c r="K1756" i="1"/>
  <c r="J1756" i="1"/>
  <c r="I1756" i="1"/>
  <c r="M1756" i="1" s="1"/>
  <c r="S1755" i="1"/>
  <c r="O1755" i="1"/>
  <c r="P1755" i="1" s="1"/>
  <c r="R1755" i="1" s="1"/>
  <c r="L1755" i="1"/>
  <c r="K1755" i="1"/>
  <c r="N1755" i="1" s="1"/>
  <c r="Q1755" i="1" s="1"/>
  <c r="J1755" i="1"/>
  <c r="I1755" i="1"/>
  <c r="M1755" i="1" s="1"/>
  <c r="S1754" i="1"/>
  <c r="L1754" i="1"/>
  <c r="O1754" i="1" s="1"/>
  <c r="P1754" i="1" s="1"/>
  <c r="R1754" i="1" s="1"/>
  <c r="J1754" i="1"/>
  <c r="I1754" i="1"/>
  <c r="K1754" i="1" s="1"/>
  <c r="N1754" i="1" s="1"/>
  <c r="Q1754" i="1" s="1"/>
  <c r="S1753" i="1"/>
  <c r="O1753" i="1"/>
  <c r="P1753" i="1" s="1"/>
  <c r="R1753" i="1" s="1"/>
  <c r="L1753" i="1"/>
  <c r="J1753" i="1"/>
  <c r="I1753" i="1"/>
  <c r="K1753" i="1" s="1"/>
  <c r="N1753" i="1" s="1"/>
  <c r="Q1753" i="1" s="1"/>
  <c r="S1752" i="1"/>
  <c r="N1752" i="1"/>
  <c r="Q1752" i="1" s="1"/>
  <c r="L1752" i="1"/>
  <c r="O1752" i="1" s="1"/>
  <c r="P1752" i="1" s="1"/>
  <c r="R1752" i="1" s="1"/>
  <c r="K1752" i="1"/>
  <c r="J1752" i="1"/>
  <c r="I1752" i="1"/>
  <c r="M1752" i="1" s="1"/>
  <c r="S1751" i="1"/>
  <c r="O1751" i="1"/>
  <c r="P1751" i="1" s="1"/>
  <c r="R1751" i="1" s="1"/>
  <c r="L1751" i="1"/>
  <c r="K1751" i="1"/>
  <c r="N1751" i="1" s="1"/>
  <c r="Q1751" i="1" s="1"/>
  <c r="J1751" i="1"/>
  <c r="I1751" i="1"/>
  <c r="M1751" i="1" s="1"/>
  <c r="S1750" i="1"/>
  <c r="L1750" i="1"/>
  <c r="O1750" i="1" s="1"/>
  <c r="P1750" i="1" s="1"/>
  <c r="R1750" i="1" s="1"/>
  <c r="J1750" i="1"/>
  <c r="I1750" i="1"/>
  <c r="K1750" i="1" s="1"/>
  <c r="N1750" i="1" s="1"/>
  <c r="Q1750" i="1" s="1"/>
  <c r="S1749" i="1"/>
  <c r="O1749" i="1"/>
  <c r="P1749" i="1" s="1"/>
  <c r="R1749" i="1" s="1"/>
  <c r="L1749" i="1"/>
  <c r="J1749" i="1"/>
  <c r="I1749" i="1"/>
  <c r="K1749" i="1" s="1"/>
  <c r="N1749" i="1" s="1"/>
  <c r="Q1749" i="1" s="1"/>
  <c r="S1748" i="1"/>
  <c r="N1748" i="1"/>
  <c r="Q1748" i="1" s="1"/>
  <c r="L1748" i="1"/>
  <c r="O1748" i="1" s="1"/>
  <c r="P1748" i="1" s="1"/>
  <c r="R1748" i="1" s="1"/>
  <c r="K1748" i="1"/>
  <c r="J1748" i="1"/>
  <c r="I1748" i="1"/>
  <c r="M1748" i="1" s="1"/>
  <c r="S1747" i="1"/>
  <c r="O1747" i="1"/>
  <c r="P1747" i="1" s="1"/>
  <c r="R1747" i="1" s="1"/>
  <c r="L1747" i="1"/>
  <c r="K1747" i="1"/>
  <c r="N1747" i="1" s="1"/>
  <c r="Q1747" i="1" s="1"/>
  <c r="J1747" i="1"/>
  <c r="I1747" i="1"/>
  <c r="M1747" i="1" s="1"/>
  <c r="S1746" i="1"/>
  <c r="L1746" i="1"/>
  <c r="O1746" i="1" s="1"/>
  <c r="P1746" i="1" s="1"/>
  <c r="R1746" i="1" s="1"/>
  <c r="J1746" i="1"/>
  <c r="I1746" i="1"/>
  <c r="K1746" i="1" s="1"/>
  <c r="N1746" i="1" s="1"/>
  <c r="Q1746" i="1" s="1"/>
  <c r="S1745" i="1"/>
  <c r="O1745" i="1"/>
  <c r="P1745" i="1" s="1"/>
  <c r="R1745" i="1" s="1"/>
  <c r="L1745" i="1"/>
  <c r="J1745" i="1"/>
  <c r="I1745" i="1"/>
  <c r="K1745" i="1" s="1"/>
  <c r="N1745" i="1" s="1"/>
  <c r="Q1745" i="1" s="1"/>
  <c r="S1744" i="1"/>
  <c r="N1744" i="1"/>
  <c r="Q1744" i="1" s="1"/>
  <c r="L1744" i="1"/>
  <c r="O1744" i="1" s="1"/>
  <c r="P1744" i="1" s="1"/>
  <c r="R1744" i="1" s="1"/>
  <c r="K1744" i="1"/>
  <c r="J1744" i="1"/>
  <c r="I1744" i="1"/>
  <c r="M1744" i="1" s="1"/>
  <c r="S1743" i="1"/>
  <c r="O1743" i="1"/>
  <c r="P1743" i="1" s="1"/>
  <c r="R1743" i="1" s="1"/>
  <c r="L1743" i="1"/>
  <c r="K1743" i="1"/>
  <c r="N1743" i="1" s="1"/>
  <c r="Q1743" i="1" s="1"/>
  <c r="J1743" i="1"/>
  <c r="I1743" i="1"/>
  <c r="M1743" i="1" s="1"/>
  <c r="S1742" i="1"/>
  <c r="L1742" i="1"/>
  <c r="O1742" i="1" s="1"/>
  <c r="P1742" i="1" s="1"/>
  <c r="R1742" i="1" s="1"/>
  <c r="J1742" i="1"/>
  <c r="I1742" i="1"/>
  <c r="K1742" i="1" s="1"/>
  <c r="N1742" i="1" s="1"/>
  <c r="Q1742" i="1" s="1"/>
  <c r="S1741" i="1"/>
  <c r="O1741" i="1"/>
  <c r="P1741" i="1" s="1"/>
  <c r="R1741" i="1" s="1"/>
  <c r="L1741" i="1"/>
  <c r="J1741" i="1"/>
  <c r="I1741" i="1"/>
  <c r="K1741" i="1" s="1"/>
  <c r="N1741" i="1" s="1"/>
  <c r="Q1741" i="1" s="1"/>
  <c r="S1740" i="1"/>
  <c r="N1740" i="1"/>
  <c r="Q1740" i="1" s="1"/>
  <c r="L1740" i="1"/>
  <c r="O1740" i="1" s="1"/>
  <c r="P1740" i="1" s="1"/>
  <c r="R1740" i="1" s="1"/>
  <c r="K1740" i="1"/>
  <c r="J1740" i="1"/>
  <c r="I1740" i="1"/>
  <c r="M1740" i="1" s="1"/>
  <c r="S1739" i="1"/>
  <c r="O1739" i="1"/>
  <c r="P1739" i="1" s="1"/>
  <c r="R1739" i="1" s="1"/>
  <c r="L1739" i="1"/>
  <c r="K1739" i="1"/>
  <c r="N1739" i="1" s="1"/>
  <c r="Q1739" i="1" s="1"/>
  <c r="J1739" i="1"/>
  <c r="I1739" i="1"/>
  <c r="M1739" i="1" s="1"/>
  <c r="S1738" i="1"/>
  <c r="L1738" i="1"/>
  <c r="O1738" i="1" s="1"/>
  <c r="P1738" i="1" s="1"/>
  <c r="R1738" i="1" s="1"/>
  <c r="J1738" i="1"/>
  <c r="I1738" i="1"/>
  <c r="K1738" i="1" s="1"/>
  <c r="N1738" i="1" s="1"/>
  <c r="Q1738" i="1" s="1"/>
  <c r="S1737" i="1"/>
  <c r="O1737" i="1"/>
  <c r="P1737" i="1" s="1"/>
  <c r="R1737" i="1" s="1"/>
  <c r="L1737" i="1"/>
  <c r="J1737" i="1"/>
  <c r="I1737" i="1"/>
  <c r="K1737" i="1" s="1"/>
  <c r="N1737" i="1" s="1"/>
  <c r="Q1737" i="1" s="1"/>
  <c r="S1736" i="1"/>
  <c r="N1736" i="1"/>
  <c r="Q1736" i="1" s="1"/>
  <c r="L1736" i="1"/>
  <c r="O1736" i="1" s="1"/>
  <c r="P1736" i="1" s="1"/>
  <c r="R1736" i="1" s="1"/>
  <c r="K1736" i="1"/>
  <c r="J1736" i="1"/>
  <c r="I1736" i="1"/>
  <c r="M1736" i="1" s="1"/>
  <c r="S1735" i="1"/>
  <c r="O1735" i="1"/>
  <c r="P1735" i="1" s="1"/>
  <c r="R1735" i="1" s="1"/>
  <c r="L1735" i="1"/>
  <c r="K1735" i="1"/>
  <c r="N1735" i="1" s="1"/>
  <c r="Q1735" i="1" s="1"/>
  <c r="J1735" i="1"/>
  <c r="I1735" i="1"/>
  <c r="M1735" i="1" s="1"/>
  <c r="S1734" i="1"/>
  <c r="L1734" i="1"/>
  <c r="O1734" i="1" s="1"/>
  <c r="P1734" i="1" s="1"/>
  <c r="R1734" i="1" s="1"/>
  <c r="J1734" i="1"/>
  <c r="I1734" i="1"/>
  <c r="K1734" i="1" s="1"/>
  <c r="N1734" i="1" s="1"/>
  <c r="Q1734" i="1" s="1"/>
  <c r="S1733" i="1"/>
  <c r="O1733" i="1"/>
  <c r="P1733" i="1" s="1"/>
  <c r="R1733" i="1" s="1"/>
  <c r="L1733" i="1"/>
  <c r="J1733" i="1"/>
  <c r="I1733" i="1"/>
  <c r="K1733" i="1" s="1"/>
  <c r="N1733" i="1" s="1"/>
  <c r="Q1733" i="1" s="1"/>
  <c r="S1732" i="1"/>
  <c r="N1732" i="1"/>
  <c r="Q1732" i="1" s="1"/>
  <c r="L1732" i="1"/>
  <c r="O1732" i="1" s="1"/>
  <c r="P1732" i="1" s="1"/>
  <c r="R1732" i="1" s="1"/>
  <c r="K1732" i="1"/>
  <c r="J1732" i="1"/>
  <c r="I1732" i="1"/>
  <c r="M1732" i="1" s="1"/>
  <c r="S1731" i="1"/>
  <c r="O1731" i="1"/>
  <c r="P1731" i="1" s="1"/>
  <c r="R1731" i="1" s="1"/>
  <c r="L1731" i="1"/>
  <c r="K1731" i="1"/>
  <c r="N1731" i="1" s="1"/>
  <c r="Q1731" i="1" s="1"/>
  <c r="J1731" i="1"/>
  <c r="I1731" i="1"/>
  <c r="M1731" i="1" s="1"/>
  <c r="S1730" i="1"/>
  <c r="L1730" i="1"/>
  <c r="O1730" i="1" s="1"/>
  <c r="P1730" i="1" s="1"/>
  <c r="R1730" i="1" s="1"/>
  <c r="J1730" i="1"/>
  <c r="I1730" i="1"/>
  <c r="K1730" i="1" s="1"/>
  <c r="N1730" i="1" s="1"/>
  <c r="Q1730" i="1" s="1"/>
  <c r="S1729" i="1"/>
  <c r="O1729" i="1"/>
  <c r="P1729" i="1" s="1"/>
  <c r="R1729" i="1" s="1"/>
  <c r="L1729" i="1"/>
  <c r="J1729" i="1"/>
  <c r="I1729" i="1"/>
  <c r="K1729" i="1" s="1"/>
  <c r="N1729" i="1" s="1"/>
  <c r="Q1729" i="1" s="1"/>
  <c r="S1728" i="1"/>
  <c r="L1728" i="1"/>
  <c r="O1728" i="1" s="1"/>
  <c r="P1728" i="1" s="1"/>
  <c r="R1728" i="1" s="1"/>
  <c r="J1728" i="1"/>
  <c r="K1728" i="1" s="1"/>
  <c r="N1728" i="1" s="1"/>
  <c r="Q1728" i="1" s="1"/>
  <c r="I1728" i="1"/>
  <c r="M1728" i="1" s="1"/>
  <c r="S1727" i="1"/>
  <c r="O1727" i="1"/>
  <c r="P1727" i="1" s="1"/>
  <c r="R1727" i="1" s="1"/>
  <c r="L1727" i="1"/>
  <c r="K1727" i="1"/>
  <c r="N1727" i="1" s="1"/>
  <c r="Q1727" i="1" s="1"/>
  <c r="J1727" i="1"/>
  <c r="I1727" i="1"/>
  <c r="M1727" i="1" s="1"/>
  <c r="S1726" i="1"/>
  <c r="L1726" i="1"/>
  <c r="O1726" i="1" s="1"/>
  <c r="P1726" i="1" s="1"/>
  <c r="R1726" i="1" s="1"/>
  <c r="J1726" i="1"/>
  <c r="I1726" i="1"/>
  <c r="K1726" i="1" s="1"/>
  <c r="N1726" i="1" s="1"/>
  <c r="Q1726" i="1" s="1"/>
  <c r="S1725" i="1"/>
  <c r="O1725" i="1"/>
  <c r="P1725" i="1" s="1"/>
  <c r="R1725" i="1" s="1"/>
  <c r="L1725" i="1"/>
  <c r="J1725" i="1"/>
  <c r="I1725" i="1"/>
  <c r="K1725" i="1" s="1"/>
  <c r="N1725" i="1" s="1"/>
  <c r="Q1725" i="1" s="1"/>
  <c r="S1724" i="1"/>
  <c r="N1724" i="1"/>
  <c r="Q1724" i="1" s="1"/>
  <c r="L1724" i="1"/>
  <c r="O1724" i="1" s="1"/>
  <c r="P1724" i="1" s="1"/>
  <c r="R1724" i="1" s="1"/>
  <c r="K1724" i="1"/>
  <c r="J1724" i="1"/>
  <c r="I1724" i="1"/>
  <c r="M1724" i="1" s="1"/>
  <c r="S1723" i="1"/>
  <c r="O1723" i="1"/>
  <c r="P1723" i="1" s="1"/>
  <c r="R1723" i="1" s="1"/>
  <c r="L1723" i="1"/>
  <c r="K1723" i="1"/>
  <c r="N1723" i="1" s="1"/>
  <c r="Q1723" i="1" s="1"/>
  <c r="J1723" i="1"/>
  <c r="I1723" i="1"/>
  <c r="M1723" i="1" s="1"/>
  <c r="S1722" i="1"/>
  <c r="L1722" i="1"/>
  <c r="O1722" i="1" s="1"/>
  <c r="P1722" i="1" s="1"/>
  <c r="R1722" i="1" s="1"/>
  <c r="J1722" i="1"/>
  <c r="I1722" i="1"/>
  <c r="K1722" i="1" s="1"/>
  <c r="N1722" i="1" s="1"/>
  <c r="Q1722" i="1" s="1"/>
  <c r="S1721" i="1"/>
  <c r="O1721" i="1"/>
  <c r="P1721" i="1" s="1"/>
  <c r="R1721" i="1" s="1"/>
  <c r="L1721" i="1"/>
  <c r="J1721" i="1"/>
  <c r="I1721" i="1"/>
  <c r="K1721" i="1" s="1"/>
  <c r="N1721" i="1" s="1"/>
  <c r="Q1721" i="1" s="1"/>
  <c r="S1720" i="1"/>
  <c r="N1720" i="1"/>
  <c r="Q1720" i="1" s="1"/>
  <c r="L1720" i="1"/>
  <c r="O1720" i="1" s="1"/>
  <c r="P1720" i="1" s="1"/>
  <c r="R1720" i="1" s="1"/>
  <c r="K1720" i="1"/>
  <c r="J1720" i="1"/>
  <c r="I1720" i="1"/>
  <c r="M1720" i="1" s="1"/>
  <c r="S1719" i="1"/>
  <c r="O1719" i="1"/>
  <c r="P1719" i="1" s="1"/>
  <c r="R1719" i="1" s="1"/>
  <c r="L1719" i="1"/>
  <c r="K1719" i="1"/>
  <c r="N1719" i="1" s="1"/>
  <c r="Q1719" i="1" s="1"/>
  <c r="J1719" i="1"/>
  <c r="I1719" i="1"/>
  <c r="M1719" i="1" s="1"/>
  <c r="S1718" i="1"/>
  <c r="L1718" i="1"/>
  <c r="O1718" i="1" s="1"/>
  <c r="P1718" i="1" s="1"/>
  <c r="R1718" i="1" s="1"/>
  <c r="J1718" i="1"/>
  <c r="I1718" i="1"/>
  <c r="K1718" i="1" s="1"/>
  <c r="N1718" i="1" s="1"/>
  <c r="Q1718" i="1" s="1"/>
  <c r="S1717" i="1"/>
  <c r="O1717" i="1"/>
  <c r="P1717" i="1" s="1"/>
  <c r="R1717" i="1" s="1"/>
  <c r="L1717" i="1"/>
  <c r="J1717" i="1"/>
  <c r="I1717" i="1"/>
  <c r="K1717" i="1" s="1"/>
  <c r="N1717" i="1" s="1"/>
  <c r="Q1717" i="1" s="1"/>
  <c r="S1716" i="1"/>
  <c r="N1716" i="1"/>
  <c r="Q1716" i="1" s="1"/>
  <c r="L1716" i="1"/>
  <c r="O1716" i="1" s="1"/>
  <c r="P1716" i="1" s="1"/>
  <c r="R1716" i="1" s="1"/>
  <c r="K1716" i="1"/>
  <c r="J1716" i="1"/>
  <c r="I1716" i="1"/>
  <c r="M1716" i="1" s="1"/>
  <c r="S1715" i="1"/>
  <c r="O1715" i="1"/>
  <c r="P1715" i="1" s="1"/>
  <c r="R1715" i="1" s="1"/>
  <c r="L1715" i="1"/>
  <c r="K1715" i="1"/>
  <c r="N1715" i="1" s="1"/>
  <c r="Q1715" i="1" s="1"/>
  <c r="J1715" i="1"/>
  <c r="I1715" i="1"/>
  <c r="M1715" i="1" s="1"/>
  <c r="S1714" i="1"/>
  <c r="L1714" i="1"/>
  <c r="O1714" i="1" s="1"/>
  <c r="P1714" i="1" s="1"/>
  <c r="R1714" i="1" s="1"/>
  <c r="J1714" i="1"/>
  <c r="I1714" i="1"/>
  <c r="K1714" i="1" s="1"/>
  <c r="N1714" i="1" s="1"/>
  <c r="Q1714" i="1" s="1"/>
  <c r="S1713" i="1"/>
  <c r="O1713" i="1"/>
  <c r="P1713" i="1" s="1"/>
  <c r="R1713" i="1" s="1"/>
  <c r="L1713" i="1"/>
  <c r="J1713" i="1"/>
  <c r="I1713" i="1"/>
  <c r="K1713" i="1" s="1"/>
  <c r="N1713" i="1" s="1"/>
  <c r="Q1713" i="1" s="1"/>
  <c r="S1712" i="1"/>
  <c r="N1712" i="1"/>
  <c r="Q1712" i="1" s="1"/>
  <c r="L1712" i="1"/>
  <c r="O1712" i="1" s="1"/>
  <c r="P1712" i="1" s="1"/>
  <c r="R1712" i="1" s="1"/>
  <c r="K1712" i="1"/>
  <c r="J1712" i="1"/>
  <c r="I1712" i="1"/>
  <c r="M1712" i="1" s="1"/>
  <c r="S1711" i="1"/>
  <c r="O1711" i="1"/>
  <c r="P1711" i="1" s="1"/>
  <c r="R1711" i="1" s="1"/>
  <c r="L1711" i="1"/>
  <c r="K1711" i="1"/>
  <c r="N1711" i="1" s="1"/>
  <c r="Q1711" i="1" s="1"/>
  <c r="J1711" i="1"/>
  <c r="I1711" i="1"/>
  <c r="M1711" i="1" s="1"/>
  <c r="S1710" i="1"/>
  <c r="L1710" i="1"/>
  <c r="O1710" i="1" s="1"/>
  <c r="P1710" i="1" s="1"/>
  <c r="R1710" i="1" s="1"/>
  <c r="J1710" i="1"/>
  <c r="I1710" i="1"/>
  <c r="K1710" i="1" s="1"/>
  <c r="N1710" i="1" s="1"/>
  <c r="Q1710" i="1" s="1"/>
  <c r="S1709" i="1"/>
  <c r="O1709" i="1"/>
  <c r="P1709" i="1" s="1"/>
  <c r="R1709" i="1" s="1"/>
  <c r="L1709" i="1"/>
  <c r="J1709" i="1"/>
  <c r="I1709" i="1"/>
  <c r="K1709" i="1" s="1"/>
  <c r="N1709" i="1" s="1"/>
  <c r="Q1709" i="1" s="1"/>
  <c r="S1708" i="1"/>
  <c r="N1708" i="1"/>
  <c r="Q1708" i="1" s="1"/>
  <c r="L1708" i="1"/>
  <c r="O1708" i="1" s="1"/>
  <c r="P1708" i="1" s="1"/>
  <c r="R1708" i="1" s="1"/>
  <c r="K1708" i="1"/>
  <c r="J1708" i="1"/>
  <c r="I1708" i="1"/>
  <c r="M1708" i="1" s="1"/>
  <c r="S1707" i="1"/>
  <c r="O1707" i="1"/>
  <c r="P1707" i="1" s="1"/>
  <c r="R1707" i="1" s="1"/>
  <c r="L1707" i="1"/>
  <c r="K1707" i="1"/>
  <c r="N1707" i="1" s="1"/>
  <c r="Q1707" i="1" s="1"/>
  <c r="J1707" i="1"/>
  <c r="I1707" i="1"/>
  <c r="M1707" i="1" s="1"/>
  <c r="S1706" i="1"/>
  <c r="L1706" i="1"/>
  <c r="O1706" i="1" s="1"/>
  <c r="P1706" i="1" s="1"/>
  <c r="R1706" i="1" s="1"/>
  <c r="J1706" i="1"/>
  <c r="I1706" i="1"/>
  <c r="K1706" i="1" s="1"/>
  <c r="N1706" i="1" s="1"/>
  <c r="Q1706" i="1" s="1"/>
  <c r="S1705" i="1"/>
  <c r="O1705" i="1"/>
  <c r="P1705" i="1" s="1"/>
  <c r="R1705" i="1" s="1"/>
  <c r="L1705" i="1"/>
  <c r="J1705" i="1"/>
  <c r="I1705" i="1"/>
  <c r="K1705" i="1" s="1"/>
  <c r="N1705" i="1" s="1"/>
  <c r="Q1705" i="1" s="1"/>
  <c r="S1704" i="1"/>
  <c r="N1704" i="1"/>
  <c r="Q1704" i="1" s="1"/>
  <c r="L1704" i="1"/>
  <c r="O1704" i="1" s="1"/>
  <c r="P1704" i="1" s="1"/>
  <c r="R1704" i="1" s="1"/>
  <c r="K1704" i="1"/>
  <c r="J1704" i="1"/>
  <c r="I1704" i="1"/>
  <c r="M1704" i="1" s="1"/>
  <c r="S1703" i="1"/>
  <c r="O1703" i="1"/>
  <c r="P1703" i="1" s="1"/>
  <c r="R1703" i="1" s="1"/>
  <c r="L1703" i="1"/>
  <c r="K1703" i="1"/>
  <c r="N1703" i="1" s="1"/>
  <c r="Q1703" i="1" s="1"/>
  <c r="J1703" i="1"/>
  <c r="I1703" i="1"/>
  <c r="M1703" i="1" s="1"/>
  <c r="S1702" i="1"/>
  <c r="L1702" i="1"/>
  <c r="O1702" i="1" s="1"/>
  <c r="P1702" i="1" s="1"/>
  <c r="R1702" i="1" s="1"/>
  <c r="J1702" i="1"/>
  <c r="I1702" i="1"/>
  <c r="K1702" i="1" s="1"/>
  <c r="N1702" i="1" s="1"/>
  <c r="Q1702" i="1" s="1"/>
  <c r="S1701" i="1"/>
  <c r="O1701" i="1"/>
  <c r="P1701" i="1" s="1"/>
  <c r="R1701" i="1" s="1"/>
  <c r="L1701" i="1"/>
  <c r="J1701" i="1"/>
  <c r="I1701" i="1"/>
  <c r="K1701" i="1" s="1"/>
  <c r="N1701" i="1" s="1"/>
  <c r="Q1701" i="1" s="1"/>
  <c r="S1700" i="1"/>
  <c r="N1700" i="1"/>
  <c r="Q1700" i="1" s="1"/>
  <c r="L1700" i="1"/>
  <c r="O1700" i="1" s="1"/>
  <c r="P1700" i="1" s="1"/>
  <c r="R1700" i="1" s="1"/>
  <c r="K1700" i="1"/>
  <c r="J1700" i="1"/>
  <c r="I1700" i="1"/>
  <c r="M1700" i="1" s="1"/>
  <c r="S1699" i="1"/>
  <c r="O1699" i="1"/>
  <c r="P1699" i="1" s="1"/>
  <c r="R1699" i="1" s="1"/>
  <c r="L1699" i="1"/>
  <c r="K1699" i="1"/>
  <c r="N1699" i="1" s="1"/>
  <c r="Q1699" i="1" s="1"/>
  <c r="J1699" i="1"/>
  <c r="I1699" i="1"/>
  <c r="M1699" i="1" s="1"/>
  <c r="S1698" i="1"/>
  <c r="L1698" i="1"/>
  <c r="O1698" i="1" s="1"/>
  <c r="P1698" i="1" s="1"/>
  <c r="R1698" i="1" s="1"/>
  <c r="J1698" i="1"/>
  <c r="I1698" i="1"/>
  <c r="K1698" i="1" s="1"/>
  <c r="N1698" i="1" s="1"/>
  <c r="Q1698" i="1" s="1"/>
  <c r="S1697" i="1"/>
  <c r="O1697" i="1"/>
  <c r="P1697" i="1" s="1"/>
  <c r="R1697" i="1" s="1"/>
  <c r="L1697" i="1"/>
  <c r="J1697" i="1"/>
  <c r="I1697" i="1"/>
  <c r="K1697" i="1" s="1"/>
  <c r="N1697" i="1" s="1"/>
  <c r="Q1697" i="1" s="1"/>
  <c r="S1696" i="1"/>
  <c r="N1696" i="1"/>
  <c r="Q1696" i="1" s="1"/>
  <c r="L1696" i="1"/>
  <c r="O1696" i="1" s="1"/>
  <c r="P1696" i="1" s="1"/>
  <c r="R1696" i="1" s="1"/>
  <c r="K1696" i="1"/>
  <c r="J1696" i="1"/>
  <c r="I1696" i="1"/>
  <c r="M1696" i="1" s="1"/>
  <c r="S1695" i="1"/>
  <c r="O1695" i="1"/>
  <c r="P1695" i="1" s="1"/>
  <c r="R1695" i="1" s="1"/>
  <c r="L1695" i="1"/>
  <c r="K1695" i="1"/>
  <c r="N1695" i="1" s="1"/>
  <c r="Q1695" i="1" s="1"/>
  <c r="J1695" i="1"/>
  <c r="I1695" i="1"/>
  <c r="M1695" i="1" s="1"/>
  <c r="S1694" i="1"/>
  <c r="L1694" i="1"/>
  <c r="O1694" i="1" s="1"/>
  <c r="P1694" i="1" s="1"/>
  <c r="R1694" i="1" s="1"/>
  <c r="J1694" i="1"/>
  <c r="I1694" i="1"/>
  <c r="K1694" i="1" s="1"/>
  <c r="N1694" i="1" s="1"/>
  <c r="Q1694" i="1" s="1"/>
  <c r="S1693" i="1"/>
  <c r="O1693" i="1"/>
  <c r="P1693" i="1" s="1"/>
  <c r="R1693" i="1" s="1"/>
  <c r="L1693" i="1"/>
  <c r="J1693" i="1"/>
  <c r="I1693" i="1"/>
  <c r="K1693" i="1" s="1"/>
  <c r="N1693" i="1" s="1"/>
  <c r="Q1693" i="1" s="1"/>
  <c r="S1692" i="1"/>
  <c r="N1692" i="1"/>
  <c r="Q1692" i="1" s="1"/>
  <c r="L1692" i="1"/>
  <c r="O1692" i="1" s="1"/>
  <c r="P1692" i="1" s="1"/>
  <c r="R1692" i="1" s="1"/>
  <c r="K1692" i="1"/>
  <c r="J1692" i="1"/>
  <c r="I1692" i="1"/>
  <c r="M1692" i="1" s="1"/>
  <c r="S1691" i="1"/>
  <c r="O1691" i="1"/>
  <c r="P1691" i="1" s="1"/>
  <c r="R1691" i="1" s="1"/>
  <c r="L1691" i="1"/>
  <c r="K1691" i="1"/>
  <c r="N1691" i="1" s="1"/>
  <c r="Q1691" i="1" s="1"/>
  <c r="J1691" i="1"/>
  <c r="I1691" i="1"/>
  <c r="M1691" i="1" s="1"/>
  <c r="S1690" i="1"/>
  <c r="L1690" i="1"/>
  <c r="O1690" i="1" s="1"/>
  <c r="P1690" i="1" s="1"/>
  <c r="R1690" i="1" s="1"/>
  <c r="J1690" i="1"/>
  <c r="I1690" i="1"/>
  <c r="K1690" i="1" s="1"/>
  <c r="N1690" i="1" s="1"/>
  <c r="Q1690" i="1" s="1"/>
  <c r="S1689" i="1"/>
  <c r="O1689" i="1"/>
  <c r="P1689" i="1" s="1"/>
  <c r="R1689" i="1" s="1"/>
  <c r="L1689" i="1"/>
  <c r="J1689" i="1"/>
  <c r="I1689" i="1"/>
  <c r="K1689" i="1" s="1"/>
  <c r="N1689" i="1" s="1"/>
  <c r="Q1689" i="1" s="1"/>
  <c r="S1688" i="1"/>
  <c r="N1688" i="1"/>
  <c r="Q1688" i="1" s="1"/>
  <c r="L1688" i="1"/>
  <c r="O1688" i="1" s="1"/>
  <c r="P1688" i="1" s="1"/>
  <c r="R1688" i="1" s="1"/>
  <c r="K1688" i="1"/>
  <c r="J1688" i="1"/>
  <c r="I1688" i="1"/>
  <c r="M1688" i="1" s="1"/>
  <c r="S1687" i="1"/>
  <c r="O1687" i="1"/>
  <c r="P1687" i="1" s="1"/>
  <c r="R1687" i="1" s="1"/>
  <c r="L1687" i="1"/>
  <c r="K1687" i="1"/>
  <c r="N1687" i="1" s="1"/>
  <c r="Q1687" i="1" s="1"/>
  <c r="J1687" i="1"/>
  <c r="I1687" i="1"/>
  <c r="M1687" i="1" s="1"/>
  <c r="S1686" i="1"/>
  <c r="L1686" i="1"/>
  <c r="O1686" i="1" s="1"/>
  <c r="P1686" i="1" s="1"/>
  <c r="R1686" i="1" s="1"/>
  <c r="J1686" i="1"/>
  <c r="I1686" i="1"/>
  <c r="K1686" i="1" s="1"/>
  <c r="N1686" i="1" s="1"/>
  <c r="Q1686" i="1" s="1"/>
  <c r="S1685" i="1"/>
  <c r="O1685" i="1"/>
  <c r="P1685" i="1" s="1"/>
  <c r="R1685" i="1" s="1"/>
  <c r="L1685" i="1"/>
  <c r="J1685" i="1"/>
  <c r="I1685" i="1"/>
  <c r="K1685" i="1" s="1"/>
  <c r="N1685" i="1" s="1"/>
  <c r="Q1685" i="1" s="1"/>
  <c r="S1684" i="1"/>
  <c r="N1684" i="1"/>
  <c r="Q1684" i="1" s="1"/>
  <c r="L1684" i="1"/>
  <c r="O1684" i="1" s="1"/>
  <c r="P1684" i="1" s="1"/>
  <c r="R1684" i="1" s="1"/>
  <c r="K1684" i="1"/>
  <c r="J1684" i="1"/>
  <c r="I1684" i="1"/>
  <c r="M1684" i="1" s="1"/>
  <c r="S1683" i="1"/>
  <c r="O1683" i="1"/>
  <c r="P1683" i="1" s="1"/>
  <c r="R1683" i="1" s="1"/>
  <c r="L1683" i="1"/>
  <c r="K1683" i="1"/>
  <c r="N1683" i="1" s="1"/>
  <c r="Q1683" i="1" s="1"/>
  <c r="J1683" i="1"/>
  <c r="I1683" i="1"/>
  <c r="M1683" i="1" s="1"/>
  <c r="S1682" i="1"/>
  <c r="L1682" i="1"/>
  <c r="O1682" i="1" s="1"/>
  <c r="P1682" i="1" s="1"/>
  <c r="R1682" i="1" s="1"/>
  <c r="J1682" i="1"/>
  <c r="I1682" i="1"/>
  <c r="K1682" i="1" s="1"/>
  <c r="N1682" i="1" s="1"/>
  <c r="Q1682" i="1" s="1"/>
  <c r="S1681" i="1"/>
  <c r="O1681" i="1"/>
  <c r="P1681" i="1" s="1"/>
  <c r="R1681" i="1" s="1"/>
  <c r="M1681" i="1"/>
  <c r="L1681" i="1"/>
  <c r="J1681" i="1"/>
  <c r="I1681" i="1"/>
  <c r="K1681" i="1" s="1"/>
  <c r="N1681" i="1" s="1"/>
  <c r="Q1681" i="1" s="1"/>
  <c r="S1680" i="1"/>
  <c r="N1680" i="1"/>
  <c r="Q1680" i="1" s="1"/>
  <c r="L1680" i="1"/>
  <c r="O1680" i="1" s="1"/>
  <c r="P1680" i="1" s="1"/>
  <c r="R1680" i="1" s="1"/>
  <c r="K1680" i="1"/>
  <c r="J1680" i="1"/>
  <c r="I1680" i="1"/>
  <c r="M1680" i="1" s="1"/>
  <c r="S1679" i="1"/>
  <c r="O1679" i="1"/>
  <c r="P1679" i="1" s="1"/>
  <c r="R1679" i="1" s="1"/>
  <c r="L1679" i="1"/>
  <c r="K1679" i="1"/>
  <c r="N1679" i="1" s="1"/>
  <c r="Q1679" i="1" s="1"/>
  <c r="J1679" i="1"/>
  <c r="I1679" i="1"/>
  <c r="M1679" i="1" s="1"/>
  <c r="S1678" i="1"/>
  <c r="N1678" i="1"/>
  <c r="Q1678" i="1" s="1"/>
  <c r="L1678" i="1"/>
  <c r="O1678" i="1" s="1"/>
  <c r="P1678" i="1" s="1"/>
  <c r="R1678" i="1" s="1"/>
  <c r="J1678" i="1"/>
  <c r="I1678" i="1"/>
  <c r="K1678" i="1" s="1"/>
  <c r="S1677" i="1"/>
  <c r="Q1677" i="1"/>
  <c r="O1677" i="1"/>
  <c r="P1677" i="1" s="1"/>
  <c r="R1677" i="1" s="1"/>
  <c r="L1677" i="1"/>
  <c r="J1677" i="1"/>
  <c r="I1677" i="1"/>
  <c r="K1677" i="1" s="1"/>
  <c r="N1677" i="1" s="1"/>
  <c r="S1676" i="1"/>
  <c r="P1676" i="1"/>
  <c r="R1676" i="1" s="1"/>
  <c r="N1676" i="1"/>
  <c r="Q1676" i="1" s="1"/>
  <c r="L1676" i="1"/>
  <c r="O1676" i="1" s="1"/>
  <c r="K1676" i="1"/>
  <c r="J1676" i="1"/>
  <c r="I1676" i="1"/>
  <c r="M1676" i="1" s="1"/>
  <c r="S1675" i="1"/>
  <c r="O1675" i="1"/>
  <c r="P1675" i="1" s="1"/>
  <c r="R1675" i="1" s="1"/>
  <c r="L1675" i="1"/>
  <c r="K1675" i="1"/>
  <c r="N1675" i="1" s="1"/>
  <c r="Q1675" i="1" s="1"/>
  <c r="J1675" i="1"/>
  <c r="I1675" i="1"/>
  <c r="M1675" i="1" s="1"/>
  <c r="S1674" i="1"/>
  <c r="R1674" i="1"/>
  <c r="L1674" i="1"/>
  <c r="O1674" i="1" s="1"/>
  <c r="P1674" i="1" s="1"/>
  <c r="J1674" i="1"/>
  <c r="I1674" i="1"/>
  <c r="K1674" i="1" s="1"/>
  <c r="N1674" i="1" s="1"/>
  <c r="Q1674" i="1" s="1"/>
  <c r="S1673" i="1"/>
  <c r="O1673" i="1"/>
  <c r="P1673" i="1" s="1"/>
  <c r="R1673" i="1" s="1"/>
  <c r="M1673" i="1"/>
  <c r="L1673" i="1"/>
  <c r="J1673" i="1"/>
  <c r="I1673" i="1"/>
  <c r="K1673" i="1" s="1"/>
  <c r="S1672" i="1"/>
  <c r="L1672" i="1"/>
  <c r="K1672" i="1"/>
  <c r="J1672" i="1"/>
  <c r="I1672" i="1"/>
  <c r="M1672" i="1" s="1"/>
  <c r="S1671" i="1"/>
  <c r="O1671" i="1"/>
  <c r="P1671" i="1" s="1"/>
  <c r="R1671" i="1" s="1"/>
  <c r="L1671" i="1"/>
  <c r="K1671" i="1"/>
  <c r="N1671" i="1" s="1"/>
  <c r="Q1671" i="1" s="1"/>
  <c r="J1671" i="1"/>
  <c r="I1671" i="1"/>
  <c r="M1671" i="1" s="1"/>
  <c r="S1670" i="1"/>
  <c r="L1670" i="1"/>
  <c r="O1670" i="1" s="1"/>
  <c r="P1670" i="1" s="1"/>
  <c r="R1670" i="1" s="1"/>
  <c r="J1670" i="1"/>
  <c r="I1670" i="1"/>
  <c r="K1670" i="1" s="1"/>
  <c r="N1670" i="1" s="1"/>
  <c r="Q1670" i="1" s="1"/>
  <c r="S1669" i="1"/>
  <c r="O1669" i="1"/>
  <c r="P1669" i="1" s="1"/>
  <c r="R1669" i="1" s="1"/>
  <c r="L1669" i="1"/>
  <c r="J1669" i="1"/>
  <c r="I1669" i="1"/>
  <c r="K1669" i="1" s="1"/>
  <c r="S1668" i="1"/>
  <c r="L1668" i="1"/>
  <c r="K1668" i="1"/>
  <c r="J1668" i="1"/>
  <c r="I1668" i="1"/>
  <c r="M1668" i="1" s="1"/>
  <c r="S1667" i="1"/>
  <c r="O1667" i="1"/>
  <c r="P1667" i="1" s="1"/>
  <c r="R1667" i="1" s="1"/>
  <c r="L1667" i="1"/>
  <c r="K1667" i="1"/>
  <c r="N1667" i="1" s="1"/>
  <c r="Q1667" i="1" s="1"/>
  <c r="J1667" i="1"/>
  <c r="I1667" i="1"/>
  <c r="M1667" i="1" s="1"/>
  <c r="S1666" i="1"/>
  <c r="N1666" i="1"/>
  <c r="Q1666" i="1" s="1"/>
  <c r="L1666" i="1"/>
  <c r="O1666" i="1" s="1"/>
  <c r="P1666" i="1" s="1"/>
  <c r="R1666" i="1" s="1"/>
  <c r="J1666" i="1"/>
  <c r="I1666" i="1"/>
  <c r="K1666" i="1" s="1"/>
  <c r="S1665" i="1"/>
  <c r="Q1665" i="1"/>
  <c r="O1665" i="1"/>
  <c r="P1665" i="1" s="1"/>
  <c r="R1665" i="1" s="1"/>
  <c r="L1665" i="1"/>
  <c r="N1665" i="1" s="1"/>
  <c r="J1665" i="1"/>
  <c r="I1665" i="1"/>
  <c r="K1665" i="1" s="1"/>
  <c r="S1664" i="1"/>
  <c r="L1664" i="1"/>
  <c r="K1664" i="1"/>
  <c r="J1664" i="1"/>
  <c r="I1664" i="1"/>
  <c r="M1664" i="1" s="1"/>
  <c r="S1663" i="1"/>
  <c r="O1663" i="1"/>
  <c r="P1663" i="1" s="1"/>
  <c r="R1663" i="1" s="1"/>
  <c r="L1663" i="1"/>
  <c r="K1663" i="1"/>
  <c r="N1663" i="1" s="1"/>
  <c r="Q1663" i="1" s="1"/>
  <c r="J1663" i="1"/>
  <c r="I1663" i="1"/>
  <c r="M1663" i="1" s="1"/>
  <c r="S1662" i="1"/>
  <c r="R1662" i="1"/>
  <c r="N1662" i="1"/>
  <c r="Q1662" i="1" s="1"/>
  <c r="L1662" i="1"/>
  <c r="O1662" i="1" s="1"/>
  <c r="P1662" i="1" s="1"/>
  <c r="J1662" i="1"/>
  <c r="I1662" i="1"/>
  <c r="K1662" i="1" s="1"/>
  <c r="S1661" i="1"/>
  <c r="O1661" i="1"/>
  <c r="P1661" i="1" s="1"/>
  <c r="R1661" i="1" s="1"/>
  <c r="M1661" i="1"/>
  <c r="L1661" i="1"/>
  <c r="N1661" i="1" s="1"/>
  <c r="Q1661" i="1" s="1"/>
  <c r="J1661" i="1"/>
  <c r="I1661" i="1"/>
  <c r="K1661" i="1" s="1"/>
  <c r="S1660" i="1"/>
  <c r="L1660" i="1"/>
  <c r="J1660" i="1"/>
  <c r="K1660" i="1" s="1"/>
  <c r="I1660" i="1"/>
  <c r="M1660" i="1" s="1"/>
  <c r="S1659" i="1"/>
  <c r="O1659" i="1"/>
  <c r="P1659" i="1" s="1"/>
  <c r="R1659" i="1" s="1"/>
  <c r="L1659" i="1"/>
  <c r="K1659" i="1"/>
  <c r="N1659" i="1" s="1"/>
  <c r="Q1659" i="1" s="1"/>
  <c r="J1659" i="1"/>
  <c r="I1659" i="1"/>
  <c r="M1659" i="1" s="1"/>
  <c r="S1658" i="1"/>
  <c r="R1658" i="1"/>
  <c r="N1658" i="1"/>
  <c r="Q1658" i="1" s="1"/>
  <c r="L1658" i="1"/>
  <c r="O1658" i="1" s="1"/>
  <c r="P1658" i="1" s="1"/>
  <c r="J1658" i="1"/>
  <c r="I1658" i="1"/>
  <c r="K1658" i="1" s="1"/>
  <c r="S1657" i="1"/>
  <c r="O1657" i="1"/>
  <c r="P1657" i="1" s="1"/>
  <c r="R1657" i="1" s="1"/>
  <c r="M1657" i="1"/>
  <c r="L1657" i="1"/>
  <c r="N1657" i="1" s="1"/>
  <c r="Q1657" i="1" s="1"/>
  <c r="J1657" i="1"/>
  <c r="I1657" i="1"/>
  <c r="K1657" i="1" s="1"/>
  <c r="S1656" i="1"/>
  <c r="L1656" i="1"/>
  <c r="K1656" i="1"/>
  <c r="J1656" i="1"/>
  <c r="I1656" i="1"/>
  <c r="M1656" i="1" s="1"/>
  <c r="S1655" i="1"/>
  <c r="O1655" i="1"/>
  <c r="P1655" i="1" s="1"/>
  <c r="R1655" i="1" s="1"/>
  <c r="L1655" i="1"/>
  <c r="K1655" i="1"/>
  <c r="N1655" i="1" s="1"/>
  <c r="Q1655" i="1" s="1"/>
  <c r="J1655" i="1"/>
  <c r="I1655" i="1"/>
  <c r="M1655" i="1" s="1"/>
  <c r="S1654" i="1"/>
  <c r="R1654" i="1"/>
  <c r="N1654" i="1"/>
  <c r="Q1654" i="1" s="1"/>
  <c r="L1654" i="1"/>
  <c r="O1654" i="1" s="1"/>
  <c r="P1654" i="1" s="1"/>
  <c r="J1654" i="1"/>
  <c r="I1654" i="1"/>
  <c r="K1654" i="1" s="1"/>
  <c r="S1653" i="1"/>
  <c r="O1653" i="1"/>
  <c r="P1653" i="1" s="1"/>
  <c r="R1653" i="1" s="1"/>
  <c r="M1653" i="1"/>
  <c r="L1653" i="1"/>
  <c r="J1653" i="1"/>
  <c r="I1653" i="1"/>
  <c r="K1653" i="1" s="1"/>
  <c r="S1652" i="1"/>
  <c r="L1652" i="1"/>
  <c r="K1652" i="1"/>
  <c r="J1652" i="1"/>
  <c r="I1652" i="1"/>
  <c r="M1652" i="1" s="1"/>
  <c r="S1651" i="1"/>
  <c r="O1651" i="1"/>
  <c r="P1651" i="1" s="1"/>
  <c r="R1651" i="1" s="1"/>
  <c r="L1651" i="1"/>
  <c r="K1651" i="1"/>
  <c r="N1651" i="1" s="1"/>
  <c r="Q1651" i="1" s="1"/>
  <c r="J1651" i="1"/>
  <c r="I1651" i="1"/>
  <c r="M1651" i="1" s="1"/>
  <c r="S1650" i="1"/>
  <c r="P1650" i="1"/>
  <c r="R1650" i="1" s="1"/>
  <c r="L1650" i="1"/>
  <c r="O1650" i="1" s="1"/>
  <c r="J1650" i="1"/>
  <c r="I1650" i="1"/>
  <c r="K1650" i="1" s="1"/>
  <c r="N1650" i="1" s="1"/>
  <c r="Q1650" i="1" s="1"/>
  <c r="S1649" i="1"/>
  <c r="O1649" i="1"/>
  <c r="P1649" i="1" s="1"/>
  <c r="R1649" i="1" s="1"/>
  <c r="L1649" i="1"/>
  <c r="J1649" i="1"/>
  <c r="I1649" i="1"/>
  <c r="M1649" i="1" s="1"/>
  <c r="S1648" i="1"/>
  <c r="P1648" i="1"/>
  <c r="R1648" i="1" s="1"/>
  <c r="N1648" i="1"/>
  <c r="Q1648" i="1" s="1"/>
  <c r="L1648" i="1"/>
  <c r="O1648" i="1" s="1"/>
  <c r="K1648" i="1"/>
  <c r="J1648" i="1"/>
  <c r="I1648" i="1"/>
  <c r="M1648" i="1" s="1"/>
  <c r="S1647" i="1"/>
  <c r="Q1647" i="1"/>
  <c r="O1647" i="1"/>
  <c r="P1647" i="1" s="1"/>
  <c r="R1647" i="1" s="1"/>
  <c r="N1647" i="1"/>
  <c r="L1647" i="1"/>
  <c r="K1647" i="1"/>
  <c r="J1647" i="1"/>
  <c r="I1647" i="1"/>
  <c r="M1647" i="1" s="1"/>
  <c r="S1646" i="1"/>
  <c r="P1646" i="1"/>
  <c r="R1646" i="1" s="1"/>
  <c r="L1646" i="1"/>
  <c r="O1646" i="1" s="1"/>
  <c r="J1646" i="1"/>
  <c r="I1646" i="1"/>
  <c r="K1646" i="1" s="1"/>
  <c r="N1646" i="1" s="1"/>
  <c r="Q1646" i="1" s="1"/>
  <c r="S1645" i="1"/>
  <c r="O1645" i="1"/>
  <c r="P1645" i="1" s="1"/>
  <c r="R1645" i="1" s="1"/>
  <c r="L1645" i="1"/>
  <c r="J1645" i="1"/>
  <c r="I1645" i="1"/>
  <c r="M1645" i="1" s="1"/>
  <c r="S1644" i="1"/>
  <c r="P1644" i="1"/>
  <c r="R1644" i="1" s="1"/>
  <c r="N1644" i="1"/>
  <c r="Q1644" i="1" s="1"/>
  <c r="L1644" i="1"/>
  <c r="O1644" i="1" s="1"/>
  <c r="K1644" i="1"/>
  <c r="J1644" i="1"/>
  <c r="I1644" i="1"/>
  <c r="M1644" i="1" s="1"/>
  <c r="S1643" i="1"/>
  <c r="O1643" i="1"/>
  <c r="P1643" i="1" s="1"/>
  <c r="R1643" i="1" s="1"/>
  <c r="L1643" i="1"/>
  <c r="J1643" i="1"/>
  <c r="I1643" i="1"/>
  <c r="M1643" i="1" s="1"/>
  <c r="S1642" i="1"/>
  <c r="P1642" i="1"/>
  <c r="R1642" i="1" s="1"/>
  <c r="N1642" i="1"/>
  <c r="Q1642" i="1" s="1"/>
  <c r="L1642" i="1"/>
  <c r="O1642" i="1" s="1"/>
  <c r="J1642" i="1"/>
  <c r="I1642" i="1"/>
  <c r="K1642" i="1" s="1"/>
  <c r="S1641" i="1"/>
  <c r="O1641" i="1"/>
  <c r="P1641" i="1" s="1"/>
  <c r="R1641" i="1" s="1"/>
  <c r="L1641" i="1"/>
  <c r="J1641" i="1"/>
  <c r="I1641" i="1"/>
  <c r="K1641" i="1" s="1"/>
  <c r="S1640" i="1"/>
  <c r="L1640" i="1"/>
  <c r="O1640" i="1" s="1"/>
  <c r="P1640" i="1" s="1"/>
  <c r="R1640" i="1" s="1"/>
  <c r="K1640" i="1"/>
  <c r="J1640" i="1"/>
  <c r="I1640" i="1"/>
  <c r="M1640" i="1" s="1"/>
  <c r="S1639" i="1"/>
  <c r="O1639" i="1"/>
  <c r="P1639" i="1" s="1"/>
  <c r="R1639" i="1" s="1"/>
  <c r="L1639" i="1"/>
  <c r="J1639" i="1"/>
  <c r="I1639" i="1"/>
  <c r="K1639" i="1" s="1"/>
  <c r="N1639" i="1" s="1"/>
  <c r="Q1639" i="1" s="1"/>
  <c r="S1638" i="1"/>
  <c r="L1638" i="1"/>
  <c r="O1638" i="1" s="1"/>
  <c r="P1638" i="1" s="1"/>
  <c r="R1638" i="1" s="1"/>
  <c r="J1638" i="1"/>
  <c r="I1638" i="1"/>
  <c r="K1638" i="1" s="1"/>
  <c r="S1637" i="1"/>
  <c r="O1637" i="1"/>
  <c r="P1637" i="1" s="1"/>
  <c r="R1637" i="1" s="1"/>
  <c r="L1637" i="1"/>
  <c r="K1637" i="1"/>
  <c r="J1637" i="1"/>
  <c r="I1637" i="1"/>
  <c r="M1637" i="1" s="1"/>
  <c r="S1636" i="1"/>
  <c r="L1636" i="1"/>
  <c r="O1636" i="1" s="1"/>
  <c r="P1636" i="1" s="1"/>
  <c r="R1636" i="1" s="1"/>
  <c r="J1636" i="1"/>
  <c r="K1636" i="1" s="1"/>
  <c r="I1636" i="1"/>
  <c r="M1636" i="1" s="1"/>
  <c r="S1635" i="1"/>
  <c r="O1635" i="1"/>
  <c r="P1635" i="1" s="1"/>
  <c r="R1635" i="1" s="1"/>
  <c r="L1635" i="1"/>
  <c r="K1635" i="1"/>
  <c r="N1635" i="1" s="1"/>
  <c r="Q1635" i="1" s="1"/>
  <c r="J1635" i="1"/>
  <c r="I1635" i="1"/>
  <c r="M1635" i="1" s="1"/>
  <c r="S1634" i="1"/>
  <c r="P1634" i="1"/>
  <c r="R1634" i="1" s="1"/>
  <c r="L1634" i="1"/>
  <c r="O1634" i="1" s="1"/>
  <c r="J1634" i="1"/>
  <c r="I1634" i="1"/>
  <c r="K1634" i="1" s="1"/>
  <c r="N1634" i="1" s="1"/>
  <c r="Q1634" i="1" s="1"/>
  <c r="S1633" i="1"/>
  <c r="O1633" i="1"/>
  <c r="P1633" i="1" s="1"/>
  <c r="R1633" i="1" s="1"/>
  <c r="L1633" i="1"/>
  <c r="J1633" i="1"/>
  <c r="I1633" i="1"/>
  <c r="M1633" i="1" s="1"/>
  <c r="S1632" i="1"/>
  <c r="P1632" i="1"/>
  <c r="R1632" i="1" s="1"/>
  <c r="N1632" i="1"/>
  <c r="Q1632" i="1" s="1"/>
  <c r="L1632" i="1"/>
  <c r="O1632" i="1" s="1"/>
  <c r="K1632" i="1"/>
  <c r="J1632" i="1"/>
  <c r="I1632" i="1"/>
  <c r="M1632" i="1" s="1"/>
  <c r="S1631" i="1"/>
  <c r="O1631" i="1"/>
  <c r="P1631" i="1" s="1"/>
  <c r="R1631" i="1" s="1"/>
  <c r="L1631" i="1"/>
  <c r="J1631" i="1"/>
  <c r="I1631" i="1"/>
  <c r="M1631" i="1" s="1"/>
  <c r="S1630" i="1"/>
  <c r="P1630" i="1"/>
  <c r="R1630" i="1" s="1"/>
  <c r="N1630" i="1"/>
  <c r="Q1630" i="1" s="1"/>
  <c r="L1630" i="1"/>
  <c r="O1630" i="1" s="1"/>
  <c r="J1630" i="1"/>
  <c r="I1630" i="1"/>
  <c r="K1630" i="1" s="1"/>
  <c r="S1629" i="1"/>
  <c r="O1629" i="1"/>
  <c r="P1629" i="1" s="1"/>
  <c r="R1629" i="1" s="1"/>
  <c r="L1629" i="1"/>
  <c r="J1629" i="1"/>
  <c r="I1629" i="1"/>
  <c r="K1629" i="1" s="1"/>
  <c r="N1629" i="1" s="1"/>
  <c r="Q1629" i="1" s="1"/>
  <c r="S1628" i="1"/>
  <c r="N1628" i="1"/>
  <c r="Q1628" i="1" s="1"/>
  <c r="L1628" i="1"/>
  <c r="O1628" i="1" s="1"/>
  <c r="P1628" i="1" s="1"/>
  <c r="R1628" i="1" s="1"/>
  <c r="K1628" i="1"/>
  <c r="J1628" i="1"/>
  <c r="I1628" i="1"/>
  <c r="M1628" i="1" s="1"/>
  <c r="S1627" i="1"/>
  <c r="O1627" i="1"/>
  <c r="P1627" i="1" s="1"/>
  <c r="R1627" i="1" s="1"/>
  <c r="L1627" i="1"/>
  <c r="J1627" i="1"/>
  <c r="I1627" i="1"/>
  <c r="K1627" i="1" s="1"/>
  <c r="N1627" i="1" s="1"/>
  <c r="Q1627" i="1" s="1"/>
  <c r="S1626" i="1"/>
  <c r="L1626" i="1"/>
  <c r="O1626" i="1" s="1"/>
  <c r="P1626" i="1" s="1"/>
  <c r="R1626" i="1" s="1"/>
  <c r="J1626" i="1"/>
  <c r="I1626" i="1"/>
  <c r="S1625" i="1"/>
  <c r="L1625" i="1"/>
  <c r="O1625" i="1" s="1"/>
  <c r="P1625" i="1" s="1"/>
  <c r="R1625" i="1" s="1"/>
  <c r="J1625" i="1"/>
  <c r="I1625" i="1"/>
  <c r="K1625" i="1" s="1"/>
  <c r="N1625" i="1" s="1"/>
  <c r="Q1625" i="1" s="1"/>
  <c r="S1624" i="1"/>
  <c r="O1624" i="1"/>
  <c r="P1624" i="1" s="1"/>
  <c r="R1624" i="1" s="1"/>
  <c r="N1624" i="1"/>
  <c r="Q1624" i="1" s="1"/>
  <c r="L1624" i="1"/>
  <c r="K1624" i="1"/>
  <c r="J1624" i="1"/>
  <c r="I1624" i="1"/>
  <c r="M1624" i="1" s="1"/>
  <c r="S1623" i="1"/>
  <c r="O1623" i="1"/>
  <c r="P1623" i="1" s="1"/>
  <c r="R1623" i="1" s="1"/>
  <c r="L1623" i="1"/>
  <c r="K1623" i="1"/>
  <c r="N1623" i="1" s="1"/>
  <c r="Q1623" i="1" s="1"/>
  <c r="J1623" i="1"/>
  <c r="I1623" i="1"/>
  <c r="M1623" i="1" s="1"/>
  <c r="S1622" i="1"/>
  <c r="M1622" i="1"/>
  <c r="L1622" i="1"/>
  <c r="O1622" i="1" s="1"/>
  <c r="P1622" i="1" s="1"/>
  <c r="R1622" i="1" s="1"/>
  <c r="J1622" i="1"/>
  <c r="I1622" i="1"/>
  <c r="K1622" i="1" s="1"/>
  <c r="N1622" i="1" s="1"/>
  <c r="Q1622" i="1" s="1"/>
  <c r="S1621" i="1"/>
  <c r="O1621" i="1"/>
  <c r="P1621" i="1" s="1"/>
  <c r="R1621" i="1" s="1"/>
  <c r="L1621" i="1"/>
  <c r="J1621" i="1"/>
  <c r="I1621" i="1"/>
  <c r="M1621" i="1" s="1"/>
  <c r="S1620" i="1"/>
  <c r="O1620" i="1"/>
  <c r="P1620" i="1" s="1"/>
  <c r="R1620" i="1" s="1"/>
  <c r="L1620" i="1"/>
  <c r="K1620" i="1"/>
  <c r="N1620" i="1" s="1"/>
  <c r="Q1620" i="1" s="1"/>
  <c r="J1620" i="1"/>
  <c r="I1620" i="1"/>
  <c r="M1620" i="1" s="1"/>
  <c r="S1619" i="1"/>
  <c r="R1619" i="1"/>
  <c r="O1619" i="1"/>
  <c r="P1619" i="1" s="1"/>
  <c r="L1619" i="1"/>
  <c r="J1619" i="1"/>
  <c r="I1619" i="1"/>
  <c r="K1619" i="1" s="1"/>
  <c r="N1619" i="1" s="1"/>
  <c r="Q1619" i="1" s="1"/>
  <c r="S1618" i="1"/>
  <c r="P1618" i="1"/>
  <c r="R1618" i="1" s="1"/>
  <c r="L1618" i="1"/>
  <c r="O1618" i="1" s="1"/>
  <c r="J1618" i="1"/>
  <c r="I1618" i="1"/>
  <c r="K1618" i="1" s="1"/>
  <c r="N1618" i="1" s="1"/>
  <c r="Q1618" i="1" s="1"/>
  <c r="S1617" i="1"/>
  <c r="O1617" i="1"/>
  <c r="P1617" i="1" s="1"/>
  <c r="R1617" i="1" s="1"/>
  <c r="L1617" i="1"/>
  <c r="K1617" i="1"/>
  <c r="N1617" i="1" s="1"/>
  <c r="Q1617" i="1" s="1"/>
  <c r="J1617" i="1"/>
  <c r="I1617" i="1"/>
  <c r="M1617" i="1" s="1"/>
  <c r="S1616" i="1"/>
  <c r="L1616" i="1"/>
  <c r="O1616" i="1" s="1"/>
  <c r="P1616" i="1" s="1"/>
  <c r="R1616" i="1" s="1"/>
  <c r="K1616" i="1"/>
  <c r="N1616" i="1" s="1"/>
  <c r="Q1616" i="1" s="1"/>
  <c r="J1616" i="1"/>
  <c r="I1616" i="1"/>
  <c r="M1616" i="1" s="1"/>
  <c r="S1615" i="1"/>
  <c r="R1615" i="1"/>
  <c r="O1615" i="1"/>
  <c r="P1615" i="1" s="1"/>
  <c r="L1615" i="1"/>
  <c r="J1615" i="1"/>
  <c r="I1615" i="1"/>
  <c r="M1615" i="1" s="1"/>
  <c r="S1614" i="1"/>
  <c r="L1614" i="1"/>
  <c r="O1614" i="1" s="1"/>
  <c r="P1614" i="1" s="1"/>
  <c r="R1614" i="1" s="1"/>
  <c r="J1614" i="1"/>
  <c r="I1614" i="1"/>
  <c r="K1614" i="1" s="1"/>
  <c r="N1614" i="1" s="1"/>
  <c r="Q1614" i="1" s="1"/>
  <c r="S1613" i="1"/>
  <c r="L1613" i="1"/>
  <c r="O1613" i="1" s="1"/>
  <c r="P1613" i="1" s="1"/>
  <c r="R1613" i="1" s="1"/>
  <c r="K1613" i="1"/>
  <c r="N1613" i="1" s="1"/>
  <c r="Q1613" i="1" s="1"/>
  <c r="J1613" i="1"/>
  <c r="I1613" i="1"/>
  <c r="M1613" i="1" s="1"/>
  <c r="S1612" i="1"/>
  <c r="O1612" i="1"/>
  <c r="P1612" i="1" s="1"/>
  <c r="R1612" i="1" s="1"/>
  <c r="L1612" i="1"/>
  <c r="K1612" i="1"/>
  <c r="N1612" i="1" s="1"/>
  <c r="Q1612" i="1" s="1"/>
  <c r="J1612" i="1"/>
  <c r="I1612" i="1"/>
  <c r="M1612" i="1" s="1"/>
  <c r="S1611" i="1"/>
  <c r="L1611" i="1"/>
  <c r="O1611" i="1" s="1"/>
  <c r="P1611" i="1" s="1"/>
  <c r="R1611" i="1" s="1"/>
  <c r="J1611" i="1"/>
  <c r="I1611" i="1"/>
  <c r="M1611" i="1" s="1"/>
  <c r="S1610" i="1"/>
  <c r="L1610" i="1"/>
  <c r="O1610" i="1" s="1"/>
  <c r="P1610" i="1" s="1"/>
  <c r="R1610" i="1" s="1"/>
  <c r="J1610" i="1"/>
  <c r="I1610" i="1"/>
  <c r="K1610" i="1" s="1"/>
  <c r="N1610" i="1" s="1"/>
  <c r="Q1610" i="1" s="1"/>
  <c r="S1609" i="1"/>
  <c r="L1609" i="1"/>
  <c r="O1609" i="1" s="1"/>
  <c r="P1609" i="1" s="1"/>
  <c r="R1609" i="1" s="1"/>
  <c r="K1609" i="1"/>
  <c r="N1609" i="1" s="1"/>
  <c r="Q1609" i="1" s="1"/>
  <c r="J1609" i="1"/>
  <c r="I1609" i="1"/>
  <c r="M1609" i="1" s="1"/>
  <c r="S1608" i="1"/>
  <c r="O1608" i="1"/>
  <c r="P1608" i="1" s="1"/>
  <c r="R1608" i="1" s="1"/>
  <c r="L1608" i="1"/>
  <c r="K1608" i="1"/>
  <c r="N1608" i="1" s="1"/>
  <c r="Q1608" i="1" s="1"/>
  <c r="J1608" i="1"/>
  <c r="I1608" i="1"/>
  <c r="M1608" i="1" s="1"/>
  <c r="S1607" i="1"/>
  <c r="L1607" i="1"/>
  <c r="O1607" i="1" s="1"/>
  <c r="P1607" i="1" s="1"/>
  <c r="R1607" i="1" s="1"/>
  <c r="J1607" i="1"/>
  <c r="I1607" i="1"/>
  <c r="M1607" i="1" s="1"/>
  <c r="S1606" i="1"/>
  <c r="L1606" i="1"/>
  <c r="O1606" i="1" s="1"/>
  <c r="P1606" i="1" s="1"/>
  <c r="R1606" i="1" s="1"/>
  <c r="J1606" i="1"/>
  <c r="I1606" i="1"/>
  <c r="K1606" i="1" s="1"/>
  <c r="N1606" i="1" s="1"/>
  <c r="Q1606" i="1" s="1"/>
  <c r="S1605" i="1"/>
  <c r="L1605" i="1"/>
  <c r="O1605" i="1" s="1"/>
  <c r="P1605" i="1" s="1"/>
  <c r="R1605" i="1" s="1"/>
  <c r="K1605" i="1"/>
  <c r="N1605" i="1" s="1"/>
  <c r="Q1605" i="1" s="1"/>
  <c r="J1605" i="1"/>
  <c r="I1605" i="1"/>
  <c r="M1605" i="1" s="1"/>
  <c r="S1604" i="1"/>
  <c r="O1604" i="1"/>
  <c r="P1604" i="1" s="1"/>
  <c r="R1604" i="1" s="1"/>
  <c r="L1604" i="1"/>
  <c r="K1604" i="1"/>
  <c r="N1604" i="1" s="1"/>
  <c r="Q1604" i="1" s="1"/>
  <c r="J1604" i="1"/>
  <c r="I1604" i="1"/>
  <c r="M1604" i="1" s="1"/>
  <c r="S1603" i="1"/>
  <c r="L1603" i="1"/>
  <c r="O1603" i="1" s="1"/>
  <c r="P1603" i="1" s="1"/>
  <c r="R1603" i="1" s="1"/>
  <c r="J1603" i="1"/>
  <c r="I1603" i="1"/>
  <c r="M1603" i="1" s="1"/>
  <c r="S1602" i="1"/>
  <c r="L1602" i="1"/>
  <c r="O1602" i="1" s="1"/>
  <c r="P1602" i="1" s="1"/>
  <c r="R1602" i="1" s="1"/>
  <c r="J1602" i="1"/>
  <c r="I1602" i="1"/>
  <c r="K1602" i="1" s="1"/>
  <c r="N1602" i="1" s="1"/>
  <c r="Q1602" i="1" s="1"/>
  <c r="S1601" i="1"/>
  <c r="L1601" i="1"/>
  <c r="O1601" i="1" s="1"/>
  <c r="P1601" i="1" s="1"/>
  <c r="R1601" i="1" s="1"/>
  <c r="K1601" i="1"/>
  <c r="N1601" i="1" s="1"/>
  <c r="Q1601" i="1" s="1"/>
  <c r="J1601" i="1"/>
  <c r="I1601" i="1"/>
  <c r="M1601" i="1" s="1"/>
  <c r="S1600" i="1"/>
  <c r="O1600" i="1"/>
  <c r="P1600" i="1" s="1"/>
  <c r="R1600" i="1" s="1"/>
  <c r="L1600" i="1"/>
  <c r="K1600" i="1"/>
  <c r="N1600" i="1" s="1"/>
  <c r="Q1600" i="1" s="1"/>
  <c r="J1600" i="1"/>
  <c r="I1600" i="1"/>
  <c r="M1600" i="1" s="1"/>
  <c r="S1599" i="1"/>
  <c r="L1599" i="1"/>
  <c r="O1599" i="1" s="1"/>
  <c r="P1599" i="1" s="1"/>
  <c r="R1599" i="1" s="1"/>
  <c r="J1599" i="1"/>
  <c r="I1599" i="1"/>
  <c r="M1599" i="1" s="1"/>
  <c r="S1598" i="1"/>
  <c r="L1598" i="1"/>
  <c r="O1598" i="1" s="1"/>
  <c r="P1598" i="1" s="1"/>
  <c r="R1598" i="1" s="1"/>
  <c r="J1598" i="1"/>
  <c r="I1598" i="1"/>
  <c r="K1598" i="1" s="1"/>
  <c r="N1598" i="1" s="1"/>
  <c r="Q1598" i="1" s="1"/>
  <c r="S1597" i="1"/>
  <c r="L1597" i="1"/>
  <c r="O1597" i="1" s="1"/>
  <c r="P1597" i="1" s="1"/>
  <c r="R1597" i="1" s="1"/>
  <c r="K1597" i="1"/>
  <c r="N1597" i="1" s="1"/>
  <c r="Q1597" i="1" s="1"/>
  <c r="J1597" i="1"/>
  <c r="I1597" i="1"/>
  <c r="M1597" i="1" s="1"/>
  <c r="S1596" i="1"/>
  <c r="O1596" i="1"/>
  <c r="P1596" i="1" s="1"/>
  <c r="R1596" i="1" s="1"/>
  <c r="L1596" i="1"/>
  <c r="K1596" i="1"/>
  <c r="N1596" i="1" s="1"/>
  <c r="Q1596" i="1" s="1"/>
  <c r="J1596" i="1"/>
  <c r="I1596" i="1"/>
  <c r="M1596" i="1" s="1"/>
  <c r="S1595" i="1"/>
  <c r="L1595" i="1"/>
  <c r="O1595" i="1" s="1"/>
  <c r="P1595" i="1" s="1"/>
  <c r="R1595" i="1" s="1"/>
  <c r="J1595" i="1"/>
  <c r="I1595" i="1"/>
  <c r="M1595" i="1" s="1"/>
  <c r="S1594" i="1"/>
  <c r="L1594" i="1"/>
  <c r="O1594" i="1" s="1"/>
  <c r="P1594" i="1" s="1"/>
  <c r="R1594" i="1" s="1"/>
  <c r="J1594" i="1"/>
  <c r="I1594" i="1"/>
  <c r="K1594" i="1" s="1"/>
  <c r="N1594" i="1" s="1"/>
  <c r="Q1594" i="1" s="1"/>
  <c r="S1593" i="1"/>
  <c r="L1593" i="1"/>
  <c r="O1593" i="1" s="1"/>
  <c r="P1593" i="1" s="1"/>
  <c r="R1593" i="1" s="1"/>
  <c r="K1593" i="1"/>
  <c r="N1593" i="1" s="1"/>
  <c r="Q1593" i="1" s="1"/>
  <c r="J1593" i="1"/>
  <c r="I1593" i="1"/>
  <c r="M1593" i="1" s="1"/>
  <c r="S1592" i="1"/>
  <c r="O1592" i="1"/>
  <c r="P1592" i="1" s="1"/>
  <c r="R1592" i="1" s="1"/>
  <c r="L1592" i="1"/>
  <c r="K1592" i="1"/>
  <c r="N1592" i="1" s="1"/>
  <c r="Q1592" i="1" s="1"/>
  <c r="J1592" i="1"/>
  <c r="I1592" i="1"/>
  <c r="M1592" i="1" s="1"/>
  <c r="S1591" i="1"/>
  <c r="L1591" i="1"/>
  <c r="O1591" i="1" s="1"/>
  <c r="P1591" i="1" s="1"/>
  <c r="R1591" i="1" s="1"/>
  <c r="J1591" i="1"/>
  <c r="I1591" i="1"/>
  <c r="M1591" i="1" s="1"/>
  <c r="S1590" i="1"/>
  <c r="L1590" i="1"/>
  <c r="O1590" i="1" s="1"/>
  <c r="P1590" i="1" s="1"/>
  <c r="R1590" i="1" s="1"/>
  <c r="J1590" i="1"/>
  <c r="I1590" i="1"/>
  <c r="K1590" i="1" s="1"/>
  <c r="N1590" i="1" s="1"/>
  <c r="Q1590" i="1" s="1"/>
  <c r="S1589" i="1"/>
  <c r="L1589" i="1"/>
  <c r="O1589" i="1" s="1"/>
  <c r="P1589" i="1" s="1"/>
  <c r="R1589" i="1" s="1"/>
  <c r="K1589" i="1"/>
  <c r="N1589" i="1" s="1"/>
  <c r="Q1589" i="1" s="1"/>
  <c r="J1589" i="1"/>
  <c r="I1589" i="1"/>
  <c r="M1589" i="1" s="1"/>
  <c r="S1588" i="1"/>
  <c r="O1588" i="1"/>
  <c r="P1588" i="1" s="1"/>
  <c r="R1588" i="1" s="1"/>
  <c r="L1588" i="1"/>
  <c r="K1588" i="1"/>
  <c r="N1588" i="1" s="1"/>
  <c r="Q1588" i="1" s="1"/>
  <c r="J1588" i="1"/>
  <c r="I1588" i="1"/>
  <c r="M1588" i="1" s="1"/>
  <c r="S1587" i="1"/>
  <c r="L1587" i="1"/>
  <c r="O1587" i="1" s="1"/>
  <c r="P1587" i="1" s="1"/>
  <c r="R1587" i="1" s="1"/>
  <c r="J1587" i="1"/>
  <c r="I1587" i="1"/>
  <c r="M1587" i="1" s="1"/>
  <c r="S1586" i="1"/>
  <c r="L1586" i="1"/>
  <c r="O1586" i="1" s="1"/>
  <c r="P1586" i="1" s="1"/>
  <c r="R1586" i="1" s="1"/>
  <c r="J1586" i="1"/>
  <c r="I1586" i="1"/>
  <c r="K1586" i="1" s="1"/>
  <c r="N1586" i="1" s="1"/>
  <c r="Q1586" i="1" s="1"/>
  <c r="S1585" i="1"/>
  <c r="L1585" i="1"/>
  <c r="O1585" i="1" s="1"/>
  <c r="P1585" i="1" s="1"/>
  <c r="R1585" i="1" s="1"/>
  <c r="K1585" i="1"/>
  <c r="N1585" i="1" s="1"/>
  <c r="Q1585" i="1" s="1"/>
  <c r="J1585" i="1"/>
  <c r="I1585" i="1"/>
  <c r="M1585" i="1" s="1"/>
  <c r="S1584" i="1"/>
  <c r="O1584" i="1"/>
  <c r="P1584" i="1" s="1"/>
  <c r="R1584" i="1" s="1"/>
  <c r="L1584" i="1"/>
  <c r="K1584" i="1"/>
  <c r="N1584" i="1" s="1"/>
  <c r="Q1584" i="1" s="1"/>
  <c r="J1584" i="1"/>
  <c r="I1584" i="1"/>
  <c r="M1584" i="1" s="1"/>
  <c r="S1583" i="1"/>
  <c r="L1583" i="1"/>
  <c r="O1583" i="1" s="1"/>
  <c r="P1583" i="1" s="1"/>
  <c r="R1583" i="1" s="1"/>
  <c r="J1583" i="1"/>
  <c r="I1583" i="1"/>
  <c r="M1583" i="1" s="1"/>
  <c r="S1582" i="1"/>
  <c r="L1582" i="1"/>
  <c r="O1582" i="1" s="1"/>
  <c r="P1582" i="1" s="1"/>
  <c r="R1582" i="1" s="1"/>
  <c r="J1582" i="1"/>
  <c r="I1582" i="1"/>
  <c r="K1582" i="1" s="1"/>
  <c r="N1582" i="1" s="1"/>
  <c r="Q1582" i="1" s="1"/>
  <c r="S1581" i="1"/>
  <c r="L1581" i="1"/>
  <c r="O1581" i="1" s="1"/>
  <c r="P1581" i="1" s="1"/>
  <c r="R1581" i="1" s="1"/>
  <c r="K1581" i="1"/>
  <c r="N1581" i="1" s="1"/>
  <c r="Q1581" i="1" s="1"/>
  <c r="J1581" i="1"/>
  <c r="I1581" i="1"/>
  <c r="M1581" i="1" s="1"/>
  <c r="S1580" i="1"/>
  <c r="O1580" i="1"/>
  <c r="P1580" i="1" s="1"/>
  <c r="R1580" i="1" s="1"/>
  <c r="L1580" i="1"/>
  <c r="K1580" i="1"/>
  <c r="N1580" i="1" s="1"/>
  <c r="Q1580" i="1" s="1"/>
  <c r="J1580" i="1"/>
  <c r="I1580" i="1"/>
  <c r="M1580" i="1" s="1"/>
  <c r="S1579" i="1"/>
  <c r="L1579" i="1"/>
  <c r="O1579" i="1" s="1"/>
  <c r="P1579" i="1" s="1"/>
  <c r="R1579" i="1" s="1"/>
  <c r="J1579" i="1"/>
  <c r="I1579" i="1"/>
  <c r="M1579" i="1" s="1"/>
  <c r="S1578" i="1"/>
  <c r="L1578" i="1"/>
  <c r="O1578" i="1" s="1"/>
  <c r="P1578" i="1" s="1"/>
  <c r="R1578" i="1" s="1"/>
  <c r="J1578" i="1"/>
  <c r="I1578" i="1"/>
  <c r="K1578" i="1" s="1"/>
  <c r="N1578" i="1" s="1"/>
  <c r="Q1578" i="1" s="1"/>
  <c r="S1577" i="1"/>
  <c r="L1577" i="1"/>
  <c r="O1577" i="1" s="1"/>
  <c r="P1577" i="1" s="1"/>
  <c r="R1577" i="1" s="1"/>
  <c r="K1577" i="1"/>
  <c r="N1577" i="1" s="1"/>
  <c r="Q1577" i="1" s="1"/>
  <c r="J1577" i="1"/>
  <c r="I1577" i="1"/>
  <c r="M1577" i="1" s="1"/>
  <c r="S1576" i="1"/>
  <c r="O1576" i="1"/>
  <c r="P1576" i="1" s="1"/>
  <c r="R1576" i="1" s="1"/>
  <c r="L1576" i="1"/>
  <c r="K1576" i="1"/>
  <c r="N1576" i="1" s="1"/>
  <c r="Q1576" i="1" s="1"/>
  <c r="J1576" i="1"/>
  <c r="I1576" i="1"/>
  <c r="M1576" i="1" s="1"/>
  <c r="S1575" i="1"/>
  <c r="L1575" i="1"/>
  <c r="O1575" i="1" s="1"/>
  <c r="P1575" i="1" s="1"/>
  <c r="R1575" i="1" s="1"/>
  <c r="J1575" i="1"/>
  <c r="I1575" i="1"/>
  <c r="M1575" i="1" s="1"/>
  <c r="S1574" i="1"/>
  <c r="L1574" i="1"/>
  <c r="O1574" i="1" s="1"/>
  <c r="P1574" i="1" s="1"/>
  <c r="R1574" i="1" s="1"/>
  <c r="J1574" i="1"/>
  <c r="I1574" i="1"/>
  <c r="K1574" i="1" s="1"/>
  <c r="N1574" i="1" s="1"/>
  <c r="Q1574" i="1" s="1"/>
  <c r="S1573" i="1"/>
  <c r="L1573" i="1"/>
  <c r="O1573" i="1" s="1"/>
  <c r="P1573" i="1" s="1"/>
  <c r="R1573" i="1" s="1"/>
  <c r="K1573" i="1"/>
  <c r="N1573" i="1" s="1"/>
  <c r="Q1573" i="1" s="1"/>
  <c r="J1573" i="1"/>
  <c r="I1573" i="1"/>
  <c r="M1573" i="1" s="1"/>
  <c r="S1572" i="1"/>
  <c r="O1572" i="1"/>
  <c r="P1572" i="1" s="1"/>
  <c r="R1572" i="1" s="1"/>
  <c r="L1572" i="1"/>
  <c r="K1572" i="1"/>
  <c r="N1572" i="1" s="1"/>
  <c r="Q1572" i="1" s="1"/>
  <c r="J1572" i="1"/>
  <c r="I1572" i="1"/>
  <c r="M1572" i="1" s="1"/>
  <c r="S1571" i="1"/>
  <c r="L1571" i="1"/>
  <c r="O1571" i="1" s="1"/>
  <c r="P1571" i="1" s="1"/>
  <c r="R1571" i="1" s="1"/>
  <c r="J1571" i="1"/>
  <c r="I1571" i="1"/>
  <c r="M1571" i="1" s="1"/>
  <c r="S1570" i="1"/>
  <c r="L1570" i="1"/>
  <c r="O1570" i="1" s="1"/>
  <c r="P1570" i="1" s="1"/>
  <c r="R1570" i="1" s="1"/>
  <c r="J1570" i="1"/>
  <c r="I1570" i="1"/>
  <c r="K1570" i="1" s="1"/>
  <c r="N1570" i="1" s="1"/>
  <c r="Q1570" i="1" s="1"/>
  <c r="S1569" i="1"/>
  <c r="L1569" i="1"/>
  <c r="O1569" i="1" s="1"/>
  <c r="P1569" i="1" s="1"/>
  <c r="R1569" i="1" s="1"/>
  <c r="K1569" i="1"/>
  <c r="N1569" i="1" s="1"/>
  <c r="Q1569" i="1" s="1"/>
  <c r="J1569" i="1"/>
  <c r="I1569" i="1"/>
  <c r="M1569" i="1" s="1"/>
  <c r="S1568" i="1"/>
  <c r="O1568" i="1"/>
  <c r="P1568" i="1" s="1"/>
  <c r="R1568" i="1" s="1"/>
  <c r="L1568" i="1"/>
  <c r="K1568" i="1"/>
  <c r="N1568" i="1" s="1"/>
  <c r="Q1568" i="1" s="1"/>
  <c r="J1568" i="1"/>
  <c r="I1568" i="1"/>
  <c r="M1568" i="1" s="1"/>
  <c r="S1567" i="1"/>
  <c r="L1567" i="1"/>
  <c r="O1567" i="1" s="1"/>
  <c r="P1567" i="1" s="1"/>
  <c r="R1567" i="1" s="1"/>
  <c r="J1567" i="1"/>
  <c r="I1567" i="1"/>
  <c r="M1567" i="1" s="1"/>
  <c r="S1566" i="1"/>
  <c r="L1566" i="1"/>
  <c r="O1566" i="1" s="1"/>
  <c r="P1566" i="1" s="1"/>
  <c r="R1566" i="1" s="1"/>
  <c r="J1566" i="1"/>
  <c r="I1566" i="1"/>
  <c r="K1566" i="1" s="1"/>
  <c r="N1566" i="1" s="1"/>
  <c r="Q1566" i="1" s="1"/>
  <c r="S1565" i="1"/>
  <c r="L1565" i="1"/>
  <c r="O1565" i="1" s="1"/>
  <c r="P1565" i="1" s="1"/>
  <c r="R1565" i="1" s="1"/>
  <c r="K1565" i="1"/>
  <c r="N1565" i="1" s="1"/>
  <c r="Q1565" i="1" s="1"/>
  <c r="J1565" i="1"/>
  <c r="I1565" i="1"/>
  <c r="M1565" i="1" s="1"/>
  <c r="S1564" i="1"/>
  <c r="O1564" i="1"/>
  <c r="P1564" i="1" s="1"/>
  <c r="R1564" i="1" s="1"/>
  <c r="L1564" i="1"/>
  <c r="K1564" i="1"/>
  <c r="N1564" i="1" s="1"/>
  <c r="Q1564" i="1" s="1"/>
  <c r="J1564" i="1"/>
  <c r="I1564" i="1"/>
  <c r="M1564" i="1" s="1"/>
  <c r="S1563" i="1"/>
  <c r="L1563" i="1"/>
  <c r="O1563" i="1" s="1"/>
  <c r="P1563" i="1" s="1"/>
  <c r="R1563" i="1" s="1"/>
  <c r="J1563" i="1"/>
  <c r="I1563" i="1"/>
  <c r="M1563" i="1" s="1"/>
  <c r="S1562" i="1"/>
  <c r="L1562" i="1"/>
  <c r="O1562" i="1" s="1"/>
  <c r="P1562" i="1" s="1"/>
  <c r="R1562" i="1" s="1"/>
  <c r="J1562" i="1"/>
  <c r="I1562" i="1"/>
  <c r="K1562" i="1" s="1"/>
  <c r="N1562" i="1" s="1"/>
  <c r="Q1562" i="1" s="1"/>
  <c r="S1561" i="1"/>
  <c r="L1561" i="1"/>
  <c r="O1561" i="1" s="1"/>
  <c r="P1561" i="1" s="1"/>
  <c r="R1561" i="1" s="1"/>
  <c r="K1561" i="1"/>
  <c r="N1561" i="1" s="1"/>
  <c r="Q1561" i="1" s="1"/>
  <c r="J1561" i="1"/>
  <c r="I1561" i="1"/>
  <c r="M1561" i="1" s="1"/>
  <c r="S1560" i="1"/>
  <c r="O1560" i="1"/>
  <c r="P1560" i="1" s="1"/>
  <c r="R1560" i="1" s="1"/>
  <c r="L1560" i="1"/>
  <c r="K1560" i="1"/>
  <c r="N1560" i="1" s="1"/>
  <c r="Q1560" i="1" s="1"/>
  <c r="J1560" i="1"/>
  <c r="I1560" i="1"/>
  <c r="M1560" i="1" s="1"/>
  <c r="S1559" i="1"/>
  <c r="L1559" i="1"/>
  <c r="O1559" i="1" s="1"/>
  <c r="P1559" i="1" s="1"/>
  <c r="R1559" i="1" s="1"/>
  <c r="J1559" i="1"/>
  <c r="I1559" i="1"/>
  <c r="M1559" i="1" s="1"/>
  <c r="S1558" i="1"/>
  <c r="L1558" i="1"/>
  <c r="O1558" i="1" s="1"/>
  <c r="P1558" i="1" s="1"/>
  <c r="R1558" i="1" s="1"/>
  <c r="J1558" i="1"/>
  <c r="I1558" i="1"/>
  <c r="K1558" i="1" s="1"/>
  <c r="N1558" i="1" s="1"/>
  <c r="Q1558" i="1" s="1"/>
  <c r="S1557" i="1"/>
  <c r="L1557" i="1"/>
  <c r="O1557" i="1" s="1"/>
  <c r="P1557" i="1" s="1"/>
  <c r="R1557" i="1" s="1"/>
  <c r="K1557" i="1"/>
  <c r="N1557" i="1" s="1"/>
  <c r="Q1557" i="1" s="1"/>
  <c r="J1557" i="1"/>
  <c r="I1557" i="1"/>
  <c r="M1557" i="1" s="1"/>
  <c r="S1556" i="1"/>
  <c r="O1556" i="1"/>
  <c r="P1556" i="1" s="1"/>
  <c r="R1556" i="1" s="1"/>
  <c r="L1556" i="1"/>
  <c r="K1556" i="1"/>
  <c r="N1556" i="1" s="1"/>
  <c r="Q1556" i="1" s="1"/>
  <c r="J1556" i="1"/>
  <c r="I1556" i="1"/>
  <c r="M1556" i="1" s="1"/>
  <c r="S1555" i="1"/>
  <c r="L1555" i="1"/>
  <c r="O1555" i="1" s="1"/>
  <c r="P1555" i="1" s="1"/>
  <c r="R1555" i="1" s="1"/>
  <c r="J1555" i="1"/>
  <c r="I1555" i="1"/>
  <c r="M1555" i="1" s="1"/>
  <c r="S1554" i="1"/>
  <c r="L1554" i="1"/>
  <c r="O1554" i="1" s="1"/>
  <c r="P1554" i="1" s="1"/>
  <c r="R1554" i="1" s="1"/>
  <c r="J1554" i="1"/>
  <c r="I1554" i="1"/>
  <c r="K1554" i="1" s="1"/>
  <c r="N1554" i="1" s="1"/>
  <c r="Q1554" i="1" s="1"/>
  <c r="S1553" i="1"/>
  <c r="L1553" i="1"/>
  <c r="O1553" i="1" s="1"/>
  <c r="P1553" i="1" s="1"/>
  <c r="R1553" i="1" s="1"/>
  <c r="K1553" i="1"/>
  <c r="N1553" i="1" s="1"/>
  <c r="Q1553" i="1" s="1"/>
  <c r="J1553" i="1"/>
  <c r="I1553" i="1"/>
  <c r="M1553" i="1" s="1"/>
  <c r="S1552" i="1"/>
  <c r="O1552" i="1"/>
  <c r="P1552" i="1" s="1"/>
  <c r="R1552" i="1" s="1"/>
  <c r="L1552" i="1"/>
  <c r="K1552" i="1"/>
  <c r="N1552" i="1" s="1"/>
  <c r="Q1552" i="1" s="1"/>
  <c r="J1552" i="1"/>
  <c r="I1552" i="1"/>
  <c r="M1552" i="1" s="1"/>
  <c r="S1551" i="1"/>
  <c r="L1551" i="1"/>
  <c r="O1551" i="1" s="1"/>
  <c r="P1551" i="1" s="1"/>
  <c r="R1551" i="1" s="1"/>
  <c r="J1551" i="1"/>
  <c r="I1551" i="1"/>
  <c r="M1551" i="1" s="1"/>
  <c r="S1550" i="1"/>
  <c r="L1550" i="1"/>
  <c r="O1550" i="1" s="1"/>
  <c r="P1550" i="1" s="1"/>
  <c r="R1550" i="1" s="1"/>
  <c r="J1550" i="1"/>
  <c r="I1550" i="1"/>
  <c r="K1550" i="1" s="1"/>
  <c r="N1550" i="1" s="1"/>
  <c r="Q1550" i="1" s="1"/>
  <c r="S1549" i="1"/>
  <c r="L1549" i="1"/>
  <c r="O1549" i="1" s="1"/>
  <c r="P1549" i="1" s="1"/>
  <c r="R1549" i="1" s="1"/>
  <c r="K1549" i="1"/>
  <c r="N1549" i="1" s="1"/>
  <c r="Q1549" i="1" s="1"/>
  <c r="J1549" i="1"/>
  <c r="I1549" i="1"/>
  <c r="M1549" i="1" s="1"/>
  <c r="S1548" i="1"/>
  <c r="O1548" i="1"/>
  <c r="P1548" i="1" s="1"/>
  <c r="R1548" i="1" s="1"/>
  <c r="L1548" i="1"/>
  <c r="K1548" i="1"/>
  <c r="N1548" i="1" s="1"/>
  <c r="Q1548" i="1" s="1"/>
  <c r="J1548" i="1"/>
  <c r="I1548" i="1"/>
  <c r="M1548" i="1" s="1"/>
  <c r="S1547" i="1"/>
  <c r="L1547" i="1"/>
  <c r="O1547" i="1" s="1"/>
  <c r="P1547" i="1" s="1"/>
  <c r="R1547" i="1" s="1"/>
  <c r="J1547" i="1"/>
  <c r="I1547" i="1"/>
  <c r="M1547" i="1" s="1"/>
  <c r="S1546" i="1"/>
  <c r="L1546" i="1"/>
  <c r="O1546" i="1" s="1"/>
  <c r="P1546" i="1" s="1"/>
  <c r="R1546" i="1" s="1"/>
  <c r="J1546" i="1"/>
  <c r="I1546" i="1"/>
  <c r="K1546" i="1" s="1"/>
  <c r="N1546" i="1" s="1"/>
  <c r="Q1546" i="1" s="1"/>
  <c r="S1545" i="1"/>
  <c r="L1545" i="1"/>
  <c r="O1545" i="1" s="1"/>
  <c r="P1545" i="1" s="1"/>
  <c r="R1545" i="1" s="1"/>
  <c r="K1545" i="1"/>
  <c r="N1545" i="1" s="1"/>
  <c r="Q1545" i="1" s="1"/>
  <c r="J1545" i="1"/>
  <c r="I1545" i="1"/>
  <c r="M1545" i="1" s="1"/>
  <c r="S1544" i="1"/>
  <c r="O1544" i="1"/>
  <c r="P1544" i="1" s="1"/>
  <c r="R1544" i="1" s="1"/>
  <c r="L1544" i="1"/>
  <c r="K1544" i="1"/>
  <c r="N1544" i="1" s="1"/>
  <c r="Q1544" i="1" s="1"/>
  <c r="J1544" i="1"/>
  <c r="I1544" i="1"/>
  <c r="M1544" i="1" s="1"/>
  <c r="S1543" i="1"/>
  <c r="L1543" i="1"/>
  <c r="O1543" i="1" s="1"/>
  <c r="P1543" i="1" s="1"/>
  <c r="R1543" i="1" s="1"/>
  <c r="J1543" i="1"/>
  <c r="I1543" i="1"/>
  <c r="M1543" i="1" s="1"/>
  <c r="S1542" i="1"/>
  <c r="L1542" i="1"/>
  <c r="O1542" i="1" s="1"/>
  <c r="P1542" i="1" s="1"/>
  <c r="R1542" i="1" s="1"/>
  <c r="J1542" i="1"/>
  <c r="I1542" i="1"/>
  <c r="K1542" i="1" s="1"/>
  <c r="N1542" i="1" s="1"/>
  <c r="Q1542" i="1" s="1"/>
  <c r="S1541" i="1"/>
  <c r="L1541" i="1"/>
  <c r="O1541" i="1" s="1"/>
  <c r="P1541" i="1" s="1"/>
  <c r="R1541" i="1" s="1"/>
  <c r="K1541" i="1"/>
  <c r="N1541" i="1" s="1"/>
  <c r="Q1541" i="1" s="1"/>
  <c r="J1541" i="1"/>
  <c r="I1541" i="1"/>
  <c r="M1541" i="1" s="1"/>
  <c r="S1540" i="1"/>
  <c r="O1540" i="1"/>
  <c r="P1540" i="1" s="1"/>
  <c r="R1540" i="1" s="1"/>
  <c r="L1540" i="1"/>
  <c r="K1540" i="1"/>
  <c r="N1540" i="1" s="1"/>
  <c r="Q1540" i="1" s="1"/>
  <c r="J1540" i="1"/>
  <c r="I1540" i="1"/>
  <c r="M1540" i="1" s="1"/>
  <c r="S1539" i="1"/>
  <c r="L1539" i="1"/>
  <c r="O1539" i="1" s="1"/>
  <c r="P1539" i="1" s="1"/>
  <c r="R1539" i="1" s="1"/>
  <c r="J1539" i="1"/>
  <c r="I1539" i="1"/>
  <c r="M1539" i="1" s="1"/>
  <c r="S1538" i="1"/>
  <c r="L1538" i="1"/>
  <c r="O1538" i="1" s="1"/>
  <c r="P1538" i="1" s="1"/>
  <c r="R1538" i="1" s="1"/>
  <c r="J1538" i="1"/>
  <c r="I1538" i="1"/>
  <c r="K1538" i="1" s="1"/>
  <c r="N1538" i="1" s="1"/>
  <c r="Q1538" i="1" s="1"/>
  <c r="S1537" i="1"/>
  <c r="L1537" i="1"/>
  <c r="O1537" i="1" s="1"/>
  <c r="P1537" i="1" s="1"/>
  <c r="R1537" i="1" s="1"/>
  <c r="K1537" i="1"/>
  <c r="N1537" i="1" s="1"/>
  <c r="Q1537" i="1" s="1"/>
  <c r="J1537" i="1"/>
  <c r="I1537" i="1"/>
  <c r="M1537" i="1" s="1"/>
  <c r="S1536" i="1"/>
  <c r="O1536" i="1"/>
  <c r="P1536" i="1" s="1"/>
  <c r="R1536" i="1" s="1"/>
  <c r="L1536" i="1"/>
  <c r="K1536" i="1"/>
  <c r="N1536" i="1" s="1"/>
  <c r="Q1536" i="1" s="1"/>
  <c r="J1536" i="1"/>
  <c r="I1536" i="1"/>
  <c r="M1536" i="1" s="1"/>
  <c r="S1535" i="1"/>
  <c r="L1535" i="1"/>
  <c r="O1535" i="1" s="1"/>
  <c r="P1535" i="1" s="1"/>
  <c r="R1535" i="1" s="1"/>
  <c r="J1535" i="1"/>
  <c r="I1535" i="1"/>
  <c r="M1535" i="1" s="1"/>
  <c r="S1534" i="1"/>
  <c r="L1534" i="1"/>
  <c r="O1534" i="1" s="1"/>
  <c r="P1534" i="1" s="1"/>
  <c r="R1534" i="1" s="1"/>
  <c r="J1534" i="1"/>
  <c r="I1534" i="1"/>
  <c r="K1534" i="1" s="1"/>
  <c r="N1534" i="1" s="1"/>
  <c r="Q1534" i="1" s="1"/>
  <c r="S1533" i="1"/>
  <c r="L1533" i="1"/>
  <c r="O1533" i="1" s="1"/>
  <c r="P1533" i="1" s="1"/>
  <c r="R1533" i="1" s="1"/>
  <c r="K1533" i="1"/>
  <c r="N1533" i="1" s="1"/>
  <c r="Q1533" i="1" s="1"/>
  <c r="J1533" i="1"/>
  <c r="I1533" i="1"/>
  <c r="M1533" i="1" s="1"/>
  <c r="S1532" i="1"/>
  <c r="O1532" i="1"/>
  <c r="P1532" i="1" s="1"/>
  <c r="R1532" i="1" s="1"/>
  <c r="L1532" i="1"/>
  <c r="K1532" i="1"/>
  <c r="N1532" i="1" s="1"/>
  <c r="Q1532" i="1" s="1"/>
  <c r="J1532" i="1"/>
  <c r="I1532" i="1"/>
  <c r="M1532" i="1" s="1"/>
  <c r="S1531" i="1"/>
  <c r="L1531" i="1"/>
  <c r="O1531" i="1" s="1"/>
  <c r="P1531" i="1" s="1"/>
  <c r="R1531" i="1" s="1"/>
  <c r="J1531" i="1"/>
  <c r="I1531" i="1"/>
  <c r="M1531" i="1" s="1"/>
  <c r="S1530" i="1"/>
  <c r="L1530" i="1"/>
  <c r="O1530" i="1" s="1"/>
  <c r="P1530" i="1" s="1"/>
  <c r="R1530" i="1" s="1"/>
  <c r="J1530" i="1"/>
  <c r="I1530" i="1"/>
  <c r="K1530" i="1" s="1"/>
  <c r="N1530" i="1" s="1"/>
  <c r="Q1530" i="1" s="1"/>
  <c r="S1529" i="1"/>
  <c r="L1529" i="1"/>
  <c r="O1529" i="1" s="1"/>
  <c r="P1529" i="1" s="1"/>
  <c r="R1529" i="1" s="1"/>
  <c r="K1529" i="1"/>
  <c r="N1529" i="1" s="1"/>
  <c r="Q1529" i="1" s="1"/>
  <c r="J1529" i="1"/>
  <c r="I1529" i="1"/>
  <c r="M1529" i="1" s="1"/>
  <c r="S1528" i="1"/>
  <c r="O1528" i="1"/>
  <c r="P1528" i="1" s="1"/>
  <c r="R1528" i="1" s="1"/>
  <c r="L1528" i="1"/>
  <c r="K1528" i="1"/>
  <c r="N1528" i="1" s="1"/>
  <c r="Q1528" i="1" s="1"/>
  <c r="J1528" i="1"/>
  <c r="I1528" i="1"/>
  <c r="M1528" i="1" s="1"/>
  <c r="S1527" i="1"/>
  <c r="L1527" i="1"/>
  <c r="O1527" i="1" s="1"/>
  <c r="P1527" i="1" s="1"/>
  <c r="R1527" i="1" s="1"/>
  <c r="J1527" i="1"/>
  <c r="I1527" i="1"/>
  <c r="M1527" i="1" s="1"/>
  <c r="S1526" i="1"/>
  <c r="L1526" i="1"/>
  <c r="O1526" i="1" s="1"/>
  <c r="P1526" i="1" s="1"/>
  <c r="R1526" i="1" s="1"/>
  <c r="J1526" i="1"/>
  <c r="I1526" i="1"/>
  <c r="K1526" i="1" s="1"/>
  <c r="N1526" i="1" s="1"/>
  <c r="Q1526" i="1" s="1"/>
  <c r="S1525" i="1"/>
  <c r="L1525" i="1"/>
  <c r="O1525" i="1" s="1"/>
  <c r="P1525" i="1" s="1"/>
  <c r="R1525" i="1" s="1"/>
  <c r="K1525" i="1"/>
  <c r="N1525" i="1" s="1"/>
  <c r="Q1525" i="1" s="1"/>
  <c r="J1525" i="1"/>
  <c r="I1525" i="1"/>
  <c r="M1525" i="1" s="1"/>
  <c r="S1524" i="1"/>
  <c r="O1524" i="1"/>
  <c r="P1524" i="1" s="1"/>
  <c r="R1524" i="1" s="1"/>
  <c r="L1524" i="1"/>
  <c r="K1524" i="1"/>
  <c r="N1524" i="1" s="1"/>
  <c r="Q1524" i="1" s="1"/>
  <c r="J1524" i="1"/>
  <c r="I1524" i="1"/>
  <c r="M1524" i="1" s="1"/>
  <c r="S1523" i="1"/>
  <c r="L1523" i="1"/>
  <c r="O1523" i="1" s="1"/>
  <c r="P1523" i="1" s="1"/>
  <c r="R1523" i="1" s="1"/>
  <c r="J1523" i="1"/>
  <c r="I1523" i="1"/>
  <c r="M1523" i="1" s="1"/>
  <c r="S1522" i="1"/>
  <c r="L1522" i="1"/>
  <c r="O1522" i="1" s="1"/>
  <c r="P1522" i="1" s="1"/>
  <c r="R1522" i="1" s="1"/>
  <c r="J1522" i="1"/>
  <c r="I1522" i="1"/>
  <c r="K1522" i="1" s="1"/>
  <c r="N1522" i="1" s="1"/>
  <c r="Q1522" i="1" s="1"/>
  <c r="S1521" i="1"/>
  <c r="L1521" i="1"/>
  <c r="O1521" i="1" s="1"/>
  <c r="P1521" i="1" s="1"/>
  <c r="R1521" i="1" s="1"/>
  <c r="K1521" i="1"/>
  <c r="N1521" i="1" s="1"/>
  <c r="Q1521" i="1" s="1"/>
  <c r="J1521" i="1"/>
  <c r="I1521" i="1"/>
  <c r="M1521" i="1" s="1"/>
  <c r="S1520" i="1"/>
  <c r="O1520" i="1"/>
  <c r="P1520" i="1" s="1"/>
  <c r="R1520" i="1" s="1"/>
  <c r="L1520" i="1"/>
  <c r="K1520" i="1"/>
  <c r="N1520" i="1" s="1"/>
  <c r="Q1520" i="1" s="1"/>
  <c r="J1520" i="1"/>
  <c r="I1520" i="1"/>
  <c r="M1520" i="1" s="1"/>
  <c r="S1519" i="1"/>
  <c r="L1519" i="1"/>
  <c r="O1519" i="1" s="1"/>
  <c r="P1519" i="1" s="1"/>
  <c r="R1519" i="1" s="1"/>
  <c r="J1519" i="1"/>
  <c r="I1519" i="1"/>
  <c r="M1519" i="1" s="1"/>
  <c r="S1518" i="1"/>
  <c r="L1518" i="1"/>
  <c r="O1518" i="1" s="1"/>
  <c r="P1518" i="1" s="1"/>
  <c r="R1518" i="1" s="1"/>
  <c r="J1518" i="1"/>
  <c r="I1518" i="1"/>
  <c r="K1518" i="1" s="1"/>
  <c r="N1518" i="1" s="1"/>
  <c r="Q1518" i="1" s="1"/>
  <c r="S1517" i="1"/>
  <c r="L1517" i="1"/>
  <c r="O1517" i="1" s="1"/>
  <c r="P1517" i="1" s="1"/>
  <c r="R1517" i="1" s="1"/>
  <c r="K1517" i="1"/>
  <c r="N1517" i="1" s="1"/>
  <c r="Q1517" i="1" s="1"/>
  <c r="J1517" i="1"/>
  <c r="I1517" i="1"/>
  <c r="M1517" i="1" s="1"/>
  <c r="S1516" i="1"/>
  <c r="O1516" i="1"/>
  <c r="P1516" i="1" s="1"/>
  <c r="R1516" i="1" s="1"/>
  <c r="L1516" i="1"/>
  <c r="K1516" i="1"/>
  <c r="N1516" i="1" s="1"/>
  <c r="Q1516" i="1" s="1"/>
  <c r="J1516" i="1"/>
  <c r="I1516" i="1"/>
  <c r="M1516" i="1" s="1"/>
  <c r="S1515" i="1"/>
  <c r="L1515" i="1"/>
  <c r="O1515" i="1" s="1"/>
  <c r="P1515" i="1" s="1"/>
  <c r="R1515" i="1" s="1"/>
  <c r="J1515" i="1"/>
  <c r="I1515" i="1"/>
  <c r="M1515" i="1" s="1"/>
  <c r="S1514" i="1"/>
  <c r="L1514" i="1"/>
  <c r="O1514" i="1" s="1"/>
  <c r="P1514" i="1" s="1"/>
  <c r="R1514" i="1" s="1"/>
  <c r="J1514" i="1"/>
  <c r="I1514" i="1"/>
  <c r="K1514" i="1" s="1"/>
  <c r="N1514" i="1" s="1"/>
  <c r="Q1514" i="1" s="1"/>
  <c r="S1513" i="1"/>
  <c r="L1513" i="1"/>
  <c r="O1513" i="1" s="1"/>
  <c r="P1513" i="1" s="1"/>
  <c r="R1513" i="1" s="1"/>
  <c r="K1513" i="1"/>
  <c r="N1513" i="1" s="1"/>
  <c r="Q1513" i="1" s="1"/>
  <c r="J1513" i="1"/>
  <c r="I1513" i="1"/>
  <c r="M1513" i="1" s="1"/>
  <c r="S1512" i="1"/>
  <c r="O1512" i="1"/>
  <c r="P1512" i="1" s="1"/>
  <c r="R1512" i="1" s="1"/>
  <c r="L1512" i="1"/>
  <c r="K1512" i="1"/>
  <c r="N1512" i="1" s="1"/>
  <c r="Q1512" i="1" s="1"/>
  <c r="J1512" i="1"/>
  <c r="I1512" i="1"/>
  <c r="M1512" i="1" s="1"/>
  <c r="S1511" i="1"/>
  <c r="L1511" i="1"/>
  <c r="O1511" i="1" s="1"/>
  <c r="P1511" i="1" s="1"/>
  <c r="R1511" i="1" s="1"/>
  <c r="J1511" i="1"/>
  <c r="I1511" i="1"/>
  <c r="M1511" i="1" s="1"/>
  <c r="S1510" i="1"/>
  <c r="L1510" i="1"/>
  <c r="O1510" i="1" s="1"/>
  <c r="P1510" i="1" s="1"/>
  <c r="R1510" i="1" s="1"/>
  <c r="J1510" i="1"/>
  <c r="I1510" i="1"/>
  <c r="K1510" i="1" s="1"/>
  <c r="N1510" i="1" s="1"/>
  <c r="Q1510" i="1" s="1"/>
  <c r="S1509" i="1"/>
  <c r="L1509" i="1"/>
  <c r="O1509" i="1" s="1"/>
  <c r="P1509" i="1" s="1"/>
  <c r="R1509" i="1" s="1"/>
  <c r="K1509" i="1"/>
  <c r="N1509" i="1" s="1"/>
  <c r="Q1509" i="1" s="1"/>
  <c r="J1509" i="1"/>
  <c r="I1509" i="1"/>
  <c r="M1509" i="1" s="1"/>
  <c r="S1508" i="1"/>
  <c r="O1508" i="1"/>
  <c r="P1508" i="1" s="1"/>
  <c r="R1508" i="1" s="1"/>
  <c r="L1508" i="1"/>
  <c r="K1508" i="1"/>
  <c r="N1508" i="1" s="1"/>
  <c r="Q1508" i="1" s="1"/>
  <c r="J1508" i="1"/>
  <c r="I1508" i="1"/>
  <c r="M1508" i="1" s="1"/>
  <c r="S1507" i="1"/>
  <c r="L1507" i="1"/>
  <c r="O1507" i="1" s="1"/>
  <c r="P1507" i="1" s="1"/>
  <c r="R1507" i="1" s="1"/>
  <c r="J1507" i="1"/>
  <c r="I1507" i="1"/>
  <c r="M1507" i="1" s="1"/>
  <c r="S1506" i="1"/>
  <c r="L1506" i="1"/>
  <c r="O1506" i="1" s="1"/>
  <c r="P1506" i="1" s="1"/>
  <c r="R1506" i="1" s="1"/>
  <c r="J1506" i="1"/>
  <c r="I1506" i="1"/>
  <c r="K1506" i="1" s="1"/>
  <c r="N1506" i="1" s="1"/>
  <c r="Q1506" i="1" s="1"/>
  <c r="S1505" i="1"/>
  <c r="L1505" i="1"/>
  <c r="O1505" i="1" s="1"/>
  <c r="P1505" i="1" s="1"/>
  <c r="R1505" i="1" s="1"/>
  <c r="K1505" i="1"/>
  <c r="N1505" i="1" s="1"/>
  <c r="Q1505" i="1" s="1"/>
  <c r="J1505" i="1"/>
  <c r="I1505" i="1"/>
  <c r="M1505" i="1" s="1"/>
  <c r="S1504" i="1"/>
  <c r="O1504" i="1"/>
  <c r="P1504" i="1" s="1"/>
  <c r="R1504" i="1" s="1"/>
  <c r="L1504" i="1"/>
  <c r="K1504" i="1"/>
  <c r="N1504" i="1" s="1"/>
  <c r="Q1504" i="1" s="1"/>
  <c r="J1504" i="1"/>
  <c r="I1504" i="1"/>
  <c r="M1504" i="1" s="1"/>
  <c r="S1503" i="1"/>
  <c r="L1503" i="1"/>
  <c r="O1503" i="1" s="1"/>
  <c r="P1503" i="1" s="1"/>
  <c r="R1503" i="1" s="1"/>
  <c r="J1503" i="1"/>
  <c r="I1503" i="1"/>
  <c r="M1503" i="1" s="1"/>
  <c r="S1502" i="1"/>
  <c r="L1502" i="1"/>
  <c r="O1502" i="1" s="1"/>
  <c r="P1502" i="1" s="1"/>
  <c r="R1502" i="1" s="1"/>
  <c r="J1502" i="1"/>
  <c r="I1502" i="1"/>
  <c r="K1502" i="1" s="1"/>
  <c r="N1502" i="1" s="1"/>
  <c r="Q1502" i="1" s="1"/>
  <c r="S1501" i="1"/>
  <c r="L1501" i="1"/>
  <c r="O1501" i="1" s="1"/>
  <c r="P1501" i="1" s="1"/>
  <c r="R1501" i="1" s="1"/>
  <c r="K1501" i="1"/>
  <c r="N1501" i="1" s="1"/>
  <c r="Q1501" i="1" s="1"/>
  <c r="J1501" i="1"/>
  <c r="I1501" i="1"/>
  <c r="M1501" i="1" s="1"/>
  <c r="S1500" i="1"/>
  <c r="O1500" i="1"/>
  <c r="P1500" i="1" s="1"/>
  <c r="R1500" i="1" s="1"/>
  <c r="L1500" i="1"/>
  <c r="K1500" i="1"/>
  <c r="N1500" i="1" s="1"/>
  <c r="Q1500" i="1" s="1"/>
  <c r="J1500" i="1"/>
  <c r="I1500" i="1"/>
  <c r="M1500" i="1" s="1"/>
  <c r="S1499" i="1"/>
  <c r="L1499" i="1"/>
  <c r="O1499" i="1" s="1"/>
  <c r="P1499" i="1" s="1"/>
  <c r="R1499" i="1" s="1"/>
  <c r="J1499" i="1"/>
  <c r="I1499" i="1"/>
  <c r="M1499" i="1" s="1"/>
  <c r="S1498" i="1"/>
  <c r="L1498" i="1"/>
  <c r="O1498" i="1" s="1"/>
  <c r="P1498" i="1" s="1"/>
  <c r="R1498" i="1" s="1"/>
  <c r="J1498" i="1"/>
  <c r="I1498" i="1"/>
  <c r="K1498" i="1" s="1"/>
  <c r="N1498" i="1" s="1"/>
  <c r="Q1498" i="1" s="1"/>
  <c r="S1497" i="1"/>
  <c r="L1497" i="1"/>
  <c r="O1497" i="1" s="1"/>
  <c r="P1497" i="1" s="1"/>
  <c r="R1497" i="1" s="1"/>
  <c r="K1497" i="1"/>
  <c r="N1497" i="1" s="1"/>
  <c r="Q1497" i="1" s="1"/>
  <c r="J1497" i="1"/>
  <c r="I1497" i="1"/>
  <c r="M1497" i="1" s="1"/>
  <c r="S1496" i="1"/>
  <c r="O1496" i="1"/>
  <c r="P1496" i="1" s="1"/>
  <c r="R1496" i="1" s="1"/>
  <c r="L1496" i="1"/>
  <c r="K1496" i="1"/>
  <c r="N1496" i="1" s="1"/>
  <c r="Q1496" i="1" s="1"/>
  <c r="J1496" i="1"/>
  <c r="I1496" i="1"/>
  <c r="M1496" i="1" s="1"/>
  <c r="S1495" i="1"/>
  <c r="L1495" i="1"/>
  <c r="O1495" i="1" s="1"/>
  <c r="P1495" i="1" s="1"/>
  <c r="R1495" i="1" s="1"/>
  <c r="J1495" i="1"/>
  <c r="I1495" i="1"/>
  <c r="M1495" i="1" s="1"/>
  <c r="S1494" i="1"/>
  <c r="L1494" i="1"/>
  <c r="O1494" i="1" s="1"/>
  <c r="P1494" i="1" s="1"/>
  <c r="R1494" i="1" s="1"/>
  <c r="J1494" i="1"/>
  <c r="I1494" i="1"/>
  <c r="K1494" i="1" s="1"/>
  <c r="N1494" i="1" s="1"/>
  <c r="Q1494" i="1" s="1"/>
  <c r="S1493" i="1"/>
  <c r="L1493" i="1"/>
  <c r="O1493" i="1" s="1"/>
  <c r="P1493" i="1" s="1"/>
  <c r="R1493" i="1" s="1"/>
  <c r="K1493" i="1"/>
  <c r="N1493" i="1" s="1"/>
  <c r="Q1493" i="1" s="1"/>
  <c r="J1493" i="1"/>
  <c r="I1493" i="1"/>
  <c r="M1493" i="1" s="1"/>
  <c r="S1492" i="1"/>
  <c r="O1492" i="1"/>
  <c r="P1492" i="1" s="1"/>
  <c r="R1492" i="1" s="1"/>
  <c r="L1492" i="1"/>
  <c r="K1492" i="1"/>
  <c r="N1492" i="1" s="1"/>
  <c r="Q1492" i="1" s="1"/>
  <c r="J1492" i="1"/>
  <c r="I1492" i="1"/>
  <c r="M1492" i="1" s="1"/>
  <c r="S1491" i="1"/>
  <c r="L1491" i="1"/>
  <c r="O1491" i="1" s="1"/>
  <c r="P1491" i="1" s="1"/>
  <c r="R1491" i="1" s="1"/>
  <c r="J1491" i="1"/>
  <c r="I1491" i="1"/>
  <c r="M1491" i="1" s="1"/>
  <c r="S1490" i="1"/>
  <c r="L1490" i="1"/>
  <c r="O1490" i="1" s="1"/>
  <c r="P1490" i="1" s="1"/>
  <c r="R1490" i="1" s="1"/>
  <c r="J1490" i="1"/>
  <c r="I1490" i="1"/>
  <c r="K1490" i="1" s="1"/>
  <c r="N1490" i="1" s="1"/>
  <c r="Q1490" i="1" s="1"/>
  <c r="S1489" i="1"/>
  <c r="L1489" i="1"/>
  <c r="O1489" i="1" s="1"/>
  <c r="P1489" i="1" s="1"/>
  <c r="R1489" i="1" s="1"/>
  <c r="K1489" i="1"/>
  <c r="N1489" i="1" s="1"/>
  <c r="Q1489" i="1" s="1"/>
  <c r="J1489" i="1"/>
  <c r="I1489" i="1"/>
  <c r="M1489" i="1" s="1"/>
  <c r="S1488" i="1"/>
  <c r="O1488" i="1"/>
  <c r="P1488" i="1" s="1"/>
  <c r="R1488" i="1" s="1"/>
  <c r="L1488" i="1"/>
  <c r="K1488" i="1"/>
  <c r="N1488" i="1" s="1"/>
  <c r="Q1488" i="1" s="1"/>
  <c r="J1488" i="1"/>
  <c r="I1488" i="1"/>
  <c r="M1488" i="1" s="1"/>
  <c r="S1487" i="1"/>
  <c r="L1487" i="1"/>
  <c r="O1487" i="1" s="1"/>
  <c r="P1487" i="1" s="1"/>
  <c r="R1487" i="1" s="1"/>
  <c r="J1487" i="1"/>
  <c r="I1487" i="1"/>
  <c r="M1487" i="1" s="1"/>
  <c r="S1486" i="1"/>
  <c r="L1486" i="1"/>
  <c r="O1486" i="1" s="1"/>
  <c r="P1486" i="1" s="1"/>
  <c r="R1486" i="1" s="1"/>
  <c r="J1486" i="1"/>
  <c r="I1486" i="1"/>
  <c r="K1486" i="1" s="1"/>
  <c r="N1486" i="1" s="1"/>
  <c r="Q1486" i="1" s="1"/>
  <c r="S1485" i="1"/>
  <c r="L1485" i="1"/>
  <c r="O1485" i="1" s="1"/>
  <c r="P1485" i="1" s="1"/>
  <c r="R1485" i="1" s="1"/>
  <c r="K1485" i="1"/>
  <c r="N1485" i="1" s="1"/>
  <c r="Q1485" i="1" s="1"/>
  <c r="J1485" i="1"/>
  <c r="I1485" i="1"/>
  <c r="M1485" i="1" s="1"/>
  <c r="S1484" i="1"/>
  <c r="O1484" i="1"/>
  <c r="P1484" i="1" s="1"/>
  <c r="R1484" i="1" s="1"/>
  <c r="L1484" i="1"/>
  <c r="K1484" i="1"/>
  <c r="N1484" i="1" s="1"/>
  <c r="Q1484" i="1" s="1"/>
  <c r="J1484" i="1"/>
  <c r="I1484" i="1"/>
  <c r="M1484" i="1" s="1"/>
  <c r="S1483" i="1"/>
  <c r="L1483" i="1"/>
  <c r="O1483" i="1" s="1"/>
  <c r="P1483" i="1" s="1"/>
  <c r="R1483" i="1" s="1"/>
  <c r="J1483" i="1"/>
  <c r="I1483" i="1"/>
  <c r="M1483" i="1" s="1"/>
  <c r="S1482" i="1"/>
  <c r="L1482" i="1"/>
  <c r="O1482" i="1" s="1"/>
  <c r="P1482" i="1" s="1"/>
  <c r="R1482" i="1" s="1"/>
  <c r="J1482" i="1"/>
  <c r="I1482" i="1"/>
  <c r="K1482" i="1" s="1"/>
  <c r="N1482" i="1" s="1"/>
  <c r="Q1482" i="1" s="1"/>
  <c r="S1481" i="1"/>
  <c r="L1481" i="1"/>
  <c r="O1481" i="1" s="1"/>
  <c r="P1481" i="1" s="1"/>
  <c r="R1481" i="1" s="1"/>
  <c r="K1481" i="1"/>
  <c r="N1481" i="1" s="1"/>
  <c r="Q1481" i="1" s="1"/>
  <c r="J1481" i="1"/>
  <c r="I1481" i="1"/>
  <c r="M1481" i="1" s="1"/>
  <c r="S1480" i="1"/>
  <c r="O1480" i="1"/>
  <c r="P1480" i="1" s="1"/>
  <c r="R1480" i="1" s="1"/>
  <c r="L1480" i="1"/>
  <c r="K1480" i="1"/>
  <c r="N1480" i="1" s="1"/>
  <c r="Q1480" i="1" s="1"/>
  <c r="J1480" i="1"/>
  <c r="I1480" i="1"/>
  <c r="M1480" i="1" s="1"/>
  <c r="S1479" i="1"/>
  <c r="L1479" i="1"/>
  <c r="O1479" i="1" s="1"/>
  <c r="P1479" i="1" s="1"/>
  <c r="R1479" i="1" s="1"/>
  <c r="J1479" i="1"/>
  <c r="I1479" i="1"/>
  <c r="M1479" i="1" s="1"/>
  <c r="S1478" i="1"/>
  <c r="L1478" i="1"/>
  <c r="O1478" i="1" s="1"/>
  <c r="P1478" i="1" s="1"/>
  <c r="R1478" i="1" s="1"/>
  <c r="J1478" i="1"/>
  <c r="I1478" i="1"/>
  <c r="K1478" i="1" s="1"/>
  <c r="N1478" i="1" s="1"/>
  <c r="Q1478" i="1" s="1"/>
  <c r="S1477" i="1"/>
  <c r="L1477" i="1"/>
  <c r="O1477" i="1" s="1"/>
  <c r="P1477" i="1" s="1"/>
  <c r="R1477" i="1" s="1"/>
  <c r="K1477" i="1"/>
  <c r="N1477" i="1" s="1"/>
  <c r="Q1477" i="1" s="1"/>
  <c r="J1477" i="1"/>
  <c r="I1477" i="1"/>
  <c r="M1477" i="1" s="1"/>
  <c r="S1476" i="1"/>
  <c r="O1476" i="1"/>
  <c r="P1476" i="1" s="1"/>
  <c r="R1476" i="1" s="1"/>
  <c r="L1476" i="1"/>
  <c r="K1476" i="1"/>
  <c r="N1476" i="1" s="1"/>
  <c r="Q1476" i="1" s="1"/>
  <c r="J1476" i="1"/>
  <c r="I1476" i="1"/>
  <c r="M1476" i="1" s="1"/>
  <c r="S1475" i="1"/>
  <c r="L1475" i="1"/>
  <c r="O1475" i="1" s="1"/>
  <c r="P1475" i="1" s="1"/>
  <c r="R1475" i="1" s="1"/>
  <c r="J1475" i="1"/>
  <c r="I1475" i="1"/>
  <c r="M1475" i="1" s="1"/>
  <c r="S1474" i="1"/>
  <c r="L1474" i="1"/>
  <c r="O1474" i="1" s="1"/>
  <c r="P1474" i="1" s="1"/>
  <c r="R1474" i="1" s="1"/>
  <c r="J1474" i="1"/>
  <c r="I1474" i="1"/>
  <c r="K1474" i="1" s="1"/>
  <c r="N1474" i="1" s="1"/>
  <c r="Q1474" i="1" s="1"/>
  <c r="S1473" i="1"/>
  <c r="L1473" i="1"/>
  <c r="O1473" i="1" s="1"/>
  <c r="P1473" i="1" s="1"/>
  <c r="R1473" i="1" s="1"/>
  <c r="K1473" i="1"/>
  <c r="N1473" i="1" s="1"/>
  <c r="Q1473" i="1" s="1"/>
  <c r="J1473" i="1"/>
  <c r="I1473" i="1"/>
  <c r="M1473" i="1" s="1"/>
  <c r="S1472" i="1"/>
  <c r="O1472" i="1"/>
  <c r="P1472" i="1" s="1"/>
  <c r="R1472" i="1" s="1"/>
  <c r="L1472" i="1"/>
  <c r="K1472" i="1"/>
  <c r="N1472" i="1" s="1"/>
  <c r="Q1472" i="1" s="1"/>
  <c r="J1472" i="1"/>
  <c r="I1472" i="1"/>
  <c r="M1472" i="1" s="1"/>
  <c r="S1471" i="1"/>
  <c r="L1471" i="1"/>
  <c r="O1471" i="1" s="1"/>
  <c r="P1471" i="1" s="1"/>
  <c r="R1471" i="1" s="1"/>
  <c r="J1471" i="1"/>
  <c r="I1471" i="1"/>
  <c r="M1471" i="1" s="1"/>
  <c r="S1470" i="1"/>
  <c r="L1470" i="1"/>
  <c r="O1470" i="1" s="1"/>
  <c r="P1470" i="1" s="1"/>
  <c r="R1470" i="1" s="1"/>
  <c r="J1470" i="1"/>
  <c r="I1470" i="1"/>
  <c r="K1470" i="1" s="1"/>
  <c r="N1470" i="1" s="1"/>
  <c r="Q1470" i="1" s="1"/>
  <c r="S1469" i="1"/>
  <c r="L1469" i="1"/>
  <c r="O1469" i="1" s="1"/>
  <c r="P1469" i="1" s="1"/>
  <c r="R1469" i="1" s="1"/>
  <c r="K1469" i="1"/>
  <c r="N1469" i="1" s="1"/>
  <c r="Q1469" i="1" s="1"/>
  <c r="J1469" i="1"/>
  <c r="I1469" i="1"/>
  <c r="M1469" i="1" s="1"/>
  <c r="S1468" i="1"/>
  <c r="O1468" i="1"/>
  <c r="P1468" i="1" s="1"/>
  <c r="R1468" i="1" s="1"/>
  <c r="L1468" i="1"/>
  <c r="K1468" i="1"/>
  <c r="N1468" i="1" s="1"/>
  <c r="Q1468" i="1" s="1"/>
  <c r="J1468" i="1"/>
  <c r="I1468" i="1"/>
  <c r="M1468" i="1" s="1"/>
  <c r="S1467" i="1"/>
  <c r="L1467" i="1"/>
  <c r="O1467" i="1" s="1"/>
  <c r="P1467" i="1" s="1"/>
  <c r="R1467" i="1" s="1"/>
  <c r="J1467" i="1"/>
  <c r="I1467" i="1"/>
  <c r="M1467" i="1" s="1"/>
  <c r="S1466" i="1"/>
  <c r="L1466" i="1"/>
  <c r="O1466" i="1" s="1"/>
  <c r="P1466" i="1" s="1"/>
  <c r="R1466" i="1" s="1"/>
  <c r="J1466" i="1"/>
  <c r="I1466" i="1"/>
  <c r="K1466" i="1" s="1"/>
  <c r="S1465" i="1"/>
  <c r="L1465" i="1"/>
  <c r="O1465" i="1" s="1"/>
  <c r="P1465" i="1" s="1"/>
  <c r="R1465" i="1" s="1"/>
  <c r="K1465" i="1"/>
  <c r="J1465" i="1"/>
  <c r="I1465" i="1"/>
  <c r="M1465" i="1" s="1"/>
  <c r="S1464" i="1"/>
  <c r="O1464" i="1"/>
  <c r="P1464" i="1" s="1"/>
  <c r="R1464" i="1" s="1"/>
  <c r="L1464" i="1"/>
  <c r="K1464" i="1"/>
  <c r="N1464" i="1" s="1"/>
  <c r="Q1464" i="1" s="1"/>
  <c r="J1464" i="1"/>
  <c r="I1464" i="1"/>
  <c r="M1464" i="1" s="1"/>
  <c r="S1463" i="1"/>
  <c r="L1463" i="1"/>
  <c r="O1463" i="1" s="1"/>
  <c r="P1463" i="1" s="1"/>
  <c r="R1463" i="1" s="1"/>
  <c r="J1463" i="1"/>
  <c r="I1463" i="1"/>
  <c r="M1463" i="1" s="1"/>
  <c r="S1462" i="1"/>
  <c r="L1462" i="1"/>
  <c r="O1462" i="1" s="1"/>
  <c r="P1462" i="1" s="1"/>
  <c r="R1462" i="1" s="1"/>
  <c r="J1462" i="1"/>
  <c r="I1462" i="1"/>
  <c r="K1462" i="1" s="1"/>
  <c r="S1461" i="1"/>
  <c r="L1461" i="1"/>
  <c r="O1461" i="1" s="1"/>
  <c r="P1461" i="1" s="1"/>
  <c r="R1461" i="1" s="1"/>
  <c r="K1461" i="1"/>
  <c r="J1461" i="1"/>
  <c r="I1461" i="1"/>
  <c r="M1461" i="1" s="1"/>
  <c r="S1460" i="1"/>
  <c r="O1460" i="1"/>
  <c r="P1460" i="1" s="1"/>
  <c r="R1460" i="1" s="1"/>
  <c r="L1460" i="1"/>
  <c r="K1460" i="1"/>
  <c r="N1460" i="1" s="1"/>
  <c r="Q1460" i="1" s="1"/>
  <c r="J1460" i="1"/>
  <c r="I1460" i="1"/>
  <c r="M1460" i="1" s="1"/>
  <c r="S1459" i="1"/>
  <c r="L1459" i="1"/>
  <c r="O1459" i="1" s="1"/>
  <c r="P1459" i="1" s="1"/>
  <c r="R1459" i="1" s="1"/>
  <c r="J1459" i="1"/>
  <c r="I1459" i="1"/>
  <c r="M1459" i="1" s="1"/>
  <c r="S1458" i="1"/>
  <c r="L1458" i="1"/>
  <c r="O1458" i="1" s="1"/>
  <c r="P1458" i="1" s="1"/>
  <c r="R1458" i="1" s="1"/>
  <c r="J1458" i="1"/>
  <c r="I1458" i="1"/>
  <c r="K1458" i="1" s="1"/>
  <c r="S1457" i="1"/>
  <c r="L1457" i="1"/>
  <c r="O1457" i="1" s="1"/>
  <c r="P1457" i="1" s="1"/>
  <c r="R1457" i="1" s="1"/>
  <c r="K1457" i="1"/>
  <c r="J1457" i="1"/>
  <c r="I1457" i="1"/>
  <c r="M1457" i="1" s="1"/>
  <c r="S1456" i="1"/>
  <c r="O1456" i="1"/>
  <c r="P1456" i="1" s="1"/>
  <c r="R1456" i="1" s="1"/>
  <c r="L1456" i="1"/>
  <c r="K1456" i="1"/>
  <c r="N1456" i="1" s="1"/>
  <c r="Q1456" i="1" s="1"/>
  <c r="J1456" i="1"/>
  <c r="I1456" i="1"/>
  <c r="M1456" i="1" s="1"/>
  <c r="S1455" i="1"/>
  <c r="L1455" i="1"/>
  <c r="O1455" i="1" s="1"/>
  <c r="P1455" i="1" s="1"/>
  <c r="R1455" i="1" s="1"/>
  <c r="J1455" i="1"/>
  <c r="I1455" i="1"/>
  <c r="M1455" i="1" s="1"/>
  <c r="S1454" i="1"/>
  <c r="L1454" i="1"/>
  <c r="O1454" i="1" s="1"/>
  <c r="P1454" i="1" s="1"/>
  <c r="R1454" i="1" s="1"/>
  <c r="J1454" i="1"/>
  <c r="I1454" i="1"/>
  <c r="K1454" i="1" s="1"/>
  <c r="S1453" i="1"/>
  <c r="L1453" i="1"/>
  <c r="O1453" i="1" s="1"/>
  <c r="P1453" i="1" s="1"/>
  <c r="R1453" i="1" s="1"/>
  <c r="K1453" i="1"/>
  <c r="J1453" i="1"/>
  <c r="I1453" i="1"/>
  <c r="M1453" i="1" s="1"/>
  <c r="S1452" i="1"/>
  <c r="O1452" i="1"/>
  <c r="P1452" i="1" s="1"/>
  <c r="R1452" i="1" s="1"/>
  <c r="L1452" i="1"/>
  <c r="K1452" i="1"/>
  <c r="N1452" i="1" s="1"/>
  <c r="Q1452" i="1" s="1"/>
  <c r="J1452" i="1"/>
  <c r="I1452" i="1"/>
  <c r="M1452" i="1" s="1"/>
  <c r="S1451" i="1"/>
  <c r="L1451" i="1"/>
  <c r="O1451" i="1" s="1"/>
  <c r="P1451" i="1" s="1"/>
  <c r="R1451" i="1" s="1"/>
  <c r="J1451" i="1"/>
  <c r="I1451" i="1"/>
  <c r="M1451" i="1" s="1"/>
  <c r="S1450" i="1"/>
  <c r="L1450" i="1"/>
  <c r="O1450" i="1" s="1"/>
  <c r="P1450" i="1" s="1"/>
  <c r="R1450" i="1" s="1"/>
  <c r="J1450" i="1"/>
  <c r="I1450" i="1"/>
  <c r="K1450" i="1" s="1"/>
  <c r="S1449" i="1"/>
  <c r="L1449" i="1"/>
  <c r="O1449" i="1" s="1"/>
  <c r="P1449" i="1" s="1"/>
  <c r="R1449" i="1" s="1"/>
  <c r="K1449" i="1"/>
  <c r="J1449" i="1"/>
  <c r="I1449" i="1"/>
  <c r="M1449" i="1" s="1"/>
  <c r="S1448" i="1"/>
  <c r="O1448" i="1"/>
  <c r="P1448" i="1" s="1"/>
  <c r="R1448" i="1" s="1"/>
  <c r="L1448" i="1"/>
  <c r="K1448" i="1"/>
  <c r="N1448" i="1" s="1"/>
  <c r="Q1448" i="1" s="1"/>
  <c r="J1448" i="1"/>
  <c r="I1448" i="1"/>
  <c r="M1448" i="1" s="1"/>
  <c r="S1447" i="1"/>
  <c r="L1447" i="1"/>
  <c r="O1447" i="1" s="1"/>
  <c r="P1447" i="1" s="1"/>
  <c r="R1447" i="1" s="1"/>
  <c r="J1447" i="1"/>
  <c r="I1447" i="1"/>
  <c r="M1447" i="1" s="1"/>
  <c r="S1446" i="1"/>
  <c r="L1446" i="1"/>
  <c r="O1446" i="1" s="1"/>
  <c r="P1446" i="1" s="1"/>
  <c r="R1446" i="1" s="1"/>
  <c r="J1446" i="1"/>
  <c r="I1446" i="1"/>
  <c r="K1446" i="1" s="1"/>
  <c r="S1445" i="1"/>
  <c r="L1445" i="1"/>
  <c r="O1445" i="1" s="1"/>
  <c r="P1445" i="1" s="1"/>
  <c r="R1445" i="1" s="1"/>
  <c r="K1445" i="1"/>
  <c r="J1445" i="1"/>
  <c r="I1445" i="1"/>
  <c r="M1445" i="1" s="1"/>
  <c r="S1444" i="1"/>
  <c r="O1444" i="1"/>
  <c r="P1444" i="1" s="1"/>
  <c r="R1444" i="1" s="1"/>
  <c r="L1444" i="1"/>
  <c r="K1444" i="1"/>
  <c r="N1444" i="1" s="1"/>
  <c r="Q1444" i="1" s="1"/>
  <c r="J1444" i="1"/>
  <c r="I1444" i="1"/>
  <c r="M1444" i="1" s="1"/>
  <c r="S1443" i="1"/>
  <c r="N1443" i="1"/>
  <c r="Q1443" i="1" s="1"/>
  <c r="L1443" i="1"/>
  <c r="O1443" i="1" s="1"/>
  <c r="P1443" i="1" s="1"/>
  <c r="R1443" i="1" s="1"/>
  <c r="J1443" i="1"/>
  <c r="I1443" i="1"/>
  <c r="M1443" i="1" s="1"/>
  <c r="S1442" i="1"/>
  <c r="L1442" i="1"/>
  <c r="O1442" i="1" s="1"/>
  <c r="P1442" i="1" s="1"/>
  <c r="R1442" i="1" s="1"/>
  <c r="J1442" i="1"/>
  <c r="I1442" i="1"/>
  <c r="K1442" i="1" s="1"/>
  <c r="S1441" i="1"/>
  <c r="L1441" i="1"/>
  <c r="O1441" i="1" s="1"/>
  <c r="P1441" i="1" s="1"/>
  <c r="R1441" i="1" s="1"/>
  <c r="K1441" i="1"/>
  <c r="J1441" i="1"/>
  <c r="I1441" i="1"/>
  <c r="M1441" i="1" s="1"/>
  <c r="S1440" i="1"/>
  <c r="O1440" i="1"/>
  <c r="P1440" i="1" s="1"/>
  <c r="R1440" i="1" s="1"/>
  <c r="L1440" i="1"/>
  <c r="K1440" i="1"/>
  <c r="N1440" i="1" s="1"/>
  <c r="Q1440" i="1" s="1"/>
  <c r="J1440" i="1"/>
  <c r="I1440" i="1"/>
  <c r="M1440" i="1" s="1"/>
  <c r="S1439" i="1"/>
  <c r="L1439" i="1"/>
  <c r="O1439" i="1" s="1"/>
  <c r="P1439" i="1" s="1"/>
  <c r="R1439" i="1" s="1"/>
  <c r="J1439" i="1"/>
  <c r="I1439" i="1"/>
  <c r="M1439" i="1" s="1"/>
  <c r="S1438" i="1"/>
  <c r="L1438" i="1"/>
  <c r="O1438" i="1" s="1"/>
  <c r="P1438" i="1" s="1"/>
  <c r="R1438" i="1" s="1"/>
  <c r="J1438" i="1"/>
  <c r="I1438" i="1"/>
  <c r="K1438" i="1" s="1"/>
  <c r="S1437" i="1"/>
  <c r="L1437" i="1"/>
  <c r="O1437" i="1" s="1"/>
  <c r="P1437" i="1" s="1"/>
  <c r="R1437" i="1" s="1"/>
  <c r="K1437" i="1"/>
  <c r="J1437" i="1"/>
  <c r="I1437" i="1"/>
  <c r="M1437" i="1" s="1"/>
  <c r="S1436" i="1"/>
  <c r="O1436" i="1"/>
  <c r="P1436" i="1" s="1"/>
  <c r="R1436" i="1" s="1"/>
  <c r="L1436" i="1"/>
  <c r="K1436" i="1"/>
  <c r="N1436" i="1" s="1"/>
  <c r="Q1436" i="1" s="1"/>
  <c r="J1436" i="1"/>
  <c r="I1436" i="1"/>
  <c r="M1436" i="1" s="1"/>
  <c r="S1435" i="1"/>
  <c r="L1435" i="1"/>
  <c r="O1435" i="1" s="1"/>
  <c r="P1435" i="1" s="1"/>
  <c r="R1435" i="1" s="1"/>
  <c r="J1435" i="1"/>
  <c r="I1435" i="1"/>
  <c r="M1435" i="1" s="1"/>
  <c r="S1434" i="1"/>
  <c r="L1434" i="1"/>
  <c r="O1434" i="1" s="1"/>
  <c r="P1434" i="1" s="1"/>
  <c r="R1434" i="1" s="1"/>
  <c r="J1434" i="1"/>
  <c r="I1434" i="1"/>
  <c r="K1434" i="1" s="1"/>
  <c r="S1433" i="1"/>
  <c r="L1433" i="1"/>
  <c r="O1433" i="1" s="1"/>
  <c r="P1433" i="1" s="1"/>
  <c r="R1433" i="1" s="1"/>
  <c r="K1433" i="1"/>
  <c r="J1433" i="1"/>
  <c r="I1433" i="1"/>
  <c r="M1433" i="1" s="1"/>
  <c r="S1432" i="1"/>
  <c r="O1432" i="1"/>
  <c r="P1432" i="1" s="1"/>
  <c r="R1432" i="1" s="1"/>
  <c r="L1432" i="1"/>
  <c r="K1432" i="1"/>
  <c r="N1432" i="1" s="1"/>
  <c r="Q1432" i="1" s="1"/>
  <c r="J1432" i="1"/>
  <c r="I1432" i="1"/>
  <c r="M1432" i="1" s="1"/>
  <c r="S1431" i="1"/>
  <c r="L1431" i="1"/>
  <c r="O1431" i="1" s="1"/>
  <c r="P1431" i="1" s="1"/>
  <c r="R1431" i="1" s="1"/>
  <c r="J1431" i="1"/>
  <c r="I1431" i="1"/>
  <c r="M1431" i="1" s="1"/>
  <c r="S1430" i="1"/>
  <c r="L1430" i="1"/>
  <c r="O1430" i="1" s="1"/>
  <c r="P1430" i="1" s="1"/>
  <c r="R1430" i="1" s="1"/>
  <c r="J1430" i="1"/>
  <c r="I1430" i="1"/>
  <c r="K1430" i="1" s="1"/>
  <c r="N1430" i="1" s="1"/>
  <c r="Q1430" i="1" s="1"/>
  <c r="S1429" i="1"/>
  <c r="L1429" i="1"/>
  <c r="O1429" i="1" s="1"/>
  <c r="P1429" i="1" s="1"/>
  <c r="R1429" i="1" s="1"/>
  <c r="K1429" i="1"/>
  <c r="N1429" i="1" s="1"/>
  <c r="Q1429" i="1" s="1"/>
  <c r="J1429" i="1"/>
  <c r="I1429" i="1"/>
  <c r="M1429" i="1" s="1"/>
  <c r="S1428" i="1"/>
  <c r="O1428" i="1"/>
  <c r="P1428" i="1" s="1"/>
  <c r="R1428" i="1" s="1"/>
  <c r="L1428" i="1"/>
  <c r="K1428" i="1"/>
  <c r="N1428" i="1" s="1"/>
  <c r="Q1428" i="1" s="1"/>
  <c r="J1428" i="1"/>
  <c r="I1428" i="1"/>
  <c r="M1428" i="1" s="1"/>
  <c r="S1427" i="1"/>
  <c r="L1427" i="1"/>
  <c r="O1427" i="1" s="1"/>
  <c r="P1427" i="1" s="1"/>
  <c r="R1427" i="1" s="1"/>
  <c r="J1427" i="1"/>
  <c r="I1427" i="1"/>
  <c r="M1427" i="1" s="1"/>
  <c r="S1426" i="1"/>
  <c r="L1426" i="1"/>
  <c r="O1426" i="1" s="1"/>
  <c r="P1426" i="1" s="1"/>
  <c r="R1426" i="1" s="1"/>
  <c r="J1426" i="1"/>
  <c r="I1426" i="1"/>
  <c r="K1426" i="1" s="1"/>
  <c r="N1426" i="1" s="1"/>
  <c r="Q1426" i="1" s="1"/>
  <c r="S1425" i="1"/>
  <c r="L1425" i="1"/>
  <c r="O1425" i="1" s="1"/>
  <c r="P1425" i="1" s="1"/>
  <c r="R1425" i="1" s="1"/>
  <c r="K1425" i="1"/>
  <c r="N1425" i="1" s="1"/>
  <c r="Q1425" i="1" s="1"/>
  <c r="J1425" i="1"/>
  <c r="I1425" i="1"/>
  <c r="M1425" i="1" s="1"/>
  <c r="S1424" i="1"/>
  <c r="O1424" i="1"/>
  <c r="P1424" i="1" s="1"/>
  <c r="R1424" i="1" s="1"/>
  <c r="L1424" i="1"/>
  <c r="K1424" i="1"/>
  <c r="N1424" i="1" s="1"/>
  <c r="Q1424" i="1" s="1"/>
  <c r="J1424" i="1"/>
  <c r="I1424" i="1"/>
  <c r="M1424" i="1" s="1"/>
  <c r="S1423" i="1"/>
  <c r="L1423" i="1"/>
  <c r="O1423" i="1" s="1"/>
  <c r="P1423" i="1" s="1"/>
  <c r="R1423" i="1" s="1"/>
  <c r="J1423" i="1"/>
  <c r="I1423" i="1"/>
  <c r="M1423" i="1" s="1"/>
  <c r="S1422" i="1"/>
  <c r="L1422" i="1"/>
  <c r="O1422" i="1" s="1"/>
  <c r="P1422" i="1" s="1"/>
  <c r="R1422" i="1" s="1"/>
  <c r="J1422" i="1"/>
  <c r="I1422" i="1"/>
  <c r="K1422" i="1" s="1"/>
  <c r="N1422" i="1" s="1"/>
  <c r="Q1422" i="1" s="1"/>
  <c r="S1421" i="1"/>
  <c r="L1421" i="1"/>
  <c r="O1421" i="1" s="1"/>
  <c r="P1421" i="1" s="1"/>
  <c r="R1421" i="1" s="1"/>
  <c r="K1421" i="1"/>
  <c r="N1421" i="1" s="1"/>
  <c r="Q1421" i="1" s="1"/>
  <c r="J1421" i="1"/>
  <c r="I1421" i="1"/>
  <c r="M1421" i="1" s="1"/>
  <c r="S1420" i="1"/>
  <c r="O1420" i="1"/>
  <c r="P1420" i="1" s="1"/>
  <c r="R1420" i="1" s="1"/>
  <c r="L1420" i="1"/>
  <c r="K1420" i="1"/>
  <c r="N1420" i="1" s="1"/>
  <c r="Q1420" i="1" s="1"/>
  <c r="J1420" i="1"/>
  <c r="I1420" i="1"/>
  <c r="M1420" i="1" s="1"/>
  <c r="S1419" i="1"/>
  <c r="L1419" i="1"/>
  <c r="O1419" i="1" s="1"/>
  <c r="P1419" i="1" s="1"/>
  <c r="R1419" i="1" s="1"/>
  <c r="J1419" i="1"/>
  <c r="I1419" i="1"/>
  <c r="M1419" i="1" s="1"/>
  <c r="S1418" i="1"/>
  <c r="L1418" i="1"/>
  <c r="O1418" i="1" s="1"/>
  <c r="P1418" i="1" s="1"/>
  <c r="R1418" i="1" s="1"/>
  <c r="J1418" i="1"/>
  <c r="I1418" i="1"/>
  <c r="K1418" i="1" s="1"/>
  <c r="N1418" i="1" s="1"/>
  <c r="Q1418" i="1" s="1"/>
  <c r="S1417" i="1"/>
  <c r="L1417" i="1"/>
  <c r="O1417" i="1" s="1"/>
  <c r="P1417" i="1" s="1"/>
  <c r="R1417" i="1" s="1"/>
  <c r="K1417" i="1"/>
  <c r="N1417" i="1" s="1"/>
  <c r="Q1417" i="1" s="1"/>
  <c r="J1417" i="1"/>
  <c r="I1417" i="1"/>
  <c r="M1417" i="1" s="1"/>
  <c r="S1416" i="1"/>
  <c r="O1416" i="1"/>
  <c r="P1416" i="1" s="1"/>
  <c r="R1416" i="1" s="1"/>
  <c r="L1416" i="1"/>
  <c r="K1416" i="1"/>
  <c r="N1416" i="1" s="1"/>
  <c r="Q1416" i="1" s="1"/>
  <c r="J1416" i="1"/>
  <c r="I1416" i="1"/>
  <c r="M1416" i="1" s="1"/>
  <c r="S1415" i="1"/>
  <c r="L1415" i="1"/>
  <c r="O1415" i="1" s="1"/>
  <c r="P1415" i="1" s="1"/>
  <c r="R1415" i="1" s="1"/>
  <c r="J1415" i="1"/>
  <c r="I1415" i="1"/>
  <c r="M1415" i="1" s="1"/>
  <c r="S1414" i="1"/>
  <c r="L1414" i="1"/>
  <c r="O1414" i="1" s="1"/>
  <c r="P1414" i="1" s="1"/>
  <c r="R1414" i="1" s="1"/>
  <c r="J1414" i="1"/>
  <c r="I1414" i="1"/>
  <c r="K1414" i="1" s="1"/>
  <c r="N1414" i="1" s="1"/>
  <c r="Q1414" i="1" s="1"/>
  <c r="S1413" i="1"/>
  <c r="L1413" i="1"/>
  <c r="O1413" i="1" s="1"/>
  <c r="P1413" i="1" s="1"/>
  <c r="R1413" i="1" s="1"/>
  <c r="K1413" i="1"/>
  <c r="N1413" i="1" s="1"/>
  <c r="Q1413" i="1" s="1"/>
  <c r="J1413" i="1"/>
  <c r="I1413" i="1"/>
  <c r="M1413" i="1" s="1"/>
  <c r="S1412" i="1"/>
  <c r="O1412" i="1"/>
  <c r="P1412" i="1" s="1"/>
  <c r="R1412" i="1" s="1"/>
  <c r="L1412" i="1"/>
  <c r="K1412" i="1"/>
  <c r="N1412" i="1" s="1"/>
  <c r="Q1412" i="1" s="1"/>
  <c r="J1412" i="1"/>
  <c r="I1412" i="1"/>
  <c r="M1412" i="1" s="1"/>
  <c r="S1411" i="1"/>
  <c r="L1411" i="1"/>
  <c r="O1411" i="1" s="1"/>
  <c r="P1411" i="1" s="1"/>
  <c r="R1411" i="1" s="1"/>
  <c r="J1411" i="1"/>
  <c r="I1411" i="1"/>
  <c r="M1411" i="1" s="1"/>
  <c r="S1410" i="1"/>
  <c r="L1410" i="1"/>
  <c r="O1410" i="1" s="1"/>
  <c r="P1410" i="1" s="1"/>
  <c r="R1410" i="1" s="1"/>
  <c r="J1410" i="1"/>
  <c r="I1410" i="1"/>
  <c r="K1410" i="1" s="1"/>
  <c r="N1410" i="1" s="1"/>
  <c r="Q1410" i="1" s="1"/>
  <c r="S1409" i="1"/>
  <c r="L1409" i="1"/>
  <c r="O1409" i="1" s="1"/>
  <c r="P1409" i="1" s="1"/>
  <c r="R1409" i="1" s="1"/>
  <c r="K1409" i="1"/>
  <c r="N1409" i="1" s="1"/>
  <c r="Q1409" i="1" s="1"/>
  <c r="J1409" i="1"/>
  <c r="I1409" i="1"/>
  <c r="M1409" i="1" s="1"/>
  <c r="S1408" i="1"/>
  <c r="O1408" i="1"/>
  <c r="P1408" i="1" s="1"/>
  <c r="R1408" i="1" s="1"/>
  <c r="L1408" i="1"/>
  <c r="K1408" i="1"/>
  <c r="N1408" i="1" s="1"/>
  <c r="Q1408" i="1" s="1"/>
  <c r="J1408" i="1"/>
  <c r="I1408" i="1"/>
  <c r="M1408" i="1" s="1"/>
  <c r="S1407" i="1"/>
  <c r="L1407" i="1"/>
  <c r="O1407" i="1" s="1"/>
  <c r="P1407" i="1" s="1"/>
  <c r="R1407" i="1" s="1"/>
  <c r="J1407" i="1"/>
  <c r="I1407" i="1"/>
  <c r="M1407" i="1" s="1"/>
  <c r="S1406" i="1"/>
  <c r="L1406" i="1"/>
  <c r="O1406" i="1" s="1"/>
  <c r="P1406" i="1" s="1"/>
  <c r="R1406" i="1" s="1"/>
  <c r="J1406" i="1"/>
  <c r="I1406" i="1"/>
  <c r="K1406" i="1" s="1"/>
  <c r="N1406" i="1" s="1"/>
  <c r="Q1406" i="1" s="1"/>
  <c r="S1405" i="1"/>
  <c r="L1405" i="1"/>
  <c r="O1405" i="1" s="1"/>
  <c r="P1405" i="1" s="1"/>
  <c r="R1405" i="1" s="1"/>
  <c r="K1405" i="1"/>
  <c r="N1405" i="1" s="1"/>
  <c r="Q1405" i="1" s="1"/>
  <c r="J1405" i="1"/>
  <c r="I1405" i="1"/>
  <c r="M1405" i="1" s="1"/>
  <c r="S1404" i="1"/>
  <c r="O1404" i="1"/>
  <c r="P1404" i="1" s="1"/>
  <c r="R1404" i="1" s="1"/>
  <c r="L1404" i="1"/>
  <c r="K1404" i="1"/>
  <c r="N1404" i="1" s="1"/>
  <c r="Q1404" i="1" s="1"/>
  <c r="J1404" i="1"/>
  <c r="I1404" i="1"/>
  <c r="M1404" i="1" s="1"/>
  <c r="S1403" i="1"/>
  <c r="L1403" i="1"/>
  <c r="O1403" i="1" s="1"/>
  <c r="P1403" i="1" s="1"/>
  <c r="R1403" i="1" s="1"/>
  <c r="J1403" i="1"/>
  <c r="I1403" i="1"/>
  <c r="M1403" i="1" s="1"/>
  <c r="S1402" i="1"/>
  <c r="L1402" i="1"/>
  <c r="O1402" i="1" s="1"/>
  <c r="P1402" i="1" s="1"/>
  <c r="R1402" i="1" s="1"/>
  <c r="J1402" i="1"/>
  <c r="I1402" i="1"/>
  <c r="K1402" i="1" s="1"/>
  <c r="N1402" i="1" s="1"/>
  <c r="Q1402" i="1" s="1"/>
  <c r="S1401" i="1"/>
  <c r="L1401" i="1"/>
  <c r="O1401" i="1" s="1"/>
  <c r="P1401" i="1" s="1"/>
  <c r="R1401" i="1" s="1"/>
  <c r="K1401" i="1"/>
  <c r="N1401" i="1" s="1"/>
  <c r="Q1401" i="1" s="1"/>
  <c r="J1401" i="1"/>
  <c r="I1401" i="1"/>
  <c r="M1401" i="1" s="1"/>
  <c r="S1400" i="1"/>
  <c r="O1400" i="1"/>
  <c r="P1400" i="1" s="1"/>
  <c r="R1400" i="1" s="1"/>
  <c r="L1400" i="1"/>
  <c r="K1400" i="1"/>
  <c r="N1400" i="1" s="1"/>
  <c r="Q1400" i="1" s="1"/>
  <c r="J1400" i="1"/>
  <c r="I1400" i="1"/>
  <c r="M1400" i="1" s="1"/>
  <c r="S1399" i="1"/>
  <c r="L1399" i="1"/>
  <c r="O1399" i="1" s="1"/>
  <c r="P1399" i="1" s="1"/>
  <c r="R1399" i="1" s="1"/>
  <c r="J1399" i="1"/>
  <c r="I1399" i="1"/>
  <c r="M1399" i="1" s="1"/>
  <c r="S1398" i="1"/>
  <c r="L1398" i="1"/>
  <c r="O1398" i="1" s="1"/>
  <c r="P1398" i="1" s="1"/>
  <c r="R1398" i="1" s="1"/>
  <c r="J1398" i="1"/>
  <c r="I1398" i="1"/>
  <c r="K1398" i="1" s="1"/>
  <c r="N1398" i="1" s="1"/>
  <c r="Q1398" i="1" s="1"/>
  <c r="S1397" i="1"/>
  <c r="L1397" i="1"/>
  <c r="O1397" i="1" s="1"/>
  <c r="P1397" i="1" s="1"/>
  <c r="R1397" i="1" s="1"/>
  <c r="K1397" i="1"/>
  <c r="N1397" i="1" s="1"/>
  <c r="Q1397" i="1" s="1"/>
  <c r="J1397" i="1"/>
  <c r="I1397" i="1"/>
  <c r="M1397" i="1" s="1"/>
  <c r="S1396" i="1"/>
  <c r="O1396" i="1"/>
  <c r="P1396" i="1" s="1"/>
  <c r="R1396" i="1" s="1"/>
  <c r="L1396" i="1"/>
  <c r="K1396" i="1"/>
  <c r="N1396" i="1" s="1"/>
  <c r="Q1396" i="1" s="1"/>
  <c r="J1396" i="1"/>
  <c r="I1396" i="1"/>
  <c r="M1396" i="1" s="1"/>
  <c r="S1395" i="1"/>
  <c r="L1395" i="1"/>
  <c r="O1395" i="1" s="1"/>
  <c r="P1395" i="1" s="1"/>
  <c r="R1395" i="1" s="1"/>
  <c r="J1395" i="1"/>
  <c r="I1395" i="1"/>
  <c r="M1395" i="1" s="1"/>
  <c r="S1394" i="1"/>
  <c r="L1394" i="1"/>
  <c r="O1394" i="1" s="1"/>
  <c r="P1394" i="1" s="1"/>
  <c r="R1394" i="1" s="1"/>
  <c r="J1394" i="1"/>
  <c r="I1394" i="1"/>
  <c r="K1394" i="1" s="1"/>
  <c r="N1394" i="1" s="1"/>
  <c r="Q1394" i="1" s="1"/>
  <c r="S1393" i="1"/>
  <c r="L1393" i="1"/>
  <c r="O1393" i="1" s="1"/>
  <c r="P1393" i="1" s="1"/>
  <c r="R1393" i="1" s="1"/>
  <c r="K1393" i="1"/>
  <c r="N1393" i="1" s="1"/>
  <c r="Q1393" i="1" s="1"/>
  <c r="J1393" i="1"/>
  <c r="I1393" i="1"/>
  <c r="M1393" i="1" s="1"/>
  <c r="S1392" i="1"/>
  <c r="O1392" i="1"/>
  <c r="P1392" i="1" s="1"/>
  <c r="R1392" i="1" s="1"/>
  <c r="L1392" i="1"/>
  <c r="K1392" i="1"/>
  <c r="N1392" i="1" s="1"/>
  <c r="Q1392" i="1" s="1"/>
  <c r="J1392" i="1"/>
  <c r="I1392" i="1"/>
  <c r="M1392" i="1" s="1"/>
  <c r="S1391" i="1"/>
  <c r="L1391" i="1"/>
  <c r="O1391" i="1" s="1"/>
  <c r="P1391" i="1" s="1"/>
  <c r="R1391" i="1" s="1"/>
  <c r="J1391" i="1"/>
  <c r="I1391" i="1"/>
  <c r="M1391" i="1" s="1"/>
  <c r="S1390" i="1"/>
  <c r="L1390" i="1"/>
  <c r="O1390" i="1" s="1"/>
  <c r="P1390" i="1" s="1"/>
  <c r="R1390" i="1" s="1"/>
  <c r="J1390" i="1"/>
  <c r="I1390" i="1"/>
  <c r="K1390" i="1" s="1"/>
  <c r="N1390" i="1" s="1"/>
  <c r="Q1390" i="1" s="1"/>
  <c r="S1389" i="1"/>
  <c r="L1389" i="1"/>
  <c r="O1389" i="1" s="1"/>
  <c r="P1389" i="1" s="1"/>
  <c r="R1389" i="1" s="1"/>
  <c r="K1389" i="1"/>
  <c r="N1389" i="1" s="1"/>
  <c r="Q1389" i="1" s="1"/>
  <c r="J1389" i="1"/>
  <c r="I1389" i="1"/>
  <c r="M1389" i="1" s="1"/>
  <c r="S1388" i="1"/>
  <c r="O1388" i="1"/>
  <c r="P1388" i="1" s="1"/>
  <c r="R1388" i="1" s="1"/>
  <c r="L1388" i="1"/>
  <c r="K1388" i="1"/>
  <c r="N1388" i="1" s="1"/>
  <c r="Q1388" i="1" s="1"/>
  <c r="J1388" i="1"/>
  <c r="I1388" i="1"/>
  <c r="M1388" i="1" s="1"/>
  <c r="S1387" i="1"/>
  <c r="L1387" i="1"/>
  <c r="O1387" i="1" s="1"/>
  <c r="P1387" i="1" s="1"/>
  <c r="R1387" i="1" s="1"/>
  <c r="J1387" i="1"/>
  <c r="I1387" i="1"/>
  <c r="M1387" i="1" s="1"/>
  <c r="S1386" i="1"/>
  <c r="L1386" i="1"/>
  <c r="O1386" i="1" s="1"/>
  <c r="P1386" i="1" s="1"/>
  <c r="R1386" i="1" s="1"/>
  <c r="J1386" i="1"/>
  <c r="I1386" i="1"/>
  <c r="K1386" i="1" s="1"/>
  <c r="N1386" i="1" s="1"/>
  <c r="Q1386" i="1" s="1"/>
  <c r="S1385" i="1"/>
  <c r="L1385" i="1"/>
  <c r="O1385" i="1" s="1"/>
  <c r="P1385" i="1" s="1"/>
  <c r="R1385" i="1" s="1"/>
  <c r="K1385" i="1"/>
  <c r="N1385" i="1" s="1"/>
  <c r="Q1385" i="1" s="1"/>
  <c r="J1385" i="1"/>
  <c r="I1385" i="1"/>
  <c r="M1385" i="1" s="1"/>
  <c r="S1384" i="1"/>
  <c r="O1384" i="1"/>
  <c r="P1384" i="1" s="1"/>
  <c r="R1384" i="1" s="1"/>
  <c r="L1384" i="1"/>
  <c r="K1384" i="1"/>
  <c r="N1384" i="1" s="1"/>
  <c r="Q1384" i="1" s="1"/>
  <c r="J1384" i="1"/>
  <c r="I1384" i="1"/>
  <c r="M1384" i="1" s="1"/>
  <c r="S1383" i="1"/>
  <c r="L1383" i="1"/>
  <c r="O1383" i="1" s="1"/>
  <c r="P1383" i="1" s="1"/>
  <c r="R1383" i="1" s="1"/>
  <c r="J1383" i="1"/>
  <c r="I1383" i="1"/>
  <c r="M1383" i="1" s="1"/>
  <c r="S1382" i="1"/>
  <c r="L1382" i="1"/>
  <c r="O1382" i="1" s="1"/>
  <c r="P1382" i="1" s="1"/>
  <c r="R1382" i="1" s="1"/>
  <c r="J1382" i="1"/>
  <c r="I1382" i="1"/>
  <c r="K1382" i="1" s="1"/>
  <c r="N1382" i="1" s="1"/>
  <c r="Q1382" i="1" s="1"/>
  <c r="S1381" i="1"/>
  <c r="L1381" i="1"/>
  <c r="O1381" i="1" s="1"/>
  <c r="P1381" i="1" s="1"/>
  <c r="R1381" i="1" s="1"/>
  <c r="K1381" i="1"/>
  <c r="N1381" i="1" s="1"/>
  <c r="Q1381" i="1" s="1"/>
  <c r="J1381" i="1"/>
  <c r="I1381" i="1"/>
  <c r="M1381" i="1" s="1"/>
  <c r="S1380" i="1"/>
  <c r="O1380" i="1"/>
  <c r="P1380" i="1" s="1"/>
  <c r="R1380" i="1" s="1"/>
  <c r="L1380" i="1"/>
  <c r="K1380" i="1"/>
  <c r="N1380" i="1" s="1"/>
  <c r="Q1380" i="1" s="1"/>
  <c r="J1380" i="1"/>
  <c r="I1380" i="1"/>
  <c r="M1380" i="1" s="1"/>
  <c r="S1379" i="1"/>
  <c r="L1379" i="1"/>
  <c r="O1379" i="1" s="1"/>
  <c r="P1379" i="1" s="1"/>
  <c r="R1379" i="1" s="1"/>
  <c r="J1379" i="1"/>
  <c r="I1379" i="1"/>
  <c r="M1379" i="1" s="1"/>
  <c r="S1378" i="1"/>
  <c r="L1378" i="1"/>
  <c r="O1378" i="1" s="1"/>
  <c r="P1378" i="1" s="1"/>
  <c r="R1378" i="1" s="1"/>
  <c r="J1378" i="1"/>
  <c r="I1378" i="1"/>
  <c r="K1378" i="1" s="1"/>
  <c r="N1378" i="1" s="1"/>
  <c r="Q1378" i="1" s="1"/>
  <c r="S1377" i="1"/>
  <c r="L1377" i="1"/>
  <c r="O1377" i="1" s="1"/>
  <c r="P1377" i="1" s="1"/>
  <c r="R1377" i="1" s="1"/>
  <c r="K1377" i="1"/>
  <c r="N1377" i="1" s="1"/>
  <c r="Q1377" i="1" s="1"/>
  <c r="J1377" i="1"/>
  <c r="I1377" i="1"/>
  <c r="M1377" i="1" s="1"/>
  <c r="S1376" i="1"/>
  <c r="O1376" i="1"/>
  <c r="P1376" i="1" s="1"/>
  <c r="R1376" i="1" s="1"/>
  <c r="L1376" i="1"/>
  <c r="K1376" i="1"/>
  <c r="N1376" i="1" s="1"/>
  <c r="Q1376" i="1" s="1"/>
  <c r="J1376" i="1"/>
  <c r="I1376" i="1"/>
  <c r="M1376" i="1" s="1"/>
  <c r="S1375" i="1"/>
  <c r="L1375" i="1"/>
  <c r="O1375" i="1" s="1"/>
  <c r="P1375" i="1" s="1"/>
  <c r="R1375" i="1" s="1"/>
  <c r="J1375" i="1"/>
  <c r="I1375" i="1"/>
  <c r="M1375" i="1" s="1"/>
  <c r="S1374" i="1"/>
  <c r="L1374" i="1"/>
  <c r="O1374" i="1" s="1"/>
  <c r="P1374" i="1" s="1"/>
  <c r="R1374" i="1" s="1"/>
  <c r="J1374" i="1"/>
  <c r="I1374" i="1"/>
  <c r="K1374" i="1" s="1"/>
  <c r="N1374" i="1" s="1"/>
  <c r="Q1374" i="1" s="1"/>
  <c r="S1373" i="1"/>
  <c r="L1373" i="1"/>
  <c r="O1373" i="1" s="1"/>
  <c r="P1373" i="1" s="1"/>
  <c r="R1373" i="1" s="1"/>
  <c r="K1373" i="1"/>
  <c r="N1373" i="1" s="1"/>
  <c r="Q1373" i="1" s="1"/>
  <c r="J1373" i="1"/>
  <c r="I1373" i="1"/>
  <c r="M1373" i="1" s="1"/>
  <c r="S1372" i="1"/>
  <c r="O1372" i="1"/>
  <c r="P1372" i="1" s="1"/>
  <c r="R1372" i="1" s="1"/>
  <c r="L1372" i="1"/>
  <c r="K1372" i="1"/>
  <c r="N1372" i="1" s="1"/>
  <c r="Q1372" i="1" s="1"/>
  <c r="J1372" i="1"/>
  <c r="I1372" i="1"/>
  <c r="M1372" i="1" s="1"/>
  <c r="S1371" i="1"/>
  <c r="L1371" i="1"/>
  <c r="O1371" i="1" s="1"/>
  <c r="P1371" i="1" s="1"/>
  <c r="R1371" i="1" s="1"/>
  <c r="J1371" i="1"/>
  <c r="I1371" i="1"/>
  <c r="M1371" i="1" s="1"/>
  <c r="S1370" i="1"/>
  <c r="L1370" i="1"/>
  <c r="O1370" i="1" s="1"/>
  <c r="P1370" i="1" s="1"/>
  <c r="R1370" i="1" s="1"/>
  <c r="J1370" i="1"/>
  <c r="I1370" i="1"/>
  <c r="K1370" i="1" s="1"/>
  <c r="N1370" i="1" s="1"/>
  <c r="Q1370" i="1" s="1"/>
  <c r="S1369" i="1"/>
  <c r="L1369" i="1"/>
  <c r="O1369" i="1" s="1"/>
  <c r="P1369" i="1" s="1"/>
  <c r="R1369" i="1" s="1"/>
  <c r="K1369" i="1"/>
  <c r="N1369" i="1" s="1"/>
  <c r="Q1369" i="1" s="1"/>
  <c r="J1369" i="1"/>
  <c r="I1369" i="1"/>
  <c r="M1369" i="1" s="1"/>
  <c r="S1368" i="1"/>
  <c r="O1368" i="1"/>
  <c r="P1368" i="1" s="1"/>
  <c r="R1368" i="1" s="1"/>
  <c r="L1368" i="1"/>
  <c r="K1368" i="1"/>
  <c r="N1368" i="1" s="1"/>
  <c r="Q1368" i="1" s="1"/>
  <c r="J1368" i="1"/>
  <c r="I1368" i="1"/>
  <c r="M1368" i="1" s="1"/>
  <c r="S1367" i="1"/>
  <c r="L1367" i="1"/>
  <c r="O1367" i="1" s="1"/>
  <c r="P1367" i="1" s="1"/>
  <c r="R1367" i="1" s="1"/>
  <c r="J1367" i="1"/>
  <c r="I1367" i="1"/>
  <c r="M1367" i="1" s="1"/>
  <c r="S1366" i="1"/>
  <c r="L1366" i="1"/>
  <c r="O1366" i="1" s="1"/>
  <c r="P1366" i="1" s="1"/>
  <c r="R1366" i="1" s="1"/>
  <c r="J1366" i="1"/>
  <c r="I1366" i="1"/>
  <c r="K1366" i="1" s="1"/>
  <c r="N1366" i="1" s="1"/>
  <c r="Q1366" i="1" s="1"/>
  <c r="S1365" i="1"/>
  <c r="L1365" i="1"/>
  <c r="O1365" i="1" s="1"/>
  <c r="P1365" i="1" s="1"/>
  <c r="R1365" i="1" s="1"/>
  <c r="K1365" i="1"/>
  <c r="N1365" i="1" s="1"/>
  <c r="Q1365" i="1" s="1"/>
  <c r="J1365" i="1"/>
  <c r="I1365" i="1"/>
  <c r="M1365" i="1" s="1"/>
  <c r="S1364" i="1"/>
  <c r="O1364" i="1"/>
  <c r="P1364" i="1" s="1"/>
  <c r="R1364" i="1" s="1"/>
  <c r="L1364" i="1"/>
  <c r="K1364" i="1"/>
  <c r="N1364" i="1" s="1"/>
  <c r="Q1364" i="1" s="1"/>
  <c r="J1364" i="1"/>
  <c r="I1364" i="1"/>
  <c r="M1364" i="1" s="1"/>
  <c r="S1363" i="1"/>
  <c r="L1363" i="1"/>
  <c r="O1363" i="1" s="1"/>
  <c r="P1363" i="1" s="1"/>
  <c r="R1363" i="1" s="1"/>
  <c r="J1363" i="1"/>
  <c r="I1363" i="1"/>
  <c r="M1363" i="1" s="1"/>
  <c r="S1362" i="1"/>
  <c r="L1362" i="1"/>
  <c r="O1362" i="1" s="1"/>
  <c r="P1362" i="1" s="1"/>
  <c r="R1362" i="1" s="1"/>
  <c r="J1362" i="1"/>
  <c r="I1362" i="1"/>
  <c r="K1362" i="1" s="1"/>
  <c r="N1362" i="1" s="1"/>
  <c r="Q1362" i="1" s="1"/>
  <c r="S1361" i="1"/>
  <c r="L1361" i="1"/>
  <c r="O1361" i="1" s="1"/>
  <c r="P1361" i="1" s="1"/>
  <c r="R1361" i="1" s="1"/>
  <c r="K1361" i="1"/>
  <c r="N1361" i="1" s="1"/>
  <c r="Q1361" i="1" s="1"/>
  <c r="J1361" i="1"/>
  <c r="I1361" i="1"/>
  <c r="M1361" i="1" s="1"/>
  <c r="S1360" i="1"/>
  <c r="O1360" i="1"/>
  <c r="P1360" i="1" s="1"/>
  <c r="R1360" i="1" s="1"/>
  <c r="L1360" i="1"/>
  <c r="K1360" i="1"/>
  <c r="N1360" i="1" s="1"/>
  <c r="Q1360" i="1" s="1"/>
  <c r="J1360" i="1"/>
  <c r="I1360" i="1"/>
  <c r="M1360" i="1" s="1"/>
  <c r="S1359" i="1"/>
  <c r="L1359" i="1"/>
  <c r="O1359" i="1" s="1"/>
  <c r="P1359" i="1" s="1"/>
  <c r="R1359" i="1" s="1"/>
  <c r="J1359" i="1"/>
  <c r="I1359" i="1"/>
  <c r="M1359" i="1" s="1"/>
  <c r="S1358" i="1"/>
  <c r="L1358" i="1"/>
  <c r="O1358" i="1" s="1"/>
  <c r="P1358" i="1" s="1"/>
  <c r="R1358" i="1" s="1"/>
  <c r="J1358" i="1"/>
  <c r="I1358" i="1"/>
  <c r="K1358" i="1" s="1"/>
  <c r="N1358" i="1" s="1"/>
  <c r="Q1358" i="1" s="1"/>
  <c r="S1357" i="1"/>
  <c r="L1357" i="1"/>
  <c r="O1357" i="1" s="1"/>
  <c r="P1357" i="1" s="1"/>
  <c r="R1357" i="1" s="1"/>
  <c r="K1357" i="1"/>
  <c r="N1357" i="1" s="1"/>
  <c r="Q1357" i="1" s="1"/>
  <c r="J1357" i="1"/>
  <c r="I1357" i="1"/>
  <c r="M1357" i="1" s="1"/>
  <c r="S1356" i="1"/>
  <c r="O1356" i="1"/>
  <c r="P1356" i="1" s="1"/>
  <c r="R1356" i="1" s="1"/>
  <c r="L1356" i="1"/>
  <c r="K1356" i="1"/>
  <c r="N1356" i="1" s="1"/>
  <c r="Q1356" i="1" s="1"/>
  <c r="J1356" i="1"/>
  <c r="I1356" i="1"/>
  <c r="M1356" i="1" s="1"/>
  <c r="S1355" i="1"/>
  <c r="L1355" i="1"/>
  <c r="O1355" i="1" s="1"/>
  <c r="P1355" i="1" s="1"/>
  <c r="R1355" i="1" s="1"/>
  <c r="J1355" i="1"/>
  <c r="I1355" i="1"/>
  <c r="M1355" i="1" s="1"/>
  <c r="S1354" i="1"/>
  <c r="L1354" i="1"/>
  <c r="O1354" i="1" s="1"/>
  <c r="P1354" i="1" s="1"/>
  <c r="R1354" i="1" s="1"/>
  <c r="J1354" i="1"/>
  <c r="I1354" i="1"/>
  <c r="K1354" i="1" s="1"/>
  <c r="N1354" i="1" s="1"/>
  <c r="Q1354" i="1" s="1"/>
  <c r="S1353" i="1"/>
  <c r="L1353" i="1"/>
  <c r="O1353" i="1" s="1"/>
  <c r="P1353" i="1" s="1"/>
  <c r="R1353" i="1" s="1"/>
  <c r="K1353" i="1"/>
  <c r="N1353" i="1" s="1"/>
  <c r="Q1353" i="1" s="1"/>
  <c r="J1353" i="1"/>
  <c r="I1353" i="1"/>
  <c r="M1353" i="1" s="1"/>
  <c r="S1352" i="1"/>
  <c r="O1352" i="1"/>
  <c r="P1352" i="1" s="1"/>
  <c r="R1352" i="1" s="1"/>
  <c r="L1352" i="1"/>
  <c r="K1352" i="1"/>
  <c r="N1352" i="1" s="1"/>
  <c r="Q1352" i="1" s="1"/>
  <c r="J1352" i="1"/>
  <c r="I1352" i="1"/>
  <c r="M1352" i="1" s="1"/>
  <c r="S1351" i="1"/>
  <c r="L1351" i="1"/>
  <c r="O1351" i="1" s="1"/>
  <c r="P1351" i="1" s="1"/>
  <c r="R1351" i="1" s="1"/>
  <c r="J1351" i="1"/>
  <c r="I1351" i="1"/>
  <c r="M1351" i="1" s="1"/>
  <c r="S1350" i="1"/>
  <c r="L1350" i="1"/>
  <c r="O1350" i="1" s="1"/>
  <c r="P1350" i="1" s="1"/>
  <c r="R1350" i="1" s="1"/>
  <c r="J1350" i="1"/>
  <c r="I1350" i="1"/>
  <c r="K1350" i="1" s="1"/>
  <c r="N1350" i="1" s="1"/>
  <c r="Q1350" i="1" s="1"/>
  <c r="S1349" i="1"/>
  <c r="L1349" i="1"/>
  <c r="O1349" i="1" s="1"/>
  <c r="P1349" i="1" s="1"/>
  <c r="R1349" i="1" s="1"/>
  <c r="K1349" i="1"/>
  <c r="N1349" i="1" s="1"/>
  <c r="Q1349" i="1" s="1"/>
  <c r="J1349" i="1"/>
  <c r="I1349" i="1"/>
  <c r="M1349" i="1" s="1"/>
  <c r="S1348" i="1"/>
  <c r="O1348" i="1"/>
  <c r="P1348" i="1" s="1"/>
  <c r="R1348" i="1" s="1"/>
  <c r="L1348" i="1"/>
  <c r="K1348" i="1"/>
  <c r="N1348" i="1" s="1"/>
  <c r="Q1348" i="1" s="1"/>
  <c r="J1348" i="1"/>
  <c r="I1348" i="1"/>
  <c r="M1348" i="1" s="1"/>
  <c r="S1347" i="1"/>
  <c r="L1347" i="1"/>
  <c r="O1347" i="1" s="1"/>
  <c r="P1347" i="1" s="1"/>
  <c r="R1347" i="1" s="1"/>
  <c r="J1347" i="1"/>
  <c r="I1347" i="1"/>
  <c r="M1347" i="1" s="1"/>
  <c r="S1346" i="1"/>
  <c r="L1346" i="1"/>
  <c r="O1346" i="1" s="1"/>
  <c r="P1346" i="1" s="1"/>
  <c r="R1346" i="1" s="1"/>
  <c r="J1346" i="1"/>
  <c r="I1346" i="1"/>
  <c r="K1346" i="1" s="1"/>
  <c r="N1346" i="1" s="1"/>
  <c r="Q1346" i="1" s="1"/>
  <c r="S1345" i="1"/>
  <c r="L1345" i="1"/>
  <c r="O1345" i="1" s="1"/>
  <c r="P1345" i="1" s="1"/>
  <c r="R1345" i="1" s="1"/>
  <c r="K1345" i="1"/>
  <c r="N1345" i="1" s="1"/>
  <c r="Q1345" i="1" s="1"/>
  <c r="J1345" i="1"/>
  <c r="I1345" i="1"/>
  <c r="M1345" i="1" s="1"/>
  <c r="S1344" i="1"/>
  <c r="O1344" i="1"/>
  <c r="P1344" i="1" s="1"/>
  <c r="R1344" i="1" s="1"/>
  <c r="L1344" i="1"/>
  <c r="K1344" i="1"/>
  <c r="N1344" i="1" s="1"/>
  <c r="Q1344" i="1" s="1"/>
  <c r="J1344" i="1"/>
  <c r="I1344" i="1"/>
  <c r="M1344" i="1" s="1"/>
  <c r="S1343" i="1"/>
  <c r="L1343" i="1"/>
  <c r="O1343" i="1" s="1"/>
  <c r="P1343" i="1" s="1"/>
  <c r="R1343" i="1" s="1"/>
  <c r="J1343" i="1"/>
  <c r="I1343" i="1"/>
  <c r="M1343" i="1" s="1"/>
  <c r="S1342" i="1"/>
  <c r="L1342" i="1"/>
  <c r="O1342" i="1" s="1"/>
  <c r="P1342" i="1" s="1"/>
  <c r="R1342" i="1" s="1"/>
  <c r="J1342" i="1"/>
  <c r="I1342" i="1"/>
  <c r="K1342" i="1" s="1"/>
  <c r="N1342" i="1" s="1"/>
  <c r="Q1342" i="1" s="1"/>
  <c r="S1341" i="1"/>
  <c r="L1341" i="1"/>
  <c r="O1341" i="1" s="1"/>
  <c r="P1341" i="1" s="1"/>
  <c r="R1341" i="1" s="1"/>
  <c r="K1341" i="1"/>
  <c r="N1341" i="1" s="1"/>
  <c r="Q1341" i="1" s="1"/>
  <c r="J1341" i="1"/>
  <c r="I1341" i="1"/>
  <c r="M1341" i="1" s="1"/>
  <c r="S1340" i="1"/>
  <c r="O1340" i="1"/>
  <c r="P1340" i="1" s="1"/>
  <c r="R1340" i="1" s="1"/>
  <c r="L1340" i="1"/>
  <c r="K1340" i="1"/>
  <c r="N1340" i="1" s="1"/>
  <c r="Q1340" i="1" s="1"/>
  <c r="J1340" i="1"/>
  <c r="I1340" i="1"/>
  <c r="M1340" i="1" s="1"/>
  <c r="S1339" i="1"/>
  <c r="L1339" i="1"/>
  <c r="O1339" i="1" s="1"/>
  <c r="P1339" i="1" s="1"/>
  <c r="R1339" i="1" s="1"/>
  <c r="J1339" i="1"/>
  <c r="I1339" i="1"/>
  <c r="M1339" i="1" s="1"/>
  <c r="S1338" i="1"/>
  <c r="L1338" i="1"/>
  <c r="O1338" i="1" s="1"/>
  <c r="P1338" i="1" s="1"/>
  <c r="R1338" i="1" s="1"/>
  <c r="J1338" i="1"/>
  <c r="I1338" i="1"/>
  <c r="K1338" i="1" s="1"/>
  <c r="N1338" i="1" s="1"/>
  <c r="Q1338" i="1" s="1"/>
  <c r="S1337" i="1"/>
  <c r="L1337" i="1"/>
  <c r="O1337" i="1" s="1"/>
  <c r="P1337" i="1" s="1"/>
  <c r="R1337" i="1" s="1"/>
  <c r="K1337" i="1"/>
  <c r="N1337" i="1" s="1"/>
  <c r="Q1337" i="1" s="1"/>
  <c r="J1337" i="1"/>
  <c r="I1337" i="1"/>
  <c r="M1337" i="1" s="1"/>
  <c r="S1336" i="1"/>
  <c r="O1336" i="1"/>
  <c r="P1336" i="1" s="1"/>
  <c r="R1336" i="1" s="1"/>
  <c r="L1336" i="1"/>
  <c r="K1336" i="1"/>
  <c r="N1336" i="1" s="1"/>
  <c r="Q1336" i="1" s="1"/>
  <c r="J1336" i="1"/>
  <c r="I1336" i="1"/>
  <c r="M1336" i="1" s="1"/>
  <c r="S1335" i="1"/>
  <c r="L1335" i="1"/>
  <c r="O1335" i="1" s="1"/>
  <c r="P1335" i="1" s="1"/>
  <c r="R1335" i="1" s="1"/>
  <c r="J1335" i="1"/>
  <c r="I1335" i="1"/>
  <c r="M1335" i="1" s="1"/>
  <c r="S1334" i="1"/>
  <c r="L1334" i="1"/>
  <c r="O1334" i="1" s="1"/>
  <c r="P1334" i="1" s="1"/>
  <c r="R1334" i="1" s="1"/>
  <c r="J1334" i="1"/>
  <c r="I1334" i="1"/>
  <c r="K1334" i="1" s="1"/>
  <c r="N1334" i="1" s="1"/>
  <c r="Q1334" i="1" s="1"/>
  <c r="S1333" i="1"/>
  <c r="L1333" i="1"/>
  <c r="O1333" i="1" s="1"/>
  <c r="P1333" i="1" s="1"/>
  <c r="R1333" i="1" s="1"/>
  <c r="K1333" i="1"/>
  <c r="N1333" i="1" s="1"/>
  <c r="Q1333" i="1" s="1"/>
  <c r="J1333" i="1"/>
  <c r="I1333" i="1"/>
  <c r="M1333" i="1" s="1"/>
  <c r="S1332" i="1"/>
  <c r="O1332" i="1"/>
  <c r="P1332" i="1" s="1"/>
  <c r="R1332" i="1" s="1"/>
  <c r="L1332" i="1"/>
  <c r="K1332" i="1"/>
  <c r="N1332" i="1" s="1"/>
  <c r="Q1332" i="1" s="1"/>
  <c r="J1332" i="1"/>
  <c r="I1332" i="1"/>
  <c r="M1332" i="1" s="1"/>
  <c r="S1331" i="1"/>
  <c r="L1331" i="1"/>
  <c r="O1331" i="1" s="1"/>
  <c r="P1331" i="1" s="1"/>
  <c r="R1331" i="1" s="1"/>
  <c r="J1331" i="1"/>
  <c r="I1331" i="1"/>
  <c r="M1331" i="1" s="1"/>
  <c r="S1330" i="1"/>
  <c r="L1330" i="1"/>
  <c r="O1330" i="1" s="1"/>
  <c r="P1330" i="1" s="1"/>
  <c r="R1330" i="1" s="1"/>
  <c r="J1330" i="1"/>
  <c r="I1330" i="1"/>
  <c r="K1330" i="1" s="1"/>
  <c r="N1330" i="1" s="1"/>
  <c r="Q1330" i="1" s="1"/>
  <c r="S1329" i="1"/>
  <c r="L1329" i="1"/>
  <c r="O1329" i="1" s="1"/>
  <c r="P1329" i="1" s="1"/>
  <c r="R1329" i="1" s="1"/>
  <c r="K1329" i="1"/>
  <c r="N1329" i="1" s="1"/>
  <c r="Q1329" i="1" s="1"/>
  <c r="J1329" i="1"/>
  <c r="I1329" i="1"/>
  <c r="M1329" i="1" s="1"/>
  <c r="S1328" i="1"/>
  <c r="O1328" i="1"/>
  <c r="P1328" i="1" s="1"/>
  <c r="R1328" i="1" s="1"/>
  <c r="L1328" i="1"/>
  <c r="K1328" i="1"/>
  <c r="N1328" i="1" s="1"/>
  <c r="Q1328" i="1" s="1"/>
  <c r="J1328" i="1"/>
  <c r="I1328" i="1"/>
  <c r="M1328" i="1" s="1"/>
  <c r="S1327" i="1"/>
  <c r="L1327" i="1"/>
  <c r="O1327" i="1" s="1"/>
  <c r="P1327" i="1" s="1"/>
  <c r="R1327" i="1" s="1"/>
  <c r="J1327" i="1"/>
  <c r="I1327" i="1"/>
  <c r="M1327" i="1" s="1"/>
  <c r="S1326" i="1"/>
  <c r="L1326" i="1"/>
  <c r="O1326" i="1" s="1"/>
  <c r="P1326" i="1" s="1"/>
  <c r="R1326" i="1" s="1"/>
  <c r="J1326" i="1"/>
  <c r="I1326" i="1"/>
  <c r="K1326" i="1" s="1"/>
  <c r="N1326" i="1" s="1"/>
  <c r="Q1326" i="1" s="1"/>
  <c r="S1325" i="1"/>
  <c r="L1325" i="1"/>
  <c r="O1325" i="1" s="1"/>
  <c r="P1325" i="1" s="1"/>
  <c r="R1325" i="1" s="1"/>
  <c r="K1325" i="1"/>
  <c r="N1325" i="1" s="1"/>
  <c r="Q1325" i="1" s="1"/>
  <c r="J1325" i="1"/>
  <c r="I1325" i="1"/>
  <c r="M1325" i="1" s="1"/>
  <c r="S1324" i="1"/>
  <c r="O1324" i="1"/>
  <c r="P1324" i="1" s="1"/>
  <c r="R1324" i="1" s="1"/>
  <c r="L1324" i="1"/>
  <c r="K1324" i="1"/>
  <c r="N1324" i="1" s="1"/>
  <c r="Q1324" i="1" s="1"/>
  <c r="J1324" i="1"/>
  <c r="I1324" i="1"/>
  <c r="M1324" i="1" s="1"/>
  <c r="S1323" i="1"/>
  <c r="L1323" i="1"/>
  <c r="O1323" i="1" s="1"/>
  <c r="P1323" i="1" s="1"/>
  <c r="R1323" i="1" s="1"/>
  <c r="J1323" i="1"/>
  <c r="I1323" i="1"/>
  <c r="M1323" i="1" s="1"/>
  <c r="S1322" i="1"/>
  <c r="L1322" i="1"/>
  <c r="O1322" i="1" s="1"/>
  <c r="P1322" i="1" s="1"/>
  <c r="R1322" i="1" s="1"/>
  <c r="J1322" i="1"/>
  <c r="I1322" i="1"/>
  <c r="K1322" i="1" s="1"/>
  <c r="N1322" i="1" s="1"/>
  <c r="Q1322" i="1" s="1"/>
  <c r="S1321" i="1"/>
  <c r="L1321" i="1"/>
  <c r="O1321" i="1" s="1"/>
  <c r="P1321" i="1" s="1"/>
  <c r="R1321" i="1" s="1"/>
  <c r="K1321" i="1"/>
  <c r="N1321" i="1" s="1"/>
  <c r="Q1321" i="1" s="1"/>
  <c r="J1321" i="1"/>
  <c r="I1321" i="1"/>
  <c r="M1321" i="1" s="1"/>
  <c r="S1320" i="1"/>
  <c r="O1320" i="1"/>
  <c r="P1320" i="1" s="1"/>
  <c r="R1320" i="1" s="1"/>
  <c r="L1320" i="1"/>
  <c r="K1320" i="1"/>
  <c r="N1320" i="1" s="1"/>
  <c r="Q1320" i="1" s="1"/>
  <c r="J1320" i="1"/>
  <c r="I1320" i="1"/>
  <c r="M1320" i="1" s="1"/>
  <c r="S1319" i="1"/>
  <c r="L1319" i="1"/>
  <c r="O1319" i="1" s="1"/>
  <c r="P1319" i="1" s="1"/>
  <c r="R1319" i="1" s="1"/>
  <c r="J1319" i="1"/>
  <c r="I1319" i="1"/>
  <c r="M1319" i="1" s="1"/>
  <c r="S1318" i="1"/>
  <c r="L1318" i="1"/>
  <c r="O1318" i="1" s="1"/>
  <c r="P1318" i="1" s="1"/>
  <c r="R1318" i="1" s="1"/>
  <c r="J1318" i="1"/>
  <c r="I1318" i="1"/>
  <c r="K1318" i="1" s="1"/>
  <c r="N1318" i="1" s="1"/>
  <c r="Q1318" i="1" s="1"/>
  <c r="S1317" i="1"/>
  <c r="L1317" i="1"/>
  <c r="O1317" i="1" s="1"/>
  <c r="P1317" i="1" s="1"/>
  <c r="R1317" i="1" s="1"/>
  <c r="K1317" i="1"/>
  <c r="N1317" i="1" s="1"/>
  <c r="Q1317" i="1" s="1"/>
  <c r="J1317" i="1"/>
  <c r="I1317" i="1"/>
  <c r="M1317" i="1" s="1"/>
  <c r="S1316" i="1"/>
  <c r="O1316" i="1"/>
  <c r="P1316" i="1" s="1"/>
  <c r="R1316" i="1" s="1"/>
  <c r="L1316" i="1"/>
  <c r="K1316" i="1"/>
  <c r="N1316" i="1" s="1"/>
  <c r="Q1316" i="1" s="1"/>
  <c r="J1316" i="1"/>
  <c r="I1316" i="1"/>
  <c r="M1316" i="1" s="1"/>
  <c r="S1315" i="1"/>
  <c r="L1315" i="1"/>
  <c r="O1315" i="1" s="1"/>
  <c r="P1315" i="1" s="1"/>
  <c r="R1315" i="1" s="1"/>
  <c r="J1315" i="1"/>
  <c r="I1315" i="1"/>
  <c r="M1315" i="1" s="1"/>
  <c r="S1314" i="1"/>
  <c r="L1314" i="1"/>
  <c r="O1314" i="1" s="1"/>
  <c r="P1314" i="1" s="1"/>
  <c r="R1314" i="1" s="1"/>
  <c r="J1314" i="1"/>
  <c r="I1314" i="1"/>
  <c r="K1314" i="1" s="1"/>
  <c r="N1314" i="1" s="1"/>
  <c r="Q1314" i="1" s="1"/>
  <c r="S1313" i="1"/>
  <c r="L1313" i="1"/>
  <c r="O1313" i="1" s="1"/>
  <c r="P1313" i="1" s="1"/>
  <c r="R1313" i="1" s="1"/>
  <c r="K1313" i="1"/>
  <c r="N1313" i="1" s="1"/>
  <c r="Q1313" i="1" s="1"/>
  <c r="J1313" i="1"/>
  <c r="I1313" i="1"/>
  <c r="M1313" i="1" s="1"/>
  <c r="S1312" i="1"/>
  <c r="O1312" i="1"/>
  <c r="P1312" i="1" s="1"/>
  <c r="R1312" i="1" s="1"/>
  <c r="L1312" i="1"/>
  <c r="K1312" i="1"/>
  <c r="N1312" i="1" s="1"/>
  <c r="Q1312" i="1" s="1"/>
  <c r="J1312" i="1"/>
  <c r="I1312" i="1"/>
  <c r="M1312" i="1" s="1"/>
  <c r="S1311" i="1"/>
  <c r="L1311" i="1"/>
  <c r="O1311" i="1" s="1"/>
  <c r="P1311" i="1" s="1"/>
  <c r="R1311" i="1" s="1"/>
  <c r="J1311" i="1"/>
  <c r="I1311" i="1"/>
  <c r="M1311" i="1" s="1"/>
  <c r="S1310" i="1"/>
  <c r="L1310" i="1"/>
  <c r="O1310" i="1" s="1"/>
  <c r="P1310" i="1" s="1"/>
  <c r="R1310" i="1" s="1"/>
  <c r="J1310" i="1"/>
  <c r="I1310" i="1"/>
  <c r="K1310" i="1" s="1"/>
  <c r="N1310" i="1" s="1"/>
  <c r="Q1310" i="1" s="1"/>
  <c r="S1309" i="1"/>
  <c r="L1309" i="1"/>
  <c r="O1309" i="1" s="1"/>
  <c r="P1309" i="1" s="1"/>
  <c r="R1309" i="1" s="1"/>
  <c r="K1309" i="1"/>
  <c r="N1309" i="1" s="1"/>
  <c r="Q1309" i="1" s="1"/>
  <c r="J1309" i="1"/>
  <c r="I1309" i="1"/>
  <c r="M1309" i="1" s="1"/>
  <c r="S1308" i="1"/>
  <c r="O1308" i="1"/>
  <c r="P1308" i="1" s="1"/>
  <c r="R1308" i="1" s="1"/>
  <c r="L1308" i="1"/>
  <c r="K1308" i="1"/>
  <c r="N1308" i="1" s="1"/>
  <c r="Q1308" i="1" s="1"/>
  <c r="J1308" i="1"/>
  <c r="I1308" i="1"/>
  <c r="M1308" i="1" s="1"/>
  <c r="S1307" i="1"/>
  <c r="L1307" i="1"/>
  <c r="O1307" i="1" s="1"/>
  <c r="P1307" i="1" s="1"/>
  <c r="R1307" i="1" s="1"/>
  <c r="J1307" i="1"/>
  <c r="I1307" i="1"/>
  <c r="M1307" i="1" s="1"/>
  <c r="S1306" i="1"/>
  <c r="L1306" i="1"/>
  <c r="O1306" i="1" s="1"/>
  <c r="P1306" i="1" s="1"/>
  <c r="R1306" i="1" s="1"/>
  <c r="J1306" i="1"/>
  <c r="I1306" i="1"/>
  <c r="K1306" i="1" s="1"/>
  <c r="N1306" i="1" s="1"/>
  <c r="Q1306" i="1" s="1"/>
  <c r="S1305" i="1"/>
  <c r="L1305" i="1"/>
  <c r="O1305" i="1" s="1"/>
  <c r="P1305" i="1" s="1"/>
  <c r="R1305" i="1" s="1"/>
  <c r="K1305" i="1"/>
  <c r="N1305" i="1" s="1"/>
  <c r="Q1305" i="1" s="1"/>
  <c r="J1305" i="1"/>
  <c r="I1305" i="1"/>
  <c r="M1305" i="1" s="1"/>
  <c r="S1304" i="1"/>
  <c r="O1304" i="1"/>
  <c r="P1304" i="1" s="1"/>
  <c r="R1304" i="1" s="1"/>
  <c r="L1304" i="1"/>
  <c r="K1304" i="1"/>
  <c r="N1304" i="1" s="1"/>
  <c r="Q1304" i="1" s="1"/>
  <c r="J1304" i="1"/>
  <c r="I1304" i="1"/>
  <c r="M1304" i="1" s="1"/>
  <c r="S1303" i="1"/>
  <c r="L1303" i="1"/>
  <c r="O1303" i="1" s="1"/>
  <c r="P1303" i="1" s="1"/>
  <c r="R1303" i="1" s="1"/>
  <c r="J1303" i="1"/>
  <c r="I1303" i="1"/>
  <c r="M1303" i="1" s="1"/>
  <c r="S1302" i="1"/>
  <c r="L1302" i="1"/>
  <c r="O1302" i="1" s="1"/>
  <c r="P1302" i="1" s="1"/>
  <c r="R1302" i="1" s="1"/>
  <c r="J1302" i="1"/>
  <c r="I1302" i="1"/>
  <c r="S1301" i="1"/>
  <c r="L1301" i="1"/>
  <c r="O1301" i="1" s="1"/>
  <c r="P1301" i="1" s="1"/>
  <c r="R1301" i="1" s="1"/>
  <c r="K1301" i="1"/>
  <c r="N1301" i="1" s="1"/>
  <c r="Q1301" i="1" s="1"/>
  <c r="J1301" i="1"/>
  <c r="I1301" i="1"/>
  <c r="M1301" i="1" s="1"/>
  <c r="S1300" i="1"/>
  <c r="O1300" i="1"/>
  <c r="P1300" i="1" s="1"/>
  <c r="R1300" i="1" s="1"/>
  <c r="L1300" i="1"/>
  <c r="K1300" i="1"/>
  <c r="N1300" i="1" s="1"/>
  <c r="Q1300" i="1" s="1"/>
  <c r="J1300" i="1"/>
  <c r="I1300" i="1"/>
  <c r="M1300" i="1" s="1"/>
  <c r="S1299" i="1"/>
  <c r="L1299" i="1"/>
  <c r="O1299" i="1" s="1"/>
  <c r="P1299" i="1" s="1"/>
  <c r="R1299" i="1" s="1"/>
  <c r="J1299" i="1"/>
  <c r="I1299" i="1"/>
  <c r="M1299" i="1" s="1"/>
  <c r="S1298" i="1"/>
  <c r="L1298" i="1"/>
  <c r="O1298" i="1" s="1"/>
  <c r="P1298" i="1" s="1"/>
  <c r="R1298" i="1" s="1"/>
  <c r="J1298" i="1"/>
  <c r="I1298" i="1"/>
  <c r="K1298" i="1" s="1"/>
  <c r="N1298" i="1" s="1"/>
  <c r="Q1298" i="1" s="1"/>
  <c r="S1297" i="1"/>
  <c r="L1297" i="1"/>
  <c r="O1297" i="1" s="1"/>
  <c r="P1297" i="1" s="1"/>
  <c r="R1297" i="1" s="1"/>
  <c r="K1297" i="1"/>
  <c r="N1297" i="1" s="1"/>
  <c r="Q1297" i="1" s="1"/>
  <c r="J1297" i="1"/>
  <c r="I1297" i="1"/>
  <c r="M1297" i="1" s="1"/>
  <c r="S1296" i="1"/>
  <c r="O1296" i="1"/>
  <c r="P1296" i="1" s="1"/>
  <c r="R1296" i="1" s="1"/>
  <c r="L1296" i="1"/>
  <c r="K1296" i="1"/>
  <c r="N1296" i="1" s="1"/>
  <c r="Q1296" i="1" s="1"/>
  <c r="J1296" i="1"/>
  <c r="I1296" i="1"/>
  <c r="M1296" i="1" s="1"/>
  <c r="S1295" i="1"/>
  <c r="L1295" i="1"/>
  <c r="O1295" i="1" s="1"/>
  <c r="P1295" i="1" s="1"/>
  <c r="R1295" i="1" s="1"/>
  <c r="J1295" i="1"/>
  <c r="I1295" i="1"/>
  <c r="M1295" i="1" s="1"/>
  <c r="S1294" i="1"/>
  <c r="L1294" i="1"/>
  <c r="O1294" i="1" s="1"/>
  <c r="P1294" i="1" s="1"/>
  <c r="R1294" i="1" s="1"/>
  <c r="J1294" i="1"/>
  <c r="I1294" i="1"/>
  <c r="K1294" i="1" s="1"/>
  <c r="N1294" i="1" s="1"/>
  <c r="Q1294" i="1" s="1"/>
  <c r="S1293" i="1"/>
  <c r="L1293" i="1"/>
  <c r="O1293" i="1" s="1"/>
  <c r="P1293" i="1" s="1"/>
  <c r="R1293" i="1" s="1"/>
  <c r="K1293" i="1"/>
  <c r="N1293" i="1" s="1"/>
  <c r="Q1293" i="1" s="1"/>
  <c r="J1293" i="1"/>
  <c r="I1293" i="1"/>
  <c r="M1293" i="1" s="1"/>
  <c r="S1292" i="1"/>
  <c r="O1292" i="1"/>
  <c r="P1292" i="1" s="1"/>
  <c r="R1292" i="1" s="1"/>
  <c r="L1292" i="1"/>
  <c r="K1292" i="1"/>
  <c r="N1292" i="1" s="1"/>
  <c r="Q1292" i="1" s="1"/>
  <c r="J1292" i="1"/>
  <c r="I1292" i="1"/>
  <c r="M1292" i="1" s="1"/>
  <c r="S1291" i="1"/>
  <c r="L1291" i="1"/>
  <c r="O1291" i="1" s="1"/>
  <c r="P1291" i="1" s="1"/>
  <c r="R1291" i="1" s="1"/>
  <c r="J1291" i="1"/>
  <c r="I1291" i="1"/>
  <c r="M1291" i="1" s="1"/>
  <c r="S1290" i="1"/>
  <c r="L1290" i="1"/>
  <c r="O1290" i="1" s="1"/>
  <c r="P1290" i="1" s="1"/>
  <c r="R1290" i="1" s="1"/>
  <c r="J1290" i="1"/>
  <c r="I1290" i="1"/>
  <c r="K1290" i="1" s="1"/>
  <c r="N1290" i="1" s="1"/>
  <c r="Q1290" i="1" s="1"/>
  <c r="S1289" i="1"/>
  <c r="L1289" i="1"/>
  <c r="O1289" i="1" s="1"/>
  <c r="P1289" i="1" s="1"/>
  <c r="R1289" i="1" s="1"/>
  <c r="K1289" i="1"/>
  <c r="N1289" i="1" s="1"/>
  <c r="Q1289" i="1" s="1"/>
  <c r="J1289" i="1"/>
  <c r="I1289" i="1"/>
  <c r="M1289" i="1" s="1"/>
  <c r="S1288" i="1"/>
  <c r="O1288" i="1"/>
  <c r="P1288" i="1" s="1"/>
  <c r="R1288" i="1" s="1"/>
  <c r="L1288" i="1"/>
  <c r="K1288" i="1"/>
  <c r="N1288" i="1" s="1"/>
  <c r="Q1288" i="1" s="1"/>
  <c r="J1288" i="1"/>
  <c r="I1288" i="1"/>
  <c r="M1288" i="1" s="1"/>
  <c r="S1287" i="1"/>
  <c r="L1287" i="1"/>
  <c r="O1287" i="1" s="1"/>
  <c r="P1287" i="1" s="1"/>
  <c r="R1287" i="1" s="1"/>
  <c r="J1287" i="1"/>
  <c r="I1287" i="1"/>
  <c r="M1287" i="1" s="1"/>
  <c r="S1286" i="1"/>
  <c r="L1286" i="1"/>
  <c r="O1286" i="1" s="1"/>
  <c r="P1286" i="1" s="1"/>
  <c r="R1286" i="1" s="1"/>
  <c r="J1286" i="1"/>
  <c r="I1286" i="1"/>
  <c r="K1286" i="1" s="1"/>
  <c r="N1286" i="1" s="1"/>
  <c r="Q1286" i="1" s="1"/>
  <c r="S1285" i="1"/>
  <c r="L1285" i="1"/>
  <c r="O1285" i="1" s="1"/>
  <c r="P1285" i="1" s="1"/>
  <c r="R1285" i="1" s="1"/>
  <c r="K1285" i="1"/>
  <c r="N1285" i="1" s="1"/>
  <c r="Q1285" i="1" s="1"/>
  <c r="J1285" i="1"/>
  <c r="I1285" i="1"/>
  <c r="M1285" i="1" s="1"/>
  <c r="S1284" i="1"/>
  <c r="O1284" i="1"/>
  <c r="P1284" i="1" s="1"/>
  <c r="R1284" i="1" s="1"/>
  <c r="L1284" i="1"/>
  <c r="K1284" i="1"/>
  <c r="N1284" i="1" s="1"/>
  <c r="Q1284" i="1" s="1"/>
  <c r="J1284" i="1"/>
  <c r="I1284" i="1"/>
  <c r="M1284" i="1" s="1"/>
  <c r="S1283" i="1"/>
  <c r="L1283" i="1"/>
  <c r="O1283" i="1" s="1"/>
  <c r="P1283" i="1" s="1"/>
  <c r="R1283" i="1" s="1"/>
  <c r="J1283" i="1"/>
  <c r="I1283" i="1"/>
  <c r="M1283" i="1" s="1"/>
  <c r="S1282" i="1"/>
  <c r="L1282" i="1"/>
  <c r="O1282" i="1" s="1"/>
  <c r="P1282" i="1" s="1"/>
  <c r="R1282" i="1" s="1"/>
  <c r="J1282" i="1"/>
  <c r="I1282" i="1"/>
  <c r="K1282" i="1" s="1"/>
  <c r="N1282" i="1" s="1"/>
  <c r="Q1282" i="1" s="1"/>
  <c r="S1281" i="1"/>
  <c r="L1281" i="1"/>
  <c r="O1281" i="1" s="1"/>
  <c r="P1281" i="1" s="1"/>
  <c r="R1281" i="1" s="1"/>
  <c r="K1281" i="1"/>
  <c r="N1281" i="1" s="1"/>
  <c r="Q1281" i="1" s="1"/>
  <c r="J1281" i="1"/>
  <c r="I1281" i="1"/>
  <c r="M1281" i="1" s="1"/>
  <c r="S1280" i="1"/>
  <c r="O1280" i="1"/>
  <c r="P1280" i="1" s="1"/>
  <c r="R1280" i="1" s="1"/>
  <c r="L1280" i="1"/>
  <c r="K1280" i="1"/>
  <c r="N1280" i="1" s="1"/>
  <c r="Q1280" i="1" s="1"/>
  <c r="J1280" i="1"/>
  <c r="I1280" i="1"/>
  <c r="M1280" i="1" s="1"/>
  <c r="S1279" i="1"/>
  <c r="L1279" i="1"/>
  <c r="O1279" i="1" s="1"/>
  <c r="P1279" i="1" s="1"/>
  <c r="R1279" i="1" s="1"/>
  <c r="J1279" i="1"/>
  <c r="I1279" i="1"/>
  <c r="M1279" i="1" s="1"/>
  <c r="S1278" i="1"/>
  <c r="Q1278" i="1"/>
  <c r="P1278" i="1"/>
  <c r="R1278" i="1" s="1"/>
  <c r="L1278" i="1"/>
  <c r="O1278" i="1" s="1"/>
  <c r="J1278" i="1"/>
  <c r="I1278" i="1"/>
  <c r="K1278" i="1" s="1"/>
  <c r="N1278" i="1" s="1"/>
  <c r="S1277" i="1"/>
  <c r="O1277" i="1"/>
  <c r="P1277" i="1" s="1"/>
  <c r="R1277" i="1" s="1"/>
  <c r="L1277" i="1"/>
  <c r="K1277" i="1"/>
  <c r="N1277" i="1" s="1"/>
  <c r="Q1277" i="1" s="1"/>
  <c r="J1277" i="1"/>
  <c r="I1277" i="1"/>
  <c r="M1277" i="1" s="1"/>
  <c r="S1276" i="1"/>
  <c r="O1276" i="1"/>
  <c r="P1276" i="1" s="1"/>
  <c r="R1276" i="1" s="1"/>
  <c r="N1276" i="1"/>
  <c r="Q1276" i="1" s="1"/>
  <c r="L1276" i="1"/>
  <c r="K1276" i="1"/>
  <c r="J1276" i="1"/>
  <c r="I1276" i="1"/>
  <c r="M1276" i="1" s="1"/>
  <c r="S1275" i="1"/>
  <c r="O1275" i="1"/>
  <c r="P1275" i="1" s="1"/>
  <c r="R1275" i="1" s="1"/>
  <c r="L1275" i="1"/>
  <c r="J1275" i="1"/>
  <c r="I1275" i="1"/>
  <c r="K1275" i="1" s="1"/>
  <c r="N1275" i="1" s="1"/>
  <c r="Q1275" i="1" s="1"/>
  <c r="S1274" i="1"/>
  <c r="P1274" i="1"/>
  <c r="R1274" i="1" s="1"/>
  <c r="L1274" i="1"/>
  <c r="O1274" i="1" s="1"/>
  <c r="J1274" i="1"/>
  <c r="I1274" i="1"/>
  <c r="K1274" i="1" s="1"/>
  <c r="N1274" i="1" s="1"/>
  <c r="Q1274" i="1" s="1"/>
  <c r="S1273" i="1"/>
  <c r="L1273" i="1"/>
  <c r="O1273" i="1" s="1"/>
  <c r="P1273" i="1" s="1"/>
  <c r="R1273" i="1" s="1"/>
  <c r="K1273" i="1"/>
  <c r="N1273" i="1" s="1"/>
  <c r="Q1273" i="1" s="1"/>
  <c r="J1273" i="1"/>
  <c r="I1273" i="1"/>
  <c r="M1273" i="1" s="1"/>
  <c r="S1272" i="1"/>
  <c r="R1272" i="1"/>
  <c r="O1272" i="1"/>
  <c r="P1272" i="1" s="1"/>
  <c r="L1272" i="1"/>
  <c r="K1272" i="1"/>
  <c r="N1272" i="1" s="1"/>
  <c r="Q1272" i="1" s="1"/>
  <c r="J1272" i="1"/>
  <c r="I1272" i="1"/>
  <c r="M1272" i="1" s="1"/>
  <c r="S1271" i="1"/>
  <c r="R1271" i="1"/>
  <c r="O1271" i="1"/>
  <c r="P1271" i="1" s="1"/>
  <c r="L1271" i="1"/>
  <c r="J1271" i="1"/>
  <c r="I1271" i="1"/>
  <c r="K1271" i="1" s="1"/>
  <c r="N1271" i="1" s="1"/>
  <c r="Q1271" i="1" s="1"/>
  <c r="S1270" i="1"/>
  <c r="M1270" i="1"/>
  <c r="L1270" i="1"/>
  <c r="O1270" i="1" s="1"/>
  <c r="P1270" i="1" s="1"/>
  <c r="R1270" i="1" s="1"/>
  <c r="J1270" i="1"/>
  <c r="I1270" i="1"/>
  <c r="K1270" i="1" s="1"/>
  <c r="N1270" i="1" s="1"/>
  <c r="Q1270" i="1" s="1"/>
  <c r="S1269" i="1"/>
  <c r="L1269" i="1"/>
  <c r="O1269" i="1" s="1"/>
  <c r="P1269" i="1" s="1"/>
  <c r="R1269" i="1" s="1"/>
  <c r="K1269" i="1"/>
  <c r="N1269" i="1" s="1"/>
  <c r="Q1269" i="1" s="1"/>
  <c r="J1269" i="1"/>
  <c r="I1269" i="1"/>
  <c r="M1269" i="1" s="1"/>
  <c r="S1268" i="1"/>
  <c r="R1268" i="1"/>
  <c r="O1268" i="1"/>
  <c r="P1268" i="1" s="1"/>
  <c r="L1268" i="1"/>
  <c r="K1268" i="1"/>
  <c r="N1268" i="1" s="1"/>
  <c r="Q1268" i="1" s="1"/>
  <c r="J1268" i="1"/>
  <c r="I1268" i="1"/>
  <c r="M1268" i="1" s="1"/>
  <c r="S1267" i="1"/>
  <c r="R1267" i="1"/>
  <c r="O1267" i="1"/>
  <c r="P1267" i="1" s="1"/>
  <c r="M1267" i="1"/>
  <c r="L1267" i="1"/>
  <c r="J1267" i="1"/>
  <c r="I1267" i="1"/>
  <c r="K1267" i="1" s="1"/>
  <c r="N1267" i="1" s="1"/>
  <c r="Q1267" i="1" s="1"/>
  <c r="S1266" i="1"/>
  <c r="Q1266" i="1"/>
  <c r="M1266" i="1"/>
  <c r="L1266" i="1"/>
  <c r="O1266" i="1" s="1"/>
  <c r="P1266" i="1" s="1"/>
  <c r="R1266" i="1" s="1"/>
  <c r="J1266" i="1"/>
  <c r="I1266" i="1"/>
  <c r="K1266" i="1" s="1"/>
  <c r="N1266" i="1" s="1"/>
  <c r="S1265" i="1"/>
  <c r="P1265" i="1"/>
  <c r="R1265" i="1" s="1"/>
  <c r="O1265" i="1"/>
  <c r="L1265" i="1"/>
  <c r="K1265" i="1"/>
  <c r="N1265" i="1" s="1"/>
  <c r="Q1265" i="1" s="1"/>
  <c r="J1265" i="1"/>
  <c r="I1265" i="1"/>
  <c r="M1265" i="1" s="1"/>
  <c r="S1264" i="1"/>
  <c r="O1264" i="1"/>
  <c r="P1264" i="1" s="1"/>
  <c r="R1264" i="1" s="1"/>
  <c r="N1264" i="1"/>
  <c r="Q1264" i="1" s="1"/>
  <c r="L1264" i="1"/>
  <c r="K1264" i="1"/>
  <c r="J1264" i="1"/>
  <c r="I1264" i="1"/>
  <c r="M1264" i="1" s="1"/>
  <c r="S1263" i="1"/>
  <c r="O1263" i="1"/>
  <c r="P1263" i="1" s="1"/>
  <c r="R1263" i="1" s="1"/>
  <c r="M1263" i="1"/>
  <c r="L1263" i="1"/>
  <c r="J1263" i="1"/>
  <c r="I1263" i="1"/>
  <c r="K1263" i="1" s="1"/>
  <c r="N1263" i="1" s="1"/>
  <c r="Q1263" i="1" s="1"/>
  <c r="S1262" i="1"/>
  <c r="L1262" i="1"/>
  <c r="J1262" i="1"/>
  <c r="I1262" i="1"/>
  <c r="K1262" i="1" s="1"/>
  <c r="S1261" i="1"/>
  <c r="O1261" i="1"/>
  <c r="P1261" i="1" s="1"/>
  <c r="R1261" i="1" s="1"/>
  <c r="L1261" i="1"/>
  <c r="N1261" i="1" s="1"/>
  <c r="Q1261" i="1" s="1"/>
  <c r="K1261" i="1"/>
  <c r="J1261" i="1"/>
  <c r="I1261" i="1"/>
  <c r="M1261" i="1" s="1"/>
  <c r="S1260" i="1"/>
  <c r="O1260" i="1"/>
  <c r="P1260" i="1" s="1"/>
  <c r="R1260" i="1" s="1"/>
  <c r="N1260" i="1"/>
  <c r="Q1260" i="1" s="1"/>
  <c r="L1260" i="1"/>
  <c r="K1260" i="1"/>
  <c r="J1260" i="1"/>
  <c r="I1260" i="1"/>
  <c r="M1260" i="1" s="1"/>
  <c r="S1259" i="1"/>
  <c r="O1259" i="1"/>
  <c r="P1259" i="1" s="1"/>
  <c r="R1259" i="1" s="1"/>
  <c r="L1259" i="1"/>
  <c r="J1259" i="1"/>
  <c r="I1259" i="1"/>
  <c r="S1258" i="1"/>
  <c r="L1258" i="1"/>
  <c r="J1258" i="1"/>
  <c r="I1258" i="1"/>
  <c r="K1258" i="1" s="1"/>
  <c r="S1257" i="1"/>
  <c r="L1257" i="1"/>
  <c r="N1257" i="1" s="1"/>
  <c r="Q1257" i="1" s="1"/>
  <c r="K1257" i="1"/>
  <c r="J1257" i="1"/>
  <c r="I1257" i="1"/>
  <c r="M1257" i="1" s="1"/>
  <c r="S1256" i="1"/>
  <c r="R1256" i="1"/>
  <c r="O1256" i="1"/>
  <c r="P1256" i="1" s="1"/>
  <c r="L1256" i="1"/>
  <c r="K1256" i="1"/>
  <c r="N1256" i="1" s="1"/>
  <c r="Q1256" i="1" s="1"/>
  <c r="J1256" i="1"/>
  <c r="I1256" i="1"/>
  <c r="M1256" i="1" s="1"/>
  <c r="S1255" i="1"/>
  <c r="R1255" i="1"/>
  <c r="O1255" i="1"/>
  <c r="P1255" i="1" s="1"/>
  <c r="L1255" i="1"/>
  <c r="J1255" i="1"/>
  <c r="I1255" i="1"/>
  <c r="K1255" i="1" s="1"/>
  <c r="N1255" i="1" s="1"/>
  <c r="Q1255" i="1" s="1"/>
  <c r="S1254" i="1"/>
  <c r="M1254" i="1"/>
  <c r="L1254" i="1"/>
  <c r="J1254" i="1"/>
  <c r="I1254" i="1"/>
  <c r="K1254" i="1" s="1"/>
  <c r="S1253" i="1"/>
  <c r="L1253" i="1"/>
  <c r="K1253" i="1"/>
  <c r="J1253" i="1"/>
  <c r="I1253" i="1"/>
  <c r="M1253" i="1" s="1"/>
  <c r="S1252" i="1"/>
  <c r="R1252" i="1"/>
  <c r="O1252" i="1"/>
  <c r="P1252" i="1" s="1"/>
  <c r="L1252" i="1"/>
  <c r="K1252" i="1"/>
  <c r="N1252" i="1" s="1"/>
  <c r="Q1252" i="1" s="1"/>
  <c r="J1252" i="1"/>
  <c r="I1252" i="1"/>
  <c r="M1252" i="1" s="1"/>
  <c r="S1251" i="1"/>
  <c r="R1251" i="1"/>
  <c r="O1251" i="1"/>
  <c r="P1251" i="1" s="1"/>
  <c r="M1251" i="1"/>
  <c r="L1251" i="1"/>
  <c r="J1251" i="1"/>
  <c r="I1251" i="1"/>
  <c r="K1251" i="1" s="1"/>
  <c r="N1251" i="1" s="1"/>
  <c r="Q1251" i="1" s="1"/>
  <c r="S1250" i="1"/>
  <c r="M1250" i="1"/>
  <c r="L1250" i="1"/>
  <c r="J1250" i="1"/>
  <c r="I1250" i="1"/>
  <c r="K1250" i="1" s="1"/>
  <c r="S1249" i="1"/>
  <c r="P1249" i="1"/>
  <c r="R1249" i="1" s="1"/>
  <c r="O1249" i="1"/>
  <c r="L1249" i="1"/>
  <c r="K1249" i="1"/>
  <c r="J1249" i="1"/>
  <c r="I1249" i="1"/>
  <c r="M1249" i="1" s="1"/>
  <c r="S1248" i="1"/>
  <c r="O1248" i="1"/>
  <c r="P1248" i="1" s="1"/>
  <c r="R1248" i="1" s="1"/>
  <c r="N1248" i="1"/>
  <c r="Q1248" i="1" s="1"/>
  <c r="L1248" i="1"/>
  <c r="K1248" i="1"/>
  <c r="J1248" i="1"/>
  <c r="I1248" i="1"/>
  <c r="M1248" i="1" s="1"/>
  <c r="S1247" i="1"/>
  <c r="O1247" i="1"/>
  <c r="P1247" i="1" s="1"/>
  <c r="R1247" i="1" s="1"/>
  <c r="M1247" i="1"/>
  <c r="L1247" i="1"/>
  <c r="J1247" i="1"/>
  <c r="I1247" i="1"/>
  <c r="K1247" i="1" s="1"/>
  <c r="N1247" i="1" s="1"/>
  <c r="Q1247" i="1" s="1"/>
  <c r="S1246" i="1"/>
  <c r="M1246" i="1"/>
  <c r="L1246" i="1"/>
  <c r="O1246" i="1" s="1"/>
  <c r="P1246" i="1" s="1"/>
  <c r="R1246" i="1" s="1"/>
  <c r="J1246" i="1"/>
  <c r="I1246" i="1"/>
  <c r="K1246" i="1" s="1"/>
  <c r="S1245" i="1"/>
  <c r="L1245" i="1"/>
  <c r="J1245" i="1"/>
  <c r="I1245" i="1"/>
  <c r="K1245" i="1" s="1"/>
  <c r="S1244" i="1"/>
  <c r="O1244" i="1"/>
  <c r="P1244" i="1" s="1"/>
  <c r="R1244" i="1" s="1"/>
  <c r="L1244" i="1"/>
  <c r="J1244" i="1"/>
  <c r="K1244" i="1" s="1"/>
  <c r="N1244" i="1" s="1"/>
  <c r="Q1244" i="1" s="1"/>
  <c r="I1244" i="1"/>
  <c r="M1244" i="1" s="1"/>
  <c r="S1243" i="1"/>
  <c r="O1243" i="1"/>
  <c r="P1243" i="1" s="1"/>
  <c r="R1243" i="1" s="1"/>
  <c r="L1243" i="1"/>
  <c r="K1243" i="1"/>
  <c r="N1243" i="1" s="1"/>
  <c r="Q1243" i="1" s="1"/>
  <c r="J1243" i="1"/>
  <c r="I1243" i="1"/>
  <c r="M1243" i="1" s="1"/>
  <c r="S1242" i="1"/>
  <c r="R1242" i="1"/>
  <c r="P1242" i="1"/>
  <c r="L1242" i="1"/>
  <c r="O1242" i="1" s="1"/>
  <c r="J1242" i="1"/>
  <c r="I1242" i="1"/>
  <c r="K1242" i="1" s="1"/>
  <c r="N1242" i="1" s="1"/>
  <c r="Q1242" i="1" s="1"/>
  <c r="S1241" i="1"/>
  <c r="O1241" i="1"/>
  <c r="P1241" i="1" s="1"/>
  <c r="R1241" i="1" s="1"/>
  <c r="L1241" i="1"/>
  <c r="J1241" i="1"/>
  <c r="I1241" i="1"/>
  <c r="K1241" i="1" s="1"/>
  <c r="S1240" i="1"/>
  <c r="P1240" i="1"/>
  <c r="R1240" i="1" s="1"/>
  <c r="O1240" i="1"/>
  <c r="L1240" i="1"/>
  <c r="N1240" i="1" s="1"/>
  <c r="Q1240" i="1" s="1"/>
  <c r="K1240" i="1"/>
  <c r="J1240" i="1"/>
  <c r="I1240" i="1"/>
  <c r="M1240" i="1" s="1"/>
  <c r="S1239" i="1"/>
  <c r="R1239" i="1"/>
  <c r="O1239" i="1"/>
  <c r="P1239" i="1" s="1"/>
  <c r="L1239" i="1"/>
  <c r="J1239" i="1"/>
  <c r="I1239" i="1"/>
  <c r="K1239" i="1" s="1"/>
  <c r="N1239" i="1" s="1"/>
  <c r="Q1239" i="1" s="1"/>
  <c r="S1238" i="1"/>
  <c r="P1238" i="1"/>
  <c r="R1238" i="1" s="1"/>
  <c r="L1238" i="1"/>
  <c r="O1238" i="1" s="1"/>
  <c r="J1238" i="1"/>
  <c r="I1238" i="1"/>
  <c r="S1237" i="1"/>
  <c r="P1237" i="1"/>
  <c r="R1237" i="1" s="1"/>
  <c r="O1237" i="1"/>
  <c r="L1237" i="1"/>
  <c r="K1237" i="1"/>
  <c r="J1237" i="1"/>
  <c r="I1237" i="1"/>
  <c r="M1237" i="1" s="1"/>
  <c r="S1236" i="1"/>
  <c r="L1236" i="1"/>
  <c r="O1236" i="1" s="1"/>
  <c r="P1236" i="1" s="1"/>
  <c r="R1236" i="1" s="1"/>
  <c r="K1236" i="1"/>
  <c r="J1236" i="1"/>
  <c r="I1236" i="1"/>
  <c r="M1236" i="1" s="1"/>
  <c r="S1235" i="1"/>
  <c r="R1235" i="1"/>
  <c r="O1235" i="1"/>
  <c r="P1235" i="1" s="1"/>
  <c r="L1235" i="1"/>
  <c r="J1235" i="1"/>
  <c r="I1235" i="1"/>
  <c r="K1235" i="1" s="1"/>
  <c r="N1235" i="1" s="1"/>
  <c r="Q1235" i="1" s="1"/>
  <c r="S1234" i="1"/>
  <c r="M1234" i="1"/>
  <c r="L1234" i="1"/>
  <c r="O1234" i="1" s="1"/>
  <c r="P1234" i="1" s="1"/>
  <c r="R1234" i="1" s="1"/>
  <c r="J1234" i="1"/>
  <c r="I1234" i="1"/>
  <c r="S1233" i="1"/>
  <c r="L1233" i="1"/>
  <c r="N1233" i="1" s="1"/>
  <c r="Q1233" i="1" s="1"/>
  <c r="K1233" i="1"/>
  <c r="J1233" i="1"/>
  <c r="I1233" i="1"/>
  <c r="M1233" i="1" s="1"/>
  <c r="S1232" i="1"/>
  <c r="N1232" i="1"/>
  <c r="Q1232" i="1" s="1"/>
  <c r="L1232" i="1"/>
  <c r="O1232" i="1" s="1"/>
  <c r="P1232" i="1" s="1"/>
  <c r="R1232" i="1" s="1"/>
  <c r="K1232" i="1"/>
  <c r="J1232" i="1"/>
  <c r="I1232" i="1"/>
  <c r="M1232" i="1" s="1"/>
  <c r="S1231" i="1"/>
  <c r="O1231" i="1"/>
  <c r="P1231" i="1" s="1"/>
  <c r="R1231" i="1" s="1"/>
  <c r="L1231" i="1"/>
  <c r="K1231" i="1"/>
  <c r="N1231" i="1" s="1"/>
  <c r="Q1231" i="1" s="1"/>
  <c r="J1231" i="1"/>
  <c r="I1231" i="1"/>
  <c r="M1231" i="1" s="1"/>
  <c r="S1230" i="1"/>
  <c r="O1230" i="1"/>
  <c r="P1230" i="1" s="1"/>
  <c r="R1230" i="1" s="1"/>
  <c r="L1230" i="1"/>
  <c r="J1230" i="1"/>
  <c r="I1230" i="1"/>
  <c r="K1230" i="1" s="1"/>
  <c r="N1230" i="1" s="1"/>
  <c r="Q1230" i="1" s="1"/>
  <c r="S1229" i="1"/>
  <c r="L1229" i="1"/>
  <c r="O1229" i="1" s="1"/>
  <c r="P1229" i="1" s="1"/>
  <c r="R1229" i="1" s="1"/>
  <c r="J1229" i="1"/>
  <c r="I1229" i="1"/>
  <c r="K1229" i="1" s="1"/>
  <c r="S1228" i="1"/>
  <c r="L1228" i="1"/>
  <c r="N1228" i="1" s="1"/>
  <c r="Q1228" i="1" s="1"/>
  <c r="K1228" i="1"/>
  <c r="J1228" i="1"/>
  <c r="I1228" i="1"/>
  <c r="M1228" i="1" s="1"/>
  <c r="S1227" i="1"/>
  <c r="O1227" i="1"/>
  <c r="P1227" i="1" s="1"/>
  <c r="R1227" i="1" s="1"/>
  <c r="L1227" i="1"/>
  <c r="K1227" i="1"/>
  <c r="N1227" i="1" s="1"/>
  <c r="Q1227" i="1" s="1"/>
  <c r="J1227" i="1"/>
  <c r="I1227" i="1"/>
  <c r="M1227" i="1" s="1"/>
  <c r="S1226" i="1"/>
  <c r="O1226" i="1"/>
  <c r="P1226" i="1" s="1"/>
  <c r="R1226" i="1" s="1"/>
  <c r="L1226" i="1"/>
  <c r="J1226" i="1"/>
  <c r="I1226" i="1"/>
  <c r="K1226" i="1" s="1"/>
  <c r="N1226" i="1" s="1"/>
  <c r="Q1226" i="1" s="1"/>
  <c r="S1225" i="1"/>
  <c r="L1225" i="1"/>
  <c r="O1225" i="1" s="1"/>
  <c r="P1225" i="1" s="1"/>
  <c r="R1225" i="1" s="1"/>
  <c r="J1225" i="1"/>
  <c r="I1225" i="1"/>
  <c r="K1225" i="1" s="1"/>
  <c r="N1225" i="1" s="1"/>
  <c r="Q1225" i="1" s="1"/>
  <c r="S1224" i="1"/>
  <c r="L1224" i="1"/>
  <c r="O1224" i="1" s="1"/>
  <c r="P1224" i="1" s="1"/>
  <c r="R1224" i="1" s="1"/>
  <c r="K1224" i="1"/>
  <c r="N1224" i="1" s="1"/>
  <c r="Q1224" i="1" s="1"/>
  <c r="J1224" i="1"/>
  <c r="I1224" i="1"/>
  <c r="M1224" i="1" s="1"/>
  <c r="S1223" i="1"/>
  <c r="O1223" i="1"/>
  <c r="P1223" i="1" s="1"/>
  <c r="R1223" i="1" s="1"/>
  <c r="L1223" i="1"/>
  <c r="K1223" i="1"/>
  <c r="N1223" i="1" s="1"/>
  <c r="Q1223" i="1" s="1"/>
  <c r="J1223" i="1"/>
  <c r="I1223" i="1"/>
  <c r="M1223" i="1" s="1"/>
  <c r="S1222" i="1"/>
  <c r="O1222" i="1"/>
  <c r="P1222" i="1" s="1"/>
  <c r="R1222" i="1" s="1"/>
  <c r="L1222" i="1"/>
  <c r="J1222" i="1"/>
  <c r="I1222" i="1"/>
  <c r="K1222" i="1" s="1"/>
  <c r="N1222" i="1" s="1"/>
  <c r="Q1222" i="1" s="1"/>
  <c r="S1221" i="1"/>
  <c r="L1221" i="1"/>
  <c r="O1221" i="1" s="1"/>
  <c r="P1221" i="1" s="1"/>
  <c r="R1221" i="1" s="1"/>
  <c r="J1221" i="1"/>
  <c r="I1221" i="1"/>
  <c r="K1221" i="1" s="1"/>
  <c r="N1221" i="1" s="1"/>
  <c r="Q1221" i="1" s="1"/>
  <c r="S1220" i="1"/>
  <c r="L1220" i="1"/>
  <c r="O1220" i="1" s="1"/>
  <c r="P1220" i="1" s="1"/>
  <c r="R1220" i="1" s="1"/>
  <c r="K1220" i="1"/>
  <c r="N1220" i="1" s="1"/>
  <c r="Q1220" i="1" s="1"/>
  <c r="J1220" i="1"/>
  <c r="I1220" i="1"/>
  <c r="M1220" i="1" s="1"/>
  <c r="S1219" i="1"/>
  <c r="O1219" i="1"/>
  <c r="P1219" i="1" s="1"/>
  <c r="R1219" i="1" s="1"/>
  <c r="L1219" i="1"/>
  <c r="K1219" i="1"/>
  <c r="N1219" i="1" s="1"/>
  <c r="Q1219" i="1" s="1"/>
  <c r="J1219" i="1"/>
  <c r="I1219" i="1"/>
  <c r="M1219" i="1" s="1"/>
  <c r="S1218" i="1"/>
  <c r="O1218" i="1"/>
  <c r="P1218" i="1" s="1"/>
  <c r="R1218" i="1" s="1"/>
  <c r="L1218" i="1"/>
  <c r="J1218" i="1"/>
  <c r="I1218" i="1"/>
  <c r="K1218" i="1" s="1"/>
  <c r="N1218" i="1" s="1"/>
  <c r="Q1218" i="1" s="1"/>
  <c r="S1217" i="1"/>
  <c r="L1217" i="1"/>
  <c r="O1217" i="1" s="1"/>
  <c r="P1217" i="1" s="1"/>
  <c r="R1217" i="1" s="1"/>
  <c r="J1217" i="1"/>
  <c r="I1217" i="1"/>
  <c r="K1217" i="1" s="1"/>
  <c r="N1217" i="1" s="1"/>
  <c r="Q1217" i="1" s="1"/>
  <c r="S1216" i="1"/>
  <c r="L1216" i="1"/>
  <c r="O1216" i="1" s="1"/>
  <c r="P1216" i="1" s="1"/>
  <c r="R1216" i="1" s="1"/>
  <c r="K1216" i="1"/>
  <c r="N1216" i="1" s="1"/>
  <c r="Q1216" i="1" s="1"/>
  <c r="J1216" i="1"/>
  <c r="I1216" i="1"/>
  <c r="M1216" i="1" s="1"/>
  <c r="S1215" i="1"/>
  <c r="O1215" i="1"/>
  <c r="P1215" i="1" s="1"/>
  <c r="R1215" i="1" s="1"/>
  <c r="L1215" i="1"/>
  <c r="K1215" i="1"/>
  <c r="N1215" i="1" s="1"/>
  <c r="Q1215" i="1" s="1"/>
  <c r="J1215" i="1"/>
  <c r="I1215" i="1"/>
  <c r="M1215" i="1" s="1"/>
  <c r="S1214" i="1"/>
  <c r="O1214" i="1"/>
  <c r="P1214" i="1" s="1"/>
  <c r="R1214" i="1" s="1"/>
  <c r="L1214" i="1"/>
  <c r="J1214" i="1"/>
  <c r="I1214" i="1"/>
  <c r="K1214" i="1" s="1"/>
  <c r="N1214" i="1" s="1"/>
  <c r="Q1214" i="1" s="1"/>
  <c r="S1213" i="1"/>
  <c r="L1213" i="1"/>
  <c r="O1213" i="1" s="1"/>
  <c r="P1213" i="1" s="1"/>
  <c r="R1213" i="1" s="1"/>
  <c r="J1213" i="1"/>
  <c r="I1213" i="1"/>
  <c r="K1213" i="1" s="1"/>
  <c r="N1213" i="1" s="1"/>
  <c r="Q1213" i="1" s="1"/>
  <c r="S1212" i="1"/>
  <c r="L1212" i="1"/>
  <c r="O1212" i="1" s="1"/>
  <c r="P1212" i="1" s="1"/>
  <c r="R1212" i="1" s="1"/>
  <c r="K1212" i="1"/>
  <c r="N1212" i="1" s="1"/>
  <c r="Q1212" i="1" s="1"/>
  <c r="J1212" i="1"/>
  <c r="I1212" i="1"/>
  <c r="M1212" i="1" s="1"/>
  <c r="S1211" i="1"/>
  <c r="O1211" i="1"/>
  <c r="P1211" i="1" s="1"/>
  <c r="R1211" i="1" s="1"/>
  <c r="L1211" i="1"/>
  <c r="K1211" i="1"/>
  <c r="N1211" i="1" s="1"/>
  <c r="Q1211" i="1" s="1"/>
  <c r="J1211" i="1"/>
  <c r="I1211" i="1"/>
  <c r="M1211" i="1" s="1"/>
  <c r="S1210" i="1"/>
  <c r="O1210" i="1"/>
  <c r="P1210" i="1" s="1"/>
  <c r="R1210" i="1" s="1"/>
  <c r="L1210" i="1"/>
  <c r="J1210" i="1"/>
  <c r="I1210" i="1"/>
  <c r="K1210" i="1" s="1"/>
  <c r="N1210" i="1" s="1"/>
  <c r="Q1210" i="1" s="1"/>
  <c r="S1209" i="1"/>
  <c r="L1209" i="1"/>
  <c r="O1209" i="1" s="1"/>
  <c r="P1209" i="1" s="1"/>
  <c r="R1209" i="1" s="1"/>
  <c r="J1209" i="1"/>
  <c r="I1209" i="1"/>
  <c r="K1209" i="1" s="1"/>
  <c r="N1209" i="1" s="1"/>
  <c r="Q1209" i="1" s="1"/>
  <c r="S1208" i="1"/>
  <c r="L1208" i="1"/>
  <c r="O1208" i="1" s="1"/>
  <c r="P1208" i="1" s="1"/>
  <c r="R1208" i="1" s="1"/>
  <c r="K1208" i="1"/>
  <c r="N1208" i="1" s="1"/>
  <c r="Q1208" i="1" s="1"/>
  <c r="J1208" i="1"/>
  <c r="I1208" i="1"/>
  <c r="M1208" i="1" s="1"/>
  <c r="S1207" i="1"/>
  <c r="O1207" i="1"/>
  <c r="P1207" i="1" s="1"/>
  <c r="R1207" i="1" s="1"/>
  <c r="L1207" i="1"/>
  <c r="K1207" i="1"/>
  <c r="N1207" i="1" s="1"/>
  <c r="Q1207" i="1" s="1"/>
  <c r="J1207" i="1"/>
  <c r="I1207" i="1"/>
  <c r="M1207" i="1" s="1"/>
  <c r="S1206" i="1"/>
  <c r="O1206" i="1"/>
  <c r="P1206" i="1" s="1"/>
  <c r="R1206" i="1" s="1"/>
  <c r="L1206" i="1"/>
  <c r="J1206" i="1"/>
  <c r="I1206" i="1"/>
  <c r="K1206" i="1" s="1"/>
  <c r="N1206" i="1" s="1"/>
  <c r="Q1206" i="1" s="1"/>
  <c r="S1205" i="1"/>
  <c r="L1205" i="1"/>
  <c r="O1205" i="1" s="1"/>
  <c r="P1205" i="1" s="1"/>
  <c r="R1205" i="1" s="1"/>
  <c r="J1205" i="1"/>
  <c r="I1205" i="1"/>
  <c r="K1205" i="1" s="1"/>
  <c r="N1205" i="1" s="1"/>
  <c r="Q1205" i="1" s="1"/>
  <c r="S1204" i="1"/>
  <c r="L1204" i="1"/>
  <c r="O1204" i="1" s="1"/>
  <c r="P1204" i="1" s="1"/>
  <c r="R1204" i="1" s="1"/>
  <c r="K1204" i="1"/>
  <c r="N1204" i="1" s="1"/>
  <c r="Q1204" i="1" s="1"/>
  <c r="J1204" i="1"/>
  <c r="I1204" i="1"/>
  <c r="M1204" i="1" s="1"/>
  <c r="S1203" i="1"/>
  <c r="O1203" i="1"/>
  <c r="P1203" i="1" s="1"/>
  <c r="R1203" i="1" s="1"/>
  <c r="L1203" i="1"/>
  <c r="K1203" i="1"/>
  <c r="N1203" i="1" s="1"/>
  <c r="Q1203" i="1" s="1"/>
  <c r="J1203" i="1"/>
  <c r="I1203" i="1"/>
  <c r="M1203" i="1" s="1"/>
  <c r="S1202" i="1"/>
  <c r="O1202" i="1"/>
  <c r="P1202" i="1" s="1"/>
  <c r="R1202" i="1" s="1"/>
  <c r="L1202" i="1"/>
  <c r="J1202" i="1"/>
  <c r="I1202" i="1"/>
  <c r="K1202" i="1" s="1"/>
  <c r="N1202" i="1" s="1"/>
  <c r="Q1202" i="1" s="1"/>
  <c r="S1201" i="1"/>
  <c r="L1201" i="1"/>
  <c r="O1201" i="1" s="1"/>
  <c r="P1201" i="1" s="1"/>
  <c r="R1201" i="1" s="1"/>
  <c r="J1201" i="1"/>
  <c r="I1201" i="1"/>
  <c r="K1201" i="1" s="1"/>
  <c r="N1201" i="1" s="1"/>
  <c r="Q1201" i="1" s="1"/>
  <c r="S1200" i="1"/>
  <c r="L1200" i="1"/>
  <c r="O1200" i="1" s="1"/>
  <c r="P1200" i="1" s="1"/>
  <c r="R1200" i="1" s="1"/>
  <c r="K1200" i="1"/>
  <c r="N1200" i="1" s="1"/>
  <c r="Q1200" i="1" s="1"/>
  <c r="J1200" i="1"/>
  <c r="I1200" i="1"/>
  <c r="M1200" i="1" s="1"/>
  <c r="S1199" i="1"/>
  <c r="O1199" i="1"/>
  <c r="P1199" i="1" s="1"/>
  <c r="R1199" i="1" s="1"/>
  <c r="L1199" i="1"/>
  <c r="K1199" i="1"/>
  <c r="N1199" i="1" s="1"/>
  <c r="Q1199" i="1" s="1"/>
  <c r="J1199" i="1"/>
  <c r="I1199" i="1"/>
  <c r="M1199" i="1" s="1"/>
  <c r="S1198" i="1"/>
  <c r="O1198" i="1"/>
  <c r="P1198" i="1" s="1"/>
  <c r="R1198" i="1" s="1"/>
  <c r="L1198" i="1"/>
  <c r="J1198" i="1"/>
  <c r="I1198" i="1"/>
  <c r="K1198" i="1" s="1"/>
  <c r="N1198" i="1" s="1"/>
  <c r="Q1198" i="1" s="1"/>
  <c r="S1197" i="1"/>
  <c r="L1197" i="1"/>
  <c r="O1197" i="1" s="1"/>
  <c r="P1197" i="1" s="1"/>
  <c r="R1197" i="1" s="1"/>
  <c r="J1197" i="1"/>
  <c r="I1197" i="1"/>
  <c r="K1197" i="1" s="1"/>
  <c r="N1197" i="1" s="1"/>
  <c r="Q1197" i="1" s="1"/>
  <c r="S1196" i="1"/>
  <c r="L1196" i="1"/>
  <c r="O1196" i="1" s="1"/>
  <c r="P1196" i="1" s="1"/>
  <c r="R1196" i="1" s="1"/>
  <c r="K1196" i="1"/>
  <c r="N1196" i="1" s="1"/>
  <c r="Q1196" i="1" s="1"/>
  <c r="J1196" i="1"/>
  <c r="I1196" i="1"/>
  <c r="M1196" i="1" s="1"/>
  <c r="S1195" i="1"/>
  <c r="O1195" i="1"/>
  <c r="P1195" i="1" s="1"/>
  <c r="R1195" i="1" s="1"/>
  <c r="L1195" i="1"/>
  <c r="K1195" i="1"/>
  <c r="N1195" i="1" s="1"/>
  <c r="Q1195" i="1" s="1"/>
  <c r="J1195" i="1"/>
  <c r="I1195" i="1"/>
  <c r="M1195" i="1" s="1"/>
  <c r="S1194" i="1"/>
  <c r="O1194" i="1"/>
  <c r="P1194" i="1" s="1"/>
  <c r="R1194" i="1" s="1"/>
  <c r="L1194" i="1"/>
  <c r="J1194" i="1"/>
  <c r="I1194" i="1"/>
  <c r="K1194" i="1" s="1"/>
  <c r="N1194" i="1" s="1"/>
  <c r="Q1194" i="1" s="1"/>
  <c r="S1193" i="1"/>
  <c r="L1193" i="1"/>
  <c r="O1193" i="1" s="1"/>
  <c r="P1193" i="1" s="1"/>
  <c r="R1193" i="1" s="1"/>
  <c r="J1193" i="1"/>
  <c r="I1193" i="1"/>
  <c r="K1193" i="1" s="1"/>
  <c r="N1193" i="1" s="1"/>
  <c r="Q1193" i="1" s="1"/>
  <c r="S1192" i="1"/>
  <c r="L1192" i="1"/>
  <c r="O1192" i="1" s="1"/>
  <c r="P1192" i="1" s="1"/>
  <c r="R1192" i="1" s="1"/>
  <c r="K1192" i="1"/>
  <c r="N1192" i="1" s="1"/>
  <c r="Q1192" i="1" s="1"/>
  <c r="J1192" i="1"/>
  <c r="I1192" i="1"/>
  <c r="M1192" i="1" s="1"/>
  <c r="S1191" i="1"/>
  <c r="O1191" i="1"/>
  <c r="P1191" i="1" s="1"/>
  <c r="R1191" i="1" s="1"/>
  <c r="L1191" i="1"/>
  <c r="K1191" i="1"/>
  <c r="N1191" i="1" s="1"/>
  <c r="Q1191" i="1" s="1"/>
  <c r="J1191" i="1"/>
  <c r="I1191" i="1"/>
  <c r="M1191" i="1" s="1"/>
  <c r="S1190" i="1"/>
  <c r="O1190" i="1"/>
  <c r="P1190" i="1" s="1"/>
  <c r="R1190" i="1" s="1"/>
  <c r="L1190" i="1"/>
  <c r="J1190" i="1"/>
  <c r="I1190" i="1"/>
  <c r="K1190" i="1" s="1"/>
  <c r="N1190" i="1" s="1"/>
  <c r="Q1190" i="1" s="1"/>
  <c r="S1189" i="1"/>
  <c r="L1189" i="1"/>
  <c r="O1189" i="1" s="1"/>
  <c r="P1189" i="1" s="1"/>
  <c r="R1189" i="1" s="1"/>
  <c r="J1189" i="1"/>
  <c r="I1189" i="1"/>
  <c r="K1189" i="1" s="1"/>
  <c r="N1189" i="1" s="1"/>
  <c r="Q1189" i="1" s="1"/>
  <c r="S1188" i="1"/>
  <c r="L1188" i="1"/>
  <c r="O1188" i="1" s="1"/>
  <c r="P1188" i="1" s="1"/>
  <c r="R1188" i="1" s="1"/>
  <c r="K1188" i="1"/>
  <c r="N1188" i="1" s="1"/>
  <c r="Q1188" i="1" s="1"/>
  <c r="J1188" i="1"/>
  <c r="I1188" i="1"/>
  <c r="M1188" i="1" s="1"/>
  <c r="S1187" i="1"/>
  <c r="O1187" i="1"/>
  <c r="P1187" i="1" s="1"/>
  <c r="R1187" i="1" s="1"/>
  <c r="L1187" i="1"/>
  <c r="K1187" i="1"/>
  <c r="N1187" i="1" s="1"/>
  <c r="Q1187" i="1" s="1"/>
  <c r="J1187" i="1"/>
  <c r="I1187" i="1"/>
  <c r="M1187" i="1" s="1"/>
  <c r="S1186" i="1"/>
  <c r="O1186" i="1"/>
  <c r="P1186" i="1" s="1"/>
  <c r="R1186" i="1" s="1"/>
  <c r="L1186" i="1"/>
  <c r="J1186" i="1"/>
  <c r="I1186" i="1"/>
  <c r="K1186" i="1" s="1"/>
  <c r="N1186" i="1" s="1"/>
  <c r="Q1186" i="1" s="1"/>
  <c r="S1185" i="1"/>
  <c r="L1185" i="1"/>
  <c r="O1185" i="1" s="1"/>
  <c r="P1185" i="1" s="1"/>
  <c r="R1185" i="1" s="1"/>
  <c r="J1185" i="1"/>
  <c r="I1185" i="1"/>
  <c r="K1185" i="1" s="1"/>
  <c r="N1185" i="1" s="1"/>
  <c r="Q1185" i="1" s="1"/>
  <c r="S1184" i="1"/>
  <c r="L1184" i="1"/>
  <c r="O1184" i="1" s="1"/>
  <c r="P1184" i="1" s="1"/>
  <c r="R1184" i="1" s="1"/>
  <c r="K1184" i="1"/>
  <c r="N1184" i="1" s="1"/>
  <c r="Q1184" i="1" s="1"/>
  <c r="J1184" i="1"/>
  <c r="I1184" i="1"/>
  <c r="M1184" i="1" s="1"/>
  <c r="S1183" i="1"/>
  <c r="O1183" i="1"/>
  <c r="P1183" i="1" s="1"/>
  <c r="R1183" i="1" s="1"/>
  <c r="L1183" i="1"/>
  <c r="K1183" i="1"/>
  <c r="N1183" i="1" s="1"/>
  <c r="Q1183" i="1" s="1"/>
  <c r="J1183" i="1"/>
  <c r="I1183" i="1"/>
  <c r="M1183" i="1" s="1"/>
  <c r="S1182" i="1"/>
  <c r="O1182" i="1"/>
  <c r="P1182" i="1" s="1"/>
  <c r="R1182" i="1" s="1"/>
  <c r="L1182" i="1"/>
  <c r="J1182" i="1"/>
  <c r="I1182" i="1"/>
  <c r="K1182" i="1" s="1"/>
  <c r="N1182" i="1" s="1"/>
  <c r="Q1182" i="1" s="1"/>
  <c r="S1181" i="1"/>
  <c r="L1181" i="1"/>
  <c r="O1181" i="1" s="1"/>
  <c r="P1181" i="1" s="1"/>
  <c r="R1181" i="1" s="1"/>
  <c r="J1181" i="1"/>
  <c r="I1181" i="1"/>
  <c r="K1181" i="1" s="1"/>
  <c r="N1181" i="1" s="1"/>
  <c r="Q1181" i="1" s="1"/>
  <c r="S1180" i="1"/>
  <c r="L1180" i="1"/>
  <c r="O1180" i="1" s="1"/>
  <c r="P1180" i="1" s="1"/>
  <c r="R1180" i="1" s="1"/>
  <c r="K1180" i="1"/>
  <c r="N1180" i="1" s="1"/>
  <c r="Q1180" i="1" s="1"/>
  <c r="J1180" i="1"/>
  <c r="I1180" i="1"/>
  <c r="M1180" i="1" s="1"/>
  <c r="S1179" i="1"/>
  <c r="O1179" i="1"/>
  <c r="P1179" i="1" s="1"/>
  <c r="R1179" i="1" s="1"/>
  <c r="L1179" i="1"/>
  <c r="K1179" i="1"/>
  <c r="N1179" i="1" s="1"/>
  <c r="Q1179" i="1" s="1"/>
  <c r="J1179" i="1"/>
  <c r="I1179" i="1"/>
  <c r="M1179" i="1" s="1"/>
  <c r="S1178" i="1"/>
  <c r="O1178" i="1"/>
  <c r="P1178" i="1" s="1"/>
  <c r="R1178" i="1" s="1"/>
  <c r="L1178" i="1"/>
  <c r="J1178" i="1"/>
  <c r="I1178" i="1"/>
  <c r="K1178" i="1" s="1"/>
  <c r="N1178" i="1" s="1"/>
  <c r="Q1178" i="1" s="1"/>
  <c r="S1177" i="1"/>
  <c r="L1177" i="1"/>
  <c r="O1177" i="1" s="1"/>
  <c r="P1177" i="1" s="1"/>
  <c r="R1177" i="1" s="1"/>
  <c r="J1177" i="1"/>
  <c r="I1177" i="1"/>
  <c r="K1177" i="1" s="1"/>
  <c r="N1177" i="1" s="1"/>
  <c r="Q1177" i="1" s="1"/>
  <c r="S1176" i="1"/>
  <c r="L1176" i="1"/>
  <c r="O1176" i="1" s="1"/>
  <c r="P1176" i="1" s="1"/>
  <c r="R1176" i="1" s="1"/>
  <c r="K1176" i="1"/>
  <c r="N1176" i="1" s="1"/>
  <c r="Q1176" i="1" s="1"/>
  <c r="J1176" i="1"/>
  <c r="I1176" i="1"/>
  <c r="M1176" i="1" s="1"/>
  <c r="S1175" i="1"/>
  <c r="O1175" i="1"/>
  <c r="P1175" i="1" s="1"/>
  <c r="R1175" i="1" s="1"/>
  <c r="L1175" i="1"/>
  <c r="K1175" i="1"/>
  <c r="N1175" i="1" s="1"/>
  <c r="Q1175" i="1" s="1"/>
  <c r="J1175" i="1"/>
  <c r="I1175" i="1"/>
  <c r="M1175" i="1" s="1"/>
  <c r="S1174" i="1"/>
  <c r="O1174" i="1"/>
  <c r="P1174" i="1" s="1"/>
  <c r="R1174" i="1" s="1"/>
  <c r="L1174" i="1"/>
  <c r="J1174" i="1"/>
  <c r="I1174" i="1"/>
  <c r="K1174" i="1" s="1"/>
  <c r="N1174" i="1" s="1"/>
  <c r="Q1174" i="1" s="1"/>
  <c r="S1173" i="1"/>
  <c r="L1173" i="1"/>
  <c r="O1173" i="1" s="1"/>
  <c r="P1173" i="1" s="1"/>
  <c r="R1173" i="1" s="1"/>
  <c r="J1173" i="1"/>
  <c r="I1173" i="1"/>
  <c r="K1173" i="1" s="1"/>
  <c r="N1173" i="1" s="1"/>
  <c r="Q1173" i="1" s="1"/>
  <c r="S1172" i="1"/>
  <c r="L1172" i="1"/>
  <c r="O1172" i="1" s="1"/>
  <c r="P1172" i="1" s="1"/>
  <c r="R1172" i="1" s="1"/>
  <c r="K1172" i="1"/>
  <c r="N1172" i="1" s="1"/>
  <c r="Q1172" i="1" s="1"/>
  <c r="J1172" i="1"/>
  <c r="I1172" i="1"/>
  <c r="M1172" i="1" s="1"/>
  <c r="S1171" i="1"/>
  <c r="O1171" i="1"/>
  <c r="P1171" i="1" s="1"/>
  <c r="R1171" i="1" s="1"/>
  <c r="L1171" i="1"/>
  <c r="K1171" i="1"/>
  <c r="N1171" i="1" s="1"/>
  <c r="Q1171" i="1" s="1"/>
  <c r="J1171" i="1"/>
  <c r="I1171" i="1"/>
  <c r="M1171" i="1" s="1"/>
  <c r="S1170" i="1"/>
  <c r="O1170" i="1"/>
  <c r="P1170" i="1" s="1"/>
  <c r="R1170" i="1" s="1"/>
  <c r="L1170" i="1"/>
  <c r="J1170" i="1"/>
  <c r="I1170" i="1"/>
  <c r="K1170" i="1" s="1"/>
  <c r="N1170" i="1" s="1"/>
  <c r="Q1170" i="1" s="1"/>
  <c r="S1169" i="1"/>
  <c r="L1169" i="1"/>
  <c r="O1169" i="1" s="1"/>
  <c r="P1169" i="1" s="1"/>
  <c r="R1169" i="1" s="1"/>
  <c r="J1169" i="1"/>
  <c r="I1169" i="1"/>
  <c r="K1169" i="1" s="1"/>
  <c r="N1169" i="1" s="1"/>
  <c r="Q1169" i="1" s="1"/>
  <c r="S1168" i="1"/>
  <c r="L1168" i="1"/>
  <c r="O1168" i="1" s="1"/>
  <c r="P1168" i="1" s="1"/>
  <c r="R1168" i="1" s="1"/>
  <c r="K1168" i="1"/>
  <c r="N1168" i="1" s="1"/>
  <c r="Q1168" i="1" s="1"/>
  <c r="J1168" i="1"/>
  <c r="I1168" i="1"/>
  <c r="M1168" i="1" s="1"/>
  <c r="S1167" i="1"/>
  <c r="O1167" i="1"/>
  <c r="P1167" i="1" s="1"/>
  <c r="R1167" i="1" s="1"/>
  <c r="L1167" i="1"/>
  <c r="K1167" i="1"/>
  <c r="N1167" i="1" s="1"/>
  <c r="Q1167" i="1" s="1"/>
  <c r="J1167" i="1"/>
  <c r="I1167" i="1"/>
  <c r="M1167" i="1" s="1"/>
  <c r="S1166" i="1"/>
  <c r="O1166" i="1"/>
  <c r="P1166" i="1" s="1"/>
  <c r="R1166" i="1" s="1"/>
  <c r="L1166" i="1"/>
  <c r="J1166" i="1"/>
  <c r="I1166" i="1"/>
  <c r="K1166" i="1" s="1"/>
  <c r="N1166" i="1" s="1"/>
  <c r="Q1166" i="1" s="1"/>
  <c r="S1165" i="1"/>
  <c r="L1165" i="1"/>
  <c r="O1165" i="1" s="1"/>
  <c r="P1165" i="1" s="1"/>
  <c r="R1165" i="1" s="1"/>
  <c r="J1165" i="1"/>
  <c r="I1165" i="1"/>
  <c r="K1165" i="1" s="1"/>
  <c r="N1165" i="1" s="1"/>
  <c r="Q1165" i="1" s="1"/>
  <c r="S1164" i="1"/>
  <c r="L1164" i="1"/>
  <c r="O1164" i="1" s="1"/>
  <c r="P1164" i="1" s="1"/>
  <c r="R1164" i="1" s="1"/>
  <c r="K1164" i="1"/>
  <c r="N1164" i="1" s="1"/>
  <c r="Q1164" i="1" s="1"/>
  <c r="J1164" i="1"/>
  <c r="I1164" i="1"/>
  <c r="M1164" i="1" s="1"/>
  <c r="S1163" i="1"/>
  <c r="O1163" i="1"/>
  <c r="P1163" i="1" s="1"/>
  <c r="R1163" i="1" s="1"/>
  <c r="L1163" i="1"/>
  <c r="K1163" i="1"/>
  <c r="N1163" i="1" s="1"/>
  <c r="Q1163" i="1" s="1"/>
  <c r="J1163" i="1"/>
  <c r="I1163" i="1"/>
  <c r="M1163" i="1" s="1"/>
  <c r="S1162" i="1"/>
  <c r="O1162" i="1"/>
  <c r="P1162" i="1" s="1"/>
  <c r="R1162" i="1" s="1"/>
  <c r="L1162" i="1"/>
  <c r="J1162" i="1"/>
  <c r="I1162" i="1"/>
  <c r="K1162" i="1" s="1"/>
  <c r="N1162" i="1" s="1"/>
  <c r="Q1162" i="1" s="1"/>
  <c r="S1161" i="1"/>
  <c r="L1161" i="1"/>
  <c r="O1161" i="1" s="1"/>
  <c r="P1161" i="1" s="1"/>
  <c r="R1161" i="1" s="1"/>
  <c r="J1161" i="1"/>
  <c r="I1161" i="1"/>
  <c r="K1161" i="1" s="1"/>
  <c r="N1161" i="1" s="1"/>
  <c r="Q1161" i="1" s="1"/>
  <c r="S1160" i="1"/>
  <c r="L1160" i="1"/>
  <c r="O1160" i="1" s="1"/>
  <c r="P1160" i="1" s="1"/>
  <c r="R1160" i="1" s="1"/>
  <c r="K1160" i="1"/>
  <c r="N1160" i="1" s="1"/>
  <c r="Q1160" i="1" s="1"/>
  <c r="J1160" i="1"/>
  <c r="I1160" i="1"/>
  <c r="M1160" i="1" s="1"/>
  <c r="S1159" i="1"/>
  <c r="O1159" i="1"/>
  <c r="P1159" i="1" s="1"/>
  <c r="R1159" i="1" s="1"/>
  <c r="L1159" i="1"/>
  <c r="K1159" i="1"/>
  <c r="N1159" i="1" s="1"/>
  <c r="Q1159" i="1" s="1"/>
  <c r="J1159" i="1"/>
  <c r="I1159" i="1"/>
  <c r="M1159" i="1" s="1"/>
  <c r="S1158" i="1"/>
  <c r="O1158" i="1"/>
  <c r="P1158" i="1" s="1"/>
  <c r="R1158" i="1" s="1"/>
  <c r="L1158" i="1"/>
  <c r="J1158" i="1"/>
  <c r="I1158" i="1"/>
  <c r="K1158" i="1" s="1"/>
  <c r="N1158" i="1" s="1"/>
  <c r="Q1158" i="1" s="1"/>
  <c r="S1157" i="1"/>
  <c r="L1157" i="1"/>
  <c r="O1157" i="1" s="1"/>
  <c r="P1157" i="1" s="1"/>
  <c r="R1157" i="1" s="1"/>
  <c r="J1157" i="1"/>
  <c r="I1157" i="1"/>
  <c r="K1157" i="1" s="1"/>
  <c r="N1157" i="1" s="1"/>
  <c r="Q1157" i="1" s="1"/>
  <c r="S1156" i="1"/>
  <c r="L1156" i="1"/>
  <c r="O1156" i="1" s="1"/>
  <c r="P1156" i="1" s="1"/>
  <c r="R1156" i="1" s="1"/>
  <c r="K1156" i="1"/>
  <c r="N1156" i="1" s="1"/>
  <c r="Q1156" i="1" s="1"/>
  <c r="J1156" i="1"/>
  <c r="I1156" i="1"/>
  <c r="M1156" i="1" s="1"/>
  <c r="S1155" i="1"/>
  <c r="O1155" i="1"/>
  <c r="P1155" i="1" s="1"/>
  <c r="R1155" i="1" s="1"/>
  <c r="L1155" i="1"/>
  <c r="K1155" i="1"/>
  <c r="N1155" i="1" s="1"/>
  <c r="Q1155" i="1" s="1"/>
  <c r="J1155" i="1"/>
  <c r="I1155" i="1"/>
  <c r="M1155" i="1" s="1"/>
  <c r="S1154" i="1"/>
  <c r="O1154" i="1"/>
  <c r="P1154" i="1" s="1"/>
  <c r="R1154" i="1" s="1"/>
  <c r="L1154" i="1"/>
  <c r="J1154" i="1"/>
  <c r="I1154" i="1"/>
  <c r="K1154" i="1" s="1"/>
  <c r="N1154" i="1" s="1"/>
  <c r="Q1154" i="1" s="1"/>
  <c r="S1153" i="1"/>
  <c r="L1153" i="1"/>
  <c r="O1153" i="1" s="1"/>
  <c r="P1153" i="1" s="1"/>
  <c r="R1153" i="1" s="1"/>
  <c r="J1153" i="1"/>
  <c r="I1153" i="1"/>
  <c r="K1153" i="1" s="1"/>
  <c r="N1153" i="1" s="1"/>
  <c r="Q1153" i="1" s="1"/>
  <c r="S1152" i="1"/>
  <c r="L1152" i="1"/>
  <c r="O1152" i="1" s="1"/>
  <c r="P1152" i="1" s="1"/>
  <c r="R1152" i="1" s="1"/>
  <c r="K1152" i="1"/>
  <c r="N1152" i="1" s="1"/>
  <c r="Q1152" i="1" s="1"/>
  <c r="J1152" i="1"/>
  <c r="I1152" i="1"/>
  <c r="M1152" i="1" s="1"/>
  <c r="S1151" i="1"/>
  <c r="O1151" i="1"/>
  <c r="P1151" i="1" s="1"/>
  <c r="R1151" i="1" s="1"/>
  <c r="L1151" i="1"/>
  <c r="K1151" i="1"/>
  <c r="N1151" i="1" s="1"/>
  <c r="Q1151" i="1" s="1"/>
  <c r="J1151" i="1"/>
  <c r="I1151" i="1"/>
  <c r="M1151" i="1" s="1"/>
  <c r="S1150" i="1"/>
  <c r="O1150" i="1"/>
  <c r="P1150" i="1" s="1"/>
  <c r="R1150" i="1" s="1"/>
  <c r="L1150" i="1"/>
  <c r="J1150" i="1"/>
  <c r="I1150" i="1"/>
  <c r="K1150" i="1" s="1"/>
  <c r="N1150" i="1" s="1"/>
  <c r="Q1150" i="1" s="1"/>
  <c r="S1149" i="1"/>
  <c r="L1149" i="1"/>
  <c r="O1149" i="1" s="1"/>
  <c r="P1149" i="1" s="1"/>
  <c r="R1149" i="1" s="1"/>
  <c r="J1149" i="1"/>
  <c r="I1149" i="1"/>
  <c r="K1149" i="1" s="1"/>
  <c r="N1149" i="1" s="1"/>
  <c r="Q1149" i="1" s="1"/>
  <c r="S1148" i="1"/>
  <c r="L1148" i="1"/>
  <c r="O1148" i="1" s="1"/>
  <c r="P1148" i="1" s="1"/>
  <c r="R1148" i="1" s="1"/>
  <c r="K1148" i="1"/>
  <c r="N1148" i="1" s="1"/>
  <c r="Q1148" i="1" s="1"/>
  <c r="J1148" i="1"/>
  <c r="I1148" i="1"/>
  <c r="M1148" i="1" s="1"/>
  <c r="S1147" i="1"/>
  <c r="O1147" i="1"/>
  <c r="P1147" i="1" s="1"/>
  <c r="R1147" i="1" s="1"/>
  <c r="L1147" i="1"/>
  <c r="K1147" i="1"/>
  <c r="N1147" i="1" s="1"/>
  <c r="Q1147" i="1" s="1"/>
  <c r="J1147" i="1"/>
  <c r="I1147" i="1"/>
  <c r="M1147" i="1" s="1"/>
  <c r="S1146" i="1"/>
  <c r="O1146" i="1"/>
  <c r="P1146" i="1" s="1"/>
  <c r="R1146" i="1" s="1"/>
  <c r="L1146" i="1"/>
  <c r="J1146" i="1"/>
  <c r="I1146" i="1"/>
  <c r="K1146" i="1" s="1"/>
  <c r="N1146" i="1" s="1"/>
  <c r="Q1146" i="1" s="1"/>
  <c r="S1145" i="1"/>
  <c r="L1145" i="1"/>
  <c r="O1145" i="1" s="1"/>
  <c r="P1145" i="1" s="1"/>
  <c r="R1145" i="1" s="1"/>
  <c r="J1145" i="1"/>
  <c r="I1145" i="1"/>
  <c r="K1145" i="1" s="1"/>
  <c r="N1145" i="1" s="1"/>
  <c r="Q1145" i="1" s="1"/>
  <c r="S1144" i="1"/>
  <c r="L1144" i="1"/>
  <c r="O1144" i="1" s="1"/>
  <c r="P1144" i="1" s="1"/>
  <c r="R1144" i="1" s="1"/>
  <c r="K1144" i="1"/>
  <c r="N1144" i="1" s="1"/>
  <c r="Q1144" i="1" s="1"/>
  <c r="J1144" i="1"/>
  <c r="I1144" i="1"/>
  <c r="M1144" i="1" s="1"/>
  <c r="S1143" i="1"/>
  <c r="O1143" i="1"/>
  <c r="P1143" i="1" s="1"/>
  <c r="R1143" i="1" s="1"/>
  <c r="L1143" i="1"/>
  <c r="K1143" i="1"/>
  <c r="N1143" i="1" s="1"/>
  <c r="Q1143" i="1" s="1"/>
  <c r="J1143" i="1"/>
  <c r="I1143" i="1"/>
  <c r="M1143" i="1" s="1"/>
  <c r="S1142" i="1"/>
  <c r="O1142" i="1"/>
  <c r="P1142" i="1" s="1"/>
  <c r="R1142" i="1" s="1"/>
  <c r="L1142" i="1"/>
  <c r="J1142" i="1"/>
  <c r="I1142" i="1"/>
  <c r="K1142" i="1" s="1"/>
  <c r="N1142" i="1" s="1"/>
  <c r="Q1142" i="1" s="1"/>
  <c r="S1141" i="1"/>
  <c r="L1141" i="1"/>
  <c r="O1141" i="1" s="1"/>
  <c r="P1141" i="1" s="1"/>
  <c r="R1141" i="1" s="1"/>
  <c r="J1141" i="1"/>
  <c r="I1141" i="1"/>
  <c r="K1141" i="1" s="1"/>
  <c r="N1141" i="1" s="1"/>
  <c r="Q1141" i="1" s="1"/>
  <c r="S1140" i="1"/>
  <c r="L1140" i="1"/>
  <c r="O1140" i="1" s="1"/>
  <c r="P1140" i="1" s="1"/>
  <c r="R1140" i="1" s="1"/>
  <c r="K1140" i="1"/>
  <c r="N1140" i="1" s="1"/>
  <c r="Q1140" i="1" s="1"/>
  <c r="J1140" i="1"/>
  <c r="I1140" i="1"/>
  <c r="M1140" i="1" s="1"/>
  <c r="S1139" i="1"/>
  <c r="O1139" i="1"/>
  <c r="P1139" i="1" s="1"/>
  <c r="R1139" i="1" s="1"/>
  <c r="L1139" i="1"/>
  <c r="K1139" i="1"/>
  <c r="N1139" i="1" s="1"/>
  <c r="Q1139" i="1" s="1"/>
  <c r="J1139" i="1"/>
  <c r="I1139" i="1"/>
  <c r="M1139" i="1" s="1"/>
  <c r="S1138" i="1"/>
  <c r="O1138" i="1"/>
  <c r="P1138" i="1" s="1"/>
  <c r="R1138" i="1" s="1"/>
  <c r="L1138" i="1"/>
  <c r="J1138" i="1"/>
  <c r="I1138" i="1"/>
  <c r="K1138" i="1" s="1"/>
  <c r="N1138" i="1" s="1"/>
  <c r="Q1138" i="1" s="1"/>
  <c r="S1137" i="1"/>
  <c r="L1137" i="1"/>
  <c r="O1137" i="1" s="1"/>
  <c r="P1137" i="1" s="1"/>
  <c r="R1137" i="1" s="1"/>
  <c r="J1137" i="1"/>
  <c r="I1137" i="1"/>
  <c r="K1137" i="1" s="1"/>
  <c r="N1137" i="1" s="1"/>
  <c r="Q1137" i="1" s="1"/>
  <c r="S1136" i="1"/>
  <c r="L1136" i="1"/>
  <c r="O1136" i="1" s="1"/>
  <c r="P1136" i="1" s="1"/>
  <c r="R1136" i="1" s="1"/>
  <c r="K1136" i="1"/>
  <c r="N1136" i="1" s="1"/>
  <c r="Q1136" i="1" s="1"/>
  <c r="J1136" i="1"/>
  <c r="I1136" i="1"/>
  <c r="M1136" i="1" s="1"/>
  <c r="S1135" i="1"/>
  <c r="O1135" i="1"/>
  <c r="P1135" i="1" s="1"/>
  <c r="R1135" i="1" s="1"/>
  <c r="L1135" i="1"/>
  <c r="K1135" i="1"/>
  <c r="N1135" i="1" s="1"/>
  <c r="Q1135" i="1" s="1"/>
  <c r="J1135" i="1"/>
  <c r="I1135" i="1"/>
  <c r="M1135" i="1" s="1"/>
  <c r="S1134" i="1"/>
  <c r="O1134" i="1"/>
  <c r="P1134" i="1" s="1"/>
  <c r="R1134" i="1" s="1"/>
  <c r="L1134" i="1"/>
  <c r="J1134" i="1"/>
  <c r="I1134" i="1"/>
  <c r="K1134" i="1" s="1"/>
  <c r="N1134" i="1" s="1"/>
  <c r="Q1134" i="1" s="1"/>
  <c r="S1133" i="1"/>
  <c r="L1133" i="1"/>
  <c r="O1133" i="1" s="1"/>
  <c r="P1133" i="1" s="1"/>
  <c r="R1133" i="1" s="1"/>
  <c r="J1133" i="1"/>
  <c r="I1133" i="1"/>
  <c r="K1133" i="1" s="1"/>
  <c r="N1133" i="1" s="1"/>
  <c r="Q1133" i="1" s="1"/>
  <c r="S1132" i="1"/>
  <c r="L1132" i="1"/>
  <c r="O1132" i="1" s="1"/>
  <c r="P1132" i="1" s="1"/>
  <c r="R1132" i="1" s="1"/>
  <c r="K1132" i="1"/>
  <c r="N1132" i="1" s="1"/>
  <c r="Q1132" i="1" s="1"/>
  <c r="J1132" i="1"/>
  <c r="I1132" i="1"/>
  <c r="M1132" i="1" s="1"/>
  <c r="S1131" i="1"/>
  <c r="O1131" i="1"/>
  <c r="P1131" i="1" s="1"/>
  <c r="R1131" i="1" s="1"/>
  <c r="L1131" i="1"/>
  <c r="K1131" i="1"/>
  <c r="N1131" i="1" s="1"/>
  <c r="Q1131" i="1" s="1"/>
  <c r="J1131" i="1"/>
  <c r="I1131" i="1"/>
  <c r="M1131" i="1" s="1"/>
  <c r="S1130" i="1"/>
  <c r="O1130" i="1"/>
  <c r="P1130" i="1" s="1"/>
  <c r="R1130" i="1" s="1"/>
  <c r="L1130" i="1"/>
  <c r="J1130" i="1"/>
  <c r="I1130" i="1"/>
  <c r="K1130" i="1" s="1"/>
  <c r="N1130" i="1" s="1"/>
  <c r="Q1130" i="1" s="1"/>
  <c r="S1129" i="1"/>
  <c r="L1129" i="1"/>
  <c r="O1129" i="1" s="1"/>
  <c r="P1129" i="1" s="1"/>
  <c r="R1129" i="1" s="1"/>
  <c r="J1129" i="1"/>
  <c r="I1129" i="1"/>
  <c r="K1129" i="1" s="1"/>
  <c r="N1129" i="1" s="1"/>
  <c r="Q1129" i="1" s="1"/>
  <c r="S1128" i="1"/>
  <c r="L1128" i="1"/>
  <c r="O1128" i="1" s="1"/>
  <c r="P1128" i="1" s="1"/>
  <c r="R1128" i="1" s="1"/>
  <c r="K1128" i="1"/>
  <c r="N1128" i="1" s="1"/>
  <c r="Q1128" i="1" s="1"/>
  <c r="J1128" i="1"/>
  <c r="I1128" i="1"/>
  <c r="M1128" i="1" s="1"/>
  <c r="S1127" i="1"/>
  <c r="O1127" i="1"/>
  <c r="P1127" i="1" s="1"/>
  <c r="R1127" i="1" s="1"/>
  <c r="L1127" i="1"/>
  <c r="K1127" i="1"/>
  <c r="N1127" i="1" s="1"/>
  <c r="Q1127" i="1" s="1"/>
  <c r="J1127" i="1"/>
  <c r="I1127" i="1"/>
  <c r="M1127" i="1" s="1"/>
  <c r="S1126" i="1"/>
  <c r="O1126" i="1"/>
  <c r="P1126" i="1" s="1"/>
  <c r="R1126" i="1" s="1"/>
  <c r="L1126" i="1"/>
  <c r="J1126" i="1"/>
  <c r="I1126" i="1"/>
  <c r="K1126" i="1" s="1"/>
  <c r="N1126" i="1" s="1"/>
  <c r="Q1126" i="1" s="1"/>
  <c r="S1125" i="1"/>
  <c r="L1125" i="1"/>
  <c r="O1125" i="1" s="1"/>
  <c r="P1125" i="1" s="1"/>
  <c r="R1125" i="1" s="1"/>
  <c r="J1125" i="1"/>
  <c r="I1125" i="1"/>
  <c r="K1125" i="1" s="1"/>
  <c r="N1125" i="1" s="1"/>
  <c r="Q1125" i="1" s="1"/>
  <c r="S1124" i="1"/>
  <c r="L1124" i="1"/>
  <c r="O1124" i="1" s="1"/>
  <c r="P1124" i="1" s="1"/>
  <c r="R1124" i="1" s="1"/>
  <c r="K1124" i="1"/>
  <c r="N1124" i="1" s="1"/>
  <c r="Q1124" i="1" s="1"/>
  <c r="J1124" i="1"/>
  <c r="I1124" i="1"/>
  <c r="M1124" i="1" s="1"/>
  <c r="S1123" i="1"/>
  <c r="O1123" i="1"/>
  <c r="P1123" i="1" s="1"/>
  <c r="R1123" i="1" s="1"/>
  <c r="L1123" i="1"/>
  <c r="K1123" i="1"/>
  <c r="N1123" i="1" s="1"/>
  <c r="Q1123" i="1" s="1"/>
  <c r="J1123" i="1"/>
  <c r="I1123" i="1"/>
  <c r="M1123" i="1" s="1"/>
  <c r="S1122" i="1"/>
  <c r="O1122" i="1"/>
  <c r="P1122" i="1" s="1"/>
  <c r="R1122" i="1" s="1"/>
  <c r="L1122" i="1"/>
  <c r="J1122" i="1"/>
  <c r="I1122" i="1"/>
  <c r="K1122" i="1" s="1"/>
  <c r="N1122" i="1" s="1"/>
  <c r="Q1122" i="1" s="1"/>
  <c r="S1121" i="1"/>
  <c r="L1121" i="1"/>
  <c r="O1121" i="1" s="1"/>
  <c r="P1121" i="1" s="1"/>
  <c r="R1121" i="1" s="1"/>
  <c r="J1121" i="1"/>
  <c r="I1121" i="1"/>
  <c r="K1121" i="1" s="1"/>
  <c r="N1121" i="1" s="1"/>
  <c r="Q1121" i="1" s="1"/>
  <c r="S1120" i="1"/>
  <c r="L1120" i="1"/>
  <c r="O1120" i="1" s="1"/>
  <c r="P1120" i="1" s="1"/>
  <c r="R1120" i="1" s="1"/>
  <c r="K1120" i="1"/>
  <c r="N1120" i="1" s="1"/>
  <c r="Q1120" i="1" s="1"/>
  <c r="J1120" i="1"/>
  <c r="I1120" i="1"/>
  <c r="M1120" i="1" s="1"/>
  <c r="S1119" i="1"/>
  <c r="O1119" i="1"/>
  <c r="P1119" i="1" s="1"/>
  <c r="R1119" i="1" s="1"/>
  <c r="L1119" i="1"/>
  <c r="K1119" i="1"/>
  <c r="N1119" i="1" s="1"/>
  <c r="Q1119" i="1" s="1"/>
  <c r="J1119" i="1"/>
  <c r="I1119" i="1"/>
  <c r="M1119" i="1" s="1"/>
  <c r="S1118" i="1"/>
  <c r="O1118" i="1"/>
  <c r="P1118" i="1" s="1"/>
  <c r="R1118" i="1" s="1"/>
  <c r="L1118" i="1"/>
  <c r="J1118" i="1"/>
  <c r="I1118" i="1"/>
  <c r="K1118" i="1" s="1"/>
  <c r="N1118" i="1" s="1"/>
  <c r="Q1118" i="1" s="1"/>
  <c r="S1117" i="1"/>
  <c r="L1117" i="1"/>
  <c r="O1117" i="1" s="1"/>
  <c r="P1117" i="1" s="1"/>
  <c r="R1117" i="1" s="1"/>
  <c r="J1117" i="1"/>
  <c r="I1117" i="1"/>
  <c r="K1117" i="1" s="1"/>
  <c r="N1117" i="1" s="1"/>
  <c r="Q1117" i="1" s="1"/>
  <c r="S1116" i="1"/>
  <c r="L1116" i="1"/>
  <c r="O1116" i="1" s="1"/>
  <c r="P1116" i="1" s="1"/>
  <c r="R1116" i="1" s="1"/>
  <c r="K1116" i="1"/>
  <c r="N1116" i="1" s="1"/>
  <c r="Q1116" i="1" s="1"/>
  <c r="J1116" i="1"/>
  <c r="I1116" i="1"/>
  <c r="M1116" i="1" s="1"/>
  <c r="S1115" i="1"/>
  <c r="O1115" i="1"/>
  <c r="P1115" i="1" s="1"/>
  <c r="R1115" i="1" s="1"/>
  <c r="L1115" i="1"/>
  <c r="K1115" i="1"/>
  <c r="N1115" i="1" s="1"/>
  <c r="Q1115" i="1" s="1"/>
  <c r="J1115" i="1"/>
  <c r="I1115" i="1"/>
  <c r="M1115" i="1" s="1"/>
  <c r="S1114" i="1"/>
  <c r="O1114" i="1"/>
  <c r="P1114" i="1" s="1"/>
  <c r="R1114" i="1" s="1"/>
  <c r="L1114" i="1"/>
  <c r="J1114" i="1"/>
  <c r="I1114" i="1"/>
  <c r="K1114" i="1" s="1"/>
  <c r="N1114" i="1" s="1"/>
  <c r="Q1114" i="1" s="1"/>
  <c r="S1113" i="1"/>
  <c r="L1113" i="1"/>
  <c r="O1113" i="1" s="1"/>
  <c r="P1113" i="1" s="1"/>
  <c r="R1113" i="1" s="1"/>
  <c r="J1113" i="1"/>
  <c r="I1113" i="1"/>
  <c r="K1113" i="1" s="1"/>
  <c r="N1113" i="1" s="1"/>
  <c r="Q1113" i="1" s="1"/>
  <c r="S1112" i="1"/>
  <c r="L1112" i="1"/>
  <c r="O1112" i="1" s="1"/>
  <c r="P1112" i="1" s="1"/>
  <c r="R1112" i="1" s="1"/>
  <c r="K1112" i="1"/>
  <c r="N1112" i="1" s="1"/>
  <c r="Q1112" i="1" s="1"/>
  <c r="J1112" i="1"/>
  <c r="I1112" i="1"/>
  <c r="M1112" i="1" s="1"/>
  <c r="S1111" i="1"/>
  <c r="O1111" i="1"/>
  <c r="P1111" i="1" s="1"/>
  <c r="R1111" i="1" s="1"/>
  <c r="L1111" i="1"/>
  <c r="K1111" i="1"/>
  <c r="N1111" i="1" s="1"/>
  <c r="Q1111" i="1" s="1"/>
  <c r="J1111" i="1"/>
  <c r="I1111" i="1"/>
  <c r="M1111" i="1" s="1"/>
  <c r="S1110" i="1"/>
  <c r="O1110" i="1"/>
  <c r="P1110" i="1" s="1"/>
  <c r="R1110" i="1" s="1"/>
  <c r="L1110" i="1"/>
  <c r="J1110" i="1"/>
  <c r="I1110" i="1"/>
  <c r="K1110" i="1" s="1"/>
  <c r="N1110" i="1" s="1"/>
  <c r="Q1110" i="1" s="1"/>
  <c r="S1109" i="1"/>
  <c r="L1109" i="1"/>
  <c r="O1109" i="1" s="1"/>
  <c r="P1109" i="1" s="1"/>
  <c r="R1109" i="1" s="1"/>
  <c r="J1109" i="1"/>
  <c r="I1109" i="1"/>
  <c r="K1109" i="1" s="1"/>
  <c r="N1109" i="1" s="1"/>
  <c r="Q1109" i="1" s="1"/>
  <c r="S1108" i="1"/>
  <c r="L1108" i="1"/>
  <c r="O1108" i="1" s="1"/>
  <c r="P1108" i="1" s="1"/>
  <c r="R1108" i="1" s="1"/>
  <c r="K1108" i="1"/>
  <c r="N1108" i="1" s="1"/>
  <c r="Q1108" i="1" s="1"/>
  <c r="J1108" i="1"/>
  <c r="I1108" i="1"/>
  <c r="M1108" i="1" s="1"/>
  <c r="S1107" i="1"/>
  <c r="O1107" i="1"/>
  <c r="P1107" i="1" s="1"/>
  <c r="R1107" i="1" s="1"/>
  <c r="L1107" i="1"/>
  <c r="K1107" i="1"/>
  <c r="N1107" i="1" s="1"/>
  <c r="Q1107" i="1" s="1"/>
  <c r="J1107" i="1"/>
  <c r="I1107" i="1"/>
  <c r="M1107" i="1" s="1"/>
  <c r="S1106" i="1"/>
  <c r="O1106" i="1"/>
  <c r="P1106" i="1" s="1"/>
  <c r="R1106" i="1" s="1"/>
  <c r="L1106" i="1"/>
  <c r="J1106" i="1"/>
  <c r="I1106" i="1"/>
  <c r="K1106" i="1" s="1"/>
  <c r="N1106" i="1" s="1"/>
  <c r="Q1106" i="1" s="1"/>
  <c r="S1105" i="1"/>
  <c r="L1105" i="1"/>
  <c r="O1105" i="1" s="1"/>
  <c r="P1105" i="1" s="1"/>
  <c r="R1105" i="1" s="1"/>
  <c r="J1105" i="1"/>
  <c r="I1105" i="1"/>
  <c r="K1105" i="1" s="1"/>
  <c r="N1105" i="1" s="1"/>
  <c r="Q1105" i="1" s="1"/>
  <c r="S1104" i="1"/>
  <c r="L1104" i="1"/>
  <c r="O1104" i="1" s="1"/>
  <c r="P1104" i="1" s="1"/>
  <c r="R1104" i="1" s="1"/>
  <c r="K1104" i="1"/>
  <c r="N1104" i="1" s="1"/>
  <c r="Q1104" i="1" s="1"/>
  <c r="J1104" i="1"/>
  <c r="I1104" i="1"/>
  <c r="M1104" i="1" s="1"/>
  <c r="S1103" i="1"/>
  <c r="O1103" i="1"/>
  <c r="P1103" i="1" s="1"/>
  <c r="R1103" i="1" s="1"/>
  <c r="L1103" i="1"/>
  <c r="K1103" i="1"/>
  <c r="N1103" i="1" s="1"/>
  <c r="Q1103" i="1" s="1"/>
  <c r="J1103" i="1"/>
  <c r="I1103" i="1"/>
  <c r="M1103" i="1" s="1"/>
  <c r="S1102" i="1"/>
  <c r="O1102" i="1"/>
  <c r="P1102" i="1" s="1"/>
  <c r="R1102" i="1" s="1"/>
  <c r="L1102" i="1"/>
  <c r="J1102" i="1"/>
  <c r="I1102" i="1"/>
  <c r="K1102" i="1" s="1"/>
  <c r="N1102" i="1" s="1"/>
  <c r="Q1102" i="1" s="1"/>
  <c r="S1101" i="1"/>
  <c r="L1101" i="1"/>
  <c r="O1101" i="1" s="1"/>
  <c r="P1101" i="1" s="1"/>
  <c r="R1101" i="1" s="1"/>
  <c r="J1101" i="1"/>
  <c r="I1101" i="1"/>
  <c r="K1101" i="1" s="1"/>
  <c r="N1101" i="1" s="1"/>
  <c r="Q1101" i="1" s="1"/>
  <c r="S1100" i="1"/>
  <c r="L1100" i="1"/>
  <c r="O1100" i="1" s="1"/>
  <c r="P1100" i="1" s="1"/>
  <c r="R1100" i="1" s="1"/>
  <c r="K1100" i="1"/>
  <c r="N1100" i="1" s="1"/>
  <c r="Q1100" i="1" s="1"/>
  <c r="J1100" i="1"/>
  <c r="I1100" i="1"/>
  <c r="M1100" i="1" s="1"/>
  <c r="S1099" i="1"/>
  <c r="O1099" i="1"/>
  <c r="P1099" i="1" s="1"/>
  <c r="R1099" i="1" s="1"/>
  <c r="L1099" i="1"/>
  <c r="K1099" i="1"/>
  <c r="N1099" i="1" s="1"/>
  <c r="Q1099" i="1" s="1"/>
  <c r="J1099" i="1"/>
  <c r="I1099" i="1"/>
  <c r="M1099" i="1" s="1"/>
  <c r="S1098" i="1"/>
  <c r="O1098" i="1"/>
  <c r="P1098" i="1" s="1"/>
  <c r="R1098" i="1" s="1"/>
  <c r="L1098" i="1"/>
  <c r="J1098" i="1"/>
  <c r="I1098" i="1"/>
  <c r="K1098" i="1" s="1"/>
  <c r="N1098" i="1" s="1"/>
  <c r="Q1098" i="1" s="1"/>
  <c r="S1097" i="1"/>
  <c r="L1097" i="1"/>
  <c r="O1097" i="1" s="1"/>
  <c r="P1097" i="1" s="1"/>
  <c r="R1097" i="1" s="1"/>
  <c r="J1097" i="1"/>
  <c r="I1097" i="1"/>
  <c r="K1097" i="1" s="1"/>
  <c r="N1097" i="1" s="1"/>
  <c r="Q1097" i="1" s="1"/>
  <c r="S1096" i="1"/>
  <c r="L1096" i="1"/>
  <c r="O1096" i="1" s="1"/>
  <c r="P1096" i="1" s="1"/>
  <c r="R1096" i="1" s="1"/>
  <c r="K1096" i="1"/>
  <c r="N1096" i="1" s="1"/>
  <c r="Q1096" i="1" s="1"/>
  <c r="J1096" i="1"/>
  <c r="I1096" i="1"/>
  <c r="M1096" i="1" s="1"/>
  <c r="S1095" i="1"/>
  <c r="O1095" i="1"/>
  <c r="P1095" i="1" s="1"/>
  <c r="R1095" i="1" s="1"/>
  <c r="L1095" i="1"/>
  <c r="K1095" i="1"/>
  <c r="N1095" i="1" s="1"/>
  <c r="Q1095" i="1" s="1"/>
  <c r="J1095" i="1"/>
  <c r="I1095" i="1"/>
  <c r="M1095" i="1" s="1"/>
  <c r="S1094" i="1"/>
  <c r="O1094" i="1"/>
  <c r="P1094" i="1" s="1"/>
  <c r="R1094" i="1" s="1"/>
  <c r="L1094" i="1"/>
  <c r="J1094" i="1"/>
  <c r="I1094" i="1"/>
  <c r="K1094" i="1" s="1"/>
  <c r="N1094" i="1" s="1"/>
  <c r="Q1094" i="1" s="1"/>
  <c r="S1093" i="1"/>
  <c r="L1093" i="1"/>
  <c r="O1093" i="1" s="1"/>
  <c r="P1093" i="1" s="1"/>
  <c r="R1093" i="1" s="1"/>
  <c r="J1093" i="1"/>
  <c r="I1093" i="1"/>
  <c r="K1093" i="1" s="1"/>
  <c r="N1093" i="1" s="1"/>
  <c r="Q1093" i="1" s="1"/>
  <c r="S1092" i="1"/>
  <c r="L1092" i="1"/>
  <c r="O1092" i="1" s="1"/>
  <c r="P1092" i="1" s="1"/>
  <c r="R1092" i="1" s="1"/>
  <c r="K1092" i="1"/>
  <c r="N1092" i="1" s="1"/>
  <c r="Q1092" i="1" s="1"/>
  <c r="J1092" i="1"/>
  <c r="I1092" i="1"/>
  <c r="M1092" i="1" s="1"/>
  <c r="S1091" i="1"/>
  <c r="O1091" i="1"/>
  <c r="P1091" i="1" s="1"/>
  <c r="R1091" i="1" s="1"/>
  <c r="L1091" i="1"/>
  <c r="K1091" i="1"/>
  <c r="N1091" i="1" s="1"/>
  <c r="Q1091" i="1" s="1"/>
  <c r="J1091" i="1"/>
  <c r="I1091" i="1"/>
  <c r="M1091" i="1" s="1"/>
  <c r="S1090" i="1"/>
  <c r="O1090" i="1"/>
  <c r="P1090" i="1" s="1"/>
  <c r="R1090" i="1" s="1"/>
  <c r="L1090" i="1"/>
  <c r="J1090" i="1"/>
  <c r="I1090" i="1"/>
  <c r="K1090" i="1" s="1"/>
  <c r="N1090" i="1" s="1"/>
  <c r="Q1090" i="1" s="1"/>
  <c r="S1089" i="1"/>
  <c r="L1089" i="1"/>
  <c r="O1089" i="1" s="1"/>
  <c r="P1089" i="1" s="1"/>
  <c r="R1089" i="1" s="1"/>
  <c r="J1089" i="1"/>
  <c r="I1089" i="1"/>
  <c r="K1089" i="1" s="1"/>
  <c r="N1089" i="1" s="1"/>
  <c r="Q1089" i="1" s="1"/>
  <c r="S1088" i="1"/>
  <c r="L1088" i="1"/>
  <c r="O1088" i="1" s="1"/>
  <c r="P1088" i="1" s="1"/>
  <c r="R1088" i="1" s="1"/>
  <c r="K1088" i="1"/>
  <c r="N1088" i="1" s="1"/>
  <c r="Q1088" i="1" s="1"/>
  <c r="J1088" i="1"/>
  <c r="I1088" i="1"/>
  <c r="M1088" i="1" s="1"/>
  <c r="S1087" i="1"/>
  <c r="O1087" i="1"/>
  <c r="P1087" i="1" s="1"/>
  <c r="R1087" i="1" s="1"/>
  <c r="L1087" i="1"/>
  <c r="K1087" i="1"/>
  <c r="N1087" i="1" s="1"/>
  <c r="Q1087" i="1" s="1"/>
  <c r="J1087" i="1"/>
  <c r="I1087" i="1"/>
  <c r="M1087" i="1" s="1"/>
  <c r="S1086" i="1"/>
  <c r="O1086" i="1"/>
  <c r="P1086" i="1" s="1"/>
  <c r="R1086" i="1" s="1"/>
  <c r="L1086" i="1"/>
  <c r="J1086" i="1"/>
  <c r="I1086" i="1"/>
  <c r="K1086" i="1" s="1"/>
  <c r="N1086" i="1" s="1"/>
  <c r="Q1086" i="1" s="1"/>
  <c r="S1085" i="1"/>
  <c r="L1085" i="1"/>
  <c r="O1085" i="1" s="1"/>
  <c r="P1085" i="1" s="1"/>
  <c r="R1085" i="1" s="1"/>
  <c r="J1085" i="1"/>
  <c r="I1085" i="1"/>
  <c r="K1085" i="1" s="1"/>
  <c r="N1085" i="1" s="1"/>
  <c r="Q1085" i="1" s="1"/>
  <c r="S1084" i="1"/>
  <c r="L1084" i="1"/>
  <c r="O1084" i="1" s="1"/>
  <c r="P1084" i="1" s="1"/>
  <c r="R1084" i="1" s="1"/>
  <c r="K1084" i="1"/>
  <c r="N1084" i="1" s="1"/>
  <c r="Q1084" i="1" s="1"/>
  <c r="J1084" i="1"/>
  <c r="I1084" i="1"/>
  <c r="M1084" i="1" s="1"/>
  <c r="S1083" i="1"/>
  <c r="O1083" i="1"/>
  <c r="P1083" i="1" s="1"/>
  <c r="R1083" i="1" s="1"/>
  <c r="L1083" i="1"/>
  <c r="K1083" i="1"/>
  <c r="N1083" i="1" s="1"/>
  <c r="Q1083" i="1" s="1"/>
  <c r="J1083" i="1"/>
  <c r="I1083" i="1"/>
  <c r="M1083" i="1" s="1"/>
  <c r="S1082" i="1"/>
  <c r="O1082" i="1"/>
  <c r="P1082" i="1" s="1"/>
  <c r="R1082" i="1" s="1"/>
  <c r="L1082" i="1"/>
  <c r="J1082" i="1"/>
  <c r="I1082" i="1"/>
  <c r="K1082" i="1" s="1"/>
  <c r="N1082" i="1" s="1"/>
  <c r="Q1082" i="1" s="1"/>
  <c r="S1081" i="1"/>
  <c r="L1081" i="1"/>
  <c r="O1081" i="1" s="1"/>
  <c r="P1081" i="1" s="1"/>
  <c r="R1081" i="1" s="1"/>
  <c r="J1081" i="1"/>
  <c r="I1081" i="1"/>
  <c r="K1081" i="1" s="1"/>
  <c r="N1081" i="1" s="1"/>
  <c r="Q1081" i="1" s="1"/>
  <c r="S1080" i="1"/>
  <c r="L1080" i="1"/>
  <c r="O1080" i="1" s="1"/>
  <c r="P1080" i="1" s="1"/>
  <c r="R1080" i="1" s="1"/>
  <c r="K1080" i="1"/>
  <c r="N1080" i="1" s="1"/>
  <c r="Q1080" i="1" s="1"/>
  <c r="J1080" i="1"/>
  <c r="I1080" i="1"/>
  <c r="M1080" i="1" s="1"/>
  <c r="S1079" i="1"/>
  <c r="O1079" i="1"/>
  <c r="P1079" i="1" s="1"/>
  <c r="R1079" i="1" s="1"/>
  <c r="L1079" i="1"/>
  <c r="K1079" i="1"/>
  <c r="N1079" i="1" s="1"/>
  <c r="Q1079" i="1" s="1"/>
  <c r="J1079" i="1"/>
  <c r="I1079" i="1"/>
  <c r="M1079" i="1" s="1"/>
  <c r="S1078" i="1"/>
  <c r="O1078" i="1"/>
  <c r="P1078" i="1" s="1"/>
  <c r="R1078" i="1" s="1"/>
  <c r="L1078" i="1"/>
  <c r="J1078" i="1"/>
  <c r="I1078" i="1"/>
  <c r="K1078" i="1" s="1"/>
  <c r="N1078" i="1" s="1"/>
  <c r="Q1078" i="1" s="1"/>
  <c r="S1077" i="1"/>
  <c r="L1077" i="1"/>
  <c r="O1077" i="1" s="1"/>
  <c r="P1077" i="1" s="1"/>
  <c r="R1077" i="1" s="1"/>
  <c r="J1077" i="1"/>
  <c r="I1077" i="1"/>
  <c r="K1077" i="1" s="1"/>
  <c r="N1077" i="1" s="1"/>
  <c r="Q1077" i="1" s="1"/>
  <c r="S1076" i="1"/>
  <c r="L1076" i="1"/>
  <c r="O1076" i="1" s="1"/>
  <c r="P1076" i="1" s="1"/>
  <c r="R1076" i="1" s="1"/>
  <c r="K1076" i="1"/>
  <c r="N1076" i="1" s="1"/>
  <c r="Q1076" i="1" s="1"/>
  <c r="J1076" i="1"/>
  <c r="I1076" i="1"/>
  <c r="M1076" i="1" s="1"/>
  <c r="S1075" i="1"/>
  <c r="O1075" i="1"/>
  <c r="P1075" i="1" s="1"/>
  <c r="R1075" i="1" s="1"/>
  <c r="L1075" i="1"/>
  <c r="K1075" i="1"/>
  <c r="N1075" i="1" s="1"/>
  <c r="Q1075" i="1" s="1"/>
  <c r="J1075" i="1"/>
  <c r="I1075" i="1"/>
  <c r="M1075" i="1" s="1"/>
  <c r="S1074" i="1"/>
  <c r="O1074" i="1"/>
  <c r="P1074" i="1" s="1"/>
  <c r="R1074" i="1" s="1"/>
  <c r="L1074" i="1"/>
  <c r="J1074" i="1"/>
  <c r="I1074" i="1"/>
  <c r="K1074" i="1" s="1"/>
  <c r="N1074" i="1" s="1"/>
  <c r="Q1074" i="1" s="1"/>
  <c r="S1073" i="1"/>
  <c r="L1073" i="1"/>
  <c r="O1073" i="1" s="1"/>
  <c r="P1073" i="1" s="1"/>
  <c r="R1073" i="1" s="1"/>
  <c r="J1073" i="1"/>
  <c r="I1073" i="1"/>
  <c r="K1073" i="1" s="1"/>
  <c r="N1073" i="1" s="1"/>
  <c r="Q1073" i="1" s="1"/>
  <c r="S1072" i="1"/>
  <c r="L1072" i="1"/>
  <c r="O1072" i="1" s="1"/>
  <c r="P1072" i="1" s="1"/>
  <c r="R1072" i="1" s="1"/>
  <c r="K1072" i="1"/>
  <c r="N1072" i="1" s="1"/>
  <c r="Q1072" i="1" s="1"/>
  <c r="J1072" i="1"/>
  <c r="I1072" i="1"/>
  <c r="M1072" i="1" s="1"/>
  <c r="S1071" i="1"/>
  <c r="O1071" i="1"/>
  <c r="P1071" i="1" s="1"/>
  <c r="R1071" i="1" s="1"/>
  <c r="L1071" i="1"/>
  <c r="K1071" i="1"/>
  <c r="N1071" i="1" s="1"/>
  <c r="Q1071" i="1" s="1"/>
  <c r="J1071" i="1"/>
  <c r="I1071" i="1"/>
  <c r="M1071" i="1" s="1"/>
  <c r="S1070" i="1"/>
  <c r="O1070" i="1"/>
  <c r="P1070" i="1" s="1"/>
  <c r="R1070" i="1" s="1"/>
  <c r="L1070" i="1"/>
  <c r="J1070" i="1"/>
  <c r="I1070" i="1"/>
  <c r="K1070" i="1" s="1"/>
  <c r="N1070" i="1" s="1"/>
  <c r="Q1070" i="1" s="1"/>
  <c r="S1069" i="1"/>
  <c r="L1069" i="1"/>
  <c r="O1069" i="1" s="1"/>
  <c r="P1069" i="1" s="1"/>
  <c r="R1069" i="1" s="1"/>
  <c r="J1069" i="1"/>
  <c r="I1069" i="1"/>
  <c r="K1069" i="1" s="1"/>
  <c r="N1069" i="1" s="1"/>
  <c r="Q1069" i="1" s="1"/>
  <c r="S1068" i="1"/>
  <c r="L1068" i="1"/>
  <c r="O1068" i="1" s="1"/>
  <c r="P1068" i="1" s="1"/>
  <c r="R1068" i="1" s="1"/>
  <c r="K1068" i="1"/>
  <c r="N1068" i="1" s="1"/>
  <c r="Q1068" i="1" s="1"/>
  <c r="J1068" i="1"/>
  <c r="I1068" i="1"/>
  <c r="M1068" i="1" s="1"/>
  <c r="S1067" i="1"/>
  <c r="O1067" i="1"/>
  <c r="P1067" i="1" s="1"/>
  <c r="R1067" i="1" s="1"/>
  <c r="L1067" i="1"/>
  <c r="K1067" i="1"/>
  <c r="N1067" i="1" s="1"/>
  <c r="Q1067" i="1" s="1"/>
  <c r="J1067" i="1"/>
  <c r="I1067" i="1"/>
  <c r="M1067" i="1" s="1"/>
  <c r="S1066" i="1"/>
  <c r="O1066" i="1"/>
  <c r="P1066" i="1" s="1"/>
  <c r="R1066" i="1" s="1"/>
  <c r="L1066" i="1"/>
  <c r="J1066" i="1"/>
  <c r="I1066" i="1"/>
  <c r="K1066" i="1" s="1"/>
  <c r="N1066" i="1" s="1"/>
  <c r="Q1066" i="1" s="1"/>
  <c r="S1065" i="1"/>
  <c r="L1065" i="1"/>
  <c r="O1065" i="1" s="1"/>
  <c r="P1065" i="1" s="1"/>
  <c r="R1065" i="1" s="1"/>
  <c r="J1065" i="1"/>
  <c r="I1065" i="1"/>
  <c r="K1065" i="1" s="1"/>
  <c r="N1065" i="1" s="1"/>
  <c r="Q1065" i="1" s="1"/>
  <c r="S1064" i="1"/>
  <c r="L1064" i="1"/>
  <c r="O1064" i="1" s="1"/>
  <c r="P1064" i="1" s="1"/>
  <c r="R1064" i="1" s="1"/>
  <c r="K1064" i="1"/>
  <c r="N1064" i="1" s="1"/>
  <c r="Q1064" i="1" s="1"/>
  <c r="J1064" i="1"/>
  <c r="I1064" i="1"/>
  <c r="M1064" i="1" s="1"/>
  <c r="S1063" i="1"/>
  <c r="O1063" i="1"/>
  <c r="P1063" i="1" s="1"/>
  <c r="R1063" i="1" s="1"/>
  <c r="L1063" i="1"/>
  <c r="K1063" i="1"/>
  <c r="N1063" i="1" s="1"/>
  <c r="Q1063" i="1" s="1"/>
  <c r="J1063" i="1"/>
  <c r="I1063" i="1"/>
  <c r="M1063" i="1" s="1"/>
  <c r="S1062" i="1"/>
  <c r="O1062" i="1"/>
  <c r="P1062" i="1" s="1"/>
  <c r="R1062" i="1" s="1"/>
  <c r="L1062" i="1"/>
  <c r="J1062" i="1"/>
  <c r="I1062" i="1"/>
  <c r="K1062" i="1" s="1"/>
  <c r="N1062" i="1" s="1"/>
  <c r="Q1062" i="1" s="1"/>
  <c r="S1061" i="1"/>
  <c r="L1061" i="1"/>
  <c r="O1061" i="1" s="1"/>
  <c r="P1061" i="1" s="1"/>
  <c r="R1061" i="1" s="1"/>
  <c r="J1061" i="1"/>
  <c r="I1061" i="1"/>
  <c r="K1061" i="1" s="1"/>
  <c r="S1060" i="1"/>
  <c r="L1060" i="1"/>
  <c r="N1060" i="1" s="1"/>
  <c r="Q1060" i="1" s="1"/>
  <c r="K1060" i="1"/>
  <c r="J1060" i="1"/>
  <c r="I1060" i="1"/>
  <c r="M1060" i="1" s="1"/>
  <c r="S1059" i="1"/>
  <c r="O1059" i="1"/>
  <c r="P1059" i="1" s="1"/>
  <c r="R1059" i="1" s="1"/>
  <c r="L1059" i="1"/>
  <c r="K1059" i="1"/>
  <c r="N1059" i="1" s="1"/>
  <c r="Q1059" i="1" s="1"/>
  <c r="J1059" i="1"/>
  <c r="I1059" i="1"/>
  <c r="M1059" i="1" s="1"/>
  <c r="S1058" i="1"/>
  <c r="O1058" i="1"/>
  <c r="P1058" i="1" s="1"/>
  <c r="R1058" i="1" s="1"/>
  <c r="L1058" i="1"/>
  <c r="J1058" i="1"/>
  <c r="I1058" i="1"/>
  <c r="K1058" i="1" s="1"/>
  <c r="N1058" i="1" s="1"/>
  <c r="Q1058" i="1" s="1"/>
  <c r="S1057" i="1"/>
  <c r="L1057" i="1"/>
  <c r="O1057" i="1" s="1"/>
  <c r="P1057" i="1" s="1"/>
  <c r="R1057" i="1" s="1"/>
  <c r="J1057" i="1"/>
  <c r="I1057" i="1"/>
  <c r="K1057" i="1" s="1"/>
  <c r="S1056" i="1"/>
  <c r="L1056" i="1"/>
  <c r="N1056" i="1" s="1"/>
  <c r="Q1056" i="1" s="1"/>
  <c r="K1056" i="1"/>
  <c r="J1056" i="1"/>
  <c r="I1056" i="1"/>
  <c r="M1056" i="1" s="1"/>
  <c r="S1055" i="1"/>
  <c r="O1055" i="1"/>
  <c r="P1055" i="1" s="1"/>
  <c r="R1055" i="1" s="1"/>
  <c r="L1055" i="1"/>
  <c r="K1055" i="1"/>
  <c r="N1055" i="1" s="1"/>
  <c r="Q1055" i="1" s="1"/>
  <c r="J1055" i="1"/>
  <c r="I1055" i="1"/>
  <c r="M1055" i="1" s="1"/>
  <c r="S1054" i="1"/>
  <c r="O1054" i="1"/>
  <c r="P1054" i="1" s="1"/>
  <c r="R1054" i="1" s="1"/>
  <c r="L1054" i="1"/>
  <c r="J1054" i="1"/>
  <c r="I1054" i="1"/>
  <c r="K1054" i="1" s="1"/>
  <c r="N1054" i="1" s="1"/>
  <c r="Q1054" i="1" s="1"/>
  <c r="S1053" i="1"/>
  <c r="L1053" i="1"/>
  <c r="O1053" i="1" s="1"/>
  <c r="P1053" i="1" s="1"/>
  <c r="R1053" i="1" s="1"/>
  <c r="J1053" i="1"/>
  <c r="I1053" i="1"/>
  <c r="K1053" i="1" s="1"/>
  <c r="S1052" i="1"/>
  <c r="L1052" i="1"/>
  <c r="N1052" i="1" s="1"/>
  <c r="Q1052" i="1" s="1"/>
  <c r="K1052" i="1"/>
  <c r="J1052" i="1"/>
  <c r="I1052" i="1"/>
  <c r="M1052" i="1" s="1"/>
  <c r="S1051" i="1"/>
  <c r="O1051" i="1"/>
  <c r="P1051" i="1" s="1"/>
  <c r="R1051" i="1" s="1"/>
  <c r="N1051" i="1"/>
  <c r="Q1051" i="1" s="1"/>
  <c r="L1051" i="1"/>
  <c r="K1051" i="1"/>
  <c r="J1051" i="1"/>
  <c r="I1051" i="1"/>
  <c r="M1051" i="1" s="1"/>
  <c r="S1050" i="1"/>
  <c r="O1050" i="1"/>
  <c r="P1050" i="1" s="1"/>
  <c r="R1050" i="1" s="1"/>
  <c r="L1050" i="1"/>
  <c r="J1050" i="1"/>
  <c r="I1050" i="1"/>
  <c r="K1050" i="1" s="1"/>
  <c r="N1050" i="1" s="1"/>
  <c r="Q1050" i="1" s="1"/>
  <c r="S1049" i="1"/>
  <c r="L1049" i="1"/>
  <c r="O1049" i="1" s="1"/>
  <c r="P1049" i="1" s="1"/>
  <c r="R1049" i="1" s="1"/>
  <c r="J1049" i="1"/>
  <c r="I1049" i="1"/>
  <c r="K1049" i="1" s="1"/>
  <c r="S1048" i="1"/>
  <c r="L1048" i="1"/>
  <c r="N1048" i="1" s="1"/>
  <c r="Q1048" i="1" s="1"/>
  <c r="K1048" i="1"/>
  <c r="J1048" i="1"/>
  <c r="I1048" i="1"/>
  <c r="M1048" i="1" s="1"/>
  <c r="S1047" i="1"/>
  <c r="O1047" i="1"/>
  <c r="P1047" i="1" s="1"/>
  <c r="R1047" i="1" s="1"/>
  <c r="L1047" i="1"/>
  <c r="K1047" i="1"/>
  <c r="N1047" i="1" s="1"/>
  <c r="Q1047" i="1" s="1"/>
  <c r="J1047" i="1"/>
  <c r="I1047" i="1"/>
  <c r="M1047" i="1" s="1"/>
  <c r="S1046" i="1"/>
  <c r="O1046" i="1"/>
  <c r="P1046" i="1" s="1"/>
  <c r="R1046" i="1" s="1"/>
  <c r="L1046" i="1"/>
  <c r="J1046" i="1"/>
  <c r="I1046" i="1"/>
  <c r="K1046" i="1" s="1"/>
  <c r="N1046" i="1" s="1"/>
  <c r="Q1046" i="1" s="1"/>
  <c r="S1045" i="1"/>
  <c r="L1045" i="1"/>
  <c r="O1045" i="1" s="1"/>
  <c r="P1045" i="1" s="1"/>
  <c r="R1045" i="1" s="1"/>
  <c r="J1045" i="1"/>
  <c r="I1045" i="1"/>
  <c r="K1045" i="1" s="1"/>
  <c r="S1044" i="1"/>
  <c r="L1044" i="1"/>
  <c r="N1044" i="1" s="1"/>
  <c r="Q1044" i="1" s="1"/>
  <c r="K1044" i="1"/>
  <c r="J1044" i="1"/>
  <c r="I1044" i="1"/>
  <c r="M1044" i="1" s="1"/>
  <c r="S1043" i="1"/>
  <c r="O1043" i="1"/>
  <c r="P1043" i="1" s="1"/>
  <c r="R1043" i="1" s="1"/>
  <c r="L1043" i="1"/>
  <c r="K1043" i="1"/>
  <c r="N1043" i="1" s="1"/>
  <c r="Q1043" i="1" s="1"/>
  <c r="J1043" i="1"/>
  <c r="I1043" i="1"/>
  <c r="M1043" i="1" s="1"/>
  <c r="S1042" i="1"/>
  <c r="O1042" i="1"/>
  <c r="P1042" i="1" s="1"/>
  <c r="R1042" i="1" s="1"/>
  <c r="L1042" i="1"/>
  <c r="J1042" i="1"/>
  <c r="I1042" i="1"/>
  <c r="K1042" i="1" s="1"/>
  <c r="N1042" i="1" s="1"/>
  <c r="Q1042" i="1" s="1"/>
  <c r="S1041" i="1"/>
  <c r="L1041" i="1"/>
  <c r="O1041" i="1" s="1"/>
  <c r="P1041" i="1" s="1"/>
  <c r="R1041" i="1" s="1"/>
  <c r="J1041" i="1"/>
  <c r="I1041" i="1"/>
  <c r="K1041" i="1" s="1"/>
  <c r="S1040" i="1"/>
  <c r="L1040" i="1"/>
  <c r="N1040" i="1" s="1"/>
  <c r="Q1040" i="1" s="1"/>
  <c r="K1040" i="1"/>
  <c r="J1040" i="1"/>
  <c r="I1040" i="1"/>
  <c r="M1040" i="1" s="1"/>
  <c r="S1039" i="1"/>
  <c r="O1039" i="1"/>
  <c r="P1039" i="1" s="1"/>
  <c r="R1039" i="1" s="1"/>
  <c r="L1039" i="1"/>
  <c r="K1039" i="1"/>
  <c r="N1039" i="1" s="1"/>
  <c r="Q1039" i="1" s="1"/>
  <c r="J1039" i="1"/>
  <c r="I1039" i="1"/>
  <c r="M1039" i="1" s="1"/>
  <c r="S1038" i="1"/>
  <c r="O1038" i="1"/>
  <c r="P1038" i="1" s="1"/>
  <c r="R1038" i="1" s="1"/>
  <c r="L1038" i="1"/>
  <c r="J1038" i="1"/>
  <c r="I1038" i="1"/>
  <c r="K1038" i="1" s="1"/>
  <c r="N1038" i="1" s="1"/>
  <c r="Q1038" i="1" s="1"/>
  <c r="S1037" i="1"/>
  <c r="L1037" i="1"/>
  <c r="O1037" i="1" s="1"/>
  <c r="P1037" i="1" s="1"/>
  <c r="R1037" i="1" s="1"/>
  <c r="J1037" i="1"/>
  <c r="I1037" i="1"/>
  <c r="K1037" i="1" s="1"/>
  <c r="S1036" i="1"/>
  <c r="L1036" i="1"/>
  <c r="N1036" i="1" s="1"/>
  <c r="Q1036" i="1" s="1"/>
  <c r="K1036" i="1"/>
  <c r="J1036" i="1"/>
  <c r="I1036" i="1"/>
  <c r="M1036" i="1" s="1"/>
  <c r="S1035" i="1"/>
  <c r="O1035" i="1"/>
  <c r="P1035" i="1" s="1"/>
  <c r="R1035" i="1" s="1"/>
  <c r="L1035" i="1"/>
  <c r="K1035" i="1"/>
  <c r="N1035" i="1" s="1"/>
  <c r="Q1035" i="1" s="1"/>
  <c r="J1035" i="1"/>
  <c r="I1035" i="1"/>
  <c r="M1035" i="1" s="1"/>
  <c r="S1034" i="1"/>
  <c r="O1034" i="1"/>
  <c r="P1034" i="1" s="1"/>
  <c r="R1034" i="1" s="1"/>
  <c r="L1034" i="1"/>
  <c r="J1034" i="1"/>
  <c r="I1034" i="1"/>
  <c r="K1034" i="1" s="1"/>
  <c r="N1034" i="1" s="1"/>
  <c r="Q1034" i="1" s="1"/>
  <c r="S1033" i="1"/>
  <c r="L1033" i="1"/>
  <c r="O1033" i="1" s="1"/>
  <c r="P1033" i="1" s="1"/>
  <c r="R1033" i="1" s="1"/>
  <c r="J1033" i="1"/>
  <c r="I1033" i="1"/>
  <c r="K1033" i="1" s="1"/>
  <c r="S1032" i="1"/>
  <c r="L1032" i="1"/>
  <c r="N1032" i="1" s="1"/>
  <c r="Q1032" i="1" s="1"/>
  <c r="K1032" i="1"/>
  <c r="J1032" i="1"/>
  <c r="I1032" i="1"/>
  <c r="M1032" i="1" s="1"/>
  <c r="S1031" i="1"/>
  <c r="O1031" i="1"/>
  <c r="P1031" i="1" s="1"/>
  <c r="R1031" i="1" s="1"/>
  <c r="L1031" i="1"/>
  <c r="K1031" i="1"/>
  <c r="N1031" i="1" s="1"/>
  <c r="Q1031" i="1" s="1"/>
  <c r="J1031" i="1"/>
  <c r="I1031" i="1"/>
  <c r="M1031" i="1" s="1"/>
  <c r="S1030" i="1"/>
  <c r="O1030" i="1"/>
  <c r="P1030" i="1" s="1"/>
  <c r="R1030" i="1" s="1"/>
  <c r="L1030" i="1"/>
  <c r="J1030" i="1"/>
  <c r="I1030" i="1"/>
  <c r="K1030" i="1" s="1"/>
  <c r="N1030" i="1" s="1"/>
  <c r="Q1030" i="1" s="1"/>
  <c r="S1029" i="1"/>
  <c r="L1029" i="1"/>
  <c r="O1029" i="1" s="1"/>
  <c r="P1029" i="1" s="1"/>
  <c r="R1029" i="1" s="1"/>
  <c r="J1029" i="1"/>
  <c r="I1029" i="1"/>
  <c r="K1029" i="1" s="1"/>
  <c r="S1028" i="1"/>
  <c r="L1028" i="1"/>
  <c r="N1028" i="1" s="1"/>
  <c r="Q1028" i="1" s="1"/>
  <c r="K1028" i="1"/>
  <c r="J1028" i="1"/>
  <c r="I1028" i="1"/>
  <c r="M1028" i="1" s="1"/>
  <c r="S1027" i="1"/>
  <c r="O1027" i="1"/>
  <c r="P1027" i="1" s="1"/>
  <c r="R1027" i="1" s="1"/>
  <c r="L1027" i="1"/>
  <c r="K1027" i="1"/>
  <c r="N1027" i="1" s="1"/>
  <c r="Q1027" i="1" s="1"/>
  <c r="J1027" i="1"/>
  <c r="I1027" i="1"/>
  <c r="M1027" i="1" s="1"/>
  <c r="S1026" i="1"/>
  <c r="O1026" i="1"/>
  <c r="P1026" i="1" s="1"/>
  <c r="R1026" i="1" s="1"/>
  <c r="L1026" i="1"/>
  <c r="J1026" i="1"/>
  <c r="I1026" i="1"/>
  <c r="K1026" i="1" s="1"/>
  <c r="N1026" i="1" s="1"/>
  <c r="Q1026" i="1" s="1"/>
  <c r="S1025" i="1"/>
  <c r="L1025" i="1"/>
  <c r="O1025" i="1" s="1"/>
  <c r="P1025" i="1" s="1"/>
  <c r="R1025" i="1" s="1"/>
  <c r="J1025" i="1"/>
  <c r="I1025" i="1"/>
  <c r="K1025" i="1" s="1"/>
  <c r="S1024" i="1"/>
  <c r="L1024" i="1"/>
  <c r="N1024" i="1" s="1"/>
  <c r="Q1024" i="1" s="1"/>
  <c r="K1024" i="1"/>
  <c r="J1024" i="1"/>
  <c r="I1024" i="1"/>
  <c r="M1024" i="1" s="1"/>
  <c r="S1023" i="1"/>
  <c r="O1023" i="1"/>
  <c r="P1023" i="1" s="1"/>
  <c r="R1023" i="1" s="1"/>
  <c r="L1023" i="1"/>
  <c r="K1023" i="1"/>
  <c r="N1023" i="1" s="1"/>
  <c r="Q1023" i="1" s="1"/>
  <c r="J1023" i="1"/>
  <c r="I1023" i="1"/>
  <c r="M1023" i="1" s="1"/>
  <c r="S1022" i="1"/>
  <c r="O1022" i="1"/>
  <c r="P1022" i="1" s="1"/>
  <c r="R1022" i="1" s="1"/>
  <c r="L1022" i="1"/>
  <c r="J1022" i="1"/>
  <c r="I1022" i="1"/>
  <c r="K1022" i="1" s="1"/>
  <c r="N1022" i="1" s="1"/>
  <c r="Q1022" i="1" s="1"/>
  <c r="S1021" i="1"/>
  <c r="L1021" i="1"/>
  <c r="O1021" i="1" s="1"/>
  <c r="P1021" i="1" s="1"/>
  <c r="R1021" i="1" s="1"/>
  <c r="J1021" i="1"/>
  <c r="I1021" i="1"/>
  <c r="K1021" i="1" s="1"/>
  <c r="N1021" i="1" s="1"/>
  <c r="Q1021" i="1" s="1"/>
  <c r="S1020" i="1"/>
  <c r="L1020" i="1"/>
  <c r="O1020" i="1" s="1"/>
  <c r="P1020" i="1" s="1"/>
  <c r="R1020" i="1" s="1"/>
  <c r="K1020" i="1"/>
  <c r="N1020" i="1" s="1"/>
  <c r="Q1020" i="1" s="1"/>
  <c r="J1020" i="1"/>
  <c r="I1020" i="1"/>
  <c r="M1020" i="1" s="1"/>
  <c r="S1019" i="1"/>
  <c r="O1019" i="1"/>
  <c r="P1019" i="1" s="1"/>
  <c r="R1019" i="1" s="1"/>
  <c r="L1019" i="1"/>
  <c r="K1019" i="1"/>
  <c r="N1019" i="1" s="1"/>
  <c r="Q1019" i="1" s="1"/>
  <c r="J1019" i="1"/>
  <c r="I1019" i="1"/>
  <c r="M1019" i="1" s="1"/>
  <c r="S1018" i="1"/>
  <c r="O1018" i="1"/>
  <c r="P1018" i="1" s="1"/>
  <c r="R1018" i="1" s="1"/>
  <c r="L1018" i="1"/>
  <c r="J1018" i="1"/>
  <c r="I1018" i="1"/>
  <c r="K1018" i="1" s="1"/>
  <c r="N1018" i="1" s="1"/>
  <c r="Q1018" i="1" s="1"/>
  <c r="S1017" i="1"/>
  <c r="L1017" i="1"/>
  <c r="O1017" i="1" s="1"/>
  <c r="P1017" i="1" s="1"/>
  <c r="R1017" i="1" s="1"/>
  <c r="J1017" i="1"/>
  <c r="I1017" i="1"/>
  <c r="K1017" i="1" s="1"/>
  <c r="N1017" i="1" s="1"/>
  <c r="Q1017" i="1" s="1"/>
  <c r="S1016" i="1"/>
  <c r="L1016" i="1"/>
  <c r="O1016" i="1" s="1"/>
  <c r="P1016" i="1" s="1"/>
  <c r="R1016" i="1" s="1"/>
  <c r="K1016" i="1"/>
  <c r="N1016" i="1" s="1"/>
  <c r="Q1016" i="1" s="1"/>
  <c r="J1016" i="1"/>
  <c r="I1016" i="1"/>
  <c r="M1016" i="1" s="1"/>
  <c r="S1015" i="1"/>
  <c r="O1015" i="1"/>
  <c r="P1015" i="1" s="1"/>
  <c r="R1015" i="1" s="1"/>
  <c r="L1015" i="1"/>
  <c r="K1015" i="1"/>
  <c r="N1015" i="1" s="1"/>
  <c r="Q1015" i="1" s="1"/>
  <c r="J1015" i="1"/>
  <c r="I1015" i="1"/>
  <c r="M1015" i="1" s="1"/>
  <c r="S1014" i="1"/>
  <c r="O1014" i="1"/>
  <c r="P1014" i="1" s="1"/>
  <c r="R1014" i="1" s="1"/>
  <c r="L1014" i="1"/>
  <c r="J1014" i="1"/>
  <c r="I1014" i="1"/>
  <c r="K1014" i="1" s="1"/>
  <c r="N1014" i="1" s="1"/>
  <c r="Q1014" i="1" s="1"/>
  <c r="S1013" i="1"/>
  <c r="L1013" i="1"/>
  <c r="O1013" i="1" s="1"/>
  <c r="P1013" i="1" s="1"/>
  <c r="R1013" i="1" s="1"/>
  <c r="J1013" i="1"/>
  <c r="I1013" i="1"/>
  <c r="K1013" i="1" s="1"/>
  <c r="N1013" i="1" s="1"/>
  <c r="Q1013" i="1" s="1"/>
  <c r="S1012" i="1"/>
  <c r="L1012" i="1"/>
  <c r="O1012" i="1" s="1"/>
  <c r="P1012" i="1" s="1"/>
  <c r="R1012" i="1" s="1"/>
  <c r="K1012" i="1"/>
  <c r="N1012" i="1" s="1"/>
  <c r="Q1012" i="1" s="1"/>
  <c r="J1012" i="1"/>
  <c r="I1012" i="1"/>
  <c r="M1012" i="1" s="1"/>
  <c r="S1011" i="1"/>
  <c r="O1011" i="1"/>
  <c r="P1011" i="1" s="1"/>
  <c r="R1011" i="1" s="1"/>
  <c r="L1011" i="1"/>
  <c r="K1011" i="1"/>
  <c r="N1011" i="1" s="1"/>
  <c r="Q1011" i="1" s="1"/>
  <c r="J1011" i="1"/>
  <c r="I1011" i="1"/>
  <c r="M1011" i="1" s="1"/>
  <c r="S1010" i="1"/>
  <c r="O1010" i="1"/>
  <c r="P1010" i="1" s="1"/>
  <c r="R1010" i="1" s="1"/>
  <c r="L1010" i="1"/>
  <c r="J1010" i="1"/>
  <c r="I1010" i="1"/>
  <c r="K1010" i="1" s="1"/>
  <c r="N1010" i="1" s="1"/>
  <c r="Q1010" i="1" s="1"/>
  <c r="S1009" i="1"/>
  <c r="L1009" i="1"/>
  <c r="O1009" i="1" s="1"/>
  <c r="P1009" i="1" s="1"/>
  <c r="R1009" i="1" s="1"/>
  <c r="J1009" i="1"/>
  <c r="I1009" i="1"/>
  <c r="K1009" i="1" s="1"/>
  <c r="N1009" i="1" s="1"/>
  <c r="Q1009" i="1" s="1"/>
  <c r="S1008" i="1"/>
  <c r="L1008" i="1"/>
  <c r="O1008" i="1" s="1"/>
  <c r="P1008" i="1" s="1"/>
  <c r="R1008" i="1" s="1"/>
  <c r="K1008" i="1"/>
  <c r="N1008" i="1" s="1"/>
  <c r="Q1008" i="1" s="1"/>
  <c r="J1008" i="1"/>
  <c r="I1008" i="1"/>
  <c r="M1008" i="1" s="1"/>
  <c r="S1007" i="1"/>
  <c r="O1007" i="1"/>
  <c r="P1007" i="1" s="1"/>
  <c r="R1007" i="1" s="1"/>
  <c r="L1007" i="1"/>
  <c r="K1007" i="1"/>
  <c r="N1007" i="1" s="1"/>
  <c r="Q1007" i="1" s="1"/>
  <c r="J1007" i="1"/>
  <c r="I1007" i="1"/>
  <c r="M1007" i="1" s="1"/>
  <c r="S1006" i="1"/>
  <c r="O1006" i="1"/>
  <c r="P1006" i="1" s="1"/>
  <c r="R1006" i="1" s="1"/>
  <c r="L1006" i="1"/>
  <c r="J1006" i="1"/>
  <c r="I1006" i="1"/>
  <c r="K1006" i="1" s="1"/>
  <c r="N1006" i="1" s="1"/>
  <c r="Q1006" i="1" s="1"/>
  <c r="S1005" i="1"/>
  <c r="L1005" i="1"/>
  <c r="O1005" i="1" s="1"/>
  <c r="P1005" i="1" s="1"/>
  <c r="R1005" i="1" s="1"/>
  <c r="J1005" i="1"/>
  <c r="I1005" i="1"/>
  <c r="K1005" i="1" s="1"/>
  <c r="N1005" i="1" s="1"/>
  <c r="Q1005" i="1" s="1"/>
  <c r="S1004" i="1"/>
  <c r="L1004" i="1"/>
  <c r="O1004" i="1" s="1"/>
  <c r="P1004" i="1" s="1"/>
  <c r="R1004" i="1" s="1"/>
  <c r="K1004" i="1"/>
  <c r="N1004" i="1" s="1"/>
  <c r="Q1004" i="1" s="1"/>
  <c r="J1004" i="1"/>
  <c r="I1004" i="1"/>
  <c r="M1004" i="1" s="1"/>
  <c r="S1003" i="1"/>
  <c r="O1003" i="1"/>
  <c r="P1003" i="1" s="1"/>
  <c r="R1003" i="1" s="1"/>
  <c r="L1003" i="1"/>
  <c r="K1003" i="1"/>
  <c r="N1003" i="1" s="1"/>
  <c r="Q1003" i="1" s="1"/>
  <c r="J1003" i="1"/>
  <c r="I1003" i="1"/>
  <c r="M1003" i="1" s="1"/>
  <c r="S1002" i="1"/>
  <c r="O1002" i="1"/>
  <c r="P1002" i="1" s="1"/>
  <c r="R1002" i="1" s="1"/>
  <c r="L1002" i="1"/>
  <c r="J1002" i="1"/>
  <c r="I1002" i="1"/>
  <c r="K1002" i="1" s="1"/>
  <c r="N1002" i="1" s="1"/>
  <c r="Q1002" i="1" s="1"/>
  <c r="S1001" i="1"/>
  <c r="L1001" i="1"/>
  <c r="O1001" i="1" s="1"/>
  <c r="P1001" i="1" s="1"/>
  <c r="R1001" i="1" s="1"/>
  <c r="J1001" i="1"/>
  <c r="I1001" i="1"/>
  <c r="K1001" i="1" s="1"/>
  <c r="N1001" i="1" s="1"/>
  <c r="Q1001" i="1" s="1"/>
  <c r="S1000" i="1"/>
  <c r="L1000" i="1"/>
  <c r="O1000" i="1" s="1"/>
  <c r="P1000" i="1" s="1"/>
  <c r="R1000" i="1" s="1"/>
  <c r="K1000" i="1"/>
  <c r="N1000" i="1" s="1"/>
  <c r="Q1000" i="1" s="1"/>
  <c r="J1000" i="1"/>
  <c r="I1000" i="1"/>
  <c r="M1000" i="1" s="1"/>
  <c r="S999" i="1"/>
  <c r="O999" i="1"/>
  <c r="P999" i="1" s="1"/>
  <c r="R999" i="1" s="1"/>
  <c r="L999" i="1"/>
  <c r="K999" i="1"/>
  <c r="N999" i="1" s="1"/>
  <c r="Q999" i="1" s="1"/>
  <c r="J999" i="1"/>
  <c r="I999" i="1"/>
  <c r="M999" i="1" s="1"/>
  <c r="S998" i="1"/>
  <c r="O998" i="1"/>
  <c r="P998" i="1" s="1"/>
  <c r="R998" i="1" s="1"/>
  <c r="L998" i="1"/>
  <c r="J998" i="1"/>
  <c r="I998" i="1"/>
  <c r="K998" i="1" s="1"/>
  <c r="N998" i="1" s="1"/>
  <c r="Q998" i="1" s="1"/>
  <c r="S997" i="1"/>
  <c r="L997" i="1"/>
  <c r="O997" i="1" s="1"/>
  <c r="P997" i="1" s="1"/>
  <c r="R997" i="1" s="1"/>
  <c r="J997" i="1"/>
  <c r="I997" i="1"/>
  <c r="K997" i="1" s="1"/>
  <c r="N997" i="1" s="1"/>
  <c r="Q997" i="1" s="1"/>
  <c r="S996" i="1"/>
  <c r="L996" i="1"/>
  <c r="O996" i="1" s="1"/>
  <c r="P996" i="1" s="1"/>
  <c r="R996" i="1" s="1"/>
  <c r="K996" i="1"/>
  <c r="N996" i="1" s="1"/>
  <c r="Q996" i="1" s="1"/>
  <c r="J996" i="1"/>
  <c r="I996" i="1"/>
  <c r="M996" i="1" s="1"/>
  <c r="S995" i="1"/>
  <c r="O995" i="1"/>
  <c r="P995" i="1" s="1"/>
  <c r="R995" i="1" s="1"/>
  <c r="L995" i="1"/>
  <c r="K995" i="1"/>
  <c r="N995" i="1" s="1"/>
  <c r="Q995" i="1" s="1"/>
  <c r="J995" i="1"/>
  <c r="I995" i="1"/>
  <c r="M995" i="1" s="1"/>
  <c r="S994" i="1"/>
  <c r="O994" i="1"/>
  <c r="P994" i="1" s="1"/>
  <c r="R994" i="1" s="1"/>
  <c r="L994" i="1"/>
  <c r="J994" i="1"/>
  <c r="I994" i="1"/>
  <c r="K994" i="1" s="1"/>
  <c r="N994" i="1" s="1"/>
  <c r="Q994" i="1" s="1"/>
  <c r="S993" i="1"/>
  <c r="L993" i="1"/>
  <c r="O993" i="1" s="1"/>
  <c r="P993" i="1" s="1"/>
  <c r="R993" i="1" s="1"/>
  <c r="J993" i="1"/>
  <c r="I993" i="1"/>
  <c r="K993" i="1" s="1"/>
  <c r="N993" i="1" s="1"/>
  <c r="Q993" i="1" s="1"/>
  <c r="S992" i="1"/>
  <c r="L992" i="1"/>
  <c r="O992" i="1" s="1"/>
  <c r="P992" i="1" s="1"/>
  <c r="R992" i="1" s="1"/>
  <c r="K992" i="1"/>
  <c r="N992" i="1" s="1"/>
  <c r="Q992" i="1" s="1"/>
  <c r="J992" i="1"/>
  <c r="I992" i="1"/>
  <c r="M992" i="1" s="1"/>
  <c r="S991" i="1"/>
  <c r="O991" i="1"/>
  <c r="P991" i="1" s="1"/>
  <c r="R991" i="1" s="1"/>
  <c r="L991" i="1"/>
  <c r="K991" i="1"/>
  <c r="N991" i="1" s="1"/>
  <c r="Q991" i="1" s="1"/>
  <c r="J991" i="1"/>
  <c r="I991" i="1"/>
  <c r="M991" i="1" s="1"/>
  <c r="S990" i="1"/>
  <c r="O990" i="1"/>
  <c r="P990" i="1" s="1"/>
  <c r="R990" i="1" s="1"/>
  <c r="L990" i="1"/>
  <c r="J990" i="1"/>
  <c r="I990" i="1"/>
  <c r="K990" i="1" s="1"/>
  <c r="N990" i="1" s="1"/>
  <c r="Q990" i="1" s="1"/>
  <c r="S989" i="1"/>
  <c r="L989" i="1"/>
  <c r="O989" i="1" s="1"/>
  <c r="P989" i="1" s="1"/>
  <c r="R989" i="1" s="1"/>
  <c r="J989" i="1"/>
  <c r="I989" i="1"/>
  <c r="K989" i="1" s="1"/>
  <c r="N989" i="1" s="1"/>
  <c r="Q989" i="1" s="1"/>
  <c r="S988" i="1"/>
  <c r="L988" i="1"/>
  <c r="O988" i="1" s="1"/>
  <c r="P988" i="1" s="1"/>
  <c r="R988" i="1" s="1"/>
  <c r="K988" i="1"/>
  <c r="N988" i="1" s="1"/>
  <c r="Q988" i="1" s="1"/>
  <c r="J988" i="1"/>
  <c r="I988" i="1"/>
  <c r="M988" i="1" s="1"/>
  <c r="S987" i="1"/>
  <c r="O987" i="1"/>
  <c r="P987" i="1" s="1"/>
  <c r="R987" i="1" s="1"/>
  <c r="L987" i="1"/>
  <c r="K987" i="1"/>
  <c r="N987" i="1" s="1"/>
  <c r="Q987" i="1" s="1"/>
  <c r="J987" i="1"/>
  <c r="I987" i="1"/>
  <c r="M987" i="1" s="1"/>
  <c r="S986" i="1"/>
  <c r="O986" i="1"/>
  <c r="P986" i="1" s="1"/>
  <c r="R986" i="1" s="1"/>
  <c r="L986" i="1"/>
  <c r="J986" i="1"/>
  <c r="I986" i="1"/>
  <c r="K986" i="1" s="1"/>
  <c r="N986" i="1" s="1"/>
  <c r="Q986" i="1" s="1"/>
  <c r="S985" i="1"/>
  <c r="L985" i="1"/>
  <c r="O985" i="1" s="1"/>
  <c r="P985" i="1" s="1"/>
  <c r="R985" i="1" s="1"/>
  <c r="J985" i="1"/>
  <c r="I985" i="1"/>
  <c r="K985" i="1" s="1"/>
  <c r="N985" i="1" s="1"/>
  <c r="Q985" i="1" s="1"/>
  <c r="S984" i="1"/>
  <c r="L984" i="1"/>
  <c r="O984" i="1" s="1"/>
  <c r="P984" i="1" s="1"/>
  <c r="R984" i="1" s="1"/>
  <c r="K984" i="1"/>
  <c r="N984" i="1" s="1"/>
  <c r="Q984" i="1" s="1"/>
  <c r="J984" i="1"/>
  <c r="I984" i="1"/>
  <c r="M984" i="1" s="1"/>
  <c r="S983" i="1"/>
  <c r="O983" i="1"/>
  <c r="P983" i="1" s="1"/>
  <c r="R983" i="1" s="1"/>
  <c r="L983" i="1"/>
  <c r="K983" i="1"/>
  <c r="N983" i="1" s="1"/>
  <c r="Q983" i="1" s="1"/>
  <c r="J983" i="1"/>
  <c r="I983" i="1"/>
  <c r="M983" i="1" s="1"/>
  <c r="S982" i="1"/>
  <c r="O982" i="1"/>
  <c r="P982" i="1" s="1"/>
  <c r="R982" i="1" s="1"/>
  <c r="L982" i="1"/>
  <c r="J982" i="1"/>
  <c r="I982" i="1"/>
  <c r="K982" i="1" s="1"/>
  <c r="N982" i="1" s="1"/>
  <c r="Q982" i="1" s="1"/>
  <c r="S981" i="1"/>
  <c r="L981" i="1"/>
  <c r="O981" i="1" s="1"/>
  <c r="P981" i="1" s="1"/>
  <c r="R981" i="1" s="1"/>
  <c r="J981" i="1"/>
  <c r="I981" i="1"/>
  <c r="K981" i="1" s="1"/>
  <c r="N981" i="1" s="1"/>
  <c r="Q981" i="1" s="1"/>
  <c r="S980" i="1"/>
  <c r="L980" i="1"/>
  <c r="O980" i="1" s="1"/>
  <c r="P980" i="1" s="1"/>
  <c r="R980" i="1" s="1"/>
  <c r="K980" i="1"/>
  <c r="N980" i="1" s="1"/>
  <c r="Q980" i="1" s="1"/>
  <c r="J980" i="1"/>
  <c r="I980" i="1"/>
  <c r="M980" i="1" s="1"/>
  <c r="S979" i="1"/>
  <c r="O979" i="1"/>
  <c r="P979" i="1" s="1"/>
  <c r="R979" i="1" s="1"/>
  <c r="L979" i="1"/>
  <c r="K979" i="1"/>
  <c r="N979" i="1" s="1"/>
  <c r="Q979" i="1" s="1"/>
  <c r="J979" i="1"/>
  <c r="I979" i="1"/>
  <c r="M979" i="1" s="1"/>
  <c r="S978" i="1"/>
  <c r="O978" i="1"/>
  <c r="P978" i="1" s="1"/>
  <c r="R978" i="1" s="1"/>
  <c r="L978" i="1"/>
  <c r="J978" i="1"/>
  <c r="I978" i="1"/>
  <c r="K978" i="1" s="1"/>
  <c r="N978" i="1" s="1"/>
  <c r="Q978" i="1" s="1"/>
  <c r="S977" i="1"/>
  <c r="L977" i="1"/>
  <c r="O977" i="1" s="1"/>
  <c r="P977" i="1" s="1"/>
  <c r="R977" i="1" s="1"/>
  <c r="J977" i="1"/>
  <c r="I977" i="1"/>
  <c r="K977" i="1" s="1"/>
  <c r="N977" i="1" s="1"/>
  <c r="Q977" i="1" s="1"/>
  <c r="S976" i="1"/>
  <c r="L976" i="1"/>
  <c r="O976" i="1" s="1"/>
  <c r="P976" i="1" s="1"/>
  <c r="R976" i="1" s="1"/>
  <c r="K976" i="1"/>
  <c r="N976" i="1" s="1"/>
  <c r="Q976" i="1" s="1"/>
  <c r="J976" i="1"/>
  <c r="I976" i="1"/>
  <c r="M976" i="1" s="1"/>
  <c r="S975" i="1"/>
  <c r="O975" i="1"/>
  <c r="P975" i="1" s="1"/>
  <c r="R975" i="1" s="1"/>
  <c r="L975" i="1"/>
  <c r="K975" i="1"/>
  <c r="N975" i="1" s="1"/>
  <c r="Q975" i="1" s="1"/>
  <c r="J975" i="1"/>
  <c r="I975" i="1"/>
  <c r="M975" i="1" s="1"/>
  <c r="S974" i="1"/>
  <c r="O974" i="1"/>
  <c r="P974" i="1" s="1"/>
  <c r="R974" i="1" s="1"/>
  <c r="L974" i="1"/>
  <c r="J974" i="1"/>
  <c r="I974" i="1"/>
  <c r="K974" i="1" s="1"/>
  <c r="N974" i="1" s="1"/>
  <c r="Q974" i="1" s="1"/>
  <c r="S973" i="1"/>
  <c r="L973" i="1"/>
  <c r="O973" i="1" s="1"/>
  <c r="P973" i="1" s="1"/>
  <c r="R973" i="1" s="1"/>
  <c r="J973" i="1"/>
  <c r="I973" i="1"/>
  <c r="K973" i="1" s="1"/>
  <c r="N973" i="1" s="1"/>
  <c r="Q973" i="1" s="1"/>
  <c r="S972" i="1"/>
  <c r="L972" i="1"/>
  <c r="O972" i="1" s="1"/>
  <c r="P972" i="1" s="1"/>
  <c r="R972" i="1" s="1"/>
  <c r="K972" i="1"/>
  <c r="N972" i="1" s="1"/>
  <c r="Q972" i="1" s="1"/>
  <c r="J972" i="1"/>
  <c r="I972" i="1"/>
  <c r="M972" i="1" s="1"/>
  <c r="S971" i="1"/>
  <c r="O971" i="1"/>
  <c r="P971" i="1" s="1"/>
  <c r="R971" i="1" s="1"/>
  <c r="L971" i="1"/>
  <c r="K971" i="1"/>
  <c r="N971" i="1" s="1"/>
  <c r="Q971" i="1" s="1"/>
  <c r="J971" i="1"/>
  <c r="I971" i="1"/>
  <c r="M971" i="1" s="1"/>
  <c r="S970" i="1"/>
  <c r="O970" i="1"/>
  <c r="P970" i="1" s="1"/>
  <c r="R970" i="1" s="1"/>
  <c r="L970" i="1"/>
  <c r="J970" i="1"/>
  <c r="I970" i="1"/>
  <c r="K970" i="1" s="1"/>
  <c r="N970" i="1" s="1"/>
  <c r="Q970" i="1" s="1"/>
  <c r="S969" i="1"/>
  <c r="L969" i="1"/>
  <c r="O969" i="1" s="1"/>
  <c r="P969" i="1" s="1"/>
  <c r="R969" i="1" s="1"/>
  <c r="J969" i="1"/>
  <c r="I969" i="1"/>
  <c r="K969" i="1" s="1"/>
  <c r="N969" i="1" s="1"/>
  <c r="Q969" i="1" s="1"/>
  <c r="S968" i="1"/>
  <c r="L968" i="1"/>
  <c r="O968" i="1" s="1"/>
  <c r="P968" i="1" s="1"/>
  <c r="R968" i="1" s="1"/>
  <c r="K968" i="1"/>
  <c r="N968" i="1" s="1"/>
  <c r="Q968" i="1" s="1"/>
  <c r="J968" i="1"/>
  <c r="I968" i="1"/>
  <c r="M968" i="1" s="1"/>
  <c r="S967" i="1"/>
  <c r="O967" i="1"/>
  <c r="P967" i="1" s="1"/>
  <c r="R967" i="1" s="1"/>
  <c r="L967" i="1"/>
  <c r="K967" i="1"/>
  <c r="N967" i="1" s="1"/>
  <c r="Q967" i="1" s="1"/>
  <c r="J967" i="1"/>
  <c r="I967" i="1"/>
  <c r="M967" i="1" s="1"/>
  <c r="S966" i="1"/>
  <c r="O966" i="1"/>
  <c r="P966" i="1" s="1"/>
  <c r="R966" i="1" s="1"/>
  <c r="L966" i="1"/>
  <c r="J966" i="1"/>
  <c r="I966" i="1"/>
  <c r="K966" i="1" s="1"/>
  <c r="N966" i="1" s="1"/>
  <c r="Q966" i="1" s="1"/>
  <c r="S965" i="1"/>
  <c r="L965" i="1"/>
  <c r="O965" i="1" s="1"/>
  <c r="P965" i="1" s="1"/>
  <c r="R965" i="1" s="1"/>
  <c r="J965" i="1"/>
  <c r="I965" i="1"/>
  <c r="K965" i="1" s="1"/>
  <c r="N965" i="1" s="1"/>
  <c r="Q965" i="1" s="1"/>
  <c r="S964" i="1"/>
  <c r="L964" i="1"/>
  <c r="O964" i="1" s="1"/>
  <c r="P964" i="1" s="1"/>
  <c r="R964" i="1" s="1"/>
  <c r="K964" i="1"/>
  <c r="N964" i="1" s="1"/>
  <c r="Q964" i="1" s="1"/>
  <c r="J964" i="1"/>
  <c r="I964" i="1"/>
  <c r="M964" i="1" s="1"/>
  <c r="S963" i="1"/>
  <c r="O963" i="1"/>
  <c r="P963" i="1" s="1"/>
  <c r="R963" i="1" s="1"/>
  <c r="L963" i="1"/>
  <c r="K963" i="1"/>
  <c r="N963" i="1" s="1"/>
  <c r="Q963" i="1" s="1"/>
  <c r="J963" i="1"/>
  <c r="I963" i="1"/>
  <c r="M963" i="1" s="1"/>
  <c r="S962" i="1"/>
  <c r="R962" i="1"/>
  <c r="O962" i="1"/>
  <c r="P962" i="1" s="1"/>
  <c r="L962" i="1"/>
  <c r="J962" i="1"/>
  <c r="I962" i="1"/>
  <c r="K962" i="1" s="1"/>
  <c r="N962" i="1" s="1"/>
  <c r="Q962" i="1" s="1"/>
  <c r="S961" i="1"/>
  <c r="M961" i="1"/>
  <c r="L961" i="1"/>
  <c r="O961" i="1" s="1"/>
  <c r="P961" i="1" s="1"/>
  <c r="R961" i="1" s="1"/>
  <c r="J961" i="1"/>
  <c r="I961" i="1"/>
  <c r="K961" i="1" s="1"/>
  <c r="N961" i="1" s="1"/>
  <c r="Q961" i="1" s="1"/>
  <c r="S960" i="1"/>
  <c r="P960" i="1"/>
  <c r="R960" i="1" s="1"/>
  <c r="L960" i="1"/>
  <c r="O960" i="1" s="1"/>
  <c r="K960" i="1"/>
  <c r="N960" i="1" s="1"/>
  <c r="Q960" i="1" s="1"/>
  <c r="J960" i="1"/>
  <c r="I960" i="1"/>
  <c r="M960" i="1" s="1"/>
  <c r="S959" i="1"/>
  <c r="O959" i="1"/>
  <c r="P959" i="1" s="1"/>
  <c r="R959" i="1" s="1"/>
  <c r="L959" i="1"/>
  <c r="K959" i="1"/>
  <c r="N959" i="1" s="1"/>
  <c r="Q959" i="1" s="1"/>
  <c r="J959" i="1"/>
  <c r="I959" i="1"/>
  <c r="M959" i="1" s="1"/>
  <c r="S958" i="1"/>
  <c r="R958" i="1"/>
  <c r="O958" i="1"/>
  <c r="P958" i="1" s="1"/>
  <c r="N958" i="1"/>
  <c r="Q958" i="1" s="1"/>
  <c r="L958" i="1"/>
  <c r="J958" i="1"/>
  <c r="I958" i="1"/>
  <c r="K958" i="1" s="1"/>
  <c r="S957" i="1"/>
  <c r="L957" i="1"/>
  <c r="O957" i="1" s="1"/>
  <c r="P957" i="1" s="1"/>
  <c r="R957" i="1" s="1"/>
  <c r="J957" i="1"/>
  <c r="I957" i="1"/>
  <c r="K957" i="1" s="1"/>
  <c r="N957" i="1" s="1"/>
  <c r="Q957" i="1" s="1"/>
  <c r="S956" i="1"/>
  <c r="L956" i="1"/>
  <c r="O956" i="1" s="1"/>
  <c r="P956" i="1" s="1"/>
  <c r="R956" i="1" s="1"/>
  <c r="K956" i="1"/>
  <c r="N956" i="1" s="1"/>
  <c r="Q956" i="1" s="1"/>
  <c r="J956" i="1"/>
  <c r="I956" i="1"/>
  <c r="M956" i="1" s="1"/>
  <c r="S955" i="1"/>
  <c r="O955" i="1"/>
  <c r="P955" i="1" s="1"/>
  <c r="R955" i="1" s="1"/>
  <c r="L955" i="1"/>
  <c r="K955" i="1"/>
  <c r="N955" i="1" s="1"/>
  <c r="Q955" i="1" s="1"/>
  <c r="J955" i="1"/>
  <c r="I955" i="1"/>
  <c r="M955" i="1" s="1"/>
  <c r="S954" i="1"/>
  <c r="O954" i="1"/>
  <c r="P954" i="1" s="1"/>
  <c r="R954" i="1" s="1"/>
  <c r="N954" i="1"/>
  <c r="Q954" i="1" s="1"/>
  <c r="L954" i="1"/>
  <c r="J954" i="1"/>
  <c r="I954" i="1"/>
  <c r="K954" i="1" s="1"/>
  <c r="S953" i="1"/>
  <c r="L953" i="1"/>
  <c r="O953" i="1" s="1"/>
  <c r="P953" i="1" s="1"/>
  <c r="R953" i="1" s="1"/>
  <c r="J953" i="1"/>
  <c r="I953" i="1"/>
  <c r="K953" i="1" s="1"/>
  <c r="N953" i="1" s="1"/>
  <c r="Q953" i="1" s="1"/>
  <c r="S952" i="1"/>
  <c r="L952" i="1"/>
  <c r="O952" i="1" s="1"/>
  <c r="P952" i="1" s="1"/>
  <c r="R952" i="1" s="1"/>
  <c r="K952" i="1"/>
  <c r="N952" i="1" s="1"/>
  <c r="Q952" i="1" s="1"/>
  <c r="J952" i="1"/>
  <c r="I952" i="1"/>
  <c r="M952" i="1" s="1"/>
  <c r="S951" i="1"/>
  <c r="O951" i="1"/>
  <c r="P951" i="1" s="1"/>
  <c r="R951" i="1" s="1"/>
  <c r="L951" i="1"/>
  <c r="K951" i="1"/>
  <c r="N951" i="1" s="1"/>
  <c r="Q951" i="1" s="1"/>
  <c r="J951" i="1"/>
  <c r="I951" i="1"/>
  <c r="M951" i="1" s="1"/>
  <c r="S950" i="1"/>
  <c r="O950" i="1"/>
  <c r="P950" i="1" s="1"/>
  <c r="R950" i="1" s="1"/>
  <c r="L950" i="1"/>
  <c r="J950" i="1"/>
  <c r="I950" i="1"/>
  <c r="K950" i="1" s="1"/>
  <c r="N950" i="1" s="1"/>
  <c r="Q950" i="1" s="1"/>
  <c r="S949" i="1"/>
  <c r="M949" i="1"/>
  <c r="L949" i="1"/>
  <c r="O949" i="1" s="1"/>
  <c r="P949" i="1" s="1"/>
  <c r="R949" i="1" s="1"/>
  <c r="J949" i="1"/>
  <c r="I949" i="1"/>
  <c r="K949" i="1" s="1"/>
  <c r="N949" i="1" s="1"/>
  <c r="Q949" i="1" s="1"/>
  <c r="S948" i="1"/>
  <c r="P948" i="1"/>
  <c r="R948" i="1" s="1"/>
  <c r="L948" i="1"/>
  <c r="O948" i="1" s="1"/>
  <c r="K948" i="1"/>
  <c r="N948" i="1" s="1"/>
  <c r="Q948" i="1" s="1"/>
  <c r="J948" i="1"/>
  <c r="I948" i="1"/>
  <c r="M948" i="1" s="1"/>
  <c r="S947" i="1"/>
  <c r="O947" i="1"/>
  <c r="P947" i="1" s="1"/>
  <c r="R947" i="1" s="1"/>
  <c r="L947" i="1"/>
  <c r="K947" i="1"/>
  <c r="N947" i="1" s="1"/>
  <c r="Q947" i="1" s="1"/>
  <c r="J947" i="1"/>
  <c r="I947" i="1"/>
  <c r="M947" i="1" s="1"/>
  <c r="S946" i="1"/>
  <c r="R946" i="1"/>
  <c r="O946" i="1"/>
  <c r="P946" i="1" s="1"/>
  <c r="L946" i="1"/>
  <c r="J946" i="1"/>
  <c r="I946" i="1"/>
  <c r="K946" i="1" s="1"/>
  <c r="N946" i="1" s="1"/>
  <c r="Q946" i="1" s="1"/>
  <c r="S945" i="1"/>
  <c r="M945" i="1"/>
  <c r="L945" i="1"/>
  <c r="O945" i="1" s="1"/>
  <c r="P945" i="1" s="1"/>
  <c r="R945" i="1" s="1"/>
  <c r="J945" i="1"/>
  <c r="I945" i="1"/>
  <c r="K945" i="1" s="1"/>
  <c r="N945" i="1" s="1"/>
  <c r="Q945" i="1" s="1"/>
  <c r="S944" i="1"/>
  <c r="P944" i="1"/>
  <c r="R944" i="1" s="1"/>
  <c r="L944" i="1"/>
  <c r="O944" i="1" s="1"/>
  <c r="K944" i="1"/>
  <c r="N944" i="1" s="1"/>
  <c r="Q944" i="1" s="1"/>
  <c r="J944" i="1"/>
  <c r="I944" i="1"/>
  <c r="M944" i="1" s="1"/>
  <c r="S943" i="1"/>
  <c r="O943" i="1"/>
  <c r="P943" i="1" s="1"/>
  <c r="R943" i="1" s="1"/>
  <c r="L943" i="1"/>
  <c r="K943" i="1"/>
  <c r="N943" i="1" s="1"/>
  <c r="Q943" i="1" s="1"/>
  <c r="J943" i="1"/>
  <c r="I943" i="1"/>
  <c r="M943" i="1" s="1"/>
  <c r="S942" i="1"/>
  <c r="R942" i="1"/>
  <c r="O942" i="1"/>
  <c r="P942" i="1" s="1"/>
  <c r="N942" i="1"/>
  <c r="Q942" i="1" s="1"/>
  <c r="L942" i="1"/>
  <c r="J942" i="1"/>
  <c r="I942" i="1"/>
  <c r="K942" i="1" s="1"/>
  <c r="S941" i="1"/>
  <c r="L941" i="1"/>
  <c r="O941" i="1" s="1"/>
  <c r="P941" i="1" s="1"/>
  <c r="R941" i="1" s="1"/>
  <c r="J941" i="1"/>
  <c r="I941" i="1"/>
  <c r="K941" i="1" s="1"/>
  <c r="N941" i="1" s="1"/>
  <c r="Q941" i="1" s="1"/>
  <c r="S940" i="1"/>
  <c r="L940" i="1"/>
  <c r="O940" i="1" s="1"/>
  <c r="P940" i="1" s="1"/>
  <c r="R940" i="1" s="1"/>
  <c r="K940" i="1"/>
  <c r="N940" i="1" s="1"/>
  <c r="Q940" i="1" s="1"/>
  <c r="J940" i="1"/>
  <c r="I940" i="1"/>
  <c r="M940" i="1" s="1"/>
  <c r="S939" i="1"/>
  <c r="O939" i="1"/>
  <c r="P939" i="1" s="1"/>
  <c r="R939" i="1" s="1"/>
  <c r="L939" i="1"/>
  <c r="K939" i="1"/>
  <c r="N939" i="1" s="1"/>
  <c r="Q939" i="1" s="1"/>
  <c r="J939" i="1"/>
  <c r="I939" i="1"/>
  <c r="M939" i="1" s="1"/>
  <c r="S938" i="1"/>
  <c r="O938" i="1"/>
  <c r="P938" i="1" s="1"/>
  <c r="R938" i="1" s="1"/>
  <c r="N938" i="1"/>
  <c r="Q938" i="1" s="1"/>
  <c r="L938" i="1"/>
  <c r="J938" i="1"/>
  <c r="I938" i="1"/>
  <c r="K938" i="1" s="1"/>
  <c r="S937" i="1"/>
  <c r="L937" i="1"/>
  <c r="O937" i="1" s="1"/>
  <c r="P937" i="1" s="1"/>
  <c r="R937" i="1" s="1"/>
  <c r="J937" i="1"/>
  <c r="I937" i="1"/>
  <c r="K937" i="1" s="1"/>
  <c r="N937" i="1" s="1"/>
  <c r="Q937" i="1" s="1"/>
  <c r="S936" i="1"/>
  <c r="L936" i="1"/>
  <c r="O936" i="1" s="1"/>
  <c r="P936" i="1" s="1"/>
  <c r="R936" i="1" s="1"/>
  <c r="K936" i="1"/>
  <c r="N936" i="1" s="1"/>
  <c r="Q936" i="1" s="1"/>
  <c r="J936" i="1"/>
  <c r="I936" i="1"/>
  <c r="M936" i="1" s="1"/>
  <c r="S935" i="1"/>
  <c r="O935" i="1"/>
  <c r="P935" i="1" s="1"/>
  <c r="R935" i="1" s="1"/>
  <c r="L935" i="1"/>
  <c r="K935" i="1"/>
  <c r="N935" i="1" s="1"/>
  <c r="Q935" i="1" s="1"/>
  <c r="J935" i="1"/>
  <c r="I935" i="1"/>
  <c r="M935" i="1" s="1"/>
  <c r="S934" i="1"/>
  <c r="O934" i="1"/>
  <c r="P934" i="1" s="1"/>
  <c r="R934" i="1" s="1"/>
  <c r="L934" i="1"/>
  <c r="J934" i="1"/>
  <c r="I934" i="1"/>
  <c r="K934" i="1" s="1"/>
  <c r="N934" i="1" s="1"/>
  <c r="Q934" i="1" s="1"/>
  <c r="S933" i="1"/>
  <c r="M933" i="1"/>
  <c r="L933" i="1"/>
  <c r="O933" i="1" s="1"/>
  <c r="P933" i="1" s="1"/>
  <c r="R933" i="1" s="1"/>
  <c r="J933" i="1"/>
  <c r="I933" i="1"/>
  <c r="K933" i="1" s="1"/>
  <c r="N933" i="1" s="1"/>
  <c r="Q933" i="1" s="1"/>
  <c r="S932" i="1"/>
  <c r="P932" i="1"/>
  <c r="R932" i="1" s="1"/>
  <c r="L932" i="1"/>
  <c r="O932" i="1" s="1"/>
  <c r="K932" i="1"/>
  <c r="N932" i="1" s="1"/>
  <c r="Q932" i="1" s="1"/>
  <c r="J932" i="1"/>
  <c r="I932" i="1"/>
  <c r="M932" i="1" s="1"/>
  <c r="S931" i="1"/>
  <c r="O931" i="1"/>
  <c r="P931" i="1" s="1"/>
  <c r="R931" i="1" s="1"/>
  <c r="L931" i="1"/>
  <c r="K931" i="1"/>
  <c r="N931" i="1" s="1"/>
  <c r="Q931" i="1" s="1"/>
  <c r="J931" i="1"/>
  <c r="I931" i="1"/>
  <c r="M931" i="1" s="1"/>
  <c r="S930" i="1"/>
  <c r="R930" i="1"/>
  <c r="O930" i="1"/>
  <c r="P930" i="1" s="1"/>
  <c r="L930" i="1"/>
  <c r="J930" i="1"/>
  <c r="I930" i="1"/>
  <c r="K930" i="1" s="1"/>
  <c r="N930" i="1" s="1"/>
  <c r="Q930" i="1" s="1"/>
  <c r="S929" i="1"/>
  <c r="M929" i="1"/>
  <c r="L929" i="1"/>
  <c r="O929" i="1" s="1"/>
  <c r="P929" i="1" s="1"/>
  <c r="R929" i="1" s="1"/>
  <c r="J929" i="1"/>
  <c r="I929" i="1"/>
  <c r="K929" i="1" s="1"/>
  <c r="N929" i="1" s="1"/>
  <c r="Q929" i="1" s="1"/>
  <c r="S928" i="1"/>
  <c r="P928" i="1"/>
  <c r="R928" i="1" s="1"/>
  <c r="L928" i="1"/>
  <c r="O928" i="1" s="1"/>
  <c r="K928" i="1"/>
  <c r="N928" i="1" s="1"/>
  <c r="Q928" i="1" s="1"/>
  <c r="J928" i="1"/>
  <c r="I928" i="1"/>
  <c r="M928" i="1" s="1"/>
  <c r="S927" i="1"/>
  <c r="O927" i="1"/>
  <c r="P927" i="1" s="1"/>
  <c r="R927" i="1" s="1"/>
  <c r="L927" i="1"/>
  <c r="K927" i="1"/>
  <c r="N927" i="1" s="1"/>
  <c r="Q927" i="1" s="1"/>
  <c r="J927" i="1"/>
  <c r="I927" i="1"/>
  <c r="M927" i="1" s="1"/>
  <c r="S926" i="1"/>
  <c r="R926" i="1"/>
  <c r="O926" i="1"/>
  <c r="P926" i="1" s="1"/>
  <c r="N926" i="1"/>
  <c r="Q926" i="1" s="1"/>
  <c r="L926" i="1"/>
  <c r="J926" i="1"/>
  <c r="I926" i="1"/>
  <c r="K926" i="1" s="1"/>
  <c r="S925" i="1"/>
  <c r="L925" i="1"/>
  <c r="O925" i="1" s="1"/>
  <c r="P925" i="1" s="1"/>
  <c r="R925" i="1" s="1"/>
  <c r="J925" i="1"/>
  <c r="I925" i="1"/>
  <c r="K925" i="1" s="1"/>
  <c r="N925" i="1" s="1"/>
  <c r="Q925" i="1" s="1"/>
  <c r="S924" i="1"/>
  <c r="L924" i="1"/>
  <c r="O924" i="1" s="1"/>
  <c r="P924" i="1" s="1"/>
  <c r="R924" i="1" s="1"/>
  <c r="K924" i="1"/>
  <c r="N924" i="1" s="1"/>
  <c r="Q924" i="1" s="1"/>
  <c r="J924" i="1"/>
  <c r="I924" i="1"/>
  <c r="M924" i="1" s="1"/>
  <c r="S923" i="1"/>
  <c r="O923" i="1"/>
  <c r="P923" i="1" s="1"/>
  <c r="R923" i="1" s="1"/>
  <c r="L923" i="1"/>
  <c r="K923" i="1"/>
  <c r="N923" i="1" s="1"/>
  <c r="Q923" i="1" s="1"/>
  <c r="J923" i="1"/>
  <c r="I923" i="1"/>
  <c r="M923" i="1" s="1"/>
  <c r="S922" i="1"/>
  <c r="O922" i="1"/>
  <c r="P922" i="1" s="1"/>
  <c r="R922" i="1" s="1"/>
  <c r="N922" i="1"/>
  <c r="Q922" i="1" s="1"/>
  <c r="L922" i="1"/>
  <c r="J922" i="1"/>
  <c r="I922" i="1"/>
  <c r="K922" i="1" s="1"/>
  <c r="S921" i="1"/>
  <c r="L921" i="1"/>
  <c r="O921" i="1" s="1"/>
  <c r="P921" i="1" s="1"/>
  <c r="R921" i="1" s="1"/>
  <c r="J921" i="1"/>
  <c r="I921" i="1"/>
  <c r="K921" i="1" s="1"/>
  <c r="N921" i="1" s="1"/>
  <c r="Q921" i="1" s="1"/>
  <c r="S920" i="1"/>
  <c r="L920" i="1"/>
  <c r="O920" i="1" s="1"/>
  <c r="P920" i="1" s="1"/>
  <c r="R920" i="1" s="1"/>
  <c r="K920" i="1"/>
  <c r="N920" i="1" s="1"/>
  <c r="Q920" i="1" s="1"/>
  <c r="J920" i="1"/>
  <c r="I920" i="1"/>
  <c r="M920" i="1" s="1"/>
  <c r="S919" i="1"/>
  <c r="O919" i="1"/>
  <c r="P919" i="1" s="1"/>
  <c r="R919" i="1" s="1"/>
  <c r="L919" i="1"/>
  <c r="K919" i="1"/>
  <c r="N919" i="1" s="1"/>
  <c r="Q919" i="1" s="1"/>
  <c r="J919" i="1"/>
  <c r="I919" i="1"/>
  <c r="M919" i="1" s="1"/>
  <c r="S918" i="1"/>
  <c r="O918" i="1"/>
  <c r="P918" i="1" s="1"/>
  <c r="R918" i="1" s="1"/>
  <c r="L918" i="1"/>
  <c r="J918" i="1"/>
  <c r="I918" i="1"/>
  <c r="K918" i="1" s="1"/>
  <c r="N918" i="1" s="1"/>
  <c r="Q918" i="1" s="1"/>
  <c r="S917" i="1"/>
  <c r="M917" i="1"/>
  <c r="L917" i="1"/>
  <c r="O917" i="1" s="1"/>
  <c r="P917" i="1" s="1"/>
  <c r="R917" i="1" s="1"/>
  <c r="J917" i="1"/>
  <c r="I917" i="1"/>
  <c r="K917" i="1" s="1"/>
  <c r="N917" i="1" s="1"/>
  <c r="Q917" i="1" s="1"/>
  <c r="S916" i="1"/>
  <c r="P916" i="1"/>
  <c r="R916" i="1" s="1"/>
  <c r="L916" i="1"/>
  <c r="O916" i="1" s="1"/>
  <c r="K916" i="1"/>
  <c r="N916" i="1" s="1"/>
  <c r="Q916" i="1" s="1"/>
  <c r="J916" i="1"/>
  <c r="I916" i="1"/>
  <c r="M916" i="1" s="1"/>
  <c r="S915" i="1"/>
  <c r="O915" i="1"/>
  <c r="P915" i="1" s="1"/>
  <c r="R915" i="1" s="1"/>
  <c r="L915" i="1"/>
  <c r="K915" i="1"/>
  <c r="N915" i="1" s="1"/>
  <c r="Q915" i="1" s="1"/>
  <c r="J915" i="1"/>
  <c r="I915" i="1"/>
  <c r="M915" i="1" s="1"/>
  <c r="S914" i="1"/>
  <c r="R914" i="1"/>
  <c r="O914" i="1"/>
  <c r="P914" i="1" s="1"/>
  <c r="L914" i="1"/>
  <c r="J914" i="1"/>
  <c r="I914" i="1"/>
  <c r="K914" i="1" s="1"/>
  <c r="N914" i="1" s="1"/>
  <c r="Q914" i="1" s="1"/>
  <c r="S913" i="1"/>
  <c r="M913" i="1"/>
  <c r="L913" i="1"/>
  <c r="O913" i="1" s="1"/>
  <c r="P913" i="1" s="1"/>
  <c r="R913" i="1" s="1"/>
  <c r="J913" i="1"/>
  <c r="I913" i="1"/>
  <c r="K913" i="1" s="1"/>
  <c r="N913" i="1" s="1"/>
  <c r="Q913" i="1" s="1"/>
  <c r="S912" i="1"/>
  <c r="P912" i="1"/>
  <c r="R912" i="1" s="1"/>
  <c r="L912" i="1"/>
  <c r="O912" i="1" s="1"/>
  <c r="K912" i="1"/>
  <c r="N912" i="1" s="1"/>
  <c r="Q912" i="1" s="1"/>
  <c r="J912" i="1"/>
  <c r="I912" i="1"/>
  <c r="M912" i="1" s="1"/>
  <c r="S911" i="1"/>
  <c r="O911" i="1"/>
  <c r="P911" i="1" s="1"/>
  <c r="R911" i="1" s="1"/>
  <c r="L911" i="1"/>
  <c r="K911" i="1"/>
  <c r="N911" i="1" s="1"/>
  <c r="Q911" i="1" s="1"/>
  <c r="J911" i="1"/>
  <c r="I911" i="1"/>
  <c r="M911" i="1" s="1"/>
  <c r="S910" i="1"/>
  <c r="R910" i="1"/>
  <c r="O910" i="1"/>
  <c r="P910" i="1" s="1"/>
  <c r="L910" i="1"/>
  <c r="J910" i="1"/>
  <c r="I910" i="1"/>
  <c r="S909" i="1"/>
  <c r="L909" i="1"/>
  <c r="O909" i="1" s="1"/>
  <c r="P909" i="1" s="1"/>
  <c r="R909" i="1" s="1"/>
  <c r="J909" i="1"/>
  <c r="I909" i="1"/>
  <c r="K909" i="1" s="1"/>
  <c r="N909" i="1" s="1"/>
  <c r="Q909" i="1" s="1"/>
  <c r="S908" i="1"/>
  <c r="L908" i="1"/>
  <c r="O908" i="1" s="1"/>
  <c r="P908" i="1" s="1"/>
  <c r="R908" i="1" s="1"/>
  <c r="K908" i="1"/>
  <c r="N908" i="1" s="1"/>
  <c r="Q908" i="1" s="1"/>
  <c r="J908" i="1"/>
  <c r="I908" i="1"/>
  <c r="M908" i="1" s="1"/>
  <c r="S907" i="1"/>
  <c r="O907" i="1"/>
  <c r="P907" i="1" s="1"/>
  <c r="R907" i="1" s="1"/>
  <c r="L907" i="1"/>
  <c r="K907" i="1"/>
  <c r="N907" i="1" s="1"/>
  <c r="Q907" i="1" s="1"/>
  <c r="J907" i="1"/>
  <c r="I907" i="1"/>
  <c r="M907" i="1" s="1"/>
  <c r="S906" i="1"/>
  <c r="O906" i="1"/>
  <c r="P906" i="1" s="1"/>
  <c r="R906" i="1" s="1"/>
  <c r="N906" i="1"/>
  <c r="Q906" i="1" s="1"/>
  <c r="L906" i="1"/>
  <c r="J906" i="1"/>
  <c r="I906" i="1"/>
  <c r="K906" i="1" s="1"/>
  <c r="S905" i="1"/>
  <c r="L905" i="1"/>
  <c r="O905" i="1" s="1"/>
  <c r="P905" i="1" s="1"/>
  <c r="R905" i="1" s="1"/>
  <c r="J905" i="1"/>
  <c r="I905" i="1"/>
  <c r="K905" i="1" s="1"/>
  <c r="N905" i="1" s="1"/>
  <c r="Q905" i="1" s="1"/>
  <c r="S904" i="1"/>
  <c r="L904" i="1"/>
  <c r="O904" i="1" s="1"/>
  <c r="P904" i="1" s="1"/>
  <c r="R904" i="1" s="1"/>
  <c r="K904" i="1"/>
  <c r="N904" i="1" s="1"/>
  <c r="Q904" i="1" s="1"/>
  <c r="J904" i="1"/>
  <c r="I904" i="1"/>
  <c r="M904" i="1" s="1"/>
  <c r="S903" i="1"/>
  <c r="O903" i="1"/>
  <c r="P903" i="1" s="1"/>
  <c r="R903" i="1" s="1"/>
  <c r="L903" i="1"/>
  <c r="K903" i="1"/>
  <c r="N903" i="1" s="1"/>
  <c r="Q903" i="1" s="1"/>
  <c r="J903" i="1"/>
  <c r="I903" i="1"/>
  <c r="M903" i="1" s="1"/>
  <c r="S902" i="1"/>
  <c r="O902" i="1"/>
  <c r="P902" i="1" s="1"/>
  <c r="R902" i="1" s="1"/>
  <c r="M902" i="1"/>
  <c r="L902" i="1"/>
  <c r="J902" i="1"/>
  <c r="I902" i="1"/>
  <c r="K902" i="1" s="1"/>
  <c r="N902" i="1" s="1"/>
  <c r="Q902" i="1" s="1"/>
  <c r="S901" i="1"/>
  <c r="Q901" i="1"/>
  <c r="P901" i="1"/>
  <c r="R901" i="1" s="1"/>
  <c r="L901" i="1"/>
  <c r="O901" i="1" s="1"/>
  <c r="J901" i="1"/>
  <c r="I901" i="1"/>
  <c r="K901" i="1" s="1"/>
  <c r="N901" i="1" s="1"/>
  <c r="S900" i="1"/>
  <c r="O900" i="1"/>
  <c r="P900" i="1" s="1"/>
  <c r="R900" i="1" s="1"/>
  <c r="L900" i="1"/>
  <c r="K900" i="1"/>
  <c r="N900" i="1" s="1"/>
  <c r="Q900" i="1" s="1"/>
  <c r="J900" i="1"/>
  <c r="I900" i="1"/>
  <c r="M900" i="1" s="1"/>
  <c r="S899" i="1"/>
  <c r="O899" i="1"/>
  <c r="P899" i="1" s="1"/>
  <c r="R899" i="1" s="1"/>
  <c r="N899" i="1"/>
  <c r="Q899" i="1" s="1"/>
  <c r="L899" i="1"/>
  <c r="K899" i="1"/>
  <c r="J899" i="1"/>
  <c r="I899" i="1"/>
  <c r="M899" i="1" s="1"/>
  <c r="S898" i="1"/>
  <c r="L898" i="1"/>
  <c r="O898" i="1" s="1"/>
  <c r="P898" i="1" s="1"/>
  <c r="R898" i="1" s="1"/>
  <c r="J898" i="1"/>
  <c r="I898" i="1"/>
  <c r="K898" i="1" s="1"/>
  <c r="N898" i="1" s="1"/>
  <c r="Q898" i="1" s="1"/>
  <c r="S897" i="1"/>
  <c r="M897" i="1"/>
  <c r="L897" i="1"/>
  <c r="O897" i="1" s="1"/>
  <c r="P897" i="1" s="1"/>
  <c r="R897" i="1" s="1"/>
  <c r="J897" i="1"/>
  <c r="I897" i="1"/>
  <c r="K897" i="1" s="1"/>
  <c r="N897" i="1" s="1"/>
  <c r="Q897" i="1" s="1"/>
  <c r="S896" i="1"/>
  <c r="L896" i="1"/>
  <c r="O896" i="1" s="1"/>
  <c r="P896" i="1" s="1"/>
  <c r="R896" i="1" s="1"/>
  <c r="K896" i="1"/>
  <c r="N896" i="1" s="1"/>
  <c r="Q896" i="1" s="1"/>
  <c r="J896" i="1"/>
  <c r="I896" i="1"/>
  <c r="M896" i="1" s="1"/>
  <c r="S895" i="1"/>
  <c r="R895" i="1"/>
  <c r="O895" i="1"/>
  <c r="P895" i="1" s="1"/>
  <c r="L895" i="1"/>
  <c r="K895" i="1"/>
  <c r="N895" i="1" s="1"/>
  <c r="Q895" i="1" s="1"/>
  <c r="J895" i="1"/>
  <c r="I895" i="1"/>
  <c r="M895" i="1" s="1"/>
  <c r="S894" i="1"/>
  <c r="R894" i="1"/>
  <c r="O894" i="1"/>
  <c r="P894" i="1" s="1"/>
  <c r="L894" i="1"/>
  <c r="J894" i="1"/>
  <c r="I894" i="1"/>
  <c r="K894" i="1" s="1"/>
  <c r="N894" i="1" s="1"/>
  <c r="Q894" i="1" s="1"/>
  <c r="S893" i="1"/>
  <c r="P893" i="1"/>
  <c r="R893" i="1" s="1"/>
  <c r="L893" i="1"/>
  <c r="O893" i="1" s="1"/>
  <c r="J893" i="1"/>
  <c r="I893" i="1"/>
  <c r="K893" i="1" s="1"/>
  <c r="N893" i="1" s="1"/>
  <c r="Q893" i="1" s="1"/>
  <c r="S892" i="1"/>
  <c r="P892" i="1"/>
  <c r="R892" i="1" s="1"/>
  <c r="O892" i="1"/>
  <c r="L892" i="1"/>
  <c r="K892" i="1"/>
  <c r="N892" i="1" s="1"/>
  <c r="Q892" i="1" s="1"/>
  <c r="J892" i="1"/>
  <c r="I892" i="1"/>
  <c r="M892" i="1" s="1"/>
  <c r="S891" i="1"/>
  <c r="L891" i="1"/>
  <c r="O891" i="1" s="1"/>
  <c r="P891" i="1" s="1"/>
  <c r="R891" i="1" s="1"/>
  <c r="K891" i="1"/>
  <c r="N891" i="1" s="1"/>
  <c r="Q891" i="1" s="1"/>
  <c r="J891" i="1"/>
  <c r="I891" i="1"/>
  <c r="M891" i="1" s="1"/>
  <c r="S890" i="1"/>
  <c r="R890" i="1"/>
  <c r="O890" i="1"/>
  <c r="P890" i="1" s="1"/>
  <c r="L890" i="1"/>
  <c r="J890" i="1"/>
  <c r="I890" i="1"/>
  <c r="K890" i="1" s="1"/>
  <c r="N890" i="1" s="1"/>
  <c r="Q890" i="1" s="1"/>
  <c r="S889" i="1"/>
  <c r="M889" i="1"/>
  <c r="L889" i="1"/>
  <c r="O889" i="1" s="1"/>
  <c r="P889" i="1" s="1"/>
  <c r="R889" i="1" s="1"/>
  <c r="J889" i="1"/>
  <c r="I889" i="1"/>
  <c r="K889" i="1" s="1"/>
  <c r="N889" i="1" s="1"/>
  <c r="Q889" i="1" s="1"/>
  <c r="S888" i="1"/>
  <c r="Q888" i="1"/>
  <c r="L888" i="1"/>
  <c r="O888" i="1" s="1"/>
  <c r="P888" i="1" s="1"/>
  <c r="R888" i="1" s="1"/>
  <c r="K888" i="1"/>
  <c r="N888" i="1" s="1"/>
  <c r="J888" i="1"/>
  <c r="I888" i="1"/>
  <c r="M888" i="1" s="1"/>
  <c r="S887" i="1"/>
  <c r="N887" i="1"/>
  <c r="Q887" i="1" s="1"/>
  <c r="L887" i="1"/>
  <c r="O887" i="1" s="1"/>
  <c r="P887" i="1" s="1"/>
  <c r="R887" i="1" s="1"/>
  <c r="K887" i="1"/>
  <c r="J887" i="1"/>
  <c r="I887" i="1"/>
  <c r="M887" i="1" s="1"/>
  <c r="S886" i="1"/>
  <c r="O886" i="1"/>
  <c r="P886" i="1" s="1"/>
  <c r="R886" i="1" s="1"/>
  <c r="L886" i="1"/>
  <c r="K886" i="1"/>
  <c r="N886" i="1" s="1"/>
  <c r="Q886" i="1" s="1"/>
  <c r="J886" i="1"/>
  <c r="I886" i="1"/>
  <c r="M886" i="1" s="1"/>
  <c r="S885" i="1"/>
  <c r="M885" i="1"/>
  <c r="L885" i="1"/>
  <c r="O885" i="1" s="1"/>
  <c r="P885" i="1" s="1"/>
  <c r="R885" i="1" s="1"/>
  <c r="J885" i="1"/>
  <c r="I885" i="1"/>
  <c r="K885" i="1" s="1"/>
  <c r="N885" i="1" s="1"/>
  <c r="Q885" i="1" s="1"/>
  <c r="S884" i="1"/>
  <c r="O884" i="1"/>
  <c r="P884" i="1" s="1"/>
  <c r="R884" i="1" s="1"/>
  <c r="L884" i="1"/>
  <c r="J884" i="1"/>
  <c r="I884" i="1"/>
  <c r="K884" i="1" s="1"/>
  <c r="N884" i="1" s="1"/>
  <c r="Q884" i="1" s="1"/>
  <c r="S883" i="1"/>
  <c r="O883" i="1"/>
  <c r="P883" i="1" s="1"/>
  <c r="R883" i="1" s="1"/>
  <c r="L883" i="1"/>
  <c r="K883" i="1"/>
  <c r="N883" i="1" s="1"/>
  <c r="Q883" i="1" s="1"/>
  <c r="J883" i="1"/>
  <c r="I883" i="1"/>
  <c r="M883" i="1" s="1"/>
  <c r="S882" i="1"/>
  <c r="R882" i="1"/>
  <c r="O882" i="1"/>
  <c r="P882" i="1" s="1"/>
  <c r="L882" i="1"/>
  <c r="J882" i="1"/>
  <c r="I882" i="1"/>
  <c r="M882" i="1" s="1"/>
  <c r="S881" i="1"/>
  <c r="P881" i="1"/>
  <c r="R881" i="1" s="1"/>
  <c r="L881" i="1"/>
  <c r="O881" i="1" s="1"/>
  <c r="J881" i="1"/>
  <c r="I881" i="1"/>
  <c r="K881" i="1" s="1"/>
  <c r="N881" i="1" s="1"/>
  <c r="Q881" i="1" s="1"/>
  <c r="S880" i="1"/>
  <c r="O880" i="1"/>
  <c r="P880" i="1" s="1"/>
  <c r="R880" i="1" s="1"/>
  <c r="L880" i="1"/>
  <c r="K880" i="1"/>
  <c r="N880" i="1" s="1"/>
  <c r="Q880" i="1" s="1"/>
  <c r="J880" i="1"/>
  <c r="I880" i="1"/>
  <c r="M880" i="1" s="1"/>
  <c r="S879" i="1"/>
  <c r="L879" i="1"/>
  <c r="O879" i="1" s="1"/>
  <c r="P879" i="1" s="1"/>
  <c r="R879" i="1" s="1"/>
  <c r="K879" i="1"/>
  <c r="N879" i="1" s="1"/>
  <c r="Q879" i="1" s="1"/>
  <c r="J879" i="1"/>
  <c r="I879" i="1"/>
  <c r="M879" i="1" s="1"/>
  <c r="S878" i="1"/>
  <c r="R878" i="1"/>
  <c r="O878" i="1"/>
  <c r="P878" i="1" s="1"/>
  <c r="L878" i="1"/>
  <c r="J878" i="1"/>
  <c r="I878" i="1"/>
  <c r="K878" i="1" s="1"/>
  <c r="N878" i="1" s="1"/>
  <c r="Q878" i="1" s="1"/>
  <c r="S877" i="1"/>
  <c r="P877" i="1"/>
  <c r="R877" i="1" s="1"/>
  <c r="L877" i="1"/>
  <c r="O877" i="1" s="1"/>
  <c r="J877" i="1"/>
  <c r="I877" i="1"/>
  <c r="K877" i="1" s="1"/>
  <c r="N877" i="1" s="1"/>
  <c r="Q877" i="1" s="1"/>
  <c r="S876" i="1"/>
  <c r="L876" i="1"/>
  <c r="O876" i="1" s="1"/>
  <c r="P876" i="1" s="1"/>
  <c r="R876" i="1" s="1"/>
  <c r="K876" i="1"/>
  <c r="N876" i="1" s="1"/>
  <c r="Q876" i="1" s="1"/>
  <c r="J876" i="1"/>
  <c r="I876" i="1"/>
  <c r="M876" i="1" s="1"/>
  <c r="S875" i="1"/>
  <c r="N875" i="1"/>
  <c r="Q875" i="1" s="1"/>
  <c r="L875" i="1"/>
  <c r="O875" i="1" s="1"/>
  <c r="P875" i="1" s="1"/>
  <c r="R875" i="1" s="1"/>
  <c r="K875" i="1"/>
  <c r="J875" i="1"/>
  <c r="I875" i="1"/>
  <c r="M875" i="1" s="1"/>
  <c r="S874" i="1"/>
  <c r="O874" i="1"/>
  <c r="P874" i="1" s="1"/>
  <c r="R874" i="1" s="1"/>
  <c r="N874" i="1"/>
  <c r="Q874" i="1" s="1"/>
  <c r="L874" i="1"/>
  <c r="K874" i="1"/>
  <c r="J874" i="1"/>
  <c r="I874" i="1"/>
  <c r="M874" i="1" s="1"/>
  <c r="S873" i="1"/>
  <c r="M873" i="1"/>
  <c r="L873" i="1"/>
  <c r="O873" i="1" s="1"/>
  <c r="P873" i="1" s="1"/>
  <c r="R873" i="1" s="1"/>
  <c r="J873" i="1"/>
  <c r="I873" i="1"/>
  <c r="K873" i="1" s="1"/>
  <c r="N873" i="1" s="1"/>
  <c r="Q873" i="1" s="1"/>
  <c r="S872" i="1"/>
  <c r="O872" i="1"/>
  <c r="P872" i="1" s="1"/>
  <c r="R872" i="1" s="1"/>
  <c r="N872" i="1"/>
  <c r="Q872" i="1" s="1"/>
  <c r="L872" i="1"/>
  <c r="K872" i="1"/>
  <c r="J872" i="1"/>
  <c r="I872" i="1"/>
  <c r="M872" i="1" s="1"/>
  <c r="S871" i="1"/>
  <c r="L871" i="1"/>
  <c r="O871" i="1" s="1"/>
  <c r="P871" i="1" s="1"/>
  <c r="R871" i="1" s="1"/>
  <c r="J871" i="1"/>
  <c r="I871" i="1"/>
  <c r="K871" i="1" s="1"/>
  <c r="N871" i="1" s="1"/>
  <c r="Q871" i="1" s="1"/>
  <c r="S870" i="1"/>
  <c r="L870" i="1"/>
  <c r="O870" i="1" s="1"/>
  <c r="P870" i="1" s="1"/>
  <c r="R870" i="1" s="1"/>
  <c r="J870" i="1"/>
  <c r="I870" i="1"/>
  <c r="M870" i="1" s="1"/>
  <c r="S869" i="1"/>
  <c r="O869" i="1"/>
  <c r="P869" i="1" s="1"/>
  <c r="R869" i="1" s="1"/>
  <c r="L869" i="1"/>
  <c r="K869" i="1"/>
  <c r="N869" i="1" s="1"/>
  <c r="Q869" i="1" s="1"/>
  <c r="J869" i="1"/>
  <c r="I869" i="1"/>
  <c r="M869" i="1" s="1"/>
  <c r="S868" i="1"/>
  <c r="O868" i="1"/>
  <c r="P868" i="1" s="1"/>
  <c r="R868" i="1" s="1"/>
  <c r="N868" i="1"/>
  <c r="Q868" i="1" s="1"/>
  <c r="L868" i="1"/>
  <c r="K868" i="1"/>
  <c r="J868" i="1"/>
  <c r="I868" i="1"/>
  <c r="M868" i="1" s="1"/>
  <c r="S867" i="1"/>
  <c r="L867" i="1"/>
  <c r="O867" i="1" s="1"/>
  <c r="P867" i="1" s="1"/>
  <c r="R867" i="1" s="1"/>
  <c r="J867" i="1"/>
  <c r="I867" i="1"/>
  <c r="K867" i="1" s="1"/>
  <c r="N867" i="1" s="1"/>
  <c r="Q867" i="1" s="1"/>
  <c r="S866" i="1"/>
  <c r="L866" i="1"/>
  <c r="O866" i="1" s="1"/>
  <c r="P866" i="1" s="1"/>
  <c r="R866" i="1" s="1"/>
  <c r="J866" i="1"/>
  <c r="I866" i="1"/>
  <c r="M866" i="1" s="1"/>
  <c r="S865" i="1"/>
  <c r="O865" i="1"/>
  <c r="P865" i="1" s="1"/>
  <c r="R865" i="1" s="1"/>
  <c r="L865" i="1"/>
  <c r="K865" i="1"/>
  <c r="N865" i="1" s="1"/>
  <c r="Q865" i="1" s="1"/>
  <c r="J865" i="1"/>
  <c r="I865" i="1"/>
  <c r="M865" i="1" s="1"/>
  <c r="S864" i="1"/>
  <c r="O864" i="1"/>
  <c r="P864" i="1" s="1"/>
  <c r="R864" i="1" s="1"/>
  <c r="N864" i="1"/>
  <c r="Q864" i="1" s="1"/>
  <c r="L864" i="1"/>
  <c r="K864" i="1"/>
  <c r="J864" i="1"/>
  <c r="I864" i="1"/>
  <c r="M864" i="1" s="1"/>
  <c r="S863" i="1"/>
  <c r="L863" i="1"/>
  <c r="O863" i="1" s="1"/>
  <c r="P863" i="1" s="1"/>
  <c r="R863" i="1" s="1"/>
  <c r="J863" i="1"/>
  <c r="I863" i="1"/>
  <c r="K863" i="1" s="1"/>
  <c r="N863" i="1" s="1"/>
  <c r="Q863" i="1" s="1"/>
  <c r="S862" i="1"/>
  <c r="L862" i="1"/>
  <c r="O862" i="1" s="1"/>
  <c r="P862" i="1" s="1"/>
  <c r="R862" i="1" s="1"/>
  <c r="J862" i="1"/>
  <c r="I862" i="1"/>
  <c r="M862" i="1" s="1"/>
  <c r="S861" i="1"/>
  <c r="O861" i="1"/>
  <c r="P861" i="1" s="1"/>
  <c r="R861" i="1" s="1"/>
  <c r="L861" i="1"/>
  <c r="K861" i="1"/>
  <c r="N861" i="1" s="1"/>
  <c r="Q861" i="1" s="1"/>
  <c r="J861" i="1"/>
  <c r="I861" i="1"/>
  <c r="M861" i="1" s="1"/>
  <c r="S860" i="1"/>
  <c r="O860" i="1"/>
  <c r="P860" i="1" s="1"/>
  <c r="R860" i="1" s="1"/>
  <c r="N860" i="1"/>
  <c r="Q860" i="1" s="1"/>
  <c r="L860" i="1"/>
  <c r="K860" i="1"/>
  <c r="J860" i="1"/>
  <c r="I860" i="1"/>
  <c r="M860" i="1" s="1"/>
  <c r="S859" i="1"/>
  <c r="L859" i="1"/>
  <c r="O859" i="1" s="1"/>
  <c r="P859" i="1" s="1"/>
  <c r="R859" i="1" s="1"/>
  <c r="J859" i="1"/>
  <c r="I859" i="1"/>
  <c r="K859" i="1" s="1"/>
  <c r="N859" i="1" s="1"/>
  <c r="Q859" i="1" s="1"/>
  <c r="S858" i="1"/>
  <c r="L858" i="1"/>
  <c r="O858" i="1" s="1"/>
  <c r="P858" i="1" s="1"/>
  <c r="R858" i="1" s="1"/>
  <c r="J858" i="1"/>
  <c r="I858" i="1"/>
  <c r="M858" i="1" s="1"/>
  <c r="S857" i="1"/>
  <c r="O857" i="1"/>
  <c r="P857" i="1" s="1"/>
  <c r="R857" i="1" s="1"/>
  <c r="L857" i="1"/>
  <c r="K857" i="1"/>
  <c r="N857" i="1" s="1"/>
  <c r="Q857" i="1" s="1"/>
  <c r="J857" i="1"/>
  <c r="I857" i="1"/>
  <c r="M857" i="1" s="1"/>
  <c r="S856" i="1"/>
  <c r="O856" i="1"/>
  <c r="P856" i="1" s="1"/>
  <c r="R856" i="1" s="1"/>
  <c r="N856" i="1"/>
  <c r="Q856" i="1" s="1"/>
  <c r="L856" i="1"/>
  <c r="K856" i="1"/>
  <c r="J856" i="1"/>
  <c r="I856" i="1"/>
  <c r="M856" i="1" s="1"/>
  <c r="S855" i="1"/>
  <c r="L855" i="1"/>
  <c r="O855" i="1" s="1"/>
  <c r="P855" i="1" s="1"/>
  <c r="R855" i="1" s="1"/>
  <c r="J855" i="1"/>
  <c r="I855" i="1"/>
  <c r="K855" i="1" s="1"/>
  <c r="N855" i="1" s="1"/>
  <c r="Q855" i="1" s="1"/>
  <c r="S854" i="1"/>
  <c r="L854" i="1"/>
  <c r="J854" i="1"/>
  <c r="I854" i="1"/>
  <c r="M854" i="1" s="1"/>
  <c r="S853" i="1"/>
  <c r="O853" i="1"/>
  <c r="P853" i="1" s="1"/>
  <c r="R853" i="1" s="1"/>
  <c r="L853" i="1"/>
  <c r="N853" i="1" s="1"/>
  <c r="Q853" i="1" s="1"/>
  <c r="K853" i="1"/>
  <c r="J853" i="1"/>
  <c r="I853" i="1"/>
  <c r="M853" i="1" s="1"/>
  <c r="S852" i="1"/>
  <c r="O852" i="1"/>
  <c r="P852" i="1" s="1"/>
  <c r="R852" i="1" s="1"/>
  <c r="N852" i="1"/>
  <c r="Q852" i="1" s="1"/>
  <c r="L852" i="1"/>
  <c r="K852" i="1"/>
  <c r="J852" i="1"/>
  <c r="I852" i="1"/>
  <c r="M852" i="1" s="1"/>
  <c r="S851" i="1"/>
  <c r="L851" i="1"/>
  <c r="O851" i="1" s="1"/>
  <c r="P851" i="1" s="1"/>
  <c r="R851" i="1" s="1"/>
  <c r="J851" i="1"/>
  <c r="I851" i="1"/>
  <c r="K851" i="1" s="1"/>
  <c r="N851" i="1" s="1"/>
  <c r="Q851" i="1" s="1"/>
  <c r="S850" i="1"/>
  <c r="L850" i="1"/>
  <c r="J850" i="1"/>
  <c r="I850" i="1"/>
  <c r="M850" i="1" s="1"/>
  <c r="S849" i="1"/>
  <c r="O849" i="1"/>
  <c r="P849" i="1" s="1"/>
  <c r="R849" i="1" s="1"/>
  <c r="L849" i="1"/>
  <c r="N849" i="1" s="1"/>
  <c r="Q849" i="1" s="1"/>
  <c r="K849" i="1"/>
  <c r="J849" i="1"/>
  <c r="I849" i="1"/>
  <c r="M849" i="1" s="1"/>
  <c r="S848" i="1"/>
  <c r="O848" i="1"/>
  <c r="P848" i="1" s="1"/>
  <c r="R848" i="1" s="1"/>
  <c r="N848" i="1"/>
  <c r="Q848" i="1" s="1"/>
  <c r="L848" i="1"/>
  <c r="K848" i="1"/>
  <c r="J848" i="1"/>
  <c r="I848" i="1"/>
  <c r="M848" i="1" s="1"/>
  <c r="S847" i="1"/>
  <c r="Q847" i="1"/>
  <c r="N847" i="1"/>
  <c r="L847" i="1"/>
  <c r="O847" i="1" s="1"/>
  <c r="P847" i="1" s="1"/>
  <c r="R847" i="1" s="1"/>
  <c r="J847" i="1"/>
  <c r="I847" i="1"/>
  <c r="K847" i="1" s="1"/>
  <c r="S846" i="1"/>
  <c r="L846" i="1"/>
  <c r="J846" i="1"/>
  <c r="I846" i="1"/>
  <c r="M846" i="1" s="1"/>
  <c r="S845" i="1"/>
  <c r="O845" i="1"/>
  <c r="P845" i="1" s="1"/>
  <c r="R845" i="1" s="1"/>
  <c r="L845" i="1"/>
  <c r="N845" i="1" s="1"/>
  <c r="Q845" i="1" s="1"/>
  <c r="K845" i="1"/>
  <c r="J845" i="1"/>
  <c r="I845" i="1"/>
  <c r="M845" i="1" s="1"/>
  <c r="S844" i="1"/>
  <c r="O844" i="1"/>
  <c r="P844" i="1" s="1"/>
  <c r="R844" i="1" s="1"/>
  <c r="L844" i="1"/>
  <c r="J844" i="1"/>
  <c r="K844" i="1" s="1"/>
  <c r="N844" i="1" s="1"/>
  <c r="Q844" i="1" s="1"/>
  <c r="I844" i="1"/>
  <c r="M844" i="1" s="1"/>
  <c r="S843" i="1"/>
  <c r="L843" i="1"/>
  <c r="O843" i="1" s="1"/>
  <c r="P843" i="1" s="1"/>
  <c r="R843" i="1" s="1"/>
  <c r="J843" i="1"/>
  <c r="I843" i="1"/>
  <c r="K843" i="1" s="1"/>
  <c r="N843" i="1" s="1"/>
  <c r="Q843" i="1" s="1"/>
  <c r="S842" i="1"/>
  <c r="L842" i="1"/>
  <c r="J842" i="1"/>
  <c r="I842" i="1"/>
  <c r="M842" i="1" s="1"/>
  <c r="S841" i="1"/>
  <c r="O841" i="1"/>
  <c r="P841" i="1" s="1"/>
  <c r="R841" i="1" s="1"/>
  <c r="L841" i="1"/>
  <c r="N841" i="1" s="1"/>
  <c r="Q841" i="1" s="1"/>
  <c r="K841" i="1"/>
  <c r="J841" i="1"/>
  <c r="I841" i="1"/>
  <c r="M841" i="1" s="1"/>
  <c r="S840" i="1"/>
  <c r="O840" i="1"/>
  <c r="P840" i="1" s="1"/>
  <c r="R840" i="1" s="1"/>
  <c r="N840" i="1"/>
  <c r="Q840" i="1" s="1"/>
  <c r="L840" i="1"/>
  <c r="K840" i="1"/>
  <c r="J840" i="1"/>
  <c r="I840" i="1"/>
  <c r="M840" i="1" s="1"/>
  <c r="S839" i="1"/>
  <c r="L839" i="1"/>
  <c r="O839" i="1" s="1"/>
  <c r="P839" i="1" s="1"/>
  <c r="R839" i="1" s="1"/>
  <c r="J839" i="1"/>
  <c r="I839" i="1"/>
  <c r="K839" i="1" s="1"/>
  <c r="N839" i="1" s="1"/>
  <c r="Q839" i="1" s="1"/>
  <c r="S838" i="1"/>
  <c r="L838" i="1"/>
  <c r="N838" i="1" s="1"/>
  <c r="Q838" i="1" s="1"/>
  <c r="J838" i="1"/>
  <c r="I838" i="1"/>
  <c r="M838" i="1" s="1"/>
  <c r="S837" i="1"/>
  <c r="O837" i="1"/>
  <c r="P837" i="1" s="1"/>
  <c r="R837" i="1" s="1"/>
  <c r="L837" i="1"/>
  <c r="N837" i="1" s="1"/>
  <c r="Q837" i="1" s="1"/>
  <c r="K837" i="1"/>
  <c r="J837" i="1"/>
  <c r="I837" i="1"/>
  <c r="M837" i="1" s="1"/>
  <c r="S836" i="1"/>
  <c r="O836" i="1"/>
  <c r="P836" i="1" s="1"/>
  <c r="R836" i="1" s="1"/>
  <c r="L836" i="1"/>
  <c r="J836" i="1"/>
  <c r="K836" i="1" s="1"/>
  <c r="N836" i="1" s="1"/>
  <c r="Q836" i="1" s="1"/>
  <c r="I836" i="1"/>
  <c r="M836" i="1" s="1"/>
  <c r="S835" i="1"/>
  <c r="L835" i="1"/>
  <c r="O835" i="1" s="1"/>
  <c r="P835" i="1" s="1"/>
  <c r="R835" i="1" s="1"/>
  <c r="J835" i="1"/>
  <c r="I835" i="1"/>
  <c r="K835" i="1" s="1"/>
  <c r="N835" i="1" s="1"/>
  <c r="Q835" i="1" s="1"/>
  <c r="S834" i="1"/>
  <c r="L834" i="1"/>
  <c r="N834" i="1" s="1"/>
  <c r="Q834" i="1" s="1"/>
  <c r="J834" i="1"/>
  <c r="I834" i="1"/>
  <c r="M834" i="1" s="1"/>
  <c r="S833" i="1"/>
  <c r="O833" i="1"/>
  <c r="P833" i="1" s="1"/>
  <c r="R833" i="1" s="1"/>
  <c r="L833" i="1"/>
  <c r="N833" i="1" s="1"/>
  <c r="Q833" i="1" s="1"/>
  <c r="K833" i="1"/>
  <c r="J833" i="1"/>
  <c r="I833" i="1"/>
  <c r="M833" i="1" s="1"/>
  <c r="S832" i="1"/>
  <c r="O832" i="1"/>
  <c r="P832" i="1" s="1"/>
  <c r="R832" i="1" s="1"/>
  <c r="N832" i="1"/>
  <c r="Q832" i="1" s="1"/>
  <c r="L832" i="1"/>
  <c r="K832" i="1"/>
  <c r="J832" i="1"/>
  <c r="I832" i="1"/>
  <c r="M832" i="1" s="1"/>
  <c r="S831" i="1"/>
  <c r="L831" i="1"/>
  <c r="O831" i="1" s="1"/>
  <c r="P831" i="1" s="1"/>
  <c r="R831" i="1" s="1"/>
  <c r="J831" i="1"/>
  <c r="I831" i="1"/>
  <c r="K831" i="1" s="1"/>
  <c r="N831" i="1" s="1"/>
  <c r="Q831" i="1" s="1"/>
  <c r="S830" i="1"/>
  <c r="L830" i="1"/>
  <c r="J830" i="1"/>
  <c r="I830" i="1"/>
  <c r="M830" i="1" s="1"/>
  <c r="S829" i="1"/>
  <c r="O829" i="1"/>
  <c r="P829" i="1" s="1"/>
  <c r="R829" i="1" s="1"/>
  <c r="L829" i="1"/>
  <c r="N829" i="1" s="1"/>
  <c r="Q829" i="1" s="1"/>
  <c r="K829" i="1"/>
  <c r="J829" i="1"/>
  <c r="I829" i="1"/>
  <c r="M829" i="1" s="1"/>
  <c r="S828" i="1"/>
  <c r="O828" i="1"/>
  <c r="P828" i="1" s="1"/>
  <c r="R828" i="1" s="1"/>
  <c r="N828" i="1"/>
  <c r="Q828" i="1" s="1"/>
  <c r="L828" i="1"/>
  <c r="K828" i="1"/>
  <c r="J828" i="1"/>
  <c r="I828" i="1"/>
  <c r="M828" i="1" s="1"/>
  <c r="S827" i="1"/>
  <c r="L827" i="1"/>
  <c r="O827" i="1" s="1"/>
  <c r="P827" i="1" s="1"/>
  <c r="R827" i="1" s="1"/>
  <c r="J827" i="1"/>
  <c r="I827" i="1"/>
  <c r="K827" i="1" s="1"/>
  <c r="N827" i="1" s="1"/>
  <c r="Q827" i="1" s="1"/>
  <c r="S826" i="1"/>
  <c r="L826" i="1"/>
  <c r="J826" i="1"/>
  <c r="I826" i="1"/>
  <c r="M826" i="1" s="1"/>
  <c r="S825" i="1"/>
  <c r="O825" i="1"/>
  <c r="P825" i="1" s="1"/>
  <c r="R825" i="1" s="1"/>
  <c r="L825" i="1"/>
  <c r="N825" i="1" s="1"/>
  <c r="Q825" i="1" s="1"/>
  <c r="K825" i="1"/>
  <c r="J825" i="1"/>
  <c r="I825" i="1"/>
  <c r="M825" i="1" s="1"/>
  <c r="S824" i="1"/>
  <c r="O824" i="1"/>
  <c r="P824" i="1" s="1"/>
  <c r="R824" i="1" s="1"/>
  <c r="N824" i="1"/>
  <c r="Q824" i="1" s="1"/>
  <c r="L824" i="1"/>
  <c r="K824" i="1"/>
  <c r="J824" i="1"/>
  <c r="I824" i="1"/>
  <c r="M824" i="1" s="1"/>
  <c r="S823" i="1"/>
  <c r="L823" i="1"/>
  <c r="O823" i="1" s="1"/>
  <c r="P823" i="1" s="1"/>
  <c r="R823" i="1" s="1"/>
  <c r="J823" i="1"/>
  <c r="I823" i="1"/>
  <c r="K823" i="1" s="1"/>
  <c r="N823" i="1" s="1"/>
  <c r="Q823" i="1" s="1"/>
  <c r="S822" i="1"/>
  <c r="L822" i="1"/>
  <c r="J822" i="1"/>
  <c r="I822" i="1"/>
  <c r="M822" i="1" s="1"/>
  <c r="S821" i="1"/>
  <c r="O821" i="1"/>
  <c r="P821" i="1" s="1"/>
  <c r="R821" i="1" s="1"/>
  <c r="L821" i="1"/>
  <c r="N821" i="1" s="1"/>
  <c r="Q821" i="1" s="1"/>
  <c r="K821" i="1"/>
  <c r="J821" i="1"/>
  <c r="I821" i="1"/>
  <c r="M821" i="1" s="1"/>
  <c r="S820" i="1"/>
  <c r="O820" i="1"/>
  <c r="P820" i="1" s="1"/>
  <c r="R820" i="1" s="1"/>
  <c r="N820" i="1"/>
  <c r="Q820" i="1" s="1"/>
  <c r="L820" i="1"/>
  <c r="K820" i="1"/>
  <c r="J820" i="1"/>
  <c r="I820" i="1"/>
  <c r="M820" i="1" s="1"/>
  <c r="S819" i="1"/>
  <c r="L819" i="1"/>
  <c r="O819" i="1" s="1"/>
  <c r="P819" i="1" s="1"/>
  <c r="R819" i="1" s="1"/>
  <c r="J819" i="1"/>
  <c r="I819" i="1"/>
  <c r="K819" i="1" s="1"/>
  <c r="N819" i="1" s="1"/>
  <c r="Q819" i="1" s="1"/>
  <c r="S818" i="1"/>
  <c r="L818" i="1"/>
  <c r="O818" i="1" s="1"/>
  <c r="P818" i="1" s="1"/>
  <c r="R818" i="1" s="1"/>
  <c r="J818" i="1"/>
  <c r="I818" i="1"/>
  <c r="M818" i="1" s="1"/>
  <c r="S817" i="1"/>
  <c r="O817" i="1"/>
  <c r="P817" i="1" s="1"/>
  <c r="R817" i="1" s="1"/>
  <c r="L817" i="1"/>
  <c r="K817" i="1"/>
  <c r="N817" i="1" s="1"/>
  <c r="Q817" i="1" s="1"/>
  <c r="J817" i="1"/>
  <c r="I817" i="1"/>
  <c r="M817" i="1" s="1"/>
  <c r="S816" i="1"/>
  <c r="O816" i="1"/>
  <c r="P816" i="1" s="1"/>
  <c r="R816" i="1" s="1"/>
  <c r="N816" i="1"/>
  <c r="Q816" i="1" s="1"/>
  <c r="L816" i="1"/>
  <c r="K816" i="1"/>
  <c r="J816" i="1"/>
  <c r="I816" i="1"/>
  <c r="M816" i="1" s="1"/>
  <c r="S815" i="1"/>
  <c r="L815" i="1"/>
  <c r="O815" i="1" s="1"/>
  <c r="P815" i="1" s="1"/>
  <c r="R815" i="1" s="1"/>
  <c r="J815" i="1"/>
  <c r="I815" i="1"/>
  <c r="K815" i="1" s="1"/>
  <c r="N815" i="1" s="1"/>
  <c r="Q815" i="1" s="1"/>
  <c r="S814" i="1"/>
  <c r="L814" i="1"/>
  <c r="O814" i="1" s="1"/>
  <c r="P814" i="1" s="1"/>
  <c r="R814" i="1" s="1"/>
  <c r="J814" i="1"/>
  <c r="I814" i="1"/>
  <c r="M814" i="1" s="1"/>
  <c r="S813" i="1"/>
  <c r="O813" i="1"/>
  <c r="P813" i="1" s="1"/>
  <c r="R813" i="1" s="1"/>
  <c r="L813" i="1"/>
  <c r="K813" i="1"/>
  <c r="N813" i="1" s="1"/>
  <c r="Q813" i="1" s="1"/>
  <c r="J813" i="1"/>
  <c r="I813" i="1"/>
  <c r="M813" i="1" s="1"/>
  <c r="S812" i="1"/>
  <c r="O812" i="1"/>
  <c r="P812" i="1" s="1"/>
  <c r="R812" i="1" s="1"/>
  <c r="N812" i="1"/>
  <c r="Q812" i="1" s="1"/>
  <c r="L812" i="1"/>
  <c r="K812" i="1"/>
  <c r="J812" i="1"/>
  <c r="I812" i="1"/>
  <c r="M812" i="1" s="1"/>
  <c r="S811" i="1"/>
  <c r="L811" i="1"/>
  <c r="O811" i="1" s="1"/>
  <c r="P811" i="1" s="1"/>
  <c r="R811" i="1" s="1"/>
  <c r="J811" i="1"/>
  <c r="I811" i="1"/>
  <c r="K811" i="1" s="1"/>
  <c r="N811" i="1" s="1"/>
  <c r="Q811" i="1" s="1"/>
  <c r="S810" i="1"/>
  <c r="L810" i="1"/>
  <c r="O810" i="1" s="1"/>
  <c r="P810" i="1" s="1"/>
  <c r="R810" i="1" s="1"/>
  <c r="J810" i="1"/>
  <c r="I810" i="1"/>
  <c r="M810" i="1" s="1"/>
  <c r="S809" i="1"/>
  <c r="O809" i="1"/>
  <c r="P809" i="1" s="1"/>
  <c r="R809" i="1" s="1"/>
  <c r="L809" i="1"/>
  <c r="K809" i="1"/>
  <c r="N809" i="1" s="1"/>
  <c r="Q809" i="1" s="1"/>
  <c r="J809" i="1"/>
  <c r="I809" i="1"/>
  <c r="M809" i="1" s="1"/>
  <c r="S808" i="1"/>
  <c r="O808" i="1"/>
  <c r="P808" i="1" s="1"/>
  <c r="R808" i="1" s="1"/>
  <c r="N808" i="1"/>
  <c r="Q808" i="1" s="1"/>
  <c r="L808" i="1"/>
  <c r="K808" i="1"/>
  <c r="J808" i="1"/>
  <c r="I808" i="1"/>
  <c r="M808" i="1" s="1"/>
  <c r="S807" i="1"/>
  <c r="L807" i="1"/>
  <c r="O807" i="1" s="1"/>
  <c r="P807" i="1" s="1"/>
  <c r="R807" i="1" s="1"/>
  <c r="J807" i="1"/>
  <c r="I807" i="1"/>
  <c r="K807" i="1" s="1"/>
  <c r="N807" i="1" s="1"/>
  <c r="Q807" i="1" s="1"/>
  <c r="S806" i="1"/>
  <c r="L806" i="1"/>
  <c r="O806" i="1" s="1"/>
  <c r="P806" i="1" s="1"/>
  <c r="R806" i="1" s="1"/>
  <c r="J806" i="1"/>
  <c r="I806" i="1"/>
  <c r="M806" i="1" s="1"/>
  <c r="S805" i="1"/>
  <c r="O805" i="1"/>
  <c r="P805" i="1" s="1"/>
  <c r="R805" i="1" s="1"/>
  <c r="L805" i="1"/>
  <c r="K805" i="1"/>
  <c r="N805" i="1" s="1"/>
  <c r="Q805" i="1" s="1"/>
  <c r="J805" i="1"/>
  <c r="I805" i="1"/>
  <c r="M805" i="1" s="1"/>
  <c r="S804" i="1"/>
  <c r="O804" i="1"/>
  <c r="P804" i="1" s="1"/>
  <c r="R804" i="1" s="1"/>
  <c r="N804" i="1"/>
  <c r="Q804" i="1" s="1"/>
  <c r="L804" i="1"/>
  <c r="K804" i="1"/>
  <c r="J804" i="1"/>
  <c r="I804" i="1"/>
  <c r="M804" i="1" s="1"/>
  <c r="S803" i="1"/>
  <c r="L803" i="1"/>
  <c r="O803" i="1" s="1"/>
  <c r="P803" i="1" s="1"/>
  <c r="R803" i="1" s="1"/>
  <c r="J803" i="1"/>
  <c r="I803" i="1"/>
  <c r="K803" i="1" s="1"/>
  <c r="N803" i="1" s="1"/>
  <c r="Q803" i="1" s="1"/>
  <c r="S802" i="1"/>
  <c r="L802" i="1"/>
  <c r="O802" i="1" s="1"/>
  <c r="P802" i="1" s="1"/>
  <c r="R802" i="1" s="1"/>
  <c r="J802" i="1"/>
  <c r="I802" i="1"/>
  <c r="M802" i="1" s="1"/>
  <c r="S801" i="1"/>
  <c r="O801" i="1"/>
  <c r="P801" i="1" s="1"/>
  <c r="R801" i="1" s="1"/>
  <c r="L801" i="1"/>
  <c r="K801" i="1"/>
  <c r="N801" i="1" s="1"/>
  <c r="Q801" i="1" s="1"/>
  <c r="J801" i="1"/>
  <c r="I801" i="1"/>
  <c r="M801" i="1" s="1"/>
  <c r="S800" i="1"/>
  <c r="O800" i="1"/>
  <c r="P800" i="1" s="1"/>
  <c r="R800" i="1" s="1"/>
  <c r="N800" i="1"/>
  <c r="Q800" i="1" s="1"/>
  <c r="L800" i="1"/>
  <c r="K800" i="1"/>
  <c r="J800" i="1"/>
  <c r="I800" i="1"/>
  <c r="M800" i="1" s="1"/>
  <c r="S799" i="1"/>
  <c r="L799" i="1"/>
  <c r="O799" i="1" s="1"/>
  <c r="P799" i="1" s="1"/>
  <c r="R799" i="1" s="1"/>
  <c r="J799" i="1"/>
  <c r="I799" i="1"/>
  <c r="K799" i="1" s="1"/>
  <c r="N799" i="1" s="1"/>
  <c r="Q799" i="1" s="1"/>
  <c r="S798" i="1"/>
  <c r="L798" i="1"/>
  <c r="O798" i="1" s="1"/>
  <c r="P798" i="1" s="1"/>
  <c r="R798" i="1" s="1"/>
  <c r="J798" i="1"/>
  <c r="I798" i="1"/>
  <c r="M798" i="1" s="1"/>
  <c r="S797" i="1"/>
  <c r="O797" i="1"/>
  <c r="P797" i="1" s="1"/>
  <c r="R797" i="1" s="1"/>
  <c r="L797" i="1"/>
  <c r="K797" i="1"/>
  <c r="N797" i="1" s="1"/>
  <c r="Q797" i="1" s="1"/>
  <c r="J797" i="1"/>
  <c r="I797" i="1"/>
  <c r="M797" i="1" s="1"/>
  <c r="S796" i="1"/>
  <c r="O796" i="1"/>
  <c r="P796" i="1" s="1"/>
  <c r="R796" i="1" s="1"/>
  <c r="N796" i="1"/>
  <c r="Q796" i="1" s="1"/>
  <c r="L796" i="1"/>
  <c r="K796" i="1"/>
  <c r="J796" i="1"/>
  <c r="I796" i="1"/>
  <c r="M796" i="1" s="1"/>
  <c r="S795" i="1"/>
  <c r="L795" i="1"/>
  <c r="O795" i="1" s="1"/>
  <c r="P795" i="1" s="1"/>
  <c r="R795" i="1" s="1"/>
  <c r="J795" i="1"/>
  <c r="I795" i="1"/>
  <c r="K795" i="1" s="1"/>
  <c r="N795" i="1" s="1"/>
  <c r="Q795" i="1" s="1"/>
  <c r="S794" i="1"/>
  <c r="L794" i="1"/>
  <c r="O794" i="1" s="1"/>
  <c r="P794" i="1" s="1"/>
  <c r="R794" i="1" s="1"/>
  <c r="J794" i="1"/>
  <c r="I794" i="1"/>
  <c r="M794" i="1" s="1"/>
  <c r="S793" i="1"/>
  <c r="O793" i="1"/>
  <c r="P793" i="1" s="1"/>
  <c r="R793" i="1" s="1"/>
  <c r="L793" i="1"/>
  <c r="K793" i="1"/>
  <c r="N793" i="1" s="1"/>
  <c r="Q793" i="1" s="1"/>
  <c r="J793" i="1"/>
  <c r="I793" i="1"/>
  <c r="M793" i="1" s="1"/>
  <c r="S792" i="1"/>
  <c r="O792" i="1"/>
  <c r="P792" i="1" s="1"/>
  <c r="R792" i="1" s="1"/>
  <c r="N792" i="1"/>
  <c r="Q792" i="1" s="1"/>
  <c r="L792" i="1"/>
  <c r="K792" i="1"/>
  <c r="J792" i="1"/>
  <c r="I792" i="1"/>
  <c r="M792" i="1" s="1"/>
  <c r="S791" i="1"/>
  <c r="L791" i="1"/>
  <c r="O791" i="1" s="1"/>
  <c r="P791" i="1" s="1"/>
  <c r="R791" i="1" s="1"/>
  <c r="J791" i="1"/>
  <c r="I791" i="1"/>
  <c r="K791" i="1" s="1"/>
  <c r="N791" i="1" s="1"/>
  <c r="Q791" i="1" s="1"/>
  <c r="S790" i="1"/>
  <c r="L790" i="1"/>
  <c r="O790" i="1" s="1"/>
  <c r="P790" i="1" s="1"/>
  <c r="R790" i="1" s="1"/>
  <c r="J790" i="1"/>
  <c r="I790" i="1"/>
  <c r="M790" i="1" s="1"/>
  <c r="S789" i="1"/>
  <c r="O789" i="1"/>
  <c r="P789" i="1" s="1"/>
  <c r="R789" i="1" s="1"/>
  <c r="L789" i="1"/>
  <c r="K789" i="1"/>
  <c r="N789" i="1" s="1"/>
  <c r="Q789" i="1" s="1"/>
  <c r="J789" i="1"/>
  <c r="I789" i="1"/>
  <c r="M789" i="1" s="1"/>
  <c r="S788" i="1"/>
  <c r="O788" i="1"/>
  <c r="P788" i="1" s="1"/>
  <c r="R788" i="1" s="1"/>
  <c r="N788" i="1"/>
  <c r="Q788" i="1" s="1"/>
  <c r="L788" i="1"/>
  <c r="K788" i="1"/>
  <c r="J788" i="1"/>
  <c r="I788" i="1"/>
  <c r="M788" i="1" s="1"/>
  <c r="S787" i="1"/>
  <c r="L787" i="1"/>
  <c r="O787" i="1" s="1"/>
  <c r="P787" i="1" s="1"/>
  <c r="R787" i="1" s="1"/>
  <c r="J787" i="1"/>
  <c r="I787" i="1"/>
  <c r="K787" i="1" s="1"/>
  <c r="N787" i="1" s="1"/>
  <c r="Q787" i="1" s="1"/>
  <c r="S786" i="1"/>
  <c r="L786" i="1"/>
  <c r="O786" i="1" s="1"/>
  <c r="P786" i="1" s="1"/>
  <c r="R786" i="1" s="1"/>
  <c r="J786" i="1"/>
  <c r="I786" i="1"/>
  <c r="M786" i="1" s="1"/>
  <c r="S785" i="1"/>
  <c r="O785" i="1"/>
  <c r="P785" i="1" s="1"/>
  <c r="R785" i="1" s="1"/>
  <c r="L785" i="1"/>
  <c r="K785" i="1"/>
  <c r="N785" i="1" s="1"/>
  <c r="Q785" i="1" s="1"/>
  <c r="J785" i="1"/>
  <c r="I785" i="1"/>
  <c r="M785" i="1" s="1"/>
  <c r="S784" i="1"/>
  <c r="O784" i="1"/>
  <c r="P784" i="1" s="1"/>
  <c r="R784" i="1" s="1"/>
  <c r="N784" i="1"/>
  <c r="Q784" i="1" s="1"/>
  <c r="L784" i="1"/>
  <c r="K784" i="1"/>
  <c r="J784" i="1"/>
  <c r="I784" i="1"/>
  <c r="M784" i="1" s="1"/>
  <c r="S783" i="1"/>
  <c r="L783" i="1"/>
  <c r="O783" i="1" s="1"/>
  <c r="P783" i="1" s="1"/>
  <c r="R783" i="1" s="1"/>
  <c r="J783" i="1"/>
  <c r="I783" i="1"/>
  <c r="K783" i="1" s="1"/>
  <c r="N783" i="1" s="1"/>
  <c r="Q783" i="1" s="1"/>
  <c r="S782" i="1"/>
  <c r="L782" i="1"/>
  <c r="O782" i="1" s="1"/>
  <c r="P782" i="1" s="1"/>
  <c r="R782" i="1" s="1"/>
  <c r="J782" i="1"/>
  <c r="I782" i="1"/>
  <c r="M782" i="1" s="1"/>
  <c r="S781" i="1"/>
  <c r="O781" i="1"/>
  <c r="P781" i="1" s="1"/>
  <c r="R781" i="1" s="1"/>
  <c r="L781" i="1"/>
  <c r="K781" i="1"/>
  <c r="N781" i="1" s="1"/>
  <c r="Q781" i="1" s="1"/>
  <c r="J781" i="1"/>
  <c r="I781" i="1"/>
  <c r="M781" i="1" s="1"/>
  <c r="S780" i="1"/>
  <c r="O780" i="1"/>
  <c r="P780" i="1" s="1"/>
  <c r="R780" i="1" s="1"/>
  <c r="N780" i="1"/>
  <c r="Q780" i="1" s="1"/>
  <c r="L780" i="1"/>
  <c r="K780" i="1"/>
  <c r="J780" i="1"/>
  <c r="I780" i="1"/>
  <c r="M780" i="1" s="1"/>
  <c r="S779" i="1"/>
  <c r="L779" i="1"/>
  <c r="O779" i="1" s="1"/>
  <c r="P779" i="1" s="1"/>
  <c r="R779" i="1" s="1"/>
  <c r="J779" i="1"/>
  <c r="I779" i="1"/>
  <c r="K779" i="1" s="1"/>
  <c r="N779" i="1" s="1"/>
  <c r="Q779" i="1" s="1"/>
  <c r="S778" i="1"/>
  <c r="L778" i="1"/>
  <c r="O778" i="1" s="1"/>
  <c r="P778" i="1" s="1"/>
  <c r="R778" i="1" s="1"/>
  <c r="J778" i="1"/>
  <c r="I778" i="1"/>
  <c r="M778" i="1" s="1"/>
  <c r="S777" i="1"/>
  <c r="O777" i="1"/>
  <c r="P777" i="1" s="1"/>
  <c r="R777" i="1" s="1"/>
  <c r="L777" i="1"/>
  <c r="K777" i="1"/>
  <c r="N777" i="1" s="1"/>
  <c r="Q777" i="1" s="1"/>
  <c r="J777" i="1"/>
  <c r="I777" i="1"/>
  <c r="M777" i="1" s="1"/>
  <c r="S776" i="1"/>
  <c r="O776" i="1"/>
  <c r="P776" i="1" s="1"/>
  <c r="R776" i="1" s="1"/>
  <c r="N776" i="1"/>
  <c r="Q776" i="1" s="1"/>
  <c r="L776" i="1"/>
  <c r="K776" i="1"/>
  <c r="J776" i="1"/>
  <c r="I776" i="1"/>
  <c r="M776" i="1" s="1"/>
  <c r="S775" i="1"/>
  <c r="L775" i="1"/>
  <c r="O775" i="1" s="1"/>
  <c r="P775" i="1" s="1"/>
  <c r="R775" i="1" s="1"/>
  <c r="J775" i="1"/>
  <c r="I775" i="1"/>
  <c r="K775" i="1" s="1"/>
  <c r="N775" i="1" s="1"/>
  <c r="Q775" i="1" s="1"/>
  <c r="S774" i="1"/>
  <c r="L774" i="1"/>
  <c r="O774" i="1" s="1"/>
  <c r="P774" i="1" s="1"/>
  <c r="R774" i="1" s="1"/>
  <c r="J774" i="1"/>
  <c r="I774" i="1"/>
  <c r="M774" i="1" s="1"/>
  <c r="S773" i="1"/>
  <c r="O773" i="1"/>
  <c r="P773" i="1" s="1"/>
  <c r="R773" i="1" s="1"/>
  <c r="L773" i="1"/>
  <c r="K773" i="1"/>
  <c r="N773" i="1" s="1"/>
  <c r="Q773" i="1" s="1"/>
  <c r="J773" i="1"/>
  <c r="I773" i="1"/>
  <c r="M773" i="1" s="1"/>
  <c r="S772" i="1"/>
  <c r="O772" i="1"/>
  <c r="P772" i="1" s="1"/>
  <c r="R772" i="1" s="1"/>
  <c r="N772" i="1"/>
  <c r="Q772" i="1" s="1"/>
  <c r="L772" i="1"/>
  <c r="K772" i="1"/>
  <c r="J772" i="1"/>
  <c r="I772" i="1"/>
  <c r="M772" i="1" s="1"/>
  <c r="S771" i="1"/>
  <c r="L771" i="1"/>
  <c r="O771" i="1" s="1"/>
  <c r="P771" i="1" s="1"/>
  <c r="R771" i="1" s="1"/>
  <c r="J771" i="1"/>
  <c r="I771" i="1"/>
  <c r="K771" i="1" s="1"/>
  <c r="N771" i="1" s="1"/>
  <c r="Q771" i="1" s="1"/>
  <c r="S770" i="1"/>
  <c r="L770" i="1"/>
  <c r="O770" i="1" s="1"/>
  <c r="P770" i="1" s="1"/>
  <c r="R770" i="1" s="1"/>
  <c r="J770" i="1"/>
  <c r="I770" i="1"/>
  <c r="M770" i="1" s="1"/>
  <c r="S769" i="1"/>
  <c r="O769" i="1"/>
  <c r="P769" i="1" s="1"/>
  <c r="R769" i="1" s="1"/>
  <c r="L769" i="1"/>
  <c r="K769" i="1"/>
  <c r="N769" i="1" s="1"/>
  <c r="Q769" i="1" s="1"/>
  <c r="J769" i="1"/>
  <c r="I769" i="1"/>
  <c r="M769" i="1" s="1"/>
  <c r="S768" i="1"/>
  <c r="O768" i="1"/>
  <c r="P768" i="1" s="1"/>
  <c r="R768" i="1" s="1"/>
  <c r="N768" i="1"/>
  <c r="Q768" i="1" s="1"/>
  <c r="L768" i="1"/>
  <c r="K768" i="1"/>
  <c r="J768" i="1"/>
  <c r="I768" i="1"/>
  <c r="M768" i="1" s="1"/>
  <c r="S767" i="1"/>
  <c r="L767" i="1"/>
  <c r="O767" i="1" s="1"/>
  <c r="P767" i="1" s="1"/>
  <c r="R767" i="1" s="1"/>
  <c r="J767" i="1"/>
  <c r="I767" i="1"/>
  <c r="K767" i="1" s="1"/>
  <c r="N767" i="1" s="1"/>
  <c r="Q767" i="1" s="1"/>
  <c r="S766" i="1"/>
  <c r="L766" i="1"/>
  <c r="O766" i="1" s="1"/>
  <c r="P766" i="1" s="1"/>
  <c r="R766" i="1" s="1"/>
  <c r="J766" i="1"/>
  <c r="I766" i="1"/>
  <c r="M766" i="1" s="1"/>
  <c r="S765" i="1"/>
  <c r="O765" i="1"/>
  <c r="P765" i="1" s="1"/>
  <c r="R765" i="1" s="1"/>
  <c r="L765" i="1"/>
  <c r="K765" i="1"/>
  <c r="N765" i="1" s="1"/>
  <c r="Q765" i="1" s="1"/>
  <c r="J765" i="1"/>
  <c r="I765" i="1"/>
  <c r="M765" i="1" s="1"/>
  <c r="S764" i="1"/>
  <c r="O764" i="1"/>
  <c r="P764" i="1" s="1"/>
  <c r="R764" i="1" s="1"/>
  <c r="N764" i="1"/>
  <c r="Q764" i="1" s="1"/>
  <c r="L764" i="1"/>
  <c r="K764" i="1"/>
  <c r="J764" i="1"/>
  <c r="I764" i="1"/>
  <c r="M764" i="1" s="1"/>
  <c r="S763" i="1"/>
  <c r="L763" i="1"/>
  <c r="O763" i="1" s="1"/>
  <c r="P763" i="1" s="1"/>
  <c r="R763" i="1" s="1"/>
  <c r="J763" i="1"/>
  <c r="I763" i="1"/>
  <c r="K763" i="1" s="1"/>
  <c r="N763" i="1" s="1"/>
  <c r="Q763" i="1" s="1"/>
  <c r="S762" i="1"/>
  <c r="L762" i="1"/>
  <c r="O762" i="1" s="1"/>
  <c r="P762" i="1" s="1"/>
  <c r="R762" i="1" s="1"/>
  <c r="J762" i="1"/>
  <c r="I762" i="1"/>
  <c r="M762" i="1" s="1"/>
  <c r="S761" i="1"/>
  <c r="O761" i="1"/>
  <c r="P761" i="1" s="1"/>
  <c r="R761" i="1" s="1"/>
  <c r="L761" i="1"/>
  <c r="K761" i="1"/>
  <c r="N761" i="1" s="1"/>
  <c r="Q761" i="1" s="1"/>
  <c r="J761" i="1"/>
  <c r="I761" i="1"/>
  <c r="M761" i="1" s="1"/>
  <c r="S760" i="1"/>
  <c r="O760" i="1"/>
  <c r="P760" i="1" s="1"/>
  <c r="R760" i="1" s="1"/>
  <c r="N760" i="1"/>
  <c r="Q760" i="1" s="1"/>
  <c r="L760" i="1"/>
  <c r="K760" i="1"/>
  <c r="J760" i="1"/>
  <c r="I760" i="1"/>
  <c r="M760" i="1" s="1"/>
  <c r="S759" i="1"/>
  <c r="L759" i="1"/>
  <c r="O759" i="1" s="1"/>
  <c r="P759" i="1" s="1"/>
  <c r="R759" i="1" s="1"/>
  <c r="J759" i="1"/>
  <c r="I759" i="1"/>
  <c r="K759" i="1" s="1"/>
  <c r="N759" i="1" s="1"/>
  <c r="Q759" i="1" s="1"/>
  <c r="S758" i="1"/>
  <c r="L758" i="1"/>
  <c r="O758" i="1" s="1"/>
  <c r="P758" i="1" s="1"/>
  <c r="R758" i="1" s="1"/>
  <c r="J758" i="1"/>
  <c r="I758" i="1"/>
  <c r="M758" i="1" s="1"/>
  <c r="S757" i="1"/>
  <c r="O757" i="1"/>
  <c r="P757" i="1" s="1"/>
  <c r="R757" i="1" s="1"/>
  <c r="L757" i="1"/>
  <c r="K757" i="1"/>
  <c r="N757" i="1" s="1"/>
  <c r="Q757" i="1" s="1"/>
  <c r="J757" i="1"/>
  <c r="I757" i="1"/>
  <c r="M757" i="1" s="1"/>
  <c r="S756" i="1"/>
  <c r="O756" i="1"/>
  <c r="P756" i="1" s="1"/>
  <c r="R756" i="1" s="1"/>
  <c r="N756" i="1"/>
  <c r="Q756" i="1" s="1"/>
  <c r="L756" i="1"/>
  <c r="K756" i="1"/>
  <c r="J756" i="1"/>
  <c r="I756" i="1"/>
  <c r="M756" i="1" s="1"/>
  <c r="S755" i="1"/>
  <c r="L755" i="1"/>
  <c r="O755" i="1" s="1"/>
  <c r="P755" i="1" s="1"/>
  <c r="R755" i="1" s="1"/>
  <c r="J755" i="1"/>
  <c r="I755" i="1"/>
  <c r="K755" i="1" s="1"/>
  <c r="N755" i="1" s="1"/>
  <c r="Q755" i="1" s="1"/>
  <c r="S754" i="1"/>
  <c r="L754" i="1"/>
  <c r="O754" i="1" s="1"/>
  <c r="P754" i="1" s="1"/>
  <c r="R754" i="1" s="1"/>
  <c r="J754" i="1"/>
  <c r="I754" i="1"/>
  <c r="M754" i="1" s="1"/>
  <c r="S753" i="1"/>
  <c r="O753" i="1"/>
  <c r="P753" i="1" s="1"/>
  <c r="R753" i="1" s="1"/>
  <c r="L753" i="1"/>
  <c r="K753" i="1"/>
  <c r="N753" i="1" s="1"/>
  <c r="Q753" i="1" s="1"/>
  <c r="J753" i="1"/>
  <c r="I753" i="1"/>
  <c r="M753" i="1" s="1"/>
  <c r="S752" i="1"/>
  <c r="O752" i="1"/>
  <c r="P752" i="1" s="1"/>
  <c r="R752" i="1" s="1"/>
  <c r="N752" i="1"/>
  <c r="Q752" i="1" s="1"/>
  <c r="L752" i="1"/>
  <c r="K752" i="1"/>
  <c r="J752" i="1"/>
  <c r="I752" i="1"/>
  <c r="M752" i="1" s="1"/>
  <c r="S751" i="1"/>
  <c r="L751" i="1"/>
  <c r="O751" i="1" s="1"/>
  <c r="P751" i="1" s="1"/>
  <c r="R751" i="1" s="1"/>
  <c r="J751" i="1"/>
  <c r="I751" i="1"/>
  <c r="K751" i="1" s="1"/>
  <c r="N751" i="1" s="1"/>
  <c r="Q751" i="1" s="1"/>
  <c r="S750" i="1"/>
  <c r="L750" i="1"/>
  <c r="O750" i="1" s="1"/>
  <c r="P750" i="1" s="1"/>
  <c r="R750" i="1" s="1"/>
  <c r="J750" i="1"/>
  <c r="I750" i="1"/>
  <c r="M750" i="1" s="1"/>
  <c r="S749" i="1"/>
  <c r="O749" i="1"/>
  <c r="P749" i="1" s="1"/>
  <c r="R749" i="1" s="1"/>
  <c r="L749" i="1"/>
  <c r="K749" i="1"/>
  <c r="N749" i="1" s="1"/>
  <c r="Q749" i="1" s="1"/>
  <c r="J749" i="1"/>
  <c r="I749" i="1"/>
  <c r="M749" i="1" s="1"/>
  <c r="S748" i="1"/>
  <c r="O748" i="1"/>
  <c r="P748" i="1" s="1"/>
  <c r="R748" i="1" s="1"/>
  <c r="N748" i="1"/>
  <c r="Q748" i="1" s="1"/>
  <c r="L748" i="1"/>
  <c r="K748" i="1"/>
  <c r="J748" i="1"/>
  <c r="I748" i="1"/>
  <c r="M748" i="1" s="1"/>
  <c r="S747" i="1"/>
  <c r="L747" i="1"/>
  <c r="O747" i="1" s="1"/>
  <c r="P747" i="1" s="1"/>
  <c r="R747" i="1" s="1"/>
  <c r="J747" i="1"/>
  <c r="I747" i="1"/>
  <c r="K747" i="1" s="1"/>
  <c r="N747" i="1" s="1"/>
  <c r="Q747" i="1" s="1"/>
  <c r="S746" i="1"/>
  <c r="L746" i="1"/>
  <c r="O746" i="1" s="1"/>
  <c r="P746" i="1" s="1"/>
  <c r="R746" i="1" s="1"/>
  <c r="J746" i="1"/>
  <c r="I746" i="1"/>
  <c r="M746" i="1" s="1"/>
  <c r="S745" i="1"/>
  <c r="O745" i="1"/>
  <c r="P745" i="1" s="1"/>
  <c r="R745" i="1" s="1"/>
  <c r="L745" i="1"/>
  <c r="K745" i="1"/>
  <c r="N745" i="1" s="1"/>
  <c r="Q745" i="1" s="1"/>
  <c r="J745" i="1"/>
  <c r="I745" i="1"/>
  <c r="M745" i="1" s="1"/>
  <c r="S744" i="1"/>
  <c r="O744" i="1"/>
  <c r="P744" i="1" s="1"/>
  <c r="R744" i="1" s="1"/>
  <c r="N744" i="1"/>
  <c r="Q744" i="1" s="1"/>
  <c r="L744" i="1"/>
  <c r="K744" i="1"/>
  <c r="J744" i="1"/>
  <c r="I744" i="1"/>
  <c r="M744" i="1" s="1"/>
  <c r="S743" i="1"/>
  <c r="L743" i="1"/>
  <c r="O743" i="1" s="1"/>
  <c r="P743" i="1" s="1"/>
  <c r="R743" i="1" s="1"/>
  <c r="J743" i="1"/>
  <c r="I743" i="1"/>
  <c r="K743" i="1" s="1"/>
  <c r="N743" i="1" s="1"/>
  <c r="Q743" i="1" s="1"/>
  <c r="S742" i="1"/>
  <c r="L742" i="1"/>
  <c r="O742" i="1" s="1"/>
  <c r="P742" i="1" s="1"/>
  <c r="R742" i="1" s="1"/>
  <c r="J742" i="1"/>
  <c r="I742" i="1"/>
  <c r="M742" i="1" s="1"/>
  <c r="S741" i="1"/>
  <c r="O741" i="1"/>
  <c r="P741" i="1" s="1"/>
  <c r="R741" i="1" s="1"/>
  <c r="L741" i="1"/>
  <c r="K741" i="1"/>
  <c r="N741" i="1" s="1"/>
  <c r="Q741" i="1" s="1"/>
  <c r="J741" i="1"/>
  <c r="I741" i="1"/>
  <c r="M741" i="1" s="1"/>
  <c r="S740" i="1"/>
  <c r="O740" i="1"/>
  <c r="P740" i="1" s="1"/>
  <c r="R740" i="1" s="1"/>
  <c r="N740" i="1"/>
  <c r="Q740" i="1" s="1"/>
  <c r="L740" i="1"/>
  <c r="K740" i="1"/>
  <c r="J740" i="1"/>
  <c r="I740" i="1"/>
  <c r="M740" i="1" s="1"/>
  <c r="S739" i="1"/>
  <c r="L739" i="1"/>
  <c r="O739" i="1" s="1"/>
  <c r="P739" i="1" s="1"/>
  <c r="R739" i="1" s="1"/>
  <c r="J739" i="1"/>
  <c r="I739" i="1"/>
  <c r="K739" i="1" s="1"/>
  <c r="N739" i="1" s="1"/>
  <c r="Q739" i="1" s="1"/>
  <c r="S738" i="1"/>
  <c r="L738" i="1"/>
  <c r="O738" i="1" s="1"/>
  <c r="P738" i="1" s="1"/>
  <c r="R738" i="1" s="1"/>
  <c r="J738" i="1"/>
  <c r="I738" i="1"/>
  <c r="M738" i="1" s="1"/>
  <c r="S737" i="1"/>
  <c r="O737" i="1"/>
  <c r="P737" i="1" s="1"/>
  <c r="R737" i="1" s="1"/>
  <c r="L737" i="1"/>
  <c r="K737" i="1"/>
  <c r="N737" i="1" s="1"/>
  <c r="Q737" i="1" s="1"/>
  <c r="J737" i="1"/>
  <c r="I737" i="1"/>
  <c r="M737" i="1" s="1"/>
  <c r="S736" i="1"/>
  <c r="O736" i="1"/>
  <c r="P736" i="1" s="1"/>
  <c r="R736" i="1" s="1"/>
  <c r="N736" i="1"/>
  <c r="Q736" i="1" s="1"/>
  <c r="L736" i="1"/>
  <c r="K736" i="1"/>
  <c r="J736" i="1"/>
  <c r="I736" i="1"/>
  <c r="M736" i="1" s="1"/>
  <c r="S735" i="1"/>
  <c r="L735" i="1"/>
  <c r="O735" i="1" s="1"/>
  <c r="P735" i="1" s="1"/>
  <c r="R735" i="1" s="1"/>
  <c r="J735" i="1"/>
  <c r="I735" i="1"/>
  <c r="K735" i="1" s="1"/>
  <c r="N735" i="1" s="1"/>
  <c r="Q735" i="1" s="1"/>
  <c r="S734" i="1"/>
  <c r="L734" i="1"/>
  <c r="O734" i="1" s="1"/>
  <c r="P734" i="1" s="1"/>
  <c r="R734" i="1" s="1"/>
  <c r="J734" i="1"/>
  <c r="I734" i="1"/>
  <c r="M734" i="1" s="1"/>
  <c r="S733" i="1"/>
  <c r="O733" i="1"/>
  <c r="P733" i="1" s="1"/>
  <c r="R733" i="1" s="1"/>
  <c r="L733" i="1"/>
  <c r="K733" i="1"/>
  <c r="N733" i="1" s="1"/>
  <c r="Q733" i="1" s="1"/>
  <c r="J733" i="1"/>
  <c r="I733" i="1"/>
  <c r="M733" i="1" s="1"/>
  <c r="S732" i="1"/>
  <c r="O732" i="1"/>
  <c r="P732" i="1" s="1"/>
  <c r="R732" i="1" s="1"/>
  <c r="N732" i="1"/>
  <c r="Q732" i="1" s="1"/>
  <c r="L732" i="1"/>
  <c r="K732" i="1"/>
  <c r="J732" i="1"/>
  <c r="I732" i="1"/>
  <c r="M732" i="1" s="1"/>
  <c r="S731" i="1"/>
  <c r="L731" i="1"/>
  <c r="O731" i="1" s="1"/>
  <c r="P731" i="1" s="1"/>
  <c r="R731" i="1" s="1"/>
  <c r="J731" i="1"/>
  <c r="I731" i="1"/>
  <c r="K731" i="1" s="1"/>
  <c r="N731" i="1" s="1"/>
  <c r="Q731" i="1" s="1"/>
  <c r="S730" i="1"/>
  <c r="L730" i="1"/>
  <c r="O730" i="1" s="1"/>
  <c r="P730" i="1" s="1"/>
  <c r="R730" i="1" s="1"/>
  <c r="J730" i="1"/>
  <c r="I730" i="1"/>
  <c r="M730" i="1" s="1"/>
  <c r="S729" i="1"/>
  <c r="O729" i="1"/>
  <c r="P729" i="1" s="1"/>
  <c r="R729" i="1" s="1"/>
  <c r="L729" i="1"/>
  <c r="K729" i="1"/>
  <c r="N729" i="1" s="1"/>
  <c r="Q729" i="1" s="1"/>
  <c r="J729" i="1"/>
  <c r="I729" i="1"/>
  <c r="M729" i="1" s="1"/>
  <c r="S728" i="1"/>
  <c r="O728" i="1"/>
  <c r="P728" i="1" s="1"/>
  <c r="R728" i="1" s="1"/>
  <c r="N728" i="1"/>
  <c r="Q728" i="1" s="1"/>
  <c r="L728" i="1"/>
  <c r="K728" i="1"/>
  <c r="J728" i="1"/>
  <c r="I728" i="1"/>
  <c r="M728" i="1" s="1"/>
  <c r="S727" i="1"/>
  <c r="L727" i="1"/>
  <c r="O727" i="1" s="1"/>
  <c r="P727" i="1" s="1"/>
  <c r="R727" i="1" s="1"/>
  <c r="J727" i="1"/>
  <c r="I727" i="1"/>
  <c r="K727" i="1" s="1"/>
  <c r="N727" i="1" s="1"/>
  <c r="Q727" i="1" s="1"/>
  <c r="S726" i="1"/>
  <c r="L726" i="1"/>
  <c r="O726" i="1" s="1"/>
  <c r="P726" i="1" s="1"/>
  <c r="R726" i="1" s="1"/>
  <c r="J726" i="1"/>
  <c r="I726" i="1"/>
  <c r="M726" i="1" s="1"/>
  <c r="S725" i="1"/>
  <c r="O725" i="1"/>
  <c r="P725" i="1" s="1"/>
  <c r="R725" i="1" s="1"/>
  <c r="L725" i="1"/>
  <c r="K725" i="1"/>
  <c r="N725" i="1" s="1"/>
  <c r="Q725" i="1" s="1"/>
  <c r="J725" i="1"/>
  <c r="I725" i="1"/>
  <c r="M725" i="1" s="1"/>
  <c r="S724" i="1"/>
  <c r="O724" i="1"/>
  <c r="P724" i="1" s="1"/>
  <c r="R724" i="1" s="1"/>
  <c r="N724" i="1"/>
  <c r="Q724" i="1" s="1"/>
  <c r="L724" i="1"/>
  <c r="K724" i="1"/>
  <c r="J724" i="1"/>
  <c r="I724" i="1"/>
  <c r="M724" i="1" s="1"/>
  <c r="S723" i="1"/>
  <c r="L723" i="1"/>
  <c r="O723" i="1" s="1"/>
  <c r="P723" i="1" s="1"/>
  <c r="R723" i="1" s="1"/>
  <c r="J723" i="1"/>
  <c r="I723" i="1"/>
  <c r="K723" i="1" s="1"/>
  <c r="N723" i="1" s="1"/>
  <c r="Q723" i="1" s="1"/>
  <c r="S722" i="1"/>
  <c r="L722" i="1"/>
  <c r="O722" i="1" s="1"/>
  <c r="P722" i="1" s="1"/>
  <c r="R722" i="1" s="1"/>
  <c r="J722" i="1"/>
  <c r="I722" i="1"/>
  <c r="M722" i="1" s="1"/>
  <c r="S721" i="1"/>
  <c r="O721" i="1"/>
  <c r="P721" i="1" s="1"/>
  <c r="R721" i="1" s="1"/>
  <c r="L721" i="1"/>
  <c r="K721" i="1"/>
  <c r="N721" i="1" s="1"/>
  <c r="Q721" i="1" s="1"/>
  <c r="J721" i="1"/>
  <c r="I721" i="1"/>
  <c r="M721" i="1" s="1"/>
  <c r="S720" i="1"/>
  <c r="O720" i="1"/>
  <c r="P720" i="1" s="1"/>
  <c r="R720" i="1" s="1"/>
  <c r="N720" i="1"/>
  <c r="Q720" i="1" s="1"/>
  <c r="L720" i="1"/>
  <c r="K720" i="1"/>
  <c r="J720" i="1"/>
  <c r="I720" i="1"/>
  <c r="M720" i="1" s="1"/>
  <c r="S719" i="1"/>
  <c r="L719" i="1"/>
  <c r="O719" i="1" s="1"/>
  <c r="P719" i="1" s="1"/>
  <c r="R719" i="1" s="1"/>
  <c r="J719" i="1"/>
  <c r="I719" i="1"/>
  <c r="K719" i="1" s="1"/>
  <c r="N719" i="1" s="1"/>
  <c r="Q719" i="1" s="1"/>
  <c r="S718" i="1"/>
  <c r="L718" i="1"/>
  <c r="O718" i="1" s="1"/>
  <c r="P718" i="1" s="1"/>
  <c r="R718" i="1" s="1"/>
  <c r="J718" i="1"/>
  <c r="I718" i="1"/>
  <c r="M718" i="1" s="1"/>
  <c r="S717" i="1"/>
  <c r="O717" i="1"/>
  <c r="P717" i="1" s="1"/>
  <c r="R717" i="1" s="1"/>
  <c r="L717" i="1"/>
  <c r="K717" i="1"/>
  <c r="N717" i="1" s="1"/>
  <c r="Q717" i="1" s="1"/>
  <c r="J717" i="1"/>
  <c r="I717" i="1"/>
  <c r="M717" i="1" s="1"/>
  <c r="S716" i="1"/>
  <c r="O716" i="1"/>
  <c r="P716" i="1" s="1"/>
  <c r="R716" i="1" s="1"/>
  <c r="N716" i="1"/>
  <c r="Q716" i="1" s="1"/>
  <c r="L716" i="1"/>
  <c r="K716" i="1"/>
  <c r="J716" i="1"/>
  <c r="I716" i="1"/>
  <c r="M716" i="1" s="1"/>
  <c r="S715" i="1"/>
  <c r="L715" i="1"/>
  <c r="O715" i="1" s="1"/>
  <c r="P715" i="1" s="1"/>
  <c r="R715" i="1" s="1"/>
  <c r="J715" i="1"/>
  <c r="I715" i="1"/>
  <c r="K715" i="1" s="1"/>
  <c r="N715" i="1" s="1"/>
  <c r="Q715" i="1" s="1"/>
  <c r="S714" i="1"/>
  <c r="L714" i="1"/>
  <c r="O714" i="1" s="1"/>
  <c r="P714" i="1" s="1"/>
  <c r="R714" i="1" s="1"/>
  <c r="J714" i="1"/>
  <c r="I714" i="1"/>
  <c r="M714" i="1" s="1"/>
  <c r="S713" i="1"/>
  <c r="O713" i="1"/>
  <c r="P713" i="1" s="1"/>
  <c r="R713" i="1" s="1"/>
  <c r="L713" i="1"/>
  <c r="K713" i="1"/>
  <c r="N713" i="1" s="1"/>
  <c r="Q713" i="1" s="1"/>
  <c r="J713" i="1"/>
  <c r="I713" i="1"/>
  <c r="M713" i="1" s="1"/>
  <c r="S712" i="1"/>
  <c r="O712" i="1"/>
  <c r="P712" i="1" s="1"/>
  <c r="R712" i="1" s="1"/>
  <c r="N712" i="1"/>
  <c r="Q712" i="1" s="1"/>
  <c r="L712" i="1"/>
  <c r="K712" i="1"/>
  <c r="J712" i="1"/>
  <c r="I712" i="1"/>
  <c r="M712" i="1" s="1"/>
  <c r="S711" i="1"/>
  <c r="L711" i="1"/>
  <c r="O711" i="1" s="1"/>
  <c r="P711" i="1" s="1"/>
  <c r="R711" i="1" s="1"/>
  <c r="J711" i="1"/>
  <c r="I711" i="1"/>
  <c r="K711" i="1" s="1"/>
  <c r="N711" i="1" s="1"/>
  <c r="Q711" i="1" s="1"/>
  <c r="S710" i="1"/>
  <c r="L710" i="1"/>
  <c r="O710" i="1" s="1"/>
  <c r="P710" i="1" s="1"/>
  <c r="R710" i="1" s="1"/>
  <c r="J710" i="1"/>
  <c r="I710" i="1"/>
  <c r="M710" i="1" s="1"/>
  <c r="S709" i="1"/>
  <c r="O709" i="1"/>
  <c r="P709" i="1" s="1"/>
  <c r="R709" i="1" s="1"/>
  <c r="L709" i="1"/>
  <c r="K709" i="1"/>
  <c r="N709" i="1" s="1"/>
  <c r="Q709" i="1" s="1"/>
  <c r="J709" i="1"/>
  <c r="I709" i="1"/>
  <c r="M709" i="1" s="1"/>
  <c r="S708" i="1"/>
  <c r="O708" i="1"/>
  <c r="P708" i="1" s="1"/>
  <c r="R708" i="1" s="1"/>
  <c r="N708" i="1"/>
  <c r="Q708" i="1" s="1"/>
  <c r="L708" i="1"/>
  <c r="K708" i="1"/>
  <c r="J708" i="1"/>
  <c r="I708" i="1"/>
  <c r="M708" i="1" s="1"/>
  <c r="S707" i="1"/>
  <c r="L707" i="1"/>
  <c r="O707" i="1" s="1"/>
  <c r="P707" i="1" s="1"/>
  <c r="R707" i="1" s="1"/>
  <c r="J707" i="1"/>
  <c r="I707" i="1"/>
  <c r="K707" i="1" s="1"/>
  <c r="N707" i="1" s="1"/>
  <c r="Q707" i="1" s="1"/>
  <c r="S706" i="1"/>
  <c r="L706" i="1"/>
  <c r="O706" i="1" s="1"/>
  <c r="P706" i="1" s="1"/>
  <c r="R706" i="1" s="1"/>
  <c r="J706" i="1"/>
  <c r="I706" i="1"/>
  <c r="M706" i="1" s="1"/>
  <c r="S705" i="1"/>
  <c r="O705" i="1"/>
  <c r="P705" i="1" s="1"/>
  <c r="R705" i="1" s="1"/>
  <c r="L705" i="1"/>
  <c r="K705" i="1"/>
  <c r="N705" i="1" s="1"/>
  <c r="Q705" i="1" s="1"/>
  <c r="J705" i="1"/>
  <c r="I705" i="1"/>
  <c r="M705" i="1" s="1"/>
  <c r="S704" i="1"/>
  <c r="O704" i="1"/>
  <c r="P704" i="1" s="1"/>
  <c r="R704" i="1" s="1"/>
  <c r="N704" i="1"/>
  <c r="Q704" i="1" s="1"/>
  <c r="L704" i="1"/>
  <c r="K704" i="1"/>
  <c r="J704" i="1"/>
  <c r="I704" i="1"/>
  <c r="M704" i="1" s="1"/>
  <c r="S703" i="1"/>
  <c r="L703" i="1"/>
  <c r="O703" i="1" s="1"/>
  <c r="P703" i="1" s="1"/>
  <c r="R703" i="1" s="1"/>
  <c r="J703" i="1"/>
  <c r="I703" i="1"/>
  <c r="K703" i="1" s="1"/>
  <c r="N703" i="1" s="1"/>
  <c r="Q703" i="1" s="1"/>
  <c r="S702" i="1"/>
  <c r="L702" i="1"/>
  <c r="O702" i="1" s="1"/>
  <c r="P702" i="1" s="1"/>
  <c r="R702" i="1" s="1"/>
  <c r="J702" i="1"/>
  <c r="I702" i="1"/>
  <c r="M702" i="1" s="1"/>
  <c r="S701" i="1"/>
  <c r="O701" i="1"/>
  <c r="P701" i="1" s="1"/>
  <c r="R701" i="1" s="1"/>
  <c r="L701" i="1"/>
  <c r="K701" i="1"/>
  <c r="N701" i="1" s="1"/>
  <c r="Q701" i="1" s="1"/>
  <c r="J701" i="1"/>
  <c r="I701" i="1"/>
  <c r="M701" i="1" s="1"/>
  <c r="S700" i="1"/>
  <c r="O700" i="1"/>
  <c r="P700" i="1" s="1"/>
  <c r="R700" i="1" s="1"/>
  <c r="N700" i="1"/>
  <c r="Q700" i="1" s="1"/>
  <c r="L700" i="1"/>
  <c r="K700" i="1"/>
  <c r="J700" i="1"/>
  <c r="I700" i="1"/>
  <c r="M700" i="1" s="1"/>
  <c r="S699" i="1"/>
  <c r="L699" i="1"/>
  <c r="O699" i="1" s="1"/>
  <c r="P699" i="1" s="1"/>
  <c r="R699" i="1" s="1"/>
  <c r="J699" i="1"/>
  <c r="I699" i="1"/>
  <c r="K699" i="1" s="1"/>
  <c r="N699" i="1" s="1"/>
  <c r="Q699" i="1" s="1"/>
  <c r="S698" i="1"/>
  <c r="L698" i="1"/>
  <c r="O698" i="1" s="1"/>
  <c r="P698" i="1" s="1"/>
  <c r="R698" i="1" s="1"/>
  <c r="J698" i="1"/>
  <c r="I698" i="1"/>
  <c r="M698" i="1" s="1"/>
  <c r="S697" i="1"/>
  <c r="O697" i="1"/>
  <c r="P697" i="1" s="1"/>
  <c r="R697" i="1" s="1"/>
  <c r="L697" i="1"/>
  <c r="K697" i="1"/>
  <c r="N697" i="1" s="1"/>
  <c r="Q697" i="1" s="1"/>
  <c r="J697" i="1"/>
  <c r="I697" i="1"/>
  <c r="M697" i="1" s="1"/>
  <c r="S696" i="1"/>
  <c r="O696" i="1"/>
  <c r="P696" i="1" s="1"/>
  <c r="R696" i="1" s="1"/>
  <c r="N696" i="1"/>
  <c r="Q696" i="1" s="1"/>
  <c r="L696" i="1"/>
  <c r="K696" i="1"/>
  <c r="J696" i="1"/>
  <c r="I696" i="1"/>
  <c r="M696" i="1" s="1"/>
  <c r="S695" i="1"/>
  <c r="L695" i="1"/>
  <c r="O695" i="1" s="1"/>
  <c r="P695" i="1" s="1"/>
  <c r="R695" i="1" s="1"/>
  <c r="J695" i="1"/>
  <c r="I695" i="1"/>
  <c r="K695" i="1" s="1"/>
  <c r="N695" i="1" s="1"/>
  <c r="Q695" i="1" s="1"/>
  <c r="S694" i="1"/>
  <c r="L694" i="1"/>
  <c r="O694" i="1" s="1"/>
  <c r="P694" i="1" s="1"/>
  <c r="R694" i="1" s="1"/>
  <c r="J694" i="1"/>
  <c r="I694" i="1"/>
  <c r="M694" i="1" s="1"/>
  <c r="S693" i="1"/>
  <c r="O693" i="1"/>
  <c r="P693" i="1" s="1"/>
  <c r="R693" i="1" s="1"/>
  <c r="L693" i="1"/>
  <c r="K693" i="1"/>
  <c r="N693" i="1" s="1"/>
  <c r="Q693" i="1" s="1"/>
  <c r="J693" i="1"/>
  <c r="I693" i="1"/>
  <c r="M693" i="1" s="1"/>
  <c r="S692" i="1"/>
  <c r="O692" i="1"/>
  <c r="P692" i="1" s="1"/>
  <c r="R692" i="1" s="1"/>
  <c r="N692" i="1"/>
  <c r="Q692" i="1" s="1"/>
  <c r="L692" i="1"/>
  <c r="K692" i="1"/>
  <c r="J692" i="1"/>
  <c r="I692" i="1"/>
  <c r="M692" i="1" s="1"/>
  <c r="S691" i="1"/>
  <c r="L691" i="1"/>
  <c r="O691" i="1" s="1"/>
  <c r="P691" i="1" s="1"/>
  <c r="R691" i="1" s="1"/>
  <c r="J691" i="1"/>
  <c r="I691" i="1"/>
  <c r="K691" i="1" s="1"/>
  <c r="N691" i="1" s="1"/>
  <c r="Q691" i="1" s="1"/>
  <c r="S690" i="1"/>
  <c r="L690" i="1"/>
  <c r="O690" i="1" s="1"/>
  <c r="P690" i="1" s="1"/>
  <c r="R690" i="1" s="1"/>
  <c r="J690" i="1"/>
  <c r="I690" i="1"/>
  <c r="M690" i="1" s="1"/>
  <c r="S689" i="1"/>
  <c r="O689" i="1"/>
  <c r="P689" i="1" s="1"/>
  <c r="R689" i="1" s="1"/>
  <c r="L689" i="1"/>
  <c r="K689" i="1"/>
  <c r="N689" i="1" s="1"/>
  <c r="Q689" i="1" s="1"/>
  <c r="J689" i="1"/>
  <c r="I689" i="1"/>
  <c r="M689" i="1" s="1"/>
  <c r="S688" i="1"/>
  <c r="O688" i="1"/>
  <c r="P688" i="1" s="1"/>
  <c r="R688" i="1" s="1"/>
  <c r="N688" i="1"/>
  <c r="Q688" i="1" s="1"/>
  <c r="L688" i="1"/>
  <c r="K688" i="1"/>
  <c r="J688" i="1"/>
  <c r="I688" i="1"/>
  <c r="M688" i="1" s="1"/>
  <c r="S687" i="1"/>
  <c r="L687" i="1"/>
  <c r="O687" i="1" s="1"/>
  <c r="P687" i="1" s="1"/>
  <c r="R687" i="1" s="1"/>
  <c r="J687" i="1"/>
  <c r="I687" i="1"/>
  <c r="K687" i="1" s="1"/>
  <c r="N687" i="1" s="1"/>
  <c r="Q687" i="1" s="1"/>
  <c r="S686" i="1"/>
  <c r="L686" i="1"/>
  <c r="O686" i="1" s="1"/>
  <c r="P686" i="1" s="1"/>
  <c r="R686" i="1" s="1"/>
  <c r="J686" i="1"/>
  <c r="I686" i="1"/>
  <c r="M686" i="1" s="1"/>
  <c r="S685" i="1"/>
  <c r="O685" i="1"/>
  <c r="P685" i="1" s="1"/>
  <c r="R685" i="1" s="1"/>
  <c r="L685" i="1"/>
  <c r="K685" i="1"/>
  <c r="N685" i="1" s="1"/>
  <c r="Q685" i="1" s="1"/>
  <c r="J685" i="1"/>
  <c r="I685" i="1"/>
  <c r="M685" i="1" s="1"/>
  <c r="S684" i="1"/>
  <c r="O684" i="1"/>
  <c r="P684" i="1" s="1"/>
  <c r="R684" i="1" s="1"/>
  <c r="N684" i="1"/>
  <c r="Q684" i="1" s="1"/>
  <c r="L684" i="1"/>
  <c r="K684" i="1"/>
  <c r="J684" i="1"/>
  <c r="I684" i="1"/>
  <c r="M684" i="1" s="1"/>
  <c r="S683" i="1"/>
  <c r="L683" i="1"/>
  <c r="O683" i="1" s="1"/>
  <c r="P683" i="1" s="1"/>
  <c r="R683" i="1" s="1"/>
  <c r="J683" i="1"/>
  <c r="I683" i="1"/>
  <c r="K683" i="1" s="1"/>
  <c r="N683" i="1" s="1"/>
  <c r="Q683" i="1" s="1"/>
  <c r="S682" i="1"/>
  <c r="L682" i="1"/>
  <c r="O682" i="1" s="1"/>
  <c r="P682" i="1" s="1"/>
  <c r="R682" i="1" s="1"/>
  <c r="J682" i="1"/>
  <c r="I682" i="1"/>
  <c r="M682" i="1" s="1"/>
  <c r="S681" i="1"/>
  <c r="O681" i="1"/>
  <c r="P681" i="1" s="1"/>
  <c r="R681" i="1" s="1"/>
  <c r="L681" i="1"/>
  <c r="K681" i="1"/>
  <c r="N681" i="1" s="1"/>
  <c r="Q681" i="1" s="1"/>
  <c r="J681" i="1"/>
  <c r="I681" i="1"/>
  <c r="M681" i="1" s="1"/>
  <c r="S680" i="1"/>
  <c r="O680" i="1"/>
  <c r="P680" i="1" s="1"/>
  <c r="R680" i="1" s="1"/>
  <c r="N680" i="1"/>
  <c r="Q680" i="1" s="1"/>
  <c r="L680" i="1"/>
  <c r="K680" i="1"/>
  <c r="J680" i="1"/>
  <c r="I680" i="1"/>
  <c r="M680" i="1" s="1"/>
  <c r="S679" i="1"/>
  <c r="L679" i="1"/>
  <c r="O679" i="1" s="1"/>
  <c r="P679" i="1" s="1"/>
  <c r="R679" i="1" s="1"/>
  <c r="J679" i="1"/>
  <c r="I679" i="1"/>
  <c r="K679" i="1" s="1"/>
  <c r="N679" i="1" s="1"/>
  <c r="Q679" i="1" s="1"/>
  <c r="S678" i="1"/>
  <c r="L678" i="1"/>
  <c r="O678" i="1" s="1"/>
  <c r="P678" i="1" s="1"/>
  <c r="R678" i="1" s="1"/>
  <c r="J678" i="1"/>
  <c r="I678" i="1"/>
  <c r="M678" i="1" s="1"/>
  <c r="S677" i="1"/>
  <c r="O677" i="1"/>
  <c r="P677" i="1" s="1"/>
  <c r="R677" i="1" s="1"/>
  <c r="L677" i="1"/>
  <c r="K677" i="1"/>
  <c r="N677" i="1" s="1"/>
  <c r="Q677" i="1" s="1"/>
  <c r="J677" i="1"/>
  <c r="I677" i="1"/>
  <c r="M677" i="1" s="1"/>
  <c r="S676" i="1"/>
  <c r="O676" i="1"/>
  <c r="P676" i="1" s="1"/>
  <c r="R676" i="1" s="1"/>
  <c r="N676" i="1"/>
  <c r="Q676" i="1" s="1"/>
  <c r="L676" i="1"/>
  <c r="K676" i="1"/>
  <c r="J676" i="1"/>
  <c r="I676" i="1"/>
  <c r="M676" i="1" s="1"/>
  <c r="S675" i="1"/>
  <c r="L675" i="1"/>
  <c r="O675" i="1" s="1"/>
  <c r="P675" i="1" s="1"/>
  <c r="R675" i="1" s="1"/>
  <c r="J675" i="1"/>
  <c r="I675" i="1"/>
  <c r="K675" i="1" s="1"/>
  <c r="N675" i="1" s="1"/>
  <c r="Q675" i="1" s="1"/>
  <c r="S674" i="1"/>
  <c r="L674" i="1"/>
  <c r="O674" i="1" s="1"/>
  <c r="P674" i="1" s="1"/>
  <c r="R674" i="1" s="1"/>
  <c r="J674" i="1"/>
  <c r="I674" i="1"/>
  <c r="M674" i="1" s="1"/>
  <c r="S673" i="1"/>
  <c r="O673" i="1"/>
  <c r="P673" i="1" s="1"/>
  <c r="R673" i="1" s="1"/>
  <c r="L673" i="1"/>
  <c r="K673" i="1"/>
  <c r="N673" i="1" s="1"/>
  <c r="Q673" i="1" s="1"/>
  <c r="J673" i="1"/>
  <c r="I673" i="1"/>
  <c r="M673" i="1" s="1"/>
  <c r="S672" i="1"/>
  <c r="O672" i="1"/>
  <c r="P672" i="1" s="1"/>
  <c r="R672" i="1" s="1"/>
  <c r="N672" i="1"/>
  <c r="Q672" i="1" s="1"/>
  <c r="L672" i="1"/>
  <c r="K672" i="1"/>
  <c r="J672" i="1"/>
  <c r="I672" i="1"/>
  <c r="M672" i="1" s="1"/>
  <c r="S671" i="1"/>
  <c r="L671" i="1"/>
  <c r="O671" i="1" s="1"/>
  <c r="P671" i="1" s="1"/>
  <c r="R671" i="1" s="1"/>
  <c r="J671" i="1"/>
  <c r="I671" i="1"/>
  <c r="K671" i="1" s="1"/>
  <c r="N671" i="1" s="1"/>
  <c r="Q671" i="1" s="1"/>
  <c r="S670" i="1"/>
  <c r="L670" i="1"/>
  <c r="O670" i="1" s="1"/>
  <c r="P670" i="1" s="1"/>
  <c r="R670" i="1" s="1"/>
  <c r="J670" i="1"/>
  <c r="I670" i="1"/>
  <c r="M670" i="1" s="1"/>
  <c r="S669" i="1"/>
  <c r="O669" i="1"/>
  <c r="P669" i="1" s="1"/>
  <c r="R669" i="1" s="1"/>
  <c r="L669" i="1"/>
  <c r="K669" i="1"/>
  <c r="N669" i="1" s="1"/>
  <c r="Q669" i="1" s="1"/>
  <c r="J669" i="1"/>
  <c r="I669" i="1"/>
  <c r="M669" i="1" s="1"/>
  <c r="S668" i="1"/>
  <c r="O668" i="1"/>
  <c r="P668" i="1" s="1"/>
  <c r="R668" i="1" s="1"/>
  <c r="N668" i="1"/>
  <c r="Q668" i="1" s="1"/>
  <c r="L668" i="1"/>
  <c r="K668" i="1"/>
  <c r="J668" i="1"/>
  <c r="I668" i="1"/>
  <c r="M668" i="1" s="1"/>
  <c r="S667" i="1"/>
  <c r="L667" i="1"/>
  <c r="O667" i="1" s="1"/>
  <c r="P667" i="1" s="1"/>
  <c r="R667" i="1" s="1"/>
  <c r="J667" i="1"/>
  <c r="I667" i="1"/>
  <c r="K667" i="1" s="1"/>
  <c r="N667" i="1" s="1"/>
  <c r="Q667" i="1" s="1"/>
  <c r="S666" i="1"/>
  <c r="L666" i="1"/>
  <c r="O666" i="1" s="1"/>
  <c r="P666" i="1" s="1"/>
  <c r="R666" i="1" s="1"/>
  <c r="J666" i="1"/>
  <c r="I666" i="1"/>
  <c r="M666" i="1" s="1"/>
  <c r="S665" i="1"/>
  <c r="O665" i="1"/>
  <c r="P665" i="1" s="1"/>
  <c r="R665" i="1" s="1"/>
  <c r="L665" i="1"/>
  <c r="K665" i="1"/>
  <c r="N665" i="1" s="1"/>
  <c r="Q665" i="1" s="1"/>
  <c r="J665" i="1"/>
  <c r="I665" i="1"/>
  <c r="M665" i="1" s="1"/>
  <c r="S664" i="1"/>
  <c r="O664" i="1"/>
  <c r="P664" i="1" s="1"/>
  <c r="R664" i="1" s="1"/>
  <c r="N664" i="1"/>
  <c r="Q664" i="1" s="1"/>
  <c r="L664" i="1"/>
  <c r="K664" i="1"/>
  <c r="J664" i="1"/>
  <c r="I664" i="1"/>
  <c r="M664" i="1" s="1"/>
  <c r="S663" i="1"/>
  <c r="L663" i="1"/>
  <c r="O663" i="1" s="1"/>
  <c r="P663" i="1" s="1"/>
  <c r="R663" i="1" s="1"/>
  <c r="J663" i="1"/>
  <c r="I663" i="1"/>
  <c r="K663" i="1" s="1"/>
  <c r="N663" i="1" s="1"/>
  <c r="Q663" i="1" s="1"/>
  <c r="S662" i="1"/>
  <c r="L662" i="1"/>
  <c r="O662" i="1" s="1"/>
  <c r="P662" i="1" s="1"/>
  <c r="R662" i="1" s="1"/>
  <c r="J662" i="1"/>
  <c r="I662" i="1"/>
  <c r="M662" i="1" s="1"/>
  <c r="S661" i="1"/>
  <c r="O661" i="1"/>
  <c r="P661" i="1" s="1"/>
  <c r="R661" i="1" s="1"/>
  <c r="L661" i="1"/>
  <c r="K661" i="1"/>
  <c r="N661" i="1" s="1"/>
  <c r="Q661" i="1" s="1"/>
  <c r="J661" i="1"/>
  <c r="I661" i="1"/>
  <c r="M661" i="1" s="1"/>
  <c r="S660" i="1"/>
  <c r="O660" i="1"/>
  <c r="P660" i="1" s="1"/>
  <c r="R660" i="1" s="1"/>
  <c r="N660" i="1"/>
  <c r="Q660" i="1" s="1"/>
  <c r="L660" i="1"/>
  <c r="K660" i="1"/>
  <c r="J660" i="1"/>
  <c r="I660" i="1"/>
  <c r="M660" i="1" s="1"/>
  <c r="S659" i="1"/>
  <c r="L659" i="1"/>
  <c r="O659" i="1" s="1"/>
  <c r="P659" i="1" s="1"/>
  <c r="R659" i="1" s="1"/>
  <c r="J659" i="1"/>
  <c r="I659" i="1"/>
  <c r="K659" i="1" s="1"/>
  <c r="N659" i="1" s="1"/>
  <c r="Q659" i="1" s="1"/>
  <c r="S658" i="1"/>
  <c r="L658" i="1"/>
  <c r="O658" i="1" s="1"/>
  <c r="P658" i="1" s="1"/>
  <c r="R658" i="1" s="1"/>
  <c r="J658" i="1"/>
  <c r="I658" i="1"/>
  <c r="M658" i="1" s="1"/>
  <c r="S657" i="1"/>
  <c r="O657" i="1"/>
  <c r="P657" i="1" s="1"/>
  <c r="R657" i="1" s="1"/>
  <c r="L657" i="1"/>
  <c r="K657" i="1"/>
  <c r="N657" i="1" s="1"/>
  <c r="Q657" i="1" s="1"/>
  <c r="J657" i="1"/>
  <c r="I657" i="1"/>
  <c r="M657" i="1" s="1"/>
  <c r="S656" i="1"/>
  <c r="O656" i="1"/>
  <c r="P656" i="1" s="1"/>
  <c r="R656" i="1" s="1"/>
  <c r="N656" i="1"/>
  <c r="Q656" i="1" s="1"/>
  <c r="L656" i="1"/>
  <c r="K656" i="1"/>
  <c r="J656" i="1"/>
  <c r="I656" i="1"/>
  <c r="M656" i="1" s="1"/>
  <c r="S655" i="1"/>
  <c r="L655" i="1"/>
  <c r="O655" i="1" s="1"/>
  <c r="P655" i="1" s="1"/>
  <c r="R655" i="1" s="1"/>
  <c r="J655" i="1"/>
  <c r="I655" i="1"/>
  <c r="K655" i="1" s="1"/>
  <c r="N655" i="1" s="1"/>
  <c r="Q655" i="1" s="1"/>
  <c r="S654" i="1"/>
  <c r="L654" i="1"/>
  <c r="J654" i="1"/>
  <c r="I654" i="1"/>
  <c r="M654" i="1" s="1"/>
  <c r="S653" i="1"/>
  <c r="O653" i="1"/>
  <c r="P653" i="1" s="1"/>
  <c r="R653" i="1" s="1"/>
  <c r="L653" i="1"/>
  <c r="N653" i="1" s="1"/>
  <c r="Q653" i="1" s="1"/>
  <c r="K653" i="1"/>
  <c r="J653" i="1"/>
  <c r="I653" i="1"/>
  <c r="M653" i="1" s="1"/>
  <c r="S652" i="1"/>
  <c r="O652" i="1"/>
  <c r="P652" i="1" s="1"/>
  <c r="R652" i="1" s="1"/>
  <c r="N652" i="1"/>
  <c r="Q652" i="1" s="1"/>
  <c r="L652" i="1"/>
  <c r="K652" i="1"/>
  <c r="J652" i="1"/>
  <c r="I652" i="1"/>
  <c r="M652" i="1" s="1"/>
  <c r="S651" i="1"/>
  <c r="L651" i="1"/>
  <c r="O651" i="1" s="1"/>
  <c r="P651" i="1" s="1"/>
  <c r="R651" i="1" s="1"/>
  <c r="J651" i="1"/>
  <c r="I651" i="1"/>
  <c r="K651" i="1" s="1"/>
  <c r="N651" i="1" s="1"/>
  <c r="Q651" i="1" s="1"/>
  <c r="S650" i="1"/>
  <c r="L650" i="1"/>
  <c r="J650" i="1"/>
  <c r="I650" i="1"/>
  <c r="M650" i="1" s="1"/>
  <c r="S649" i="1"/>
  <c r="O649" i="1"/>
  <c r="P649" i="1" s="1"/>
  <c r="R649" i="1" s="1"/>
  <c r="L649" i="1"/>
  <c r="N649" i="1" s="1"/>
  <c r="Q649" i="1" s="1"/>
  <c r="K649" i="1"/>
  <c r="J649" i="1"/>
  <c r="I649" i="1"/>
  <c r="M649" i="1" s="1"/>
  <c r="S648" i="1"/>
  <c r="O648" i="1"/>
  <c r="P648" i="1" s="1"/>
  <c r="R648" i="1" s="1"/>
  <c r="N648" i="1"/>
  <c r="Q648" i="1" s="1"/>
  <c r="L648" i="1"/>
  <c r="K648" i="1"/>
  <c r="J648" i="1"/>
  <c r="I648" i="1"/>
  <c r="M648" i="1" s="1"/>
  <c r="S647" i="1"/>
  <c r="L647" i="1"/>
  <c r="O647" i="1" s="1"/>
  <c r="P647" i="1" s="1"/>
  <c r="R647" i="1" s="1"/>
  <c r="J647" i="1"/>
  <c r="I647" i="1"/>
  <c r="K647" i="1" s="1"/>
  <c r="N647" i="1" s="1"/>
  <c r="Q647" i="1" s="1"/>
  <c r="S646" i="1"/>
  <c r="L646" i="1"/>
  <c r="J646" i="1"/>
  <c r="I646" i="1"/>
  <c r="M646" i="1" s="1"/>
  <c r="S645" i="1"/>
  <c r="O645" i="1"/>
  <c r="P645" i="1" s="1"/>
  <c r="R645" i="1" s="1"/>
  <c r="L645" i="1"/>
  <c r="N645" i="1" s="1"/>
  <c r="Q645" i="1" s="1"/>
  <c r="K645" i="1"/>
  <c r="J645" i="1"/>
  <c r="I645" i="1"/>
  <c r="M645" i="1" s="1"/>
  <c r="S644" i="1"/>
  <c r="O644" i="1"/>
  <c r="P644" i="1" s="1"/>
  <c r="R644" i="1" s="1"/>
  <c r="N644" i="1"/>
  <c r="Q644" i="1" s="1"/>
  <c r="L644" i="1"/>
  <c r="K644" i="1"/>
  <c r="J644" i="1"/>
  <c r="I644" i="1"/>
  <c r="M644" i="1" s="1"/>
  <c r="S643" i="1"/>
  <c r="L643" i="1"/>
  <c r="O643" i="1" s="1"/>
  <c r="P643" i="1" s="1"/>
  <c r="R643" i="1" s="1"/>
  <c r="J643" i="1"/>
  <c r="I643" i="1"/>
  <c r="K643" i="1" s="1"/>
  <c r="N643" i="1" s="1"/>
  <c r="Q643" i="1" s="1"/>
  <c r="S642" i="1"/>
  <c r="L642" i="1"/>
  <c r="J642" i="1"/>
  <c r="I642" i="1"/>
  <c r="M642" i="1" s="1"/>
  <c r="S641" i="1"/>
  <c r="O641" i="1"/>
  <c r="P641" i="1" s="1"/>
  <c r="R641" i="1" s="1"/>
  <c r="L641" i="1"/>
  <c r="N641" i="1" s="1"/>
  <c r="Q641" i="1" s="1"/>
  <c r="K641" i="1"/>
  <c r="J641" i="1"/>
  <c r="I641" i="1"/>
  <c r="M641" i="1" s="1"/>
  <c r="S640" i="1"/>
  <c r="O640" i="1"/>
  <c r="P640" i="1" s="1"/>
  <c r="R640" i="1" s="1"/>
  <c r="L640" i="1"/>
  <c r="J640" i="1"/>
  <c r="K640" i="1" s="1"/>
  <c r="N640" i="1" s="1"/>
  <c r="Q640" i="1" s="1"/>
  <c r="I640" i="1"/>
  <c r="M640" i="1" s="1"/>
  <c r="S639" i="1"/>
  <c r="L639" i="1"/>
  <c r="O639" i="1" s="1"/>
  <c r="P639" i="1" s="1"/>
  <c r="R639" i="1" s="1"/>
  <c r="J639" i="1"/>
  <c r="I639" i="1"/>
  <c r="K639" i="1" s="1"/>
  <c r="N639" i="1" s="1"/>
  <c r="Q639" i="1" s="1"/>
  <c r="S638" i="1"/>
  <c r="L638" i="1"/>
  <c r="N638" i="1" s="1"/>
  <c r="Q638" i="1" s="1"/>
  <c r="J638" i="1"/>
  <c r="I638" i="1"/>
  <c r="M638" i="1" s="1"/>
  <c r="S637" i="1"/>
  <c r="O637" i="1"/>
  <c r="P637" i="1" s="1"/>
  <c r="R637" i="1" s="1"/>
  <c r="L637" i="1"/>
  <c r="N637" i="1" s="1"/>
  <c r="Q637" i="1" s="1"/>
  <c r="K637" i="1"/>
  <c r="J637" i="1"/>
  <c r="I637" i="1"/>
  <c r="M637" i="1" s="1"/>
  <c r="S636" i="1"/>
  <c r="O636" i="1"/>
  <c r="P636" i="1" s="1"/>
  <c r="R636" i="1" s="1"/>
  <c r="N636" i="1"/>
  <c r="Q636" i="1" s="1"/>
  <c r="L636" i="1"/>
  <c r="K636" i="1"/>
  <c r="J636" i="1"/>
  <c r="I636" i="1"/>
  <c r="M636" i="1" s="1"/>
  <c r="S635" i="1"/>
  <c r="L635" i="1"/>
  <c r="O635" i="1" s="1"/>
  <c r="P635" i="1" s="1"/>
  <c r="R635" i="1" s="1"/>
  <c r="J635" i="1"/>
  <c r="I635" i="1"/>
  <c r="K635" i="1" s="1"/>
  <c r="N635" i="1" s="1"/>
  <c r="Q635" i="1" s="1"/>
  <c r="S634" i="1"/>
  <c r="L634" i="1"/>
  <c r="J634" i="1"/>
  <c r="I634" i="1"/>
  <c r="M634" i="1" s="1"/>
  <c r="S633" i="1"/>
  <c r="O633" i="1"/>
  <c r="P633" i="1" s="1"/>
  <c r="R633" i="1" s="1"/>
  <c r="L633" i="1"/>
  <c r="N633" i="1" s="1"/>
  <c r="Q633" i="1" s="1"/>
  <c r="K633" i="1"/>
  <c r="J633" i="1"/>
  <c r="I633" i="1"/>
  <c r="M633" i="1" s="1"/>
  <c r="S632" i="1"/>
  <c r="O632" i="1"/>
  <c r="P632" i="1" s="1"/>
  <c r="R632" i="1" s="1"/>
  <c r="L632" i="1"/>
  <c r="J632" i="1"/>
  <c r="K632" i="1" s="1"/>
  <c r="N632" i="1" s="1"/>
  <c r="Q632" i="1" s="1"/>
  <c r="I632" i="1"/>
  <c r="M632" i="1" s="1"/>
  <c r="S631" i="1"/>
  <c r="L631" i="1"/>
  <c r="O631" i="1" s="1"/>
  <c r="P631" i="1" s="1"/>
  <c r="R631" i="1" s="1"/>
  <c r="J631" i="1"/>
  <c r="I631" i="1"/>
  <c r="K631" i="1" s="1"/>
  <c r="N631" i="1" s="1"/>
  <c r="Q631" i="1" s="1"/>
  <c r="S630" i="1"/>
  <c r="L630" i="1"/>
  <c r="J630" i="1"/>
  <c r="I630" i="1"/>
  <c r="M630" i="1" s="1"/>
  <c r="S629" i="1"/>
  <c r="O629" i="1"/>
  <c r="P629" i="1" s="1"/>
  <c r="R629" i="1" s="1"/>
  <c r="L629" i="1"/>
  <c r="N629" i="1" s="1"/>
  <c r="Q629" i="1" s="1"/>
  <c r="K629" i="1"/>
  <c r="J629" i="1"/>
  <c r="I629" i="1"/>
  <c r="M629" i="1" s="1"/>
  <c r="S628" i="1"/>
  <c r="O628" i="1"/>
  <c r="P628" i="1" s="1"/>
  <c r="R628" i="1" s="1"/>
  <c r="N628" i="1"/>
  <c r="Q628" i="1" s="1"/>
  <c r="L628" i="1"/>
  <c r="K628" i="1"/>
  <c r="J628" i="1"/>
  <c r="I628" i="1"/>
  <c r="M628" i="1" s="1"/>
  <c r="S627" i="1"/>
  <c r="L627" i="1"/>
  <c r="O627" i="1" s="1"/>
  <c r="P627" i="1" s="1"/>
  <c r="R627" i="1" s="1"/>
  <c r="J627" i="1"/>
  <c r="I627" i="1"/>
  <c r="K627" i="1" s="1"/>
  <c r="N627" i="1" s="1"/>
  <c r="Q627" i="1" s="1"/>
  <c r="S626" i="1"/>
  <c r="L626" i="1"/>
  <c r="J626" i="1"/>
  <c r="I626" i="1"/>
  <c r="M626" i="1" s="1"/>
  <c r="S625" i="1"/>
  <c r="O625" i="1"/>
  <c r="P625" i="1" s="1"/>
  <c r="R625" i="1" s="1"/>
  <c r="L625" i="1"/>
  <c r="N625" i="1" s="1"/>
  <c r="Q625" i="1" s="1"/>
  <c r="K625" i="1"/>
  <c r="J625" i="1"/>
  <c r="I625" i="1"/>
  <c r="M625" i="1" s="1"/>
  <c r="S624" i="1"/>
  <c r="O624" i="1"/>
  <c r="P624" i="1" s="1"/>
  <c r="R624" i="1" s="1"/>
  <c r="N624" i="1"/>
  <c r="Q624" i="1" s="1"/>
  <c r="L624" i="1"/>
  <c r="K624" i="1"/>
  <c r="J624" i="1"/>
  <c r="I624" i="1"/>
  <c r="M624" i="1" s="1"/>
  <c r="S623" i="1"/>
  <c r="L623" i="1"/>
  <c r="O623" i="1" s="1"/>
  <c r="P623" i="1" s="1"/>
  <c r="R623" i="1" s="1"/>
  <c r="J623" i="1"/>
  <c r="I623" i="1"/>
  <c r="K623" i="1" s="1"/>
  <c r="N623" i="1" s="1"/>
  <c r="Q623" i="1" s="1"/>
  <c r="S622" i="1"/>
  <c r="L622" i="1"/>
  <c r="J622" i="1"/>
  <c r="I622" i="1"/>
  <c r="M622" i="1" s="1"/>
  <c r="S621" i="1"/>
  <c r="O621" i="1"/>
  <c r="P621" i="1" s="1"/>
  <c r="R621" i="1" s="1"/>
  <c r="L621" i="1"/>
  <c r="N621" i="1" s="1"/>
  <c r="Q621" i="1" s="1"/>
  <c r="K621" i="1"/>
  <c r="J621" i="1"/>
  <c r="I621" i="1"/>
  <c r="M621" i="1" s="1"/>
  <c r="S620" i="1"/>
  <c r="O620" i="1"/>
  <c r="P620" i="1" s="1"/>
  <c r="R620" i="1" s="1"/>
  <c r="N620" i="1"/>
  <c r="Q620" i="1" s="1"/>
  <c r="L620" i="1"/>
  <c r="K620" i="1"/>
  <c r="J620" i="1"/>
  <c r="I620" i="1"/>
  <c r="M620" i="1" s="1"/>
  <c r="S619" i="1"/>
  <c r="L619" i="1"/>
  <c r="O619" i="1" s="1"/>
  <c r="P619" i="1" s="1"/>
  <c r="R619" i="1" s="1"/>
  <c r="J619" i="1"/>
  <c r="I619" i="1"/>
  <c r="K619" i="1" s="1"/>
  <c r="N619" i="1" s="1"/>
  <c r="Q619" i="1" s="1"/>
  <c r="S618" i="1"/>
  <c r="L618" i="1"/>
  <c r="J618" i="1"/>
  <c r="I618" i="1"/>
  <c r="M618" i="1" s="1"/>
  <c r="S617" i="1"/>
  <c r="O617" i="1"/>
  <c r="P617" i="1" s="1"/>
  <c r="R617" i="1" s="1"/>
  <c r="L617" i="1"/>
  <c r="N617" i="1" s="1"/>
  <c r="Q617" i="1" s="1"/>
  <c r="K617" i="1"/>
  <c r="J617" i="1"/>
  <c r="I617" i="1"/>
  <c r="M617" i="1" s="1"/>
  <c r="S616" i="1"/>
  <c r="O616" i="1"/>
  <c r="P616" i="1" s="1"/>
  <c r="R616" i="1" s="1"/>
  <c r="N616" i="1"/>
  <c r="Q616" i="1" s="1"/>
  <c r="L616" i="1"/>
  <c r="K616" i="1"/>
  <c r="J616" i="1"/>
  <c r="I616" i="1"/>
  <c r="M616" i="1" s="1"/>
  <c r="S615" i="1"/>
  <c r="L615" i="1"/>
  <c r="O615" i="1" s="1"/>
  <c r="P615" i="1" s="1"/>
  <c r="R615" i="1" s="1"/>
  <c r="J615" i="1"/>
  <c r="I615" i="1"/>
  <c r="K615" i="1" s="1"/>
  <c r="N615" i="1" s="1"/>
  <c r="Q615" i="1" s="1"/>
  <c r="S614" i="1"/>
  <c r="L614" i="1"/>
  <c r="O614" i="1" s="1"/>
  <c r="P614" i="1" s="1"/>
  <c r="R614" i="1" s="1"/>
  <c r="J614" i="1"/>
  <c r="I614" i="1"/>
  <c r="M614" i="1" s="1"/>
  <c r="S613" i="1"/>
  <c r="O613" i="1"/>
  <c r="P613" i="1" s="1"/>
  <c r="R613" i="1" s="1"/>
  <c r="L613" i="1"/>
  <c r="K613" i="1"/>
  <c r="N613" i="1" s="1"/>
  <c r="Q613" i="1" s="1"/>
  <c r="J613" i="1"/>
  <c r="I613" i="1"/>
  <c r="M613" i="1" s="1"/>
  <c r="S612" i="1"/>
  <c r="O612" i="1"/>
  <c r="P612" i="1" s="1"/>
  <c r="R612" i="1" s="1"/>
  <c r="N612" i="1"/>
  <c r="Q612" i="1" s="1"/>
  <c r="L612" i="1"/>
  <c r="K612" i="1"/>
  <c r="J612" i="1"/>
  <c r="I612" i="1"/>
  <c r="M612" i="1" s="1"/>
  <c r="S611" i="1"/>
  <c r="L611" i="1"/>
  <c r="O611" i="1" s="1"/>
  <c r="P611" i="1" s="1"/>
  <c r="R611" i="1" s="1"/>
  <c r="J611" i="1"/>
  <c r="I611" i="1"/>
  <c r="K611" i="1" s="1"/>
  <c r="N611" i="1" s="1"/>
  <c r="Q611" i="1" s="1"/>
  <c r="S610" i="1"/>
  <c r="L610" i="1"/>
  <c r="O610" i="1" s="1"/>
  <c r="P610" i="1" s="1"/>
  <c r="R610" i="1" s="1"/>
  <c r="J610" i="1"/>
  <c r="I610" i="1"/>
  <c r="M610" i="1" s="1"/>
  <c r="S609" i="1"/>
  <c r="O609" i="1"/>
  <c r="P609" i="1" s="1"/>
  <c r="R609" i="1" s="1"/>
  <c r="L609" i="1"/>
  <c r="K609" i="1"/>
  <c r="N609" i="1" s="1"/>
  <c r="Q609" i="1" s="1"/>
  <c r="J609" i="1"/>
  <c r="I609" i="1"/>
  <c r="M609" i="1" s="1"/>
  <c r="S608" i="1"/>
  <c r="O608" i="1"/>
  <c r="P608" i="1" s="1"/>
  <c r="R608" i="1" s="1"/>
  <c r="N608" i="1"/>
  <c r="Q608" i="1" s="1"/>
  <c r="L608" i="1"/>
  <c r="K608" i="1"/>
  <c r="J608" i="1"/>
  <c r="I608" i="1"/>
  <c r="M608" i="1" s="1"/>
  <c r="S607" i="1"/>
  <c r="L607" i="1"/>
  <c r="O607" i="1" s="1"/>
  <c r="P607" i="1" s="1"/>
  <c r="R607" i="1" s="1"/>
  <c r="J607" i="1"/>
  <c r="I607" i="1"/>
  <c r="K607" i="1" s="1"/>
  <c r="N607" i="1" s="1"/>
  <c r="Q607" i="1" s="1"/>
  <c r="S606" i="1"/>
  <c r="L606" i="1"/>
  <c r="O606" i="1" s="1"/>
  <c r="P606" i="1" s="1"/>
  <c r="R606" i="1" s="1"/>
  <c r="J606" i="1"/>
  <c r="I606" i="1"/>
  <c r="M606" i="1" s="1"/>
  <c r="S605" i="1"/>
  <c r="O605" i="1"/>
  <c r="P605" i="1" s="1"/>
  <c r="R605" i="1" s="1"/>
  <c r="L605" i="1"/>
  <c r="K605" i="1"/>
  <c r="N605" i="1" s="1"/>
  <c r="Q605" i="1" s="1"/>
  <c r="J605" i="1"/>
  <c r="I605" i="1"/>
  <c r="M605" i="1" s="1"/>
  <c r="S604" i="1"/>
  <c r="O604" i="1"/>
  <c r="P604" i="1" s="1"/>
  <c r="R604" i="1" s="1"/>
  <c r="N604" i="1"/>
  <c r="Q604" i="1" s="1"/>
  <c r="L604" i="1"/>
  <c r="K604" i="1"/>
  <c r="J604" i="1"/>
  <c r="I604" i="1"/>
  <c r="M604" i="1" s="1"/>
  <c r="S603" i="1"/>
  <c r="L603" i="1"/>
  <c r="O603" i="1" s="1"/>
  <c r="P603" i="1" s="1"/>
  <c r="R603" i="1" s="1"/>
  <c r="J603" i="1"/>
  <c r="I603" i="1"/>
  <c r="K603" i="1" s="1"/>
  <c r="N603" i="1" s="1"/>
  <c r="Q603" i="1" s="1"/>
  <c r="S602" i="1"/>
  <c r="L602" i="1"/>
  <c r="O602" i="1" s="1"/>
  <c r="P602" i="1" s="1"/>
  <c r="R602" i="1" s="1"/>
  <c r="J602" i="1"/>
  <c r="I602" i="1"/>
  <c r="M602" i="1" s="1"/>
  <c r="S601" i="1"/>
  <c r="O601" i="1"/>
  <c r="P601" i="1" s="1"/>
  <c r="R601" i="1" s="1"/>
  <c r="L601" i="1"/>
  <c r="K601" i="1"/>
  <c r="N601" i="1" s="1"/>
  <c r="Q601" i="1" s="1"/>
  <c r="J601" i="1"/>
  <c r="I601" i="1"/>
  <c r="M601" i="1" s="1"/>
  <c r="S600" i="1"/>
  <c r="O600" i="1"/>
  <c r="P600" i="1" s="1"/>
  <c r="R600" i="1" s="1"/>
  <c r="N600" i="1"/>
  <c r="Q600" i="1" s="1"/>
  <c r="L600" i="1"/>
  <c r="K600" i="1"/>
  <c r="J600" i="1"/>
  <c r="I600" i="1"/>
  <c r="M600" i="1" s="1"/>
  <c r="S599" i="1"/>
  <c r="L599" i="1"/>
  <c r="O599" i="1" s="1"/>
  <c r="P599" i="1" s="1"/>
  <c r="R599" i="1" s="1"/>
  <c r="J599" i="1"/>
  <c r="I599" i="1"/>
  <c r="K599" i="1" s="1"/>
  <c r="N599" i="1" s="1"/>
  <c r="Q599" i="1" s="1"/>
  <c r="S598" i="1"/>
  <c r="L598" i="1"/>
  <c r="O598" i="1" s="1"/>
  <c r="P598" i="1" s="1"/>
  <c r="R598" i="1" s="1"/>
  <c r="J598" i="1"/>
  <c r="I598" i="1"/>
  <c r="M598" i="1" s="1"/>
  <c r="S597" i="1"/>
  <c r="O597" i="1"/>
  <c r="P597" i="1" s="1"/>
  <c r="R597" i="1" s="1"/>
  <c r="L597" i="1"/>
  <c r="K597" i="1"/>
  <c r="N597" i="1" s="1"/>
  <c r="Q597" i="1" s="1"/>
  <c r="J597" i="1"/>
  <c r="I597" i="1"/>
  <c r="M597" i="1" s="1"/>
  <c r="S596" i="1"/>
  <c r="O596" i="1"/>
  <c r="P596" i="1" s="1"/>
  <c r="R596" i="1" s="1"/>
  <c r="N596" i="1"/>
  <c r="Q596" i="1" s="1"/>
  <c r="L596" i="1"/>
  <c r="K596" i="1"/>
  <c r="J596" i="1"/>
  <c r="I596" i="1"/>
  <c r="M596" i="1" s="1"/>
  <c r="S595" i="1"/>
  <c r="L595" i="1"/>
  <c r="O595" i="1" s="1"/>
  <c r="P595" i="1" s="1"/>
  <c r="R595" i="1" s="1"/>
  <c r="J595" i="1"/>
  <c r="I595" i="1"/>
  <c r="K595" i="1" s="1"/>
  <c r="N595" i="1" s="1"/>
  <c r="Q595" i="1" s="1"/>
  <c r="S594" i="1"/>
  <c r="L594" i="1"/>
  <c r="O594" i="1" s="1"/>
  <c r="P594" i="1" s="1"/>
  <c r="R594" i="1" s="1"/>
  <c r="J594" i="1"/>
  <c r="I594" i="1"/>
  <c r="M594" i="1" s="1"/>
  <c r="S593" i="1"/>
  <c r="O593" i="1"/>
  <c r="P593" i="1" s="1"/>
  <c r="R593" i="1" s="1"/>
  <c r="L593" i="1"/>
  <c r="K593" i="1"/>
  <c r="N593" i="1" s="1"/>
  <c r="Q593" i="1" s="1"/>
  <c r="J593" i="1"/>
  <c r="I593" i="1"/>
  <c r="M593" i="1" s="1"/>
  <c r="S592" i="1"/>
  <c r="O592" i="1"/>
  <c r="P592" i="1" s="1"/>
  <c r="R592" i="1" s="1"/>
  <c r="N592" i="1"/>
  <c r="Q592" i="1" s="1"/>
  <c r="L592" i="1"/>
  <c r="K592" i="1"/>
  <c r="J592" i="1"/>
  <c r="I592" i="1"/>
  <c r="M592" i="1" s="1"/>
  <c r="S591" i="1"/>
  <c r="L591" i="1"/>
  <c r="O591" i="1" s="1"/>
  <c r="P591" i="1" s="1"/>
  <c r="R591" i="1" s="1"/>
  <c r="J591" i="1"/>
  <c r="I591" i="1"/>
  <c r="K591" i="1" s="1"/>
  <c r="N591" i="1" s="1"/>
  <c r="Q591" i="1" s="1"/>
  <c r="S590" i="1"/>
  <c r="L590" i="1"/>
  <c r="O590" i="1" s="1"/>
  <c r="P590" i="1" s="1"/>
  <c r="R590" i="1" s="1"/>
  <c r="J590" i="1"/>
  <c r="I590" i="1"/>
  <c r="M590" i="1" s="1"/>
  <c r="S589" i="1"/>
  <c r="O589" i="1"/>
  <c r="P589" i="1" s="1"/>
  <c r="R589" i="1" s="1"/>
  <c r="L589" i="1"/>
  <c r="K589" i="1"/>
  <c r="N589" i="1" s="1"/>
  <c r="Q589" i="1" s="1"/>
  <c r="J589" i="1"/>
  <c r="I589" i="1"/>
  <c r="M589" i="1" s="1"/>
  <c r="S588" i="1"/>
  <c r="O588" i="1"/>
  <c r="P588" i="1" s="1"/>
  <c r="R588" i="1" s="1"/>
  <c r="N588" i="1"/>
  <c r="Q588" i="1" s="1"/>
  <c r="L588" i="1"/>
  <c r="K588" i="1"/>
  <c r="J588" i="1"/>
  <c r="I588" i="1"/>
  <c r="M588" i="1" s="1"/>
  <c r="S587" i="1"/>
  <c r="L587" i="1"/>
  <c r="O587" i="1" s="1"/>
  <c r="P587" i="1" s="1"/>
  <c r="R587" i="1" s="1"/>
  <c r="J587" i="1"/>
  <c r="I587" i="1"/>
  <c r="K587" i="1" s="1"/>
  <c r="N587" i="1" s="1"/>
  <c r="Q587" i="1" s="1"/>
  <c r="S586" i="1"/>
  <c r="L586" i="1"/>
  <c r="O586" i="1" s="1"/>
  <c r="P586" i="1" s="1"/>
  <c r="R586" i="1" s="1"/>
  <c r="J586" i="1"/>
  <c r="I586" i="1"/>
  <c r="M586" i="1" s="1"/>
  <c r="S585" i="1"/>
  <c r="O585" i="1"/>
  <c r="P585" i="1" s="1"/>
  <c r="R585" i="1" s="1"/>
  <c r="L585" i="1"/>
  <c r="K585" i="1"/>
  <c r="N585" i="1" s="1"/>
  <c r="Q585" i="1" s="1"/>
  <c r="J585" i="1"/>
  <c r="I585" i="1"/>
  <c r="M585" i="1" s="1"/>
  <c r="S584" i="1"/>
  <c r="O584" i="1"/>
  <c r="P584" i="1" s="1"/>
  <c r="R584" i="1" s="1"/>
  <c r="N584" i="1"/>
  <c r="Q584" i="1" s="1"/>
  <c r="L584" i="1"/>
  <c r="K584" i="1"/>
  <c r="J584" i="1"/>
  <c r="I584" i="1"/>
  <c r="M584" i="1" s="1"/>
  <c r="S583" i="1"/>
  <c r="L583" i="1"/>
  <c r="O583" i="1" s="1"/>
  <c r="P583" i="1" s="1"/>
  <c r="R583" i="1" s="1"/>
  <c r="J583" i="1"/>
  <c r="I583" i="1"/>
  <c r="K583" i="1" s="1"/>
  <c r="N583" i="1" s="1"/>
  <c r="Q583" i="1" s="1"/>
  <c r="S582" i="1"/>
  <c r="L582" i="1"/>
  <c r="O582" i="1" s="1"/>
  <c r="P582" i="1" s="1"/>
  <c r="R582" i="1" s="1"/>
  <c r="J582" i="1"/>
  <c r="I582" i="1"/>
  <c r="M582" i="1" s="1"/>
  <c r="S581" i="1"/>
  <c r="O581" i="1"/>
  <c r="P581" i="1" s="1"/>
  <c r="R581" i="1" s="1"/>
  <c r="L581" i="1"/>
  <c r="K581" i="1"/>
  <c r="N581" i="1" s="1"/>
  <c r="Q581" i="1" s="1"/>
  <c r="J581" i="1"/>
  <c r="I581" i="1"/>
  <c r="M581" i="1" s="1"/>
  <c r="S580" i="1"/>
  <c r="O580" i="1"/>
  <c r="P580" i="1" s="1"/>
  <c r="R580" i="1" s="1"/>
  <c r="N580" i="1"/>
  <c r="Q580" i="1" s="1"/>
  <c r="L580" i="1"/>
  <c r="K580" i="1"/>
  <c r="J580" i="1"/>
  <c r="I580" i="1"/>
  <c r="M580" i="1" s="1"/>
  <c r="S579" i="1"/>
  <c r="L579" i="1"/>
  <c r="O579" i="1" s="1"/>
  <c r="P579" i="1" s="1"/>
  <c r="R579" i="1" s="1"/>
  <c r="J579" i="1"/>
  <c r="I579" i="1"/>
  <c r="K579" i="1" s="1"/>
  <c r="N579" i="1" s="1"/>
  <c r="Q579" i="1" s="1"/>
  <c r="S578" i="1"/>
  <c r="L578" i="1"/>
  <c r="O578" i="1" s="1"/>
  <c r="P578" i="1" s="1"/>
  <c r="R578" i="1" s="1"/>
  <c r="J578" i="1"/>
  <c r="I578" i="1"/>
  <c r="M578" i="1" s="1"/>
  <c r="S577" i="1"/>
  <c r="O577" i="1"/>
  <c r="P577" i="1" s="1"/>
  <c r="R577" i="1" s="1"/>
  <c r="L577" i="1"/>
  <c r="K577" i="1"/>
  <c r="N577" i="1" s="1"/>
  <c r="Q577" i="1" s="1"/>
  <c r="J577" i="1"/>
  <c r="I577" i="1"/>
  <c r="M577" i="1" s="1"/>
  <c r="S576" i="1"/>
  <c r="O576" i="1"/>
  <c r="P576" i="1" s="1"/>
  <c r="R576" i="1" s="1"/>
  <c r="N576" i="1"/>
  <c r="Q576" i="1" s="1"/>
  <c r="L576" i="1"/>
  <c r="K576" i="1"/>
  <c r="J576" i="1"/>
  <c r="I576" i="1"/>
  <c r="M576" i="1" s="1"/>
  <c r="S575" i="1"/>
  <c r="L575" i="1"/>
  <c r="O575" i="1" s="1"/>
  <c r="P575" i="1" s="1"/>
  <c r="R575" i="1" s="1"/>
  <c r="J575" i="1"/>
  <c r="I575" i="1"/>
  <c r="K575" i="1" s="1"/>
  <c r="N575" i="1" s="1"/>
  <c r="Q575" i="1" s="1"/>
  <c r="S574" i="1"/>
  <c r="L574" i="1"/>
  <c r="O574" i="1" s="1"/>
  <c r="P574" i="1" s="1"/>
  <c r="R574" i="1" s="1"/>
  <c r="J574" i="1"/>
  <c r="I574" i="1"/>
  <c r="M574" i="1" s="1"/>
  <c r="S573" i="1"/>
  <c r="O573" i="1"/>
  <c r="P573" i="1" s="1"/>
  <c r="R573" i="1" s="1"/>
  <c r="L573" i="1"/>
  <c r="K573" i="1"/>
  <c r="N573" i="1" s="1"/>
  <c r="Q573" i="1" s="1"/>
  <c r="J573" i="1"/>
  <c r="I573" i="1"/>
  <c r="M573" i="1" s="1"/>
  <c r="S572" i="1"/>
  <c r="O572" i="1"/>
  <c r="P572" i="1" s="1"/>
  <c r="R572" i="1" s="1"/>
  <c r="N572" i="1"/>
  <c r="Q572" i="1" s="1"/>
  <c r="L572" i="1"/>
  <c r="K572" i="1"/>
  <c r="J572" i="1"/>
  <c r="I572" i="1"/>
  <c r="M572" i="1" s="1"/>
  <c r="S571" i="1"/>
  <c r="L571" i="1"/>
  <c r="O571" i="1" s="1"/>
  <c r="P571" i="1" s="1"/>
  <c r="R571" i="1" s="1"/>
  <c r="J571" i="1"/>
  <c r="I571" i="1"/>
  <c r="K571" i="1" s="1"/>
  <c r="N571" i="1" s="1"/>
  <c r="Q571" i="1" s="1"/>
  <c r="S570" i="1"/>
  <c r="L570" i="1"/>
  <c r="O570" i="1" s="1"/>
  <c r="P570" i="1" s="1"/>
  <c r="R570" i="1" s="1"/>
  <c r="J570" i="1"/>
  <c r="I570" i="1"/>
  <c r="M570" i="1" s="1"/>
  <c r="S569" i="1"/>
  <c r="O569" i="1"/>
  <c r="P569" i="1" s="1"/>
  <c r="R569" i="1" s="1"/>
  <c r="L569" i="1"/>
  <c r="K569" i="1"/>
  <c r="N569" i="1" s="1"/>
  <c r="Q569" i="1" s="1"/>
  <c r="J569" i="1"/>
  <c r="I569" i="1"/>
  <c r="M569" i="1" s="1"/>
  <c r="S568" i="1"/>
  <c r="O568" i="1"/>
  <c r="P568" i="1" s="1"/>
  <c r="R568" i="1" s="1"/>
  <c r="L568" i="1"/>
  <c r="J568" i="1"/>
  <c r="K568" i="1" s="1"/>
  <c r="N568" i="1" s="1"/>
  <c r="Q568" i="1" s="1"/>
  <c r="I568" i="1"/>
  <c r="M568" i="1" s="1"/>
  <c r="S567" i="1"/>
  <c r="L567" i="1"/>
  <c r="O567" i="1" s="1"/>
  <c r="P567" i="1" s="1"/>
  <c r="R567" i="1" s="1"/>
  <c r="J567" i="1"/>
  <c r="I567" i="1"/>
  <c r="K567" i="1" s="1"/>
  <c r="N567" i="1" s="1"/>
  <c r="Q567" i="1" s="1"/>
  <c r="S566" i="1"/>
  <c r="L566" i="1"/>
  <c r="O566" i="1" s="1"/>
  <c r="P566" i="1" s="1"/>
  <c r="R566" i="1" s="1"/>
  <c r="J566" i="1"/>
  <c r="I566" i="1"/>
  <c r="M566" i="1" s="1"/>
  <c r="S565" i="1"/>
  <c r="O565" i="1"/>
  <c r="P565" i="1" s="1"/>
  <c r="R565" i="1" s="1"/>
  <c r="L565" i="1"/>
  <c r="K565" i="1"/>
  <c r="N565" i="1" s="1"/>
  <c r="Q565" i="1" s="1"/>
  <c r="J565" i="1"/>
  <c r="I565" i="1"/>
  <c r="M565" i="1" s="1"/>
  <c r="S564" i="1"/>
  <c r="O564" i="1"/>
  <c r="P564" i="1" s="1"/>
  <c r="R564" i="1" s="1"/>
  <c r="N564" i="1"/>
  <c r="Q564" i="1" s="1"/>
  <c r="L564" i="1"/>
  <c r="K564" i="1"/>
  <c r="J564" i="1"/>
  <c r="I564" i="1"/>
  <c r="M564" i="1" s="1"/>
  <c r="S563" i="1"/>
  <c r="L563" i="1"/>
  <c r="O563" i="1" s="1"/>
  <c r="P563" i="1" s="1"/>
  <c r="R563" i="1" s="1"/>
  <c r="J563" i="1"/>
  <c r="I563" i="1"/>
  <c r="K563" i="1" s="1"/>
  <c r="N563" i="1" s="1"/>
  <c r="Q563" i="1" s="1"/>
  <c r="S562" i="1"/>
  <c r="L562" i="1"/>
  <c r="O562" i="1" s="1"/>
  <c r="P562" i="1" s="1"/>
  <c r="R562" i="1" s="1"/>
  <c r="J562" i="1"/>
  <c r="I562" i="1"/>
  <c r="M562" i="1" s="1"/>
  <c r="S561" i="1"/>
  <c r="O561" i="1"/>
  <c r="P561" i="1" s="1"/>
  <c r="R561" i="1" s="1"/>
  <c r="L561" i="1"/>
  <c r="K561" i="1"/>
  <c r="N561" i="1" s="1"/>
  <c r="Q561" i="1" s="1"/>
  <c r="J561" i="1"/>
  <c r="I561" i="1"/>
  <c r="M561" i="1" s="1"/>
  <c r="S560" i="1"/>
  <c r="O560" i="1"/>
  <c r="P560" i="1" s="1"/>
  <c r="R560" i="1" s="1"/>
  <c r="N560" i="1"/>
  <c r="Q560" i="1" s="1"/>
  <c r="L560" i="1"/>
  <c r="K560" i="1"/>
  <c r="J560" i="1"/>
  <c r="I560" i="1"/>
  <c r="M560" i="1" s="1"/>
  <c r="S559" i="1"/>
  <c r="L559" i="1"/>
  <c r="O559" i="1" s="1"/>
  <c r="P559" i="1" s="1"/>
  <c r="R559" i="1" s="1"/>
  <c r="J559" i="1"/>
  <c r="I559" i="1"/>
  <c r="K559" i="1" s="1"/>
  <c r="N559" i="1" s="1"/>
  <c r="Q559" i="1" s="1"/>
  <c r="S558" i="1"/>
  <c r="L558" i="1"/>
  <c r="O558" i="1" s="1"/>
  <c r="P558" i="1" s="1"/>
  <c r="R558" i="1" s="1"/>
  <c r="J558" i="1"/>
  <c r="I558" i="1"/>
  <c r="M558" i="1" s="1"/>
  <c r="S557" i="1"/>
  <c r="O557" i="1"/>
  <c r="P557" i="1" s="1"/>
  <c r="R557" i="1" s="1"/>
  <c r="L557" i="1"/>
  <c r="K557" i="1"/>
  <c r="N557" i="1" s="1"/>
  <c r="Q557" i="1" s="1"/>
  <c r="J557" i="1"/>
  <c r="I557" i="1"/>
  <c r="M557" i="1" s="1"/>
  <c r="S556" i="1"/>
  <c r="O556" i="1"/>
  <c r="P556" i="1" s="1"/>
  <c r="R556" i="1" s="1"/>
  <c r="N556" i="1"/>
  <c r="Q556" i="1" s="1"/>
  <c r="L556" i="1"/>
  <c r="K556" i="1"/>
  <c r="J556" i="1"/>
  <c r="I556" i="1"/>
  <c r="M556" i="1" s="1"/>
  <c r="S555" i="1"/>
  <c r="L555" i="1"/>
  <c r="O555" i="1" s="1"/>
  <c r="P555" i="1" s="1"/>
  <c r="R555" i="1" s="1"/>
  <c r="J555" i="1"/>
  <c r="I555" i="1"/>
  <c r="K555" i="1" s="1"/>
  <c r="N555" i="1" s="1"/>
  <c r="Q555" i="1" s="1"/>
  <c r="S554" i="1"/>
  <c r="L554" i="1"/>
  <c r="O554" i="1" s="1"/>
  <c r="P554" i="1" s="1"/>
  <c r="R554" i="1" s="1"/>
  <c r="J554" i="1"/>
  <c r="I554" i="1"/>
  <c r="M554" i="1" s="1"/>
  <c r="S553" i="1"/>
  <c r="O553" i="1"/>
  <c r="P553" i="1" s="1"/>
  <c r="R553" i="1" s="1"/>
  <c r="L553" i="1"/>
  <c r="K553" i="1"/>
  <c r="N553" i="1" s="1"/>
  <c r="Q553" i="1" s="1"/>
  <c r="J553" i="1"/>
  <c r="I553" i="1"/>
  <c r="M553" i="1" s="1"/>
  <c r="S552" i="1"/>
  <c r="O552" i="1"/>
  <c r="P552" i="1" s="1"/>
  <c r="R552" i="1" s="1"/>
  <c r="N552" i="1"/>
  <c r="Q552" i="1" s="1"/>
  <c r="L552" i="1"/>
  <c r="K552" i="1"/>
  <c r="J552" i="1"/>
  <c r="I552" i="1"/>
  <c r="M552" i="1" s="1"/>
  <c r="S551" i="1"/>
  <c r="L551" i="1"/>
  <c r="O551" i="1" s="1"/>
  <c r="P551" i="1" s="1"/>
  <c r="R551" i="1" s="1"/>
  <c r="J551" i="1"/>
  <c r="I551" i="1"/>
  <c r="K551" i="1" s="1"/>
  <c r="N551" i="1" s="1"/>
  <c r="Q551" i="1" s="1"/>
  <c r="S550" i="1"/>
  <c r="L550" i="1"/>
  <c r="O550" i="1" s="1"/>
  <c r="P550" i="1" s="1"/>
  <c r="R550" i="1" s="1"/>
  <c r="J550" i="1"/>
  <c r="I550" i="1"/>
  <c r="M550" i="1" s="1"/>
  <c r="S549" i="1"/>
  <c r="O549" i="1"/>
  <c r="P549" i="1" s="1"/>
  <c r="R549" i="1" s="1"/>
  <c r="L549" i="1"/>
  <c r="K549" i="1"/>
  <c r="N549" i="1" s="1"/>
  <c r="Q549" i="1" s="1"/>
  <c r="J549" i="1"/>
  <c r="I549" i="1"/>
  <c r="M549" i="1" s="1"/>
  <c r="S548" i="1"/>
  <c r="O548" i="1"/>
  <c r="P548" i="1" s="1"/>
  <c r="R548" i="1" s="1"/>
  <c r="N548" i="1"/>
  <c r="Q548" i="1" s="1"/>
  <c r="L548" i="1"/>
  <c r="K548" i="1"/>
  <c r="J548" i="1"/>
  <c r="I548" i="1"/>
  <c r="M548" i="1" s="1"/>
  <c r="S547" i="1"/>
  <c r="L547" i="1"/>
  <c r="O547" i="1" s="1"/>
  <c r="P547" i="1" s="1"/>
  <c r="R547" i="1" s="1"/>
  <c r="J547" i="1"/>
  <c r="I547" i="1"/>
  <c r="K547" i="1" s="1"/>
  <c r="N547" i="1" s="1"/>
  <c r="Q547" i="1" s="1"/>
  <c r="S546" i="1"/>
  <c r="L546" i="1"/>
  <c r="O546" i="1" s="1"/>
  <c r="P546" i="1" s="1"/>
  <c r="R546" i="1" s="1"/>
  <c r="J546" i="1"/>
  <c r="I546" i="1"/>
  <c r="M546" i="1" s="1"/>
  <c r="S545" i="1"/>
  <c r="O545" i="1"/>
  <c r="P545" i="1" s="1"/>
  <c r="R545" i="1" s="1"/>
  <c r="L545" i="1"/>
  <c r="K545" i="1"/>
  <c r="N545" i="1" s="1"/>
  <c r="Q545" i="1" s="1"/>
  <c r="J545" i="1"/>
  <c r="I545" i="1"/>
  <c r="M545" i="1" s="1"/>
  <c r="S544" i="1"/>
  <c r="O544" i="1"/>
  <c r="P544" i="1" s="1"/>
  <c r="R544" i="1" s="1"/>
  <c r="N544" i="1"/>
  <c r="Q544" i="1" s="1"/>
  <c r="L544" i="1"/>
  <c r="K544" i="1"/>
  <c r="J544" i="1"/>
  <c r="I544" i="1"/>
  <c r="M544" i="1" s="1"/>
  <c r="S543" i="1"/>
  <c r="L543" i="1"/>
  <c r="O543" i="1" s="1"/>
  <c r="P543" i="1" s="1"/>
  <c r="R543" i="1" s="1"/>
  <c r="J543" i="1"/>
  <c r="I543" i="1"/>
  <c r="K543" i="1" s="1"/>
  <c r="N543" i="1" s="1"/>
  <c r="Q543" i="1" s="1"/>
  <c r="S542" i="1"/>
  <c r="L542" i="1"/>
  <c r="O542" i="1" s="1"/>
  <c r="P542" i="1" s="1"/>
  <c r="R542" i="1" s="1"/>
  <c r="J542" i="1"/>
  <c r="I542" i="1"/>
  <c r="M542" i="1" s="1"/>
  <c r="S541" i="1"/>
  <c r="O541" i="1"/>
  <c r="P541" i="1" s="1"/>
  <c r="R541" i="1" s="1"/>
  <c r="L541" i="1"/>
  <c r="K541" i="1"/>
  <c r="N541" i="1" s="1"/>
  <c r="Q541" i="1" s="1"/>
  <c r="J541" i="1"/>
  <c r="I541" i="1"/>
  <c r="M541" i="1" s="1"/>
  <c r="S540" i="1"/>
  <c r="O540" i="1"/>
  <c r="P540" i="1" s="1"/>
  <c r="R540" i="1" s="1"/>
  <c r="N540" i="1"/>
  <c r="Q540" i="1" s="1"/>
  <c r="L540" i="1"/>
  <c r="K540" i="1"/>
  <c r="J540" i="1"/>
  <c r="I540" i="1"/>
  <c r="M540" i="1" s="1"/>
  <c r="S539" i="1"/>
  <c r="L539" i="1"/>
  <c r="O539" i="1" s="1"/>
  <c r="P539" i="1" s="1"/>
  <c r="R539" i="1" s="1"/>
  <c r="J539" i="1"/>
  <c r="I539" i="1"/>
  <c r="K539" i="1" s="1"/>
  <c r="N539" i="1" s="1"/>
  <c r="Q539" i="1" s="1"/>
  <c r="S538" i="1"/>
  <c r="L538" i="1"/>
  <c r="O538" i="1" s="1"/>
  <c r="P538" i="1" s="1"/>
  <c r="R538" i="1" s="1"/>
  <c r="J538" i="1"/>
  <c r="I538" i="1"/>
  <c r="M538" i="1" s="1"/>
  <c r="S537" i="1"/>
  <c r="O537" i="1"/>
  <c r="P537" i="1" s="1"/>
  <c r="R537" i="1" s="1"/>
  <c r="L537" i="1"/>
  <c r="K537" i="1"/>
  <c r="N537" i="1" s="1"/>
  <c r="Q537" i="1" s="1"/>
  <c r="J537" i="1"/>
  <c r="I537" i="1"/>
  <c r="M537" i="1" s="1"/>
  <c r="S536" i="1"/>
  <c r="O536" i="1"/>
  <c r="P536" i="1" s="1"/>
  <c r="R536" i="1" s="1"/>
  <c r="N536" i="1"/>
  <c r="Q536" i="1" s="1"/>
  <c r="L536" i="1"/>
  <c r="K536" i="1"/>
  <c r="J536" i="1"/>
  <c r="I536" i="1"/>
  <c r="M536" i="1" s="1"/>
  <c r="S535" i="1"/>
  <c r="L535" i="1"/>
  <c r="O535" i="1" s="1"/>
  <c r="P535" i="1" s="1"/>
  <c r="R535" i="1" s="1"/>
  <c r="J535" i="1"/>
  <c r="I535" i="1"/>
  <c r="K535" i="1" s="1"/>
  <c r="N535" i="1" s="1"/>
  <c r="Q535" i="1" s="1"/>
  <c r="S534" i="1"/>
  <c r="L534" i="1"/>
  <c r="O534" i="1" s="1"/>
  <c r="P534" i="1" s="1"/>
  <c r="R534" i="1" s="1"/>
  <c r="J534" i="1"/>
  <c r="I534" i="1"/>
  <c r="M534" i="1" s="1"/>
  <c r="S533" i="1"/>
  <c r="O533" i="1"/>
  <c r="P533" i="1" s="1"/>
  <c r="R533" i="1" s="1"/>
  <c r="L533" i="1"/>
  <c r="K533" i="1"/>
  <c r="N533" i="1" s="1"/>
  <c r="Q533" i="1" s="1"/>
  <c r="J533" i="1"/>
  <c r="I533" i="1"/>
  <c r="M533" i="1" s="1"/>
  <c r="S532" i="1"/>
  <c r="O532" i="1"/>
  <c r="P532" i="1" s="1"/>
  <c r="R532" i="1" s="1"/>
  <c r="N532" i="1"/>
  <c r="Q532" i="1" s="1"/>
  <c r="L532" i="1"/>
  <c r="K532" i="1"/>
  <c r="J532" i="1"/>
  <c r="I532" i="1"/>
  <c r="M532" i="1" s="1"/>
  <c r="S531" i="1"/>
  <c r="L531" i="1"/>
  <c r="O531" i="1" s="1"/>
  <c r="P531" i="1" s="1"/>
  <c r="R531" i="1" s="1"/>
  <c r="J531" i="1"/>
  <c r="I531" i="1"/>
  <c r="K531" i="1" s="1"/>
  <c r="N531" i="1" s="1"/>
  <c r="Q531" i="1" s="1"/>
  <c r="S530" i="1"/>
  <c r="L530" i="1"/>
  <c r="O530" i="1" s="1"/>
  <c r="P530" i="1" s="1"/>
  <c r="R530" i="1" s="1"/>
  <c r="J530" i="1"/>
  <c r="I530" i="1"/>
  <c r="M530" i="1" s="1"/>
  <c r="S529" i="1"/>
  <c r="O529" i="1"/>
  <c r="P529" i="1" s="1"/>
  <c r="R529" i="1" s="1"/>
  <c r="L529" i="1"/>
  <c r="K529" i="1"/>
  <c r="N529" i="1" s="1"/>
  <c r="Q529" i="1" s="1"/>
  <c r="J529" i="1"/>
  <c r="I529" i="1"/>
  <c r="M529" i="1" s="1"/>
  <c r="S528" i="1"/>
  <c r="O528" i="1"/>
  <c r="P528" i="1" s="1"/>
  <c r="R528" i="1" s="1"/>
  <c r="N528" i="1"/>
  <c r="Q528" i="1" s="1"/>
  <c r="L528" i="1"/>
  <c r="K528" i="1"/>
  <c r="J528" i="1"/>
  <c r="I528" i="1"/>
  <c r="M528" i="1" s="1"/>
  <c r="S527" i="1"/>
  <c r="L527" i="1"/>
  <c r="O527" i="1" s="1"/>
  <c r="P527" i="1" s="1"/>
  <c r="R527" i="1" s="1"/>
  <c r="J527" i="1"/>
  <c r="I527" i="1"/>
  <c r="K527" i="1" s="1"/>
  <c r="N527" i="1" s="1"/>
  <c r="Q527" i="1" s="1"/>
  <c r="S526" i="1"/>
  <c r="L526" i="1"/>
  <c r="O526" i="1" s="1"/>
  <c r="P526" i="1" s="1"/>
  <c r="R526" i="1" s="1"/>
  <c r="J526" i="1"/>
  <c r="I526" i="1"/>
  <c r="M526" i="1" s="1"/>
  <c r="S525" i="1"/>
  <c r="O525" i="1"/>
  <c r="P525" i="1" s="1"/>
  <c r="R525" i="1" s="1"/>
  <c r="L525" i="1"/>
  <c r="K525" i="1"/>
  <c r="N525" i="1" s="1"/>
  <c r="Q525" i="1" s="1"/>
  <c r="J525" i="1"/>
  <c r="I525" i="1"/>
  <c r="M525" i="1" s="1"/>
  <c r="S524" i="1"/>
  <c r="O524" i="1"/>
  <c r="P524" i="1" s="1"/>
  <c r="R524" i="1" s="1"/>
  <c r="N524" i="1"/>
  <c r="Q524" i="1" s="1"/>
  <c r="L524" i="1"/>
  <c r="K524" i="1"/>
  <c r="J524" i="1"/>
  <c r="I524" i="1"/>
  <c r="M524" i="1" s="1"/>
  <c r="S523" i="1"/>
  <c r="L523" i="1"/>
  <c r="O523" i="1" s="1"/>
  <c r="P523" i="1" s="1"/>
  <c r="R523" i="1" s="1"/>
  <c r="J523" i="1"/>
  <c r="I523" i="1"/>
  <c r="K523" i="1" s="1"/>
  <c r="N523" i="1" s="1"/>
  <c r="Q523" i="1" s="1"/>
  <c r="S522" i="1"/>
  <c r="L522" i="1"/>
  <c r="O522" i="1" s="1"/>
  <c r="P522" i="1" s="1"/>
  <c r="R522" i="1" s="1"/>
  <c r="J522" i="1"/>
  <c r="I522" i="1"/>
  <c r="M522" i="1" s="1"/>
  <c r="S521" i="1"/>
  <c r="O521" i="1"/>
  <c r="P521" i="1" s="1"/>
  <c r="R521" i="1" s="1"/>
  <c r="L521" i="1"/>
  <c r="K521" i="1"/>
  <c r="N521" i="1" s="1"/>
  <c r="Q521" i="1" s="1"/>
  <c r="J521" i="1"/>
  <c r="I521" i="1"/>
  <c r="M521" i="1" s="1"/>
  <c r="S520" i="1"/>
  <c r="O520" i="1"/>
  <c r="P520" i="1" s="1"/>
  <c r="R520" i="1" s="1"/>
  <c r="N520" i="1"/>
  <c r="Q520" i="1" s="1"/>
  <c r="L520" i="1"/>
  <c r="K520" i="1"/>
  <c r="J520" i="1"/>
  <c r="I520" i="1"/>
  <c r="M520" i="1" s="1"/>
  <c r="S519" i="1"/>
  <c r="L519" i="1"/>
  <c r="O519" i="1" s="1"/>
  <c r="P519" i="1" s="1"/>
  <c r="R519" i="1" s="1"/>
  <c r="J519" i="1"/>
  <c r="I519" i="1"/>
  <c r="K519" i="1" s="1"/>
  <c r="N519" i="1" s="1"/>
  <c r="Q519" i="1" s="1"/>
  <c r="S518" i="1"/>
  <c r="L518" i="1"/>
  <c r="O518" i="1" s="1"/>
  <c r="P518" i="1" s="1"/>
  <c r="R518" i="1" s="1"/>
  <c r="J518" i="1"/>
  <c r="I518" i="1"/>
  <c r="M518" i="1" s="1"/>
  <c r="S517" i="1"/>
  <c r="O517" i="1"/>
  <c r="P517" i="1" s="1"/>
  <c r="R517" i="1" s="1"/>
  <c r="L517" i="1"/>
  <c r="K517" i="1"/>
  <c r="N517" i="1" s="1"/>
  <c r="Q517" i="1" s="1"/>
  <c r="J517" i="1"/>
  <c r="I517" i="1"/>
  <c r="M517" i="1" s="1"/>
  <c r="S516" i="1"/>
  <c r="O516" i="1"/>
  <c r="P516" i="1" s="1"/>
  <c r="R516" i="1" s="1"/>
  <c r="N516" i="1"/>
  <c r="Q516" i="1" s="1"/>
  <c r="L516" i="1"/>
  <c r="K516" i="1"/>
  <c r="J516" i="1"/>
  <c r="I516" i="1"/>
  <c r="M516" i="1" s="1"/>
  <c r="S515" i="1"/>
  <c r="L515" i="1"/>
  <c r="O515" i="1" s="1"/>
  <c r="P515" i="1" s="1"/>
  <c r="R515" i="1" s="1"/>
  <c r="J515" i="1"/>
  <c r="I515" i="1"/>
  <c r="K515" i="1" s="1"/>
  <c r="N515" i="1" s="1"/>
  <c r="Q515" i="1" s="1"/>
  <c r="S514" i="1"/>
  <c r="L514" i="1"/>
  <c r="O514" i="1" s="1"/>
  <c r="P514" i="1" s="1"/>
  <c r="R514" i="1" s="1"/>
  <c r="J514" i="1"/>
  <c r="I514" i="1"/>
  <c r="M514" i="1" s="1"/>
  <c r="S513" i="1"/>
  <c r="O513" i="1"/>
  <c r="P513" i="1" s="1"/>
  <c r="R513" i="1" s="1"/>
  <c r="L513" i="1"/>
  <c r="K513" i="1"/>
  <c r="N513" i="1" s="1"/>
  <c r="Q513" i="1" s="1"/>
  <c r="J513" i="1"/>
  <c r="I513" i="1"/>
  <c r="M513" i="1" s="1"/>
  <c r="S512" i="1"/>
  <c r="O512" i="1"/>
  <c r="P512" i="1" s="1"/>
  <c r="R512" i="1" s="1"/>
  <c r="N512" i="1"/>
  <c r="Q512" i="1" s="1"/>
  <c r="L512" i="1"/>
  <c r="K512" i="1"/>
  <c r="J512" i="1"/>
  <c r="I512" i="1"/>
  <c r="M512" i="1" s="1"/>
  <c r="S511" i="1"/>
  <c r="L511" i="1"/>
  <c r="O511" i="1" s="1"/>
  <c r="P511" i="1" s="1"/>
  <c r="R511" i="1" s="1"/>
  <c r="J511" i="1"/>
  <c r="I511" i="1"/>
  <c r="K511" i="1" s="1"/>
  <c r="N511" i="1" s="1"/>
  <c r="Q511" i="1" s="1"/>
  <c r="S510" i="1"/>
  <c r="L510" i="1"/>
  <c r="O510" i="1" s="1"/>
  <c r="P510" i="1" s="1"/>
  <c r="R510" i="1" s="1"/>
  <c r="J510" i="1"/>
  <c r="I510" i="1"/>
  <c r="M510" i="1" s="1"/>
  <c r="S509" i="1"/>
  <c r="O509" i="1"/>
  <c r="P509" i="1" s="1"/>
  <c r="R509" i="1" s="1"/>
  <c r="L509" i="1"/>
  <c r="K509" i="1"/>
  <c r="N509" i="1" s="1"/>
  <c r="Q509" i="1" s="1"/>
  <c r="J509" i="1"/>
  <c r="I509" i="1"/>
  <c r="M509" i="1" s="1"/>
  <c r="S508" i="1"/>
  <c r="O508" i="1"/>
  <c r="P508" i="1" s="1"/>
  <c r="R508" i="1" s="1"/>
  <c r="N508" i="1"/>
  <c r="Q508" i="1" s="1"/>
  <c r="L508" i="1"/>
  <c r="K508" i="1"/>
  <c r="J508" i="1"/>
  <c r="I508" i="1"/>
  <c r="M508" i="1" s="1"/>
  <c r="S507" i="1"/>
  <c r="L507" i="1"/>
  <c r="O507" i="1" s="1"/>
  <c r="P507" i="1" s="1"/>
  <c r="R507" i="1" s="1"/>
  <c r="J507" i="1"/>
  <c r="I507" i="1"/>
  <c r="K507" i="1" s="1"/>
  <c r="N507" i="1" s="1"/>
  <c r="Q507" i="1" s="1"/>
  <c r="S506" i="1"/>
  <c r="L506" i="1"/>
  <c r="O506" i="1" s="1"/>
  <c r="P506" i="1" s="1"/>
  <c r="R506" i="1" s="1"/>
  <c r="J506" i="1"/>
  <c r="I506" i="1"/>
  <c r="M506" i="1" s="1"/>
  <c r="S505" i="1"/>
  <c r="O505" i="1"/>
  <c r="P505" i="1" s="1"/>
  <c r="R505" i="1" s="1"/>
  <c r="L505" i="1"/>
  <c r="K505" i="1"/>
  <c r="N505" i="1" s="1"/>
  <c r="Q505" i="1" s="1"/>
  <c r="J505" i="1"/>
  <c r="I505" i="1"/>
  <c r="M505" i="1" s="1"/>
  <c r="S504" i="1"/>
  <c r="O504" i="1"/>
  <c r="P504" i="1" s="1"/>
  <c r="R504" i="1" s="1"/>
  <c r="L504" i="1"/>
  <c r="J504" i="1"/>
  <c r="K504" i="1" s="1"/>
  <c r="N504" i="1" s="1"/>
  <c r="Q504" i="1" s="1"/>
  <c r="I504" i="1"/>
  <c r="M504" i="1" s="1"/>
  <c r="S503" i="1"/>
  <c r="L503" i="1"/>
  <c r="O503" i="1" s="1"/>
  <c r="P503" i="1" s="1"/>
  <c r="R503" i="1" s="1"/>
  <c r="J503" i="1"/>
  <c r="I503" i="1"/>
  <c r="K503" i="1" s="1"/>
  <c r="N503" i="1" s="1"/>
  <c r="Q503" i="1" s="1"/>
  <c r="S502" i="1"/>
  <c r="L502" i="1"/>
  <c r="O502" i="1" s="1"/>
  <c r="P502" i="1" s="1"/>
  <c r="R502" i="1" s="1"/>
  <c r="J502" i="1"/>
  <c r="I502" i="1"/>
  <c r="M502" i="1" s="1"/>
  <c r="S501" i="1"/>
  <c r="O501" i="1"/>
  <c r="P501" i="1" s="1"/>
  <c r="R501" i="1" s="1"/>
  <c r="L501" i="1"/>
  <c r="K501" i="1"/>
  <c r="N501" i="1" s="1"/>
  <c r="Q501" i="1" s="1"/>
  <c r="J501" i="1"/>
  <c r="I501" i="1"/>
  <c r="M501" i="1" s="1"/>
  <c r="S500" i="1"/>
  <c r="O500" i="1"/>
  <c r="P500" i="1" s="1"/>
  <c r="R500" i="1" s="1"/>
  <c r="N500" i="1"/>
  <c r="Q500" i="1" s="1"/>
  <c r="L500" i="1"/>
  <c r="K500" i="1"/>
  <c r="J500" i="1"/>
  <c r="I500" i="1"/>
  <c r="M500" i="1" s="1"/>
  <c r="S499" i="1"/>
  <c r="L499" i="1"/>
  <c r="O499" i="1" s="1"/>
  <c r="P499" i="1" s="1"/>
  <c r="R499" i="1" s="1"/>
  <c r="J499" i="1"/>
  <c r="I499" i="1"/>
  <c r="K499" i="1" s="1"/>
  <c r="N499" i="1" s="1"/>
  <c r="Q499" i="1" s="1"/>
  <c r="S498" i="1"/>
  <c r="L498" i="1"/>
  <c r="O498" i="1" s="1"/>
  <c r="P498" i="1" s="1"/>
  <c r="R498" i="1" s="1"/>
  <c r="J498" i="1"/>
  <c r="I498" i="1"/>
  <c r="M498" i="1" s="1"/>
  <c r="S497" i="1"/>
  <c r="O497" i="1"/>
  <c r="P497" i="1" s="1"/>
  <c r="R497" i="1" s="1"/>
  <c r="L497" i="1"/>
  <c r="K497" i="1"/>
  <c r="N497" i="1" s="1"/>
  <c r="Q497" i="1" s="1"/>
  <c r="J497" i="1"/>
  <c r="I497" i="1"/>
  <c r="M497" i="1" s="1"/>
  <c r="S496" i="1"/>
  <c r="O496" i="1"/>
  <c r="P496" i="1" s="1"/>
  <c r="R496" i="1" s="1"/>
  <c r="N496" i="1"/>
  <c r="Q496" i="1" s="1"/>
  <c r="L496" i="1"/>
  <c r="K496" i="1"/>
  <c r="J496" i="1"/>
  <c r="I496" i="1"/>
  <c r="M496" i="1" s="1"/>
  <c r="S495" i="1"/>
  <c r="L495" i="1"/>
  <c r="O495" i="1" s="1"/>
  <c r="P495" i="1" s="1"/>
  <c r="R495" i="1" s="1"/>
  <c r="J495" i="1"/>
  <c r="I495" i="1"/>
  <c r="K495" i="1" s="1"/>
  <c r="N495" i="1" s="1"/>
  <c r="Q495" i="1" s="1"/>
  <c r="S494" i="1"/>
  <c r="L494" i="1"/>
  <c r="O494" i="1" s="1"/>
  <c r="P494" i="1" s="1"/>
  <c r="R494" i="1" s="1"/>
  <c r="J494" i="1"/>
  <c r="I494" i="1"/>
  <c r="M494" i="1" s="1"/>
  <c r="S493" i="1"/>
  <c r="O493" i="1"/>
  <c r="P493" i="1" s="1"/>
  <c r="R493" i="1" s="1"/>
  <c r="L493" i="1"/>
  <c r="K493" i="1"/>
  <c r="N493" i="1" s="1"/>
  <c r="Q493" i="1" s="1"/>
  <c r="J493" i="1"/>
  <c r="I493" i="1"/>
  <c r="M493" i="1" s="1"/>
  <c r="S492" i="1"/>
  <c r="O492" i="1"/>
  <c r="P492" i="1" s="1"/>
  <c r="R492" i="1" s="1"/>
  <c r="N492" i="1"/>
  <c r="Q492" i="1" s="1"/>
  <c r="L492" i="1"/>
  <c r="K492" i="1"/>
  <c r="J492" i="1"/>
  <c r="I492" i="1"/>
  <c r="M492" i="1" s="1"/>
  <c r="S491" i="1"/>
  <c r="L491" i="1"/>
  <c r="O491" i="1" s="1"/>
  <c r="P491" i="1" s="1"/>
  <c r="R491" i="1" s="1"/>
  <c r="J491" i="1"/>
  <c r="I491" i="1"/>
  <c r="K491" i="1" s="1"/>
  <c r="N491" i="1" s="1"/>
  <c r="Q491" i="1" s="1"/>
  <c r="S490" i="1"/>
  <c r="L490" i="1"/>
  <c r="O490" i="1" s="1"/>
  <c r="P490" i="1" s="1"/>
  <c r="R490" i="1" s="1"/>
  <c r="J490" i="1"/>
  <c r="I490" i="1"/>
  <c r="M490" i="1" s="1"/>
  <c r="S489" i="1"/>
  <c r="O489" i="1"/>
  <c r="P489" i="1" s="1"/>
  <c r="R489" i="1" s="1"/>
  <c r="L489" i="1"/>
  <c r="K489" i="1"/>
  <c r="N489" i="1" s="1"/>
  <c r="Q489" i="1" s="1"/>
  <c r="J489" i="1"/>
  <c r="I489" i="1"/>
  <c r="M489" i="1" s="1"/>
  <c r="S488" i="1"/>
  <c r="O488" i="1"/>
  <c r="P488" i="1" s="1"/>
  <c r="R488" i="1" s="1"/>
  <c r="N488" i="1"/>
  <c r="Q488" i="1" s="1"/>
  <c r="L488" i="1"/>
  <c r="K488" i="1"/>
  <c r="J488" i="1"/>
  <c r="I488" i="1"/>
  <c r="M488" i="1" s="1"/>
  <c r="S487" i="1"/>
  <c r="L487" i="1"/>
  <c r="O487" i="1" s="1"/>
  <c r="P487" i="1" s="1"/>
  <c r="R487" i="1" s="1"/>
  <c r="J487" i="1"/>
  <c r="I487" i="1"/>
  <c r="K487" i="1" s="1"/>
  <c r="N487" i="1" s="1"/>
  <c r="Q487" i="1" s="1"/>
  <c r="S486" i="1"/>
  <c r="L486" i="1"/>
  <c r="O486" i="1" s="1"/>
  <c r="P486" i="1" s="1"/>
  <c r="R486" i="1" s="1"/>
  <c r="J486" i="1"/>
  <c r="I486" i="1"/>
  <c r="M486" i="1" s="1"/>
  <c r="S485" i="1"/>
  <c r="O485" i="1"/>
  <c r="P485" i="1" s="1"/>
  <c r="R485" i="1" s="1"/>
  <c r="L485" i="1"/>
  <c r="K485" i="1"/>
  <c r="N485" i="1" s="1"/>
  <c r="Q485" i="1" s="1"/>
  <c r="J485" i="1"/>
  <c r="I485" i="1"/>
  <c r="M485" i="1" s="1"/>
  <c r="S484" i="1"/>
  <c r="O484" i="1"/>
  <c r="P484" i="1" s="1"/>
  <c r="R484" i="1" s="1"/>
  <c r="N484" i="1"/>
  <c r="Q484" i="1" s="1"/>
  <c r="L484" i="1"/>
  <c r="K484" i="1"/>
  <c r="J484" i="1"/>
  <c r="I484" i="1"/>
  <c r="M484" i="1" s="1"/>
  <c r="S483" i="1"/>
  <c r="L483" i="1"/>
  <c r="O483" i="1" s="1"/>
  <c r="P483" i="1" s="1"/>
  <c r="R483" i="1" s="1"/>
  <c r="J483" i="1"/>
  <c r="I483" i="1"/>
  <c r="K483" i="1" s="1"/>
  <c r="N483" i="1" s="1"/>
  <c r="Q483" i="1" s="1"/>
  <c r="S482" i="1"/>
  <c r="L482" i="1"/>
  <c r="O482" i="1" s="1"/>
  <c r="P482" i="1" s="1"/>
  <c r="R482" i="1" s="1"/>
  <c r="J482" i="1"/>
  <c r="I482" i="1"/>
  <c r="M482" i="1" s="1"/>
  <c r="S481" i="1"/>
  <c r="O481" i="1"/>
  <c r="P481" i="1" s="1"/>
  <c r="R481" i="1" s="1"/>
  <c r="L481" i="1"/>
  <c r="K481" i="1"/>
  <c r="N481" i="1" s="1"/>
  <c r="Q481" i="1" s="1"/>
  <c r="J481" i="1"/>
  <c r="I481" i="1"/>
  <c r="M481" i="1" s="1"/>
  <c r="S480" i="1"/>
  <c r="O480" i="1"/>
  <c r="P480" i="1" s="1"/>
  <c r="R480" i="1" s="1"/>
  <c r="N480" i="1"/>
  <c r="Q480" i="1" s="1"/>
  <c r="L480" i="1"/>
  <c r="K480" i="1"/>
  <c r="J480" i="1"/>
  <c r="I480" i="1"/>
  <c r="M480" i="1" s="1"/>
  <c r="S479" i="1"/>
  <c r="L479" i="1"/>
  <c r="O479" i="1" s="1"/>
  <c r="P479" i="1" s="1"/>
  <c r="R479" i="1" s="1"/>
  <c r="J479" i="1"/>
  <c r="I479" i="1"/>
  <c r="K479" i="1" s="1"/>
  <c r="N479" i="1" s="1"/>
  <c r="Q479" i="1" s="1"/>
  <c r="S478" i="1"/>
  <c r="L478" i="1"/>
  <c r="O478" i="1" s="1"/>
  <c r="P478" i="1" s="1"/>
  <c r="R478" i="1" s="1"/>
  <c r="J478" i="1"/>
  <c r="I478" i="1"/>
  <c r="M478" i="1" s="1"/>
  <c r="S477" i="1"/>
  <c r="O477" i="1"/>
  <c r="P477" i="1" s="1"/>
  <c r="R477" i="1" s="1"/>
  <c r="L477" i="1"/>
  <c r="K477" i="1"/>
  <c r="N477" i="1" s="1"/>
  <c r="Q477" i="1" s="1"/>
  <c r="J477" i="1"/>
  <c r="I477" i="1"/>
  <c r="M477" i="1" s="1"/>
  <c r="S476" i="1"/>
  <c r="O476" i="1"/>
  <c r="P476" i="1" s="1"/>
  <c r="R476" i="1" s="1"/>
  <c r="N476" i="1"/>
  <c r="Q476" i="1" s="1"/>
  <c r="L476" i="1"/>
  <c r="K476" i="1"/>
  <c r="J476" i="1"/>
  <c r="I476" i="1"/>
  <c r="M476" i="1" s="1"/>
  <c r="S475" i="1"/>
  <c r="L475" i="1"/>
  <c r="O475" i="1" s="1"/>
  <c r="P475" i="1" s="1"/>
  <c r="R475" i="1" s="1"/>
  <c r="J475" i="1"/>
  <c r="I475" i="1"/>
  <c r="K475" i="1" s="1"/>
  <c r="N475" i="1" s="1"/>
  <c r="Q475" i="1" s="1"/>
  <c r="S474" i="1"/>
  <c r="L474" i="1"/>
  <c r="O474" i="1" s="1"/>
  <c r="P474" i="1" s="1"/>
  <c r="R474" i="1" s="1"/>
  <c r="J474" i="1"/>
  <c r="I474" i="1"/>
  <c r="M474" i="1" s="1"/>
  <c r="S473" i="1"/>
  <c r="O473" i="1"/>
  <c r="P473" i="1" s="1"/>
  <c r="R473" i="1" s="1"/>
  <c r="L473" i="1"/>
  <c r="K473" i="1"/>
  <c r="N473" i="1" s="1"/>
  <c r="Q473" i="1" s="1"/>
  <c r="J473" i="1"/>
  <c r="I473" i="1"/>
  <c r="M473" i="1" s="1"/>
  <c r="S472" i="1"/>
  <c r="O472" i="1"/>
  <c r="P472" i="1" s="1"/>
  <c r="R472" i="1" s="1"/>
  <c r="N472" i="1"/>
  <c r="Q472" i="1" s="1"/>
  <c r="L472" i="1"/>
  <c r="K472" i="1"/>
  <c r="J472" i="1"/>
  <c r="I472" i="1"/>
  <c r="M472" i="1" s="1"/>
  <c r="S471" i="1"/>
  <c r="L471" i="1"/>
  <c r="O471" i="1" s="1"/>
  <c r="P471" i="1" s="1"/>
  <c r="R471" i="1" s="1"/>
  <c r="J471" i="1"/>
  <c r="I471" i="1"/>
  <c r="K471" i="1" s="1"/>
  <c r="N471" i="1" s="1"/>
  <c r="Q471" i="1" s="1"/>
  <c r="S470" i="1"/>
  <c r="L470" i="1"/>
  <c r="O470" i="1" s="1"/>
  <c r="P470" i="1" s="1"/>
  <c r="R470" i="1" s="1"/>
  <c r="J470" i="1"/>
  <c r="I470" i="1"/>
  <c r="M470" i="1" s="1"/>
  <c r="S469" i="1"/>
  <c r="O469" i="1"/>
  <c r="P469" i="1" s="1"/>
  <c r="R469" i="1" s="1"/>
  <c r="L469" i="1"/>
  <c r="K469" i="1"/>
  <c r="N469" i="1" s="1"/>
  <c r="Q469" i="1" s="1"/>
  <c r="J469" i="1"/>
  <c r="I469" i="1"/>
  <c r="M469" i="1" s="1"/>
  <c r="S468" i="1"/>
  <c r="O468" i="1"/>
  <c r="P468" i="1" s="1"/>
  <c r="R468" i="1" s="1"/>
  <c r="N468" i="1"/>
  <c r="Q468" i="1" s="1"/>
  <c r="L468" i="1"/>
  <c r="K468" i="1"/>
  <c r="J468" i="1"/>
  <c r="I468" i="1"/>
  <c r="M468" i="1" s="1"/>
  <c r="S467" i="1"/>
  <c r="L467" i="1"/>
  <c r="O467" i="1" s="1"/>
  <c r="P467" i="1" s="1"/>
  <c r="R467" i="1" s="1"/>
  <c r="J467" i="1"/>
  <c r="I467" i="1"/>
  <c r="K467" i="1" s="1"/>
  <c r="N467" i="1" s="1"/>
  <c r="Q467" i="1" s="1"/>
  <c r="S466" i="1"/>
  <c r="L466" i="1"/>
  <c r="O466" i="1" s="1"/>
  <c r="P466" i="1" s="1"/>
  <c r="R466" i="1" s="1"/>
  <c r="J466" i="1"/>
  <c r="I466" i="1"/>
  <c r="M466" i="1" s="1"/>
  <c r="S465" i="1"/>
  <c r="O465" i="1"/>
  <c r="P465" i="1" s="1"/>
  <c r="R465" i="1" s="1"/>
  <c r="L465" i="1"/>
  <c r="K465" i="1"/>
  <c r="N465" i="1" s="1"/>
  <c r="Q465" i="1" s="1"/>
  <c r="J465" i="1"/>
  <c r="I465" i="1"/>
  <c r="M465" i="1" s="1"/>
  <c r="S464" i="1"/>
  <c r="O464" i="1"/>
  <c r="P464" i="1" s="1"/>
  <c r="R464" i="1" s="1"/>
  <c r="N464" i="1"/>
  <c r="Q464" i="1" s="1"/>
  <c r="L464" i="1"/>
  <c r="K464" i="1"/>
  <c r="J464" i="1"/>
  <c r="I464" i="1"/>
  <c r="M464" i="1" s="1"/>
  <c r="S463" i="1"/>
  <c r="L463" i="1"/>
  <c r="O463" i="1" s="1"/>
  <c r="P463" i="1" s="1"/>
  <c r="R463" i="1" s="1"/>
  <c r="J463" i="1"/>
  <c r="I463" i="1"/>
  <c r="K463" i="1" s="1"/>
  <c r="N463" i="1" s="1"/>
  <c r="Q463" i="1" s="1"/>
  <c r="S462" i="1"/>
  <c r="L462" i="1"/>
  <c r="O462" i="1" s="1"/>
  <c r="P462" i="1" s="1"/>
  <c r="R462" i="1" s="1"/>
  <c r="J462" i="1"/>
  <c r="I462" i="1"/>
  <c r="M462" i="1" s="1"/>
  <c r="S461" i="1"/>
  <c r="O461" i="1"/>
  <c r="P461" i="1" s="1"/>
  <c r="R461" i="1" s="1"/>
  <c r="L461" i="1"/>
  <c r="K461" i="1"/>
  <c r="N461" i="1" s="1"/>
  <c r="Q461" i="1" s="1"/>
  <c r="J461" i="1"/>
  <c r="I461" i="1"/>
  <c r="M461" i="1" s="1"/>
  <c r="S460" i="1"/>
  <c r="O460" i="1"/>
  <c r="P460" i="1" s="1"/>
  <c r="R460" i="1" s="1"/>
  <c r="N460" i="1"/>
  <c r="Q460" i="1" s="1"/>
  <c r="L460" i="1"/>
  <c r="K460" i="1"/>
  <c r="J460" i="1"/>
  <c r="I460" i="1"/>
  <c r="M460" i="1" s="1"/>
  <c r="S459" i="1"/>
  <c r="L459" i="1"/>
  <c r="O459" i="1" s="1"/>
  <c r="P459" i="1" s="1"/>
  <c r="R459" i="1" s="1"/>
  <c r="J459" i="1"/>
  <c r="I459" i="1"/>
  <c r="K459" i="1" s="1"/>
  <c r="N459" i="1" s="1"/>
  <c r="Q459" i="1" s="1"/>
  <c r="S458" i="1"/>
  <c r="L458" i="1"/>
  <c r="O458" i="1" s="1"/>
  <c r="P458" i="1" s="1"/>
  <c r="R458" i="1" s="1"/>
  <c r="J458" i="1"/>
  <c r="I458" i="1"/>
  <c r="M458" i="1" s="1"/>
  <c r="S457" i="1"/>
  <c r="O457" i="1"/>
  <c r="P457" i="1" s="1"/>
  <c r="R457" i="1" s="1"/>
  <c r="L457" i="1"/>
  <c r="K457" i="1"/>
  <c r="N457" i="1" s="1"/>
  <c r="Q457" i="1" s="1"/>
  <c r="J457" i="1"/>
  <c r="I457" i="1"/>
  <c r="M457" i="1" s="1"/>
  <c r="S456" i="1"/>
  <c r="O456" i="1"/>
  <c r="P456" i="1" s="1"/>
  <c r="R456" i="1" s="1"/>
  <c r="N456" i="1"/>
  <c r="Q456" i="1" s="1"/>
  <c r="L456" i="1"/>
  <c r="K456" i="1"/>
  <c r="J456" i="1"/>
  <c r="I456" i="1"/>
  <c r="M456" i="1" s="1"/>
  <c r="S455" i="1"/>
  <c r="L455" i="1"/>
  <c r="O455" i="1" s="1"/>
  <c r="P455" i="1" s="1"/>
  <c r="R455" i="1" s="1"/>
  <c r="J455" i="1"/>
  <c r="I455" i="1"/>
  <c r="K455" i="1" s="1"/>
  <c r="N455" i="1" s="1"/>
  <c r="Q455" i="1" s="1"/>
  <c r="S454" i="1"/>
  <c r="L454" i="1"/>
  <c r="O454" i="1" s="1"/>
  <c r="P454" i="1" s="1"/>
  <c r="R454" i="1" s="1"/>
  <c r="J454" i="1"/>
  <c r="I454" i="1"/>
  <c r="M454" i="1" s="1"/>
  <c r="S453" i="1"/>
  <c r="O453" i="1"/>
  <c r="P453" i="1" s="1"/>
  <c r="R453" i="1" s="1"/>
  <c r="L453" i="1"/>
  <c r="K453" i="1"/>
  <c r="N453" i="1" s="1"/>
  <c r="Q453" i="1" s="1"/>
  <c r="J453" i="1"/>
  <c r="I453" i="1"/>
  <c r="M453" i="1" s="1"/>
  <c r="S452" i="1"/>
  <c r="O452" i="1"/>
  <c r="P452" i="1" s="1"/>
  <c r="R452" i="1" s="1"/>
  <c r="N452" i="1"/>
  <c r="Q452" i="1" s="1"/>
  <c r="L452" i="1"/>
  <c r="K452" i="1"/>
  <c r="J452" i="1"/>
  <c r="I452" i="1"/>
  <c r="M452" i="1" s="1"/>
  <c r="S451" i="1"/>
  <c r="L451" i="1"/>
  <c r="O451" i="1" s="1"/>
  <c r="P451" i="1" s="1"/>
  <c r="R451" i="1" s="1"/>
  <c r="J451" i="1"/>
  <c r="I451" i="1"/>
  <c r="K451" i="1" s="1"/>
  <c r="N451" i="1" s="1"/>
  <c r="Q451" i="1" s="1"/>
  <c r="S450" i="1"/>
  <c r="L450" i="1"/>
  <c r="J450" i="1"/>
  <c r="I450" i="1"/>
  <c r="M450" i="1" s="1"/>
  <c r="S449" i="1"/>
  <c r="O449" i="1"/>
  <c r="P449" i="1" s="1"/>
  <c r="R449" i="1" s="1"/>
  <c r="L449" i="1"/>
  <c r="N449" i="1" s="1"/>
  <c r="Q449" i="1" s="1"/>
  <c r="K449" i="1"/>
  <c r="J449" i="1"/>
  <c r="I449" i="1"/>
  <c r="M449" i="1" s="1"/>
  <c r="S448" i="1"/>
  <c r="O448" i="1"/>
  <c r="P448" i="1" s="1"/>
  <c r="R448" i="1" s="1"/>
  <c r="N448" i="1"/>
  <c r="Q448" i="1" s="1"/>
  <c r="L448" i="1"/>
  <c r="K448" i="1"/>
  <c r="J448" i="1"/>
  <c r="I448" i="1"/>
  <c r="M448" i="1" s="1"/>
  <c r="S447" i="1"/>
  <c r="L447" i="1"/>
  <c r="O447" i="1" s="1"/>
  <c r="P447" i="1" s="1"/>
  <c r="R447" i="1" s="1"/>
  <c r="J447" i="1"/>
  <c r="I447" i="1"/>
  <c r="K447" i="1" s="1"/>
  <c r="N447" i="1" s="1"/>
  <c r="Q447" i="1" s="1"/>
  <c r="S446" i="1"/>
  <c r="L446" i="1"/>
  <c r="J446" i="1"/>
  <c r="I446" i="1"/>
  <c r="M446" i="1" s="1"/>
  <c r="S445" i="1"/>
  <c r="O445" i="1"/>
  <c r="P445" i="1" s="1"/>
  <c r="R445" i="1" s="1"/>
  <c r="L445" i="1"/>
  <c r="N445" i="1" s="1"/>
  <c r="Q445" i="1" s="1"/>
  <c r="K445" i="1"/>
  <c r="J445" i="1"/>
  <c r="I445" i="1"/>
  <c r="M445" i="1" s="1"/>
  <c r="S444" i="1"/>
  <c r="O444" i="1"/>
  <c r="P444" i="1" s="1"/>
  <c r="R444" i="1" s="1"/>
  <c r="N444" i="1"/>
  <c r="Q444" i="1" s="1"/>
  <c r="L444" i="1"/>
  <c r="K444" i="1"/>
  <c r="J444" i="1"/>
  <c r="I444" i="1"/>
  <c r="M444" i="1" s="1"/>
  <c r="S443" i="1"/>
  <c r="L443" i="1"/>
  <c r="O443" i="1" s="1"/>
  <c r="P443" i="1" s="1"/>
  <c r="R443" i="1" s="1"/>
  <c r="J443" i="1"/>
  <c r="I443" i="1"/>
  <c r="K443" i="1" s="1"/>
  <c r="N443" i="1" s="1"/>
  <c r="Q443" i="1" s="1"/>
  <c r="S442" i="1"/>
  <c r="L442" i="1"/>
  <c r="J442" i="1"/>
  <c r="I442" i="1"/>
  <c r="M442" i="1" s="1"/>
  <c r="S441" i="1"/>
  <c r="O441" i="1"/>
  <c r="P441" i="1" s="1"/>
  <c r="R441" i="1" s="1"/>
  <c r="L441" i="1"/>
  <c r="N441" i="1" s="1"/>
  <c r="Q441" i="1" s="1"/>
  <c r="K441" i="1"/>
  <c r="J441" i="1"/>
  <c r="I441" i="1"/>
  <c r="M441" i="1" s="1"/>
  <c r="S440" i="1"/>
  <c r="O440" i="1"/>
  <c r="P440" i="1" s="1"/>
  <c r="R440" i="1" s="1"/>
  <c r="N440" i="1"/>
  <c r="Q440" i="1" s="1"/>
  <c r="L440" i="1"/>
  <c r="K440" i="1"/>
  <c r="J440" i="1"/>
  <c r="I440" i="1"/>
  <c r="M440" i="1" s="1"/>
  <c r="S439" i="1"/>
  <c r="Q439" i="1"/>
  <c r="N439" i="1"/>
  <c r="L439" i="1"/>
  <c r="O439" i="1" s="1"/>
  <c r="P439" i="1" s="1"/>
  <c r="R439" i="1" s="1"/>
  <c r="J439" i="1"/>
  <c r="I439" i="1"/>
  <c r="K439" i="1" s="1"/>
  <c r="S438" i="1"/>
  <c r="L438" i="1"/>
  <c r="J438" i="1"/>
  <c r="I438" i="1"/>
  <c r="M438" i="1" s="1"/>
  <c r="S437" i="1"/>
  <c r="O437" i="1"/>
  <c r="P437" i="1" s="1"/>
  <c r="R437" i="1" s="1"/>
  <c r="L437" i="1"/>
  <c r="N437" i="1" s="1"/>
  <c r="Q437" i="1" s="1"/>
  <c r="K437" i="1"/>
  <c r="J437" i="1"/>
  <c r="I437" i="1"/>
  <c r="M437" i="1" s="1"/>
  <c r="S436" i="1"/>
  <c r="O436" i="1"/>
  <c r="P436" i="1" s="1"/>
  <c r="R436" i="1" s="1"/>
  <c r="L436" i="1"/>
  <c r="J436" i="1"/>
  <c r="K436" i="1" s="1"/>
  <c r="N436" i="1" s="1"/>
  <c r="Q436" i="1" s="1"/>
  <c r="I436" i="1"/>
  <c r="M436" i="1" s="1"/>
  <c r="S435" i="1"/>
  <c r="L435" i="1"/>
  <c r="O435" i="1" s="1"/>
  <c r="P435" i="1" s="1"/>
  <c r="R435" i="1" s="1"/>
  <c r="J435" i="1"/>
  <c r="I435" i="1"/>
  <c r="K435" i="1" s="1"/>
  <c r="N435" i="1" s="1"/>
  <c r="Q435" i="1" s="1"/>
  <c r="S434" i="1"/>
  <c r="L434" i="1"/>
  <c r="J434" i="1"/>
  <c r="I434" i="1"/>
  <c r="M434" i="1" s="1"/>
  <c r="S433" i="1"/>
  <c r="O433" i="1"/>
  <c r="P433" i="1" s="1"/>
  <c r="R433" i="1" s="1"/>
  <c r="L433" i="1"/>
  <c r="N433" i="1" s="1"/>
  <c r="Q433" i="1" s="1"/>
  <c r="K433" i="1"/>
  <c r="J433" i="1"/>
  <c r="I433" i="1"/>
  <c r="M433" i="1" s="1"/>
  <c r="S432" i="1"/>
  <c r="O432" i="1"/>
  <c r="P432" i="1" s="1"/>
  <c r="R432" i="1" s="1"/>
  <c r="N432" i="1"/>
  <c r="Q432" i="1" s="1"/>
  <c r="L432" i="1"/>
  <c r="K432" i="1"/>
  <c r="J432" i="1"/>
  <c r="I432" i="1"/>
  <c r="M432" i="1" s="1"/>
  <c r="S431" i="1"/>
  <c r="L431" i="1"/>
  <c r="O431" i="1" s="1"/>
  <c r="P431" i="1" s="1"/>
  <c r="R431" i="1" s="1"/>
  <c r="J431" i="1"/>
  <c r="I431" i="1"/>
  <c r="K431" i="1" s="1"/>
  <c r="N431" i="1" s="1"/>
  <c r="Q431" i="1" s="1"/>
  <c r="S430" i="1"/>
  <c r="L430" i="1"/>
  <c r="J430" i="1"/>
  <c r="I430" i="1"/>
  <c r="M430" i="1" s="1"/>
  <c r="S429" i="1"/>
  <c r="O429" i="1"/>
  <c r="P429" i="1" s="1"/>
  <c r="R429" i="1" s="1"/>
  <c r="L429" i="1"/>
  <c r="N429" i="1" s="1"/>
  <c r="Q429" i="1" s="1"/>
  <c r="K429" i="1"/>
  <c r="J429" i="1"/>
  <c r="I429" i="1"/>
  <c r="M429" i="1" s="1"/>
  <c r="S428" i="1"/>
  <c r="O428" i="1"/>
  <c r="P428" i="1" s="1"/>
  <c r="R428" i="1" s="1"/>
  <c r="N428" i="1"/>
  <c r="Q428" i="1" s="1"/>
  <c r="L428" i="1"/>
  <c r="K428" i="1"/>
  <c r="J428" i="1"/>
  <c r="I428" i="1"/>
  <c r="M428" i="1" s="1"/>
  <c r="S427" i="1"/>
  <c r="L427" i="1"/>
  <c r="O427" i="1" s="1"/>
  <c r="P427" i="1" s="1"/>
  <c r="R427" i="1" s="1"/>
  <c r="J427" i="1"/>
  <c r="I427" i="1"/>
  <c r="K427" i="1" s="1"/>
  <c r="N427" i="1" s="1"/>
  <c r="Q427" i="1" s="1"/>
  <c r="S426" i="1"/>
  <c r="L426" i="1"/>
  <c r="J426" i="1"/>
  <c r="I426" i="1"/>
  <c r="M426" i="1" s="1"/>
  <c r="S425" i="1"/>
  <c r="O425" i="1"/>
  <c r="P425" i="1" s="1"/>
  <c r="R425" i="1" s="1"/>
  <c r="L425" i="1"/>
  <c r="N425" i="1" s="1"/>
  <c r="Q425" i="1" s="1"/>
  <c r="K425" i="1"/>
  <c r="J425" i="1"/>
  <c r="I425" i="1"/>
  <c r="M425" i="1" s="1"/>
  <c r="S424" i="1"/>
  <c r="O424" i="1"/>
  <c r="P424" i="1" s="1"/>
  <c r="R424" i="1" s="1"/>
  <c r="N424" i="1"/>
  <c r="Q424" i="1" s="1"/>
  <c r="L424" i="1"/>
  <c r="K424" i="1"/>
  <c r="J424" i="1"/>
  <c r="I424" i="1"/>
  <c r="M424" i="1" s="1"/>
  <c r="S423" i="1"/>
  <c r="L423" i="1"/>
  <c r="O423" i="1" s="1"/>
  <c r="P423" i="1" s="1"/>
  <c r="R423" i="1" s="1"/>
  <c r="J423" i="1"/>
  <c r="I423" i="1"/>
  <c r="K423" i="1" s="1"/>
  <c r="N423" i="1" s="1"/>
  <c r="Q423" i="1" s="1"/>
  <c r="S422" i="1"/>
  <c r="L422" i="1"/>
  <c r="J422" i="1"/>
  <c r="I422" i="1"/>
  <c r="M422" i="1" s="1"/>
  <c r="S421" i="1"/>
  <c r="O421" i="1"/>
  <c r="P421" i="1" s="1"/>
  <c r="R421" i="1" s="1"/>
  <c r="L421" i="1"/>
  <c r="N421" i="1" s="1"/>
  <c r="Q421" i="1" s="1"/>
  <c r="K421" i="1"/>
  <c r="J421" i="1"/>
  <c r="I421" i="1"/>
  <c r="M421" i="1" s="1"/>
  <c r="S420" i="1"/>
  <c r="O420" i="1"/>
  <c r="P420" i="1" s="1"/>
  <c r="R420" i="1" s="1"/>
  <c r="L420" i="1"/>
  <c r="J420" i="1"/>
  <c r="K420" i="1" s="1"/>
  <c r="N420" i="1" s="1"/>
  <c r="Q420" i="1" s="1"/>
  <c r="I420" i="1"/>
  <c r="M420" i="1" s="1"/>
  <c r="S419" i="1"/>
  <c r="L419" i="1"/>
  <c r="O419" i="1" s="1"/>
  <c r="P419" i="1" s="1"/>
  <c r="R419" i="1" s="1"/>
  <c r="J419" i="1"/>
  <c r="I419" i="1"/>
  <c r="K419" i="1" s="1"/>
  <c r="N419" i="1" s="1"/>
  <c r="Q419" i="1" s="1"/>
  <c r="S418" i="1"/>
  <c r="L418" i="1"/>
  <c r="J418" i="1"/>
  <c r="I418" i="1"/>
  <c r="M418" i="1" s="1"/>
  <c r="S417" i="1"/>
  <c r="O417" i="1"/>
  <c r="P417" i="1" s="1"/>
  <c r="R417" i="1" s="1"/>
  <c r="L417" i="1"/>
  <c r="N417" i="1" s="1"/>
  <c r="Q417" i="1" s="1"/>
  <c r="K417" i="1"/>
  <c r="J417" i="1"/>
  <c r="I417" i="1"/>
  <c r="M417" i="1" s="1"/>
  <c r="S416" i="1"/>
  <c r="O416" i="1"/>
  <c r="P416" i="1" s="1"/>
  <c r="R416" i="1" s="1"/>
  <c r="N416" i="1"/>
  <c r="Q416" i="1" s="1"/>
  <c r="L416" i="1"/>
  <c r="K416" i="1"/>
  <c r="J416" i="1"/>
  <c r="I416" i="1"/>
  <c r="M416" i="1" s="1"/>
  <c r="S415" i="1"/>
  <c r="L415" i="1"/>
  <c r="O415" i="1" s="1"/>
  <c r="P415" i="1" s="1"/>
  <c r="R415" i="1" s="1"/>
  <c r="J415" i="1"/>
  <c r="I415" i="1"/>
  <c r="K415" i="1" s="1"/>
  <c r="N415" i="1" s="1"/>
  <c r="Q415" i="1" s="1"/>
  <c r="S414" i="1"/>
  <c r="L414" i="1"/>
  <c r="J414" i="1"/>
  <c r="I414" i="1"/>
  <c r="M414" i="1" s="1"/>
  <c r="S413" i="1"/>
  <c r="O413" i="1"/>
  <c r="P413" i="1" s="1"/>
  <c r="R413" i="1" s="1"/>
  <c r="L413" i="1"/>
  <c r="N413" i="1" s="1"/>
  <c r="Q413" i="1" s="1"/>
  <c r="K413" i="1"/>
  <c r="J413" i="1"/>
  <c r="I413" i="1"/>
  <c r="M413" i="1" s="1"/>
  <c r="S412" i="1"/>
  <c r="O412" i="1"/>
  <c r="P412" i="1" s="1"/>
  <c r="R412" i="1" s="1"/>
  <c r="L412" i="1"/>
  <c r="J412" i="1"/>
  <c r="K412" i="1" s="1"/>
  <c r="N412" i="1" s="1"/>
  <c r="Q412" i="1" s="1"/>
  <c r="I412" i="1"/>
  <c r="M412" i="1" s="1"/>
  <c r="S411" i="1"/>
  <c r="L411" i="1"/>
  <c r="O411" i="1" s="1"/>
  <c r="P411" i="1" s="1"/>
  <c r="R411" i="1" s="1"/>
  <c r="J411" i="1"/>
  <c r="I411" i="1"/>
  <c r="K411" i="1" s="1"/>
  <c r="N411" i="1" s="1"/>
  <c r="Q411" i="1" s="1"/>
  <c r="S410" i="1"/>
  <c r="L410" i="1"/>
  <c r="O410" i="1" s="1"/>
  <c r="P410" i="1" s="1"/>
  <c r="R410" i="1" s="1"/>
  <c r="J410" i="1"/>
  <c r="I410" i="1"/>
  <c r="M410" i="1" s="1"/>
  <c r="S409" i="1"/>
  <c r="O409" i="1"/>
  <c r="P409" i="1" s="1"/>
  <c r="R409" i="1" s="1"/>
  <c r="L409" i="1"/>
  <c r="K409" i="1"/>
  <c r="N409" i="1" s="1"/>
  <c r="Q409" i="1" s="1"/>
  <c r="J409" i="1"/>
  <c r="I409" i="1"/>
  <c r="M409" i="1" s="1"/>
  <c r="S408" i="1"/>
  <c r="O408" i="1"/>
  <c r="P408" i="1" s="1"/>
  <c r="R408" i="1" s="1"/>
  <c r="N408" i="1"/>
  <c r="Q408" i="1" s="1"/>
  <c r="L408" i="1"/>
  <c r="K408" i="1"/>
  <c r="J408" i="1"/>
  <c r="I408" i="1"/>
  <c r="M408" i="1" s="1"/>
  <c r="S407" i="1"/>
  <c r="L407" i="1"/>
  <c r="O407" i="1" s="1"/>
  <c r="P407" i="1" s="1"/>
  <c r="R407" i="1" s="1"/>
  <c r="J407" i="1"/>
  <c r="I407" i="1"/>
  <c r="K407" i="1" s="1"/>
  <c r="N407" i="1" s="1"/>
  <c r="Q407" i="1" s="1"/>
  <c r="S406" i="1"/>
  <c r="L406" i="1"/>
  <c r="O406" i="1" s="1"/>
  <c r="P406" i="1" s="1"/>
  <c r="R406" i="1" s="1"/>
  <c r="J406" i="1"/>
  <c r="I406" i="1"/>
  <c r="M406" i="1" s="1"/>
  <c r="S405" i="1"/>
  <c r="O405" i="1"/>
  <c r="P405" i="1" s="1"/>
  <c r="R405" i="1" s="1"/>
  <c r="L405" i="1"/>
  <c r="K405" i="1"/>
  <c r="N405" i="1" s="1"/>
  <c r="Q405" i="1" s="1"/>
  <c r="J405" i="1"/>
  <c r="I405" i="1"/>
  <c r="M405" i="1" s="1"/>
  <c r="S404" i="1"/>
  <c r="O404" i="1"/>
  <c r="P404" i="1" s="1"/>
  <c r="R404" i="1" s="1"/>
  <c r="L404" i="1"/>
  <c r="J404" i="1"/>
  <c r="I404" i="1"/>
  <c r="K404" i="1" s="1"/>
  <c r="N404" i="1" s="1"/>
  <c r="Q404" i="1" s="1"/>
  <c r="S403" i="1"/>
  <c r="L403" i="1"/>
  <c r="O403" i="1" s="1"/>
  <c r="P403" i="1" s="1"/>
  <c r="R403" i="1" s="1"/>
  <c r="J403" i="1"/>
  <c r="I403" i="1"/>
  <c r="K403" i="1" s="1"/>
  <c r="N403" i="1" s="1"/>
  <c r="Q403" i="1" s="1"/>
  <c r="S402" i="1"/>
  <c r="L402" i="1"/>
  <c r="O402" i="1" s="1"/>
  <c r="P402" i="1" s="1"/>
  <c r="R402" i="1" s="1"/>
  <c r="K402" i="1"/>
  <c r="N402" i="1" s="1"/>
  <c r="Q402" i="1" s="1"/>
  <c r="J402" i="1"/>
  <c r="I402" i="1"/>
  <c r="M402" i="1" s="1"/>
  <c r="S401" i="1"/>
  <c r="O401" i="1"/>
  <c r="P401" i="1" s="1"/>
  <c r="R401" i="1" s="1"/>
  <c r="L401" i="1"/>
  <c r="K401" i="1"/>
  <c r="N401" i="1" s="1"/>
  <c r="Q401" i="1" s="1"/>
  <c r="J401" i="1"/>
  <c r="I401" i="1"/>
  <c r="M401" i="1" s="1"/>
  <c r="S400" i="1"/>
  <c r="O400" i="1"/>
  <c r="P400" i="1" s="1"/>
  <c r="R400" i="1" s="1"/>
  <c r="L400" i="1"/>
  <c r="J400" i="1"/>
  <c r="I400" i="1"/>
  <c r="K400" i="1" s="1"/>
  <c r="N400" i="1" s="1"/>
  <c r="Q400" i="1" s="1"/>
  <c r="S399" i="1"/>
  <c r="L399" i="1"/>
  <c r="O399" i="1" s="1"/>
  <c r="P399" i="1" s="1"/>
  <c r="R399" i="1" s="1"/>
  <c r="J399" i="1"/>
  <c r="I399" i="1"/>
  <c r="K399" i="1" s="1"/>
  <c r="N399" i="1" s="1"/>
  <c r="Q399" i="1" s="1"/>
  <c r="S398" i="1"/>
  <c r="L398" i="1"/>
  <c r="O398" i="1" s="1"/>
  <c r="P398" i="1" s="1"/>
  <c r="R398" i="1" s="1"/>
  <c r="K398" i="1"/>
  <c r="N398" i="1" s="1"/>
  <c r="Q398" i="1" s="1"/>
  <c r="J398" i="1"/>
  <c r="I398" i="1"/>
  <c r="M398" i="1" s="1"/>
  <c r="S397" i="1"/>
  <c r="O397" i="1"/>
  <c r="P397" i="1" s="1"/>
  <c r="R397" i="1" s="1"/>
  <c r="L397" i="1"/>
  <c r="K397" i="1"/>
  <c r="N397" i="1" s="1"/>
  <c r="Q397" i="1" s="1"/>
  <c r="J397" i="1"/>
  <c r="I397" i="1"/>
  <c r="M397" i="1" s="1"/>
  <c r="S396" i="1"/>
  <c r="O396" i="1"/>
  <c r="P396" i="1" s="1"/>
  <c r="R396" i="1" s="1"/>
  <c r="L396" i="1"/>
  <c r="J396" i="1"/>
  <c r="I396" i="1"/>
  <c r="K396" i="1" s="1"/>
  <c r="N396" i="1" s="1"/>
  <c r="Q396" i="1" s="1"/>
  <c r="S395" i="1"/>
  <c r="L395" i="1"/>
  <c r="O395" i="1" s="1"/>
  <c r="P395" i="1" s="1"/>
  <c r="R395" i="1" s="1"/>
  <c r="J395" i="1"/>
  <c r="I395" i="1"/>
  <c r="K395" i="1" s="1"/>
  <c r="N395" i="1" s="1"/>
  <c r="Q395" i="1" s="1"/>
  <c r="S394" i="1"/>
  <c r="L394" i="1"/>
  <c r="O394" i="1" s="1"/>
  <c r="P394" i="1" s="1"/>
  <c r="R394" i="1" s="1"/>
  <c r="K394" i="1"/>
  <c r="N394" i="1" s="1"/>
  <c r="Q394" i="1" s="1"/>
  <c r="J394" i="1"/>
  <c r="I394" i="1"/>
  <c r="M394" i="1" s="1"/>
  <c r="S393" i="1"/>
  <c r="O393" i="1"/>
  <c r="P393" i="1" s="1"/>
  <c r="R393" i="1" s="1"/>
  <c r="L393" i="1"/>
  <c r="K393" i="1"/>
  <c r="N393" i="1" s="1"/>
  <c r="Q393" i="1" s="1"/>
  <c r="J393" i="1"/>
  <c r="I393" i="1"/>
  <c r="M393" i="1" s="1"/>
  <c r="S392" i="1"/>
  <c r="O392" i="1"/>
  <c r="P392" i="1" s="1"/>
  <c r="R392" i="1" s="1"/>
  <c r="L392" i="1"/>
  <c r="J392" i="1"/>
  <c r="I392" i="1"/>
  <c r="K392" i="1" s="1"/>
  <c r="N392" i="1" s="1"/>
  <c r="Q392" i="1" s="1"/>
  <c r="S391" i="1"/>
  <c r="L391" i="1"/>
  <c r="O391" i="1" s="1"/>
  <c r="P391" i="1" s="1"/>
  <c r="R391" i="1" s="1"/>
  <c r="J391" i="1"/>
  <c r="I391" i="1"/>
  <c r="K391" i="1" s="1"/>
  <c r="N391" i="1" s="1"/>
  <c r="Q391" i="1" s="1"/>
  <c r="S390" i="1"/>
  <c r="L390" i="1"/>
  <c r="O390" i="1" s="1"/>
  <c r="P390" i="1" s="1"/>
  <c r="R390" i="1" s="1"/>
  <c r="K390" i="1"/>
  <c r="N390" i="1" s="1"/>
  <c r="Q390" i="1" s="1"/>
  <c r="J390" i="1"/>
  <c r="I390" i="1"/>
  <c r="M390" i="1" s="1"/>
  <c r="S389" i="1"/>
  <c r="O389" i="1"/>
  <c r="P389" i="1" s="1"/>
  <c r="R389" i="1" s="1"/>
  <c r="L389" i="1"/>
  <c r="K389" i="1"/>
  <c r="N389" i="1" s="1"/>
  <c r="Q389" i="1" s="1"/>
  <c r="J389" i="1"/>
  <c r="I389" i="1"/>
  <c r="M389" i="1" s="1"/>
  <c r="S388" i="1"/>
  <c r="O388" i="1"/>
  <c r="P388" i="1" s="1"/>
  <c r="R388" i="1" s="1"/>
  <c r="L388" i="1"/>
  <c r="J388" i="1"/>
  <c r="I388" i="1"/>
  <c r="K388" i="1" s="1"/>
  <c r="N388" i="1" s="1"/>
  <c r="Q388" i="1" s="1"/>
  <c r="S387" i="1"/>
  <c r="L387" i="1"/>
  <c r="O387" i="1" s="1"/>
  <c r="P387" i="1" s="1"/>
  <c r="R387" i="1" s="1"/>
  <c r="J387" i="1"/>
  <c r="I387" i="1"/>
  <c r="K387" i="1" s="1"/>
  <c r="N387" i="1" s="1"/>
  <c r="Q387" i="1" s="1"/>
  <c r="S386" i="1"/>
  <c r="L386" i="1"/>
  <c r="O386" i="1" s="1"/>
  <c r="P386" i="1" s="1"/>
  <c r="R386" i="1" s="1"/>
  <c r="K386" i="1"/>
  <c r="N386" i="1" s="1"/>
  <c r="Q386" i="1" s="1"/>
  <c r="J386" i="1"/>
  <c r="I386" i="1"/>
  <c r="M386" i="1" s="1"/>
  <c r="S385" i="1"/>
  <c r="O385" i="1"/>
  <c r="P385" i="1" s="1"/>
  <c r="R385" i="1" s="1"/>
  <c r="L385" i="1"/>
  <c r="K385" i="1"/>
  <c r="N385" i="1" s="1"/>
  <c r="Q385" i="1" s="1"/>
  <c r="J385" i="1"/>
  <c r="I385" i="1"/>
  <c r="M385" i="1" s="1"/>
  <c r="S384" i="1"/>
  <c r="O384" i="1"/>
  <c r="P384" i="1" s="1"/>
  <c r="R384" i="1" s="1"/>
  <c r="L384" i="1"/>
  <c r="J384" i="1"/>
  <c r="I384" i="1"/>
  <c r="K384" i="1" s="1"/>
  <c r="N384" i="1" s="1"/>
  <c r="Q384" i="1" s="1"/>
  <c r="S383" i="1"/>
  <c r="L383" i="1"/>
  <c r="O383" i="1" s="1"/>
  <c r="P383" i="1" s="1"/>
  <c r="R383" i="1" s="1"/>
  <c r="J383" i="1"/>
  <c r="I383" i="1"/>
  <c r="K383" i="1" s="1"/>
  <c r="N383" i="1" s="1"/>
  <c r="Q383" i="1" s="1"/>
  <c r="S382" i="1"/>
  <c r="L382" i="1"/>
  <c r="O382" i="1" s="1"/>
  <c r="P382" i="1" s="1"/>
  <c r="R382" i="1" s="1"/>
  <c r="K382" i="1"/>
  <c r="N382" i="1" s="1"/>
  <c r="Q382" i="1" s="1"/>
  <c r="J382" i="1"/>
  <c r="I382" i="1"/>
  <c r="M382" i="1" s="1"/>
  <c r="S381" i="1"/>
  <c r="O381" i="1"/>
  <c r="P381" i="1" s="1"/>
  <c r="R381" i="1" s="1"/>
  <c r="L381" i="1"/>
  <c r="K381" i="1"/>
  <c r="N381" i="1" s="1"/>
  <c r="Q381" i="1" s="1"/>
  <c r="J381" i="1"/>
  <c r="I381" i="1"/>
  <c r="M381" i="1" s="1"/>
  <c r="S380" i="1"/>
  <c r="O380" i="1"/>
  <c r="P380" i="1" s="1"/>
  <c r="R380" i="1" s="1"/>
  <c r="L380" i="1"/>
  <c r="J380" i="1"/>
  <c r="I380" i="1"/>
  <c r="K380" i="1" s="1"/>
  <c r="N380" i="1" s="1"/>
  <c r="Q380" i="1" s="1"/>
  <c r="S379" i="1"/>
  <c r="L379" i="1"/>
  <c r="O379" i="1" s="1"/>
  <c r="P379" i="1" s="1"/>
  <c r="R379" i="1" s="1"/>
  <c r="J379" i="1"/>
  <c r="I379" i="1"/>
  <c r="K379" i="1" s="1"/>
  <c r="N379" i="1" s="1"/>
  <c r="Q379" i="1" s="1"/>
  <c r="S378" i="1"/>
  <c r="L378" i="1"/>
  <c r="O378" i="1" s="1"/>
  <c r="P378" i="1" s="1"/>
  <c r="R378" i="1" s="1"/>
  <c r="K378" i="1"/>
  <c r="N378" i="1" s="1"/>
  <c r="Q378" i="1" s="1"/>
  <c r="J378" i="1"/>
  <c r="I378" i="1"/>
  <c r="M378" i="1" s="1"/>
  <c r="S377" i="1"/>
  <c r="O377" i="1"/>
  <c r="P377" i="1" s="1"/>
  <c r="R377" i="1" s="1"/>
  <c r="L377" i="1"/>
  <c r="K377" i="1"/>
  <c r="N377" i="1" s="1"/>
  <c r="Q377" i="1" s="1"/>
  <c r="J377" i="1"/>
  <c r="I377" i="1"/>
  <c r="M377" i="1" s="1"/>
  <c r="S376" i="1"/>
  <c r="O376" i="1"/>
  <c r="P376" i="1" s="1"/>
  <c r="R376" i="1" s="1"/>
  <c r="L376" i="1"/>
  <c r="J376" i="1"/>
  <c r="I376" i="1"/>
  <c r="K376" i="1" s="1"/>
  <c r="N376" i="1" s="1"/>
  <c r="Q376" i="1" s="1"/>
  <c r="S375" i="1"/>
  <c r="L375" i="1"/>
  <c r="O375" i="1" s="1"/>
  <c r="P375" i="1" s="1"/>
  <c r="R375" i="1" s="1"/>
  <c r="J375" i="1"/>
  <c r="I375" i="1"/>
  <c r="K375" i="1" s="1"/>
  <c r="N375" i="1" s="1"/>
  <c r="Q375" i="1" s="1"/>
  <c r="S374" i="1"/>
  <c r="L374" i="1"/>
  <c r="O374" i="1" s="1"/>
  <c r="P374" i="1" s="1"/>
  <c r="R374" i="1" s="1"/>
  <c r="K374" i="1"/>
  <c r="N374" i="1" s="1"/>
  <c r="Q374" i="1" s="1"/>
  <c r="J374" i="1"/>
  <c r="I374" i="1"/>
  <c r="M374" i="1" s="1"/>
  <c r="S373" i="1"/>
  <c r="O373" i="1"/>
  <c r="P373" i="1" s="1"/>
  <c r="R373" i="1" s="1"/>
  <c r="L373" i="1"/>
  <c r="K373" i="1"/>
  <c r="N373" i="1" s="1"/>
  <c r="Q373" i="1" s="1"/>
  <c r="J373" i="1"/>
  <c r="I373" i="1"/>
  <c r="M373" i="1" s="1"/>
  <c r="S372" i="1"/>
  <c r="O372" i="1"/>
  <c r="P372" i="1" s="1"/>
  <c r="R372" i="1" s="1"/>
  <c r="L372" i="1"/>
  <c r="J372" i="1"/>
  <c r="I372" i="1"/>
  <c r="K372" i="1" s="1"/>
  <c r="N372" i="1" s="1"/>
  <c r="Q372" i="1" s="1"/>
  <c r="S371" i="1"/>
  <c r="L371" i="1"/>
  <c r="O371" i="1" s="1"/>
  <c r="P371" i="1" s="1"/>
  <c r="R371" i="1" s="1"/>
  <c r="J371" i="1"/>
  <c r="I371" i="1"/>
  <c r="K371" i="1" s="1"/>
  <c r="N371" i="1" s="1"/>
  <c r="Q371" i="1" s="1"/>
  <c r="S370" i="1"/>
  <c r="L370" i="1"/>
  <c r="O370" i="1" s="1"/>
  <c r="P370" i="1" s="1"/>
  <c r="R370" i="1" s="1"/>
  <c r="K370" i="1"/>
  <c r="N370" i="1" s="1"/>
  <c r="Q370" i="1" s="1"/>
  <c r="J370" i="1"/>
  <c r="I370" i="1"/>
  <c r="M370" i="1" s="1"/>
  <c r="S369" i="1"/>
  <c r="O369" i="1"/>
  <c r="P369" i="1" s="1"/>
  <c r="R369" i="1" s="1"/>
  <c r="L369" i="1"/>
  <c r="K369" i="1"/>
  <c r="N369" i="1" s="1"/>
  <c r="Q369" i="1" s="1"/>
  <c r="J369" i="1"/>
  <c r="I369" i="1"/>
  <c r="M369" i="1" s="1"/>
  <c r="S368" i="1"/>
  <c r="O368" i="1"/>
  <c r="P368" i="1" s="1"/>
  <c r="R368" i="1" s="1"/>
  <c r="L368" i="1"/>
  <c r="J368" i="1"/>
  <c r="I368" i="1"/>
  <c r="K368" i="1" s="1"/>
  <c r="N368" i="1" s="1"/>
  <c r="Q368" i="1" s="1"/>
  <c r="S367" i="1"/>
  <c r="L367" i="1"/>
  <c r="O367" i="1" s="1"/>
  <c r="P367" i="1" s="1"/>
  <c r="R367" i="1" s="1"/>
  <c r="J367" i="1"/>
  <c r="I367" i="1"/>
  <c r="K367" i="1" s="1"/>
  <c r="N367" i="1" s="1"/>
  <c r="Q367" i="1" s="1"/>
  <c r="S366" i="1"/>
  <c r="L366" i="1"/>
  <c r="O366" i="1" s="1"/>
  <c r="P366" i="1" s="1"/>
  <c r="R366" i="1" s="1"/>
  <c r="K366" i="1"/>
  <c r="N366" i="1" s="1"/>
  <c r="Q366" i="1" s="1"/>
  <c r="J366" i="1"/>
  <c r="I366" i="1"/>
  <c r="M366" i="1" s="1"/>
  <c r="S365" i="1"/>
  <c r="O365" i="1"/>
  <c r="P365" i="1" s="1"/>
  <c r="R365" i="1" s="1"/>
  <c r="L365" i="1"/>
  <c r="K365" i="1"/>
  <c r="N365" i="1" s="1"/>
  <c r="Q365" i="1" s="1"/>
  <c r="J365" i="1"/>
  <c r="I365" i="1"/>
  <c r="M365" i="1" s="1"/>
  <c r="S364" i="1"/>
  <c r="O364" i="1"/>
  <c r="P364" i="1" s="1"/>
  <c r="R364" i="1" s="1"/>
  <c r="L364" i="1"/>
  <c r="J364" i="1"/>
  <c r="I364" i="1"/>
  <c r="K364" i="1" s="1"/>
  <c r="N364" i="1" s="1"/>
  <c r="Q364" i="1" s="1"/>
  <c r="S363" i="1"/>
  <c r="L363" i="1"/>
  <c r="O363" i="1" s="1"/>
  <c r="P363" i="1" s="1"/>
  <c r="R363" i="1" s="1"/>
  <c r="J363" i="1"/>
  <c r="I363" i="1"/>
  <c r="K363" i="1" s="1"/>
  <c r="N363" i="1" s="1"/>
  <c r="Q363" i="1" s="1"/>
  <c r="S362" i="1"/>
  <c r="L362" i="1"/>
  <c r="O362" i="1" s="1"/>
  <c r="P362" i="1" s="1"/>
  <c r="R362" i="1" s="1"/>
  <c r="K362" i="1"/>
  <c r="N362" i="1" s="1"/>
  <c r="Q362" i="1" s="1"/>
  <c r="J362" i="1"/>
  <c r="I362" i="1"/>
  <c r="M362" i="1" s="1"/>
  <c r="S361" i="1"/>
  <c r="O361" i="1"/>
  <c r="P361" i="1" s="1"/>
  <c r="R361" i="1" s="1"/>
  <c r="L361" i="1"/>
  <c r="K361" i="1"/>
  <c r="N361" i="1" s="1"/>
  <c r="Q361" i="1" s="1"/>
  <c r="J361" i="1"/>
  <c r="I361" i="1"/>
  <c r="M361" i="1" s="1"/>
  <c r="S360" i="1"/>
  <c r="O360" i="1"/>
  <c r="P360" i="1" s="1"/>
  <c r="R360" i="1" s="1"/>
  <c r="L360" i="1"/>
  <c r="J360" i="1"/>
  <c r="I360" i="1"/>
  <c r="K360" i="1" s="1"/>
  <c r="N360" i="1" s="1"/>
  <c r="Q360" i="1" s="1"/>
  <c r="S359" i="1"/>
  <c r="L359" i="1"/>
  <c r="O359" i="1" s="1"/>
  <c r="P359" i="1" s="1"/>
  <c r="R359" i="1" s="1"/>
  <c r="J359" i="1"/>
  <c r="I359" i="1"/>
  <c r="K359" i="1" s="1"/>
  <c r="N359" i="1" s="1"/>
  <c r="Q359" i="1" s="1"/>
  <c r="S358" i="1"/>
  <c r="L358" i="1"/>
  <c r="O358" i="1" s="1"/>
  <c r="P358" i="1" s="1"/>
  <c r="R358" i="1" s="1"/>
  <c r="K358" i="1"/>
  <c r="N358" i="1" s="1"/>
  <c r="Q358" i="1" s="1"/>
  <c r="J358" i="1"/>
  <c r="I358" i="1"/>
  <c r="M358" i="1" s="1"/>
  <c r="S357" i="1"/>
  <c r="O357" i="1"/>
  <c r="P357" i="1" s="1"/>
  <c r="R357" i="1" s="1"/>
  <c r="L357" i="1"/>
  <c r="K357" i="1"/>
  <c r="N357" i="1" s="1"/>
  <c r="Q357" i="1" s="1"/>
  <c r="J357" i="1"/>
  <c r="I357" i="1"/>
  <c r="M357" i="1" s="1"/>
  <c r="S356" i="1"/>
  <c r="O356" i="1"/>
  <c r="P356" i="1" s="1"/>
  <c r="R356" i="1" s="1"/>
  <c r="L356" i="1"/>
  <c r="J356" i="1"/>
  <c r="I356" i="1"/>
  <c r="K356" i="1" s="1"/>
  <c r="N356" i="1" s="1"/>
  <c r="Q356" i="1" s="1"/>
  <c r="S355" i="1"/>
  <c r="L355" i="1"/>
  <c r="O355" i="1" s="1"/>
  <c r="P355" i="1" s="1"/>
  <c r="R355" i="1" s="1"/>
  <c r="J355" i="1"/>
  <c r="I355" i="1"/>
  <c r="K355" i="1" s="1"/>
  <c r="N355" i="1" s="1"/>
  <c r="Q355" i="1" s="1"/>
  <c r="S354" i="1"/>
  <c r="L354" i="1"/>
  <c r="O354" i="1" s="1"/>
  <c r="P354" i="1" s="1"/>
  <c r="R354" i="1" s="1"/>
  <c r="K354" i="1"/>
  <c r="N354" i="1" s="1"/>
  <c r="Q354" i="1" s="1"/>
  <c r="J354" i="1"/>
  <c r="I354" i="1"/>
  <c r="M354" i="1" s="1"/>
  <c r="S353" i="1"/>
  <c r="O353" i="1"/>
  <c r="P353" i="1" s="1"/>
  <c r="R353" i="1" s="1"/>
  <c r="L353" i="1"/>
  <c r="K353" i="1"/>
  <c r="N353" i="1" s="1"/>
  <c r="Q353" i="1" s="1"/>
  <c r="J353" i="1"/>
  <c r="I353" i="1"/>
  <c r="M353" i="1" s="1"/>
  <c r="S352" i="1"/>
  <c r="O352" i="1"/>
  <c r="P352" i="1" s="1"/>
  <c r="R352" i="1" s="1"/>
  <c r="L352" i="1"/>
  <c r="J352" i="1"/>
  <c r="I352" i="1"/>
  <c r="K352" i="1" s="1"/>
  <c r="N352" i="1" s="1"/>
  <c r="Q352" i="1" s="1"/>
  <c r="S351" i="1"/>
  <c r="L351" i="1"/>
  <c r="O351" i="1" s="1"/>
  <c r="P351" i="1" s="1"/>
  <c r="R351" i="1" s="1"/>
  <c r="J351" i="1"/>
  <c r="I351" i="1"/>
  <c r="K351" i="1" s="1"/>
  <c r="N351" i="1" s="1"/>
  <c r="Q351" i="1" s="1"/>
  <c r="S350" i="1"/>
  <c r="L350" i="1"/>
  <c r="O350" i="1" s="1"/>
  <c r="P350" i="1" s="1"/>
  <c r="R350" i="1" s="1"/>
  <c r="K350" i="1"/>
  <c r="N350" i="1" s="1"/>
  <c r="Q350" i="1" s="1"/>
  <c r="J350" i="1"/>
  <c r="I350" i="1"/>
  <c r="M350" i="1" s="1"/>
  <c r="S349" i="1"/>
  <c r="O349" i="1"/>
  <c r="P349" i="1" s="1"/>
  <c r="R349" i="1" s="1"/>
  <c r="L349" i="1"/>
  <c r="K349" i="1"/>
  <c r="N349" i="1" s="1"/>
  <c r="Q349" i="1" s="1"/>
  <c r="J349" i="1"/>
  <c r="I349" i="1"/>
  <c r="M349" i="1" s="1"/>
  <c r="S348" i="1"/>
  <c r="O348" i="1"/>
  <c r="P348" i="1" s="1"/>
  <c r="R348" i="1" s="1"/>
  <c r="L348" i="1"/>
  <c r="J348" i="1"/>
  <c r="I348" i="1"/>
  <c r="K348" i="1" s="1"/>
  <c r="N348" i="1" s="1"/>
  <c r="Q348" i="1" s="1"/>
  <c r="S347" i="1"/>
  <c r="L347" i="1"/>
  <c r="O347" i="1" s="1"/>
  <c r="P347" i="1" s="1"/>
  <c r="R347" i="1" s="1"/>
  <c r="J347" i="1"/>
  <c r="I347" i="1"/>
  <c r="K347" i="1" s="1"/>
  <c r="N347" i="1" s="1"/>
  <c r="Q347" i="1" s="1"/>
  <c r="S346" i="1"/>
  <c r="L346" i="1"/>
  <c r="O346" i="1" s="1"/>
  <c r="P346" i="1" s="1"/>
  <c r="R346" i="1" s="1"/>
  <c r="K346" i="1"/>
  <c r="N346" i="1" s="1"/>
  <c r="Q346" i="1" s="1"/>
  <c r="J346" i="1"/>
  <c r="I346" i="1"/>
  <c r="M346" i="1" s="1"/>
  <c r="S345" i="1"/>
  <c r="O345" i="1"/>
  <c r="P345" i="1" s="1"/>
  <c r="R345" i="1" s="1"/>
  <c r="L345" i="1"/>
  <c r="K345" i="1"/>
  <c r="N345" i="1" s="1"/>
  <c r="Q345" i="1" s="1"/>
  <c r="J345" i="1"/>
  <c r="I345" i="1"/>
  <c r="M345" i="1" s="1"/>
  <c r="S344" i="1"/>
  <c r="O344" i="1"/>
  <c r="P344" i="1" s="1"/>
  <c r="R344" i="1" s="1"/>
  <c r="L344" i="1"/>
  <c r="J344" i="1"/>
  <c r="I344" i="1"/>
  <c r="K344" i="1" s="1"/>
  <c r="N344" i="1" s="1"/>
  <c r="Q344" i="1" s="1"/>
  <c r="S343" i="1"/>
  <c r="L343" i="1"/>
  <c r="O343" i="1" s="1"/>
  <c r="P343" i="1" s="1"/>
  <c r="R343" i="1" s="1"/>
  <c r="J343" i="1"/>
  <c r="I343" i="1"/>
  <c r="K343" i="1" s="1"/>
  <c r="N343" i="1" s="1"/>
  <c r="Q343" i="1" s="1"/>
  <c r="S342" i="1"/>
  <c r="L342" i="1"/>
  <c r="O342" i="1" s="1"/>
  <c r="P342" i="1" s="1"/>
  <c r="R342" i="1" s="1"/>
  <c r="K342" i="1"/>
  <c r="N342" i="1" s="1"/>
  <c r="Q342" i="1" s="1"/>
  <c r="J342" i="1"/>
  <c r="I342" i="1"/>
  <c r="M342" i="1" s="1"/>
  <c r="S341" i="1"/>
  <c r="O341" i="1"/>
  <c r="P341" i="1" s="1"/>
  <c r="R341" i="1" s="1"/>
  <c r="L341" i="1"/>
  <c r="K341" i="1"/>
  <c r="N341" i="1" s="1"/>
  <c r="Q341" i="1" s="1"/>
  <c r="J341" i="1"/>
  <c r="I341" i="1"/>
  <c r="M341" i="1" s="1"/>
  <c r="S340" i="1"/>
  <c r="O340" i="1"/>
  <c r="P340" i="1" s="1"/>
  <c r="R340" i="1" s="1"/>
  <c r="L340" i="1"/>
  <c r="J340" i="1"/>
  <c r="I340" i="1"/>
  <c r="K340" i="1" s="1"/>
  <c r="N340" i="1" s="1"/>
  <c r="Q340" i="1" s="1"/>
  <c r="S339" i="1"/>
  <c r="L339" i="1"/>
  <c r="O339" i="1" s="1"/>
  <c r="P339" i="1" s="1"/>
  <c r="R339" i="1" s="1"/>
  <c r="J339" i="1"/>
  <c r="I339" i="1"/>
  <c r="K339" i="1" s="1"/>
  <c r="N339" i="1" s="1"/>
  <c r="Q339" i="1" s="1"/>
  <c r="S338" i="1"/>
  <c r="L338" i="1"/>
  <c r="O338" i="1" s="1"/>
  <c r="P338" i="1" s="1"/>
  <c r="R338" i="1" s="1"/>
  <c r="K338" i="1"/>
  <c r="N338" i="1" s="1"/>
  <c r="Q338" i="1" s="1"/>
  <c r="J338" i="1"/>
  <c r="I338" i="1"/>
  <c r="M338" i="1" s="1"/>
  <c r="S337" i="1"/>
  <c r="O337" i="1"/>
  <c r="P337" i="1" s="1"/>
  <c r="R337" i="1" s="1"/>
  <c r="L337" i="1"/>
  <c r="K337" i="1"/>
  <c r="N337" i="1" s="1"/>
  <c r="Q337" i="1" s="1"/>
  <c r="J337" i="1"/>
  <c r="I337" i="1"/>
  <c r="M337" i="1" s="1"/>
  <c r="S336" i="1"/>
  <c r="O336" i="1"/>
  <c r="P336" i="1" s="1"/>
  <c r="R336" i="1" s="1"/>
  <c r="L336" i="1"/>
  <c r="J336" i="1"/>
  <c r="I336" i="1"/>
  <c r="K336" i="1" s="1"/>
  <c r="N336" i="1" s="1"/>
  <c r="Q336" i="1" s="1"/>
  <c r="S335" i="1"/>
  <c r="L335" i="1"/>
  <c r="O335" i="1" s="1"/>
  <c r="P335" i="1" s="1"/>
  <c r="R335" i="1" s="1"/>
  <c r="J335" i="1"/>
  <c r="I335" i="1"/>
  <c r="K335" i="1" s="1"/>
  <c r="N335" i="1" s="1"/>
  <c r="Q335" i="1" s="1"/>
  <c r="S334" i="1"/>
  <c r="L334" i="1"/>
  <c r="O334" i="1" s="1"/>
  <c r="P334" i="1" s="1"/>
  <c r="R334" i="1" s="1"/>
  <c r="K334" i="1"/>
  <c r="N334" i="1" s="1"/>
  <c r="Q334" i="1" s="1"/>
  <c r="J334" i="1"/>
  <c r="I334" i="1"/>
  <c r="M334" i="1" s="1"/>
  <c r="S333" i="1"/>
  <c r="O333" i="1"/>
  <c r="P333" i="1" s="1"/>
  <c r="R333" i="1" s="1"/>
  <c r="L333" i="1"/>
  <c r="K333" i="1"/>
  <c r="N333" i="1" s="1"/>
  <c r="Q333" i="1" s="1"/>
  <c r="J333" i="1"/>
  <c r="I333" i="1"/>
  <c r="M333" i="1" s="1"/>
  <c r="S332" i="1"/>
  <c r="O332" i="1"/>
  <c r="P332" i="1" s="1"/>
  <c r="R332" i="1" s="1"/>
  <c r="L332" i="1"/>
  <c r="J332" i="1"/>
  <c r="I332" i="1"/>
  <c r="K332" i="1" s="1"/>
  <c r="N332" i="1" s="1"/>
  <c r="Q332" i="1" s="1"/>
  <c r="S331" i="1"/>
  <c r="L331" i="1"/>
  <c r="O331" i="1" s="1"/>
  <c r="P331" i="1" s="1"/>
  <c r="R331" i="1" s="1"/>
  <c r="J331" i="1"/>
  <c r="I331" i="1"/>
  <c r="K331" i="1" s="1"/>
  <c r="N331" i="1" s="1"/>
  <c r="Q331" i="1" s="1"/>
  <c r="S330" i="1"/>
  <c r="L330" i="1"/>
  <c r="O330" i="1" s="1"/>
  <c r="P330" i="1" s="1"/>
  <c r="R330" i="1" s="1"/>
  <c r="K330" i="1"/>
  <c r="N330" i="1" s="1"/>
  <c r="Q330" i="1" s="1"/>
  <c r="J330" i="1"/>
  <c r="I330" i="1"/>
  <c r="M330" i="1" s="1"/>
  <c r="S329" i="1"/>
  <c r="O329" i="1"/>
  <c r="P329" i="1" s="1"/>
  <c r="R329" i="1" s="1"/>
  <c r="L329" i="1"/>
  <c r="K329" i="1"/>
  <c r="N329" i="1" s="1"/>
  <c r="Q329" i="1" s="1"/>
  <c r="J329" i="1"/>
  <c r="I329" i="1"/>
  <c r="M329" i="1" s="1"/>
  <c r="S328" i="1"/>
  <c r="O328" i="1"/>
  <c r="P328" i="1" s="1"/>
  <c r="R328" i="1" s="1"/>
  <c r="L328" i="1"/>
  <c r="J328" i="1"/>
  <c r="I328" i="1"/>
  <c r="K328" i="1" s="1"/>
  <c r="N328" i="1" s="1"/>
  <c r="Q328" i="1" s="1"/>
  <c r="S327" i="1"/>
  <c r="L327" i="1"/>
  <c r="O327" i="1" s="1"/>
  <c r="P327" i="1" s="1"/>
  <c r="R327" i="1" s="1"/>
  <c r="J327" i="1"/>
  <c r="I327" i="1"/>
  <c r="K327" i="1" s="1"/>
  <c r="N327" i="1" s="1"/>
  <c r="Q327" i="1" s="1"/>
  <c r="S326" i="1"/>
  <c r="L326" i="1"/>
  <c r="O326" i="1" s="1"/>
  <c r="P326" i="1" s="1"/>
  <c r="R326" i="1" s="1"/>
  <c r="K326" i="1"/>
  <c r="N326" i="1" s="1"/>
  <c r="Q326" i="1" s="1"/>
  <c r="J326" i="1"/>
  <c r="I326" i="1"/>
  <c r="M326" i="1" s="1"/>
  <c r="S325" i="1"/>
  <c r="O325" i="1"/>
  <c r="P325" i="1" s="1"/>
  <c r="R325" i="1" s="1"/>
  <c r="L325" i="1"/>
  <c r="K325" i="1"/>
  <c r="N325" i="1" s="1"/>
  <c r="Q325" i="1" s="1"/>
  <c r="J325" i="1"/>
  <c r="I325" i="1"/>
  <c r="M325" i="1" s="1"/>
  <c r="S324" i="1"/>
  <c r="O324" i="1"/>
  <c r="P324" i="1" s="1"/>
  <c r="R324" i="1" s="1"/>
  <c r="L324" i="1"/>
  <c r="J324" i="1"/>
  <c r="I324" i="1"/>
  <c r="K324" i="1" s="1"/>
  <c r="N324" i="1" s="1"/>
  <c r="Q324" i="1" s="1"/>
  <c r="S323" i="1"/>
  <c r="L323" i="1"/>
  <c r="O323" i="1" s="1"/>
  <c r="P323" i="1" s="1"/>
  <c r="R323" i="1" s="1"/>
  <c r="J323" i="1"/>
  <c r="I323" i="1"/>
  <c r="K323" i="1" s="1"/>
  <c r="N323" i="1" s="1"/>
  <c r="Q323" i="1" s="1"/>
  <c r="S322" i="1"/>
  <c r="L322" i="1"/>
  <c r="O322" i="1" s="1"/>
  <c r="P322" i="1" s="1"/>
  <c r="R322" i="1" s="1"/>
  <c r="K322" i="1"/>
  <c r="N322" i="1" s="1"/>
  <c r="Q322" i="1" s="1"/>
  <c r="J322" i="1"/>
  <c r="I322" i="1"/>
  <c r="M322" i="1" s="1"/>
  <c r="S321" i="1"/>
  <c r="O321" i="1"/>
  <c r="P321" i="1" s="1"/>
  <c r="R321" i="1" s="1"/>
  <c r="L321" i="1"/>
  <c r="K321" i="1"/>
  <c r="N321" i="1" s="1"/>
  <c r="Q321" i="1" s="1"/>
  <c r="J321" i="1"/>
  <c r="I321" i="1"/>
  <c r="M321" i="1" s="1"/>
  <c r="S320" i="1"/>
  <c r="O320" i="1"/>
  <c r="P320" i="1" s="1"/>
  <c r="R320" i="1" s="1"/>
  <c r="L320" i="1"/>
  <c r="J320" i="1"/>
  <c r="I320" i="1"/>
  <c r="K320" i="1" s="1"/>
  <c r="N320" i="1" s="1"/>
  <c r="Q320" i="1" s="1"/>
  <c r="S319" i="1"/>
  <c r="L319" i="1"/>
  <c r="O319" i="1" s="1"/>
  <c r="P319" i="1" s="1"/>
  <c r="R319" i="1" s="1"/>
  <c r="J319" i="1"/>
  <c r="I319" i="1"/>
  <c r="K319" i="1" s="1"/>
  <c r="N319" i="1" s="1"/>
  <c r="Q319" i="1" s="1"/>
  <c r="S318" i="1"/>
  <c r="L318" i="1"/>
  <c r="O318" i="1" s="1"/>
  <c r="P318" i="1" s="1"/>
  <c r="R318" i="1" s="1"/>
  <c r="K318" i="1"/>
  <c r="N318" i="1" s="1"/>
  <c r="Q318" i="1" s="1"/>
  <c r="J318" i="1"/>
  <c r="I318" i="1"/>
  <c r="M318" i="1" s="1"/>
  <c r="S317" i="1"/>
  <c r="O317" i="1"/>
  <c r="P317" i="1" s="1"/>
  <c r="R317" i="1" s="1"/>
  <c r="L317" i="1"/>
  <c r="K317" i="1"/>
  <c r="N317" i="1" s="1"/>
  <c r="Q317" i="1" s="1"/>
  <c r="J317" i="1"/>
  <c r="I317" i="1"/>
  <c r="M317" i="1" s="1"/>
  <c r="S316" i="1"/>
  <c r="O316" i="1"/>
  <c r="P316" i="1" s="1"/>
  <c r="R316" i="1" s="1"/>
  <c r="L316" i="1"/>
  <c r="J316" i="1"/>
  <c r="I316" i="1"/>
  <c r="K316" i="1" s="1"/>
  <c r="N316" i="1" s="1"/>
  <c r="Q316" i="1" s="1"/>
  <c r="S315" i="1"/>
  <c r="L315" i="1"/>
  <c r="O315" i="1" s="1"/>
  <c r="P315" i="1" s="1"/>
  <c r="R315" i="1" s="1"/>
  <c r="J315" i="1"/>
  <c r="I315" i="1"/>
  <c r="K315" i="1" s="1"/>
  <c r="N315" i="1" s="1"/>
  <c r="Q315" i="1" s="1"/>
  <c r="S314" i="1"/>
  <c r="L314" i="1"/>
  <c r="O314" i="1" s="1"/>
  <c r="P314" i="1" s="1"/>
  <c r="R314" i="1" s="1"/>
  <c r="K314" i="1"/>
  <c r="N314" i="1" s="1"/>
  <c r="Q314" i="1" s="1"/>
  <c r="J314" i="1"/>
  <c r="I314" i="1"/>
  <c r="M314" i="1" s="1"/>
  <c r="S313" i="1"/>
  <c r="O313" i="1"/>
  <c r="P313" i="1" s="1"/>
  <c r="R313" i="1" s="1"/>
  <c r="L313" i="1"/>
  <c r="K313" i="1"/>
  <c r="N313" i="1" s="1"/>
  <c r="Q313" i="1" s="1"/>
  <c r="J313" i="1"/>
  <c r="I313" i="1"/>
  <c r="M313" i="1" s="1"/>
  <c r="S312" i="1"/>
  <c r="O312" i="1"/>
  <c r="P312" i="1" s="1"/>
  <c r="R312" i="1" s="1"/>
  <c r="L312" i="1"/>
  <c r="J312" i="1"/>
  <c r="I312" i="1"/>
  <c r="K312" i="1" s="1"/>
  <c r="N312" i="1" s="1"/>
  <c r="Q312" i="1" s="1"/>
  <c r="S311" i="1"/>
  <c r="L311" i="1"/>
  <c r="O311" i="1" s="1"/>
  <c r="P311" i="1" s="1"/>
  <c r="R311" i="1" s="1"/>
  <c r="J311" i="1"/>
  <c r="I311" i="1"/>
  <c r="K311" i="1" s="1"/>
  <c r="N311" i="1" s="1"/>
  <c r="Q311" i="1" s="1"/>
  <c r="S310" i="1"/>
  <c r="L310" i="1"/>
  <c r="O310" i="1" s="1"/>
  <c r="P310" i="1" s="1"/>
  <c r="R310" i="1" s="1"/>
  <c r="K310" i="1"/>
  <c r="N310" i="1" s="1"/>
  <c r="Q310" i="1" s="1"/>
  <c r="J310" i="1"/>
  <c r="I310" i="1"/>
  <c r="M310" i="1" s="1"/>
  <c r="S309" i="1"/>
  <c r="O309" i="1"/>
  <c r="P309" i="1" s="1"/>
  <c r="R309" i="1" s="1"/>
  <c r="L309" i="1"/>
  <c r="K309" i="1"/>
  <c r="N309" i="1" s="1"/>
  <c r="Q309" i="1" s="1"/>
  <c r="J309" i="1"/>
  <c r="I309" i="1"/>
  <c r="M309" i="1" s="1"/>
  <c r="S308" i="1"/>
  <c r="O308" i="1"/>
  <c r="P308" i="1" s="1"/>
  <c r="R308" i="1" s="1"/>
  <c r="L308" i="1"/>
  <c r="J308" i="1"/>
  <c r="I308" i="1"/>
  <c r="K308" i="1" s="1"/>
  <c r="N308" i="1" s="1"/>
  <c r="Q308" i="1" s="1"/>
  <c r="S307" i="1"/>
  <c r="L307" i="1"/>
  <c r="O307" i="1" s="1"/>
  <c r="P307" i="1" s="1"/>
  <c r="R307" i="1" s="1"/>
  <c r="J307" i="1"/>
  <c r="I307" i="1"/>
  <c r="K307" i="1" s="1"/>
  <c r="N307" i="1" s="1"/>
  <c r="Q307" i="1" s="1"/>
  <c r="S306" i="1"/>
  <c r="L306" i="1"/>
  <c r="O306" i="1" s="1"/>
  <c r="P306" i="1" s="1"/>
  <c r="R306" i="1" s="1"/>
  <c r="K306" i="1"/>
  <c r="N306" i="1" s="1"/>
  <c r="Q306" i="1" s="1"/>
  <c r="J306" i="1"/>
  <c r="I306" i="1"/>
  <c r="M306" i="1" s="1"/>
  <c r="S305" i="1"/>
  <c r="O305" i="1"/>
  <c r="P305" i="1" s="1"/>
  <c r="R305" i="1" s="1"/>
  <c r="L305" i="1"/>
  <c r="K305" i="1"/>
  <c r="N305" i="1" s="1"/>
  <c r="Q305" i="1" s="1"/>
  <c r="J305" i="1"/>
  <c r="I305" i="1"/>
  <c r="M305" i="1" s="1"/>
  <c r="S304" i="1"/>
  <c r="O304" i="1"/>
  <c r="P304" i="1" s="1"/>
  <c r="R304" i="1" s="1"/>
  <c r="L304" i="1"/>
  <c r="J304" i="1"/>
  <c r="I304" i="1"/>
  <c r="K304" i="1" s="1"/>
  <c r="N304" i="1" s="1"/>
  <c r="Q304" i="1" s="1"/>
  <c r="S303" i="1"/>
  <c r="L303" i="1"/>
  <c r="O303" i="1" s="1"/>
  <c r="P303" i="1" s="1"/>
  <c r="R303" i="1" s="1"/>
  <c r="J303" i="1"/>
  <c r="I303" i="1"/>
  <c r="K303" i="1" s="1"/>
  <c r="N303" i="1" s="1"/>
  <c r="Q303" i="1" s="1"/>
  <c r="S302" i="1"/>
  <c r="L302" i="1"/>
  <c r="O302" i="1" s="1"/>
  <c r="P302" i="1" s="1"/>
  <c r="R302" i="1" s="1"/>
  <c r="K302" i="1"/>
  <c r="N302" i="1" s="1"/>
  <c r="Q302" i="1" s="1"/>
  <c r="J302" i="1"/>
  <c r="I302" i="1"/>
  <c r="M302" i="1" s="1"/>
  <c r="S301" i="1"/>
  <c r="O301" i="1"/>
  <c r="P301" i="1" s="1"/>
  <c r="R301" i="1" s="1"/>
  <c r="L301" i="1"/>
  <c r="K301" i="1"/>
  <c r="N301" i="1" s="1"/>
  <c r="Q301" i="1" s="1"/>
  <c r="J301" i="1"/>
  <c r="I301" i="1"/>
  <c r="M301" i="1" s="1"/>
  <c r="S300" i="1"/>
  <c r="O300" i="1"/>
  <c r="P300" i="1" s="1"/>
  <c r="R300" i="1" s="1"/>
  <c r="L300" i="1"/>
  <c r="J300" i="1"/>
  <c r="I300" i="1"/>
  <c r="K300" i="1" s="1"/>
  <c r="N300" i="1" s="1"/>
  <c r="Q300" i="1" s="1"/>
  <c r="S299" i="1"/>
  <c r="L299" i="1"/>
  <c r="O299" i="1" s="1"/>
  <c r="P299" i="1" s="1"/>
  <c r="R299" i="1" s="1"/>
  <c r="J299" i="1"/>
  <c r="I299" i="1"/>
  <c r="K299" i="1" s="1"/>
  <c r="N299" i="1" s="1"/>
  <c r="Q299" i="1" s="1"/>
  <c r="S298" i="1"/>
  <c r="L298" i="1"/>
  <c r="O298" i="1" s="1"/>
  <c r="P298" i="1" s="1"/>
  <c r="R298" i="1" s="1"/>
  <c r="K298" i="1"/>
  <c r="N298" i="1" s="1"/>
  <c r="Q298" i="1" s="1"/>
  <c r="J298" i="1"/>
  <c r="I298" i="1"/>
  <c r="M298" i="1" s="1"/>
  <c r="S297" i="1"/>
  <c r="O297" i="1"/>
  <c r="P297" i="1" s="1"/>
  <c r="R297" i="1" s="1"/>
  <c r="L297" i="1"/>
  <c r="K297" i="1"/>
  <c r="N297" i="1" s="1"/>
  <c r="Q297" i="1" s="1"/>
  <c r="J297" i="1"/>
  <c r="I297" i="1"/>
  <c r="M297" i="1" s="1"/>
  <c r="S296" i="1"/>
  <c r="O296" i="1"/>
  <c r="P296" i="1" s="1"/>
  <c r="R296" i="1" s="1"/>
  <c r="L296" i="1"/>
  <c r="J296" i="1"/>
  <c r="I296" i="1"/>
  <c r="K296" i="1" s="1"/>
  <c r="N296" i="1" s="1"/>
  <c r="Q296" i="1" s="1"/>
  <c r="S295" i="1"/>
  <c r="L295" i="1"/>
  <c r="O295" i="1" s="1"/>
  <c r="P295" i="1" s="1"/>
  <c r="R295" i="1" s="1"/>
  <c r="J295" i="1"/>
  <c r="I295" i="1"/>
  <c r="K295" i="1" s="1"/>
  <c r="N295" i="1" s="1"/>
  <c r="Q295" i="1" s="1"/>
  <c r="S294" i="1"/>
  <c r="L294" i="1"/>
  <c r="O294" i="1" s="1"/>
  <c r="P294" i="1" s="1"/>
  <c r="R294" i="1" s="1"/>
  <c r="K294" i="1"/>
  <c r="N294" i="1" s="1"/>
  <c r="Q294" i="1" s="1"/>
  <c r="J294" i="1"/>
  <c r="I294" i="1"/>
  <c r="M294" i="1" s="1"/>
  <c r="S293" i="1"/>
  <c r="O293" i="1"/>
  <c r="P293" i="1" s="1"/>
  <c r="R293" i="1" s="1"/>
  <c r="L293" i="1"/>
  <c r="K293" i="1"/>
  <c r="N293" i="1" s="1"/>
  <c r="Q293" i="1" s="1"/>
  <c r="J293" i="1"/>
  <c r="I293" i="1"/>
  <c r="M293" i="1" s="1"/>
  <c r="S292" i="1"/>
  <c r="O292" i="1"/>
  <c r="P292" i="1" s="1"/>
  <c r="R292" i="1" s="1"/>
  <c r="L292" i="1"/>
  <c r="J292" i="1"/>
  <c r="I292" i="1"/>
  <c r="K292" i="1" s="1"/>
  <c r="N292" i="1" s="1"/>
  <c r="Q292" i="1" s="1"/>
  <c r="S291" i="1"/>
  <c r="L291" i="1"/>
  <c r="O291" i="1" s="1"/>
  <c r="P291" i="1" s="1"/>
  <c r="R291" i="1" s="1"/>
  <c r="J291" i="1"/>
  <c r="I291" i="1"/>
  <c r="K291" i="1" s="1"/>
  <c r="N291" i="1" s="1"/>
  <c r="Q291" i="1" s="1"/>
  <c r="S290" i="1"/>
  <c r="L290" i="1"/>
  <c r="O290" i="1" s="1"/>
  <c r="P290" i="1" s="1"/>
  <c r="R290" i="1" s="1"/>
  <c r="K290" i="1"/>
  <c r="N290" i="1" s="1"/>
  <c r="Q290" i="1" s="1"/>
  <c r="J290" i="1"/>
  <c r="I290" i="1"/>
  <c r="M290" i="1" s="1"/>
  <c r="S289" i="1"/>
  <c r="O289" i="1"/>
  <c r="P289" i="1" s="1"/>
  <c r="R289" i="1" s="1"/>
  <c r="L289" i="1"/>
  <c r="K289" i="1"/>
  <c r="N289" i="1" s="1"/>
  <c r="Q289" i="1" s="1"/>
  <c r="J289" i="1"/>
  <c r="I289" i="1"/>
  <c r="M289" i="1" s="1"/>
  <c r="S288" i="1"/>
  <c r="O288" i="1"/>
  <c r="P288" i="1" s="1"/>
  <c r="R288" i="1" s="1"/>
  <c r="L288" i="1"/>
  <c r="J288" i="1"/>
  <c r="I288" i="1"/>
  <c r="K288" i="1" s="1"/>
  <c r="N288" i="1" s="1"/>
  <c r="Q288" i="1" s="1"/>
  <c r="S287" i="1"/>
  <c r="L287" i="1"/>
  <c r="O287" i="1" s="1"/>
  <c r="P287" i="1" s="1"/>
  <c r="R287" i="1" s="1"/>
  <c r="J287" i="1"/>
  <c r="I287" i="1"/>
  <c r="K287" i="1" s="1"/>
  <c r="N287" i="1" s="1"/>
  <c r="Q287" i="1" s="1"/>
  <c r="S286" i="1"/>
  <c r="L286" i="1"/>
  <c r="O286" i="1" s="1"/>
  <c r="P286" i="1" s="1"/>
  <c r="R286" i="1" s="1"/>
  <c r="K286" i="1"/>
  <c r="N286" i="1" s="1"/>
  <c r="Q286" i="1" s="1"/>
  <c r="J286" i="1"/>
  <c r="I286" i="1"/>
  <c r="M286" i="1" s="1"/>
  <c r="S285" i="1"/>
  <c r="O285" i="1"/>
  <c r="P285" i="1" s="1"/>
  <c r="R285" i="1" s="1"/>
  <c r="L285" i="1"/>
  <c r="K285" i="1"/>
  <c r="N285" i="1" s="1"/>
  <c r="Q285" i="1" s="1"/>
  <c r="J285" i="1"/>
  <c r="I285" i="1"/>
  <c r="M285" i="1" s="1"/>
  <c r="S284" i="1"/>
  <c r="O284" i="1"/>
  <c r="P284" i="1" s="1"/>
  <c r="R284" i="1" s="1"/>
  <c r="L284" i="1"/>
  <c r="J284" i="1"/>
  <c r="I284" i="1"/>
  <c r="K284" i="1" s="1"/>
  <c r="N284" i="1" s="1"/>
  <c r="Q284" i="1" s="1"/>
  <c r="S283" i="1"/>
  <c r="L283" i="1"/>
  <c r="O283" i="1" s="1"/>
  <c r="P283" i="1" s="1"/>
  <c r="R283" i="1" s="1"/>
  <c r="J283" i="1"/>
  <c r="I283" i="1"/>
  <c r="K283" i="1" s="1"/>
  <c r="N283" i="1" s="1"/>
  <c r="Q283" i="1" s="1"/>
  <c r="S282" i="1"/>
  <c r="L282" i="1"/>
  <c r="O282" i="1" s="1"/>
  <c r="P282" i="1" s="1"/>
  <c r="R282" i="1" s="1"/>
  <c r="K282" i="1"/>
  <c r="N282" i="1" s="1"/>
  <c r="Q282" i="1" s="1"/>
  <c r="J282" i="1"/>
  <c r="I282" i="1"/>
  <c r="M282" i="1" s="1"/>
  <c r="S281" i="1"/>
  <c r="O281" i="1"/>
  <c r="P281" i="1" s="1"/>
  <c r="R281" i="1" s="1"/>
  <c r="L281" i="1"/>
  <c r="K281" i="1"/>
  <c r="N281" i="1" s="1"/>
  <c r="Q281" i="1" s="1"/>
  <c r="J281" i="1"/>
  <c r="I281" i="1"/>
  <c r="M281" i="1" s="1"/>
  <c r="S280" i="1"/>
  <c r="O280" i="1"/>
  <c r="P280" i="1" s="1"/>
  <c r="R280" i="1" s="1"/>
  <c r="L280" i="1"/>
  <c r="J280" i="1"/>
  <c r="I280" i="1"/>
  <c r="K280" i="1" s="1"/>
  <c r="N280" i="1" s="1"/>
  <c r="Q280" i="1" s="1"/>
  <c r="S279" i="1"/>
  <c r="L279" i="1"/>
  <c r="O279" i="1" s="1"/>
  <c r="P279" i="1" s="1"/>
  <c r="R279" i="1" s="1"/>
  <c r="J279" i="1"/>
  <c r="I279" i="1"/>
  <c r="K279" i="1" s="1"/>
  <c r="N279" i="1" s="1"/>
  <c r="Q279" i="1" s="1"/>
  <c r="S278" i="1"/>
  <c r="L278" i="1"/>
  <c r="O278" i="1" s="1"/>
  <c r="P278" i="1" s="1"/>
  <c r="R278" i="1" s="1"/>
  <c r="K278" i="1"/>
  <c r="N278" i="1" s="1"/>
  <c r="Q278" i="1" s="1"/>
  <c r="J278" i="1"/>
  <c r="I278" i="1"/>
  <c r="M278" i="1" s="1"/>
  <c r="S277" i="1"/>
  <c r="O277" i="1"/>
  <c r="P277" i="1" s="1"/>
  <c r="R277" i="1" s="1"/>
  <c r="L277" i="1"/>
  <c r="K277" i="1"/>
  <c r="N277" i="1" s="1"/>
  <c r="Q277" i="1" s="1"/>
  <c r="J277" i="1"/>
  <c r="I277" i="1"/>
  <c r="M277" i="1" s="1"/>
  <c r="S276" i="1"/>
  <c r="O276" i="1"/>
  <c r="P276" i="1" s="1"/>
  <c r="R276" i="1" s="1"/>
  <c r="L276" i="1"/>
  <c r="J276" i="1"/>
  <c r="I276" i="1"/>
  <c r="K276" i="1" s="1"/>
  <c r="N276" i="1" s="1"/>
  <c r="Q276" i="1" s="1"/>
  <c r="S275" i="1"/>
  <c r="L275" i="1"/>
  <c r="O275" i="1" s="1"/>
  <c r="P275" i="1" s="1"/>
  <c r="R275" i="1" s="1"/>
  <c r="J275" i="1"/>
  <c r="I275" i="1"/>
  <c r="K275" i="1" s="1"/>
  <c r="N275" i="1" s="1"/>
  <c r="Q275" i="1" s="1"/>
  <c r="S274" i="1"/>
  <c r="L274" i="1"/>
  <c r="O274" i="1" s="1"/>
  <c r="P274" i="1" s="1"/>
  <c r="R274" i="1" s="1"/>
  <c r="K274" i="1"/>
  <c r="N274" i="1" s="1"/>
  <c r="Q274" i="1" s="1"/>
  <c r="J274" i="1"/>
  <c r="I274" i="1"/>
  <c r="M274" i="1" s="1"/>
  <c r="S273" i="1"/>
  <c r="O273" i="1"/>
  <c r="P273" i="1" s="1"/>
  <c r="R273" i="1" s="1"/>
  <c r="L273" i="1"/>
  <c r="K273" i="1"/>
  <c r="N273" i="1" s="1"/>
  <c r="Q273" i="1" s="1"/>
  <c r="J273" i="1"/>
  <c r="I273" i="1"/>
  <c r="M273" i="1" s="1"/>
  <c r="S272" i="1"/>
  <c r="O272" i="1"/>
  <c r="P272" i="1" s="1"/>
  <c r="R272" i="1" s="1"/>
  <c r="L272" i="1"/>
  <c r="J272" i="1"/>
  <c r="I272" i="1"/>
  <c r="K272" i="1" s="1"/>
  <c r="N272" i="1" s="1"/>
  <c r="Q272" i="1" s="1"/>
  <c r="S271" i="1"/>
  <c r="L271" i="1"/>
  <c r="O271" i="1" s="1"/>
  <c r="P271" i="1" s="1"/>
  <c r="R271" i="1" s="1"/>
  <c r="J271" i="1"/>
  <c r="I271" i="1"/>
  <c r="K271" i="1" s="1"/>
  <c r="N271" i="1" s="1"/>
  <c r="Q271" i="1" s="1"/>
  <c r="S270" i="1"/>
  <c r="L270" i="1"/>
  <c r="O270" i="1" s="1"/>
  <c r="P270" i="1" s="1"/>
  <c r="R270" i="1" s="1"/>
  <c r="K270" i="1"/>
  <c r="N270" i="1" s="1"/>
  <c r="Q270" i="1" s="1"/>
  <c r="J270" i="1"/>
  <c r="I270" i="1"/>
  <c r="M270" i="1" s="1"/>
  <c r="S269" i="1"/>
  <c r="O269" i="1"/>
  <c r="P269" i="1" s="1"/>
  <c r="R269" i="1" s="1"/>
  <c r="L269" i="1"/>
  <c r="K269" i="1"/>
  <c r="N269" i="1" s="1"/>
  <c r="Q269" i="1" s="1"/>
  <c r="J269" i="1"/>
  <c r="I269" i="1"/>
  <c r="M269" i="1" s="1"/>
  <c r="S268" i="1"/>
  <c r="O268" i="1"/>
  <c r="P268" i="1" s="1"/>
  <c r="R268" i="1" s="1"/>
  <c r="L268" i="1"/>
  <c r="J268" i="1"/>
  <c r="I268" i="1"/>
  <c r="K268" i="1" s="1"/>
  <c r="N268" i="1" s="1"/>
  <c r="Q268" i="1" s="1"/>
  <c r="S267" i="1"/>
  <c r="L267" i="1"/>
  <c r="O267" i="1" s="1"/>
  <c r="P267" i="1" s="1"/>
  <c r="R267" i="1" s="1"/>
  <c r="J267" i="1"/>
  <c r="I267" i="1"/>
  <c r="K267" i="1" s="1"/>
  <c r="N267" i="1" s="1"/>
  <c r="Q267" i="1" s="1"/>
  <c r="S266" i="1"/>
  <c r="L266" i="1"/>
  <c r="O266" i="1" s="1"/>
  <c r="P266" i="1" s="1"/>
  <c r="R266" i="1" s="1"/>
  <c r="K266" i="1"/>
  <c r="N266" i="1" s="1"/>
  <c r="Q266" i="1" s="1"/>
  <c r="J266" i="1"/>
  <c r="I266" i="1"/>
  <c r="M266" i="1" s="1"/>
  <c r="S265" i="1"/>
  <c r="O265" i="1"/>
  <c r="P265" i="1" s="1"/>
  <c r="R265" i="1" s="1"/>
  <c r="L265" i="1"/>
  <c r="K265" i="1"/>
  <c r="N265" i="1" s="1"/>
  <c r="Q265" i="1" s="1"/>
  <c r="J265" i="1"/>
  <c r="I265" i="1"/>
  <c r="M265" i="1" s="1"/>
  <c r="S264" i="1"/>
  <c r="O264" i="1"/>
  <c r="P264" i="1" s="1"/>
  <c r="R264" i="1" s="1"/>
  <c r="L264" i="1"/>
  <c r="J264" i="1"/>
  <c r="I264" i="1"/>
  <c r="K264" i="1" s="1"/>
  <c r="N264" i="1" s="1"/>
  <c r="Q264" i="1" s="1"/>
  <c r="S263" i="1"/>
  <c r="L263" i="1"/>
  <c r="O263" i="1" s="1"/>
  <c r="P263" i="1" s="1"/>
  <c r="R263" i="1" s="1"/>
  <c r="J263" i="1"/>
  <c r="I263" i="1"/>
  <c r="K263" i="1" s="1"/>
  <c r="N263" i="1" s="1"/>
  <c r="Q263" i="1" s="1"/>
  <c r="S262" i="1"/>
  <c r="L262" i="1"/>
  <c r="O262" i="1" s="1"/>
  <c r="P262" i="1" s="1"/>
  <c r="R262" i="1" s="1"/>
  <c r="K262" i="1"/>
  <c r="N262" i="1" s="1"/>
  <c r="Q262" i="1" s="1"/>
  <c r="J262" i="1"/>
  <c r="I262" i="1"/>
  <c r="M262" i="1" s="1"/>
  <c r="S261" i="1"/>
  <c r="O261" i="1"/>
  <c r="P261" i="1" s="1"/>
  <c r="R261" i="1" s="1"/>
  <c r="L261" i="1"/>
  <c r="K261" i="1"/>
  <c r="N261" i="1" s="1"/>
  <c r="Q261" i="1" s="1"/>
  <c r="J261" i="1"/>
  <c r="I261" i="1"/>
  <c r="M261" i="1" s="1"/>
  <c r="S260" i="1"/>
  <c r="O260" i="1"/>
  <c r="P260" i="1" s="1"/>
  <c r="R260" i="1" s="1"/>
  <c r="L260" i="1"/>
  <c r="J260" i="1"/>
  <c r="I260" i="1"/>
  <c r="K260" i="1" s="1"/>
  <c r="N260" i="1" s="1"/>
  <c r="Q260" i="1" s="1"/>
  <c r="S259" i="1"/>
  <c r="L259" i="1"/>
  <c r="O259" i="1" s="1"/>
  <c r="P259" i="1" s="1"/>
  <c r="R259" i="1" s="1"/>
  <c r="J259" i="1"/>
  <c r="I259" i="1"/>
  <c r="K259" i="1" s="1"/>
  <c r="N259" i="1" s="1"/>
  <c r="Q259" i="1" s="1"/>
  <c r="S258" i="1"/>
  <c r="L258" i="1"/>
  <c r="O258" i="1" s="1"/>
  <c r="P258" i="1" s="1"/>
  <c r="R258" i="1" s="1"/>
  <c r="K258" i="1"/>
  <c r="N258" i="1" s="1"/>
  <c r="Q258" i="1" s="1"/>
  <c r="J258" i="1"/>
  <c r="I258" i="1"/>
  <c r="M258" i="1" s="1"/>
  <c r="S257" i="1"/>
  <c r="O257" i="1"/>
  <c r="P257" i="1" s="1"/>
  <c r="R257" i="1" s="1"/>
  <c r="L257" i="1"/>
  <c r="K257" i="1"/>
  <c r="N257" i="1" s="1"/>
  <c r="Q257" i="1" s="1"/>
  <c r="J257" i="1"/>
  <c r="I257" i="1"/>
  <c r="M257" i="1" s="1"/>
  <c r="S256" i="1"/>
  <c r="O256" i="1"/>
  <c r="P256" i="1" s="1"/>
  <c r="R256" i="1" s="1"/>
  <c r="L256" i="1"/>
  <c r="J256" i="1"/>
  <c r="I256" i="1"/>
  <c r="K256" i="1" s="1"/>
  <c r="N256" i="1" s="1"/>
  <c r="Q256" i="1" s="1"/>
  <c r="S255" i="1"/>
  <c r="L255" i="1"/>
  <c r="O255" i="1" s="1"/>
  <c r="P255" i="1" s="1"/>
  <c r="R255" i="1" s="1"/>
  <c r="J255" i="1"/>
  <c r="I255" i="1"/>
  <c r="K255" i="1" s="1"/>
  <c r="N255" i="1" s="1"/>
  <c r="Q255" i="1" s="1"/>
  <c r="S254" i="1"/>
  <c r="L254" i="1"/>
  <c r="O254" i="1" s="1"/>
  <c r="P254" i="1" s="1"/>
  <c r="R254" i="1" s="1"/>
  <c r="K254" i="1"/>
  <c r="N254" i="1" s="1"/>
  <c r="Q254" i="1" s="1"/>
  <c r="J254" i="1"/>
  <c r="I254" i="1"/>
  <c r="M254" i="1" s="1"/>
  <c r="S253" i="1"/>
  <c r="O253" i="1"/>
  <c r="P253" i="1" s="1"/>
  <c r="R253" i="1" s="1"/>
  <c r="L253" i="1"/>
  <c r="K253" i="1"/>
  <c r="N253" i="1" s="1"/>
  <c r="Q253" i="1" s="1"/>
  <c r="J253" i="1"/>
  <c r="I253" i="1"/>
  <c r="M253" i="1" s="1"/>
  <c r="S252" i="1"/>
  <c r="O252" i="1"/>
  <c r="P252" i="1" s="1"/>
  <c r="R252" i="1" s="1"/>
  <c r="L252" i="1"/>
  <c r="J252" i="1"/>
  <c r="I252" i="1"/>
  <c r="K252" i="1" s="1"/>
  <c r="N252" i="1" s="1"/>
  <c r="Q252" i="1" s="1"/>
  <c r="S251" i="1"/>
  <c r="L251" i="1"/>
  <c r="O251" i="1" s="1"/>
  <c r="P251" i="1" s="1"/>
  <c r="R251" i="1" s="1"/>
  <c r="J251" i="1"/>
  <c r="I251" i="1"/>
  <c r="K251" i="1" s="1"/>
  <c r="N251" i="1" s="1"/>
  <c r="Q251" i="1" s="1"/>
  <c r="S250" i="1"/>
  <c r="L250" i="1"/>
  <c r="O250" i="1" s="1"/>
  <c r="P250" i="1" s="1"/>
  <c r="R250" i="1" s="1"/>
  <c r="K250" i="1"/>
  <c r="N250" i="1" s="1"/>
  <c r="Q250" i="1" s="1"/>
  <c r="J250" i="1"/>
  <c r="I250" i="1"/>
  <c r="M250" i="1" s="1"/>
  <c r="S249" i="1"/>
  <c r="O249" i="1"/>
  <c r="P249" i="1" s="1"/>
  <c r="R249" i="1" s="1"/>
  <c r="L249" i="1"/>
  <c r="K249" i="1"/>
  <c r="N249" i="1" s="1"/>
  <c r="Q249" i="1" s="1"/>
  <c r="J249" i="1"/>
  <c r="I249" i="1"/>
  <c r="M249" i="1" s="1"/>
  <c r="S248" i="1"/>
  <c r="O248" i="1"/>
  <c r="P248" i="1" s="1"/>
  <c r="R248" i="1" s="1"/>
  <c r="L248" i="1"/>
  <c r="J248" i="1"/>
  <c r="I248" i="1"/>
  <c r="K248" i="1" s="1"/>
  <c r="N248" i="1" s="1"/>
  <c r="Q248" i="1" s="1"/>
  <c r="S247" i="1"/>
  <c r="L247" i="1"/>
  <c r="O247" i="1" s="1"/>
  <c r="P247" i="1" s="1"/>
  <c r="R247" i="1" s="1"/>
  <c r="J247" i="1"/>
  <c r="I247" i="1"/>
  <c r="K247" i="1" s="1"/>
  <c r="N247" i="1" s="1"/>
  <c r="Q247" i="1" s="1"/>
  <c r="S246" i="1"/>
  <c r="L246" i="1"/>
  <c r="O246" i="1" s="1"/>
  <c r="P246" i="1" s="1"/>
  <c r="R246" i="1" s="1"/>
  <c r="K246" i="1"/>
  <c r="N246" i="1" s="1"/>
  <c r="Q246" i="1" s="1"/>
  <c r="J246" i="1"/>
  <c r="I246" i="1"/>
  <c r="M246" i="1" s="1"/>
  <c r="S245" i="1"/>
  <c r="O245" i="1"/>
  <c r="P245" i="1" s="1"/>
  <c r="R245" i="1" s="1"/>
  <c r="L245" i="1"/>
  <c r="K245" i="1"/>
  <c r="N245" i="1" s="1"/>
  <c r="Q245" i="1" s="1"/>
  <c r="J245" i="1"/>
  <c r="I245" i="1"/>
  <c r="M245" i="1" s="1"/>
  <c r="S244" i="1"/>
  <c r="O244" i="1"/>
  <c r="P244" i="1" s="1"/>
  <c r="R244" i="1" s="1"/>
  <c r="L244" i="1"/>
  <c r="J244" i="1"/>
  <c r="I244" i="1"/>
  <c r="K244" i="1" s="1"/>
  <c r="N244" i="1" s="1"/>
  <c r="Q244" i="1" s="1"/>
  <c r="S243" i="1"/>
  <c r="L243" i="1"/>
  <c r="O243" i="1" s="1"/>
  <c r="P243" i="1" s="1"/>
  <c r="R243" i="1" s="1"/>
  <c r="J243" i="1"/>
  <c r="I243" i="1"/>
  <c r="K243" i="1" s="1"/>
  <c r="S242" i="1"/>
  <c r="L242" i="1"/>
  <c r="N242" i="1" s="1"/>
  <c r="Q242" i="1" s="1"/>
  <c r="K242" i="1"/>
  <c r="J242" i="1"/>
  <c r="I242" i="1"/>
  <c r="M242" i="1" s="1"/>
  <c r="S241" i="1"/>
  <c r="O241" i="1"/>
  <c r="P241" i="1" s="1"/>
  <c r="R241" i="1" s="1"/>
  <c r="L241" i="1"/>
  <c r="K241" i="1"/>
  <c r="N241" i="1" s="1"/>
  <c r="Q241" i="1" s="1"/>
  <c r="J241" i="1"/>
  <c r="I241" i="1"/>
  <c r="M241" i="1" s="1"/>
  <c r="S240" i="1"/>
  <c r="O240" i="1"/>
  <c r="P240" i="1" s="1"/>
  <c r="R240" i="1" s="1"/>
  <c r="L240" i="1"/>
  <c r="J240" i="1"/>
  <c r="I240" i="1"/>
  <c r="K240" i="1" s="1"/>
  <c r="N240" i="1" s="1"/>
  <c r="Q240" i="1" s="1"/>
  <c r="S239" i="1"/>
  <c r="L239" i="1"/>
  <c r="O239" i="1" s="1"/>
  <c r="P239" i="1" s="1"/>
  <c r="R239" i="1" s="1"/>
  <c r="J239" i="1"/>
  <c r="I239" i="1"/>
  <c r="K239" i="1" s="1"/>
  <c r="S238" i="1"/>
  <c r="L238" i="1"/>
  <c r="N238" i="1" s="1"/>
  <c r="Q238" i="1" s="1"/>
  <c r="K238" i="1"/>
  <c r="J238" i="1"/>
  <c r="I238" i="1"/>
  <c r="M238" i="1" s="1"/>
  <c r="S237" i="1"/>
  <c r="O237" i="1"/>
  <c r="P237" i="1" s="1"/>
  <c r="R237" i="1" s="1"/>
  <c r="L237" i="1"/>
  <c r="K237" i="1"/>
  <c r="N237" i="1" s="1"/>
  <c r="Q237" i="1" s="1"/>
  <c r="J237" i="1"/>
  <c r="I237" i="1"/>
  <c r="M237" i="1" s="1"/>
  <c r="S236" i="1"/>
  <c r="O236" i="1"/>
  <c r="P236" i="1" s="1"/>
  <c r="R236" i="1" s="1"/>
  <c r="L236" i="1"/>
  <c r="J236" i="1"/>
  <c r="I236" i="1"/>
  <c r="K236" i="1" s="1"/>
  <c r="N236" i="1" s="1"/>
  <c r="Q236" i="1" s="1"/>
  <c r="S235" i="1"/>
  <c r="L235" i="1"/>
  <c r="O235" i="1" s="1"/>
  <c r="P235" i="1" s="1"/>
  <c r="R235" i="1" s="1"/>
  <c r="J235" i="1"/>
  <c r="I235" i="1"/>
  <c r="K235" i="1" s="1"/>
  <c r="S234" i="1"/>
  <c r="L234" i="1"/>
  <c r="N234" i="1" s="1"/>
  <c r="Q234" i="1" s="1"/>
  <c r="K234" i="1"/>
  <c r="J234" i="1"/>
  <c r="I234" i="1"/>
  <c r="M234" i="1" s="1"/>
  <c r="S233" i="1"/>
  <c r="O233" i="1"/>
  <c r="P233" i="1" s="1"/>
  <c r="R233" i="1" s="1"/>
  <c r="L233" i="1"/>
  <c r="K233" i="1"/>
  <c r="N233" i="1" s="1"/>
  <c r="Q233" i="1" s="1"/>
  <c r="J233" i="1"/>
  <c r="I233" i="1"/>
  <c r="M233" i="1" s="1"/>
  <c r="S232" i="1"/>
  <c r="O232" i="1"/>
  <c r="P232" i="1" s="1"/>
  <c r="R232" i="1" s="1"/>
  <c r="L232" i="1"/>
  <c r="J232" i="1"/>
  <c r="I232" i="1"/>
  <c r="K232" i="1" s="1"/>
  <c r="N232" i="1" s="1"/>
  <c r="Q232" i="1" s="1"/>
  <c r="S231" i="1"/>
  <c r="L231" i="1"/>
  <c r="O231" i="1" s="1"/>
  <c r="P231" i="1" s="1"/>
  <c r="R231" i="1" s="1"/>
  <c r="J231" i="1"/>
  <c r="I231" i="1"/>
  <c r="K231" i="1" s="1"/>
  <c r="S230" i="1"/>
  <c r="L230" i="1"/>
  <c r="N230" i="1" s="1"/>
  <c r="Q230" i="1" s="1"/>
  <c r="K230" i="1"/>
  <c r="J230" i="1"/>
  <c r="I230" i="1"/>
  <c r="M230" i="1" s="1"/>
  <c r="S229" i="1"/>
  <c r="O229" i="1"/>
  <c r="P229" i="1" s="1"/>
  <c r="R229" i="1" s="1"/>
  <c r="L229" i="1"/>
  <c r="K229" i="1"/>
  <c r="N229" i="1" s="1"/>
  <c r="Q229" i="1" s="1"/>
  <c r="J229" i="1"/>
  <c r="I229" i="1"/>
  <c r="M229" i="1" s="1"/>
  <c r="S228" i="1"/>
  <c r="L228" i="1"/>
  <c r="O228" i="1" s="1"/>
  <c r="P228" i="1" s="1"/>
  <c r="R228" i="1" s="1"/>
  <c r="J228" i="1"/>
  <c r="I228" i="1"/>
  <c r="K228" i="1" s="1"/>
  <c r="N228" i="1" s="1"/>
  <c r="Q228" i="1" s="1"/>
  <c r="S227" i="1"/>
  <c r="O227" i="1"/>
  <c r="P227" i="1" s="1"/>
  <c r="R227" i="1" s="1"/>
  <c r="L227" i="1"/>
  <c r="N227" i="1" s="1"/>
  <c r="Q227" i="1" s="1"/>
  <c r="J227" i="1"/>
  <c r="I227" i="1"/>
  <c r="K227" i="1" s="1"/>
  <c r="S226" i="1"/>
  <c r="L226" i="1"/>
  <c r="N226" i="1" s="1"/>
  <c r="Q226" i="1" s="1"/>
  <c r="K226" i="1"/>
  <c r="J226" i="1"/>
  <c r="I226" i="1"/>
  <c r="M226" i="1" s="1"/>
  <c r="S225" i="1"/>
  <c r="O225" i="1"/>
  <c r="P225" i="1" s="1"/>
  <c r="R225" i="1" s="1"/>
  <c r="L225" i="1"/>
  <c r="K225" i="1"/>
  <c r="N225" i="1" s="1"/>
  <c r="Q225" i="1" s="1"/>
  <c r="J225" i="1"/>
  <c r="I225" i="1"/>
  <c r="M225" i="1" s="1"/>
  <c r="S224" i="1"/>
  <c r="L224" i="1"/>
  <c r="O224" i="1" s="1"/>
  <c r="P224" i="1" s="1"/>
  <c r="R224" i="1" s="1"/>
  <c r="J224" i="1"/>
  <c r="I224" i="1"/>
  <c r="K224" i="1" s="1"/>
  <c r="N224" i="1" s="1"/>
  <c r="Q224" i="1" s="1"/>
  <c r="S223" i="1"/>
  <c r="O223" i="1"/>
  <c r="P223" i="1" s="1"/>
  <c r="R223" i="1" s="1"/>
  <c r="L223" i="1"/>
  <c r="N223" i="1" s="1"/>
  <c r="Q223" i="1" s="1"/>
  <c r="J223" i="1"/>
  <c r="I223" i="1"/>
  <c r="K223" i="1" s="1"/>
  <c r="S222" i="1"/>
  <c r="L222" i="1"/>
  <c r="N222" i="1" s="1"/>
  <c r="Q222" i="1" s="1"/>
  <c r="K222" i="1"/>
  <c r="J222" i="1"/>
  <c r="I222" i="1"/>
  <c r="M222" i="1" s="1"/>
  <c r="S221" i="1"/>
  <c r="O221" i="1"/>
  <c r="P221" i="1" s="1"/>
  <c r="R221" i="1" s="1"/>
  <c r="L221" i="1"/>
  <c r="K221" i="1"/>
  <c r="N221" i="1" s="1"/>
  <c r="Q221" i="1" s="1"/>
  <c r="J221" i="1"/>
  <c r="I221" i="1"/>
  <c r="M221" i="1" s="1"/>
  <c r="S220" i="1"/>
  <c r="L220" i="1"/>
  <c r="O220" i="1" s="1"/>
  <c r="P220" i="1" s="1"/>
  <c r="R220" i="1" s="1"/>
  <c r="J220" i="1"/>
  <c r="I220" i="1"/>
  <c r="K220" i="1" s="1"/>
  <c r="N220" i="1" s="1"/>
  <c r="Q220" i="1" s="1"/>
  <c r="S219" i="1"/>
  <c r="O219" i="1"/>
  <c r="P219" i="1" s="1"/>
  <c r="R219" i="1" s="1"/>
  <c r="L219" i="1"/>
  <c r="N219" i="1" s="1"/>
  <c r="Q219" i="1" s="1"/>
  <c r="J219" i="1"/>
  <c r="I219" i="1"/>
  <c r="K219" i="1" s="1"/>
  <c r="S218" i="1"/>
  <c r="L218" i="1"/>
  <c r="N218" i="1" s="1"/>
  <c r="Q218" i="1" s="1"/>
  <c r="K218" i="1"/>
  <c r="J218" i="1"/>
  <c r="I218" i="1"/>
  <c r="M218" i="1" s="1"/>
  <c r="S217" i="1"/>
  <c r="O217" i="1"/>
  <c r="P217" i="1" s="1"/>
  <c r="R217" i="1" s="1"/>
  <c r="L217" i="1"/>
  <c r="K217" i="1"/>
  <c r="N217" i="1" s="1"/>
  <c r="Q217" i="1" s="1"/>
  <c r="J217" i="1"/>
  <c r="I217" i="1"/>
  <c r="M217" i="1" s="1"/>
  <c r="S216" i="1"/>
  <c r="L216" i="1"/>
  <c r="O216" i="1" s="1"/>
  <c r="P216" i="1" s="1"/>
  <c r="R216" i="1" s="1"/>
  <c r="J216" i="1"/>
  <c r="I216" i="1"/>
  <c r="K216" i="1" s="1"/>
  <c r="N216" i="1" s="1"/>
  <c r="Q216" i="1" s="1"/>
  <c r="S215" i="1"/>
  <c r="O215" i="1"/>
  <c r="P215" i="1" s="1"/>
  <c r="R215" i="1" s="1"/>
  <c r="L215" i="1"/>
  <c r="N215" i="1" s="1"/>
  <c r="Q215" i="1" s="1"/>
  <c r="J215" i="1"/>
  <c r="I215" i="1"/>
  <c r="K215" i="1" s="1"/>
  <c r="S214" i="1"/>
  <c r="L214" i="1"/>
  <c r="N214" i="1" s="1"/>
  <c r="Q214" i="1" s="1"/>
  <c r="K214" i="1"/>
  <c r="J214" i="1"/>
  <c r="I214" i="1"/>
  <c r="M214" i="1" s="1"/>
  <c r="S213" i="1"/>
  <c r="Q213" i="1"/>
  <c r="O213" i="1"/>
  <c r="P213" i="1" s="1"/>
  <c r="R213" i="1" s="1"/>
  <c r="N213" i="1"/>
  <c r="L213" i="1"/>
  <c r="K213" i="1"/>
  <c r="J213" i="1"/>
  <c r="I213" i="1"/>
  <c r="M213" i="1" s="1"/>
  <c r="S212" i="1"/>
  <c r="L212" i="1"/>
  <c r="O212" i="1" s="1"/>
  <c r="P212" i="1" s="1"/>
  <c r="R212" i="1" s="1"/>
  <c r="J212" i="1"/>
  <c r="I212" i="1"/>
  <c r="K212" i="1" s="1"/>
  <c r="N212" i="1" s="1"/>
  <c r="Q212" i="1" s="1"/>
  <c r="S211" i="1"/>
  <c r="O211" i="1"/>
  <c r="P211" i="1" s="1"/>
  <c r="R211" i="1" s="1"/>
  <c r="L211" i="1"/>
  <c r="J211" i="1"/>
  <c r="I211" i="1"/>
  <c r="K211" i="1" s="1"/>
  <c r="S210" i="1"/>
  <c r="L210" i="1"/>
  <c r="N210" i="1" s="1"/>
  <c r="Q210" i="1" s="1"/>
  <c r="K210" i="1"/>
  <c r="J210" i="1"/>
  <c r="I210" i="1"/>
  <c r="M210" i="1" s="1"/>
  <c r="S209" i="1"/>
  <c r="O209" i="1"/>
  <c r="P209" i="1" s="1"/>
  <c r="R209" i="1" s="1"/>
  <c r="L209" i="1"/>
  <c r="K209" i="1"/>
  <c r="N209" i="1" s="1"/>
  <c r="Q209" i="1" s="1"/>
  <c r="J209" i="1"/>
  <c r="I209" i="1"/>
  <c r="M209" i="1" s="1"/>
  <c r="S208" i="1"/>
  <c r="L208" i="1"/>
  <c r="O208" i="1" s="1"/>
  <c r="P208" i="1" s="1"/>
  <c r="R208" i="1" s="1"/>
  <c r="J208" i="1"/>
  <c r="I208" i="1"/>
  <c r="K208" i="1" s="1"/>
  <c r="N208" i="1" s="1"/>
  <c r="Q208" i="1" s="1"/>
  <c r="S207" i="1"/>
  <c r="O207" i="1"/>
  <c r="P207" i="1" s="1"/>
  <c r="R207" i="1" s="1"/>
  <c r="L207" i="1"/>
  <c r="J207" i="1"/>
  <c r="I207" i="1"/>
  <c r="K207" i="1" s="1"/>
  <c r="N207" i="1" s="1"/>
  <c r="Q207" i="1" s="1"/>
  <c r="S206" i="1"/>
  <c r="N206" i="1"/>
  <c r="Q206" i="1" s="1"/>
  <c r="L206" i="1"/>
  <c r="O206" i="1" s="1"/>
  <c r="P206" i="1" s="1"/>
  <c r="R206" i="1" s="1"/>
  <c r="K206" i="1"/>
  <c r="J206" i="1"/>
  <c r="I206" i="1"/>
  <c r="M206" i="1" s="1"/>
  <c r="S205" i="1"/>
  <c r="O205" i="1"/>
  <c r="P205" i="1" s="1"/>
  <c r="R205" i="1" s="1"/>
  <c r="L205" i="1"/>
  <c r="K205" i="1"/>
  <c r="N205" i="1" s="1"/>
  <c r="Q205" i="1" s="1"/>
  <c r="J205" i="1"/>
  <c r="I205" i="1"/>
  <c r="M205" i="1" s="1"/>
  <c r="S204" i="1"/>
  <c r="L204" i="1"/>
  <c r="O204" i="1" s="1"/>
  <c r="P204" i="1" s="1"/>
  <c r="R204" i="1" s="1"/>
  <c r="J204" i="1"/>
  <c r="I204" i="1"/>
  <c r="K204" i="1" s="1"/>
  <c r="N204" i="1" s="1"/>
  <c r="Q204" i="1" s="1"/>
  <c r="S203" i="1"/>
  <c r="O203" i="1"/>
  <c r="P203" i="1" s="1"/>
  <c r="R203" i="1" s="1"/>
  <c r="L203" i="1"/>
  <c r="J203" i="1"/>
  <c r="I203" i="1"/>
  <c r="K203" i="1" s="1"/>
  <c r="N203" i="1" s="1"/>
  <c r="Q203" i="1" s="1"/>
  <c r="S202" i="1"/>
  <c r="N202" i="1"/>
  <c r="Q202" i="1" s="1"/>
  <c r="L202" i="1"/>
  <c r="O202" i="1" s="1"/>
  <c r="P202" i="1" s="1"/>
  <c r="R202" i="1" s="1"/>
  <c r="K202" i="1"/>
  <c r="J202" i="1"/>
  <c r="I202" i="1"/>
  <c r="M202" i="1" s="1"/>
  <c r="S201" i="1"/>
  <c r="O201" i="1"/>
  <c r="P201" i="1" s="1"/>
  <c r="R201" i="1" s="1"/>
  <c r="L201" i="1"/>
  <c r="K201" i="1"/>
  <c r="N201" i="1" s="1"/>
  <c r="Q201" i="1" s="1"/>
  <c r="J201" i="1"/>
  <c r="I201" i="1"/>
  <c r="M201" i="1" s="1"/>
  <c r="S200" i="1"/>
  <c r="L200" i="1"/>
  <c r="O200" i="1" s="1"/>
  <c r="P200" i="1" s="1"/>
  <c r="R200" i="1" s="1"/>
  <c r="J200" i="1"/>
  <c r="I200" i="1"/>
  <c r="K200" i="1" s="1"/>
  <c r="N200" i="1" s="1"/>
  <c r="Q200" i="1" s="1"/>
  <c r="S199" i="1"/>
  <c r="O199" i="1"/>
  <c r="P199" i="1" s="1"/>
  <c r="R199" i="1" s="1"/>
  <c r="L199" i="1"/>
  <c r="J199" i="1"/>
  <c r="I199" i="1"/>
  <c r="K199" i="1" s="1"/>
  <c r="N199" i="1" s="1"/>
  <c r="Q199" i="1" s="1"/>
  <c r="S198" i="1"/>
  <c r="N198" i="1"/>
  <c r="Q198" i="1" s="1"/>
  <c r="L198" i="1"/>
  <c r="O198" i="1" s="1"/>
  <c r="P198" i="1" s="1"/>
  <c r="R198" i="1" s="1"/>
  <c r="K198" i="1"/>
  <c r="J198" i="1"/>
  <c r="I198" i="1"/>
  <c r="M198" i="1" s="1"/>
  <c r="S197" i="1"/>
  <c r="O197" i="1"/>
  <c r="P197" i="1" s="1"/>
  <c r="R197" i="1" s="1"/>
  <c r="L197" i="1"/>
  <c r="K197" i="1"/>
  <c r="N197" i="1" s="1"/>
  <c r="Q197" i="1" s="1"/>
  <c r="J197" i="1"/>
  <c r="I197" i="1"/>
  <c r="M197" i="1" s="1"/>
  <c r="S196" i="1"/>
  <c r="L196" i="1"/>
  <c r="O196" i="1" s="1"/>
  <c r="P196" i="1" s="1"/>
  <c r="R196" i="1" s="1"/>
  <c r="J196" i="1"/>
  <c r="I196" i="1"/>
  <c r="K196" i="1" s="1"/>
  <c r="N196" i="1" s="1"/>
  <c r="Q196" i="1" s="1"/>
  <c r="S195" i="1"/>
  <c r="O195" i="1"/>
  <c r="P195" i="1" s="1"/>
  <c r="R195" i="1" s="1"/>
  <c r="L195" i="1"/>
  <c r="K195" i="1"/>
  <c r="N195" i="1" s="1"/>
  <c r="Q195" i="1" s="1"/>
  <c r="J195" i="1"/>
  <c r="I195" i="1"/>
  <c r="M195" i="1" s="1"/>
  <c r="S194" i="1"/>
  <c r="N194" i="1"/>
  <c r="Q194" i="1" s="1"/>
  <c r="L194" i="1"/>
  <c r="O194" i="1" s="1"/>
  <c r="P194" i="1" s="1"/>
  <c r="R194" i="1" s="1"/>
  <c r="K194" i="1"/>
  <c r="J194" i="1"/>
  <c r="I194" i="1"/>
  <c r="M194" i="1" s="1"/>
  <c r="S193" i="1"/>
  <c r="O193" i="1"/>
  <c r="P193" i="1" s="1"/>
  <c r="R193" i="1" s="1"/>
  <c r="L193" i="1"/>
  <c r="J193" i="1"/>
  <c r="I193" i="1"/>
  <c r="M193" i="1" s="1"/>
  <c r="S192" i="1"/>
  <c r="L192" i="1"/>
  <c r="O192" i="1" s="1"/>
  <c r="P192" i="1" s="1"/>
  <c r="R192" i="1" s="1"/>
  <c r="J192" i="1"/>
  <c r="I192" i="1"/>
  <c r="K192" i="1" s="1"/>
  <c r="N192" i="1" s="1"/>
  <c r="Q192" i="1" s="1"/>
  <c r="S191" i="1"/>
  <c r="O191" i="1"/>
  <c r="P191" i="1" s="1"/>
  <c r="R191" i="1" s="1"/>
  <c r="L191" i="1"/>
  <c r="K191" i="1"/>
  <c r="N191" i="1" s="1"/>
  <c r="Q191" i="1" s="1"/>
  <c r="J191" i="1"/>
  <c r="I191" i="1"/>
  <c r="M191" i="1" s="1"/>
  <c r="S190" i="1"/>
  <c r="N190" i="1"/>
  <c r="Q190" i="1" s="1"/>
  <c r="L190" i="1"/>
  <c r="O190" i="1" s="1"/>
  <c r="P190" i="1" s="1"/>
  <c r="R190" i="1" s="1"/>
  <c r="K190" i="1"/>
  <c r="J190" i="1"/>
  <c r="I190" i="1"/>
  <c r="M190" i="1" s="1"/>
  <c r="S189" i="1"/>
  <c r="O189" i="1"/>
  <c r="P189" i="1" s="1"/>
  <c r="R189" i="1" s="1"/>
  <c r="L189" i="1"/>
  <c r="J189" i="1"/>
  <c r="I189" i="1"/>
  <c r="M189" i="1" s="1"/>
  <c r="S188" i="1"/>
  <c r="L188" i="1"/>
  <c r="O188" i="1" s="1"/>
  <c r="P188" i="1" s="1"/>
  <c r="R188" i="1" s="1"/>
  <c r="J188" i="1"/>
  <c r="I188" i="1"/>
  <c r="K188" i="1" s="1"/>
  <c r="N188" i="1" s="1"/>
  <c r="Q188" i="1" s="1"/>
  <c r="S187" i="1"/>
  <c r="O187" i="1"/>
  <c r="P187" i="1" s="1"/>
  <c r="R187" i="1" s="1"/>
  <c r="L187" i="1"/>
  <c r="K187" i="1"/>
  <c r="N187" i="1" s="1"/>
  <c r="Q187" i="1" s="1"/>
  <c r="J187" i="1"/>
  <c r="I187" i="1"/>
  <c r="M187" i="1" s="1"/>
  <c r="S186" i="1"/>
  <c r="N186" i="1"/>
  <c r="Q186" i="1" s="1"/>
  <c r="L186" i="1"/>
  <c r="O186" i="1" s="1"/>
  <c r="P186" i="1" s="1"/>
  <c r="R186" i="1" s="1"/>
  <c r="K186" i="1"/>
  <c r="J186" i="1"/>
  <c r="I186" i="1"/>
  <c r="M186" i="1" s="1"/>
  <c r="S185" i="1"/>
  <c r="O185" i="1"/>
  <c r="P185" i="1" s="1"/>
  <c r="R185" i="1" s="1"/>
  <c r="L185" i="1"/>
  <c r="J185" i="1"/>
  <c r="I185" i="1"/>
  <c r="M185" i="1" s="1"/>
  <c r="S184" i="1"/>
  <c r="L184" i="1"/>
  <c r="O184" i="1" s="1"/>
  <c r="P184" i="1" s="1"/>
  <c r="R184" i="1" s="1"/>
  <c r="J184" i="1"/>
  <c r="I184" i="1"/>
  <c r="K184" i="1" s="1"/>
  <c r="N184" i="1" s="1"/>
  <c r="Q184" i="1" s="1"/>
  <c r="S183" i="1"/>
  <c r="O183" i="1"/>
  <c r="P183" i="1" s="1"/>
  <c r="R183" i="1" s="1"/>
  <c r="L183" i="1"/>
  <c r="K183" i="1"/>
  <c r="N183" i="1" s="1"/>
  <c r="Q183" i="1" s="1"/>
  <c r="J183" i="1"/>
  <c r="I183" i="1"/>
  <c r="M183" i="1" s="1"/>
  <c r="S182" i="1"/>
  <c r="N182" i="1"/>
  <c r="Q182" i="1" s="1"/>
  <c r="L182" i="1"/>
  <c r="O182" i="1" s="1"/>
  <c r="P182" i="1" s="1"/>
  <c r="R182" i="1" s="1"/>
  <c r="K182" i="1"/>
  <c r="J182" i="1"/>
  <c r="I182" i="1"/>
  <c r="M182" i="1" s="1"/>
  <c r="S181" i="1"/>
  <c r="O181" i="1"/>
  <c r="P181" i="1" s="1"/>
  <c r="R181" i="1" s="1"/>
  <c r="L181" i="1"/>
  <c r="J181" i="1"/>
  <c r="I181" i="1"/>
  <c r="M181" i="1" s="1"/>
  <c r="S180" i="1"/>
  <c r="L180" i="1"/>
  <c r="O180" i="1" s="1"/>
  <c r="P180" i="1" s="1"/>
  <c r="R180" i="1" s="1"/>
  <c r="J180" i="1"/>
  <c r="I180" i="1"/>
  <c r="K180" i="1" s="1"/>
  <c r="N180" i="1" s="1"/>
  <c r="Q180" i="1" s="1"/>
  <c r="S179" i="1"/>
  <c r="O179" i="1"/>
  <c r="P179" i="1" s="1"/>
  <c r="R179" i="1" s="1"/>
  <c r="L179" i="1"/>
  <c r="K179" i="1"/>
  <c r="N179" i="1" s="1"/>
  <c r="Q179" i="1" s="1"/>
  <c r="J179" i="1"/>
  <c r="I179" i="1"/>
  <c r="M179" i="1" s="1"/>
  <c r="S178" i="1"/>
  <c r="N178" i="1"/>
  <c r="Q178" i="1" s="1"/>
  <c r="L178" i="1"/>
  <c r="O178" i="1" s="1"/>
  <c r="P178" i="1" s="1"/>
  <c r="R178" i="1" s="1"/>
  <c r="K178" i="1"/>
  <c r="J178" i="1"/>
  <c r="I178" i="1"/>
  <c r="M178" i="1" s="1"/>
  <c r="S177" i="1"/>
  <c r="O177" i="1"/>
  <c r="P177" i="1" s="1"/>
  <c r="R177" i="1" s="1"/>
  <c r="L177" i="1"/>
  <c r="J177" i="1"/>
  <c r="I177" i="1"/>
  <c r="M177" i="1" s="1"/>
  <c r="S176" i="1"/>
  <c r="L176" i="1"/>
  <c r="O176" i="1" s="1"/>
  <c r="P176" i="1" s="1"/>
  <c r="R176" i="1" s="1"/>
  <c r="J176" i="1"/>
  <c r="I176" i="1"/>
  <c r="K176" i="1" s="1"/>
  <c r="N176" i="1" s="1"/>
  <c r="Q176" i="1" s="1"/>
  <c r="S175" i="1"/>
  <c r="O175" i="1"/>
  <c r="P175" i="1" s="1"/>
  <c r="R175" i="1" s="1"/>
  <c r="L175" i="1"/>
  <c r="K175" i="1"/>
  <c r="N175" i="1" s="1"/>
  <c r="Q175" i="1" s="1"/>
  <c r="J175" i="1"/>
  <c r="I175" i="1"/>
  <c r="M175" i="1" s="1"/>
  <c r="S174" i="1"/>
  <c r="M174" i="1"/>
  <c r="L174" i="1"/>
  <c r="O174" i="1" s="1"/>
  <c r="P174" i="1" s="1"/>
  <c r="R174" i="1" s="1"/>
  <c r="J174" i="1"/>
  <c r="I174" i="1"/>
  <c r="K174" i="1" s="1"/>
  <c r="N174" i="1" s="1"/>
  <c r="Q174" i="1" s="1"/>
  <c r="S173" i="1"/>
  <c r="P173" i="1"/>
  <c r="R173" i="1" s="1"/>
  <c r="L173" i="1"/>
  <c r="O173" i="1" s="1"/>
  <c r="J173" i="1"/>
  <c r="I173" i="1"/>
  <c r="M173" i="1" s="1"/>
  <c r="S172" i="1"/>
  <c r="O172" i="1"/>
  <c r="P172" i="1" s="1"/>
  <c r="R172" i="1" s="1"/>
  <c r="L172" i="1"/>
  <c r="K172" i="1"/>
  <c r="N172" i="1" s="1"/>
  <c r="Q172" i="1" s="1"/>
  <c r="J172" i="1"/>
  <c r="I172" i="1"/>
  <c r="M172" i="1" s="1"/>
  <c r="S171" i="1"/>
  <c r="R171" i="1"/>
  <c r="O171" i="1"/>
  <c r="P171" i="1" s="1"/>
  <c r="N171" i="1"/>
  <c r="Q171" i="1" s="1"/>
  <c r="L171" i="1"/>
  <c r="K171" i="1"/>
  <c r="J171" i="1"/>
  <c r="I171" i="1"/>
  <c r="M171" i="1" s="1"/>
  <c r="S170" i="1"/>
  <c r="L170" i="1"/>
  <c r="O170" i="1" s="1"/>
  <c r="P170" i="1" s="1"/>
  <c r="R170" i="1" s="1"/>
  <c r="J170" i="1"/>
  <c r="I170" i="1"/>
  <c r="K170" i="1" s="1"/>
  <c r="N170" i="1" s="1"/>
  <c r="Q170" i="1" s="1"/>
  <c r="S169" i="1"/>
  <c r="L169" i="1"/>
  <c r="O169" i="1" s="1"/>
  <c r="P169" i="1" s="1"/>
  <c r="R169" i="1" s="1"/>
  <c r="J169" i="1"/>
  <c r="I169" i="1"/>
  <c r="M169" i="1" s="1"/>
  <c r="S168" i="1"/>
  <c r="O168" i="1"/>
  <c r="P168" i="1" s="1"/>
  <c r="R168" i="1" s="1"/>
  <c r="L168" i="1"/>
  <c r="K168" i="1"/>
  <c r="N168" i="1" s="1"/>
  <c r="Q168" i="1" s="1"/>
  <c r="J168" i="1"/>
  <c r="I168" i="1"/>
  <c r="M168" i="1" s="1"/>
  <c r="S167" i="1"/>
  <c r="R167" i="1"/>
  <c r="O167" i="1"/>
  <c r="P167" i="1" s="1"/>
  <c r="N167" i="1"/>
  <c r="Q167" i="1" s="1"/>
  <c r="L167" i="1"/>
  <c r="K167" i="1"/>
  <c r="J167" i="1"/>
  <c r="I167" i="1"/>
  <c r="M167" i="1" s="1"/>
  <c r="S166" i="1"/>
  <c r="L166" i="1"/>
  <c r="O166" i="1" s="1"/>
  <c r="P166" i="1" s="1"/>
  <c r="R166" i="1" s="1"/>
  <c r="J166" i="1"/>
  <c r="I166" i="1"/>
  <c r="K166" i="1" s="1"/>
  <c r="N166" i="1" s="1"/>
  <c r="Q166" i="1" s="1"/>
  <c r="S165" i="1"/>
  <c r="L165" i="1"/>
  <c r="O165" i="1" s="1"/>
  <c r="P165" i="1" s="1"/>
  <c r="R165" i="1" s="1"/>
  <c r="J165" i="1"/>
  <c r="I165" i="1"/>
  <c r="M165" i="1" s="1"/>
  <c r="S164" i="1"/>
  <c r="O164" i="1"/>
  <c r="P164" i="1" s="1"/>
  <c r="R164" i="1" s="1"/>
  <c r="L164" i="1"/>
  <c r="K164" i="1"/>
  <c r="N164" i="1" s="1"/>
  <c r="Q164" i="1" s="1"/>
  <c r="J164" i="1"/>
  <c r="I164" i="1"/>
  <c r="M164" i="1" s="1"/>
  <c r="S163" i="1"/>
  <c r="O163" i="1"/>
  <c r="P163" i="1" s="1"/>
  <c r="R163" i="1" s="1"/>
  <c r="N163" i="1"/>
  <c r="Q163" i="1" s="1"/>
  <c r="L163" i="1"/>
  <c r="K163" i="1"/>
  <c r="J163" i="1"/>
  <c r="I163" i="1"/>
  <c r="M163" i="1" s="1"/>
  <c r="S162" i="1"/>
  <c r="M162" i="1"/>
  <c r="L162" i="1"/>
  <c r="O162" i="1" s="1"/>
  <c r="P162" i="1" s="1"/>
  <c r="R162" i="1" s="1"/>
  <c r="J162" i="1"/>
  <c r="I162" i="1"/>
  <c r="K162" i="1" s="1"/>
  <c r="N162" i="1" s="1"/>
  <c r="Q162" i="1" s="1"/>
  <c r="S161" i="1"/>
  <c r="P161" i="1"/>
  <c r="R161" i="1" s="1"/>
  <c r="L161" i="1"/>
  <c r="O161" i="1" s="1"/>
  <c r="J161" i="1"/>
  <c r="I161" i="1"/>
  <c r="M161" i="1" s="1"/>
  <c r="S160" i="1"/>
  <c r="O160" i="1"/>
  <c r="P160" i="1" s="1"/>
  <c r="R160" i="1" s="1"/>
  <c r="L160" i="1"/>
  <c r="K160" i="1"/>
  <c r="N160" i="1" s="1"/>
  <c r="Q160" i="1" s="1"/>
  <c r="J160" i="1"/>
  <c r="I160" i="1"/>
  <c r="M160" i="1" s="1"/>
  <c r="S159" i="1"/>
  <c r="O159" i="1"/>
  <c r="P159" i="1" s="1"/>
  <c r="R159" i="1" s="1"/>
  <c r="N159" i="1"/>
  <c r="Q159" i="1" s="1"/>
  <c r="L159" i="1"/>
  <c r="K159" i="1"/>
  <c r="J159" i="1"/>
  <c r="I159" i="1"/>
  <c r="M159" i="1" s="1"/>
  <c r="S158" i="1"/>
  <c r="M158" i="1"/>
  <c r="L158" i="1"/>
  <c r="O158" i="1" s="1"/>
  <c r="P158" i="1" s="1"/>
  <c r="R158" i="1" s="1"/>
  <c r="J158" i="1"/>
  <c r="I158" i="1"/>
  <c r="K158" i="1" s="1"/>
  <c r="N158" i="1" s="1"/>
  <c r="Q158" i="1" s="1"/>
  <c r="S157" i="1"/>
  <c r="P157" i="1"/>
  <c r="R157" i="1" s="1"/>
  <c r="L157" i="1"/>
  <c r="O157" i="1" s="1"/>
  <c r="J157" i="1"/>
  <c r="I157" i="1"/>
  <c r="M157" i="1" s="1"/>
  <c r="S156" i="1"/>
  <c r="O156" i="1"/>
  <c r="P156" i="1" s="1"/>
  <c r="R156" i="1" s="1"/>
  <c r="L156" i="1"/>
  <c r="K156" i="1"/>
  <c r="N156" i="1" s="1"/>
  <c r="Q156" i="1" s="1"/>
  <c r="J156" i="1"/>
  <c r="I156" i="1"/>
  <c r="M156" i="1" s="1"/>
  <c r="S155" i="1"/>
  <c r="R155" i="1"/>
  <c r="O155" i="1"/>
  <c r="P155" i="1" s="1"/>
  <c r="N155" i="1"/>
  <c r="Q155" i="1" s="1"/>
  <c r="L155" i="1"/>
  <c r="K155" i="1"/>
  <c r="J155" i="1"/>
  <c r="I155" i="1"/>
  <c r="M155" i="1" s="1"/>
  <c r="S154" i="1"/>
  <c r="L154" i="1"/>
  <c r="O154" i="1" s="1"/>
  <c r="P154" i="1" s="1"/>
  <c r="R154" i="1" s="1"/>
  <c r="J154" i="1"/>
  <c r="I154" i="1"/>
  <c r="K154" i="1" s="1"/>
  <c r="N154" i="1" s="1"/>
  <c r="Q154" i="1" s="1"/>
  <c r="S153" i="1"/>
  <c r="L153" i="1"/>
  <c r="O153" i="1" s="1"/>
  <c r="P153" i="1" s="1"/>
  <c r="R153" i="1" s="1"/>
  <c r="J153" i="1"/>
  <c r="I153" i="1"/>
  <c r="M153" i="1" s="1"/>
  <c r="S152" i="1"/>
  <c r="O152" i="1"/>
  <c r="P152" i="1" s="1"/>
  <c r="R152" i="1" s="1"/>
  <c r="L152" i="1"/>
  <c r="K152" i="1"/>
  <c r="N152" i="1" s="1"/>
  <c r="Q152" i="1" s="1"/>
  <c r="J152" i="1"/>
  <c r="I152" i="1"/>
  <c r="M152" i="1" s="1"/>
  <c r="S151" i="1"/>
  <c r="R151" i="1"/>
  <c r="O151" i="1"/>
  <c r="P151" i="1" s="1"/>
  <c r="N151" i="1"/>
  <c r="Q151" i="1" s="1"/>
  <c r="L151" i="1"/>
  <c r="K151" i="1"/>
  <c r="J151" i="1"/>
  <c r="I151" i="1"/>
  <c r="M151" i="1" s="1"/>
  <c r="S150" i="1"/>
  <c r="L150" i="1"/>
  <c r="O150" i="1" s="1"/>
  <c r="P150" i="1" s="1"/>
  <c r="R150" i="1" s="1"/>
  <c r="J150" i="1"/>
  <c r="I150" i="1"/>
  <c r="K150" i="1" s="1"/>
  <c r="N150" i="1" s="1"/>
  <c r="Q150" i="1" s="1"/>
  <c r="S149" i="1"/>
  <c r="P149" i="1"/>
  <c r="R149" i="1" s="1"/>
  <c r="L149" i="1"/>
  <c r="O149" i="1" s="1"/>
  <c r="J149" i="1"/>
  <c r="I149" i="1"/>
  <c r="K149" i="1" s="1"/>
  <c r="N149" i="1" s="1"/>
  <c r="Q149" i="1" s="1"/>
  <c r="S148" i="1"/>
  <c r="L148" i="1"/>
  <c r="O148" i="1" s="1"/>
  <c r="P148" i="1" s="1"/>
  <c r="R148" i="1" s="1"/>
  <c r="K148" i="1"/>
  <c r="N148" i="1" s="1"/>
  <c r="Q148" i="1" s="1"/>
  <c r="J148" i="1"/>
  <c r="I148" i="1"/>
  <c r="M148" i="1" s="1"/>
  <c r="S147" i="1"/>
  <c r="R147" i="1"/>
  <c r="O147" i="1"/>
  <c r="P147" i="1" s="1"/>
  <c r="L147" i="1"/>
  <c r="K147" i="1"/>
  <c r="N147" i="1" s="1"/>
  <c r="Q147" i="1" s="1"/>
  <c r="J147" i="1"/>
  <c r="I147" i="1"/>
  <c r="M147" i="1" s="1"/>
  <c r="S146" i="1"/>
  <c r="M146" i="1"/>
  <c r="L146" i="1"/>
  <c r="O146" i="1" s="1"/>
  <c r="P146" i="1" s="1"/>
  <c r="R146" i="1" s="1"/>
  <c r="J146" i="1"/>
  <c r="I146" i="1"/>
  <c r="K146" i="1" s="1"/>
  <c r="N146" i="1" s="1"/>
  <c r="Q146" i="1" s="1"/>
  <c r="S145" i="1"/>
  <c r="Q145" i="1"/>
  <c r="M145" i="1"/>
  <c r="L145" i="1"/>
  <c r="O145" i="1" s="1"/>
  <c r="P145" i="1" s="1"/>
  <c r="R145" i="1" s="1"/>
  <c r="J145" i="1"/>
  <c r="I145" i="1"/>
  <c r="K145" i="1" s="1"/>
  <c r="N145" i="1" s="1"/>
  <c r="S144" i="1"/>
  <c r="P144" i="1"/>
  <c r="R144" i="1" s="1"/>
  <c r="O144" i="1"/>
  <c r="L144" i="1"/>
  <c r="K144" i="1"/>
  <c r="N144" i="1" s="1"/>
  <c r="Q144" i="1" s="1"/>
  <c r="J144" i="1"/>
  <c r="I144" i="1"/>
  <c r="M144" i="1" s="1"/>
  <c r="S143" i="1"/>
  <c r="O143" i="1"/>
  <c r="P143" i="1" s="1"/>
  <c r="R143" i="1" s="1"/>
  <c r="N143" i="1"/>
  <c r="Q143" i="1" s="1"/>
  <c r="L143" i="1"/>
  <c r="K143" i="1"/>
  <c r="J143" i="1"/>
  <c r="I143" i="1"/>
  <c r="M143" i="1" s="1"/>
  <c r="S142" i="1"/>
  <c r="L142" i="1"/>
  <c r="O142" i="1" s="1"/>
  <c r="P142" i="1" s="1"/>
  <c r="R142" i="1" s="1"/>
  <c r="J142" i="1"/>
  <c r="I142" i="1"/>
  <c r="K142" i="1" s="1"/>
  <c r="N142" i="1" s="1"/>
  <c r="Q142" i="1" s="1"/>
  <c r="S141" i="1"/>
  <c r="P141" i="1"/>
  <c r="R141" i="1" s="1"/>
  <c r="O141" i="1"/>
  <c r="L141" i="1"/>
  <c r="K141" i="1"/>
  <c r="N141" i="1" s="1"/>
  <c r="Q141" i="1" s="1"/>
  <c r="J141" i="1"/>
  <c r="I141" i="1"/>
  <c r="M141" i="1" s="1"/>
  <c r="S140" i="1"/>
  <c r="L140" i="1"/>
  <c r="O140" i="1" s="1"/>
  <c r="P140" i="1" s="1"/>
  <c r="R140" i="1" s="1"/>
  <c r="K140" i="1"/>
  <c r="N140" i="1" s="1"/>
  <c r="Q140" i="1" s="1"/>
  <c r="J140" i="1"/>
  <c r="I140" i="1"/>
  <c r="M140" i="1" s="1"/>
  <c r="S139" i="1"/>
  <c r="R139" i="1"/>
  <c r="O139" i="1"/>
  <c r="P139" i="1" s="1"/>
  <c r="L139" i="1"/>
  <c r="J139" i="1"/>
  <c r="I139" i="1"/>
  <c r="K139" i="1" s="1"/>
  <c r="N139" i="1" s="1"/>
  <c r="Q139" i="1" s="1"/>
  <c r="S138" i="1"/>
  <c r="M138" i="1"/>
  <c r="L138" i="1"/>
  <c r="O138" i="1" s="1"/>
  <c r="P138" i="1" s="1"/>
  <c r="R138" i="1" s="1"/>
  <c r="J138" i="1"/>
  <c r="I138" i="1"/>
  <c r="K138" i="1" s="1"/>
  <c r="N138" i="1" s="1"/>
  <c r="Q138" i="1" s="1"/>
  <c r="S137" i="1"/>
  <c r="Q137" i="1"/>
  <c r="L137" i="1"/>
  <c r="O137" i="1" s="1"/>
  <c r="P137" i="1" s="1"/>
  <c r="R137" i="1" s="1"/>
  <c r="K137" i="1"/>
  <c r="N137" i="1" s="1"/>
  <c r="J137" i="1"/>
  <c r="I137" i="1"/>
  <c r="M137" i="1" s="1"/>
  <c r="S136" i="1"/>
  <c r="N136" i="1"/>
  <c r="Q136" i="1" s="1"/>
  <c r="L136" i="1"/>
  <c r="O136" i="1" s="1"/>
  <c r="P136" i="1" s="1"/>
  <c r="R136" i="1" s="1"/>
  <c r="K136" i="1"/>
  <c r="J136" i="1"/>
  <c r="I136" i="1"/>
  <c r="M136" i="1" s="1"/>
  <c r="S135" i="1"/>
  <c r="O135" i="1"/>
  <c r="P135" i="1" s="1"/>
  <c r="R135" i="1" s="1"/>
  <c r="L135" i="1"/>
  <c r="K135" i="1"/>
  <c r="N135" i="1" s="1"/>
  <c r="Q135" i="1" s="1"/>
  <c r="J135" i="1"/>
  <c r="I135" i="1"/>
  <c r="M135" i="1" s="1"/>
  <c r="S134" i="1"/>
  <c r="M134" i="1"/>
  <c r="L134" i="1"/>
  <c r="O134" i="1" s="1"/>
  <c r="P134" i="1" s="1"/>
  <c r="R134" i="1" s="1"/>
  <c r="J134" i="1"/>
  <c r="I134" i="1"/>
  <c r="K134" i="1" s="1"/>
  <c r="N134" i="1" s="1"/>
  <c r="Q134" i="1" s="1"/>
  <c r="S133" i="1"/>
  <c r="L133" i="1"/>
  <c r="O133" i="1" s="1"/>
  <c r="P133" i="1" s="1"/>
  <c r="R133" i="1" s="1"/>
  <c r="J133" i="1"/>
  <c r="I133" i="1"/>
  <c r="M133" i="1" s="1"/>
  <c r="S132" i="1"/>
  <c r="O132" i="1"/>
  <c r="P132" i="1" s="1"/>
  <c r="R132" i="1" s="1"/>
  <c r="N132" i="1"/>
  <c r="Q132" i="1" s="1"/>
  <c r="L132" i="1"/>
  <c r="K132" i="1"/>
  <c r="J132" i="1"/>
  <c r="I132" i="1"/>
  <c r="M132" i="1" s="1"/>
  <c r="S131" i="1"/>
  <c r="O131" i="1"/>
  <c r="P131" i="1" s="1"/>
  <c r="R131" i="1" s="1"/>
  <c r="L131" i="1"/>
  <c r="K131" i="1"/>
  <c r="N131" i="1" s="1"/>
  <c r="Q131" i="1" s="1"/>
  <c r="J131" i="1"/>
  <c r="I131" i="1"/>
  <c r="M131" i="1" s="1"/>
  <c r="S130" i="1"/>
  <c r="R130" i="1"/>
  <c r="P130" i="1"/>
  <c r="L130" i="1"/>
  <c r="O130" i="1" s="1"/>
  <c r="J130" i="1"/>
  <c r="I130" i="1"/>
  <c r="K130" i="1" s="1"/>
  <c r="N130" i="1" s="1"/>
  <c r="Q130" i="1" s="1"/>
  <c r="S129" i="1"/>
  <c r="O129" i="1"/>
  <c r="P129" i="1" s="1"/>
  <c r="R129" i="1" s="1"/>
  <c r="L129" i="1"/>
  <c r="J129" i="1"/>
  <c r="I129" i="1"/>
  <c r="K129" i="1" s="1"/>
  <c r="N129" i="1" s="1"/>
  <c r="Q129" i="1" s="1"/>
  <c r="S128" i="1"/>
  <c r="P128" i="1"/>
  <c r="R128" i="1" s="1"/>
  <c r="O128" i="1"/>
  <c r="L128" i="1"/>
  <c r="K128" i="1"/>
  <c r="N128" i="1" s="1"/>
  <c r="Q128" i="1" s="1"/>
  <c r="J128" i="1"/>
  <c r="I128" i="1"/>
  <c r="M128" i="1" s="1"/>
  <c r="S127" i="1"/>
  <c r="R127" i="1"/>
  <c r="O127" i="1"/>
  <c r="P127" i="1" s="1"/>
  <c r="L127" i="1"/>
  <c r="J127" i="1"/>
  <c r="I127" i="1"/>
  <c r="M127" i="1" s="1"/>
  <c r="S126" i="1"/>
  <c r="P126" i="1"/>
  <c r="R126" i="1" s="1"/>
  <c r="L126" i="1"/>
  <c r="O126" i="1" s="1"/>
  <c r="J126" i="1"/>
  <c r="I126" i="1"/>
  <c r="K126" i="1" s="1"/>
  <c r="N126" i="1" s="1"/>
  <c r="Q126" i="1" s="1"/>
  <c r="S125" i="1"/>
  <c r="P125" i="1"/>
  <c r="R125" i="1" s="1"/>
  <c r="O125" i="1"/>
  <c r="L125" i="1"/>
  <c r="K125" i="1"/>
  <c r="N125" i="1" s="1"/>
  <c r="Q125" i="1" s="1"/>
  <c r="J125" i="1"/>
  <c r="I125" i="1"/>
  <c r="M125" i="1" s="1"/>
  <c r="S124" i="1"/>
  <c r="L124" i="1"/>
  <c r="O124" i="1" s="1"/>
  <c r="P124" i="1" s="1"/>
  <c r="R124" i="1" s="1"/>
  <c r="K124" i="1"/>
  <c r="N124" i="1" s="1"/>
  <c r="Q124" i="1" s="1"/>
  <c r="J124" i="1"/>
  <c r="I124" i="1"/>
  <c r="M124" i="1" s="1"/>
  <c r="S123" i="1"/>
  <c r="R123" i="1"/>
  <c r="O123" i="1"/>
  <c r="P123" i="1" s="1"/>
  <c r="L123" i="1"/>
  <c r="J123" i="1"/>
  <c r="I123" i="1"/>
  <c r="K123" i="1" s="1"/>
  <c r="N123" i="1" s="1"/>
  <c r="Q123" i="1" s="1"/>
  <c r="S122" i="1"/>
  <c r="M122" i="1"/>
  <c r="L122" i="1"/>
  <c r="O122" i="1" s="1"/>
  <c r="P122" i="1" s="1"/>
  <c r="R122" i="1" s="1"/>
  <c r="J122" i="1"/>
  <c r="I122" i="1"/>
  <c r="K122" i="1" s="1"/>
  <c r="N122" i="1" s="1"/>
  <c r="Q122" i="1" s="1"/>
  <c r="S121" i="1"/>
  <c r="Q121" i="1"/>
  <c r="L121" i="1"/>
  <c r="O121" i="1" s="1"/>
  <c r="P121" i="1" s="1"/>
  <c r="R121" i="1" s="1"/>
  <c r="K121" i="1"/>
  <c r="N121" i="1" s="1"/>
  <c r="J121" i="1"/>
  <c r="I121" i="1"/>
  <c r="M121" i="1" s="1"/>
  <c r="S120" i="1"/>
  <c r="N120" i="1"/>
  <c r="Q120" i="1" s="1"/>
  <c r="L120" i="1"/>
  <c r="O120" i="1" s="1"/>
  <c r="P120" i="1" s="1"/>
  <c r="R120" i="1" s="1"/>
  <c r="K120" i="1"/>
  <c r="J120" i="1"/>
  <c r="I120" i="1"/>
  <c r="M120" i="1" s="1"/>
  <c r="S119" i="1"/>
  <c r="O119" i="1"/>
  <c r="P119" i="1" s="1"/>
  <c r="R119" i="1" s="1"/>
  <c r="L119" i="1"/>
  <c r="K119" i="1"/>
  <c r="N119" i="1" s="1"/>
  <c r="Q119" i="1" s="1"/>
  <c r="J119" i="1"/>
  <c r="I119" i="1"/>
  <c r="M119" i="1" s="1"/>
  <c r="S118" i="1"/>
  <c r="M118" i="1"/>
  <c r="L118" i="1"/>
  <c r="O118" i="1" s="1"/>
  <c r="P118" i="1" s="1"/>
  <c r="R118" i="1" s="1"/>
  <c r="J118" i="1"/>
  <c r="I118" i="1"/>
  <c r="K118" i="1" s="1"/>
  <c r="N118" i="1" s="1"/>
  <c r="Q118" i="1" s="1"/>
  <c r="S117" i="1"/>
  <c r="L117" i="1"/>
  <c r="O117" i="1" s="1"/>
  <c r="P117" i="1" s="1"/>
  <c r="R117" i="1" s="1"/>
  <c r="J117" i="1"/>
  <c r="I117" i="1"/>
  <c r="M117" i="1" s="1"/>
  <c r="S116" i="1"/>
  <c r="O116" i="1"/>
  <c r="P116" i="1" s="1"/>
  <c r="R116" i="1" s="1"/>
  <c r="N116" i="1"/>
  <c r="Q116" i="1" s="1"/>
  <c r="L116" i="1"/>
  <c r="K116" i="1"/>
  <c r="J116" i="1"/>
  <c r="I116" i="1"/>
  <c r="M116" i="1" s="1"/>
  <c r="S115" i="1"/>
  <c r="O115" i="1"/>
  <c r="P115" i="1" s="1"/>
  <c r="R115" i="1" s="1"/>
  <c r="L115" i="1"/>
  <c r="K115" i="1"/>
  <c r="N115" i="1" s="1"/>
  <c r="Q115" i="1" s="1"/>
  <c r="J115" i="1"/>
  <c r="I115" i="1"/>
  <c r="M115" i="1" s="1"/>
  <c r="S114" i="1"/>
  <c r="L114" i="1"/>
  <c r="O114" i="1" s="1"/>
  <c r="P114" i="1" s="1"/>
  <c r="R114" i="1" s="1"/>
  <c r="J114" i="1"/>
  <c r="I114" i="1"/>
  <c r="K114" i="1" s="1"/>
  <c r="N114" i="1" s="1"/>
  <c r="Q114" i="1" s="1"/>
  <c r="S113" i="1"/>
  <c r="O113" i="1"/>
  <c r="P113" i="1" s="1"/>
  <c r="R113" i="1" s="1"/>
  <c r="L113" i="1"/>
  <c r="J113" i="1"/>
  <c r="I113" i="1"/>
  <c r="K113" i="1" s="1"/>
  <c r="N113" i="1" s="1"/>
  <c r="Q113" i="1" s="1"/>
  <c r="S112" i="1"/>
  <c r="P112" i="1"/>
  <c r="R112" i="1" s="1"/>
  <c r="O112" i="1"/>
  <c r="L112" i="1"/>
  <c r="K112" i="1"/>
  <c r="N112" i="1" s="1"/>
  <c r="Q112" i="1" s="1"/>
  <c r="J112" i="1"/>
  <c r="I112" i="1"/>
  <c r="M112" i="1" s="1"/>
  <c r="S111" i="1"/>
  <c r="R111" i="1"/>
  <c r="O111" i="1"/>
  <c r="P111" i="1" s="1"/>
  <c r="L111" i="1"/>
  <c r="J111" i="1"/>
  <c r="I111" i="1"/>
  <c r="M111" i="1" s="1"/>
  <c r="S110" i="1"/>
  <c r="P110" i="1"/>
  <c r="R110" i="1" s="1"/>
  <c r="L110" i="1"/>
  <c r="O110" i="1" s="1"/>
  <c r="J110" i="1"/>
  <c r="I110" i="1"/>
  <c r="K110" i="1" s="1"/>
  <c r="N110" i="1" s="1"/>
  <c r="Q110" i="1" s="1"/>
  <c r="S109" i="1"/>
  <c r="P109" i="1"/>
  <c r="R109" i="1" s="1"/>
  <c r="O109" i="1"/>
  <c r="L109" i="1"/>
  <c r="K109" i="1"/>
  <c r="N109" i="1" s="1"/>
  <c r="Q109" i="1" s="1"/>
  <c r="J109" i="1"/>
  <c r="I109" i="1"/>
  <c r="M109" i="1" s="1"/>
  <c r="S108" i="1"/>
  <c r="L108" i="1"/>
  <c r="O108" i="1" s="1"/>
  <c r="P108" i="1" s="1"/>
  <c r="R108" i="1" s="1"/>
  <c r="K108" i="1"/>
  <c r="N108" i="1" s="1"/>
  <c r="Q108" i="1" s="1"/>
  <c r="J108" i="1"/>
  <c r="I108" i="1"/>
  <c r="M108" i="1" s="1"/>
  <c r="S107" i="1"/>
  <c r="R107" i="1"/>
  <c r="O107" i="1"/>
  <c r="P107" i="1" s="1"/>
  <c r="L107" i="1"/>
  <c r="J107" i="1"/>
  <c r="I107" i="1"/>
  <c r="K107" i="1" s="1"/>
  <c r="N107" i="1" s="1"/>
  <c r="Q107" i="1" s="1"/>
  <c r="S106" i="1"/>
  <c r="M106" i="1"/>
  <c r="L106" i="1"/>
  <c r="O106" i="1" s="1"/>
  <c r="P106" i="1" s="1"/>
  <c r="R106" i="1" s="1"/>
  <c r="J106" i="1"/>
  <c r="I106" i="1"/>
  <c r="K106" i="1" s="1"/>
  <c r="N106" i="1" s="1"/>
  <c r="Q106" i="1" s="1"/>
  <c r="S105" i="1"/>
  <c r="Q105" i="1"/>
  <c r="L105" i="1"/>
  <c r="O105" i="1" s="1"/>
  <c r="P105" i="1" s="1"/>
  <c r="R105" i="1" s="1"/>
  <c r="K105" i="1"/>
  <c r="N105" i="1" s="1"/>
  <c r="J105" i="1"/>
  <c r="I105" i="1"/>
  <c r="M105" i="1" s="1"/>
  <c r="S104" i="1"/>
  <c r="N104" i="1"/>
  <c r="Q104" i="1" s="1"/>
  <c r="L104" i="1"/>
  <c r="O104" i="1" s="1"/>
  <c r="P104" i="1" s="1"/>
  <c r="R104" i="1" s="1"/>
  <c r="K104" i="1"/>
  <c r="J104" i="1"/>
  <c r="I104" i="1"/>
  <c r="M104" i="1" s="1"/>
  <c r="S103" i="1"/>
  <c r="O103" i="1"/>
  <c r="P103" i="1" s="1"/>
  <c r="R103" i="1" s="1"/>
  <c r="L103" i="1"/>
  <c r="K103" i="1"/>
  <c r="N103" i="1" s="1"/>
  <c r="Q103" i="1" s="1"/>
  <c r="J103" i="1"/>
  <c r="I103" i="1"/>
  <c r="M103" i="1" s="1"/>
  <c r="S102" i="1"/>
  <c r="M102" i="1"/>
  <c r="L102" i="1"/>
  <c r="O102" i="1" s="1"/>
  <c r="P102" i="1" s="1"/>
  <c r="R102" i="1" s="1"/>
  <c r="J102" i="1"/>
  <c r="I102" i="1"/>
  <c r="K102" i="1" s="1"/>
  <c r="N102" i="1" s="1"/>
  <c r="Q102" i="1" s="1"/>
  <c r="S101" i="1"/>
  <c r="L101" i="1"/>
  <c r="O101" i="1" s="1"/>
  <c r="P101" i="1" s="1"/>
  <c r="R101" i="1" s="1"/>
  <c r="J101" i="1"/>
  <c r="I101" i="1"/>
  <c r="M101" i="1" s="1"/>
  <c r="S100" i="1"/>
  <c r="O100" i="1"/>
  <c r="P100" i="1" s="1"/>
  <c r="R100" i="1" s="1"/>
  <c r="N100" i="1"/>
  <c r="Q100" i="1" s="1"/>
  <c r="L100" i="1"/>
  <c r="K100" i="1"/>
  <c r="J100" i="1"/>
  <c r="I100" i="1"/>
  <c r="M100" i="1" s="1"/>
  <c r="S99" i="1"/>
  <c r="O99" i="1"/>
  <c r="P99" i="1" s="1"/>
  <c r="R99" i="1" s="1"/>
  <c r="L99" i="1"/>
  <c r="K99" i="1"/>
  <c r="N99" i="1" s="1"/>
  <c r="Q99" i="1" s="1"/>
  <c r="J99" i="1"/>
  <c r="I99" i="1"/>
  <c r="M99" i="1" s="1"/>
  <c r="S98" i="1"/>
  <c r="L98" i="1"/>
  <c r="O98" i="1" s="1"/>
  <c r="P98" i="1" s="1"/>
  <c r="R98" i="1" s="1"/>
  <c r="J98" i="1"/>
  <c r="I98" i="1"/>
  <c r="K98" i="1" s="1"/>
  <c r="N98" i="1" s="1"/>
  <c r="Q98" i="1" s="1"/>
  <c r="S97" i="1"/>
  <c r="O97" i="1"/>
  <c r="P97" i="1" s="1"/>
  <c r="R97" i="1" s="1"/>
  <c r="L97" i="1"/>
  <c r="J97" i="1"/>
  <c r="I97" i="1"/>
  <c r="K97" i="1" s="1"/>
  <c r="N97" i="1" s="1"/>
  <c r="Q97" i="1" s="1"/>
  <c r="S96" i="1"/>
  <c r="P96" i="1"/>
  <c r="R96" i="1" s="1"/>
  <c r="O96" i="1"/>
  <c r="L96" i="1"/>
  <c r="K96" i="1"/>
  <c r="N96" i="1" s="1"/>
  <c r="Q96" i="1" s="1"/>
  <c r="J96" i="1"/>
  <c r="I96" i="1"/>
  <c r="M96" i="1" s="1"/>
  <c r="S95" i="1"/>
  <c r="R95" i="1"/>
  <c r="O95" i="1"/>
  <c r="P95" i="1" s="1"/>
  <c r="L95" i="1"/>
  <c r="J95" i="1"/>
  <c r="I95" i="1"/>
  <c r="M95" i="1" s="1"/>
  <c r="S94" i="1"/>
  <c r="P94" i="1"/>
  <c r="R94" i="1" s="1"/>
  <c r="L94" i="1"/>
  <c r="O94" i="1" s="1"/>
  <c r="J94" i="1"/>
  <c r="I94" i="1"/>
  <c r="K94" i="1" s="1"/>
  <c r="N94" i="1" s="1"/>
  <c r="Q94" i="1" s="1"/>
  <c r="S93" i="1"/>
  <c r="P93" i="1"/>
  <c r="R93" i="1" s="1"/>
  <c r="O93" i="1"/>
  <c r="L93" i="1"/>
  <c r="K93" i="1"/>
  <c r="N93" i="1" s="1"/>
  <c r="Q93" i="1" s="1"/>
  <c r="J93" i="1"/>
  <c r="I93" i="1"/>
  <c r="M93" i="1" s="1"/>
  <c r="S92" i="1"/>
  <c r="L92" i="1"/>
  <c r="O92" i="1" s="1"/>
  <c r="P92" i="1" s="1"/>
  <c r="R92" i="1" s="1"/>
  <c r="K92" i="1"/>
  <c r="N92" i="1" s="1"/>
  <c r="Q92" i="1" s="1"/>
  <c r="J92" i="1"/>
  <c r="I92" i="1"/>
  <c r="M92" i="1" s="1"/>
  <c r="S91" i="1"/>
  <c r="R91" i="1"/>
  <c r="O91" i="1"/>
  <c r="P91" i="1" s="1"/>
  <c r="L91" i="1"/>
  <c r="J91" i="1"/>
  <c r="I91" i="1"/>
  <c r="K91" i="1" s="1"/>
  <c r="N91" i="1" s="1"/>
  <c r="Q91" i="1" s="1"/>
  <c r="S90" i="1"/>
  <c r="L90" i="1"/>
  <c r="O90" i="1" s="1"/>
  <c r="P90" i="1" s="1"/>
  <c r="R90" i="1" s="1"/>
  <c r="J90" i="1"/>
  <c r="I90" i="1"/>
  <c r="S89" i="1"/>
  <c r="Q89" i="1"/>
  <c r="L89" i="1"/>
  <c r="O89" i="1" s="1"/>
  <c r="P89" i="1" s="1"/>
  <c r="R89" i="1" s="1"/>
  <c r="K89" i="1"/>
  <c r="N89" i="1" s="1"/>
  <c r="J89" i="1"/>
  <c r="I89" i="1"/>
  <c r="M89" i="1" s="1"/>
  <c r="S88" i="1"/>
  <c r="N88" i="1"/>
  <c r="Q88" i="1" s="1"/>
  <c r="L88" i="1"/>
  <c r="O88" i="1" s="1"/>
  <c r="P88" i="1" s="1"/>
  <c r="R88" i="1" s="1"/>
  <c r="K88" i="1"/>
  <c r="J88" i="1"/>
  <c r="I88" i="1"/>
  <c r="M88" i="1" s="1"/>
  <c r="S87" i="1"/>
  <c r="O87" i="1"/>
  <c r="P87" i="1" s="1"/>
  <c r="R87" i="1" s="1"/>
  <c r="L87" i="1"/>
  <c r="K87" i="1"/>
  <c r="N87" i="1" s="1"/>
  <c r="Q87" i="1" s="1"/>
  <c r="J87" i="1"/>
  <c r="I87" i="1"/>
  <c r="M87" i="1" s="1"/>
  <c r="S86" i="1"/>
  <c r="M86" i="1"/>
  <c r="L86" i="1"/>
  <c r="O86" i="1" s="1"/>
  <c r="P86" i="1" s="1"/>
  <c r="R86" i="1" s="1"/>
  <c r="J86" i="1"/>
  <c r="I86" i="1"/>
  <c r="K86" i="1" s="1"/>
  <c r="N86" i="1" s="1"/>
  <c r="Q86" i="1" s="1"/>
  <c r="S85" i="1"/>
  <c r="L85" i="1"/>
  <c r="O85" i="1" s="1"/>
  <c r="P85" i="1" s="1"/>
  <c r="R85" i="1" s="1"/>
  <c r="J85" i="1"/>
  <c r="I85" i="1"/>
  <c r="M85" i="1" s="1"/>
  <c r="S84" i="1"/>
  <c r="O84" i="1"/>
  <c r="P84" i="1" s="1"/>
  <c r="R84" i="1" s="1"/>
  <c r="N84" i="1"/>
  <c r="Q84" i="1" s="1"/>
  <c r="L84" i="1"/>
  <c r="K84" i="1"/>
  <c r="J84" i="1"/>
  <c r="I84" i="1"/>
  <c r="M84" i="1" s="1"/>
  <c r="S83" i="1"/>
  <c r="O83" i="1"/>
  <c r="P83" i="1" s="1"/>
  <c r="R83" i="1" s="1"/>
  <c r="L83" i="1"/>
  <c r="K83" i="1"/>
  <c r="N83" i="1" s="1"/>
  <c r="Q83" i="1" s="1"/>
  <c r="J83" i="1"/>
  <c r="I83" i="1"/>
  <c r="M83" i="1" s="1"/>
  <c r="S82" i="1"/>
  <c r="L82" i="1"/>
  <c r="O82" i="1" s="1"/>
  <c r="P82" i="1" s="1"/>
  <c r="R82" i="1" s="1"/>
  <c r="J82" i="1"/>
  <c r="I82" i="1"/>
  <c r="K82" i="1" s="1"/>
  <c r="N82" i="1" s="1"/>
  <c r="Q82" i="1" s="1"/>
  <c r="S81" i="1"/>
  <c r="O81" i="1"/>
  <c r="P81" i="1" s="1"/>
  <c r="R81" i="1" s="1"/>
  <c r="L81" i="1"/>
  <c r="J81" i="1"/>
  <c r="I81" i="1"/>
  <c r="K81" i="1" s="1"/>
  <c r="N81" i="1" s="1"/>
  <c r="Q81" i="1" s="1"/>
  <c r="S80" i="1"/>
  <c r="L80" i="1"/>
  <c r="O80" i="1" s="1"/>
  <c r="P80" i="1" s="1"/>
  <c r="R80" i="1" s="1"/>
  <c r="K80" i="1"/>
  <c r="N80" i="1" s="1"/>
  <c r="Q80" i="1" s="1"/>
  <c r="J80" i="1"/>
  <c r="I80" i="1"/>
  <c r="M80" i="1" s="1"/>
  <c r="S79" i="1"/>
  <c r="O79" i="1"/>
  <c r="P79" i="1" s="1"/>
  <c r="R79" i="1" s="1"/>
  <c r="L79" i="1"/>
  <c r="K79" i="1"/>
  <c r="N79" i="1" s="1"/>
  <c r="Q79" i="1" s="1"/>
  <c r="J79" i="1"/>
  <c r="I79" i="1"/>
  <c r="M79" i="1" s="1"/>
  <c r="S78" i="1"/>
  <c r="L78" i="1"/>
  <c r="O78" i="1" s="1"/>
  <c r="P78" i="1" s="1"/>
  <c r="R78" i="1" s="1"/>
  <c r="J78" i="1"/>
  <c r="I78" i="1"/>
  <c r="K78" i="1" s="1"/>
  <c r="N78" i="1" s="1"/>
  <c r="Q78" i="1" s="1"/>
  <c r="S77" i="1"/>
  <c r="L77" i="1"/>
  <c r="O77" i="1" s="1"/>
  <c r="P77" i="1" s="1"/>
  <c r="R77" i="1" s="1"/>
  <c r="J77" i="1"/>
  <c r="I77" i="1"/>
  <c r="M77" i="1" s="1"/>
  <c r="S76" i="1"/>
  <c r="L76" i="1"/>
  <c r="O76" i="1" s="1"/>
  <c r="P76" i="1" s="1"/>
  <c r="R76" i="1" s="1"/>
  <c r="K76" i="1"/>
  <c r="N76" i="1" s="1"/>
  <c r="Q76" i="1" s="1"/>
  <c r="J76" i="1"/>
  <c r="I76" i="1"/>
  <c r="M76" i="1" s="1"/>
  <c r="S75" i="1"/>
  <c r="O75" i="1"/>
  <c r="P75" i="1" s="1"/>
  <c r="R75" i="1" s="1"/>
  <c r="L75" i="1"/>
  <c r="K75" i="1"/>
  <c r="N75" i="1" s="1"/>
  <c r="Q75" i="1" s="1"/>
  <c r="J75" i="1"/>
  <c r="I75" i="1"/>
  <c r="M75" i="1" s="1"/>
  <c r="S74" i="1"/>
  <c r="L74" i="1"/>
  <c r="O74" i="1" s="1"/>
  <c r="P74" i="1" s="1"/>
  <c r="R74" i="1" s="1"/>
  <c r="J74" i="1"/>
  <c r="I74" i="1"/>
  <c r="K74" i="1" s="1"/>
  <c r="N74" i="1" s="1"/>
  <c r="Q74" i="1" s="1"/>
  <c r="S73" i="1"/>
  <c r="L73" i="1"/>
  <c r="O73" i="1" s="1"/>
  <c r="P73" i="1" s="1"/>
  <c r="R73" i="1" s="1"/>
  <c r="J73" i="1"/>
  <c r="I73" i="1"/>
  <c r="M73" i="1" s="1"/>
  <c r="S72" i="1"/>
  <c r="L72" i="1"/>
  <c r="O72" i="1" s="1"/>
  <c r="P72" i="1" s="1"/>
  <c r="R72" i="1" s="1"/>
  <c r="K72" i="1"/>
  <c r="N72" i="1" s="1"/>
  <c r="Q72" i="1" s="1"/>
  <c r="J72" i="1"/>
  <c r="I72" i="1"/>
  <c r="M72" i="1" s="1"/>
  <c r="S71" i="1"/>
  <c r="O71" i="1"/>
  <c r="P71" i="1" s="1"/>
  <c r="R71" i="1" s="1"/>
  <c r="L71" i="1"/>
  <c r="K71" i="1"/>
  <c r="N71" i="1" s="1"/>
  <c r="Q71" i="1" s="1"/>
  <c r="J71" i="1"/>
  <c r="I71" i="1"/>
  <c r="M71" i="1" s="1"/>
  <c r="S70" i="1"/>
  <c r="L70" i="1"/>
  <c r="O70" i="1" s="1"/>
  <c r="P70" i="1" s="1"/>
  <c r="R70" i="1" s="1"/>
  <c r="J70" i="1"/>
  <c r="I70" i="1"/>
  <c r="K70" i="1" s="1"/>
  <c r="N70" i="1" s="1"/>
  <c r="Q70" i="1" s="1"/>
  <c r="S69" i="1"/>
  <c r="L69" i="1"/>
  <c r="O69" i="1" s="1"/>
  <c r="P69" i="1" s="1"/>
  <c r="R69" i="1" s="1"/>
  <c r="J69" i="1"/>
  <c r="I69" i="1"/>
  <c r="M69" i="1" s="1"/>
  <c r="S68" i="1"/>
  <c r="L68" i="1"/>
  <c r="O68" i="1" s="1"/>
  <c r="P68" i="1" s="1"/>
  <c r="R68" i="1" s="1"/>
  <c r="K68" i="1"/>
  <c r="N68" i="1" s="1"/>
  <c r="Q68" i="1" s="1"/>
  <c r="J68" i="1"/>
  <c r="I68" i="1"/>
  <c r="M68" i="1" s="1"/>
  <c r="S67" i="1"/>
  <c r="O67" i="1"/>
  <c r="P67" i="1" s="1"/>
  <c r="R67" i="1" s="1"/>
  <c r="L67" i="1"/>
  <c r="K67" i="1"/>
  <c r="N67" i="1" s="1"/>
  <c r="Q67" i="1" s="1"/>
  <c r="J67" i="1"/>
  <c r="I67" i="1"/>
  <c r="M67" i="1" s="1"/>
  <c r="S66" i="1"/>
  <c r="L66" i="1"/>
  <c r="O66" i="1" s="1"/>
  <c r="P66" i="1" s="1"/>
  <c r="R66" i="1" s="1"/>
  <c r="J66" i="1"/>
  <c r="I66" i="1"/>
  <c r="K66" i="1" s="1"/>
  <c r="N66" i="1" s="1"/>
  <c r="Q66" i="1" s="1"/>
  <c r="S65" i="1"/>
  <c r="L65" i="1"/>
  <c r="O65" i="1" s="1"/>
  <c r="P65" i="1" s="1"/>
  <c r="R65" i="1" s="1"/>
  <c r="J65" i="1"/>
  <c r="I65" i="1"/>
  <c r="M65" i="1" s="1"/>
  <c r="S64" i="1"/>
  <c r="L64" i="1"/>
  <c r="O64" i="1" s="1"/>
  <c r="P64" i="1" s="1"/>
  <c r="R64" i="1" s="1"/>
  <c r="K64" i="1"/>
  <c r="N64" i="1" s="1"/>
  <c r="Q64" i="1" s="1"/>
  <c r="J64" i="1"/>
  <c r="I64" i="1"/>
  <c r="M64" i="1" s="1"/>
  <c r="S63" i="1"/>
  <c r="O63" i="1"/>
  <c r="P63" i="1" s="1"/>
  <c r="R63" i="1" s="1"/>
  <c r="L63" i="1"/>
  <c r="K63" i="1"/>
  <c r="N63" i="1" s="1"/>
  <c r="Q63" i="1" s="1"/>
  <c r="J63" i="1"/>
  <c r="I63" i="1"/>
  <c r="M63" i="1" s="1"/>
  <c r="S62" i="1"/>
  <c r="L62" i="1"/>
  <c r="O62" i="1" s="1"/>
  <c r="P62" i="1" s="1"/>
  <c r="R62" i="1" s="1"/>
  <c r="J62" i="1"/>
  <c r="I62" i="1"/>
  <c r="K62" i="1" s="1"/>
  <c r="N62" i="1" s="1"/>
  <c r="Q62" i="1" s="1"/>
  <c r="S61" i="1"/>
  <c r="L61" i="1"/>
  <c r="O61" i="1" s="1"/>
  <c r="P61" i="1" s="1"/>
  <c r="R61" i="1" s="1"/>
  <c r="J61" i="1"/>
  <c r="I61" i="1"/>
  <c r="M61" i="1" s="1"/>
  <c r="S60" i="1"/>
  <c r="L60" i="1"/>
  <c r="O60" i="1" s="1"/>
  <c r="P60" i="1" s="1"/>
  <c r="R60" i="1" s="1"/>
  <c r="K60" i="1"/>
  <c r="N60" i="1" s="1"/>
  <c r="Q60" i="1" s="1"/>
  <c r="J60" i="1"/>
  <c r="I60" i="1"/>
  <c r="M60" i="1" s="1"/>
  <c r="S59" i="1"/>
  <c r="O59" i="1"/>
  <c r="P59" i="1" s="1"/>
  <c r="R59" i="1" s="1"/>
  <c r="L59" i="1"/>
  <c r="K59" i="1"/>
  <c r="N59" i="1" s="1"/>
  <c r="Q59" i="1" s="1"/>
  <c r="J59" i="1"/>
  <c r="I59" i="1"/>
  <c r="M59" i="1" s="1"/>
  <c r="S58" i="1"/>
  <c r="L58" i="1"/>
  <c r="O58" i="1" s="1"/>
  <c r="P58" i="1" s="1"/>
  <c r="R58" i="1" s="1"/>
  <c r="J58" i="1"/>
  <c r="I58" i="1"/>
  <c r="K58" i="1" s="1"/>
  <c r="N58" i="1" s="1"/>
  <c r="Q58" i="1" s="1"/>
  <c r="S57" i="1"/>
  <c r="L57" i="1"/>
  <c r="O57" i="1" s="1"/>
  <c r="P57" i="1" s="1"/>
  <c r="R57" i="1" s="1"/>
  <c r="J57" i="1"/>
  <c r="I57" i="1"/>
  <c r="M57" i="1" s="1"/>
  <c r="S56" i="1"/>
  <c r="L56" i="1"/>
  <c r="O56" i="1" s="1"/>
  <c r="P56" i="1" s="1"/>
  <c r="R56" i="1" s="1"/>
  <c r="K56" i="1"/>
  <c r="N56" i="1" s="1"/>
  <c r="Q56" i="1" s="1"/>
  <c r="J56" i="1"/>
  <c r="I56" i="1"/>
  <c r="M56" i="1" s="1"/>
  <c r="S55" i="1"/>
  <c r="O55" i="1"/>
  <c r="P55" i="1" s="1"/>
  <c r="R55" i="1" s="1"/>
  <c r="L55" i="1"/>
  <c r="K55" i="1"/>
  <c r="N55" i="1" s="1"/>
  <c r="Q55" i="1" s="1"/>
  <c r="J55" i="1"/>
  <c r="I55" i="1"/>
  <c r="M55" i="1" s="1"/>
  <c r="S54" i="1"/>
  <c r="L54" i="1"/>
  <c r="O54" i="1" s="1"/>
  <c r="P54" i="1" s="1"/>
  <c r="R54" i="1" s="1"/>
  <c r="J54" i="1"/>
  <c r="I54" i="1"/>
  <c r="K54" i="1" s="1"/>
  <c r="N54" i="1" s="1"/>
  <c r="Q54" i="1" s="1"/>
  <c r="S53" i="1"/>
  <c r="L53" i="1"/>
  <c r="O53" i="1" s="1"/>
  <c r="P53" i="1" s="1"/>
  <c r="R53" i="1" s="1"/>
  <c r="J53" i="1"/>
  <c r="I53" i="1"/>
  <c r="M53" i="1" s="1"/>
  <c r="S52" i="1"/>
  <c r="L52" i="1"/>
  <c r="O52" i="1" s="1"/>
  <c r="P52" i="1" s="1"/>
  <c r="R52" i="1" s="1"/>
  <c r="K52" i="1"/>
  <c r="N52" i="1" s="1"/>
  <c r="Q52" i="1" s="1"/>
  <c r="J52" i="1"/>
  <c r="I52" i="1"/>
  <c r="M52" i="1" s="1"/>
  <c r="S51" i="1"/>
  <c r="O51" i="1"/>
  <c r="P51" i="1" s="1"/>
  <c r="R51" i="1" s="1"/>
  <c r="L51" i="1"/>
  <c r="K51" i="1"/>
  <c r="N51" i="1" s="1"/>
  <c r="Q51" i="1" s="1"/>
  <c r="J51" i="1"/>
  <c r="I51" i="1"/>
  <c r="M51" i="1" s="1"/>
  <c r="S50" i="1"/>
  <c r="L50" i="1"/>
  <c r="O50" i="1" s="1"/>
  <c r="P50" i="1" s="1"/>
  <c r="R50" i="1" s="1"/>
  <c r="J50" i="1"/>
  <c r="I50" i="1"/>
  <c r="K50" i="1" s="1"/>
  <c r="N50" i="1" s="1"/>
  <c r="Q50" i="1" s="1"/>
  <c r="S49" i="1"/>
  <c r="L49" i="1"/>
  <c r="O49" i="1" s="1"/>
  <c r="P49" i="1" s="1"/>
  <c r="R49" i="1" s="1"/>
  <c r="J49" i="1"/>
  <c r="I49" i="1"/>
  <c r="M49" i="1" s="1"/>
  <c r="S48" i="1"/>
  <c r="L48" i="1"/>
  <c r="O48" i="1" s="1"/>
  <c r="P48" i="1" s="1"/>
  <c r="R48" i="1" s="1"/>
  <c r="K48" i="1"/>
  <c r="N48" i="1" s="1"/>
  <c r="Q48" i="1" s="1"/>
  <c r="J48" i="1"/>
  <c r="I48" i="1"/>
  <c r="M48" i="1" s="1"/>
  <c r="S47" i="1"/>
  <c r="O47" i="1"/>
  <c r="P47" i="1" s="1"/>
  <c r="R47" i="1" s="1"/>
  <c r="L47" i="1"/>
  <c r="K47" i="1"/>
  <c r="N47" i="1" s="1"/>
  <c r="Q47" i="1" s="1"/>
  <c r="J47" i="1"/>
  <c r="I47" i="1"/>
  <c r="M47" i="1" s="1"/>
  <c r="S46" i="1"/>
  <c r="L46" i="1"/>
  <c r="O46" i="1" s="1"/>
  <c r="P46" i="1" s="1"/>
  <c r="R46" i="1" s="1"/>
  <c r="J46" i="1"/>
  <c r="I46" i="1"/>
  <c r="K46" i="1" s="1"/>
  <c r="N46" i="1" s="1"/>
  <c r="Q46" i="1" s="1"/>
  <c r="S45" i="1"/>
  <c r="L45" i="1"/>
  <c r="O45" i="1" s="1"/>
  <c r="P45" i="1" s="1"/>
  <c r="R45" i="1" s="1"/>
  <c r="J45" i="1"/>
  <c r="I45" i="1"/>
  <c r="M45" i="1" s="1"/>
  <c r="S44" i="1"/>
  <c r="L44" i="1"/>
  <c r="O44" i="1" s="1"/>
  <c r="P44" i="1" s="1"/>
  <c r="R44" i="1" s="1"/>
  <c r="K44" i="1"/>
  <c r="N44" i="1" s="1"/>
  <c r="Q44" i="1" s="1"/>
  <c r="J44" i="1"/>
  <c r="I44" i="1"/>
  <c r="M44" i="1" s="1"/>
  <c r="S43" i="1"/>
  <c r="O43" i="1"/>
  <c r="P43" i="1" s="1"/>
  <c r="R43" i="1" s="1"/>
  <c r="L43" i="1"/>
  <c r="K43" i="1"/>
  <c r="N43" i="1" s="1"/>
  <c r="Q43" i="1" s="1"/>
  <c r="J43" i="1"/>
  <c r="I43" i="1"/>
  <c r="M43" i="1" s="1"/>
  <c r="S42" i="1"/>
  <c r="L42" i="1"/>
  <c r="O42" i="1" s="1"/>
  <c r="P42" i="1" s="1"/>
  <c r="R42" i="1" s="1"/>
  <c r="J42" i="1"/>
  <c r="I42" i="1"/>
  <c r="K42" i="1" s="1"/>
  <c r="N42" i="1" s="1"/>
  <c r="Q42" i="1" s="1"/>
  <c r="S41" i="1"/>
  <c r="L41" i="1"/>
  <c r="J41" i="1"/>
  <c r="I41" i="1"/>
  <c r="M41" i="1" s="1"/>
  <c r="S40" i="1"/>
  <c r="L40" i="1"/>
  <c r="O40" i="1" s="1"/>
  <c r="P40" i="1" s="1"/>
  <c r="R40" i="1" s="1"/>
  <c r="K40" i="1"/>
  <c r="J40" i="1"/>
  <c r="I40" i="1"/>
  <c r="M40" i="1" s="1"/>
  <c r="S39" i="1"/>
  <c r="O39" i="1"/>
  <c r="P39" i="1" s="1"/>
  <c r="R39" i="1" s="1"/>
  <c r="L39" i="1"/>
  <c r="K39" i="1"/>
  <c r="N39" i="1" s="1"/>
  <c r="Q39" i="1" s="1"/>
  <c r="J39" i="1"/>
  <c r="I39" i="1"/>
  <c r="M39" i="1" s="1"/>
  <c r="S38" i="1"/>
  <c r="L38" i="1"/>
  <c r="O38" i="1" s="1"/>
  <c r="P38" i="1" s="1"/>
  <c r="R38" i="1" s="1"/>
  <c r="J38" i="1"/>
  <c r="I38" i="1"/>
  <c r="K38" i="1" s="1"/>
  <c r="N38" i="1" s="1"/>
  <c r="Q38" i="1" s="1"/>
  <c r="S37" i="1"/>
  <c r="L37" i="1"/>
  <c r="J37" i="1"/>
  <c r="I37" i="1"/>
  <c r="M37" i="1" s="1"/>
  <c r="S36" i="1"/>
  <c r="L36" i="1"/>
  <c r="O36" i="1" s="1"/>
  <c r="P36" i="1" s="1"/>
  <c r="R36" i="1" s="1"/>
  <c r="K36" i="1"/>
  <c r="J36" i="1"/>
  <c r="I36" i="1"/>
  <c r="M36" i="1" s="1"/>
  <c r="S35" i="1"/>
  <c r="O35" i="1"/>
  <c r="P35" i="1" s="1"/>
  <c r="R35" i="1" s="1"/>
  <c r="L35" i="1"/>
  <c r="K35" i="1"/>
  <c r="N35" i="1" s="1"/>
  <c r="Q35" i="1" s="1"/>
  <c r="J35" i="1"/>
  <c r="I35" i="1"/>
  <c r="M35" i="1" s="1"/>
  <c r="S34" i="1"/>
  <c r="L34" i="1"/>
  <c r="O34" i="1" s="1"/>
  <c r="P34" i="1" s="1"/>
  <c r="R34" i="1" s="1"/>
  <c r="J34" i="1"/>
  <c r="I34" i="1"/>
  <c r="K34" i="1" s="1"/>
  <c r="N34" i="1" s="1"/>
  <c r="Q34" i="1" s="1"/>
  <c r="S33" i="1"/>
  <c r="L33" i="1"/>
  <c r="J33" i="1"/>
  <c r="I33" i="1"/>
  <c r="M33" i="1" s="1"/>
  <c r="S32" i="1"/>
  <c r="O32" i="1"/>
  <c r="P32" i="1" s="1"/>
  <c r="R32" i="1" s="1"/>
  <c r="L32" i="1"/>
  <c r="N32" i="1" s="1"/>
  <c r="Q32" i="1" s="1"/>
  <c r="K32" i="1"/>
  <c r="J32" i="1"/>
  <c r="I32" i="1"/>
  <c r="M32" i="1" s="1"/>
  <c r="S31" i="1"/>
  <c r="O31" i="1"/>
  <c r="P31" i="1" s="1"/>
  <c r="R31" i="1" s="1"/>
  <c r="N31" i="1"/>
  <c r="Q31" i="1" s="1"/>
  <c r="L31" i="1"/>
  <c r="K31" i="1"/>
  <c r="J31" i="1"/>
  <c r="I31" i="1"/>
  <c r="M31" i="1" s="1"/>
  <c r="S30" i="1"/>
  <c r="L30" i="1"/>
  <c r="O30" i="1" s="1"/>
  <c r="P30" i="1" s="1"/>
  <c r="R30" i="1" s="1"/>
  <c r="J30" i="1"/>
  <c r="I30" i="1"/>
  <c r="K30" i="1" s="1"/>
  <c r="N30" i="1" s="1"/>
  <c r="Q30" i="1" s="1"/>
  <c r="S29" i="1"/>
  <c r="L29" i="1"/>
  <c r="J29" i="1"/>
  <c r="I29" i="1"/>
  <c r="M29" i="1" s="1"/>
  <c r="S28" i="1"/>
  <c r="O28" i="1"/>
  <c r="P28" i="1" s="1"/>
  <c r="R28" i="1" s="1"/>
  <c r="L28" i="1"/>
  <c r="N28" i="1" s="1"/>
  <c r="Q28" i="1" s="1"/>
  <c r="K28" i="1"/>
  <c r="J28" i="1"/>
  <c r="I28" i="1"/>
  <c r="M28" i="1" s="1"/>
  <c r="S27" i="1"/>
  <c r="O27" i="1"/>
  <c r="P27" i="1" s="1"/>
  <c r="R27" i="1" s="1"/>
  <c r="N27" i="1"/>
  <c r="Q27" i="1" s="1"/>
  <c r="L27" i="1"/>
  <c r="K27" i="1"/>
  <c r="J27" i="1"/>
  <c r="I27" i="1"/>
  <c r="M27" i="1" s="1"/>
  <c r="S26" i="1"/>
  <c r="Q26" i="1"/>
  <c r="N26" i="1"/>
  <c r="L26" i="1"/>
  <c r="O26" i="1" s="1"/>
  <c r="P26" i="1" s="1"/>
  <c r="R26" i="1" s="1"/>
  <c r="J26" i="1"/>
  <c r="I26" i="1"/>
  <c r="K26" i="1" s="1"/>
  <c r="S25" i="1"/>
  <c r="L25" i="1"/>
  <c r="N25" i="1" s="1"/>
  <c r="Q25" i="1" s="1"/>
  <c r="J25" i="1"/>
  <c r="I25" i="1"/>
  <c r="K25" i="1" s="1"/>
  <c r="S24" i="1"/>
  <c r="O24" i="1"/>
  <c r="P24" i="1" s="1"/>
  <c r="R24" i="1" s="1"/>
  <c r="L24" i="1"/>
  <c r="N24" i="1" s="1"/>
  <c r="Q24" i="1" s="1"/>
  <c r="K24" i="1"/>
  <c r="J24" i="1"/>
  <c r="I24" i="1"/>
  <c r="M24" i="1" s="1"/>
  <c r="S23" i="1"/>
  <c r="O23" i="1"/>
  <c r="P23" i="1" s="1"/>
  <c r="R23" i="1" s="1"/>
  <c r="N23" i="1"/>
  <c r="Q23" i="1" s="1"/>
  <c r="L23" i="1"/>
  <c r="K23" i="1"/>
  <c r="J23" i="1"/>
  <c r="I23" i="1"/>
  <c r="M23" i="1" s="1"/>
  <c r="S22" i="1"/>
  <c r="L22" i="1"/>
  <c r="O22" i="1" s="1"/>
  <c r="P22" i="1" s="1"/>
  <c r="R22" i="1" s="1"/>
  <c r="J22" i="1"/>
  <c r="I22" i="1"/>
  <c r="K22" i="1" s="1"/>
  <c r="N22" i="1" s="1"/>
  <c r="Q22" i="1" s="1"/>
  <c r="S21" i="1"/>
  <c r="L21" i="1"/>
  <c r="N21" i="1" s="1"/>
  <c r="Q21" i="1" s="1"/>
  <c r="J21" i="1"/>
  <c r="I21" i="1"/>
  <c r="M21" i="1" s="1"/>
  <c r="S20" i="1"/>
  <c r="O20" i="1"/>
  <c r="P20" i="1" s="1"/>
  <c r="R20" i="1" s="1"/>
  <c r="L20" i="1"/>
  <c r="N20" i="1" s="1"/>
  <c r="Q20" i="1" s="1"/>
  <c r="K20" i="1"/>
  <c r="J20" i="1"/>
  <c r="I20" i="1"/>
  <c r="M20" i="1" s="1"/>
  <c r="S19" i="1"/>
  <c r="O19" i="1"/>
  <c r="P19" i="1" s="1"/>
  <c r="R19" i="1" s="1"/>
  <c r="N19" i="1"/>
  <c r="Q19" i="1" s="1"/>
  <c r="L19" i="1"/>
  <c r="K19" i="1"/>
  <c r="J19" i="1"/>
  <c r="I19" i="1"/>
  <c r="M19" i="1" s="1"/>
  <c r="S18" i="1"/>
  <c r="L18" i="1"/>
  <c r="O18" i="1" s="1"/>
  <c r="P18" i="1" s="1"/>
  <c r="R18" i="1" s="1"/>
  <c r="J18" i="1"/>
  <c r="I18" i="1"/>
  <c r="K18" i="1" s="1"/>
  <c r="N18" i="1" s="1"/>
  <c r="Q18" i="1" s="1"/>
  <c r="S17" i="1"/>
  <c r="L17" i="1"/>
  <c r="J17" i="1"/>
  <c r="I17" i="1"/>
  <c r="M17" i="1" s="1"/>
  <c r="S16" i="1"/>
  <c r="O16" i="1"/>
  <c r="P16" i="1" s="1"/>
  <c r="R16" i="1" s="1"/>
  <c r="L16" i="1"/>
  <c r="N16" i="1" s="1"/>
  <c r="Q16" i="1" s="1"/>
  <c r="K16" i="1"/>
  <c r="J16" i="1"/>
  <c r="I16" i="1"/>
  <c r="M16" i="1" s="1"/>
  <c r="S15" i="1"/>
  <c r="O15" i="1"/>
  <c r="P15" i="1" s="1"/>
  <c r="R15" i="1" s="1"/>
  <c r="N15" i="1"/>
  <c r="Q15" i="1" s="1"/>
  <c r="L15" i="1"/>
  <c r="K15" i="1"/>
  <c r="J15" i="1"/>
  <c r="I15" i="1"/>
  <c r="M15" i="1" s="1"/>
  <c r="S14" i="1"/>
  <c r="L14" i="1"/>
  <c r="O14" i="1" s="1"/>
  <c r="P14" i="1" s="1"/>
  <c r="R14" i="1" s="1"/>
  <c r="J14" i="1"/>
  <c r="I14" i="1"/>
  <c r="K14" i="1" s="1"/>
  <c r="N14" i="1" s="1"/>
  <c r="Q14" i="1" s="1"/>
  <c r="S13" i="1"/>
  <c r="L13" i="1"/>
  <c r="J13" i="1"/>
  <c r="I13" i="1"/>
  <c r="M13" i="1" s="1"/>
  <c r="S12" i="1"/>
  <c r="O12" i="1"/>
  <c r="P12" i="1" s="1"/>
  <c r="R12" i="1" s="1"/>
  <c r="L12" i="1"/>
  <c r="N12" i="1" s="1"/>
  <c r="Q12" i="1" s="1"/>
  <c r="K12" i="1"/>
  <c r="J12" i="1"/>
  <c r="I12" i="1"/>
  <c r="M12" i="1" s="1"/>
  <c r="S11" i="1"/>
  <c r="O11" i="1"/>
  <c r="P11" i="1" s="1"/>
  <c r="R11" i="1" s="1"/>
  <c r="L11" i="1"/>
  <c r="J11" i="1"/>
  <c r="K11" i="1" s="1"/>
  <c r="N11" i="1" s="1"/>
  <c r="Q11" i="1" s="1"/>
  <c r="I11" i="1"/>
  <c r="M11" i="1" s="1"/>
  <c r="S10" i="1"/>
  <c r="L10" i="1"/>
  <c r="O10" i="1" s="1"/>
  <c r="P10" i="1" s="1"/>
  <c r="R10" i="1" s="1"/>
  <c r="J10" i="1"/>
  <c r="I10" i="1"/>
  <c r="K10" i="1" s="1"/>
  <c r="N10" i="1" s="1"/>
  <c r="Q10" i="1" s="1"/>
  <c r="S9" i="1"/>
  <c r="L9" i="1"/>
  <c r="J9" i="1"/>
  <c r="I9" i="1"/>
  <c r="M9" i="1" s="1"/>
  <c r="S8" i="1"/>
  <c r="O8" i="1"/>
  <c r="P8" i="1" s="1"/>
  <c r="R8" i="1" s="1"/>
  <c r="L8" i="1"/>
  <c r="N8" i="1" s="1"/>
  <c r="Q8" i="1" s="1"/>
  <c r="K8" i="1"/>
  <c r="J8" i="1"/>
  <c r="I8" i="1"/>
  <c r="M8" i="1" s="1"/>
  <c r="S7" i="1"/>
  <c r="O7" i="1"/>
  <c r="P7" i="1" s="1"/>
  <c r="R7" i="1" s="1"/>
  <c r="N7" i="1"/>
  <c r="Q7" i="1" s="1"/>
  <c r="L7" i="1"/>
  <c r="K7" i="1"/>
  <c r="J7" i="1"/>
  <c r="I7" i="1"/>
  <c r="M7" i="1" s="1"/>
  <c r="S6" i="1"/>
  <c r="L6" i="1"/>
  <c r="O6" i="1" s="1"/>
  <c r="P6" i="1" s="1"/>
  <c r="R6" i="1" s="1"/>
  <c r="J6" i="1"/>
  <c r="I6" i="1"/>
  <c r="K6" i="1" s="1"/>
  <c r="N6" i="1" s="1"/>
  <c r="Q6" i="1" s="1"/>
  <c r="S5" i="1"/>
  <c r="L5" i="1"/>
  <c r="J5" i="1"/>
  <c r="I5" i="1"/>
  <c r="K5" i="1" s="1"/>
  <c r="N5" i="1" l="1"/>
  <c r="Q5" i="1" s="1"/>
  <c r="M5" i="1"/>
  <c r="M25" i="1"/>
  <c r="O5" i="1"/>
  <c r="P5" i="1" s="1"/>
  <c r="R5" i="1" s="1"/>
  <c r="K9" i="1"/>
  <c r="N9" i="1" s="1"/>
  <c r="Q9" i="1" s="1"/>
  <c r="O9" i="1"/>
  <c r="P9" i="1" s="1"/>
  <c r="R9" i="1" s="1"/>
  <c r="K13" i="1"/>
  <c r="N13" i="1" s="1"/>
  <c r="Q13" i="1" s="1"/>
  <c r="O13" i="1"/>
  <c r="P13" i="1" s="1"/>
  <c r="R13" i="1" s="1"/>
  <c r="K17" i="1"/>
  <c r="N17" i="1" s="1"/>
  <c r="Q17" i="1" s="1"/>
  <c r="O17" i="1"/>
  <c r="P17" i="1" s="1"/>
  <c r="R17" i="1" s="1"/>
  <c r="K21" i="1"/>
  <c r="O21" i="1"/>
  <c r="P21" i="1" s="1"/>
  <c r="R21" i="1" s="1"/>
  <c r="O25" i="1"/>
  <c r="P25" i="1" s="1"/>
  <c r="R25" i="1" s="1"/>
  <c r="K29" i="1"/>
  <c r="N29" i="1" s="1"/>
  <c r="Q29" i="1" s="1"/>
  <c r="O29" i="1"/>
  <c r="P29" i="1" s="1"/>
  <c r="R29" i="1" s="1"/>
  <c r="K33" i="1"/>
  <c r="N33" i="1" s="1"/>
  <c r="Q33" i="1" s="1"/>
  <c r="O33" i="1"/>
  <c r="P33" i="1" s="1"/>
  <c r="R33" i="1" s="1"/>
  <c r="N36" i="1"/>
  <c r="Q36" i="1" s="1"/>
  <c r="K37" i="1"/>
  <c r="N37" i="1" s="1"/>
  <c r="Q37" i="1" s="1"/>
  <c r="O37" i="1"/>
  <c r="P37" i="1" s="1"/>
  <c r="R37" i="1" s="1"/>
  <c r="N40" i="1"/>
  <c r="Q40" i="1" s="1"/>
  <c r="K41" i="1"/>
  <c r="N41" i="1" s="1"/>
  <c r="Q41" i="1" s="1"/>
  <c r="O41" i="1"/>
  <c r="P41" i="1" s="1"/>
  <c r="R41" i="1" s="1"/>
  <c r="K45" i="1"/>
  <c r="N45" i="1" s="1"/>
  <c r="Q45" i="1" s="1"/>
  <c r="K49" i="1"/>
  <c r="N49" i="1" s="1"/>
  <c r="Q49" i="1" s="1"/>
  <c r="K53" i="1"/>
  <c r="N53" i="1" s="1"/>
  <c r="Q53" i="1" s="1"/>
  <c r="K57" i="1"/>
  <c r="N57" i="1" s="1"/>
  <c r="Q57" i="1" s="1"/>
  <c r="K61" i="1"/>
  <c r="N61" i="1" s="1"/>
  <c r="Q61" i="1" s="1"/>
  <c r="K65" i="1"/>
  <c r="N65" i="1" s="1"/>
  <c r="Q65" i="1" s="1"/>
  <c r="K69" i="1"/>
  <c r="N69" i="1" s="1"/>
  <c r="Q69" i="1" s="1"/>
  <c r="K73" i="1"/>
  <c r="N73" i="1" s="1"/>
  <c r="Q73" i="1" s="1"/>
  <c r="K77" i="1"/>
  <c r="N77" i="1" s="1"/>
  <c r="Q77" i="1" s="1"/>
  <c r="K85" i="1"/>
  <c r="N85" i="1" s="1"/>
  <c r="Q85" i="1" s="1"/>
  <c r="K90" i="1"/>
  <c r="N90" i="1" s="1"/>
  <c r="Q90" i="1" s="1"/>
  <c r="M94" i="1"/>
  <c r="K95" i="1"/>
  <c r="N95" i="1" s="1"/>
  <c r="Q95" i="1" s="1"/>
  <c r="K101" i="1"/>
  <c r="N101" i="1" s="1"/>
  <c r="Q101" i="1" s="1"/>
  <c r="M110" i="1"/>
  <c r="K111" i="1"/>
  <c r="N111" i="1" s="1"/>
  <c r="Q111" i="1" s="1"/>
  <c r="K117" i="1"/>
  <c r="N117" i="1" s="1"/>
  <c r="Q117" i="1" s="1"/>
  <c r="M126" i="1"/>
  <c r="K127" i="1"/>
  <c r="N127" i="1" s="1"/>
  <c r="Q127" i="1" s="1"/>
  <c r="K133" i="1"/>
  <c r="N133" i="1" s="1"/>
  <c r="Q133" i="1" s="1"/>
  <c r="M142" i="1"/>
  <c r="M150" i="1"/>
  <c r="M166" i="1"/>
  <c r="N211" i="1"/>
  <c r="Q211" i="1" s="1"/>
  <c r="M6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1" i="1"/>
  <c r="M82" i="1"/>
  <c r="M91" i="1"/>
  <c r="M97" i="1"/>
  <c r="M98" i="1"/>
  <c r="M107" i="1"/>
  <c r="M113" i="1"/>
  <c r="M114" i="1"/>
  <c r="M123" i="1"/>
  <c r="M129" i="1"/>
  <c r="M130" i="1"/>
  <c r="M139" i="1"/>
  <c r="M149" i="1"/>
  <c r="M154" i="1"/>
  <c r="M170" i="1"/>
  <c r="M10" i="1"/>
  <c r="M14" i="1"/>
  <c r="M18" i="1"/>
  <c r="M90" i="1"/>
  <c r="M176" i="1"/>
  <c r="M180" i="1"/>
  <c r="M184" i="1"/>
  <c r="M188" i="1"/>
  <c r="M192" i="1"/>
  <c r="M196" i="1"/>
  <c r="M200" i="1"/>
  <c r="M204" i="1"/>
  <c r="M208" i="1"/>
  <c r="O210" i="1"/>
  <c r="P210" i="1" s="1"/>
  <c r="R210" i="1" s="1"/>
  <c r="M212" i="1"/>
  <c r="O214" i="1"/>
  <c r="P214" i="1" s="1"/>
  <c r="R214" i="1" s="1"/>
  <c r="M216" i="1"/>
  <c r="O218" i="1"/>
  <c r="P218" i="1" s="1"/>
  <c r="R218" i="1" s="1"/>
  <c r="M220" i="1"/>
  <c r="O222" i="1"/>
  <c r="P222" i="1" s="1"/>
  <c r="R222" i="1" s="1"/>
  <c r="M224" i="1"/>
  <c r="O226" i="1"/>
  <c r="P226" i="1" s="1"/>
  <c r="R226" i="1" s="1"/>
  <c r="M228" i="1"/>
  <c r="O230" i="1"/>
  <c r="P230" i="1" s="1"/>
  <c r="R230" i="1" s="1"/>
  <c r="M232" i="1"/>
  <c r="O234" i="1"/>
  <c r="P234" i="1" s="1"/>
  <c r="R234" i="1" s="1"/>
  <c r="M236" i="1"/>
  <c r="O238" i="1"/>
  <c r="P238" i="1" s="1"/>
  <c r="R238" i="1" s="1"/>
  <c r="M240" i="1"/>
  <c r="O242" i="1"/>
  <c r="P242" i="1" s="1"/>
  <c r="R242" i="1" s="1"/>
  <c r="M244" i="1"/>
  <c r="M248" i="1"/>
  <c r="M252" i="1"/>
  <c r="M256" i="1"/>
  <c r="M260" i="1"/>
  <c r="M264" i="1"/>
  <c r="M268" i="1"/>
  <c r="M272" i="1"/>
  <c r="M276" i="1"/>
  <c r="M280" i="1"/>
  <c r="M284" i="1"/>
  <c r="M288" i="1"/>
  <c r="M292" i="1"/>
  <c r="M296" i="1"/>
  <c r="M300" i="1"/>
  <c r="M304" i="1"/>
  <c r="M308" i="1"/>
  <c r="M312" i="1"/>
  <c r="M316" i="1"/>
  <c r="M320" i="1"/>
  <c r="M324" i="1"/>
  <c r="M328" i="1"/>
  <c r="M332" i="1"/>
  <c r="M336" i="1"/>
  <c r="M340" i="1"/>
  <c r="M344" i="1"/>
  <c r="M348" i="1"/>
  <c r="M352" i="1"/>
  <c r="M356" i="1"/>
  <c r="M360" i="1"/>
  <c r="M364" i="1"/>
  <c r="M368" i="1"/>
  <c r="M372" i="1"/>
  <c r="M376" i="1"/>
  <c r="M380" i="1"/>
  <c r="M384" i="1"/>
  <c r="M388" i="1"/>
  <c r="M392" i="1"/>
  <c r="M396" i="1"/>
  <c r="M400" i="1"/>
  <c r="M404" i="1"/>
  <c r="K406" i="1"/>
  <c r="N406" i="1" s="1"/>
  <c r="Q406" i="1" s="1"/>
  <c r="K410" i="1"/>
  <c r="N410" i="1" s="1"/>
  <c r="Q410" i="1" s="1"/>
  <c r="K414" i="1"/>
  <c r="N414" i="1" s="1"/>
  <c r="Q414" i="1" s="1"/>
  <c r="O414" i="1"/>
  <c r="P414" i="1" s="1"/>
  <c r="R414" i="1" s="1"/>
  <c r="K418" i="1"/>
  <c r="N418" i="1" s="1"/>
  <c r="Q418" i="1" s="1"/>
  <c r="O418" i="1"/>
  <c r="P418" i="1" s="1"/>
  <c r="R418" i="1" s="1"/>
  <c r="K422" i="1"/>
  <c r="N422" i="1" s="1"/>
  <c r="Q422" i="1" s="1"/>
  <c r="O422" i="1"/>
  <c r="P422" i="1" s="1"/>
  <c r="R422" i="1" s="1"/>
  <c r="K426" i="1"/>
  <c r="N426" i="1" s="1"/>
  <c r="Q426" i="1" s="1"/>
  <c r="O426" i="1"/>
  <c r="P426" i="1" s="1"/>
  <c r="R426" i="1" s="1"/>
  <c r="K430" i="1"/>
  <c r="N430" i="1" s="1"/>
  <c r="Q430" i="1" s="1"/>
  <c r="O430" i="1"/>
  <c r="P430" i="1" s="1"/>
  <c r="R430" i="1" s="1"/>
  <c r="K434" i="1"/>
  <c r="N434" i="1" s="1"/>
  <c r="Q434" i="1" s="1"/>
  <c r="O434" i="1"/>
  <c r="P434" i="1" s="1"/>
  <c r="R434" i="1" s="1"/>
  <c r="K438" i="1"/>
  <c r="N438" i="1" s="1"/>
  <c r="Q438" i="1" s="1"/>
  <c r="O438" i="1"/>
  <c r="P438" i="1" s="1"/>
  <c r="R438" i="1" s="1"/>
  <c r="K442" i="1"/>
  <c r="N442" i="1" s="1"/>
  <c r="Q442" i="1" s="1"/>
  <c r="O442" i="1"/>
  <c r="P442" i="1" s="1"/>
  <c r="R442" i="1" s="1"/>
  <c r="K446" i="1"/>
  <c r="N446" i="1" s="1"/>
  <c r="Q446" i="1" s="1"/>
  <c r="O446" i="1"/>
  <c r="P446" i="1" s="1"/>
  <c r="R446" i="1" s="1"/>
  <c r="K450" i="1"/>
  <c r="N450" i="1" s="1"/>
  <c r="Q450" i="1" s="1"/>
  <c r="O450" i="1"/>
  <c r="P450" i="1" s="1"/>
  <c r="R450" i="1" s="1"/>
  <c r="K454" i="1"/>
  <c r="N454" i="1" s="1"/>
  <c r="Q454" i="1" s="1"/>
  <c r="K458" i="1"/>
  <c r="N458" i="1" s="1"/>
  <c r="Q458" i="1" s="1"/>
  <c r="K462" i="1"/>
  <c r="N462" i="1" s="1"/>
  <c r="Q462" i="1" s="1"/>
  <c r="K466" i="1"/>
  <c r="N466" i="1" s="1"/>
  <c r="Q466" i="1" s="1"/>
  <c r="K470" i="1"/>
  <c r="N470" i="1" s="1"/>
  <c r="Q470" i="1" s="1"/>
  <c r="K474" i="1"/>
  <c r="N474" i="1" s="1"/>
  <c r="Q474" i="1" s="1"/>
  <c r="K478" i="1"/>
  <c r="N478" i="1" s="1"/>
  <c r="Q478" i="1" s="1"/>
  <c r="K482" i="1"/>
  <c r="N482" i="1" s="1"/>
  <c r="Q482" i="1" s="1"/>
  <c r="K486" i="1"/>
  <c r="N486" i="1" s="1"/>
  <c r="Q486" i="1" s="1"/>
  <c r="K490" i="1"/>
  <c r="N490" i="1" s="1"/>
  <c r="Q490" i="1" s="1"/>
  <c r="K494" i="1"/>
  <c r="N494" i="1" s="1"/>
  <c r="Q494" i="1" s="1"/>
  <c r="K498" i="1"/>
  <c r="N498" i="1" s="1"/>
  <c r="Q498" i="1" s="1"/>
  <c r="K502" i="1"/>
  <c r="N502" i="1" s="1"/>
  <c r="Q502" i="1" s="1"/>
  <c r="K506" i="1"/>
  <c r="N506" i="1" s="1"/>
  <c r="Q506" i="1" s="1"/>
  <c r="K510" i="1"/>
  <c r="N510" i="1" s="1"/>
  <c r="Q510" i="1" s="1"/>
  <c r="K514" i="1"/>
  <c r="N514" i="1" s="1"/>
  <c r="Q514" i="1" s="1"/>
  <c r="K518" i="1"/>
  <c r="N518" i="1" s="1"/>
  <c r="Q518" i="1" s="1"/>
  <c r="K522" i="1"/>
  <c r="N522" i="1" s="1"/>
  <c r="Q522" i="1" s="1"/>
  <c r="K526" i="1"/>
  <c r="N526" i="1" s="1"/>
  <c r="Q526" i="1" s="1"/>
  <c r="K530" i="1"/>
  <c r="N530" i="1" s="1"/>
  <c r="Q530" i="1" s="1"/>
  <c r="K534" i="1"/>
  <c r="N534" i="1" s="1"/>
  <c r="Q534" i="1" s="1"/>
  <c r="K538" i="1"/>
  <c r="N538" i="1" s="1"/>
  <c r="Q538" i="1" s="1"/>
  <c r="K542" i="1"/>
  <c r="N542" i="1" s="1"/>
  <c r="Q542" i="1" s="1"/>
  <c r="K546" i="1"/>
  <c r="N546" i="1" s="1"/>
  <c r="Q546" i="1" s="1"/>
  <c r="K550" i="1"/>
  <c r="N550" i="1" s="1"/>
  <c r="Q550" i="1" s="1"/>
  <c r="K554" i="1"/>
  <c r="N554" i="1" s="1"/>
  <c r="Q554" i="1" s="1"/>
  <c r="K558" i="1"/>
  <c r="N558" i="1" s="1"/>
  <c r="Q558" i="1" s="1"/>
  <c r="K562" i="1"/>
  <c r="N562" i="1" s="1"/>
  <c r="Q562" i="1" s="1"/>
  <c r="K566" i="1"/>
  <c r="N566" i="1" s="1"/>
  <c r="Q566" i="1" s="1"/>
  <c r="K570" i="1"/>
  <c r="N570" i="1" s="1"/>
  <c r="Q570" i="1" s="1"/>
  <c r="K574" i="1"/>
  <c r="N574" i="1" s="1"/>
  <c r="Q574" i="1" s="1"/>
  <c r="K578" i="1"/>
  <c r="N578" i="1" s="1"/>
  <c r="Q578" i="1" s="1"/>
  <c r="K582" i="1"/>
  <c r="N582" i="1" s="1"/>
  <c r="Q582" i="1" s="1"/>
  <c r="K586" i="1"/>
  <c r="N586" i="1" s="1"/>
  <c r="Q586" i="1" s="1"/>
  <c r="K590" i="1"/>
  <c r="N590" i="1" s="1"/>
  <c r="Q590" i="1" s="1"/>
  <c r="K594" i="1"/>
  <c r="N594" i="1" s="1"/>
  <c r="Q594" i="1" s="1"/>
  <c r="K598" i="1"/>
  <c r="N598" i="1" s="1"/>
  <c r="Q598" i="1" s="1"/>
  <c r="K602" i="1"/>
  <c r="N602" i="1" s="1"/>
  <c r="Q602" i="1" s="1"/>
  <c r="K606" i="1"/>
  <c r="N606" i="1" s="1"/>
  <c r="Q606" i="1" s="1"/>
  <c r="K610" i="1"/>
  <c r="N610" i="1" s="1"/>
  <c r="Q610" i="1" s="1"/>
  <c r="K614" i="1"/>
  <c r="N614" i="1" s="1"/>
  <c r="Q614" i="1" s="1"/>
  <c r="K618" i="1"/>
  <c r="N618" i="1" s="1"/>
  <c r="Q618" i="1" s="1"/>
  <c r="O618" i="1"/>
  <c r="P618" i="1" s="1"/>
  <c r="R618" i="1" s="1"/>
  <c r="K622" i="1"/>
  <c r="N622" i="1" s="1"/>
  <c r="Q622" i="1" s="1"/>
  <c r="O622" i="1"/>
  <c r="P622" i="1" s="1"/>
  <c r="R622" i="1" s="1"/>
  <c r="K626" i="1"/>
  <c r="N626" i="1" s="1"/>
  <c r="Q626" i="1" s="1"/>
  <c r="O626" i="1"/>
  <c r="P626" i="1" s="1"/>
  <c r="R626" i="1" s="1"/>
  <c r="K630" i="1"/>
  <c r="N630" i="1" s="1"/>
  <c r="Q630" i="1" s="1"/>
  <c r="O630" i="1"/>
  <c r="P630" i="1" s="1"/>
  <c r="R630" i="1" s="1"/>
  <c r="K634" i="1"/>
  <c r="N634" i="1" s="1"/>
  <c r="Q634" i="1" s="1"/>
  <c r="O634" i="1"/>
  <c r="P634" i="1" s="1"/>
  <c r="R634" i="1" s="1"/>
  <c r="K638" i="1"/>
  <c r="O638" i="1"/>
  <c r="P638" i="1" s="1"/>
  <c r="R638" i="1" s="1"/>
  <c r="K642" i="1"/>
  <c r="N642" i="1" s="1"/>
  <c r="Q642" i="1" s="1"/>
  <c r="O642" i="1"/>
  <c r="P642" i="1" s="1"/>
  <c r="R642" i="1" s="1"/>
  <c r="K646" i="1"/>
  <c r="N646" i="1" s="1"/>
  <c r="Q646" i="1" s="1"/>
  <c r="O646" i="1"/>
  <c r="P646" i="1" s="1"/>
  <c r="R646" i="1" s="1"/>
  <c r="K650" i="1"/>
  <c r="N650" i="1" s="1"/>
  <c r="Q650" i="1" s="1"/>
  <c r="O650" i="1"/>
  <c r="P650" i="1" s="1"/>
  <c r="R650" i="1" s="1"/>
  <c r="K654" i="1"/>
  <c r="N654" i="1" s="1"/>
  <c r="Q654" i="1" s="1"/>
  <c r="O654" i="1"/>
  <c r="P654" i="1" s="1"/>
  <c r="R654" i="1" s="1"/>
  <c r="K658" i="1"/>
  <c r="N658" i="1" s="1"/>
  <c r="Q658" i="1" s="1"/>
  <c r="K662" i="1"/>
  <c r="N662" i="1" s="1"/>
  <c r="Q662" i="1" s="1"/>
  <c r="K666" i="1"/>
  <c r="N666" i="1" s="1"/>
  <c r="Q666" i="1" s="1"/>
  <c r="K670" i="1"/>
  <c r="N670" i="1" s="1"/>
  <c r="Q670" i="1" s="1"/>
  <c r="K674" i="1"/>
  <c r="N674" i="1" s="1"/>
  <c r="Q674" i="1" s="1"/>
  <c r="K678" i="1"/>
  <c r="N678" i="1" s="1"/>
  <c r="Q678" i="1" s="1"/>
  <c r="K682" i="1"/>
  <c r="N682" i="1" s="1"/>
  <c r="Q682" i="1" s="1"/>
  <c r="K686" i="1"/>
  <c r="N686" i="1" s="1"/>
  <c r="Q686" i="1" s="1"/>
  <c r="K690" i="1"/>
  <c r="N690" i="1" s="1"/>
  <c r="Q690" i="1" s="1"/>
  <c r="K694" i="1"/>
  <c r="N694" i="1" s="1"/>
  <c r="Q694" i="1" s="1"/>
  <c r="K698" i="1"/>
  <c r="N698" i="1" s="1"/>
  <c r="Q698" i="1" s="1"/>
  <c r="K702" i="1"/>
  <c r="N702" i="1" s="1"/>
  <c r="Q702" i="1" s="1"/>
  <c r="K706" i="1"/>
  <c r="N706" i="1" s="1"/>
  <c r="Q706" i="1" s="1"/>
  <c r="K710" i="1"/>
  <c r="N710" i="1" s="1"/>
  <c r="Q710" i="1" s="1"/>
  <c r="K714" i="1"/>
  <c r="N714" i="1" s="1"/>
  <c r="Q714" i="1" s="1"/>
  <c r="K718" i="1"/>
  <c r="N718" i="1" s="1"/>
  <c r="Q718" i="1" s="1"/>
  <c r="K722" i="1"/>
  <c r="N722" i="1" s="1"/>
  <c r="Q722" i="1" s="1"/>
  <c r="K726" i="1"/>
  <c r="N726" i="1" s="1"/>
  <c r="Q726" i="1" s="1"/>
  <c r="K730" i="1"/>
  <c r="N730" i="1" s="1"/>
  <c r="Q730" i="1" s="1"/>
  <c r="K734" i="1"/>
  <c r="N734" i="1" s="1"/>
  <c r="Q734" i="1" s="1"/>
  <c r="K738" i="1"/>
  <c r="N738" i="1" s="1"/>
  <c r="Q738" i="1" s="1"/>
  <c r="K742" i="1"/>
  <c r="N742" i="1" s="1"/>
  <c r="Q742" i="1" s="1"/>
  <c r="K746" i="1"/>
  <c r="N746" i="1" s="1"/>
  <c r="Q746" i="1" s="1"/>
  <c r="K750" i="1"/>
  <c r="N750" i="1" s="1"/>
  <c r="Q750" i="1" s="1"/>
  <c r="K754" i="1"/>
  <c r="N754" i="1" s="1"/>
  <c r="Q754" i="1" s="1"/>
  <c r="K758" i="1"/>
  <c r="N758" i="1" s="1"/>
  <c r="Q758" i="1" s="1"/>
  <c r="K762" i="1"/>
  <c r="N762" i="1" s="1"/>
  <c r="Q762" i="1" s="1"/>
  <c r="K766" i="1"/>
  <c r="N766" i="1" s="1"/>
  <c r="Q766" i="1" s="1"/>
  <c r="K770" i="1"/>
  <c r="N770" i="1" s="1"/>
  <c r="Q770" i="1" s="1"/>
  <c r="K774" i="1"/>
  <c r="N774" i="1" s="1"/>
  <c r="Q774" i="1" s="1"/>
  <c r="K778" i="1"/>
  <c r="N778" i="1" s="1"/>
  <c r="Q778" i="1" s="1"/>
  <c r="K782" i="1"/>
  <c r="N782" i="1" s="1"/>
  <c r="Q782" i="1" s="1"/>
  <c r="K786" i="1"/>
  <c r="N786" i="1" s="1"/>
  <c r="Q786" i="1" s="1"/>
  <c r="K790" i="1"/>
  <c r="N790" i="1" s="1"/>
  <c r="Q790" i="1" s="1"/>
  <c r="K794" i="1"/>
  <c r="N794" i="1" s="1"/>
  <c r="Q794" i="1" s="1"/>
  <c r="K798" i="1"/>
  <c r="N798" i="1" s="1"/>
  <c r="Q798" i="1" s="1"/>
  <c r="K802" i="1"/>
  <c r="N802" i="1" s="1"/>
  <c r="Q802" i="1" s="1"/>
  <c r="K806" i="1"/>
  <c r="N806" i="1" s="1"/>
  <c r="Q806" i="1" s="1"/>
  <c r="K810" i="1"/>
  <c r="N810" i="1" s="1"/>
  <c r="Q810" i="1" s="1"/>
  <c r="K814" i="1"/>
  <c r="N814" i="1" s="1"/>
  <c r="Q814" i="1" s="1"/>
  <c r="K818" i="1"/>
  <c r="N818" i="1" s="1"/>
  <c r="Q818" i="1" s="1"/>
  <c r="K822" i="1"/>
  <c r="N822" i="1" s="1"/>
  <c r="Q822" i="1" s="1"/>
  <c r="O822" i="1"/>
  <c r="P822" i="1" s="1"/>
  <c r="R822" i="1" s="1"/>
  <c r="K826" i="1"/>
  <c r="N826" i="1" s="1"/>
  <c r="Q826" i="1" s="1"/>
  <c r="O826" i="1"/>
  <c r="P826" i="1" s="1"/>
  <c r="R826" i="1" s="1"/>
  <c r="K830" i="1"/>
  <c r="N830" i="1" s="1"/>
  <c r="Q830" i="1" s="1"/>
  <c r="O830" i="1"/>
  <c r="P830" i="1" s="1"/>
  <c r="R830" i="1" s="1"/>
  <c r="K834" i="1"/>
  <c r="O834" i="1"/>
  <c r="P834" i="1" s="1"/>
  <c r="R834" i="1" s="1"/>
  <c r="K838" i="1"/>
  <c r="O838" i="1"/>
  <c r="P838" i="1" s="1"/>
  <c r="R838" i="1" s="1"/>
  <c r="K842" i="1"/>
  <c r="N842" i="1" s="1"/>
  <c r="Q842" i="1" s="1"/>
  <c r="O842" i="1"/>
  <c r="P842" i="1" s="1"/>
  <c r="R842" i="1" s="1"/>
  <c r="K846" i="1"/>
  <c r="N846" i="1" s="1"/>
  <c r="Q846" i="1" s="1"/>
  <c r="O846" i="1"/>
  <c r="P846" i="1" s="1"/>
  <c r="R846" i="1" s="1"/>
  <c r="K850" i="1"/>
  <c r="N850" i="1" s="1"/>
  <c r="Q850" i="1" s="1"/>
  <c r="O850" i="1"/>
  <c r="P850" i="1" s="1"/>
  <c r="R850" i="1" s="1"/>
  <c r="K854" i="1"/>
  <c r="N854" i="1" s="1"/>
  <c r="Q854" i="1" s="1"/>
  <c r="O854" i="1"/>
  <c r="P854" i="1" s="1"/>
  <c r="R854" i="1" s="1"/>
  <c r="K858" i="1"/>
  <c r="N858" i="1" s="1"/>
  <c r="Q858" i="1" s="1"/>
  <c r="K862" i="1"/>
  <c r="N862" i="1" s="1"/>
  <c r="Q862" i="1" s="1"/>
  <c r="K866" i="1"/>
  <c r="N866" i="1" s="1"/>
  <c r="Q866" i="1" s="1"/>
  <c r="K870" i="1"/>
  <c r="N870" i="1" s="1"/>
  <c r="Q870" i="1" s="1"/>
  <c r="M881" i="1"/>
  <c r="K882" i="1"/>
  <c r="N882" i="1" s="1"/>
  <c r="Q882" i="1" s="1"/>
  <c r="M890" i="1"/>
  <c r="M898" i="1"/>
  <c r="M909" i="1"/>
  <c r="M925" i="1"/>
  <c r="M941" i="1"/>
  <c r="M957" i="1"/>
  <c r="K153" i="1"/>
  <c r="N153" i="1" s="1"/>
  <c r="Q153" i="1" s="1"/>
  <c r="K157" i="1"/>
  <c r="N157" i="1" s="1"/>
  <c r="Q157" i="1" s="1"/>
  <c r="K161" i="1"/>
  <c r="N161" i="1" s="1"/>
  <c r="Q161" i="1" s="1"/>
  <c r="K165" i="1"/>
  <c r="N165" i="1" s="1"/>
  <c r="Q165" i="1" s="1"/>
  <c r="K169" i="1"/>
  <c r="N169" i="1" s="1"/>
  <c r="Q169" i="1" s="1"/>
  <c r="K173" i="1"/>
  <c r="N173" i="1" s="1"/>
  <c r="Q173" i="1" s="1"/>
  <c r="K177" i="1"/>
  <c r="N177" i="1" s="1"/>
  <c r="Q177" i="1" s="1"/>
  <c r="K181" i="1"/>
  <c r="N181" i="1" s="1"/>
  <c r="Q181" i="1" s="1"/>
  <c r="K185" i="1"/>
  <c r="N185" i="1" s="1"/>
  <c r="Q185" i="1" s="1"/>
  <c r="K189" i="1"/>
  <c r="N189" i="1" s="1"/>
  <c r="Q189" i="1" s="1"/>
  <c r="K193" i="1"/>
  <c r="N193" i="1" s="1"/>
  <c r="Q193" i="1" s="1"/>
  <c r="M199" i="1"/>
  <c r="M203" i="1"/>
  <c r="M207" i="1"/>
  <c r="M211" i="1"/>
  <c r="M215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95" i="1"/>
  <c r="M299" i="1"/>
  <c r="M303" i="1"/>
  <c r="M307" i="1"/>
  <c r="M311" i="1"/>
  <c r="M315" i="1"/>
  <c r="M319" i="1"/>
  <c r="M323" i="1"/>
  <c r="M327" i="1"/>
  <c r="M331" i="1"/>
  <c r="M335" i="1"/>
  <c r="M339" i="1"/>
  <c r="M343" i="1"/>
  <c r="M347" i="1"/>
  <c r="M351" i="1"/>
  <c r="M355" i="1"/>
  <c r="M359" i="1"/>
  <c r="M363" i="1"/>
  <c r="M367" i="1"/>
  <c r="M371" i="1"/>
  <c r="M375" i="1"/>
  <c r="M379" i="1"/>
  <c r="M383" i="1"/>
  <c r="M387" i="1"/>
  <c r="M391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467" i="1"/>
  <c r="M471" i="1"/>
  <c r="M475" i="1"/>
  <c r="M479" i="1"/>
  <c r="M483" i="1"/>
  <c r="M487" i="1"/>
  <c r="M491" i="1"/>
  <c r="M495" i="1"/>
  <c r="M499" i="1"/>
  <c r="M503" i="1"/>
  <c r="M507" i="1"/>
  <c r="M511" i="1"/>
  <c r="M515" i="1"/>
  <c r="M519" i="1"/>
  <c r="M523" i="1"/>
  <c r="M527" i="1"/>
  <c r="M531" i="1"/>
  <c r="M535" i="1"/>
  <c r="M539" i="1"/>
  <c r="M543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599" i="1"/>
  <c r="M603" i="1"/>
  <c r="M607" i="1"/>
  <c r="M611" i="1"/>
  <c r="M615" i="1"/>
  <c r="M619" i="1"/>
  <c r="M623" i="1"/>
  <c r="M627" i="1"/>
  <c r="M631" i="1"/>
  <c r="M635" i="1"/>
  <c r="M639" i="1"/>
  <c r="M643" i="1"/>
  <c r="M647" i="1"/>
  <c r="M651" i="1"/>
  <c r="M655" i="1"/>
  <c r="M659" i="1"/>
  <c r="M663" i="1"/>
  <c r="M667" i="1"/>
  <c r="M671" i="1"/>
  <c r="M675" i="1"/>
  <c r="M679" i="1"/>
  <c r="M683" i="1"/>
  <c r="M687" i="1"/>
  <c r="M691" i="1"/>
  <c r="M695" i="1"/>
  <c r="M699" i="1"/>
  <c r="M703" i="1"/>
  <c r="M707" i="1"/>
  <c r="M711" i="1"/>
  <c r="M715" i="1"/>
  <c r="M719" i="1"/>
  <c r="M723" i="1"/>
  <c r="M727" i="1"/>
  <c r="M731" i="1"/>
  <c r="M735" i="1"/>
  <c r="M739" i="1"/>
  <c r="M743" i="1"/>
  <c r="M747" i="1"/>
  <c r="M751" i="1"/>
  <c r="M755" i="1"/>
  <c r="M759" i="1"/>
  <c r="M763" i="1"/>
  <c r="M767" i="1"/>
  <c r="M771" i="1"/>
  <c r="M775" i="1"/>
  <c r="M779" i="1"/>
  <c r="M783" i="1"/>
  <c r="M787" i="1"/>
  <c r="M791" i="1"/>
  <c r="M795" i="1"/>
  <c r="M799" i="1"/>
  <c r="M803" i="1"/>
  <c r="M807" i="1"/>
  <c r="M811" i="1"/>
  <c r="M815" i="1"/>
  <c r="M819" i="1"/>
  <c r="M823" i="1"/>
  <c r="M827" i="1"/>
  <c r="M831" i="1"/>
  <c r="M835" i="1"/>
  <c r="M839" i="1"/>
  <c r="M843" i="1"/>
  <c r="M847" i="1"/>
  <c r="M851" i="1"/>
  <c r="M855" i="1"/>
  <c r="M859" i="1"/>
  <c r="M863" i="1"/>
  <c r="M867" i="1"/>
  <c r="M871" i="1"/>
  <c r="M878" i="1"/>
  <c r="M884" i="1"/>
  <c r="M894" i="1"/>
  <c r="N231" i="1"/>
  <c r="Q231" i="1" s="1"/>
  <c r="N235" i="1"/>
  <c r="Q235" i="1" s="1"/>
  <c r="N239" i="1"/>
  <c r="Q239" i="1" s="1"/>
  <c r="N243" i="1"/>
  <c r="Q243" i="1" s="1"/>
  <c r="M877" i="1"/>
  <c r="M893" i="1"/>
  <c r="M901" i="1"/>
  <c r="M905" i="1"/>
  <c r="K910" i="1"/>
  <c r="N910" i="1" s="1"/>
  <c r="Q910" i="1" s="1"/>
  <c r="M921" i="1"/>
  <c r="M937" i="1"/>
  <c r="M953" i="1"/>
  <c r="M906" i="1"/>
  <c r="M910" i="1"/>
  <c r="M914" i="1"/>
  <c r="M918" i="1"/>
  <c r="M922" i="1"/>
  <c r="M926" i="1"/>
  <c r="M930" i="1"/>
  <c r="M934" i="1"/>
  <c r="M938" i="1"/>
  <c r="M942" i="1"/>
  <c r="M946" i="1"/>
  <c r="M950" i="1"/>
  <c r="M954" i="1"/>
  <c r="M958" i="1"/>
  <c r="M962" i="1"/>
  <c r="M966" i="1"/>
  <c r="M970" i="1"/>
  <c r="M974" i="1"/>
  <c r="M978" i="1"/>
  <c r="M982" i="1"/>
  <c r="M986" i="1"/>
  <c r="M990" i="1"/>
  <c r="M994" i="1"/>
  <c r="M998" i="1"/>
  <c r="M1002" i="1"/>
  <c r="M1006" i="1"/>
  <c r="M1010" i="1"/>
  <c r="M1014" i="1"/>
  <c r="M1018" i="1"/>
  <c r="M1022" i="1"/>
  <c r="O1024" i="1"/>
  <c r="P1024" i="1" s="1"/>
  <c r="R1024" i="1" s="1"/>
  <c r="M1026" i="1"/>
  <c r="O1028" i="1"/>
  <c r="P1028" i="1" s="1"/>
  <c r="R1028" i="1" s="1"/>
  <c r="M1030" i="1"/>
  <c r="O1032" i="1"/>
  <c r="P1032" i="1" s="1"/>
  <c r="R1032" i="1" s="1"/>
  <c r="M1034" i="1"/>
  <c r="O1036" i="1"/>
  <c r="P1036" i="1" s="1"/>
  <c r="R1036" i="1" s="1"/>
  <c r="M1038" i="1"/>
  <c r="O1040" i="1"/>
  <c r="P1040" i="1" s="1"/>
  <c r="R1040" i="1" s="1"/>
  <c r="M1042" i="1"/>
  <c r="O1044" i="1"/>
  <c r="P1044" i="1" s="1"/>
  <c r="R1044" i="1" s="1"/>
  <c r="M1046" i="1"/>
  <c r="O1048" i="1"/>
  <c r="P1048" i="1" s="1"/>
  <c r="R1048" i="1" s="1"/>
  <c r="M1050" i="1"/>
  <c r="O1052" i="1"/>
  <c r="P1052" i="1" s="1"/>
  <c r="R1052" i="1" s="1"/>
  <c r="M1054" i="1"/>
  <c r="O1056" i="1"/>
  <c r="P1056" i="1" s="1"/>
  <c r="R1056" i="1" s="1"/>
  <c r="M1058" i="1"/>
  <c r="O1060" i="1"/>
  <c r="P1060" i="1" s="1"/>
  <c r="R1060" i="1" s="1"/>
  <c r="M1062" i="1"/>
  <c r="M1066" i="1"/>
  <c r="M1070" i="1"/>
  <c r="M1074" i="1"/>
  <c r="M1078" i="1"/>
  <c r="M1082" i="1"/>
  <c r="M1086" i="1"/>
  <c r="M1090" i="1"/>
  <c r="M1094" i="1"/>
  <c r="M1098" i="1"/>
  <c r="M1102" i="1"/>
  <c r="M1106" i="1"/>
  <c r="M1110" i="1"/>
  <c r="M1114" i="1"/>
  <c r="M1118" i="1"/>
  <c r="M1122" i="1"/>
  <c r="M1126" i="1"/>
  <c r="M1130" i="1"/>
  <c r="M1134" i="1"/>
  <c r="M1138" i="1"/>
  <c r="M1142" i="1"/>
  <c r="M1146" i="1"/>
  <c r="M1150" i="1"/>
  <c r="M1154" i="1"/>
  <c r="M1158" i="1"/>
  <c r="M1162" i="1"/>
  <c r="M1166" i="1"/>
  <c r="M1170" i="1"/>
  <c r="M1174" i="1"/>
  <c r="M1178" i="1"/>
  <c r="M1182" i="1"/>
  <c r="M1186" i="1"/>
  <c r="M1190" i="1"/>
  <c r="M1194" i="1"/>
  <c r="M1198" i="1"/>
  <c r="M1202" i="1"/>
  <c r="M1206" i="1"/>
  <c r="M1210" i="1"/>
  <c r="M1214" i="1"/>
  <c r="M1218" i="1"/>
  <c r="M1222" i="1"/>
  <c r="M1226" i="1"/>
  <c r="O1228" i="1"/>
  <c r="P1228" i="1" s="1"/>
  <c r="R1228" i="1" s="1"/>
  <c r="M1230" i="1"/>
  <c r="M1235" i="1"/>
  <c r="K1238" i="1"/>
  <c r="N1238" i="1" s="1"/>
  <c r="Q1238" i="1" s="1"/>
  <c r="M1241" i="1"/>
  <c r="M1242" i="1"/>
  <c r="N1245" i="1"/>
  <c r="Q1245" i="1" s="1"/>
  <c r="O1254" i="1"/>
  <c r="P1254" i="1" s="1"/>
  <c r="R1254" i="1" s="1"/>
  <c r="N1254" i="1"/>
  <c r="Q1254" i="1" s="1"/>
  <c r="M1255" i="1"/>
  <c r="M1258" i="1"/>
  <c r="K1259" i="1"/>
  <c r="N1259" i="1" s="1"/>
  <c r="Q1259" i="1" s="1"/>
  <c r="M1271" i="1"/>
  <c r="M1274" i="1"/>
  <c r="M1282" i="1"/>
  <c r="M1286" i="1"/>
  <c r="M1290" i="1"/>
  <c r="M1294" i="1"/>
  <c r="M1298" i="1"/>
  <c r="M965" i="1"/>
  <c r="M969" i="1"/>
  <c r="M973" i="1"/>
  <c r="M977" i="1"/>
  <c r="M981" i="1"/>
  <c r="M985" i="1"/>
  <c r="M989" i="1"/>
  <c r="M993" i="1"/>
  <c r="M997" i="1"/>
  <c r="M1001" i="1"/>
  <c r="M1005" i="1"/>
  <c r="M1009" i="1"/>
  <c r="M1013" i="1"/>
  <c r="M1017" i="1"/>
  <c r="M1021" i="1"/>
  <c r="M1025" i="1"/>
  <c r="M1029" i="1"/>
  <c r="M1033" i="1"/>
  <c r="M1037" i="1"/>
  <c r="M1041" i="1"/>
  <c r="M1045" i="1"/>
  <c r="M1049" i="1"/>
  <c r="M1053" i="1"/>
  <c r="M1057" i="1"/>
  <c r="M1061" i="1"/>
  <c r="M1065" i="1"/>
  <c r="M1069" i="1"/>
  <c r="M1073" i="1"/>
  <c r="M1077" i="1"/>
  <c r="M1081" i="1"/>
  <c r="M1085" i="1"/>
  <c r="M1089" i="1"/>
  <c r="M1093" i="1"/>
  <c r="M1097" i="1"/>
  <c r="M1101" i="1"/>
  <c r="M1105" i="1"/>
  <c r="M1109" i="1"/>
  <c r="M1113" i="1"/>
  <c r="M1117" i="1"/>
  <c r="M1121" i="1"/>
  <c r="M1125" i="1"/>
  <c r="M1129" i="1"/>
  <c r="M1133" i="1"/>
  <c r="M1137" i="1"/>
  <c r="M1141" i="1"/>
  <c r="M1145" i="1"/>
  <c r="M1149" i="1"/>
  <c r="M1153" i="1"/>
  <c r="M1157" i="1"/>
  <c r="M1161" i="1"/>
  <c r="M1165" i="1"/>
  <c r="M1169" i="1"/>
  <c r="M1173" i="1"/>
  <c r="M1177" i="1"/>
  <c r="M1181" i="1"/>
  <c r="M1185" i="1"/>
  <c r="M1189" i="1"/>
  <c r="M1193" i="1"/>
  <c r="M1197" i="1"/>
  <c r="M1201" i="1"/>
  <c r="M1205" i="1"/>
  <c r="M1209" i="1"/>
  <c r="M1213" i="1"/>
  <c r="M1217" i="1"/>
  <c r="M1221" i="1"/>
  <c r="M1225" i="1"/>
  <c r="M1229" i="1"/>
  <c r="M1239" i="1"/>
  <c r="M1245" i="1"/>
  <c r="O1250" i="1"/>
  <c r="P1250" i="1" s="1"/>
  <c r="R1250" i="1" s="1"/>
  <c r="N1250" i="1"/>
  <c r="Q1250" i="1" s="1"/>
  <c r="K1302" i="1"/>
  <c r="N1302" i="1" s="1"/>
  <c r="Q1302" i="1" s="1"/>
  <c r="M1302" i="1"/>
  <c r="N1025" i="1"/>
  <c r="Q1025" i="1" s="1"/>
  <c r="N1029" i="1"/>
  <c r="Q1029" i="1" s="1"/>
  <c r="N1033" i="1"/>
  <c r="Q1033" i="1" s="1"/>
  <c r="N1037" i="1"/>
  <c r="Q1037" i="1" s="1"/>
  <c r="N1041" i="1"/>
  <c r="Q1041" i="1" s="1"/>
  <c r="N1045" i="1"/>
  <c r="Q1045" i="1" s="1"/>
  <c r="N1049" i="1"/>
  <c r="Q1049" i="1" s="1"/>
  <c r="N1053" i="1"/>
  <c r="Q1053" i="1" s="1"/>
  <c r="N1057" i="1"/>
  <c r="Q1057" i="1" s="1"/>
  <c r="N1061" i="1"/>
  <c r="Q1061" i="1" s="1"/>
  <c r="N1229" i="1"/>
  <c r="Q1229" i="1" s="1"/>
  <c r="N1236" i="1"/>
  <c r="Q1236" i="1" s="1"/>
  <c r="N1237" i="1"/>
  <c r="Q1237" i="1" s="1"/>
  <c r="O1245" i="1"/>
  <c r="P1245" i="1" s="1"/>
  <c r="R1245" i="1" s="1"/>
  <c r="N1246" i="1"/>
  <c r="Q1246" i="1" s="1"/>
  <c r="N1253" i="1"/>
  <c r="Q1253" i="1" s="1"/>
  <c r="O1257" i="1"/>
  <c r="P1257" i="1" s="1"/>
  <c r="R1257" i="1" s="1"/>
  <c r="O1262" i="1"/>
  <c r="P1262" i="1" s="1"/>
  <c r="R1262" i="1" s="1"/>
  <c r="N1262" i="1"/>
  <c r="Q1262" i="1" s="1"/>
  <c r="O1233" i="1"/>
  <c r="P1233" i="1" s="1"/>
  <c r="R1233" i="1" s="1"/>
  <c r="K1234" i="1"/>
  <c r="N1234" i="1"/>
  <c r="Q1234" i="1" s="1"/>
  <c r="M1238" i="1"/>
  <c r="N1241" i="1"/>
  <c r="Q1241" i="1" s="1"/>
  <c r="N1249" i="1"/>
  <c r="Q1249" i="1" s="1"/>
  <c r="O1253" i="1"/>
  <c r="P1253" i="1" s="1"/>
  <c r="R1253" i="1" s="1"/>
  <c r="O1258" i="1"/>
  <c r="P1258" i="1" s="1"/>
  <c r="R1258" i="1" s="1"/>
  <c r="N1258" i="1"/>
  <c r="Q1258" i="1" s="1"/>
  <c r="M1259" i="1"/>
  <c r="M1262" i="1"/>
  <c r="M1275" i="1"/>
  <c r="M1278" i="1"/>
  <c r="M1306" i="1"/>
  <c r="M1310" i="1"/>
  <c r="M1314" i="1"/>
  <c r="M1318" i="1"/>
  <c r="M1322" i="1"/>
  <c r="M1326" i="1"/>
  <c r="M1330" i="1"/>
  <c r="M1334" i="1"/>
  <c r="M1338" i="1"/>
  <c r="M1342" i="1"/>
  <c r="M1346" i="1"/>
  <c r="M1350" i="1"/>
  <c r="M1354" i="1"/>
  <c r="M1358" i="1"/>
  <c r="M1362" i="1"/>
  <c r="M1366" i="1"/>
  <c r="M1370" i="1"/>
  <c r="M1374" i="1"/>
  <c r="M1378" i="1"/>
  <c r="M1382" i="1"/>
  <c r="M1386" i="1"/>
  <c r="M1390" i="1"/>
  <c r="M1394" i="1"/>
  <c r="M1398" i="1"/>
  <c r="M1402" i="1"/>
  <c r="M1406" i="1"/>
  <c r="M1410" i="1"/>
  <c r="M1414" i="1"/>
  <c r="M1418" i="1"/>
  <c r="M1422" i="1"/>
  <c r="M1426" i="1"/>
  <c r="M1430" i="1"/>
  <c r="M1434" i="1"/>
  <c r="M1438" i="1"/>
  <c r="M1442" i="1"/>
  <c r="M1446" i="1"/>
  <c r="M1450" i="1"/>
  <c r="M1454" i="1"/>
  <c r="M1458" i="1"/>
  <c r="M1462" i="1"/>
  <c r="M1466" i="1"/>
  <c r="M1470" i="1"/>
  <c r="M1474" i="1"/>
  <c r="M1478" i="1"/>
  <c r="M1482" i="1"/>
  <c r="M1486" i="1"/>
  <c r="M1490" i="1"/>
  <c r="M1494" i="1"/>
  <c r="M1498" i="1"/>
  <c r="M1502" i="1"/>
  <c r="M1506" i="1"/>
  <c r="M1510" i="1"/>
  <c r="M1514" i="1"/>
  <c r="M1518" i="1"/>
  <c r="M1522" i="1"/>
  <c r="M1526" i="1"/>
  <c r="M1530" i="1"/>
  <c r="M1534" i="1"/>
  <c r="M1538" i="1"/>
  <c r="M1542" i="1"/>
  <c r="M1546" i="1"/>
  <c r="M1550" i="1"/>
  <c r="M1554" i="1"/>
  <c r="M1558" i="1"/>
  <c r="M1562" i="1"/>
  <c r="M1566" i="1"/>
  <c r="M1570" i="1"/>
  <c r="M1574" i="1"/>
  <c r="M1578" i="1"/>
  <c r="M1582" i="1"/>
  <c r="M1586" i="1"/>
  <c r="M1590" i="1"/>
  <c r="M1594" i="1"/>
  <c r="M1598" i="1"/>
  <c r="M1602" i="1"/>
  <c r="M1606" i="1"/>
  <c r="M1610" i="1"/>
  <c r="M1614" i="1"/>
  <c r="M1619" i="1"/>
  <c r="M1625" i="1"/>
  <c r="M1627" i="1"/>
  <c r="M1629" i="1"/>
  <c r="N1637" i="1"/>
  <c r="Q1637" i="1" s="1"/>
  <c r="N1638" i="1"/>
  <c r="Q1638" i="1" s="1"/>
  <c r="M1639" i="1"/>
  <c r="N1640" i="1"/>
  <c r="Q1640" i="1" s="1"/>
  <c r="M1641" i="1"/>
  <c r="N1668" i="1"/>
  <c r="Q1668" i="1" s="1"/>
  <c r="O1668" i="1"/>
  <c r="P1668" i="1" s="1"/>
  <c r="R1668" i="1" s="1"/>
  <c r="K1279" i="1"/>
  <c r="N1279" i="1" s="1"/>
  <c r="Q1279" i="1" s="1"/>
  <c r="K1283" i="1"/>
  <c r="N1283" i="1" s="1"/>
  <c r="Q1283" i="1" s="1"/>
  <c r="K1287" i="1"/>
  <c r="N1287" i="1" s="1"/>
  <c r="Q1287" i="1" s="1"/>
  <c r="K1291" i="1"/>
  <c r="N1291" i="1" s="1"/>
  <c r="Q1291" i="1" s="1"/>
  <c r="K1295" i="1"/>
  <c r="N1295" i="1" s="1"/>
  <c r="Q1295" i="1" s="1"/>
  <c r="K1299" i="1"/>
  <c r="N1299" i="1" s="1"/>
  <c r="Q1299" i="1" s="1"/>
  <c r="K1303" i="1"/>
  <c r="N1303" i="1" s="1"/>
  <c r="Q1303" i="1" s="1"/>
  <c r="K1307" i="1"/>
  <c r="N1307" i="1" s="1"/>
  <c r="Q1307" i="1" s="1"/>
  <c r="K1311" i="1"/>
  <c r="N1311" i="1" s="1"/>
  <c r="Q1311" i="1" s="1"/>
  <c r="K1315" i="1"/>
  <c r="N1315" i="1" s="1"/>
  <c r="Q1315" i="1" s="1"/>
  <c r="K1319" i="1"/>
  <c r="N1319" i="1" s="1"/>
  <c r="Q1319" i="1" s="1"/>
  <c r="K1323" i="1"/>
  <c r="N1323" i="1" s="1"/>
  <c r="Q1323" i="1" s="1"/>
  <c r="K1327" i="1"/>
  <c r="N1327" i="1" s="1"/>
  <c r="Q1327" i="1" s="1"/>
  <c r="K1331" i="1"/>
  <c r="N1331" i="1" s="1"/>
  <c r="Q1331" i="1" s="1"/>
  <c r="K1335" i="1"/>
  <c r="N1335" i="1" s="1"/>
  <c r="Q1335" i="1" s="1"/>
  <c r="K1339" i="1"/>
  <c r="N1339" i="1" s="1"/>
  <c r="Q1339" i="1" s="1"/>
  <c r="K1343" i="1"/>
  <c r="N1343" i="1" s="1"/>
  <c r="Q1343" i="1" s="1"/>
  <c r="K1347" i="1"/>
  <c r="N1347" i="1" s="1"/>
  <c r="Q1347" i="1" s="1"/>
  <c r="K1351" i="1"/>
  <c r="N1351" i="1" s="1"/>
  <c r="Q1351" i="1" s="1"/>
  <c r="K1355" i="1"/>
  <c r="N1355" i="1" s="1"/>
  <c r="Q1355" i="1" s="1"/>
  <c r="K1359" i="1"/>
  <c r="N1359" i="1" s="1"/>
  <c r="Q1359" i="1" s="1"/>
  <c r="K1363" i="1"/>
  <c r="N1363" i="1" s="1"/>
  <c r="Q1363" i="1" s="1"/>
  <c r="K1367" i="1"/>
  <c r="N1367" i="1" s="1"/>
  <c r="Q1367" i="1" s="1"/>
  <c r="K1371" i="1"/>
  <c r="N1371" i="1" s="1"/>
  <c r="Q1371" i="1" s="1"/>
  <c r="K1375" i="1"/>
  <c r="N1375" i="1" s="1"/>
  <c r="Q1375" i="1" s="1"/>
  <c r="K1379" i="1"/>
  <c r="N1379" i="1" s="1"/>
  <c r="Q1379" i="1" s="1"/>
  <c r="K1383" i="1"/>
  <c r="N1383" i="1" s="1"/>
  <c r="Q1383" i="1" s="1"/>
  <c r="K1387" i="1"/>
  <c r="N1387" i="1" s="1"/>
  <c r="Q1387" i="1" s="1"/>
  <c r="K1391" i="1"/>
  <c r="N1391" i="1" s="1"/>
  <c r="Q1391" i="1" s="1"/>
  <c r="K1395" i="1"/>
  <c r="N1395" i="1" s="1"/>
  <c r="Q1395" i="1" s="1"/>
  <c r="K1399" i="1"/>
  <c r="N1399" i="1" s="1"/>
  <c r="Q1399" i="1" s="1"/>
  <c r="K1403" i="1"/>
  <c r="N1403" i="1" s="1"/>
  <c r="Q1403" i="1" s="1"/>
  <c r="K1407" i="1"/>
  <c r="N1407" i="1" s="1"/>
  <c r="Q1407" i="1" s="1"/>
  <c r="K1411" i="1"/>
  <c r="N1411" i="1" s="1"/>
  <c r="Q1411" i="1" s="1"/>
  <c r="K1415" i="1"/>
  <c r="N1415" i="1" s="1"/>
  <c r="Q1415" i="1" s="1"/>
  <c r="K1419" i="1"/>
  <c r="N1419" i="1" s="1"/>
  <c r="Q1419" i="1" s="1"/>
  <c r="K1423" i="1"/>
  <c r="N1423" i="1" s="1"/>
  <c r="Q1423" i="1" s="1"/>
  <c r="K1427" i="1"/>
  <c r="N1427" i="1" s="1"/>
  <c r="Q1427" i="1" s="1"/>
  <c r="K1431" i="1"/>
  <c r="N1431" i="1" s="1"/>
  <c r="Q1431" i="1" s="1"/>
  <c r="N1434" i="1"/>
  <c r="Q1434" i="1" s="1"/>
  <c r="K1435" i="1"/>
  <c r="N1435" i="1" s="1"/>
  <c r="Q1435" i="1" s="1"/>
  <c r="N1438" i="1"/>
  <c r="Q1438" i="1" s="1"/>
  <c r="K1439" i="1"/>
  <c r="N1439" i="1" s="1"/>
  <c r="Q1439" i="1" s="1"/>
  <c r="N1442" i="1"/>
  <c r="Q1442" i="1" s="1"/>
  <c r="K1443" i="1"/>
  <c r="N1446" i="1"/>
  <c r="Q1446" i="1" s="1"/>
  <c r="K1447" i="1"/>
  <c r="N1447" i="1" s="1"/>
  <c r="Q1447" i="1" s="1"/>
  <c r="N1450" i="1"/>
  <c r="Q1450" i="1" s="1"/>
  <c r="K1451" i="1"/>
  <c r="N1451" i="1" s="1"/>
  <c r="Q1451" i="1" s="1"/>
  <c r="N1454" i="1"/>
  <c r="Q1454" i="1" s="1"/>
  <c r="K1455" i="1"/>
  <c r="N1455" i="1" s="1"/>
  <c r="Q1455" i="1" s="1"/>
  <c r="N1458" i="1"/>
  <c r="Q1458" i="1" s="1"/>
  <c r="K1459" i="1"/>
  <c r="N1459" i="1" s="1"/>
  <c r="Q1459" i="1" s="1"/>
  <c r="N1462" i="1"/>
  <c r="Q1462" i="1" s="1"/>
  <c r="K1463" i="1"/>
  <c r="N1463" i="1" s="1"/>
  <c r="Q1463" i="1" s="1"/>
  <c r="N1466" i="1"/>
  <c r="Q1466" i="1" s="1"/>
  <c r="K1467" i="1"/>
  <c r="N1467" i="1" s="1"/>
  <c r="Q1467" i="1" s="1"/>
  <c r="K1471" i="1"/>
  <c r="N1471" i="1" s="1"/>
  <c r="Q1471" i="1" s="1"/>
  <c r="K1475" i="1"/>
  <c r="N1475" i="1" s="1"/>
  <c r="Q1475" i="1" s="1"/>
  <c r="K1479" i="1"/>
  <c r="N1479" i="1" s="1"/>
  <c r="Q1479" i="1" s="1"/>
  <c r="K1483" i="1"/>
  <c r="N1483" i="1" s="1"/>
  <c r="Q1483" i="1" s="1"/>
  <c r="K1487" i="1"/>
  <c r="N1487" i="1" s="1"/>
  <c r="Q1487" i="1" s="1"/>
  <c r="K1491" i="1"/>
  <c r="N1491" i="1" s="1"/>
  <c r="Q1491" i="1" s="1"/>
  <c r="K1495" i="1"/>
  <c r="N1495" i="1" s="1"/>
  <c r="Q1495" i="1" s="1"/>
  <c r="K1499" i="1"/>
  <c r="N1499" i="1" s="1"/>
  <c r="Q1499" i="1" s="1"/>
  <c r="K1503" i="1"/>
  <c r="N1503" i="1" s="1"/>
  <c r="Q1503" i="1" s="1"/>
  <c r="K1507" i="1"/>
  <c r="N1507" i="1" s="1"/>
  <c r="Q1507" i="1" s="1"/>
  <c r="K1511" i="1"/>
  <c r="N1511" i="1" s="1"/>
  <c r="Q1511" i="1" s="1"/>
  <c r="K1515" i="1"/>
  <c r="N1515" i="1" s="1"/>
  <c r="Q1515" i="1" s="1"/>
  <c r="K1519" i="1"/>
  <c r="N1519" i="1" s="1"/>
  <c r="Q1519" i="1" s="1"/>
  <c r="K1523" i="1"/>
  <c r="N1523" i="1" s="1"/>
  <c r="Q1523" i="1" s="1"/>
  <c r="K1527" i="1"/>
  <c r="N1527" i="1" s="1"/>
  <c r="Q1527" i="1" s="1"/>
  <c r="K1531" i="1"/>
  <c r="N1531" i="1" s="1"/>
  <c r="Q1531" i="1" s="1"/>
  <c r="K1535" i="1"/>
  <c r="N1535" i="1" s="1"/>
  <c r="Q1535" i="1" s="1"/>
  <c r="K1539" i="1"/>
  <c r="N1539" i="1" s="1"/>
  <c r="Q1539" i="1" s="1"/>
  <c r="K1543" i="1"/>
  <c r="N1543" i="1" s="1"/>
  <c r="Q1543" i="1" s="1"/>
  <c r="K1547" i="1"/>
  <c r="N1547" i="1" s="1"/>
  <c r="Q1547" i="1" s="1"/>
  <c r="K1551" i="1"/>
  <c r="N1551" i="1" s="1"/>
  <c r="Q1551" i="1" s="1"/>
  <c r="K1555" i="1"/>
  <c r="N1555" i="1" s="1"/>
  <c r="Q1555" i="1" s="1"/>
  <c r="K1559" i="1"/>
  <c r="N1559" i="1" s="1"/>
  <c r="Q1559" i="1" s="1"/>
  <c r="K1563" i="1"/>
  <c r="N1563" i="1" s="1"/>
  <c r="Q1563" i="1" s="1"/>
  <c r="K1567" i="1"/>
  <c r="N1567" i="1" s="1"/>
  <c r="Q1567" i="1" s="1"/>
  <c r="K1571" i="1"/>
  <c r="N1571" i="1" s="1"/>
  <c r="Q1571" i="1" s="1"/>
  <c r="K1575" i="1"/>
  <c r="N1575" i="1" s="1"/>
  <c r="Q1575" i="1" s="1"/>
  <c r="K1579" i="1"/>
  <c r="N1579" i="1" s="1"/>
  <c r="Q1579" i="1" s="1"/>
  <c r="K1583" i="1"/>
  <c r="N1583" i="1" s="1"/>
  <c r="Q1583" i="1" s="1"/>
  <c r="K1587" i="1"/>
  <c r="N1587" i="1" s="1"/>
  <c r="Q1587" i="1" s="1"/>
  <c r="K1591" i="1"/>
  <c r="N1591" i="1" s="1"/>
  <c r="Q1591" i="1" s="1"/>
  <c r="K1595" i="1"/>
  <c r="N1595" i="1" s="1"/>
  <c r="Q1595" i="1" s="1"/>
  <c r="K1599" i="1"/>
  <c r="N1599" i="1" s="1"/>
  <c r="Q1599" i="1" s="1"/>
  <c r="K1603" i="1"/>
  <c r="N1603" i="1" s="1"/>
  <c r="Q1603" i="1" s="1"/>
  <c r="K1607" i="1"/>
  <c r="N1607" i="1" s="1"/>
  <c r="Q1607" i="1" s="1"/>
  <c r="K1611" i="1"/>
  <c r="N1611" i="1" s="1"/>
  <c r="Q1611" i="1" s="1"/>
  <c r="K1615" i="1"/>
  <c r="N1615" i="1" s="1"/>
  <c r="Q1615" i="1" s="1"/>
  <c r="K1621" i="1"/>
  <c r="N1621" i="1" s="1"/>
  <c r="Q1621" i="1" s="1"/>
  <c r="K1626" i="1"/>
  <c r="N1626" i="1" s="1"/>
  <c r="Q1626" i="1" s="1"/>
  <c r="M1626" i="1"/>
  <c r="K1631" i="1"/>
  <c r="N1631" i="1" s="1"/>
  <c r="Q1631" i="1" s="1"/>
  <c r="K1633" i="1"/>
  <c r="N1633" i="1" s="1"/>
  <c r="Q1633" i="1" s="1"/>
  <c r="N1636" i="1"/>
  <c r="Q1636" i="1" s="1"/>
  <c r="K1643" i="1"/>
  <c r="N1643" i="1" s="1"/>
  <c r="Q1643" i="1" s="1"/>
  <c r="K1645" i="1"/>
  <c r="K1649" i="1"/>
  <c r="N1652" i="1"/>
  <c r="Q1652" i="1" s="1"/>
  <c r="O1652" i="1"/>
  <c r="P1652" i="1" s="1"/>
  <c r="R1652" i="1" s="1"/>
  <c r="M1665" i="1"/>
  <c r="N1669" i="1"/>
  <c r="Q1669" i="1" s="1"/>
  <c r="N1672" i="1"/>
  <c r="Q1672" i="1" s="1"/>
  <c r="O1672" i="1"/>
  <c r="P1672" i="1" s="1"/>
  <c r="R1672" i="1" s="1"/>
  <c r="M1677" i="1"/>
  <c r="N1864" i="1"/>
  <c r="Q1864" i="1" s="1"/>
  <c r="N1433" i="1"/>
  <c r="Q1433" i="1" s="1"/>
  <c r="N1437" i="1"/>
  <c r="Q1437" i="1" s="1"/>
  <c r="N1441" i="1"/>
  <c r="Q1441" i="1" s="1"/>
  <c r="N1445" i="1"/>
  <c r="Q1445" i="1" s="1"/>
  <c r="N1449" i="1"/>
  <c r="Q1449" i="1" s="1"/>
  <c r="N1453" i="1"/>
  <c r="Q1453" i="1" s="1"/>
  <c r="N1457" i="1"/>
  <c r="Q1457" i="1" s="1"/>
  <c r="N1461" i="1"/>
  <c r="Q1461" i="1" s="1"/>
  <c r="N1465" i="1"/>
  <c r="Q1465" i="1" s="1"/>
  <c r="M1618" i="1"/>
  <c r="N1645" i="1"/>
  <c r="Q1645" i="1" s="1"/>
  <c r="N1649" i="1"/>
  <c r="Q1649" i="1" s="1"/>
  <c r="N1653" i="1"/>
  <c r="Q1653" i="1" s="1"/>
  <c r="N1656" i="1"/>
  <c r="Q1656" i="1" s="1"/>
  <c r="O1656" i="1"/>
  <c r="P1656" i="1" s="1"/>
  <c r="R1656" i="1" s="1"/>
  <c r="N1660" i="1"/>
  <c r="Q1660" i="1" s="1"/>
  <c r="O1660" i="1"/>
  <c r="P1660" i="1" s="1"/>
  <c r="R1660" i="1" s="1"/>
  <c r="M1669" i="1"/>
  <c r="N1673" i="1"/>
  <c r="Q1673" i="1" s="1"/>
  <c r="N1852" i="1"/>
  <c r="Q1852" i="1" s="1"/>
  <c r="N1641" i="1"/>
  <c r="Q1641" i="1" s="1"/>
  <c r="N1664" i="1"/>
  <c r="Q1664" i="1" s="1"/>
  <c r="O1664" i="1"/>
  <c r="P1664" i="1" s="1"/>
  <c r="R1664" i="1" s="1"/>
  <c r="N1872" i="1"/>
  <c r="Q1872" i="1" s="1"/>
  <c r="N1873" i="1"/>
  <c r="Q1873" i="1" s="1"/>
  <c r="M1630" i="1"/>
  <c r="M1634" i="1"/>
  <c r="M1638" i="1"/>
  <c r="M1642" i="1"/>
  <c r="M1646" i="1"/>
  <c r="M1650" i="1"/>
  <c r="M1654" i="1"/>
  <c r="M1658" i="1"/>
  <c r="M1662" i="1"/>
  <c r="M1666" i="1"/>
  <c r="M1670" i="1"/>
  <c r="M1674" i="1"/>
  <c r="M1678" i="1"/>
  <c r="M1682" i="1"/>
  <c r="M1686" i="1"/>
  <c r="M1690" i="1"/>
  <c r="M1694" i="1"/>
  <c r="M1698" i="1"/>
  <c r="M1702" i="1"/>
  <c r="M1706" i="1"/>
  <c r="M1710" i="1"/>
  <c r="M1714" i="1"/>
  <c r="M1718" i="1"/>
  <c r="M1722" i="1"/>
  <c r="M1726" i="1"/>
  <c r="M1730" i="1"/>
  <c r="M1734" i="1"/>
  <c r="M1738" i="1"/>
  <c r="M1742" i="1"/>
  <c r="M1746" i="1"/>
  <c r="M1750" i="1"/>
  <c r="M1754" i="1"/>
  <c r="M1758" i="1"/>
  <c r="M1762" i="1"/>
  <c r="M1766" i="1"/>
  <c r="M1770" i="1"/>
  <c r="M1774" i="1"/>
  <c r="M1778" i="1"/>
  <c r="M1782" i="1"/>
  <c r="M1786" i="1"/>
  <c r="M1790" i="1"/>
  <c r="M1794" i="1"/>
  <c r="M1798" i="1"/>
  <c r="M1802" i="1"/>
  <c r="M1806" i="1"/>
  <c r="M1810" i="1"/>
  <c r="M1814" i="1"/>
  <c r="M1818" i="1"/>
  <c r="M1822" i="1"/>
  <c r="M1826" i="1"/>
  <c r="M1830" i="1"/>
  <c r="M1834" i="1"/>
  <c r="M1838" i="1"/>
  <c r="O1840" i="1"/>
  <c r="P1840" i="1" s="1"/>
  <c r="R1840" i="1" s="1"/>
  <c r="M1842" i="1"/>
  <c r="K1844" i="1"/>
  <c r="N1844" i="1" s="1"/>
  <c r="Q1844" i="1" s="1"/>
  <c r="O1844" i="1"/>
  <c r="P1844" i="1" s="1"/>
  <c r="R1844" i="1" s="1"/>
  <c r="K1848" i="1"/>
  <c r="O1848" i="1"/>
  <c r="P1848" i="1" s="1"/>
  <c r="R1848" i="1" s="1"/>
  <c r="K1852" i="1"/>
  <c r="O1852" i="1"/>
  <c r="P1852" i="1" s="1"/>
  <c r="R1852" i="1" s="1"/>
  <c r="K1856" i="1"/>
  <c r="N1856" i="1" s="1"/>
  <c r="Q1856" i="1" s="1"/>
  <c r="O1856" i="1"/>
  <c r="P1856" i="1" s="1"/>
  <c r="R1856" i="1" s="1"/>
  <c r="K1860" i="1"/>
  <c r="N1860" i="1" s="1"/>
  <c r="Q1860" i="1" s="1"/>
  <c r="O1860" i="1"/>
  <c r="P1860" i="1" s="1"/>
  <c r="R1860" i="1" s="1"/>
  <c r="K1864" i="1"/>
  <c r="O1864" i="1"/>
  <c r="P1864" i="1" s="1"/>
  <c r="R1864" i="1" s="1"/>
  <c r="K1868" i="1"/>
  <c r="N1868" i="1" s="1"/>
  <c r="Q1868" i="1" s="1"/>
  <c r="O1868" i="1"/>
  <c r="P1868" i="1" s="1"/>
  <c r="R1868" i="1" s="1"/>
  <c r="K1872" i="1"/>
  <c r="O1872" i="1"/>
  <c r="P1872" i="1" s="1"/>
  <c r="R1872" i="1" s="1"/>
  <c r="M1874" i="1"/>
  <c r="M1878" i="1"/>
  <c r="M1882" i="1"/>
  <c r="M1886" i="1"/>
  <c r="M1890" i="1"/>
  <c r="M1894" i="1"/>
  <c r="M1898" i="1"/>
  <c r="K1900" i="1"/>
  <c r="N1900" i="1" s="1"/>
  <c r="Q1900" i="1" s="1"/>
  <c r="K1904" i="1"/>
  <c r="N1904" i="1" s="1"/>
  <c r="Q1904" i="1" s="1"/>
  <c r="K1908" i="1"/>
  <c r="N1908" i="1" s="1"/>
  <c r="Q1908" i="1" s="1"/>
  <c r="K1912" i="1"/>
  <c r="N1912" i="1" s="1"/>
  <c r="Q1912" i="1" s="1"/>
  <c r="K1916" i="1"/>
  <c r="N1916" i="1" s="1"/>
  <c r="Q1916" i="1" s="1"/>
  <c r="K1920" i="1"/>
  <c r="N1920" i="1" s="1"/>
  <c r="Q1920" i="1" s="1"/>
  <c r="K1924" i="1"/>
  <c r="N1924" i="1" s="1"/>
  <c r="Q1924" i="1" s="1"/>
  <c r="K1928" i="1"/>
  <c r="N1928" i="1" s="1"/>
  <c r="Q1928" i="1" s="1"/>
  <c r="K1932" i="1"/>
  <c r="N1932" i="1" s="1"/>
  <c r="Q1932" i="1" s="1"/>
  <c r="K1936" i="1"/>
  <c r="N1936" i="1" s="1"/>
  <c r="Q1936" i="1" s="1"/>
  <c r="K1940" i="1"/>
  <c r="N1940" i="1" s="1"/>
  <c r="Q1940" i="1" s="1"/>
  <c r="K1944" i="1"/>
  <c r="N1944" i="1" s="1"/>
  <c r="Q1944" i="1" s="1"/>
  <c r="K1948" i="1"/>
  <c r="N1948" i="1" s="1"/>
  <c r="Q1948" i="1" s="1"/>
  <c r="K1952" i="1"/>
  <c r="N1952" i="1" s="1"/>
  <c r="Q1952" i="1" s="1"/>
  <c r="K1956" i="1"/>
  <c r="N1956" i="1" s="1"/>
  <c r="Q1956" i="1" s="1"/>
  <c r="K1960" i="1"/>
  <c r="N1960" i="1" s="1"/>
  <c r="Q1960" i="1" s="1"/>
  <c r="K1964" i="1"/>
  <c r="N1964" i="1" s="1"/>
  <c r="Q1964" i="1" s="1"/>
  <c r="K1968" i="1"/>
  <c r="N1968" i="1" s="1"/>
  <c r="Q1968" i="1" s="1"/>
  <c r="K1972" i="1"/>
  <c r="N1972" i="1" s="1"/>
  <c r="Q1972" i="1" s="1"/>
  <c r="K1976" i="1"/>
  <c r="N1976" i="1" s="1"/>
  <c r="Q1976" i="1" s="1"/>
  <c r="K1980" i="1"/>
  <c r="N1980" i="1" s="1"/>
  <c r="Q1980" i="1" s="1"/>
  <c r="K1984" i="1"/>
  <c r="N1984" i="1" s="1"/>
  <c r="Q1984" i="1" s="1"/>
  <c r="K1988" i="1"/>
  <c r="N1988" i="1" s="1"/>
  <c r="Q1988" i="1" s="1"/>
  <c r="K1992" i="1"/>
  <c r="N1992" i="1" s="1"/>
  <c r="Q1992" i="1" s="1"/>
  <c r="K1996" i="1"/>
  <c r="N1996" i="1" s="1"/>
  <c r="Q1996" i="1" s="1"/>
  <c r="K2000" i="1"/>
  <c r="N2000" i="1" s="1"/>
  <c r="Q2000" i="1" s="1"/>
  <c r="K2004" i="1"/>
  <c r="N2004" i="1" s="1"/>
  <c r="Q2004" i="1" s="1"/>
  <c r="K2008" i="1"/>
  <c r="N2008" i="1" s="1"/>
  <c r="Q2008" i="1" s="1"/>
  <c r="K2012" i="1"/>
  <c r="N2012" i="1" s="1"/>
  <c r="Q2012" i="1" s="1"/>
  <c r="K2016" i="1"/>
  <c r="N2016" i="1" s="1"/>
  <c r="Q2016" i="1" s="1"/>
  <c r="K2020" i="1"/>
  <c r="N2020" i="1" s="1"/>
  <c r="Q2020" i="1" s="1"/>
  <c r="K2024" i="1"/>
  <c r="N2024" i="1" s="1"/>
  <c r="Q2024" i="1" s="1"/>
  <c r="K2028" i="1"/>
  <c r="N2028" i="1" s="1"/>
  <c r="Q2028" i="1" s="1"/>
  <c r="K2032" i="1"/>
  <c r="N2032" i="1" s="1"/>
  <c r="Q2032" i="1" s="1"/>
  <c r="K2036" i="1"/>
  <c r="N2036" i="1" s="1"/>
  <c r="Q2036" i="1" s="1"/>
  <c r="M2044" i="1"/>
  <c r="K2045" i="1"/>
  <c r="N2045" i="1" s="1"/>
  <c r="Q2045" i="1" s="1"/>
  <c r="O2047" i="1"/>
  <c r="P2047" i="1" s="1"/>
  <c r="R2047" i="1" s="1"/>
  <c r="N2051" i="1"/>
  <c r="Q2051" i="1" s="1"/>
  <c r="M2061" i="1"/>
  <c r="N2067" i="1"/>
  <c r="Q2067" i="1" s="1"/>
  <c r="M1685" i="1"/>
  <c r="M1689" i="1"/>
  <c r="M1693" i="1"/>
  <c r="M1697" i="1"/>
  <c r="M1701" i="1"/>
  <c r="M1705" i="1"/>
  <c r="M1709" i="1"/>
  <c r="M1713" i="1"/>
  <c r="M1717" i="1"/>
  <c r="M1721" i="1"/>
  <c r="M1725" i="1"/>
  <c r="M1729" i="1"/>
  <c r="M1733" i="1"/>
  <c r="M1737" i="1"/>
  <c r="M1741" i="1"/>
  <c r="M1745" i="1"/>
  <c r="M1749" i="1"/>
  <c r="M1753" i="1"/>
  <c r="M1757" i="1"/>
  <c r="M1761" i="1"/>
  <c r="M1765" i="1"/>
  <c r="M1769" i="1"/>
  <c r="M1773" i="1"/>
  <c r="M1777" i="1"/>
  <c r="M1781" i="1"/>
  <c r="M1785" i="1"/>
  <c r="M1789" i="1"/>
  <c r="M1793" i="1"/>
  <c r="M1797" i="1"/>
  <c r="M1801" i="1"/>
  <c r="M1805" i="1"/>
  <c r="M1809" i="1"/>
  <c r="M1813" i="1"/>
  <c r="M1817" i="1"/>
  <c r="M1821" i="1"/>
  <c r="M1825" i="1"/>
  <c r="M1829" i="1"/>
  <c r="M1833" i="1"/>
  <c r="M1837" i="1"/>
  <c r="M1841" i="1"/>
  <c r="M1845" i="1"/>
  <c r="M1849" i="1"/>
  <c r="M1853" i="1"/>
  <c r="M1857" i="1"/>
  <c r="M1861" i="1"/>
  <c r="M1865" i="1"/>
  <c r="M1869" i="1"/>
  <c r="M1873" i="1"/>
  <c r="M1877" i="1"/>
  <c r="M1881" i="1"/>
  <c r="M1885" i="1"/>
  <c r="M1889" i="1"/>
  <c r="M1893" i="1"/>
  <c r="M1897" i="1"/>
  <c r="M1901" i="1"/>
  <c r="M1905" i="1"/>
  <c r="M1909" i="1"/>
  <c r="M1913" i="1"/>
  <c r="M1917" i="1"/>
  <c r="M1921" i="1"/>
  <c r="M1925" i="1"/>
  <c r="M1929" i="1"/>
  <c r="M1933" i="1"/>
  <c r="M1937" i="1"/>
  <c r="M1941" i="1"/>
  <c r="M1945" i="1"/>
  <c r="M1949" i="1"/>
  <c r="M1953" i="1"/>
  <c r="M1957" i="1"/>
  <c r="M1961" i="1"/>
  <c r="M1965" i="1"/>
  <c r="M1969" i="1"/>
  <c r="M1973" i="1"/>
  <c r="M1977" i="1"/>
  <c r="M1981" i="1"/>
  <c r="M1985" i="1"/>
  <c r="M1989" i="1"/>
  <c r="M1993" i="1"/>
  <c r="M1997" i="1"/>
  <c r="M2001" i="1"/>
  <c r="M2005" i="1"/>
  <c r="M2009" i="1"/>
  <c r="M2013" i="1"/>
  <c r="M2017" i="1"/>
  <c r="M2021" i="1"/>
  <c r="M2025" i="1"/>
  <c r="M2029" i="1"/>
  <c r="M2033" i="1"/>
  <c r="M2041" i="1"/>
  <c r="O2048" i="1"/>
  <c r="P2048" i="1" s="1"/>
  <c r="R2048" i="1" s="1"/>
  <c r="N2048" i="1"/>
  <c r="Q2048" i="1" s="1"/>
  <c r="O2052" i="1"/>
  <c r="P2052" i="1" s="1"/>
  <c r="R2052" i="1" s="1"/>
  <c r="O2068" i="1"/>
  <c r="P2068" i="1" s="1"/>
  <c r="R2068" i="1" s="1"/>
  <c r="M2048" i="1"/>
  <c r="N2055" i="1"/>
  <c r="Q2055" i="1" s="1"/>
  <c r="O2060" i="1"/>
  <c r="P2060" i="1" s="1"/>
  <c r="R2060" i="1" s="1"/>
  <c r="N2063" i="1"/>
  <c r="Q2063" i="1" s="1"/>
  <c r="N2071" i="1"/>
  <c r="Q2071" i="1" s="1"/>
  <c r="O2056" i="1"/>
  <c r="P2056" i="1" s="1"/>
  <c r="R2056" i="1" s="1"/>
  <c r="N2056" i="1"/>
  <c r="Q2056" i="1" s="1"/>
  <c r="O2064" i="1"/>
  <c r="P2064" i="1" s="1"/>
  <c r="R2064" i="1" s="1"/>
  <c r="N2072" i="1"/>
  <c r="Q2072" i="1" s="1"/>
  <c r="K2073" i="1"/>
  <c r="N2073" i="1" s="1"/>
  <c r="Q2073" i="1" s="1"/>
  <c r="K2077" i="1"/>
  <c r="N2077" i="1" s="1"/>
  <c r="Q2077" i="1" s="1"/>
  <c r="K2081" i="1"/>
  <c r="N2081" i="1" s="1"/>
  <c r="Q2081" i="1" s="1"/>
  <c r="K2085" i="1"/>
  <c r="N2085" i="1" s="1"/>
  <c r="Q2085" i="1" s="1"/>
  <c r="K2089" i="1"/>
  <c r="N2089" i="1" s="1"/>
  <c r="Q2089" i="1" s="1"/>
  <c r="K2093" i="1"/>
  <c r="N2093" i="1" s="1"/>
  <c r="Q2093" i="1" s="1"/>
  <c r="K2097" i="1"/>
  <c r="N2097" i="1" s="1"/>
  <c r="Q2097" i="1" s="1"/>
  <c r="K2101" i="1"/>
  <c r="N2101" i="1" s="1"/>
  <c r="Q2101" i="1" s="1"/>
  <c r="K2105" i="1"/>
  <c r="N2105" i="1" s="1"/>
  <c r="Q2105" i="1" s="1"/>
  <c r="K2109" i="1"/>
  <c r="N2109" i="1" s="1"/>
  <c r="Q2109" i="1" s="1"/>
  <c r="K2113" i="1"/>
  <c r="N2113" i="1" s="1"/>
  <c r="Q2113" i="1" s="1"/>
  <c r="K2117" i="1"/>
  <c r="N2117" i="1" s="1"/>
  <c r="Q2117" i="1" s="1"/>
  <c r="K2121" i="1"/>
  <c r="N2121" i="1" s="1"/>
  <c r="Q2121" i="1" s="1"/>
  <c r="K2125" i="1"/>
  <c r="N2125" i="1" s="1"/>
  <c r="Q2125" i="1" s="1"/>
  <c r="M2131" i="1"/>
  <c r="M2135" i="1"/>
  <c r="M2139" i="1"/>
  <c r="M2143" i="1"/>
  <c r="M2147" i="1"/>
  <c r="M2151" i="1"/>
  <c r="M2155" i="1"/>
  <c r="M2159" i="1"/>
  <c r="M2163" i="1"/>
  <c r="M2167" i="1"/>
  <c r="M2171" i="1"/>
  <c r="M2175" i="1"/>
  <c r="M2179" i="1"/>
  <c r="M2183" i="1"/>
  <c r="M2187" i="1"/>
  <c r="M2191" i="1"/>
  <c r="M2195" i="1"/>
  <c r="M2199" i="1"/>
  <c r="M2203" i="1"/>
  <c r="M2207" i="1"/>
  <c r="M2211" i="1"/>
  <c r="K2213" i="1"/>
  <c r="N2213" i="1" s="1"/>
  <c r="Q2213" i="1" s="1"/>
  <c r="K2217" i="1"/>
  <c r="N2217" i="1" s="1"/>
  <c r="Q2217" i="1" s="1"/>
  <c r="K2221" i="1"/>
  <c r="N2221" i="1" s="1"/>
  <c r="Q2221" i="1" s="1"/>
  <c r="K2225" i="1"/>
  <c r="N2225" i="1" s="1"/>
  <c r="Q2225" i="1" s="1"/>
  <c r="K2229" i="1"/>
  <c r="N2229" i="1" s="1"/>
  <c r="Q2229" i="1" s="1"/>
  <c r="K2238" i="1"/>
  <c r="N2238" i="1" s="1"/>
  <c r="Q2238" i="1" s="1"/>
  <c r="O2249" i="1"/>
  <c r="P2249" i="1" s="1"/>
  <c r="R2249" i="1" s="1"/>
  <c r="N2249" i="1"/>
  <c r="Q2249" i="1" s="1"/>
  <c r="N2264" i="1"/>
  <c r="Q2264" i="1" s="1"/>
  <c r="O2264" i="1"/>
  <c r="P2264" i="1" s="1"/>
  <c r="R2264" i="1" s="1"/>
  <c r="N2276" i="1"/>
  <c r="Q2276" i="1" s="1"/>
  <c r="O2276" i="1"/>
  <c r="P2276" i="1" s="1"/>
  <c r="R2276" i="1" s="1"/>
  <c r="K2052" i="1"/>
  <c r="N2052" i="1" s="1"/>
  <c r="Q2052" i="1" s="1"/>
  <c r="K2056" i="1"/>
  <c r="K2060" i="1"/>
  <c r="N2060" i="1" s="1"/>
  <c r="Q2060" i="1" s="1"/>
  <c r="K2064" i="1"/>
  <c r="N2064" i="1" s="1"/>
  <c r="Q2064" i="1" s="1"/>
  <c r="K2068" i="1"/>
  <c r="N2068" i="1" s="1"/>
  <c r="Q2068" i="1" s="1"/>
  <c r="K2072" i="1"/>
  <c r="K2076" i="1"/>
  <c r="N2076" i="1" s="1"/>
  <c r="Q2076" i="1" s="1"/>
  <c r="K2080" i="1"/>
  <c r="N2080" i="1" s="1"/>
  <c r="Q2080" i="1" s="1"/>
  <c r="K2084" i="1"/>
  <c r="N2084" i="1" s="1"/>
  <c r="Q2084" i="1" s="1"/>
  <c r="K2088" i="1"/>
  <c r="N2088" i="1" s="1"/>
  <c r="Q2088" i="1" s="1"/>
  <c r="K2092" i="1"/>
  <c r="N2092" i="1" s="1"/>
  <c r="Q2092" i="1" s="1"/>
  <c r="K2096" i="1"/>
  <c r="N2096" i="1" s="1"/>
  <c r="Q2096" i="1" s="1"/>
  <c r="K2100" i="1"/>
  <c r="N2100" i="1" s="1"/>
  <c r="Q2100" i="1" s="1"/>
  <c r="K2104" i="1"/>
  <c r="N2104" i="1" s="1"/>
  <c r="Q2104" i="1" s="1"/>
  <c r="K2108" i="1"/>
  <c r="N2108" i="1" s="1"/>
  <c r="Q2108" i="1" s="1"/>
  <c r="K2112" i="1"/>
  <c r="N2112" i="1" s="1"/>
  <c r="Q2112" i="1" s="1"/>
  <c r="K2116" i="1"/>
  <c r="N2116" i="1" s="1"/>
  <c r="Q2116" i="1" s="1"/>
  <c r="K2120" i="1"/>
  <c r="N2120" i="1" s="1"/>
  <c r="Q2120" i="1" s="1"/>
  <c r="K2124" i="1"/>
  <c r="N2124" i="1" s="1"/>
  <c r="Q2124" i="1" s="1"/>
  <c r="K2128" i="1"/>
  <c r="N2128" i="1" s="1"/>
  <c r="Q2128" i="1" s="1"/>
  <c r="M2130" i="1"/>
  <c r="M2134" i="1"/>
  <c r="M2138" i="1"/>
  <c r="M2142" i="1"/>
  <c r="M2146" i="1"/>
  <c r="M2150" i="1"/>
  <c r="M2154" i="1"/>
  <c r="M2158" i="1"/>
  <c r="M2162" i="1"/>
  <c r="M2166" i="1"/>
  <c r="M2170" i="1"/>
  <c r="M2174" i="1"/>
  <c r="M2178" i="1"/>
  <c r="M2182" i="1"/>
  <c r="M2186" i="1"/>
  <c r="M2190" i="1"/>
  <c r="M2194" i="1"/>
  <c r="M2198" i="1"/>
  <c r="M2202" i="1"/>
  <c r="M2206" i="1"/>
  <c r="M2210" i="1"/>
  <c r="M2214" i="1"/>
  <c r="M2218" i="1"/>
  <c r="M2222" i="1"/>
  <c r="M2226" i="1"/>
  <c r="M2230" i="1"/>
  <c r="M2234" i="1"/>
  <c r="M2246" i="1"/>
  <c r="M2249" i="1"/>
  <c r="N2252" i="1"/>
  <c r="Q2252" i="1" s="1"/>
  <c r="O2252" i="1"/>
  <c r="P2252" i="1" s="1"/>
  <c r="R2252" i="1" s="1"/>
  <c r="M2261" i="1"/>
  <c r="M2273" i="1"/>
  <c r="N2280" i="1"/>
  <c r="Q2280" i="1" s="1"/>
  <c r="O2280" i="1"/>
  <c r="P2280" i="1" s="1"/>
  <c r="R2280" i="1" s="1"/>
  <c r="N2256" i="1"/>
  <c r="Q2256" i="1" s="1"/>
  <c r="O2256" i="1"/>
  <c r="P2256" i="1" s="1"/>
  <c r="R2256" i="1" s="1"/>
  <c r="N2268" i="1"/>
  <c r="Q2268" i="1" s="1"/>
  <c r="O2268" i="1"/>
  <c r="P2268" i="1" s="1"/>
  <c r="R2268" i="1" s="1"/>
  <c r="M2233" i="1"/>
  <c r="M2241" i="1"/>
  <c r="O2248" i="1"/>
  <c r="P2248" i="1" s="1"/>
  <c r="R2248" i="1" s="1"/>
  <c r="M2253" i="1"/>
  <c r="N2260" i="1"/>
  <c r="Q2260" i="1" s="1"/>
  <c r="O2260" i="1"/>
  <c r="P2260" i="1" s="1"/>
  <c r="R2260" i="1" s="1"/>
  <c r="N2272" i="1"/>
  <c r="Q2272" i="1" s="1"/>
  <c r="O2272" i="1"/>
  <c r="P2272" i="1" s="1"/>
  <c r="R2272" i="1" s="1"/>
  <c r="M2281" i="1"/>
  <c r="M2254" i="1"/>
  <c r="M2258" i="1"/>
  <c r="M2262" i="1"/>
  <c r="M2266" i="1"/>
  <c r="M2270" i="1"/>
  <c r="M2274" i="1"/>
  <c r="M2278" i="1"/>
  <c r="M2282" i="1"/>
  <c r="O2284" i="1"/>
  <c r="P2284" i="1" s="1"/>
  <c r="R2284" i="1" s="1"/>
  <c r="M2286" i="1"/>
  <c r="M2290" i="1"/>
  <c r="M2294" i="1"/>
  <c r="M2298" i="1"/>
  <c r="M2302" i="1"/>
  <c r="M2306" i="1"/>
  <c r="M2310" i="1"/>
  <c r="M2314" i="1"/>
  <c r="M2318" i="1"/>
  <c r="M2322" i="1"/>
  <c r="M2326" i="1"/>
  <c r="M2330" i="1"/>
  <c r="M2334" i="1"/>
  <c r="M2338" i="1"/>
  <c r="M2342" i="1"/>
  <c r="K2344" i="1"/>
  <c r="N2344" i="1" s="1"/>
  <c r="Q2344" i="1" s="1"/>
  <c r="K2348" i="1"/>
  <c r="N2348" i="1" s="1"/>
  <c r="Q2348" i="1" s="1"/>
  <c r="K2352" i="1"/>
  <c r="N2352" i="1" s="1"/>
  <c r="Q2352" i="1" s="1"/>
  <c r="K2356" i="1"/>
  <c r="N2356" i="1" s="1"/>
  <c r="Q2356" i="1" s="1"/>
  <c r="K2360" i="1"/>
  <c r="N2360" i="1" s="1"/>
  <c r="Q2360" i="1" s="1"/>
  <c r="K2364" i="1"/>
  <c r="N2364" i="1" s="1"/>
  <c r="Q2364" i="1" s="1"/>
  <c r="K2368" i="1"/>
  <c r="N2368" i="1" s="1"/>
  <c r="Q2368" i="1" s="1"/>
  <c r="K2372" i="1"/>
  <c r="N2372" i="1" s="1"/>
  <c r="Q2372" i="1" s="1"/>
  <c r="K2376" i="1"/>
  <c r="N2376" i="1" s="1"/>
  <c r="Q2376" i="1" s="1"/>
  <c r="K2380" i="1"/>
  <c r="N2380" i="1" s="1"/>
  <c r="Q2380" i="1" s="1"/>
  <c r="K2384" i="1"/>
  <c r="N2384" i="1" s="1"/>
  <c r="Q2384" i="1" s="1"/>
  <c r="K2388" i="1"/>
  <c r="N2388" i="1" s="1"/>
  <c r="Q2388" i="1" s="1"/>
  <c r="K2392" i="1"/>
  <c r="N2392" i="1" s="1"/>
  <c r="Q2392" i="1" s="1"/>
  <c r="K2396" i="1"/>
  <c r="N2396" i="1" s="1"/>
  <c r="Q2396" i="1" s="1"/>
  <c r="K2400" i="1"/>
  <c r="N2400" i="1" s="1"/>
  <c r="Q2400" i="1" s="1"/>
  <c r="K2404" i="1"/>
  <c r="N2404" i="1" s="1"/>
  <c r="Q2404" i="1" s="1"/>
  <c r="K2408" i="1"/>
  <c r="N2408" i="1" s="1"/>
  <c r="Q2408" i="1" s="1"/>
  <c r="K2412" i="1"/>
  <c r="N2412" i="1" s="1"/>
  <c r="Q2412" i="1" s="1"/>
  <c r="K2416" i="1"/>
  <c r="N2416" i="1" s="1"/>
  <c r="Q2416" i="1" s="1"/>
  <c r="K2420" i="1"/>
  <c r="N2420" i="1" s="1"/>
  <c r="Q2420" i="1" s="1"/>
  <c r="K2424" i="1"/>
  <c r="N2424" i="1" s="1"/>
  <c r="Q2424" i="1" s="1"/>
  <c r="K2428" i="1"/>
  <c r="N2428" i="1" s="1"/>
  <c r="Q2428" i="1" s="1"/>
  <c r="K2432" i="1"/>
  <c r="N2432" i="1" s="1"/>
  <c r="Q2432" i="1" s="1"/>
  <c r="K2436" i="1"/>
  <c r="N2436" i="1" s="1"/>
  <c r="Q2436" i="1" s="1"/>
  <c r="K2440" i="1"/>
  <c r="N2440" i="1" s="1"/>
  <c r="Q2440" i="1" s="1"/>
  <c r="K2444" i="1"/>
  <c r="N2444" i="1" s="1"/>
  <c r="Q2444" i="1" s="1"/>
  <c r="K2448" i="1"/>
  <c r="N2448" i="1" s="1"/>
  <c r="Q2448" i="1" s="1"/>
  <c r="M2454" i="1"/>
  <c r="M2467" i="1"/>
  <c r="M2470" i="1"/>
  <c r="M2285" i="1"/>
  <c r="M2289" i="1"/>
  <c r="M2293" i="1"/>
  <c r="M2297" i="1"/>
  <c r="M2301" i="1"/>
  <c r="M2305" i="1"/>
  <c r="M2309" i="1"/>
  <c r="M2313" i="1"/>
  <c r="M2317" i="1"/>
  <c r="M2321" i="1"/>
  <c r="M2325" i="1"/>
  <c r="M2329" i="1"/>
  <c r="M2333" i="1"/>
  <c r="M2337" i="1"/>
  <c r="M2341" i="1"/>
  <c r="M2345" i="1"/>
  <c r="M2349" i="1"/>
  <c r="M2353" i="1"/>
  <c r="M2357" i="1"/>
  <c r="M2361" i="1"/>
  <c r="M2365" i="1"/>
  <c r="M2369" i="1"/>
  <c r="M2373" i="1"/>
  <c r="M2377" i="1"/>
  <c r="M2381" i="1"/>
  <c r="M2385" i="1"/>
  <c r="M2389" i="1"/>
  <c r="M2393" i="1"/>
  <c r="M2397" i="1"/>
  <c r="M2401" i="1"/>
  <c r="M2405" i="1"/>
  <c r="M2409" i="1"/>
  <c r="M2413" i="1"/>
  <c r="M2417" i="1"/>
  <c r="M2421" i="1"/>
  <c r="M2425" i="1"/>
  <c r="M2429" i="1"/>
  <c r="M2433" i="1"/>
  <c r="M2437" i="1"/>
  <c r="M2441" i="1"/>
  <c r="M2445" i="1"/>
  <c r="M2449" i="1"/>
  <c r="N2253" i="1"/>
  <c r="Q2253" i="1" s="1"/>
  <c r="N2257" i="1"/>
  <c r="Q2257" i="1" s="1"/>
  <c r="N2261" i="1"/>
  <c r="Q2261" i="1" s="1"/>
  <c r="N2265" i="1"/>
  <c r="Q2265" i="1" s="1"/>
  <c r="N2269" i="1"/>
  <c r="Q2269" i="1" s="1"/>
  <c r="N2273" i="1"/>
  <c r="Q2273" i="1" s="1"/>
  <c r="N2277" i="1"/>
  <c r="Q2277" i="1" s="1"/>
  <c r="N2281" i="1"/>
  <c r="Q2281" i="1" s="1"/>
  <c r="N2285" i="1"/>
  <c r="Q2285" i="1" s="1"/>
  <c r="N2485" i="1"/>
  <c r="Q2485" i="1" s="1"/>
  <c r="N2486" i="1"/>
  <c r="Q2486" i="1" s="1"/>
  <c r="O2486" i="1"/>
  <c r="P2486" i="1" s="1"/>
  <c r="R2486" i="1" s="1"/>
  <c r="K2474" i="1"/>
  <c r="N2474" i="1" s="1"/>
  <c r="Q2474" i="1" s="1"/>
  <c r="K2478" i="1"/>
  <c r="N2478" i="1" s="1"/>
  <c r="Q2478" i="1" s="1"/>
  <c r="K2482" i="1"/>
  <c r="N2482" i="1" s="1"/>
  <c r="Q2482" i="1" s="1"/>
  <c r="K2486" i="1"/>
  <c r="K2490" i="1"/>
  <c r="N2490" i="1" s="1"/>
  <c r="Q2490" i="1" s="1"/>
  <c r="K2494" i="1"/>
  <c r="N2494" i="1" s="1"/>
  <c r="Q2494" i="1" s="1"/>
  <c r="K2498" i="1"/>
  <c r="N2498" i="1" s="1"/>
  <c r="Q2498" i="1" s="1"/>
  <c r="K2502" i="1"/>
  <c r="N2502" i="1" s="1"/>
  <c r="Q2502" i="1" s="1"/>
  <c r="K2506" i="1"/>
  <c r="N2506" i="1" s="1"/>
  <c r="Q2506" i="1" s="1"/>
  <c r="K2510" i="1"/>
  <c r="N2510" i="1" s="1"/>
  <c r="Q2510" i="1" s="1"/>
  <c r="K2514" i="1"/>
  <c r="N2514" i="1" s="1"/>
  <c r="Q2514" i="1" s="1"/>
  <c r="K2518" i="1"/>
  <c r="N2518" i="1" s="1"/>
  <c r="Q2518" i="1" s="1"/>
  <c r="K2522" i="1"/>
  <c r="N2522" i="1" s="1"/>
  <c r="Q2522" i="1" s="1"/>
  <c r="K2526" i="1"/>
  <c r="N2526" i="1" s="1"/>
  <c r="Q2526" i="1" s="1"/>
  <c r="M2535" i="1"/>
  <c r="K2536" i="1"/>
  <c r="N2536" i="1" s="1"/>
  <c r="Q2536" i="1" s="1"/>
  <c r="K2542" i="1"/>
  <c r="N2542" i="1" s="1"/>
  <c r="Q2542" i="1" s="1"/>
  <c r="K2552" i="1"/>
  <c r="N2552" i="1" s="1"/>
  <c r="Q2552" i="1" s="1"/>
  <c r="K2554" i="1"/>
  <c r="N2554" i="1" s="1"/>
  <c r="Q2554" i="1" s="1"/>
  <c r="M2491" i="1"/>
  <c r="M2495" i="1"/>
  <c r="M2499" i="1"/>
  <c r="M2503" i="1"/>
  <c r="M2507" i="1"/>
  <c r="M2511" i="1"/>
  <c r="M2515" i="1"/>
  <c r="M2519" i="1"/>
  <c r="M2523" i="1"/>
  <c r="M2527" i="1"/>
  <c r="M2532" i="1"/>
  <c r="M2538" i="1"/>
  <c r="M2556" i="1"/>
  <c r="M2558" i="1"/>
  <c r="K2584" i="1"/>
  <c r="N2584" i="1" s="1"/>
  <c r="Q2584" i="1" s="1"/>
  <c r="M2584" i="1"/>
  <c r="M2597" i="1"/>
  <c r="M2656" i="1"/>
  <c r="M2660" i="1"/>
  <c r="M2672" i="1"/>
  <c r="M2676" i="1"/>
  <c r="M2688" i="1"/>
  <c r="M2692" i="1"/>
  <c r="M2704" i="1"/>
  <c r="M2708" i="1"/>
  <c r="M2720" i="1"/>
  <c r="M2724" i="1"/>
  <c r="M2740" i="1"/>
  <c r="K2743" i="1"/>
  <c r="N2743" i="1" s="1"/>
  <c r="Q2743" i="1" s="1"/>
  <c r="M2743" i="1"/>
  <c r="M2746" i="1"/>
  <c r="O2751" i="1"/>
  <c r="P2751" i="1" s="1"/>
  <c r="R2751" i="1" s="1"/>
  <c r="N2751" i="1"/>
  <c r="Q2751" i="1" s="1"/>
  <c r="M2756" i="1"/>
  <c r="K2759" i="1"/>
  <c r="N2759" i="1" s="1"/>
  <c r="Q2759" i="1" s="1"/>
  <c r="M2759" i="1"/>
  <c r="M2762" i="1"/>
  <c r="M2772" i="1"/>
  <c r="K2775" i="1"/>
  <c r="N2775" i="1" s="1"/>
  <c r="Q2775" i="1" s="1"/>
  <c r="M2775" i="1"/>
  <c r="M2778" i="1"/>
  <c r="M2788" i="1"/>
  <c r="K2791" i="1"/>
  <c r="N2791" i="1" s="1"/>
  <c r="Q2791" i="1" s="1"/>
  <c r="M2791" i="1"/>
  <c r="K2823" i="1"/>
  <c r="N2823" i="1" s="1"/>
  <c r="Q2823" i="1" s="1"/>
  <c r="M2823" i="1"/>
  <c r="K2968" i="1"/>
  <c r="N2968" i="1" s="1"/>
  <c r="Q2968" i="1" s="1"/>
  <c r="M2968" i="1"/>
  <c r="M2547" i="1"/>
  <c r="M2551" i="1"/>
  <c r="M2555" i="1"/>
  <c r="M2559" i="1"/>
  <c r="M2563" i="1"/>
  <c r="M2567" i="1"/>
  <c r="N2571" i="1"/>
  <c r="Q2571" i="1" s="1"/>
  <c r="M2577" i="1"/>
  <c r="M2583" i="1"/>
  <c r="M2593" i="1"/>
  <c r="M2599" i="1"/>
  <c r="M2600" i="1"/>
  <c r="M2615" i="1"/>
  <c r="M2631" i="1"/>
  <c r="M2647" i="1"/>
  <c r="M2663" i="1"/>
  <c r="M2679" i="1"/>
  <c r="M2695" i="1"/>
  <c r="M2711" i="1"/>
  <c r="M2727" i="1"/>
  <c r="K2847" i="1"/>
  <c r="N2847" i="1" s="1"/>
  <c r="Q2847" i="1" s="1"/>
  <c r="M2847" i="1"/>
  <c r="K2947" i="1"/>
  <c r="N2947" i="1" s="1"/>
  <c r="Q2947" i="1" s="1"/>
  <c r="M2947" i="1"/>
  <c r="K2807" i="1"/>
  <c r="N2807" i="1" s="1"/>
  <c r="Q2807" i="1" s="1"/>
  <c r="M2807" i="1"/>
  <c r="K2815" i="1"/>
  <c r="N2815" i="1" s="1"/>
  <c r="Q2815" i="1" s="1"/>
  <c r="M2815" i="1"/>
  <c r="K2831" i="1"/>
  <c r="N2831" i="1" s="1"/>
  <c r="Q2831" i="1" s="1"/>
  <c r="M2831" i="1"/>
  <c r="K2935" i="1"/>
  <c r="N2935" i="1" s="1"/>
  <c r="Q2935" i="1" s="1"/>
  <c r="M2935" i="1"/>
  <c r="K2963" i="1"/>
  <c r="N2963" i="1" s="1"/>
  <c r="Q2963" i="1" s="1"/>
  <c r="M2963" i="1"/>
  <c r="O2571" i="1"/>
  <c r="P2571" i="1" s="1"/>
  <c r="R2571" i="1" s="1"/>
  <c r="N2572" i="1"/>
  <c r="Q2572" i="1" s="1"/>
  <c r="M2576" i="1"/>
  <c r="M2592" i="1"/>
  <c r="M2605" i="1"/>
  <c r="M2608" i="1"/>
  <c r="K2611" i="1"/>
  <c r="N2611" i="1" s="1"/>
  <c r="Q2611" i="1" s="1"/>
  <c r="M2611" i="1"/>
  <c r="M2614" i="1"/>
  <c r="M2618" i="1"/>
  <c r="K2627" i="1"/>
  <c r="N2627" i="1" s="1"/>
  <c r="Q2627" i="1" s="1"/>
  <c r="M2627" i="1"/>
  <c r="M2630" i="1"/>
  <c r="M2634" i="1"/>
  <c r="K2643" i="1"/>
  <c r="N2643" i="1" s="1"/>
  <c r="Q2643" i="1" s="1"/>
  <c r="M2643" i="1"/>
  <c r="M2646" i="1"/>
  <c r="M2650" i="1"/>
  <c r="K2659" i="1"/>
  <c r="N2659" i="1" s="1"/>
  <c r="Q2659" i="1" s="1"/>
  <c r="M2659" i="1"/>
  <c r="M2662" i="1"/>
  <c r="M2666" i="1"/>
  <c r="K2675" i="1"/>
  <c r="N2675" i="1" s="1"/>
  <c r="Q2675" i="1" s="1"/>
  <c r="M2675" i="1"/>
  <c r="M2678" i="1"/>
  <c r="K2691" i="1"/>
  <c r="N2691" i="1" s="1"/>
  <c r="Q2691" i="1" s="1"/>
  <c r="M2691" i="1"/>
  <c r="K2707" i="1"/>
  <c r="N2707" i="1" s="1"/>
  <c r="Q2707" i="1" s="1"/>
  <c r="M2707" i="1"/>
  <c r="K2723" i="1"/>
  <c r="N2723" i="1" s="1"/>
  <c r="Q2723" i="1" s="1"/>
  <c r="M2723" i="1"/>
  <c r="N2750" i="1"/>
  <c r="Q2750" i="1" s="1"/>
  <c r="O2750" i="1"/>
  <c r="P2750" i="1" s="1"/>
  <c r="R2750" i="1" s="1"/>
  <c r="K2799" i="1"/>
  <c r="N2799" i="1" s="1"/>
  <c r="Q2799" i="1" s="1"/>
  <c r="M2799" i="1"/>
  <c r="K2839" i="1"/>
  <c r="N2839" i="1" s="1"/>
  <c r="Q2839" i="1" s="1"/>
  <c r="M2839" i="1"/>
  <c r="K2855" i="1"/>
  <c r="N2855" i="1" s="1"/>
  <c r="Q2855" i="1" s="1"/>
  <c r="M2855" i="1"/>
  <c r="K2871" i="1"/>
  <c r="N2871" i="1" s="1"/>
  <c r="Q2871" i="1" s="1"/>
  <c r="M2871" i="1"/>
  <c r="K2887" i="1"/>
  <c r="N2887" i="1" s="1"/>
  <c r="Q2887" i="1" s="1"/>
  <c r="M2887" i="1"/>
  <c r="K2903" i="1"/>
  <c r="N2903" i="1" s="1"/>
  <c r="Q2903" i="1" s="1"/>
  <c r="M2903" i="1"/>
  <c r="K2919" i="1"/>
  <c r="N2919" i="1" s="1"/>
  <c r="Q2919" i="1" s="1"/>
  <c r="M2919" i="1"/>
  <c r="M2736" i="1"/>
  <c r="M2742" i="1"/>
  <c r="M2752" i="1"/>
  <c r="M2758" i="1"/>
  <c r="M2768" i="1"/>
  <c r="M2774" i="1"/>
  <c r="M2784" i="1"/>
  <c r="M2790" i="1"/>
  <c r="K2993" i="1"/>
  <c r="N2993" i="1" s="1"/>
  <c r="Q2993" i="1" s="1"/>
  <c r="M2993" i="1"/>
  <c r="N2747" i="1"/>
  <c r="Q2747" i="1" s="1"/>
  <c r="M2811" i="1"/>
  <c r="M2819" i="1"/>
  <c r="M2827" i="1"/>
  <c r="O2834" i="1"/>
  <c r="P2834" i="1" s="1"/>
  <c r="R2834" i="1" s="1"/>
  <c r="N2834" i="1"/>
  <c r="Q2834" i="1" s="1"/>
  <c r="M2835" i="1"/>
  <c r="M2843" i="1"/>
  <c r="M2863" i="1"/>
  <c r="M2879" i="1"/>
  <c r="M2895" i="1"/>
  <c r="M2911" i="1"/>
  <c r="N2921" i="1"/>
  <c r="Q2921" i="1" s="1"/>
  <c r="M2927" i="1"/>
  <c r="M2943" i="1"/>
  <c r="M2955" i="1"/>
  <c r="N2662" i="1"/>
  <c r="Q2662" i="1" s="1"/>
  <c r="M2739" i="1"/>
  <c r="M2755" i="1"/>
  <c r="M2771" i="1"/>
  <c r="M2787" i="1"/>
  <c r="M2794" i="1"/>
  <c r="M2802" i="1"/>
  <c r="M2810" i="1"/>
  <c r="M2818" i="1"/>
  <c r="M2826" i="1"/>
  <c r="M2834" i="1"/>
  <c r="M2842" i="1"/>
  <c r="M2851" i="1"/>
  <c r="M2867" i="1"/>
  <c r="M2883" i="1"/>
  <c r="M2899" i="1"/>
  <c r="M2915" i="1"/>
  <c r="O2922" i="1"/>
  <c r="P2922" i="1" s="1"/>
  <c r="R2922" i="1" s="1"/>
  <c r="N2922" i="1"/>
  <c r="Q2922" i="1" s="1"/>
  <c r="M2931" i="1"/>
  <c r="M2959" i="1"/>
  <c r="K3199" i="1"/>
  <c r="N3199" i="1" s="1"/>
  <c r="Q3199" i="1" s="1"/>
  <c r="M3199" i="1"/>
  <c r="M2850" i="1"/>
  <c r="M2854" i="1"/>
  <c r="M2858" i="1"/>
  <c r="M2862" i="1"/>
  <c r="M2866" i="1"/>
  <c r="M2870" i="1"/>
  <c r="M2874" i="1"/>
  <c r="M2878" i="1"/>
  <c r="M2882" i="1"/>
  <c r="M2886" i="1"/>
  <c r="M2890" i="1"/>
  <c r="M2894" i="1"/>
  <c r="M2898" i="1"/>
  <c r="M2902" i="1"/>
  <c r="M2906" i="1"/>
  <c r="M2910" i="1"/>
  <c r="M2914" i="1"/>
  <c r="M2918" i="1"/>
  <c r="M2922" i="1"/>
  <c r="M2926" i="1"/>
  <c r="M2930" i="1"/>
  <c r="M2934" i="1"/>
  <c r="M2938" i="1"/>
  <c r="M2942" i="1"/>
  <c r="K2948" i="1"/>
  <c r="N2948" i="1" s="1"/>
  <c r="Q2948" i="1" s="1"/>
  <c r="K2952" i="1"/>
  <c r="N2952" i="1" s="1"/>
  <c r="Q2952" i="1" s="1"/>
  <c r="K2956" i="1"/>
  <c r="N2956" i="1" s="1"/>
  <c r="Q2956" i="1" s="1"/>
  <c r="K2960" i="1"/>
  <c r="N2960" i="1" s="1"/>
  <c r="Q2960" i="1" s="1"/>
  <c r="K2964" i="1"/>
  <c r="N2964" i="1" s="1"/>
  <c r="Q2964" i="1" s="1"/>
  <c r="K3163" i="1"/>
  <c r="N3163" i="1" s="1"/>
  <c r="Q3163" i="1" s="1"/>
  <c r="M3163" i="1"/>
  <c r="K3183" i="1"/>
  <c r="N3183" i="1" s="1"/>
  <c r="Q3183" i="1" s="1"/>
  <c r="M3183" i="1"/>
  <c r="K3208" i="1"/>
  <c r="N3208" i="1" s="1"/>
  <c r="Q3208" i="1" s="1"/>
  <c r="M3208" i="1"/>
  <c r="K3265" i="1"/>
  <c r="N3265" i="1" s="1"/>
  <c r="Q3265" i="1" s="1"/>
  <c r="M3265" i="1"/>
  <c r="M2973" i="1"/>
  <c r="M2989" i="1"/>
  <c r="O3008" i="1"/>
  <c r="P3008" i="1" s="1"/>
  <c r="R3008" i="1" s="1"/>
  <c r="N3008" i="1"/>
  <c r="Q3008" i="1" s="1"/>
  <c r="O3012" i="1"/>
  <c r="P3012" i="1" s="1"/>
  <c r="R3012" i="1" s="1"/>
  <c r="N3012" i="1"/>
  <c r="Q3012" i="1" s="1"/>
  <c r="O3096" i="1"/>
  <c r="P3096" i="1" s="1"/>
  <c r="R3096" i="1" s="1"/>
  <c r="N3096" i="1"/>
  <c r="Q3096" i="1" s="1"/>
  <c r="O3100" i="1"/>
  <c r="P3100" i="1" s="1"/>
  <c r="R3100" i="1" s="1"/>
  <c r="N3100" i="1"/>
  <c r="Q3100" i="1" s="1"/>
  <c r="K3221" i="1"/>
  <c r="N3221" i="1" s="1"/>
  <c r="Q3221" i="1" s="1"/>
  <c r="M3221" i="1"/>
  <c r="K3233" i="1"/>
  <c r="N3233" i="1" s="1"/>
  <c r="Q3233" i="1" s="1"/>
  <c r="M3233" i="1"/>
  <c r="K3325" i="1"/>
  <c r="N3325" i="1" s="1"/>
  <c r="Q3325" i="1" s="1"/>
  <c r="M3325" i="1"/>
  <c r="M3148" i="1"/>
  <c r="K3148" i="1"/>
  <c r="N3148" i="1" s="1"/>
  <c r="Q3148" i="1" s="1"/>
  <c r="K3155" i="1"/>
  <c r="N3155" i="1" s="1"/>
  <c r="Q3155" i="1" s="1"/>
  <c r="M3155" i="1"/>
  <c r="K3171" i="1"/>
  <c r="N3171" i="1" s="1"/>
  <c r="Q3171" i="1" s="1"/>
  <c r="M3171" i="1"/>
  <c r="K2982" i="1"/>
  <c r="N2982" i="1" s="1"/>
  <c r="Q2982" i="1" s="1"/>
  <c r="K2986" i="1"/>
  <c r="N2986" i="1" s="1"/>
  <c r="Q2986" i="1" s="1"/>
  <c r="K2990" i="1"/>
  <c r="N2990" i="1" s="1"/>
  <c r="Q2990" i="1" s="1"/>
  <c r="K2994" i="1"/>
  <c r="N2994" i="1" s="1"/>
  <c r="Q2994" i="1" s="1"/>
  <c r="K2998" i="1"/>
  <c r="N2998" i="1" s="1"/>
  <c r="Q2998" i="1" s="1"/>
  <c r="K3002" i="1"/>
  <c r="N3002" i="1" s="1"/>
  <c r="Q3002" i="1" s="1"/>
  <c r="K3006" i="1"/>
  <c r="N3006" i="1" s="1"/>
  <c r="Q3006" i="1" s="1"/>
  <c r="N3009" i="1"/>
  <c r="Q3009" i="1" s="1"/>
  <c r="K3010" i="1"/>
  <c r="N3010" i="1" s="1"/>
  <c r="Q3010" i="1" s="1"/>
  <c r="K3014" i="1"/>
  <c r="N3014" i="1" s="1"/>
  <c r="Q3014" i="1" s="1"/>
  <c r="K3018" i="1"/>
  <c r="N3018" i="1" s="1"/>
  <c r="Q3018" i="1" s="1"/>
  <c r="K3022" i="1"/>
  <c r="N3022" i="1" s="1"/>
  <c r="Q3022" i="1" s="1"/>
  <c r="K3026" i="1"/>
  <c r="N3026" i="1" s="1"/>
  <c r="Q3026" i="1" s="1"/>
  <c r="K3030" i="1"/>
  <c r="N3030" i="1" s="1"/>
  <c r="Q3030" i="1" s="1"/>
  <c r="K3034" i="1"/>
  <c r="N3034" i="1" s="1"/>
  <c r="Q3034" i="1" s="1"/>
  <c r="K3038" i="1"/>
  <c r="N3038" i="1" s="1"/>
  <c r="Q3038" i="1" s="1"/>
  <c r="K3042" i="1"/>
  <c r="N3042" i="1" s="1"/>
  <c r="Q3042" i="1" s="1"/>
  <c r="K3046" i="1"/>
  <c r="N3046" i="1" s="1"/>
  <c r="Q3046" i="1" s="1"/>
  <c r="K3050" i="1"/>
  <c r="N3050" i="1" s="1"/>
  <c r="Q3050" i="1" s="1"/>
  <c r="K3054" i="1"/>
  <c r="N3054" i="1" s="1"/>
  <c r="Q3054" i="1" s="1"/>
  <c r="K3058" i="1"/>
  <c r="N3058" i="1" s="1"/>
  <c r="Q3058" i="1" s="1"/>
  <c r="K3062" i="1"/>
  <c r="N3062" i="1" s="1"/>
  <c r="Q3062" i="1" s="1"/>
  <c r="K3066" i="1"/>
  <c r="N3066" i="1" s="1"/>
  <c r="Q3066" i="1" s="1"/>
  <c r="K3070" i="1"/>
  <c r="N3070" i="1" s="1"/>
  <c r="Q3070" i="1" s="1"/>
  <c r="K3074" i="1"/>
  <c r="N3074" i="1" s="1"/>
  <c r="Q3074" i="1" s="1"/>
  <c r="K3078" i="1"/>
  <c r="N3078" i="1" s="1"/>
  <c r="Q3078" i="1" s="1"/>
  <c r="K3082" i="1"/>
  <c r="N3082" i="1" s="1"/>
  <c r="Q3082" i="1" s="1"/>
  <c r="K3086" i="1"/>
  <c r="N3086" i="1" s="1"/>
  <c r="Q3086" i="1" s="1"/>
  <c r="K3090" i="1"/>
  <c r="N3090" i="1" s="1"/>
  <c r="Q3090" i="1" s="1"/>
  <c r="K3094" i="1"/>
  <c r="N3094" i="1" s="1"/>
  <c r="Q3094" i="1" s="1"/>
  <c r="N3097" i="1"/>
  <c r="Q3097" i="1" s="1"/>
  <c r="K3098" i="1"/>
  <c r="N3098" i="1" s="1"/>
  <c r="Q3098" i="1" s="1"/>
  <c r="K3102" i="1"/>
  <c r="N3102" i="1" s="1"/>
  <c r="Q3102" i="1" s="1"/>
  <c r="K3106" i="1"/>
  <c r="N3106" i="1" s="1"/>
  <c r="Q3106" i="1" s="1"/>
  <c r="K3110" i="1"/>
  <c r="N3110" i="1" s="1"/>
  <c r="Q3110" i="1" s="1"/>
  <c r="K3114" i="1"/>
  <c r="N3114" i="1" s="1"/>
  <c r="Q3114" i="1" s="1"/>
  <c r="K3118" i="1"/>
  <c r="N3118" i="1" s="1"/>
  <c r="Q3118" i="1" s="1"/>
  <c r="K3122" i="1"/>
  <c r="N3122" i="1" s="1"/>
  <c r="Q3122" i="1" s="1"/>
  <c r="K3126" i="1"/>
  <c r="N3126" i="1" s="1"/>
  <c r="Q3126" i="1" s="1"/>
  <c r="K3130" i="1"/>
  <c r="N3130" i="1" s="1"/>
  <c r="Q3130" i="1" s="1"/>
  <c r="K3134" i="1"/>
  <c r="N3134" i="1" s="1"/>
  <c r="Q3134" i="1" s="1"/>
  <c r="K3138" i="1"/>
  <c r="N3138" i="1" s="1"/>
  <c r="Q3138" i="1" s="1"/>
  <c r="M3143" i="1"/>
  <c r="K3144" i="1"/>
  <c r="N3144" i="1" s="1"/>
  <c r="Q3144" i="1" s="1"/>
  <c r="M3151" i="1"/>
  <c r="M3159" i="1"/>
  <c r="M3167" i="1"/>
  <c r="M3175" i="1"/>
  <c r="N3185" i="1"/>
  <c r="Q3185" i="1" s="1"/>
  <c r="M3191" i="1"/>
  <c r="K3257" i="1"/>
  <c r="N3257" i="1" s="1"/>
  <c r="Q3257" i="1" s="1"/>
  <c r="M3257" i="1"/>
  <c r="K3306" i="1"/>
  <c r="N3306" i="1" s="1"/>
  <c r="Q3306" i="1" s="1"/>
  <c r="M3306" i="1"/>
  <c r="M3147" i="1"/>
  <c r="M3150" i="1"/>
  <c r="M3158" i="1"/>
  <c r="M3166" i="1"/>
  <c r="M3174" i="1"/>
  <c r="M3179" i="1"/>
  <c r="O3186" i="1"/>
  <c r="P3186" i="1" s="1"/>
  <c r="R3186" i="1" s="1"/>
  <c r="N3186" i="1"/>
  <c r="Q3186" i="1" s="1"/>
  <c r="M3195" i="1"/>
  <c r="M3224" i="1"/>
  <c r="K3249" i="1"/>
  <c r="N3249" i="1" s="1"/>
  <c r="Q3249" i="1" s="1"/>
  <c r="M3249" i="1"/>
  <c r="K3241" i="1"/>
  <c r="N3241" i="1" s="1"/>
  <c r="Q3241" i="1" s="1"/>
  <c r="M3241" i="1"/>
  <c r="K3273" i="1"/>
  <c r="N3273" i="1" s="1"/>
  <c r="Q3273" i="1" s="1"/>
  <c r="M3273" i="1"/>
  <c r="K3281" i="1"/>
  <c r="N3281" i="1" s="1"/>
  <c r="Q3281" i="1" s="1"/>
  <c r="M3281" i="1"/>
  <c r="K3329" i="1"/>
  <c r="N3329" i="1" s="1"/>
  <c r="Q3329" i="1" s="1"/>
  <c r="M3329" i="1"/>
  <c r="M3178" i="1"/>
  <c r="M3182" i="1"/>
  <c r="M3186" i="1"/>
  <c r="M3190" i="1"/>
  <c r="M3194" i="1"/>
  <c r="M3198" i="1"/>
  <c r="M3202" i="1"/>
  <c r="M3206" i="1"/>
  <c r="M3212" i="1"/>
  <c r="M3222" i="1"/>
  <c r="N3271" i="1"/>
  <c r="Q3271" i="1" s="1"/>
  <c r="K3345" i="1"/>
  <c r="N3345" i="1" s="1"/>
  <c r="Q3345" i="1" s="1"/>
  <c r="M3345" i="1"/>
  <c r="K3351" i="1"/>
  <c r="N3351" i="1" s="1"/>
  <c r="Q3351" i="1" s="1"/>
  <c r="M3351" i="1"/>
  <c r="K3374" i="1"/>
  <c r="N3374" i="1" s="1"/>
  <c r="Q3374" i="1" s="1"/>
  <c r="M3374" i="1"/>
  <c r="M3217" i="1"/>
  <c r="M3228" i="1"/>
  <c r="M3236" i="1"/>
  <c r="M3244" i="1"/>
  <c r="M3252" i="1"/>
  <c r="M3260" i="1"/>
  <c r="O3271" i="1"/>
  <c r="P3271" i="1" s="1"/>
  <c r="R3271" i="1" s="1"/>
  <c r="K3355" i="1"/>
  <c r="N3355" i="1" s="1"/>
  <c r="Q3355" i="1" s="1"/>
  <c r="M3355" i="1"/>
  <c r="O3272" i="1"/>
  <c r="P3272" i="1" s="1"/>
  <c r="R3272" i="1" s="1"/>
  <c r="N3272" i="1"/>
  <c r="Q3272" i="1" s="1"/>
  <c r="K3309" i="1"/>
  <c r="N3309" i="1" s="1"/>
  <c r="Q3309" i="1" s="1"/>
  <c r="M3309" i="1"/>
  <c r="K3338" i="1"/>
  <c r="N3338" i="1" s="1"/>
  <c r="Q3338" i="1" s="1"/>
  <c r="M3338" i="1"/>
  <c r="K3386" i="1"/>
  <c r="N3386" i="1" s="1"/>
  <c r="Q3386" i="1" s="1"/>
  <c r="M3386" i="1"/>
  <c r="K3402" i="1"/>
  <c r="N3402" i="1" s="1"/>
  <c r="Q3402" i="1" s="1"/>
  <c r="M3402" i="1"/>
  <c r="K3289" i="1"/>
  <c r="N3289" i="1" s="1"/>
  <c r="Q3289" i="1" s="1"/>
  <c r="K3293" i="1"/>
  <c r="N3293" i="1" s="1"/>
  <c r="Q3293" i="1" s="1"/>
  <c r="M3301" i="1"/>
  <c r="K3302" i="1"/>
  <c r="N3302" i="1" s="1"/>
  <c r="Q3302" i="1" s="1"/>
  <c r="K3308" i="1"/>
  <c r="N3308" i="1" s="1"/>
  <c r="Q3308" i="1" s="1"/>
  <c r="M3317" i="1"/>
  <c r="K3318" i="1"/>
  <c r="N3318" i="1" s="1"/>
  <c r="Q3318" i="1" s="1"/>
  <c r="K3324" i="1"/>
  <c r="N3324" i="1" s="1"/>
  <c r="Q3324" i="1" s="1"/>
  <c r="M3335" i="1"/>
  <c r="M3339" i="1"/>
  <c r="M3361" i="1"/>
  <c r="M3367" i="1"/>
  <c r="K3415" i="1"/>
  <c r="N3415" i="1" s="1"/>
  <c r="Q3415" i="1" s="1"/>
  <c r="M3415" i="1"/>
  <c r="M3321" i="1"/>
  <c r="K3354" i="1"/>
  <c r="N3354" i="1" s="1"/>
  <c r="Q3354" i="1" s="1"/>
  <c r="M3354" i="1"/>
  <c r="K3394" i="1"/>
  <c r="N3394" i="1" s="1"/>
  <c r="Q3394" i="1" s="1"/>
  <c r="M3394" i="1"/>
  <c r="K3410" i="1"/>
  <c r="N3410" i="1" s="1"/>
  <c r="Q3410" i="1" s="1"/>
  <c r="M3410" i="1"/>
  <c r="K3305" i="1"/>
  <c r="N3305" i="1" s="1"/>
  <c r="Q3305" i="1" s="1"/>
  <c r="M3332" i="1"/>
  <c r="K3332" i="1"/>
  <c r="N3332" i="1" s="1"/>
  <c r="Q3332" i="1" s="1"/>
  <c r="K3419" i="1"/>
  <c r="N3419" i="1" s="1"/>
  <c r="Q3419" i="1" s="1"/>
  <c r="M3419" i="1"/>
  <c r="M3334" i="1"/>
  <c r="M3350" i="1"/>
  <c r="M3366" i="1"/>
  <c r="K3373" i="1"/>
  <c r="N3373" i="1" s="1"/>
  <c r="Q3373" i="1" s="1"/>
  <c r="M3382" i="1"/>
  <c r="M3390" i="1"/>
  <c r="M3398" i="1"/>
  <c r="M3406" i="1"/>
  <c r="N3357" i="1"/>
  <c r="Q3357" i="1" s="1"/>
  <c r="M3370" i="1"/>
  <c r="M3381" i="1"/>
  <c r="K3420" i="1"/>
  <c r="N3420" i="1" s="1"/>
  <c r="Q3420" i="1" s="1"/>
  <c r="M3420" i="1"/>
  <c r="K3435" i="1"/>
  <c r="N3435" i="1" s="1"/>
  <c r="Q3435" i="1" s="1"/>
  <c r="M3435" i="1"/>
  <c r="K3456" i="1"/>
  <c r="N3456" i="1" s="1"/>
  <c r="Q3456" i="1" s="1"/>
  <c r="M3456" i="1"/>
  <c r="K3428" i="1"/>
  <c r="N3428" i="1" s="1"/>
  <c r="Q3428" i="1" s="1"/>
  <c r="M3428" i="1"/>
  <c r="K3439" i="1"/>
  <c r="N3439" i="1" s="1"/>
  <c r="Q3439" i="1" s="1"/>
  <c r="M3439" i="1"/>
  <c r="K3443" i="1"/>
  <c r="M3443" i="1"/>
  <c r="K3447" i="1"/>
  <c r="N3447" i="1" s="1"/>
  <c r="Q3447" i="1" s="1"/>
  <c r="M3447" i="1"/>
  <c r="M3423" i="1"/>
  <c r="M3431" i="1"/>
  <c r="O3442" i="1"/>
  <c r="P3442" i="1" s="1"/>
  <c r="R3442" i="1" s="1"/>
  <c r="N3442" i="1"/>
  <c r="Q3442" i="1" s="1"/>
  <c r="O3446" i="1"/>
  <c r="P3446" i="1" s="1"/>
  <c r="R3446" i="1" s="1"/>
  <c r="N3446" i="1"/>
  <c r="Q3446" i="1" s="1"/>
  <c r="M3450" i="1"/>
  <c r="K3453" i="1"/>
  <c r="N3453" i="1" s="1"/>
  <c r="Q3453" i="1" s="1"/>
  <c r="M3453" i="1"/>
  <c r="M3470" i="1"/>
  <c r="M3472" i="1"/>
  <c r="K3476" i="1"/>
  <c r="N3476" i="1" s="1"/>
  <c r="Q3476" i="1" s="1"/>
  <c r="M3476" i="1"/>
  <c r="K3436" i="1"/>
  <c r="N3436" i="1" s="1"/>
  <c r="Q3436" i="1" s="1"/>
  <c r="K3440" i="1"/>
  <c r="N3440" i="1" s="1"/>
  <c r="Q3440" i="1" s="1"/>
  <c r="N3443" i="1"/>
  <c r="Q3443" i="1" s="1"/>
  <c r="K3444" i="1"/>
  <c r="N3444" i="1" s="1"/>
  <c r="Q3444" i="1" s="1"/>
  <c r="K3448" i="1"/>
  <c r="N3448" i="1" s="1"/>
  <c r="Q3448" i="1" s="1"/>
  <c r="K3452" i="1"/>
  <c r="N3452" i="1" s="1"/>
  <c r="Q3452" i="1" s="1"/>
  <c r="K3458" i="1"/>
  <c r="N3458" i="1" s="1"/>
  <c r="Q3458" i="1" s="1"/>
  <c r="K3460" i="1"/>
  <c r="N3460" i="1" s="1"/>
  <c r="Q3460" i="1" s="1"/>
  <c r="M3466" i="1"/>
  <c r="M3468" i="1"/>
  <c r="M3478" i="1"/>
  <c r="M3482" i="1"/>
  <c r="M3486" i="1"/>
  <c r="K3488" i="1"/>
  <c r="N3488" i="1" s="1"/>
  <c r="Q3488" i="1" s="1"/>
  <c r="M3490" i="1"/>
  <c r="K3492" i="1"/>
  <c r="N3492" i="1" s="1"/>
  <c r="Q3492" i="1" s="1"/>
  <c r="K3496" i="1"/>
  <c r="N3496" i="1" s="1"/>
  <c r="Q3496" i="1" s="1"/>
  <c r="M3457" i="1"/>
  <c r="M3461" i="1"/>
  <c r="M3465" i="1"/>
  <c r="M3469" i="1"/>
  <c r="M3473" i="1"/>
  <c r="M3477" i="1"/>
  <c r="M3481" i="1"/>
  <c r="M3485" i="1"/>
  <c r="M3489" i="1"/>
  <c r="M3493" i="1"/>
  <c r="M3497" i="1"/>
  <c r="S4" i="1"/>
  <c r="L4" i="1" l="1"/>
  <c r="J4" i="1"/>
  <c r="I4" i="1"/>
  <c r="K4" i="1" l="1"/>
  <c r="N4" i="1" s="1"/>
  <c r="Q4" i="1" s="1"/>
  <c r="O4" i="1"/>
  <c r="P4" i="1" s="1"/>
  <c r="R4" i="1" s="1"/>
  <c r="M4" i="1"/>
</calcChain>
</file>

<file path=xl/sharedStrings.xml><?xml version="1.0" encoding="utf-8"?>
<sst xmlns="http://schemas.openxmlformats.org/spreadsheetml/2006/main" count="21054" uniqueCount="4632">
  <si>
    <t>Кадастровый номер</t>
  </si>
  <si>
    <t>Количество этажей</t>
  </si>
  <si>
    <t>В том числе подземных этажей</t>
  </si>
  <si>
    <t>Этажность</t>
  </si>
  <si>
    <t>Этажность источник</t>
  </si>
  <si>
    <t>1</t>
  </si>
  <si>
    <t xml:space="preserve">Значение определено ГБУ СО ЦГКО(среднее значение по кад кварталу, назначению, материалу) </t>
  </si>
  <si>
    <t>2</t>
  </si>
  <si>
    <t>3</t>
  </si>
  <si>
    <t>1-3</t>
  </si>
  <si>
    <t>0-1</t>
  </si>
  <si>
    <t>6</t>
  </si>
  <si>
    <t>4</t>
  </si>
  <si>
    <t>1 с заглублением</t>
  </si>
  <si>
    <t>17</t>
  </si>
  <si>
    <t>10</t>
  </si>
  <si>
    <t>5</t>
  </si>
  <si>
    <t>подвал</t>
  </si>
  <si>
    <t>9</t>
  </si>
  <si>
    <t>2-5</t>
  </si>
  <si>
    <t>4-2</t>
  </si>
  <si>
    <t>1-2</t>
  </si>
  <si>
    <t>1 - 3</t>
  </si>
  <si>
    <t>0 - 1</t>
  </si>
  <si>
    <t>0</t>
  </si>
  <si>
    <t>23</t>
  </si>
  <si>
    <t>1-4</t>
  </si>
  <si>
    <t>1 - 2</t>
  </si>
  <si>
    <t>7</t>
  </si>
  <si>
    <t>2-3</t>
  </si>
  <si>
    <t>1,2</t>
  </si>
  <si>
    <t>12</t>
  </si>
  <si>
    <t>22</t>
  </si>
  <si>
    <t>8</t>
  </si>
  <si>
    <t>1-2-3</t>
  </si>
  <si>
    <t>цокольный этаж</t>
  </si>
  <si>
    <t>3-1</t>
  </si>
  <si>
    <t>1-4-6</t>
  </si>
  <si>
    <t>1 - 5</t>
  </si>
  <si>
    <t>11</t>
  </si>
  <si>
    <t>2-1</t>
  </si>
  <si>
    <t>цокольный</t>
  </si>
  <si>
    <t>2-7</t>
  </si>
  <si>
    <t>1-6</t>
  </si>
  <si>
    <t>2-6</t>
  </si>
  <si>
    <t>1-5</t>
  </si>
  <si>
    <t>0-2</t>
  </si>
  <si>
    <t>2 - 3</t>
  </si>
  <si>
    <t>Цок.эт.</t>
  </si>
  <si>
    <t>4-1</t>
  </si>
  <si>
    <t>1-0</t>
  </si>
  <si>
    <t>1 - 10</t>
  </si>
  <si>
    <t>0/1</t>
  </si>
  <si>
    <t>цокальный этаж</t>
  </si>
  <si>
    <t>1-8</t>
  </si>
  <si>
    <t>1-7</t>
  </si>
  <si>
    <t>9-6</t>
  </si>
  <si>
    <t>2-4</t>
  </si>
  <si>
    <t>1-3-1</t>
  </si>
  <si>
    <t>1 этажное с 21 этажной лестничной клеткой</t>
  </si>
  <si>
    <t>заглублено (-11,0 м:-7,0 м;-6,0м:-5,8м)</t>
  </si>
  <si>
    <t>3-6</t>
  </si>
  <si>
    <t>2-3-4</t>
  </si>
  <si>
    <t>1 - 4</t>
  </si>
  <si>
    <t>1 + цокольный</t>
  </si>
  <si>
    <t>1,3</t>
  </si>
  <si>
    <t>5-7</t>
  </si>
  <si>
    <t>2,3</t>
  </si>
  <si>
    <t>1,2,3</t>
  </si>
  <si>
    <t>-</t>
  </si>
  <si>
    <t>16</t>
  </si>
  <si>
    <t>4-3</t>
  </si>
  <si>
    <t>мансарда</t>
  </si>
  <si>
    <t>1-1</t>
  </si>
  <si>
    <t>4 - 6</t>
  </si>
  <si>
    <t>5-4-2</t>
  </si>
  <si>
    <t>2-4-1</t>
  </si>
  <si>
    <t>6-1-2</t>
  </si>
  <si>
    <t>цоколь</t>
  </si>
  <si>
    <t>3-4</t>
  </si>
  <si>
    <t>3-2</t>
  </si>
  <si>
    <t>6-1</t>
  </si>
  <si>
    <t>18</t>
  </si>
  <si>
    <t>+цокольный этаж</t>
  </si>
  <si>
    <t>20</t>
  </si>
  <si>
    <t>26</t>
  </si>
  <si>
    <t>13</t>
  </si>
  <si>
    <t>24</t>
  </si>
  <si>
    <t>3-5</t>
  </si>
  <si>
    <t>2, 3</t>
  </si>
  <si>
    <t>Погреб</t>
  </si>
  <si>
    <t>15</t>
  </si>
  <si>
    <t>2-3-2</t>
  </si>
  <si>
    <t>2 - 5</t>
  </si>
  <si>
    <t>2 - 4</t>
  </si>
  <si>
    <t>6-5</t>
  </si>
  <si>
    <t>1 - 11</t>
  </si>
  <si>
    <t>25</t>
  </si>
  <si>
    <t>10-13</t>
  </si>
  <si>
    <t>1 с цокольным этажом и мансардой</t>
  </si>
  <si>
    <t>14</t>
  </si>
  <si>
    <t>1,2,6</t>
  </si>
  <si>
    <t>19</t>
  </si>
  <si>
    <t>1-2-3-4</t>
  </si>
  <si>
    <t>1 - 6</t>
  </si>
  <si>
    <t>2-4-6</t>
  </si>
  <si>
    <t>2-4-5</t>
  </si>
  <si>
    <t>6-7</t>
  </si>
  <si>
    <t>1 - 7</t>
  </si>
  <si>
    <t>заглублено - 32.0 м</t>
  </si>
  <si>
    <t>1-3, 4-5</t>
  </si>
  <si>
    <t>цокольный эт.</t>
  </si>
  <si>
    <t>21</t>
  </si>
  <si>
    <t>5-9</t>
  </si>
  <si>
    <t>4-1-3-2</t>
  </si>
  <si>
    <t>29</t>
  </si>
  <si>
    <t>19-20</t>
  </si>
  <si>
    <t>19-23</t>
  </si>
  <si>
    <t>2-16</t>
  </si>
  <si>
    <t>22-17-11</t>
  </si>
  <si>
    <t>6-17</t>
  </si>
  <si>
    <t>10-17</t>
  </si>
  <si>
    <t>17-21</t>
  </si>
  <si>
    <t>2-14</t>
  </si>
  <si>
    <t>33</t>
  </si>
  <si>
    <t>7-11</t>
  </si>
  <si>
    <t>28</t>
  </si>
  <si>
    <t>1, мансарда</t>
  </si>
  <si>
    <t>5-27</t>
  </si>
  <si>
    <t>34</t>
  </si>
  <si>
    <t>5-6</t>
  </si>
  <si>
    <t>18-20</t>
  </si>
  <si>
    <t>2-10</t>
  </si>
  <si>
    <t>6-15-25</t>
  </si>
  <si>
    <t>15-17</t>
  </si>
  <si>
    <t>15-27</t>
  </si>
  <si>
    <t>27</t>
  </si>
  <si>
    <t>16-23</t>
  </si>
  <si>
    <t>3; 4</t>
  </si>
  <si>
    <t>1 и мансарда</t>
  </si>
  <si>
    <t>14-26</t>
  </si>
  <si>
    <t>17-22</t>
  </si>
  <si>
    <t>2 этажа и тех.этаж</t>
  </si>
  <si>
    <t>8-10</t>
  </si>
  <si>
    <t>10-12</t>
  </si>
  <si>
    <t>19-24</t>
  </si>
  <si>
    <t>4-5</t>
  </si>
  <si>
    <t>2-8</t>
  </si>
  <si>
    <t>3-19</t>
  </si>
  <si>
    <t>16-21</t>
  </si>
  <si>
    <t>15-34</t>
  </si>
  <si>
    <t>4-13</t>
  </si>
  <si>
    <t>11-18</t>
  </si>
  <si>
    <t>1, 2</t>
  </si>
  <si>
    <t>10-11</t>
  </si>
  <si>
    <t>10-27</t>
  </si>
  <si>
    <t>19-21</t>
  </si>
  <si>
    <t>locFloor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</si>
  <si>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</si>
  <si>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</si>
  <si>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</si>
  <si>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</si>
  <si>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</si>
  <si>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</si>
  <si>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</si>
  <si>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</si>
  <si>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</si>
  <si>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</si>
  <si>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</si>
  <si>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</si>
  <si>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</si>
  <si>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</si>
  <si>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</si>
  <si>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</si>
  <si>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</si>
  <si>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</si>
  <si>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</si>
  <si>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</si>
  <si>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</si>
  <si>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</si>
  <si>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</si>
  <si>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</si>
  <si>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</si>
  <si>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</si>
  <si>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</si>
  <si>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</si>
  <si>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</si>
  <si>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</si>
  <si>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</si>
  <si>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</si>
  <si>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</si>
  <si>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</si>
  <si>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</si>
  <si>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</si>
  <si>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</si>
  <si>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</si>
  <si>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</si>
  <si>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2-мансарда</t>
  </si>
  <si>
    <t>1-2,5</t>
  </si>
  <si>
    <t>1-2,4,6</t>
  </si>
  <si>
    <t>1-4,6</t>
  </si>
  <si>
    <t>3-2-1</t>
  </si>
  <si>
    <t>1-2-4</t>
  </si>
  <si>
    <t>1 с 2-мя антрисолями</t>
  </si>
  <si>
    <t>8-3</t>
  </si>
  <si>
    <t>11-15</t>
  </si>
  <si>
    <t>5-3</t>
  </si>
  <si>
    <t>17-28</t>
  </si>
  <si>
    <t>1 с встройкой - 2</t>
  </si>
  <si>
    <t>9-11</t>
  </si>
  <si>
    <t>13-17</t>
  </si>
  <si>
    <t>20-24</t>
  </si>
  <si>
    <t>11-14</t>
  </si>
  <si>
    <t>2+антресоль 1-2 эт.</t>
  </si>
  <si>
    <t>23-25</t>
  </si>
  <si>
    <t>4-32</t>
  </si>
  <si>
    <t>15-33</t>
  </si>
  <si>
    <t>1+мансарда+мезонин-чердак</t>
  </si>
  <si>
    <t>2-13</t>
  </si>
  <si>
    <t>9-15</t>
  </si>
  <si>
    <t>15-18</t>
  </si>
  <si>
    <t>10-15</t>
  </si>
  <si>
    <t>9-16</t>
  </si>
  <si>
    <t>19-26</t>
  </si>
  <si>
    <t>12-15-16-21-26</t>
  </si>
  <si>
    <t>19-28</t>
  </si>
  <si>
    <t>18-19</t>
  </si>
  <si>
    <t>12-16</t>
  </si>
  <si>
    <t>27-28</t>
  </si>
  <si>
    <t>21-23</t>
  </si>
  <si>
    <t>2-8-1</t>
  </si>
  <si>
    <t>4-15</t>
  </si>
  <si>
    <t>11-21</t>
  </si>
  <si>
    <t>3-10</t>
  </si>
  <si>
    <t>16-20</t>
  </si>
  <si>
    <t>4-6</t>
  </si>
  <si>
    <t>9-14</t>
  </si>
  <si>
    <t>8 - 12</t>
  </si>
  <si>
    <t>9-19</t>
  </si>
  <si>
    <t>3-7</t>
  </si>
  <si>
    <t>29-30</t>
  </si>
  <si>
    <t>13-24</t>
  </si>
  <si>
    <t>12-18</t>
  </si>
  <si>
    <t>11-34</t>
  </si>
  <si>
    <t>12-22</t>
  </si>
  <si>
    <t>14-18</t>
  </si>
  <si>
    <t>1-5-11</t>
  </si>
  <si>
    <t>9-27</t>
  </si>
  <si>
    <t>8-15</t>
  </si>
  <si>
    <t>9-18</t>
  </si>
  <si>
    <t>6-16</t>
  </si>
  <si>
    <t>3-28</t>
  </si>
  <si>
    <t>5-1</t>
  </si>
  <si>
    <t>3-8</t>
  </si>
  <si>
    <t>2-26</t>
  </si>
  <si>
    <t>17-20</t>
  </si>
  <si>
    <t>1 с 2-х этажной вставкой</t>
  </si>
  <si>
    <t>9-26</t>
  </si>
  <si>
    <t>9-12</t>
  </si>
  <si>
    <t>12-20</t>
  </si>
  <si>
    <t>16-18</t>
  </si>
  <si>
    <t>4-8</t>
  </si>
  <si>
    <t>24-28</t>
  </si>
  <si>
    <t>19-29</t>
  </si>
  <si>
    <t>11-16</t>
  </si>
  <si>
    <t>18-21</t>
  </si>
  <si>
    <t>5-19</t>
  </si>
  <si>
    <t>7-18</t>
  </si>
  <si>
    <t>20 - 24</t>
  </si>
  <si>
    <t>8-11</t>
  </si>
  <si>
    <t>14-28</t>
  </si>
  <si>
    <t>17-19</t>
  </si>
  <si>
    <t>22 - 24</t>
  </si>
  <si>
    <t>3 - 4</t>
  </si>
  <si>
    <t>18-26</t>
  </si>
  <si>
    <t>4-25</t>
  </si>
  <si>
    <t>10-14</t>
  </si>
  <si>
    <t>26-27</t>
  </si>
  <si>
    <t>6-12</t>
  </si>
  <si>
    <t>6-4</t>
  </si>
  <si>
    <t>10-16</t>
  </si>
  <si>
    <t>21-28</t>
  </si>
  <si>
    <t>13-19</t>
  </si>
  <si>
    <t>13-18</t>
  </si>
  <si>
    <t>8-12</t>
  </si>
  <si>
    <t>2-21</t>
  </si>
  <si>
    <t>1-2-5-6</t>
  </si>
  <si>
    <t>11-22</t>
  </si>
  <si>
    <t>1-мансарда</t>
  </si>
  <si>
    <t>7-10</t>
  </si>
  <si>
    <t>12-24</t>
  </si>
  <si>
    <t>6-10</t>
  </si>
  <si>
    <t>14-20</t>
  </si>
  <si>
    <t>10-18</t>
  </si>
  <si>
    <t>2-12</t>
  </si>
  <si>
    <t>10-19</t>
  </si>
  <si>
    <t>23-27</t>
  </si>
  <si>
    <t>20-22</t>
  </si>
  <si>
    <t>4-1-4</t>
  </si>
  <si>
    <t>8-18</t>
  </si>
  <si>
    <t>11-17</t>
  </si>
  <si>
    <t>13-17-21</t>
  </si>
  <si>
    <t>1-2-3-5</t>
  </si>
  <si>
    <t>3-11</t>
  </si>
  <si>
    <t>22-26</t>
  </si>
  <si>
    <t>2-2</t>
  </si>
  <si>
    <t>1-2,4</t>
  </si>
  <si>
    <t>2-1-1</t>
  </si>
  <si>
    <t>10-22</t>
  </si>
  <si>
    <t>9-13</t>
  </si>
  <si>
    <t>13-15</t>
  </si>
  <si>
    <t>10-2-1</t>
  </si>
  <si>
    <t>11-13-17</t>
  </si>
  <si>
    <t>1-10</t>
  </si>
  <si>
    <t>4-2-1</t>
  </si>
  <si>
    <t>4-1-0</t>
  </si>
  <si>
    <t>9-10</t>
  </si>
  <si>
    <t>27-18-10</t>
  </si>
  <si>
    <t>7-9</t>
  </si>
  <si>
    <t>09-10</t>
  </si>
  <si>
    <t>5-2</t>
  </si>
  <si>
    <t>3, надстройка, 2-х этажная встройка</t>
  </si>
  <si>
    <t>1-9</t>
  </si>
  <si>
    <t>2, мансарда, 2-й уровень мансарды</t>
  </si>
  <si>
    <t>27-20-17</t>
  </si>
  <si>
    <t>25-26</t>
  </si>
  <si>
    <t>6-56</t>
  </si>
  <si>
    <t>17-20-32</t>
  </si>
  <si>
    <t>8-20</t>
  </si>
  <si>
    <t>14-12-9</t>
  </si>
  <si>
    <t>20-27</t>
  </si>
  <si>
    <t>20-26</t>
  </si>
  <si>
    <t>21-24</t>
  </si>
  <si>
    <t>01-мансарда</t>
  </si>
  <si>
    <t>2-35</t>
  </si>
  <si>
    <t>2/1</t>
  </si>
  <si>
    <t>3/2</t>
  </si>
  <si>
    <t>1/2</t>
  </si>
  <si>
    <t>1/3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</si>
  <si>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</si>
  <si>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</si>
  <si>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</si>
  <si>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</si>
  <si>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</si>
  <si>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</si>
  <si>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</si>
  <si>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</si>
  <si>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</si>
  <si>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</si>
  <si>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</si>
  <si>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</si>
  <si>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</si>
  <si>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</si>
  <si>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</si>
  <si>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</si>
  <si>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</si>
  <si>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</si>
  <si>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</si>
  <si>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</si>
  <si>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</si>
  <si>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</si>
  <si>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</si>
  <si>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</si>
  <si>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</si>
  <si>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</si>
  <si>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</si>
  <si>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</si>
  <si>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</si>
  <si>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</si>
  <si>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</si>
  <si>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</si>
  <si>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</si>
  <si>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</si>
  <si>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</si>
  <si>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</si>
  <si>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</si>
  <si>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</si>
  <si>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</si>
  <si>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</si>
  <si>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</si>
  <si>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1,антресоль</t>
  </si>
  <si>
    <t>2,4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</si>
  <si>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</si>
  <si>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</si>
  <si>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</si>
  <si>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</si>
  <si>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</si>
  <si>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</si>
  <si>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</si>
  <si>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</si>
  <si>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</si>
  <si>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</si>
  <si>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</si>
  <si>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</si>
  <si>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</si>
  <si>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</si>
  <si>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</si>
  <si>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</si>
  <si>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</si>
  <si>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</si>
  <si>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</si>
  <si>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</si>
  <si>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</si>
  <si>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</si>
  <si>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</si>
  <si>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</si>
  <si>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</si>
  <si>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</si>
  <si>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</si>
  <si>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</si>
  <si>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</si>
  <si>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</si>
  <si>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</si>
  <si>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</si>
  <si>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</si>
  <si>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</si>
  <si>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</si>
  <si>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</si>
  <si>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</si>
  <si>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</si>
  <si>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</si>
  <si>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</si>
  <si>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</si>
  <si>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</si>
  <si>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</si>
  <si>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</si>
  <si>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</si>
  <si>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</si>
  <si>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</si>
  <si>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</si>
  <si>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</si>
  <si>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</si>
  <si>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</si>
  <si>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</si>
  <si>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</si>
  <si>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</si>
  <si>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</si>
  <si>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</si>
  <si>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</si>
  <si>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</si>
  <si>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</si>
  <si>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</si>
  <si>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</si>
  <si>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</si>
  <si>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</si>
  <si>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</si>
  <si>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</si>
  <si>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</si>
  <si>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</si>
  <si>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</si>
  <si>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</si>
  <si>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</si>
  <si>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</si>
  <si>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</si>
  <si>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</si>
  <si>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</si>
  <si>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</si>
  <si>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</si>
  <si>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</si>
  <si>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</si>
  <si>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</si>
  <si>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</si>
  <si>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</si>
  <si>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</si>
  <si>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4, мезонин</t>
  </si>
  <si>
    <t>2,1</t>
  </si>
  <si>
    <t>1,чердак</t>
  </si>
  <si>
    <t>4,5</t>
  </si>
  <si>
    <t>10, цокольный, мансарда</t>
  </si>
  <si>
    <t>3, технический</t>
  </si>
  <si>
    <t>2, мансарда, цокольный этаж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</si>
  <si>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</si>
  <si>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</si>
  <si>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</si>
  <si>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</si>
  <si>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</si>
  <si>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</si>
  <si>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</si>
  <si>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</si>
  <si>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</si>
  <si>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</si>
  <si>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</si>
  <si>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</si>
  <si>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</si>
  <si>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</si>
  <si>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</si>
  <si>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</si>
  <si>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</si>
  <si>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</si>
  <si>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</si>
  <si>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</si>
  <si>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</si>
  <si>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</si>
  <si>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</si>
  <si>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</si>
  <si>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</si>
  <si>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</si>
  <si>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</si>
  <si>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</si>
  <si>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</si>
  <si>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</si>
  <si>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</si>
  <si>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</si>
  <si>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</si>
  <si>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</si>
  <si>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</si>
  <si>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</si>
  <si>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</si>
  <si>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</si>
  <si>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</si>
  <si>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</si>
  <si>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</si>
  <si>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</si>
  <si>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</si>
  <si>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</si>
  <si>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</si>
  <si>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</si>
  <si>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</si>
  <si>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</si>
  <si>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</si>
  <si>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</si>
  <si>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</si>
  <si>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</si>
  <si>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</si>
  <si>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</si>
  <si>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</si>
  <si>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</si>
  <si>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</si>
  <si>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</si>
  <si>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</si>
  <si>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</si>
  <si>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</si>
  <si>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</si>
  <si>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</si>
  <si>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</si>
  <si>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</si>
  <si>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</si>
  <si>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</si>
  <si>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</si>
  <si>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</si>
  <si>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</si>
  <si>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</si>
  <si>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</si>
  <si>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</si>
  <si>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</si>
  <si>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</si>
  <si>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</si>
  <si>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</si>
  <si>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</si>
  <si>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</si>
  <si>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</si>
  <si>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</si>
  <si>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</si>
  <si>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</si>
  <si>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</si>
  <si>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</si>
  <si>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</si>
  <si>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</si>
  <si>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</si>
  <si>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</si>
  <si>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</si>
  <si>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</si>
  <si>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</si>
  <si>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</si>
  <si>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</si>
  <si>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</si>
  <si>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</si>
  <si>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</si>
  <si>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</si>
  <si>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</si>
  <si>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</si>
  <si>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</si>
  <si>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</si>
  <si>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</si>
  <si>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</si>
  <si>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</si>
  <si>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</si>
  <si>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</si>
  <si>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</si>
  <si>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</si>
  <si>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</si>
  <si>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</si>
  <si>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</si>
  <si>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</si>
  <si>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</si>
  <si>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</si>
  <si>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</si>
  <si>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</si>
  <si>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</si>
  <si>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</si>
  <si>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</si>
  <si>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</si>
  <si>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</si>
  <si>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</si>
  <si>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</si>
  <si>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</si>
  <si>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</si>
  <si>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</si>
  <si>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</si>
  <si>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</si>
  <si>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</si>
  <si>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</si>
  <si>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</si>
  <si>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</si>
  <si>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</si>
  <si>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</si>
  <si>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</si>
  <si>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</si>
  <si>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</si>
  <si>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</si>
  <si>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</si>
  <si>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</si>
  <si>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</si>
  <si>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</si>
  <si>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</si>
  <si>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</si>
  <si>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</si>
  <si>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</si>
  <si>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</si>
  <si>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</si>
  <si>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</si>
  <si>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</si>
  <si>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</si>
  <si>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</si>
  <si>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</si>
  <si>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</si>
  <si>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</si>
  <si>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</si>
  <si>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</si>
  <si>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</si>
  <si>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</si>
  <si>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</si>
  <si>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</si>
  <si>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</si>
  <si>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</si>
  <si>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</si>
  <si>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</si>
  <si>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</si>
  <si>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</si>
  <si>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</si>
  <si>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</si>
  <si>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</si>
  <si>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</si>
  <si>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</si>
  <si>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</si>
  <si>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</si>
  <si>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</si>
  <si>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</si>
  <si>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</si>
  <si>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</si>
  <si>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</si>
  <si>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</si>
  <si>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</si>
  <si>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</si>
  <si>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</si>
  <si>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</si>
  <si>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</si>
  <si>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</si>
  <si>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</si>
  <si>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</si>
  <si>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</si>
  <si>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</si>
  <si>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</si>
  <si>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</si>
  <si>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</si>
  <si>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</si>
  <si>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</si>
  <si>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</si>
  <si>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</si>
  <si>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</si>
  <si>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</si>
  <si>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</si>
  <si>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</si>
  <si>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</si>
  <si>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</si>
  <si>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</si>
  <si>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</si>
  <si>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</si>
  <si>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</si>
  <si>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</si>
  <si>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</si>
  <si>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</si>
  <si>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</si>
  <si>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</si>
  <si>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</si>
  <si>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</si>
  <si>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</si>
  <si>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</si>
  <si>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</si>
  <si>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</si>
  <si>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</si>
  <si>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</si>
  <si>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</si>
  <si>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</si>
  <si>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</si>
  <si>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</si>
  <si>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</si>
  <si>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</si>
  <si>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</si>
  <si>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</si>
  <si>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</si>
  <si>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</si>
  <si>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</si>
  <si>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</si>
  <si>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</si>
  <si>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</si>
  <si>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</si>
  <si>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</si>
  <si>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</si>
  <si>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</si>
  <si>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</si>
  <si>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</si>
  <si>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</si>
  <si>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</si>
  <si>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</si>
  <si>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</si>
  <si>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</si>
  <si>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</si>
  <si>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</si>
  <si>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</si>
  <si>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</si>
  <si>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</si>
  <si>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</si>
  <si>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</si>
  <si>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</si>
  <si>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</si>
  <si>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</si>
  <si>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</si>
  <si>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</si>
  <si>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</si>
  <si>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</si>
  <si>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</si>
  <si>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</si>
  <si>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</si>
  <si>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</si>
  <si>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</si>
  <si>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</si>
  <si>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</si>
  <si>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</si>
  <si>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</si>
  <si>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</si>
  <si>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</si>
  <si>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</si>
  <si>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</si>
  <si>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</si>
  <si>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</si>
  <si>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</si>
  <si>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</si>
  <si>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</si>
  <si>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</si>
  <si>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</si>
  <si>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</si>
  <si>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</si>
  <si>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</si>
  <si>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</si>
  <si>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</si>
  <si>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</si>
  <si>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</si>
  <si>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</si>
  <si>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</si>
  <si>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</si>
  <si>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</si>
  <si>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</si>
  <si>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</si>
  <si>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</si>
  <si>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</si>
  <si>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</si>
  <si>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</si>
  <si>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</si>
  <si>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</si>
  <si>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</si>
  <si>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</si>
  <si>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</si>
  <si>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</si>
  <si>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</si>
  <si>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</si>
  <si>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</si>
  <si>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</si>
  <si>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</si>
  <si>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</si>
  <si>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</si>
  <si>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</si>
  <si>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</si>
  <si>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</si>
  <si>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</si>
  <si>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</si>
  <si>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</si>
  <si>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</si>
  <si>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</si>
  <si>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</si>
  <si>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</si>
  <si>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</si>
  <si>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</si>
  <si>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</si>
  <si>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</si>
  <si>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</si>
  <si>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</si>
  <si>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</si>
  <si>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</si>
  <si>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</si>
  <si>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</si>
  <si>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</si>
  <si>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</si>
  <si>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</si>
  <si>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</si>
  <si>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</si>
  <si>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</si>
  <si>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</si>
  <si>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</si>
  <si>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</si>
  <si>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</si>
  <si>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</si>
  <si>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</si>
  <si>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</si>
  <si>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</si>
  <si>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</si>
  <si>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</si>
  <si>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</si>
  <si>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</si>
  <si>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</si>
  <si>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</si>
  <si>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</si>
  <si>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</si>
  <si>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</si>
  <si>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</si>
  <si>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</si>
  <si>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</si>
  <si>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</si>
  <si>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</si>
  <si>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</si>
  <si>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</si>
  <si>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</si>
  <si>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</si>
  <si>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</si>
  <si>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</si>
  <si>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</si>
  <si>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</si>
  <si>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</si>
  <si>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</si>
  <si>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</si>
  <si>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</si>
  <si>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</si>
  <si>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</si>
  <si>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</si>
  <si>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</si>
  <si>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</si>
  <si>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</si>
  <si>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</si>
  <si>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</si>
  <si>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</si>
  <si>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</si>
  <si>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</si>
  <si>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</si>
  <si>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</si>
  <si>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</si>
  <si>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</si>
  <si>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</si>
  <si>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</si>
  <si>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</si>
  <si>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</si>
  <si>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</si>
  <si>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</si>
  <si>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</si>
  <si>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</si>
  <si>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</si>
  <si>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</si>
  <si>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</si>
  <si>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</si>
  <si>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</si>
  <si>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</si>
  <si>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</si>
  <si>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</si>
  <si>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</si>
  <si>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</si>
  <si>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</si>
  <si>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</si>
  <si>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</si>
  <si>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</si>
  <si>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</si>
  <si>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</si>
  <si>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</si>
  <si>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</si>
  <si>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</si>
  <si>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</si>
  <si>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</si>
  <si>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</si>
  <si>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</si>
  <si>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</si>
  <si>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</si>
  <si>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</si>
  <si>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</si>
  <si>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</si>
  <si>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</si>
  <si>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</si>
  <si>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</si>
  <si>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</si>
  <si>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</si>
  <si>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</si>
  <si>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</si>
  <si>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</si>
  <si>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</si>
  <si>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</si>
  <si>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</si>
  <si>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</si>
  <si>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</si>
  <si>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</si>
  <si>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</si>
  <si>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</si>
  <si>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</si>
  <si>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</si>
  <si>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</si>
  <si>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</si>
  <si>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</si>
  <si>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</si>
  <si>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</si>
  <si>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</si>
  <si>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</si>
  <si>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</si>
  <si>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</si>
  <si>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</si>
  <si>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</si>
  <si>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</si>
  <si>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</si>
  <si>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</si>
  <si>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</si>
  <si>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</si>
  <si>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</si>
  <si>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</si>
  <si>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</si>
  <si>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</si>
  <si>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</si>
  <si>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</si>
  <si>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</si>
  <si>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</si>
  <si>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</si>
  <si>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+Подвал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</si>
  <si>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</si>
  <si>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</si>
  <si>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</si>
  <si>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</si>
  <si>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</si>
  <si>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</si>
  <si>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</si>
  <si>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</si>
  <si>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</si>
  <si>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</si>
  <si>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</si>
  <si>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</si>
  <si>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</si>
  <si>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</si>
  <si>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</si>
  <si>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</si>
  <si>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</si>
  <si>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</si>
  <si>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</si>
  <si>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</si>
  <si>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</si>
  <si>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</si>
  <si>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</si>
  <si>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</si>
  <si>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</si>
  <si>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</si>
  <si>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</si>
  <si>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</si>
  <si>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</si>
  <si>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</si>
  <si>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</si>
  <si>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</si>
  <si>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</si>
  <si>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</si>
  <si>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</si>
  <si>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</si>
  <si>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</si>
  <si>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</si>
  <si>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</si>
  <si>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</si>
  <si>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</si>
  <si>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</si>
  <si>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</si>
  <si>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</si>
  <si>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</si>
  <si>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</si>
  <si>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</si>
  <si>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</si>
  <si>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</si>
  <si>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</si>
  <si>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</si>
  <si>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</si>
  <si>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</si>
  <si>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</si>
  <si>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</si>
  <si>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</si>
  <si>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</si>
  <si>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</si>
  <si>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</si>
  <si>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</si>
  <si>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</si>
  <si>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</si>
  <si>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</si>
  <si>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</si>
  <si>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</si>
  <si>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</si>
  <si>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07</t>
  </si>
  <si>
    <t>09</t>
  </si>
  <si>
    <t>05</t>
  </si>
  <si>
    <t>02</t>
  </si>
  <si>
    <t>01</t>
  </si>
  <si>
    <t>04</t>
  </si>
  <si>
    <t>03</t>
  </si>
  <si>
    <t>06</t>
  </si>
  <si>
    <t>ЭТАЖ НЕ ОПРЕДЕЛЕН. ПРИНЯТ ПО ДОПУЩЕНИЮ 1</t>
  </si>
  <si>
    <t>ЭТАЖ ЗАДАН ЧИСЛОМ</t>
  </si>
  <si>
    <t>МЕТОД</t>
  </si>
  <si>
    <t>СПРАВОЧНИК ЭТАЖНОСТИ</t>
  </si>
  <si>
    <t>Метод</t>
  </si>
  <si>
    <t>Равенство с пред значением</t>
  </si>
  <si>
    <t>LocFloor1</t>
  </si>
  <si>
    <t>UndegraundLF1</t>
  </si>
  <si>
    <t>СПРАВОЧНИК ПОДЗЕМНОЙ ЭТАЖНОСТИ</t>
  </si>
  <si>
    <t>Назначение</t>
  </si>
  <si>
    <t>LocFloorP</t>
  </si>
  <si>
    <t>LocFloorP1</t>
  </si>
  <si>
    <t>FlagLocFloors</t>
  </si>
  <si>
    <t>Sourcelocfloors</t>
  </si>
  <si>
    <t>Sourcelocfloors2</t>
  </si>
  <si>
    <t>МКД_ЭТАЖ ЗАДАН ЧИСЛОМ</t>
  </si>
  <si>
    <t>МКД_СПРАВОЧНИК ЭТАЖНОСТИ</t>
  </si>
  <si>
    <t>17-26</t>
  </si>
  <si>
    <t>14-22</t>
  </si>
  <si>
    <t>21-27-37</t>
  </si>
  <si>
    <t>5-16</t>
  </si>
  <si>
    <t>Многоквартирный дом</t>
  </si>
  <si>
    <t>23-30</t>
  </si>
  <si>
    <t>14-25</t>
  </si>
  <si>
    <t>2-5-6</t>
  </si>
  <si>
    <t>7-13-26</t>
  </si>
  <si>
    <t>19-22</t>
  </si>
  <si>
    <t>2-15</t>
  </si>
  <si>
    <t>Сведения ЕГРН по состоянию на 01.01.2019</t>
  </si>
  <si>
    <t>OldLocfloors</t>
  </si>
  <si>
    <t>МКД_ЭТАЖ НЕ ОПРЕДЕЛЕН. ПРИНЯТ ПО ДОПУЩЕНИЮ 1</t>
  </si>
  <si>
    <t>10-11-18-17</t>
  </si>
  <si>
    <t>7-28</t>
  </si>
  <si>
    <t>13-12</t>
  </si>
  <si>
    <t>0-1-2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</si>
  <si>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</si>
  <si>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LocFloors</t>
  </si>
  <si>
    <t>CADASTRALNUMBER</t>
  </si>
  <si>
    <t>ASSIGNATIONBUILDING</t>
  </si>
  <si>
    <t>FLOORS</t>
  </si>
  <si>
    <t>FLOORSUNDERGROUND</t>
  </si>
  <si>
    <t>LOCFLOORS</t>
  </si>
  <si>
    <t>SOURCELOCFLOORS</t>
  </si>
  <si>
    <t>Buildings</t>
  </si>
  <si>
    <t>inputpacket_id</t>
  </si>
  <si>
    <t>датапакета</t>
  </si>
  <si>
    <t>Status_KC</t>
  </si>
  <si>
    <t>Статус расчета КС</t>
  </si>
  <si>
    <t>66:01:3601001:538</t>
  </si>
  <si>
    <t>Жилой дом</t>
  </si>
  <si>
    <t>24.12.2022</t>
  </si>
  <si>
    <t>НЕ ГОТОВ</t>
  </si>
  <si>
    <t>66:48:0317001:1961</t>
  </si>
  <si>
    <t>Нежилое здание</t>
  </si>
  <si>
    <t>22.02.2023</t>
  </si>
  <si>
    <t>66:28:2901014:144</t>
  </si>
  <si>
    <t>66:52:0107001:667</t>
  </si>
  <si>
    <t>26.01.2023</t>
  </si>
  <si>
    <t>66:52:0107005:709</t>
  </si>
  <si>
    <t>19.01.2023</t>
  </si>
  <si>
    <t>66:14:3401006:762</t>
  </si>
  <si>
    <t>66:52:0104019:140</t>
  </si>
  <si>
    <t>31.01.2023</t>
  </si>
  <si>
    <t>66:07:1002009:244</t>
  </si>
  <si>
    <t>Министерство энергетики</t>
  </si>
  <si>
    <t>28.12.2022</t>
  </si>
  <si>
    <t>66:36:1301014:372</t>
  </si>
  <si>
    <t>09.01.2023</t>
  </si>
  <si>
    <t>66:04:1301001:229</t>
  </si>
  <si>
    <t>66:22:0508003:245</t>
  </si>
  <si>
    <t>30.01.2023</t>
  </si>
  <si>
    <t>66:28:2601001:601</t>
  </si>
  <si>
    <t>По допущению год постановки на КУ</t>
  </si>
  <si>
    <t>02.02.2023</t>
  </si>
  <si>
    <t>66:07:1002013:197</t>
  </si>
  <si>
    <t>66:21:0101039:269</t>
  </si>
  <si>
    <t>27.01.2023</t>
  </si>
  <si>
    <t>66:07:2001001:608</t>
  </si>
  <si>
    <t>66:04:1601005:157</t>
  </si>
  <si>
    <t>03.02.2023</t>
  </si>
  <si>
    <t>66:52:0104019:404</t>
  </si>
  <si>
    <t>66:59:0000000:4779</t>
  </si>
  <si>
    <t>66:52:0108001:424</t>
  </si>
  <si>
    <t>66:52:0107002:898</t>
  </si>
  <si>
    <t>66:04:0801002:175</t>
  </si>
  <si>
    <t>66:16:0801001:480</t>
  </si>
  <si>
    <t>26.12.2022</t>
  </si>
  <si>
    <t>66:52:0107003:606</t>
  </si>
  <si>
    <t>66:52:0106011:84</t>
  </si>
  <si>
    <t>23.12.2022</t>
  </si>
  <si>
    <t>66:14:1801011:61</t>
  </si>
  <si>
    <t>66:06:0801002:210</t>
  </si>
  <si>
    <t>66:06:4501013:3</t>
  </si>
  <si>
    <t>66:52:0107006:494</t>
  </si>
  <si>
    <t>17.01.2023</t>
  </si>
  <si>
    <t>66:62:0201001:633</t>
  </si>
  <si>
    <t>01.02.2023</t>
  </si>
  <si>
    <t>66:59:0201001:535</t>
  </si>
  <si>
    <t>20.01.2023</t>
  </si>
  <si>
    <t>66:52:0107004:661</t>
  </si>
  <si>
    <t>66:52:0107002:895</t>
  </si>
  <si>
    <t>66:52:0107004:627</t>
  </si>
  <si>
    <t>66:04:1401003:282</t>
  </si>
  <si>
    <t>66:02:1701001:1222</t>
  </si>
  <si>
    <t>21.12.2022</t>
  </si>
  <si>
    <t>66:01:3601001:319</t>
  </si>
  <si>
    <t>66:19:0000000:7875</t>
  </si>
  <si>
    <t>17.02.2023</t>
  </si>
  <si>
    <t>66:27:1102046:306</t>
  </si>
  <si>
    <t>66:36:3101009:629</t>
  </si>
  <si>
    <t>66:56:0301001:621</t>
  </si>
  <si>
    <t>66:25:2721002:4661</t>
  </si>
  <si>
    <t>66:22:2001001:1906</t>
  </si>
  <si>
    <t>66:59:0203002:2078</t>
  </si>
  <si>
    <t>66:25:1201024:589</t>
  </si>
  <si>
    <t>66:25:3501001:241</t>
  </si>
  <si>
    <t>66:41:0109071:432</t>
  </si>
  <si>
    <t>66:41:0607005:323</t>
  </si>
  <si>
    <t>66:25:1307001:2635</t>
  </si>
  <si>
    <t>66:25:2901002:1428</t>
  </si>
  <si>
    <t>66:35:0101022:244</t>
  </si>
  <si>
    <t>66:36:2001013:383</t>
  </si>
  <si>
    <t>66:41:0109071:433</t>
  </si>
  <si>
    <t>66:59:0216001:4963</t>
  </si>
  <si>
    <t>66:41:0310118:242</t>
  </si>
  <si>
    <t>66:41:0513054:1255</t>
  </si>
  <si>
    <t>66:44:0102026:386</t>
  </si>
  <si>
    <t>66:56:0106002:258</t>
  </si>
  <si>
    <t>66:06:4501020:9622</t>
  </si>
  <si>
    <t>66:13:2101001:1045</t>
  </si>
  <si>
    <t>66:21:0101040:775</t>
  </si>
  <si>
    <t>66:41:0310102:337</t>
  </si>
  <si>
    <t>66:52:0109002:535</t>
  </si>
  <si>
    <t>66:11:4201001:584</t>
  </si>
  <si>
    <t>66:28:0601001:521</t>
  </si>
  <si>
    <t>66:59:0101019:12334</t>
  </si>
  <si>
    <t>66:02:1401003:1036</t>
  </si>
  <si>
    <t>66:22:0101005:142</t>
  </si>
  <si>
    <t>66:25:2601017:378</t>
  </si>
  <si>
    <t>66:33:0101003:2508</t>
  </si>
  <si>
    <t>10.01.2023</t>
  </si>
  <si>
    <t>66:41:0501007:2737</t>
  </si>
  <si>
    <t>66:52:0109002:536</t>
  </si>
  <si>
    <t>66:59:0215002:2543</t>
  </si>
  <si>
    <t>66:14:4701001:609</t>
  </si>
  <si>
    <t>66:36:3101001:297</t>
  </si>
  <si>
    <t>66:63:0101021:764</t>
  </si>
  <si>
    <t>66:04:3501008:551</t>
  </si>
  <si>
    <t>66:41:0702069:5550</t>
  </si>
  <si>
    <t>66:06:4501018:9927</t>
  </si>
  <si>
    <t>66:45:0100342:662</t>
  </si>
  <si>
    <t>15.01.2023</t>
  </si>
  <si>
    <t>66:36:2001013:382</t>
  </si>
  <si>
    <t>66:25:2721002:4668</t>
  </si>
  <si>
    <t>66:50:0000000:6898</t>
  </si>
  <si>
    <t>66:32:0409004:873</t>
  </si>
  <si>
    <t>66:54:0116005:1571</t>
  </si>
  <si>
    <t>18.01.2023</t>
  </si>
  <si>
    <t>66:28:2801018:718</t>
  </si>
  <si>
    <t>66:59:0216001:4734</t>
  </si>
  <si>
    <t>66:41:0313010:24396</t>
  </si>
  <si>
    <t>66:41:0310035:201</t>
  </si>
  <si>
    <t>66:06:4501018:9930</t>
  </si>
  <si>
    <t>66:15:1501019:1146</t>
  </si>
  <si>
    <t>07.02.2023</t>
  </si>
  <si>
    <t>66:25:4801001:327</t>
  </si>
  <si>
    <t>66:35:0108001:2747</t>
  </si>
  <si>
    <t>66:41:0309012:1172</t>
  </si>
  <si>
    <t>66:42:0102001:4590</t>
  </si>
  <si>
    <t>66:54:0110002:305</t>
  </si>
  <si>
    <t>66:63:0101022:2135</t>
  </si>
  <si>
    <t>66:63:0101068:1463</t>
  </si>
  <si>
    <t>66:06:1701005:1104</t>
  </si>
  <si>
    <t>66:11:1301002:605</t>
  </si>
  <si>
    <t>66:21:1204008:789</t>
  </si>
  <si>
    <t>66:35:0000000:7771</t>
  </si>
  <si>
    <t>66:41:0000000:195379</t>
  </si>
  <si>
    <t>66:41:0309012:1146</t>
  </si>
  <si>
    <t>66:41:0514018:362</t>
  </si>
  <si>
    <t>66:45:0200364:168</t>
  </si>
  <si>
    <t>66:49:0503026:157</t>
  </si>
  <si>
    <t>66:52:0104004:1656</t>
  </si>
  <si>
    <t>66:59:0217014:1664</t>
  </si>
  <si>
    <t>13.02.2023</t>
  </si>
  <si>
    <t>66:01:3801001:718</t>
  </si>
  <si>
    <t>21.01.2023</t>
  </si>
  <si>
    <t>66:25:0101010:399</t>
  </si>
  <si>
    <t>66:25:2401002:427</t>
  </si>
  <si>
    <t>66:33:0101012:2877</t>
  </si>
  <si>
    <t>66:41:0309012:1185</t>
  </si>
  <si>
    <t>66:50:0000000:6835</t>
  </si>
  <si>
    <t>66:50:0000000:6883</t>
  </si>
  <si>
    <t>66:35:0105009:734</t>
  </si>
  <si>
    <t>22.01.2023</t>
  </si>
  <si>
    <t>66:01:2301011:6637</t>
  </si>
  <si>
    <t>23.01.2023</t>
  </si>
  <si>
    <t>66:06:4501018:9502</t>
  </si>
  <si>
    <t>66:11:6904018:343</t>
  </si>
  <si>
    <t>66:19:1901009:2210</t>
  </si>
  <si>
    <t>66:23:1201001:669</t>
  </si>
  <si>
    <t>66:27:1101017:275</t>
  </si>
  <si>
    <t>66:33:0101010:1668</t>
  </si>
  <si>
    <t>66:40:0101016:868</t>
  </si>
  <si>
    <t>66:41:0504073:268</t>
  </si>
  <si>
    <t>66:45:0100258:216</t>
  </si>
  <si>
    <t>66:56:0402006:1552</t>
  </si>
  <si>
    <t>66:58:2802006:248</t>
  </si>
  <si>
    <t>66:59:0216001:5028</t>
  </si>
  <si>
    <t>66:06:1701063:603</t>
  </si>
  <si>
    <t>08.02.2023</t>
  </si>
  <si>
    <t>66:22:1901009:168</t>
  </si>
  <si>
    <t>66:28:2901045:1199</t>
  </si>
  <si>
    <t>16.02.2023</t>
  </si>
  <si>
    <t>66:36:2001014:556</t>
  </si>
  <si>
    <t>24.01.2023</t>
  </si>
  <si>
    <t>66:41:0309012:1193</t>
  </si>
  <si>
    <t>66:44:0102006:4158</t>
  </si>
  <si>
    <t>66:56:0404001:3370</t>
  </si>
  <si>
    <t>10.02.2023</t>
  </si>
  <si>
    <t>66:01:5601001:1274</t>
  </si>
  <si>
    <t>25.01.2023</t>
  </si>
  <si>
    <t>66:19:1901009:2211</t>
  </si>
  <si>
    <t>66:25:2721002:4537</t>
  </si>
  <si>
    <t>66:36:0111083:155</t>
  </si>
  <si>
    <t>66:41:0306092:271</t>
  </si>
  <si>
    <t>66:41:0513005:731</t>
  </si>
  <si>
    <t>66:45:0100407:6012</t>
  </si>
  <si>
    <t>66:58:0116001:10216</t>
  </si>
  <si>
    <t>66:67:0101031:1733</t>
  </si>
  <si>
    <t>66:10:1501002:1089</t>
  </si>
  <si>
    <t>66:24:1901001:408</t>
  </si>
  <si>
    <t>66:30:1201119:496</t>
  </si>
  <si>
    <t>66:41:0106046:217</t>
  </si>
  <si>
    <t>66:41:0513032:5642</t>
  </si>
  <si>
    <t>66:52:0107005:1513</t>
  </si>
  <si>
    <t>66:59:0101024:869</t>
  </si>
  <si>
    <t>66:62:0504002:293</t>
  </si>
  <si>
    <t>66:01:4101002:1272</t>
  </si>
  <si>
    <t>66:11:0109003:897</t>
  </si>
  <si>
    <t>66:21:0101017:502</t>
  </si>
  <si>
    <t>66:35:0207019:799</t>
  </si>
  <si>
    <t>66:41:0502021:156</t>
  </si>
  <si>
    <t>66:53:0301001:1818</t>
  </si>
  <si>
    <t>66:58:1801001:713</t>
  </si>
  <si>
    <t>66:61:0226003:1729</t>
  </si>
  <si>
    <t>66:25:0101009:1048</t>
  </si>
  <si>
    <t>66:41:0614015:4118</t>
  </si>
  <si>
    <t>66:06:4501020:9646</t>
  </si>
  <si>
    <t>66:21:0601001:2927</t>
  </si>
  <si>
    <t>66:29:2501001:743</t>
  </si>
  <si>
    <t>66:36:2101009:331</t>
  </si>
  <si>
    <t>66:41:0513037:3865</t>
  </si>
  <si>
    <t>66:48:0320001:1074</t>
  </si>
  <si>
    <t>66:58:2201001:1233</t>
  </si>
  <si>
    <t>66:02:1701021:735</t>
  </si>
  <si>
    <t>66:23:2701002:1835</t>
  </si>
  <si>
    <t>66:56:0601008:3193</t>
  </si>
  <si>
    <t>66:02:1702016:520</t>
  </si>
  <si>
    <t>66:12:2901004:778</t>
  </si>
  <si>
    <t>66:19:0201001:502</t>
  </si>
  <si>
    <t>66:24:0804007:521</t>
  </si>
  <si>
    <t>66:32:0406022:495</t>
  </si>
  <si>
    <t>66:35:0105011:6396</t>
  </si>
  <si>
    <t>66:35:0221001:8286</t>
  </si>
  <si>
    <t>66:41:0309012:1196</t>
  </si>
  <si>
    <t>66:45:0100330:177</t>
  </si>
  <si>
    <t>19.02.2023</t>
  </si>
  <si>
    <t>66:53:0000000:4670</t>
  </si>
  <si>
    <t>66:59:0216001:5037</t>
  </si>
  <si>
    <t>66:01:2301011:6640</t>
  </si>
  <si>
    <t>66:12:4801002:627</t>
  </si>
  <si>
    <t>66:23:1001001:1618</t>
  </si>
  <si>
    <t>66:29:3001001:243</t>
  </si>
  <si>
    <t>66:35:0207002:513</t>
  </si>
  <si>
    <t>66:41:0207004:294</t>
  </si>
  <si>
    <t>66:41:0614015:4128</t>
  </si>
  <si>
    <t>66:46:0102001:394</t>
  </si>
  <si>
    <t>66:56:0103002:472</t>
  </si>
  <si>
    <t>66:58:1301002:1622</t>
  </si>
  <si>
    <t>21.02.2023</t>
  </si>
  <si>
    <t>66:67:0101031:1736</t>
  </si>
  <si>
    <t>66:11:3401002:451</t>
  </si>
  <si>
    <t>66:16:3101002:489</t>
  </si>
  <si>
    <t>66:25:1307001:2639</t>
  </si>
  <si>
    <t>66:28:2901045:1206</t>
  </si>
  <si>
    <t>66:35:0207002:521</t>
  </si>
  <si>
    <t>66:36:3201006:490</t>
  </si>
  <si>
    <t>66:41:0513040:2410</t>
  </si>
  <si>
    <t>66:44:0101030:902</t>
  </si>
  <si>
    <t>66:52:0106005:1022</t>
  </si>
  <si>
    <t>66:52:0107003:531</t>
  </si>
  <si>
    <t>66:06:3901003:255</t>
  </si>
  <si>
    <t>66:52:0107005:924</t>
  </si>
  <si>
    <t>66:50:0000000:4801</t>
  </si>
  <si>
    <t>Письмо № 01-22/842 от 28.04.2018 Администрация городского округа Краснотурьинск Свердловской области</t>
  </si>
  <si>
    <t>66:00:0000000:986</t>
  </si>
  <si>
    <t>66:52:0107006:518</t>
  </si>
  <si>
    <t>Значение определено ГБУ СО ЦГКО по дате постановки на кадастровый учет</t>
  </si>
  <si>
    <t>66:44:0101035:184</t>
  </si>
  <si>
    <t>66:28:0000000:2084</t>
  </si>
  <si>
    <t>66:27:1102047:307</t>
  </si>
  <si>
    <t>66:52:0106009:765</t>
  </si>
  <si>
    <t>66:19:0000000:7877</t>
  </si>
  <si>
    <t>66:31:0000000:1179</t>
  </si>
  <si>
    <t>66:19:0301001:162</t>
  </si>
  <si>
    <t>66:34:0502034:353</t>
  </si>
  <si>
    <t>66:03:3101001:534</t>
  </si>
  <si>
    <t>66:58:0701008:1039</t>
  </si>
  <si>
    <t>66:05:3701001:231</t>
  </si>
  <si>
    <t>66:31:2501003:138</t>
  </si>
  <si>
    <t>Письмо № 3668 от 29.06.2018 Администрация Шалинского Городского округа</t>
  </si>
  <si>
    <t>02.03.2023</t>
  </si>
  <si>
    <t>66:52:0107005:720</t>
  </si>
  <si>
    <t>66:14:3101002:2199</t>
  </si>
  <si>
    <t>66:52:0106011:138</t>
  </si>
  <si>
    <t>22.12.2022</t>
  </si>
  <si>
    <t>66:52:0104018:614</t>
  </si>
  <si>
    <t>66:52:0108001:422</t>
  </si>
  <si>
    <t>18.02.2023</t>
  </si>
  <si>
    <t>66:52:0106012:256</t>
  </si>
  <si>
    <t>66:36:1301005:323</t>
  </si>
  <si>
    <t>66:06:1701058:64</t>
  </si>
  <si>
    <t>66:52:0107006:474</t>
  </si>
  <si>
    <t>66:52:0107003:542</t>
  </si>
  <si>
    <t>66:38:0000000:511</t>
  </si>
  <si>
    <t>66:59:0000000:4880</t>
  </si>
  <si>
    <t>66:52:0107004:652</t>
  </si>
  <si>
    <t>66:52:0107004:617</t>
  </si>
  <si>
    <t>66:36:0701017:128</t>
  </si>
  <si>
    <t>66:08:0101003:28</t>
  </si>
  <si>
    <t>66:01:3601001:406</t>
  </si>
  <si>
    <t>66:07:3001002:398</t>
  </si>
  <si>
    <t>66:52:0107002:893</t>
  </si>
  <si>
    <t>66:37:0201006:418</t>
  </si>
  <si>
    <t>66:06:4501020:9389</t>
  </si>
  <si>
    <t>66:12:3601002:405</t>
  </si>
  <si>
    <t>66:56:0113007:904</t>
  </si>
  <si>
    <t>01.03.2023</t>
  </si>
  <si>
    <t>66:61:0213003:4042</t>
  </si>
  <si>
    <t>66:25:2501001:1226</t>
  </si>
  <si>
    <t>66:35:0217001:570</t>
  </si>
  <si>
    <t>66:41:0403901:4743</t>
  </si>
  <si>
    <t>66:45:0200288:1081</t>
  </si>
  <si>
    <t>66:25:2401006:716</t>
  </si>
  <si>
    <t>66:28:4601001:511</t>
  </si>
  <si>
    <t>66:36:0104001:401</t>
  </si>
  <si>
    <t>66:41:0000000:197501</t>
  </si>
  <si>
    <t>66:56:0204002:379</t>
  </si>
  <si>
    <t>66:61:0213003:4043</t>
  </si>
  <si>
    <t>66:41:0509014:465</t>
  </si>
  <si>
    <t>66:41:0614015:4060</t>
  </si>
  <si>
    <t>66:52:0101004:1131</t>
  </si>
  <si>
    <t>66:02:1701007:1576</t>
  </si>
  <si>
    <t>66:08:0805028:1106</t>
  </si>
  <si>
    <t>66:19:0101019:1853</t>
  </si>
  <si>
    <t>66:24:0102006:225</t>
  </si>
  <si>
    <t>66:41:0513032:5623</t>
  </si>
  <si>
    <t>66:06:4501001:4357</t>
  </si>
  <si>
    <t>66:22:1911001:177</t>
  </si>
  <si>
    <t>66:32:0401033:395</t>
  </si>
  <si>
    <t>66:66:0101036:800</t>
  </si>
  <si>
    <t>66:14:4401001:1558</t>
  </si>
  <si>
    <t>66:25:0201016:490</t>
  </si>
  <si>
    <t>66:25:2721002:4660</t>
  </si>
  <si>
    <t>66:36:3001021:792</t>
  </si>
  <si>
    <t>66:42:0201012:528</t>
  </si>
  <si>
    <t>66:56:0206009:676</t>
  </si>
  <si>
    <t>66:01:2301013:483</t>
  </si>
  <si>
    <t>66:25:0304006:493</t>
  </si>
  <si>
    <t>66:45:0100407:6007</t>
  </si>
  <si>
    <t>66:50:0000000:6897</t>
  </si>
  <si>
    <t>66:25:2901013:539</t>
  </si>
  <si>
    <t>12.01.2023</t>
  </si>
  <si>
    <t>66:59:0101028:304</t>
  </si>
  <si>
    <t>66:25:2721002:4666</t>
  </si>
  <si>
    <t>66:56:0401009:1795</t>
  </si>
  <si>
    <t>66:61:0207008:847</t>
  </si>
  <si>
    <t>66:54:0114003:1208</t>
  </si>
  <si>
    <t>16.01.2023</t>
  </si>
  <si>
    <t>66:25:1307001:2637</t>
  </si>
  <si>
    <t>66:02:2401011:577</t>
  </si>
  <si>
    <t>28.02.2023</t>
  </si>
  <si>
    <t>66:19:5001001:281</t>
  </si>
  <si>
    <t>66:41:0312006:165</t>
  </si>
  <si>
    <t>66:35:0221001:8256</t>
  </si>
  <si>
    <t>66:14:0301001:1751</t>
  </si>
  <si>
    <t>66:06:0401004:1538</t>
  </si>
  <si>
    <t>66:10:1501001:765</t>
  </si>
  <si>
    <t>66:24:0103002:184</t>
  </si>
  <si>
    <t>66:34:0502027:4939</t>
  </si>
  <si>
    <t>66:41:0106152:334</t>
  </si>
  <si>
    <t>66:41:0511021:5837</t>
  </si>
  <si>
    <t>66:45:0200018:544</t>
  </si>
  <si>
    <t>66:58:1301003:274</t>
  </si>
  <si>
    <t>66:63:0101051:1006</t>
  </si>
  <si>
    <t>66:00:0000000:10797</t>
  </si>
  <si>
    <t>66:06:4501020:9637</t>
  </si>
  <si>
    <t>66:15:1501028:1011</t>
  </si>
  <si>
    <t>66:25:0106002:1430</t>
  </si>
  <si>
    <t>66:35:0108001:2821</t>
  </si>
  <si>
    <t>66:41:0203079:166</t>
  </si>
  <si>
    <t>66:41:0310029:148</t>
  </si>
  <si>
    <t>66:41:0711040:114</t>
  </si>
  <si>
    <t>66:48:0312002:333</t>
  </si>
  <si>
    <t>66:50:0510014:215</t>
  </si>
  <si>
    <t>66:58:0101002:421</t>
  </si>
  <si>
    <t>66:65:0501001:168</t>
  </si>
  <si>
    <t>66:06:4501021:11990</t>
  </si>
  <si>
    <t>66:25:1307008:250</t>
  </si>
  <si>
    <t>66:25:2801010:493</t>
  </si>
  <si>
    <t>66:41:0108091:564</t>
  </si>
  <si>
    <t>66:41:0516003:280</t>
  </si>
  <si>
    <t>66:50:0000000:6856</t>
  </si>
  <si>
    <t>66:66:0101026:231</t>
  </si>
  <si>
    <t>66:42:0102004:737</t>
  </si>
  <si>
    <t>66:06:0401004:1580</t>
  </si>
  <si>
    <t>66:09:0401001:1132</t>
  </si>
  <si>
    <t>66:14:4401001:1557</t>
  </si>
  <si>
    <t>66:21:0101010:542</t>
  </si>
  <si>
    <t>66:25:1405002:1043</t>
  </si>
  <si>
    <t>66:29:0501001:326</t>
  </si>
  <si>
    <t>66:36:0101001:3345</t>
  </si>
  <si>
    <t>66:41:0306088:1013</t>
  </si>
  <si>
    <t>66:41:0610027:790</t>
  </si>
  <si>
    <t>66:56:0204001:593</t>
  </si>
  <si>
    <t>66:58:0104001:1079</t>
  </si>
  <si>
    <t>66:59:0101023:1896</t>
  </si>
  <si>
    <t>66:02:2301004:739</t>
  </si>
  <si>
    <t>66:15:2905001:502</t>
  </si>
  <si>
    <t>66:25:1405002:1047</t>
  </si>
  <si>
    <t>66:35:0105015:1410</t>
  </si>
  <si>
    <t>66:41:0208007:1194</t>
  </si>
  <si>
    <t>66:41:0513032:5637</t>
  </si>
  <si>
    <t>66:48:0317001:2405</t>
  </si>
  <si>
    <t>66:60:0000000:7553</t>
  </si>
  <si>
    <t>66:08:0801005:1403</t>
  </si>
  <si>
    <t>66:25:1201010:849</t>
  </si>
  <si>
    <t>66:35:0105002:4544</t>
  </si>
  <si>
    <t>66:37:0202010:211</t>
  </si>
  <si>
    <t>66:41:0310030:309</t>
  </si>
  <si>
    <t>66:41:0518001:723</t>
  </si>
  <si>
    <t>66:52:0107001:1484</t>
  </si>
  <si>
    <t>66:59:0101015:2552</t>
  </si>
  <si>
    <t>09.02.2023</t>
  </si>
  <si>
    <t>66:06:1701014:588</t>
  </si>
  <si>
    <t>66:17:0805002:1428</t>
  </si>
  <si>
    <t>66:25:2901030:913</t>
  </si>
  <si>
    <t>66:35:0221001:8282</t>
  </si>
  <si>
    <t>66:41:0309068:699</t>
  </si>
  <si>
    <t>66:41:0614015:4125</t>
  </si>
  <si>
    <t>66:56:0502002:221</t>
  </si>
  <si>
    <t>66:59:0216001:4998</t>
  </si>
  <si>
    <t>66:25:1201001:1836</t>
  </si>
  <si>
    <t>66:08:0801005:1400</t>
  </si>
  <si>
    <t>66:16:2601018:401</t>
  </si>
  <si>
    <t>66:32:0401018:391</t>
  </si>
  <si>
    <t>66:36:3203001:1899</t>
  </si>
  <si>
    <t>66:46:0107001:1794</t>
  </si>
  <si>
    <t>66:54:0000000:4175</t>
  </si>
  <si>
    <t>66:59:0216001:4930</t>
  </si>
  <si>
    <t>66:41:0313010:24278</t>
  </si>
  <si>
    <t>66:16:2601040:568</t>
  </si>
  <si>
    <t>66:03:1601036:407</t>
  </si>
  <si>
    <t>66:15:1501018:1281</t>
  </si>
  <si>
    <t>66:25:0501021:1539</t>
  </si>
  <si>
    <t>66:35:0106006:278</t>
  </si>
  <si>
    <t>66:41:0210030:130</t>
  </si>
  <si>
    <t>66:44:0102008:1902</t>
  </si>
  <si>
    <t>66:54:0113001:257</t>
  </si>
  <si>
    <t>66:59:0216001:5036</t>
  </si>
  <si>
    <t>66:19:0101010:1450</t>
  </si>
  <si>
    <t>66:41:0205009:19325</t>
  </si>
  <si>
    <t>66:25:3901002:681</t>
  </si>
  <si>
    <t>66:07:0801002:1840</t>
  </si>
  <si>
    <t>66:14:1501001:2680</t>
  </si>
  <si>
    <t>66:20:3201001:1030</t>
  </si>
  <si>
    <t>66:27:1102066:538</t>
  </si>
  <si>
    <t>66:35:0105002:4535</t>
  </si>
  <si>
    <t>66:35:0109002:544</t>
  </si>
  <si>
    <t>66:37:0101004:326</t>
  </si>
  <si>
    <t>66:41:0513078:440</t>
  </si>
  <si>
    <t>66:50:0540001:228</t>
  </si>
  <si>
    <t>66:58:0119001:1138</t>
  </si>
  <si>
    <t>66:61:0204001:264</t>
  </si>
  <si>
    <t>66:06:4501021:12206</t>
  </si>
  <si>
    <t>66:19:1101002:1426</t>
  </si>
  <si>
    <t>66:25:1325008:827</t>
  </si>
  <si>
    <t>66:34:0501003:649</t>
  </si>
  <si>
    <t>66:36:2101001:402</t>
  </si>
  <si>
    <t>66:41:0511014:189</t>
  </si>
  <si>
    <t>66:42:0401008:1705</t>
  </si>
  <si>
    <t>66:50:0512003:157</t>
  </si>
  <si>
    <t>66:58:0111005:3484</t>
  </si>
  <si>
    <t>66:59:0202001:1201</t>
  </si>
  <si>
    <t>66:03:3801001:572</t>
  </si>
  <si>
    <t>66:12:6801005:317</t>
  </si>
  <si>
    <t>66:19:2801001:594</t>
  </si>
  <si>
    <t>66:25:2721002:4267</t>
  </si>
  <si>
    <t>66:35:0103008:1662</t>
  </si>
  <si>
    <t>66:35:0224001:914</t>
  </si>
  <si>
    <t>66:41:0209033:594</t>
  </si>
  <si>
    <t>66:41:0521052:162</t>
  </si>
  <si>
    <t>66:48:0402005:714</t>
  </si>
  <si>
    <t>66:54:0000000:4202</t>
  </si>
  <si>
    <t>66:59:0216001:5050</t>
  </si>
  <si>
    <t>66:06:2601008:342</t>
  </si>
  <si>
    <t>Письмо № 1727 от 26.09.2018 Свердловская область КУМИ Администрация Белоярского городского округа</t>
  </si>
  <si>
    <t>66:08:0802002:103</t>
  </si>
  <si>
    <t>66:41:0000000:80439</t>
  </si>
  <si>
    <t>66:19:3101004:486</t>
  </si>
  <si>
    <t>66:52:0106009:745</t>
  </si>
  <si>
    <t>66:52:0104019:136</t>
  </si>
  <si>
    <t>66:36:0111011:800</t>
  </si>
  <si>
    <t>Год завершения строительства</t>
  </si>
  <si>
    <t>66:19:2201002:489</t>
  </si>
  <si>
    <t>66:02:1601001:303</t>
  </si>
  <si>
    <t>66:59:0000000:4960</t>
  </si>
  <si>
    <t>66:52:0106011:169</t>
  </si>
  <si>
    <t>66:03:0000000:1394</t>
  </si>
  <si>
    <t>66:52:0107006:501</t>
  </si>
  <si>
    <t>66:03:3101002:404</t>
  </si>
  <si>
    <t>66:16:0000000:1920</t>
  </si>
  <si>
    <t>66:50:0523017:108</t>
  </si>
  <si>
    <t>66:52:0106005:548</t>
  </si>
  <si>
    <t>66:31:0000000:1181</t>
  </si>
  <si>
    <t>66:07:1701002:390</t>
  </si>
  <si>
    <t>66:06:0301002:186</t>
  </si>
  <si>
    <t>66:52:0106011:140</t>
  </si>
  <si>
    <t>66:52:0106012:230</t>
  </si>
  <si>
    <t>66:03:0801001:1798</t>
  </si>
  <si>
    <t>66:50:0517001:701</t>
  </si>
  <si>
    <t>66:06:0901002:372</t>
  </si>
  <si>
    <t>66:58:0301001:432</t>
  </si>
  <si>
    <t>66:52:0104018:618</t>
  </si>
  <si>
    <t>66:04:0102008:14</t>
  </si>
  <si>
    <t>66:52:0107002:891</t>
  </si>
  <si>
    <t>66:52:0107004:642</t>
  </si>
  <si>
    <t>66:52:0107004:656</t>
  </si>
  <si>
    <t>66:52:0107004:286</t>
  </si>
  <si>
    <t>66:17:0805002:864</t>
  </si>
  <si>
    <t>66:28:0000000:1918</t>
  </si>
  <si>
    <t>66:52:0107005:706</t>
  </si>
  <si>
    <t>66:01:3601001:400</t>
  </si>
  <si>
    <t>66:58:1301001:1307</t>
  </si>
  <si>
    <t>66:52:0107006:478</t>
  </si>
  <si>
    <t>66:06:1701061:91</t>
  </si>
  <si>
    <t>66:58:2803002:265</t>
  </si>
  <si>
    <t>66:01:2301011:6633</t>
  </si>
  <si>
    <t>66:25:0304006:490</t>
  </si>
  <si>
    <t>66:59:0216001:4980</t>
  </si>
  <si>
    <t>66:25:1401001:578</t>
  </si>
  <si>
    <t>66:35:0000000:7778</t>
  </si>
  <si>
    <t>66:41:0310102:336</t>
  </si>
  <si>
    <t>66:44:0102008:1901</t>
  </si>
  <si>
    <t>66:25:1405001:2758</t>
  </si>
  <si>
    <t>66:28:2901008:355</t>
  </si>
  <si>
    <t>66:35:0215006:351</t>
  </si>
  <si>
    <t>66:40:0101021:503</t>
  </si>
  <si>
    <t>66:56:0112015:317</t>
  </si>
  <si>
    <t>66:61:0201001:1991</t>
  </si>
  <si>
    <t>66:41:0313010:23617</t>
  </si>
  <si>
    <t>6-11</t>
  </si>
  <si>
    <t>66:41:0521008:329</t>
  </si>
  <si>
    <t>66:48:0303001:947</t>
  </si>
  <si>
    <t>66:01:0901001:1198</t>
  </si>
  <si>
    <t>66:07:1002001:1771</t>
  </si>
  <si>
    <t>66:14:3101001:481</t>
  </si>
  <si>
    <t>66:21:1601001:295</t>
  </si>
  <si>
    <t>66:41:0510058:378</t>
  </si>
  <si>
    <t>66:01:0701001:223</t>
  </si>
  <si>
    <t>66:16:0601001:412</t>
  </si>
  <si>
    <t>66:28:3001002:667</t>
  </si>
  <si>
    <t>66:59:0209001:1553</t>
  </si>
  <si>
    <t>66:06:4301009:312</t>
  </si>
  <si>
    <t>66:25:0106002:1424</t>
  </si>
  <si>
    <t>66:25:2721002:4656</t>
  </si>
  <si>
    <t>66:35:0207017:1093</t>
  </si>
  <si>
    <t>66:41:0609014:445</t>
  </si>
  <si>
    <t>66:55:0303008:587</t>
  </si>
  <si>
    <t>66:59:0216001:5016</t>
  </si>
  <si>
    <t>66:21:0101080:320</t>
  </si>
  <si>
    <t>66:41:0709013:232</t>
  </si>
  <si>
    <t>66:21:0101025:755</t>
  </si>
  <si>
    <t>66:17:0803009:462</t>
  </si>
  <si>
    <t>66:52:0104004:1655</t>
  </si>
  <si>
    <t>66:19:2701002:548</t>
  </si>
  <si>
    <t>66:53:0307004:813</t>
  </si>
  <si>
    <t>66:41:0614015:4108</t>
  </si>
  <si>
    <t>66:41:0108014:1932</t>
  </si>
  <si>
    <t>66:08:0802009:1441</t>
  </si>
  <si>
    <t>66:54:0116004:1125</t>
  </si>
  <si>
    <t>66:06:4501021:12190</t>
  </si>
  <si>
    <t>66:41:0307045:422</t>
  </si>
  <si>
    <t>66:60:0000000:7552</t>
  </si>
  <si>
    <t>66:41:0306088:952</t>
  </si>
  <si>
    <t>66:04:0102004:220</t>
  </si>
  <si>
    <t>66:06:4501021:12194</t>
  </si>
  <si>
    <t>66:20:1507017:792</t>
  </si>
  <si>
    <t>66:28:2901040:517</t>
  </si>
  <si>
    <t>66:36:0103002:239</t>
  </si>
  <si>
    <t>66:41:0313010:24578</t>
  </si>
  <si>
    <t>66:44:0102015:500</t>
  </si>
  <si>
    <t>66:57:0302005:257</t>
  </si>
  <si>
    <t>66:63:0101022:2153</t>
  </si>
  <si>
    <t>66:63:1602020:408</t>
  </si>
  <si>
    <t>66:06:4501020:9599</t>
  </si>
  <si>
    <t>66:12:5301004:2375</t>
  </si>
  <si>
    <t>66:22:1916005:423</t>
  </si>
  <si>
    <t>66:35:0103006:203</t>
  </si>
  <si>
    <t>66:41:0106074:191</t>
  </si>
  <si>
    <t>66:41:0309012:1182</t>
  </si>
  <si>
    <t>66:41:0609014:447</t>
  </si>
  <si>
    <t>66:48:0201002:1414</t>
  </si>
  <si>
    <t>66:50:0505001:1948</t>
  </si>
  <si>
    <t>66:55:0303007:1771</t>
  </si>
  <si>
    <t>66:63:0000000:7454</t>
  </si>
  <si>
    <t>66:06:0501003:995</t>
  </si>
  <si>
    <t>66:25:0106002:1416</t>
  </si>
  <si>
    <t>66:25:2721002:4529</t>
  </si>
  <si>
    <t>66:41:0105031:1643</t>
  </si>
  <si>
    <t>66:41:0309099:508</t>
  </si>
  <si>
    <t>66:50:0000000:6850</t>
  </si>
  <si>
    <t>66:58:0901003:414</t>
  </si>
  <si>
    <t>66:41:0309027:557</t>
  </si>
  <si>
    <t>66:01:5601001:1272</t>
  </si>
  <si>
    <t>66:06:4501020:9642</t>
  </si>
  <si>
    <t>66:12:5101003:1133</t>
  </si>
  <si>
    <t>66:19:1907002:1513</t>
  </si>
  <si>
    <t>66:25:1405001:2765</t>
  </si>
  <si>
    <t>66:28:2801021:542</t>
  </si>
  <si>
    <t>66:35:0202003:723</t>
  </si>
  <si>
    <t>66:41:0105031:1646</t>
  </si>
  <si>
    <t>66:41:0513032:5431</t>
  </si>
  <si>
    <t>66:46:0103004:4754</t>
  </si>
  <si>
    <t>1, в том числе подземных 0</t>
  </si>
  <si>
    <t>66:56:0502001:2443</t>
  </si>
  <si>
    <t>66:58:2902019:1472</t>
  </si>
  <si>
    <t>66:66:0101025:1223</t>
  </si>
  <si>
    <t>66:08:0804011:1562</t>
  </si>
  <si>
    <t>66:25:0101001:1274</t>
  </si>
  <si>
    <t>66:35:0101012:495</t>
  </si>
  <si>
    <t>66:41:0105024:328</t>
  </si>
  <si>
    <t>66:41:0512001:1686</t>
  </si>
  <si>
    <t>66:45:0100318:344</t>
  </si>
  <si>
    <t>66:56:0601008:3196</t>
  </si>
  <si>
    <t>66:06:4501020:9542</t>
  </si>
  <si>
    <t>66:21:0101069:603</t>
  </si>
  <si>
    <t>66:28:2801028:725</t>
  </si>
  <si>
    <t>66:36:0701013:364</t>
  </si>
  <si>
    <t>66:41:0309012:1194</t>
  </si>
  <si>
    <t>66:41:0513032:5640</t>
  </si>
  <si>
    <t>66:48:0304008:642</t>
  </si>
  <si>
    <t>66:58:1301002:1633</t>
  </si>
  <si>
    <t>66:01:5601001:1275</t>
  </si>
  <si>
    <t>66:15:2701001:760</t>
  </si>
  <si>
    <t>66:25:1002003:846</t>
  </si>
  <si>
    <t>66:33:0101007:2232</t>
  </si>
  <si>
    <t>66:41:0306093:588</t>
  </si>
  <si>
    <t>66:41:0513045:811</t>
  </si>
  <si>
    <t>66:56:0111021:3180</t>
  </si>
  <si>
    <t>66:59:0216001:4949</t>
  </si>
  <si>
    <t>66:11:2601001:699</t>
  </si>
  <si>
    <t>66:06:1701063:600</t>
  </si>
  <si>
    <t>66:11:0201001:485</t>
  </si>
  <si>
    <t>66:30:1201119:498</t>
  </si>
  <si>
    <t>66:36:0101001:3541</t>
  </si>
  <si>
    <t>66:42:0401001:1818</t>
  </si>
  <si>
    <t>66:53:0306009:1170</t>
  </si>
  <si>
    <t>66:59:0206003:2184</t>
  </si>
  <si>
    <t>66:50:0505001:1947</t>
  </si>
  <si>
    <t>28.01.2023</t>
  </si>
  <si>
    <t>66:06:4501018:9929</t>
  </si>
  <si>
    <t>66:25:1201024:590</t>
  </si>
  <si>
    <t>66:11:0201001:486</t>
  </si>
  <si>
    <t>66:22:0101005:143</t>
  </si>
  <si>
    <t>66:35:0105011:6389</t>
  </si>
  <si>
    <t>66:40:0101031:615</t>
  </si>
  <si>
    <t>66:41:0607004:198</t>
  </si>
  <si>
    <t>66:52:0106002:799</t>
  </si>
  <si>
    <t>66:59:0201002:2249</t>
  </si>
  <si>
    <t>66:08:0804001:7942</t>
  </si>
  <si>
    <t>66:25:1201009:468</t>
  </si>
  <si>
    <t>66:48:0321003:380</t>
  </si>
  <si>
    <t>66:06:4501018:9942</t>
  </si>
  <si>
    <t>66:13:1501002:903</t>
  </si>
  <si>
    <t>66:19:2001001:1000</t>
  </si>
  <si>
    <t>66:25:1321001:1013</t>
  </si>
  <si>
    <t>66:35:0103008:1659</t>
  </si>
  <si>
    <t>27.02.2023</t>
  </si>
  <si>
    <t>66:35:0105015:1394</t>
  </si>
  <si>
    <t>66:36:0102004:547</t>
  </si>
  <si>
    <t>66:41:0507025:268</t>
  </si>
  <si>
    <t>66:50:0000000:6911</t>
  </si>
  <si>
    <t>66:56:0203001:10043</t>
  </si>
  <si>
    <t>66:59:0217016:1066</t>
  </si>
  <si>
    <t>66:06:4501018:9945</t>
  </si>
  <si>
    <t>66:15:2601001:713</t>
  </si>
  <si>
    <t>66:24:2001002:1474</t>
  </si>
  <si>
    <t>66:32:0403024:381</t>
  </si>
  <si>
    <t>66:35:0221001:8293</t>
  </si>
  <si>
    <t>66:41:0306105:167</t>
  </si>
  <si>
    <t>66:42:0102004:738</t>
  </si>
  <si>
    <t>66:48:0402006:901</t>
  </si>
  <si>
    <t>66:56:0115001:3999</t>
  </si>
  <si>
    <t>66:58:2802006:252</t>
  </si>
  <si>
    <t>66:01:3201001:382</t>
  </si>
  <si>
    <t>66:12:3201002:473</t>
  </si>
  <si>
    <t>66:19:1901015:255</t>
  </si>
  <si>
    <t>66:25:2601035:213</t>
  </si>
  <si>
    <t>66:32:0401033:396</t>
  </si>
  <si>
    <t>66:35:0221001:8074</t>
  </si>
  <si>
    <t>66:41:0201006:161</t>
  </si>
  <si>
    <t>66:41:0519901:603</t>
  </si>
  <si>
    <t>66:45:0100376:1596</t>
  </si>
  <si>
    <t>66:54:0000000:4176</t>
  </si>
  <si>
    <t>66:17:0808002:188</t>
  </si>
  <si>
    <t>66:07:1901001:674</t>
  </si>
  <si>
    <t>Письмо № 104-01-131/2198 от 29.12.2018 Администрация городского округа Богданович</t>
  </si>
  <si>
    <t>66:06:3001001:519</t>
  </si>
  <si>
    <t>66:36:1301003:162</t>
  </si>
  <si>
    <t>66:27:0000000:2795</t>
  </si>
  <si>
    <t>66:52:0104018:628</t>
  </si>
  <si>
    <t>66:52:0104019:133</t>
  </si>
  <si>
    <t>66:07:1001005:260</t>
  </si>
  <si>
    <t>66:31:0000000:1128</t>
  </si>
  <si>
    <t>66:15:0901001:719</t>
  </si>
  <si>
    <t>66:28:2601001:274</t>
  </si>
  <si>
    <t>66:52:0106011:170</t>
  </si>
  <si>
    <t>66:21:0101037:1509</t>
  </si>
  <si>
    <t>66:52:0107002:892</t>
  </si>
  <si>
    <t>66:03:3101002:405</t>
  </si>
  <si>
    <t>66:16:0000000:1919</t>
  </si>
  <si>
    <t>66:02:1801003:143</t>
  </si>
  <si>
    <t>66:28:2901015:217</t>
  </si>
  <si>
    <t>66:36:1301015:238</t>
  </si>
  <si>
    <t>66:52:0104019:400</t>
  </si>
  <si>
    <t>66:36:1301002:120</t>
  </si>
  <si>
    <t>66:52:0106012:246</t>
  </si>
  <si>
    <t>66:03:0801001:1549</t>
  </si>
  <si>
    <t>66:41:0000000:66472</t>
  </si>
  <si>
    <t>66:06:0801007:48</t>
  </si>
  <si>
    <t>66:06:4501051:25</t>
  </si>
  <si>
    <t>66:36:1301011:337</t>
  </si>
  <si>
    <t>66:06:4301006:239</t>
  </si>
  <si>
    <t>66:04:0000000:1092</t>
  </si>
  <si>
    <t>66:41:0509062:204</t>
  </si>
  <si>
    <t>66:52:0107004:607</t>
  </si>
  <si>
    <t>66:52:0107003:525</t>
  </si>
  <si>
    <t>66:17:0805002:859</t>
  </si>
  <si>
    <t>66:59:0101010:1954</t>
  </si>
  <si>
    <t>Письмо № 3758 от 13.06.2018 Глава полевского городского округа</t>
  </si>
  <si>
    <t>66:14:2701002:917</t>
  </si>
  <si>
    <t>66:01:3601001:393</t>
  </si>
  <si>
    <t>66:19:0000000:7883</t>
  </si>
  <si>
    <t>66:52:0106009:741</t>
  </si>
  <si>
    <t>66:06:1701052:203</t>
  </si>
  <si>
    <t>66:67:0101017:823</t>
  </si>
  <si>
    <t>66:35:0222001:1192</t>
  </si>
  <si>
    <t>66:25:0000000:15127</t>
  </si>
  <si>
    <t>66:59:0216001:4847</t>
  </si>
  <si>
    <t>66:25:1325003:2215</t>
  </si>
  <si>
    <t>66:32:0404013:392</t>
  </si>
  <si>
    <t>66:41:0310051:921</t>
  </si>
  <si>
    <t>66:41:0706001:2427</t>
  </si>
  <si>
    <t>66:25:1401002:1070</t>
  </si>
  <si>
    <t>66:25:2901025:1565</t>
  </si>
  <si>
    <t>66:35:0105011:6399</t>
  </si>
  <si>
    <t>66:37:0202003:259</t>
  </si>
  <si>
    <t>66:56:0112006:544</t>
  </si>
  <si>
    <t>66:60:0901005:1516</t>
  </si>
  <si>
    <t>66:41:0313010:23168</t>
  </si>
  <si>
    <t>1-24</t>
  </si>
  <si>
    <t>66:41:0521006:248</t>
  </si>
  <si>
    <t>66:48:0000000:3944</t>
  </si>
  <si>
    <t>66:01:0901001:1197</t>
  </si>
  <si>
    <t>66:06:4504020:416</t>
  </si>
  <si>
    <t>66:14:0000000:3526</t>
  </si>
  <si>
    <t>66:21:0101079:3027</t>
  </si>
  <si>
    <t>66:41:0507025:267</t>
  </si>
  <si>
    <t>66:54:0102007:681</t>
  </si>
  <si>
    <t>66:15:0901002:639</t>
  </si>
  <si>
    <t>66:28:2901031:1054</t>
  </si>
  <si>
    <t>66:59:0207002:1414</t>
  </si>
  <si>
    <t>66:06:1701057:495</t>
  </si>
  <si>
    <t>66:25:0106002:1423</t>
  </si>
  <si>
    <t>66:25:2721002:4655</t>
  </si>
  <si>
    <t>66:35:0107004:565</t>
  </si>
  <si>
    <t>66:41:0513033:913</t>
  </si>
  <si>
    <t>66:54:0101006:384</t>
  </si>
  <si>
    <t>66:59:0216001:5015</t>
  </si>
  <si>
    <t>66:19:2001001:999</t>
  </si>
  <si>
    <t>66:41:0518001:722</t>
  </si>
  <si>
    <t>66:20:3201001:1033</t>
  </si>
  <si>
    <t>66:07:1002015:596</t>
  </si>
  <si>
    <t>66:45:0100119:116</t>
  </si>
  <si>
    <t>66:12:6801003:737</t>
  </si>
  <si>
    <t>66:48:0402001:810</t>
  </si>
  <si>
    <t>66:41:0513032:5625</t>
  </si>
  <si>
    <t>66:35:0105011:6417</t>
  </si>
  <si>
    <t>66:25:4101002:548</t>
  </si>
  <si>
    <t>66:54:0107002:301</t>
  </si>
  <si>
    <t>66:58:1301002:1632</t>
  </si>
  <si>
    <t>66:38:0102008:333</t>
  </si>
  <si>
    <t>66:59:0216001:5021</t>
  </si>
  <si>
    <t>66:41:0303133:311</t>
  </si>
  <si>
    <t>17-34</t>
  </si>
  <si>
    <t>66:62:0301001:2104</t>
  </si>
  <si>
    <t>66:06:4501021:11864</t>
  </si>
  <si>
    <t>66:19:3201001:748</t>
  </si>
  <si>
    <t>66:28:2901010:1747</t>
  </si>
  <si>
    <t>66:35:0221001:8280</t>
  </si>
  <si>
    <t>66:41:0310012:241</t>
  </si>
  <si>
    <t>66:44:0101020:507</t>
  </si>
  <si>
    <t>66:57:0101015:6056</t>
  </si>
  <si>
    <t>66:63:0101022:2147</t>
  </si>
  <si>
    <t>66:63:1602020:406</t>
  </si>
  <si>
    <t>66:06:4501018:9932</t>
  </si>
  <si>
    <t>66:12:5101003:1132</t>
  </si>
  <si>
    <t>66:22:1913010:628</t>
  </si>
  <si>
    <t>66:35:0101027:922</t>
  </si>
  <si>
    <t>66:41:0000000:197552</t>
  </si>
  <si>
    <t>66:41:0309012:1148</t>
  </si>
  <si>
    <t>66:41:0606079:564</t>
  </si>
  <si>
    <t>66:48:0000000:3922</t>
  </si>
  <si>
    <t>66:50:0000000:6894</t>
  </si>
  <si>
    <t>66:54:0105002:1135</t>
  </si>
  <si>
    <t>66:60:0904028:1131</t>
  </si>
  <si>
    <t>66:06:0501002:1070</t>
  </si>
  <si>
    <t>66:25:0106001:920</t>
  </si>
  <si>
    <t>66:25:2721002:4262</t>
  </si>
  <si>
    <t>66:36:0701013:358</t>
  </si>
  <si>
    <t>66:41:0309012:1187</t>
  </si>
  <si>
    <t>66:50:0000000:6849</t>
  </si>
  <si>
    <t>66:51:0103009:717</t>
  </si>
  <si>
    <t>66:36:0801004:156</t>
  </si>
  <si>
    <t>66:01:3901002:620</t>
  </si>
  <si>
    <t>66:06:4501020:9641</t>
  </si>
  <si>
    <t>66:12:0000000:5905</t>
  </si>
  <si>
    <t>66:19:1907001:774</t>
  </si>
  <si>
    <t>66:25:1307001:2638</t>
  </si>
  <si>
    <t>66:28:2001001:480</t>
  </si>
  <si>
    <t>66:35:0107001:997</t>
  </si>
  <si>
    <t>66:41:0105031:1645</t>
  </si>
  <si>
    <t>66:41:0512001:1685</t>
  </si>
  <si>
    <t>66:45:0200275:696</t>
  </si>
  <si>
    <t>66:56:0501001:166</t>
  </si>
  <si>
    <t>66:58:2901002:1009</t>
  </si>
  <si>
    <t>66:63:0101022:2171</t>
  </si>
  <si>
    <t>66:08:0802010:1727</t>
  </si>
  <si>
    <t>66:25:0000000:15137</t>
  </si>
  <si>
    <t>66:32:0406011:667</t>
  </si>
  <si>
    <t>66:41:0102901:416</t>
  </si>
  <si>
    <t>66:41:0508059:649</t>
  </si>
  <si>
    <t>66:45:0100106:592</t>
  </si>
  <si>
    <t>66:56:0601008:3195</t>
  </si>
  <si>
    <t>66:06:4501018:9936</t>
  </si>
  <si>
    <t>66:21:0101022:748</t>
  </si>
  <si>
    <t>66:25:3401010:267</t>
  </si>
  <si>
    <t>66:36:0701013:363</t>
  </si>
  <si>
    <t>66:41:0307097:203</t>
  </si>
  <si>
    <t>66:41:0513032:5639</t>
  </si>
  <si>
    <t>66:47:0403001:1519</t>
  </si>
  <si>
    <t>66:58:0119005:448</t>
  </si>
  <si>
    <t>66:01:3701001:2193</t>
  </si>
  <si>
    <t>66:12:3001002:726</t>
  </si>
  <si>
    <t>66:25:0104002:940</t>
  </si>
  <si>
    <t>66:32:0406017:602</t>
  </si>
  <si>
    <t>66:41:0109013:225</t>
  </si>
  <si>
    <t>66:41:0513040:2406</t>
  </si>
  <si>
    <t>66:54:0116006:1906</t>
  </si>
  <si>
    <t>66:59:0216001:4843</t>
  </si>
  <si>
    <t>66:67:0101031:1735</t>
  </si>
  <si>
    <t>66:06:1701063:599</t>
  </si>
  <si>
    <t>66:11:0109003:899</t>
  </si>
  <si>
    <t>66:28:2901010:1756</t>
  </si>
  <si>
    <t>66:35:0221001:8283</t>
  </si>
  <si>
    <t>66:41:0710012:353</t>
  </si>
  <si>
    <t>66:53:0303004:960</t>
  </si>
  <si>
    <t>66:59:0101019:12295</t>
  </si>
  <si>
    <t>66:63:2301001:631</t>
  </si>
  <si>
    <t>66:06:1601002:286</t>
  </si>
  <si>
    <t>66:54:0113002:479</t>
  </si>
  <si>
    <t>66:10:0601005:278</t>
  </si>
  <si>
    <t>66:21:1701001:812</t>
  </si>
  <si>
    <t>66:35:0105009:735</t>
  </si>
  <si>
    <t>66:39:0303002:361</t>
  </si>
  <si>
    <t>66:41:0513041:1557</t>
  </si>
  <si>
    <t>66:52:0103007:329</t>
  </si>
  <si>
    <t>66:59:0102016:1988</t>
  </si>
  <si>
    <t>66:07:1002020:873</t>
  </si>
  <si>
    <t>66:25:1201009:466</t>
  </si>
  <si>
    <t>66:41:0614072:469</t>
  </si>
  <si>
    <t>66:06:4501018:9941</t>
  </si>
  <si>
    <t>66:12:5101004:481</t>
  </si>
  <si>
    <t>66:19:1909009:201</t>
  </si>
  <si>
    <t>66:24:2001004:1198</t>
  </si>
  <si>
    <t>66:35:0103002:795</t>
  </si>
  <si>
    <t>66:35:0105015:1389</t>
  </si>
  <si>
    <t>66:35:0224003:1006</t>
  </si>
  <si>
    <t>66:41:0313006:1505</t>
  </si>
  <si>
    <t>66:48:0402008:759</t>
  </si>
  <si>
    <t>66:55:0303052:444</t>
  </si>
  <si>
    <t>66:59:0217014:1673</t>
  </si>
  <si>
    <t>66:06:4501018:9944</t>
  </si>
  <si>
    <t>66:13:2001001:446</t>
  </si>
  <si>
    <t>66:24:2001002:1473</t>
  </si>
  <si>
    <t>66:31:1701003:575</t>
  </si>
  <si>
    <t>66:35:0221001:8292</t>
  </si>
  <si>
    <t>66:41:0306088:1068</t>
  </si>
  <si>
    <t>66:42:0000000:5600</t>
  </si>
  <si>
    <t>66:48:0402005:713</t>
  </si>
  <si>
    <t>66:56:0114002:892</t>
  </si>
  <si>
    <t>66:58:2201002:939</t>
  </si>
  <si>
    <t>66:69:0101003:2845</t>
  </si>
  <si>
    <t>66:12:1001004:911</t>
  </si>
  <si>
    <t>66:19:1101006:2274</t>
  </si>
  <si>
    <t>66:25:1701002:390</t>
  </si>
  <si>
    <t>66:29:2201017:339</t>
  </si>
  <si>
    <t>66:35:0221001:7364</t>
  </si>
  <si>
    <t>66:41:0108004:217</t>
  </si>
  <si>
    <t>66:41:0514032:491</t>
  </si>
  <si>
    <t>66:45:0100264:160</t>
  </si>
  <si>
    <t>66:53:0105003:435</t>
  </si>
  <si>
    <t>66:52:0107001:673</t>
  </si>
  <si>
    <t>66:06:2001002:82</t>
  </si>
  <si>
    <t>66:52:0106005:546</t>
  </si>
  <si>
    <t>66:50:0000000:5176</t>
  </si>
  <si>
    <t>66:36:1301005:347</t>
  </si>
  <si>
    <t>66:52:0107005:931</t>
  </si>
  <si>
    <t>66:52:0107004:322</t>
  </si>
  <si>
    <t>66:41:0310051:568</t>
  </si>
  <si>
    <t>66:27:1102051:324</t>
  </si>
  <si>
    <t>66:03:0801001:1775</t>
  </si>
  <si>
    <t>66:52:0106012:226</t>
  </si>
  <si>
    <t>66:17:0201004:120</t>
  </si>
  <si>
    <t>66:22:1901008:46</t>
  </si>
  <si>
    <t>66:03:3101001:528</t>
  </si>
  <si>
    <t>66:03:0301001:291</t>
  </si>
  <si>
    <t>66:52:0106004:404</t>
  </si>
  <si>
    <t>66:01:5401001:132</t>
  </si>
  <si>
    <t>66:52:0106007:657</t>
  </si>
  <si>
    <t>66:31:0000000:1178</t>
  </si>
  <si>
    <t>66:58:0000000:9072</t>
  </si>
  <si>
    <t>66:52:0104018:654</t>
  </si>
  <si>
    <t>66:52:0107006:496</t>
  </si>
  <si>
    <t>66:52:0106012:233</t>
  </si>
  <si>
    <t>66:28:2901039:180</t>
  </si>
  <si>
    <t>66:06:1701031:190</t>
  </si>
  <si>
    <t>66:52:0107006:452</t>
  </si>
  <si>
    <t>66:52:0107003:523</t>
  </si>
  <si>
    <t>66:04:0901001:215</t>
  </si>
  <si>
    <t>66:59:0216001:2306</t>
  </si>
  <si>
    <t>66:52:0107004:347</t>
  </si>
  <si>
    <t>66:52:0107004:616</t>
  </si>
  <si>
    <t>66:03:0801001:935</t>
  </si>
  <si>
    <t>66:45:0200221:16</t>
  </si>
  <si>
    <t>66:01:3601001:403</t>
  </si>
  <si>
    <t>66:52:0106003:568</t>
  </si>
  <si>
    <t>66:52:0107002:900</t>
  </si>
  <si>
    <t>66:03:0000000:4934</t>
  </si>
  <si>
    <t>66:03:0701001:346</t>
  </si>
  <si>
    <t>66:11:6904001:606</t>
  </si>
  <si>
    <t>66:25:0501017:197</t>
  </si>
  <si>
    <t>66:61:0213003:4041</t>
  </si>
  <si>
    <t>66:25:1405002:917</t>
  </si>
  <si>
    <t>66:35:0203002:1587</t>
  </si>
  <si>
    <t>66:41:0402027:6249</t>
  </si>
  <si>
    <t>66:45:0100147:138</t>
  </si>
  <si>
    <t>66:25:1901003:763</t>
  </si>
  <si>
    <t>66:28:2901045:1202</t>
  </si>
  <si>
    <t>66:36:0102012:262</t>
  </si>
  <si>
    <t>66:41:0000000:197500</t>
  </si>
  <si>
    <t>66:56:0203001:9967</t>
  </si>
  <si>
    <t>66:61:0208001:720</t>
  </si>
  <si>
    <t>66:41:0505019:612</t>
  </si>
  <si>
    <t>66:41:0610030:475</t>
  </si>
  <si>
    <t>66:52:0101001:2216</t>
  </si>
  <si>
    <t>66:01:5501001:1154</t>
  </si>
  <si>
    <t>66:08:0805028:1105</t>
  </si>
  <si>
    <t>66:19:0000000:20052</t>
  </si>
  <si>
    <t>66:22:1910011:162</t>
  </si>
  <si>
    <t>66:41:0513032:5621</t>
  </si>
  <si>
    <t>66:06:3601004:643</t>
  </si>
  <si>
    <t>66:19:2301001:757</t>
  </si>
  <si>
    <t>66:29:2201016:394</t>
  </si>
  <si>
    <t>66:65:0301012:401</t>
  </si>
  <si>
    <t>Жилое строение</t>
  </si>
  <si>
    <t>66:11:4301001:2290</t>
  </si>
  <si>
    <t>66:25:0106002:1426</t>
  </si>
  <si>
    <t>66:25:2721002:4659</t>
  </si>
  <si>
    <t>66:35:0221001:8269</t>
  </si>
  <si>
    <t>66:41:0614063:125</t>
  </si>
  <si>
    <t>66:55:0303022:1755</t>
  </si>
  <si>
    <t>66:66:0101020:1845</t>
  </si>
  <si>
    <t>66:25:0106002:1428</t>
  </si>
  <si>
    <t>66:45:0100274:137</t>
  </si>
  <si>
    <t>66:27:1102008:524</t>
  </si>
  <si>
    <t>66:25:1201010:878</t>
  </si>
  <si>
    <t>66:58:2902069:229</t>
  </si>
  <si>
    <t>66:25:2601001:189</t>
  </si>
  <si>
    <t>66:56:0111012:338</t>
  </si>
  <si>
    <t>66:53:0602008:558</t>
  </si>
  <si>
    <t>66:54:0102008:834</t>
  </si>
  <si>
    <t>66:25:0101009:1046</t>
  </si>
  <si>
    <t>66:56:0401009:1797</t>
  </si>
  <si>
    <t>66:18:0702002:1974</t>
  </si>
  <si>
    <t>66:41:0309059:343</t>
  </si>
  <si>
    <t>66:42:0102001:4542</t>
  </si>
  <si>
    <t>06.12.2022</t>
  </si>
  <si>
    <t>66:11:0106004:916</t>
  </si>
  <si>
    <t>66:04:2001014:464</t>
  </si>
  <si>
    <t>66:09:0401014:1249</t>
  </si>
  <si>
    <t>66:23:1801001:297</t>
  </si>
  <si>
    <t>66:32:0000000:6603</t>
  </si>
  <si>
    <t>66:40:0101034:421</t>
  </si>
  <si>
    <t>66:41:0402030:1569</t>
  </si>
  <si>
    <t>66:45:0000000:24767</t>
  </si>
  <si>
    <t>66:58:1301001:1592</t>
  </si>
  <si>
    <t>66:63:0101025:551</t>
  </si>
  <si>
    <t>66:62:0504001:1266</t>
  </si>
  <si>
    <t>66:06:4501020:9636</t>
  </si>
  <si>
    <t>66:14:4001001:515</t>
  </si>
  <si>
    <t>66:25:0104002:939</t>
  </si>
  <si>
    <t>66:35:0105015:1369</t>
  </si>
  <si>
    <t>66:41:0108091:547</t>
  </si>
  <si>
    <t>66:41:0309083:245</t>
  </si>
  <si>
    <t>66:41:0612038:140</t>
  </si>
  <si>
    <t>66:48:0308003:694</t>
  </si>
  <si>
    <t>66:50:0510014:214</t>
  </si>
  <si>
    <t>66:58:0000000:24118</t>
  </si>
  <si>
    <t>66:63:1501002:725</t>
  </si>
  <si>
    <t>66:06:4501020:9640</t>
  </si>
  <si>
    <t>66:25:1307001:2572</t>
  </si>
  <si>
    <t>66:25:2721002:4556</t>
  </si>
  <si>
    <t>66:41:0108021:199</t>
  </si>
  <si>
    <t>66:41:0513032:5635</t>
  </si>
  <si>
    <t>66:50:0000000:6853</t>
  </si>
  <si>
    <t>66:66:0101025:1222</t>
  </si>
  <si>
    <t>66:41:0503005:6067</t>
  </si>
  <si>
    <t>66:04:0701001:350</t>
  </si>
  <si>
    <t>66:09:0201005:830</t>
  </si>
  <si>
    <t>66:13:0201002:1118</t>
  </si>
  <si>
    <t>66:19:3501002:1908</t>
  </si>
  <si>
    <t>66:25:1405002:1042</t>
  </si>
  <si>
    <t>66:28:4801002:421</t>
  </si>
  <si>
    <t>66:36:0000000:22207</t>
  </si>
  <si>
    <t>66:41:0109017:322</t>
  </si>
  <si>
    <t>66:41:0521029:837</t>
  </si>
  <si>
    <t>66:53:0303008:585</t>
  </si>
  <si>
    <t>66:57:0208038:243</t>
  </si>
  <si>
    <t>66:59:0101022:311</t>
  </si>
  <si>
    <t>66:01:3901012:229</t>
  </si>
  <si>
    <t>66:11:6301001:573</t>
  </si>
  <si>
    <t>66:25:1405002:1046</t>
  </si>
  <si>
    <t>66:35:0105015:1409</t>
  </si>
  <si>
    <t>66:41:0201018:140</t>
  </si>
  <si>
    <t>66:41:0513032:5636</t>
  </si>
  <si>
    <t>66:46:0108001:3264</t>
  </si>
  <si>
    <t>66:59:0215002:2544</t>
  </si>
  <si>
    <t>66:07:0301001:713</t>
  </si>
  <si>
    <t>66:24:2001001:1609</t>
  </si>
  <si>
    <t>66:31:2201002:1945</t>
  </si>
  <si>
    <t>66:36:3203005:480</t>
  </si>
  <si>
    <t>66:41:0309100:390</t>
  </si>
  <si>
    <t>66:41:0513040:2405</t>
  </si>
  <si>
    <t>66:50:0532001:195</t>
  </si>
  <si>
    <t>66:59:0101003:1170</t>
  </si>
  <si>
    <t>66:03:1501001:906</t>
  </si>
  <si>
    <t>66:17:0803006:2322</t>
  </si>
  <si>
    <t>66:25:2901002:1429</t>
  </si>
  <si>
    <t>66:35:0105018:624</t>
  </si>
  <si>
    <t>66:41:0309064:620</t>
  </si>
  <si>
    <t>66:41:0614015:4119</t>
  </si>
  <si>
    <t>66:56:0401009:1801</t>
  </si>
  <si>
    <t>66:59:0216001:4964</t>
  </si>
  <si>
    <t>66:11:6911003:664</t>
  </si>
  <si>
    <t>66:07:0801002:1839</t>
  </si>
  <si>
    <t>66:15:1501029:1669</t>
  </si>
  <si>
    <t>66:32:0000000:6604</t>
  </si>
  <si>
    <t>66:36:1801012:487</t>
  </si>
  <si>
    <t>66:44:0102019:1277</t>
  </si>
  <si>
    <t>66:53:0313007:1218</t>
  </si>
  <si>
    <t>66:59:0209003:864</t>
  </si>
  <si>
    <t>66:25:2724006:113</t>
  </si>
  <si>
    <t>66:12:4901002:891</t>
  </si>
  <si>
    <t>66:03:1601018:698</t>
  </si>
  <si>
    <t>66:15:1501010:1034</t>
  </si>
  <si>
    <t>66:25:0317005:223</t>
  </si>
  <si>
    <t>66:35:0105017:964</t>
  </si>
  <si>
    <t>66:41:0106081:530</t>
  </si>
  <si>
    <t>66:44:0102006:4159</t>
  </si>
  <si>
    <t>66:54:0112005:595</t>
  </si>
  <si>
    <t>66:59:0209003:860</t>
  </si>
  <si>
    <t>66:17:0803003:1651</t>
  </si>
  <si>
    <t>66:35:0217001:580</t>
  </si>
  <si>
    <t>66:21:0101079:3031</t>
  </si>
  <si>
    <t>66:06:4504020:417</t>
  </si>
  <si>
    <t>66:14:1501001:2679</t>
  </si>
  <si>
    <t>66:20:3201001:1028</t>
  </si>
  <si>
    <t>66:27:1102019:545</t>
  </si>
  <si>
    <t>66:35:0105002:4534</t>
  </si>
  <si>
    <t>66:35:0106006:280</t>
  </si>
  <si>
    <t>66:36:2001014:553</t>
  </si>
  <si>
    <t>66:41:0513040:2402</t>
  </si>
  <si>
    <t>66:50:0510026:655</t>
  </si>
  <si>
    <t>66:58:0110005:634</t>
  </si>
  <si>
    <t>66:60:0901008:2262</t>
  </si>
  <si>
    <t>66:06:4501021:12204</t>
  </si>
  <si>
    <t>66:19:0501001:854</t>
  </si>
  <si>
    <t>66:24:2001004:1199</t>
  </si>
  <si>
    <t>66:33:0101009:4976</t>
  </si>
  <si>
    <t>66:36:1301002:258</t>
  </si>
  <si>
    <t>66:41:0505001:5712</t>
  </si>
  <si>
    <t>66:42:0201003:2862</t>
  </si>
  <si>
    <t>66:50:0510006:666</t>
  </si>
  <si>
    <t>66:58:0105002:507</t>
  </si>
  <si>
    <t>66:59:0102004:1083</t>
  </si>
  <si>
    <t>66:02:1701004:738</t>
  </si>
  <si>
    <t>66:12:5301001:580</t>
  </si>
  <si>
    <t>66:19:1908005:372</t>
  </si>
  <si>
    <t>66:25:2719001:433</t>
  </si>
  <si>
    <t>66:34:0601001:2240</t>
  </si>
  <si>
    <t>66:35:0221001:8295</t>
  </si>
  <si>
    <t>66:41:0208008:410</t>
  </si>
  <si>
    <t>66:41:0521020:204</t>
  </si>
  <si>
    <t>66:46:0108001:3265</t>
  </si>
  <si>
    <t>66:54:0000000:4200</t>
  </si>
  <si>
    <t>66:59:0102014:543</t>
  </si>
  <si>
    <t>66:19:1101001:1945</t>
  </si>
  <si>
    <t>66:52:0104019:139</t>
  </si>
  <si>
    <t>66:08:0802002:102</t>
  </si>
  <si>
    <t>66:41:0306067:52</t>
  </si>
  <si>
    <t>66:58:2902070:155</t>
  </si>
  <si>
    <t>66:56:0000000:13553</t>
  </si>
  <si>
    <t>66:50:0000000:5164</t>
  </si>
  <si>
    <t>66:52:0107003:534</t>
  </si>
  <si>
    <t>66:59:0209002:1193</t>
  </si>
  <si>
    <t>66:07:2801001:1135</t>
  </si>
  <si>
    <t>66:59:0000000:4959</t>
  </si>
  <si>
    <t>66:17:0901001:314</t>
  </si>
  <si>
    <t>66:52:0106007:659</t>
  </si>
  <si>
    <t>66:07:1001015:101</t>
  </si>
  <si>
    <t>66:03:3101001:532</t>
  </si>
  <si>
    <t>66:36:1301005:333</t>
  </si>
  <si>
    <t>66:07:1001015:108</t>
  </si>
  <si>
    <t>66:52:0106007:666</t>
  </si>
  <si>
    <t>66:31:2501003:233</t>
  </si>
  <si>
    <t>66:06:0000000:768</t>
  </si>
  <si>
    <t>66:06:1001002:439</t>
  </si>
  <si>
    <t>66:52:0106011:148</t>
  </si>
  <si>
    <t>66:52:0106012:239</t>
  </si>
  <si>
    <t>66:52:0107003:634</t>
  </si>
  <si>
    <t>66:52:0108001:375</t>
  </si>
  <si>
    <t>66:06:1701031:189</t>
  </si>
  <si>
    <t>66:52:0107004:610</t>
  </si>
  <si>
    <t>66:52:0104018:619</t>
  </si>
  <si>
    <t>66:04:0501003:143</t>
  </si>
  <si>
    <t>66:19:0000000:8062</t>
  </si>
  <si>
    <t>66:52:0107004:619</t>
  </si>
  <si>
    <t>66:52:0107004:611</t>
  </si>
  <si>
    <t>66:02:2301002:161</t>
  </si>
  <si>
    <t>66:25:2201004:184</t>
  </si>
  <si>
    <t>66:07:0201001:197</t>
  </si>
  <si>
    <t>66:31:2301002:271</t>
  </si>
  <si>
    <t>66:01:3601001:402</t>
  </si>
  <si>
    <t>66:28:2901011:557</t>
  </si>
  <si>
    <t>66:52:0107002:901</t>
  </si>
  <si>
    <t>66:52:0107002:902</t>
  </si>
  <si>
    <t>66:59:0209001:1552</t>
  </si>
  <si>
    <t>66:06:2601001:299</t>
  </si>
  <si>
    <t>66:25:0501017:196</t>
  </si>
  <si>
    <t>66:61:0213003:4040</t>
  </si>
  <si>
    <t>66:25:1401002:1069</t>
  </si>
  <si>
    <t>66:35:0203002:1586</t>
  </si>
  <si>
    <t>66:41:0313010:22624</t>
  </si>
  <si>
    <t>2-24</t>
  </si>
  <si>
    <t>66:45:0100147:137</t>
  </si>
  <si>
    <t>66:25:1405001:2759</t>
  </si>
  <si>
    <t>66:28:2901042:387</t>
  </si>
  <si>
    <t>66:35:0221006:349</t>
  </si>
  <si>
    <t>66:40:0101021:504</t>
  </si>
  <si>
    <t>66:56:0113011:832</t>
  </si>
  <si>
    <t>66:61:0204001:263</t>
  </si>
  <si>
    <t>66:41:0504061:161</t>
  </si>
  <si>
    <t>66:41:0609011:858</t>
  </si>
  <si>
    <t>66:48:0304004:420</t>
  </si>
  <si>
    <t>66:01:1401001:783</t>
  </si>
  <si>
    <t>66:07:1002001:1772</t>
  </si>
  <si>
    <t>66:16:2601031:168</t>
  </si>
  <si>
    <t>66:22:0102001:339</t>
  </si>
  <si>
    <t>66:41:0513032:5620</t>
  </si>
  <si>
    <t>66:03:1601013:456</t>
  </si>
  <si>
    <t>66:16:0601001:413</t>
  </si>
  <si>
    <t>66:28:3201001:528</t>
  </si>
  <si>
    <t>66:60:0904003:580</t>
  </si>
  <si>
    <t>66:06:4501069:1657</t>
  </si>
  <si>
    <t>66:25:0106002:1425</t>
  </si>
  <si>
    <t>66:25:2721002:4657</t>
  </si>
  <si>
    <t>66:35:0212008:428</t>
  </si>
  <si>
    <t>66:41:0610041:182</t>
  </si>
  <si>
    <t>66:55:0303014:479</t>
  </si>
  <si>
    <t>66:61:0220010:561</t>
  </si>
  <si>
    <t>66:24:2201002:341</t>
  </si>
  <si>
    <t>66:44:0101019:767</t>
  </si>
  <si>
    <t>66:25:2702001:2669</t>
  </si>
  <si>
    <t>66:25:0501005:203</t>
  </si>
  <si>
    <t>66:56:0404001:3426</t>
  </si>
  <si>
    <t>66:25:2201010:343</t>
  </si>
  <si>
    <t>66:55:0303022:1756</t>
  </si>
  <si>
    <t>66:52:0109002:537</t>
  </si>
  <si>
    <t>66:41:0514003:778</t>
  </si>
  <si>
    <t>66:19:0000000:20053</t>
  </si>
  <si>
    <t>66:54:0116005:1573</t>
  </si>
  <si>
    <t>66:12:4101002:481</t>
  </si>
  <si>
    <t>66:41:0308001:153</t>
  </si>
  <si>
    <t>66:70:0101002:1324</t>
  </si>
  <si>
    <t>66:06:0401004:1551</t>
  </si>
  <si>
    <t>66:04:2001005:472</t>
  </si>
  <si>
    <t>66:07:0601002:916</t>
  </si>
  <si>
    <t>66:21:0901001:816</t>
  </si>
  <si>
    <t>66:31:2001003:476</t>
  </si>
  <si>
    <t>66:39:0302011:1442</t>
  </si>
  <si>
    <t>66:41:0313010:24762</t>
  </si>
  <si>
    <t>66:45:0000000:24765</t>
  </si>
  <si>
    <t>66:58:0106001:12491</t>
  </si>
  <si>
    <t>66:63:0101022:2154</t>
  </si>
  <si>
    <t>66:25:0901001:878</t>
  </si>
  <si>
    <t>66:06:4501020:9635</t>
  </si>
  <si>
    <t>66:14:2701002:2407</t>
  </si>
  <si>
    <t>66:24:0804007:520</t>
  </si>
  <si>
    <t>66:35:0105003:1197</t>
  </si>
  <si>
    <t>66:41:0108080:168</t>
  </si>
  <si>
    <t>66:41:0309064:619</t>
  </si>
  <si>
    <t>66:41:0609015:129</t>
  </si>
  <si>
    <t>66:48:0302001:5225</t>
  </si>
  <si>
    <t>66:50:0510006:662</t>
  </si>
  <si>
    <t>66:55:0303029:258</t>
  </si>
  <si>
    <t>66:63:0101046:1221</t>
  </si>
  <si>
    <t>66:06:4501018:9935</t>
  </si>
  <si>
    <t>66:25:0401001:617</t>
  </si>
  <si>
    <t>66:25:2721002:4543</t>
  </si>
  <si>
    <t>66:41:0106064:459</t>
  </si>
  <si>
    <t>11-29</t>
  </si>
  <si>
    <t>66:41:0309100:386</t>
  </si>
  <si>
    <t>66:50:0000000:6852</t>
  </si>
  <si>
    <t>66:63:2301001:618</t>
  </si>
  <si>
    <t>66:41:0310116:145</t>
  </si>
  <si>
    <t>66:04:0101006:2803</t>
  </si>
  <si>
    <t>66:08:0801005:1402</t>
  </si>
  <si>
    <t>66:12:6801003:738</t>
  </si>
  <si>
    <t>66:19:3101004:652</t>
  </si>
  <si>
    <t>66:25:1405002:1041</t>
  </si>
  <si>
    <t>66:28:2901007:1201</t>
  </si>
  <si>
    <t>66:35:0224003:1009</t>
  </si>
  <si>
    <t>66:41:0106088:301</t>
  </si>
  <si>
    <t>66:41:0513037:3862</t>
  </si>
  <si>
    <t>66:52:0106007:1017</t>
  </si>
  <si>
    <t>66:56:0502013:940</t>
  </si>
  <si>
    <t>66:58:2902043:396</t>
  </si>
  <si>
    <t>66:01:2301034:646</t>
  </si>
  <si>
    <t>66:11:5101001:318</t>
  </si>
  <si>
    <t>66:25:1405002:1045</t>
  </si>
  <si>
    <t>66:35:0105015:1408</t>
  </si>
  <si>
    <t>66:41:0108014:1940</t>
  </si>
  <si>
    <t>66:41:0512001:1687</t>
  </si>
  <si>
    <t>66:45:0200002:360</t>
  </si>
  <si>
    <t>66:58:0104001:1081</t>
  </si>
  <si>
    <t>66:06:4501021:12199</t>
  </si>
  <si>
    <t>66:22:1001001:807</t>
  </si>
  <si>
    <t>66:30:1101001:958</t>
  </si>
  <si>
    <t>66:36:3101010:255</t>
  </si>
  <si>
    <t>66:41:0309100:389</t>
  </si>
  <si>
    <t>66:41:0513037:3863</t>
  </si>
  <si>
    <t>66:50:0000000:6907</t>
  </si>
  <si>
    <t>66:58:2902019:1469</t>
  </si>
  <si>
    <t>66:02:2301009:387</t>
  </si>
  <si>
    <t>66:17:0803003:1655</t>
  </si>
  <si>
    <t>66:25:2721002:4685</t>
  </si>
  <si>
    <t>66:35:0101012:496</t>
  </si>
  <si>
    <t>66:41:0306093:589</t>
  </si>
  <si>
    <t>66:41:0609014:436</t>
  </si>
  <si>
    <t>66:56:0208008:9026</t>
  </si>
  <si>
    <t>66:59:0216001:4955</t>
  </si>
  <si>
    <t>66:11:6911003:663</t>
  </si>
  <si>
    <t>66:06:4501021:12201</t>
  </si>
  <si>
    <t>66:15:1501029:1668</t>
  </si>
  <si>
    <t>66:30:1201119:499</t>
  </si>
  <si>
    <t>66:36:0103010:577</t>
  </si>
  <si>
    <t>66:44:0101010:712</t>
  </si>
  <si>
    <t>66:53:0307009:4069</t>
  </si>
  <si>
    <t>66:59:0209002:2015</t>
  </si>
  <si>
    <t>66:50:0513001:207</t>
  </si>
  <si>
    <t>66:11:6701001:452</t>
  </si>
  <si>
    <t>66:01:5201001:429</t>
  </si>
  <si>
    <t>66:12:3201004:633</t>
  </si>
  <si>
    <t>66:24:1801001:676</t>
  </si>
  <si>
    <t>66:35:0105011:6422</t>
  </si>
  <si>
    <t>66:41:0001001:908</t>
  </si>
  <si>
    <t>66:41:0614015:4127</t>
  </si>
  <si>
    <t>66:53:0307009:4070</t>
  </si>
  <si>
    <t>66:59:0202001:1200</t>
  </si>
  <si>
    <t>66:14:0101017:483</t>
  </si>
  <si>
    <t>66:25:2721002:4677</t>
  </si>
  <si>
    <t>66:04:2001016:701</t>
  </si>
  <si>
    <t>66:06:4501018:9943</t>
  </si>
  <si>
    <t>66:14:1501001:2678</t>
  </si>
  <si>
    <t>66:20:1508014:244</t>
  </si>
  <si>
    <t>66:25:4303001:399</t>
  </si>
  <si>
    <t>66:35:0105002:4533</t>
  </si>
  <si>
    <t>66:35:0105015:1413</t>
  </si>
  <si>
    <t>66:36:0701001:539</t>
  </si>
  <si>
    <t>66:41:0513040:2388</t>
  </si>
  <si>
    <t>66:50:0502003:890</t>
  </si>
  <si>
    <t>66:58:0101001:262</t>
  </si>
  <si>
    <t>66:59:0217017:436</t>
  </si>
  <si>
    <t>66:06:4501020:9647</t>
  </si>
  <si>
    <t>66:17:0803006:2323</t>
  </si>
  <si>
    <t>66:24:2001003:1607</t>
  </si>
  <si>
    <t>66:33:0101002:3954</t>
  </si>
  <si>
    <t>66:36:1001003:411</t>
  </si>
  <si>
    <t>66:41:0404018:249</t>
  </si>
  <si>
    <t>66:42:0201003:2854</t>
  </si>
  <si>
    <t>66:49:0601010:350</t>
  </si>
  <si>
    <t>66:56:0201001:15962</t>
  </si>
  <si>
    <t>66:58:2903001:1332</t>
  </si>
  <si>
    <t>66:02:1601001:684</t>
  </si>
  <si>
    <t>66:12:5203005:597</t>
  </si>
  <si>
    <t>66:19:1905006:762</t>
  </si>
  <si>
    <t>66:25:2703001:636</t>
  </si>
  <si>
    <t>66:34:0501021:1247</t>
  </si>
  <si>
    <t>66:35:0221001:8294</t>
  </si>
  <si>
    <t>66:41:0208007:1197</t>
  </si>
  <si>
    <t>66:41:0521020:203</t>
  </si>
  <si>
    <t>66:45:0200350:1035</t>
  </si>
  <si>
    <t>66:54:0000000:4196</t>
  </si>
  <si>
    <t>66:42:0000000:1256</t>
  </si>
  <si>
    <t>66:07:0801002:618</t>
  </si>
  <si>
    <t>66:52:0107001:265</t>
  </si>
  <si>
    <t>66:50:0000000:5031</t>
  </si>
  <si>
    <t>66:52:0107004:631</t>
  </si>
  <si>
    <t>66:06:1201002:255</t>
  </si>
  <si>
    <t>66:06:0401006:174</t>
  </si>
  <si>
    <t>Письмо № 2213 от 28.12.2018 Российская Федерация Свердловская область КУМИ Администрация Белоярского городского округа</t>
  </si>
  <si>
    <t>66:07:1801003:595</t>
  </si>
  <si>
    <t>66:59:0101005:1511</t>
  </si>
  <si>
    <t>66:03:0801001:1033</t>
  </si>
  <si>
    <t>66:09:0201005:391</t>
  </si>
  <si>
    <t>Письмо № 2839 от 30.05.2018 Администрация городского округа Верхотурский</t>
  </si>
  <si>
    <t>66:19:0000000:7881</t>
  </si>
  <si>
    <t>66:07:1002008:393</t>
  </si>
  <si>
    <t>66:52:0106012:300</t>
  </si>
  <si>
    <t>66:22:1901008:49</t>
  </si>
  <si>
    <t>66:52:0107006:520</t>
  </si>
  <si>
    <t>66:07:2001001:609</t>
  </si>
  <si>
    <t>66:36:1301009:153</t>
  </si>
  <si>
    <t>66:02:1801001:276</t>
  </si>
  <si>
    <t>66:21:0101046:1704</t>
  </si>
  <si>
    <t>66:52:0107003:526</t>
  </si>
  <si>
    <t>66:52:0108001:398</t>
  </si>
  <si>
    <t>66:36:1301013:410</t>
  </si>
  <si>
    <t>66:33:0201001:639</t>
  </si>
  <si>
    <t>66:06:2701001:179</t>
  </si>
  <si>
    <t>66:52:0107006:470</t>
  </si>
  <si>
    <t>66:52:0107003:326</t>
  </si>
  <si>
    <t>66:03:3101002:406</t>
  </si>
  <si>
    <t>66:42:0201009:161</t>
  </si>
  <si>
    <t>66:52:0107004:634</t>
  </si>
  <si>
    <t>66:52:0107006:471</t>
  </si>
  <si>
    <t>66:07:1002004:125</t>
  </si>
  <si>
    <t>66:52:0108001:380</t>
  </si>
  <si>
    <t>66:07:2304004:90</t>
  </si>
  <si>
    <t>66:52:0108004:462</t>
  </si>
  <si>
    <t>66:52:0106012:234</t>
  </si>
  <si>
    <t>66:41:0306093:586</t>
  </si>
  <si>
    <t>66:41:0614066:4385</t>
  </si>
  <si>
    <t>66:19:4401001:567</t>
  </si>
  <si>
    <t>66:58:0108005:383</t>
  </si>
  <si>
    <t>66:25:0801002:282</t>
  </si>
  <si>
    <t>66:25:2721002:4354</t>
  </si>
  <si>
    <t>66:36:0111027:326</t>
  </si>
  <si>
    <t>66:41:0511021:5825</t>
  </si>
  <si>
    <t>66:56:0000000:31129</t>
  </si>
  <si>
    <t>66:25:2721002:4663</t>
  </si>
  <si>
    <t>66:32:0402012:909</t>
  </si>
  <si>
    <t>66:36:0701011:304</t>
  </si>
  <si>
    <t>66:41:0106008:193</t>
  </si>
  <si>
    <t>66:58:0107003:873</t>
  </si>
  <si>
    <t>66:41:0309087:295</t>
  </si>
  <si>
    <t>66:41:0511020:338</t>
  </si>
  <si>
    <t>66:42:0102001:4534</t>
  </si>
  <si>
    <t>66:54:0000000:4226</t>
  </si>
  <si>
    <t>66:06:1701003:730</t>
  </si>
  <si>
    <t>66:12:1901001:699</t>
  </si>
  <si>
    <t>66:21:0101006:288</t>
  </si>
  <si>
    <t>66:25:0101001:1270</t>
  </si>
  <si>
    <t>66:41:0708001:197</t>
  </si>
  <si>
    <t>66:08:0805008:397</t>
  </si>
  <si>
    <t>66:25:1601001:1190</t>
  </si>
  <si>
    <t>66:35:0221001:8274</t>
  </si>
  <si>
    <t>66:01:1201001:218</t>
  </si>
  <si>
    <t>66:15:1501020:3832</t>
  </si>
  <si>
    <t>66:25:1201028:384</t>
  </si>
  <si>
    <t>66:25:4201003:1422</t>
  </si>
  <si>
    <t>66:41:0106152:333</t>
  </si>
  <si>
    <t>66:45:0200170:2527</t>
  </si>
  <si>
    <t>66:58:2902001:2240</t>
  </si>
  <si>
    <t>66:06:4501021:12189</t>
  </si>
  <si>
    <t>66:30:0901001:478</t>
  </si>
  <si>
    <t>66:58:0108001:712</t>
  </si>
  <si>
    <t>66:59:0216001:4589</t>
  </si>
  <si>
    <t>66:36:0701013:354</t>
  </si>
  <si>
    <t>66:62:0107015:468</t>
  </si>
  <si>
    <t>66:36:0701013:356</t>
  </si>
  <si>
    <t>66:19:1101006:2269</t>
  </si>
  <si>
    <t>66:21:1801002:830</t>
  </si>
  <si>
    <t>66:25:2201013:611</t>
  </si>
  <si>
    <t>66:25:2721002:4670</t>
  </si>
  <si>
    <t>66:25:2721002:4669</t>
  </si>
  <si>
    <t>66:25:1405001:2761</t>
  </si>
  <si>
    <t>66:41:0710032:571</t>
  </si>
  <si>
    <t>66:41:0702069:5004</t>
  </si>
  <si>
    <t>29.12.2022</t>
  </si>
  <si>
    <t>66:25:2601020:282</t>
  </si>
  <si>
    <t>66:06:4501001:4293</t>
  </si>
  <si>
    <t>66:14:2701002:2385</t>
  </si>
  <si>
    <t>66:25:1501004:1112</t>
  </si>
  <si>
    <t>66:34:0502039:3157</t>
  </si>
  <si>
    <t>66:41:0309012:1169</t>
  </si>
  <si>
    <t>66:41:0514005:330</t>
  </si>
  <si>
    <t>66:48:0317001:2404</t>
  </si>
  <si>
    <t>66:60:0901008:2261</t>
  </si>
  <si>
    <t>66:63:0101067:554</t>
  </si>
  <si>
    <t>66:06:0401004:1578</t>
  </si>
  <si>
    <t>66:06:4501050:368</t>
  </si>
  <si>
    <t>66:19:0000000:20026</t>
  </si>
  <si>
    <t>66:28:2901026:520</t>
  </si>
  <si>
    <t>66:35:0217001:575</t>
  </si>
  <si>
    <t>66:41:0306089:548</t>
  </si>
  <si>
    <t>66:41:0314014:323</t>
  </si>
  <si>
    <t>66:45:0100202:154</t>
  </si>
  <si>
    <t>66:49:0502010:560</t>
  </si>
  <si>
    <t>66:50:0510019:1012</t>
  </si>
  <si>
    <t>66:59:0215002:2535</t>
  </si>
  <si>
    <t>66:72:0101003:738</t>
  </si>
  <si>
    <t>66:11:5201001:604</t>
  </si>
  <si>
    <t>66:25:1405001:2731</t>
  </si>
  <si>
    <t>66:25:2901017:1409</t>
  </si>
  <si>
    <t>66:41:0306089:550</t>
  </si>
  <si>
    <t>66:50:0000000:6831</t>
  </si>
  <si>
    <t>66:50:0000000:6871</t>
  </si>
  <si>
    <t>66:35:0101008:138</t>
  </si>
  <si>
    <t>66:65:0301042:652</t>
  </si>
  <si>
    <t>66:06:1001002:1087</t>
  </si>
  <si>
    <t>66:11:5201002:245</t>
  </si>
  <si>
    <t>66:16:1901001:1108</t>
  </si>
  <si>
    <t>66:21:0101071:1500</t>
  </si>
  <si>
    <t>66:25:2724001:210</t>
  </si>
  <si>
    <t>66:32:1001007:451</t>
  </si>
  <si>
    <t>66:36:1301004:368</t>
  </si>
  <si>
    <t>66:41:0309012:1190</t>
  </si>
  <si>
    <t>66:42:0102001:4591</t>
  </si>
  <si>
    <t>66:56:0208006:17924</t>
  </si>
  <si>
    <t>66:58:0301001:614</t>
  </si>
  <si>
    <t>66:59:0103003:385</t>
  </si>
  <si>
    <t>66:06:0501003:996</t>
  </si>
  <si>
    <t>66:19:1101006:2272</t>
  </si>
  <si>
    <t>66:25:3401006:242</t>
  </si>
  <si>
    <t>66:35:0221001:8281</t>
  </si>
  <si>
    <t>66:41:0306121:192</t>
  </si>
  <si>
    <t>66:41:0513054:1253</t>
  </si>
  <si>
    <t>66:56:0106011:458</t>
  </si>
  <si>
    <t>66:66:0101020:1847</t>
  </si>
  <si>
    <t>66:15:1801003:1378</t>
  </si>
  <si>
    <t>66:25:1601001:1191</t>
  </si>
  <si>
    <t>66:36:0103005:556</t>
  </si>
  <si>
    <t>66:41:0106050:265</t>
  </si>
  <si>
    <t>66:41:0313029:344</t>
  </si>
  <si>
    <t>66:41:0710033:301</t>
  </si>
  <si>
    <t>66:56:0404001:3430</t>
  </si>
  <si>
    <t>66:59:0216001:5001</t>
  </si>
  <si>
    <t>66:07:1002002:842</t>
  </si>
  <si>
    <t>66:19:2201006:908</t>
  </si>
  <si>
    <t>66:28:2901039:402</t>
  </si>
  <si>
    <t>66:40:0101006:433</t>
  </si>
  <si>
    <t>66:41:0513005:732</t>
  </si>
  <si>
    <t>66:48:0000000:3945</t>
  </si>
  <si>
    <t>66:59:0101005:1694</t>
  </si>
  <si>
    <t>66:61:0211002:818</t>
  </si>
  <si>
    <t>66:41:0309064:618</t>
  </si>
  <si>
    <t>66:08:0802009:1442</t>
  </si>
  <si>
    <t>66:19:1909001:2466</t>
  </si>
  <si>
    <t>66:35:0105017:965</t>
  </si>
  <si>
    <t>66:41:0206004:1402</t>
  </si>
  <si>
    <t>66:53:0301001:1815</t>
  </si>
  <si>
    <t>66:56:0401009:1802</t>
  </si>
  <si>
    <t>66:60:0901010:507</t>
  </si>
  <si>
    <t>66:06:4501018:9928</t>
  </si>
  <si>
    <t>66:28:3902001:205</t>
  </si>
  <si>
    <t>66:06:4501020:9596</t>
  </si>
  <si>
    <t>66:19:1001001:400</t>
  </si>
  <si>
    <t>66:25:1416020:302</t>
  </si>
  <si>
    <t>66:35:0221001:8284</t>
  </si>
  <si>
    <t>66:41:0513032:5644</t>
  </si>
  <si>
    <t>66:48:0309003:752</t>
  </si>
  <si>
    <t>66:56:0401005:1218</t>
  </si>
  <si>
    <t>66:68:0201002:176</t>
  </si>
  <si>
    <t>66:19:3101001:2692</t>
  </si>
  <si>
    <t>66:45:0100303:962</t>
  </si>
  <si>
    <t>66:53:0602005:795</t>
  </si>
  <si>
    <t>66:11:4301001:2309</t>
  </si>
  <si>
    <t>66:15:1501019:1140</t>
  </si>
  <si>
    <t>66:21:0601001:2867</t>
  </si>
  <si>
    <t>66:28:2901001:779</t>
  </si>
  <si>
    <t>66:35:0105011:6386</t>
  </si>
  <si>
    <t>66:35:0221001:8156</t>
  </si>
  <si>
    <t>66:41:0303009:1745</t>
  </si>
  <si>
    <t>66:41:0614015:4117</t>
  </si>
  <si>
    <t>66:52:0104015:651</t>
  </si>
  <si>
    <t>66:59:0209003:865</t>
  </si>
  <si>
    <t>66:62:0107011:1432</t>
  </si>
  <si>
    <t>66:07:1801001:1736</t>
  </si>
  <si>
    <t>66:21:0101076:1932</t>
  </si>
  <si>
    <t>66:25:4201006:1117</t>
  </si>
  <si>
    <t>66:35:0102004:296</t>
  </si>
  <si>
    <t>66:40:0101015:1247</t>
  </si>
  <si>
    <t>66:41:0521008:331</t>
  </si>
  <si>
    <t>66:44:0102006:4162</t>
  </si>
  <si>
    <t>66:53:0000000:4672</t>
  </si>
  <si>
    <t>66:58:0116002:11366</t>
  </si>
  <si>
    <t>66:59:0216001:5042</t>
  </si>
  <si>
    <t>66:07:1002020:866</t>
  </si>
  <si>
    <t>66:15:1501028:1007</t>
  </si>
  <si>
    <t>66:25:1002003:794</t>
  </si>
  <si>
    <t>66:27:1102074:358</t>
  </si>
  <si>
    <t>66:35:0111003:2434</t>
  </si>
  <si>
    <t>66:36:0701002:901</t>
  </si>
  <si>
    <t>66:41:0511006:850</t>
  </si>
  <si>
    <t>66:42:0101030:6603</t>
  </si>
  <si>
    <t>66:52:0102001:559</t>
  </si>
  <si>
    <t>66:56:0111014:1487</t>
  </si>
  <si>
    <t>66:63:0101046:1222</t>
  </si>
  <si>
    <t>66:35:0219015:221</t>
  </si>
  <si>
    <t>66:52:0107004:660</t>
  </si>
  <si>
    <t>66:06:4501051:24</t>
  </si>
  <si>
    <t>66:36:1301007:129</t>
  </si>
  <si>
    <t>66:50:0000000:4927</t>
  </si>
  <si>
    <t>66:21:0101039:268</t>
  </si>
  <si>
    <t>66:52:0108001:457</t>
  </si>
  <si>
    <t>66:41:0108118:111</t>
  </si>
  <si>
    <t>Реформа ЖКХ</t>
  </si>
  <si>
    <t>66:50:0512009:1304</t>
  </si>
  <si>
    <t>66:31:0000000:1182</t>
  </si>
  <si>
    <t>66:52:0104019:440</t>
  </si>
  <si>
    <t>66:19:0000000:7879</t>
  </si>
  <si>
    <t>66:01:1401001:592</t>
  </si>
  <si>
    <t>66:52:0107004:734</t>
  </si>
  <si>
    <t>66:26:1301002:477</t>
  </si>
  <si>
    <t>66:56:0208008:6151</t>
  </si>
  <si>
    <t>66:52:0108002:142</t>
  </si>
  <si>
    <t>66:36:1301005:330</t>
  </si>
  <si>
    <t>66:32:0407006:546</t>
  </si>
  <si>
    <t>66:52:0107005:729</t>
  </si>
  <si>
    <t>66:42:0102011:1034</t>
  </si>
  <si>
    <t>66:52:0106012:237</t>
  </si>
  <si>
    <t>66:52:0104018:629</t>
  </si>
  <si>
    <t>66:52:0108001:203</t>
  </si>
  <si>
    <t>66:52:0106012:255</t>
  </si>
  <si>
    <t>66:41:0612049:41</t>
  </si>
  <si>
    <t>66:06:1701061:86</t>
  </si>
  <si>
    <t>66:52:0107006:467</t>
  </si>
  <si>
    <t>66:03:0601002:99</t>
  </si>
  <si>
    <t>66:41:0108115:23</t>
  </si>
  <si>
    <t>66:22:1920006:739</t>
  </si>
  <si>
    <t>66:52:0107004:630</t>
  </si>
  <si>
    <t>66:52:0107004:612</t>
  </si>
  <si>
    <t>66:66:0101022:161</t>
  </si>
  <si>
    <t>Письмо № 1272 от 28.05.2018 Администрация городского округа Верхнее Дуброво</t>
  </si>
  <si>
    <t>66:52:0108001:414</t>
  </si>
  <si>
    <t>66:01:3601001:523</t>
  </si>
  <si>
    <t>66:07:3001002:461</t>
  </si>
  <si>
    <t>66:52:0106012:227</t>
  </si>
  <si>
    <t>66:40:0101040:172</t>
  </si>
  <si>
    <t>66:06:4501020:9582</t>
  </si>
  <si>
    <t>66:15:0401001:554</t>
  </si>
  <si>
    <t>66:56:0115002:340</t>
  </si>
  <si>
    <t>66:63:0101028:521</t>
  </si>
  <si>
    <t>66:25:2601040:400</t>
  </si>
  <si>
    <t>66:36:0000000:22222</t>
  </si>
  <si>
    <t>66:41:0507025:266</t>
  </si>
  <si>
    <t>66:46:0102002:2539</t>
  </si>
  <si>
    <t>66:25:2501002:389</t>
  </si>
  <si>
    <t>66:29:2201006:1286</t>
  </si>
  <si>
    <t>66:36:0701004:335</t>
  </si>
  <si>
    <t>66:41:0102024:246</t>
  </si>
  <si>
    <t>66:56:0205004:690</t>
  </si>
  <si>
    <t>66:66:0101032:236</t>
  </si>
  <si>
    <t>66:41:0509064:1019</t>
  </si>
  <si>
    <t>66:41:0711054:143</t>
  </si>
  <si>
    <t>66:52:0101004:1132</t>
  </si>
  <si>
    <t>66:04:2501001:516</t>
  </si>
  <si>
    <t>66:11:0106004:915</t>
  </si>
  <si>
    <t>66:20:1501004:362</t>
  </si>
  <si>
    <t>66:24:2001002:1471</t>
  </si>
  <si>
    <t>66:41:0513045:809</t>
  </si>
  <si>
    <t>66:06:4501001:4358</t>
  </si>
  <si>
    <t>66:25:0104002:935</t>
  </si>
  <si>
    <t>66:35:0105002:4543</t>
  </si>
  <si>
    <t>66:35:0221001:8267</t>
  </si>
  <si>
    <t>66:14:4401001:1559</t>
  </si>
  <si>
    <t>66:25:0304006:492</t>
  </si>
  <si>
    <t>66:25:2901001:1356</t>
  </si>
  <si>
    <t>66:37:0201004:2526</t>
  </si>
  <si>
    <t>66:45:0100303:957</t>
  </si>
  <si>
    <t>66:56:0402005:408</t>
  </si>
  <si>
    <t>66:01:3901012:230</t>
  </si>
  <si>
    <t>66:25:2401006:715</t>
  </si>
  <si>
    <t>66:50:0539005:401</t>
  </si>
  <si>
    <t>66:54:0000000:4228</t>
  </si>
  <si>
    <t>66:25:3602004:117</t>
  </si>
  <si>
    <t>66:59:0206003:2181</t>
  </si>
  <si>
    <t>66:25:2721002:4667</t>
  </si>
  <si>
    <t>66:03:2401001:486</t>
  </si>
  <si>
    <t>66:68:0201001:1330</t>
  </si>
  <si>
    <t>66:54:0116006:1903</t>
  </si>
  <si>
    <t>66:25:1405002:1040</t>
  </si>
  <si>
    <t>66:06:4501018:9358</t>
  </si>
  <si>
    <t>66:22:0103001:529</t>
  </si>
  <si>
    <t>66:41:0513032:5241</t>
  </si>
  <si>
    <t>66:41:0306026:486</t>
  </si>
  <si>
    <t>66:15:1401001:1906</t>
  </si>
  <si>
    <t>66:06:0501003:994</t>
  </si>
  <si>
    <t>66:12:3201003:316</t>
  </si>
  <si>
    <t>66:25:1401002:1065</t>
  </si>
  <si>
    <t>66:34:0502027:4940</t>
  </si>
  <si>
    <t>66:41:0209114:246</t>
  </si>
  <si>
    <t>66:41:0513005:728</t>
  </si>
  <si>
    <t>66:45:0200058:922</t>
  </si>
  <si>
    <t>66:59:0101029:845</t>
  </si>
  <si>
    <t>66:63:0101054:2347</t>
  </si>
  <si>
    <t>66:01:5001001:625</t>
  </si>
  <si>
    <t>66:06:4501021:12195</t>
  </si>
  <si>
    <t>66:15:2401001:345</t>
  </si>
  <si>
    <t>66:28:2801018:719</t>
  </si>
  <si>
    <t>66:35:0202008:1603</t>
  </si>
  <si>
    <t>66:41:0204002:490</t>
  </si>
  <si>
    <t>66:41:0310029:149</t>
  </si>
  <si>
    <t>66:41:0712003:283</t>
  </si>
  <si>
    <t>66:49:0000000:3698</t>
  </si>
  <si>
    <t>66:50:0510017:1032</t>
  </si>
  <si>
    <t>66:58:0101002:423</t>
  </si>
  <si>
    <t>66:65:0502001:113</t>
  </si>
  <si>
    <t>66:06:4501043:619</t>
  </si>
  <si>
    <t>66:25:1321002:973</t>
  </si>
  <si>
    <t>66:25:2901001:1358</t>
  </si>
  <si>
    <t>66:41:0111003:413</t>
  </si>
  <si>
    <t>66:41:0609011:831</t>
  </si>
  <si>
    <t>66:50:0000000:6857</t>
  </si>
  <si>
    <t>66:11:1801001:918</t>
  </si>
  <si>
    <t>66:62:0502001:299</t>
  </si>
  <si>
    <t>66:06:0601002:307</t>
  </si>
  <si>
    <t>66:11:5201001:605</t>
  </si>
  <si>
    <t>66:15:2905001:501</t>
  </si>
  <si>
    <t>66:21:0101010:543</t>
  </si>
  <si>
    <t>66:25:1405002:1044</t>
  </si>
  <si>
    <t>66:31:0103003:765</t>
  </si>
  <si>
    <t>66:36:0102081:1358</t>
  </si>
  <si>
    <t>66:41:0309012:1188</t>
  </si>
  <si>
    <t>66:41:0614015:4124</t>
  </si>
  <si>
    <t>66:56:0204012:3631</t>
  </si>
  <si>
    <t>66:58:0104001:1080</t>
  </si>
  <si>
    <t>66:59:0101023:1897</t>
  </si>
  <si>
    <t>66:05:2601005:780</t>
  </si>
  <si>
    <t>66:17:0805001:760</t>
  </si>
  <si>
    <t>66:25:2721002:4683</t>
  </si>
  <si>
    <t>66:35:0111003:2444</t>
  </si>
  <si>
    <t>66:41:0306025:364</t>
  </si>
  <si>
    <t>66:41:0513040:2400</t>
  </si>
  <si>
    <t>66:50:0529004:572</t>
  </si>
  <si>
    <t>66:62:0107011:1437</t>
  </si>
  <si>
    <t>66:11:1801001:919</t>
  </si>
  <si>
    <t>66:25:1405001:2584</t>
  </si>
  <si>
    <t>66:35:0213002:1137</t>
  </si>
  <si>
    <t>66:40:0101002:407</t>
  </si>
  <si>
    <t>66:41:0313001:536</t>
  </si>
  <si>
    <t>66:41:0614015:4098</t>
  </si>
  <si>
    <t>66:52:0107004:870</t>
  </si>
  <si>
    <t>66:59:0216001:4857</t>
  </si>
  <si>
    <t>66:06:1701055:243</t>
  </si>
  <si>
    <t>66:19:0103001:166</t>
  </si>
  <si>
    <t>66:28:2801011:311</t>
  </si>
  <si>
    <t>66:37:0204001:1208</t>
  </si>
  <si>
    <t>66:41:0309100:391</t>
  </si>
  <si>
    <t>66:42:0401005:409</t>
  </si>
  <si>
    <t>66:56:0601008:3199</t>
  </si>
  <si>
    <t>66:59:0216001:5029</t>
  </si>
  <si>
    <t>66:28:2901045:1203</t>
  </si>
  <si>
    <t>66:08:0801009:804</t>
  </si>
  <si>
    <t>66:16:2601060:206</t>
  </si>
  <si>
    <t>66:32:0401028:478</t>
  </si>
  <si>
    <t>66:39:0303002:360</t>
  </si>
  <si>
    <t>66:47:0403001:1410</t>
  </si>
  <si>
    <t>66:54:0116006:1896</t>
  </si>
  <si>
    <t>66:59:0216001:5033</t>
  </si>
  <si>
    <t>66:50:0000000:6899</t>
  </si>
  <si>
    <t>66:25:1201016:537</t>
  </si>
  <si>
    <t>66:06:0901002:913</t>
  </si>
  <si>
    <t>66:16:1404005:173</t>
  </si>
  <si>
    <t>66:25:0501021:1542</t>
  </si>
  <si>
    <t>66:35:0106006:279</t>
  </si>
  <si>
    <t>66:41:0310053:818</t>
  </si>
  <si>
    <t>66:44:0102023:1071</t>
  </si>
  <si>
    <t>66:56:0204009:319</t>
  </si>
  <si>
    <t>66:59:0217014:1672</t>
  </si>
  <si>
    <t>66:19:0101015:388</t>
  </si>
  <si>
    <t>66:41:0513040:2395</t>
  </si>
  <si>
    <t>66:35:0105015:1395</t>
  </si>
  <si>
    <t>66:07:2901003:776</t>
  </si>
  <si>
    <t>66:14:2701002:2408</t>
  </si>
  <si>
    <t>66:20:3901001:752</t>
  </si>
  <si>
    <t>66:28:1401001:748</t>
  </si>
  <si>
    <t>66:35:0105003:1184</t>
  </si>
  <si>
    <t>66:35:0221001:7373</t>
  </si>
  <si>
    <t>66:40:0101021:505</t>
  </si>
  <si>
    <t>66:41:0519022:132</t>
  </si>
  <si>
    <t>66:51:0102004:508</t>
  </si>
  <si>
    <t>66:59:0101011:1775</t>
  </si>
  <si>
    <t>66:61:0228003:386</t>
  </si>
  <si>
    <t>66:07:1001012:386</t>
  </si>
  <si>
    <t>66:19:1101003:2130</t>
  </si>
  <si>
    <t>66:25:1405001:2769</t>
  </si>
  <si>
    <t>66:35:0101016:354</t>
  </si>
  <si>
    <t>66:36:2906002:502</t>
  </si>
  <si>
    <t>66:41:0513032:5653</t>
  </si>
  <si>
    <t>66:42:0701001:730</t>
  </si>
  <si>
    <t>66:52:0104004:1662</t>
  </si>
  <si>
    <t>66:58:0113004:2022</t>
  </si>
  <si>
    <t>66:59:0203002:2069</t>
  </si>
  <si>
    <t>66:06:4501018:9947</t>
  </si>
  <si>
    <t>66:15:0901003:1518</t>
  </si>
  <si>
    <t>66:19:4401009:772</t>
  </si>
  <si>
    <t>66:27:1101007:361</t>
  </si>
  <si>
    <t>66:35:0105015:1388</t>
  </si>
  <si>
    <t>66:36:0111015:157</t>
  </si>
  <si>
    <t>66:41:0209041:185</t>
  </si>
  <si>
    <t>66:41:0614015:4087</t>
  </si>
  <si>
    <t>66:49:0000000:3700</t>
  </si>
  <si>
    <t>66:54:0000000:4214</t>
  </si>
  <si>
    <t>66:61:0226002:389</t>
  </si>
  <si>
    <t>66:07:1901003:803</t>
  </si>
  <si>
    <t>66:56:0000000:14713</t>
  </si>
  <si>
    <t>66:03:0201001:186</t>
  </si>
  <si>
    <t>Письмо № 4436 от 06.11.2018 Глава Артинского городского округа</t>
  </si>
  <si>
    <t>66:36:1301014:391</t>
  </si>
  <si>
    <t>03.03.2023</t>
  </si>
  <si>
    <t>66:35:0218007:523</t>
  </si>
  <si>
    <t>Письмо № 391 от 06.02.2019 Администрация Березовского городского округа комитет по управлению имуществом</t>
  </si>
  <si>
    <t>66:52:0108001:400</t>
  </si>
  <si>
    <t>66:06:3601010:294</t>
  </si>
  <si>
    <t>Письмо № 2039 от 03.12.2018 Российская Федерация Свердловская область КУМИ Администрация Белоярского городского округа</t>
  </si>
  <si>
    <t>66:41:0501005:36</t>
  </si>
  <si>
    <t>66:59:0210002:906</t>
  </si>
  <si>
    <t>66:52:0108001:417</t>
  </si>
  <si>
    <t>66:02:1703011:106</t>
  </si>
  <si>
    <t>66:52:0107003:635</t>
  </si>
  <si>
    <t>нет</t>
  </si>
  <si>
    <t>66:21:0101031:588</t>
  </si>
  <si>
    <t>66:07:1901003:766</t>
  </si>
  <si>
    <t>66:04:3801001:264</t>
  </si>
  <si>
    <t>66:01:3601001:344</t>
  </si>
  <si>
    <t>66:22:1905016:289</t>
  </si>
  <si>
    <t>66:52:0107001:271</t>
  </si>
  <si>
    <t>66:52:0107002:971</t>
  </si>
  <si>
    <t>66:02:2201002:813</t>
  </si>
  <si>
    <t>66:52:0107001:666</t>
  </si>
  <si>
    <t>66:52:0107003:535</t>
  </si>
  <si>
    <t>66:36:1301012:528</t>
  </si>
  <si>
    <t>66:65:0401001:228</t>
  </si>
  <si>
    <t>66:06:0401004:482</t>
  </si>
  <si>
    <t>66:06:3901002:562</t>
  </si>
  <si>
    <t>66:52:0107006:466</t>
  </si>
  <si>
    <t>66:22:1601003:356</t>
  </si>
  <si>
    <t>66:21:1801002:274</t>
  </si>
  <si>
    <t>66:52:0107004:655</t>
  </si>
  <si>
    <t>66:36:1301005:349</t>
  </si>
  <si>
    <t>66:02:2401002:221</t>
  </si>
  <si>
    <t>66:35:0104015:968</t>
  </si>
  <si>
    <t>66:41:0110014:6223</t>
  </si>
  <si>
    <t>66:59:0000000:4843</t>
  </si>
  <si>
    <t>66:01:0801001:155</t>
  </si>
  <si>
    <t>66:45:0200229:52</t>
  </si>
  <si>
    <t>66:04:0000000:604</t>
  </si>
  <si>
    <t>66:50:0514003:250</t>
  </si>
  <si>
    <t>66:25:2721002:4658</t>
  </si>
  <si>
    <t>66:22:1905017:1273</t>
  </si>
  <si>
    <t>66:59:0102004:1081</t>
  </si>
  <si>
    <t>66:25:1201022:779</t>
  </si>
  <si>
    <t>66:25:2901001:1357</t>
  </si>
  <si>
    <t>66:41:0000000:197498</t>
  </si>
  <si>
    <t>66:41:0604004:2677</t>
  </si>
  <si>
    <t>66:56:0000000:31131</t>
  </si>
  <si>
    <t>66:25:2721002:4665</t>
  </si>
  <si>
    <t>66:34:0502001:1493</t>
  </si>
  <si>
    <t>66:36:0701013:353</t>
  </si>
  <si>
    <t>66:41:0109040:251</t>
  </si>
  <si>
    <t>66:59:0216001:4945</t>
  </si>
  <si>
    <t>66:41:0310064:552</t>
  </si>
  <si>
    <t>66:41:0513037:3855</t>
  </si>
  <si>
    <t>66:42:0401002:125</t>
  </si>
  <si>
    <t>66:56:0102009:341</t>
  </si>
  <si>
    <t>66:06:4501001:4356</t>
  </si>
  <si>
    <t>66:13:1401001:727</t>
  </si>
  <si>
    <t>66:21:0101033:425</t>
  </si>
  <si>
    <t>66:25:0202001:1014</t>
  </si>
  <si>
    <t>66:45:0100407:6008</t>
  </si>
  <si>
    <t>66:11:0109003:894</t>
  </si>
  <si>
    <t>66:27:1101013:495</t>
  </si>
  <si>
    <t>66:58:2803002:266</t>
  </si>
  <si>
    <t>66:02:0901001:287</t>
  </si>
  <si>
    <t>66:19:2801001:593</t>
  </si>
  <si>
    <t>66:25:1501007:347</t>
  </si>
  <si>
    <t>66:32:0407006:867</t>
  </si>
  <si>
    <t>66:41:0404021:203</t>
  </si>
  <si>
    <t>66:52:0101001:2224</t>
  </si>
  <si>
    <t>66:59:0215002:2542</t>
  </si>
  <si>
    <t>66:12:3401002:406</t>
  </si>
  <si>
    <t>66:36:3002011:479</t>
  </si>
  <si>
    <t>66:59:0216001:4735</t>
  </si>
  <si>
    <t>66:01:2301011:6634</t>
  </si>
  <si>
    <t>66:41:0614015:4122</t>
  </si>
  <si>
    <t>66:68:0201001:1329</t>
  </si>
  <si>
    <t>66:45:0000000:24797</t>
  </si>
  <si>
    <t>66:35:0109003:2859</t>
  </si>
  <si>
    <t>66:25:2401002:442</t>
  </si>
  <si>
    <t>66:41:0610029:236</t>
  </si>
  <si>
    <t>66:28:2901041:316</t>
  </si>
  <si>
    <t>66:41:0503021:226</t>
  </si>
  <si>
    <t>66:25:1405001:2763</t>
  </si>
  <si>
    <t>66:55:0303022:1757</t>
  </si>
  <si>
    <t>66:41:0610029:1107</t>
  </si>
  <si>
    <t>66:36:0201002:345</t>
  </si>
  <si>
    <t>66:06:4501018:9665</t>
  </si>
  <si>
    <t>66:15:1501013:1086</t>
  </si>
  <si>
    <t>66:25:2901025:1566</t>
  </si>
  <si>
    <t>66:35:0108001:2674</t>
  </si>
  <si>
    <t>66:41:0309012:1171</t>
  </si>
  <si>
    <t>66:42:0102001:4573</t>
  </si>
  <si>
    <t>66:50:0540002:227</t>
  </si>
  <si>
    <t>66:63:0101016:618</t>
  </si>
  <si>
    <t>66:63:0101068:1447</t>
  </si>
  <si>
    <t>66:06:0701004:539</t>
  </si>
  <si>
    <t>66:08:0805028:1107</t>
  </si>
  <si>
    <t>66:19:2701009:718</t>
  </si>
  <si>
    <t>66:34:0501021:1244</t>
  </si>
  <si>
    <t>66:36:3203005:479</t>
  </si>
  <si>
    <t>66:41:0306093:587</t>
  </si>
  <si>
    <t>66:41:0513032:5634</t>
  </si>
  <si>
    <t>66:45:0200322:142</t>
  </si>
  <si>
    <t>66:49:0502019:2928</t>
  </si>
  <si>
    <t>66:50:0524005:536</t>
  </si>
  <si>
    <t>66:59:0217014:1662</t>
  </si>
  <si>
    <t>66:01:2301014:589</t>
  </si>
  <si>
    <t>66:15:1501003:1048</t>
  </si>
  <si>
    <t>66:25:2201015:863</t>
  </si>
  <si>
    <t>66:33:0101008:2546</t>
  </si>
  <si>
    <t>66:41:0309012:1184</t>
  </si>
  <si>
    <t>66:50:0000000:6834</t>
  </si>
  <si>
    <t>66:50:0000000:6876</t>
  </si>
  <si>
    <t>66:35:0103008:1621</t>
  </si>
  <si>
    <t>66:01:0801001:456</t>
  </si>
  <si>
    <t>66:06:1701006:831</t>
  </si>
  <si>
    <t>66:11:6904018:342</t>
  </si>
  <si>
    <t>66:19:1901009:2209</t>
  </si>
  <si>
    <t>66:21:0601001:2936</t>
  </si>
  <si>
    <t>66:25:2901022:793</t>
  </si>
  <si>
    <t>66:33:0101002:3950</t>
  </si>
  <si>
    <t>66:36:3103007:498</t>
  </si>
  <si>
    <t>66:41:0313010:25004</t>
  </si>
  <si>
    <t>66:44:0102005:485</t>
  </si>
  <si>
    <t>66:56:0401009:1800</t>
  </si>
  <si>
    <t>66:58:1301008:1542</t>
  </si>
  <si>
    <t>66:59:0207002:1415</t>
  </si>
  <si>
    <t>66:06:1701038:784</t>
  </si>
  <si>
    <t>66:19:5001001:282</t>
  </si>
  <si>
    <t>66:27:1102057:372</t>
  </si>
  <si>
    <t>66:36:0701013:360</t>
  </si>
  <si>
    <t>66:41:0309012:1192</t>
  </si>
  <si>
    <t>66:44:0102006:4157</t>
  </si>
  <si>
    <t>66:56:0206002:1238</t>
  </si>
  <si>
    <t>66:66:0101026:232</t>
  </si>
  <si>
    <t>66:18:0907001:583</t>
  </si>
  <si>
    <t>66:25:2721002:4532</t>
  </si>
  <si>
    <t>66:36:0111083:154</t>
  </si>
  <si>
    <t>66:41:0208007:1195</t>
  </si>
  <si>
    <t>66:41:0509064:1020</t>
  </si>
  <si>
    <t>66:45:0100115:130</t>
  </si>
  <si>
    <t>66:58:0104001:1083</t>
  </si>
  <si>
    <t>66:61:0202003:1233</t>
  </si>
  <si>
    <t>66:08:0801006:1613</t>
  </si>
  <si>
    <t>66:21:0101061:387</t>
  </si>
  <si>
    <t>66:29:2401001:930</t>
  </si>
  <si>
    <t>66:41:0000000:197613</t>
  </si>
  <si>
    <t>66:41:0513032:5641</t>
  </si>
  <si>
    <t>66:50:0000000:6909</t>
  </si>
  <si>
    <t>66:59:0101024:868</t>
  </si>
  <si>
    <t>66:62:0504001:1271</t>
  </si>
  <si>
    <t>66:56:0207002:752</t>
  </si>
  <si>
    <t>66:08:0802010:1723</t>
  </si>
  <si>
    <t>66:19:3201001:749</t>
  </si>
  <si>
    <t>66:35:0204002:217</t>
  </si>
  <si>
    <t>66:41:0306105:166</t>
  </si>
  <si>
    <t>66:53:0301001:1817</t>
  </si>
  <si>
    <t>66:58:0113009:421</t>
  </si>
  <si>
    <t>66:61:0214002:324</t>
  </si>
  <si>
    <t>66:41:0521029:827</t>
  </si>
  <si>
    <t>66:41:0513032:5633</t>
  </si>
  <si>
    <t>66:06:4501020:9645</t>
  </si>
  <si>
    <t>66:21:0101076:1941</t>
  </si>
  <si>
    <t>66:28:4801002:419</t>
  </si>
  <si>
    <t>66:36:0102004:545</t>
  </si>
  <si>
    <t>66:41:0513032:5647</t>
  </si>
  <si>
    <t>66:48:0313004:379</t>
  </si>
  <si>
    <t>66:58:1301008:1543</t>
  </si>
  <si>
    <t>66:72:0101003:742</t>
  </si>
  <si>
    <t>66:21:0101071:1506</t>
  </si>
  <si>
    <t>66:56:0109009:776</t>
  </si>
  <si>
    <t>66:02:1701011:2408</t>
  </si>
  <si>
    <t>66:12:2901004:777</t>
  </si>
  <si>
    <t>66:15:2201001:1225</t>
  </si>
  <si>
    <t>66:24:0804006:1455</t>
  </si>
  <si>
    <t>66:32:0405003:367</t>
  </si>
  <si>
    <t>66:35:0105011:6392</t>
  </si>
  <si>
    <t>66:35:0221001:8249</t>
  </si>
  <si>
    <t>66:41:0307027:395</t>
  </si>
  <si>
    <t>66:45:0100304:929</t>
  </si>
  <si>
    <t>66:53:0000000:4669</t>
  </si>
  <si>
    <t>66:59:0216001:4747</t>
  </si>
  <si>
    <t>66:00:0000000:47719</t>
  </si>
  <si>
    <t>66:11:6904001:607</t>
  </si>
  <si>
    <t>66:22:0701005:862</t>
  </si>
  <si>
    <t>66:28:2901026:522</t>
  </si>
  <si>
    <t>66:35:0105009:737</t>
  </si>
  <si>
    <t>66:41:0201006:160</t>
  </si>
  <si>
    <t>66:41:0614005:311</t>
  </si>
  <si>
    <t>66:45:0200320:352</t>
  </si>
  <si>
    <t>66:54:0107005:250</t>
  </si>
  <si>
    <t>66:58:1301001:1593</t>
  </si>
  <si>
    <t>66:62:0504001:1272</t>
  </si>
  <si>
    <t>66:08:0805008:399</t>
  </si>
  <si>
    <t>66:16:2201001:434</t>
  </si>
  <si>
    <t>66:25:1307001:2580</t>
  </si>
  <si>
    <t>66:28:2901010:1749</t>
  </si>
  <si>
    <t>66:35:0111003:2447</t>
  </si>
  <si>
    <t>66:36:3001008:362</t>
  </si>
  <si>
    <t>66:41:0513040:2409</t>
  </si>
  <si>
    <t>66:42:0201012:530</t>
  </si>
  <si>
    <t>66:52:0104004:1665</t>
  </si>
  <si>
    <t>66:56:0201006:604</t>
  </si>
  <si>
    <t>66:08:0805017:1521</t>
  </si>
  <si>
    <t>66:06:4504005:190</t>
  </si>
  <si>
    <t>66:52:0104010:636</t>
  </si>
  <si>
    <t>66:50:0000000:4934</t>
  </si>
  <si>
    <t>66:50:0000000:5166</t>
  </si>
  <si>
    <t>66:52:0106002:595</t>
  </si>
  <si>
    <t>66:16:0000000:2088</t>
  </si>
  <si>
    <t>66:52:0107004:663</t>
  </si>
  <si>
    <t>66:31:0000000:1159</t>
  </si>
  <si>
    <t>66:07:1002004:114</t>
  </si>
  <si>
    <t>66:19:0000000:7880</t>
  </si>
  <si>
    <t>66:01:0000000:1259</t>
  </si>
  <si>
    <t>66:36:0102012:136</t>
  </si>
  <si>
    <t>66:22:1901008:45</t>
  </si>
  <si>
    <t>66:36:1301015:246</t>
  </si>
  <si>
    <t>66:07:2001001:570</t>
  </si>
  <si>
    <t>66:52:0107006:479</t>
  </si>
  <si>
    <t>66:31:0000000:1194</t>
  </si>
  <si>
    <t>66:22:1907002:224</t>
  </si>
  <si>
    <t>66:52:0104018:651</t>
  </si>
  <si>
    <t>66:52:0108001:383</t>
  </si>
  <si>
    <t>66:52:0106012:243</t>
  </si>
  <si>
    <t>66:52:0106012:241</t>
  </si>
  <si>
    <t>66:06:2001002:83</t>
  </si>
  <si>
    <t>66:52:0107006:468</t>
  </si>
  <si>
    <t>66:52:0107003:522</t>
  </si>
  <si>
    <t>66:17:0201004:200</t>
  </si>
  <si>
    <t>66:01:0901003:735</t>
  </si>
  <si>
    <t>66:52:0107004:632</t>
  </si>
  <si>
    <t>66:52:0107004:618</t>
  </si>
  <si>
    <t>66:62:0106006:98</t>
  </si>
  <si>
    <t>66:59:0101028:171</t>
  </si>
  <si>
    <t>66:52:0108001:391</t>
  </si>
  <si>
    <t>66:01:3601001:532</t>
  </si>
  <si>
    <t>66:02:1701014:171</t>
  </si>
  <si>
    <t>66:52:0106012:229</t>
  </si>
  <si>
    <t>66:41:0303013:145</t>
  </si>
  <si>
    <t>66:41:0513040:2397</t>
  </si>
  <si>
    <t>66:15:3101003:270</t>
  </si>
  <si>
    <t>66:56:0208008:9043</t>
  </si>
  <si>
    <t>66:63:0101029:454</t>
  </si>
  <si>
    <t>66:25:2721002:4283</t>
  </si>
  <si>
    <t>66:36:0106002:754</t>
  </si>
  <si>
    <t>66:41:0507090:377</t>
  </si>
  <si>
    <t>66:48:0000000:3912</t>
  </si>
  <si>
    <t>66:25:2601011:192</t>
  </si>
  <si>
    <t>66:30:1201126:242</t>
  </si>
  <si>
    <t>66:36:0701004:336</t>
  </si>
  <si>
    <t>66:41:0105026:307</t>
  </si>
  <si>
    <t>66:57:0102062:2562</t>
  </si>
  <si>
    <t>66:41:0306091:618</t>
  </si>
  <si>
    <t>66:41:0511011:389</t>
  </si>
  <si>
    <t>66:42:0102001:4533</t>
  </si>
  <si>
    <t>66:52:0102001:557</t>
  </si>
  <si>
    <t>66:05:2001001:343</t>
  </si>
  <si>
    <t>66:11:0108004:1119</t>
  </si>
  <si>
    <t>66:20:1501004:363</t>
  </si>
  <si>
    <t>66:24:2301001:295</t>
  </si>
  <si>
    <t>66:41:0610030:476</t>
  </si>
  <si>
    <t>66:07:3001002:768</t>
  </si>
  <si>
    <t>66:25:1405001:2760</t>
  </si>
  <si>
    <t>66:35:0105015:1403</t>
  </si>
  <si>
    <t>66:41:0502508:596</t>
  </si>
  <si>
    <t>66:15:1401001:1798</t>
  </si>
  <si>
    <t>66:25:0310001:948</t>
  </si>
  <si>
    <t>66:25:3401005:636</t>
  </si>
  <si>
    <t>66:40:0101008:593</t>
  </si>
  <si>
    <t>66:45:0100342:676</t>
  </si>
  <si>
    <t>66:58:0112004:290</t>
  </si>
  <si>
    <t>66:06:2001002:300</t>
  </si>
  <si>
    <t>66:25:2501003:765</t>
  </si>
  <si>
    <t>66:52:0106007:1018</t>
  </si>
  <si>
    <t>66:58:0601001:697</t>
  </si>
  <si>
    <t>66:29:1501001:520</t>
  </si>
  <si>
    <t>66:61:0104003:215</t>
  </si>
  <si>
    <t>66:36:0701013:355</t>
  </si>
  <si>
    <t>66:12:1617002:198</t>
  </si>
  <si>
    <t>66:21:1301001:1554</t>
  </si>
  <si>
    <t>66:06:4501034:323</t>
  </si>
  <si>
    <t>66:25:1701002:396</t>
  </si>
  <si>
    <t>66:19:4201001:705</t>
  </si>
  <si>
    <t>66:23:0000000:2098</t>
  </si>
  <si>
    <t>66:41:0513040:2343</t>
  </si>
  <si>
    <t>66:41:0609014:444</t>
  </si>
  <si>
    <t>66:19:5501001:359</t>
  </si>
  <si>
    <t>66:06:2901001:372</t>
  </si>
  <si>
    <t>66:12:3601004:1509</t>
  </si>
  <si>
    <t>66:25:1501003:713</t>
  </si>
  <si>
    <t>66:34:0502039:3156</t>
  </si>
  <si>
    <t>66:41:0309012:1168</t>
  </si>
  <si>
    <t>66:41:0513041:1484</t>
  </si>
  <si>
    <t>66:45:0200167:1821</t>
  </si>
  <si>
    <t>66:59:0216001:4724</t>
  </si>
  <si>
    <t>66:63:0101054:2372</t>
  </si>
  <si>
    <t>66:03:1601007:791</t>
  </si>
  <si>
    <t>66:06:4501021:12196</t>
  </si>
  <si>
    <t>66:15:3001004:735</t>
  </si>
  <si>
    <t>66:28:2901010:1754</t>
  </si>
  <si>
    <t>66:35:0207005:673</t>
  </si>
  <si>
    <t>66:41:0208007:1192</t>
  </si>
  <si>
    <t>66:41:0314014:322</t>
  </si>
  <si>
    <t>66:45:0100202:153</t>
  </si>
  <si>
    <t>66:49:0501005:292</t>
  </si>
  <si>
    <t>66:50:0510017:1035</t>
  </si>
  <si>
    <t>66:59:0215001:578</t>
  </si>
  <si>
    <t>66:66:0101025:1221</t>
  </si>
  <si>
    <t>66:11:4301003:2058</t>
  </si>
  <si>
    <t>66:25:1405001:2581</t>
  </si>
  <si>
    <t>66:25:2901011:1045</t>
  </si>
  <si>
    <t>66:41:0208007:1193</t>
  </si>
  <si>
    <t>66:50:0000000:6829</t>
  </si>
  <si>
    <t>66:50:0000000:6862</t>
  </si>
  <si>
    <t>66:34:0502003:1410</t>
  </si>
  <si>
    <t>66:62:0504001:1264</t>
  </si>
  <si>
    <t>66:06:0701004:540</t>
  </si>
  <si>
    <t>66:11:5201001:606</t>
  </si>
  <si>
    <t>66:16:1201001:286</t>
  </si>
  <si>
    <t>66:21:0101064:659</t>
  </si>
  <si>
    <t>66:25:2401005:551</t>
  </si>
  <si>
    <t>66:31:2201002:1944</t>
  </si>
  <si>
    <t>66:36:0701013:359</t>
  </si>
  <si>
    <t>66:41:0309012:1189</t>
  </si>
  <si>
    <t>66:41:0614066:4387</t>
  </si>
  <si>
    <t>66:56:0204013:3151</t>
  </si>
  <si>
    <t>66:58:0116001:10215</t>
  </si>
  <si>
    <t>66:59:0102024:550</t>
  </si>
  <si>
    <t>66:06:0401004:1558</t>
  </si>
  <si>
    <t>66:18:0907002:763</t>
  </si>
  <si>
    <t>66:25:2901007:1298</t>
  </si>
  <si>
    <t>66:35:0221001:7902</t>
  </si>
  <si>
    <t>66:41:0306089:551</t>
  </si>
  <si>
    <t>66:41:0513041:1556</t>
  </si>
  <si>
    <t>66:55:0303058:142</t>
  </si>
  <si>
    <t>66:63:0101049:643</t>
  </si>
  <si>
    <t>66:12:5301005:970</t>
  </si>
  <si>
    <t>66:25:1405001:2702</t>
  </si>
  <si>
    <t>66:35:0224001:912</t>
  </si>
  <si>
    <t>66:40:0101026:3536</t>
  </si>
  <si>
    <t>66:41:0313010:19466</t>
  </si>
  <si>
    <t>66:41:0614066:4388</t>
  </si>
  <si>
    <t>66:55:0303022:1758</t>
  </si>
  <si>
    <t>66:59:0216001:4936</t>
  </si>
  <si>
    <t>66:06:4501018:9937</t>
  </si>
  <si>
    <t>66:19:1101002:1423</t>
  </si>
  <si>
    <t>66:28:2901001:778</t>
  </si>
  <si>
    <t>66:37:0204001:1209</t>
  </si>
  <si>
    <t>66:41:0310017:438</t>
  </si>
  <si>
    <t>66:46:0104005:1000</t>
  </si>
  <si>
    <t>66:57:0208013:242</t>
  </si>
  <si>
    <t>66:59:0216001:5030</t>
  </si>
  <si>
    <t>66:28:6601002:434</t>
  </si>
  <si>
    <t>66:08:0801009:805</t>
  </si>
  <si>
    <t>66:17:0801003:1356</t>
  </si>
  <si>
    <t>66:35:0105015:1411</t>
  </si>
  <si>
    <t>66:41:0202005:496</t>
  </si>
  <si>
    <t>66:48:0309003:751</t>
  </si>
  <si>
    <t>66:56:0201002:346</t>
  </si>
  <si>
    <t>66:60:0000000:7554</t>
  </si>
  <si>
    <t>66:58:2903001:1330</t>
  </si>
  <si>
    <t>66:25:2721002:4681</t>
  </si>
  <si>
    <t>66:06:2501022:417</t>
  </si>
  <si>
    <t>66:16:2601040:569</t>
  </si>
  <si>
    <t>66:25:0501021:1544</t>
  </si>
  <si>
    <t>66:35:0207016:1391</t>
  </si>
  <si>
    <t>66:41:0313025:310</t>
  </si>
  <si>
    <t>66:47:0404005:788</t>
  </si>
  <si>
    <t>66:56:0208001:1377</t>
  </si>
  <si>
    <t>66:60:0000000:7556</t>
  </si>
  <si>
    <t>66:19:1906002:304</t>
  </si>
  <si>
    <t>66:41:0513041:1552</t>
  </si>
  <si>
    <t>66:41:0513037:3840</t>
  </si>
  <si>
    <t>66:08:0805017:1770</t>
  </si>
  <si>
    <t>66:15:0901001:1023</t>
  </si>
  <si>
    <t>66:21:0101007:241</t>
  </si>
  <si>
    <t>66:28:2801025:291</t>
  </si>
  <si>
    <t>66:35:0105009:736</t>
  </si>
  <si>
    <t>66:35:0221001:8098</t>
  </si>
  <si>
    <t>66:41:0106046:218</t>
  </si>
  <si>
    <t>66:41:0521013:294</t>
  </si>
  <si>
    <t>66:52:0102001:558</t>
  </si>
  <si>
    <t>66:59:0101011:1776</t>
  </si>
  <si>
    <t>66:62:0107011:1431</t>
  </si>
  <si>
    <t>66:07:1801001:1735</t>
  </si>
  <si>
    <t>66:19:4301001:818</t>
  </si>
  <si>
    <t>66:25:2401006:720</t>
  </si>
  <si>
    <t>66:35:0101017:342</t>
  </si>
  <si>
    <t>66:37:0202012:251</t>
  </si>
  <si>
    <t>66:41:0515016:188</t>
  </si>
  <si>
    <t>66:43:0101016:596</t>
  </si>
  <si>
    <t>66:52:0107004:873</t>
  </si>
  <si>
    <t>66:58:0116001:10217</t>
  </si>
  <si>
    <t>66:59:0216001:5041</t>
  </si>
  <si>
    <t>66:06:4501026:810</t>
  </si>
  <si>
    <t>66:15:1501019:1130</t>
  </si>
  <si>
    <t>66:21:0101076:1933</t>
  </si>
  <si>
    <t>66:27:1102038:309</t>
  </si>
  <si>
    <t>66:35:0108004:242</t>
  </si>
  <si>
    <t>66:36:0111064:166</t>
  </si>
  <si>
    <t>66:41:0509067:287</t>
  </si>
  <si>
    <t>66:42:0101030:6602</t>
  </si>
  <si>
    <t>66:50:0526002:253</t>
  </si>
  <si>
    <t>66:54:0112005:596</t>
  </si>
  <si>
    <t>66:62:0102006:880</t>
  </si>
  <si>
    <t>66:30:0601002:655</t>
  </si>
  <si>
    <t>66:42:0000000:1259</t>
  </si>
  <si>
    <t>66:22:1904032:92</t>
  </si>
  <si>
    <t>66:52:0107002:897</t>
  </si>
  <si>
    <t>66:50:0000000:5057</t>
  </si>
  <si>
    <t>66:50:0000000:5215</t>
  </si>
  <si>
    <t>66:36:1301003:168</t>
  </si>
  <si>
    <t>66:59:0101025:65</t>
  </si>
  <si>
    <t>66:59:0210001:976</t>
  </si>
  <si>
    <t>66:41:0711024:43</t>
  </si>
  <si>
    <t>66:02:1703011:113</t>
  </si>
  <si>
    <t>66:41:0706016:84</t>
  </si>
  <si>
    <t>66:19:0000000:7882</t>
  </si>
  <si>
    <t>66:50:0000000:5216</t>
  </si>
  <si>
    <t>66:71:0101001:80</t>
  </si>
  <si>
    <t>27.12.2022</t>
  </si>
  <si>
    <t>66:41:0505001:432</t>
  </si>
  <si>
    <t>66:16:2501001:140</t>
  </si>
  <si>
    <t>66:07:2001001:615</t>
  </si>
  <si>
    <t>66:36:1301010:180</t>
  </si>
  <si>
    <t>66:02:1401002:1150</t>
  </si>
  <si>
    <t>66:21:0401001:490</t>
  </si>
  <si>
    <t>66:52:0107003:524</t>
  </si>
  <si>
    <t>66:36:1301012:526</t>
  </si>
  <si>
    <t>66:52:0104018:626</t>
  </si>
  <si>
    <t>66:08:0805009:253</t>
  </si>
  <si>
    <t>66:06:3901002:559</t>
  </si>
  <si>
    <t>66:52:0107006:472</t>
  </si>
  <si>
    <t>66:52:0107003:519</t>
  </si>
  <si>
    <t>66:41:0501901:477</t>
  </si>
  <si>
    <t>66:52:0106002:464</t>
  </si>
  <si>
    <t>66:52:0107004:606</t>
  </si>
  <si>
    <t>66:52:0108001:230</t>
  </si>
  <si>
    <t>66:50:0000000:5084</t>
  </si>
  <si>
    <t>66:22:1907002:233</t>
  </si>
  <si>
    <t>66:02:1703020:105</t>
  </si>
  <si>
    <t>66:46:0101001:96</t>
  </si>
  <si>
    <t>66:52:0108001:389</t>
  </si>
  <si>
    <t>66:03:0000000:540</t>
  </si>
  <si>
    <t>66:45:0200124:311</t>
  </si>
  <si>
    <t>66:54:0102001:532</t>
  </si>
  <si>
    <t>66:19:4401002:482</t>
  </si>
  <si>
    <t>66:58:0120014:259</t>
  </si>
  <si>
    <t>66:25:1201006:392</t>
  </si>
  <si>
    <t>66:25:2721002:4662</t>
  </si>
  <si>
    <t>66:36:0701013:351</t>
  </si>
  <si>
    <t>66:41:0513054:1254</t>
  </si>
  <si>
    <t>66:56:0000000:31130</t>
  </si>
  <si>
    <t>66:25:2721002:4664</t>
  </si>
  <si>
    <t>66:34:0502001:1492</t>
  </si>
  <si>
    <t>66:36:0701013:352</t>
  </si>
  <si>
    <t>66:41:0108020:709</t>
  </si>
  <si>
    <t>66:58:0116001:10212</t>
  </si>
  <si>
    <t>66:41:0309099:507</t>
  </si>
  <si>
    <t>66:41:0513032:5619</t>
  </si>
  <si>
    <t>66:42:0201004:632</t>
  </si>
  <si>
    <t>66:54:0116002:1450</t>
  </si>
  <si>
    <t>66:06:4501001:4355</t>
  </si>
  <si>
    <t>66:12:5301004:2374</t>
  </si>
  <si>
    <t>66:21:0101013:505</t>
  </si>
  <si>
    <t>66:25:0106001:922</t>
  </si>
  <si>
    <t>66:42:0101025:335</t>
  </si>
  <si>
    <t>66:08:0805020:290</t>
  </si>
  <si>
    <t>66:25:2201015:856</t>
  </si>
  <si>
    <t>66:38:0102004:518</t>
  </si>
  <si>
    <t>66:01:2301011:6632</t>
  </si>
  <si>
    <t>66:16:2001009:289</t>
  </si>
  <si>
    <t>66:25:1201028:386</t>
  </si>
  <si>
    <t>66:28:5001002:288</t>
  </si>
  <si>
    <t>66:41:0306027:564</t>
  </si>
  <si>
    <t>66:48:0317001:2403</t>
  </si>
  <si>
    <t>66:59:0101029:844</t>
  </si>
  <si>
    <t>66:11:5801001:905</t>
  </si>
  <si>
    <t>66:35:0221001:8273</t>
  </si>
  <si>
    <t>66:59:0210003:786</t>
  </si>
  <si>
    <t>66:01:0701001:224</t>
  </si>
  <si>
    <t>66:41:0513032:5624</t>
  </si>
  <si>
    <t>66:62:0107015:469</t>
  </si>
  <si>
    <t>66:36:0701013:357</t>
  </si>
  <si>
    <t>66:19:1701001:1709</t>
  </si>
  <si>
    <t>66:25:1002003:859</t>
  </si>
  <si>
    <t>66:25:3301001:375</t>
  </si>
  <si>
    <t>66:25:2727001:185</t>
  </si>
  <si>
    <t>66:41:0309066:377</t>
  </si>
  <si>
    <t>66:25:1405001:2762</t>
  </si>
  <si>
    <t>66:45:0100407:6009</t>
  </si>
  <si>
    <t>66:41:0401031:2376</t>
  </si>
  <si>
    <t>4-28</t>
  </si>
  <si>
    <t>66:25:2901008:624</t>
  </si>
  <si>
    <t>66:06:4501001:4298</t>
  </si>
  <si>
    <t>66:15:1501013:1085</t>
  </si>
  <si>
    <t>66:25:2721002:4682</t>
  </si>
  <si>
    <t>66:35:0105011:6419</t>
  </si>
  <si>
    <t>66:41:0309012:1170</t>
  </si>
  <si>
    <t>66:41:0614066:4365</t>
  </si>
  <si>
    <t>66:50:0000000:6905</t>
  </si>
  <si>
    <t>66:61:0220001:1688</t>
  </si>
  <si>
    <t>66:63:0101068:1436</t>
  </si>
  <si>
    <t>66:06:0401004:1579</t>
  </si>
  <si>
    <t>66:07:1001021:982</t>
  </si>
  <si>
    <t>66:19:1906004:175</t>
  </si>
  <si>
    <t>66:28:2901042:389</t>
  </si>
  <si>
    <t>66:35:0218005:1103</t>
  </si>
  <si>
    <t>66:41:0306089:549</t>
  </si>
  <si>
    <t>66:41:0314014:324</t>
  </si>
  <si>
    <t>66:45:0100202:155</t>
  </si>
  <si>
    <t>66:49:0502012:574</t>
  </si>
  <si>
    <t>66:50:0514008:338</t>
  </si>
  <si>
    <t>66:59:0217014:1660</t>
  </si>
  <si>
    <t>66:72:0101008:672</t>
  </si>
  <si>
    <t>66:11:6904006:184</t>
  </si>
  <si>
    <t>66:25:1501005:1074</t>
  </si>
  <si>
    <t>66:25:4101002:549</t>
  </si>
  <si>
    <t>66:41:0309012:1183</t>
  </si>
  <si>
    <t>66:50:0000000:6832</t>
  </si>
  <si>
    <t>66:50:0000000:6875</t>
  </si>
  <si>
    <t>66:35:0101012:494</t>
  </si>
  <si>
    <t>66:01:0202008:148</t>
  </si>
  <si>
    <t>66:06:1701006:829</t>
  </si>
  <si>
    <t>66:11:6301001:582</t>
  </si>
  <si>
    <t>66:19:0101035:932</t>
  </si>
  <si>
    <t>66:21:0601001:2935</t>
  </si>
  <si>
    <t>66:25:2901001:1359</t>
  </si>
  <si>
    <t>66:33:0101002:3949</t>
  </si>
  <si>
    <t>66:36:2101001:401</t>
  </si>
  <si>
    <t>66:41:0309100:387</t>
  </si>
  <si>
    <t>66:43:0101004:1044</t>
  </si>
  <si>
    <t>66:56:0208007:5258</t>
  </si>
  <si>
    <t>66:58:1101006:3252</t>
  </si>
  <si>
    <t>66:59:0207002:1412</t>
  </si>
  <si>
    <t>66:06:0901002:917</t>
  </si>
  <si>
    <t>66:19:3101001:2693</t>
  </si>
  <si>
    <t>66:27:1101031:360</t>
  </si>
  <si>
    <t>66:36:0112001:780</t>
  </si>
  <si>
    <t>66:41:0309012:1191</t>
  </si>
  <si>
    <t>66:41:0513062:185</t>
  </si>
  <si>
    <t>66:56:0204001:595</t>
  </si>
  <si>
    <t>66:66:0101021:326</t>
  </si>
  <si>
    <t>66:16:1901003:1559</t>
  </si>
  <si>
    <t>66:25:2721002:4370</t>
  </si>
  <si>
    <t>66:36:0107006:1154</t>
  </si>
  <si>
    <t>66:41:0106178:492</t>
  </si>
  <si>
    <t>66:41:0506010:173</t>
  </si>
  <si>
    <t>66:45:0100102:390</t>
  </si>
  <si>
    <t>66:58:0104001:1082</t>
  </si>
  <si>
    <t>66:60:0904024:1947</t>
  </si>
  <si>
    <t>66:07:1501002:967</t>
  </si>
  <si>
    <t>66:19:2701003:602</t>
  </si>
  <si>
    <t>66:29:2201011:518</t>
  </si>
  <si>
    <t>66:40:0101016:869</t>
  </si>
  <si>
    <t>66:41:0513032:5571</t>
  </si>
  <si>
    <t>66:48:0313001:523</t>
  </si>
  <si>
    <t>66:59:0101005:1695</t>
  </si>
  <si>
    <t>66:62:0107011:1438</t>
  </si>
  <si>
    <t>66:50:0000000:6901</t>
  </si>
  <si>
    <t>66:08:0802009:1444</t>
  </si>
  <si>
    <t>66:19:2801001:595</t>
  </si>
  <si>
    <t>66:35:0203001:1115</t>
  </si>
  <si>
    <t>66:41:0208007:1196</t>
  </si>
  <si>
    <t>66:53:0301001:1816</t>
  </si>
  <si>
    <t>66:58:0110005:633</t>
  </si>
  <si>
    <t>66:61:0207003:988</t>
  </si>
  <si>
    <t>66:13:1301001:1369</t>
  </si>
  <si>
    <t>66:41:0105020:321</t>
  </si>
  <si>
    <t>66:06:4501020:9644</t>
  </si>
  <si>
    <t>66:19:3101004:653</t>
  </si>
  <si>
    <t>66:28:2001002:620</t>
  </si>
  <si>
    <t>66:35:0221001:8285</t>
  </si>
  <si>
    <t>66:41:0513032:5646</t>
  </si>
  <si>
    <t>66:48:0313001:525</t>
  </si>
  <si>
    <t>66:57:0210021:290</t>
  </si>
  <si>
    <t>66:69:0000000:2915</t>
  </si>
  <si>
    <t>66:19:3201003:636</t>
  </si>
  <si>
    <t>66:50:0510017:1046</t>
  </si>
  <si>
    <t>66:61:0208013:434</t>
  </si>
  <si>
    <t>66:12:1901003:541</t>
  </si>
  <si>
    <t>66:15:1501029:1670</t>
  </si>
  <si>
    <t>66:22:1903018:129</t>
  </si>
  <si>
    <t>66:28:2901026:521</t>
  </si>
  <si>
    <t>66:35:0105011:6387</t>
  </si>
  <si>
    <t>66:35:0221001:8207</t>
  </si>
  <si>
    <t>66:41:0307018:528</t>
  </si>
  <si>
    <t>66:44:0102006:4161</t>
  </si>
  <si>
    <t>66:53:0000000:4665</t>
  </si>
  <si>
    <t>66:59:0211003:1843</t>
  </si>
  <si>
    <t>66:66:0101027:307</t>
  </si>
  <si>
    <t>66:11:4301002:1187</t>
  </si>
  <si>
    <t>66:21:0101077:1517</t>
  </si>
  <si>
    <t>66:28:2801020:804</t>
  </si>
  <si>
    <t>66:35:0105002:4545</t>
  </si>
  <si>
    <t>66:41:0111004:347</t>
  </si>
  <si>
    <t>66:41:0609031:190</t>
  </si>
  <si>
    <t>66:45:0000000:24810</t>
  </si>
  <si>
    <t>66:54:0000000:4232</t>
  </si>
  <si>
    <t>66:58:0120001:3197</t>
  </si>
  <si>
    <t>66:62:0201004:904</t>
  </si>
  <si>
    <t>66:07:1801001:1737</t>
  </si>
  <si>
    <t>66:15:2902001:449</t>
  </si>
  <si>
    <t>66:25:1307001:2576</t>
  </si>
  <si>
    <t>66:28:2801021:543</t>
  </si>
  <si>
    <t>66:35:0111003:2446</t>
  </si>
  <si>
    <t>66:36:2001010:323</t>
  </si>
  <si>
    <t>66:41:0513037:3866</t>
  </si>
  <si>
    <t>66:42:0201012:529</t>
  </si>
  <si>
    <t>66:52:0103001:1528</t>
  </si>
  <si>
    <t>66:56:0201001:15963</t>
  </si>
  <si>
    <t>66:63:1801002:1709</t>
  </si>
  <si>
    <t>66:36:0103014:85</t>
  </si>
  <si>
    <t>66:07:1002002:389</t>
  </si>
  <si>
    <t>66:52:0106012:123</t>
  </si>
  <si>
    <t>66:41:0514054:139</t>
  </si>
  <si>
    <t>66:03:0000000:1381</t>
  </si>
  <si>
    <t>66:52:0106002:571</t>
  </si>
  <si>
    <t>66:52:0104019:333</t>
  </si>
  <si>
    <t>66:08:0802014:363</t>
  </si>
  <si>
    <t>66:04:2801001:388</t>
  </si>
  <si>
    <t>66:59:0209001:936</t>
  </si>
  <si>
    <t>66:60:0904016:413</t>
  </si>
  <si>
    <t>66:42:0102001:1991</t>
  </si>
  <si>
    <t>66:21:0101037:2044</t>
  </si>
  <si>
    <t>66:36:0111076:100</t>
  </si>
  <si>
    <t>66:56:0109007:115</t>
  </si>
  <si>
    <t>66:16:0000000:1918</t>
  </si>
  <si>
    <t>66:52:0106003:228</t>
  </si>
  <si>
    <t>66:52:0108001:217</t>
  </si>
  <si>
    <t>66:52:0107002:896</t>
  </si>
  <si>
    <t>66:52:0107006:530</t>
  </si>
  <si>
    <t>66:06:1701061:90</t>
  </si>
  <si>
    <t>66:52:0107003:547</t>
  </si>
  <si>
    <t>66:52:0106011:99</t>
  </si>
  <si>
    <t>66:52:0105002:976</t>
  </si>
  <si>
    <t>66:17:0808002:169</t>
  </si>
  <si>
    <t>66:06:0801002:211</t>
  </si>
  <si>
    <t>66:06:4501020:2665</t>
  </si>
  <si>
    <t>66:52:0107006:459</t>
  </si>
  <si>
    <t>66:06:4301001:125</t>
  </si>
  <si>
    <t>66:41:0509062:197</t>
  </si>
  <si>
    <t>66:52:0107004:643</t>
  </si>
  <si>
    <t>66:52:0107002:899</t>
  </si>
  <si>
    <t>66:52:0107004:615</t>
  </si>
  <si>
    <t>66:02:0000000:3248</t>
  </si>
  <si>
    <t>66:06:1701042:678</t>
  </si>
  <si>
    <t>66:01:3601001:324</t>
  </si>
  <si>
    <t>66:19:0000000:7876</t>
  </si>
  <si>
    <t>66:52:0106008:737</t>
  </si>
  <si>
    <t>66:52:0106011:139</t>
  </si>
  <si>
    <t>66:59:0216001:4950</t>
  </si>
  <si>
    <t>66:33:0101005:2400</t>
  </si>
  <si>
    <t>66:24:0000000:1109</t>
  </si>
  <si>
    <t>66:59:0207002:1413</t>
  </si>
  <si>
    <t>66:25:1321001:1012</t>
  </si>
  <si>
    <t>66:30:1201102:167</t>
  </si>
  <si>
    <t>66:41:0309032:196</t>
  </si>
  <si>
    <t>66:41:0609046:437</t>
  </si>
  <si>
    <t>66:25:1307001:2636</t>
  </si>
  <si>
    <t>66:25:2901004:1639</t>
  </si>
  <si>
    <t>66:35:0103008:1658</t>
  </si>
  <si>
    <t>66:36:3203001:1907</t>
  </si>
  <si>
    <t>66:41:0111003:412</t>
  </si>
  <si>
    <t>66:59:0217012:588</t>
  </si>
  <si>
    <t>66:41:0313010:23074</t>
  </si>
  <si>
    <t>66:41:0513055:736</t>
  </si>
  <si>
    <t>66:45:0200127:150</t>
  </si>
  <si>
    <t>66:00:0000000:11804</t>
  </si>
  <si>
    <t>66:06:4504020:415</t>
  </si>
  <si>
    <t>66:14:0000000:3525</t>
  </si>
  <si>
    <t>66:21:0101069:602</t>
  </si>
  <si>
    <t>66:41:0505005:260</t>
  </si>
  <si>
    <t>66:54:0102007:680</t>
  </si>
  <si>
    <t>66:12:5203005:595</t>
  </si>
  <si>
    <t>66:28:0801001:599</t>
  </si>
  <si>
    <t>66:59:0201002:2264</t>
  </si>
  <si>
    <t>66:06:1701003:734</t>
  </si>
  <si>
    <t>66:24:2001004:1195</t>
  </si>
  <si>
    <t>66:25:2721002:4654</t>
  </si>
  <si>
    <t>66:35:0103001:287</t>
  </si>
  <si>
    <t>66:41:0507026:423</t>
  </si>
  <si>
    <t>66:54:0000000:4225</t>
  </si>
  <si>
    <t>66:59:0216001:4987</t>
  </si>
  <si>
    <t>66:19:1101001:1944</t>
  </si>
  <si>
    <t>66:41:0203011:147</t>
  </si>
  <si>
    <t>66:41:0313010:23916</t>
  </si>
  <si>
    <t>66:06:4501018:9926</t>
  </si>
  <si>
    <t>66:45:0000000:24798</t>
  </si>
  <si>
    <t>66:12:1401004:334</t>
  </si>
  <si>
    <t>66:48:0322001:1352</t>
  </si>
  <si>
    <t>66:36:3003002:309</t>
  </si>
  <si>
    <t>66:32:0403017:339</t>
  </si>
  <si>
    <t>66:25:0101009:1047</t>
  </si>
  <si>
    <t>66:35:0105015:1384</t>
  </si>
  <si>
    <t>66:57:0304003:240</t>
  </si>
  <si>
    <t>66:28:2901038:512</t>
  </si>
  <si>
    <t>66:59:0216001:4801</t>
  </si>
  <si>
    <t>66:35:0108001:2600</t>
  </si>
  <si>
    <t>66:61:0202001:474</t>
  </si>
  <si>
    <t>66:06:4501020:9387</t>
  </si>
  <si>
    <t>66:19:3101006:776</t>
  </si>
  <si>
    <t>66:27:1102049:248</t>
  </si>
  <si>
    <t>66:35:0221001:8279</t>
  </si>
  <si>
    <t>66:41:0309012:1173</t>
  </si>
  <si>
    <t>66:43:0102001:1049</t>
  </si>
  <si>
    <t>66:56:0208006:17923</t>
  </si>
  <si>
    <t>66:63:0101022:2143</t>
  </si>
  <si>
    <t>66:63:0101068:1471</t>
  </si>
  <si>
    <t>66:06:4501018:9931</t>
  </si>
  <si>
    <t>66:12:4801003:1413</t>
  </si>
  <si>
    <t>66:22:0000000:7317</t>
  </si>
  <si>
    <t>66:35:0000000:7773</t>
  </si>
  <si>
    <t>66:41:0000000:196578</t>
  </si>
  <si>
    <t>66:41:0309012:1147</t>
  </si>
  <si>
    <t>66:41:0520001:133</t>
  </si>
  <si>
    <t>66:48:0000000:3917</t>
  </si>
  <si>
    <t>66:50:0000000:6886</t>
  </si>
  <si>
    <t>66:54:0000000:4218</t>
  </si>
  <si>
    <t>66:59:0217015:303</t>
  </si>
  <si>
    <t>66:01:3901002:619</t>
  </si>
  <si>
    <t>66:25:0101010:400</t>
  </si>
  <si>
    <t>66:25:2712001:152</t>
  </si>
  <si>
    <t>66:36:0104001:402</t>
  </si>
  <si>
    <t>66:41:0309012:1186</t>
  </si>
  <si>
    <t>66:50:0000000:6837</t>
  </si>
  <si>
    <t>66:51:0101003:165</t>
  </si>
  <si>
    <t>66:35:0222003:797</t>
  </si>
  <si>
    <t>66:01:2301031:332</t>
  </si>
  <si>
    <t>66:06:4501020:9469</t>
  </si>
  <si>
    <t>66:11:6904018:344</t>
  </si>
  <si>
    <t>66:19:1906010:1368</t>
  </si>
  <si>
    <t>66:25:0501001:215</t>
  </si>
  <si>
    <t>66:28:1201001:593</t>
  </si>
  <si>
    <t>66:35:0105011:6421</t>
  </si>
  <si>
    <t>66:41:0105031:1644</t>
  </si>
  <si>
    <t>66:41:0510035:248</t>
  </si>
  <si>
    <t>66:45:0200002:359</t>
  </si>
  <si>
    <t>66:56:0403008:4124</t>
  </si>
  <si>
    <t>66:58:2802006:250</t>
  </si>
  <si>
    <t>66:62:0502007:294</t>
  </si>
  <si>
    <t>66:06:4501020:9643</t>
  </si>
  <si>
    <t>66:24:2001004:1196</t>
  </si>
  <si>
    <t>66:29:2201016:393</t>
  </si>
  <si>
    <t>66:41:0101008:561</t>
  </si>
  <si>
    <t>66:41:0309100:388</t>
  </si>
  <si>
    <t>66:45:0000000:24805</t>
  </si>
  <si>
    <t>66:56:0601007:570</t>
  </si>
  <si>
    <t>66:06:3801001:227</t>
  </si>
  <si>
    <t>66:19:3101005:1043</t>
  </si>
  <si>
    <t>66:25:2721002:4684</t>
  </si>
  <si>
    <t>66:36:0701013:362</t>
  </si>
  <si>
    <t>66:41:0307045:424</t>
  </si>
  <si>
    <t>66:41:0513032:5638</t>
  </si>
  <si>
    <t>66:45:0200167:1831</t>
  </si>
  <si>
    <t>66:58:0116002:11365</t>
  </si>
  <si>
    <t>66:67:0101031:1734</t>
  </si>
  <si>
    <t>66:11:1801004:3408</t>
  </si>
  <si>
    <t>66:24:2001004:1197</t>
  </si>
  <si>
    <t>66:30:1201125:262</t>
  </si>
  <si>
    <t>66:41:0109013:224</t>
  </si>
  <si>
    <t>66:41:0513037:3864</t>
  </si>
  <si>
    <t>66:54:0102008:835</t>
  </si>
  <si>
    <t>66:59:0103003:388</t>
  </si>
  <si>
    <t>66:65:0301047:355</t>
  </si>
  <si>
    <t>66:05:2401001:347</t>
  </si>
  <si>
    <t>66:11:0109003:898</t>
  </si>
  <si>
    <t>66:28:2801012:352</t>
  </si>
  <si>
    <t>66:35:0207019:800</t>
  </si>
  <si>
    <t>66:41:0513032:5643</t>
  </si>
  <si>
    <t>66:53:0301001:1819</t>
  </si>
  <si>
    <t>66:58:2902037:232</t>
  </si>
  <si>
    <t>66:62:0000000:4494</t>
  </si>
  <si>
    <t>66:62:0504001:1267</t>
  </si>
  <si>
    <t>66:54:0102004:1654</t>
  </si>
  <si>
    <t>66:06:4501051:246</t>
  </si>
  <si>
    <t>66:21:0601001:2930</t>
  </si>
  <si>
    <t>66:35:0101014:178</t>
  </si>
  <si>
    <t>66:38:0102004:520</t>
  </si>
  <si>
    <t>66:41:0513040:2401</t>
  </si>
  <si>
    <t>66:50:0505001:1950</t>
  </si>
  <si>
    <t>66:58:2802006:251</t>
  </si>
  <si>
    <t>66:06:4501020:9564</t>
  </si>
  <si>
    <t>66:25:1201009:459</t>
  </si>
  <si>
    <t>66:58:1301005:1612</t>
  </si>
  <si>
    <t>66:06:0601004:513</t>
  </si>
  <si>
    <t>66:12:3501002:357</t>
  </si>
  <si>
    <t>66:19:1906004:174</t>
  </si>
  <si>
    <t>66:24:2001002:1472</t>
  </si>
  <si>
    <t>66:32:0406022:496</t>
  </si>
  <si>
    <t>66:35:0105011:6400</t>
  </si>
  <si>
    <t>66:35:0221001:8287</t>
  </si>
  <si>
    <t>66:41:0309062:495</t>
  </si>
  <si>
    <t>66:47:0402031:318</t>
  </si>
  <si>
    <t>66:54:0000000:4230</t>
  </si>
  <si>
    <t>66:59:0216001:5038</t>
  </si>
  <si>
    <t>66:06:4501001:4360</t>
  </si>
  <si>
    <t>66:12:6101001:978</t>
  </si>
  <si>
    <t>66:23:1001001:1619</t>
  </si>
  <si>
    <t>66:30:1201011:218</t>
  </si>
  <si>
    <t>66:35:0221001:8291</t>
  </si>
  <si>
    <t>66:41:0209041:184</t>
  </si>
  <si>
    <t>66:41:0711054:144</t>
  </si>
  <si>
    <t>66:48:0302001:5234</t>
  </si>
  <si>
    <t>66:56:0113001:1595</t>
  </si>
  <si>
    <t>66:58:1401002:484</t>
  </si>
  <si>
    <t>66:68:0201005:1890</t>
  </si>
  <si>
    <t>66:11:4101001:553</t>
  </si>
  <si>
    <t>66:19:1101001:1946</t>
  </si>
  <si>
    <t>66:25:1307001:2640</t>
  </si>
  <si>
    <t>66:28:6801001:292</t>
  </si>
  <si>
    <t>66:35:0207005:668</t>
  </si>
  <si>
    <t>66:41:0105031:1638</t>
  </si>
  <si>
    <t>66:41:0514023:413</t>
  </si>
  <si>
    <t>66:44:0101030:903</t>
  </si>
  <si>
    <t>66:52:0107002:1812</t>
  </si>
  <si>
    <t>66:41:0102038:193</t>
  </si>
  <si>
    <t>66:59:0101026:743</t>
  </si>
  <si>
    <t>66:19:2501001:361</t>
  </si>
  <si>
    <t>66:44:0101030:901</t>
  </si>
  <si>
    <t>66:16:0401001:481</t>
  </si>
  <si>
    <t>66:56:0207001:1708</t>
  </si>
  <si>
    <t>66:06:4501021:12192</t>
  </si>
  <si>
    <t>66:25:1201010:848</t>
  </si>
  <si>
    <t>66:06:0601001:810</t>
  </si>
  <si>
    <t>66:13:0301001:894</t>
  </si>
  <si>
    <t>66:36:2301001:290</t>
  </si>
  <si>
    <t>66:08:0805001:340</t>
  </si>
  <si>
    <t>66:35:0213002:1148</t>
  </si>
  <si>
    <t>66:41:0610026:287</t>
  </si>
  <si>
    <t>66:27:1102046:469</t>
  </si>
  <si>
    <t>66:55:0303007:1750</t>
  </si>
  <si>
    <t>66:56:0404001:3435</t>
  </si>
  <si>
    <t>66:19:2701007:483</t>
  </si>
  <si>
    <t>66:58:0110005:635</t>
  </si>
  <si>
    <t>66:21:0101077:1518</t>
  </si>
  <si>
    <t>66:41:0309098:575</t>
  </si>
  <si>
    <t>66:54:0116004:1119</t>
  </si>
  <si>
    <t>66:58:2101003:368</t>
  </si>
  <si>
    <t>66:41:0521010:447</t>
  </si>
  <si>
    <t>66:45:0100304:938</t>
  </si>
  <si>
    <t>66:06:0401004:1549</t>
  </si>
  <si>
    <t>66:28:7101001:492</t>
  </si>
  <si>
    <t>66:54:0106005:274</t>
  </si>
  <si>
    <t>66:41:0510031:212</t>
  </si>
  <si>
    <t>66:25:1201010:879</t>
  </si>
  <si>
    <t>66:56:0502002:220</t>
  </si>
  <si>
    <t>66:06:2601007:61</t>
  </si>
  <si>
    <t>66:52:0107001:674</t>
  </si>
  <si>
    <t>66:50:0000000:5080</t>
  </si>
  <si>
    <t>66:50:0000000:5251</t>
  </si>
  <si>
    <t>66:52:0108001:416</t>
  </si>
  <si>
    <t>66:29:0000000:5636</t>
  </si>
  <si>
    <t>66:04:0901001:352</t>
  </si>
  <si>
    <t>66:14:3701001:723</t>
  </si>
  <si>
    <t>66:25:1307001:2570</t>
  </si>
  <si>
    <t>66:31:2201002:1939</t>
  </si>
  <si>
    <t>66:41:0614066:4364</t>
  </si>
  <si>
    <t>66:58:0116002:11356</t>
  </si>
  <si>
    <t>66:67:0101001:317</t>
  </si>
  <si>
    <t>66:17:0803003:1643</t>
  </si>
  <si>
    <t>66:62:0107011:1433</t>
  </si>
  <si>
    <t>66:25:1307004:959</t>
  </si>
  <si>
    <t>66:45:0200015:611</t>
  </si>
  <si>
    <t>66:41:0000000:196958</t>
  </si>
  <si>
    <t>18-22-26</t>
  </si>
  <si>
    <t>66:11:0105005:181</t>
  </si>
  <si>
    <t>66:25:2721002:4531</t>
  </si>
  <si>
    <t>66:41:0513032:5602</t>
  </si>
  <si>
    <t>66:45:0200059:580</t>
  </si>
  <si>
    <t>66:66:0101004:808</t>
  </si>
  <si>
    <t>66:41:0307073:312</t>
  </si>
  <si>
    <t>66:45:0100450:471</t>
  </si>
  <si>
    <t>66:07:1801001:1731</t>
  </si>
  <si>
    <t>66:28:2801018:717</t>
  </si>
  <si>
    <t>66:42:0102011:1552</t>
  </si>
  <si>
    <t>66:47:0401002:254</t>
  </si>
  <si>
    <t>66:62:0106007:647</t>
  </si>
  <si>
    <t>66:14:4601001:222</t>
  </si>
  <si>
    <t>66:21:1501003:583</t>
  </si>
  <si>
    <t>66:35:0202003:722</t>
  </si>
  <si>
    <t>66:13:2601001:620</t>
  </si>
  <si>
    <t>66:15:1501005:1037</t>
  </si>
  <si>
    <t>66:11:1501001:710</t>
  </si>
  <si>
    <t>66:25:1405001:2611</t>
  </si>
  <si>
    <t>66:41:0507012:209</t>
  </si>
  <si>
    <t>66:57:0304003:238</t>
  </si>
  <si>
    <t>66:35:0222001:1191</t>
  </si>
  <si>
    <t>66:58:0110003:3611</t>
  </si>
  <si>
    <t>66:41:0109040:250</t>
  </si>
  <si>
    <t>66:36:2903008:1347</t>
  </si>
  <si>
    <t>66:12:1401005:557</t>
  </si>
  <si>
    <t>66:27:1102058:640</t>
  </si>
  <si>
    <t>66:41:0519018:191</t>
  </si>
  <si>
    <t>66:58:0120010:200</t>
  </si>
  <si>
    <t>66:06:4501018:9922</t>
  </si>
  <si>
    <t>66:21:0101076:1946</t>
  </si>
  <si>
    <t>66:36:2903015:368</t>
  </si>
  <si>
    <t>66:46:0109002:175</t>
  </si>
  <si>
    <t>66:01:1401001:778</t>
  </si>
  <si>
    <t>66:25:2721002:4652</t>
  </si>
  <si>
    <t>66:41:0509064:1017</t>
  </si>
  <si>
    <t>66:06:3901001:395</t>
  </si>
  <si>
    <t>66:35:0105011:6415</t>
  </si>
  <si>
    <t>66:25:2721002:4678</t>
  </si>
  <si>
    <t>66:56:0207001:1707</t>
  </si>
  <si>
    <t>66:11:4901002:585</t>
  </si>
  <si>
    <t>66:41:0313032:395</t>
  </si>
  <si>
    <t>66:58:0104004:748</t>
  </si>
  <si>
    <t>66:35:0221001:8278</t>
  </si>
  <si>
    <t>66:61:0220005:1459</t>
  </si>
  <si>
    <t>66:35:0221001:8277</t>
  </si>
  <si>
    <t>66:25:1901001:1190</t>
  </si>
  <si>
    <t>66:42:0601002:890</t>
  </si>
  <si>
    <t>66:24:0804001:682</t>
  </si>
  <si>
    <t>66:63:2001003:1205</t>
  </si>
  <si>
    <t>66:25:1401002:1071</t>
  </si>
  <si>
    <t>66:41:0511023:419</t>
  </si>
  <si>
    <t>66:24:2701001:335</t>
  </si>
  <si>
    <t>66:55:0303007:1734</t>
  </si>
  <si>
    <t>66:56:0112007:657</t>
  </si>
  <si>
    <t>66:06:4501029:430</t>
  </si>
  <si>
    <t>66:56:0202005:699</t>
  </si>
  <si>
    <t>66:06:4501021:12208</t>
  </si>
  <si>
    <t>66:36:3201009:648</t>
  </si>
  <si>
    <t>66:54:0114005:664</t>
  </si>
  <si>
    <t>66:56:0115001:4008</t>
  </si>
  <si>
    <t>66:36:1901001:288</t>
  </si>
  <si>
    <t>66:38:0101010:529</t>
  </si>
  <si>
    <t>66:63:0000000:7426</t>
  </si>
  <si>
    <t>66:25:3615001:358</t>
  </si>
  <si>
    <t>66:53:0105008:1654</t>
  </si>
  <si>
    <t>66:61:0218001:203</t>
  </si>
  <si>
    <t>66:12:6801003:730</t>
  </si>
  <si>
    <t>66:54:0102007:674</t>
  </si>
  <si>
    <t>66:16:2101015:104</t>
  </si>
  <si>
    <t>66:52:0106012:245</t>
  </si>
  <si>
    <t>66:50:0000000:5058</t>
  </si>
  <si>
    <t>66:50:0000000:5248</t>
  </si>
  <si>
    <t>66:50:0000000:5261</t>
  </si>
  <si>
    <t>66:25:1307001:2628</t>
  </si>
  <si>
    <t>66:03:1601023:380</t>
  </si>
  <si>
    <t>66:12:2001001:543</t>
  </si>
  <si>
    <t>66:25:0304006:489</t>
  </si>
  <si>
    <t>66:25:2721002:4560</t>
  </si>
  <si>
    <t>66:41:0507075:617</t>
  </si>
  <si>
    <t>66:55:0303040:492</t>
  </si>
  <si>
    <t>66:61:0208001:722</t>
  </si>
  <si>
    <t>66:15:0901003:1517</t>
  </si>
  <si>
    <t>66:58:0601002:541</t>
  </si>
  <si>
    <t>66:21:0101076:1877</t>
  </si>
  <si>
    <t>66:45:0100407:5997</t>
  </si>
  <si>
    <t>66:25:0101005:815</t>
  </si>
  <si>
    <t>66:07:1407003:452</t>
  </si>
  <si>
    <t>66:25:1201009:453</t>
  </si>
  <si>
    <t>66:41:0204055:2182</t>
  </si>
  <si>
    <t>66:45:0100408:1146</t>
  </si>
  <si>
    <t>66:56:0404005:873</t>
  </si>
  <si>
    <t>66:56:0404001:3424</t>
  </si>
  <si>
    <t>66:45:0100304:926</t>
  </si>
  <si>
    <t>66:06:4501045:173</t>
  </si>
  <si>
    <t>66:21:0101069:601</t>
  </si>
  <si>
    <t>66:41:0707008:172</t>
  </si>
  <si>
    <t>66:46:0109007:238</t>
  </si>
  <si>
    <t>66:59:0101029:843</t>
  </si>
  <si>
    <t>66:09:0401003:993</t>
  </si>
  <si>
    <t>66:21:0101076:1942</t>
  </si>
  <si>
    <t>66:35:0104006:853</t>
  </si>
  <si>
    <t>66:06:4501020:9578</t>
  </si>
  <si>
    <t>66:12:5101003:1131</t>
  </si>
  <si>
    <t>66:07:1002006:651</t>
  </si>
  <si>
    <t>66:25:0304006:491</t>
  </si>
  <si>
    <t>66:41:0309032:195</t>
  </si>
  <si>
    <t>66:56:0111011:456</t>
  </si>
  <si>
    <t>66:07:2801001:2077</t>
  </si>
  <si>
    <t>66:41:0614066:4384</t>
  </si>
  <si>
    <t>66:21:0101012:587</t>
  </si>
  <si>
    <t>66:25:1405001:2732</t>
  </si>
  <si>
    <t>66:07:0201001:446</t>
  </si>
  <si>
    <t>66:25:1405001:2755</t>
  </si>
  <si>
    <t>66:41:0504004:7411</t>
  </si>
  <si>
    <t>66:56:0000000:31447</t>
  </si>
  <si>
    <t>66:03:0000000:4992</t>
  </si>
  <si>
    <t>66:20:1701001:485</t>
  </si>
  <si>
    <t>66:30:1201097:213</t>
  </si>
  <si>
    <t>66:41:0706001:1946</t>
  </si>
  <si>
    <t>66:58:2301005:570</t>
  </si>
  <si>
    <t>66:24:2001005:1384</t>
  </si>
  <si>
    <t>66:41:0205020:487</t>
  </si>
  <si>
    <t>66:62:0101001:896</t>
  </si>
  <si>
    <t>66:25:4101001:641</t>
  </si>
  <si>
    <t>66:58:0118001:529</t>
  </si>
  <si>
    <t>66:06:4501018:9681</t>
  </si>
  <si>
    <t>66:56:0403010:1582</t>
  </si>
  <si>
    <t>66:04:2901001:318</t>
  </si>
  <si>
    <t>66:28:6501001:363</t>
  </si>
  <si>
    <t>66:01:3901012:228</t>
  </si>
  <si>
    <t>66:25:0106002:1429</t>
  </si>
  <si>
    <t>66:59:0216001:4584</t>
  </si>
  <si>
    <t>66:15:3001004:734</t>
  </si>
  <si>
    <t>66:06:0000000:10414</t>
  </si>
  <si>
    <t>66:06:4501021:11821</t>
  </si>
  <si>
    <t>66:37:0204001:1216</t>
  </si>
  <si>
    <t>66:54:0116010:792</t>
  </si>
  <si>
    <t>66:21:1201007:264</t>
  </si>
  <si>
    <t>66:36:1901001:287</t>
  </si>
  <si>
    <t>66:49:0502014:2654</t>
  </si>
  <si>
    <t>66:37:0204001:1214</t>
  </si>
  <si>
    <t>66:55:0303020:879</t>
  </si>
  <si>
    <t>66:32:0404010:477</t>
  </si>
  <si>
    <t>66:25:1901001:1195</t>
  </si>
  <si>
    <t>66:63:0101012:1000</t>
  </si>
  <si>
    <t>66:25:1307004:996</t>
  </si>
  <si>
    <t>66:41:0513037:3873</t>
  </si>
  <si>
    <t>66:54:0116007:809</t>
  </si>
  <si>
    <t>66:12:0301001:365</t>
  </si>
  <si>
    <t>66:48:0318001:2447</t>
  </si>
  <si>
    <t>66:55:0000000:2266</t>
  </si>
  <si>
    <t>66:17:0809004:831</t>
  </si>
  <si>
    <t>66:35:0103008:1670</t>
  </si>
  <si>
    <t>66:54:0114002:774</t>
  </si>
  <si>
    <t>66:45:0200167:1838</t>
  </si>
  <si>
    <t>66:34:0501005:324</t>
  </si>
  <si>
    <t>66:58:2902001:2245</t>
  </si>
  <si>
    <t>66:36:1301014:384</t>
  </si>
  <si>
    <t>66:03:0801001:858</t>
  </si>
  <si>
    <t>66:50:0000000:5122</t>
  </si>
  <si>
    <t>66:50:0000000:5254</t>
  </si>
  <si>
    <t>66:03:0301001:281</t>
  </si>
  <si>
    <t>66:46:0102002:2538</t>
  </si>
  <si>
    <t>66:06:4501018:9910</t>
  </si>
  <si>
    <t>66:19:2701005:661</t>
  </si>
  <si>
    <t>66:25:1307004:969</t>
  </si>
  <si>
    <t>66:34:0501021:1245</t>
  </si>
  <si>
    <t>66:54:0000000:4219</t>
  </si>
  <si>
    <t>66:58:1301004:1311</t>
  </si>
  <si>
    <t>66:06:0501003:987</t>
  </si>
  <si>
    <t>66:36:0701020:326</t>
  </si>
  <si>
    <t>66:67:0101003:353</t>
  </si>
  <si>
    <t>66:07:1801001:1733</t>
  </si>
  <si>
    <t>66:56:0106002:257</t>
  </si>
  <si>
    <t>66:45:0100407:6006</t>
  </si>
  <si>
    <t>66:16:2101012:269</t>
  </si>
  <si>
    <t>66:30:1203024:1131</t>
  </si>
  <si>
    <t>66:41:0521051:175</t>
  </si>
  <si>
    <t>66:52:0102001:553</t>
  </si>
  <si>
    <t>66:15:1501010:1033</t>
  </si>
  <si>
    <t>66:41:0310041:770</t>
  </si>
  <si>
    <t>66:45:0200288:1071</t>
  </si>
  <si>
    <t>66:08:0805004:231</t>
  </si>
  <si>
    <t>66:36:2101001:400</t>
  </si>
  <si>
    <t>66:44:0103001:3911</t>
  </si>
  <si>
    <t>66:52:0107001:1489</t>
  </si>
  <si>
    <t>66:01:4201001:676</t>
  </si>
  <si>
    <t>66:17:0000000:5603</t>
  </si>
  <si>
    <t>66:26:1101001:409</t>
  </si>
  <si>
    <t>66:36:1301017:411</t>
  </si>
  <si>
    <t>66:36:1301002:257</t>
  </si>
  <si>
    <t>66:60:0000000:7550</t>
  </si>
  <si>
    <t>66:15:1501029:1666</t>
  </si>
  <si>
    <t>66:27:1801001:227</t>
  </si>
  <si>
    <t>66:44:0101030:900</t>
  </si>
  <si>
    <t>66:63:0101022:2170</t>
  </si>
  <si>
    <t>66:41:0309032:194</t>
  </si>
  <si>
    <t>66:58:1301002:1631</t>
  </si>
  <si>
    <t>66:41:0610017:238</t>
  </si>
  <si>
    <t>66:03:2701001:707</t>
  </si>
  <si>
    <t>66:15:3301002:781</t>
  </si>
  <si>
    <t>66:35:0207017:1092</t>
  </si>
  <si>
    <t>66:41:0612902:207</t>
  </si>
  <si>
    <t>66:62:0107011:1434</t>
  </si>
  <si>
    <t>66:07:1002010:739</t>
  </si>
  <si>
    <t>66:22:1914009:389</t>
  </si>
  <si>
    <t>66:41:0303013:142</t>
  </si>
  <si>
    <t>66:50:0517004:758</t>
  </si>
  <si>
    <t>66:06:4501018:9925</t>
  </si>
  <si>
    <t>66:28:2801021:541</t>
  </si>
  <si>
    <t>66:42:0101030:6586</t>
  </si>
  <si>
    <t>66:15:1501027:568</t>
  </si>
  <si>
    <t>66:58:2903001:1333</t>
  </si>
  <si>
    <t>66:11:6911003:665</t>
  </si>
  <si>
    <t>66:54:0112003:676</t>
  </si>
  <si>
    <t>66:08:0801011:804</t>
  </si>
  <si>
    <t>66:31:2201002:1943</t>
  </si>
  <si>
    <t>66:25:2721002:4680</t>
  </si>
  <si>
    <t>66:28:4301001:1039</t>
  </si>
  <si>
    <t>66:54:0116003:1179</t>
  </si>
  <si>
    <t>66:32:0000000:6592</t>
  </si>
  <si>
    <t>66:15:1501018:1267</t>
  </si>
  <si>
    <t>66:17:0803006:2324</t>
  </si>
  <si>
    <t>66:06:4501021:12233</t>
  </si>
  <si>
    <t>66:56:0502017:366</t>
  </si>
  <si>
    <t>66:25:1201009:458</t>
  </si>
  <si>
    <t>66:41:0404021:207</t>
  </si>
  <si>
    <t>66:07:0104009:242</t>
  </si>
  <si>
    <t>66:41:0106049:382</t>
  </si>
  <si>
    <t>66:55:0303022:1734</t>
  </si>
  <si>
    <t>66:68:0201005:1884</t>
  </si>
  <si>
    <t>66:52:0106010:1293</t>
  </si>
  <si>
    <t>66:06:0401004:1586</t>
  </si>
  <si>
    <t>66:25:2901001:1363</t>
  </si>
  <si>
    <t>66:42:0102011:1555</t>
  </si>
  <si>
    <t>66:54:0116012:748</t>
  </si>
  <si>
    <t>66:28:3901004:148</t>
  </si>
  <si>
    <t>66:06:4501020:9292</t>
  </si>
  <si>
    <t>66:55:0303022:1739</t>
  </si>
  <si>
    <t>66:21:0601001:2939</t>
  </si>
  <si>
    <t>66:41:0310112:155</t>
  </si>
  <si>
    <t>66:56:0000000:31431</t>
  </si>
  <si>
    <t>66:63:0101022:2176</t>
  </si>
  <si>
    <t>66:36:3001002:1108</t>
  </si>
  <si>
    <t>66:63:2301001:632</t>
  </si>
  <si>
    <t>66:32:0401015:293</t>
  </si>
  <si>
    <t>66:41:0509006:149</t>
  </si>
  <si>
    <t>66:50:0000000:5162</t>
  </si>
  <si>
    <t>66:50:0000000:5258</t>
  </si>
  <si>
    <t>66:52:0107006:647</t>
  </si>
  <si>
    <t>66:59:0201003:1776</t>
  </si>
  <si>
    <t>66:06:4501026:808</t>
  </si>
  <si>
    <t>66:24:2001003:1572</t>
  </si>
  <si>
    <t>66:25:1401002:1064</t>
  </si>
  <si>
    <t>66:41:0107095:395</t>
  </si>
  <si>
    <t>66:54:0108001:413</t>
  </si>
  <si>
    <t>66:58:2901009:180</t>
  </si>
  <si>
    <t>66:07:1002011:753</t>
  </si>
  <si>
    <t>66:49:0000000:3697</t>
  </si>
  <si>
    <t>66:12:3001001:407</t>
  </si>
  <si>
    <t>66:36:0701019:321</t>
  </si>
  <si>
    <t>66:72:0301009:296</t>
  </si>
  <si>
    <t>66:05:2601001:1438</t>
  </si>
  <si>
    <t>66:19:2301001:756</t>
  </si>
  <si>
    <t>66:33:0101007:2233</t>
  </si>
  <si>
    <t>66:42:0102001:4571</t>
  </si>
  <si>
    <t>66:56:0106001:733</t>
  </si>
  <si>
    <t>66:35:0203002:1580</t>
  </si>
  <si>
    <t>66:41:0513005:726</t>
  </si>
  <si>
    <t>66:63:0101068:1468</t>
  </si>
  <si>
    <t>66:15:1501028:999</t>
  </si>
  <si>
    <t>66:41:0310075:389</t>
  </si>
  <si>
    <t>66:46:0000000:2710</t>
  </si>
  <si>
    <t>66:56:0000000:31443</t>
  </si>
  <si>
    <t>66:06:4301011:829</t>
  </si>
  <si>
    <t>66:19:0101023:792</t>
  </si>
  <si>
    <t>66:32:0407006:866</t>
  </si>
  <si>
    <t>66:40:0101010:543</t>
  </si>
  <si>
    <t>66:58:2903001:1329</t>
  </si>
  <si>
    <t>66:06:2501023:349</t>
  </si>
  <si>
    <t>66:21:0101076:1931</t>
  </si>
  <si>
    <t>66:35:0207013:741</t>
  </si>
  <si>
    <t>66:47:0000000:2927</t>
  </si>
  <si>
    <t>66:58:2101005:471</t>
  </si>
  <si>
    <t>66:41:0513032:5604</t>
  </si>
  <si>
    <t>66:06:4501018:9920</t>
  </si>
  <si>
    <t>66:59:0201002:2260</t>
  </si>
  <si>
    <t>66:06:2701007:293</t>
  </si>
  <si>
    <t>66:19:4401007:659</t>
  </si>
  <si>
    <t>66:41:0310058:271</t>
  </si>
  <si>
    <t>66:49:0502019:2935</t>
  </si>
  <si>
    <t>66:68:0201003:1362</t>
  </si>
  <si>
    <t>66:11:0108003:434</t>
  </si>
  <si>
    <t>66:25:3501001:240</t>
  </si>
  <si>
    <t>66:41:0511021:4179</t>
  </si>
  <si>
    <t>66:52:0107002:1805</t>
  </si>
  <si>
    <t>66:15:3401010:170</t>
  </si>
  <si>
    <t>66:32:0406009:445</t>
  </si>
  <si>
    <t>66:58:2101001:707</t>
  </si>
  <si>
    <t>66:25:1201024:588</t>
  </si>
  <si>
    <t>66:56:0106001:735</t>
  </si>
  <si>
    <t>66:08:0802010:1721</t>
  </si>
  <si>
    <t>66:35:0221001:8276</t>
  </si>
  <si>
    <t>66:37:0202025:305</t>
  </si>
  <si>
    <t>66:30:0201005:261</t>
  </si>
  <si>
    <t>66:58:0104001:1077</t>
  </si>
  <si>
    <t>66:33:0101001:1252</t>
  </si>
  <si>
    <t>66:15:1501018:1297</t>
  </si>
  <si>
    <t>66:36:3001006:231</t>
  </si>
  <si>
    <t>66:08:0801005:1404</t>
  </si>
  <si>
    <t>66:59:0101007:1571</t>
  </si>
  <si>
    <t>66:25:1201009:465</t>
  </si>
  <si>
    <t>66:41:0504072:261</t>
  </si>
  <si>
    <t>66:12:3001004:570</t>
  </si>
  <si>
    <t>66:52:0104011:766</t>
  </si>
  <si>
    <t>66:56:0000000:31482</t>
  </si>
  <si>
    <t>66:55:0303052:445</t>
  </si>
  <si>
    <t>66:56:0000000:31255</t>
  </si>
  <si>
    <t>66:06:2601003:246</t>
  </si>
  <si>
    <t>66:28:2901010:1758</t>
  </si>
  <si>
    <t>66:44:0102027:1307</t>
  </si>
  <si>
    <t>66:56:0000000:31208</t>
  </si>
  <si>
    <t>66:31:2201008:1624</t>
  </si>
  <si>
    <t>66:06:4501020:9650</t>
  </si>
  <si>
    <t>66:63:0000000:7411</t>
  </si>
  <si>
    <t>66:21:0601001:2940</t>
  </si>
  <si>
    <t>66:41:0513005:736</t>
  </si>
  <si>
    <t>66:56:0109005:1721</t>
  </si>
  <si>
    <t>66:01:2301010:980</t>
  </si>
  <si>
    <t>66:41:0110003:7965</t>
  </si>
  <si>
    <t>66:52:0106012:236</t>
  </si>
  <si>
    <t>66:62:0301001:1023</t>
  </si>
  <si>
    <t>66:50:0000000:5167</t>
  </si>
  <si>
    <t>66:50:0000000:5259</t>
  </si>
  <si>
    <t>66:06:4501020:9600</t>
  </si>
  <si>
    <t>66:62:0102005:474</t>
  </si>
  <si>
    <t>66:06:4504015:304</t>
  </si>
  <si>
    <t>66:25:0201010:211</t>
  </si>
  <si>
    <t>66:25:1405001:2733</t>
  </si>
  <si>
    <t>66:41:0306027:563</t>
  </si>
  <si>
    <t>66:54:0115004:169</t>
  </si>
  <si>
    <t>66:59:0202001:1198</t>
  </si>
  <si>
    <t>66:09:2101002:235</t>
  </si>
  <si>
    <t>66:52:0000000:3675</t>
  </si>
  <si>
    <t>66:21:0101010:534</t>
  </si>
  <si>
    <t>66:41:0507090:374</t>
  </si>
  <si>
    <t>66:04:0901001:353</t>
  </si>
  <si>
    <t>66:06:4301011:827</t>
  </si>
  <si>
    <t>66:19:5001002:480</t>
  </si>
  <si>
    <t>66:35:0105011:6412</t>
  </si>
  <si>
    <t>66:44:0101010:709</t>
  </si>
  <si>
    <t>66:56:0113006:428</t>
  </si>
  <si>
    <t>66:45:0100450:473</t>
  </si>
  <si>
    <t>66:41:0513032:5501</t>
  </si>
  <si>
    <t>66:63:0201003:1172</t>
  </si>
  <si>
    <t>66:15:1901002:457</t>
  </si>
  <si>
    <t>66:41:0503015:832</t>
  </si>
  <si>
    <t>66:46:0104004:2651</t>
  </si>
  <si>
    <t>66:56:0000000:31444</t>
  </si>
  <si>
    <t>66:06:4501018:9913</t>
  </si>
  <si>
    <t>66:19:1901009:2206</t>
  </si>
  <si>
    <t>66:35:0102004:306</t>
  </si>
  <si>
    <t>66:41:0108126:5469</t>
  </si>
  <si>
    <t>66:63:1801004:1009</t>
  </si>
  <si>
    <t>66:06:4501018:9912</t>
  </si>
  <si>
    <t>66:21:1202001:668</t>
  </si>
  <si>
    <t>66:39:0302006:331</t>
  </si>
  <si>
    <t>66:50:0000000:6896</t>
  </si>
  <si>
    <t>этаж</t>
  </si>
  <si>
    <t>66:58:2902042:251</t>
  </si>
  <si>
    <t>66:41:0521048:158</t>
  </si>
  <si>
    <t>66:06:4501021:12183</t>
  </si>
  <si>
    <t>66:62:0401001:632</t>
  </si>
  <si>
    <t>66:06:4501018:9921</t>
  </si>
  <si>
    <t>66:21:0101073:880</t>
  </si>
  <si>
    <t>66:41:0313084:152</t>
  </si>
  <si>
    <t>66:53:0102001:1621</t>
  </si>
  <si>
    <t>66:69:0101003:2842</t>
  </si>
  <si>
    <t>66:12:5301001:588</t>
  </si>
  <si>
    <t>66:28:2901020:1764</t>
  </si>
  <si>
    <t>66:41:0521048:160</t>
  </si>
  <si>
    <t>66:53:0102001:1620</t>
  </si>
  <si>
    <t>66:19:1907004:1032</t>
  </si>
  <si>
    <t>66:35:0221001:8268</t>
  </si>
  <si>
    <t>66:59:0216001:4979</t>
  </si>
  <si>
    <t>66:25:1405001:2757</t>
  </si>
  <si>
    <t>66:65:0301049:434</t>
  </si>
  <si>
    <t>66:47:0402001:766</t>
  </si>
  <si>
    <t>66:59:0201002:2229</t>
  </si>
  <si>
    <t>66:25:2601041:1278</t>
  </si>
  <si>
    <t>66:45:0100142:447</t>
  </si>
  <si>
    <t>66:19:3501002:1923</t>
  </si>
  <si>
    <t>66:58:2902069:230</t>
  </si>
  <si>
    <t>66:12:4801003:1412</t>
  </si>
  <si>
    <t>66:25:1401001:579</t>
  </si>
  <si>
    <t>66:06:4501018:9758</t>
  </si>
  <si>
    <t>66:25:1330001:933</t>
  </si>
  <si>
    <t>66:41:0607038:274</t>
  </si>
  <si>
    <t>66:14:2701002:2411</t>
  </si>
  <si>
    <t>66:35:0221001:8314</t>
  </si>
  <si>
    <t>66:41:0614015:4133</t>
  </si>
  <si>
    <t>66:34:0501017:264</t>
  </si>
  <si>
    <t>66:55:0303007:1757</t>
  </si>
  <si>
    <t>66:28:1201001:595</t>
  </si>
  <si>
    <t>66:25:1002003:792</t>
  </si>
  <si>
    <t>66:07:1801004:871</t>
  </si>
  <si>
    <t>66:21:1204005:371</t>
  </si>
  <si>
    <t>66:41:0513005:733</t>
  </si>
  <si>
    <t>66:54:0116005:1565</t>
  </si>
  <si>
    <t>66:59:0102013:1213</t>
  </si>
  <si>
    <t>66:41:0609047:380</t>
  </si>
  <si>
    <t>66:46:0108003:2097</t>
  </si>
  <si>
    <t>66:06:0601001:824</t>
  </si>
  <si>
    <t>66:32:1001005:396</t>
  </si>
  <si>
    <t>66:54:0109007:467</t>
  </si>
  <si>
    <t>66:41:0513124:227</t>
  </si>
  <si>
    <t>66:25:1701003:840</t>
  </si>
  <si>
    <t>66:56:0502013:937</t>
  </si>
  <si>
    <t>66:06:3901004:301</t>
  </si>
  <si>
    <t>66:52:0107001:670</t>
  </si>
  <si>
    <t xml:space="preserve"> </t>
  </si>
  <si>
    <t>66:50:0000000:5082</t>
  </si>
  <si>
    <t>66:50:0000000:5252</t>
  </si>
  <si>
    <t>66:36:1301015:249</t>
  </si>
  <si>
    <t>66:41:0310076:305</t>
  </si>
  <si>
    <t>66:04:1801001:293</t>
  </si>
  <si>
    <t>66:15:1501004:1485</t>
  </si>
  <si>
    <t>66:25:1307001:2632</t>
  </si>
  <si>
    <t>66:32:0301005:733</t>
  </si>
  <si>
    <t>66:49:0000000:3696</t>
  </si>
  <si>
    <t>66:58:0120007:1627</t>
  </si>
  <si>
    <t>66:02:1701016:759</t>
  </si>
  <si>
    <t>66:25:1307004:957</t>
  </si>
  <si>
    <t>66:62:0502004:337</t>
  </si>
  <si>
    <t>66:42:0201003:2855</t>
  </si>
  <si>
    <t>66:45:0200220:394</t>
  </si>
  <si>
    <t>66:41:0707008:171</t>
  </si>
  <si>
    <t>66:15:1501008:1043</t>
  </si>
  <si>
    <t>66:29:2201004:1200</t>
  </si>
  <si>
    <t>66:41:0513032:5603</t>
  </si>
  <si>
    <t>66:45:0200212:141</t>
  </si>
  <si>
    <t>66:03:1601036:406</t>
  </si>
  <si>
    <t>66:41:0310028:197</t>
  </si>
  <si>
    <t>66:45:0200013:516</t>
  </si>
  <si>
    <t>66:07:1801001:1732</t>
  </si>
  <si>
    <t>66:35:0104013:1216</t>
  </si>
  <si>
    <t>66:42:0201003:2856</t>
  </si>
  <si>
    <t>66:47:0403005:222</t>
  </si>
  <si>
    <t>66:63:1401003:925</t>
  </si>
  <si>
    <t>66:15:1501029:1665</t>
  </si>
  <si>
    <t>66:25:0501016:170</t>
  </si>
  <si>
    <t>66:35:0207017:1091</t>
  </si>
  <si>
    <t>66:22:1905017:1272</t>
  </si>
  <si>
    <t>66:24:2601002:952</t>
  </si>
  <si>
    <t>66:11:5601001:267</t>
  </si>
  <si>
    <t>66:25:1405001:2696</t>
  </si>
  <si>
    <t>66:41:0513041:1553</t>
  </si>
  <si>
    <t>66:58:0110003:3610</t>
  </si>
  <si>
    <t>66:41:0106152:332</t>
  </si>
  <si>
    <t>66:58:0110003:3612</t>
  </si>
  <si>
    <t>66:41:0313084:151</t>
  </si>
  <si>
    <t>66:41:0513055:735</t>
  </si>
  <si>
    <t>66:12:5701001:653</t>
  </si>
  <si>
    <t>66:32:0406002:283</t>
  </si>
  <si>
    <t>66:41:0521048:159</t>
  </si>
  <si>
    <t>66:58:1901001:1205</t>
  </si>
  <si>
    <t>66:06:4501018:9923</t>
  </si>
  <si>
    <t>66:21:0101076:1947</t>
  </si>
  <si>
    <t>66:37:0202026:288</t>
  </si>
  <si>
    <t>66:47:0701001:1150</t>
  </si>
  <si>
    <t>66:06:0901002:916</t>
  </si>
  <si>
    <t>66:27:1101032:476</t>
  </si>
  <si>
    <t>66:41:0509064:1018</t>
  </si>
  <si>
    <t>66:07:2901002:546</t>
  </si>
  <si>
    <t>66:35:0217003:235</t>
  </si>
  <si>
    <t>66:58:2301003:595</t>
  </si>
  <si>
    <t>66:06:4501021:12191</t>
  </si>
  <si>
    <t>66:58:1301007:837</t>
  </si>
  <si>
    <t>66:05:2601001:1440</t>
  </si>
  <si>
    <t>66:29:0000000:5641</t>
  </si>
  <si>
    <t>66:19:1101006:2271</t>
  </si>
  <si>
    <t>66:25:1002003:861</t>
  </si>
  <si>
    <t>66:62:0504001:1268</t>
  </si>
  <si>
    <t>66:21:0101006:291</t>
  </si>
  <si>
    <t>66:41:0310010:289</t>
  </si>
  <si>
    <t>66:16:2601018:402</t>
  </si>
  <si>
    <t>66:06:0000000:10487</t>
  </si>
  <si>
    <t>66:55:0303007:1784</t>
  </si>
  <si>
    <t>66:22:1920002:1697</t>
  </si>
  <si>
    <t>66:38:0102007:717</t>
  </si>
  <si>
    <t>66:54:0105003:557</t>
  </si>
  <si>
    <t>66:40:0101026:3537</t>
  </si>
  <si>
    <t>66:55:0303021:693</t>
  </si>
  <si>
    <t>66:35:0107002:916</t>
  </si>
  <si>
    <t>66:25:2901001:1361</t>
  </si>
  <si>
    <t>66:63:0101022:2132</t>
  </si>
  <si>
    <t>66:25:1325007:174</t>
  </si>
  <si>
    <t>66:41:0515032:157</t>
  </si>
  <si>
    <t>66:54:0116009:680</t>
  </si>
  <si>
    <t>66:17:0000000:5601</t>
  </si>
  <si>
    <t>66:59:0216001:4819</t>
  </si>
  <si>
    <t>66:55:0000000:2274</t>
  </si>
  <si>
    <t>66:19:0103007:241</t>
  </si>
  <si>
    <t>66:41:0306083:1506</t>
  </si>
  <si>
    <t>66:54:0114002:780</t>
  </si>
  <si>
    <t>66:59:0203002:2021</t>
  </si>
  <si>
    <t>66:35:0217001:582</t>
  </si>
  <si>
    <t>66:62:0107005:229</t>
  </si>
  <si>
    <t>66:72:0101007:656</t>
  </si>
  <si>
    <t>66:36:3002008:231</t>
  </si>
  <si>
    <t>66:50:0000000:5160</t>
  </si>
  <si>
    <t>66:50:0000000:5255</t>
  </si>
  <si>
    <t>66:03:0401002:340</t>
  </si>
  <si>
    <t>66:55:0303022:1754</t>
  </si>
  <si>
    <t>66:06:4501018:9911</t>
  </si>
  <si>
    <t>66:21:1601001:294</t>
  </si>
  <si>
    <t>66:25:1307004:970</t>
  </si>
  <si>
    <t>66:35:0217001:577</t>
  </si>
  <si>
    <t>66:54:0000000:4220</t>
  </si>
  <si>
    <t>66:58:1601003:200</t>
  </si>
  <si>
    <t>66:06:4504015:305</t>
  </si>
  <si>
    <t>66:45:0200016:362</t>
  </si>
  <si>
    <t>66:67:0101019:400</t>
  </si>
  <si>
    <t>66:25:0106002:1408</t>
  </si>
  <si>
    <t>66:56:0203001:9956</t>
  </si>
  <si>
    <t>66:52:0104018:1697</t>
  </si>
  <si>
    <t>66:19:1101006:2268</t>
  </si>
  <si>
    <t>66:32:0407002:527</t>
  </si>
  <si>
    <t>66:41:0610021:715</t>
  </si>
  <si>
    <t>66:52:0109003:846</t>
  </si>
  <si>
    <t>66:19:4401007:658</t>
  </si>
  <si>
    <t>66:41:0403026:150</t>
  </si>
  <si>
    <t>66:56:0115001:3988</t>
  </si>
  <si>
    <t>66:11:1301002:604</t>
  </si>
  <si>
    <t>66:41:0109040:249</t>
  </si>
  <si>
    <t>66:45:0000000:24791</t>
  </si>
  <si>
    <t>66:54:0102005:980</t>
  </si>
  <si>
    <t>66:02:1601002:997</t>
  </si>
  <si>
    <t>66:17:0809004:830</t>
  </si>
  <si>
    <t>66:31:2201002:1940</t>
  </si>
  <si>
    <t>66:36:3201002:527</t>
  </si>
  <si>
    <t>66:41:0307013:304</t>
  </si>
  <si>
    <t>66:02:1701013:664</t>
  </si>
  <si>
    <t>66:15:3401014:262</t>
  </si>
  <si>
    <t>66:35:0105003:1191</t>
  </si>
  <si>
    <t>66:45:0100016:707</t>
  </si>
  <si>
    <t>66:67:0101002:1184</t>
  </si>
  <si>
    <t>66:41:0502042:323</t>
  </si>
  <si>
    <t>66:58:1701001:439</t>
  </si>
  <si>
    <t>66:41:0711067:238</t>
  </si>
  <si>
    <t>66:06:0501003:989</t>
  </si>
  <si>
    <t>66:18:0907001:581</t>
  </si>
  <si>
    <t>66:36:3101003:503</t>
  </si>
  <si>
    <t>66:41:0614006:363</t>
  </si>
  <si>
    <t>66:62:0504001:1262</t>
  </si>
  <si>
    <t>66:07:1002025:786</t>
  </si>
  <si>
    <t>66:25:0201004:191</t>
  </si>
  <si>
    <t>66:41:0310085:234</t>
  </si>
  <si>
    <t>66:50:0517004:761</t>
  </si>
  <si>
    <t>66:12:4301002:524</t>
  </si>
  <si>
    <t>66:28:2801028:723</t>
  </si>
  <si>
    <t>66:42:0102001:4538</t>
  </si>
  <si>
    <t>66:21:0101008:667</t>
  </si>
  <si>
    <t>66:58:2902019:1476</t>
  </si>
  <si>
    <t>66:07:1501002:965</t>
  </si>
  <si>
    <t>66:59:0216001:5026</t>
  </si>
  <si>
    <t>66:06:4501001:4359</t>
  </si>
  <si>
    <t>66:30:0601002:656</t>
  </si>
  <si>
    <t>66:19:3101006:775</t>
  </si>
  <si>
    <t>66:25:1201027:235</t>
  </si>
  <si>
    <t>66:50:0000000:6903</t>
  </si>
  <si>
    <t>66:25:2801011:395</t>
  </si>
  <si>
    <t>66:41:0404006:466</t>
  </si>
  <si>
    <t>66:17:0803004:986</t>
  </si>
  <si>
    <t>66:06:1701062:701</t>
  </si>
  <si>
    <t>66:56:0111008:624</t>
  </si>
  <si>
    <t>66:25:1201009:452</t>
  </si>
  <si>
    <t>66:41:0403008:164</t>
  </si>
  <si>
    <t>66:54:0107004:237</t>
  </si>
  <si>
    <t>66:41:0105031:1635</t>
  </si>
  <si>
    <t>66:55:0303021:698</t>
  </si>
  <si>
    <t>66:50:0000000:6925</t>
  </si>
  <si>
    <t>66:41:0513032:5657</t>
  </si>
  <si>
    <t>66:67:0101025:503</t>
  </si>
  <si>
    <t>66:25:2721002:4672</t>
  </si>
  <si>
    <t>66:41:0527001:169</t>
  </si>
  <si>
    <t>66:54:0116011:780</t>
  </si>
  <si>
    <t>66:17:0809008:181</t>
  </si>
  <si>
    <t>66:06:1701028:546</t>
  </si>
  <si>
    <t>66:55:0301003:489</t>
  </si>
  <si>
    <t>66:21:0101026:393</t>
  </si>
  <si>
    <t>66:41:0309068:700</t>
  </si>
  <si>
    <t>66:54:0312001:308</t>
  </si>
  <si>
    <t>66:59:0209003:867</t>
  </si>
  <si>
    <t>66:36:0701013:366</t>
  </si>
  <si>
    <t>66:63:0101034:726</t>
  </si>
  <si>
    <t>66:12:0000000:2359</t>
  </si>
  <si>
    <t>66:72:0301009:151</t>
  </si>
  <si>
    <t>66:50:0000000:5161</t>
  </si>
  <si>
    <t>66:50:0000000:5257</t>
  </si>
  <si>
    <t>66:03:1001001:203</t>
  </si>
  <si>
    <t>66:58:0111005:3488</t>
  </si>
  <si>
    <t>66:06:4501021:12001</t>
  </si>
  <si>
    <t>66:22:1904010:164</t>
  </si>
  <si>
    <t>66:25:1321002:1129</t>
  </si>
  <si>
    <t>66:38:0102007:714</t>
  </si>
  <si>
    <t>66:54:0000000:4223</t>
  </si>
  <si>
    <t>66:58:2803002:263</t>
  </si>
  <si>
    <t>66:07:1002011:752</t>
  </si>
  <si>
    <t>66:47:0402013:2747</t>
  </si>
  <si>
    <t>66:07:1001021:981</t>
  </si>
  <si>
    <t>66:35:0217001:578</t>
  </si>
  <si>
    <t>66:56:0203002:568</t>
  </si>
  <si>
    <t>66:56:0108006:278</t>
  </si>
  <si>
    <t>66:19:1901009:2205</t>
  </si>
  <si>
    <t>66:32:1001005:395</t>
  </si>
  <si>
    <t>66:41:0711003:138</t>
  </si>
  <si>
    <t>66:54:0102008:827</t>
  </si>
  <si>
    <t>66:21:0101010:541</t>
  </si>
  <si>
    <t>66:41:0507090:375</t>
  </si>
  <si>
    <t>66:63:0101022:2169</t>
  </si>
  <si>
    <t>66:15:1501008:1044</t>
  </si>
  <si>
    <t>66:41:0210087:158</t>
  </si>
  <si>
    <t>66:45:0200344:428</t>
  </si>
  <si>
    <t>66:54:0116012:753</t>
  </si>
  <si>
    <t>66:06:4301011:828</t>
  </si>
  <si>
    <t>66:18:0000000:2159</t>
  </si>
  <si>
    <t>66:32:0401033:394</t>
  </si>
  <si>
    <t>66:39:0302006:332</t>
  </si>
  <si>
    <t>66:41:0614022:1535</t>
  </si>
  <si>
    <t>66:06:1701060:365</t>
  </si>
  <si>
    <t>66:19:1907004:1036</t>
  </si>
  <si>
    <t>66:35:0111003:2441</t>
  </si>
  <si>
    <t>66:45:0200350:1024</t>
  </si>
  <si>
    <t>66:07:2801001:2076</t>
  </si>
  <si>
    <t>66:41:0513005:727</t>
  </si>
  <si>
    <t>66:58:2902042:252</t>
  </si>
  <si>
    <t>66:56:0205004:689</t>
  </si>
  <si>
    <t>66:06:1701061:865</t>
  </si>
  <si>
    <t>66:19:2701002:547</t>
  </si>
  <si>
    <t>66:41:0307042:160</t>
  </si>
  <si>
    <t>66:44:0102006:4156</t>
  </si>
  <si>
    <t>66:63:0101054:2370</t>
  </si>
  <si>
    <t>66:08:0805032:1345</t>
  </si>
  <si>
    <t>66:25:0901001:877</t>
  </si>
  <si>
    <t>66:41:0511014:188</t>
  </si>
  <si>
    <t>66:52:0106005:1021</t>
  </si>
  <si>
    <t>66:15:1501011:756</t>
  </si>
  <si>
    <t>66:31:2201002:1942</t>
  </si>
  <si>
    <t>66:47:0402019:647</t>
  </si>
  <si>
    <t>66:24:2001003:1605</t>
  </si>
  <si>
    <t>66:56:0502005:649</t>
  </si>
  <si>
    <t>66:72:0101003:743</t>
  </si>
  <si>
    <t>66:47:0402030:1145</t>
  </si>
  <si>
    <t>66:59:0216001:5025</t>
  </si>
  <si>
    <t>66:28:2901042:388</t>
  </si>
  <si>
    <t>66:45:0100376:1590</t>
  </si>
  <si>
    <t>66:25:0106001:923</t>
  </si>
  <si>
    <t>66:59:0101019:12313</t>
  </si>
  <si>
    <t>66:13:0301001:893</t>
  </si>
  <si>
    <t>66:25:2721002:4263</t>
  </si>
  <si>
    <t>66:06:4501018:9948</t>
  </si>
  <si>
    <t>66:33:0101004:1451</t>
  </si>
  <si>
    <t>66:45:0100239:134</t>
  </si>
  <si>
    <t>66:19:1907004:1037</t>
  </si>
  <si>
    <t>66:36:0111032:212</t>
  </si>
  <si>
    <t>66:42:0201003:2866</t>
  </si>
  <si>
    <t>66:35:0105021:742</t>
  </si>
  <si>
    <t>66:55:0303007:1769</t>
  </si>
  <si>
    <t>66:25:2721002:4533</t>
  </si>
  <si>
    <t>66:25:1325007:173</t>
  </si>
  <si>
    <t>66:46:0103003:2268</t>
  </si>
  <si>
    <t>Этаж</t>
  </si>
  <si>
    <t>66:21:1701001:813</t>
  </si>
  <si>
    <t>66:41:0513005:734</t>
  </si>
  <si>
    <t>66:54:0116006:1897</t>
  </si>
  <si>
    <t>66:63:0000000:7443</t>
  </si>
  <si>
    <t>66:45:0200255:1976</t>
  </si>
  <si>
    <t>66:49:0502021:919</t>
  </si>
  <si>
    <t>66:06:4501001:4361</t>
  </si>
  <si>
    <t>66:34:0301001:402</t>
  </si>
  <si>
    <t>66:54:0110007:207</t>
  </si>
  <si>
    <t>66:45:0100144:376</t>
  </si>
  <si>
    <t>66:25:1701003:852</t>
  </si>
  <si>
    <t>66:58:0801002:961</t>
  </si>
  <si>
    <t>66:16:2101019:339</t>
  </si>
  <si>
    <t>66:03:0801001:855</t>
  </si>
  <si>
    <t>66:50:0000000:5085</t>
  </si>
  <si>
    <t>66:50:0000000:5253</t>
  </si>
  <si>
    <t>66:03:0101001:237</t>
  </si>
  <si>
    <t>66:41:0513037:3839</t>
  </si>
  <si>
    <t>66:06:0501003:988</t>
  </si>
  <si>
    <t>66:17:0809007:1253</t>
  </si>
  <si>
    <t>66:25:1307001:2634</t>
  </si>
  <si>
    <t>66:32:0601003:380</t>
  </si>
  <si>
    <t>66:54:0000000:4216</t>
  </si>
  <si>
    <t>66:58:1301004:1310</t>
  </si>
  <si>
    <t>66:04:0901001:354</t>
  </si>
  <si>
    <t>66:25:2721002:4562</t>
  </si>
  <si>
    <t>66:63:0101026:632</t>
  </si>
  <si>
    <t>66:63:2301001:629</t>
  </si>
  <si>
    <t>66:45:0200337:397</t>
  </si>
  <si>
    <t>66:42:0201012:526</t>
  </si>
  <si>
    <t>66:15:3101001:1679</t>
  </si>
  <si>
    <t>66:30:1201109:173</t>
  </si>
  <si>
    <t>66:41:0513045:798</t>
  </si>
  <si>
    <t>66:45:0200288:1070</t>
  </si>
  <si>
    <t>66:14:4701001:608</t>
  </si>
  <si>
    <t>66:41:0310040:442</t>
  </si>
  <si>
    <t>66:45:0200167:1805</t>
  </si>
  <si>
    <t>66:07:1901002:1485</t>
  </si>
  <si>
    <t>66:35:0203002:1581</t>
  </si>
  <si>
    <t>66:44:0101025:338</t>
  </si>
  <si>
    <t>66:51:0401016:341</t>
  </si>
  <si>
    <t>66:66:0101020:1844</t>
  </si>
  <si>
    <t>66:15:1501029:1667</t>
  </si>
  <si>
    <t>66:25:1405002:1039</t>
  </si>
  <si>
    <t>66:35:0221001:8261</t>
  </si>
  <si>
    <t>66:24:0801003:470</t>
  </si>
  <si>
    <t>66:52:0102001:554</t>
  </si>
  <si>
    <t>66:15:0601002:677</t>
  </si>
  <si>
    <t>66:25:1405001:2754</t>
  </si>
  <si>
    <t>66:42:0701005:707</t>
  </si>
  <si>
    <t>66:59:0216001:5013</t>
  </si>
  <si>
    <t>66:41:0308023:195</t>
  </si>
  <si>
    <t>66:58:1101007:837</t>
  </si>
  <si>
    <t>66:41:0509061:2008</t>
  </si>
  <si>
    <t>66:03:0000000:4993</t>
  </si>
  <si>
    <t>66:15:1001001:402</t>
  </si>
  <si>
    <t>66:35:0109008:1221</t>
  </si>
  <si>
    <t>66:41:0610006:187</t>
  </si>
  <si>
    <t>66:58:2803002:264</t>
  </si>
  <si>
    <t>66:06:4501018:9924</t>
  </si>
  <si>
    <t>66:21:1301013:389</t>
  </si>
  <si>
    <t>66:40:0101035:233</t>
  </si>
  <si>
    <t>66:49:0502019:2936</t>
  </si>
  <si>
    <t>66:06:1701003:735</t>
  </si>
  <si>
    <t>66:27:1101032:477</t>
  </si>
  <si>
    <t>66:41:0513041:1555</t>
  </si>
  <si>
    <t>66:12:6401001:484</t>
  </si>
  <si>
    <t>66:37:0201004:2525</t>
  </si>
  <si>
    <t>66:25:2501003:766</t>
  </si>
  <si>
    <t>66:56:0107002:644</t>
  </si>
  <si>
    <t>66:11:1801001:917</t>
  </si>
  <si>
    <t>66:41:0203028:151</t>
  </si>
  <si>
    <t>66:54:0102004:1655</t>
  </si>
  <si>
    <t>66:32:0403003:258</t>
  </si>
  <si>
    <t>66:59:0216001:5027</t>
  </si>
  <si>
    <t>66:35:0105015:1405</t>
  </si>
  <si>
    <t>66:25:1401001:575</t>
  </si>
  <si>
    <t>66:41:0508094:161</t>
  </si>
  <si>
    <t>66:08:0801014:191</t>
  </si>
  <si>
    <t>66:63:1801001:912</t>
  </si>
  <si>
    <t>66:25:1307004:994</t>
  </si>
  <si>
    <t>66:41:0511007:338</t>
  </si>
  <si>
    <t>66:19:1903009:493</t>
  </si>
  <si>
    <t>66:54:0102005:974</t>
  </si>
  <si>
    <t>66:56:0103005:698</t>
  </si>
  <si>
    <t>66:06:4501018:9953</t>
  </si>
  <si>
    <t>66:56:0000000:31429</t>
  </si>
  <si>
    <t>66:06:4501018:9955</t>
  </si>
  <si>
    <t>66:34:0501021:1248</t>
  </si>
  <si>
    <t>66:48:0402008:761</t>
  </si>
  <si>
    <t>66:56:0109008:265</t>
  </si>
  <si>
    <t>66:35:0221001:8316</t>
  </si>
  <si>
    <t>66:21:0101065:1975</t>
  </si>
  <si>
    <t>66:63:0000000:7416</t>
  </si>
  <si>
    <t>66:25:1405001:2772</t>
  </si>
  <si>
    <t>66:53:0000000:4674</t>
  </si>
  <si>
    <t>66:59:0201002:2258</t>
  </si>
  <si>
    <t>66:11:3701001:760</t>
  </si>
  <si>
    <t>66:41:0513005:737</t>
  </si>
  <si>
    <t>66:52:0106012:242</t>
  </si>
  <si>
    <t>66:41:0000000:66521</t>
  </si>
  <si>
    <t>66:50:0000000:5191</t>
  </si>
  <si>
    <t>66:50:0000000:5260</t>
  </si>
  <si>
    <t>66:13:2301002:422</t>
  </si>
  <si>
    <t>66:02:1703018:528</t>
  </si>
  <si>
    <t>66:08:0802001:259</t>
  </si>
  <si>
    <t>66:25:0202002:621</t>
  </si>
  <si>
    <t>66:25:2721002:4308</t>
  </si>
  <si>
    <t>66:41:0307045:425</t>
  </si>
  <si>
    <t>66:55:0303008:586</t>
  </si>
  <si>
    <t>66:59:0217004:843</t>
  </si>
  <si>
    <t>66:12:7101002:438</t>
  </si>
  <si>
    <t>66:58:0118005:218</t>
  </si>
  <si>
    <t>66:21:0101010:539</t>
  </si>
  <si>
    <t>66:45:0100305:469</t>
  </si>
  <si>
    <t>66:06:4501021:12002</t>
  </si>
  <si>
    <t>66:06:4501021:12180</t>
  </si>
  <si>
    <t>66:22:1917001:286</t>
  </si>
  <si>
    <t>66:35:0215002:672</t>
  </si>
  <si>
    <t>66:45:0100350:257</t>
  </si>
  <si>
    <t>66:56:0404001:3425</t>
  </si>
  <si>
    <t>66:52:0103001:1523</t>
  </si>
  <si>
    <t>66:41:0706001:1945</t>
  </si>
  <si>
    <t>66:66:0101003:837</t>
  </si>
  <si>
    <t>66:16:2001052:436</t>
  </si>
  <si>
    <t>66:41:0601011:417</t>
  </si>
  <si>
    <t>66:46:0104004:2652</t>
  </si>
  <si>
    <t>66:58:2902042:250</t>
  </si>
  <si>
    <t>66:07:2801001:2073</t>
  </si>
  <si>
    <t>66:19:2201002:803</t>
  </si>
  <si>
    <t>66:35:0103008:1650</t>
  </si>
  <si>
    <t>66:35:0111003:2443</t>
  </si>
  <si>
    <t>66:06:1701005:1103</t>
  </si>
  <si>
    <t>66:07:1001013:2173</t>
  </si>
  <si>
    <t>66:25:0104002:944</t>
  </si>
  <si>
    <t>66:41:0105031:1641</t>
  </si>
  <si>
    <t>66:54:0105002:1134</t>
  </si>
  <si>
    <t>66:07:2801001:2075</t>
  </si>
  <si>
    <t>66:41:0614066:4373</t>
  </si>
  <si>
    <t>66:06:4501021:12184</t>
  </si>
  <si>
    <t>66:69:0101003:2841</t>
  </si>
  <si>
    <t>66:06:4501020:9621</t>
  </si>
  <si>
    <t>66:24:2001003:1574</t>
  </si>
  <si>
    <t>66:41:0403051:408</t>
  </si>
  <si>
    <t>66:55:0303007:1780</t>
  </si>
  <si>
    <t>66:01:2301011:6620</t>
  </si>
  <si>
    <t>66:18:0907001:582</t>
  </si>
  <si>
    <t>66:30:1201088:319</t>
  </si>
  <si>
    <t>66:41:0610006:186</t>
  </si>
  <si>
    <t>66:54:0314001:1416</t>
  </si>
  <si>
    <t>66:24:0802001:903</t>
  </si>
  <si>
    <t>66:37:0202025:304</t>
  </si>
  <si>
    <t>66:59:0216001:5014</t>
  </si>
  <si>
    <t>66:25:2721002:4653</t>
  </si>
  <si>
    <t>66:58:0104006:1406</t>
  </si>
  <si>
    <t>66:17:0809001:234</t>
  </si>
  <si>
    <t>66:41:0508079:171</t>
  </si>
  <si>
    <t>66:06:4501059:228</t>
  </si>
  <si>
    <t>66:56:0109011:1432</t>
  </si>
  <si>
    <t>66:06:1701021:649</t>
  </si>
  <si>
    <t>66:41:0513041:1546</t>
  </si>
  <si>
    <t>66:01:2801001:1122</t>
  </si>
  <si>
    <t>66:54:0101014:528</t>
  </si>
  <si>
    <t>66:25:0801004:364</t>
  </si>
  <si>
    <t>66:06:4501021:12236</t>
  </si>
  <si>
    <t>66:35:0105007:2532</t>
  </si>
  <si>
    <t>66:41:0514018:363</t>
  </si>
  <si>
    <t>66:25:1002003:733</t>
  </si>
  <si>
    <t>66:55:0303007:1744</t>
  </si>
  <si>
    <t>66:56:0401003:894</t>
  </si>
  <si>
    <t>66:15:1501003:1046</t>
  </si>
  <si>
    <t>66:56:0301006:664</t>
  </si>
  <si>
    <t>66:19:1906002:283</t>
  </si>
  <si>
    <t>66:41:0209041:186</t>
  </si>
  <si>
    <t>66:54:0116002:1448</t>
  </si>
  <si>
    <t>66:58:0601001:698</t>
  </si>
  <si>
    <t>66:41:0513040:2415</t>
  </si>
  <si>
    <t>66:41:0310112:154</t>
  </si>
  <si>
    <t>66:03:0801002:1099</t>
  </si>
  <si>
    <t>66:28:4301004:596</t>
  </si>
  <si>
    <t>66:54:0106001:324</t>
  </si>
  <si>
    <t>66:21:0101077:1488</t>
  </si>
  <si>
    <t>66:19:5401004:371</t>
  </si>
  <si>
    <t>66:56:0205001:1731</t>
  </si>
  <si>
    <t>66:22:1301001:685</t>
  </si>
  <si>
    <t>66:52:0107001:671</t>
  </si>
  <si>
    <t>66:50:0000000:5078</t>
  </si>
  <si>
    <t>66:50:0000000:5250</t>
  </si>
  <si>
    <t>66:50:0000000:5263</t>
  </si>
  <si>
    <t>66:25:2721002:4559</t>
  </si>
  <si>
    <t>66:04:0501004:333</t>
  </si>
  <si>
    <t>66:12:4801003:1405</t>
  </si>
  <si>
    <t>66:25:1201010:877</t>
  </si>
  <si>
    <t>66:25:4201002:318</t>
  </si>
  <si>
    <t>66:41:0614066:4363</t>
  </si>
  <si>
    <t>66:57:0102072:530</t>
  </si>
  <si>
    <t>66:65:0301029:638</t>
  </si>
  <si>
    <t>66:17:0801004:427</t>
  </si>
  <si>
    <t>66:59:0209001:1551</t>
  </si>
  <si>
    <t>66:25:1201015:315</t>
  </si>
  <si>
    <t>66:45:0200005:323</t>
  </si>
  <si>
    <t>66:34:0502034:490</t>
  </si>
  <si>
    <t>66:07:2801001:2069</t>
  </si>
  <si>
    <t>66:25:2201015:862</t>
  </si>
  <si>
    <t>66:41:0513032:5168</t>
  </si>
  <si>
    <t>66:45:0200008:569</t>
  </si>
  <si>
    <t>66:63:1401001:679</t>
  </si>
  <si>
    <t>66:41:0210087:157</t>
  </si>
  <si>
    <t>66:45:0100409:840</t>
  </si>
  <si>
    <t>66:07:1407003:455</t>
  </si>
  <si>
    <t>66:25:4501001:296</t>
  </si>
  <si>
    <t>66:42:0101021:217</t>
  </si>
  <si>
    <t>66:47:0000000:2929</t>
  </si>
  <si>
    <t>66:59:0209003:857</t>
  </si>
  <si>
    <t>66:13:0301001:891</t>
  </si>
  <si>
    <t>66:21:0101079:3024</t>
  </si>
  <si>
    <t>66:35:0106006:283</t>
  </si>
  <si>
    <t>66:11:0108004:1115</t>
  </si>
  <si>
    <t>66:13:0301001:892</t>
  </si>
  <si>
    <t>66:08:0802012:552</t>
  </si>
  <si>
    <t>66:25:1201009:457</t>
  </si>
  <si>
    <t>66:41:0309093:236</t>
  </si>
  <si>
    <t>66:56:0601008:3190</t>
  </si>
  <si>
    <t>66:35:0221001:8265</t>
  </si>
  <si>
    <t>66:58:0110001:689</t>
  </si>
  <si>
    <t>66:36:1301016:251</t>
  </si>
  <si>
    <t>66:35:0201016:412</t>
  </si>
  <si>
    <t>66:08:0802006:683</t>
  </si>
  <si>
    <t>66:26:0201002:223</t>
  </si>
  <si>
    <t>66:41:0509064:1016</t>
  </si>
  <si>
    <t>66:56:0208008:9042</t>
  </si>
  <si>
    <t>66:06:0601001:823</t>
  </si>
  <si>
    <t>66:21:0101073:881</t>
  </si>
  <si>
    <t>66:35:0221001:8266</t>
  </si>
  <si>
    <t>66:42:0102001:4521</t>
  </si>
  <si>
    <t>66:62:0107011:1436</t>
  </si>
  <si>
    <t>66:25:2721002:4651</t>
  </si>
  <si>
    <t>66:41:0306121:198</t>
  </si>
  <si>
    <t>66:12:8701002:665</t>
  </si>
  <si>
    <t>66:35:0105011:6414</t>
  </si>
  <si>
    <t>66:56:0402006:1551</t>
  </si>
  <si>
    <t>66:14:2701002:2405</t>
  </si>
  <si>
    <t>66:41:0401021:477</t>
  </si>
  <si>
    <t>66:06:4501021:12193</t>
  </si>
  <si>
    <t>66:49:0501020:267</t>
  </si>
  <si>
    <t>66:69:0000000:2864</t>
  </si>
  <si>
    <t>66:45:0200202:294</t>
  </si>
  <si>
    <t>66:46:0104003:2264</t>
  </si>
  <si>
    <t>66:48:0313001:526</t>
  </si>
  <si>
    <t>66:25:0317004:252</t>
  </si>
  <si>
    <t>66:01:4301001:380</t>
  </si>
  <si>
    <t>66:35:0104006:854</t>
  </si>
  <si>
    <t>66:41:0513032:5676</t>
  </si>
  <si>
    <t>66:25:0501001:216</t>
  </si>
  <si>
    <t>66:55:0303007:1737</t>
  </si>
  <si>
    <t>66:56:0401002:785</t>
  </si>
  <si>
    <t>66:06:4504001:2144</t>
  </si>
  <si>
    <t>66:56:0203002:567</t>
  </si>
  <si>
    <t>66:19:1901028:249</t>
  </si>
  <si>
    <t>66:41:0105031:1636</t>
  </si>
  <si>
    <t>66:54:0114007:332</t>
  </si>
  <si>
    <t>66:56:0201003:1263</t>
  </si>
  <si>
    <t>66:41:0513037:3890</t>
  </si>
  <si>
    <t>66:41:0303022:2422</t>
  </si>
  <si>
    <t>9-18-33</t>
  </si>
  <si>
    <t>66:63:0000000:7430</t>
  </si>
  <si>
    <t>66:28:2801017:756</t>
  </si>
  <si>
    <t>66:53:0307009:4011</t>
  </si>
  <si>
    <t>66:62:0504001:1273</t>
  </si>
  <si>
    <t>66:15:1501003:1049</t>
  </si>
  <si>
    <t>66:55:0303013:1022</t>
  </si>
  <si>
    <t>66:41:0110901:120</t>
  </si>
  <si>
    <t>66:52:0106012:244</t>
  </si>
  <si>
    <t>66:50:0000000:5059</t>
  </si>
  <si>
    <t>66:50:0000000:5249</t>
  </si>
  <si>
    <t>66:50:0000000:5262</t>
  </si>
  <si>
    <t>66:25:1307001:2631</t>
  </si>
  <si>
    <t>66:03:1601051:491</t>
  </si>
  <si>
    <t>66:12:3801001:393</t>
  </si>
  <si>
    <t>66:25:0501020:543</t>
  </si>
  <si>
    <t>66:25:2721002:4561</t>
  </si>
  <si>
    <t>66:41:0519036:150</t>
  </si>
  <si>
    <t>66:56:0000000:31434</t>
  </si>
  <si>
    <t>66:63:0101054:2369</t>
  </si>
  <si>
    <t>66:15:1401002:1635</t>
  </si>
  <si>
    <t>66:58:1101001:1175</t>
  </si>
  <si>
    <t>66:25:0307002:289</t>
  </si>
  <si>
    <t>66:45:0100409:843</t>
  </si>
  <si>
    <t>66:33:0101009:4968</t>
  </si>
  <si>
    <t>66:07:2801001:2068</t>
  </si>
  <si>
    <t>66:25:1307004:958</t>
  </si>
  <si>
    <t>66:41:0310041:771</t>
  </si>
  <si>
    <t>66:45:0100409:844</t>
  </si>
  <si>
    <t>66:59:0216001:5012</t>
  </si>
  <si>
    <t>66:41:0205005:484</t>
  </si>
  <si>
    <t>66:45:0100389:346</t>
  </si>
  <si>
    <t>66:07:1403002:993</t>
  </si>
  <si>
    <t>66:25:2709002:246</t>
  </si>
  <si>
    <t>66:41:0707008:173</t>
  </si>
  <si>
    <t>66:47:0000000:2928</t>
  </si>
  <si>
    <t>66:59:0201002:2259</t>
  </si>
  <si>
    <t>66:11:2901001:587</t>
  </si>
  <si>
    <t>66:21:0101079:3023</t>
  </si>
  <si>
    <t>66:35:0105003:1190</t>
  </si>
  <si>
    <t>66:06:4501021:12179</t>
  </si>
  <si>
    <t>66:12:5203005:593</t>
  </si>
  <si>
    <t>66:07:2801001:2074</t>
  </si>
  <si>
    <t>66:25:1201006:395</t>
  </si>
  <si>
    <t>66:41:0309087:294</t>
  </si>
  <si>
    <t>66:56:0402006:1537</t>
  </si>
  <si>
    <t>66:35:0105011:6413</t>
  </si>
  <si>
    <t>66:58:0106001:12499</t>
  </si>
  <si>
    <t>66:24:2001003:1573</t>
  </si>
  <si>
    <t>66:31:2201002:1941</t>
  </si>
  <si>
    <t>66:08:0802006:682</t>
  </si>
  <si>
    <t>66:25:1405001:2756</t>
  </si>
  <si>
    <t>66:41:0507090:376</t>
  </si>
  <si>
    <t>66:56:0109004:1065</t>
  </si>
  <si>
    <t>66:03:1001001:478</t>
  </si>
  <si>
    <t>66:21:0101022:747</t>
  </si>
  <si>
    <t>66:33:0101004:1450</t>
  </si>
  <si>
    <t>66:42:0101030:6585</t>
  </si>
  <si>
    <t>66:62:0107011:1435</t>
  </si>
  <si>
    <t>66:25:0101001:1275</t>
  </si>
  <si>
    <t>66:41:0303013:144</t>
  </si>
  <si>
    <t>66:62:0401001:622</t>
  </si>
  <si>
    <t>66:28:2801028:724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</si>
</sst>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0" fillId="0" borderId="0" xfId="0" applyNumberFormat="1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0" fillId="0" borderId="0" xfId="0"/>
    <xf numFmtId="0" fontId="3" fillId="0" borderId="0" xfId="0" quotePrefix="1" applyFont="1" applyAlignment="1">
      <alignment vertical="top" wrapText="1"/>
    </xf>
    <xf numFmtId="0" fontId="0" fillId="2" borderId="0" xfId="0" applyFill="1"/>
    <xf numFmtId="0" fontId="0" fillId="0" borderId="0" xfId="0"/>
    <xf numFmtId="0" fontId="3" fillId="0" borderId="0" xfId="0" quotePrefix="1" applyFont="1" applyAlignment="1">
      <alignment vertical="top" wrapText="1"/>
    </xf>
    <xf numFmtId="0" fontId="0" fillId="0" borderId="0" xfId="0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center"/>
    </xf>
    <xf numFmtId="0" fontId="0" fillId="3" borderId="0" xfId="0" applyFill="1"/>
    <xf numFmtId="0" fontId="3" fillId="0" borderId="0" xfId="0" quotePrefix="1" applyNumberFormat="1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0" fillId="0" borderId="0" xfId="0" applyNumberFormat="1"/>
    <xf numFmtId="0" fontId="0" fillId="0" borderId="0" xfId="0" quotePrefix="1"/>
    <xf numFmtId="49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97"/>
  <sheetViews>
    <sheetView tabSelected="1" topLeftCell="F1" workbookViewId="0">
      <pane ySplit="1" topLeftCell="A2" activePane="bottomLeft" state="frozen"/>
      <selection activeCell="C1" sqref="C1"/>
      <selection pane="bottomLeft" activeCell="I5" sqref="I5:S3497"/>
    </sheetView>
  </sheetViews>
  <sheetFormatPr defaultRowHeight="15" x14ac:dyDescent="0.25"/>
  <cols>
    <col min="1" max="1" width="20.7109375" customWidth="1"/>
    <col min="2" max="2" width="20.7109375" style="4" customWidth="1"/>
    <col min="3" max="3" width="26.5703125" style="3" customWidth="1"/>
    <col min="4" max="5" width="34.42578125" style="3" customWidth="1"/>
    <col min="6" max="6" width="34.42578125" customWidth="1"/>
    <col min="7" max="7" width="23.140625" style="3" customWidth="1"/>
    <col min="8" max="8" width="13.28515625" style="7" customWidth="1"/>
    <col min="9" max="11" width="26.7109375" style="3" customWidth="1"/>
    <col min="12" max="12" width="30.28515625" customWidth="1"/>
    <col min="13" max="13" width="31.140625" customWidth="1"/>
    <col min="14" max="14" width="32.42578125" customWidth="1"/>
    <col min="15" max="15" width="50.42578125" customWidth="1"/>
    <col min="16" max="16" width="26.28515625" customWidth="1"/>
    <col min="17" max="17" width="28.5703125" customWidth="1"/>
    <col min="18" max="18" width="22.7109375" customWidth="1"/>
    <col min="19" max="19" width="18.85546875" customWidth="1"/>
  </cols>
  <sheetData>
    <row r="1" spans="1:19" ht="25.5" x14ac:dyDescent="0.25">
      <c r="A1" s="1" t="s">
        <v>0</v>
      </c>
      <c r="B1" s="1" t="s">
        <v>1019</v>
      </c>
      <c r="C1" s="16" t="s">
        <v>1</v>
      </c>
      <c r="D1" s="16" t="s">
        <v>2</v>
      </c>
      <c r="E1" s="17" t="s">
        <v>3</v>
      </c>
      <c r="F1" s="2" t="s">
        <v>4</v>
      </c>
      <c r="G1" s="17" t="s">
        <v>1055</v>
      </c>
      <c r="H1" s="2" t="s">
        <v>1057</v>
      </c>
      <c r="I1" s="16" t="s">
        <v>1016</v>
      </c>
      <c r="J1" s="16" t="s">
        <v>1017</v>
      </c>
      <c r="K1" s="16" t="s">
        <v>1020</v>
      </c>
      <c r="L1" s="1" t="s">
        <v>1014</v>
      </c>
      <c r="M1" s="1" t="s">
        <v>1015</v>
      </c>
      <c r="N1" s="1" t="s">
        <v>1046</v>
      </c>
      <c r="O1" s="1" t="s">
        <v>1021</v>
      </c>
      <c r="P1" s="1" t="s">
        <v>1024</v>
      </c>
      <c r="Q1" t="s">
        <v>1022</v>
      </c>
      <c r="R1" t="s">
        <v>1023</v>
      </c>
      <c r="S1" t="s">
        <v>1039</v>
      </c>
    </row>
    <row r="2" spans="1:19" s="13" customFormat="1" x14ac:dyDescent="0.25">
      <c r="A2" s="14" t="s">
        <v>1047</v>
      </c>
      <c r="B2" s="13" t="s">
        <v>1048</v>
      </c>
      <c r="C2" s="13" t="s">
        <v>1049</v>
      </c>
      <c r="D2" s="13" t="s">
        <v>1050</v>
      </c>
      <c r="E2" s="13" t="s">
        <v>1051</v>
      </c>
      <c r="F2" s="13" t="s">
        <v>1052</v>
      </c>
      <c r="G2" s="18" t="s">
        <v>1054</v>
      </c>
      <c r="H2" s="14" t="s">
        <v>1056</v>
      </c>
      <c r="I2" s="3"/>
      <c r="J2" s="3"/>
      <c r="K2" s="3"/>
    </row>
    <row r="3" spans="1:19" s="13" customFormat="1" x14ac:dyDescent="0.25">
      <c r="A3" s="14" t="s">
        <v>1053</v>
      </c>
      <c r="B3" s="14" t="s">
        <v>1053</v>
      </c>
      <c r="C3" s="14" t="s">
        <v>1053</v>
      </c>
      <c r="D3" s="14" t="s">
        <v>1053</v>
      </c>
      <c r="E3" s="14" t="s">
        <v>1053</v>
      </c>
      <c r="F3" s="14" t="s">
        <v>1053</v>
      </c>
      <c r="G3" s="14" t="s">
        <v>1053</v>
      </c>
      <c r="H3" s="14" t="s">
        <v>1053</v>
      </c>
      <c r="I3" s="3"/>
      <c r="J3" s="3"/>
      <c r="K3" s="3"/>
    </row>
    <row r="4" spans="1:19" ht="15" customHeight="1" x14ac:dyDescent="0.25">
      <c r="A4" s="21" t="s">
        <v>1058</v>
      </c>
      <c r="B4" s="22" t="s">
        <v>1059</v>
      </c>
      <c r="C4" s="21" t="s">
        <v>5</v>
      </c>
      <c r="D4" s="23"/>
      <c r="E4" s="22">
        <v>1</v>
      </c>
      <c r="F4" s="21" t="s">
        <v>1045</v>
      </c>
      <c r="G4" s="21" t="s">
        <v>1060</v>
      </c>
      <c r="H4" s="21" t="s">
        <v>1061</v>
      </c>
      <c r="I4" s="3" t="str">
        <f>IFERROR(VLOOKUP(C4,'Справочник соответствий'!A$2:D$2981,2,FALSE),IF(VALUE(C4)=0,1,VLOOKUP(C4,'Справочник соответствий'!A$2:D$2981,2,FALSE)))</f>
        <v>1</v>
      </c>
      <c r="J4" s="3">
        <f>IFERROR(VLOOKUP(D4,'Справочник соответствий'!A$2:D$2981,2,FALSE),IF(VALUE(D4)=0,0,VLOOKUP(D4,'Справочник соответствий'!A$2:D$2981,2,FALSE)))</f>
        <v>0</v>
      </c>
      <c r="K4" s="3" t="str">
        <f>IF(B4="Многоквартирный дом",IF(I4-J4&gt;0,I4-J4,1),I4)</f>
        <v>1</v>
      </c>
      <c r="L4" t="str">
        <f>IFERROR(VLOOKUP(C4,'Справочник соответствий'!A$2:D$2981,3,FALSE),IF(VALUE(C4)=0,"ЭТАЖ НЕ ОПРЕДЕЛЕН. ПРИНЯТ ПО ДОПУЩЕНИЮ 1",VLOOKUP(C4,'Справочник соответствий'!A$2:D$2981,3,FALSE)))</f>
        <v>ЭТАЖ ЗАДАН ЧИСЛОМ</v>
      </c>
      <c r="M4" t="b">
        <f>I4=E4</f>
        <v>0</v>
      </c>
      <c r="N4">
        <f>IF(VALUE(E4)=0,VALUE(K4),IF(L4="ЭТАЖ НЕ ОПРЕДЕЛЕН. ПРИНЯТ ПО ДОПУЩЕНИЮ 1",VALUE(E4),VALUE(K4)))</f>
        <v>1</v>
      </c>
      <c r="O4" t="str">
        <f>IF(VALUE(E4)=0,L4,IF(L4="ЭТАЖ НЕ ОПРЕДЕЛЕН. ПРИНЯТ ПО ДОПУЩЕНИЮ 1",F4,L4))</f>
        <v>ЭТАЖ ЗАДАН ЧИСЛОМ</v>
      </c>
      <c r="P4" t="str">
        <f>IF(B4="Многоквартирный дом",CONCATENATE("МКД_",O4),O4)</f>
        <v>ЭТАЖ ЗАДАН ЧИСЛОМ</v>
      </c>
      <c r="Q4" t="str">
        <f>IFERROR(IF(N4&gt;0,IF(N4=VALUE(E4),"ГОТОВ","ГОТОВ_ИЗМЕНЕН"),"НЕ ГОТОВ"),"НЕ ГОТОВ")</f>
        <v>ГОТОВ</v>
      </c>
      <c r="R4" s="13">
        <f>IFERROR(VLOOKUP(P4,Лист1!A$1:B$20,2,FALSE),0)</f>
        <v>784</v>
      </c>
      <c r="S4" s="13">
        <f>VALUE(E4)</f>
        <v>1</v>
      </c>
    </row>
    <row r="5" spans="1:19" x14ac:dyDescent="0.25">
      <c r="A5" s="24" t="s">
        <v>1062</v>
      </c>
      <c r="B5" s="4" t="s">
        <v>1063</v>
      </c>
      <c r="C5" s="25" t="s">
        <v>5</v>
      </c>
      <c r="E5" s="3">
        <v>1</v>
      </c>
      <c r="F5" s="24" t="s">
        <v>1045</v>
      </c>
      <c r="G5" s="25" t="s">
        <v>1064</v>
      </c>
      <c r="H5" s="24" t="s">
        <v>1061</v>
      </c>
      <c r="I5" s="3" t="str">
        <f>IFERROR(VLOOKUP(C5,'Справочник соответствий'!A$2:D$2981,2,FALSE),IF(VALUE(C5)=0,1,VLOOKUP(C5,'Справочник соответствий'!A$2:D$2981,2,FALSE)))</f>
        <v>1</v>
      </c>
      <c r="J5" s="3">
        <f>IFERROR(VLOOKUP(D5,'Справочник соответствий'!A$2:D$2981,2,FALSE),IF(VALUE(D5)=0,0,VLOOKUP(D5,'Справочник соответствий'!A$2:D$2981,2,FALSE)))</f>
        <v>0</v>
      </c>
      <c r="K5" s="3" t="str">
        <f t="shared" ref="K5:K68" si="0">IF(B5="Многоквартирный дом",IF(I5-J5&gt;0,I5-J5,1),I5)</f>
        <v>1</v>
      </c>
      <c r="L5" s="13" t="str">
        <f>IFERROR(VLOOKUP(C5,'Справочник соответствий'!A$2:D$2981,3,FALSE),IF(VALUE(C5)=0,"ЭТАЖ НЕ ОПРЕДЕЛЕН. ПРИНЯТ ПО ДОПУЩЕНИЮ 1",VLOOKUP(C5,'Справочник соответствий'!A$2:D$2981,3,FALSE)))</f>
        <v>ЭТАЖ ЗАДАН ЧИСЛОМ</v>
      </c>
      <c r="M5" s="13" t="b">
        <f t="shared" ref="M5:M68" si="1">I5=E5</f>
        <v>0</v>
      </c>
      <c r="N5" s="13">
        <f t="shared" ref="N5:N68" si="2">IF(VALUE(E5)=0,VALUE(K5),IF(L5="ЭТАЖ НЕ ОПРЕДЕЛЕН. ПРИНЯТ ПО ДОПУЩЕНИЮ 1",VALUE(E5),VALUE(K5)))</f>
        <v>1</v>
      </c>
      <c r="O5" s="13" t="str">
        <f t="shared" ref="O5:O68" si="3">IF(VALUE(E5)=0,L5,IF(L5="ЭТАЖ НЕ ОПРЕДЕЛЕН. ПРИНЯТ ПО ДОПУЩЕНИЮ 1",F5,L5))</f>
        <v>ЭТАЖ ЗАДАН ЧИСЛОМ</v>
      </c>
      <c r="P5" s="13" t="str">
        <f t="shared" ref="P5:P68" si="4">IF(B5="Многоквартирный дом",CONCATENATE("МКД_",O5),O5)</f>
        <v>ЭТАЖ ЗАДАН ЧИСЛОМ</v>
      </c>
      <c r="Q5" s="13" t="str">
        <f t="shared" ref="Q5:Q68" si="5">IFERROR(IF(N5&gt;0,IF(N5=VALUE(E5),"ГОТОВ","ГОТОВ_ИЗМЕНЕН"),"НЕ ГОТОВ"),"НЕ ГОТОВ")</f>
        <v>ГОТОВ</v>
      </c>
      <c r="R5" s="13">
        <f>IFERROR(VLOOKUP(P5,Лист1!A$1:B$20,2,FALSE),0)</f>
        <v>784</v>
      </c>
      <c r="S5" s="13">
        <f t="shared" ref="S5:S68" si="6">VALUE(E5)</f>
        <v>1</v>
      </c>
    </row>
    <row r="6" spans="1:19" x14ac:dyDescent="0.25">
      <c r="A6" s="24" t="s">
        <v>1065</v>
      </c>
      <c r="B6" s="4" t="s">
        <v>1059</v>
      </c>
      <c r="C6" s="25" t="s">
        <v>5</v>
      </c>
      <c r="E6" s="3">
        <v>1</v>
      </c>
      <c r="F6" s="24" t="s">
        <v>1045</v>
      </c>
      <c r="G6" s="25" t="s">
        <v>1060</v>
      </c>
      <c r="H6" s="24" t="s">
        <v>1061</v>
      </c>
      <c r="I6" s="3" t="str">
        <f>IFERROR(VLOOKUP(C6,'Справочник соответствий'!A$2:D$2981,2,FALSE),IF(VALUE(C6)=0,1,VLOOKUP(C6,'Справочник соответствий'!A$2:D$2981,2,FALSE)))</f>
        <v>1</v>
      </c>
      <c r="J6" s="3">
        <f>IFERROR(VLOOKUP(D6,'Справочник соответствий'!A$2:D$2981,2,FALSE),IF(VALUE(D6)=0,0,VLOOKUP(D6,'Справочник соответствий'!A$2:D$2981,2,FALSE)))</f>
        <v>0</v>
      </c>
      <c r="K6" s="3" t="str">
        <f t="shared" si="0"/>
        <v>1</v>
      </c>
      <c r="L6" s="13" t="str">
        <f>IFERROR(VLOOKUP(C6,'Справочник соответствий'!A$2:D$2981,3,FALSE),IF(VALUE(C6)=0,"ЭТАЖ НЕ ОПРЕДЕЛЕН. ПРИНЯТ ПО ДОПУЩЕНИЮ 1",VLOOKUP(C6,'Справочник соответствий'!A$2:D$2981,3,FALSE)))</f>
        <v>ЭТАЖ ЗАДАН ЧИСЛОМ</v>
      </c>
      <c r="M6" s="13" t="b">
        <f t="shared" si="1"/>
        <v>0</v>
      </c>
      <c r="N6" s="13">
        <f t="shared" si="2"/>
        <v>1</v>
      </c>
      <c r="O6" s="13" t="str">
        <f t="shared" si="3"/>
        <v>ЭТАЖ ЗАДАН ЧИСЛОМ</v>
      </c>
      <c r="P6" s="13" t="str">
        <f t="shared" si="4"/>
        <v>ЭТАЖ ЗАДАН ЧИСЛОМ</v>
      </c>
      <c r="Q6" s="13" t="str">
        <f t="shared" si="5"/>
        <v>ГОТОВ</v>
      </c>
      <c r="R6" s="13">
        <f>IFERROR(VLOOKUP(P6,Лист1!A$1:B$20,2,FALSE),0)</f>
        <v>784</v>
      </c>
      <c r="S6" s="13">
        <f t="shared" si="6"/>
        <v>1</v>
      </c>
    </row>
    <row r="7" spans="1:19" x14ac:dyDescent="0.25">
      <c r="A7" s="24" t="s">
        <v>1066</v>
      </c>
      <c r="B7" s="4" t="s">
        <v>1063</v>
      </c>
      <c r="C7" s="25" t="s">
        <v>5</v>
      </c>
      <c r="E7" s="3">
        <v>1</v>
      </c>
      <c r="F7" s="24" t="s">
        <v>1045</v>
      </c>
      <c r="G7" s="25" t="s">
        <v>1067</v>
      </c>
      <c r="H7" s="24" t="s">
        <v>1061</v>
      </c>
      <c r="I7" s="3" t="str">
        <f>IFERROR(VLOOKUP(C7,'Справочник соответствий'!A$2:D$2981,2,FALSE),IF(VALUE(C7)=0,1,VLOOKUP(C7,'Справочник соответствий'!A$2:D$2981,2,FALSE)))</f>
        <v>1</v>
      </c>
      <c r="J7" s="3">
        <f>IFERROR(VLOOKUP(D7,'Справочник соответствий'!A$2:D$2981,2,FALSE),IF(VALUE(D7)=0,0,VLOOKUP(D7,'Справочник соответствий'!A$2:D$2981,2,FALSE)))</f>
        <v>0</v>
      </c>
      <c r="K7" s="3" t="str">
        <f t="shared" si="0"/>
        <v>1</v>
      </c>
      <c r="L7" s="13" t="str">
        <f>IFERROR(VLOOKUP(C7,'Справочник соответствий'!A$2:D$2981,3,FALSE),IF(VALUE(C7)=0,"ЭТАЖ НЕ ОПРЕДЕЛЕН. ПРИНЯТ ПО ДОПУЩЕНИЮ 1",VLOOKUP(C7,'Справочник соответствий'!A$2:D$2981,3,FALSE)))</f>
        <v>ЭТАЖ ЗАДАН ЧИСЛОМ</v>
      </c>
      <c r="M7" s="13" t="b">
        <f t="shared" si="1"/>
        <v>0</v>
      </c>
      <c r="N7" s="13">
        <f t="shared" si="2"/>
        <v>1</v>
      </c>
      <c r="O7" s="13" t="str">
        <f t="shared" si="3"/>
        <v>ЭТАЖ ЗАДАН ЧИСЛОМ</v>
      </c>
      <c r="P7" s="13" t="str">
        <f t="shared" si="4"/>
        <v>ЭТАЖ ЗАДАН ЧИСЛОМ</v>
      </c>
      <c r="Q7" s="13" t="str">
        <f t="shared" si="5"/>
        <v>ГОТОВ</v>
      </c>
      <c r="R7" s="13">
        <f>IFERROR(VLOOKUP(P7,Лист1!A$1:B$20,2,FALSE),0)</f>
        <v>784</v>
      </c>
      <c r="S7" s="13">
        <f t="shared" si="6"/>
        <v>1</v>
      </c>
    </row>
    <row r="8" spans="1:19" x14ac:dyDescent="0.25">
      <c r="A8" s="24" t="s">
        <v>1068</v>
      </c>
      <c r="B8" s="4" t="s">
        <v>1059</v>
      </c>
      <c r="C8" s="25" t="s">
        <v>5</v>
      </c>
      <c r="E8" s="3">
        <v>1</v>
      </c>
      <c r="F8" s="24" t="s">
        <v>1045</v>
      </c>
      <c r="G8" s="25" t="s">
        <v>1069</v>
      </c>
      <c r="H8" s="24" t="s">
        <v>1061</v>
      </c>
      <c r="I8" s="3" t="str">
        <f>IFERROR(VLOOKUP(C8,'Справочник соответствий'!A$2:D$2981,2,FALSE),IF(VALUE(C8)=0,1,VLOOKUP(C8,'Справочник соответствий'!A$2:D$2981,2,FALSE)))</f>
        <v>1</v>
      </c>
      <c r="J8" s="3">
        <f>IFERROR(VLOOKUP(D8,'Справочник соответствий'!A$2:D$2981,2,FALSE),IF(VALUE(D8)=0,0,VLOOKUP(D8,'Справочник соответствий'!A$2:D$2981,2,FALSE)))</f>
        <v>0</v>
      </c>
      <c r="K8" s="3" t="str">
        <f t="shared" si="0"/>
        <v>1</v>
      </c>
      <c r="L8" s="13" t="str">
        <f>IFERROR(VLOOKUP(C8,'Справочник соответствий'!A$2:D$2981,3,FALSE),IF(VALUE(C8)=0,"ЭТАЖ НЕ ОПРЕДЕЛЕН. ПРИНЯТ ПО ДОПУЩЕНИЮ 1",VLOOKUP(C8,'Справочник соответствий'!A$2:D$2981,3,FALSE)))</f>
        <v>ЭТАЖ ЗАДАН ЧИСЛОМ</v>
      </c>
      <c r="M8" s="13" t="b">
        <f t="shared" si="1"/>
        <v>0</v>
      </c>
      <c r="N8" s="13">
        <f t="shared" si="2"/>
        <v>1</v>
      </c>
      <c r="O8" s="13" t="str">
        <f t="shared" si="3"/>
        <v>ЭТАЖ ЗАДАН ЧИСЛОМ</v>
      </c>
      <c r="P8" s="13" t="str">
        <f t="shared" si="4"/>
        <v>ЭТАЖ ЗАДАН ЧИСЛОМ</v>
      </c>
      <c r="Q8" s="13" t="str">
        <f t="shared" si="5"/>
        <v>ГОТОВ</v>
      </c>
      <c r="R8" s="13">
        <f>IFERROR(VLOOKUP(P8,Лист1!A$1:B$20,2,FALSE),0)</f>
        <v>784</v>
      </c>
      <c r="S8" s="13">
        <f t="shared" si="6"/>
        <v>1</v>
      </c>
    </row>
    <row r="9" spans="1:19" x14ac:dyDescent="0.25">
      <c r="A9" s="24" t="s">
        <v>1070</v>
      </c>
      <c r="B9" s="4" t="s">
        <v>1059</v>
      </c>
      <c r="C9" s="25" t="s">
        <v>5</v>
      </c>
      <c r="E9" s="3">
        <v>1</v>
      </c>
      <c r="F9" s="24" t="s">
        <v>1045</v>
      </c>
      <c r="G9" s="25" t="s">
        <v>1067</v>
      </c>
      <c r="H9" s="24" t="s">
        <v>1061</v>
      </c>
      <c r="I9" s="3" t="str">
        <f>IFERROR(VLOOKUP(C9,'Справочник соответствий'!A$2:D$2981,2,FALSE),IF(VALUE(C9)=0,1,VLOOKUP(C9,'Справочник соответствий'!A$2:D$2981,2,FALSE)))</f>
        <v>1</v>
      </c>
      <c r="J9" s="3">
        <f>IFERROR(VLOOKUP(D9,'Справочник соответствий'!A$2:D$2981,2,FALSE),IF(VALUE(D9)=0,0,VLOOKUP(D9,'Справочник соответствий'!A$2:D$2981,2,FALSE)))</f>
        <v>0</v>
      </c>
      <c r="K9" s="3" t="str">
        <f t="shared" si="0"/>
        <v>1</v>
      </c>
      <c r="L9" s="13" t="str">
        <f>IFERROR(VLOOKUP(C9,'Справочник соответствий'!A$2:D$2981,3,FALSE),IF(VALUE(C9)=0,"ЭТАЖ НЕ ОПРЕДЕЛЕН. ПРИНЯТ ПО ДОПУЩЕНИЮ 1",VLOOKUP(C9,'Справочник соответствий'!A$2:D$2981,3,FALSE)))</f>
        <v>ЭТАЖ ЗАДАН ЧИСЛОМ</v>
      </c>
      <c r="M9" s="13" t="b">
        <f t="shared" si="1"/>
        <v>0</v>
      </c>
      <c r="N9" s="13">
        <f t="shared" si="2"/>
        <v>1</v>
      </c>
      <c r="O9" s="13" t="str">
        <f t="shared" si="3"/>
        <v>ЭТАЖ ЗАДАН ЧИСЛОМ</v>
      </c>
      <c r="P9" s="13" t="str">
        <f t="shared" si="4"/>
        <v>ЭТАЖ ЗАДАН ЧИСЛОМ</v>
      </c>
      <c r="Q9" s="13" t="str">
        <f t="shared" si="5"/>
        <v>ГОТОВ</v>
      </c>
      <c r="R9" s="13">
        <f>IFERROR(VLOOKUP(P9,Лист1!A$1:B$20,2,FALSE),0)</f>
        <v>784</v>
      </c>
      <c r="S9" s="13">
        <f t="shared" si="6"/>
        <v>1</v>
      </c>
    </row>
    <row r="10" spans="1:19" x14ac:dyDescent="0.25">
      <c r="A10" s="24" t="s">
        <v>1071</v>
      </c>
      <c r="B10" s="4" t="s">
        <v>1059</v>
      </c>
      <c r="C10" s="25" t="s">
        <v>5</v>
      </c>
      <c r="D10" s="25" t="s">
        <v>24</v>
      </c>
      <c r="E10" s="3">
        <v>1</v>
      </c>
      <c r="F10" s="24" t="s">
        <v>1045</v>
      </c>
      <c r="G10" s="25" t="s">
        <v>1072</v>
      </c>
      <c r="H10" s="24" t="s">
        <v>1061</v>
      </c>
      <c r="I10" s="3" t="str">
        <f>IFERROR(VLOOKUP(C10,'Справочник соответствий'!A$2:D$2981,2,FALSE),IF(VALUE(C10)=0,1,VLOOKUP(C10,'Справочник соответствий'!A$2:D$2981,2,FALSE)))</f>
        <v>1</v>
      </c>
      <c r="J10" s="3" t="str">
        <f>IFERROR(VLOOKUP(D10,'Справочник соответствий'!A$2:D$2981,2,FALSE),IF(VALUE(D10)=0,0,VLOOKUP(D10,'Справочник соответствий'!A$2:D$2981,2,FALSE)))</f>
        <v>1</v>
      </c>
      <c r="K10" s="3" t="str">
        <f t="shared" si="0"/>
        <v>1</v>
      </c>
      <c r="L10" s="13" t="str">
        <f>IFERROR(VLOOKUP(C10,'Справочник соответствий'!A$2:D$2981,3,FALSE),IF(VALUE(C10)=0,"ЭТАЖ НЕ ОПРЕДЕЛЕН. ПРИНЯТ ПО ДОПУЩЕНИЮ 1",VLOOKUP(C10,'Справочник соответствий'!A$2:D$2981,3,FALSE)))</f>
        <v>ЭТАЖ ЗАДАН ЧИСЛОМ</v>
      </c>
      <c r="M10" s="13" t="b">
        <f t="shared" si="1"/>
        <v>0</v>
      </c>
      <c r="N10" s="13">
        <f t="shared" si="2"/>
        <v>1</v>
      </c>
      <c r="O10" s="13" t="str">
        <f t="shared" si="3"/>
        <v>ЭТАЖ ЗАДАН ЧИСЛОМ</v>
      </c>
      <c r="P10" s="13" t="str">
        <f t="shared" si="4"/>
        <v>ЭТАЖ ЗАДАН ЧИСЛОМ</v>
      </c>
      <c r="Q10" s="13" t="str">
        <f t="shared" si="5"/>
        <v>ГОТОВ</v>
      </c>
      <c r="R10" s="13">
        <f>IFERROR(VLOOKUP(P10,Лист1!A$1:B$20,2,FALSE),0)</f>
        <v>784</v>
      </c>
      <c r="S10" s="13">
        <f t="shared" si="6"/>
        <v>1</v>
      </c>
    </row>
    <row r="11" spans="1:19" x14ac:dyDescent="0.25">
      <c r="A11" s="24" t="s">
        <v>1073</v>
      </c>
      <c r="B11" s="4" t="s">
        <v>1031</v>
      </c>
      <c r="C11" s="25" t="s">
        <v>16</v>
      </c>
      <c r="E11" s="3">
        <v>5</v>
      </c>
      <c r="F11" s="24" t="s">
        <v>1074</v>
      </c>
      <c r="G11" s="25" t="s">
        <v>1075</v>
      </c>
      <c r="H11" s="24" t="s">
        <v>1061</v>
      </c>
      <c r="I11" s="3" t="str">
        <f>IFERROR(VLOOKUP(C11,'Справочник соответствий'!A$2:D$2981,2,FALSE),IF(VALUE(C11)=0,1,VLOOKUP(C11,'Справочник соответствий'!A$2:D$2981,2,FALSE)))</f>
        <v>5</v>
      </c>
      <c r="J11" s="3">
        <f>IFERROR(VLOOKUP(D11,'Справочник соответствий'!A$2:D$2981,2,FALSE),IF(VALUE(D11)=0,0,VLOOKUP(D11,'Справочник соответствий'!A$2:D$2981,2,FALSE)))</f>
        <v>0</v>
      </c>
      <c r="K11" s="3">
        <f t="shared" si="0"/>
        <v>5</v>
      </c>
      <c r="L11" s="13" t="str">
        <f>IFERROR(VLOOKUP(C11,'Справочник соответствий'!A$2:D$2981,3,FALSE),IF(VALUE(C11)=0,"ЭТАЖ НЕ ОПРЕДЕЛЕН. ПРИНЯТ ПО ДОПУЩЕНИЮ 1",VLOOKUP(C11,'Справочник соответствий'!A$2:D$2981,3,FALSE)))</f>
        <v>ЭТАЖ ЗАДАН ЧИСЛОМ</v>
      </c>
      <c r="M11" s="13" t="b">
        <f t="shared" si="1"/>
        <v>0</v>
      </c>
      <c r="N11" s="13">
        <f t="shared" si="2"/>
        <v>5</v>
      </c>
      <c r="O11" s="13" t="str">
        <f t="shared" si="3"/>
        <v>ЭТАЖ ЗАДАН ЧИСЛОМ</v>
      </c>
      <c r="P11" s="13" t="str">
        <f t="shared" si="4"/>
        <v>МКД_ЭТАЖ ЗАДАН ЧИСЛОМ</v>
      </c>
      <c r="Q11" s="13" t="str">
        <f t="shared" si="5"/>
        <v>ГОТОВ</v>
      </c>
      <c r="R11" s="13">
        <f>IFERROR(VLOOKUP(P11,Лист1!A$1:B$20,2,FALSE),0)</f>
        <v>786</v>
      </c>
      <c r="S11" s="13">
        <f t="shared" si="6"/>
        <v>5</v>
      </c>
    </row>
    <row r="12" spans="1:19" x14ac:dyDescent="0.25">
      <c r="A12" s="24" t="s">
        <v>1076</v>
      </c>
      <c r="B12" s="4" t="s">
        <v>1059</v>
      </c>
      <c r="C12" s="25" t="s">
        <v>5</v>
      </c>
      <c r="E12" s="3">
        <v>1</v>
      </c>
      <c r="F12" s="24" t="s">
        <v>1045</v>
      </c>
      <c r="G12" s="25" t="s">
        <v>1077</v>
      </c>
      <c r="H12" s="24" t="s">
        <v>1061</v>
      </c>
      <c r="I12" s="3" t="str">
        <f>IFERROR(VLOOKUP(C12,'Справочник соответствий'!A$2:D$2981,2,FALSE),IF(VALUE(C12)=0,1,VLOOKUP(C12,'Справочник соответствий'!A$2:D$2981,2,FALSE)))</f>
        <v>1</v>
      </c>
      <c r="J12" s="3">
        <f>IFERROR(VLOOKUP(D12,'Справочник соответствий'!A$2:D$2981,2,FALSE),IF(VALUE(D12)=0,0,VLOOKUP(D12,'Справочник соответствий'!A$2:D$2981,2,FALSE)))</f>
        <v>0</v>
      </c>
      <c r="K12" s="3" t="str">
        <f t="shared" si="0"/>
        <v>1</v>
      </c>
      <c r="L12" s="13" t="str">
        <f>IFERROR(VLOOKUP(C12,'Справочник соответствий'!A$2:D$2981,3,FALSE),IF(VALUE(C12)=0,"ЭТАЖ НЕ ОПРЕДЕЛЕН. ПРИНЯТ ПО ДОПУЩЕНИЮ 1",VLOOKUP(C12,'Справочник соответствий'!A$2:D$2981,3,FALSE)))</f>
        <v>ЭТАЖ ЗАДАН ЧИСЛОМ</v>
      </c>
      <c r="M12" s="13" t="b">
        <f t="shared" si="1"/>
        <v>0</v>
      </c>
      <c r="N12" s="13">
        <f t="shared" si="2"/>
        <v>1</v>
      </c>
      <c r="O12" s="13" t="str">
        <f t="shared" si="3"/>
        <v>ЭТАЖ ЗАДАН ЧИСЛОМ</v>
      </c>
      <c r="P12" s="13" t="str">
        <f t="shared" si="4"/>
        <v>ЭТАЖ ЗАДАН ЧИСЛОМ</v>
      </c>
      <c r="Q12" s="13" t="str">
        <f t="shared" si="5"/>
        <v>ГОТОВ</v>
      </c>
      <c r="R12" s="13">
        <f>IFERROR(VLOOKUP(P12,Лист1!A$1:B$20,2,FALSE),0)</f>
        <v>784</v>
      </c>
      <c r="S12" s="13">
        <f t="shared" si="6"/>
        <v>1</v>
      </c>
    </row>
    <row r="13" spans="1:19" x14ac:dyDescent="0.25">
      <c r="A13" s="24" t="s">
        <v>1078</v>
      </c>
      <c r="B13" s="4" t="s">
        <v>1063</v>
      </c>
      <c r="C13" s="25" t="s">
        <v>5</v>
      </c>
      <c r="E13" s="3">
        <v>1</v>
      </c>
      <c r="F13" s="24" t="s">
        <v>1045</v>
      </c>
      <c r="G13" s="25" t="s">
        <v>1072</v>
      </c>
      <c r="H13" s="24" t="s">
        <v>1061</v>
      </c>
      <c r="I13" s="3" t="str">
        <f>IFERROR(VLOOKUP(C13,'Справочник соответствий'!A$2:D$2981,2,FALSE),IF(VALUE(C13)=0,1,VLOOKUP(C13,'Справочник соответствий'!A$2:D$2981,2,FALSE)))</f>
        <v>1</v>
      </c>
      <c r="J13" s="3">
        <f>IFERROR(VLOOKUP(D13,'Справочник соответствий'!A$2:D$2981,2,FALSE),IF(VALUE(D13)=0,0,VLOOKUP(D13,'Справочник соответствий'!A$2:D$2981,2,FALSE)))</f>
        <v>0</v>
      </c>
      <c r="K13" s="3" t="str">
        <f t="shared" si="0"/>
        <v>1</v>
      </c>
      <c r="L13" s="13" t="str">
        <f>IFERROR(VLOOKUP(C13,'Справочник соответствий'!A$2:D$2981,3,FALSE),IF(VALUE(C13)=0,"ЭТАЖ НЕ ОПРЕДЕЛЕН. ПРИНЯТ ПО ДОПУЩЕНИЮ 1",VLOOKUP(C13,'Справочник соответствий'!A$2:D$2981,3,FALSE)))</f>
        <v>ЭТАЖ ЗАДАН ЧИСЛОМ</v>
      </c>
      <c r="M13" s="13" t="b">
        <f t="shared" si="1"/>
        <v>0</v>
      </c>
      <c r="N13" s="13">
        <f t="shared" si="2"/>
        <v>1</v>
      </c>
      <c r="O13" s="13" t="str">
        <f t="shared" si="3"/>
        <v>ЭТАЖ ЗАДАН ЧИСЛОМ</v>
      </c>
      <c r="P13" s="13" t="str">
        <f t="shared" si="4"/>
        <v>ЭТАЖ ЗАДАН ЧИСЛОМ</v>
      </c>
      <c r="Q13" s="13" t="str">
        <f t="shared" si="5"/>
        <v>ГОТОВ</v>
      </c>
      <c r="R13" s="13">
        <f>IFERROR(VLOOKUP(P13,Лист1!A$1:B$20,2,FALSE),0)</f>
        <v>784</v>
      </c>
      <c r="S13" s="13">
        <f t="shared" si="6"/>
        <v>1</v>
      </c>
    </row>
    <row r="14" spans="1:19" x14ac:dyDescent="0.25">
      <c r="A14" s="24" t="s">
        <v>1079</v>
      </c>
      <c r="B14" s="4" t="s">
        <v>1059</v>
      </c>
      <c r="C14" s="25" t="s">
        <v>5</v>
      </c>
      <c r="E14" s="3">
        <v>1</v>
      </c>
      <c r="F14" s="24" t="s">
        <v>1045</v>
      </c>
      <c r="G14" s="25" t="s">
        <v>1080</v>
      </c>
      <c r="H14" s="24" t="s">
        <v>1061</v>
      </c>
      <c r="I14" s="3" t="str">
        <f>IFERROR(VLOOKUP(C14,'Справочник соответствий'!A$2:D$2981,2,FALSE),IF(VALUE(C14)=0,1,VLOOKUP(C14,'Справочник соответствий'!A$2:D$2981,2,FALSE)))</f>
        <v>1</v>
      </c>
      <c r="J14" s="3">
        <f>IFERROR(VLOOKUP(D14,'Справочник соответствий'!A$2:D$2981,2,FALSE),IF(VALUE(D14)=0,0,VLOOKUP(D14,'Справочник соответствий'!A$2:D$2981,2,FALSE)))</f>
        <v>0</v>
      </c>
      <c r="K14" s="3" t="str">
        <f t="shared" si="0"/>
        <v>1</v>
      </c>
      <c r="L14" s="13" t="str">
        <f>IFERROR(VLOOKUP(C14,'Справочник соответствий'!A$2:D$2981,3,FALSE),IF(VALUE(C14)=0,"ЭТАЖ НЕ ОПРЕДЕЛЕН. ПРИНЯТ ПО ДОПУЩЕНИЮ 1",VLOOKUP(C14,'Справочник соответствий'!A$2:D$2981,3,FALSE)))</f>
        <v>ЭТАЖ ЗАДАН ЧИСЛОМ</v>
      </c>
      <c r="M14" s="13" t="b">
        <f t="shared" si="1"/>
        <v>0</v>
      </c>
      <c r="N14" s="13">
        <f t="shared" si="2"/>
        <v>1</v>
      </c>
      <c r="O14" s="13" t="str">
        <f t="shared" si="3"/>
        <v>ЭТАЖ ЗАДАН ЧИСЛОМ</v>
      </c>
      <c r="P14" s="13" t="str">
        <f t="shared" si="4"/>
        <v>ЭТАЖ ЗАДАН ЧИСЛОМ</v>
      </c>
      <c r="Q14" s="13" t="str">
        <f t="shared" si="5"/>
        <v>ГОТОВ</v>
      </c>
      <c r="R14" s="13">
        <f>IFERROR(VLOOKUP(P14,Лист1!A$1:B$20,2,FALSE),0)</f>
        <v>784</v>
      </c>
      <c r="S14" s="13">
        <f t="shared" si="6"/>
        <v>1</v>
      </c>
    </row>
    <row r="15" spans="1:19" x14ac:dyDescent="0.25">
      <c r="A15" s="24" t="s">
        <v>1081</v>
      </c>
      <c r="B15" s="4" t="s">
        <v>1059</v>
      </c>
      <c r="C15" s="25" t="s">
        <v>5</v>
      </c>
      <c r="E15" s="3">
        <v>1</v>
      </c>
      <c r="F15" s="24" t="s">
        <v>1082</v>
      </c>
      <c r="G15" s="25" t="s">
        <v>1083</v>
      </c>
      <c r="H15" s="24" t="s">
        <v>1061</v>
      </c>
      <c r="I15" s="3" t="str">
        <f>IFERROR(VLOOKUP(C15,'Справочник соответствий'!A$2:D$2981,2,FALSE),IF(VALUE(C15)=0,1,VLOOKUP(C15,'Справочник соответствий'!A$2:D$2981,2,FALSE)))</f>
        <v>1</v>
      </c>
      <c r="J15" s="3">
        <f>IFERROR(VLOOKUP(D15,'Справочник соответствий'!A$2:D$2981,2,FALSE),IF(VALUE(D15)=0,0,VLOOKUP(D15,'Справочник соответствий'!A$2:D$2981,2,FALSE)))</f>
        <v>0</v>
      </c>
      <c r="K15" s="3" t="str">
        <f t="shared" si="0"/>
        <v>1</v>
      </c>
      <c r="L15" s="13" t="str">
        <f>IFERROR(VLOOKUP(C15,'Справочник соответствий'!A$2:D$2981,3,FALSE),IF(VALUE(C15)=0,"ЭТАЖ НЕ ОПРЕДЕЛЕН. ПРИНЯТ ПО ДОПУЩЕНИЮ 1",VLOOKUP(C15,'Справочник соответствий'!A$2:D$2981,3,FALSE)))</f>
        <v>ЭТАЖ ЗАДАН ЧИСЛОМ</v>
      </c>
      <c r="M15" s="13" t="b">
        <f t="shared" si="1"/>
        <v>0</v>
      </c>
      <c r="N15" s="13">
        <f t="shared" si="2"/>
        <v>1</v>
      </c>
      <c r="O15" s="13" t="str">
        <f t="shared" si="3"/>
        <v>ЭТАЖ ЗАДАН ЧИСЛОМ</v>
      </c>
      <c r="P15" s="13" t="str">
        <f t="shared" si="4"/>
        <v>ЭТАЖ ЗАДАН ЧИСЛОМ</v>
      </c>
      <c r="Q15" s="13" t="str">
        <f t="shared" si="5"/>
        <v>ГОТОВ</v>
      </c>
      <c r="R15" s="13">
        <f>IFERROR(VLOOKUP(P15,Лист1!A$1:B$20,2,FALSE),0)</f>
        <v>784</v>
      </c>
      <c r="S15" s="13">
        <f t="shared" si="6"/>
        <v>1</v>
      </c>
    </row>
    <row r="16" spans="1:19" x14ac:dyDescent="0.25">
      <c r="A16" s="24" t="s">
        <v>1084</v>
      </c>
      <c r="B16" s="4" t="s">
        <v>1031</v>
      </c>
      <c r="C16" s="25" t="s">
        <v>16</v>
      </c>
      <c r="E16" s="3">
        <v>5</v>
      </c>
      <c r="F16" s="24" t="s">
        <v>1074</v>
      </c>
      <c r="G16" s="25" t="s">
        <v>1075</v>
      </c>
      <c r="H16" s="24" t="s">
        <v>1061</v>
      </c>
      <c r="I16" s="3" t="str">
        <f>IFERROR(VLOOKUP(C16,'Справочник соответствий'!A$2:D$2981,2,FALSE),IF(VALUE(C16)=0,1,VLOOKUP(C16,'Справочник соответствий'!A$2:D$2981,2,FALSE)))</f>
        <v>5</v>
      </c>
      <c r="J16" s="3">
        <f>IFERROR(VLOOKUP(D16,'Справочник соответствий'!A$2:D$2981,2,FALSE),IF(VALUE(D16)=0,0,VLOOKUP(D16,'Справочник соответствий'!A$2:D$2981,2,FALSE)))</f>
        <v>0</v>
      </c>
      <c r="K16" s="3">
        <f t="shared" si="0"/>
        <v>5</v>
      </c>
      <c r="L16" s="13" t="str">
        <f>IFERROR(VLOOKUP(C16,'Справочник соответствий'!A$2:D$2981,3,FALSE),IF(VALUE(C16)=0,"ЭТАЖ НЕ ОПРЕДЕЛЕН. ПРИНЯТ ПО ДОПУЩЕНИЮ 1",VLOOKUP(C16,'Справочник соответствий'!A$2:D$2981,3,FALSE)))</f>
        <v>ЭТАЖ ЗАДАН ЧИСЛОМ</v>
      </c>
      <c r="M16" s="13" t="b">
        <f t="shared" si="1"/>
        <v>0</v>
      </c>
      <c r="N16" s="13">
        <f t="shared" si="2"/>
        <v>5</v>
      </c>
      <c r="O16" s="13" t="str">
        <f t="shared" si="3"/>
        <v>ЭТАЖ ЗАДАН ЧИСЛОМ</v>
      </c>
      <c r="P16" s="13" t="str">
        <f t="shared" si="4"/>
        <v>МКД_ЭТАЖ ЗАДАН ЧИСЛОМ</v>
      </c>
      <c r="Q16" s="13" t="str">
        <f t="shared" si="5"/>
        <v>ГОТОВ</v>
      </c>
      <c r="R16" s="13">
        <f>IFERROR(VLOOKUP(P16,Лист1!A$1:B$20,2,FALSE),0)</f>
        <v>786</v>
      </c>
      <c r="S16" s="13">
        <f t="shared" si="6"/>
        <v>5</v>
      </c>
    </row>
    <row r="17" spans="1:19" x14ac:dyDescent="0.25">
      <c r="A17" s="24" t="s">
        <v>1085</v>
      </c>
      <c r="B17" s="4" t="s">
        <v>1063</v>
      </c>
      <c r="C17" s="25" t="s">
        <v>5</v>
      </c>
      <c r="E17" s="3">
        <v>1</v>
      </c>
      <c r="F17" s="24" t="s">
        <v>1045</v>
      </c>
      <c r="G17" s="25" t="s">
        <v>1086</v>
      </c>
      <c r="H17" s="24" t="s">
        <v>1061</v>
      </c>
      <c r="I17" s="3" t="str">
        <f>IFERROR(VLOOKUP(C17,'Справочник соответствий'!A$2:D$2981,2,FALSE),IF(VALUE(C17)=0,1,VLOOKUP(C17,'Справочник соответствий'!A$2:D$2981,2,FALSE)))</f>
        <v>1</v>
      </c>
      <c r="J17" s="3">
        <f>IFERROR(VLOOKUP(D17,'Справочник соответствий'!A$2:D$2981,2,FALSE),IF(VALUE(D17)=0,0,VLOOKUP(D17,'Справочник соответствий'!A$2:D$2981,2,FALSE)))</f>
        <v>0</v>
      </c>
      <c r="K17" s="3" t="str">
        <f t="shared" si="0"/>
        <v>1</v>
      </c>
      <c r="L17" s="13" t="str">
        <f>IFERROR(VLOOKUP(C17,'Справочник соответствий'!A$2:D$2981,3,FALSE),IF(VALUE(C17)=0,"ЭТАЖ НЕ ОПРЕДЕЛЕН. ПРИНЯТ ПО ДОПУЩЕНИЮ 1",VLOOKUP(C17,'Справочник соответствий'!A$2:D$2981,3,FALSE)))</f>
        <v>ЭТАЖ ЗАДАН ЧИСЛОМ</v>
      </c>
      <c r="M17" s="13" t="b">
        <f t="shared" si="1"/>
        <v>0</v>
      </c>
      <c r="N17" s="13">
        <f t="shared" si="2"/>
        <v>1</v>
      </c>
      <c r="O17" s="13" t="str">
        <f t="shared" si="3"/>
        <v>ЭТАЖ ЗАДАН ЧИСЛОМ</v>
      </c>
      <c r="P17" s="13" t="str">
        <f t="shared" si="4"/>
        <v>ЭТАЖ ЗАДАН ЧИСЛОМ</v>
      </c>
      <c r="Q17" s="13" t="str">
        <f t="shared" si="5"/>
        <v>ГОТОВ</v>
      </c>
      <c r="R17" s="13">
        <f>IFERROR(VLOOKUP(P17,Лист1!A$1:B$20,2,FALSE),0)</f>
        <v>784</v>
      </c>
      <c r="S17" s="13">
        <f t="shared" si="6"/>
        <v>1</v>
      </c>
    </row>
    <row r="18" spans="1:19" x14ac:dyDescent="0.25">
      <c r="A18" s="24" t="s">
        <v>1087</v>
      </c>
      <c r="B18" s="4" t="s">
        <v>1031</v>
      </c>
      <c r="C18" s="25" t="s">
        <v>7</v>
      </c>
      <c r="E18" s="3">
        <v>2</v>
      </c>
      <c r="F18" s="24" t="s">
        <v>1074</v>
      </c>
      <c r="G18" s="25" t="s">
        <v>1075</v>
      </c>
      <c r="H18" s="24" t="s">
        <v>1061</v>
      </c>
      <c r="I18" s="3" t="str">
        <f>IFERROR(VLOOKUP(C18,'Справочник соответствий'!A$2:D$2981,2,FALSE),IF(VALUE(C18)=0,1,VLOOKUP(C18,'Справочник соответствий'!A$2:D$2981,2,FALSE)))</f>
        <v>2</v>
      </c>
      <c r="J18" s="3">
        <f>IFERROR(VLOOKUP(D18,'Справочник соответствий'!A$2:D$2981,2,FALSE),IF(VALUE(D18)=0,0,VLOOKUP(D18,'Справочник соответствий'!A$2:D$2981,2,FALSE)))</f>
        <v>0</v>
      </c>
      <c r="K18" s="3">
        <f t="shared" si="0"/>
        <v>2</v>
      </c>
      <c r="L18" s="13" t="str">
        <f>IFERROR(VLOOKUP(C18,'Справочник соответствий'!A$2:D$2981,3,FALSE),IF(VALUE(C18)=0,"ЭТАЖ НЕ ОПРЕДЕЛЕН. ПРИНЯТ ПО ДОПУЩЕНИЮ 1",VLOOKUP(C18,'Справочник соответствий'!A$2:D$2981,3,FALSE)))</f>
        <v>ЭТАЖ ЗАДАН ЧИСЛОМ</v>
      </c>
      <c r="M18" s="13" t="b">
        <f t="shared" si="1"/>
        <v>0</v>
      </c>
      <c r="N18" s="13">
        <f t="shared" si="2"/>
        <v>2</v>
      </c>
      <c r="O18" s="13" t="str">
        <f t="shared" si="3"/>
        <v>ЭТАЖ ЗАДАН ЧИСЛОМ</v>
      </c>
      <c r="P18" s="13" t="str">
        <f t="shared" si="4"/>
        <v>МКД_ЭТАЖ ЗАДАН ЧИСЛОМ</v>
      </c>
      <c r="Q18" s="13" t="str">
        <f t="shared" si="5"/>
        <v>ГОТОВ</v>
      </c>
      <c r="R18" s="13">
        <f>IFERROR(VLOOKUP(P18,Лист1!A$1:B$20,2,FALSE),0)</f>
        <v>786</v>
      </c>
      <c r="S18" s="13">
        <f t="shared" si="6"/>
        <v>2</v>
      </c>
    </row>
    <row r="19" spans="1:19" x14ac:dyDescent="0.25">
      <c r="A19" s="24" t="s">
        <v>1088</v>
      </c>
      <c r="B19" s="4" t="s">
        <v>1059</v>
      </c>
      <c r="C19" s="25" t="s">
        <v>5</v>
      </c>
      <c r="E19" s="3">
        <v>1</v>
      </c>
      <c r="F19" s="24" t="s">
        <v>1045</v>
      </c>
      <c r="G19" s="25" t="s">
        <v>1089</v>
      </c>
      <c r="H19" s="24" t="s">
        <v>1061</v>
      </c>
      <c r="I19" s="3" t="str">
        <f>IFERROR(VLOOKUP(C19,'Справочник соответствий'!A$2:D$2981,2,FALSE),IF(VALUE(C19)=0,1,VLOOKUP(C19,'Справочник соответствий'!A$2:D$2981,2,FALSE)))</f>
        <v>1</v>
      </c>
      <c r="J19" s="3">
        <f>IFERROR(VLOOKUP(D19,'Справочник соответствий'!A$2:D$2981,2,FALSE),IF(VALUE(D19)=0,0,VLOOKUP(D19,'Справочник соответствий'!A$2:D$2981,2,FALSE)))</f>
        <v>0</v>
      </c>
      <c r="K19" s="3" t="str">
        <f t="shared" si="0"/>
        <v>1</v>
      </c>
      <c r="L19" s="13" t="str">
        <f>IFERROR(VLOOKUP(C19,'Справочник соответствий'!A$2:D$2981,3,FALSE),IF(VALUE(C19)=0,"ЭТАЖ НЕ ОПРЕДЕЛЕН. ПРИНЯТ ПО ДОПУЩЕНИЮ 1",VLOOKUP(C19,'Справочник соответствий'!A$2:D$2981,3,FALSE)))</f>
        <v>ЭТАЖ ЗАДАН ЧИСЛОМ</v>
      </c>
      <c r="M19" s="13" t="b">
        <f t="shared" si="1"/>
        <v>0</v>
      </c>
      <c r="N19" s="13">
        <f t="shared" si="2"/>
        <v>1</v>
      </c>
      <c r="O19" s="13" t="str">
        <f t="shared" si="3"/>
        <v>ЭТАЖ ЗАДАН ЧИСЛОМ</v>
      </c>
      <c r="P19" s="13" t="str">
        <f t="shared" si="4"/>
        <v>ЭТАЖ ЗАДАН ЧИСЛОМ</v>
      </c>
      <c r="Q19" s="13" t="str">
        <f t="shared" si="5"/>
        <v>ГОТОВ</v>
      </c>
      <c r="R19" s="13">
        <f>IFERROR(VLOOKUP(P19,Лист1!A$1:B$20,2,FALSE),0)</f>
        <v>784</v>
      </c>
      <c r="S19" s="13">
        <f t="shared" si="6"/>
        <v>1</v>
      </c>
    </row>
    <row r="20" spans="1:19" x14ac:dyDescent="0.25">
      <c r="A20" s="24" t="s">
        <v>1090</v>
      </c>
      <c r="B20" s="4" t="s">
        <v>1059</v>
      </c>
      <c r="C20" s="25" t="s">
        <v>5</v>
      </c>
      <c r="E20" s="3">
        <v>1</v>
      </c>
      <c r="F20" s="24" t="s">
        <v>1045</v>
      </c>
      <c r="G20" s="25" t="s">
        <v>1072</v>
      </c>
      <c r="H20" s="24" t="s">
        <v>1061</v>
      </c>
      <c r="I20" s="3" t="str">
        <f>IFERROR(VLOOKUP(C20,'Справочник соответствий'!A$2:D$2981,2,FALSE),IF(VALUE(C20)=0,1,VLOOKUP(C20,'Справочник соответствий'!A$2:D$2981,2,FALSE)))</f>
        <v>1</v>
      </c>
      <c r="J20" s="3">
        <f>IFERROR(VLOOKUP(D20,'Справочник соответствий'!A$2:D$2981,2,FALSE),IF(VALUE(D20)=0,0,VLOOKUP(D20,'Справочник соответствий'!A$2:D$2981,2,FALSE)))</f>
        <v>0</v>
      </c>
      <c r="K20" s="3" t="str">
        <f t="shared" si="0"/>
        <v>1</v>
      </c>
      <c r="L20" s="13" t="str">
        <f>IFERROR(VLOOKUP(C20,'Справочник соответствий'!A$2:D$2981,3,FALSE),IF(VALUE(C20)=0,"ЭТАЖ НЕ ОПРЕДЕЛЕН. ПРИНЯТ ПО ДОПУЩЕНИЮ 1",VLOOKUP(C20,'Справочник соответствий'!A$2:D$2981,3,FALSE)))</f>
        <v>ЭТАЖ ЗАДАН ЧИСЛОМ</v>
      </c>
      <c r="M20" s="13" t="b">
        <f t="shared" si="1"/>
        <v>0</v>
      </c>
      <c r="N20" s="13">
        <f t="shared" si="2"/>
        <v>1</v>
      </c>
      <c r="O20" s="13" t="str">
        <f t="shared" si="3"/>
        <v>ЭТАЖ ЗАДАН ЧИСЛОМ</v>
      </c>
      <c r="P20" s="13" t="str">
        <f t="shared" si="4"/>
        <v>ЭТАЖ ЗАДАН ЧИСЛОМ</v>
      </c>
      <c r="Q20" s="13" t="str">
        <f t="shared" si="5"/>
        <v>ГОТОВ</v>
      </c>
      <c r="R20" s="13">
        <f>IFERROR(VLOOKUP(P20,Лист1!A$1:B$20,2,FALSE),0)</f>
        <v>784</v>
      </c>
      <c r="S20" s="13">
        <f t="shared" si="6"/>
        <v>1</v>
      </c>
    </row>
    <row r="21" spans="1:19" x14ac:dyDescent="0.25">
      <c r="A21" s="24" t="s">
        <v>1091</v>
      </c>
      <c r="B21" s="4" t="s">
        <v>1063</v>
      </c>
      <c r="E21" s="3">
        <v>1</v>
      </c>
      <c r="F21" s="24" t="s">
        <v>1045</v>
      </c>
      <c r="G21" s="25" t="s">
        <v>1072</v>
      </c>
      <c r="H21" s="24" t="s">
        <v>1061</v>
      </c>
      <c r="I21" s="3">
        <f>IFERROR(VLOOKUP(C21,'Справочник соответствий'!A$2:D$2981,2,FALSE),IF(VALUE(C21)=0,1,VLOOKUP(C21,'Справочник соответствий'!A$2:D$2981,2,FALSE)))</f>
        <v>1</v>
      </c>
      <c r="J21" s="3">
        <f>IFERROR(VLOOKUP(D21,'Справочник соответствий'!A$2:D$2981,2,FALSE),IF(VALUE(D21)=0,0,VLOOKUP(D21,'Справочник соответствий'!A$2:D$2981,2,FALSE)))</f>
        <v>0</v>
      </c>
      <c r="K21" s="3">
        <f t="shared" si="0"/>
        <v>1</v>
      </c>
      <c r="L21" s="13" t="str">
        <f>IFERROR(VLOOKUP(C21,'Справочник соответствий'!A$2:D$2981,3,FALSE),IF(VALUE(C21)=0,"ЭТАЖ НЕ ОПРЕДЕЛЕН. ПРИНЯТ ПО ДОПУЩЕНИЮ 1",VLOOKUP(C21,'Справочник соответствий'!A$2:D$2981,3,FALSE)))</f>
        <v>ЭТАЖ НЕ ОПРЕДЕЛЕН. ПРИНЯТ ПО ДОПУЩЕНИЮ 1</v>
      </c>
      <c r="M21" s="13" t="b">
        <f t="shared" si="1"/>
        <v>1</v>
      </c>
      <c r="N21" s="13">
        <f t="shared" si="2"/>
        <v>1</v>
      </c>
      <c r="O21" s="13" t="str">
        <f t="shared" si="3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21" s="13" t="str">
        <f t="shared" si="4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21" s="13" t="str">
        <f t="shared" si="5"/>
        <v>ГОТОВ</v>
      </c>
      <c r="R21" s="13">
        <f>IFERROR(VLOOKUP(P21,Лист1!A$1:B$20,2,FALSE),0)</f>
        <v>214</v>
      </c>
      <c r="S21" s="13">
        <f t="shared" si="6"/>
        <v>1</v>
      </c>
    </row>
    <row r="22" spans="1:19" x14ac:dyDescent="0.25">
      <c r="A22" s="24" t="s">
        <v>1092</v>
      </c>
      <c r="B22" s="4" t="s">
        <v>1059</v>
      </c>
      <c r="C22" s="25" t="s">
        <v>5</v>
      </c>
      <c r="E22" s="3">
        <v>1</v>
      </c>
      <c r="F22" s="24" t="s">
        <v>1045</v>
      </c>
      <c r="G22" s="25" t="s">
        <v>1072</v>
      </c>
      <c r="H22" s="24" t="s">
        <v>1061</v>
      </c>
      <c r="I22" s="3" t="str">
        <f>IFERROR(VLOOKUP(C22,'Справочник соответствий'!A$2:D$2981,2,FALSE),IF(VALUE(C22)=0,1,VLOOKUP(C22,'Справочник соответствий'!A$2:D$2981,2,FALSE)))</f>
        <v>1</v>
      </c>
      <c r="J22" s="3">
        <f>IFERROR(VLOOKUP(D22,'Справочник соответствий'!A$2:D$2981,2,FALSE),IF(VALUE(D22)=0,0,VLOOKUP(D22,'Справочник соответствий'!A$2:D$2981,2,FALSE)))</f>
        <v>0</v>
      </c>
      <c r="K22" s="3" t="str">
        <f t="shared" si="0"/>
        <v>1</v>
      </c>
      <c r="L22" s="13" t="str">
        <f>IFERROR(VLOOKUP(C22,'Справочник соответствий'!A$2:D$2981,3,FALSE),IF(VALUE(C22)=0,"ЭТАЖ НЕ ОПРЕДЕЛЕН. ПРИНЯТ ПО ДОПУЩЕНИЮ 1",VLOOKUP(C22,'Справочник соответствий'!A$2:D$2981,3,FALSE)))</f>
        <v>ЭТАЖ ЗАДАН ЧИСЛОМ</v>
      </c>
      <c r="M22" s="13" t="b">
        <f t="shared" si="1"/>
        <v>0</v>
      </c>
      <c r="N22" s="13">
        <f t="shared" si="2"/>
        <v>1</v>
      </c>
      <c r="O22" s="13" t="str">
        <f t="shared" si="3"/>
        <v>ЭТАЖ ЗАДАН ЧИСЛОМ</v>
      </c>
      <c r="P22" s="13" t="str">
        <f t="shared" si="4"/>
        <v>ЭТАЖ ЗАДАН ЧИСЛОМ</v>
      </c>
      <c r="Q22" s="13" t="str">
        <f t="shared" si="5"/>
        <v>ГОТОВ</v>
      </c>
      <c r="R22" s="13">
        <f>IFERROR(VLOOKUP(P22,Лист1!A$1:B$20,2,FALSE),0)</f>
        <v>784</v>
      </c>
      <c r="S22" s="13">
        <f t="shared" si="6"/>
        <v>1</v>
      </c>
    </row>
    <row r="23" spans="1:19" x14ac:dyDescent="0.25">
      <c r="A23" s="24" t="s">
        <v>1093</v>
      </c>
      <c r="B23" s="4" t="s">
        <v>1059</v>
      </c>
      <c r="C23" s="25" t="s">
        <v>5</v>
      </c>
      <c r="E23" s="3">
        <v>1</v>
      </c>
      <c r="F23" s="24" t="s">
        <v>1045</v>
      </c>
      <c r="G23" s="25" t="s">
        <v>1072</v>
      </c>
      <c r="H23" s="24" t="s">
        <v>1061</v>
      </c>
      <c r="I23" s="3" t="str">
        <f>IFERROR(VLOOKUP(C23,'Справочник соответствий'!A$2:D$2981,2,FALSE),IF(VALUE(C23)=0,1,VLOOKUP(C23,'Справочник соответствий'!A$2:D$2981,2,FALSE)))</f>
        <v>1</v>
      </c>
      <c r="J23" s="3">
        <f>IFERROR(VLOOKUP(D23,'Справочник соответствий'!A$2:D$2981,2,FALSE),IF(VALUE(D23)=0,0,VLOOKUP(D23,'Справочник соответствий'!A$2:D$2981,2,FALSE)))</f>
        <v>0</v>
      </c>
      <c r="K23" s="3" t="str">
        <f t="shared" si="0"/>
        <v>1</v>
      </c>
      <c r="L23" s="13" t="str">
        <f>IFERROR(VLOOKUP(C23,'Справочник соответствий'!A$2:D$2981,3,FALSE),IF(VALUE(C23)=0,"ЭТАЖ НЕ ОПРЕДЕЛЕН. ПРИНЯТ ПО ДОПУЩЕНИЮ 1",VLOOKUP(C23,'Справочник соответствий'!A$2:D$2981,3,FALSE)))</f>
        <v>ЭТАЖ ЗАДАН ЧИСЛОМ</v>
      </c>
      <c r="M23" s="13" t="b">
        <f t="shared" si="1"/>
        <v>0</v>
      </c>
      <c r="N23" s="13">
        <f t="shared" si="2"/>
        <v>1</v>
      </c>
      <c r="O23" s="13" t="str">
        <f t="shared" si="3"/>
        <v>ЭТАЖ ЗАДАН ЧИСЛОМ</v>
      </c>
      <c r="P23" s="13" t="str">
        <f t="shared" si="4"/>
        <v>ЭТАЖ ЗАДАН ЧИСЛОМ</v>
      </c>
      <c r="Q23" s="13" t="str">
        <f t="shared" si="5"/>
        <v>ГОТОВ</v>
      </c>
      <c r="R23" s="13">
        <f>IFERROR(VLOOKUP(P23,Лист1!A$1:B$20,2,FALSE),0)</f>
        <v>784</v>
      </c>
      <c r="S23" s="13">
        <f t="shared" si="6"/>
        <v>1</v>
      </c>
    </row>
    <row r="24" spans="1:19" x14ac:dyDescent="0.25">
      <c r="A24" s="24" t="s">
        <v>1094</v>
      </c>
      <c r="B24" s="4" t="s">
        <v>1031</v>
      </c>
      <c r="C24" s="25" t="s">
        <v>5</v>
      </c>
      <c r="E24" s="3">
        <v>1</v>
      </c>
      <c r="F24" s="24" t="s">
        <v>1082</v>
      </c>
      <c r="G24" s="25" t="s">
        <v>1080</v>
      </c>
      <c r="H24" s="24" t="s">
        <v>1061</v>
      </c>
      <c r="I24" s="3" t="str">
        <f>IFERROR(VLOOKUP(C24,'Справочник соответствий'!A$2:D$2981,2,FALSE),IF(VALUE(C24)=0,1,VLOOKUP(C24,'Справочник соответствий'!A$2:D$2981,2,FALSE)))</f>
        <v>1</v>
      </c>
      <c r="J24" s="3">
        <f>IFERROR(VLOOKUP(D24,'Справочник соответствий'!A$2:D$2981,2,FALSE),IF(VALUE(D24)=0,0,VLOOKUP(D24,'Справочник соответствий'!A$2:D$2981,2,FALSE)))</f>
        <v>0</v>
      </c>
      <c r="K24" s="3">
        <f t="shared" si="0"/>
        <v>1</v>
      </c>
      <c r="L24" s="13" t="str">
        <f>IFERROR(VLOOKUP(C24,'Справочник соответствий'!A$2:D$2981,3,FALSE),IF(VALUE(C24)=0,"ЭТАЖ НЕ ОПРЕДЕЛЕН. ПРИНЯТ ПО ДОПУЩЕНИЮ 1",VLOOKUP(C24,'Справочник соответствий'!A$2:D$2981,3,FALSE)))</f>
        <v>ЭТАЖ ЗАДАН ЧИСЛОМ</v>
      </c>
      <c r="M24" s="13" t="b">
        <f t="shared" si="1"/>
        <v>0</v>
      </c>
      <c r="N24" s="13">
        <f t="shared" si="2"/>
        <v>1</v>
      </c>
      <c r="O24" s="13" t="str">
        <f t="shared" si="3"/>
        <v>ЭТАЖ ЗАДАН ЧИСЛОМ</v>
      </c>
      <c r="P24" s="13" t="str">
        <f t="shared" si="4"/>
        <v>МКД_ЭТАЖ ЗАДАН ЧИСЛОМ</v>
      </c>
      <c r="Q24" s="13" t="str">
        <f t="shared" si="5"/>
        <v>ГОТОВ</v>
      </c>
      <c r="R24" s="13">
        <f>IFERROR(VLOOKUP(P24,Лист1!A$1:B$20,2,FALSE),0)</f>
        <v>786</v>
      </c>
      <c r="S24" s="13">
        <f t="shared" si="6"/>
        <v>1</v>
      </c>
    </row>
    <row r="25" spans="1:19" x14ac:dyDescent="0.25">
      <c r="A25" s="24" t="s">
        <v>1095</v>
      </c>
      <c r="B25" s="4" t="s">
        <v>1059</v>
      </c>
      <c r="C25" s="25" t="s">
        <v>5</v>
      </c>
      <c r="E25" s="3">
        <v>1</v>
      </c>
      <c r="F25" s="24" t="s">
        <v>1045</v>
      </c>
      <c r="G25" s="25" t="s">
        <v>1096</v>
      </c>
      <c r="H25" s="24" t="s">
        <v>1061</v>
      </c>
      <c r="I25" s="3" t="str">
        <f>IFERROR(VLOOKUP(C25,'Справочник соответствий'!A$2:D$2981,2,FALSE),IF(VALUE(C25)=0,1,VLOOKUP(C25,'Справочник соответствий'!A$2:D$2981,2,FALSE)))</f>
        <v>1</v>
      </c>
      <c r="J25" s="3">
        <f>IFERROR(VLOOKUP(D25,'Справочник соответствий'!A$2:D$2981,2,FALSE),IF(VALUE(D25)=0,0,VLOOKUP(D25,'Справочник соответствий'!A$2:D$2981,2,FALSE)))</f>
        <v>0</v>
      </c>
      <c r="K25" s="3" t="str">
        <f t="shared" si="0"/>
        <v>1</v>
      </c>
      <c r="L25" s="13" t="str">
        <f>IFERROR(VLOOKUP(C25,'Справочник соответствий'!A$2:D$2981,3,FALSE),IF(VALUE(C25)=0,"ЭТАЖ НЕ ОПРЕДЕЛЕН. ПРИНЯТ ПО ДОПУЩЕНИЮ 1",VLOOKUP(C25,'Справочник соответствий'!A$2:D$2981,3,FALSE)))</f>
        <v>ЭТАЖ ЗАДАН ЧИСЛОМ</v>
      </c>
      <c r="M25" s="13" t="b">
        <f t="shared" si="1"/>
        <v>0</v>
      </c>
      <c r="N25" s="13">
        <f t="shared" si="2"/>
        <v>1</v>
      </c>
      <c r="O25" s="13" t="str">
        <f t="shared" si="3"/>
        <v>ЭТАЖ ЗАДАН ЧИСЛОМ</v>
      </c>
      <c r="P25" s="13" t="str">
        <f t="shared" si="4"/>
        <v>ЭТАЖ ЗАДАН ЧИСЛОМ</v>
      </c>
      <c r="Q25" s="13" t="str">
        <f t="shared" si="5"/>
        <v>ГОТОВ</v>
      </c>
      <c r="R25" s="13">
        <f>IFERROR(VLOOKUP(P25,Лист1!A$1:B$20,2,FALSE),0)</f>
        <v>784</v>
      </c>
      <c r="S25" s="13">
        <f t="shared" si="6"/>
        <v>1</v>
      </c>
    </row>
    <row r="26" spans="1:19" x14ac:dyDescent="0.25">
      <c r="A26" s="24" t="s">
        <v>1097</v>
      </c>
      <c r="B26" s="4" t="s">
        <v>1059</v>
      </c>
      <c r="C26" s="25" t="s">
        <v>69</v>
      </c>
      <c r="E26" s="3">
        <v>1</v>
      </c>
      <c r="F26" s="24" t="s">
        <v>1045</v>
      </c>
      <c r="G26" s="25" t="s">
        <v>1072</v>
      </c>
      <c r="H26" s="24" t="s">
        <v>1061</v>
      </c>
      <c r="I26" s="3" t="str">
        <f>IFERROR(VLOOKUP(C26,'Справочник соответствий'!A$2:D$2981,2,FALSE),IF(VALUE(C26)=0,1,VLOOKUP(C26,'Справочник соответствий'!A$2:D$2981,2,FALSE)))</f>
        <v>1</v>
      </c>
      <c r="J26" s="3">
        <f>IFERROR(VLOOKUP(D26,'Справочник соответствий'!A$2:D$2981,2,FALSE),IF(VALUE(D26)=0,0,VLOOKUP(D26,'Справочник соответствий'!A$2:D$2981,2,FALSE)))</f>
        <v>0</v>
      </c>
      <c r="K26" s="3" t="str">
        <f t="shared" si="0"/>
        <v>1</v>
      </c>
      <c r="L26" s="13" t="str">
        <f>IFERROR(VLOOKUP(C26,'Справочник соответствий'!A$2:D$2981,3,FALSE),IF(VALUE(C26)=0,"ЭТАЖ НЕ ОПРЕДЕЛЕН. ПРИНЯТ ПО ДОПУЩЕНИЮ 1",VLOOKUP(C26,'Справочник соответствий'!A$2:D$2981,3,FALSE)))</f>
        <v>ЭТАЖ НЕ ОПРЕДЕЛЕН. ПРИНЯТ ПО ДОПУЩЕНИЮ 1</v>
      </c>
      <c r="M26" s="13" t="b">
        <f t="shared" si="1"/>
        <v>0</v>
      </c>
      <c r="N26" s="13">
        <f t="shared" si="2"/>
        <v>1</v>
      </c>
      <c r="O26" s="13" t="str">
        <f t="shared" si="3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26" s="13" t="str">
        <f t="shared" si="4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26" s="13" t="str">
        <f t="shared" si="5"/>
        <v>ГОТОВ</v>
      </c>
      <c r="R26" s="13">
        <f>IFERROR(VLOOKUP(P26,Лист1!A$1:B$20,2,FALSE),0)</f>
        <v>214</v>
      </c>
      <c r="S26" s="13">
        <f t="shared" si="6"/>
        <v>1</v>
      </c>
    </row>
    <row r="27" spans="1:19" x14ac:dyDescent="0.25">
      <c r="A27" s="24" t="s">
        <v>1098</v>
      </c>
      <c r="B27" s="4" t="s">
        <v>1059</v>
      </c>
      <c r="C27" s="25" t="s">
        <v>5</v>
      </c>
      <c r="D27" s="25" t="s">
        <v>5</v>
      </c>
      <c r="E27" s="3">
        <v>1</v>
      </c>
      <c r="F27" s="24" t="s">
        <v>1045</v>
      </c>
      <c r="G27" s="25" t="s">
        <v>1099</v>
      </c>
      <c r="H27" s="24" t="s">
        <v>1061</v>
      </c>
      <c r="I27" s="3" t="str">
        <f>IFERROR(VLOOKUP(C27,'Справочник соответствий'!A$2:D$2981,2,FALSE),IF(VALUE(C27)=0,1,VLOOKUP(C27,'Справочник соответствий'!A$2:D$2981,2,FALSE)))</f>
        <v>1</v>
      </c>
      <c r="J27" s="3" t="str">
        <f>IFERROR(VLOOKUP(D27,'Справочник соответствий'!A$2:D$2981,2,FALSE),IF(VALUE(D27)=0,0,VLOOKUP(D27,'Справочник соответствий'!A$2:D$2981,2,FALSE)))</f>
        <v>1</v>
      </c>
      <c r="K27" s="3" t="str">
        <f t="shared" si="0"/>
        <v>1</v>
      </c>
      <c r="L27" s="13" t="str">
        <f>IFERROR(VLOOKUP(C27,'Справочник соответствий'!A$2:D$2981,3,FALSE),IF(VALUE(C27)=0,"ЭТАЖ НЕ ОПРЕДЕЛЕН. ПРИНЯТ ПО ДОПУЩЕНИЮ 1",VLOOKUP(C27,'Справочник соответствий'!A$2:D$2981,3,FALSE)))</f>
        <v>ЭТАЖ ЗАДАН ЧИСЛОМ</v>
      </c>
      <c r="M27" s="13" t="b">
        <f t="shared" si="1"/>
        <v>0</v>
      </c>
      <c r="N27" s="13">
        <f t="shared" si="2"/>
        <v>1</v>
      </c>
      <c r="O27" s="13" t="str">
        <f t="shared" si="3"/>
        <v>ЭТАЖ ЗАДАН ЧИСЛОМ</v>
      </c>
      <c r="P27" s="13" t="str">
        <f t="shared" si="4"/>
        <v>ЭТАЖ ЗАДАН ЧИСЛОМ</v>
      </c>
      <c r="Q27" s="13" t="str">
        <f t="shared" si="5"/>
        <v>ГОТОВ</v>
      </c>
      <c r="R27" s="13">
        <f>IFERROR(VLOOKUP(P27,Лист1!A$1:B$20,2,FALSE),0)</f>
        <v>784</v>
      </c>
      <c r="S27" s="13">
        <f t="shared" si="6"/>
        <v>1</v>
      </c>
    </row>
    <row r="28" spans="1:19" x14ac:dyDescent="0.25">
      <c r="A28" s="24" t="s">
        <v>1100</v>
      </c>
      <c r="B28" s="4" t="s">
        <v>1063</v>
      </c>
      <c r="C28" s="25" t="s">
        <v>5</v>
      </c>
      <c r="D28" s="25" t="s">
        <v>24</v>
      </c>
      <c r="E28" s="3">
        <v>1</v>
      </c>
      <c r="F28" s="24" t="s">
        <v>1045</v>
      </c>
      <c r="G28" s="25" t="s">
        <v>1069</v>
      </c>
      <c r="H28" s="24" t="s">
        <v>1061</v>
      </c>
      <c r="I28" s="3" t="str">
        <f>IFERROR(VLOOKUP(C28,'Справочник соответствий'!A$2:D$2981,2,FALSE),IF(VALUE(C28)=0,1,VLOOKUP(C28,'Справочник соответствий'!A$2:D$2981,2,FALSE)))</f>
        <v>1</v>
      </c>
      <c r="J28" s="3" t="str">
        <f>IFERROR(VLOOKUP(D28,'Справочник соответствий'!A$2:D$2981,2,FALSE),IF(VALUE(D28)=0,0,VLOOKUP(D28,'Справочник соответствий'!A$2:D$2981,2,FALSE)))</f>
        <v>1</v>
      </c>
      <c r="K28" s="3" t="str">
        <f t="shared" si="0"/>
        <v>1</v>
      </c>
      <c r="L28" s="13" t="str">
        <f>IFERROR(VLOOKUP(C28,'Справочник соответствий'!A$2:D$2981,3,FALSE),IF(VALUE(C28)=0,"ЭТАЖ НЕ ОПРЕДЕЛЕН. ПРИНЯТ ПО ДОПУЩЕНИЮ 1",VLOOKUP(C28,'Справочник соответствий'!A$2:D$2981,3,FALSE)))</f>
        <v>ЭТАЖ ЗАДАН ЧИСЛОМ</v>
      </c>
      <c r="M28" s="13" t="b">
        <f t="shared" si="1"/>
        <v>0</v>
      </c>
      <c r="N28" s="13">
        <f t="shared" si="2"/>
        <v>1</v>
      </c>
      <c r="O28" s="13" t="str">
        <f t="shared" si="3"/>
        <v>ЭТАЖ ЗАДАН ЧИСЛОМ</v>
      </c>
      <c r="P28" s="13" t="str">
        <f t="shared" si="4"/>
        <v>ЭТАЖ ЗАДАН ЧИСЛОМ</v>
      </c>
      <c r="Q28" s="13" t="str">
        <f t="shared" si="5"/>
        <v>ГОТОВ</v>
      </c>
      <c r="R28" s="13">
        <f>IFERROR(VLOOKUP(P28,Лист1!A$1:B$20,2,FALSE),0)</f>
        <v>784</v>
      </c>
      <c r="S28" s="13">
        <f t="shared" si="6"/>
        <v>1</v>
      </c>
    </row>
    <row r="29" spans="1:19" x14ac:dyDescent="0.25">
      <c r="A29" s="24" t="s">
        <v>1101</v>
      </c>
      <c r="B29" s="4" t="s">
        <v>1031</v>
      </c>
      <c r="C29" s="25" t="s">
        <v>7</v>
      </c>
      <c r="E29" s="3">
        <v>2</v>
      </c>
      <c r="F29" s="24" t="s">
        <v>1045</v>
      </c>
      <c r="G29" s="25" t="s">
        <v>1075</v>
      </c>
      <c r="H29" s="24" t="s">
        <v>1061</v>
      </c>
      <c r="I29" s="3" t="str">
        <f>IFERROR(VLOOKUP(C29,'Справочник соответствий'!A$2:D$2981,2,FALSE),IF(VALUE(C29)=0,1,VLOOKUP(C29,'Справочник соответствий'!A$2:D$2981,2,FALSE)))</f>
        <v>2</v>
      </c>
      <c r="J29" s="3">
        <f>IFERROR(VLOOKUP(D29,'Справочник соответствий'!A$2:D$2981,2,FALSE),IF(VALUE(D29)=0,0,VLOOKUP(D29,'Справочник соответствий'!A$2:D$2981,2,FALSE)))</f>
        <v>0</v>
      </c>
      <c r="K29" s="3">
        <f t="shared" si="0"/>
        <v>2</v>
      </c>
      <c r="L29" s="13" t="str">
        <f>IFERROR(VLOOKUP(C29,'Справочник соответствий'!A$2:D$2981,3,FALSE),IF(VALUE(C29)=0,"ЭТАЖ НЕ ОПРЕДЕЛЕН. ПРИНЯТ ПО ДОПУЩЕНИЮ 1",VLOOKUP(C29,'Справочник соответствий'!A$2:D$2981,3,FALSE)))</f>
        <v>ЭТАЖ ЗАДАН ЧИСЛОМ</v>
      </c>
      <c r="M29" s="13" t="b">
        <f t="shared" si="1"/>
        <v>0</v>
      </c>
      <c r="N29" s="13">
        <f t="shared" si="2"/>
        <v>2</v>
      </c>
      <c r="O29" s="13" t="str">
        <f t="shared" si="3"/>
        <v>ЭТАЖ ЗАДАН ЧИСЛОМ</v>
      </c>
      <c r="P29" s="13" t="str">
        <f t="shared" si="4"/>
        <v>МКД_ЭТАЖ ЗАДАН ЧИСЛОМ</v>
      </c>
      <c r="Q29" s="13" t="str">
        <f t="shared" si="5"/>
        <v>ГОТОВ</v>
      </c>
      <c r="R29" s="13">
        <f>IFERROR(VLOOKUP(P29,Лист1!A$1:B$20,2,FALSE),0)</f>
        <v>786</v>
      </c>
      <c r="S29" s="13">
        <f t="shared" si="6"/>
        <v>2</v>
      </c>
    </row>
    <row r="30" spans="1:19" x14ac:dyDescent="0.25">
      <c r="A30" s="24" t="s">
        <v>1102</v>
      </c>
      <c r="B30" s="4" t="s">
        <v>1031</v>
      </c>
      <c r="C30" s="25" t="s">
        <v>7</v>
      </c>
      <c r="E30" s="3">
        <v>2</v>
      </c>
      <c r="F30" s="24" t="s">
        <v>1045</v>
      </c>
      <c r="G30" s="25" t="s">
        <v>1075</v>
      </c>
      <c r="H30" s="24" t="s">
        <v>1061</v>
      </c>
      <c r="I30" s="3" t="str">
        <f>IFERROR(VLOOKUP(C30,'Справочник соответствий'!A$2:D$2981,2,FALSE),IF(VALUE(C30)=0,1,VLOOKUP(C30,'Справочник соответствий'!A$2:D$2981,2,FALSE)))</f>
        <v>2</v>
      </c>
      <c r="J30" s="3">
        <f>IFERROR(VLOOKUP(D30,'Справочник соответствий'!A$2:D$2981,2,FALSE),IF(VALUE(D30)=0,0,VLOOKUP(D30,'Справочник соответствий'!A$2:D$2981,2,FALSE)))</f>
        <v>0</v>
      </c>
      <c r="K30" s="3">
        <f t="shared" si="0"/>
        <v>2</v>
      </c>
      <c r="L30" s="13" t="str">
        <f>IFERROR(VLOOKUP(C30,'Справочник соответствий'!A$2:D$2981,3,FALSE),IF(VALUE(C30)=0,"ЭТАЖ НЕ ОПРЕДЕЛЕН. ПРИНЯТ ПО ДОПУЩЕНИЮ 1",VLOOKUP(C30,'Справочник соответствий'!A$2:D$2981,3,FALSE)))</f>
        <v>ЭТАЖ ЗАДАН ЧИСЛОМ</v>
      </c>
      <c r="M30" s="13" t="b">
        <f t="shared" si="1"/>
        <v>0</v>
      </c>
      <c r="N30" s="13">
        <f t="shared" si="2"/>
        <v>2</v>
      </c>
      <c r="O30" s="13" t="str">
        <f t="shared" si="3"/>
        <v>ЭТАЖ ЗАДАН ЧИСЛОМ</v>
      </c>
      <c r="P30" s="13" t="str">
        <f t="shared" si="4"/>
        <v>МКД_ЭТАЖ ЗАДАН ЧИСЛОМ</v>
      </c>
      <c r="Q30" s="13" t="str">
        <f t="shared" si="5"/>
        <v>ГОТОВ</v>
      </c>
      <c r="R30" s="13">
        <f>IFERROR(VLOOKUP(P30,Лист1!A$1:B$20,2,FALSE),0)</f>
        <v>786</v>
      </c>
      <c r="S30" s="13">
        <f t="shared" si="6"/>
        <v>2</v>
      </c>
    </row>
    <row r="31" spans="1:19" x14ac:dyDescent="0.25">
      <c r="A31" s="24" t="s">
        <v>1103</v>
      </c>
      <c r="B31" s="4" t="s">
        <v>1059</v>
      </c>
      <c r="E31" s="3">
        <v>1</v>
      </c>
      <c r="F31" s="24" t="s">
        <v>1045</v>
      </c>
      <c r="G31" s="25" t="s">
        <v>1104</v>
      </c>
      <c r="H31" s="24" t="s">
        <v>1061</v>
      </c>
      <c r="I31" s="3">
        <f>IFERROR(VLOOKUP(C31,'Справочник соответствий'!A$2:D$2981,2,FALSE),IF(VALUE(C31)=0,1,VLOOKUP(C31,'Справочник соответствий'!A$2:D$2981,2,FALSE)))</f>
        <v>1</v>
      </c>
      <c r="J31" s="3">
        <f>IFERROR(VLOOKUP(D31,'Справочник соответствий'!A$2:D$2981,2,FALSE),IF(VALUE(D31)=0,0,VLOOKUP(D31,'Справочник соответствий'!A$2:D$2981,2,FALSE)))</f>
        <v>0</v>
      </c>
      <c r="K31" s="3">
        <f t="shared" si="0"/>
        <v>1</v>
      </c>
      <c r="L31" s="13" t="str">
        <f>IFERROR(VLOOKUP(C31,'Справочник соответствий'!A$2:D$2981,3,FALSE),IF(VALUE(C31)=0,"ЭТАЖ НЕ ОПРЕДЕЛЕН. ПРИНЯТ ПО ДОПУЩЕНИЮ 1",VLOOKUP(C31,'Справочник соответствий'!A$2:D$2981,3,FALSE)))</f>
        <v>ЭТАЖ НЕ ОПРЕДЕЛЕН. ПРИНЯТ ПО ДОПУЩЕНИЮ 1</v>
      </c>
      <c r="M31" s="13" t="b">
        <f t="shared" si="1"/>
        <v>1</v>
      </c>
      <c r="N31" s="13">
        <f t="shared" si="2"/>
        <v>1</v>
      </c>
      <c r="O31" s="13" t="str">
        <f t="shared" si="3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31" s="13" t="str">
        <f t="shared" si="4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31" s="13" t="str">
        <f t="shared" si="5"/>
        <v>ГОТОВ</v>
      </c>
      <c r="R31" s="13">
        <f>IFERROR(VLOOKUP(P31,Лист1!A$1:B$20,2,FALSE),0)</f>
        <v>214</v>
      </c>
      <c r="S31" s="13">
        <f t="shared" si="6"/>
        <v>1</v>
      </c>
    </row>
    <row r="32" spans="1:19" x14ac:dyDescent="0.25">
      <c r="A32" s="24" t="s">
        <v>1105</v>
      </c>
      <c r="B32" s="4" t="s">
        <v>1063</v>
      </c>
      <c r="C32" s="25" t="s">
        <v>5</v>
      </c>
      <c r="E32" s="3">
        <v>1</v>
      </c>
      <c r="F32" s="24" t="s">
        <v>1045</v>
      </c>
      <c r="G32" s="25" t="s">
        <v>1106</v>
      </c>
      <c r="H32" s="24" t="s">
        <v>1061</v>
      </c>
      <c r="I32" s="3" t="str">
        <f>IFERROR(VLOOKUP(C32,'Справочник соответствий'!A$2:D$2981,2,FALSE),IF(VALUE(C32)=0,1,VLOOKUP(C32,'Справочник соответствий'!A$2:D$2981,2,FALSE)))</f>
        <v>1</v>
      </c>
      <c r="J32" s="3">
        <f>IFERROR(VLOOKUP(D32,'Справочник соответствий'!A$2:D$2981,2,FALSE),IF(VALUE(D32)=0,0,VLOOKUP(D32,'Справочник соответствий'!A$2:D$2981,2,FALSE)))</f>
        <v>0</v>
      </c>
      <c r="K32" s="3" t="str">
        <f t="shared" si="0"/>
        <v>1</v>
      </c>
      <c r="L32" s="13" t="str">
        <f>IFERROR(VLOOKUP(C32,'Справочник соответствий'!A$2:D$2981,3,FALSE),IF(VALUE(C32)=0,"ЭТАЖ НЕ ОПРЕДЕЛЕН. ПРИНЯТ ПО ДОПУЩЕНИЮ 1",VLOOKUP(C32,'Справочник соответствий'!A$2:D$2981,3,FALSE)))</f>
        <v>ЭТАЖ ЗАДАН ЧИСЛОМ</v>
      </c>
      <c r="M32" s="13" t="b">
        <f t="shared" si="1"/>
        <v>0</v>
      </c>
      <c r="N32" s="13">
        <f t="shared" si="2"/>
        <v>1</v>
      </c>
      <c r="O32" s="13" t="str">
        <f t="shared" si="3"/>
        <v>ЭТАЖ ЗАДАН ЧИСЛОМ</v>
      </c>
      <c r="P32" s="13" t="str">
        <f t="shared" si="4"/>
        <v>ЭТАЖ ЗАДАН ЧИСЛОМ</v>
      </c>
      <c r="Q32" s="13" t="str">
        <f t="shared" si="5"/>
        <v>ГОТОВ</v>
      </c>
      <c r="R32" s="13">
        <f>IFERROR(VLOOKUP(P32,Лист1!A$1:B$20,2,FALSE),0)</f>
        <v>784</v>
      </c>
      <c r="S32" s="13">
        <f t="shared" si="6"/>
        <v>1</v>
      </c>
    </row>
    <row r="33" spans="1:19" x14ac:dyDescent="0.25">
      <c r="A33" s="24" t="s">
        <v>1107</v>
      </c>
      <c r="B33" s="4" t="s">
        <v>1059</v>
      </c>
      <c r="C33" s="25" t="s">
        <v>7</v>
      </c>
      <c r="E33" s="3">
        <v>1</v>
      </c>
      <c r="F33" s="24" t="s">
        <v>1045</v>
      </c>
      <c r="G33" s="25" t="s">
        <v>1108</v>
      </c>
      <c r="H33" s="24" t="s">
        <v>1061</v>
      </c>
      <c r="I33" s="3" t="str">
        <f>IFERROR(VLOOKUP(C33,'Справочник соответствий'!A$2:D$2981,2,FALSE),IF(VALUE(C33)=0,1,VLOOKUP(C33,'Справочник соответствий'!A$2:D$2981,2,FALSE)))</f>
        <v>2</v>
      </c>
      <c r="J33" s="3">
        <f>IFERROR(VLOOKUP(D33,'Справочник соответствий'!A$2:D$2981,2,FALSE),IF(VALUE(D33)=0,0,VLOOKUP(D33,'Справочник соответствий'!A$2:D$2981,2,FALSE)))</f>
        <v>0</v>
      </c>
      <c r="K33" s="3" t="str">
        <f t="shared" si="0"/>
        <v>2</v>
      </c>
      <c r="L33" s="13" t="str">
        <f>IFERROR(VLOOKUP(C33,'Справочник соответствий'!A$2:D$2981,3,FALSE),IF(VALUE(C33)=0,"ЭТАЖ НЕ ОПРЕДЕЛЕН. ПРИНЯТ ПО ДОПУЩЕНИЮ 1",VLOOKUP(C33,'Справочник соответствий'!A$2:D$2981,3,FALSE)))</f>
        <v>ЭТАЖ ЗАДАН ЧИСЛОМ</v>
      </c>
      <c r="M33" s="13" t="b">
        <f t="shared" si="1"/>
        <v>0</v>
      </c>
      <c r="N33" s="13">
        <f t="shared" si="2"/>
        <v>2</v>
      </c>
      <c r="O33" s="13" t="str">
        <f t="shared" si="3"/>
        <v>ЭТАЖ ЗАДАН ЧИСЛОМ</v>
      </c>
      <c r="P33" s="13" t="str">
        <f t="shared" si="4"/>
        <v>ЭТАЖ ЗАДАН ЧИСЛОМ</v>
      </c>
      <c r="Q33" s="13" t="str">
        <f t="shared" si="5"/>
        <v>ГОТОВ_ИЗМЕНЕН</v>
      </c>
      <c r="R33" s="13">
        <f>IFERROR(VLOOKUP(P33,Лист1!A$1:B$20,2,FALSE),0)</f>
        <v>784</v>
      </c>
      <c r="S33" s="13">
        <f t="shared" si="6"/>
        <v>1</v>
      </c>
    </row>
    <row r="34" spans="1:19" x14ac:dyDescent="0.25">
      <c r="A34" s="24" t="s">
        <v>1109</v>
      </c>
      <c r="B34" s="4" t="s">
        <v>1059</v>
      </c>
      <c r="C34" s="25" t="s">
        <v>5</v>
      </c>
      <c r="E34" s="3">
        <v>1</v>
      </c>
      <c r="F34" s="24" t="s">
        <v>1045</v>
      </c>
      <c r="G34" s="25" t="s">
        <v>1104</v>
      </c>
      <c r="H34" s="24" t="s">
        <v>1061</v>
      </c>
      <c r="I34" s="3" t="str">
        <f>IFERROR(VLOOKUP(C34,'Справочник соответствий'!A$2:D$2981,2,FALSE),IF(VALUE(C34)=0,1,VLOOKUP(C34,'Справочник соответствий'!A$2:D$2981,2,FALSE)))</f>
        <v>1</v>
      </c>
      <c r="J34" s="3">
        <f>IFERROR(VLOOKUP(D34,'Справочник соответствий'!A$2:D$2981,2,FALSE),IF(VALUE(D34)=0,0,VLOOKUP(D34,'Справочник соответствий'!A$2:D$2981,2,FALSE)))</f>
        <v>0</v>
      </c>
      <c r="K34" s="3" t="str">
        <f t="shared" si="0"/>
        <v>1</v>
      </c>
      <c r="L34" s="13" t="str">
        <f>IFERROR(VLOOKUP(C34,'Справочник соответствий'!A$2:D$2981,3,FALSE),IF(VALUE(C34)=0,"ЭТАЖ НЕ ОПРЕДЕЛЕН. ПРИНЯТ ПО ДОПУЩЕНИЮ 1",VLOOKUP(C34,'Справочник соответствий'!A$2:D$2981,3,FALSE)))</f>
        <v>ЭТАЖ ЗАДАН ЧИСЛОМ</v>
      </c>
      <c r="M34" s="13" t="b">
        <f t="shared" si="1"/>
        <v>0</v>
      </c>
      <c r="N34" s="13">
        <f t="shared" si="2"/>
        <v>1</v>
      </c>
      <c r="O34" s="13" t="str">
        <f t="shared" si="3"/>
        <v>ЭТАЖ ЗАДАН ЧИСЛОМ</v>
      </c>
      <c r="P34" s="13" t="str">
        <f t="shared" si="4"/>
        <v>ЭТАЖ ЗАДАН ЧИСЛОМ</v>
      </c>
      <c r="Q34" s="13" t="str">
        <f t="shared" si="5"/>
        <v>ГОТОВ</v>
      </c>
      <c r="R34" s="13">
        <f>IFERROR(VLOOKUP(P34,Лист1!A$1:B$20,2,FALSE),0)</f>
        <v>784</v>
      </c>
      <c r="S34" s="13">
        <f t="shared" si="6"/>
        <v>1</v>
      </c>
    </row>
    <row r="35" spans="1:19" x14ac:dyDescent="0.25">
      <c r="A35" s="24" t="s">
        <v>1110</v>
      </c>
      <c r="B35" s="4" t="s">
        <v>1059</v>
      </c>
      <c r="C35" s="25" t="s">
        <v>5</v>
      </c>
      <c r="D35" s="25" t="s">
        <v>24</v>
      </c>
      <c r="E35" s="3">
        <v>1</v>
      </c>
      <c r="F35" s="24" t="s">
        <v>1045</v>
      </c>
      <c r="G35" s="25" t="s">
        <v>1072</v>
      </c>
      <c r="H35" s="24" t="s">
        <v>1061</v>
      </c>
      <c r="I35" s="3" t="str">
        <f>IFERROR(VLOOKUP(C35,'Справочник соответствий'!A$2:D$2981,2,FALSE),IF(VALUE(C35)=0,1,VLOOKUP(C35,'Справочник соответствий'!A$2:D$2981,2,FALSE)))</f>
        <v>1</v>
      </c>
      <c r="J35" s="3" t="str">
        <f>IFERROR(VLOOKUP(D35,'Справочник соответствий'!A$2:D$2981,2,FALSE),IF(VALUE(D35)=0,0,VLOOKUP(D35,'Справочник соответствий'!A$2:D$2981,2,FALSE)))</f>
        <v>1</v>
      </c>
      <c r="K35" s="3" t="str">
        <f t="shared" si="0"/>
        <v>1</v>
      </c>
      <c r="L35" s="13" t="str">
        <f>IFERROR(VLOOKUP(C35,'Справочник соответствий'!A$2:D$2981,3,FALSE),IF(VALUE(C35)=0,"ЭТАЖ НЕ ОПРЕДЕЛЕН. ПРИНЯТ ПО ДОПУЩЕНИЮ 1",VLOOKUP(C35,'Справочник соответствий'!A$2:D$2981,3,FALSE)))</f>
        <v>ЭТАЖ ЗАДАН ЧИСЛОМ</v>
      </c>
      <c r="M35" s="13" t="b">
        <f t="shared" si="1"/>
        <v>0</v>
      </c>
      <c r="N35" s="13">
        <f t="shared" si="2"/>
        <v>1</v>
      </c>
      <c r="O35" s="13" t="str">
        <f t="shared" si="3"/>
        <v>ЭТАЖ ЗАДАН ЧИСЛОМ</v>
      </c>
      <c r="P35" s="13" t="str">
        <f t="shared" si="4"/>
        <v>ЭТАЖ ЗАДАН ЧИСЛОМ</v>
      </c>
      <c r="Q35" s="13" t="str">
        <f t="shared" si="5"/>
        <v>ГОТОВ</v>
      </c>
      <c r="R35" s="13">
        <f>IFERROR(VLOOKUP(P35,Лист1!A$1:B$20,2,FALSE),0)</f>
        <v>784</v>
      </c>
      <c r="S35" s="13">
        <f t="shared" si="6"/>
        <v>1</v>
      </c>
    </row>
    <row r="36" spans="1:19" x14ac:dyDescent="0.25">
      <c r="A36" s="24" t="s">
        <v>1111</v>
      </c>
      <c r="B36" s="4" t="s">
        <v>1059</v>
      </c>
      <c r="C36" s="25" t="s">
        <v>5</v>
      </c>
      <c r="E36" s="3">
        <v>1</v>
      </c>
      <c r="F36" s="24" t="s">
        <v>1045</v>
      </c>
      <c r="G36" s="25" t="s">
        <v>1104</v>
      </c>
      <c r="H36" s="24" t="s">
        <v>1061</v>
      </c>
      <c r="I36" s="3" t="str">
        <f>IFERROR(VLOOKUP(C36,'Справочник соответствий'!A$2:D$2981,2,FALSE),IF(VALUE(C36)=0,1,VLOOKUP(C36,'Справочник соответствий'!A$2:D$2981,2,FALSE)))</f>
        <v>1</v>
      </c>
      <c r="J36" s="3">
        <f>IFERROR(VLOOKUP(D36,'Справочник соответствий'!A$2:D$2981,2,FALSE),IF(VALUE(D36)=0,0,VLOOKUP(D36,'Справочник соответствий'!A$2:D$2981,2,FALSE)))</f>
        <v>0</v>
      </c>
      <c r="K36" s="3" t="str">
        <f t="shared" si="0"/>
        <v>1</v>
      </c>
      <c r="L36" s="13" t="str">
        <f>IFERROR(VLOOKUP(C36,'Справочник соответствий'!A$2:D$2981,3,FALSE),IF(VALUE(C36)=0,"ЭТАЖ НЕ ОПРЕДЕЛЕН. ПРИНЯТ ПО ДОПУЩЕНИЮ 1",VLOOKUP(C36,'Справочник соответствий'!A$2:D$2981,3,FALSE)))</f>
        <v>ЭТАЖ ЗАДАН ЧИСЛОМ</v>
      </c>
      <c r="M36" s="13" t="b">
        <f t="shared" si="1"/>
        <v>0</v>
      </c>
      <c r="N36" s="13">
        <f t="shared" si="2"/>
        <v>1</v>
      </c>
      <c r="O36" s="13" t="str">
        <f t="shared" si="3"/>
        <v>ЭТАЖ ЗАДАН ЧИСЛОМ</v>
      </c>
      <c r="P36" s="13" t="str">
        <f t="shared" si="4"/>
        <v>ЭТАЖ ЗАДАН ЧИСЛОМ</v>
      </c>
      <c r="Q36" s="13" t="str">
        <f t="shared" si="5"/>
        <v>ГОТОВ</v>
      </c>
      <c r="R36" s="13">
        <f>IFERROR(VLOOKUP(P36,Лист1!A$1:B$20,2,FALSE),0)</f>
        <v>784</v>
      </c>
      <c r="S36" s="13">
        <f t="shared" si="6"/>
        <v>1</v>
      </c>
    </row>
    <row r="37" spans="1:19" x14ac:dyDescent="0.25">
      <c r="A37" s="24" t="s">
        <v>1112</v>
      </c>
      <c r="B37" s="4" t="s">
        <v>1059</v>
      </c>
      <c r="C37" s="25" t="s">
        <v>5</v>
      </c>
      <c r="E37" s="3">
        <v>1</v>
      </c>
      <c r="F37" s="24" t="s">
        <v>1045</v>
      </c>
      <c r="G37" s="25" t="s">
        <v>1072</v>
      </c>
      <c r="H37" s="24" t="s">
        <v>1061</v>
      </c>
      <c r="I37" s="3" t="str">
        <f>IFERROR(VLOOKUP(C37,'Справочник соответствий'!A$2:D$2981,2,FALSE),IF(VALUE(C37)=0,1,VLOOKUP(C37,'Справочник соответствий'!A$2:D$2981,2,FALSE)))</f>
        <v>1</v>
      </c>
      <c r="J37" s="3">
        <f>IFERROR(VLOOKUP(D37,'Справочник соответствий'!A$2:D$2981,2,FALSE),IF(VALUE(D37)=0,0,VLOOKUP(D37,'Справочник соответствий'!A$2:D$2981,2,FALSE)))</f>
        <v>0</v>
      </c>
      <c r="K37" s="3" t="str">
        <f t="shared" si="0"/>
        <v>1</v>
      </c>
      <c r="L37" s="13" t="str">
        <f>IFERROR(VLOOKUP(C37,'Справочник соответствий'!A$2:D$2981,3,FALSE),IF(VALUE(C37)=0,"ЭТАЖ НЕ ОПРЕДЕЛЕН. ПРИНЯТ ПО ДОПУЩЕНИЮ 1",VLOOKUP(C37,'Справочник соответствий'!A$2:D$2981,3,FALSE)))</f>
        <v>ЭТАЖ ЗАДАН ЧИСЛОМ</v>
      </c>
      <c r="M37" s="13" t="b">
        <f t="shared" si="1"/>
        <v>0</v>
      </c>
      <c r="N37" s="13">
        <f t="shared" si="2"/>
        <v>1</v>
      </c>
      <c r="O37" s="13" t="str">
        <f t="shared" si="3"/>
        <v>ЭТАЖ ЗАДАН ЧИСЛОМ</v>
      </c>
      <c r="P37" s="13" t="str">
        <f t="shared" si="4"/>
        <v>ЭТАЖ ЗАДАН ЧИСЛОМ</v>
      </c>
      <c r="Q37" s="13" t="str">
        <f t="shared" si="5"/>
        <v>ГОТОВ</v>
      </c>
      <c r="R37" s="13">
        <f>IFERROR(VLOOKUP(P37,Лист1!A$1:B$20,2,FALSE),0)</f>
        <v>784</v>
      </c>
      <c r="S37" s="13">
        <f t="shared" si="6"/>
        <v>1</v>
      </c>
    </row>
    <row r="38" spans="1:19" x14ac:dyDescent="0.25">
      <c r="A38" s="24" t="s">
        <v>1113</v>
      </c>
      <c r="B38" s="4" t="s">
        <v>1063</v>
      </c>
      <c r="C38" s="25" t="s">
        <v>5</v>
      </c>
      <c r="E38" s="3">
        <v>1</v>
      </c>
      <c r="F38" s="24" t="s">
        <v>1045</v>
      </c>
      <c r="G38" s="25" t="s">
        <v>1114</v>
      </c>
      <c r="H38" s="24" t="s">
        <v>1061</v>
      </c>
      <c r="I38" s="3" t="str">
        <f>IFERROR(VLOOKUP(C38,'Справочник соответствий'!A$2:D$2981,2,FALSE),IF(VALUE(C38)=0,1,VLOOKUP(C38,'Справочник соответствий'!A$2:D$2981,2,FALSE)))</f>
        <v>1</v>
      </c>
      <c r="J38" s="3">
        <f>IFERROR(VLOOKUP(D38,'Справочник соответствий'!A$2:D$2981,2,FALSE),IF(VALUE(D38)=0,0,VLOOKUP(D38,'Справочник соответствий'!A$2:D$2981,2,FALSE)))</f>
        <v>0</v>
      </c>
      <c r="K38" s="3" t="str">
        <f t="shared" si="0"/>
        <v>1</v>
      </c>
      <c r="L38" s="13" t="str">
        <f>IFERROR(VLOOKUP(C38,'Справочник соответствий'!A$2:D$2981,3,FALSE),IF(VALUE(C38)=0,"ЭТАЖ НЕ ОПРЕДЕЛЕН. ПРИНЯТ ПО ДОПУЩЕНИЮ 1",VLOOKUP(C38,'Справочник соответствий'!A$2:D$2981,3,FALSE)))</f>
        <v>ЭТАЖ ЗАДАН ЧИСЛОМ</v>
      </c>
      <c r="M38" s="13" t="b">
        <f t="shared" si="1"/>
        <v>0</v>
      </c>
      <c r="N38" s="13">
        <f t="shared" si="2"/>
        <v>1</v>
      </c>
      <c r="O38" s="13" t="str">
        <f t="shared" si="3"/>
        <v>ЭТАЖ ЗАДАН ЧИСЛОМ</v>
      </c>
      <c r="P38" s="13" t="str">
        <f t="shared" si="4"/>
        <v>ЭТАЖ ЗАДАН ЧИСЛОМ</v>
      </c>
      <c r="Q38" s="13" t="str">
        <f t="shared" si="5"/>
        <v>ГОТОВ</v>
      </c>
      <c r="R38" s="13">
        <f>IFERROR(VLOOKUP(P38,Лист1!A$1:B$20,2,FALSE),0)</f>
        <v>784</v>
      </c>
      <c r="S38" s="13">
        <f t="shared" si="6"/>
        <v>1</v>
      </c>
    </row>
    <row r="39" spans="1:19" x14ac:dyDescent="0.25">
      <c r="A39" s="24" t="s">
        <v>1115</v>
      </c>
      <c r="B39" s="4" t="s">
        <v>1059</v>
      </c>
      <c r="C39" s="25" t="s">
        <v>5</v>
      </c>
      <c r="E39" s="3">
        <v>1</v>
      </c>
      <c r="F39" s="24" t="s">
        <v>1045</v>
      </c>
      <c r="G39" s="25" t="s">
        <v>1096</v>
      </c>
      <c r="H39" s="24" t="s">
        <v>1061</v>
      </c>
      <c r="I39" s="3" t="str">
        <f>IFERROR(VLOOKUP(C39,'Справочник соответствий'!A$2:D$2981,2,FALSE),IF(VALUE(C39)=0,1,VLOOKUP(C39,'Справочник соответствий'!A$2:D$2981,2,FALSE)))</f>
        <v>1</v>
      </c>
      <c r="J39" s="3">
        <f>IFERROR(VLOOKUP(D39,'Справочник соответствий'!A$2:D$2981,2,FALSE),IF(VALUE(D39)=0,0,VLOOKUP(D39,'Справочник соответствий'!A$2:D$2981,2,FALSE)))</f>
        <v>0</v>
      </c>
      <c r="K39" s="3" t="str">
        <f t="shared" si="0"/>
        <v>1</v>
      </c>
      <c r="L39" s="13" t="str">
        <f>IFERROR(VLOOKUP(C39,'Справочник соответствий'!A$2:D$2981,3,FALSE),IF(VALUE(C39)=0,"ЭТАЖ НЕ ОПРЕДЕЛЕН. ПРИНЯТ ПО ДОПУЩЕНИЮ 1",VLOOKUP(C39,'Справочник соответствий'!A$2:D$2981,3,FALSE)))</f>
        <v>ЭТАЖ ЗАДАН ЧИСЛОМ</v>
      </c>
      <c r="M39" s="13" t="b">
        <f t="shared" si="1"/>
        <v>0</v>
      </c>
      <c r="N39" s="13">
        <f t="shared" si="2"/>
        <v>1</v>
      </c>
      <c r="O39" s="13" t="str">
        <f t="shared" si="3"/>
        <v>ЭТАЖ ЗАДАН ЧИСЛОМ</v>
      </c>
      <c r="P39" s="13" t="str">
        <f t="shared" si="4"/>
        <v>ЭТАЖ ЗАДАН ЧИСЛОМ</v>
      </c>
      <c r="Q39" s="13" t="str">
        <f t="shared" si="5"/>
        <v>ГОТОВ</v>
      </c>
      <c r="R39" s="13">
        <f>IFERROR(VLOOKUP(P39,Лист1!A$1:B$20,2,FALSE),0)</f>
        <v>784</v>
      </c>
      <c r="S39" s="13">
        <f t="shared" si="6"/>
        <v>1</v>
      </c>
    </row>
    <row r="40" spans="1:19" x14ac:dyDescent="0.25">
      <c r="A40" s="24" t="s">
        <v>1116</v>
      </c>
      <c r="B40" s="4" t="s">
        <v>1063</v>
      </c>
      <c r="C40" s="25" t="s">
        <v>5</v>
      </c>
      <c r="E40" s="3">
        <v>1</v>
      </c>
      <c r="F40" s="24" t="s">
        <v>1045</v>
      </c>
      <c r="G40" s="25" t="s">
        <v>1117</v>
      </c>
      <c r="H40" s="24" t="s">
        <v>1061</v>
      </c>
      <c r="I40" s="3" t="str">
        <f>IFERROR(VLOOKUP(C40,'Справочник соответствий'!A$2:D$2981,2,FALSE),IF(VALUE(C40)=0,1,VLOOKUP(C40,'Справочник соответствий'!A$2:D$2981,2,FALSE)))</f>
        <v>1</v>
      </c>
      <c r="J40" s="3">
        <f>IFERROR(VLOOKUP(D40,'Справочник соответствий'!A$2:D$2981,2,FALSE),IF(VALUE(D40)=0,0,VLOOKUP(D40,'Справочник соответствий'!A$2:D$2981,2,FALSE)))</f>
        <v>0</v>
      </c>
      <c r="K40" s="3" t="str">
        <f t="shared" si="0"/>
        <v>1</v>
      </c>
      <c r="L40" s="13" t="str">
        <f>IFERROR(VLOOKUP(C40,'Справочник соответствий'!A$2:D$2981,3,FALSE),IF(VALUE(C40)=0,"ЭТАЖ НЕ ОПРЕДЕЛЕН. ПРИНЯТ ПО ДОПУЩЕНИЮ 1",VLOOKUP(C40,'Справочник соответствий'!A$2:D$2981,3,FALSE)))</f>
        <v>ЭТАЖ ЗАДАН ЧИСЛОМ</v>
      </c>
      <c r="M40" s="13" t="b">
        <f t="shared" si="1"/>
        <v>0</v>
      </c>
      <c r="N40" s="13">
        <f t="shared" si="2"/>
        <v>1</v>
      </c>
      <c r="O40" s="13" t="str">
        <f t="shared" si="3"/>
        <v>ЭТАЖ ЗАДАН ЧИСЛОМ</v>
      </c>
      <c r="P40" s="13" t="str">
        <f t="shared" si="4"/>
        <v>ЭТАЖ ЗАДАН ЧИСЛОМ</v>
      </c>
      <c r="Q40" s="13" t="str">
        <f t="shared" si="5"/>
        <v>ГОТОВ</v>
      </c>
      <c r="R40" s="13">
        <f>IFERROR(VLOOKUP(P40,Лист1!A$1:B$20,2,FALSE),0)</f>
        <v>784</v>
      </c>
      <c r="S40" s="13">
        <f t="shared" si="6"/>
        <v>1</v>
      </c>
    </row>
    <row r="41" spans="1:19" x14ac:dyDescent="0.25">
      <c r="A41" s="24" t="s">
        <v>1118</v>
      </c>
      <c r="B41" s="4" t="s">
        <v>1059</v>
      </c>
      <c r="C41" s="25" t="s">
        <v>5</v>
      </c>
      <c r="E41" s="3">
        <v>1</v>
      </c>
      <c r="F41" s="24" t="s">
        <v>1045</v>
      </c>
      <c r="G41" s="25" t="s">
        <v>1089</v>
      </c>
      <c r="H41" s="24" t="s">
        <v>1061</v>
      </c>
      <c r="I41" s="3" t="str">
        <f>IFERROR(VLOOKUP(C41,'Справочник соответствий'!A$2:D$2981,2,FALSE),IF(VALUE(C41)=0,1,VLOOKUP(C41,'Справочник соответствий'!A$2:D$2981,2,FALSE)))</f>
        <v>1</v>
      </c>
      <c r="J41" s="3">
        <f>IFERROR(VLOOKUP(D41,'Справочник соответствий'!A$2:D$2981,2,FALSE),IF(VALUE(D41)=0,0,VLOOKUP(D41,'Справочник соответствий'!A$2:D$2981,2,FALSE)))</f>
        <v>0</v>
      </c>
      <c r="K41" s="3" t="str">
        <f t="shared" si="0"/>
        <v>1</v>
      </c>
      <c r="L41" s="13" t="str">
        <f>IFERROR(VLOOKUP(C41,'Справочник соответствий'!A$2:D$2981,3,FALSE),IF(VALUE(C41)=0,"ЭТАЖ НЕ ОПРЕДЕЛЕН. ПРИНЯТ ПО ДОПУЩЕНИЮ 1",VLOOKUP(C41,'Справочник соответствий'!A$2:D$2981,3,FALSE)))</f>
        <v>ЭТАЖ ЗАДАН ЧИСЛОМ</v>
      </c>
      <c r="M41" s="13" t="b">
        <f t="shared" si="1"/>
        <v>0</v>
      </c>
      <c r="N41" s="13">
        <f t="shared" si="2"/>
        <v>1</v>
      </c>
      <c r="O41" s="13" t="str">
        <f t="shared" si="3"/>
        <v>ЭТАЖ ЗАДАН ЧИСЛОМ</v>
      </c>
      <c r="P41" s="13" t="str">
        <f t="shared" si="4"/>
        <v>ЭТАЖ ЗАДАН ЧИСЛОМ</v>
      </c>
      <c r="Q41" s="13" t="str">
        <f t="shared" si="5"/>
        <v>ГОТОВ</v>
      </c>
      <c r="R41" s="13">
        <f>IFERROR(VLOOKUP(P41,Лист1!A$1:B$20,2,FALSE),0)</f>
        <v>784</v>
      </c>
      <c r="S41" s="13">
        <f t="shared" si="6"/>
        <v>1</v>
      </c>
    </row>
    <row r="42" spans="1:19" x14ac:dyDescent="0.25">
      <c r="A42" s="24" t="s">
        <v>1119</v>
      </c>
      <c r="B42" s="4" t="s">
        <v>1063</v>
      </c>
      <c r="C42" s="25" t="s">
        <v>5</v>
      </c>
      <c r="E42" s="3">
        <v>1</v>
      </c>
      <c r="F42" s="24" t="s">
        <v>1045</v>
      </c>
      <c r="G42" s="25" t="s">
        <v>1072</v>
      </c>
      <c r="H42" s="24" t="s">
        <v>1061</v>
      </c>
      <c r="I42" s="3" t="str">
        <f>IFERROR(VLOOKUP(C42,'Справочник соответствий'!A$2:D$2981,2,FALSE),IF(VALUE(C42)=0,1,VLOOKUP(C42,'Справочник соответствий'!A$2:D$2981,2,FALSE)))</f>
        <v>1</v>
      </c>
      <c r="J42" s="3">
        <f>IFERROR(VLOOKUP(D42,'Справочник соответствий'!A$2:D$2981,2,FALSE),IF(VALUE(D42)=0,0,VLOOKUP(D42,'Справочник соответствий'!A$2:D$2981,2,FALSE)))</f>
        <v>0</v>
      </c>
      <c r="K42" s="3" t="str">
        <f t="shared" si="0"/>
        <v>1</v>
      </c>
      <c r="L42" s="13" t="str">
        <f>IFERROR(VLOOKUP(C42,'Справочник соответствий'!A$2:D$2981,3,FALSE),IF(VALUE(C42)=0,"ЭТАЖ НЕ ОПРЕДЕЛЕН. ПРИНЯТ ПО ДОПУЩЕНИЮ 1",VLOOKUP(C42,'Справочник соответствий'!A$2:D$2981,3,FALSE)))</f>
        <v>ЭТАЖ ЗАДАН ЧИСЛОМ</v>
      </c>
      <c r="M42" s="13" t="b">
        <f t="shared" si="1"/>
        <v>0</v>
      </c>
      <c r="N42" s="13">
        <f t="shared" si="2"/>
        <v>1</v>
      </c>
      <c r="O42" s="13" t="str">
        <f t="shared" si="3"/>
        <v>ЭТАЖ ЗАДАН ЧИСЛОМ</v>
      </c>
      <c r="P42" s="13" t="str">
        <f t="shared" si="4"/>
        <v>ЭТАЖ ЗАДАН ЧИСЛОМ</v>
      </c>
      <c r="Q42" s="13" t="str">
        <f t="shared" si="5"/>
        <v>ГОТОВ</v>
      </c>
      <c r="R42" s="13">
        <f>IFERROR(VLOOKUP(P42,Лист1!A$1:B$20,2,FALSE),0)</f>
        <v>784</v>
      </c>
      <c r="S42" s="13">
        <f t="shared" si="6"/>
        <v>1</v>
      </c>
    </row>
    <row r="43" spans="1:19" x14ac:dyDescent="0.25">
      <c r="A43" s="24" t="s">
        <v>1120</v>
      </c>
      <c r="B43" s="4" t="s">
        <v>1063</v>
      </c>
      <c r="C43" s="25" t="s">
        <v>5</v>
      </c>
      <c r="G43" s="25" t="s">
        <v>1069</v>
      </c>
      <c r="H43" s="24" t="s">
        <v>1061</v>
      </c>
      <c r="I43" s="3" t="str">
        <f>IFERROR(VLOOKUP(C43,'Справочник соответствий'!A$2:D$2981,2,FALSE),IF(VALUE(C43)=0,1,VLOOKUP(C43,'Справочник соответствий'!A$2:D$2981,2,FALSE)))</f>
        <v>1</v>
      </c>
      <c r="J43" s="3">
        <f>IFERROR(VLOOKUP(D43,'Справочник соответствий'!A$2:D$2981,2,FALSE),IF(VALUE(D43)=0,0,VLOOKUP(D43,'Справочник соответствий'!A$2:D$2981,2,FALSE)))</f>
        <v>0</v>
      </c>
      <c r="K43" s="3" t="str">
        <f t="shared" si="0"/>
        <v>1</v>
      </c>
      <c r="L43" s="13" t="str">
        <f>IFERROR(VLOOKUP(C43,'Справочник соответствий'!A$2:D$2981,3,FALSE),IF(VALUE(C43)=0,"ЭТАЖ НЕ ОПРЕДЕЛЕН. ПРИНЯТ ПО ДОПУЩЕНИЮ 1",VLOOKUP(C43,'Справочник соответствий'!A$2:D$2981,3,FALSE)))</f>
        <v>ЭТАЖ ЗАДАН ЧИСЛОМ</v>
      </c>
      <c r="M43" s="13" t="b">
        <f t="shared" si="1"/>
        <v>0</v>
      </c>
      <c r="N43" s="13">
        <f t="shared" si="2"/>
        <v>1</v>
      </c>
      <c r="O43" s="13" t="str">
        <f t="shared" si="3"/>
        <v>ЭТАЖ ЗАДАН ЧИСЛОМ</v>
      </c>
      <c r="P43" s="13" t="str">
        <f t="shared" si="4"/>
        <v>ЭТАЖ ЗАДАН ЧИСЛОМ</v>
      </c>
      <c r="Q43" s="13" t="str">
        <f t="shared" si="5"/>
        <v>ГОТОВ_ИЗМЕНЕН</v>
      </c>
      <c r="R43" s="13">
        <f>IFERROR(VLOOKUP(P43,Лист1!A$1:B$20,2,FALSE),0)</f>
        <v>784</v>
      </c>
      <c r="S43" s="13">
        <f t="shared" si="6"/>
        <v>0</v>
      </c>
    </row>
    <row r="44" spans="1:19" x14ac:dyDescent="0.25">
      <c r="A44" s="24" t="s">
        <v>1121</v>
      </c>
      <c r="B44" s="4" t="s">
        <v>1059</v>
      </c>
      <c r="C44" s="25" t="s">
        <v>5</v>
      </c>
      <c r="G44" s="25" t="s">
        <v>1086</v>
      </c>
      <c r="H44" s="24" t="s">
        <v>1061</v>
      </c>
      <c r="I44" s="3" t="str">
        <f>IFERROR(VLOOKUP(C44,'Справочник соответствий'!A$2:D$2981,2,FALSE),IF(VALUE(C44)=0,1,VLOOKUP(C44,'Справочник соответствий'!A$2:D$2981,2,FALSE)))</f>
        <v>1</v>
      </c>
      <c r="J44" s="3">
        <f>IFERROR(VLOOKUP(D44,'Справочник соответствий'!A$2:D$2981,2,FALSE),IF(VALUE(D44)=0,0,VLOOKUP(D44,'Справочник соответствий'!A$2:D$2981,2,FALSE)))</f>
        <v>0</v>
      </c>
      <c r="K44" s="3" t="str">
        <f t="shared" si="0"/>
        <v>1</v>
      </c>
      <c r="L44" s="13" t="str">
        <f>IFERROR(VLOOKUP(C44,'Справочник соответствий'!A$2:D$2981,3,FALSE),IF(VALUE(C44)=0,"ЭТАЖ НЕ ОПРЕДЕЛЕН. ПРИНЯТ ПО ДОПУЩЕНИЮ 1",VLOOKUP(C44,'Справочник соответствий'!A$2:D$2981,3,FALSE)))</f>
        <v>ЭТАЖ ЗАДАН ЧИСЛОМ</v>
      </c>
      <c r="M44" s="13" t="b">
        <f t="shared" si="1"/>
        <v>0</v>
      </c>
      <c r="N44" s="13">
        <f t="shared" si="2"/>
        <v>1</v>
      </c>
      <c r="O44" s="13" t="str">
        <f t="shared" si="3"/>
        <v>ЭТАЖ ЗАДАН ЧИСЛОМ</v>
      </c>
      <c r="P44" s="13" t="str">
        <f t="shared" si="4"/>
        <v>ЭТАЖ ЗАДАН ЧИСЛОМ</v>
      </c>
      <c r="Q44" s="13" t="str">
        <f t="shared" si="5"/>
        <v>ГОТОВ_ИЗМЕНЕН</v>
      </c>
      <c r="R44" s="13">
        <f>IFERROR(VLOOKUP(P44,Лист1!A$1:B$20,2,FALSE),0)</f>
        <v>784</v>
      </c>
      <c r="S44" s="13">
        <f t="shared" si="6"/>
        <v>0</v>
      </c>
    </row>
    <row r="45" spans="1:19" x14ac:dyDescent="0.25">
      <c r="A45" s="24" t="s">
        <v>1122</v>
      </c>
      <c r="B45" s="4" t="s">
        <v>1059</v>
      </c>
      <c r="C45" s="25" t="s">
        <v>5</v>
      </c>
      <c r="G45" s="25" t="s">
        <v>1086</v>
      </c>
      <c r="H45" s="24" t="s">
        <v>1061</v>
      </c>
      <c r="I45" s="3" t="str">
        <f>IFERROR(VLOOKUP(C45,'Справочник соответствий'!A$2:D$2981,2,FALSE),IF(VALUE(C45)=0,1,VLOOKUP(C45,'Справочник соответствий'!A$2:D$2981,2,FALSE)))</f>
        <v>1</v>
      </c>
      <c r="J45" s="3">
        <f>IFERROR(VLOOKUP(D45,'Справочник соответствий'!A$2:D$2981,2,FALSE),IF(VALUE(D45)=0,0,VLOOKUP(D45,'Справочник соответствий'!A$2:D$2981,2,FALSE)))</f>
        <v>0</v>
      </c>
      <c r="K45" s="3" t="str">
        <f t="shared" si="0"/>
        <v>1</v>
      </c>
      <c r="L45" s="13" t="str">
        <f>IFERROR(VLOOKUP(C45,'Справочник соответствий'!A$2:D$2981,3,FALSE),IF(VALUE(C45)=0,"ЭТАЖ НЕ ОПРЕДЕЛЕН. ПРИНЯТ ПО ДОПУЩЕНИЮ 1",VLOOKUP(C45,'Справочник соответствий'!A$2:D$2981,3,FALSE)))</f>
        <v>ЭТАЖ ЗАДАН ЧИСЛОМ</v>
      </c>
      <c r="M45" s="13" t="b">
        <f t="shared" si="1"/>
        <v>0</v>
      </c>
      <c r="N45" s="13">
        <f t="shared" si="2"/>
        <v>1</v>
      </c>
      <c r="O45" s="13" t="str">
        <f t="shared" si="3"/>
        <v>ЭТАЖ ЗАДАН ЧИСЛОМ</v>
      </c>
      <c r="P45" s="13" t="str">
        <f t="shared" si="4"/>
        <v>ЭТАЖ ЗАДАН ЧИСЛОМ</v>
      </c>
      <c r="Q45" s="13" t="str">
        <f t="shared" si="5"/>
        <v>ГОТОВ_ИЗМЕНЕН</v>
      </c>
      <c r="R45" s="13">
        <f>IFERROR(VLOOKUP(P45,Лист1!A$1:B$20,2,FALSE),0)</f>
        <v>784</v>
      </c>
      <c r="S45" s="13">
        <f t="shared" si="6"/>
        <v>0</v>
      </c>
    </row>
    <row r="46" spans="1:19" x14ac:dyDescent="0.25">
      <c r="A46" s="24" t="s">
        <v>1123</v>
      </c>
      <c r="B46" s="4" t="s">
        <v>1059</v>
      </c>
      <c r="C46" s="25" t="s">
        <v>7</v>
      </c>
      <c r="G46" s="25" t="s">
        <v>1086</v>
      </c>
      <c r="H46" s="24" t="s">
        <v>1061</v>
      </c>
      <c r="I46" s="3" t="str">
        <f>IFERROR(VLOOKUP(C46,'Справочник соответствий'!A$2:D$2981,2,FALSE),IF(VALUE(C46)=0,1,VLOOKUP(C46,'Справочник соответствий'!A$2:D$2981,2,FALSE)))</f>
        <v>2</v>
      </c>
      <c r="J46" s="3">
        <f>IFERROR(VLOOKUP(D46,'Справочник соответствий'!A$2:D$2981,2,FALSE),IF(VALUE(D46)=0,0,VLOOKUP(D46,'Справочник соответствий'!A$2:D$2981,2,FALSE)))</f>
        <v>0</v>
      </c>
      <c r="K46" s="3" t="str">
        <f t="shared" si="0"/>
        <v>2</v>
      </c>
      <c r="L46" s="13" t="str">
        <f>IFERROR(VLOOKUP(C46,'Справочник соответствий'!A$2:D$2981,3,FALSE),IF(VALUE(C46)=0,"ЭТАЖ НЕ ОПРЕДЕЛЕН. ПРИНЯТ ПО ДОПУЩЕНИЮ 1",VLOOKUP(C46,'Справочник соответствий'!A$2:D$2981,3,FALSE)))</f>
        <v>ЭТАЖ ЗАДАН ЧИСЛОМ</v>
      </c>
      <c r="M46" s="13" t="b">
        <f t="shared" si="1"/>
        <v>0</v>
      </c>
      <c r="N46" s="13">
        <f t="shared" si="2"/>
        <v>2</v>
      </c>
      <c r="O46" s="13" t="str">
        <f t="shared" si="3"/>
        <v>ЭТАЖ ЗАДАН ЧИСЛОМ</v>
      </c>
      <c r="P46" s="13" t="str">
        <f t="shared" si="4"/>
        <v>ЭТАЖ ЗАДАН ЧИСЛОМ</v>
      </c>
      <c r="Q46" s="13" t="str">
        <f t="shared" si="5"/>
        <v>ГОТОВ_ИЗМЕНЕН</v>
      </c>
      <c r="R46" s="13">
        <f>IFERROR(VLOOKUP(P46,Лист1!A$1:B$20,2,FALSE),0)</f>
        <v>784</v>
      </c>
      <c r="S46" s="13">
        <f t="shared" si="6"/>
        <v>0</v>
      </c>
    </row>
    <row r="47" spans="1:19" x14ac:dyDescent="0.25">
      <c r="A47" s="24" t="s">
        <v>1124</v>
      </c>
      <c r="B47" s="4" t="s">
        <v>1063</v>
      </c>
      <c r="C47" s="25" t="s">
        <v>5</v>
      </c>
      <c r="G47" s="25" t="s">
        <v>1086</v>
      </c>
      <c r="H47" s="24" t="s">
        <v>1061</v>
      </c>
      <c r="I47" s="3" t="str">
        <f>IFERROR(VLOOKUP(C47,'Справочник соответствий'!A$2:D$2981,2,FALSE),IF(VALUE(C47)=0,1,VLOOKUP(C47,'Справочник соответствий'!A$2:D$2981,2,FALSE)))</f>
        <v>1</v>
      </c>
      <c r="J47" s="3">
        <f>IFERROR(VLOOKUP(D47,'Справочник соответствий'!A$2:D$2981,2,FALSE),IF(VALUE(D47)=0,0,VLOOKUP(D47,'Справочник соответствий'!A$2:D$2981,2,FALSE)))</f>
        <v>0</v>
      </c>
      <c r="K47" s="3" t="str">
        <f t="shared" si="0"/>
        <v>1</v>
      </c>
      <c r="L47" s="13" t="str">
        <f>IFERROR(VLOOKUP(C47,'Справочник соответствий'!A$2:D$2981,3,FALSE),IF(VALUE(C47)=0,"ЭТАЖ НЕ ОПРЕДЕЛЕН. ПРИНЯТ ПО ДОПУЩЕНИЮ 1",VLOOKUP(C47,'Справочник соответствий'!A$2:D$2981,3,FALSE)))</f>
        <v>ЭТАЖ ЗАДАН ЧИСЛОМ</v>
      </c>
      <c r="M47" s="13" t="b">
        <f t="shared" si="1"/>
        <v>0</v>
      </c>
      <c r="N47" s="13">
        <f t="shared" si="2"/>
        <v>1</v>
      </c>
      <c r="O47" s="13" t="str">
        <f t="shared" si="3"/>
        <v>ЭТАЖ ЗАДАН ЧИСЛОМ</v>
      </c>
      <c r="P47" s="13" t="str">
        <f t="shared" si="4"/>
        <v>ЭТАЖ ЗАДАН ЧИСЛОМ</v>
      </c>
      <c r="Q47" s="13" t="str">
        <f t="shared" si="5"/>
        <v>ГОТОВ_ИЗМЕНЕН</v>
      </c>
      <c r="R47" s="13">
        <f>IFERROR(VLOOKUP(P47,Лист1!A$1:B$20,2,FALSE),0)</f>
        <v>784</v>
      </c>
      <c r="S47" s="13">
        <f t="shared" si="6"/>
        <v>0</v>
      </c>
    </row>
    <row r="48" spans="1:19" x14ac:dyDescent="0.25">
      <c r="A48" s="24" t="s">
        <v>1125</v>
      </c>
      <c r="B48" s="4" t="s">
        <v>1063</v>
      </c>
      <c r="C48" s="25" t="s">
        <v>5</v>
      </c>
      <c r="G48" s="25" t="s">
        <v>1086</v>
      </c>
      <c r="H48" s="24" t="s">
        <v>1061</v>
      </c>
      <c r="I48" s="3" t="str">
        <f>IFERROR(VLOOKUP(C48,'Справочник соответствий'!A$2:D$2981,2,FALSE),IF(VALUE(C48)=0,1,VLOOKUP(C48,'Справочник соответствий'!A$2:D$2981,2,FALSE)))</f>
        <v>1</v>
      </c>
      <c r="J48" s="3">
        <f>IFERROR(VLOOKUP(D48,'Справочник соответствий'!A$2:D$2981,2,FALSE),IF(VALUE(D48)=0,0,VLOOKUP(D48,'Справочник соответствий'!A$2:D$2981,2,FALSE)))</f>
        <v>0</v>
      </c>
      <c r="K48" s="3" t="str">
        <f t="shared" si="0"/>
        <v>1</v>
      </c>
      <c r="L48" s="13" t="str">
        <f>IFERROR(VLOOKUP(C48,'Справочник соответствий'!A$2:D$2981,3,FALSE),IF(VALUE(C48)=0,"ЭТАЖ НЕ ОПРЕДЕЛЕН. ПРИНЯТ ПО ДОПУЩЕНИЮ 1",VLOOKUP(C48,'Справочник соответствий'!A$2:D$2981,3,FALSE)))</f>
        <v>ЭТАЖ ЗАДАН ЧИСЛОМ</v>
      </c>
      <c r="M48" s="13" t="b">
        <f t="shared" si="1"/>
        <v>0</v>
      </c>
      <c r="N48" s="13">
        <f t="shared" si="2"/>
        <v>1</v>
      </c>
      <c r="O48" s="13" t="str">
        <f t="shared" si="3"/>
        <v>ЭТАЖ ЗАДАН ЧИСЛОМ</v>
      </c>
      <c r="P48" s="13" t="str">
        <f t="shared" si="4"/>
        <v>ЭТАЖ ЗАДАН ЧИСЛОМ</v>
      </c>
      <c r="Q48" s="13" t="str">
        <f t="shared" si="5"/>
        <v>ГОТОВ_ИЗМЕНЕН</v>
      </c>
      <c r="R48" s="13">
        <f>IFERROR(VLOOKUP(P48,Лист1!A$1:B$20,2,FALSE),0)</f>
        <v>784</v>
      </c>
      <c r="S48" s="13">
        <f t="shared" si="6"/>
        <v>0</v>
      </c>
    </row>
    <row r="49" spans="1:19" x14ac:dyDescent="0.25">
      <c r="A49" s="24" t="s">
        <v>1126</v>
      </c>
      <c r="B49" s="4" t="s">
        <v>1059</v>
      </c>
      <c r="C49" s="25" t="s">
        <v>5</v>
      </c>
      <c r="G49" s="25" t="s">
        <v>1086</v>
      </c>
      <c r="H49" s="24" t="s">
        <v>1061</v>
      </c>
      <c r="I49" s="3" t="str">
        <f>IFERROR(VLOOKUP(C49,'Справочник соответствий'!A$2:D$2981,2,FALSE),IF(VALUE(C49)=0,1,VLOOKUP(C49,'Справочник соответствий'!A$2:D$2981,2,FALSE)))</f>
        <v>1</v>
      </c>
      <c r="J49" s="3">
        <f>IFERROR(VLOOKUP(D49,'Справочник соответствий'!A$2:D$2981,2,FALSE),IF(VALUE(D49)=0,0,VLOOKUP(D49,'Справочник соответствий'!A$2:D$2981,2,FALSE)))</f>
        <v>0</v>
      </c>
      <c r="K49" s="3" t="str">
        <f t="shared" si="0"/>
        <v>1</v>
      </c>
      <c r="L49" s="13" t="str">
        <f>IFERROR(VLOOKUP(C49,'Справочник соответствий'!A$2:D$2981,3,FALSE),IF(VALUE(C49)=0,"ЭТАЖ НЕ ОПРЕДЕЛЕН. ПРИНЯТ ПО ДОПУЩЕНИЮ 1",VLOOKUP(C49,'Справочник соответствий'!A$2:D$2981,3,FALSE)))</f>
        <v>ЭТАЖ ЗАДАН ЧИСЛОМ</v>
      </c>
      <c r="M49" s="13" t="b">
        <f t="shared" si="1"/>
        <v>0</v>
      </c>
      <c r="N49" s="13">
        <f t="shared" si="2"/>
        <v>1</v>
      </c>
      <c r="O49" s="13" t="str">
        <f t="shared" si="3"/>
        <v>ЭТАЖ ЗАДАН ЧИСЛОМ</v>
      </c>
      <c r="P49" s="13" t="str">
        <f t="shared" si="4"/>
        <v>ЭТАЖ ЗАДАН ЧИСЛОМ</v>
      </c>
      <c r="Q49" s="13" t="str">
        <f t="shared" si="5"/>
        <v>ГОТОВ_ИЗМЕНЕН</v>
      </c>
      <c r="R49" s="13">
        <f>IFERROR(VLOOKUP(P49,Лист1!A$1:B$20,2,FALSE),0)</f>
        <v>784</v>
      </c>
      <c r="S49" s="13">
        <f t="shared" si="6"/>
        <v>0</v>
      </c>
    </row>
    <row r="50" spans="1:19" x14ac:dyDescent="0.25">
      <c r="A50" s="24" t="s">
        <v>1127</v>
      </c>
      <c r="B50" s="4" t="s">
        <v>1059</v>
      </c>
      <c r="C50" s="25" t="s">
        <v>5</v>
      </c>
      <c r="G50" s="25" t="s">
        <v>1086</v>
      </c>
      <c r="H50" s="24" t="s">
        <v>1061</v>
      </c>
      <c r="I50" s="3" t="str">
        <f>IFERROR(VLOOKUP(C50,'Справочник соответствий'!A$2:D$2981,2,FALSE),IF(VALUE(C50)=0,1,VLOOKUP(C50,'Справочник соответствий'!A$2:D$2981,2,FALSE)))</f>
        <v>1</v>
      </c>
      <c r="J50" s="3">
        <f>IFERROR(VLOOKUP(D50,'Справочник соответствий'!A$2:D$2981,2,FALSE),IF(VALUE(D50)=0,0,VLOOKUP(D50,'Справочник соответствий'!A$2:D$2981,2,FALSE)))</f>
        <v>0</v>
      </c>
      <c r="K50" s="3" t="str">
        <f t="shared" si="0"/>
        <v>1</v>
      </c>
      <c r="L50" s="13" t="str">
        <f>IFERROR(VLOOKUP(C50,'Справочник соответствий'!A$2:D$2981,3,FALSE),IF(VALUE(C50)=0,"ЭТАЖ НЕ ОПРЕДЕЛЕН. ПРИНЯТ ПО ДОПУЩЕНИЮ 1",VLOOKUP(C50,'Справочник соответствий'!A$2:D$2981,3,FALSE)))</f>
        <v>ЭТАЖ ЗАДАН ЧИСЛОМ</v>
      </c>
      <c r="M50" s="13" t="b">
        <f t="shared" si="1"/>
        <v>0</v>
      </c>
      <c r="N50" s="13">
        <f t="shared" si="2"/>
        <v>1</v>
      </c>
      <c r="O50" s="13" t="str">
        <f t="shared" si="3"/>
        <v>ЭТАЖ ЗАДАН ЧИСЛОМ</v>
      </c>
      <c r="P50" s="13" t="str">
        <f t="shared" si="4"/>
        <v>ЭТАЖ ЗАДАН ЧИСЛОМ</v>
      </c>
      <c r="Q50" s="13" t="str">
        <f t="shared" si="5"/>
        <v>ГОТОВ_ИЗМЕНЕН</v>
      </c>
      <c r="R50" s="13">
        <f>IFERROR(VLOOKUP(P50,Лист1!A$1:B$20,2,FALSE),0)</f>
        <v>784</v>
      </c>
      <c r="S50" s="13">
        <f t="shared" si="6"/>
        <v>0</v>
      </c>
    </row>
    <row r="51" spans="1:19" x14ac:dyDescent="0.25">
      <c r="A51" s="24" t="s">
        <v>1128</v>
      </c>
      <c r="B51" s="4" t="s">
        <v>1059</v>
      </c>
      <c r="C51" s="25" t="s">
        <v>5</v>
      </c>
      <c r="G51" s="25" t="s">
        <v>1080</v>
      </c>
      <c r="H51" s="24" t="s">
        <v>1061</v>
      </c>
      <c r="I51" s="3" t="str">
        <f>IFERROR(VLOOKUP(C51,'Справочник соответствий'!A$2:D$2981,2,FALSE),IF(VALUE(C51)=0,1,VLOOKUP(C51,'Справочник соответствий'!A$2:D$2981,2,FALSE)))</f>
        <v>1</v>
      </c>
      <c r="J51" s="3">
        <f>IFERROR(VLOOKUP(D51,'Справочник соответствий'!A$2:D$2981,2,FALSE),IF(VALUE(D51)=0,0,VLOOKUP(D51,'Справочник соответствий'!A$2:D$2981,2,FALSE)))</f>
        <v>0</v>
      </c>
      <c r="K51" s="3" t="str">
        <f t="shared" si="0"/>
        <v>1</v>
      </c>
      <c r="L51" s="13" t="str">
        <f>IFERROR(VLOOKUP(C51,'Справочник соответствий'!A$2:D$2981,3,FALSE),IF(VALUE(C51)=0,"ЭТАЖ НЕ ОПРЕДЕЛЕН. ПРИНЯТ ПО ДОПУЩЕНИЮ 1",VLOOKUP(C51,'Справочник соответствий'!A$2:D$2981,3,FALSE)))</f>
        <v>ЭТАЖ ЗАДАН ЧИСЛОМ</v>
      </c>
      <c r="M51" s="13" t="b">
        <f t="shared" si="1"/>
        <v>0</v>
      </c>
      <c r="N51" s="13">
        <f t="shared" si="2"/>
        <v>1</v>
      </c>
      <c r="O51" s="13" t="str">
        <f t="shared" si="3"/>
        <v>ЭТАЖ ЗАДАН ЧИСЛОМ</v>
      </c>
      <c r="P51" s="13" t="str">
        <f t="shared" si="4"/>
        <v>ЭТАЖ ЗАДАН ЧИСЛОМ</v>
      </c>
      <c r="Q51" s="13" t="str">
        <f t="shared" si="5"/>
        <v>ГОТОВ_ИЗМЕНЕН</v>
      </c>
      <c r="R51" s="13">
        <f>IFERROR(VLOOKUP(P51,Лист1!A$1:B$20,2,FALSE),0)</f>
        <v>784</v>
      </c>
      <c r="S51" s="13">
        <f t="shared" si="6"/>
        <v>0</v>
      </c>
    </row>
    <row r="52" spans="1:19" x14ac:dyDescent="0.25">
      <c r="A52" s="24" t="s">
        <v>1129</v>
      </c>
      <c r="B52" s="4" t="s">
        <v>1059</v>
      </c>
      <c r="C52" s="25" t="s">
        <v>5</v>
      </c>
      <c r="G52" s="25" t="s">
        <v>1080</v>
      </c>
      <c r="H52" s="24" t="s">
        <v>1061</v>
      </c>
      <c r="I52" s="3" t="str">
        <f>IFERROR(VLOOKUP(C52,'Справочник соответствий'!A$2:D$2981,2,FALSE),IF(VALUE(C52)=0,1,VLOOKUP(C52,'Справочник соответствий'!A$2:D$2981,2,FALSE)))</f>
        <v>1</v>
      </c>
      <c r="J52" s="3">
        <f>IFERROR(VLOOKUP(D52,'Справочник соответствий'!A$2:D$2981,2,FALSE),IF(VALUE(D52)=0,0,VLOOKUP(D52,'Справочник соответствий'!A$2:D$2981,2,FALSE)))</f>
        <v>0</v>
      </c>
      <c r="K52" s="3" t="str">
        <f t="shared" si="0"/>
        <v>1</v>
      </c>
      <c r="L52" s="13" t="str">
        <f>IFERROR(VLOOKUP(C52,'Справочник соответствий'!A$2:D$2981,3,FALSE),IF(VALUE(C52)=0,"ЭТАЖ НЕ ОПРЕДЕЛЕН. ПРИНЯТ ПО ДОПУЩЕНИЮ 1",VLOOKUP(C52,'Справочник соответствий'!A$2:D$2981,3,FALSE)))</f>
        <v>ЭТАЖ ЗАДАН ЧИСЛОМ</v>
      </c>
      <c r="M52" s="13" t="b">
        <f t="shared" si="1"/>
        <v>0</v>
      </c>
      <c r="N52" s="13">
        <f t="shared" si="2"/>
        <v>1</v>
      </c>
      <c r="O52" s="13" t="str">
        <f t="shared" si="3"/>
        <v>ЭТАЖ ЗАДАН ЧИСЛОМ</v>
      </c>
      <c r="P52" s="13" t="str">
        <f t="shared" si="4"/>
        <v>ЭТАЖ ЗАДАН ЧИСЛОМ</v>
      </c>
      <c r="Q52" s="13" t="str">
        <f t="shared" si="5"/>
        <v>ГОТОВ_ИЗМЕНЕН</v>
      </c>
      <c r="R52" s="13">
        <f>IFERROR(VLOOKUP(P52,Лист1!A$1:B$20,2,FALSE),0)</f>
        <v>784</v>
      </c>
      <c r="S52" s="13">
        <f t="shared" si="6"/>
        <v>0</v>
      </c>
    </row>
    <row r="53" spans="1:19" x14ac:dyDescent="0.25">
      <c r="A53" s="24" t="s">
        <v>1130</v>
      </c>
      <c r="B53" s="4" t="s">
        <v>1059</v>
      </c>
      <c r="C53" s="25" t="s">
        <v>5</v>
      </c>
      <c r="G53" s="25" t="s">
        <v>1080</v>
      </c>
      <c r="H53" s="24" t="s">
        <v>1061</v>
      </c>
      <c r="I53" s="3" t="str">
        <f>IFERROR(VLOOKUP(C53,'Справочник соответствий'!A$2:D$2981,2,FALSE),IF(VALUE(C53)=0,1,VLOOKUP(C53,'Справочник соответствий'!A$2:D$2981,2,FALSE)))</f>
        <v>1</v>
      </c>
      <c r="J53" s="3">
        <f>IFERROR(VLOOKUP(D53,'Справочник соответствий'!A$2:D$2981,2,FALSE),IF(VALUE(D53)=0,0,VLOOKUP(D53,'Справочник соответствий'!A$2:D$2981,2,FALSE)))</f>
        <v>0</v>
      </c>
      <c r="K53" s="3" t="str">
        <f t="shared" si="0"/>
        <v>1</v>
      </c>
      <c r="L53" s="13" t="str">
        <f>IFERROR(VLOOKUP(C53,'Справочник соответствий'!A$2:D$2981,3,FALSE),IF(VALUE(C53)=0,"ЭТАЖ НЕ ОПРЕДЕЛЕН. ПРИНЯТ ПО ДОПУЩЕНИЮ 1",VLOOKUP(C53,'Справочник соответствий'!A$2:D$2981,3,FALSE)))</f>
        <v>ЭТАЖ ЗАДАН ЧИСЛОМ</v>
      </c>
      <c r="M53" s="13" t="b">
        <f t="shared" si="1"/>
        <v>0</v>
      </c>
      <c r="N53" s="13">
        <f t="shared" si="2"/>
        <v>1</v>
      </c>
      <c r="O53" s="13" t="str">
        <f t="shared" si="3"/>
        <v>ЭТАЖ ЗАДАН ЧИСЛОМ</v>
      </c>
      <c r="P53" s="13" t="str">
        <f t="shared" si="4"/>
        <v>ЭТАЖ ЗАДАН ЧИСЛОМ</v>
      </c>
      <c r="Q53" s="13" t="str">
        <f t="shared" si="5"/>
        <v>ГОТОВ_ИЗМЕНЕН</v>
      </c>
      <c r="R53" s="13">
        <f>IFERROR(VLOOKUP(P53,Лист1!A$1:B$20,2,FALSE),0)</f>
        <v>784</v>
      </c>
      <c r="S53" s="13">
        <f t="shared" si="6"/>
        <v>0</v>
      </c>
    </row>
    <row r="54" spans="1:19" x14ac:dyDescent="0.25">
      <c r="A54" s="24" t="s">
        <v>1131</v>
      </c>
      <c r="B54" s="4" t="s">
        <v>1059</v>
      </c>
      <c r="C54" s="25" t="s">
        <v>5</v>
      </c>
      <c r="G54" s="25" t="s">
        <v>1077</v>
      </c>
      <c r="H54" s="24" t="s">
        <v>1061</v>
      </c>
      <c r="I54" s="3" t="str">
        <f>IFERROR(VLOOKUP(C54,'Справочник соответствий'!A$2:D$2981,2,FALSE),IF(VALUE(C54)=0,1,VLOOKUP(C54,'Справочник соответствий'!A$2:D$2981,2,FALSE)))</f>
        <v>1</v>
      </c>
      <c r="J54" s="3">
        <f>IFERROR(VLOOKUP(D54,'Справочник соответствий'!A$2:D$2981,2,FALSE),IF(VALUE(D54)=0,0,VLOOKUP(D54,'Справочник соответствий'!A$2:D$2981,2,FALSE)))</f>
        <v>0</v>
      </c>
      <c r="K54" s="3" t="str">
        <f t="shared" si="0"/>
        <v>1</v>
      </c>
      <c r="L54" s="13" t="str">
        <f>IFERROR(VLOOKUP(C54,'Справочник соответствий'!A$2:D$2981,3,FALSE),IF(VALUE(C54)=0,"ЭТАЖ НЕ ОПРЕДЕЛЕН. ПРИНЯТ ПО ДОПУЩЕНИЮ 1",VLOOKUP(C54,'Справочник соответствий'!A$2:D$2981,3,FALSE)))</f>
        <v>ЭТАЖ ЗАДАН ЧИСЛОМ</v>
      </c>
      <c r="M54" s="13" t="b">
        <f t="shared" si="1"/>
        <v>0</v>
      </c>
      <c r="N54" s="13">
        <f t="shared" si="2"/>
        <v>1</v>
      </c>
      <c r="O54" s="13" t="str">
        <f t="shared" si="3"/>
        <v>ЭТАЖ ЗАДАН ЧИСЛОМ</v>
      </c>
      <c r="P54" s="13" t="str">
        <f t="shared" si="4"/>
        <v>ЭТАЖ ЗАДАН ЧИСЛОМ</v>
      </c>
      <c r="Q54" s="13" t="str">
        <f t="shared" si="5"/>
        <v>ГОТОВ_ИЗМЕНЕН</v>
      </c>
      <c r="R54" s="13">
        <f>IFERROR(VLOOKUP(P54,Лист1!A$1:B$20,2,FALSE),0)</f>
        <v>784</v>
      </c>
      <c r="S54" s="13">
        <f t="shared" si="6"/>
        <v>0</v>
      </c>
    </row>
    <row r="55" spans="1:19" x14ac:dyDescent="0.25">
      <c r="A55" s="24" t="s">
        <v>1132</v>
      </c>
      <c r="B55" s="4" t="s">
        <v>1063</v>
      </c>
      <c r="C55" s="25" t="s">
        <v>5</v>
      </c>
      <c r="G55" s="25" t="s">
        <v>1080</v>
      </c>
      <c r="H55" s="24" t="s">
        <v>1061</v>
      </c>
      <c r="I55" s="3" t="str">
        <f>IFERROR(VLOOKUP(C55,'Справочник соответствий'!A$2:D$2981,2,FALSE),IF(VALUE(C55)=0,1,VLOOKUP(C55,'Справочник соответствий'!A$2:D$2981,2,FALSE)))</f>
        <v>1</v>
      </c>
      <c r="J55" s="3">
        <f>IFERROR(VLOOKUP(D55,'Справочник соответствий'!A$2:D$2981,2,FALSE),IF(VALUE(D55)=0,0,VLOOKUP(D55,'Справочник соответствий'!A$2:D$2981,2,FALSE)))</f>
        <v>0</v>
      </c>
      <c r="K55" s="3" t="str">
        <f t="shared" si="0"/>
        <v>1</v>
      </c>
      <c r="L55" s="13" t="str">
        <f>IFERROR(VLOOKUP(C55,'Справочник соответствий'!A$2:D$2981,3,FALSE),IF(VALUE(C55)=0,"ЭТАЖ НЕ ОПРЕДЕЛЕН. ПРИНЯТ ПО ДОПУЩЕНИЮ 1",VLOOKUP(C55,'Справочник соответствий'!A$2:D$2981,3,FALSE)))</f>
        <v>ЭТАЖ ЗАДАН ЧИСЛОМ</v>
      </c>
      <c r="M55" s="13" t="b">
        <f t="shared" si="1"/>
        <v>0</v>
      </c>
      <c r="N55" s="13">
        <f t="shared" si="2"/>
        <v>1</v>
      </c>
      <c r="O55" s="13" t="str">
        <f t="shared" si="3"/>
        <v>ЭТАЖ ЗАДАН ЧИСЛОМ</v>
      </c>
      <c r="P55" s="13" t="str">
        <f t="shared" si="4"/>
        <v>ЭТАЖ ЗАДАН ЧИСЛОМ</v>
      </c>
      <c r="Q55" s="13" t="str">
        <f t="shared" si="5"/>
        <v>ГОТОВ_ИЗМЕНЕН</v>
      </c>
      <c r="R55" s="13">
        <f>IFERROR(VLOOKUP(P55,Лист1!A$1:B$20,2,FALSE),0)</f>
        <v>784</v>
      </c>
      <c r="S55" s="13">
        <f t="shared" si="6"/>
        <v>0</v>
      </c>
    </row>
    <row r="56" spans="1:19" x14ac:dyDescent="0.25">
      <c r="A56" s="24" t="s">
        <v>1133</v>
      </c>
      <c r="B56" s="4" t="s">
        <v>1059</v>
      </c>
      <c r="C56" s="25" t="s">
        <v>5</v>
      </c>
      <c r="G56" s="25" t="s">
        <v>1077</v>
      </c>
      <c r="H56" s="24" t="s">
        <v>1061</v>
      </c>
      <c r="I56" s="3" t="str">
        <f>IFERROR(VLOOKUP(C56,'Справочник соответствий'!A$2:D$2981,2,FALSE),IF(VALUE(C56)=0,1,VLOOKUP(C56,'Справочник соответствий'!A$2:D$2981,2,FALSE)))</f>
        <v>1</v>
      </c>
      <c r="J56" s="3">
        <f>IFERROR(VLOOKUP(D56,'Справочник соответствий'!A$2:D$2981,2,FALSE),IF(VALUE(D56)=0,0,VLOOKUP(D56,'Справочник соответствий'!A$2:D$2981,2,FALSE)))</f>
        <v>0</v>
      </c>
      <c r="K56" s="3" t="str">
        <f t="shared" si="0"/>
        <v>1</v>
      </c>
      <c r="L56" s="13" t="str">
        <f>IFERROR(VLOOKUP(C56,'Справочник соответствий'!A$2:D$2981,3,FALSE),IF(VALUE(C56)=0,"ЭТАЖ НЕ ОПРЕДЕЛЕН. ПРИНЯТ ПО ДОПУЩЕНИЮ 1",VLOOKUP(C56,'Справочник соответствий'!A$2:D$2981,3,FALSE)))</f>
        <v>ЭТАЖ ЗАДАН ЧИСЛОМ</v>
      </c>
      <c r="M56" s="13" t="b">
        <f t="shared" si="1"/>
        <v>0</v>
      </c>
      <c r="N56" s="13">
        <f t="shared" si="2"/>
        <v>1</v>
      </c>
      <c r="O56" s="13" t="str">
        <f t="shared" si="3"/>
        <v>ЭТАЖ ЗАДАН ЧИСЛОМ</v>
      </c>
      <c r="P56" s="13" t="str">
        <f t="shared" si="4"/>
        <v>ЭТАЖ ЗАДАН ЧИСЛОМ</v>
      </c>
      <c r="Q56" s="13" t="str">
        <f t="shared" si="5"/>
        <v>ГОТОВ_ИЗМЕНЕН</v>
      </c>
      <c r="R56" s="13">
        <f>IFERROR(VLOOKUP(P56,Лист1!A$1:B$20,2,FALSE),0)</f>
        <v>784</v>
      </c>
      <c r="S56" s="13">
        <f t="shared" si="6"/>
        <v>0</v>
      </c>
    </row>
    <row r="57" spans="1:19" x14ac:dyDescent="0.25">
      <c r="A57" s="24" t="s">
        <v>1134</v>
      </c>
      <c r="B57" s="4" t="s">
        <v>1059</v>
      </c>
      <c r="C57" s="25" t="s">
        <v>7</v>
      </c>
      <c r="G57" s="25" t="s">
        <v>1080</v>
      </c>
      <c r="H57" s="24" t="s">
        <v>1061</v>
      </c>
      <c r="I57" s="3" t="str">
        <f>IFERROR(VLOOKUP(C57,'Справочник соответствий'!A$2:D$2981,2,FALSE),IF(VALUE(C57)=0,1,VLOOKUP(C57,'Справочник соответствий'!A$2:D$2981,2,FALSE)))</f>
        <v>2</v>
      </c>
      <c r="J57" s="3">
        <f>IFERROR(VLOOKUP(D57,'Справочник соответствий'!A$2:D$2981,2,FALSE),IF(VALUE(D57)=0,0,VLOOKUP(D57,'Справочник соответствий'!A$2:D$2981,2,FALSE)))</f>
        <v>0</v>
      </c>
      <c r="K57" s="3" t="str">
        <f t="shared" si="0"/>
        <v>2</v>
      </c>
      <c r="L57" s="13" t="str">
        <f>IFERROR(VLOOKUP(C57,'Справочник соответствий'!A$2:D$2981,3,FALSE),IF(VALUE(C57)=0,"ЭТАЖ НЕ ОПРЕДЕЛЕН. ПРИНЯТ ПО ДОПУЩЕНИЮ 1",VLOOKUP(C57,'Справочник соответствий'!A$2:D$2981,3,FALSE)))</f>
        <v>ЭТАЖ ЗАДАН ЧИСЛОМ</v>
      </c>
      <c r="M57" s="13" t="b">
        <f t="shared" si="1"/>
        <v>0</v>
      </c>
      <c r="N57" s="13">
        <f t="shared" si="2"/>
        <v>2</v>
      </c>
      <c r="O57" s="13" t="str">
        <f t="shared" si="3"/>
        <v>ЭТАЖ ЗАДАН ЧИСЛОМ</v>
      </c>
      <c r="P57" s="13" t="str">
        <f t="shared" si="4"/>
        <v>ЭТАЖ ЗАДАН ЧИСЛОМ</v>
      </c>
      <c r="Q57" s="13" t="str">
        <f t="shared" si="5"/>
        <v>ГОТОВ_ИЗМЕНЕН</v>
      </c>
      <c r="R57" s="13">
        <f>IFERROR(VLOOKUP(P57,Лист1!A$1:B$20,2,FALSE),0)</f>
        <v>784</v>
      </c>
      <c r="S57" s="13">
        <f t="shared" si="6"/>
        <v>0</v>
      </c>
    </row>
    <row r="58" spans="1:19" x14ac:dyDescent="0.25">
      <c r="A58" s="24" t="s">
        <v>1135</v>
      </c>
      <c r="B58" s="4" t="s">
        <v>1059</v>
      </c>
      <c r="C58" s="25" t="s">
        <v>5</v>
      </c>
      <c r="G58" s="25" t="s">
        <v>1077</v>
      </c>
      <c r="H58" s="24" t="s">
        <v>1061</v>
      </c>
      <c r="I58" s="3" t="str">
        <f>IFERROR(VLOOKUP(C58,'Справочник соответствий'!A$2:D$2981,2,FALSE),IF(VALUE(C58)=0,1,VLOOKUP(C58,'Справочник соответствий'!A$2:D$2981,2,FALSE)))</f>
        <v>1</v>
      </c>
      <c r="J58" s="3">
        <f>IFERROR(VLOOKUP(D58,'Справочник соответствий'!A$2:D$2981,2,FALSE),IF(VALUE(D58)=0,0,VLOOKUP(D58,'Справочник соответствий'!A$2:D$2981,2,FALSE)))</f>
        <v>0</v>
      </c>
      <c r="K58" s="3" t="str">
        <f t="shared" si="0"/>
        <v>1</v>
      </c>
      <c r="L58" s="13" t="str">
        <f>IFERROR(VLOOKUP(C58,'Справочник соответствий'!A$2:D$2981,3,FALSE),IF(VALUE(C58)=0,"ЭТАЖ НЕ ОПРЕДЕЛЕН. ПРИНЯТ ПО ДОПУЩЕНИЮ 1",VLOOKUP(C58,'Справочник соответствий'!A$2:D$2981,3,FALSE)))</f>
        <v>ЭТАЖ ЗАДАН ЧИСЛОМ</v>
      </c>
      <c r="M58" s="13" t="b">
        <f t="shared" si="1"/>
        <v>0</v>
      </c>
      <c r="N58" s="13">
        <f t="shared" si="2"/>
        <v>1</v>
      </c>
      <c r="O58" s="13" t="str">
        <f t="shared" si="3"/>
        <v>ЭТАЖ ЗАДАН ЧИСЛОМ</v>
      </c>
      <c r="P58" s="13" t="str">
        <f t="shared" si="4"/>
        <v>ЭТАЖ ЗАДАН ЧИСЛОМ</v>
      </c>
      <c r="Q58" s="13" t="str">
        <f t="shared" si="5"/>
        <v>ГОТОВ_ИЗМЕНЕН</v>
      </c>
      <c r="R58" s="13">
        <f>IFERROR(VLOOKUP(P58,Лист1!A$1:B$20,2,FALSE),0)</f>
        <v>784</v>
      </c>
      <c r="S58" s="13">
        <f t="shared" si="6"/>
        <v>0</v>
      </c>
    </row>
    <row r="59" spans="1:19" x14ac:dyDescent="0.25">
      <c r="A59" s="24" t="s">
        <v>1136</v>
      </c>
      <c r="B59" s="4" t="s">
        <v>1059</v>
      </c>
      <c r="C59" s="25" t="s">
        <v>5</v>
      </c>
      <c r="G59" s="25" t="s">
        <v>1077</v>
      </c>
      <c r="H59" s="24" t="s">
        <v>1061</v>
      </c>
      <c r="I59" s="3" t="str">
        <f>IFERROR(VLOOKUP(C59,'Справочник соответствий'!A$2:D$2981,2,FALSE),IF(VALUE(C59)=0,1,VLOOKUP(C59,'Справочник соответствий'!A$2:D$2981,2,FALSE)))</f>
        <v>1</v>
      </c>
      <c r="J59" s="3">
        <f>IFERROR(VLOOKUP(D59,'Справочник соответствий'!A$2:D$2981,2,FALSE),IF(VALUE(D59)=0,0,VLOOKUP(D59,'Справочник соответствий'!A$2:D$2981,2,FALSE)))</f>
        <v>0</v>
      </c>
      <c r="K59" s="3" t="str">
        <f t="shared" si="0"/>
        <v>1</v>
      </c>
      <c r="L59" s="13" t="str">
        <f>IFERROR(VLOOKUP(C59,'Справочник соответствий'!A$2:D$2981,3,FALSE),IF(VALUE(C59)=0,"ЭТАЖ НЕ ОПРЕДЕЛЕН. ПРИНЯТ ПО ДОПУЩЕНИЮ 1",VLOOKUP(C59,'Справочник соответствий'!A$2:D$2981,3,FALSE)))</f>
        <v>ЭТАЖ ЗАДАН ЧИСЛОМ</v>
      </c>
      <c r="M59" s="13" t="b">
        <f t="shared" si="1"/>
        <v>0</v>
      </c>
      <c r="N59" s="13">
        <f t="shared" si="2"/>
        <v>1</v>
      </c>
      <c r="O59" s="13" t="str">
        <f t="shared" si="3"/>
        <v>ЭТАЖ ЗАДАН ЧИСЛОМ</v>
      </c>
      <c r="P59" s="13" t="str">
        <f t="shared" si="4"/>
        <v>ЭТАЖ ЗАДАН ЧИСЛОМ</v>
      </c>
      <c r="Q59" s="13" t="str">
        <f t="shared" si="5"/>
        <v>ГОТОВ_ИЗМЕНЕН</v>
      </c>
      <c r="R59" s="13">
        <f>IFERROR(VLOOKUP(P59,Лист1!A$1:B$20,2,FALSE),0)</f>
        <v>784</v>
      </c>
      <c r="S59" s="13">
        <f t="shared" si="6"/>
        <v>0</v>
      </c>
    </row>
    <row r="60" spans="1:19" x14ac:dyDescent="0.25">
      <c r="A60" s="24" t="s">
        <v>1137</v>
      </c>
      <c r="B60" s="4" t="s">
        <v>1059</v>
      </c>
      <c r="C60" s="25" t="s">
        <v>5</v>
      </c>
      <c r="G60" s="25" t="s">
        <v>1086</v>
      </c>
      <c r="H60" s="24" t="s">
        <v>1061</v>
      </c>
      <c r="I60" s="3" t="str">
        <f>IFERROR(VLOOKUP(C60,'Справочник соответствий'!A$2:D$2981,2,FALSE),IF(VALUE(C60)=0,1,VLOOKUP(C60,'Справочник соответствий'!A$2:D$2981,2,FALSE)))</f>
        <v>1</v>
      </c>
      <c r="J60" s="3">
        <f>IFERROR(VLOOKUP(D60,'Справочник соответствий'!A$2:D$2981,2,FALSE),IF(VALUE(D60)=0,0,VLOOKUP(D60,'Справочник соответствий'!A$2:D$2981,2,FALSE)))</f>
        <v>0</v>
      </c>
      <c r="K60" s="3" t="str">
        <f t="shared" si="0"/>
        <v>1</v>
      </c>
      <c r="L60" s="13" t="str">
        <f>IFERROR(VLOOKUP(C60,'Справочник соответствий'!A$2:D$2981,3,FALSE),IF(VALUE(C60)=0,"ЭТАЖ НЕ ОПРЕДЕЛЕН. ПРИНЯТ ПО ДОПУЩЕНИЮ 1",VLOOKUP(C60,'Справочник соответствий'!A$2:D$2981,3,FALSE)))</f>
        <v>ЭТАЖ ЗАДАН ЧИСЛОМ</v>
      </c>
      <c r="M60" s="13" t="b">
        <f t="shared" si="1"/>
        <v>0</v>
      </c>
      <c r="N60" s="13">
        <f t="shared" si="2"/>
        <v>1</v>
      </c>
      <c r="O60" s="13" t="str">
        <f t="shared" si="3"/>
        <v>ЭТАЖ ЗАДАН ЧИСЛОМ</v>
      </c>
      <c r="P60" s="13" t="str">
        <f t="shared" si="4"/>
        <v>ЭТАЖ ЗАДАН ЧИСЛОМ</v>
      </c>
      <c r="Q60" s="13" t="str">
        <f t="shared" si="5"/>
        <v>ГОТОВ_ИЗМЕНЕН</v>
      </c>
      <c r="R60" s="13">
        <f>IFERROR(VLOOKUP(P60,Лист1!A$1:B$20,2,FALSE),0)</f>
        <v>784</v>
      </c>
      <c r="S60" s="13">
        <f t="shared" si="6"/>
        <v>0</v>
      </c>
    </row>
    <row r="61" spans="1:19" x14ac:dyDescent="0.25">
      <c r="A61" s="24" t="s">
        <v>1138</v>
      </c>
      <c r="B61" s="4" t="s">
        <v>1059</v>
      </c>
      <c r="C61" s="25" t="s">
        <v>5</v>
      </c>
      <c r="G61" s="25" t="s">
        <v>1080</v>
      </c>
      <c r="H61" s="24" t="s">
        <v>1061</v>
      </c>
      <c r="I61" s="3" t="str">
        <f>IFERROR(VLOOKUP(C61,'Справочник соответствий'!A$2:D$2981,2,FALSE),IF(VALUE(C61)=0,1,VLOOKUP(C61,'Справочник соответствий'!A$2:D$2981,2,FALSE)))</f>
        <v>1</v>
      </c>
      <c r="J61" s="3">
        <f>IFERROR(VLOOKUP(D61,'Справочник соответствий'!A$2:D$2981,2,FALSE),IF(VALUE(D61)=0,0,VLOOKUP(D61,'Справочник соответствий'!A$2:D$2981,2,FALSE)))</f>
        <v>0</v>
      </c>
      <c r="K61" s="3" t="str">
        <f t="shared" si="0"/>
        <v>1</v>
      </c>
      <c r="L61" s="13" t="str">
        <f>IFERROR(VLOOKUP(C61,'Справочник соответствий'!A$2:D$2981,3,FALSE),IF(VALUE(C61)=0,"ЭТАЖ НЕ ОПРЕДЕЛЕН. ПРИНЯТ ПО ДОПУЩЕНИЮ 1",VLOOKUP(C61,'Справочник соответствий'!A$2:D$2981,3,FALSE)))</f>
        <v>ЭТАЖ ЗАДАН ЧИСЛОМ</v>
      </c>
      <c r="M61" s="13" t="b">
        <f t="shared" si="1"/>
        <v>0</v>
      </c>
      <c r="N61" s="13">
        <f t="shared" si="2"/>
        <v>1</v>
      </c>
      <c r="O61" s="13" t="str">
        <f t="shared" si="3"/>
        <v>ЭТАЖ ЗАДАН ЧИСЛОМ</v>
      </c>
      <c r="P61" s="13" t="str">
        <f t="shared" si="4"/>
        <v>ЭТАЖ ЗАДАН ЧИСЛОМ</v>
      </c>
      <c r="Q61" s="13" t="str">
        <f t="shared" si="5"/>
        <v>ГОТОВ_ИЗМЕНЕН</v>
      </c>
      <c r="R61" s="13">
        <f>IFERROR(VLOOKUP(P61,Лист1!A$1:B$20,2,FALSE),0)</f>
        <v>784</v>
      </c>
      <c r="S61" s="13">
        <f t="shared" si="6"/>
        <v>0</v>
      </c>
    </row>
    <row r="62" spans="1:19" x14ac:dyDescent="0.25">
      <c r="A62" s="24" t="s">
        <v>1139</v>
      </c>
      <c r="B62" s="4" t="s">
        <v>1059</v>
      </c>
      <c r="C62" s="25" t="s">
        <v>7</v>
      </c>
      <c r="G62" s="25" t="s">
        <v>1080</v>
      </c>
      <c r="H62" s="24" t="s">
        <v>1061</v>
      </c>
      <c r="I62" s="3" t="str">
        <f>IFERROR(VLOOKUP(C62,'Справочник соответствий'!A$2:D$2981,2,FALSE),IF(VALUE(C62)=0,1,VLOOKUP(C62,'Справочник соответствий'!A$2:D$2981,2,FALSE)))</f>
        <v>2</v>
      </c>
      <c r="J62" s="3">
        <f>IFERROR(VLOOKUP(D62,'Справочник соответствий'!A$2:D$2981,2,FALSE),IF(VALUE(D62)=0,0,VLOOKUP(D62,'Справочник соответствий'!A$2:D$2981,2,FALSE)))</f>
        <v>0</v>
      </c>
      <c r="K62" s="3" t="str">
        <f t="shared" si="0"/>
        <v>2</v>
      </c>
      <c r="L62" s="13" t="str">
        <f>IFERROR(VLOOKUP(C62,'Справочник соответствий'!A$2:D$2981,3,FALSE),IF(VALUE(C62)=0,"ЭТАЖ НЕ ОПРЕДЕЛЕН. ПРИНЯТ ПО ДОПУЩЕНИЮ 1",VLOOKUP(C62,'Справочник соответствий'!A$2:D$2981,3,FALSE)))</f>
        <v>ЭТАЖ ЗАДАН ЧИСЛОМ</v>
      </c>
      <c r="M62" s="13" t="b">
        <f t="shared" si="1"/>
        <v>0</v>
      </c>
      <c r="N62" s="13">
        <f t="shared" si="2"/>
        <v>2</v>
      </c>
      <c r="O62" s="13" t="str">
        <f t="shared" si="3"/>
        <v>ЭТАЖ ЗАДАН ЧИСЛОМ</v>
      </c>
      <c r="P62" s="13" t="str">
        <f t="shared" si="4"/>
        <v>ЭТАЖ ЗАДАН ЧИСЛОМ</v>
      </c>
      <c r="Q62" s="13" t="str">
        <f t="shared" si="5"/>
        <v>ГОТОВ_ИЗМЕНЕН</v>
      </c>
      <c r="R62" s="13">
        <f>IFERROR(VLOOKUP(P62,Лист1!A$1:B$20,2,FALSE),0)</f>
        <v>784</v>
      </c>
      <c r="S62" s="13">
        <f t="shared" si="6"/>
        <v>0</v>
      </c>
    </row>
    <row r="63" spans="1:19" x14ac:dyDescent="0.25">
      <c r="A63" s="24" t="s">
        <v>1140</v>
      </c>
      <c r="B63" s="4" t="s">
        <v>1059</v>
      </c>
      <c r="C63" s="25" t="s">
        <v>5</v>
      </c>
      <c r="G63" s="25" t="s">
        <v>1080</v>
      </c>
      <c r="H63" s="24" t="s">
        <v>1061</v>
      </c>
      <c r="I63" s="3" t="str">
        <f>IFERROR(VLOOKUP(C63,'Справочник соответствий'!A$2:D$2981,2,FALSE),IF(VALUE(C63)=0,1,VLOOKUP(C63,'Справочник соответствий'!A$2:D$2981,2,FALSE)))</f>
        <v>1</v>
      </c>
      <c r="J63" s="3">
        <f>IFERROR(VLOOKUP(D63,'Справочник соответствий'!A$2:D$2981,2,FALSE),IF(VALUE(D63)=0,0,VLOOKUP(D63,'Справочник соответствий'!A$2:D$2981,2,FALSE)))</f>
        <v>0</v>
      </c>
      <c r="K63" s="3" t="str">
        <f t="shared" si="0"/>
        <v>1</v>
      </c>
      <c r="L63" s="13" t="str">
        <f>IFERROR(VLOOKUP(C63,'Справочник соответствий'!A$2:D$2981,3,FALSE),IF(VALUE(C63)=0,"ЭТАЖ НЕ ОПРЕДЕЛЕН. ПРИНЯТ ПО ДОПУЩЕНИЮ 1",VLOOKUP(C63,'Справочник соответствий'!A$2:D$2981,3,FALSE)))</f>
        <v>ЭТАЖ ЗАДАН ЧИСЛОМ</v>
      </c>
      <c r="M63" s="13" t="b">
        <f t="shared" si="1"/>
        <v>0</v>
      </c>
      <c r="N63" s="13">
        <f t="shared" si="2"/>
        <v>1</v>
      </c>
      <c r="O63" s="13" t="str">
        <f t="shared" si="3"/>
        <v>ЭТАЖ ЗАДАН ЧИСЛОМ</v>
      </c>
      <c r="P63" s="13" t="str">
        <f t="shared" si="4"/>
        <v>ЭТАЖ ЗАДАН ЧИСЛОМ</v>
      </c>
      <c r="Q63" s="13" t="str">
        <f t="shared" si="5"/>
        <v>ГОТОВ_ИЗМЕНЕН</v>
      </c>
      <c r="R63" s="13">
        <f>IFERROR(VLOOKUP(P63,Лист1!A$1:B$20,2,FALSE),0)</f>
        <v>784</v>
      </c>
      <c r="S63" s="13">
        <f t="shared" si="6"/>
        <v>0</v>
      </c>
    </row>
    <row r="64" spans="1:19" x14ac:dyDescent="0.25">
      <c r="A64" s="24" t="s">
        <v>1141</v>
      </c>
      <c r="B64" s="4" t="s">
        <v>1059</v>
      </c>
      <c r="C64" s="25" t="s">
        <v>7</v>
      </c>
      <c r="G64" s="25" t="s">
        <v>1077</v>
      </c>
      <c r="H64" s="24" t="s">
        <v>1061</v>
      </c>
      <c r="I64" s="3" t="str">
        <f>IFERROR(VLOOKUP(C64,'Справочник соответствий'!A$2:D$2981,2,FALSE),IF(VALUE(C64)=0,1,VLOOKUP(C64,'Справочник соответствий'!A$2:D$2981,2,FALSE)))</f>
        <v>2</v>
      </c>
      <c r="J64" s="3">
        <f>IFERROR(VLOOKUP(D64,'Справочник соответствий'!A$2:D$2981,2,FALSE),IF(VALUE(D64)=0,0,VLOOKUP(D64,'Справочник соответствий'!A$2:D$2981,2,FALSE)))</f>
        <v>0</v>
      </c>
      <c r="K64" s="3" t="str">
        <f t="shared" si="0"/>
        <v>2</v>
      </c>
      <c r="L64" s="13" t="str">
        <f>IFERROR(VLOOKUP(C64,'Справочник соответствий'!A$2:D$2981,3,FALSE),IF(VALUE(C64)=0,"ЭТАЖ НЕ ОПРЕДЕЛЕН. ПРИНЯТ ПО ДОПУЩЕНИЮ 1",VLOOKUP(C64,'Справочник соответствий'!A$2:D$2981,3,FALSE)))</f>
        <v>ЭТАЖ ЗАДАН ЧИСЛОМ</v>
      </c>
      <c r="M64" s="13" t="b">
        <f t="shared" si="1"/>
        <v>0</v>
      </c>
      <c r="N64" s="13">
        <f t="shared" si="2"/>
        <v>2</v>
      </c>
      <c r="O64" s="13" t="str">
        <f t="shared" si="3"/>
        <v>ЭТАЖ ЗАДАН ЧИСЛОМ</v>
      </c>
      <c r="P64" s="13" t="str">
        <f t="shared" si="4"/>
        <v>ЭТАЖ ЗАДАН ЧИСЛОМ</v>
      </c>
      <c r="Q64" s="13" t="str">
        <f t="shared" si="5"/>
        <v>ГОТОВ_ИЗМЕНЕН</v>
      </c>
      <c r="R64" s="13">
        <f>IFERROR(VLOOKUP(P64,Лист1!A$1:B$20,2,FALSE),0)</f>
        <v>784</v>
      </c>
      <c r="S64" s="13">
        <f t="shared" si="6"/>
        <v>0</v>
      </c>
    </row>
    <row r="65" spans="1:19" x14ac:dyDescent="0.25">
      <c r="A65" s="24" t="s">
        <v>1142</v>
      </c>
      <c r="B65" s="4" t="s">
        <v>1059</v>
      </c>
      <c r="C65" s="25" t="s">
        <v>7</v>
      </c>
      <c r="G65" s="25" t="s">
        <v>1077</v>
      </c>
      <c r="H65" s="24" t="s">
        <v>1061</v>
      </c>
      <c r="I65" s="3" t="str">
        <f>IFERROR(VLOOKUP(C65,'Справочник соответствий'!A$2:D$2981,2,FALSE),IF(VALUE(C65)=0,1,VLOOKUP(C65,'Справочник соответствий'!A$2:D$2981,2,FALSE)))</f>
        <v>2</v>
      </c>
      <c r="J65" s="3">
        <f>IFERROR(VLOOKUP(D65,'Справочник соответствий'!A$2:D$2981,2,FALSE),IF(VALUE(D65)=0,0,VLOOKUP(D65,'Справочник соответствий'!A$2:D$2981,2,FALSE)))</f>
        <v>0</v>
      </c>
      <c r="K65" s="3" t="str">
        <f t="shared" si="0"/>
        <v>2</v>
      </c>
      <c r="L65" s="13" t="str">
        <f>IFERROR(VLOOKUP(C65,'Справочник соответствий'!A$2:D$2981,3,FALSE),IF(VALUE(C65)=0,"ЭТАЖ НЕ ОПРЕДЕЛЕН. ПРИНЯТ ПО ДОПУЩЕНИЮ 1",VLOOKUP(C65,'Справочник соответствий'!A$2:D$2981,3,FALSE)))</f>
        <v>ЭТАЖ ЗАДАН ЧИСЛОМ</v>
      </c>
      <c r="M65" s="13" t="b">
        <f t="shared" si="1"/>
        <v>0</v>
      </c>
      <c r="N65" s="13">
        <f t="shared" si="2"/>
        <v>2</v>
      </c>
      <c r="O65" s="13" t="str">
        <f t="shared" si="3"/>
        <v>ЭТАЖ ЗАДАН ЧИСЛОМ</v>
      </c>
      <c r="P65" s="13" t="str">
        <f t="shared" si="4"/>
        <v>ЭТАЖ ЗАДАН ЧИСЛОМ</v>
      </c>
      <c r="Q65" s="13" t="str">
        <f t="shared" si="5"/>
        <v>ГОТОВ_ИЗМЕНЕН</v>
      </c>
      <c r="R65" s="13">
        <f>IFERROR(VLOOKUP(P65,Лист1!A$1:B$20,2,FALSE),0)</f>
        <v>784</v>
      </c>
      <c r="S65" s="13">
        <f t="shared" si="6"/>
        <v>0</v>
      </c>
    </row>
    <row r="66" spans="1:19" x14ac:dyDescent="0.25">
      <c r="A66" s="24" t="s">
        <v>1143</v>
      </c>
      <c r="B66" s="4" t="s">
        <v>1059</v>
      </c>
      <c r="C66" s="25" t="s">
        <v>7</v>
      </c>
      <c r="G66" s="25" t="s">
        <v>1077</v>
      </c>
      <c r="H66" s="24" t="s">
        <v>1061</v>
      </c>
      <c r="I66" s="3" t="str">
        <f>IFERROR(VLOOKUP(C66,'Справочник соответствий'!A$2:D$2981,2,FALSE),IF(VALUE(C66)=0,1,VLOOKUP(C66,'Справочник соответствий'!A$2:D$2981,2,FALSE)))</f>
        <v>2</v>
      </c>
      <c r="J66" s="3">
        <f>IFERROR(VLOOKUP(D66,'Справочник соответствий'!A$2:D$2981,2,FALSE),IF(VALUE(D66)=0,0,VLOOKUP(D66,'Справочник соответствий'!A$2:D$2981,2,FALSE)))</f>
        <v>0</v>
      </c>
      <c r="K66" s="3" t="str">
        <f t="shared" si="0"/>
        <v>2</v>
      </c>
      <c r="L66" s="13" t="str">
        <f>IFERROR(VLOOKUP(C66,'Справочник соответствий'!A$2:D$2981,3,FALSE),IF(VALUE(C66)=0,"ЭТАЖ НЕ ОПРЕДЕЛЕН. ПРИНЯТ ПО ДОПУЩЕНИЮ 1",VLOOKUP(C66,'Справочник соответствий'!A$2:D$2981,3,FALSE)))</f>
        <v>ЭТАЖ ЗАДАН ЧИСЛОМ</v>
      </c>
      <c r="M66" s="13" t="b">
        <f t="shared" si="1"/>
        <v>0</v>
      </c>
      <c r="N66" s="13">
        <f t="shared" si="2"/>
        <v>2</v>
      </c>
      <c r="O66" s="13" t="str">
        <f t="shared" si="3"/>
        <v>ЭТАЖ ЗАДАН ЧИСЛОМ</v>
      </c>
      <c r="P66" s="13" t="str">
        <f t="shared" si="4"/>
        <v>ЭТАЖ ЗАДАН ЧИСЛОМ</v>
      </c>
      <c r="Q66" s="13" t="str">
        <f t="shared" si="5"/>
        <v>ГОТОВ_ИЗМЕНЕН</v>
      </c>
      <c r="R66" s="13">
        <f>IFERROR(VLOOKUP(P66,Лист1!A$1:B$20,2,FALSE),0)</f>
        <v>784</v>
      </c>
      <c r="S66" s="13">
        <f t="shared" si="6"/>
        <v>0</v>
      </c>
    </row>
    <row r="67" spans="1:19" x14ac:dyDescent="0.25">
      <c r="A67" s="24" t="s">
        <v>1144</v>
      </c>
      <c r="B67" s="4" t="s">
        <v>1063</v>
      </c>
      <c r="C67" s="25" t="s">
        <v>5</v>
      </c>
      <c r="G67" s="25" t="s">
        <v>1077</v>
      </c>
      <c r="H67" s="24" t="s">
        <v>1061</v>
      </c>
      <c r="I67" s="3" t="str">
        <f>IFERROR(VLOOKUP(C67,'Справочник соответствий'!A$2:D$2981,2,FALSE),IF(VALUE(C67)=0,1,VLOOKUP(C67,'Справочник соответствий'!A$2:D$2981,2,FALSE)))</f>
        <v>1</v>
      </c>
      <c r="J67" s="3">
        <f>IFERROR(VLOOKUP(D67,'Справочник соответствий'!A$2:D$2981,2,FALSE),IF(VALUE(D67)=0,0,VLOOKUP(D67,'Справочник соответствий'!A$2:D$2981,2,FALSE)))</f>
        <v>0</v>
      </c>
      <c r="K67" s="3" t="str">
        <f t="shared" si="0"/>
        <v>1</v>
      </c>
      <c r="L67" s="13" t="str">
        <f>IFERROR(VLOOKUP(C67,'Справочник соответствий'!A$2:D$2981,3,FALSE),IF(VALUE(C67)=0,"ЭТАЖ НЕ ОПРЕДЕЛЕН. ПРИНЯТ ПО ДОПУЩЕНИЮ 1",VLOOKUP(C67,'Справочник соответствий'!A$2:D$2981,3,FALSE)))</f>
        <v>ЭТАЖ ЗАДАН ЧИСЛОМ</v>
      </c>
      <c r="M67" s="13" t="b">
        <f t="shared" si="1"/>
        <v>0</v>
      </c>
      <c r="N67" s="13">
        <f t="shared" si="2"/>
        <v>1</v>
      </c>
      <c r="O67" s="13" t="str">
        <f t="shared" si="3"/>
        <v>ЭТАЖ ЗАДАН ЧИСЛОМ</v>
      </c>
      <c r="P67" s="13" t="str">
        <f t="shared" si="4"/>
        <v>ЭТАЖ ЗАДАН ЧИСЛОМ</v>
      </c>
      <c r="Q67" s="13" t="str">
        <f t="shared" si="5"/>
        <v>ГОТОВ_ИЗМЕНЕН</v>
      </c>
      <c r="R67" s="13">
        <f>IFERROR(VLOOKUP(P67,Лист1!A$1:B$20,2,FALSE),0)</f>
        <v>784</v>
      </c>
      <c r="S67" s="13">
        <f t="shared" si="6"/>
        <v>0</v>
      </c>
    </row>
    <row r="68" spans="1:19" x14ac:dyDescent="0.25">
      <c r="A68" s="24" t="s">
        <v>1145</v>
      </c>
      <c r="B68" s="4" t="s">
        <v>1059</v>
      </c>
      <c r="C68" s="25" t="s">
        <v>5</v>
      </c>
      <c r="G68" s="25" t="s">
        <v>1077</v>
      </c>
      <c r="H68" s="24" t="s">
        <v>1061</v>
      </c>
      <c r="I68" s="3" t="str">
        <f>IFERROR(VLOOKUP(C68,'Справочник соответствий'!A$2:D$2981,2,FALSE),IF(VALUE(C68)=0,1,VLOOKUP(C68,'Справочник соответствий'!A$2:D$2981,2,FALSE)))</f>
        <v>1</v>
      </c>
      <c r="J68" s="3">
        <f>IFERROR(VLOOKUP(D68,'Справочник соответствий'!A$2:D$2981,2,FALSE),IF(VALUE(D68)=0,0,VLOOKUP(D68,'Справочник соответствий'!A$2:D$2981,2,FALSE)))</f>
        <v>0</v>
      </c>
      <c r="K68" s="3" t="str">
        <f t="shared" si="0"/>
        <v>1</v>
      </c>
      <c r="L68" s="13" t="str">
        <f>IFERROR(VLOOKUP(C68,'Справочник соответствий'!A$2:D$2981,3,FALSE),IF(VALUE(C68)=0,"ЭТАЖ НЕ ОПРЕДЕЛЕН. ПРИНЯТ ПО ДОПУЩЕНИЮ 1",VLOOKUP(C68,'Справочник соответствий'!A$2:D$2981,3,FALSE)))</f>
        <v>ЭТАЖ ЗАДАН ЧИСЛОМ</v>
      </c>
      <c r="M68" s="13" t="b">
        <f t="shared" si="1"/>
        <v>0</v>
      </c>
      <c r="N68" s="13">
        <f t="shared" si="2"/>
        <v>1</v>
      </c>
      <c r="O68" s="13" t="str">
        <f t="shared" si="3"/>
        <v>ЭТАЖ ЗАДАН ЧИСЛОМ</v>
      </c>
      <c r="P68" s="13" t="str">
        <f t="shared" si="4"/>
        <v>ЭТАЖ ЗАДАН ЧИСЛОМ</v>
      </c>
      <c r="Q68" s="13" t="str">
        <f t="shared" si="5"/>
        <v>ГОТОВ_ИЗМЕНЕН</v>
      </c>
      <c r="R68" s="13">
        <f>IFERROR(VLOOKUP(P68,Лист1!A$1:B$20,2,FALSE),0)</f>
        <v>784</v>
      </c>
      <c r="S68" s="13">
        <f t="shared" si="6"/>
        <v>0</v>
      </c>
    </row>
    <row r="69" spans="1:19" x14ac:dyDescent="0.25">
      <c r="A69" s="24" t="s">
        <v>1146</v>
      </c>
      <c r="B69" s="4" t="s">
        <v>1059</v>
      </c>
      <c r="C69" s="25" t="s">
        <v>5</v>
      </c>
      <c r="G69" s="25" t="s">
        <v>1086</v>
      </c>
      <c r="H69" s="24" t="s">
        <v>1061</v>
      </c>
      <c r="I69" s="3" t="str">
        <f>IFERROR(VLOOKUP(C69,'Справочник соответствий'!A$2:D$2981,2,FALSE),IF(VALUE(C69)=0,1,VLOOKUP(C69,'Справочник соответствий'!A$2:D$2981,2,FALSE)))</f>
        <v>1</v>
      </c>
      <c r="J69" s="3">
        <f>IFERROR(VLOOKUP(D69,'Справочник соответствий'!A$2:D$2981,2,FALSE),IF(VALUE(D69)=0,0,VLOOKUP(D69,'Справочник соответствий'!A$2:D$2981,2,FALSE)))</f>
        <v>0</v>
      </c>
      <c r="K69" s="3" t="str">
        <f t="shared" ref="K69:K132" si="7">IF(B69="Многоквартирный дом",IF(I69-J69&gt;0,I69-J69,1),I69)</f>
        <v>1</v>
      </c>
      <c r="L69" s="13" t="str">
        <f>IFERROR(VLOOKUP(C69,'Справочник соответствий'!A$2:D$2981,3,FALSE),IF(VALUE(C69)=0,"ЭТАЖ НЕ ОПРЕДЕЛЕН. ПРИНЯТ ПО ДОПУЩЕНИЮ 1",VLOOKUP(C69,'Справочник соответствий'!A$2:D$2981,3,FALSE)))</f>
        <v>ЭТАЖ ЗАДАН ЧИСЛОМ</v>
      </c>
      <c r="M69" s="13" t="b">
        <f t="shared" ref="M69:M132" si="8">I69=E69</f>
        <v>0</v>
      </c>
      <c r="N69" s="13">
        <f t="shared" ref="N69:N132" si="9">IF(VALUE(E69)=0,VALUE(K69),IF(L69="ЭТАЖ НЕ ОПРЕДЕЛЕН. ПРИНЯТ ПО ДОПУЩЕНИЮ 1",VALUE(E69),VALUE(K69)))</f>
        <v>1</v>
      </c>
      <c r="O69" s="13" t="str">
        <f t="shared" ref="O69:O132" si="10">IF(VALUE(E69)=0,L69,IF(L69="ЭТАЖ НЕ ОПРЕДЕЛЕН. ПРИНЯТ ПО ДОПУЩЕНИЮ 1",F69,L69))</f>
        <v>ЭТАЖ ЗАДАН ЧИСЛОМ</v>
      </c>
      <c r="P69" s="13" t="str">
        <f t="shared" ref="P69:P132" si="11">IF(B69="Многоквартирный дом",CONCATENATE("МКД_",O69),O69)</f>
        <v>ЭТАЖ ЗАДАН ЧИСЛОМ</v>
      </c>
      <c r="Q69" s="13" t="str">
        <f t="shared" ref="Q69:Q132" si="12">IFERROR(IF(N69&gt;0,IF(N69=VALUE(E69),"ГОТОВ","ГОТОВ_ИЗМЕНЕН"),"НЕ ГОТОВ"),"НЕ ГОТОВ")</f>
        <v>ГОТОВ_ИЗМЕНЕН</v>
      </c>
      <c r="R69" s="13">
        <f>IFERROR(VLOOKUP(P69,Лист1!A$1:B$20,2,FALSE),0)</f>
        <v>784</v>
      </c>
      <c r="S69" s="13">
        <f t="shared" ref="S69:S132" si="13">VALUE(E69)</f>
        <v>0</v>
      </c>
    </row>
    <row r="70" spans="1:19" x14ac:dyDescent="0.25">
      <c r="A70" s="24" t="s">
        <v>1147</v>
      </c>
      <c r="B70" s="4" t="s">
        <v>1059</v>
      </c>
      <c r="C70" s="25" t="s">
        <v>8</v>
      </c>
      <c r="G70" s="25" t="s">
        <v>1086</v>
      </c>
      <c r="H70" s="24" t="s">
        <v>1061</v>
      </c>
      <c r="I70" s="3" t="str">
        <f>IFERROR(VLOOKUP(C70,'Справочник соответствий'!A$2:D$2981,2,FALSE),IF(VALUE(C70)=0,1,VLOOKUP(C70,'Справочник соответствий'!A$2:D$2981,2,FALSE)))</f>
        <v>3</v>
      </c>
      <c r="J70" s="3">
        <f>IFERROR(VLOOKUP(D70,'Справочник соответствий'!A$2:D$2981,2,FALSE),IF(VALUE(D70)=0,0,VLOOKUP(D70,'Справочник соответствий'!A$2:D$2981,2,FALSE)))</f>
        <v>0</v>
      </c>
      <c r="K70" s="3" t="str">
        <f t="shared" si="7"/>
        <v>3</v>
      </c>
      <c r="L70" s="13" t="str">
        <f>IFERROR(VLOOKUP(C70,'Справочник соответствий'!A$2:D$2981,3,FALSE),IF(VALUE(C70)=0,"ЭТАЖ НЕ ОПРЕДЕЛЕН. ПРИНЯТ ПО ДОПУЩЕНИЮ 1",VLOOKUP(C70,'Справочник соответствий'!A$2:D$2981,3,FALSE)))</f>
        <v>ЭТАЖ ЗАДАН ЧИСЛОМ</v>
      </c>
      <c r="M70" s="13" t="b">
        <f t="shared" si="8"/>
        <v>0</v>
      </c>
      <c r="N70" s="13">
        <f t="shared" si="9"/>
        <v>3</v>
      </c>
      <c r="O70" s="13" t="str">
        <f t="shared" si="10"/>
        <v>ЭТАЖ ЗАДАН ЧИСЛОМ</v>
      </c>
      <c r="P70" s="13" t="str">
        <f t="shared" si="11"/>
        <v>ЭТАЖ ЗАДАН ЧИСЛОМ</v>
      </c>
      <c r="Q70" s="13" t="str">
        <f t="shared" si="12"/>
        <v>ГОТОВ_ИЗМЕНЕН</v>
      </c>
      <c r="R70" s="13">
        <f>IFERROR(VLOOKUP(P70,Лист1!A$1:B$20,2,FALSE),0)</f>
        <v>784</v>
      </c>
      <c r="S70" s="13">
        <f t="shared" si="13"/>
        <v>0</v>
      </c>
    </row>
    <row r="71" spans="1:19" x14ac:dyDescent="0.25">
      <c r="A71" s="24" t="s">
        <v>1148</v>
      </c>
      <c r="B71" s="4" t="s">
        <v>1059</v>
      </c>
      <c r="C71" s="25" t="s">
        <v>5</v>
      </c>
      <c r="G71" s="25" t="s">
        <v>1086</v>
      </c>
      <c r="H71" s="24" t="s">
        <v>1061</v>
      </c>
      <c r="I71" s="3" t="str">
        <f>IFERROR(VLOOKUP(C71,'Справочник соответствий'!A$2:D$2981,2,FALSE),IF(VALUE(C71)=0,1,VLOOKUP(C71,'Справочник соответствий'!A$2:D$2981,2,FALSE)))</f>
        <v>1</v>
      </c>
      <c r="J71" s="3">
        <f>IFERROR(VLOOKUP(D71,'Справочник соответствий'!A$2:D$2981,2,FALSE),IF(VALUE(D71)=0,0,VLOOKUP(D71,'Справочник соответствий'!A$2:D$2981,2,FALSE)))</f>
        <v>0</v>
      </c>
      <c r="K71" s="3" t="str">
        <f t="shared" si="7"/>
        <v>1</v>
      </c>
      <c r="L71" s="13" t="str">
        <f>IFERROR(VLOOKUP(C71,'Справочник соответствий'!A$2:D$2981,3,FALSE),IF(VALUE(C71)=0,"ЭТАЖ НЕ ОПРЕДЕЛЕН. ПРИНЯТ ПО ДОПУЩЕНИЮ 1",VLOOKUP(C71,'Справочник соответствий'!A$2:D$2981,3,FALSE)))</f>
        <v>ЭТАЖ ЗАДАН ЧИСЛОМ</v>
      </c>
      <c r="M71" s="13" t="b">
        <f t="shared" si="8"/>
        <v>0</v>
      </c>
      <c r="N71" s="13">
        <f t="shared" si="9"/>
        <v>1</v>
      </c>
      <c r="O71" s="13" t="str">
        <f t="shared" si="10"/>
        <v>ЭТАЖ ЗАДАН ЧИСЛОМ</v>
      </c>
      <c r="P71" s="13" t="str">
        <f t="shared" si="11"/>
        <v>ЭТАЖ ЗАДАН ЧИСЛОМ</v>
      </c>
      <c r="Q71" s="13" t="str">
        <f t="shared" si="12"/>
        <v>ГОТОВ_ИЗМЕНЕН</v>
      </c>
      <c r="R71" s="13">
        <f>IFERROR(VLOOKUP(P71,Лист1!A$1:B$20,2,FALSE),0)</f>
        <v>784</v>
      </c>
      <c r="S71" s="13">
        <f t="shared" si="13"/>
        <v>0</v>
      </c>
    </row>
    <row r="72" spans="1:19" x14ac:dyDescent="0.25">
      <c r="A72" s="24" t="s">
        <v>1149</v>
      </c>
      <c r="B72" s="4" t="s">
        <v>1059</v>
      </c>
      <c r="C72" s="25" t="s">
        <v>7</v>
      </c>
      <c r="G72" s="25" t="s">
        <v>1150</v>
      </c>
      <c r="H72" s="24" t="s">
        <v>1061</v>
      </c>
      <c r="I72" s="3" t="str">
        <f>IFERROR(VLOOKUP(C72,'Справочник соответствий'!A$2:D$2981,2,FALSE),IF(VALUE(C72)=0,1,VLOOKUP(C72,'Справочник соответствий'!A$2:D$2981,2,FALSE)))</f>
        <v>2</v>
      </c>
      <c r="J72" s="3">
        <f>IFERROR(VLOOKUP(D72,'Справочник соответствий'!A$2:D$2981,2,FALSE),IF(VALUE(D72)=0,0,VLOOKUP(D72,'Справочник соответствий'!A$2:D$2981,2,FALSE)))</f>
        <v>0</v>
      </c>
      <c r="K72" s="3" t="str">
        <f t="shared" si="7"/>
        <v>2</v>
      </c>
      <c r="L72" s="13" t="str">
        <f>IFERROR(VLOOKUP(C72,'Справочник соответствий'!A$2:D$2981,3,FALSE),IF(VALUE(C72)=0,"ЭТАЖ НЕ ОПРЕДЕЛЕН. ПРИНЯТ ПО ДОПУЩЕНИЮ 1",VLOOKUP(C72,'Справочник соответствий'!A$2:D$2981,3,FALSE)))</f>
        <v>ЭТАЖ ЗАДАН ЧИСЛОМ</v>
      </c>
      <c r="M72" s="13" t="b">
        <f t="shared" si="8"/>
        <v>0</v>
      </c>
      <c r="N72" s="13">
        <f t="shared" si="9"/>
        <v>2</v>
      </c>
      <c r="O72" s="13" t="str">
        <f t="shared" si="10"/>
        <v>ЭТАЖ ЗАДАН ЧИСЛОМ</v>
      </c>
      <c r="P72" s="13" t="str">
        <f t="shared" si="11"/>
        <v>ЭТАЖ ЗАДАН ЧИСЛОМ</v>
      </c>
      <c r="Q72" s="13" t="str">
        <f t="shared" si="12"/>
        <v>ГОТОВ_ИЗМЕНЕН</v>
      </c>
      <c r="R72" s="13">
        <f>IFERROR(VLOOKUP(P72,Лист1!A$1:B$20,2,FALSE),0)</f>
        <v>784</v>
      </c>
      <c r="S72" s="13">
        <f t="shared" si="13"/>
        <v>0</v>
      </c>
    </row>
    <row r="73" spans="1:19" x14ac:dyDescent="0.25">
      <c r="A73" s="24" t="s">
        <v>1151</v>
      </c>
      <c r="B73" s="4" t="s">
        <v>1063</v>
      </c>
      <c r="C73" s="25" t="s">
        <v>7</v>
      </c>
      <c r="D73" s="25" t="s">
        <v>7</v>
      </c>
      <c r="G73" s="25" t="s">
        <v>1086</v>
      </c>
      <c r="H73" s="24" t="s">
        <v>1061</v>
      </c>
      <c r="I73" s="3" t="str">
        <f>IFERROR(VLOOKUP(C73,'Справочник соответствий'!A$2:D$2981,2,FALSE),IF(VALUE(C73)=0,1,VLOOKUP(C73,'Справочник соответствий'!A$2:D$2981,2,FALSE)))</f>
        <v>2</v>
      </c>
      <c r="J73" s="3" t="str">
        <f>IFERROR(VLOOKUP(D73,'Справочник соответствий'!A$2:D$2981,2,FALSE),IF(VALUE(D73)=0,0,VLOOKUP(D73,'Справочник соответствий'!A$2:D$2981,2,FALSE)))</f>
        <v>2</v>
      </c>
      <c r="K73" s="3" t="str">
        <f t="shared" si="7"/>
        <v>2</v>
      </c>
      <c r="L73" s="13" t="str">
        <f>IFERROR(VLOOKUP(C73,'Справочник соответствий'!A$2:D$2981,3,FALSE),IF(VALUE(C73)=0,"ЭТАЖ НЕ ОПРЕДЕЛЕН. ПРИНЯТ ПО ДОПУЩЕНИЮ 1",VLOOKUP(C73,'Справочник соответствий'!A$2:D$2981,3,FALSE)))</f>
        <v>ЭТАЖ ЗАДАН ЧИСЛОМ</v>
      </c>
      <c r="M73" s="13" t="b">
        <f t="shared" si="8"/>
        <v>0</v>
      </c>
      <c r="N73" s="13">
        <f t="shared" si="9"/>
        <v>2</v>
      </c>
      <c r="O73" s="13" t="str">
        <f t="shared" si="10"/>
        <v>ЭТАЖ ЗАДАН ЧИСЛОМ</v>
      </c>
      <c r="P73" s="13" t="str">
        <f t="shared" si="11"/>
        <v>ЭТАЖ ЗАДАН ЧИСЛОМ</v>
      </c>
      <c r="Q73" s="13" t="str">
        <f t="shared" si="12"/>
        <v>ГОТОВ_ИЗМЕНЕН</v>
      </c>
      <c r="R73" s="13">
        <f>IFERROR(VLOOKUP(P73,Лист1!A$1:B$20,2,FALSE),0)</f>
        <v>784</v>
      </c>
      <c r="S73" s="13">
        <f t="shared" si="13"/>
        <v>0</v>
      </c>
    </row>
    <row r="74" spans="1:19" x14ac:dyDescent="0.25">
      <c r="A74" s="24" t="s">
        <v>1152</v>
      </c>
      <c r="B74" s="4" t="s">
        <v>1059</v>
      </c>
      <c r="C74" s="25" t="s">
        <v>5</v>
      </c>
      <c r="G74" s="25" t="s">
        <v>1086</v>
      </c>
      <c r="H74" s="24" t="s">
        <v>1061</v>
      </c>
      <c r="I74" s="3" t="str">
        <f>IFERROR(VLOOKUP(C74,'Справочник соответствий'!A$2:D$2981,2,FALSE),IF(VALUE(C74)=0,1,VLOOKUP(C74,'Справочник соответствий'!A$2:D$2981,2,FALSE)))</f>
        <v>1</v>
      </c>
      <c r="J74" s="3">
        <f>IFERROR(VLOOKUP(D74,'Справочник соответствий'!A$2:D$2981,2,FALSE),IF(VALUE(D74)=0,0,VLOOKUP(D74,'Справочник соответствий'!A$2:D$2981,2,FALSE)))</f>
        <v>0</v>
      </c>
      <c r="K74" s="3" t="str">
        <f t="shared" si="7"/>
        <v>1</v>
      </c>
      <c r="L74" s="13" t="str">
        <f>IFERROR(VLOOKUP(C74,'Справочник соответствий'!A$2:D$2981,3,FALSE),IF(VALUE(C74)=0,"ЭТАЖ НЕ ОПРЕДЕЛЕН. ПРИНЯТ ПО ДОПУЩЕНИЮ 1",VLOOKUP(C74,'Справочник соответствий'!A$2:D$2981,3,FALSE)))</f>
        <v>ЭТАЖ ЗАДАН ЧИСЛОМ</v>
      </c>
      <c r="M74" s="13" t="b">
        <f t="shared" si="8"/>
        <v>0</v>
      </c>
      <c r="N74" s="13">
        <f t="shared" si="9"/>
        <v>1</v>
      </c>
      <c r="O74" s="13" t="str">
        <f t="shared" si="10"/>
        <v>ЭТАЖ ЗАДАН ЧИСЛОМ</v>
      </c>
      <c r="P74" s="13" t="str">
        <f t="shared" si="11"/>
        <v>ЭТАЖ ЗАДАН ЧИСЛОМ</v>
      </c>
      <c r="Q74" s="13" t="str">
        <f t="shared" si="12"/>
        <v>ГОТОВ_ИЗМЕНЕН</v>
      </c>
      <c r="R74" s="13">
        <f>IFERROR(VLOOKUP(P74,Лист1!A$1:B$20,2,FALSE),0)</f>
        <v>784</v>
      </c>
      <c r="S74" s="13">
        <f t="shared" si="13"/>
        <v>0</v>
      </c>
    </row>
    <row r="75" spans="1:19" x14ac:dyDescent="0.25">
      <c r="A75" s="24" t="s">
        <v>1153</v>
      </c>
      <c r="B75" s="4" t="s">
        <v>1059</v>
      </c>
      <c r="C75" s="25" t="s">
        <v>7</v>
      </c>
      <c r="G75" s="25" t="s">
        <v>1086</v>
      </c>
      <c r="H75" s="24" t="s">
        <v>1061</v>
      </c>
      <c r="I75" s="3" t="str">
        <f>IFERROR(VLOOKUP(C75,'Справочник соответствий'!A$2:D$2981,2,FALSE),IF(VALUE(C75)=0,1,VLOOKUP(C75,'Справочник соответствий'!A$2:D$2981,2,FALSE)))</f>
        <v>2</v>
      </c>
      <c r="J75" s="3">
        <f>IFERROR(VLOOKUP(D75,'Справочник соответствий'!A$2:D$2981,2,FALSE),IF(VALUE(D75)=0,0,VLOOKUP(D75,'Справочник соответствий'!A$2:D$2981,2,FALSE)))</f>
        <v>0</v>
      </c>
      <c r="K75" s="3" t="str">
        <f t="shared" si="7"/>
        <v>2</v>
      </c>
      <c r="L75" s="13" t="str">
        <f>IFERROR(VLOOKUP(C75,'Справочник соответствий'!A$2:D$2981,3,FALSE),IF(VALUE(C75)=0,"ЭТАЖ НЕ ОПРЕДЕЛЕН. ПРИНЯТ ПО ДОПУЩЕНИЮ 1",VLOOKUP(C75,'Справочник соответствий'!A$2:D$2981,3,FALSE)))</f>
        <v>ЭТАЖ ЗАДАН ЧИСЛОМ</v>
      </c>
      <c r="M75" s="13" t="b">
        <f t="shared" si="8"/>
        <v>0</v>
      </c>
      <c r="N75" s="13">
        <f t="shared" si="9"/>
        <v>2</v>
      </c>
      <c r="O75" s="13" t="str">
        <f t="shared" si="10"/>
        <v>ЭТАЖ ЗАДАН ЧИСЛОМ</v>
      </c>
      <c r="P75" s="13" t="str">
        <f t="shared" si="11"/>
        <v>ЭТАЖ ЗАДАН ЧИСЛОМ</v>
      </c>
      <c r="Q75" s="13" t="str">
        <f t="shared" si="12"/>
        <v>ГОТОВ_ИЗМЕНЕН</v>
      </c>
      <c r="R75" s="13">
        <f>IFERROR(VLOOKUP(P75,Лист1!A$1:B$20,2,FALSE),0)</f>
        <v>784</v>
      </c>
      <c r="S75" s="13">
        <f t="shared" si="13"/>
        <v>0</v>
      </c>
    </row>
    <row r="76" spans="1:19" x14ac:dyDescent="0.25">
      <c r="A76" s="24" t="s">
        <v>1154</v>
      </c>
      <c r="B76" s="4" t="s">
        <v>1059</v>
      </c>
      <c r="C76" s="25" t="s">
        <v>5</v>
      </c>
      <c r="G76" s="25" t="s">
        <v>1086</v>
      </c>
      <c r="H76" s="24" t="s">
        <v>1061</v>
      </c>
      <c r="I76" s="3" t="str">
        <f>IFERROR(VLOOKUP(C76,'Справочник соответствий'!A$2:D$2981,2,FALSE),IF(VALUE(C76)=0,1,VLOOKUP(C76,'Справочник соответствий'!A$2:D$2981,2,FALSE)))</f>
        <v>1</v>
      </c>
      <c r="J76" s="3">
        <f>IFERROR(VLOOKUP(D76,'Справочник соответствий'!A$2:D$2981,2,FALSE),IF(VALUE(D76)=0,0,VLOOKUP(D76,'Справочник соответствий'!A$2:D$2981,2,FALSE)))</f>
        <v>0</v>
      </c>
      <c r="K76" s="3" t="str">
        <f t="shared" si="7"/>
        <v>1</v>
      </c>
      <c r="L76" s="13" t="str">
        <f>IFERROR(VLOOKUP(C76,'Справочник соответствий'!A$2:D$2981,3,FALSE),IF(VALUE(C76)=0,"ЭТАЖ НЕ ОПРЕДЕЛЕН. ПРИНЯТ ПО ДОПУЩЕНИЮ 1",VLOOKUP(C76,'Справочник соответствий'!A$2:D$2981,3,FALSE)))</f>
        <v>ЭТАЖ ЗАДАН ЧИСЛОМ</v>
      </c>
      <c r="M76" s="13" t="b">
        <f t="shared" si="8"/>
        <v>0</v>
      </c>
      <c r="N76" s="13">
        <f t="shared" si="9"/>
        <v>1</v>
      </c>
      <c r="O76" s="13" t="str">
        <f t="shared" si="10"/>
        <v>ЭТАЖ ЗАДАН ЧИСЛОМ</v>
      </c>
      <c r="P76" s="13" t="str">
        <f t="shared" si="11"/>
        <v>ЭТАЖ ЗАДАН ЧИСЛОМ</v>
      </c>
      <c r="Q76" s="13" t="str">
        <f t="shared" si="12"/>
        <v>ГОТОВ_ИЗМЕНЕН</v>
      </c>
      <c r="R76" s="13">
        <f>IFERROR(VLOOKUP(P76,Лист1!A$1:B$20,2,FALSE),0)</f>
        <v>784</v>
      </c>
      <c r="S76" s="13">
        <f t="shared" si="13"/>
        <v>0</v>
      </c>
    </row>
    <row r="77" spans="1:19" x14ac:dyDescent="0.25">
      <c r="A77" s="24" t="s">
        <v>1155</v>
      </c>
      <c r="B77" s="4" t="s">
        <v>1059</v>
      </c>
      <c r="C77" s="25" t="s">
        <v>7</v>
      </c>
      <c r="G77" s="25" t="s">
        <v>1086</v>
      </c>
      <c r="H77" s="24" t="s">
        <v>1061</v>
      </c>
      <c r="I77" s="3" t="str">
        <f>IFERROR(VLOOKUP(C77,'Справочник соответствий'!A$2:D$2981,2,FALSE),IF(VALUE(C77)=0,1,VLOOKUP(C77,'Справочник соответствий'!A$2:D$2981,2,FALSE)))</f>
        <v>2</v>
      </c>
      <c r="J77" s="3">
        <f>IFERROR(VLOOKUP(D77,'Справочник соответствий'!A$2:D$2981,2,FALSE),IF(VALUE(D77)=0,0,VLOOKUP(D77,'Справочник соответствий'!A$2:D$2981,2,FALSE)))</f>
        <v>0</v>
      </c>
      <c r="K77" s="3" t="str">
        <f t="shared" si="7"/>
        <v>2</v>
      </c>
      <c r="L77" s="13" t="str">
        <f>IFERROR(VLOOKUP(C77,'Справочник соответствий'!A$2:D$2981,3,FALSE),IF(VALUE(C77)=0,"ЭТАЖ НЕ ОПРЕДЕЛЕН. ПРИНЯТ ПО ДОПУЩЕНИЮ 1",VLOOKUP(C77,'Справочник соответствий'!A$2:D$2981,3,FALSE)))</f>
        <v>ЭТАЖ ЗАДАН ЧИСЛОМ</v>
      </c>
      <c r="M77" s="13" t="b">
        <f t="shared" si="8"/>
        <v>0</v>
      </c>
      <c r="N77" s="13">
        <f t="shared" si="9"/>
        <v>2</v>
      </c>
      <c r="O77" s="13" t="str">
        <f t="shared" si="10"/>
        <v>ЭТАЖ ЗАДАН ЧИСЛОМ</v>
      </c>
      <c r="P77" s="13" t="str">
        <f t="shared" si="11"/>
        <v>ЭТАЖ ЗАДАН ЧИСЛОМ</v>
      </c>
      <c r="Q77" s="13" t="str">
        <f t="shared" si="12"/>
        <v>ГОТОВ_ИЗМЕНЕН</v>
      </c>
      <c r="R77" s="13">
        <f>IFERROR(VLOOKUP(P77,Лист1!A$1:B$20,2,FALSE),0)</f>
        <v>784</v>
      </c>
      <c r="S77" s="13">
        <f t="shared" si="13"/>
        <v>0</v>
      </c>
    </row>
    <row r="78" spans="1:19" x14ac:dyDescent="0.25">
      <c r="A78" s="24" t="s">
        <v>1156</v>
      </c>
      <c r="B78" s="4" t="s">
        <v>1063</v>
      </c>
      <c r="C78" s="25" t="s">
        <v>5</v>
      </c>
      <c r="G78" s="25" t="s">
        <v>1150</v>
      </c>
      <c r="H78" s="24" t="s">
        <v>1061</v>
      </c>
      <c r="I78" s="3" t="str">
        <f>IFERROR(VLOOKUP(C78,'Справочник соответствий'!A$2:D$2981,2,FALSE),IF(VALUE(C78)=0,1,VLOOKUP(C78,'Справочник соответствий'!A$2:D$2981,2,FALSE)))</f>
        <v>1</v>
      </c>
      <c r="J78" s="3">
        <f>IFERROR(VLOOKUP(D78,'Справочник соответствий'!A$2:D$2981,2,FALSE),IF(VALUE(D78)=0,0,VLOOKUP(D78,'Справочник соответствий'!A$2:D$2981,2,FALSE)))</f>
        <v>0</v>
      </c>
      <c r="K78" s="3" t="str">
        <f t="shared" si="7"/>
        <v>1</v>
      </c>
      <c r="L78" s="13" t="str">
        <f>IFERROR(VLOOKUP(C78,'Справочник соответствий'!A$2:D$2981,3,FALSE),IF(VALUE(C78)=0,"ЭТАЖ НЕ ОПРЕДЕЛЕН. ПРИНЯТ ПО ДОПУЩЕНИЮ 1",VLOOKUP(C78,'Справочник соответствий'!A$2:D$2981,3,FALSE)))</f>
        <v>ЭТАЖ ЗАДАН ЧИСЛОМ</v>
      </c>
      <c r="M78" s="13" t="b">
        <f t="shared" si="8"/>
        <v>0</v>
      </c>
      <c r="N78" s="13">
        <f t="shared" si="9"/>
        <v>1</v>
      </c>
      <c r="O78" s="13" t="str">
        <f t="shared" si="10"/>
        <v>ЭТАЖ ЗАДАН ЧИСЛОМ</v>
      </c>
      <c r="P78" s="13" t="str">
        <f t="shared" si="11"/>
        <v>ЭТАЖ ЗАДАН ЧИСЛОМ</v>
      </c>
      <c r="Q78" s="13" t="str">
        <f t="shared" si="12"/>
        <v>ГОТОВ_ИЗМЕНЕН</v>
      </c>
      <c r="R78" s="13">
        <f>IFERROR(VLOOKUP(P78,Лист1!A$1:B$20,2,FALSE),0)</f>
        <v>784</v>
      </c>
      <c r="S78" s="13">
        <f t="shared" si="13"/>
        <v>0</v>
      </c>
    </row>
    <row r="79" spans="1:19" x14ac:dyDescent="0.25">
      <c r="A79" s="24" t="s">
        <v>1157</v>
      </c>
      <c r="B79" s="4" t="s">
        <v>1063</v>
      </c>
      <c r="C79" s="25" t="s">
        <v>5</v>
      </c>
      <c r="G79" s="25" t="s">
        <v>1106</v>
      </c>
      <c r="H79" s="24" t="s">
        <v>1061</v>
      </c>
      <c r="I79" s="3" t="str">
        <f>IFERROR(VLOOKUP(C79,'Справочник соответствий'!A$2:D$2981,2,FALSE),IF(VALUE(C79)=0,1,VLOOKUP(C79,'Справочник соответствий'!A$2:D$2981,2,FALSE)))</f>
        <v>1</v>
      </c>
      <c r="J79" s="3">
        <f>IFERROR(VLOOKUP(D79,'Справочник соответствий'!A$2:D$2981,2,FALSE),IF(VALUE(D79)=0,0,VLOOKUP(D79,'Справочник соответствий'!A$2:D$2981,2,FALSE)))</f>
        <v>0</v>
      </c>
      <c r="K79" s="3" t="str">
        <f t="shared" si="7"/>
        <v>1</v>
      </c>
      <c r="L79" s="13" t="str">
        <f>IFERROR(VLOOKUP(C79,'Справочник соответствий'!A$2:D$2981,3,FALSE),IF(VALUE(C79)=0,"ЭТАЖ НЕ ОПРЕДЕЛЕН. ПРИНЯТ ПО ДОПУЩЕНИЮ 1",VLOOKUP(C79,'Справочник соответствий'!A$2:D$2981,3,FALSE)))</f>
        <v>ЭТАЖ ЗАДАН ЧИСЛОМ</v>
      </c>
      <c r="M79" s="13" t="b">
        <f t="shared" si="8"/>
        <v>0</v>
      </c>
      <c r="N79" s="13">
        <f t="shared" si="9"/>
        <v>1</v>
      </c>
      <c r="O79" s="13" t="str">
        <f t="shared" si="10"/>
        <v>ЭТАЖ ЗАДАН ЧИСЛОМ</v>
      </c>
      <c r="P79" s="13" t="str">
        <f t="shared" si="11"/>
        <v>ЭТАЖ ЗАДАН ЧИСЛОМ</v>
      </c>
      <c r="Q79" s="13" t="str">
        <f t="shared" si="12"/>
        <v>ГОТОВ_ИЗМЕНЕН</v>
      </c>
      <c r="R79" s="13">
        <f>IFERROR(VLOOKUP(P79,Лист1!A$1:B$20,2,FALSE),0)</f>
        <v>784</v>
      </c>
      <c r="S79" s="13">
        <f t="shared" si="13"/>
        <v>0</v>
      </c>
    </row>
    <row r="80" spans="1:19" x14ac:dyDescent="0.25">
      <c r="A80" s="24" t="s">
        <v>1158</v>
      </c>
      <c r="B80" s="4" t="s">
        <v>1063</v>
      </c>
      <c r="C80" s="25" t="s">
        <v>33</v>
      </c>
      <c r="G80" s="25" t="s">
        <v>1072</v>
      </c>
      <c r="H80" s="24" t="s">
        <v>1061</v>
      </c>
      <c r="I80" s="3" t="str">
        <f>IFERROR(VLOOKUP(C80,'Справочник соответствий'!A$2:D$2981,2,FALSE),IF(VALUE(C80)=0,1,VLOOKUP(C80,'Справочник соответствий'!A$2:D$2981,2,FALSE)))</f>
        <v>8</v>
      </c>
      <c r="J80" s="3">
        <f>IFERROR(VLOOKUP(D80,'Справочник соответствий'!A$2:D$2981,2,FALSE),IF(VALUE(D80)=0,0,VLOOKUP(D80,'Справочник соответствий'!A$2:D$2981,2,FALSE)))</f>
        <v>0</v>
      </c>
      <c r="K80" s="3" t="str">
        <f t="shared" si="7"/>
        <v>8</v>
      </c>
      <c r="L80" s="13" t="str">
        <f>IFERROR(VLOOKUP(C80,'Справочник соответствий'!A$2:D$2981,3,FALSE),IF(VALUE(C80)=0,"ЭТАЖ НЕ ОПРЕДЕЛЕН. ПРИНЯТ ПО ДОПУЩЕНИЮ 1",VLOOKUP(C80,'Справочник соответствий'!A$2:D$2981,3,FALSE)))</f>
        <v>ЭТАЖ ЗАДАН ЧИСЛОМ</v>
      </c>
      <c r="M80" s="13" t="b">
        <f t="shared" si="8"/>
        <v>0</v>
      </c>
      <c r="N80" s="13">
        <f t="shared" si="9"/>
        <v>8</v>
      </c>
      <c r="O80" s="13" t="str">
        <f t="shared" si="10"/>
        <v>ЭТАЖ ЗАДАН ЧИСЛОМ</v>
      </c>
      <c r="P80" s="13" t="str">
        <f t="shared" si="11"/>
        <v>ЭТАЖ ЗАДАН ЧИСЛОМ</v>
      </c>
      <c r="Q80" s="13" t="str">
        <f t="shared" si="12"/>
        <v>ГОТОВ_ИЗМЕНЕН</v>
      </c>
      <c r="R80" s="13">
        <f>IFERROR(VLOOKUP(P80,Лист1!A$1:B$20,2,FALSE),0)</f>
        <v>784</v>
      </c>
      <c r="S80" s="13">
        <f t="shared" si="13"/>
        <v>0</v>
      </c>
    </row>
    <row r="81" spans="1:19" x14ac:dyDescent="0.25">
      <c r="A81" s="24" t="s">
        <v>1159</v>
      </c>
      <c r="B81" s="4" t="s">
        <v>1059</v>
      </c>
      <c r="C81" s="25" t="s">
        <v>5</v>
      </c>
      <c r="G81" s="25" t="s">
        <v>1072</v>
      </c>
      <c r="H81" s="24" t="s">
        <v>1061</v>
      </c>
      <c r="I81" s="3" t="str">
        <f>IFERROR(VLOOKUP(C81,'Справочник соответствий'!A$2:D$2981,2,FALSE),IF(VALUE(C81)=0,1,VLOOKUP(C81,'Справочник соответствий'!A$2:D$2981,2,FALSE)))</f>
        <v>1</v>
      </c>
      <c r="J81" s="3">
        <f>IFERROR(VLOOKUP(D81,'Справочник соответствий'!A$2:D$2981,2,FALSE),IF(VALUE(D81)=0,0,VLOOKUP(D81,'Справочник соответствий'!A$2:D$2981,2,FALSE)))</f>
        <v>0</v>
      </c>
      <c r="K81" s="3" t="str">
        <f t="shared" si="7"/>
        <v>1</v>
      </c>
      <c r="L81" s="13" t="str">
        <f>IFERROR(VLOOKUP(C81,'Справочник соответствий'!A$2:D$2981,3,FALSE),IF(VALUE(C81)=0,"ЭТАЖ НЕ ОПРЕДЕЛЕН. ПРИНЯТ ПО ДОПУЩЕНИЮ 1",VLOOKUP(C81,'Справочник соответствий'!A$2:D$2981,3,FALSE)))</f>
        <v>ЭТАЖ ЗАДАН ЧИСЛОМ</v>
      </c>
      <c r="M81" s="13" t="b">
        <f t="shared" si="8"/>
        <v>0</v>
      </c>
      <c r="N81" s="13">
        <f t="shared" si="9"/>
        <v>1</v>
      </c>
      <c r="O81" s="13" t="str">
        <f t="shared" si="10"/>
        <v>ЭТАЖ ЗАДАН ЧИСЛОМ</v>
      </c>
      <c r="P81" s="13" t="str">
        <f t="shared" si="11"/>
        <v>ЭТАЖ ЗАДАН ЧИСЛОМ</v>
      </c>
      <c r="Q81" s="13" t="str">
        <f t="shared" si="12"/>
        <v>ГОТОВ_ИЗМЕНЕН</v>
      </c>
      <c r="R81" s="13">
        <f>IFERROR(VLOOKUP(P81,Лист1!A$1:B$20,2,FALSE),0)</f>
        <v>784</v>
      </c>
      <c r="S81" s="13">
        <f t="shared" si="13"/>
        <v>0</v>
      </c>
    </row>
    <row r="82" spans="1:19" x14ac:dyDescent="0.25">
      <c r="A82" s="24" t="s">
        <v>1160</v>
      </c>
      <c r="B82" s="4" t="s">
        <v>1059</v>
      </c>
      <c r="C82" s="25" t="s">
        <v>12</v>
      </c>
      <c r="D82" s="25" t="s">
        <v>5</v>
      </c>
      <c r="G82" s="25" t="s">
        <v>1161</v>
      </c>
      <c r="H82" s="24" t="s">
        <v>1061</v>
      </c>
      <c r="I82" s="3" t="str">
        <f>IFERROR(VLOOKUP(C82,'Справочник соответствий'!A$2:D$2981,2,FALSE),IF(VALUE(C82)=0,1,VLOOKUP(C82,'Справочник соответствий'!A$2:D$2981,2,FALSE)))</f>
        <v>4</v>
      </c>
      <c r="J82" s="3" t="str">
        <f>IFERROR(VLOOKUP(D82,'Справочник соответствий'!A$2:D$2981,2,FALSE),IF(VALUE(D82)=0,0,VLOOKUP(D82,'Справочник соответствий'!A$2:D$2981,2,FALSE)))</f>
        <v>1</v>
      </c>
      <c r="K82" s="3" t="str">
        <f t="shared" si="7"/>
        <v>4</v>
      </c>
      <c r="L82" s="13" t="str">
        <f>IFERROR(VLOOKUP(C82,'Справочник соответствий'!A$2:D$2981,3,FALSE),IF(VALUE(C82)=0,"ЭТАЖ НЕ ОПРЕДЕЛЕН. ПРИНЯТ ПО ДОПУЩЕНИЮ 1",VLOOKUP(C82,'Справочник соответствий'!A$2:D$2981,3,FALSE)))</f>
        <v>ЭТАЖ ЗАДАН ЧИСЛОМ</v>
      </c>
      <c r="M82" s="13" t="b">
        <f t="shared" si="8"/>
        <v>0</v>
      </c>
      <c r="N82" s="13">
        <f t="shared" si="9"/>
        <v>4</v>
      </c>
      <c r="O82" s="13" t="str">
        <f t="shared" si="10"/>
        <v>ЭТАЖ ЗАДАН ЧИСЛОМ</v>
      </c>
      <c r="P82" s="13" t="str">
        <f t="shared" si="11"/>
        <v>ЭТАЖ ЗАДАН ЧИСЛОМ</v>
      </c>
      <c r="Q82" s="13" t="str">
        <f t="shared" si="12"/>
        <v>ГОТОВ_ИЗМЕНЕН</v>
      </c>
      <c r="R82" s="13">
        <f>IFERROR(VLOOKUP(P82,Лист1!A$1:B$20,2,FALSE),0)</f>
        <v>784</v>
      </c>
      <c r="S82" s="13">
        <f t="shared" si="13"/>
        <v>0</v>
      </c>
    </row>
    <row r="83" spans="1:19" x14ac:dyDescent="0.25">
      <c r="A83" s="24" t="s">
        <v>1162</v>
      </c>
      <c r="B83" s="4" t="s">
        <v>1059</v>
      </c>
      <c r="C83" s="25" t="s">
        <v>5</v>
      </c>
      <c r="G83" s="25" t="s">
        <v>1161</v>
      </c>
      <c r="H83" s="24" t="s">
        <v>1061</v>
      </c>
      <c r="I83" s="3" t="str">
        <f>IFERROR(VLOOKUP(C83,'Справочник соответствий'!A$2:D$2981,2,FALSE),IF(VALUE(C83)=0,1,VLOOKUP(C83,'Справочник соответствий'!A$2:D$2981,2,FALSE)))</f>
        <v>1</v>
      </c>
      <c r="J83" s="3">
        <f>IFERROR(VLOOKUP(D83,'Справочник соответствий'!A$2:D$2981,2,FALSE),IF(VALUE(D83)=0,0,VLOOKUP(D83,'Справочник соответствий'!A$2:D$2981,2,FALSE)))</f>
        <v>0</v>
      </c>
      <c r="K83" s="3" t="str">
        <f t="shared" si="7"/>
        <v>1</v>
      </c>
      <c r="L83" s="13" t="str">
        <f>IFERROR(VLOOKUP(C83,'Справочник соответствий'!A$2:D$2981,3,FALSE),IF(VALUE(C83)=0,"ЭТАЖ НЕ ОПРЕДЕЛЕН. ПРИНЯТ ПО ДОПУЩЕНИЮ 1",VLOOKUP(C83,'Справочник соответствий'!A$2:D$2981,3,FALSE)))</f>
        <v>ЭТАЖ ЗАДАН ЧИСЛОМ</v>
      </c>
      <c r="M83" s="13" t="b">
        <f t="shared" si="8"/>
        <v>0</v>
      </c>
      <c r="N83" s="13">
        <f t="shared" si="9"/>
        <v>1</v>
      </c>
      <c r="O83" s="13" t="str">
        <f t="shared" si="10"/>
        <v>ЭТАЖ ЗАДАН ЧИСЛОМ</v>
      </c>
      <c r="P83" s="13" t="str">
        <f t="shared" si="11"/>
        <v>ЭТАЖ ЗАДАН ЧИСЛОМ</v>
      </c>
      <c r="Q83" s="13" t="str">
        <f t="shared" si="12"/>
        <v>ГОТОВ_ИЗМЕНЕН</v>
      </c>
      <c r="R83" s="13">
        <f>IFERROR(VLOOKUP(P83,Лист1!A$1:B$20,2,FALSE),0)</f>
        <v>784</v>
      </c>
      <c r="S83" s="13">
        <f t="shared" si="13"/>
        <v>0</v>
      </c>
    </row>
    <row r="84" spans="1:19" x14ac:dyDescent="0.25">
      <c r="A84" s="24" t="s">
        <v>1163</v>
      </c>
      <c r="B84" s="4" t="s">
        <v>1059</v>
      </c>
      <c r="C84" s="25" t="s">
        <v>5</v>
      </c>
      <c r="G84" s="25" t="s">
        <v>1083</v>
      </c>
      <c r="H84" s="24" t="s">
        <v>1061</v>
      </c>
      <c r="I84" s="3" t="str">
        <f>IFERROR(VLOOKUP(C84,'Справочник соответствий'!A$2:D$2981,2,FALSE),IF(VALUE(C84)=0,1,VLOOKUP(C84,'Справочник соответствий'!A$2:D$2981,2,FALSE)))</f>
        <v>1</v>
      </c>
      <c r="J84" s="3">
        <f>IFERROR(VLOOKUP(D84,'Справочник соответствий'!A$2:D$2981,2,FALSE),IF(VALUE(D84)=0,0,VLOOKUP(D84,'Справочник соответствий'!A$2:D$2981,2,FALSE)))</f>
        <v>0</v>
      </c>
      <c r="K84" s="3" t="str">
        <f t="shared" si="7"/>
        <v>1</v>
      </c>
      <c r="L84" s="13" t="str">
        <f>IFERROR(VLOOKUP(C84,'Справочник соответствий'!A$2:D$2981,3,FALSE),IF(VALUE(C84)=0,"ЭТАЖ НЕ ОПРЕДЕЛЕН. ПРИНЯТ ПО ДОПУЩЕНИЮ 1",VLOOKUP(C84,'Справочник соответствий'!A$2:D$2981,3,FALSE)))</f>
        <v>ЭТАЖ ЗАДАН ЧИСЛОМ</v>
      </c>
      <c r="M84" s="13" t="b">
        <f t="shared" si="8"/>
        <v>0</v>
      </c>
      <c r="N84" s="13">
        <f t="shared" si="9"/>
        <v>1</v>
      </c>
      <c r="O84" s="13" t="str">
        <f t="shared" si="10"/>
        <v>ЭТАЖ ЗАДАН ЧИСЛОМ</v>
      </c>
      <c r="P84" s="13" t="str">
        <f t="shared" si="11"/>
        <v>ЭТАЖ ЗАДАН ЧИСЛОМ</v>
      </c>
      <c r="Q84" s="13" t="str">
        <f t="shared" si="12"/>
        <v>ГОТОВ_ИЗМЕНЕН</v>
      </c>
      <c r="R84" s="13">
        <f>IFERROR(VLOOKUP(P84,Лист1!A$1:B$20,2,FALSE),0)</f>
        <v>784</v>
      </c>
      <c r="S84" s="13">
        <f t="shared" si="13"/>
        <v>0</v>
      </c>
    </row>
    <row r="85" spans="1:19" x14ac:dyDescent="0.25">
      <c r="A85" s="24" t="s">
        <v>1164</v>
      </c>
      <c r="B85" s="4" t="s">
        <v>1063</v>
      </c>
      <c r="C85" s="25" t="s">
        <v>5</v>
      </c>
      <c r="G85" s="25" t="s">
        <v>1072</v>
      </c>
      <c r="H85" s="24" t="s">
        <v>1061</v>
      </c>
      <c r="I85" s="3" t="str">
        <f>IFERROR(VLOOKUP(C85,'Справочник соответствий'!A$2:D$2981,2,FALSE),IF(VALUE(C85)=0,1,VLOOKUP(C85,'Справочник соответствий'!A$2:D$2981,2,FALSE)))</f>
        <v>1</v>
      </c>
      <c r="J85" s="3">
        <f>IFERROR(VLOOKUP(D85,'Справочник соответствий'!A$2:D$2981,2,FALSE),IF(VALUE(D85)=0,0,VLOOKUP(D85,'Справочник соответствий'!A$2:D$2981,2,FALSE)))</f>
        <v>0</v>
      </c>
      <c r="K85" s="3" t="str">
        <f t="shared" si="7"/>
        <v>1</v>
      </c>
      <c r="L85" s="13" t="str">
        <f>IFERROR(VLOOKUP(C85,'Справочник соответствий'!A$2:D$2981,3,FALSE),IF(VALUE(C85)=0,"ЭТАЖ НЕ ОПРЕДЕЛЕН. ПРИНЯТ ПО ДОПУЩЕНИЮ 1",VLOOKUP(C85,'Справочник соответствий'!A$2:D$2981,3,FALSE)))</f>
        <v>ЭТАЖ ЗАДАН ЧИСЛОМ</v>
      </c>
      <c r="M85" s="13" t="b">
        <f t="shared" si="8"/>
        <v>0</v>
      </c>
      <c r="N85" s="13">
        <f t="shared" si="9"/>
        <v>1</v>
      </c>
      <c r="O85" s="13" t="str">
        <f t="shared" si="10"/>
        <v>ЭТАЖ ЗАДАН ЧИСЛОМ</v>
      </c>
      <c r="P85" s="13" t="str">
        <f t="shared" si="11"/>
        <v>ЭТАЖ ЗАДАН ЧИСЛОМ</v>
      </c>
      <c r="Q85" s="13" t="str">
        <f t="shared" si="12"/>
        <v>ГОТОВ_ИЗМЕНЕН</v>
      </c>
      <c r="R85" s="13">
        <f>IFERROR(VLOOKUP(P85,Лист1!A$1:B$20,2,FALSE),0)</f>
        <v>784</v>
      </c>
      <c r="S85" s="13">
        <f t="shared" si="13"/>
        <v>0</v>
      </c>
    </row>
    <row r="86" spans="1:19" x14ac:dyDescent="0.25">
      <c r="A86" s="24" t="s">
        <v>1165</v>
      </c>
      <c r="B86" s="4" t="s">
        <v>1063</v>
      </c>
      <c r="C86" s="25" t="s">
        <v>5</v>
      </c>
      <c r="G86" s="25" t="s">
        <v>1072</v>
      </c>
      <c r="H86" s="24" t="s">
        <v>1061</v>
      </c>
      <c r="I86" s="3" t="str">
        <f>IFERROR(VLOOKUP(C86,'Справочник соответствий'!A$2:D$2981,2,FALSE),IF(VALUE(C86)=0,1,VLOOKUP(C86,'Справочник соответствий'!A$2:D$2981,2,FALSE)))</f>
        <v>1</v>
      </c>
      <c r="J86" s="3">
        <f>IFERROR(VLOOKUP(D86,'Справочник соответствий'!A$2:D$2981,2,FALSE),IF(VALUE(D86)=0,0,VLOOKUP(D86,'Справочник соответствий'!A$2:D$2981,2,FALSE)))</f>
        <v>0</v>
      </c>
      <c r="K86" s="3" t="str">
        <f t="shared" si="7"/>
        <v>1</v>
      </c>
      <c r="L86" s="13" t="str">
        <f>IFERROR(VLOOKUP(C86,'Справочник соответствий'!A$2:D$2981,3,FALSE),IF(VALUE(C86)=0,"ЭТАЖ НЕ ОПРЕДЕЛЕН. ПРИНЯТ ПО ДОПУЩЕНИЮ 1",VLOOKUP(C86,'Справочник соответствий'!A$2:D$2981,3,FALSE)))</f>
        <v>ЭТАЖ ЗАДАН ЧИСЛОМ</v>
      </c>
      <c r="M86" s="13" t="b">
        <f t="shared" si="8"/>
        <v>0</v>
      </c>
      <c r="N86" s="13">
        <f t="shared" si="9"/>
        <v>1</v>
      </c>
      <c r="O86" s="13" t="str">
        <f t="shared" si="10"/>
        <v>ЭТАЖ ЗАДАН ЧИСЛОМ</v>
      </c>
      <c r="P86" s="13" t="str">
        <f t="shared" si="11"/>
        <v>ЭТАЖ ЗАДАН ЧИСЛОМ</v>
      </c>
      <c r="Q86" s="13" t="str">
        <f t="shared" si="12"/>
        <v>ГОТОВ_ИЗМЕНЕН</v>
      </c>
      <c r="R86" s="13">
        <f>IFERROR(VLOOKUP(P86,Лист1!A$1:B$20,2,FALSE),0)</f>
        <v>784</v>
      </c>
      <c r="S86" s="13">
        <f t="shared" si="13"/>
        <v>0</v>
      </c>
    </row>
    <row r="87" spans="1:19" x14ac:dyDescent="0.25">
      <c r="A87" s="24" t="s">
        <v>1166</v>
      </c>
      <c r="B87" s="4" t="s">
        <v>1063</v>
      </c>
      <c r="G87" s="25" t="s">
        <v>1167</v>
      </c>
      <c r="H87" s="24" t="s">
        <v>1061</v>
      </c>
      <c r="I87" s="3">
        <f>IFERROR(VLOOKUP(C87,'Справочник соответствий'!A$2:D$2981,2,FALSE),IF(VALUE(C87)=0,1,VLOOKUP(C87,'Справочник соответствий'!A$2:D$2981,2,FALSE)))</f>
        <v>1</v>
      </c>
      <c r="J87" s="3">
        <f>IFERROR(VLOOKUP(D87,'Справочник соответствий'!A$2:D$2981,2,FALSE),IF(VALUE(D87)=0,0,VLOOKUP(D87,'Справочник соответствий'!A$2:D$2981,2,FALSE)))</f>
        <v>0</v>
      </c>
      <c r="K87" s="3">
        <f t="shared" si="7"/>
        <v>1</v>
      </c>
      <c r="L87" s="13" t="str">
        <f>IFERROR(VLOOKUP(C87,'Справочник соответствий'!A$2:D$2981,3,FALSE),IF(VALUE(C87)=0,"ЭТАЖ НЕ ОПРЕДЕЛЕН. ПРИНЯТ ПО ДОПУЩЕНИЮ 1",VLOOKUP(C87,'Справочник соответствий'!A$2:D$2981,3,FALSE)))</f>
        <v>ЭТАЖ НЕ ОПРЕДЕЛЕН. ПРИНЯТ ПО ДОПУЩЕНИЮ 1</v>
      </c>
      <c r="M87" s="13" t="b">
        <f t="shared" si="8"/>
        <v>0</v>
      </c>
      <c r="N87" s="13">
        <f t="shared" si="9"/>
        <v>1</v>
      </c>
      <c r="O87" s="13" t="str">
        <f t="shared" si="10"/>
        <v>ЭТАЖ НЕ ОПРЕДЕЛЕН. ПРИНЯТ ПО ДОПУЩЕНИЮ 1</v>
      </c>
      <c r="P87" s="13" t="str">
        <f t="shared" si="11"/>
        <v>ЭТАЖ НЕ ОПРЕДЕЛЕН. ПРИНЯТ ПО ДОПУЩЕНИЮ 1</v>
      </c>
      <c r="Q87" s="13" t="str">
        <f t="shared" si="12"/>
        <v>ГОТОВ_ИЗМЕНЕН</v>
      </c>
      <c r="R87" s="13">
        <f>IFERROR(VLOOKUP(P87,Лист1!A$1:B$20,2,FALSE),0)</f>
        <v>788</v>
      </c>
      <c r="S87" s="13">
        <f t="shared" si="13"/>
        <v>0</v>
      </c>
    </row>
    <row r="88" spans="1:19" x14ac:dyDescent="0.25">
      <c r="A88" s="24" t="s">
        <v>1168</v>
      </c>
      <c r="B88" s="4" t="s">
        <v>1059</v>
      </c>
      <c r="C88" s="25" t="s">
        <v>5</v>
      </c>
      <c r="G88" s="25" t="s">
        <v>1072</v>
      </c>
      <c r="H88" s="24" t="s">
        <v>1061</v>
      </c>
      <c r="I88" s="3" t="str">
        <f>IFERROR(VLOOKUP(C88,'Справочник соответствий'!A$2:D$2981,2,FALSE),IF(VALUE(C88)=0,1,VLOOKUP(C88,'Справочник соответствий'!A$2:D$2981,2,FALSE)))</f>
        <v>1</v>
      </c>
      <c r="J88" s="3">
        <f>IFERROR(VLOOKUP(D88,'Справочник соответствий'!A$2:D$2981,2,FALSE),IF(VALUE(D88)=0,0,VLOOKUP(D88,'Справочник соответствий'!A$2:D$2981,2,FALSE)))</f>
        <v>0</v>
      </c>
      <c r="K88" s="3" t="str">
        <f t="shared" si="7"/>
        <v>1</v>
      </c>
      <c r="L88" s="13" t="str">
        <f>IFERROR(VLOOKUP(C88,'Справочник соответствий'!A$2:D$2981,3,FALSE),IF(VALUE(C88)=0,"ЭТАЖ НЕ ОПРЕДЕЛЕН. ПРИНЯТ ПО ДОПУЩЕНИЮ 1",VLOOKUP(C88,'Справочник соответствий'!A$2:D$2981,3,FALSE)))</f>
        <v>ЭТАЖ ЗАДАН ЧИСЛОМ</v>
      </c>
      <c r="M88" s="13" t="b">
        <f t="shared" si="8"/>
        <v>0</v>
      </c>
      <c r="N88" s="13">
        <f t="shared" si="9"/>
        <v>1</v>
      </c>
      <c r="O88" s="13" t="str">
        <f t="shared" si="10"/>
        <v>ЭТАЖ ЗАДАН ЧИСЛОМ</v>
      </c>
      <c r="P88" s="13" t="str">
        <f t="shared" si="11"/>
        <v>ЭТАЖ ЗАДАН ЧИСЛОМ</v>
      </c>
      <c r="Q88" s="13" t="str">
        <f t="shared" si="12"/>
        <v>ГОТОВ_ИЗМЕНЕН</v>
      </c>
      <c r="R88" s="13">
        <f>IFERROR(VLOOKUP(P88,Лист1!A$1:B$20,2,FALSE),0)</f>
        <v>784</v>
      </c>
      <c r="S88" s="13">
        <f t="shared" si="13"/>
        <v>0</v>
      </c>
    </row>
    <row r="89" spans="1:19" x14ac:dyDescent="0.25">
      <c r="A89" s="24" t="s">
        <v>1169</v>
      </c>
      <c r="B89" s="4" t="s">
        <v>1059</v>
      </c>
      <c r="C89" s="25" t="s">
        <v>5</v>
      </c>
      <c r="G89" s="25" t="s">
        <v>1167</v>
      </c>
      <c r="H89" s="24" t="s">
        <v>1061</v>
      </c>
      <c r="I89" s="3" t="str">
        <f>IFERROR(VLOOKUP(C89,'Справочник соответствий'!A$2:D$2981,2,FALSE),IF(VALUE(C89)=0,1,VLOOKUP(C89,'Справочник соответствий'!A$2:D$2981,2,FALSE)))</f>
        <v>1</v>
      </c>
      <c r="J89" s="3">
        <f>IFERROR(VLOOKUP(D89,'Справочник соответствий'!A$2:D$2981,2,FALSE),IF(VALUE(D89)=0,0,VLOOKUP(D89,'Справочник соответствий'!A$2:D$2981,2,FALSE)))</f>
        <v>0</v>
      </c>
      <c r="K89" s="3" t="str">
        <f t="shared" si="7"/>
        <v>1</v>
      </c>
      <c r="L89" s="13" t="str">
        <f>IFERROR(VLOOKUP(C89,'Справочник соответствий'!A$2:D$2981,3,FALSE),IF(VALUE(C89)=0,"ЭТАЖ НЕ ОПРЕДЕЛЕН. ПРИНЯТ ПО ДОПУЩЕНИЮ 1",VLOOKUP(C89,'Справочник соответствий'!A$2:D$2981,3,FALSE)))</f>
        <v>ЭТАЖ ЗАДАН ЧИСЛОМ</v>
      </c>
      <c r="M89" s="13" t="b">
        <f t="shared" si="8"/>
        <v>0</v>
      </c>
      <c r="N89" s="13">
        <f t="shared" si="9"/>
        <v>1</v>
      </c>
      <c r="O89" s="13" t="str">
        <f t="shared" si="10"/>
        <v>ЭТАЖ ЗАДАН ЧИСЛОМ</v>
      </c>
      <c r="P89" s="13" t="str">
        <f t="shared" si="11"/>
        <v>ЭТАЖ ЗАДАН ЧИСЛОМ</v>
      </c>
      <c r="Q89" s="13" t="str">
        <f t="shared" si="12"/>
        <v>ГОТОВ_ИЗМЕНЕН</v>
      </c>
      <c r="R89" s="13">
        <f>IFERROR(VLOOKUP(P89,Лист1!A$1:B$20,2,FALSE),0)</f>
        <v>784</v>
      </c>
      <c r="S89" s="13">
        <f t="shared" si="13"/>
        <v>0</v>
      </c>
    </row>
    <row r="90" spans="1:19" x14ac:dyDescent="0.25">
      <c r="A90" s="24" t="s">
        <v>1170</v>
      </c>
      <c r="B90" s="4" t="s">
        <v>1031</v>
      </c>
      <c r="C90" s="25" t="s">
        <v>102</v>
      </c>
      <c r="D90" s="25" t="s">
        <v>5</v>
      </c>
      <c r="G90" s="25" t="s">
        <v>1167</v>
      </c>
      <c r="H90" s="24" t="s">
        <v>1061</v>
      </c>
      <c r="I90" s="3" t="str">
        <f>IFERROR(VLOOKUP(C90,'Справочник соответствий'!A$2:D$2981,2,FALSE),IF(VALUE(C90)=0,1,VLOOKUP(C90,'Справочник соответствий'!A$2:D$2981,2,FALSE)))</f>
        <v>19</v>
      </c>
      <c r="J90" s="3" t="str">
        <f>IFERROR(VLOOKUP(D90,'Справочник соответствий'!A$2:D$2981,2,FALSE),IF(VALUE(D90)=0,0,VLOOKUP(D90,'Справочник соответствий'!A$2:D$2981,2,FALSE)))</f>
        <v>1</v>
      </c>
      <c r="K90" s="3">
        <f t="shared" si="7"/>
        <v>18</v>
      </c>
      <c r="L90" s="13" t="str">
        <f>IFERROR(VLOOKUP(C90,'Справочник соответствий'!A$2:D$2981,3,FALSE),IF(VALUE(C90)=0,"ЭТАЖ НЕ ОПРЕДЕЛЕН. ПРИНЯТ ПО ДОПУЩЕНИЮ 1",VLOOKUP(C90,'Справочник соответствий'!A$2:D$2981,3,FALSE)))</f>
        <v>ЭТАЖ ЗАДАН ЧИСЛОМ</v>
      </c>
      <c r="M90" s="13" t="b">
        <f t="shared" si="8"/>
        <v>0</v>
      </c>
      <c r="N90" s="13">
        <f t="shared" si="9"/>
        <v>18</v>
      </c>
      <c r="O90" s="13" t="str">
        <f t="shared" si="10"/>
        <v>ЭТАЖ ЗАДАН ЧИСЛОМ</v>
      </c>
      <c r="P90" s="13" t="str">
        <f t="shared" si="11"/>
        <v>МКД_ЭТАЖ ЗАДАН ЧИСЛОМ</v>
      </c>
      <c r="Q90" s="13" t="str">
        <f t="shared" si="12"/>
        <v>ГОТОВ_ИЗМЕНЕН</v>
      </c>
      <c r="R90" s="13">
        <f>IFERROR(VLOOKUP(P90,Лист1!A$1:B$20,2,FALSE),0)</f>
        <v>786</v>
      </c>
      <c r="S90" s="13">
        <f t="shared" si="13"/>
        <v>0</v>
      </c>
    </row>
    <row r="91" spans="1:19" x14ac:dyDescent="0.25">
      <c r="A91" s="24" t="s">
        <v>1171</v>
      </c>
      <c r="B91" s="4" t="s">
        <v>1059</v>
      </c>
      <c r="C91" s="25" t="s">
        <v>5</v>
      </c>
      <c r="G91" s="25" t="s">
        <v>1069</v>
      </c>
      <c r="H91" s="24" t="s">
        <v>1061</v>
      </c>
      <c r="I91" s="3" t="str">
        <f>IFERROR(VLOOKUP(C91,'Справочник соответствий'!A$2:D$2981,2,FALSE),IF(VALUE(C91)=0,1,VLOOKUP(C91,'Справочник соответствий'!A$2:D$2981,2,FALSE)))</f>
        <v>1</v>
      </c>
      <c r="J91" s="3">
        <f>IFERROR(VLOOKUP(D91,'Справочник соответствий'!A$2:D$2981,2,FALSE),IF(VALUE(D91)=0,0,VLOOKUP(D91,'Справочник соответствий'!A$2:D$2981,2,FALSE)))</f>
        <v>0</v>
      </c>
      <c r="K91" s="3" t="str">
        <f t="shared" si="7"/>
        <v>1</v>
      </c>
      <c r="L91" s="13" t="str">
        <f>IFERROR(VLOOKUP(C91,'Справочник соответствий'!A$2:D$2981,3,FALSE),IF(VALUE(C91)=0,"ЭТАЖ НЕ ОПРЕДЕЛЕН. ПРИНЯТ ПО ДОПУЩЕНИЮ 1",VLOOKUP(C91,'Справочник соответствий'!A$2:D$2981,3,FALSE)))</f>
        <v>ЭТАЖ ЗАДАН ЧИСЛОМ</v>
      </c>
      <c r="M91" s="13" t="b">
        <f t="shared" si="8"/>
        <v>0</v>
      </c>
      <c r="N91" s="13">
        <f t="shared" si="9"/>
        <v>1</v>
      </c>
      <c r="O91" s="13" t="str">
        <f t="shared" si="10"/>
        <v>ЭТАЖ ЗАДАН ЧИСЛОМ</v>
      </c>
      <c r="P91" s="13" t="str">
        <f t="shared" si="11"/>
        <v>ЭТАЖ ЗАДАН ЧИСЛОМ</v>
      </c>
      <c r="Q91" s="13" t="str">
        <f t="shared" si="12"/>
        <v>ГОТОВ_ИЗМЕНЕН</v>
      </c>
      <c r="R91" s="13">
        <f>IFERROR(VLOOKUP(P91,Лист1!A$1:B$20,2,FALSE),0)</f>
        <v>784</v>
      </c>
      <c r="S91" s="13">
        <f t="shared" si="13"/>
        <v>0</v>
      </c>
    </row>
    <row r="92" spans="1:19" x14ac:dyDescent="0.25">
      <c r="A92" s="24" t="s">
        <v>1172</v>
      </c>
      <c r="B92" s="4" t="s">
        <v>1059</v>
      </c>
      <c r="C92" s="25" t="s">
        <v>5</v>
      </c>
      <c r="G92" s="25" t="s">
        <v>1069</v>
      </c>
      <c r="H92" s="24" t="s">
        <v>1061</v>
      </c>
      <c r="I92" s="3" t="str">
        <f>IFERROR(VLOOKUP(C92,'Справочник соответствий'!A$2:D$2981,2,FALSE),IF(VALUE(C92)=0,1,VLOOKUP(C92,'Справочник соответствий'!A$2:D$2981,2,FALSE)))</f>
        <v>1</v>
      </c>
      <c r="J92" s="3">
        <f>IFERROR(VLOOKUP(D92,'Справочник соответствий'!A$2:D$2981,2,FALSE),IF(VALUE(D92)=0,0,VLOOKUP(D92,'Справочник соответствий'!A$2:D$2981,2,FALSE)))</f>
        <v>0</v>
      </c>
      <c r="K92" s="3" t="str">
        <f t="shared" si="7"/>
        <v>1</v>
      </c>
      <c r="L92" s="13" t="str">
        <f>IFERROR(VLOOKUP(C92,'Справочник соответствий'!A$2:D$2981,3,FALSE),IF(VALUE(C92)=0,"ЭТАЖ НЕ ОПРЕДЕЛЕН. ПРИНЯТ ПО ДОПУЩЕНИЮ 1",VLOOKUP(C92,'Справочник соответствий'!A$2:D$2981,3,FALSE)))</f>
        <v>ЭТАЖ ЗАДАН ЧИСЛОМ</v>
      </c>
      <c r="M92" s="13" t="b">
        <f t="shared" si="8"/>
        <v>0</v>
      </c>
      <c r="N92" s="13">
        <f t="shared" si="9"/>
        <v>1</v>
      </c>
      <c r="O92" s="13" t="str">
        <f t="shared" si="10"/>
        <v>ЭТАЖ ЗАДАН ЧИСЛОМ</v>
      </c>
      <c r="P92" s="13" t="str">
        <f t="shared" si="11"/>
        <v>ЭТАЖ ЗАДАН ЧИСЛОМ</v>
      </c>
      <c r="Q92" s="13" t="str">
        <f t="shared" si="12"/>
        <v>ГОТОВ_ИЗМЕНЕН</v>
      </c>
      <c r="R92" s="13">
        <f>IFERROR(VLOOKUP(P92,Лист1!A$1:B$20,2,FALSE),0)</f>
        <v>784</v>
      </c>
      <c r="S92" s="13">
        <f t="shared" si="13"/>
        <v>0</v>
      </c>
    </row>
    <row r="93" spans="1:19" x14ac:dyDescent="0.25">
      <c r="A93" s="24" t="s">
        <v>1173</v>
      </c>
      <c r="B93" s="4" t="s">
        <v>1063</v>
      </c>
      <c r="C93" s="25" t="s">
        <v>5</v>
      </c>
      <c r="G93" s="25" t="s">
        <v>1174</v>
      </c>
      <c r="H93" s="24" t="s">
        <v>1061</v>
      </c>
      <c r="I93" s="3" t="str">
        <f>IFERROR(VLOOKUP(C93,'Справочник соответствий'!A$2:D$2981,2,FALSE),IF(VALUE(C93)=0,1,VLOOKUP(C93,'Справочник соответствий'!A$2:D$2981,2,FALSE)))</f>
        <v>1</v>
      </c>
      <c r="J93" s="3">
        <f>IFERROR(VLOOKUP(D93,'Справочник соответствий'!A$2:D$2981,2,FALSE),IF(VALUE(D93)=0,0,VLOOKUP(D93,'Справочник соответствий'!A$2:D$2981,2,FALSE)))</f>
        <v>0</v>
      </c>
      <c r="K93" s="3" t="str">
        <f t="shared" si="7"/>
        <v>1</v>
      </c>
      <c r="L93" s="13" t="str">
        <f>IFERROR(VLOOKUP(C93,'Справочник соответствий'!A$2:D$2981,3,FALSE),IF(VALUE(C93)=0,"ЭТАЖ НЕ ОПРЕДЕЛЕН. ПРИНЯТ ПО ДОПУЩЕНИЮ 1",VLOOKUP(C93,'Справочник соответствий'!A$2:D$2981,3,FALSE)))</f>
        <v>ЭТАЖ ЗАДАН ЧИСЛОМ</v>
      </c>
      <c r="M93" s="13" t="b">
        <f t="shared" si="8"/>
        <v>0</v>
      </c>
      <c r="N93" s="13">
        <f t="shared" si="9"/>
        <v>1</v>
      </c>
      <c r="O93" s="13" t="str">
        <f t="shared" si="10"/>
        <v>ЭТАЖ ЗАДАН ЧИСЛОМ</v>
      </c>
      <c r="P93" s="13" t="str">
        <f t="shared" si="11"/>
        <v>ЭТАЖ ЗАДАН ЧИСЛОМ</v>
      </c>
      <c r="Q93" s="13" t="str">
        <f t="shared" si="12"/>
        <v>ГОТОВ_ИЗМЕНЕН</v>
      </c>
      <c r="R93" s="13">
        <f>IFERROR(VLOOKUP(P93,Лист1!A$1:B$20,2,FALSE),0)</f>
        <v>784</v>
      </c>
      <c r="S93" s="13">
        <f t="shared" si="13"/>
        <v>0</v>
      </c>
    </row>
    <row r="94" spans="1:19" x14ac:dyDescent="0.25">
      <c r="A94" s="24" t="s">
        <v>1175</v>
      </c>
      <c r="B94" s="4" t="s">
        <v>1059</v>
      </c>
      <c r="C94" s="25" t="s">
        <v>5</v>
      </c>
      <c r="G94" s="25" t="s">
        <v>1072</v>
      </c>
      <c r="H94" s="24" t="s">
        <v>1061</v>
      </c>
      <c r="I94" s="3" t="str">
        <f>IFERROR(VLOOKUP(C94,'Справочник соответствий'!A$2:D$2981,2,FALSE),IF(VALUE(C94)=0,1,VLOOKUP(C94,'Справочник соответствий'!A$2:D$2981,2,FALSE)))</f>
        <v>1</v>
      </c>
      <c r="J94" s="3">
        <f>IFERROR(VLOOKUP(D94,'Справочник соответствий'!A$2:D$2981,2,FALSE),IF(VALUE(D94)=0,0,VLOOKUP(D94,'Справочник соответствий'!A$2:D$2981,2,FALSE)))</f>
        <v>0</v>
      </c>
      <c r="K94" s="3" t="str">
        <f t="shared" si="7"/>
        <v>1</v>
      </c>
      <c r="L94" s="13" t="str">
        <f>IFERROR(VLOOKUP(C94,'Справочник соответствий'!A$2:D$2981,3,FALSE),IF(VALUE(C94)=0,"ЭТАЖ НЕ ОПРЕДЕЛЕН. ПРИНЯТ ПО ДОПУЩЕНИЮ 1",VLOOKUP(C94,'Справочник соответствий'!A$2:D$2981,3,FALSE)))</f>
        <v>ЭТАЖ ЗАДАН ЧИСЛОМ</v>
      </c>
      <c r="M94" s="13" t="b">
        <f t="shared" si="8"/>
        <v>0</v>
      </c>
      <c r="N94" s="13">
        <f t="shared" si="9"/>
        <v>1</v>
      </c>
      <c r="O94" s="13" t="str">
        <f t="shared" si="10"/>
        <v>ЭТАЖ ЗАДАН ЧИСЛОМ</v>
      </c>
      <c r="P94" s="13" t="str">
        <f t="shared" si="11"/>
        <v>ЭТАЖ ЗАДАН ЧИСЛОМ</v>
      </c>
      <c r="Q94" s="13" t="str">
        <f t="shared" si="12"/>
        <v>ГОТОВ_ИЗМЕНЕН</v>
      </c>
      <c r="R94" s="13">
        <f>IFERROR(VLOOKUP(P94,Лист1!A$1:B$20,2,FALSE),0)</f>
        <v>784</v>
      </c>
      <c r="S94" s="13">
        <f t="shared" si="13"/>
        <v>0</v>
      </c>
    </row>
    <row r="95" spans="1:19" x14ac:dyDescent="0.25">
      <c r="A95" s="24" t="s">
        <v>1176</v>
      </c>
      <c r="B95" s="4" t="s">
        <v>1031</v>
      </c>
      <c r="C95" s="25" t="s">
        <v>12</v>
      </c>
      <c r="G95" s="25" t="s">
        <v>1069</v>
      </c>
      <c r="H95" s="24" t="s">
        <v>1061</v>
      </c>
      <c r="I95" s="3" t="str">
        <f>IFERROR(VLOOKUP(C95,'Справочник соответствий'!A$2:D$2981,2,FALSE),IF(VALUE(C95)=0,1,VLOOKUP(C95,'Справочник соответствий'!A$2:D$2981,2,FALSE)))</f>
        <v>4</v>
      </c>
      <c r="J95" s="3">
        <f>IFERROR(VLOOKUP(D95,'Справочник соответствий'!A$2:D$2981,2,FALSE),IF(VALUE(D95)=0,0,VLOOKUP(D95,'Справочник соответствий'!A$2:D$2981,2,FALSE)))</f>
        <v>0</v>
      </c>
      <c r="K95" s="3">
        <f t="shared" si="7"/>
        <v>4</v>
      </c>
      <c r="L95" s="13" t="str">
        <f>IFERROR(VLOOKUP(C95,'Справочник соответствий'!A$2:D$2981,3,FALSE),IF(VALUE(C95)=0,"ЭТАЖ НЕ ОПРЕДЕЛЕН. ПРИНЯТ ПО ДОПУЩЕНИЮ 1",VLOOKUP(C95,'Справочник соответствий'!A$2:D$2981,3,FALSE)))</f>
        <v>ЭТАЖ ЗАДАН ЧИСЛОМ</v>
      </c>
      <c r="M95" s="13" t="b">
        <f t="shared" si="8"/>
        <v>0</v>
      </c>
      <c r="N95" s="13">
        <f t="shared" si="9"/>
        <v>4</v>
      </c>
      <c r="O95" s="13" t="str">
        <f t="shared" si="10"/>
        <v>ЭТАЖ ЗАДАН ЧИСЛОМ</v>
      </c>
      <c r="P95" s="13" t="str">
        <f t="shared" si="11"/>
        <v>МКД_ЭТАЖ ЗАДАН ЧИСЛОМ</v>
      </c>
      <c r="Q95" s="13" t="str">
        <f t="shared" si="12"/>
        <v>ГОТОВ_ИЗМЕНЕН</v>
      </c>
      <c r="R95" s="13">
        <f>IFERROR(VLOOKUP(P95,Лист1!A$1:B$20,2,FALSE),0)</f>
        <v>786</v>
      </c>
      <c r="S95" s="13">
        <f t="shared" si="13"/>
        <v>0</v>
      </c>
    </row>
    <row r="96" spans="1:19" x14ac:dyDescent="0.25">
      <c r="A96" s="24" t="s">
        <v>1177</v>
      </c>
      <c r="B96" s="4" t="s">
        <v>1059</v>
      </c>
      <c r="C96" s="25" t="s">
        <v>8</v>
      </c>
      <c r="G96" s="25" t="s">
        <v>1174</v>
      </c>
      <c r="H96" s="24" t="s">
        <v>1061</v>
      </c>
      <c r="I96" s="3" t="str">
        <f>IFERROR(VLOOKUP(C96,'Справочник соответствий'!A$2:D$2981,2,FALSE),IF(VALUE(C96)=0,1,VLOOKUP(C96,'Справочник соответствий'!A$2:D$2981,2,FALSE)))</f>
        <v>3</v>
      </c>
      <c r="J96" s="3">
        <f>IFERROR(VLOOKUP(D96,'Справочник соответствий'!A$2:D$2981,2,FALSE),IF(VALUE(D96)=0,0,VLOOKUP(D96,'Справочник соответствий'!A$2:D$2981,2,FALSE)))</f>
        <v>0</v>
      </c>
      <c r="K96" s="3" t="str">
        <f t="shared" si="7"/>
        <v>3</v>
      </c>
      <c r="L96" s="13" t="str">
        <f>IFERROR(VLOOKUP(C96,'Справочник соответствий'!A$2:D$2981,3,FALSE),IF(VALUE(C96)=0,"ЭТАЖ НЕ ОПРЕДЕЛЕН. ПРИНЯТ ПО ДОПУЩЕНИЮ 1",VLOOKUP(C96,'Справочник соответствий'!A$2:D$2981,3,FALSE)))</f>
        <v>ЭТАЖ ЗАДАН ЧИСЛОМ</v>
      </c>
      <c r="M96" s="13" t="b">
        <f t="shared" si="8"/>
        <v>0</v>
      </c>
      <c r="N96" s="13">
        <f t="shared" si="9"/>
        <v>3</v>
      </c>
      <c r="O96" s="13" t="str">
        <f t="shared" si="10"/>
        <v>ЭТАЖ ЗАДАН ЧИСЛОМ</v>
      </c>
      <c r="P96" s="13" t="str">
        <f t="shared" si="11"/>
        <v>ЭТАЖ ЗАДАН ЧИСЛОМ</v>
      </c>
      <c r="Q96" s="13" t="str">
        <f t="shared" si="12"/>
        <v>ГОТОВ_ИЗМЕНЕН</v>
      </c>
      <c r="R96" s="13">
        <f>IFERROR(VLOOKUP(P96,Лист1!A$1:B$20,2,FALSE),0)</f>
        <v>784</v>
      </c>
      <c r="S96" s="13">
        <f t="shared" si="13"/>
        <v>0</v>
      </c>
    </row>
    <row r="97" spans="1:19" x14ac:dyDescent="0.25">
      <c r="A97" s="24" t="s">
        <v>1178</v>
      </c>
      <c r="B97" s="4" t="s">
        <v>1059</v>
      </c>
      <c r="C97" s="25" t="s">
        <v>7</v>
      </c>
      <c r="G97" s="25" t="s">
        <v>1069</v>
      </c>
      <c r="H97" s="24" t="s">
        <v>1061</v>
      </c>
      <c r="I97" s="3" t="str">
        <f>IFERROR(VLOOKUP(C97,'Справочник соответствий'!A$2:D$2981,2,FALSE),IF(VALUE(C97)=0,1,VLOOKUP(C97,'Справочник соответствий'!A$2:D$2981,2,FALSE)))</f>
        <v>2</v>
      </c>
      <c r="J97" s="3">
        <f>IFERROR(VLOOKUP(D97,'Справочник соответствий'!A$2:D$2981,2,FALSE),IF(VALUE(D97)=0,0,VLOOKUP(D97,'Справочник соответствий'!A$2:D$2981,2,FALSE)))</f>
        <v>0</v>
      </c>
      <c r="K97" s="3" t="str">
        <f t="shared" si="7"/>
        <v>2</v>
      </c>
      <c r="L97" s="13" t="str">
        <f>IFERROR(VLOOKUP(C97,'Справочник соответствий'!A$2:D$2981,3,FALSE),IF(VALUE(C97)=0,"ЭТАЖ НЕ ОПРЕДЕЛЕН. ПРИНЯТ ПО ДОПУЩЕНИЮ 1",VLOOKUP(C97,'Справочник соответствий'!A$2:D$2981,3,FALSE)))</f>
        <v>ЭТАЖ ЗАДАН ЧИСЛОМ</v>
      </c>
      <c r="M97" s="13" t="b">
        <f t="shared" si="8"/>
        <v>0</v>
      </c>
      <c r="N97" s="13">
        <f t="shared" si="9"/>
        <v>2</v>
      </c>
      <c r="O97" s="13" t="str">
        <f t="shared" si="10"/>
        <v>ЭТАЖ ЗАДАН ЧИСЛОМ</v>
      </c>
      <c r="P97" s="13" t="str">
        <f t="shared" si="11"/>
        <v>ЭТАЖ ЗАДАН ЧИСЛОМ</v>
      </c>
      <c r="Q97" s="13" t="str">
        <f t="shared" si="12"/>
        <v>ГОТОВ_ИЗМЕНЕН</v>
      </c>
      <c r="R97" s="13">
        <f>IFERROR(VLOOKUP(P97,Лист1!A$1:B$20,2,FALSE),0)</f>
        <v>784</v>
      </c>
      <c r="S97" s="13">
        <f t="shared" si="13"/>
        <v>0</v>
      </c>
    </row>
    <row r="98" spans="1:19" x14ac:dyDescent="0.25">
      <c r="A98" s="24" t="s">
        <v>1179</v>
      </c>
      <c r="B98" s="4" t="s">
        <v>1063</v>
      </c>
      <c r="G98" s="25" t="s">
        <v>1072</v>
      </c>
      <c r="H98" s="24" t="s">
        <v>1061</v>
      </c>
      <c r="I98" s="3">
        <f>IFERROR(VLOOKUP(C98,'Справочник соответствий'!A$2:D$2981,2,FALSE),IF(VALUE(C98)=0,1,VLOOKUP(C98,'Справочник соответствий'!A$2:D$2981,2,FALSE)))</f>
        <v>1</v>
      </c>
      <c r="J98" s="3">
        <f>IFERROR(VLOOKUP(D98,'Справочник соответствий'!A$2:D$2981,2,FALSE),IF(VALUE(D98)=0,0,VLOOKUP(D98,'Справочник соответствий'!A$2:D$2981,2,FALSE)))</f>
        <v>0</v>
      </c>
      <c r="K98" s="3">
        <f t="shared" si="7"/>
        <v>1</v>
      </c>
      <c r="L98" s="13" t="str">
        <f>IFERROR(VLOOKUP(C98,'Справочник соответствий'!A$2:D$2981,3,FALSE),IF(VALUE(C98)=0,"ЭТАЖ НЕ ОПРЕДЕЛЕН. ПРИНЯТ ПО ДОПУЩЕНИЮ 1",VLOOKUP(C98,'Справочник соответствий'!A$2:D$2981,3,FALSE)))</f>
        <v>ЭТАЖ НЕ ОПРЕДЕЛЕН. ПРИНЯТ ПО ДОПУЩЕНИЮ 1</v>
      </c>
      <c r="M98" s="13" t="b">
        <f t="shared" si="8"/>
        <v>0</v>
      </c>
      <c r="N98" s="13">
        <f t="shared" si="9"/>
        <v>1</v>
      </c>
      <c r="O98" s="13" t="str">
        <f t="shared" si="10"/>
        <v>ЭТАЖ НЕ ОПРЕДЕЛЕН. ПРИНЯТ ПО ДОПУЩЕНИЮ 1</v>
      </c>
      <c r="P98" s="13" t="str">
        <f t="shared" si="11"/>
        <v>ЭТАЖ НЕ ОПРЕДЕЛЕН. ПРИНЯТ ПО ДОПУЩЕНИЮ 1</v>
      </c>
      <c r="Q98" s="13" t="str">
        <f t="shared" si="12"/>
        <v>ГОТОВ_ИЗМЕНЕН</v>
      </c>
      <c r="R98" s="13">
        <f>IFERROR(VLOOKUP(P98,Лист1!A$1:B$20,2,FALSE),0)</f>
        <v>788</v>
      </c>
      <c r="S98" s="13">
        <f t="shared" si="13"/>
        <v>0</v>
      </c>
    </row>
    <row r="99" spans="1:19" x14ac:dyDescent="0.25">
      <c r="A99" s="24" t="s">
        <v>1180</v>
      </c>
      <c r="B99" s="4" t="s">
        <v>1063</v>
      </c>
      <c r="G99" s="25" t="s">
        <v>1069</v>
      </c>
      <c r="H99" s="24" t="s">
        <v>1061</v>
      </c>
      <c r="I99" s="3">
        <f>IFERROR(VLOOKUP(C99,'Справочник соответствий'!A$2:D$2981,2,FALSE),IF(VALUE(C99)=0,1,VLOOKUP(C99,'Справочник соответствий'!A$2:D$2981,2,FALSE)))</f>
        <v>1</v>
      </c>
      <c r="J99" s="3">
        <f>IFERROR(VLOOKUP(D99,'Справочник соответствий'!A$2:D$2981,2,FALSE),IF(VALUE(D99)=0,0,VLOOKUP(D99,'Справочник соответствий'!A$2:D$2981,2,FALSE)))</f>
        <v>0</v>
      </c>
      <c r="K99" s="3">
        <f t="shared" si="7"/>
        <v>1</v>
      </c>
      <c r="L99" s="13" t="str">
        <f>IFERROR(VLOOKUP(C99,'Справочник соответствий'!A$2:D$2981,3,FALSE),IF(VALUE(C99)=0,"ЭТАЖ НЕ ОПРЕДЕЛЕН. ПРИНЯТ ПО ДОПУЩЕНИЮ 1",VLOOKUP(C99,'Справочник соответствий'!A$2:D$2981,3,FALSE)))</f>
        <v>ЭТАЖ НЕ ОПРЕДЕЛЕН. ПРИНЯТ ПО ДОПУЩЕНИЮ 1</v>
      </c>
      <c r="M99" s="13" t="b">
        <f t="shared" si="8"/>
        <v>0</v>
      </c>
      <c r="N99" s="13">
        <f t="shared" si="9"/>
        <v>1</v>
      </c>
      <c r="O99" s="13" t="str">
        <f t="shared" si="10"/>
        <v>ЭТАЖ НЕ ОПРЕДЕЛЕН. ПРИНЯТ ПО ДОПУЩЕНИЮ 1</v>
      </c>
      <c r="P99" s="13" t="str">
        <f t="shared" si="11"/>
        <v>ЭТАЖ НЕ ОПРЕДЕЛЕН. ПРИНЯТ ПО ДОПУЩЕНИЮ 1</v>
      </c>
      <c r="Q99" s="13" t="str">
        <f t="shared" si="12"/>
        <v>ГОТОВ_ИЗМЕНЕН</v>
      </c>
      <c r="R99" s="13">
        <f>IFERROR(VLOOKUP(P99,Лист1!A$1:B$20,2,FALSE),0)</f>
        <v>788</v>
      </c>
      <c r="S99" s="13">
        <f t="shared" si="13"/>
        <v>0</v>
      </c>
    </row>
    <row r="100" spans="1:19" x14ac:dyDescent="0.25">
      <c r="A100" s="24" t="s">
        <v>1181</v>
      </c>
      <c r="B100" s="4" t="s">
        <v>1063</v>
      </c>
      <c r="C100" s="25" t="s">
        <v>5</v>
      </c>
      <c r="G100" s="25" t="s">
        <v>1072</v>
      </c>
      <c r="H100" s="24" t="s">
        <v>1061</v>
      </c>
      <c r="I100" s="3" t="str">
        <f>IFERROR(VLOOKUP(C100,'Справочник соответствий'!A$2:D$2981,2,FALSE),IF(VALUE(C100)=0,1,VLOOKUP(C100,'Справочник соответствий'!A$2:D$2981,2,FALSE)))</f>
        <v>1</v>
      </c>
      <c r="J100" s="3">
        <f>IFERROR(VLOOKUP(D100,'Справочник соответствий'!A$2:D$2981,2,FALSE),IF(VALUE(D100)=0,0,VLOOKUP(D100,'Справочник соответствий'!A$2:D$2981,2,FALSE)))</f>
        <v>0</v>
      </c>
      <c r="K100" s="3" t="str">
        <f t="shared" si="7"/>
        <v>1</v>
      </c>
      <c r="L100" s="13" t="str">
        <f>IFERROR(VLOOKUP(C100,'Справочник соответствий'!A$2:D$2981,3,FALSE),IF(VALUE(C100)=0,"ЭТАЖ НЕ ОПРЕДЕЛЕН. ПРИНЯТ ПО ДОПУЩЕНИЮ 1",VLOOKUP(C100,'Справочник соответствий'!A$2:D$2981,3,FALSE)))</f>
        <v>ЭТАЖ ЗАДАН ЧИСЛОМ</v>
      </c>
      <c r="M100" s="13" t="b">
        <f t="shared" si="8"/>
        <v>0</v>
      </c>
      <c r="N100" s="13">
        <f t="shared" si="9"/>
        <v>1</v>
      </c>
      <c r="O100" s="13" t="str">
        <f t="shared" si="10"/>
        <v>ЭТАЖ ЗАДАН ЧИСЛОМ</v>
      </c>
      <c r="P100" s="13" t="str">
        <f t="shared" si="11"/>
        <v>ЭТАЖ ЗАДАН ЧИСЛОМ</v>
      </c>
      <c r="Q100" s="13" t="str">
        <f t="shared" si="12"/>
        <v>ГОТОВ_ИЗМЕНЕН</v>
      </c>
      <c r="R100" s="13">
        <f>IFERROR(VLOOKUP(P100,Лист1!A$1:B$20,2,FALSE),0)</f>
        <v>784</v>
      </c>
      <c r="S100" s="13">
        <f t="shared" si="13"/>
        <v>0</v>
      </c>
    </row>
    <row r="101" spans="1:19" x14ac:dyDescent="0.25">
      <c r="A101" s="24" t="s">
        <v>1182</v>
      </c>
      <c r="B101" s="4" t="s">
        <v>1063</v>
      </c>
      <c r="C101" s="25" t="s">
        <v>5</v>
      </c>
      <c r="G101" s="25" t="s">
        <v>1108</v>
      </c>
      <c r="H101" s="24" t="s">
        <v>1061</v>
      </c>
      <c r="I101" s="3" t="str">
        <f>IFERROR(VLOOKUP(C101,'Справочник соответствий'!A$2:D$2981,2,FALSE),IF(VALUE(C101)=0,1,VLOOKUP(C101,'Справочник соответствий'!A$2:D$2981,2,FALSE)))</f>
        <v>1</v>
      </c>
      <c r="J101" s="3">
        <f>IFERROR(VLOOKUP(D101,'Справочник соответствий'!A$2:D$2981,2,FALSE),IF(VALUE(D101)=0,0,VLOOKUP(D101,'Справочник соответствий'!A$2:D$2981,2,FALSE)))</f>
        <v>0</v>
      </c>
      <c r="K101" s="3" t="str">
        <f t="shared" si="7"/>
        <v>1</v>
      </c>
      <c r="L101" s="13" t="str">
        <f>IFERROR(VLOOKUP(C101,'Справочник соответствий'!A$2:D$2981,3,FALSE),IF(VALUE(C101)=0,"ЭТАЖ НЕ ОПРЕДЕЛЕН. ПРИНЯТ ПО ДОПУЩЕНИЮ 1",VLOOKUP(C101,'Справочник соответствий'!A$2:D$2981,3,FALSE)))</f>
        <v>ЭТАЖ ЗАДАН ЧИСЛОМ</v>
      </c>
      <c r="M101" s="13" t="b">
        <f t="shared" si="8"/>
        <v>0</v>
      </c>
      <c r="N101" s="13">
        <f t="shared" si="9"/>
        <v>1</v>
      </c>
      <c r="O101" s="13" t="str">
        <f t="shared" si="10"/>
        <v>ЭТАЖ ЗАДАН ЧИСЛОМ</v>
      </c>
      <c r="P101" s="13" t="str">
        <f t="shared" si="11"/>
        <v>ЭТАЖ ЗАДАН ЧИСЛОМ</v>
      </c>
      <c r="Q101" s="13" t="str">
        <f t="shared" si="12"/>
        <v>ГОТОВ_ИЗМЕНЕН</v>
      </c>
      <c r="R101" s="13">
        <f>IFERROR(VLOOKUP(P101,Лист1!A$1:B$20,2,FALSE),0)</f>
        <v>784</v>
      </c>
      <c r="S101" s="13">
        <f t="shared" si="13"/>
        <v>0</v>
      </c>
    </row>
    <row r="102" spans="1:19" x14ac:dyDescent="0.25">
      <c r="A102" s="24" t="s">
        <v>1183</v>
      </c>
      <c r="B102" s="4" t="s">
        <v>1059</v>
      </c>
      <c r="C102" s="25" t="s">
        <v>5</v>
      </c>
      <c r="G102" s="25" t="s">
        <v>1108</v>
      </c>
      <c r="H102" s="24" t="s">
        <v>1061</v>
      </c>
      <c r="I102" s="3" t="str">
        <f>IFERROR(VLOOKUP(C102,'Справочник соответствий'!A$2:D$2981,2,FALSE),IF(VALUE(C102)=0,1,VLOOKUP(C102,'Справочник соответствий'!A$2:D$2981,2,FALSE)))</f>
        <v>1</v>
      </c>
      <c r="J102" s="3">
        <f>IFERROR(VLOOKUP(D102,'Справочник соответствий'!A$2:D$2981,2,FALSE),IF(VALUE(D102)=0,0,VLOOKUP(D102,'Справочник соответствий'!A$2:D$2981,2,FALSE)))</f>
        <v>0</v>
      </c>
      <c r="K102" s="3" t="str">
        <f t="shared" si="7"/>
        <v>1</v>
      </c>
      <c r="L102" s="13" t="str">
        <f>IFERROR(VLOOKUP(C102,'Справочник соответствий'!A$2:D$2981,3,FALSE),IF(VALUE(C102)=0,"ЭТАЖ НЕ ОПРЕДЕЛЕН. ПРИНЯТ ПО ДОПУЩЕНИЮ 1",VLOOKUP(C102,'Справочник соответствий'!A$2:D$2981,3,FALSE)))</f>
        <v>ЭТАЖ ЗАДАН ЧИСЛОМ</v>
      </c>
      <c r="M102" s="13" t="b">
        <f t="shared" si="8"/>
        <v>0</v>
      </c>
      <c r="N102" s="13">
        <f t="shared" si="9"/>
        <v>1</v>
      </c>
      <c r="O102" s="13" t="str">
        <f t="shared" si="10"/>
        <v>ЭТАЖ ЗАДАН ЧИСЛОМ</v>
      </c>
      <c r="P102" s="13" t="str">
        <f t="shared" si="11"/>
        <v>ЭТАЖ ЗАДАН ЧИСЛОМ</v>
      </c>
      <c r="Q102" s="13" t="str">
        <f t="shared" si="12"/>
        <v>ГОТОВ_ИЗМЕНЕН</v>
      </c>
      <c r="R102" s="13">
        <f>IFERROR(VLOOKUP(P102,Лист1!A$1:B$20,2,FALSE),0)</f>
        <v>784</v>
      </c>
      <c r="S102" s="13">
        <f t="shared" si="13"/>
        <v>0</v>
      </c>
    </row>
    <row r="103" spans="1:19" x14ac:dyDescent="0.25">
      <c r="A103" s="24" t="s">
        <v>1184</v>
      </c>
      <c r="B103" s="4" t="s">
        <v>1059</v>
      </c>
      <c r="C103" s="25" t="s">
        <v>5</v>
      </c>
      <c r="G103" s="25" t="s">
        <v>1108</v>
      </c>
      <c r="H103" s="24" t="s">
        <v>1061</v>
      </c>
      <c r="I103" s="3" t="str">
        <f>IFERROR(VLOOKUP(C103,'Справочник соответствий'!A$2:D$2981,2,FALSE),IF(VALUE(C103)=0,1,VLOOKUP(C103,'Справочник соответствий'!A$2:D$2981,2,FALSE)))</f>
        <v>1</v>
      </c>
      <c r="J103" s="3">
        <f>IFERROR(VLOOKUP(D103,'Справочник соответствий'!A$2:D$2981,2,FALSE),IF(VALUE(D103)=0,0,VLOOKUP(D103,'Справочник соответствий'!A$2:D$2981,2,FALSE)))</f>
        <v>0</v>
      </c>
      <c r="K103" s="3" t="str">
        <f t="shared" si="7"/>
        <v>1</v>
      </c>
      <c r="L103" s="13" t="str">
        <f>IFERROR(VLOOKUP(C103,'Справочник соответствий'!A$2:D$2981,3,FALSE),IF(VALUE(C103)=0,"ЭТАЖ НЕ ОПРЕДЕЛЕН. ПРИНЯТ ПО ДОПУЩЕНИЮ 1",VLOOKUP(C103,'Справочник соответствий'!A$2:D$2981,3,FALSE)))</f>
        <v>ЭТАЖ ЗАДАН ЧИСЛОМ</v>
      </c>
      <c r="M103" s="13" t="b">
        <f t="shared" si="8"/>
        <v>0</v>
      </c>
      <c r="N103" s="13">
        <f t="shared" si="9"/>
        <v>1</v>
      </c>
      <c r="O103" s="13" t="str">
        <f t="shared" si="10"/>
        <v>ЭТАЖ ЗАДАН ЧИСЛОМ</v>
      </c>
      <c r="P103" s="13" t="str">
        <f t="shared" si="11"/>
        <v>ЭТАЖ ЗАДАН ЧИСЛОМ</v>
      </c>
      <c r="Q103" s="13" t="str">
        <f t="shared" si="12"/>
        <v>ГОТОВ_ИЗМЕНЕН</v>
      </c>
      <c r="R103" s="13">
        <f>IFERROR(VLOOKUP(P103,Лист1!A$1:B$20,2,FALSE),0)</f>
        <v>784</v>
      </c>
      <c r="S103" s="13">
        <f t="shared" si="13"/>
        <v>0</v>
      </c>
    </row>
    <row r="104" spans="1:19" x14ac:dyDescent="0.25">
      <c r="A104" s="24" t="s">
        <v>1185</v>
      </c>
      <c r="B104" s="4" t="s">
        <v>1063</v>
      </c>
      <c r="G104" s="25" t="s">
        <v>1089</v>
      </c>
      <c r="H104" s="24" t="s">
        <v>1061</v>
      </c>
      <c r="I104" s="3">
        <f>IFERROR(VLOOKUP(C104,'Справочник соответствий'!A$2:D$2981,2,FALSE),IF(VALUE(C104)=0,1,VLOOKUP(C104,'Справочник соответствий'!A$2:D$2981,2,FALSE)))</f>
        <v>1</v>
      </c>
      <c r="J104" s="3">
        <f>IFERROR(VLOOKUP(D104,'Справочник соответствий'!A$2:D$2981,2,FALSE),IF(VALUE(D104)=0,0,VLOOKUP(D104,'Справочник соответствий'!A$2:D$2981,2,FALSE)))</f>
        <v>0</v>
      </c>
      <c r="K104" s="3">
        <f t="shared" si="7"/>
        <v>1</v>
      </c>
      <c r="L104" s="13" t="str">
        <f>IFERROR(VLOOKUP(C104,'Справочник соответствий'!A$2:D$2981,3,FALSE),IF(VALUE(C104)=0,"ЭТАЖ НЕ ОПРЕДЕЛЕН. ПРИНЯТ ПО ДОПУЩЕНИЮ 1",VLOOKUP(C104,'Справочник соответствий'!A$2:D$2981,3,FALSE)))</f>
        <v>ЭТАЖ НЕ ОПРЕДЕЛЕН. ПРИНЯТ ПО ДОПУЩЕНИЮ 1</v>
      </c>
      <c r="M104" s="13" t="b">
        <f t="shared" si="8"/>
        <v>0</v>
      </c>
      <c r="N104" s="13">
        <f t="shared" si="9"/>
        <v>1</v>
      </c>
      <c r="O104" s="13" t="str">
        <f t="shared" si="10"/>
        <v>ЭТАЖ НЕ ОПРЕДЕЛЕН. ПРИНЯТ ПО ДОПУЩЕНИЮ 1</v>
      </c>
      <c r="P104" s="13" t="str">
        <f t="shared" si="11"/>
        <v>ЭТАЖ НЕ ОПРЕДЕЛЕН. ПРИНЯТ ПО ДОПУЩЕНИЮ 1</v>
      </c>
      <c r="Q104" s="13" t="str">
        <f t="shared" si="12"/>
        <v>ГОТОВ_ИЗМЕНЕН</v>
      </c>
      <c r="R104" s="13">
        <f>IFERROR(VLOOKUP(P104,Лист1!A$1:B$20,2,FALSE),0)</f>
        <v>788</v>
      </c>
      <c r="S104" s="13">
        <f t="shared" si="13"/>
        <v>0</v>
      </c>
    </row>
    <row r="105" spans="1:19" x14ac:dyDescent="0.25">
      <c r="A105" s="24" t="s">
        <v>1186</v>
      </c>
      <c r="B105" s="4" t="s">
        <v>1059</v>
      </c>
      <c r="G105" s="25" t="s">
        <v>1174</v>
      </c>
      <c r="H105" s="24" t="s">
        <v>1061</v>
      </c>
      <c r="I105" s="3">
        <f>IFERROR(VLOOKUP(C105,'Справочник соответствий'!A$2:D$2981,2,FALSE),IF(VALUE(C105)=0,1,VLOOKUP(C105,'Справочник соответствий'!A$2:D$2981,2,FALSE)))</f>
        <v>1</v>
      </c>
      <c r="J105" s="3">
        <f>IFERROR(VLOOKUP(D105,'Справочник соответствий'!A$2:D$2981,2,FALSE),IF(VALUE(D105)=0,0,VLOOKUP(D105,'Справочник соответствий'!A$2:D$2981,2,FALSE)))</f>
        <v>0</v>
      </c>
      <c r="K105" s="3">
        <f t="shared" si="7"/>
        <v>1</v>
      </c>
      <c r="L105" s="13" t="str">
        <f>IFERROR(VLOOKUP(C105,'Справочник соответствий'!A$2:D$2981,3,FALSE),IF(VALUE(C105)=0,"ЭТАЖ НЕ ОПРЕДЕЛЕН. ПРИНЯТ ПО ДОПУЩЕНИЮ 1",VLOOKUP(C105,'Справочник соответствий'!A$2:D$2981,3,FALSE)))</f>
        <v>ЭТАЖ НЕ ОПРЕДЕЛЕН. ПРИНЯТ ПО ДОПУЩЕНИЮ 1</v>
      </c>
      <c r="M105" s="13" t="b">
        <f t="shared" si="8"/>
        <v>0</v>
      </c>
      <c r="N105" s="13">
        <f t="shared" si="9"/>
        <v>1</v>
      </c>
      <c r="O105" s="13" t="str">
        <f t="shared" si="10"/>
        <v>ЭТАЖ НЕ ОПРЕДЕЛЕН. ПРИНЯТ ПО ДОПУЩЕНИЮ 1</v>
      </c>
      <c r="P105" s="13" t="str">
        <f t="shared" si="11"/>
        <v>ЭТАЖ НЕ ОПРЕДЕЛЕН. ПРИНЯТ ПО ДОПУЩЕНИЮ 1</v>
      </c>
      <c r="Q105" s="13" t="str">
        <f t="shared" si="12"/>
        <v>ГОТОВ_ИЗМЕНЕН</v>
      </c>
      <c r="R105" s="13">
        <f>IFERROR(VLOOKUP(P105,Лист1!A$1:B$20,2,FALSE),0)</f>
        <v>788</v>
      </c>
      <c r="S105" s="13">
        <f t="shared" si="13"/>
        <v>0</v>
      </c>
    </row>
    <row r="106" spans="1:19" x14ac:dyDescent="0.25">
      <c r="A106" s="24" t="s">
        <v>1187</v>
      </c>
      <c r="B106" s="4" t="s">
        <v>1059</v>
      </c>
      <c r="C106" s="25" t="s">
        <v>8</v>
      </c>
      <c r="G106" s="25" t="s">
        <v>1174</v>
      </c>
      <c r="H106" s="24" t="s">
        <v>1061</v>
      </c>
      <c r="I106" s="3" t="str">
        <f>IFERROR(VLOOKUP(C106,'Справочник соответствий'!A$2:D$2981,2,FALSE),IF(VALUE(C106)=0,1,VLOOKUP(C106,'Справочник соответствий'!A$2:D$2981,2,FALSE)))</f>
        <v>3</v>
      </c>
      <c r="J106" s="3">
        <f>IFERROR(VLOOKUP(D106,'Справочник соответствий'!A$2:D$2981,2,FALSE),IF(VALUE(D106)=0,0,VLOOKUP(D106,'Справочник соответствий'!A$2:D$2981,2,FALSE)))</f>
        <v>0</v>
      </c>
      <c r="K106" s="3" t="str">
        <f t="shared" si="7"/>
        <v>3</v>
      </c>
      <c r="L106" s="13" t="str">
        <f>IFERROR(VLOOKUP(C106,'Справочник соответствий'!A$2:D$2981,3,FALSE),IF(VALUE(C106)=0,"ЭТАЖ НЕ ОПРЕДЕЛЕН. ПРИНЯТ ПО ДОПУЩЕНИЮ 1",VLOOKUP(C106,'Справочник соответствий'!A$2:D$2981,3,FALSE)))</f>
        <v>ЭТАЖ ЗАДАН ЧИСЛОМ</v>
      </c>
      <c r="M106" s="13" t="b">
        <f t="shared" si="8"/>
        <v>0</v>
      </c>
      <c r="N106" s="13">
        <f t="shared" si="9"/>
        <v>3</v>
      </c>
      <c r="O106" s="13" t="str">
        <f t="shared" si="10"/>
        <v>ЭТАЖ ЗАДАН ЧИСЛОМ</v>
      </c>
      <c r="P106" s="13" t="str">
        <f t="shared" si="11"/>
        <v>ЭТАЖ ЗАДАН ЧИСЛОМ</v>
      </c>
      <c r="Q106" s="13" t="str">
        <f t="shared" si="12"/>
        <v>ГОТОВ_ИЗМЕНЕН</v>
      </c>
      <c r="R106" s="13">
        <f>IFERROR(VLOOKUP(P106,Лист1!A$1:B$20,2,FALSE),0)</f>
        <v>784</v>
      </c>
      <c r="S106" s="13">
        <f t="shared" si="13"/>
        <v>0</v>
      </c>
    </row>
    <row r="107" spans="1:19" x14ac:dyDescent="0.25">
      <c r="A107" s="24" t="s">
        <v>1188</v>
      </c>
      <c r="B107" s="4" t="s">
        <v>1059</v>
      </c>
      <c r="C107" s="25" t="s">
        <v>7</v>
      </c>
      <c r="G107" s="25" t="s">
        <v>1108</v>
      </c>
      <c r="H107" s="24" t="s">
        <v>1061</v>
      </c>
      <c r="I107" s="3" t="str">
        <f>IFERROR(VLOOKUP(C107,'Справочник соответствий'!A$2:D$2981,2,FALSE),IF(VALUE(C107)=0,1,VLOOKUP(C107,'Справочник соответствий'!A$2:D$2981,2,FALSE)))</f>
        <v>2</v>
      </c>
      <c r="J107" s="3">
        <f>IFERROR(VLOOKUP(D107,'Справочник соответствий'!A$2:D$2981,2,FALSE),IF(VALUE(D107)=0,0,VLOOKUP(D107,'Справочник соответствий'!A$2:D$2981,2,FALSE)))</f>
        <v>0</v>
      </c>
      <c r="K107" s="3" t="str">
        <f t="shared" si="7"/>
        <v>2</v>
      </c>
      <c r="L107" s="13" t="str">
        <f>IFERROR(VLOOKUP(C107,'Справочник соответствий'!A$2:D$2981,3,FALSE),IF(VALUE(C107)=0,"ЭТАЖ НЕ ОПРЕДЕЛЕН. ПРИНЯТ ПО ДОПУЩЕНИЮ 1",VLOOKUP(C107,'Справочник соответствий'!A$2:D$2981,3,FALSE)))</f>
        <v>ЭТАЖ ЗАДАН ЧИСЛОМ</v>
      </c>
      <c r="M107" s="13" t="b">
        <f t="shared" si="8"/>
        <v>0</v>
      </c>
      <c r="N107" s="13">
        <f t="shared" si="9"/>
        <v>2</v>
      </c>
      <c r="O107" s="13" t="str">
        <f t="shared" si="10"/>
        <v>ЭТАЖ ЗАДАН ЧИСЛОМ</v>
      </c>
      <c r="P107" s="13" t="str">
        <f t="shared" si="11"/>
        <v>ЭТАЖ ЗАДАН ЧИСЛОМ</v>
      </c>
      <c r="Q107" s="13" t="str">
        <f t="shared" si="12"/>
        <v>ГОТОВ_ИЗМЕНЕН</v>
      </c>
      <c r="R107" s="13">
        <f>IFERROR(VLOOKUP(P107,Лист1!A$1:B$20,2,FALSE),0)</f>
        <v>784</v>
      </c>
      <c r="S107" s="13">
        <f t="shared" si="13"/>
        <v>0</v>
      </c>
    </row>
    <row r="108" spans="1:19" x14ac:dyDescent="0.25">
      <c r="A108" s="24" t="s">
        <v>1189</v>
      </c>
      <c r="B108" s="4" t="s">
        <v>1059</v>
      </c>
      <c r="C108" s="25" t="s">
        <v>5</v>
      </c>
      <c r="G108" s="25" t="s">
        <v>1108</v>
      </c>
      <c r="H108" s="24" t="s">
        <v>1061</v>
      </c>
      <c r="I108" s="3" t="str">
        <f>IFERROR(VLOOKUP(C108,'Справочник соответствий'!A$2:D$2981,2,FALSE),IF(VALUE(C108)=0,1,VLOOKUP(C108,'Справочник соответствий'!A$2:D$2981,2,FALSE)))</f>
        <v>1</v>
      </c>
      <c r="J108" s="3">
        <f>IFERROR(VLOOKUP(D108,'Справочник соответствий'!A$2:D$2981,2,FALSE),IF(VALUE(D108)=0,0,VLOOKUP(D108,'Справочник соответствий'!A$2:D$2981,2,FALSE)))</f>
        <v>0</v>
      </c>
      <c r="K108" s="3" t="str">
        <f t="shared" si="7"/>
        <v>1</v>
      </c>
      <c r="L108" s="13" t="str">
        <f>IFERROR(VLOOKUP(C108,'Справочник соответствий'!A$2:D$2981,3,FALSE),IF(VALUE(C108)=0,"ЭТАЖ НЕ ОПРЕДЕЛЕН. ПРИНЯТ ПО ДОПУЩЕНИЮ 1",VLOOKUP(C108,'Справочник соответствий'!A$2:D$2981,3,FALSE)))</f>
        <v>ЭТАЖ ЗАДАН ЧИСЛОМ</v>
      </c>
      <c r="M108" s="13" t="b">
        <f t="shared" si="8"/>
        <v>0</v>
      </c>
      <c r="N108" s="13">
        <f t="shared" si="9"/>
        <v>1</v>
      </c>
      <c r="O108" s="13" t="str">
        <f t="shared" si="10"/>
        <v>ЭТАЖ ЗАДАН ЧИСЛОМ</v>
      </c>
      <c r="P108" s="13" t="str">
        <f t="shared" si="11"/>
        <v>ЭТАЖ ЗАДАН ЧИСЛОМ</v>
      </c>
      <c r="Q108" s="13" t="str">
        <f t="shared" si="12"/>
        <v>ГОТОВ_ИЗМЕНЕН</v>
      </c>
      <c r="R108" s="13">
        <f>IFERROR(VLOOKUP(P108,Лист1!A$1:B$20,2,FALSE),0)</f>
        <v>784</v>
      </c>
      <c r="S108" s="13">
        <f t="shared" si="13"/>
        <v>0</v>
      </c>
    </row>
    <row r="109" spans="1:19" x14ac:dyDescent="0.25">
      <c r="A109" s="24" t="s">
        <v>1190</v>
      </c>
      <c r="B109" s="4" t="s">
        <v>1059</v>
      </c>
      <c r="G109" s="25" t="s">
        <v>1108</v>
      </c>
      <c r="H109" s="24" t="s">
        <v>1061</v>
      </c>
      <c r="I109" s="3">
        <f>IFERROR(VLOOKUP(C109,'Справочник соответствий'!A$2:D$2981,2,FALSE),IF(VALUE(C109)=0,1,VLOOKUP(C109,'Справочник соответствий'!A$2:D$2981,2,FALSE)))</f>
        <v>1</v>
      </c>
      <c r="J109" s="3">
        <f>IFERROR(VLOOKUP(D109,'Справочник соответствий'!A$2:D$2981,2,FALSE),IF(VALUE(D109)=0,0,VLOOKUP(D109,'Справочник соответствий'!A$2:D$2981,2,FALSE)))</f>
        <v>0</v>
      </c>
      <c r="K109" s="3">
        <f t="shared" si="7"/>
        <v>1</v>
      </c>
      <c r="L109" s="13" t="str">
        <f>IFERROR(VLOOKUP(C109,'Справочник соответствий'!A$2:D$2981,3,FALSE),IF(VALUE(C109)=0,"ЭТАЖ НЕ ОПРЕДЕЛЕН. ПРИНЯТ ПО ДОПУЩЕНИЮ 1",VLOOKUP(C109,'Справочник соответствий'!A$2:D$2981,3,FALSE)))</f>
        <v>ЭТАЖ НЕ ОПРЕДЕЛЕН. ПРИНЯТ ПО ДОПУЩЕНИЮ 1</v>
      </c>
      <c r="M109" s="13" t="b">
        <f t="shared" si="8"/>
        <v>0</v>
      </c>
      <c r="N109" s="13">
        <f t="shared" si="9"/>
        <v>1</v>
      </c>
      <c r="O109" s="13" t="str">
        <f t="shared" si="10"/>
        <v>ЭТАЖ НЕ ОПРЕДЕЛЕН. ПРИНЯТ ПО ДОПУЩЕНИЮ 1</v>
      </c>
      <c r="P109" s="13" t="str">
        <f t="shared" si="11"/>
        <v>ЭТАЖ НЕ ОПРЕДЕЛЕН. ПРИНЯТ ПО ДОПУЩЕНИЮ 1</v>
      </c>
      <c r="Q109" s="13" t="str">
        <f t="shared" si="12"/>
        <v>ГОТОВ_ИЗМЕНЕН</v>
      </c>
      <c r="R109" s="13">
        <f>IFERROR(VLOOKUP(P109,Лист1!A$1:B$20,2,FALSE),0)</f>
        <v>788</v>
      </c>
      <c r="S109" s="13">
        <f t="shared" si="13"/>
        <v>0</v>
      </c>
    </row>
    <row r="110" spans="1:19" x14ac:dyDescent="0.25">
      <c r="A110" s="24" t="s">
        <v>1191</v>
      </c>
      <c r="B110" s="4" t="s">
        <v>1063</v>
      </c>
      <c r="C110" s="25" t="s">
        <v>5</v>
      </c>
      <c r="G110" s="25" t="s">
        <v>1108</v>
      </c>
      <c r="H110" s="24" t="s">
        <v>1061</v>
      </c>
      <c r="I110" s="3" t="str">
        <f>IFERROR(VLOOKUP(C110,'Справочник соответствий'!A$2:D$2981,2,FALSE),IF(VALUE(C110)=0,1,VLOOKUP(C110,'Справочник соответствий'!A$2:D$2981,2,FALSE)))</f>
        <v>1</v>
      </c>
      <c r="J110" s="3">
        <f>IFERROR(VLOOKUP(D110,'Справочник соответствий'!A$2:D$2981,2,FALSE),IF(VALUE(D110)=0,0,VLOOKUP(D110,'Справочник соответствий'!A$2:D$2981,2,FALSE)))</f>
        <v>0</v>
      </c>
      <c r="K110" s="3" t="str">
        <f t="shared" si="7"/>
        <v>1</v>
      </c>
      <c r="L110" s="13" t="str">
        <f>IFERROR(VLOOKUP(C110,'Справочник соответствий'!A$2:D$2981,3,FALSE),IF(VALUE(C110)=0,"ЭТАЖ НЕ ОПРЕДЕЛЕН. ПРИНЯТ ПО ДОПУЩЕНИЮ 1",VLOOKUP(C110,'Справочник соответствий'!A$2:D$2981,3,FALSE)))</f>
        <v>ЭТАЖ ЗАДАН ЧИСЛОМ</v>
      </c>
      <c r="M110" s="13" t="b">
        <f t="shared" si="8"/>
        <v>0</v>
      </c>
      <c r="N110" s="13">
        <f t="shared" si="9"/>
        <v>1</v>
      </c>
      <c r="O110" s="13" t="str">
        <f t="shared" si="10"/>
        <v>ЭТАЖ ЗАДАН ЧИСЛОМ</v>
      </c>
      <c r="P110" s="13" t="str">
        <f t="shared" si="11"/>
        <v>ЭТАЖ ЗАДАН ЧИСЛОМ</v>
      </c>
      <c r="Q110" s="13" t="str">
        <f t="shared" si="12"/>
        <v>ГОТОВ_ИЗМЕНЕН</v>
      </c>
      <c r="R110" s="13">
        <f>IFERROR(VLOOKUP(P110,Лист1!A$1:B$20,2,FALSE),0)</f>
        <v>784</v>
      </c>
      <c r="S110" s="13">
        <f t="shared" si="13"/>
        <v>0</v>
      </c>
    </row>
    <row r="111" spans="1:19" x14ac:dyDescent="0.25">
      <c r="A111" s="24" t="s">
        <v>1192</v>
      </c>
      <c r="B111" s="4" t="s">
        <v>1063</v>
      </c>
      <c r="C111" s="25" t="s">
        <v>7</v>
      </c>
      <c r="G111" s="25" t="s">
        <v>1193</v>
      </c>
      <c r="H111" s="24" t="s">
        <v>1061</v>
      </c>
      <c r="I111" s="3" t="str">
        <f>IFERROR(VLOOKUP(C111,'Справочник соответствий'!A$2:D$2981,2,FALSE),IF(VALUE(C111)=0,1,VLOOKUP(C111,'Справочник соответствий'!A$2:D$2981,2,FALSE)))</f>
        <v>2</v>
      </c>
      <c r="J111" s="3">
        <f>IFERROR(VLOOKUP(D111,'Справочник соответствий'!A$2:D$2981,2,FALSE),IF(VALUE(D111)=0,0,VLOOKUP(D111,'Справочник соответствий'!A$2:D$2981,2,FALSE)))</f>
        <v>0</v>
      </c>
      <c r="K111" s="3" t="str">
        <f t="shared" si="7"/>
        <v>2</v>
      </c>
      <c r="L111" s="13" t="str">
        <f>IFERROR(VLOOKUP(C111,'Справочник соответствий'!A$2:D$2981,3,FALSE),IF(VALUE(C111)=0,"ЭТАЖ НЕ ОПРЕДЕЛЕН. ПРИНЯТ ПО ДОПУЩЕНИЮ 1",VLOOKUP(C111,'Справочник соответствий'!A$2:D$2981,3,FALSE)))</f>
        <v>ЭТАЖ ЗАДАН ЧИСЛОМ</v>
      </c>
      <c r="M111" s="13" t="b">
        <f t="shared" si="8"/>
        <v>0</v>
      </c>
      <c r="N111" s="13">
        <f t="shared" si="9"/>
        <v>2</v>
      </c>
      <c r="O111" s="13" t="str">
        <f t="shared" si="10"/>
        <v>ЭТАЖ ЗАДАН ЧИСЛОМ</v>
      </c>
      <c r="P111" s="13" t="str">
        <f t="shared" si="11"/>
        <v>ЭТАЖ ЗАДАН ЧИСЛОМ</v>
      </c>
      <c r="Q111" s="13" t="str">
        <f t="shared" si="12"/>
        <v>ГОТОВ_ИЗМЕНЕН</v>
      </c>
      <c r="R111" s="13">
        <f>IFERROR(VLOOKUP(P111,Лист1!A$1:B$20,2,FALSE),0)</f>
        <v>784</v>
      </c>
      <c r="S111" s="13">
        <f t="shared" si="13"/>
        <v>0</v>
      </c>
    </row>
    <row r="112" spans="1:19" x14ac:dyDescent="0.25">
      <c r="A112" s="24" t="s">
        <v>1194</v>
      </c>
      <c r="B112" s="4" t="s">
        <v>1059</v>
      </c>
      <c r="C112" s="25" t="s">
        <v>7</v>
      </c>
      <c r="G112" s="25" t="s">
        <v>1195</v>
      </c>
      <c r="H112" s="24" t="s">
        <v>1061</v>
      </c>
      <c r="I112" s="3" t="str">
        <f>IFERROR(VLOOKUP(C112,'Справочник соответствий'!A$2:D$2981,2,FALSE),IF(VALUE(C112)=0,1,VLOOKUP(C112,'Справочник соответствий'!A$2:D$2981,2,FALSE)))</f>
        <v>2</v>
      </c>
      <c r="J112" s="3">
        <f>IFERROR(VLOOKUP(D112,'Справочник соответствий'!A$2:D$2981,2,FALSE),IF(VALUE(D112)=0,0,VLOOKUP(D112,'Справочник соответствий'!A$2:D$2981,2,FALSE)))</f>
        <v>0</v>
      </c>
      <c r="K112" s="3" t="str">
        <f t="shared" si="7"/>
        <v>2</v>
      </c>
      <c r="L112" s="13" t="str">
        <f>IFERROR(VLOOKUP(C112,'Справочник соответствий'!A$2:D$2981,3,FALSE),IF(VALUE(C112)=0,"ЭТАЖ НЕ ОПРЕДЕЛЕН. ПРИНЯТ ПО ДОПУЩЕНИЮ 1",VLOOKUP(C112,'Справочник соответствий'!A$2:D$2981,3,FALSE)))</f>
        <v>ЭТАЖ ЗАДАН ЧИСЛОМ</v>
      </c>
      <c r="M112" s="13" t="b">
        <f t="shared" si="8"/>
        <v>0</v>
      </c>
      <c r="N112" s="13">
        <f t="shared" si="9"/>
        <v>2</v>
      </c>
      <c r="O112" s="13" t="str">
        <f t="shared" si="10"/>
        <v>ЭТАЖ ЗАДАН ЧИСЛОМ</v>
      </c>
      <c r="P112" s="13" t="str">
        <f t="shared" si="11"/>
        <v>ЭТАЖ ЗАДАН ЧИСЛОМ</v>
      </c>
      <c r="Q112" s="13" t="str">
        <f t="shared" si="12"/>
        <v>ГОТОВ_ИЗМЕНЕН</v>
      </c>
      <c r="R112" s="13">
        <f>IFERROR(VLOOKUP(P112,Лист1!A$1:B$20,2,FALSE),0)</f>
        <v>784</v>
      </c>
      <c r="S112" s="13">
        <f t="shared" si="13"/>
        <v>0</v>
      </c>
    </row>
    <row r="113" spans="1:19" x14ac:dyDescent="0.25">
      <c r="A113" s="24" t="s">
        <v>1196</v>
      </c>
      <c r="B113" s="4" t="s">
        <v>1063</v>
      </c>
      <c r="C113" s="25" t="s">
        <v>7</v>
      </c>
      <c r="G113" s="25" t="s">
        <v>1195</v>
      </c>
      <c r="H113" s="24" t="s">
        <v>1061</v>
      </c>
      <c r="I113" s="3" t="str">
        <f>IFERROR(VLOOKUP(C113,'Справочник соответствий'!A$2:D$2981,2,FALSE),IF(VALUE(C113)=0,1,VLOOKUP(C113,'Справочник соответствий'!A$2:D$2981,2,FALSE)))</f>
        <v>2</v>
      </c>
      <c r="J113" s="3">
        <f>IFERROR(VLOOKUP(D113,'Справочник соответствий'!A$2:D$2981,2,FALSE),IF(VALUE(D113)=0,0,VLOOKUP(D113,'Справочник соответствий'!A$2:D$2981,2,FALSE)))</f>
        <v>0</v>
      </c>
      <c r="K113" s="3" t="str">
        <f t="shared" si="7"/>
        <v>2</v>
      </c>
      <c r="L113" s="13" t="str">
        <f>IFERROR(VLOOKUP(C113,'Справочник соответствий'!A$2:D$2981,3,FALSE),IF(VALUE(C113)=0,"ЭТАЖ НЕ ОПРЕДЕЛЕН. ПРИНЯТ ПО ДОПУЩЕНИЮ 1",VLOOKUP(C113,'Справочник соответствий'!A$2:D$2981,3,FALSE)))</f>
        <v>ЭТАЖ ЗАДАН ЧИСЛОМ</v>
      </c>
      <c r="M113" s="13" t="b">
        <f t="shared" si="8"/>
        <v>0</v>
      </c>
      <c r="N113" s="13">
        <f t="shared" si="9"/>
        <v>2</v>
      </c>
      <c r="O113" s="13" t="str">
        <f t="shared" si="10"/>
        <v>ЭТАЖ ЗАДАН ЧИСЛОМ</v>
      </c>
      <c r="P113" s="13" t="str">
        <f t="shared" si="11"/>
        <v>ЭТАЖ ЗАДАН ЧИСЛОМ</v>
      </c>
      <c r="Q113" s="13" t="str">
        <f t="shared" si="12"/>
        <v>ГОТОВ_ИЗМЕНЕН</v>
      </c>
      <c r="R113" s="13">
        <f>IFERROR(VLOOKUP(P113,Лист1!A$1:B$20,2,FALSE),0)</f>
        <v>784</v>
      </c>
      <c r="S113" s="13">
        <f t="shared" si="13"/>
        <v>0</v>
      </c>
    </row>
    <row r="114" spans="1:19" x14ac:dyDescent="0.25">
      <c r="A114" s="24" t="s">
        <v>1197</v>
      </c>
      <c r="B114" s="4" t="s">
        <v>1059</v>
      </c>
      <c r="C114" s="25" t="s">
        <v>5</v>
      </c>
      <c r="G114" s="25" t="s">
        <v>1089</v>
      </c>
      <c r="H114" s="24" t="s">
        <v>1061</v>
      </c>
      <c r="I114" s="3" t="str">
        <f>IFERROR(VLOOKUP(C114,'Справочник соответствий'!A$2:D$2981,2,FALSE),IF(VALUE(C114)=0,1,VLOOKUP(C114,'Справочник соответствий'!A$2:D$2981,2,FALSE)))</f>
        <v>1</v>
      </c>
      <c r="J114" s="3">
        <f>IFERROR(VLOOKUP(D114,'Справочник соответствий'!A$2:D$2981,2,FALSE),IF(VALUE(D114)=0,0,VLOOKUP(D114,'Справочник соответствий'!A$2:D$2981,2,FALSE)))</f>
        <v>0</v>
      </c>
      <c r="K114" s="3" t="str">
        <f t="shared" si="7"/>
        <v>1</v>
      </c>
      <c r="L114" s="13" t="str">
        <f>IFERROR(VLOOKUP(C114,'Справочник соответствий'!A$2:D$2981,3,FALSE),IF(VALUE(C114)=0,"ЭТАЖ НЕ ОПРЕДЕЛЕН. ПРИНЯТ ПО ДОПУЩЕНИЮ 1",VLOOKUP(C114,'Справочник соответствий'!A$2:D$2981,3,FALSE)))</f>
        <v>ЭТАЖ ЗАДАН ЧИСЛОМ</v>
      </c>
      <c r="M114" s="13" t="b">
        <f t="shared" si="8"/>
        <v>0</v>
      </c>
      <c r="N114" s="13">
        <f t="shared" si="9"/>
        <v>1</v>
      </c>
      <c r="O114" s="13" t="str">
        <f t="shared" si="10"/>
        <v>ЭТАЖ ЗАДАН ЧИСЛОМ</v>
      </c>
      <c r="P114" s="13" t="str">
        <f t="shared" si="11"/>
        <v>ЭТАЖ ЗАДАН ЧИСЛОМ</v>
      </c>
      <c r="Q114" s="13" t="str">
        <f t="shared" si="12"/>
        <v>ГОТОВ_ИЗМЕНЕН</v>
      </c>
      <c r="R114" s="13">
        <f>IFERROR(VLOOKUP(P114,Лист1!A$1:B$20,2,FALSE),0)</f>
        <v>784</v>
      </c>
      <c r="S114" s="13">
        <f t="shared" si="13"/>
        <v>0</v>
      </c>
    </row>
    <row r="115" spans="1:19" x14ac:dyDescent="0.25">
      <c r="A115" s="24" t="s">
        <v>1198</v>
      </c>
      <c r="B115" s="4" t="s">
        <v>1063</v>
      </c>
      <c r="C115" s="25" t="s">
        <v>5</v>
      </c>
      <c r="G115" s="25" t="s">
        <v>1195</v>
      </c>
      <c r="H115" s="24" t="s">
        <v>1061</v>
      </c>
      <c r="I115" s="3" t="str">
        <f>IFERROR(VLOOKUP(C115,'Справочник соответствий'!A$2:D$2981,2,FALSE),IF(VALUE(C115)=0,1,VLOOKUP(C115,'Справочник соответствий'!A$2:D$2981,2,FALSE)))</f>
        <v>1</v>
      </c>
      <c r="J115" s="3">
        <f>IFERROR(VLOOKUP(D115,'Справочник соответствий'!A$2:D$2981,2,FALSE),IF(VALUE(D115)=0,0,VLOOKUP(D115,'Справочник соответствий'!A$2:D$2981,2,FALSE)))</f>
        <v>0</v>
      </c>
      <c r="K115" s="3" t="str">
        <f t="shared" si="7"/>
        <v>1</v>
      </c>
      <c r="L115" s="13" t="str">
        <f>IFERROR(VLOOKUP(C115,'Справочник соответствий'!A$2:D$2981,3,FALSE),IF(VALUE(C115)=0,"ЭТАЖ НЕ ОПРЕДЕЛЕН. ПРИНЯТ ПО ДОПУЩЕНИЮ 1",VLOOKUP(C115,'Справочник соответствий'!A$2:D$2981,3,FALSE)))</f>
        <v>ЭТАЖ ЗАДАН ЧИСЛОМ</v>
      </c>
      <c r="M115" s="13" t="b">
        <f t="shared" si="8"/>
        <v>0</v>
      </c>
      <c r="N115" s="13">
        <f t="shared" si="9"/>
        <v>1</v>
      </c>
      <c r="O115" s="13" t="str">
        <f t="shared" si="10"/>
        <v>ЭТАЖ ЗАДАН ЧИСЛОМ</v>
      </c>
      <c r="P115" s="13" t="str">
        <f t="shared" si="11"/>
        <v>ЭТАЖ ЗАДАН ЧИСЛОМ</v>
      </c>
      <c r="Q115" s="13" t="str">
        <f t="shared" si="12"/>
        <v>ГОТОВ_ИЗМЕНЕН</v>
      </c>
      <c r="R115" s="13">
        <f>IFERROR(VLOOKUP(P115,Лист1!A$1:B$20,2,FALSE),0)</f>
        <v>784</v>
      </c>
      <c r="S115" s="13">
        <f t="shared" si="13"/>
        <v>0</v>
      </c>
    </row>
    <row r="116" spans="1:19" x14ac:dyDescent="0.25">
      <c r="A116" s="24" t="s">
        <v>1199</v>
      </c>
      <c r="B116" s="4" t="s">
        <v>1059</v>
      </c>
      <c r="C116" s="25" t="s">
        <v>8</v>
      </c>
      <c r="G116" s="25" t="s">
        <v>1195</v>
      </c>
      <c r="H116" s="24" t="s">
        <v>1061</v>
      </c>
      <c r="I116" s="3" t="str">
        <f>IFERROR(VLOOKUP(C116,'Справочник соответствий'!A$2:D$2981,2,FALSE),IF(VALUE(C116)=0,1,VLOOKUP(C116,'Справочник соответствий'!A$2:D$2981,2,FALSE)))</f>
        <v>3</v>
      </c>
      <c r="J116" s="3">
        <f>IFERROR(VLOOKUP(D116,'Справочник соответствий'!A$2:D$2981,2,FALSE),IF(VALUE(D116)=0,0,VLOOKUP(D116,'Справочник соответствий'!A$2:D$2981,2,FALSE)))</f>
        <v>0</v>
      </c>
      <c r="K116" s="3" t="str">
        <f t="shared" si="7"/>
        <v>3</v>
      </c>
      <c r="L116" s="13" t="str">
        <f>IFERROR(VLOOKUP(C116,'Справочник соответствий'!A$2:D$2981,3,FALSE),IF(VALUE(C116)=0,"ЭТАЖ НЕ ОПРЕДЕЛЕН. ПРИНЯТ ПО ДОПУЩЕНИЮ 1",VLOOKUP(C116,'Справочник соответствий'!A$2:D$2981,3,FALSE)))</f>
        <v>ЭТАЖ ЗАДАН ЧИСЛОМ</v>
      </c>
      <c r="M116" s="13" t="b">
        <f t="shared" si="8"/>
        <v>0</v>
      </c>
      <c r="N116" s="13">
        <f t="shared" si="9"/>
        <v>3</v>
      </c>
      <c r="O116" s="13" t="str">
        <f t="shared" si="10"/>
        <v>ЭТАЖ ЗАДАН ЧИСЛОМ</v>
      </c>
      <c r="P116" s="13" t="str">
        <f t="shared" si="11"/>
        <v>ЭТАЖ ЗАДАН ЧИСЛОМ</v>
      </c>
      <c r="Q116" s="13" t="str">
        <f t="shared" si="12"/>
        <v>ГОТОВ_ИЗМЕНЕН</v>
      </c>
      <c r="R116" s="13">
        <f>IFERROR(VLOOKUP(P116,Лист1!A$1:B$20,2,FALSE),0)</f>
        <v>784</v>
      </c>
      <c r="S116" s="13">
        <f t="shared" si="13"/>
        <v>0</v>
      </c>
    </row>
    <row r="117" spans="1:19" x14ac:dyDescent="0.25">
      <c r="A117" s="24" t="s">
        <v>1200</v>
      </c>
      <c r="B117" s="4" t="s">
        <v>1059</v>
      </c>
      <c r="G117" s="25" t="s">
        <v>1089</v>
      </c>
      <c r="H117" s="24" t="s">
        <v>1061</v>
      </c>
      <c r="I117" s="3">
        <f>IFERROR(VLOOKUP(C117,'Справочник соответствий'!A$2:D$2981,2,FALSE),IF(VALUE(C117)=0,1,VLOOKUP(C117,'Справочник соответствий'!A$2:D$2981,2,FALSE)))</f>
        <v>1</v>
      </c>
      <c r="J117" s="3">
        <f>IFERROR(VLOOKUP(D117,'Справочник соответствий'!A$2:D$2981,2,FALSE),IF(VALUE(D117)=0,0,VLOOKUP(D117,'Справочник соответствий'!A$2:D$2981,2,FALSE)))</f>
        <v>0</v>
      </c>
      <c r="K117" s="3">
        <f t="shared" si="7"/>
        <v>1</v>
      </c>
      <c r="L117" s="13" t="str">
        <f>IFERROR(VLOOKUP(C117,'Справочник соответствий'!A$2:D$2981,3,FALSE),IF(VALUE(C117)=0,"ЭТАЖ НЕ ОПРЕДЕЛЕН. ПРИНЯТ ПО ДОПУЩЕНИЮ 1",VLOOKUP(C117,'Справочник соответствий'!A$2:D$2981,3,FALSE)))</f>
        <v>ЭТАЖ НЕ ОПРЕДЕЛЕН. ПРИНЯТ ПО ДОПУЩЕНИЮ 1</v>
      </c>
      <c r="M117" s="13" t="b">
        <f t="shared" si="8"/>
        <v>0</v>
      </c>
      <c r="N117" s="13">
        <f t="shared" si="9"/>
        <v>1</v>
      </c>
      <c r="O117" s="13" t="str">
        <f t="shared" si="10"/>
        <v>ЭТАЖ НЕ ОПРЕДЕЛЕН. ПРИНЯТ ПО ДОПУЩЕНИЮ 1</v>
      </c>
      <c r="P117" s="13" t="str">
        <f t="shared" si="11"/>
        <v>ЭТАЖ НЕ ОПРЕДЕЛЕН. ПРИНЯТ ПО ДОПУЩЕНИЮ 1</v>
      </c>
      <c r="Q117" s="13" t="str">
        <f t="shared" si="12"/>
        <v>ГОТОВ_ИЗМЕНЕН</v>
      </c>
      <c r="R117" s="13">
        <f>IFERROR(VLOOKUP(P117,Лист1!A$1:B$20,2,FALSE),0)</f>
        <v>788</v>
      </c>
      <c r="S117" s="13">
        <f t="shared" si="13"/>
        <v>0</v>
      </c>
    </row>
    <row r="118" spans="1:19" x14ac:dyDescent="0.25">
      <c r="A118" s="24" t="s">
        <v>1201</v>
      </c>
      <c r="B118" s="4" t="s">
        <v>1063</v>
      </c>
      <c r="C118" s="25" t="s">
        <v>5</v>
      </c>
      <c r="G118" s="25" t="s">
        <v>1089</v>
      </c>
      <c r="H118" s="24" t="s">
        <v>1061</v>
      </c>
      <c r="I118" s="3" t="str">
        <f>IFERROR(VLOOKUP(C118,'Справочник соответствий'!A$2:D$2981,2,FALSE),IF(VALUE(C118)=0,1,VLOOKUP(C118,'Справочник соответствий'!A$2:D$2981,2,FALSE)))</f>
        <v>1</v>
      </c>
      <c r="J118" s="3">
        <f>IFERROR(VLOOKUP(D118,'Справочник соответствий'!A$2:D$2981,2,FALSE),IF(VALUE(D118)=0,0,VLOOKUP(D118,'Справочник соответствий'!A$2:D$2981,2,FALSE)))</f>
        <v>0</v>
      </c>
      <c r="K118" s="3" t="str">
        <f t="shared" si="7"/>
        <v>1</v>
      </c>
      <c r="L118" s="13" t="str">
        <f>IFERROR(VLOOKUP(C118,'Справочник соответствий'!A$2:D$2981,3,FALSE),IF(VALUE(C118)=0,"ЭТАЖ НЕ ОПРЕДЕЛЕН. ПРИНЯТ ПО ДОПУЩЕНИЮ 1",VLOOKUP(C118,'Справочник соответствий'!A$2:D$2981,3,FALSE)))</f>
        <v>ЭТАЖ ЗАДАН ЧИСЛОМ</v>
      </c>
      <c r="M118" s="13" t="b">
        <f t="shared" si="8"/>
        <v>0</v>
      </c>
      <c r="N118" s="13">
        <f t="shared" si="9"/>
        <v>1</v>
      </c>
      <c r="O118" s="13" t="str">
        <f t="shared" si="10"/>
        <v>ЭТАЖ ЗАДАН ЧИСЛОМ</v>
      </c>
      <c r="P118" s="13" t="str">
        <f t="shared" si="11"/>
        <v>ЭТАЖ ЗАДАН ЧИСЛОМ</v>
      </c>
      <c r="Q118" s="13" t="str">
        <f t="shared" si="12"/>
        <v>ГОТОВ_ИЗМЕНЕН</v>
      </c>
      <c r="R118" s="13">
        <f>IFERROR(VLOOKUP(P118,Лист1!A$1:B$20,2,FALSE),0)</f>
        <v>784</v>
      </c>
      <c r="S118" s="13">
        <f t="shared" si="13"/>
        <v>0</v>
      </c>
    </row>
    <row r="119" spans="1:19" x14ac:dyDescent="0.25">
      <c r="A119" s="24" t="s">
        <v>1202</v>
      </c>
      <c r="B119" s="4" t="s">
        <v>1063</v>
      </c>
      <c r="C119" s="25" t="s">
        <v>5</v>
      </c>
      <c r="G119" s="25" t="s">
        <v>1203</v>
      </c>
      <c r="H119" s="24" t="s">
        <v>1061</v>
      </c>
      <c r="I119" s="3" t="str">
        <f>IFERROR(VLOOKUP(C119,'Справочник соответствий'!A$2:D$2981,2,FALSE),IF(VALUE(C119)=0,1,VLOOKUP(C119,'Справочник соответствий'!A$2:D$2981,2,FALSE)))</f>
        <v>1</v>
      </c>
      <c r="J119" s="3">
        <f>IFERROR(VLOOKUP(D119,'Справочник соответствий'!A$2:D$2981,2,FALSE),IF(VALUE(D119)=0,0,VLOOKUP(D119,'Справочник соответствий'!A$2:D$2981,2,FALSE)))</f>
        <v>0</v>
      </c>
      <c r="K119" s="3" t="str">
        <f t="shared" si="7"/>
        <v>1</v>
      </c>
      <c r="L119" s="13" t="str">
        <f>IFERROR(VLOOKUP(C119,'Справочник соответствий'!A$2:D$2981,3,FALSE),IF(VALUE(C119)=0,"ЭТАЖ НЕ ОПРЕДЕЛЕН. ПРИНЯТ ПО ДОПУЩЕНИЮ 1",VLOOKUP(C119,'Справочник соответствий'!A$2:D$2981,3,FALSE)))</f>
        <v>ЭТАЖ ЗАДАН ЧИСЛОМ</v>
      </c>
      <c r="M119" s="13" t="b">
        <f t="shared" si="8"/>
        <v>0</v>
      </c>
      <c r="N119" s="13">
        <f t="shared" si="9"/>
        <v>1</v>
      </c>
      <c r="O119" s="13" t="str">
        <f t="shared" si="10"/>
        <v>ЭТАЖ ЗАДАН ЧИСЛОМ</v>
      </c>
      <c r="P119" s="13" t="str">
        <f t="shared" si="11"/>
        <v>ЭТАЖ ЗАДАН ЧИСЛОМ</v>
      </c>
      <c r="Q119" s="13" t="str">
        <f t="shared" si="12"/>
        <v>ГОТОВ_ИЗМЕНЕН</v>
      </c>
      <c r="R119" s="13">
        <f>IFERROR(VLOOKUP(P119,Лист1!A$1:B$20,2,FALSE),0)</f>
        <v>784</v>
      </c>
      <c r="S119" s="13">
        <f t="shared" si="13"/>
        <v>0</v>
      </c>
    </row>
    <row r="120" spans="1:19" x14ac:dyDescent="0.25">
      <c r="A120" s="24" t="s">
        <v>1204</v>
      </c>
      <c r="B120" s="4" t="s">
        <v>1063</v>
      </c>
      <c r="C120" s="25" t="s">
        <v>5</v>
      </c>
      <c r="G120" s="25" t="s">
        <v>1205</v>
      </c>
      <c r="H120" s="24" t="s">
        <v>1061</v>
      </c>
      <c r="I120" s="3" t="str">
        <f>IFERROR(VLOOKUP(C120,'Справочник соответствий'!A$2:D$2981,2,FALSE),IF(VALUE(C120)=0,1,VLOOKUP(C120,'Справочник соответствий'!A$2:D$2981,2,FALSE)))</f>
        <v>1</v>
      </c>
      <c r="J120" s="3">
        <f>IFERROR(VLOOKUP(D120,'Справочник соответствий'!A$2:D$2981,2,FALSE),IF(VALUE(D120)=0,0,VLOOKUP(D120,'Справочник соответствий'!A$2:D$2981,2,FALSE)))</f>
        <v>0</v>
      </c>
      <c r="K120" s="3" t="str">
        <f t="shared" si="7"/>
        <v>1</v>
      </c>
      <c r="L120" s="13" t="str">
        <f>IFERROR(VLOOKUP(C120,'Справочник соответствий'!A$2:D$2981,3,FALSE),IF(VALUE(C120)=0,"ЭТАЖ НЕ ОПРЕДЕЛЕН. ПРИНЯТ ПО ДОПУЩЕНИЮ 1",VLOOKUP(C120,'Справочник соответствий'!A$2:D$2981,3,FALSE)))</f>
        <v>ЭТАЖ ЗАДАН ЧИСЛОМ</v>
      </c>
      <c r="M120" s="13" t="b">
        <f t="shared" si="8"/>
        <v>0</v>
      </c>
      <c r="N120" s="13">
        <f t="shared" si="9"/>
        <v>1</v>
      </c>
      <c r="O120" s="13" t="str">
        <f t="shared" si="10"/>
        <v>ЭТАЖ ЗАДАН ЧИСЛОМ</v>
      </c>
      <c r="P120" s="13" t="str">
        <f t="shared" si="11"/>
        <v>ЭТАЖ ЗАДАН ЧИСЛОМ</v>
      </c>
      <c r="Q120" s="13" t="str">
        <f t="shared" si="12"/>
        <v>ГОТОВ_ИЗМЕНЕН</v>
      </c>
      <c r="R120" s="13">
        <f>IFERROR(VLOOKUP(P120,Лист1!A$1:B$20,2,FALSE),0)</f>
        <v>784</v>
      </c>
      <c r="S120" s="13">
        <f t="shared" si="13"/>
        <v>0</v>
      </c>
    </row>
    <row r="121" spans="1:19" x14ac:dyDescent="0.25">
      <c r="A121" s="24" t="s">
        <v>1206</v>
      </c>
      <c r="B121" s="4" t="s">
        <v>1063</v>
      </c>
      <c r="C121" s="25" t="s">
        <v>5</v>
      </c>
      <c r="G121" s="25" t="s">
        <v>1117</v>
      </c>
      <c r="H121" s="24" t="s">
        <v>1061</v>
      </c>
      <c r="I121" s="3" t="str">
        <f>IFERROR(VLOOKUP(C121,'Справочник соответствий'!A$2:D$2981,2,FALSE),IF(VALUE(C121)=0,1,VLOOKUP(C121,'Справочник соответствий'!A$2:D$2981,2,FALSE)))</f>
        <v>1</v>
      </c>
      <c r="J121" s="3">
        <f>IFERROR(VLOOKUP(D121,'Справочник соответствий'!A$2:D$2981,2,FALSE),IF(VALUE(D121)=0,0,VLOOKUP(D121,'Справочник соответствий'!A$2:D$2981,2,FALSE)))</f>
        <v>0</v>
      </c>
      <c r="K121" s="3" t="str">
        <f t="shared" si="7"/>
        <v>1</v>
      </c>
      <c r="L121" s="13" t="str">
        <f>IFERROR(VLOOKUP(C121,'Справочник соответствий'!A$2:D$2981,3,FALSE),IF(VALUE(C121)=0,"ЭТАЖ НЕ ОПРЕДЕЛЕН. ПРИНЯТ ПО ДОПУЩЕНИЮ 1",VLOOKUP(C121,'Справочник соответствий'!A$2:D$2981,3,FALSE)))</f>
        <v>ЭТАЖ ЗАДАН ЧИСЛОМ</v>
      </c>
      <c r="M121" s="13" t="b">
        <f t="shared" si="8"/>
        <v>0</v>
      </c>
      <c r="N121" s="13">
        <f t="shared" si="9"/>
        <v>1</v>
      </c>
      <c r="O121" s="13" t="str">
        <f t="shared" si="10"/>
        <v>ЭТАЖ ЗАДАН ЧИСЛОМ</v>
      </c>
      <c r="P121" s="13" t="str">
        <f t="shared" si="11"/>
        <v>ЭТАЖ ЗАДАН ЧИСЛОМ</v>
      </c>
      <c r="Q121" s="13" t="str">
        <f t="shared" si="12"/>
        <v>ГОТОВ_ИЗМЕНЕН</v>
      </c>
      <c r="R121" s="13">
        <f>IFERROR(VLOOKUP(P121,Лист1!A$1:B$20,2,FALSE),0)</f>
        <v>784</v>
      </c>
      <c r="S121" s="13">
        <f t="shared" si="13"/>
        <v>0</v>
      </c>
    </row>
    <row r="122" spans="1:19" x14ac:dyDescent="0.25">
      <c r="A122" s="24" t="s">
        <v>1207</v>
      </c>
      <c r="B122" s="4" t="s">
        <v>1063</v>
      </c>
      <c r="C122" s="25" t="s">
        <v>5</v>
      </c>
      <c r="G122" s="25" t="s">
        <v>1174</v>
      </c>
      <c r="H122" s="24" t="s">
        <v>1061</v>
      </c>
      <c r="I122" s="3" t="str">
        <f>IFERROR(VLOOKUP(C122,'Справочник соответствий'!A$2:D$2981,2,FALSE),IF(VALUE(C122)=0,1,VLOOKUP(C122,'Справочник соответствий'!A$2:D$2981,2,FALSE)))</f>
        <v>1</v>
      </c>
      <c r="J122" s="3">
        <f>IFERROR(VLOOKUP(D122,'Справочник соответствий'!A$2:D$2981,2,FALSE),IF(VALUE(D122)=0,0,VLOOKUP(D122,'Справочник соответствий'!A$2:D$2981,2,FALSE)))</f>
        <v>0</v>
      </c>
      <c r="K122" s="3" t="str">
        <f t="shared" si="7"/>
        <v>1</v>
      </c>
      <c r="L122" s="13" t="str">
        <f>IFERROR(VLOOKUP(C122,'Справочник соответствий'!A$2:D$2981,3,FALSE),IF(VALUE(C122)=0,"ЭТАЖ НЕ ОПРЕДЕЛЕН. ПРИНЯТ ПО ДОПУЩЕНИЮ 1",VLOOKUP(C122,'Справочник соответствий'!A$2:D$2981,3,FALSE)))</f>
        <v>ЭТАЖ ЗАДАН ЧИСЛОМ</v>
      </c>
      <c r="M122" s="13" t="b">
        <f t="shared" si="8"/>
        <v>0</v>
      </c>
      <c r="N122" s="13">
        <f t="shared" si="9"/>
        <v>1</v>
      </c>
      <c r="O122" s="13" t="str">
        <f t="shared" si="10"/>
        <v>ЭТАЖ ЗАДАН ЧИСЛОМ</v>
      </c>
      <c r="P122" s="13" t="str">
        <f t="shared" si="11"/>
        <v>ЭТАЖ ЗАДАН ЧИСЛОМ</v>
      </c>
      <c r="Q122" s="13" t="str">
        <f t="shared" si="12"/>
        <v>ГОТОВ_ИЗМЕНЕН</v>
      </c>
      <c r="R122" s="13">
        <f>IFERROR(VLOOKUP(P122,Лист1!A$1:B$20,2,FALSE),0)</f>
        <v>784</v>
      </c>
      <c r="S122" s="13">
        <f t="shared" si="13"/>
        <v>0</v>
      </c>
    </row>
    <row r="123" spans="1:19" x14ac:dyDescent="0.25">
      <c r="A123" s="24" t="s">
        <v>1208</v>
      </c>
      <c r="B123" s="4" t="s">
        <v>1059</v>
      </c>
      <c r="C123" s="25" t="s">
        <v>7</v>
      </c>
      <c r="G123" s="25" t="s">
        <v>1174</v>
      </c>
      <c r="H123" s="24" t="s">
        <v>1061</v>
      </c>
      <c r="I123" s="3" t="str">
        <f>IFERROR(VLOOKUP(C123,'Справочник соответствий'!A$2:D$2981,2,FALSE),IF(VALUE(C123)=0,1,VLOOKUP(C123,'Справочник соответствий'!A$2:D$2981,2,FALSE)))</f>
        <v>2</v>
      </c>
      <c r="J123" s="3">
        <f>IFERROR(VLOOKUP(D123,'Справочник соответствий'!A$2:D$2981,2,FALSE),IF(VALUE(D123)=0,0,VLOOKUP(D123,'Справочник соответствий'!A$2:D$2981,2,FALSE)))</f>
        <v>0</v>
      </c>
      <c r="K123" s="3" t="str">
        <f t="shared" si="7"/>
        <v>2</v>
      </c>
      <c r="L123" s="13" t="str">
        <f>IFERROR(VLOOKUP(C123,'Справочник соответствий'!A$2:D$2981,3,FALSE),IF(VALUE(C123)=0,"ЭТАЖ НЕ ОПРЕДЕЛЕН. ПРИНЯТ ПО ДОПУЩЕНИЮ 1",VLOOKUP(C123,'Справочник соответствий'!A$2:D$2981,3,FALSE)))</f>
        <v>ЭТАЖ ЗАДАН ЧИСЛОМ</v>
      </c>
      <c r="M123" s="13" t="b">
        <f t="shared" si="8"/>
        <v>0</v>
      </c>
      <c r="N123" s="13">
        <f t="shared" si="9"/>
        <v>2</v>
      </c>
      <c r="O123" s="13" t="str">
        <f t="shared" si="10"/>
        <v>ЭТАЖ ЗАДАН ЧИСЛОМ</v>
      </c>
      <c r="P123" s="13" t="str">
        <f t="shared" si="11"/>
        <v>ЭТАЖ ЗАДАН ЧИСЛОМ</v>
      </c>
      <c r="Q123" s="13" t="str">
        <f t="shared" si="12"/>
        <v>ГОТОВ_ИЗМЕНЕН</v>
      </c>
      <c r="R123" s="13">
        <f>IFERROR(VLOOKUP(P123,Лист1!A$1:B$20,2,FALSE),0)</f>
        <v>784</v>
      </c>
      <c r="S123" s="13">
        <f t="shared" si="13"/>
        <v>0</v>
      </c>
    </row>
    <row r="124" spans="1:19" x14ac:dyDescent="0.25">
      <c r="A124" s="24" t="s">
        <v>1209</v>
      </c>
      <c r="B124" s="4" t="s">
        <v>1059</v>
      </c>
      <c r="C124" s="25" t="s">
        <v>5</v>
      </c>
      <c r="G124" s="25" t="s">
        <v>1205</v>
      </c>
      <c r="H124" s="24" t="s">
        <v>1061</v>
      </c>
      <c r="I124" s="3" t="str">
        <f>IFERROR(VLOOKUP(C124,'Справочник соответствий'!A$2:D$2981,2,FALSE),IF(VALUE(C124)=0,1,VLOOKUP(C124,'Справочник соответствий'!A$2:D$2981,2,FALSE)))</f>
        <v>1</v>
      </c>
      <c r="J124" s="3">
        <f>IFERROR(VLOOKUP(D124,'Справочник соответствий'!A$2:D$2981,2,FALSE),IF(VALUE(D124)=0,0,VLOOKUP(D124,'Справочник соответствий'!A$2:D$2981,2,FALSE)))</f>
        <v>0</v>
      </c>
      <c r="K124" s="3" t="str">
        <f t="shared" si="7"/>
        <v>1</v>
      </c>
      <c r="L124" s="13" t="str">
        <f>IFERROR(VLOOKUP(C124,'Справочник соответствий'!A$2:D$2981,3,FALSE),IF(VALUE(C124)=0,"ЭТАЖ НЕ ОПРЕДЕЛЕН. ПРИНЯТ ПО ДОПУЩЕНИЮ 1",VLOOKUP(C124,'Справочник соответствий'!A$2:D$2981,3,FALSE)))</f>
        <v>ЭТАЖ ЗАДАН ЧИСЛОМ</v>
      </c>
      <c r="M124" s="13" t="b">
        <f t="shared" si="8"/>
        <v>0</v>
      </c>
      <c r="N124" s="13">
        <f t="shared" si="9"/>
        <v>1</v>
      </c>
      <c r="O124" s="13" t="str">
        <f t="shared" si="10"/>
        <v>ЭТАЖ ЗАДАН ЧИСЛОМ</v>
      </c>
      <c r="P124" s="13" t="str">
        <f t="shared" si="11"/>
        <v>ЭТАЖ ЗАДАН ЧИСЛОМ</v>
      </c>
      <c r="Q124" s="13" t="str">
        <f t="shared" si="12"/>
        <v>ГОТОВ_ИЗМЕНЕН</v>
      </c>
      <c r="R124" s="13">
        <f>IFERROR(VLOOKUP(P124,Лист1!A$1:B$20,2,FALSE),0)</f>
        <v>784</v>
      </c>
      <c r="S124" s="13">
        <f t="shared" si="13"/>
        <v>0</v>
      </c>
    </row>
    <row r="125" spans="1:19" x14ac:dyDescent="0.25">
      <c r="A125" s="24" t="s">
        <v>1210</v>
      </c>
      <c r="B125" s="4" t="s">
        <v>1059</v>
      </c>
      <c r="C125" s="25" t="s">
        <v>5</v>
      </c>
      <c r="G125" s="25" t="s">
        <v>1205</v>
      </c>
      <c r="H125" s="24" t="s">
        <v>1061</v>
      </c>
      <c r="I125" s="3" t="str">
        <f>IFERROR(VLOOKUP(C125,'Справочник соответствий'!A$2:D$2981,2,FALSE),IF(VALUE(C125)=0,1,VLOOKUP(C125,'Справочник соответствий'!A$2:D$2981,2,FALSE)))</f>
        <v>1</v>
      </c>
      <c r="J125" s="3">
        <f>IFERROR(VLOOKUP(D125,'Справочник соответствий'!A$2:D$2981,2,FALSE),IF(VALUE(D125)=0,0,VLOOKUP(D125,'Справочник соответствий'!A$2:D$2981,2,FALSE)))</f>
        <v>0</v>
      </c>
      <c r="K125" s="3" t="str">
        <f t="shared" si="7"/>
        <v>1</v>
      </c>
      <c r="L125" s="13" t="str">
        <f>IFERROR(VLOOKUP(C125,'Справочник соответствий'!A$2:D$2981,3,FALSE),IF(VALUE(C125)=0,"ЭТАЖ НЕ ОПРЕДЕЛЕН. ПРИНЯТ ПО ДОПУЩЕНИЮ 1",VLOOKUP(C125,'Справочник соответствий'!A$2:D$2981,3,FALSE)))</f>
        <v>ЭТАЖ ЗАДАН ЧИСЛОМ</v>
      </c>
      <c r="M125" s="13" t="b">
        <f t="shared" si="8"/>
        <v>0</v>
      </c>
      <c r="N125" s="13">
        <f t="shared" si="9"/>
        <v>1</v>
      </c>
      <c r="O125" s="13" t="str">
        <f t="shared" si="10"/>
        <v>ЭТАЖ ЗАДАН ЧИСЛОМ</v>
      </c>
      <c r="P125" s="13" t="str">
        <f t="shared" si="11"/>
        <v>ЭТАЖ ЗАДАН ЧИСЛОМ</v>
      </c>
      <c r="Q125" s="13" t="str">
        <f t="shared" si="12"/>
        <v>ГОТОВ_ИЗМЕНЕН</v>
      </c>
      <c r="R125" s="13">
        <f>IFERROR(VLOOKUP(P125,Лист1!A$1:B$20,2,FALSE),0)</f>
        <v>784</v>
      </c>
      <c r="S125" s="13">
        <f t="shared" si="13"/>
        <v>0</v>
      </c>
    </row>
    <row r="126" spans="1:19" x14ac:dyDescent="0.25">
      <c r="A126" s="24" t="s">
        <v>1211</v>
      </c>
      <c r="B126" s="4" t="s">
        <v>1059</v>
      </c>
      <c r="C126" s="25" t="s">
        <v>5</v>
      </c>
      <c r="G126" s="25" t="s">
        <v>1205</v>
      </c>
      <c r="H126" s="24" t="s">
        <v>1061</v>
      </c>
      <c r="I126" s="3" t="str">
        <f>IFERROR(VLOOKUP(C126,'Справочник соответствий'!A$2:D$2981,2,FALSE),IF(VALUE(C126)=0,1,VLOOKUP(C126,'Справочник соответствий'!A$2:D$2981,2,FALSE)))</f>
        <v>1</v>
      </c>
      <c r="J126" s="3">
        <f>IFERROR(VLOOKUP(D126,'Справочник соответствий'!A$2:D$2981,2,FALSE),IF(VALUE(D126)=0,0,VLOOKUP(D126,'Справочник соответствий'!A$2:D$2981,2,FALSE)))</f>
        <v>0</v>
      </c>
      <c r="K126" s="3" t="str">
        <f t="shared" si="7"/>
        <v>1</v>
      </c>
      <c r="L126" s="13" t="str">
        <f>IFERROR(VLOOKUP(C126,'Справочник соответствий'!A$2:D$2981,3,FALSE),IF(VALUE(C126)=0,"ЭТАЖ НЕ ОПРЕДЕЛЕН. ПРИНЯТ ПО ДОПУЩЕНИЮ 1",VLOOKUP(C126,'Справочник соответствий'!A$2:D$2981,3,FALSE)))</f>
        <v>ЭТАЖ ЗАДАН ЧИСЛОМ</v>
      </c>
      <c r="M126" s="13" t="b">
        <f t="shared" si="8"/>
        <v>0</v>
      </c>
      <c r="N126" s="13">
        <f t="shared" si="9"/>
        <v>1</v>
      </c>
      <c r="O126" s="13" t="str">
        <f t="shared" si="10"/>
        <v>ЭТАЖ ЗАДАН ЧИСЛОМ</v>
      </c>
      <c r="P126" s="13" t="str">
        <f t="shared" si="11"/>
        <v>ЭТАЖ ЗАДАН ЧИСЛОМ</v>
      </c>
      <c r="Q126" s="13" t="str">
        <f t="shared" si="12"/>
        <v>ГОТОВ_ИЗМЕНЕН</v>
      </c>
      <c r="R126" s="13">
        <f>IFERROR(VLOOKUP(P126,Лист1!A$1:B$20,2,FALSE),0)</f>
        <v>784</v>
      </c>
      <c r="S126" s="13">
        <f t="shared" si="13"/>
        <v>0</v>
      </c>
    </row>
    <row r="127" spans="1:19" x14ac:dyDescent="0.25">
      <c r="A127" s="24" t="s">
        <v>1212</v>
      </c>
      <c r="B127" s="4" t="s">
        <v>1059</v>
      </c>
      <c r="C127" s="25" t="s">
        <v>7</v>
      </c>
      <c r="G127" s="25" t="s">
        <v>1205</v>
      </c>
      <c r="H127" s="24" t="s">
        <v>1061</v>
      </c>
      <c r="I127" s="3" t="str">
        <f>IFERROR(VLOOKUP(C127,'Справочник соответствий'!A$2:D$2981,2,FALSE),IF(VALUE(C127)=0,1,VLOOKUP(C127,'Справочник соответствий'!A$2:D$2981,2,FALSE)))</f>
        <v>2</v>
      </c>
      <c r="J127" s="3">
        <f>IFERROR(VLOOKUP(D127,'Справочник соответствий'!A$2:D$2981,2,FALSE),IF(VALUE(D127)=0,0,VLOOKUP(D127,'Справочник соответствий'!A$2:D$2981,2,FALSE)))</f>
        <v>0</v>
      </c>
      <c r="K127" s="3" t="str">
        <f t="shared" si="7"/>
        <v>2</v>
      </c>
      <c r="L127" s="13" t="str">
        <f>IFERROR(VLOOKUP(C127,'Справочник соответствий'!A$2:D$2981,3,FALSE),IF(VALUE(C127)=0,"ЭТАЖ НЕ ОПРЕДЕЛЕН. ПРИНЯТ ПО ДОПУЩЕНИЮ 1",VLOOKUP(C127,'Справочник соответствий'!A$2:D$2981,3,FALSE)))</f>
        <v>ЭТАЖ ЗАДАН ЧИСЛОМ</v>
      </c>
      <c r="M127" s="13" t="b">
        <f t="shared" si="8"/>
        <v>0</v>
      </c>
      <c r="N127" s="13">
        <f t="shared" si="9"/>
        <v>2</v>
      </c>
      <c r="O127" s="13" t="str">
        <f t="shared" si="10"/>
        <v>ЭТАЖ ЗАДАН ЧИСЛОМ</v>
      </c>
      <c r="P127" s="13" t="str">
        <f t="shared" si="11"/>
        <v>ЭТАЖ ЗАДАН ЧИСЛОМ</v>
      </c>
      <c r="Q127" s="13" t="str">
        <f t="shared" si="12"/>
        <v>ГОТОВ_ИЗМЕНЕН</v>
      </c>
      <c r="R127" s="13">
        <f>IFERROR(VLOOKUP(P127,Лист1!A$1:B$20,2,FALSE),0)</f>
        <v>784</v>
      </c>
      <c r="S127" s="13">
        <f t="shared" si="13"/>
        <v>0</v>
      </c>
    </row>
    <row r="128" spans="1:19" x14ac:dyDescent="0.25">
      <c r="A128" s="24" t="s">
        <v>1213</v>
      </c>
      <c r="B128" s="4" t="s">
        <v>1059</v>
      </c>
      <c r="C128" s="25" t="s">
        <v>8</v>
      </c>
      <c r="G128" s="25" t="s">
        <v>1205</v>
      </c>
      <c r="H128" s="24" t="s">
        <v>1061</v>
      </c>
      <c r="I128" s="3" t="str">
        <f>IFERROR(VLOOKUP(C128,'Справочник соответствий'!A$2:D$2981,2,FALSE),IF(VALUE(C128)=0,1,VLOOKUP(C128,'Справочник соответствий'!A$2:D$2981,2,FALSE)))</f>
        <v>3</v>
      </c>
      <c r="J128" s="3">
        <f>IFERROR(VLOOKUP(D128,'Справочник соответствий'!A$2:D$2981,2,FALSE),IF(VALUE(D128)=0,0,VLOOKUP(D128,'Справочник соответствий'!A$2:D$2981,2,FALSE)))</f>
        <v>0</v>
      </c>
      <c r="K128" s="3" t="str">
        <f t="shared" si="7"/>
        <v>3</v>
      </c>
      <c r="L128" s="13" t="str">
        <f>IFERROR(VLOOKUP(C128,'Справочник соответствий'!A$2:D$2981,3,FALSE),IF(VALUE(C128)=0,"ЭТАЖ НЕ ОПРЕДЕЛЕН. ПРИНЯТ ПО ДОПУЩЕНИЮ 1",VLOOKUP(C128,'Справочник соответствий'!A$2:D$2981,3,FALSE)))</f>
        <v>ЭТАЖ ЗАДАН ЧИСЛОМ</v>
      </c>
      <c r="M128" s="13" t="b">
        <f t="shared" si="8"/>
        <v>0</v>
      </c>
      <c r="N128" s="13">
        <f t="shared" si="9"/>
        <v>3</v>
      </c>
      <c r="O128" s="13" t="str">
        <f t="shared" si="10"/>
        <v>ЭТАЖ ЗАДАН ЧИСЛОМ</v>
      </c>
      <c r="P128" s="13" t="str">
        <f t="shared" si="11"/>
        <v>ЭТАЖ ЗАДАН ЧИСЛОМ</v>
      </c>
      <c r="Q128" s="13" t="str">
        <f t="shared" si="12"/>
        <v>ГОТОВ_ИЗМЕНЕН</v>
      </c>
      <c r="R128" s="13">
        <f>IFERROR(VLOOKUP(P128,Лист1!A$1:B$20,2,FALSE),0)</f>
        <v>784</v>
      </c>
      <c r="S128" s="13">
        <f t="shared" si="13"/>
        <v>0</v>
      </c>
    </row>
    <row r="129" spans="1:19" x14ac:dyDescent="0.25">
      <c r="A129" s="24" t="s">
        <v>1214</v>
      </c>
      <c r="B129" s="4" t="s">
        <v>1059</v>
      </c>
      <c r="C129" s="25" t="s">
        <v>5</v>
      </c>
      <c r="G129" s="25" t="s">
        <v>1205</v>
      </c>
      <c r="H129" s="24" t="s">
        <v>1061</v>
      </c>
      <c r="I129" s="3" t="str">
        <f>IFERROR(VLOOKUP(C129,'Справочник соответствий'!A$2:D$2981,2,FALSE),IF(VALUE(C129)=0,1,VLOOKUP(C129,'Справочник соответствий'!A$2:D$2981,2,FALSE)))</f>
        <v>1</v>
      </c>
      <c r="J129" s="3">
        <f>IFERROR(VLOOKUP(D129,'Справочник соответствий'!A$2:D$2981,2,FALSE),IF(VALUE(D129)=0,0,VLOOKUP(D129,'Справочник соответствий'!A$2:D$2981,2,FALSE)))</f>
        <v>0</v>
      </c>
      <c r="K129" s="3" t="str">
        <f t="shared" si="7"/>
        <v>1</v>
      </c>
      <c r="L129" s="13" t="str">
        <f>IFERROR(VLOOKUP(C129,'Справочник соответствий'!A$2:D$2981,3,FALSE),IF(VALUE(C129)=0,"ЭТАЖ НЕ ОПРЕДЕЛЕН. ПРИНЯТ ПО ДОПУЩЕНИЮ 1",VLOOKUP(C129,'Справочник соответствий'!A$2:D$2981,3,FALSE)))</f>
        <v>ЭТАЖ ЗАДАН ЧИСЛОМ</v>
      </c>
      <c r="M129" s="13" t="b">
        <f t="shared" si="8"/>
        <v>0</v>
      </c>
      <c r="N129" s="13">
        <f t="shared" si="9"/>
        <v>1</v>
      </c>
      <c r="O129" s="13" t="str">
        <f t="shared" si="10"/>
        <v>ЭТАЖ ЗАДАН ЧИСЛОМ</v>
      </c>
      <c r="P129" s="13" t="str">
        <f t="shared" si="11"/>
        <v>ЭТАЖ ЗАДАН ЧИСЛОМ</v>
      </c>
      <c r="Q129" s="13" t="str">
        <f t="shared" si="12"/>
        <v>ГОТОВ_ИЗМЕНЕН</v>
      </c>
      <c r="R129" s="13">
        <f>IFERROR(VLOOKUP(P129,Лист1!A$1:B$20,2,FALSE),0)</f>
        <v>784</v>
      </c>
      <c r="S129" s="13">
        <f t="shared" si="13"/>
        <v>0</v>
      </c>
    </row>
    <row r="130" spans="1:19" x14ac:dyDescent="0.25">
      <c r="A130" s="24" t="s">
        <v>1215</v>
      </c>
      <c r="B130" s="4" t="s">
        <v>1063</v>
      </c>
      <c r="C130" s="25" t="s">
        <v>5</v>
      </c>
      <c r="G130" s="25" t="s">
        <v>1205</v>
      </c>
      <c r="H130" s="24" t="s">
        <v>1061</v>
      </c>
      <c r="I130" s="3" t="str">
        <f>IFERROR(VLOOKUP(C130,'Справочник соответствий'!A$2:D$2981,2,FALSE),IF(VALUE(C130)=0,1,VLOOKUP(C130,'Справочник соответствий'!A$2:D$2981,2,FALSE)))</f>
        <v>1</v>
      </c>
      <c r="J130" s="3">
        <f>IFERROR(VLOOKUP(D130,'Справочник соответствий'!A$2:D$2981,2,FALSE),IF(VALUE(D130)=0,0,VLOOKUP(D130,'Справочник соответствий'!A$2:D$2981,2,FALSE)))</f>
        <v>0</v>
      </c>
      <c r="K130" s="3" t="str">
        <f t="shared" si="7"/>
        <v>1</v>
      </c>
      <c r="L130" s="13" t="str">
        <f>IFERROR(VLOOKUP(C130,'Справочник соответствий'!A$2:D$2981,3,FALSE),IF(VALUE(C130)=0,"ЭТАЖ НЕ ОПРЕДЕЛЕН. ПРИНЯТ ПО ДОПУЩЕНИЮ 1",VLOOKUP(C130,'Справочник соответствий'!A$2:D$2981,3,FALSE)))</f>
        <v>ЭТАЖ ЗАДАН ЧИСЛОМ</v>
      </c>
      <c r="M130" s="13" t="b">
        <f t="shared" si="8"/>
        <v>0</v>
      </c>
      <c r="N130" s="13">
        <f t="shared" si="9"/>
        <v>1</v>
      </c>
      <c r="O130" s="13" t="str">
        <f t="shared" si="10"/>
        <v>ЭТАЖ ЗАДАН ЧИСЛОМ</v>
      </c>
      <c r="P130" s="13" t="str">
        <f t="shared" si="11"/>
        <v>ЭТАЖ ЗАДАН ЧИСЛОМ</v>
      </c>
      <c r="Q130" s="13" t="str">
        <f t="shared" si="12"/>
        <v>ГОТОВ_ИЗМЕНЕН</v>
      </c>
      <c r="R130" s="13">
        <f>IFERROR(VLOOKUP(P130,Лист1!A$1:B$20,2,FALSE),0)</f>
        <v>784</v>
      </c>
      <c r="S130" s="13">
        <f t="shared" si="13"/>
        <v>0</v>
      </c>
    </row>
    <row r="131" spans="1:19" x14ac:dyDescent="0.25">
      <c r="A131" s="24" t="s">
        <v>1216</v>
      </c>
      <c r="B131" s="4" t="s">
        <v>1059</v>
      </c>
      <c r="C131" s="25" t="s">
        <v>5</v>
      </c>
      <c r="G131" s="25" t="s">
        <v>1205</v>
      </c>
      <c r="H131" s="24" t="s">
        <v>1061</v>
      </c>
      <c r="I131" s="3" t="str">
        <f>IFERROR(VLOOKUP(C131,'Справочник соответствий'!A$2:D$2981,2,FALSE),IF(VALUE(C131)=0,1,VLOOKUP(C131,'Справочник соответствий'!A$2:D$2981,2,FALSE)))</f>
        <v>1</v>
      </c>
      <c r="J131" s="3">
        <f>IFERROR(VLOOKUP(D131,'Справочник соответствий'!A$2:D$2981,2,FALSE),IF(VALUE(D131)=0,0,VLOOKUP(D131,'Справочник соответствий'!A$2:D$2981,2,FALSE)))</f>
        <v>0</v>
      </c>
      <c r="K131" s="3" t="str">
        <f t="shared" si="7"/>
        <v>1</v>
      </c>
      <c r="L131" s="13" t="str">
        <f>IFERROR(VLOOKUP(C131,'Справочник соответствий'!A$2:D$2981,3,FALSE),IF(VALUE(C131)=0,"ЭТАЖ НЕ ОПРЕДЕЛЕН. ПРИНЯТ ПО ДОПУЩЕНИЮ 1",VLOOKUP(C131,'Справочник соответствий'!A$2:D$2981,3,FALSE)))</f>
        <v>ЭТАЖ ЗАДАН ЧИСЛОМ</v>
      </c>
      <c r="M131" s="13" t="b">
        <f t="shared" si="8"/>
        <v>0</v>
      </c>
      <c r="N131" s="13">
        <f t="shared" si="9"/>
        <v>1</v>
      </c>
      <c r="O131" s="13" t="str">
        <f t="shared" si="10"/>
        <v>ЭТАЖ ЗАДАН ЧИСЛОМ</v>
      </c>
      <c r="P131" s="13" t="str">
        <f t="shared" si="11"/>
        <v>ЭТАЖ ЗАДАН ЧИСЛОМ</v>
      </c>
      <c r="Q131" s="13" t="str">
        <f t="shared" si="12"/>
        <v>ГОТОВ_ИЗМЕНЕН</v>
      </c>
      <c r="R131" s="13">
        <f>IFERROR(VLOOKUP(P131,Лист1!A$1:B$20,2,FALSE),0)</f>
        <v>784</v>
      </c>
      <c r="S131" s="13">
        <f t="shared" si="13"/>
        <v>0</v>
      </c>
    </row>
    <row r="132" spans="1:19" x14ac:dyDescent="0.25">
      <c r="A132" s="24" t="s">
        <v>1217</v>
      </c>
      <c r="B132" s="4" t="s">
        <v>1059</v>
      </c>
      <c r="C132" s="25" t="s">
        <v>5</v>
      </c>
      <c r="G132" s="25" t="s">
        <v>1205</v>
      </c>
      <c r="H132" s="24" t="s">
        <v>1061</v>
      </c>
      <c r="I132" s="3" t="str">
        <f>IFERROR(VLOOKUP(C132,'Справочник соответствий'!A$2:D$2981,2,FALSE),IF(VALUE(C132)=0,1,VLOOKUP(C132,'Справочник соответствий'!A$2:D$2981,2,FALSE)))</f>
        <v>1</v>
      </c>
      <c r="J132" s="3">
        <f>IFERROR(VLOOKUP(D132,'Справочник соответствий'!A$2:D$2981,2,FALSE),IF(VALUE(D132)=0,0,VLOOKUP(D132,'Справочник соответствий'!A$2:D$2981,2,FALSE)))</f>
        <v>0</v>
      </c>
      <c r="K132" s="3" t="str">
        <f t="shared" si="7"/>
        <v>1</v>
      </c>
      <c r="L132" s="13" t="str">
        <f>IFERROR(VLOOKUP(C132,'Справочник соответствий'!A$2:D$2981,3,FALSE),IF(VALUE(C132)=0,"ЭТАЖ НЕ ОПРЕДЕЛЕН. ПРИНЯТ ПО ДОПУЩЕНИЮ 1",VLOOKUP(C132,'Справочник соответствий'!A$2:D$2981,3,FALSE)))</f>
        <v>ЭТАЖ ЗАДАН ЧИСЛОМ</v>
      </c>
      <c r="M132" s="13" t="b">
        <f t="shared" si="8"/>
        <v>0</v>
      </c>
      <c r="N132" s="13">
        <f t="shared" si="9"/>
        <v>1</v>
      </c>
      <c r="O132" s="13" t="str">
        <f t="shared" si="10"/>
        <v>ЭТАЖ ЗАДАН ЧИСЛОМ</v>
      </c>
      <c r="P132" s="13" t="str">
        <f t="shared" si="11"/>
        <v>ЭТАЖ ЗАДАН ЧИСЛОМ</v>
      </c>
      <c r="Q132" s="13" t="str">
        <f t="shared" si="12"/>
        <v>ГОТОВ_ИЗМЕНЕН</v>
      </c>
      <c r="R132" s="13">
        <f>IFERROR(VLOOKUP(P132,Лист1!A$1:B$20,2,FALSE),0)</f>
        <v>784</v>
      </c>
      <c r="S132" s="13">
        <f t="shared" si="13"/>
        <v>0</v>
      </c>
    </row>
    <row r="133" spans="1:19" x14ac:dyDescent="0.25">
      <c r="A133" s="24" t="s">
        <v>1218</v>
      </c>
      <c r="B133" s="4" t="s">
        <v>1059</v>
      </c>
      <c r="C133" s="25" t="s">
        <v>5</v>
      </c>
      <c r="G133" s="25" t="s">
        <v>1219</v>
      </c>
      <c r="H133" s="24" t="s">
        <v>1061</v>
      </c>
      <c r="I133" s="3" t="str">
        <f>IFERROR(VLOOKUP(C133,'Справочник соответствий'!A$2:D$2981,2,FALSE),IF(VALUE(C133)=0,1,VLOOKUP(C133,'Справочник соответствий'!A$2:D$2981,2,FALSE)))</f>
        <v>1</v>
      </c>
      <c r="J133" s="3">
        <f>IFERROR(VLOOKUP(D133,'Справочник соответствий'!A$2:D$2981,2,FALSE),IF(VALUE(D133)=0,0,VLOOKUP(D133,'Справочник соответствий'!A$2:D$2981,2,FALSE)))</f>
        <v>0</v>
      </c>
      <c r="K133" s="3" t="str">
        <f t="shared" ref="K133:K196" si="14">IF(B133="Многоквартирный дом",IF(I133-J133&gt;0,I133-J133,1),I133)</f>
        <v>1</v>
      </c>
      <c r="L133" s="13" t="str">
        <f>IFERROR(VLOOKUP(C133,'Справочник соответствий'!A$2:D$2981,3,FALSE),IF(VALUE(C133)=0,"ЭТАЖ НЕ ОПРЕДЕЛЕН. ПРИНЯТ ПО ДОПУЩЕНИЮ 1",VLOOKUP(C133,'Справочник соответствий'!A$2:D$2981,3,FALSE)))</f>
        <v>ЭТАЖ ЗАДАН ЧИСЛОМ</v>
      </c>
      <c r="M133" s="13" t="b">
        <f t="shared" ref="M133:M196" si="15">I133=E133</f>
        <v>0</v>
      </c>
      <c r="N133" s="13">
        <f t="shared" ref="N133:N196" si="16">IF(VALUE(E133)=0,VALUE(K133),IF(L133="ЭТАЖ НЕ ОПРЕДЕЛЕН. ПРИНЯТ ПО ДОПУЩЕНИЮ 1",VALUE(E133),VALUE(K133)))</f>
        <v>1</v>
      </c>
      <c r="O133" s="13" t="str">
        <f t="shared" ref="O133:O196" si="17">IF(VALUE(E133)=0,L133,IF(L133="ЭТАЖ НЕ ОПРЕДЕЛЕН. ПРИНЯТ ПО ДОПУЩЕНИЮ 1",F133,L133))</f>
        <v>ЭТАЖ ЗАДАН ЧИСЛОМ</v>
      </c>
      <c r="P133" s="13" t="str">
        <f t="shared" ref="P133:P196" si="18">IF(B133="Многоквартирный дом",CONCATENATE("МКД_",O133),O133)</f>
        <v>ЭТАЖ ЗАДАН ЧИСЛОМ</v>
      </c>
      <c r="Q133" s="13" t="str">
        <f t="shared" ref="Q133:Q196" si="19">IFERROR(IF(N133&gt;0,IF(N133=VALUE(E133),"ГОТОВ","ГОТОВ_ИЗМЕНЕН"),"НЕ ГОТОВ"),"НЕ ГОТОВ")</f>
        <v>ГОТОВ_ИЗМЕНЕН</v>
      </c>
      <c r="R133" s="13">
        <f>IFERROR(VLOOKUP(P133,Лист1!A$1:B$20,2,FALSE),0)</f>
        <v>784</v>
      </c>
      <c r="S133" s="13">
        <f t="shared" ref="S133:S196" si="20">VALUE(E133)</f>
        <v>0</v>
      </c>
    </row>
    <row r="134" spans="1:19" x14ac:dyDescent="0.25">
      <c r="A134" s="24" t="s">
        <v>1220</v>
      </c>
      <c r="B134" s="4" t="s">
        <v>1059</v>
      </c>
      <c r="G134" s="25" t="s">
        <v>1174</v>
      </c>
      <c r="H134" s="24" t="s">
        <v>1061</v>
      </c>
      <c r="I134" s="3">
        <f>IFERROR(VLOOKUP(C134,'Справочник соответствий'!A$2:D$2981,2,FALSE),IF(VALUE(C134)=0,1,VLOOKUP(C134,'Справочник соответствий'!A$2:D$2981,2,FALSE)))</f>
        <v>1</v>
      </c>
      <c r="J134" s="3">
        <f>IFERROR(VLOOKUP(D134,'Справочник соответствий'!A$2:D$2981,2,FALSE),IF(VALUE(D134)=0,0,VLOOKUP(D134,'Справочник соответствий'!A$2:D$2981,2,FALSE)))</f>
        <v>0</v>
      </c>
      <c r="K134" s="3">
        <f t="shared" si="14"/>
        <v>1</v>
      </c>
      <c r="L134" s="13" t="str">
        <f>IFERROR(VLOOKUP(C134,'Справочник соответствий'!A$2:D$2981,3,FALSE),IF(VALUE(C134)=0,"ЭТАЖ НЕ ОПРЕДЕЛЕН. ПРИНЯТ ПО ДОПУЩЕНИЮ 1",VLOOKUP(C134,'Справочник соответствий'!A$2:D$2981,3,FALSE)))</f>
        <v>ЭТАЖ НЕ ОПРЕДЕЛЕН. ПРИНЯТ ПО ДОПУЩЕНИЮ 1</v>
      </c>
      <c r="M134" s="13" t="b">
        <f t="shared" si="15"/>
        <v>0</v>
      </c>
      <c r="N134" s="13">
        <f t="shared" si="16"/>
        <v>1</v>
      </c>
      <c r="O134" s="13" t="str">
        <f t="shared" si="17"/>
        <v>ЭТАЖ НЕ ОПРЕДЕЛЕН. ПРИНЯТ ПО ДОПУЩЕНИЮ 1</v>
      </c>
      <c r="P134" s="13" t="str">
        <f t="shared" si="18"/>
        <v>ЭТАЖ НЕ ОПРЕДЕЛЕН. ПРИНЯТ ПО ДОПУЩЕНИЮ 1</v>
      </c>
      <c r="Q134" s="13" t="str">
        <f t="shared" si="19"/>
        <v>ГОТОВ_ИЗМЕНЕН</v>
      </c>
      <c r="R134" s="13">
        <f>IFERROR(VLOOKUP(P134,Лист1!A$1:B$20,2,FALSE),0)</f>
        <v>788</v>
      </c>
      <c r="S134" s="13">
        <f t="shared" si="20"/>
        <v>0</v>
      </c>
    </row>
    <row r="135" spans="1:19" x14ac:dyDescent="0.25">
      <c r="A135" s="24" t="s">
        <v>1221</v>
      </c>
      <c r="B135" s="4" t="s">
        <v>1059</v>
      </c>
      <c r="C135" s="25" t="s">
        <v>7</v>
      </c>
      <c r="D135" s="25" t="s">
        <v>5</v>
      </c>
      <c r="G135" s="25" t="s">
        <v>1222</v>
      </c>
      <c r="H135" s="24" t="s">
        <v>1061</v>
      </c>
      <c r="I135" s="3" t="str">
        <f>IFERROR(VLOOKUP(C135,'Справочник соответствий'!A$2:D$2981,2,FALSE),IF(VALUE(C135)=0,1,VLOOKUP(C135,'Справочник соответствий'!A$2:D$2981,2,FALSE)))</f>
        <v>2</v>
      </c>
      <c r="J135" s="3" t="str">
        <f>IFERROR(VLOOKUP(D135,'Справочник соответствий'!A$2:D$2981,2,FALSE),IF(VALUE(D135)=0,0,VLOOKUP(D135,'Справочник соответствий'!A$2:D$2981,2,FALSE)))</f>
        <v>1</v>
      </c>
      <c r="K135" s="3" t="str">
        <f t="shared" si="14"/>
        <v>2</v>
      </c>
      <c r="L135" s="13" t="str">
        <f>IFERROR(VLOOKUP(C135,'Справочник соответствий'!A$2:D$2981,3,FALSE),IF(VALUE(C135)=0,"ЭТАЖ НЕ ОПРЕДЕЛЕН. ПРИНЯТ ПО ДОПУЩЕНИЮ 1",VLOOKUP(C135,'Справочник соответствий'!A$2:D$2981,3,FALSE)))</f>
        <v>ЭТАЖ ЗАДАН ЧИСЛОМ</v>
      </c>
      <c r="M135" s="13" t="b">
        <f t="shared" si="15"/>
        <v>0</v>
      </c>
      <c r="N135" s="13">
        <f t="shared" si="16"/>
        <v>2</v>
      </c>
      <c r="O135" s="13" t="str">
        <f t="shared" si="17"/>
        <v>ЭТАЖ ЗАДАН ЧИСЛОМ</v>
      </c>
      <c r="P135" s="13" t="str">
        <f t="shared" si="18"/>
        <v>ЭТАЖ ЗАДАН ЧИСЛОМ</v>
      </c>
      <c r="Q135" s="13" t="str">
        <f t="shared" si="19"/>
        <v>ГОТОВ_ИЗМЕНЕН</v>
      </c>
      <c r="R135" s="13">
        <f>IFERROR(VLOOKUP(P135,Лист1!A$1:B$20,2,FALSE),0)</f>
        <v>784</v>
      </c>
      <c r="S135" s="13">
        <f t="shared" si="20"/>
        <v>0</v>
      </c>
    </row>
    <row r="136" spans="1:19" x14ac:dyDescent="0.25">
      <c r="A136" s="24" t="s">
        <v>1223</v>
      </c>
      <c r="B136" s="4" t="s">
        <v>1059</v>
      </c>
      <c r="C136" s="25" t="s">
        <v>7</v>
      </c>
      <c r="G136" s="25" t="s">
        <v>1224</v>
      </c>
      <c r="H136" s="24" t="s">
        <v>1061</v>
      </c>
      <c r="I136" s="3" t="str">
        <f>IFERROR(VLOOKUP(C136,'Справочник соответствий'!A$2:D$2981,2,FALSE),IF(VALUE(C136)=0,1,VLOOKUP(C136,'Справочник соответствий'!A$2:D$2981,2,FALSE)))</f>
        <v>2</v>
      </c>
      <c r="J136" s="3">
        <f>IFERROR(VLOOKUP(D136,'Справочник соответствий'!A$2:D$2981,2,FALSE),IF(VALUE(D136)=0,0,VLOOKUP(D136,'Справочник соответствий'!A$2:D$2981,2,FALSE)))</f>
        <v>0</v>
      </c>
      <c r="K136" s="3" t="str">
        <f t="shared" si="14"/>
        <v>2</v>
      </c>
      <c r="L136" s="13" t="str">
        <f>IFERROR(VLOOKUP(C136,'Справочник соответствий'!A$2:D$2981,3,FALSE),IF(VALUE(C136)=0,"ЭТАЖ НЕ ОПРЕДЕЛЕН. ПРИНЯТ ПО ДОПУЩЕНИЮ 1",VLOOKUP(C136,'Справочник соответствий'!A$2:D$2981,3,FALSE)))</f>
        <v>ЭТАЖ ЗАДАН ЧИСЛОМ</v>
      </c>
      <c r="M136" s="13" t="b">
        <f t="shared" si="15"/>
        <v>0</v>
      </c>
      <c r="N136" s="13">
        <f t="shared" si="16"/>
        <v>2</v>
      </c>
      <c r="O136" s="13" t="str">
        <f t="shared" si="17"/>
        <v>ЭТАЖ ЗАДАН ЧИСЛОМ</v>
      </c>
      <c r="P136" s="13" t="str">
        <f t="shared" si="18"/>
        <v>ЭТАЖ ЗАДАН ЧИСЛОМ</v>
      </c>
      <c r="Q136" s="13" t="str">
        <f t="shared" si="19"/>
        <v>ГОТОВ_ИЗМЕНЕН</v>
      </c>
      <c r="R136" s="13">
        <f>IFERROR(VLOOKUP(P136,Лист1!A$1:B$20,2,FALSE),0)</f>
        <v>784</v>
      </c>
      <c r="S136" s="13">
        <f t="shared" si="20"/>
        <v>0</v>
      </c>
    </row>
    <row r="137" spans="1:19" x14ac:dyDescent="0.25">
      <c r="A137" s="24" t="s">
        <v>1225</v>
      </c>
      <c r="B137" s="4" t="s">
        <v>1059</v>
      </c>
      <c r="C137" s="25" t="s">
        <v>8</v>
      </c>
      <c r="G137" s="25" t="s">
        <v>1174</v>
      </c>
      <c r="H137" s="24" t="s">
        <v>1061</v>
      </c>
      <c r="I137" s="3" t="str">
        <f>IFERROR(VLOOKUP(C137,'Справочник соответствий'!A$2:D$2981,2,FALSE),IF(VALUE(C137)=0,1,VLOOKUP(C137,'Справочник соответствий'!A$2:D$2981,2,FALSE)))</f>
        <v>3</v>
      </c>
      <c r="J137" s="3">
        <f>IFERROR(VLOOKUP(D137,'Справочник соответствий'!A$2:D$2981,2,FALSE),IF(VALUE(D137)=0,0,VLOOKUP(D137,'Справочник соответствий'!A$2:D$2981,2,FALSE)))</f>
        <v>0</v>
      </c>
      <c r="K137" s="3" t="str">
        <f t="shared" si="14"/>
        <v>3</v>
      </c>
      <c r="L137" s="13" t="str">
        <f>IFERROR(VLOOKUP(C137,'Справочник соответствий'!A$2:D$2981,3,FALSE),IF(VALUE(C137)=0,"ЭТАЖ НЕ ОПРЕДЕЛЕН. ПРИНЯТ ПО ДОПУЩЕНИЮ 1",VLOOKUP(C137,'Справочник соответствий'!A$2:D$2981,3,FALSE)))</f>
        <v>ЭТАЖ ЗАДАН ЧИСЛОМ</v>
      </c>
      <c r="M137" s="13" t="b">
        <f t="shared" si="15"/>
        <v>0</v>
      </c>
      <c r="N137" s="13">
        <f t="shared" si="16"/>
        <v>3</v>
      </c>
      <c r="O137" s="13" t="str">
        <f t="shared" si="17"/>
        <v>ЭТАЖ ЗАДАН ЧИСЛОМ</v>
      </c>
      <c r="P137" s="13" t="str">
        <f t="shared" si="18"/>
        <v>ЭТАЖ ЗАДАН ЧИСЛОМ</v>
      </c>
      <c r="Q137" s="13" t="str">
        <f t="shared" si="19"/>
        <v>ГОТОВ_ИЗМЕНЕН</v>
      </c>
      <c r="R137" s="13">
        <f>IFERROR(VLOOKUP(P137,Лист1!A$1:B$20,2,FALSE),0)</f>
        <v>784</v>
      </c>
      <c r="S137" s="13">
        <f t="shared" si="20"/>
        <v>0</v>
      </c>
    </row>
    <row r="138" spans="1:19" x14ac:dyDescent="0.25">
      <c r="A138" s="24" t="s">
        <v>1226</v>
      </c>
      <c r="B138" s="4" t="s">
        <v>1063</v>
      </c>
      <c r="C138" s="25" t="s">
        <v>5</v>
      </c>
      <c r="G138" s="25" t="s">
        <v>1224</v>
      </c>
      <c r="H138" s="24" t="s">
        <v>1061</v>
      </c>
      <c r="I138" s="3" t="str">
        <f>IFERROR(VLOOKUP(C138,'Справочник соответствий'!A$2:D$2981,2,FALSE),IF(VALUE(C138)=0,1,VLOOKUP(C138,'Справочник соответствий'!A$2:D$2981,2,FALSE)))</f>
        <v>1</v>
      </c>
      <c r="J138" s="3">
        <f>IFERROR(VLOOKUP(D138,'Справочник соответствий'!A$2:D$2981,2,FALSE),IF(VALUE(D138)=0,0,VLOOKUP(D138,'Справочник соответствий'!A$2:D$2981,2,FALSE)))</f>
        <v>0</v>
      </c>
      <c r="K138" s="3" t="str">
        <f t="shared" si="14"/>
        <v>1</v>
      </c>
      <c r="L138" s="13" t="str">
        <f>IFERROR(VLOOKUP(C138,'Справочник соответствий'!A$2:D$2981,3,FALSE),IF(VALUE(C138)=0,"ЭТАЖ НЕ ОПРЕДЕЛЕН. ПРИНЯТ ПО ДОПУЩЕНИЮ 1",VLOOKUP(C138,'Справочник соответствий'!A$2:D$2981,3,FALSE)))</f>
        <v>ЭТАЖ ЗАДАН ЧИСЛОМ</v>
      </c>
      <c r="M138" s="13" t="b">
        <f t="shared" si="15"/>
        <v>0</v>
      </c>
      <c r="N138" s="13">
        <f t="shared" si="16"/>
        <v>1</v>
      </c>
      <c r="O138" s="13" t="str">
        <f t="shared" si="17"/>
        <v>ЭТАЖ ЗАДАН ЧИСЛОМ</v>
      </c>
      <c r="P138" s="13" t="str">
        <f t="shared" si="18"/>
        <v>ЭТАЖ ЗАДАН ЧИСЛОМ</v>
      </c>
      <c r="Q138" s="13" t="str">
        <f t="shared" si="19"/>
        <v>ГОТОВ_ИЗМЕНЕН</v>
      </c>
      <c r="R138" s="13">
        <f>IFERROR(VLOOKUP(P138,Лист1!A$1:B$20,2,FALSE),0)</f>
        <v>784</v>
      </c>
      <c r="S138" s="13">
        <f t="shared" si="20"/>
        <v>0</v>
      </c>
    </row>
    <row r="139" spans="1:19" x14ac:dyDescent="0.25">
      <c r="A139" s="24" t="s">
        <v>1227</v>
      </c>
      <c r="B139" s="4" t="s">
        <v>1063</v>
      </c>
      <c r="C139" s="25" t="s">
        <v>7</v>
      </c>
      <c r="D139" s="25" t="s">
        <v>5</v>
      </c>
      <c r="G139" s="25" t="s">
        <v>1228</v>
      </c>
      <c r="H139" s="24" t="s">
        <v>1061</v>
      </c>
      <c r="I139" s="3" t="str">
        <f>IFERROR(VLOOKUP(C139,'Справочник соответствий'!A$2:D$2981,2,FALSE),IF(VALUE(C139)=0,1,VLOOKUP(C139,'Справочник соответствий'!A$2:D$2981,2,FALSE)))</f>
        <v>2</v>
      </c>
      <c r="J139" s="3" t="str">
        <f>IFERROR(VLOOKUP(D139,'Справочник соответствий'!A$2:D$2981,2,FALSE),IF(VALUE(D139)=0,0,VLOOKUP(D139,'Справочник соответствий'!A$2:D$2981,2,FALSE)))</f>
        <v>1</v>
      </c>
      <c r="K139" s="3" t="str">
        <f t="shared" si="14"/>
        <v>2</v>
      </c>
      <c r="L139" s="13" t="str">
        <f>IFERROR(VLOOKUP(C139,'Справочник соответствий'!A$2:D$2981,3,FALSE),IF(VALUE(C139)=0,"ЭТАЖ НЕ ОПРЕДЕЛЕН. ПРИНЯТ ПО ДОПУЩЕНИЮ 1",VLOOKUP(C139,'Справочник соответствий'!A$2:D$2981,3,FALSE)))</f>
        <v>ЭТАЖ ЗАДАН ЧИСЛОМ</v>
      </c>
      <c r="M139" s="13" t="b">
        <f t="shared" si="15"/>
        <v>0</v>
      </c>
      <c r="N139" s="13">
        <f t="shared" si="16"/>
        <v>2</v>
      </c>
      <c r="O139" s="13" t="str">
        <f t="shared" si="17"/>
        <v>ЭТАЖ ЗАДАН ЧИСЛОМ</v>
      </c>
      <c r="P139" s="13" t="str">
        <f t="shared" si="18"/>
        <v>ЭТАЖ ЗАДАН ЧИСЛОМ</v>
      </c>
      <c r="Q139" s="13" t="str">
        <f t="shared" si="19"/>
        <v>ГОТОВ_ИЗМЕНЕН</v>
      </c>
      <c r="R139" s="13">
        <f>IFERROR(VLOOKUP(P139,Лист1!A$1:B$20,2,FALSE),0)</f>
        <v>784</v>
      </c>
      <c r="S139" s="13">
        <f t="shared" si="20"/>
        <v>0</v>
      </c>
    </row>
    <row r="140" spans="1:19" x14ac:dyDescent="0.25">
      <c r="A140" s="24" t="s">
        <v>1229</v>
      </c>
      <c r="B140" s="4" t="s">
        <v>1059</v>
      </c>
      <c r="C140" s="25" t="s">
        <v>5</v>
      </c>
      <c r="G140" s="25" t="s">
        <v>1230</v>
      </c>
      <c r="H140" s="24" t="s">
        <v>1061</v>
      </c>
      <c r="I140" s="3" t="str">
        <f>IFERROR(VLOOKUP(C140,'Справочник соответствий'!A$2:D$2981,2,FALSE),IF(VALUE(C140)=0,1,VLOOKUP(C140,'Справочник соответствий'!A$2:D$2981,2,FALSE)))</f>
        <v>1</v>
      </c>
      <c r="J140" s="3">
        <f>IFERROR(VLOOKUP(D140,'Справочник соответствий'!A$2:D$2981,2,FALSE),IF(VALUE(D140)=0,0,VLOOKUP(D140,'Справочник соответствий'!A$2:D$2981,2,FALSE)))</f>
        <v>0</v>
      </c>
      <c r="K140" s="3" t="str">
        <f t="shared" si="14"/>
        <v>1</v>
      </c>
      <c r="L140" s="13" t="str">
        <f>IFERROR(VLOOKUP(C140,'Справочник соответствий'!A$2:D$2981,3,FALSE),IF(VALUE(C140)=0,"ЭТАЖ НЕ ОПРЕДЕЛЕН. ПРИНЯТ ПО ДОПУЩЕНИЮ 1",VLOOKUP(C140,'Справочник соответствий'!A$2:D$2981,3,FALSE)))</f>
        <v>ЭТАЖ ЗАДАН ЧИСЛОМ</v>
      </c>
      <c r="M140" s="13" t="b">
        <f t="shared" si="15"/>
        <v>0</v>
      </c>
      <c r="N140" s="13">
        <f t="shared" si="16"/>
        <v>1</v>
      </c>
      <c r="O140" s="13" t="str">
        <f t="shared" si="17"/>
        <v>ЭТАЖ ЗАДАН ЧИСЛОМ</v>
      </c>
      <c r="P140" s="13" t="str">
        <f t="shared" si="18"/>
        <v>ЭТАЖ ЗАДАН ЧИСЛОМ</v>
      </c>
      <c r="Q140" s="13" t="str">
        <f t="shared" si="19"/>
        <v>ГОТОВ_ИЗМЕНЕН</v>
      </c>
      <c r="R140" s="13">
        <f>IFERROR(VLOOKUP(P140,Лист1!A$1:B$20,2,FALSE),0)</f>
        <v>784</v>
      </c>
      <c r="S140" s="13">
        <f t="shared" si="20"/>
        <v>0</v>
      </c>
    </row>
    <row r="141" spans="1:19" x14ac:dyDescent="0.25">
      <c r="A141" s="24" t="s">
        <v>1231</v>
      </c>
      <c r="B141" s="4" t="s">
        <v>1063</v>
      </c>
      <c r="C141" s="25" t="s">
        <v>7</v>
      </c>
      <c r="D141" s="25" t="s">
        <v>5</v>
      </c>
      <c r="G141" s="25" t="s">
        <v>1230</v>
      </c>
      <c r="H141" s="24" t="s">
        <v>1061</v>
      </c>
      <c r="I141" s="3" t="str">
        <f>IFERROR(VLOOKUP(C141,'Справочник соответствий'!A$2:D$2981,2,FALSE),IF(VALUE(C141)=0,1,VLOOKUP(C141,'Справочник соответствий'!A$2:D$2981,2,FALSE)))</f>
        <v>2</v>
      </c>
      <c r="J141" s="3" t="str">
        <f>IFERROR(VLOOKUP(D141,'Справочник соответствий'!A$2:D$2981,2,FALSE),IF(VALUE(D141)=0,0,VLOOKUP(D141,'Справочник соответствий'!A$2:D$2981,2,FALSE)))</f>
        <v>1</v>
      </c>
      <c r="K141" s="3" t="str">
        <f t="shared" si="14"/>
        <v>2</v>
      </c>
      <c r="L141" s="13" t="str">
        <f>IFERROR(VLOOKUP(C141,'Справочник соответствий'!A$2:D$2981,3,FALSE),IF(VALUE(C141)=0,"ЭТАЖ НЕ ОПРЕДЕЛЕН. ПРИНЯТ ПО ДОПУЩЕНИЮ 1",VLOOKUP(C141,'Справочник соответствий'!A$2:D$2981,3,FALSE)))</f>
        <v>ЭТАЖ ЗАДАН ЧИСЛОМ</v>
      </c>
      <c r="M141" s="13" t="b">
        <f t="shared" si="15"/>
        <v>0</v>
      </c>
      <c r="N141" s="13">
        <f t="shared" si="16"/>
        <v>2</v>
      </c>
      <c r="O141" s="13" t="str">
        <f t="shared" si="17"/>
        <v>ЭТАЖ ЗАДАН ЧИСЛОМ</v>
      </c>
      <c r="P141" s="13" t="str">
        <f t="shared" si="18"/>
        <v>ЭТАЖ ЗАДАН ЧИСЛОМ</v>
      </c>
      <c r="Q141" s="13" t="str">
        <f t="shared" si="19"/>
        <v>ГОТОВ_ИЗМЕНЕН</v>
      </c>
      <c r="R141" s="13">
        <f>IFERROR(VLOOKUP(P141,Лист1!A$1:B$20,2,FALSE),0)</f>
        <v>784</v>
      </c>
      <c r="S141" s="13">
        <f t="shared" si="20"/>
        <v>0</v>
      </c>
    </row>
    <row r="142" spans="1:19" x14ac:dyDescent="0.25">
      <c r="A142" s="24" t="s">
        <v>1232</v>
      </c>
      <c r="B142" s="4" t="s">
        <v>1059</v>
      </c>
      <c r="C142" s="25" t="s">
        <v>5</v>
      </c>
      <c r="G142" s="25" t="s">
        <v>1228</v>
      </c>
      <c r="H142" s="24" t="s">
        <v>1061</v>
      </c>
      <c r="I142" s="3" t="str">
        <f>IFERROR(VLOOKUP(C142,'Справочник соответствий'!A$2:D$2981,2,FALSE),IF(VALUE(C142)=0,1,VLOOKUP(C142,'Справочник соответствий'!A$2:D$2981,2,FALSE)))</f>
        <v>1</v>
      </c>
      <c r="J142" s="3">
        <f>IFERROR(VLOOKUP(D142,'Справочник соответствий'!A$2:D$2981,2,FALSE),IF(VALUE(D142)=0,0,VLOOKUP(D142,'Справочник соответствий'!A$2:D$2981,2,FALSE)))</f>
        <v>0</v>
      </c>
      <c r="K142" s="3" t="str">
        <f t="shared" si="14"/>
        <v>1</v>
      </c>
      <c r="L142" s="13" t="str">
        <f>IFERROR(VLOOKUP(C142,'Справочник соответствий'!A$2:D$2981,3,FALSE),IF(VALUE(C142)=0,"ЭТАЖ НЕ ОПРЕДЕЛЕН. ПРИНЯТ ПО ДОПУЩЕНИЮ 1",VLOOKUP(C142,'Справочник соответствий'!A$2:D$2981,3,FALSE)))</f>
        <v>ЭТАЖ ЗАДАН ЧИСЛОМ</v>
      </c>
      <c r="M142" s="13" t="b">
        <f t="shared" si="15"/>
        <v>0</v>
      </c>
      <c r="N142" s="13">
        <f t="shared" si="16"/>
        <v>1</v>
      </c>
      <c r="O142" s="13" t="str">
        <f t="shared" si="17"/>
        <v>ЭТАЖ ЗАДАН ЧИСЛОМ</v>
      </c>
      <c r="P142" s="13" t="str">
        <f t="shared" si="18"/>
        <v>ЭТАЖ ЗАДАН ЧИСЛОМ</v>
      </c>
      <c r="Q142" s="13" t="str">
        <f t="shared" si="19"/>
        <v>ГОТОВ_ИЗМЕНЕН</v>
      </c>
      <c r="R142" s="13">
        <f>IFERROR(VLOOKUP(P142,Лист1!A$1:B$20,2,FALSE),0)</f>
        <v>784</v>
      </c>
      <c r="S142" s="13">
        <f t="shared" si="20"/>
        <v>0</v>
      </c>
    </row>
    <row r="143" spans="1:19" x14ac:dyDescent="0.25">
      <c r="A143" s="24" t="s">
        <v>1233</v>
      </c>
      <c r="B143" s="4" t="s">
        <v>1063</v>
      </c>
      <c r="C143" s="25" t="s">
        <v>5</v>
      </c>
      <c r="G143" s="25" t="s">
        <v>1230</v>
      </c>
      <c r="H143" s="24" t="s">
        <v>1061</v>
      </c>
      <c r="I143" s="3" t="str">
        <f>IFERROR(VLOOKUP(C143,'Справочник соответствий'!A$2:D$2981,2,FALSE),IF(VALUE(C143)=0,1,VLOOKUP(C143,'Справочник соответствий'!A$2:D$2981,2,FALSE)))</f>
        <v>1</v>
      </c>
      <c r="J143" s="3">
        <f>IFERROR(VLOOKUP(D143,'Справочник соответствий'!A$2:D$2981,2,FALSE),IF(VALUE(D143)=0,0,VLOOKUP(D143,'Справочник соответствий'!A$2:D$2981,2,FALSE)))</f>
        <v>0</v>
      </c>
      <c r="K143" s="3" t="str">
        <f t="shared" si="14"/>
        <v>1</v>
      </c>
      <c r="L143" s="13" t="str">
        <f>IFERROR(VLOOKUP(C143,'Справочник соответствий'!A$2:D$2981,3,FALSE),IF(VALUE(C143)=0,"ЭТАЖ НЕ ОПРЕДЕЛЕН. ПРИНЯТ ПО ДОПУЩЕНИЮ 1",VLOOKUP(C143,'Справочник соответствий'!A$2:D$2981,3,FALSE)))</f>
        <v>ЭТАЖ ЗАДАН ЧИСЛОМ</v>
      </c>
      <c r="M143" s="13" t="b">
        <f t="shared" si="15"/>
        <v>0</v>
      </c>
      <c r="N143" s="13">
        <f t="shared" si="16"/>
        <v>1</v>
      </c>
      <c r="O143" s="13" t="str">
        <f t="shared" si="17"/>
        <v>ЭТАЖ ЗАДАН ЧИСЛОМ</v>
      </c>
      <c r="P143" s="13" t="str">
        <f t="shared" si="18"/>
        <v>ЭТАЖ ЗАДАН ЧИСЛОМ</v>
      </c>
      <c r="Q143" s="13" t="str">
        <f t="shared" si="19"/>
        <v>ГОТОВ_ИЗМЕНЕН</v>
      </c>
      <c r="R143" s="13">
        <f>IFERROR(VLOOKUP(P143,Лист1!A$1:B$20,2,FALSE),0)</f>
        <v>784</v>
      </c>
      <c r="S143" s="13">
        <f t="shared" si="20"/>
        <v>0</v>
      </c>
    </row>
    <row r="144" spans="1:19" x14ac:dyDescent="0.25">
      <c r="A144" s="24" t="s">
        <v>1234</v>
      </c>
      <c r="B144" s="4" t="s">
        <v>1059</v>
      </c>
      <c r="C144" s="25" t="s">
        <v>5</v>
      </c>
      <c r="G144" s="25" t="s">
        <v>1193</v>
      </c>
      <c r="H144" s="24" t="s">
        <v>1061</v>
      </c>
      <c r="I144" s="3" t="str">
        <f>IFERROR(VLOOKUP(C144,'Справочник соответствий'!A$2:D$2981,2,FALSE),IF(VALUE(C144)=0,1,VLOOKUP(C144,'Справочник соответствий'!A$2:D$2981,2,FALSE)))</f>
        <v>1</v>
      </c>
      <c r="J144" s="3">
        <f>IFERROR(VLOOKUP(D144,'Справочник соответствий'!A$2:D$2981,2,FALSE),IF(VALUE(D144)=0,0,VLOOKUP(D144,'Справочник соответствий'!A$2:D$2981,2,FALSE)))</f>
        <v>0</v>
      </c>
      <c r="K144" s="3" t="str">
        <f t="shared" si="14"/>
        <v>1</v>
      </c>
      <c r="L144" s="13" t="str">
        <f>IFERROR(VLOOKUP(C144,'Справочник соответствий'!A$2:D$2981,3,FALSE),IF(VALUE(C144)=0,"ЭТАЖ НЕ ОПРЕДЕЛЕН. ПРИНЯТ ПО ДОПУЩЕНИЮ 1",VLOOKUP(C144,'Справочник соответствий'!A$2:D$2981,3,FALSE)))</f>
        <v>ЭТАЖ ЗАДАН ЧИСЛОМ</v>
      </c>
      <c r="M144" s="13" t="b">
        <f t="shared" si="15"/>
        <v>0</v>
      </c>
      <c r="N144" s="13">
        <f t="shared" si="16"/>
        <v>1</v>
      </c>
      <c r="O144" s="13" t="str">
        <f t="shared" si="17"/>
        <v>ЭТАЖ ЗАДАН ЧИСЛОМ</v>
      </c>
      <c r="P144" s="13" t="str">
        <f t="shared" si="18"/>
        <v>ЭТАЖ ЗАДАН ЧИСЛОМ</v>
      </c>
      <c r="Q144" s="13" t="str">
        <f t="shared" si="19"/>
        <v>ГОТОВ_ИЗМЕНЕН</v>
      </c>
      <c r="R144" s="13">
        <f>IFERROR(VLOOKUP(P144,Лист1!A$1:B$20,2,FALSE),0)</f>
        <v>784</v>
      </c>
      <c r="S144" s="13">
        <f t="shared" si="20"/>
        <v>0</v>
      </c>
    </row>
    <row r="145" spans="1:19" x14ac:dyDescent="0.25">
      <c r="A145" s="24" t="s">
        <v>1235</v>
      </c>
      <c r="B145" s="4" t="s">
        <v>1059</v>
      </c>
      <c r="C145" s="25" t="s">
        <v>7</v>
      </c>
      <c r="G145" s="25" t="s">
        <v>1230</v>
      </c>
      <c r="H145" s="24" t="s">
        <v>1061</v>
      </c>
      <c r="I145" s="3" t="str">
        <f>IFERROR(VLOOKUP(C145,'Справочник соответствий'!A$2:D$2981,2,FALSE),IF(VALUE(C145)=0,1,VLOOKUP(C145,'Справочник соответствий'!A$2:D$2981,2,FALSE)))</f>
        <v>2</v>
      </c>
      <c r="J145" s="3">
        <f>IFERROR(VLOOKUP(D145,'Справочник соответствий'!A$2:D$2981,2,FALSE),IF(VALUE(D145)=0,0,VLOOKUP(D145,'Справочник соответствий'!A$2:D$2981,2,FALSE)))</f>
        <v>0</v>
      </c>
      <c r="K145" s="3" t="str">
        <f t="shared" si="14"/>
        <v>2</v>
      </c>
      <c r="L145" s="13" t="str">
        <f>IFERROR(VLOOKUP(C145,'Справочник соответствий'!A$2:D$2981,3,FALSE),IF(VALUE(C145)=0,"ЭТАЖ НЕ ОПРЕДЕЛЕН. ПРИНЯТ ПО ДОПУЩЕНИЮ 1",VLOOKUP(C145,'Справочник соответствий'!A$2:D$2981,3,FALSE)))</f>
        <v>ЭТАЖ ЗАДАН ЧИСЛОМ</v>
      </c>
      <c r="M145" s="13" t="b">
        <f t="shared" si="15"/>
        <v>0</v>
      </c>
      <c r="N145" s="13">
        <f t="shared" si="16"/>
        <v>2</v>
      </c>
      <c r="O145" s="13" t="str">
        <f t="shared" si="17"/>
        <v>ЭТАЖ ЗАДАН ЧИСЛОМ</v>
      </c>
      <c r="P145" s="13" t="str">
        <f t="shared" si="18"/>
        <v>ЭТАЖ ЗАДАН ЧИСЛОМ</v>
      </c>
      <c r="Q145" s="13" t="str">
        <f t="shared" si="19"/>
        <v>ГОТОВ_ИЗМЕНЕН</v>
      </c>
      <c r="R145" s="13">
        <f>IFERROR(VLOOKUP(P145,Лист1!A$1:B$20,2,FALSE),0)</f>
        <v>784</v>
      </c>
      <c r="S145" s="13">
        <f t="shared" si="20"/>
        <v>0</v>
      </c>
    </row>
    <row r="146" spans="1:19" x14ac:dyDescent="0.25">
      <c r="A146" s="24" t="s">
        <v>1236</v>
      </c>
      <c r="B146" s="4" t="s">
        <v>1063</v>
      </c>
      <c r="C146" s="25" t="s">
        <v>5</v>
      </c>
      <c r="G146" s="25" t="s">
        <v>1230</v>
      </c>
      <c r="H146" s="24" t="s">
        <v>1061</v>
      </c>
      <c r="I146" s="3" t="str">
        <f>IFERROR(VLOOKUP(C146,'Справочник соответствий'!A$2:D$2981,2,FALSE),IF(VALUE(C146)=0,1,VLOOKUP(C146,'Справочник соответствий'!A$2:D$2981,2,FALSE)))</f>
        <v>1</v>
      </c>
      <c r="J146" s="3">
        <f>IFERROR(VLOOKUP(D146,'Справочник соответствий'!A$2:D$2981,2,FALSE),IF(VALUE(D146)=0,0,VLOOKUP(D146,'Справочник соответствий'!A$2:D$2981,2,FALSE)))</f>
        <v>0</v>
      </c>
      <c r="K146" s="3" t="str">
        <f t="shared" si="14"/>
        <v>1</v>
      </c>
      <c r="L146" s="13" t="str">
        <f>IFERROR(VLOOKUP(C146,'Справочник соответствий'!A$2:D$2981,3,FALSE),IF(VALUE(C146)=0,"ЭТАЖ НЕ ОПРЕДЕЛЕН. ПРИНЯТ ПО ДОПУЩЕНИЮ 1",VLOOKUP(C146,'Справочник соответствий'!A$2:D$2981,3,FALSE)))</f>
        <v>ЭТАЖ ЗАДАН ЧИСЛОМ</v>
      </c>
      <c r="M146" s="13" t="b">
        <f t="shared" si="15"/>
        <v>0</v>
      </c>
      <c r="N146" s="13">
        <f t="shared" si="16"/>
        <v>1</v>
      </c>
      <c r="O146" s="13" t="str">
        <f t="shared" si="17"/>
        <v>ЭТАЖ ЗАДАН ЧИСЛОМ</v>
      </c>
      <c r="P146" s="13" t="str">
        <f t="shared" si="18"/>
        <v>ЭТАЖ ЗАДАН ЧИСЛОМ</v>
      </c>
      <c r="Q146" s="13" t="str">
        <f t="shared" si="19"/>
        <v>ГОТОВ_ИЗМЕНЕН</v>
      </c>
      <c r="R146" s="13">
        <f>IFERROR(VLOOKUP(P146,Лист1!A$1:B$20,2,FALSE),0)</f>
        <v>784</v>
      </c>
      <c r="S146" s="13">
        <f t="shared" si="20"/>
        <v>0</v>
      </c>
    </row>
    <row r="147" spans="1:19" x14ac:dyDescent="0.25">
      <c r="A147" s="24" t="s">
        <v>1237</v>
      </c>
      <c r="B147" s="4" t="s">
        <v>1063</v>
      </c>
      <c r="C147" s="25" t="s">
        <v>5</v>
      </c>
      <c r="G147" s="25" t="s">
        <v>1230</v>
      </c>
      <c r="H147" s="24" t="s">
        <v>1061</v>
      </c>
      <c r="I147" s="3" t="str">
        <f>IFERROR(VLOOKUP(C147,'Справочник соответствий'!A$2:D$2981,2,FALSE),IF(VALUE(C147)=0,1,VLOOKUP(C147,'Справочник соответствий'!A$2:D$2981,2,FALSE)))</f>
        <v>1</v>
      </c>
      <c r="J147" s="3">
        <f>IFERROR(VLOOKUP(D147,'Справочник соответствий'!A$2:D$2981,2,FALSE),IF(VALUE(D147)=0,0,VLOOKUP(D147,'Справочник соответствий'!A$2:D$2981,2,FALSE)))</f>
        <v>0</v>
      </c>
      <c r="K147" s="3" t="str">
        <f t="shared" si="14"/>
        <v>1</v>
      </c>
      <c r="L147" s="13" t="str">
        <f>IFERROR(VLOOKUP(C147,'Справочник соответствий'!A$2:D$2981,3,FALSE),IF(VALUE(C147)=0,"ЭТАЖ НЕ ОПРЕДЕЛЕН. ПРИНЯТ ПО ДОПУЩЕНИЮ 1",VLOOKUP(C147,'Справочник соответствий'!A$2:D$2981,3,FALSE)))</f>
        <v>ЭТАЖ ЗАДАН ЧИСЛОМ</v>
      </c>
      <c r="M147" s="13" t="b">
        <f t="shared" si="15"/>
        <v>0</v>
      </c>
      <c r="N147" s="13">
        <f t="shared" si="16"/>
        <v>1</v>
      </c>
      <c r="O147" s="13" t="str">
        <f t="shared" si="17"/>
        <v>ЭТАЖ ЗАДАН ЧИСЛОМ</v>
      </c>
      <c r="P147" s="13" t="str">
        <f t="shared" si="18"/>
        <v>ЭТАЖ ЗАДАН ЧИСЛОМ</v>
      </c>
      <c r="Q147" s="13" t="str">
        <f t="shared" si="19"/>
        <v>ГОТОВ_ИЗМЕНЕН</v>
      </c>
      <c r="R147" s="13">
        <f>IFERROR(VLOOKUP(P147,Лист1!A$1:B$20,2,FALSE),0)</f>
        <v>784</v>
      </c>
      <c r="S147" s="13">
        <f t="shared" si="20"/>
        <v>0</v>
      </c>
    </row>
    <row r="148" spans="1:19" x14ac:dyDescent="0.25">
      <c r="A148" s="24" t="s">
        <v>1238</v>
      </c>
      <c r="B148" s="4" t="s">
        <v>1059</v>
      </c>
      <c r="C148" s="25" t="s">
        <v>7</v>
      </c>
      <c r="G148" s="25" t="s">
        <v>1230</v>
      </c>
      <c r="H148" s="24" t="s">
        <v>1061</v>
      </c>
      <c r="I148" s="3" t="str">
        <f>IFERROR(VLOOKUP(C148,'Справочник соответствий'!A$2:D$2981,2,FALSE),IF(VALUE(C148)=0,1,VLOOKUP(C148,'Справочник соответствий'!A$2:D$2981,2,FALSE)))</f>
        <v>2</v>
      </c>
      <c r="J148" s="3">
        <f>IFERROR(VLOOKUP(D148,'Справочник соответствий'!A$2:D$2981,2,FALSE),IF(VALUE(D148)=0,0,VLOOKUP(D148,'Справочник соответствий'!A$2:D$2981,2,FALSE)))</f>
        <v>0</v>
      </c>
      <c r="K148" s="3" t="str">
        <f t="shared" si="14"/>
        <v>2</v>
      </c>
      <c r="L148" s="13" t="str">
        <f>IFERROR(VLOOKUP(C148,'Справочник соответствий'!A$2:D$2981,3,FALSE),IF(VALUE(C148)=0,"ЭТАЖ НЕ ОПРЕДЕЛЕН. ПРИНЯТ ПО ДОПУЩЕНИЮ 1",VLOOKUP(C148,'Справочник соответствий'!A$2:D$2981,3,FALSE)))</f>
        <v>ЭТАЖ ЗАДАН ЧИСЛОМ</v>
      </c>
      <c r="M148" s="13" t="b">
        <f t="shared" si="15"/>
        <v>0</v>
      </c>
      <c r="N148" s="13">
        <f t="shared" si="16"/>
        <v>2</v>
      </c>
      <c r="O148" s="13" t="str">
        <f t="shared" si="17"/>
        <v>ЭТАЖ ЗАДАН ЧИСЛОМ</v>
      </c>
      <c r="P148" s="13" t="str">
        <f t="shared" si="18"/>
        <v>ЭТАЖ ЗАДАН ЧИСЛОМ</v>
      </c>
      <c r="Q148" s="13" t="str">
        <f t="shared" si="19"/>
        <v>ГОТОВ_ИЗМЕНЕН</v>
      </c>
      <c r="R148" s="13">
        <f>IFERROR(VLOOKUP(P148,Лист1!A$1:B$20,2,FALSE),0)</f>
        <v>784</v>
      </c>
      <c r="S148" s="13">
        <f t="shared" si="20"/>
        <v>0</v>
      </c>
    </row>
    <row r="149" spans="1:19" x14ac:dyDescent="0.25">
      <c r="A149" s="24" t="s">
        <v>1239</v>
      </c>
      <c r="B149" s="4" t="s">
        <v>1059</v>
      </c>
      <c r="C149" s="25" t="s">
        <v>5</v>
      </c>
      <c r="G149" s="25" t="s">
        <v>1106</v>
      </c>
      <c r="H149" s="24" t="s">
        <v>1061</v>
      </c>
      <c r="I149" s="3" t="str">
        <f>IFERROR(VLOOKUP(C149,'Справочник соответствий'!A$2:D$2981,2,FALSE),IF(VALUE(C149)=0,1,VLOOKUP(C149,'Справочник соответствий'!A$2:D$2981,2,FALSE)))</f>
        <v>1</v>
      </c>
      <c r="J149" s="3">
        <f>IFERROR(VLOOKUP(D149,'Справочник соответствий'!A$2:D$2981,2,FALSE),IF(VALUE(D149)=0,0,VLOOKUP(D149,'Справочник соответствий'!A$2:D$2981,2,FALSE)))</f>
        <v>0</v>
      </c>
      <c r="K149" s="3" t="str">
        <f t="shared" si="14"/>
        <v>1</v>
      </c>
      <c r="L149" s="13" t="str">
        <f>IFERROR(VLOOKUP(C149,'Справочник соответствий'!A$2:D$2981,3,FALSE),IF(VALUE(C149)=0,"ЭТАЖ НЕ ОПРЕДЕЛЕН. ПРИНЯТ ПО ДОПУЩЕНИЮ 1",VLOOKUP(C149,'Справочник соответствий'!A$2:D$2981,3,FALSE)))</f>
        <v>ЭТАЖ ЗАДАН ЧИСЛОМ</v>
      </c>
      <c r="M149" s="13" t="b">
        <f t="shared" si="15"/>
        <v>0</v>
      </c>
      <c r="N149" s="13">
        <f t="shared" si="16"/>
        <v>1</v>
      </c>
      <c r="O149" s="13" t="str">
        <f t="shared" si="17"/>
        <v>ЭТАЖ ЗАДАН ЧИСЛОМ</v>
      </c>
      <c r="P149" s="13" t="str">
        <f t="shared" si="18"/>
        <v>ЭТАЖ ЗАДАН ЧИСЛОМ</v>
      </c>
      <c r="Q149" s="13" t="str">
        <f t="shared" si="19"/>
        <v>ГОТОВ_ИЗМЕНЕН</v>
      </c>
      <c r="R149" s="13">
        <f>IFERROR(VLOOKUP(P149,Лист1!A$1:B$20,2,FALSE),0)</f>
        <v>784</v>
      </c>
      <c r="S149" s="13">
        <f t="shared" si="20"/>
        <v>0</v>
      </c>
    </row>
    <row r="150" spans="1:19" x14ac:dyDescent="0.25">
      <c r="A150" s="24" t="s">
        <v>1240</v>
      </c>
      <c r="B150" s="4" t="s">
        <v>1059</v>
      </c>
      <c r="C150" s="25" t="s">
        <v>5</v>
      </c>
      <c r="G150" s="25" t="s">
        <v>1067</v>
      </c>
      <c r="H150" s="24" t="s">
        <v>1061</v>
      </c>
      <c r="I150" s="3" t="str">
        <f>IFERROR(VLOOKUP(C150,'Справочник соответствий'!A$2:D$2981,2,FALSE),IF(VALUE(C150)=0,1,VLOOKUP(C150,'Справочник соответствий'!A$2:D$2981,2,FALSE)))</f>
        <v>1</v>
      </c>
      <c r="J150" s="3">
        <f>IFERROR(VLOOKUP(D150,'Справочник соответствий'!A$2:D$2981,2,FALSE),IF(VALUE(D150)=0,0,VLOOKUP(D150,'Справочник соответствий'!A$2:D$2981,2,FALSE)))</f>
        <v>0</v>
      </c>
      <c r="K150" s="3" t="str">
        <f t="shared" si="14"/>
        <v>1</v>
      </c>
      <c r="L150" s="13" t="str">
        <f>IFERROR(VLOOKUP(C150,'Справочник соответствий'!A$2:D$2981,3,FALSE),IF(VALUE(C150)=0,"ЭТАЖ НЕ ОПРЕДЕЛЕН. ПРИНЯТ ПО ДОПУЩЕНИЮ 1",VLOOKUP(C150,'Справочник соответствий'!A$2:D$2981,3,FALSE)))</f>
        <v>ЭТАЖ ЗАДАН ЧИСЛОМ</v>
      </c>
      <c r="M150" s="13" t="b">
        <f t="shared" si="15"/>
        <v>0</v>
      </c>
      <c r="N150" s="13">
        <f t="shared" si="16"/>
        <v>1</v>
      </c>
      <c r="O150" s="13" t="str">
        <f t="shared" si="17"/>
        <v>ЭТАЖ ЗАДАН ЧИСЛОМ</v>
      </c>
      <c r="P150" s="13" t="str">
        <f t="shared" si="18"/>
        <v>ЭТАЖ ЗАДАН ЧИСЛОМ</v>
      </c>
      <c r="Q150" s="13" t="str">
        <f t="shared" si="19"/>
        <v>ГОТОВ_ИЗМЕНЕН</v>
      </c>
      <c r="R150" s="13">
        <f>IFERROR(VLOOKUP(P150,Лист1!A$1:B$20,2,FALSE),0)</f>
        <v>784</v>
      </c>
      <c r="S150" s="13">
        <f t="shared" si="20"/>
        <v>0</v>
      </c>
    </row>
    <row r="151" spans="1:19" x14ac:dyDescent="0.25">
      <c r="A151" s="24" t="s">
        <v>1241</v>
      </c>
      <c r="B151" s="4" t="s">
        <v>1063</v>
      </c>
      <c r="C151" s="25" t="s">
        <v>5</v>
      </c>
      <c r="G151" s="25" t="s">
        <v>1067</v>
      </c>
      <c r="H151" s="24" t="s">
        <v>1061</v>
      </c>
      <c r="I151" s="3" t="str">
        <f>IFERROR(VLOOKUP(C151,'Справочник соответствий'!A$2:D$2981,2,FALSE),IF(VALUE(C151)=0,1,VLOOKUP(C151,'Справочник соответствий'!A$2:D$2981,2,FALSE)))</f>
        <v>1</v>
      </c>
      <c r="J151" s="3">
        <f>IFERROR(VLOOKUP(D151,'Справочник соответствий'!A$2:D$2981,2,FALSE),IF(VALUE(D151)=0,0,VLOOKUP(D151,'Справочник соответствий'!A$2:D$2981,2,FALSE)))</f>
        <v>0</v>
      </c>
      <c r="K151" s="3" t="str">
        <f t="shared" si="14"/>
        <v>1</v>
      </c>
      <c r="L151" s="13" t="str">
        <f>IFERROR(VLOOKUP(C151,'Справочник соответствий'!A$2:D$2981,3,FALSE),IF(VALUE(C151)=0,"ЭТАЖ НЕ ОПРЕДЕЛЕН. ПРИНЯТ ПО ДОПУЩЕНИЮ 1",VLOOKUP(C151,'Справочник соответствий'!A$2:D$2981,3,FALSE)))</f>
        <v>ЭТАЖ ЗАДАН ЧИСЛОМ</v>
      </c>
      <c r="M151" s="13" t="b">
        <f t="shared" si="15"/>
        <v>0</v>
      </c>
      <c r="N151" s="13">
        <f t="shared" si="16"/>
        <v>1</v>
      </c>
      <c r="O151" s="13" t="str">
        <f t="shared" si="17"/>
        <v>ЭТАЖ ЗАДАН ЧИСЛОМ</v>
      </c>
      <c r="P151" s="13" t="str">
        <f t="shared" si="18"/>
        <v>ЭТАЖ ЗАДАН ЧИСЛОМ</v>
      </c>
      <c r="Q151" s="13" t="str">
        <f t="shared" si="19"/>
        <v>ГОТОВ_ИЗМЕНЕН</v>
      </c>
      <c r="R151" s="13">
        <f>IFERROR(VLOOKUP(P151,Лист1!A$1:B$20,2,FALSE),0)</f>
        <v>784</v>
      </c>
      <c r="S151" s="13">
        <f t="shared" si="20"/>
        <v>0</v>
      </c>
    </row>
    <row r="152" spans="1:19" x14ac:dyDescent="0.25">
      <c r="A152" s="24" t="s">
        <v>1242</v>
      </c>
      <c r="B152" s="4" t="s">
        <v>1059</v>
      </c>
      <c r="C152" s="25" t="s">
        <v>5</v>
      </c>
      <c r="G152" s="25" t="s">
        <v>1067</v>
      </c>
      <c r="H152" s="24" t="s">
        <v>1061</v>
      </c>
      <c r="I152" s="3" t="str">
        <f>IFERROR(VLOOKUP(C152,'Справочник соответствий'!A$2:D$2981,2,FALSE),IF(VALUE(C152)=0,1,VLOOKUP(C152,'Справочник соответствий'!A$2:D$2981,2,FALSE)))</f>
        <v>1</v>
      </c>
      <c r="J152" s="3">
        <f>IFERROR(VLOOKUP(D152,'Справочник соответствий'!A$2:D$2981,2,FALSE),IF(VALUE(D152)=0,0,VLOOKUP(D152,'Справочник соответствий'!A$2:D$2981,2,FALSE)))</f>
        <v>0</v>
      </c>
      <c r="K152" s="3" t="str">
        <f t="shared" si="14"/>
        <v>1</v>
      </c>
      <c r="L152" s="13" t="str">
        <f>IFERROR(VLOOKUP(C152,'Справочник соответствий'!A$2:D$2981,3,FALSE),IF(VALUE(C152)=0,"ЭТАЖ НЕ ОПРЕДЕЛЕН. ПРИНЯТ ПО ДОПУЩЕНИЮ 1",VLOOKUP(C152,'Справочник соответствий'!A$2:D$2981,3,FALSE)))</f>
        <v>ЭТАЖ ЗАДАН ЧИСЛОМ</v>
      </c>
      <c r="M152" s="13" t="b">
        <f t="shared" si="15"/>
        <v>0</v>
      </c>
      <c r="N152" s="13">
        <f t="shared" si="16"/>
        <v>1</v>
      </c>
      <c r="O152" s="13" t="str">
        <f t="shared" si="17"/>
        <v>ЭТАЖ ЗАДАН ЧИСЛОМ</v>
      </c>
      <c r="P152" s="13" t="str">
        <f t="shared" si="18"/>
        <v>ЭТАЖ ЗАДАН ЧИСЛОМ</v>
      </c>
      <c r="Q152" s="13" t="str">
        <f t="shared" si="19"/>
        <v>ГОТОВ_ИЗМЕНЕН</v>
      </c>
      <c r="R152" s="13">
        <f>IFERROR(VLOOKUP(P152,Лист1!A$1:B$20,2,FALSE),0)</f>
        <v>784</v>
      </c>
      <c r="S152" s="13">
        <f t="shared" si="20"/>
        <v>0</v>
      </c>
    </row>
    <row r="153" spans="1:19" x14ac:dyDescent="0.25">
      <c r="A153" s="24" t="s">
        <v>1243</v>
      </c>
      <c r="B153" s="4" t="s">
        <v>1059</v>
      </c>
      <c r="C153" s="25" t="s">
        <v>5</v>
      </c>
      <c r="G153" s="25" t="s">
        <v>1067</v>
      </c>
      <c r="H153" s="24" t="s">
        <v>1061</v>
      </c>
      <c r="I153" s="3" t="str">
        <f>IFERROR(VLOOKUP(C153,'Справочник соответствий'!A$2:D$2981,2,FALSE),IF(VALUE(C153)=0,1,VLOOKUP(C153,'Справочник соответствий'!A$2:D$2981,2,FALSE)))</f>
        <v>1</v>
      </c>
      <c r="J153" s="3">
        <f>IFERROR(VLOOKUP(D153,'Справочник соответствий'!A$2:D$2981,2,FALSE),IF(VALUE(D153)=0,0,VLOOKUP(D153,'Справочник соответствий'!A$2:D$2981,2,FALSE)))</f>
        <v>0</v>
      </c>
      <c r="K153" s="3" t="str">
        <f t="shared" si="14"/>
        <v>1</v>
      </c>
      <c r="L153" s="13" t="str">
        <f>IFERROR(VLOOKUP(C153,'Справочник соответствий'!A$2:D$2981,3,FALSE),IF(VALUE(C153)=0,"ЭТАЖ НЕ ОПРЕДЕЛЕН. ПРИНЯТ ПО ДОПУЩЕНИЮ 1",VLOOKUP(C153,'Справочник соответствий'!A$2:D$2981,3,FALSE)))</f>
        <v>ЭТАЖ ЗАДАН ЧИСЛОМ</v>
      </c>
      <c r="M153" s="13" t="b">
        <f t="shared" si="15"/>
        <v>0</v>
      </c>
      <c r="N153" s="13">
        <f t="shared" si="16"/>
        <v>1</v>
      </c>
      <c r="O153" s="13" t="str">
        <f t="shared" si="17"/>
        <v>ЭТАЖ ЗАДАН ЧИСЛОМ</v>
      </c>
      <c r="P153" s="13" t="str">
        <f t="shared" si="18"/>
        <v>ЭТАЖ ЗАДАН ЧИСЛОМ</v>
      </c>
      <c r="Q153" s="13" t="str">
        <f t="shared" si="19"/>
        <v>ГОТОВ_ИЗМЕНЕН</v>
      </c>
      <c r="R153" s="13">
        <f>IFERROR(VLOOKUP(P153,Лист1!A$1:B$20,2,FALSE),0)</f>
        <v>784</v>
      </c>
      <c r="S153" s="13">
        <f t="shared" si="20"/>
        <v>0</v>
      </c>
    </row>
    <row r="154" spans="1:19" x14ac:dyDescent="0.25">
      <c r="A154" s="24" t="s">
        <v>1244</v>
      </c>
      <c r="B154" s="4" t="s">
        <v>1059</v>
      </c>
      <c r="G154" s="25" t="s">
        <v>1067</v>
      </c>
      <c r="H154" s="24" t="s">
        <v>1061</v>
      </c>
      <c r="I154" s="3">
        <f>IFERROR(VLOOKUP(C154,'Справочник соответствий'!A$2:D$2981,2,FALSE),IF(VALUE(C154)=0,1,VLOOKUP(C154,'Справочник соответствий'!A$2:D$2981,2,FALSE)))</f>
        <v>1</v>
      </c>
      <c r="J154" s="3">
        <f>IFERROR(VLOOKUP(D154,'Справочник соответствий'!A$2:D$2981,2,FALSE),IF(VALUE(D154)=0,0,VLOOKUP(D154,'Справочник соответствий'!A$2:D$2981,2,FALSE)))</f>
        <v>0</v>
      </c>
      <c r="K154" s="3">
        <f t="shared" si="14"/>
        <v>1</v>
      </c>
      <c r="L154" s="13" t="str">
        <f>IFERROR(VLOOKUP(C154,'Справочник соответствий'!A$2:D$2981,3,FALSE),IF(VALUE(C154)=0,"ЭТАЖ НЕ ОПРЕДЕЛЕН. ПРИНЯТ ПО ДОПУЩЕНИЮ 1",VLOOKUP(C154,'Справочник соответствий'!A$2:D$2981,3,FALSE)))</f>
        <v>ЭТАЖ НЕ ОПРЕДЕЛЕН. ПРИНЯТ ПО ДОПУЩЕНИЮ 1</v>
      </c>
      <c r="M154" s="13" t="b">
        <f t="shared" si="15"/>
        <v>0</v>
      </c>
      <c r="N154" s="13">
        <f t="shared" si="16"/>
        <v>1</v>
      </c>
      <c r="O154" s="13" t="str">
        <f t="shared" si="17"/>
        <v>ЭТАЖ НЕ ОПРЕДЕЛЕН. ПРИНЯТ ПО ДОПУЩЕНИЮ 1</v>
      </c>
      <c r="P154" s="13" t="str">
        <f t="shared" si="18"/>
        <v>ЭТАЖ НЕ ОПРЕДЕЛЕН. ПРИНЯТ ПО ДОПУЩЕНИЮ 1</v>
      </c>
      <c r="Q154" s="13" t="str">
        <f t="shared" si="19"/>
        <v>ГОТОВ_ИЗМЕНЕН</v>
      </c>
      <c r="R154" s="13">
        <f>IFERROR(VLOOKUP(P154,Лист1!A$1:B$20,2,FALSE),0)</f>
        <v>788</v>
      </c>
      <c r="S154" s="13">
        <f t="shared" si="20"/>
        <v>0</v>
      </c>
    </row>
    <row r="155" spans="1:19" x14ac:dyDescent="0.25">
      <c r="A155" s="24" t="s">
        <v>1245</v>
      </c>
      <c r="B155" s="4" t="s">
        <v>1063</v>
      </c>
      <c r="C155" s="25" t="s">
        <v>5</v>
      </c>
      <c r="G155" s="25" t="s">
        <v>1067</v>
      </c>
      <c r="H155" s="24" t="s">
        <v>1061</v>
      </c>
      <c r="I155" s="3" t="str">
        <f>IFERROR(VLOOKUP(C155,'Справочник соответствий'!A$2:D$2981,2,FALSE),IF(VALUE(C155)=0,1,VLOOKUP(C155,'Справочник соответствий'!A$2:D$2981,2,FALSE)))</f>
        <v>1</v>
      </c>
      <c r="J155" s="3">
        <f>IFERROR(VLOOKUP(D155,'Справочник соответствий'!A$2:D$2981,2,FALSE),IF(VALUE(D155)=0,0,VLOOKUP(D155,'Справочник соответствий'!A$2:D$2981,2,FALSE)))</f>
        <v>0</v>
      </c>
      <c r="K155" s="3" t="str">
        <f t="shared" si="14"/>
        <v>1</v>
      </c>
      <c r="L155" s="13" t="str">
        <f>IFERROR(VLOOKUP(C155,'Справочник соответствий'!A$2:D$2981,3,FALSE),IF(VALUE(C155)=0,"ЭТАЖ НЕ ОПРЕДЕЛЕН. ПРИНЯТ ПО ДОПУЩЕНИЮ 1",VLOOKUP(C155,'Справочник соответствий'!A$2:D$2981,3,FALSE)))</f>
        <v>ЭТАЖ ЗАДАН ЧИСЛОМ</v>
      </c>
      <c r="M155" s="13" t="b">
        <f t="shared" si="15"/>
        <v>0</v>
      </c>
      <c r="N155" s="13">
        <f t="shared" si="16"/>
        <v>1</v>
      </c>
      <c r="O155" s="13" t="str">
        <f t="shared" si="17"/>
        <v>ЭТАЖ ЗАДАН ЧИСЛОМ</v>
      </c>
      <c r="P155" s="13" t="str">
        <f t="shared" si="18"/>
        <v>ЭТАЖ ЗАДАН ЧИСЛОМ</v>
      </c>
      <c r="Q155" s="13" t="str">
        <f t="shared" si="19"/>
        <v>ГОТОВ_ИЗМЕНЕН</v>
      </c>
      <c r="R155" s="13">
        <f>IFERROR(VLOOKUP(P155,Лист1!A$1:B$20,2,FALSE),0)</f>
        <v>784</v>
      </c>
      <c r="S155" s="13">
        <f t="shared" si="20"/>
        <v>0</v>
      </c>
    </row>
    <row r="156" spans="1:19" x14ac:dyDescent="0.25">
      <c r="A156" s="24" t="s">
        <v>1246</v>
      </c>
      <c r="B156" s="4" t="s">
        <v>1059</v>
      </c>
      <c r="C156" s="25" t="s">
        <v>7</v>
      </c>
      <c r="G156" s="25" t="s">
        <v>1067</v>
      </c>
      <c r="H156" s="24" t="s">
        <v>1061</v>
      </c>
      <c r="I156" s="3" t="str">
        <f>IFERROR(VLOOKUP(C156,'Справочник соответствий'!A$2:D$2981,2,FALSE),IF(VALUE(C156)=0,1,VLOOKUP(C156,'Справочник соответствий'!A$2:D$2981,2,FALSE)))</f>
        <v>2</v>
      </c>
      <c r="J156" s="3">
        <f>IFERROR(VLOOKUP(D156,'Справочник соответствий'!A$2:D$2981,2,FALSE),IF(VALUE(D156)=0,0,VLOOKUP(D156,'Справочник соответствий'!A$2:D$2981,2,FALSE)))</f>
        <v>0</v>
      </c>
      <c r="K156" s="3" t="str">
        <f t="shared" si="14"/>
        <v>2</v>
      </c>
      <c r="L156" s="13" t="str">
        <f>IFERROR(VLOOKUP(C156,'Справочник соответствий'!A$2:D$2981,3,FALSE),IF(VALUE(C156)=0,"ЭТАЖ НЕ ОПРЕДЕЛЕН. ПРИНЯТ ПО ДОПУЩЕНИЮ 1",VLOOKUP(C156,'Справочник соответствий'!A$2:D$2981,3,FALSE)))</f>
        <v>ЭТАЖ ЗАДАН ЧИСЛОМ</v>
      </c>
      <c r="M156" s="13" t="b">
        <f t="shared" si="15"/>
        <v>0</v>
      </c>
      <c r="N156" s="13">
        <f t="shared" si="16"/>
        <v>2</v>
      </c>
      <c r="O156" s="13" t="str">
        <f t="shared" si="17"/>
        <v>ЭТАЖ ЗАДАН ЧИСЛОМ</v>
      </c>
      <c r="P156" s="13" t="str">
        <f t="shared" si="18"/>
        <v>ЭТАЖ ЗАДАН ЧИСЛОМ</v>
      </c>
      <c r="Q156" s="13" t="str">
        <f t="shared" si="19"/>
        <v>ГОТОВ_ИЗМЕНЕН</v>
      </c>
      <c r="R156" s="13">
        <f>IFERROR(VLOOKUP(P156,Лист1!A$1:B$20,2,FALSE),0)</f>
        <v>784</v>
      </c>
      <c r="S156" s="13">
        <f t="shared" si="20"/>
        <v>0</v>
      </c>
    </row>
    <row r="157" spans="1:19" x14ac:dyDescent="0.25">
      <c r="A157" s="24" t="s">
        <v>1247</v>
      </c>
      <c r="B157" s="4" t="s">
        <v>1059</v>
      </c>
      <c r="C157" s="25" t="s">
        <v>7</v>
      </c>
      <c r="G157" s="25" t="s">
        <v>1086</v>
      </c>
      <c r="H157" s="24" t="s">
        <v>1061</v>
      </c>
      <c r="I157" s="3" t="str">
        <f>IFERROR(VLOOKUP(C157,'Справочник соответствий'!A$2:D$2981,2,FALSE),IF(VALUE(C157)=0,1,VLOOKUP(C157,'Справочник соответствий'!A$2:D$2981,2,FALSE)))</f>
        <v>2</v>
      </c>
      <c r="J157" s="3">
        <f>IFERROR(VLOOKUP(D157,'Справочник соответствий'!A$2:D$2981,2,FALSE),IF(VALUE(D157)=0,0,VLOOKUP(D157,'Справочник соответствий'!A$2:D$2981,2,FALSE)))</f>
        <v>0</v>
      </c>
      <c r="K157" s="3" t="str">
        <f t="shared" si="14"/>
        <v>2</v>
      </c>
      <c r="L157" s="13" t="str">
        <f>IFERROR(VLOOKUP(C157,'Справочник соответствий'!A$2:D$2981,3,FALSE),IF(VALUE(C157)=0,"ЭТАЖ НЕ ОПРЕДЕЛЕН. ПРИНЯТ ПО ДОПУЩЕНИЮ 1",VLOOKUP(C157,'Справочник соответствий'!A$2:D$2981,3,FALSE)))</f>
        <v>ЭТАЖ ЗАДАН ЧИСЛОМ</v>
      </c>
      <c r="M157" s="13" t="b">
        <f t="shared" si="15"/>
        <v>0</v>
      </c>
      <c r="N157" s="13">
        <f t="shared" si="16"/>
        <v>2</v>
      </c>
      <c r="O157" s="13" t="str">
        <f t="shared" si="17"/>
        <v>ЭТАЖ ЗАДАН ЧИСЛОМ</v>
      </c>
      <c r="P157" s="13" t="str">
        <f t="shared" si="18"/>
        <v>ЭТАЖ ЗАДАН ЧИСЛОМ</v>
      </c>
      <c r="Q157" s="13" t="str">
        <f t="shared" si="19"/>
        <v>ГОТОВ_ИЗМЕНЕН</v>
      </c>
      <c r="R157" s="13">
        <f>IFERROR(VLOOKUP(P157,Лист1!A$1:B$20,2,FALSE),0)</f>
        <v>784</v>
      </c>
      <c r="S157" s="13">
        <f t="shared" si="20"/>
        <v>0</v>
      </c>
    </row>
    <row r="158" spans="1:19" x14ac:dyDescent="0.25">
      <c r="A158" s="24" t="s">
        <v>1248</v>
      </c>
      <c r="B158" s="4" t="s">
        <v>1063</v>
      </c>
      <c r="C158" s="25" t="s">
        <v>8</v>
      </c>
      <c r="D158" s="25" t="s">
        <v>5</v>
      </c>
      <c r="G158" s="25" t="s">
        <v>1086</v>
      </c>
      <c r="H158" s="24" t="s">
        <v>1061</v>
      </c>
      <c r="I158" s="3" t="str">
        <f>IFERROR(VLOOKUP(C158,'Справочник соответствий'!A$2:D$2981,2,FALSE),IF(VALUE(C158)=0,1,VLOOKUP(C158,'Справочник соответствий'!A$2:D$2981,2,FALSE)))</f>
        <v>3</v>
      </c>
      <c r="J158" s="3" t="str">
        <f>IFERROR(VLOOKUP(D158,'Справочник соответствий'!A$2:D$2981,2,FALSE),IF(VALUE(D158)=0,0,VLOOKUP(D158,'Справочник соответствий'!A$2:D$2981,2,FALSE)))</f>
        <v>1</v>
      </c>
      <c r="K158" s="3" t="str">
        <f t="shared" si="14"/>
        <v>3</v>
      </c>
      <c r="L158" s="13" t="str">
        <f>IFERROR(VLOOKUP(C158,'Справочник соответствий'!A$2:D$2981,3,FALSE),IF(VALUE(C158)=0,"ЭТАЖ НЕ ОПРЕДЕЛЕН. ПРИНЯТ ПО ДОПУЩЕНИЮ 1",VLOOKUP(C158,'Справочник соответствий'!A$2:D$2981,3,FALSE)))</f>
        <v>ЭТАЖ ЗАДАН ЧИСЛОМ</v>
      </c>
      <c r="M158" s="13" t="b">
        <f t="shared" si="15"/>
        <v>0</v>
      </c>
      <c r="N158" s="13">
        <f t="shared" si="16"/>
        <v>3</v>
      </c>
      <c r="O158" s="13" t="str">
        <f t="shared" si="17"/>
        <v>ЭТАЖ ЗАДАН ЧИСЛОМ</v>
      </c>
      <c r="P158" s="13" t="str">
        <f t="shared" si="18"/>
        <v>ЭТАЖ ЗАДАН ЧИСЛОМ</v>
      </c>
      <c r="Q158" s="13" t="str">
        <f t="shared" si="19"/>
        <v>ГОТОВ_ИЗМЕНЕН</v>
      </c>
      <c r="R158" s="13">
        <f>IFERROR(VLOOKUP(P158,Лист1!A$1:B$20,2,FALSE),0)</f>
        <v>784</v>
      </c>
      <c r="S158" s="13">
        <f t="shared" si="20"/>
        <v>0</v>
      </c>
    </row>
    <row r="159" spans="1:19" x14ac:dyDescent="0.25">
      <c r="A159" s="24" t="s">
        <v>1249</v>
      </c>
      <c r="B159" s="4" t="s">
        <v>1059</v>
      </c>
      <c r="C159" s="25" t="s">
        <v>5</v>
      </c>
      <c r="G159" s="25" t="s">
        <v>1117</v>
      </c>
      <c r="H159" s="24" t="s">
        <v>1061</v>
      </c>
      <c r="I159" s="3" t="str">
        <f>IFERROR(VLOOKUP(C159,'Справочник соответствий'!A$2:D$2981,2,FALSE),IF(VALUE(C159)=0,1,VLOOKUP(C159,'Справочник соответствий'!A$2:D$2981,2,FALSE)))</f>
        <v>1</v>
      </c>
      <c r="J159" s="3">
        <f>IFERROR(VLOOKUP(D159,'Справочник соответствий'!A$2:D$2981,2,FALSE),IF(VALUE(D159)=0,0,VLOOKUP(D159,'Справочник соответствий'!A$2:D$2981,2,FALSE)))</f>
        <v>0</v>
      </c>
      <c r="K159" s="3" t="str">
        <f t="shared" si="14"/>
        <v>1</v>
      </c>
      <c r="L159" s="13" t="str">
        <f>IFERROR(VLOOKUP(C159,'Справочник соответствий'!A$2:D$2981,3,FALSE),IF(VALUE(C159)=0,"ЭТАЖ НЕ ОПРЕДЕЛЕН. ПРИНЯТ ПО ДОПУЩЕНИЮ 1",VLOOKUP(C159,'Справочник соответствий'!A$2:D$2981,3,FALSE)))</f>
        <v>ЭТАЖ ЗАДАН ЧИСЛОМ</v>
      </c>
      <c r="M159" s="13" t="b">
        <f t="shared" si="15"/>
        <v>0</v>
      </c>
      <c r="N159" s="13">
        <f t="shared" si="16"/>
        <v>1</v>
      </c>
      <c r="O159" s="13" t="str">
        <f t="shared" si="17"/>
        <v>ЭТАЖ ЗАДАН ЧИСЛОМ</v>
      </c>
      <c r="P159" s="13" t="str">
        <f t="shared" si="18"/>
        <v>ЭТАЖ ЗАДАН ЧИСЛОМ</v>
      </c>
      <c r="Q159" s="13" t="str">
        <f t="shared" si="19"/>
        <v>ГОТОВ_ИЗМЕНЕН</v>
      </c>
      <c r="R159" s="13">
        <f>IFERROR(VLOOKUP(P159,Лист1!A$1:B$20,2,FALSE),0)</f>
        <v>784</v>
      </c>
      <c r="S159" s="13">
        <f t="shared" si="20"/>
        <v>0</v>
      </c>
    </row>
    <row r="160" spans="1:19" x14ac:dyDescent="0.25">
      <c r="A160" s="24" t="s">
        <v>1250</v>
      </c>
      <c r="B160" s="4" t="s">
        <v>1063</v>
      </c>
      <c r="C160" s="25" t="s">
        <v>5</v>
      </c>
      <c r="G160" s="25" t="s">
        <v>1086</v>
      </c>
      <c r="H160" s="24" t="s">
        <v>1061</v>
      </c>
      <c r="I160" s="3" t="str">
        <f>IFERROR(VLOOKUP(C160,'Справочник соответствий'!A$2:D$2981,2,FALSE),IF(VALUE(C160)=0,1,VLOOKUP(C160,'Справочник соответствий'!A$2:D$2981,2,FALSE)))</f>
        <v>1</v>
      </c>
      <c r="J160" s="3">
        <f>IFERROR(VLOOKUP(D160,'Справочник соответствий'!A$2:D$2981,2,FALSE),IF(VALUE(D160)=0,0,VLOOKUP(D160,'Справочник соответствий'!A$2:D$2981,2,FALSE)))</f>
        <v>0</v>
      </c>
      <c r="K160" s="3" t="str">
        <f t="shared" si="14"/>
        <v>1</v>
      </c>
      <c r="L160" s="13" t="str">
        <f>IFERROR(VLOOKUP(C160,'Справочник соответствий'!A$2:D$2981,3,FALSE),IF(VALUE(C160)=0,"ЭТАЖ НЕ ОПРЕДЕЛЕН. ПРИНЯТ ПО ДОПУЩЕНИЮ 1",VLOOKUP(C160,'Справочник соответствий'!A$2:D$2981,3,FALSE)))</f>
        <v>ЭТАЖ ЗАДАН ЧИСЛОМ</v>
      </c>
      <c r="M160" s="13" t="b">
        <f t="shared" si="15"/>
        <v>0</v>
      </c>
      <c r="N160" s="13">
        <f t="shared" si="16"/>
        <v>1</v>
      </c>
      <c r="O160" s="13" t="str">
        <f t="shared" si="17"/>
        <v>ЭТАЖ ЗАДАН ЧИСЛОМ</v>
      </c>
      <c r="P160" s="13" t="str">
        <f t="shared" si="18"/>
        <v>ЭТАЖ ЗАДАН ЧИСЛОМ</v>
      </c>
      <c r="Q160" s="13" t="str">
        <f t="shared" si="19"/>
        <v>ГОТОВ_ИЗМЕНЕН</v>
      </c>
      <c r="R160" s="13">
        <f>IFERROR(VLOOKUP(P160,Лист1!A$1:B$20,2,FALSE),0)</f>
        <v>784</v>
      </c>
      <c r="S160" s="13">
        <f t="shared" si="20"/>
        <v>0</v>
      </c>
    </row>
    <row r="161" spans="1:19" x14ac:dyDescent="0.25">
      <c r="A161" s="24" t="s">
        <v>1251</v>
      </c>
      <c r="B161" s="4" t="s">
        <v>1063</v>
      </c>
      <c r="C161" s="25" t="s">
        <v>5</v>
      </c>
      <c r="G161" s="25" t="s">
        <v>1086</v>
      </c>
      <c r="H161" s="24" t="s">
        <v>1061</v>
      </c>
      <c r="I161" s="3" t="str">
        <f>IFERROR(VLOOKUP(C161,'Справочник соответствий'!A$2:D$2981,2,FALSE),IF(VALUE(C161)=0,1,VLOOKUP(C161,'Справочник соответствий'!A$2:D$2981,2,FALSE)))</f>
        <v>1</v>
      </c>
      <c r="J161" s="3">
        <f>IFERROR(VLOOKUP(D161,'Справочник соответствий'!A$2:D$2981,2,FALSE),IF(VALUE(D161)=0,0,VLOOKUP(D161,'Справочник соответствий'!A$2:D$2981,2,FALSE)))</f>
        <v>0</v>
      </c>
      <c r="K161" s="3" t="str">
        <f t="shared" si="14"/>
        <v>1</v>
      </c>
      <c r="L161" s="13" t="str">
        <f>IFERROR(VLOOKUP(C161,'Справочник соответствий'!A$2:D$2981,3,FALSE),IF(VALUE(C161)=0,"ЭТАЖ НЕ ОПРЕДЕЛЕН. ПРИНЯТ ПО ДОПУЩЕНИЮ 1",VLOOKUP(C161,'Справочник соответствий'!A$2:D$2981,3,FALSE)))</f>
        <v>ЭТАЖ ЗАДАН ЧИСЛОМ</v>
      </c>
      <c r="M161" s="13" t="b">
        <f t="shared" si="15"/>
        <v>0</v>
      </c>
      <c r="N161" s="13">
        <f t="shared" si="16"/>
        <v>1</v>
      </c>
      <c r="O161" s="13" t="str">
        <f t="shared" si="17"/>
        <v>ЭТАЖ ЗАДАН ЧИСЛОМ</v>
      </c>
      <c r="P161" s="13" t="str">
        <f t="shared" si="18"/>
        <v>ЭТАЖ ЗАДАН ЧИСЛОМ</v>
      </c>
      <c r="Q161" s="13" t="str">
        <f t="shared" si="19"/>
        <v>ГОТОВ_ИЗМЕНЕН</v>
      </c>
      <c r="R161" s="13">
        <f>IFERROR(VLOOKUP(P161,Лист1!A$1:B$20,2,FALSE),0)</f>
        <v>784</v>
      </c>
      <c r="S161" s="13">
        <f t="shared" si="20"/>
        <v>0</v>
      </c>
    </row>
    <row r="162" spans="1:19" x14ac:dyDescent="0.25">
      <c r="A162" s="24" t="s">
        <v>1252</v>
      </c>
      <c r="B162" s="4" t="s">
        <v>1063</v>
      </c>
      <c r="C162" s="25" t="s">
        <v>5</v>
      </c>
      <c r="G162" s="25" t="s">
        <v>1086</v>
      </c>
      <c r="H162" s="24" t="s">
        <v>1061</v>
      </c>
      <c r="I162" s="3" t="str">
        <f>IFERROR(VLOOKUP(C162,'Справочник соответствий'!A$2:D$2981,2,FALSE),IF(VALUE(C162)=0,1,VLOOKUP(C162,'Справочник соответствий'!A$2:D$2981,2,FALSE)))</f>
        <v>1</v>
      </c>
      <c r="J162" s="3">
        <f>IFERROR(VLOOKUP(D162,'Справочник соответствий'!A$2:D$2981,2,FALSE),IF(VALUE(D162)=0,0,VLOOKUP(D162,'Справочник соответствий'!A$2:D$2981,2,FALSE)))</f>
        <v>0</v>
      </c>
      <c r="K162" s="3" t="str">
        <f t="shared" si="14"/>
        <v>1</v>
      </c>
      <c r="L162" s="13" t="str">
        <f>IFERROR(VLOOKUP(C162,'Справочник соответствий'!A$2:D$2981,3,FALSE),IF(VALUE(C162)=0,"ЭТАЖ НЕ ОПРЕДЕЛЕН. ПРИНЯТ ПО ДОПУЩЕНИЮ 1",VLOOKUP(C162,'Справочник соответствий'!A$2:D$2981,3,FALSE)))</f>
        <v>ЭТАЖ ЗАДАН ЧИСЛОМ</v>
      </c>
      <c r="M162" s="13" t="b">
        <f t="shared" si="15"/>
        <v>0</v>
      </c>
      <c r="N162" s="13">
        <f t="shared" si="16"/>
        <v>1</v>
      </c>
      <c r="O162" s="13" t="str">
        <f t="shared" si="17"/>
        <v>ЭТАЖ ЗАДАН ЧИСЛОМ</v>
      </c>
      <c r="P162" s="13" t="str">
        <f t="shared" si="18"/>
        <v>ЭТАЖ ЗАДАН ЧИСЛОМ</v>
      </c>
      <c r="Q162" s="13" t="str">
        <f t="shared" si="19"/>
        <v>ГОТОВ_ИЗМЕНЕН</v>
      </c>
      <c r="R162" s="13">
        <f>IFERROR(VLOOKUP(P162,Лист1!A$1:B$20,2,FALSE),0)</f>
        <v>784</v>
      </c>
      <c r="S162" s="13">
        <f t="shared" si="20"/>
        <v>0</v>
      </c>
    </row>
    <row r="163" spans="1:19" x14ac:dyDescent="0.25">
      <c r="A163" s="24" t="s">
        <v>1253</v>
      </c>
      <c r="B163" s="4" t="s">
        <v>1059</v>
      </c>
      <c r="C163" s="25" t="s">
        <v>5</v>
      </c>
      <c r="G163" s="25" t="s">
        <v>1086</v>
      </c>
      <c r="H163" s="24" t="s">
        <v>1061</v>
      </c>
      <c r="I163" s="3" t="str">
        <f>IFERROR(VLOOKUP(C163,'Справочник соответствий'!A$2:D$2981,2,FALSE),IF(VALUE(C163)=0,1,VLOOKUP(C163,'Справочник соответствий'!A$2:D$2981,2,FALSE)))</f>
        <v>1</v>
      </c>
      <c r="J163" s="3">
        <f>IFERROR(VLOOKUP(D163,'Справочник соответствий'!A$2:D$2981,2,FALSE),IF(VALUE(D163)=0,0,VLOOKUP(D163,'Справочник соответствий'!A$2:D$2981,2,FALSE)))</f>
        <v>0</v>
      </c>
      <c r="K163" s="3" t="str">
        <f t="shared" si="14"/>
        <v>1</v>
      </c>
      <c r="L163" s="13" t="str">
        <f>IFERROR(VLOOKUP(C163,'Справочник соответствий'!A$2:D$2981,3,FALSE),IF(VALUE(C163)=0,"ЭТАЖ НЕ ОПРЕДЕЛЕН. ПРИНЯТ ПО ДОПУЩЕНИЮ 1",VLOOKUP(C163,'Справочник соответствий'!A$2:D$2981,3,FALSE)))</f>
        <v>ЭТАЖ ЗАДАН ЧИСЛОМ</v>
      </c>
      <c r="M163" s="13" t="b">
        <f t="shared" si="15"/>
        <v>0</v>
      </c>
      <c r="N163" s="13">
        <f t="shared" si="16"/>
        <v>1</v>
      </c>
      <c r="O163" s="13" t="str">
        <f t="shared" si="17"/>
        <v>ЭТАЖ ЗАДАН ЧИСЛОМ</v>
      </c>
      <c r="P163" s="13" t="str">
        <f t="shared" si="18"/>
        <v>ЭТАЖ ЗАДАН ЧИСЛОМ</v>
      </c>
      <c r="Q163" s="13" t="str">
        <f t="shared" si="19"/>
        <v>ГОТОВ_ИЗМЕНЕН</v>
      </c>
      <c r="R163" s="13">
        <f>IFERROR(VLOOKUP(P163,Лист1!A$1:B$20,2,FALSE),0)</f>
        <v>784</v>
      </c>
      <c r="S163" s="13">
        <f t="shared" si="20"/>
        <v>0</v>
      </c>
    </row>
    <row r="164" spans="1:19" x14ac:dyDescent="0.25">
      <c r="A164" s="24" t="s">
        <v>1254</v>
      </c>
      <c r="B164" s="4" t="s">
        <v>1059</v>
      </c>
      <c r="C164" s="25" t="s">
        <v>5</v>
      </c>
      <c r="G164" s="25" t="s">
        <v>1086</v>
      </c>
      <c r="H164" s="24" t="s">
        <v>1061</v>
      </c>
      <c r="I164" s="3" t="str">
        <f>IFERROR(VLOOKUP(C164,'Справочник соответствий'!A$2:D$2981,2,FALSE),IF(VALUE(C164)=0,1,VLOOKUP(C164,'Справочник соответствий'!A$2:D$2981,2,FALSE)))</f>
        <v>1</v>
      </c>
      <c r="J164" s="3">
        <f>IFERROR(VLOOKUP(D164,'Справочник соответствий'!A$2:D$2981,2,FALSE),IF(VALUE(D164)=0,0,VLOOKUP(D164,'Справочник соответствий'!A$2:D$2981,2,FALSE)))</f>
        <v>0</v>
      </c>
      <c r="K164" s="3" t="str">
        <f t="shared" si="14"/>
        <v>1</v>
      </c>
      <c r="L164" s="13" t="str">
        <f>IFERROR(VLOOKUP(C164,'Справочник соответствий'!A$2:D$2981,3,FALSE),IF(VALUE(C164)=0,"ЭТАЖ НЕ ОПРЕДЕЛЕН. ПРИНЯТ ПО ДОПУЩЕНИЮ 1",VLOOKUP(C164,'Справочник соответствий'!A$2:D$2981,3,FALSE)))</f>
        <v>ЭТАЖ ЗАДАН ЧИСЛОМ</v>
      </c>
      <c r="M164" s="13" t="b">
        <f t="shared" si="15"/>
        <v>0</v>
      </c>
      <c r="N164" s="13">
        <f t="shared" si="16"/>
        <v>1</v>
      </c>
      <c r="O164" s="13" t="str">
        <f t="shared" si="17"/>
        <v>ЭТАЖ ЗАДАН ЧИСЛОМ</v>
      </c>
      <c r="P164" s="13" t="str">
        <f t="shared" si="18"/>
        <v>ЭТАЖ ЗАДАН ЧИСЛОМ</v>
      </c>
      <c r="Q164" s="13" t="str">
        <f t="shared" si="19"/>
        <v>ГОТОВ_ИЗМЕНЕН</v>
      </c>
      <c r="R164" s="13">
        <f>IFERROR(VLOOKUP(P164,Лист1!A$1:B$20,2,FALSE),0)</f>
        <v>784</v>
      </c>
      <c r="S164" s="13">
        <f t="shared" si="20"/>
        <v>0</v>
      </c>
    </row>
    <row r="165" spans="1:19" x14ac:dyDescent="0.25">
      <c r="A165" s="24" t="s">
        <v>1255</v>
      </c>
      <c r="B165" s="4" t="s">
        <v>1059</v>
      </c>
      <c r="C165" s="25" t="s">
        <v>7</v>
      </c>
      <c r="G165" s="25" t="s">
        <v>1080</v>
      </c>
      <c r="H165" s="24" t="s">
        <v>1061</v>
      </c>
      <c r="I165" s="3" t="str">
        <f>IFERROR(VLOOKUP(C165,'Справочник соответствий'!A$2:D$2981,2,FALSE),IF(VALUE(C165)=0,1,VLOOKUP(C165,'Справочник соответствий'!A$2:D$2981,2,FALSE)))</f>
        <v>2</v>
      </c>
      <c r="J165" s="3">
        <f>IFERROR(VLOOKUP(D165,'Справочник соответствий'!A$2:D$2981,2,FALSE),IF(VALUE(D165)=0,0,VLOOKUP(D165,'Справочник соответствий'!A$2:D$2981,2,FALSE)))</f>
        <v>0</v>
      </c>
      <c r="K165" s="3" t="str">
        <f t="shared" si="14"/>
        <v>2</v>
      </c>
      <c r="L165" s="13" t="str">
        <f>IFERROR(VLOOKUP(C165,'Справочник соответствий'!A$2:D$2981,3,FALSE),IF(VALUE(C165)=0,"ЭТАЖ НЕ ОПРЕДЕЛЕН. ПРИНЯТ ПО ДОПУЩЕНИЮ 1",VLOOKUP(C165,'Справочник соответствий'!A$2:D$2981,3,FALSE)))</f>
        <v>ЭТАЖ ЗАДАН ЧИСЛОМ</v>
      </c>
      <c r="M165" s="13" t="b">
        <f t="shared" si="15"/>
        <v>0</v>
      </c>
      <c r="N165" s="13">
        <f t="shared" si="16"/>
        <v>2</v>
      </c>
      <c r="O165" s="13" t="str">
        <f t="shared" si="17"/>
        <v>ЭТАЖ ЗАДАН ЧИСЛОМ</v>
      </c>
      <c r="P165" s="13" t="str">
        <f t="shared" si="18"/>
        <v>ЭТАЖ ЗАДАН ЧИСЛОМ</v>
      </c>
      <c r="Q165" s="13" t="str">
        <f t="shared" si="19"/>
        <v>ГОТОВ_ИЗМЕНЕН</v>
      </c>
      <c r="R165" s="13">
        <f>IFERROR(VLOOKUP(P165,Лист1!A$1:B$20,2,FALSE),0)</f>
        <v>784</v>
      </c>
      <c r="S165" s="13">
        <f t="shared" si="20"/>
        <v>0</v>
      </c>
    </row>
    <row r="166" spans="1:19" x14ac:dyDescent="0.25">
      <c r="A166" s="24" t="s">
        <v>1256</v>
      </c>
      <c r="B166" s="4" t="s">
        <v>1059</v>
      </c>
      <c r="C166" s="25" t="s">
        <v>7</v>
      </c>
      <c r="G166" s="25" t="s">
        <v>1080</v>
      </c>
      <c r="H166" s="24" t="s">
        <v>1061</v>
      </c>
      <c r="I166" s="3" t="str">
        <f>IFERROR(VLOOKUP(C166,'Справочник соответствий'!A$2:D$2981,2,FALSE),IF(VALUE(C166)=0,1,VLOOKUP(C166,'Справочник соответствий'!A$2:D$2981,2,FALSE)))</f>
        <v>2</v>
      </c>
      <c r="J166" s="3">
        <f>IFERROR(VLOOKUP(D166,'Справочник соответствий'!A$2:D$2981,2,FALSE),IF(VALUE(D166)=0,0,VLOOKUP(D166,'Справочник соответствий'!A$2:D$2981,2,FALSE)))</f>
        <v>0</v>
      </c>
      <c r="K166" s="3" t="str">
        <f t="shared" si="14"/>
        <v>2</v>
      </c>
      <c r="L166" s="13" t="str">
        <f>IFERROR(VLOOKUP(C166,'Справочник соответствий'!A$2:D$2981,3,FALSE),IF(VALUE(C166)=0,"ЭТАЖ НЕ ОПРЕДЕЛЕН. ПРИНЯТ ПО ДОПУЩЕНИЮ 1",VLOOKUP(C166,'Справочник соответствий'!A$2:D$2981,3,FALSE)))</f>
        <v>ЭТАЖ ЗАДАН ЧИСЛОМ</v>
      </c>
      <c r="M166" s="13" t="b">
        <f t="shared" si="15"/>
        <v>0</v>
      </c>
      <c r="N166" s="13">
        <f t="shared" si="16"/>
        <v>2</v>
      </c>
      <c r="O166" s="13" t="str">
        <f t="shared" si="17"/>
        <v>ЭТАЖ ЗАДАН ЧИСЛОМ</v>
      </c>
      <c r="P166" s="13" t="str">
        <f t="shared" si="18"/>
        <v>ЭТАЖ ЗАДАН ЧИСЛОМ</v>
      </c>
      <c r="Q166" s="13" t="str">
        <f t="shared" si="19"/>
        <v>ГОТОВ_ИЗМЕНЕН</v>
      </c>
      <c r="R166" s="13">
        <f>IFERROR(VLOOKUP(P166,Лист1!A$1:B$20,2,FALSE),0)</f>
        <v>784</v>
      </c>
      <c r="S166" s="13">
        <f t="shared" si="20"/>
        <v>0</v>
      </c>
    </row>
    <row r="167" spans="1:19" x14ac:dyDescent="0.25">
      <c r="A167" s="24" t="s">
        <v>1257</v>
      </c>
      <c r="B167" s="4" t="s">
        <v>1059</v>
      </c>
      <c r="C167" s="25" t="s">
        <v>7</v>
      </c>
      <c r="G167" s="25" t="s">
        <v>1080</v>
      </c>
      <c r="H167" s="24" t="s">
        <v>1061</v>
      </c>
      <c r="I167" s="3" t="str">
        <f>IFERROR(VLOOKUP(C167,'Справочник соответствий'!A$2:D$2981,2,FALSE),IF(VALUE(C167)=0,1,VLOOKUP(C167,'Справочник соответствий'!A$2:D$2981,2,FALSE)))</f>
        <v>2</v>
      </c>
      <c r="J167" s="3">
        <f>IFERROR(VLOOKUP(D167,'Справочник соответствий'!A$2:D$2981,2,FALSE),IF(VALUE(D167)=0,0,VLOOKUP(D167,'Справочник соответствий'!A$2:D$2981,2,FALSE)))</f>
        <v>0</v>
      </c>
      <c r="K167" s="3" t="str">
        <f t="shared" si="14"/>
        <v>2</v>
      </c>
      <c r="L167" s="13" t="str">
        <f>IFERROR(VLOOKUP(C167,'Справочник соответствий'!A$2:D$2981,3,FALSE),IF(VALUE(C167)=0,"ЭТАЖ НЕ ОПРЕДЕЛЕН. ПРИНЯТ ПО ДОПУЩЕНИЮ 1",VLOOKUP(C167,'Справочник соответствий'!A$2:D$2981,3,FALSE)))</f>
        <v>ЭТАЖ ЗАДАН ЧИСЛОМ</v>
      </c>
      <c r="M167" s="13" t="b">
        <f t="shared" si="15"/>
        <v>0</v>
      </c>
      <c r="N167" s="13">
        <f t="shared" si="16"/>
        <v>2</v>
      </c>
      <c r="O167" s="13" t="str">
        <f t="shared" si="17"/>
        <v>ЭТАЖ ЗАДАН ЧИСЛОМ</v>
      </c>
      <c r="P167" s="13" t="str">
        <f t="shared" si="18"/>
        <v>ЭТАЖ ЗАДАН ЧИСЛОМ</v>
      </c>
      <c r="Q167" s="13" t="str">
        <f t="shared" si="19"/>
        <v>ГОТОВ_ИЗМЕНЕН</v>
      </c>
      <c r="R167" s="13">
        <f>IFERROR(VLOOKUP(P167,Лист1!A$1:B$20,2,FALSE),0)</f>
        <v>784</v>
      </c>
      <c r="S167" s="13">
        <f t="shared" si="20"/>
        <v>0</v>
      </c>
    </row>
    <row r="168" spans="1:19" x14ac:dyDescent="0.25">
      <c r="A168" s="24" t="s">
        <v>1258</v>
      </c>
      <c r="B168" s="4" t="s">
        <v>1059</v>
      </c>
      <c r="C168" s="25" t="s">
        <v>5</v>
      </c>
      <c r="G168" s="25" t="s">
        <v>1080</v>
      </c>
      <c r="H168" s="24" t="s">
        <v>1061</v>
      </c>
      <c r="I168" s="3" t="str">
        <f>IFERROR(VLOOKUP(C168,'Справочник соответствий'!A$2:D$2981,2,FALSE),IF(VALUE(C168)=0,1,VLOOKUP(C168,'Справочник соответствий'!A$2:D$2981,2,FALSE)))</f>
        <v>1</v>
      </c>
      <c r="J168" s="3">
        <f>IFERROR(VLOOKUP(D168,'Справочник соответствий'!A$2:D$2981,2,FALSE),IF(VALUE(D168)=0,0,VLOOKUP(D168,'Справочник соответствий'!A$2:D$2981,2,FALSE)))</f>
        <v>0</v>
      </c>
      <c r="K168" s="3" t="str">
        <f t="shared" si="14"/>
        <v>1</v>
      </c>
      <c r="L168" s="13" t="str">
        <f>IFERROR(VLOOKUP(C168,'Справочник соответствий'!A$2:D$2981,3,FALSE),IF(VALUE(C168)=0,"ЭТАЖ НЕ ОПРЕДЕЛЕН. ПРИНЯТ ПО ДОПУЩЕНИЮ 1",VLOOKUP(C168,'Справочник соответствий'!A$2:D$2981,3,FALSE)))</f>
        <v>ЭТАЖ ЗАДАН ЧИСЛОМ</v>
      </c>
      <c r="M168" s="13" t="b">
        <f t="shared" si="15"/>
        <v>0</v>
      </c>
      <c r="N168" s="13">
        <f t="shared" si="16"/>
        <v>1</v>
      </c>
      <c r="O168" s="13" t="str">
        <f t="shared" si="17"/>
        <v>ЭТАЖ ЗАДАН ЧИСЛОМ</v>
      </c>
      <c r="P168" s="13" t="str">
        <f t="shared" si="18"/>
        <v>ЭТАЖ ЗАДАН ЧИСЛОМ</v>
      </c>
      <c r="Q168" s="13" t="str">
        <f t="shared" si="19"/>
        <v>ГОТОВ_ИЗМЕНЕН</v>
      </c>
      <c r="R168" s="13">
        <f>IFERROR(VLOOKUP(P168,Лист1!A$1:B$20,2,FALSE),0)</f>
        <v>784</v>
      </c>
      <c r="S168" s="13">
        <f t="shared" si="20"/>
        <v>0</v>
      </c>
    </row>
    <row r="169" spans="1:19" x14ac:dyDescent="0.25">
      <c r="A169" s="24" t="s">
        <v>1259</v>
      </c>
      <c r="B169" s="4" t="s">
        <v>1059</v>
      </c>
      <c r="C169" s="25" t="s">
        <v>5</v>
      </c>
      <c r="G169" s="25" t="s">
        <v>1080</v>
      </c>
      <c r="H169" s="24" t="s">
        <v>1061</v>
      </c>
      <c r="I169" s="3" t="str">
        <f>IFERROR(VLOOKUP(C169,'Справочник соответствий'!A$2:D$2981,2,FALSE),IF(VALUE(C169)=0,1,VLOOKUP(C169,'Справочник соответствий'!A$2:D$2981,2,FALSE)))</f>
        <v>1</v>
      </c>
      <c r="J169" s="3">
        <f>IFERROR(VLOOKUP(D169,'Справочник соответствий'!A$2:D$2981,2,FALSE),IF(VALUE(D169)=0,0,VLOOKUP(D169,'Справочник соответствий'!A$2:D$2981,2,FALSE)))</f>
        <v>0</v>
      </c>
      <c r="K169" s="3" t="str">
        <f t="shared" si="14"/>
        <v>1</v>
      </c>
      <c r="L169" s="13" t="str">
        <f>IFERROR(VLOOKUP(C169,'Справочник соответствий'!A$2:D$2981,3,FALSE),IF(VALUE(C169)=0,"ЭТАЖ НЕ ОПРЕДЕЛЕН. ПРИНЯТ ПО ДОПУЩЕНИЮ 1",VLOOKUP(C169,'Справочник соответствий'!A$2:D$2981,3,FALSE)))</f>
        <v>ЭТАЖ ЗАДАН ЧИСЛОМ</v>
      </c>
      <c r="M169" s="13" t="b">
        <f t="shared" si="15"/>
        <v>0</v>
      </c>
      <c r="N169" s="13">
        <f t="shared" si="16"/>
        <v>1</v>
      </c>
      <c r="O169" s="13" t="str">
        <f t="shared" si="17"/>
        <v>ЭТАЖ ЗАДАН ЧИСЛОМ</v>
      </c>
      <c r="P169" s="13" t="str">
        <f t="shared" si="18"/>
        <v>ЭТАЖ ЗАДАН ЧИСЛОМ</v>
      </c>
      <c r="Q169" s="13" t="str">
        <f t="shared" si="19"/>
        <v>ГОТОВ_ИЗМЕНЕН</v>
      </c>
      <c r="R169" s="13">
        <f>IFERROR(VLOOKUP(P169,Лист1!A$1:B$20,2,FALSE),0)</f>
        <v>784</v>
      </c>
      <c r="S169" s="13">
        <f t="shared" si="20"/>
        <v>0</v>
      </c>
    </row>
    <row r="170" spans="1:19" x14ac:dyDescent="0.25">
      <c r="A170" s="24" t="s">
        <v>1260</v>
      </c>
      <c r="B170" s="4" t="s">
        <v>1059</v>
      </c>
      <c r="C170" s="25" t="s">
        <v>7</v>
      </c>
      <c r="G170" s="25" t="s">
        <v>1080</v>
      </c>
      <c r="H170" s="24" t="s">
        <v>1061</v>
      </c>
      <c r="I170" s="3" t="str">
        <f>IFERROR(VLOOKUP(C170,'Справочник соответствий'!A$2:D$2981,2,FALSE),IF(VALUE(C170)=0,1,VLOOKUP(C170,'Справочник соответствий'!A$2:D$2981,2,FALSE)))</f>
        <v>2</v>
      </c>
      <c r="J170" s="3">
        <f>IFERROR(VLOOKUP(D170,'Справочник соответствий'!A$2:D$2981,2,FALSE),IF(VALUE(D170)=0,0,VLOOKUP(D170,'Справочник соответствий'!A$2:D$2981,2,FALSE)))</f>
        <v>0</v>
      </c>
      <c r="K170" s="3" t="str">
        <f t="shared" si="14"/>
        <v>2</v>
      </c>
      <c r="L170" s="13" t="str">
        <f>IFERROR(VLOOKUP(C170,'Справочник соответствий'!A$2:D$2981,3,FALSE),IF(VALUE(C170)=0,"ЭТАЖ НЕ ОПРЕДЕЛЕН. ПРИНЯТ ПО ДОПУЩЕНИЮ 1",VLOOKUP(C170,'Справочник соответствий'!A$2:D$2981,3,FALSE)))</f>
        <v>ЭТАЖ ЗАДАН ЧИСЛОМ</v>
      </c>
      <c r="M170" s="13" t="b">
        <f t="shared" si="15"/>
        <v>0</v>
      </c>
      <c r="N170" s="13">
        <f t="shared" si="16"/>
        <v>2</v>
      </c>
      <c r="O170" s="13" t="str">
        <f t="shared" si="17"/>
        <v>ЭТАЖ ЗАДАН ЧИСЛОМ</v>
      </c>
      <c r="P170" s="13" t="str">
        <f t="shared" si="18"/>
        <v>ЭТАЖ ЗАДАН ЧИСЛОМ</v>
      </c>
      <c r="Q170" s="13" t="str">
        <f t="shared" si="19"/>
        <v>ГОТОВ_ИЗМЕНЕН</v>
      </c>
      <c r="R170" s="13">
        <f>IFERROR(VLOOKUP(P170,Лист1!A$1:B$20,2,FALSE),0)</f>
        <v>784</v>
      </c>
      <c r="S170" s="13">
        <f t="shared" si="20"/>
        <v>0</v>
      </c>
    </row>
    <row r="171" spans="1:19" x14ac:dyDescent="0.25">
      <c r="A171" s="24" t="s">
        <v>1261</v>
      </c>
      <c r="B171" s="4" t="s">
        <v>1059</v>
      </c>
      <c r="C171" s="25" t="s">
        <v>7</v>
      </c>
      <c r="G171" s="25" t="s">
        <v>1080</v>
      </c>
      <c r="H171" s="24" t="s">
        <v>1061</v>
      </c>
      <c r="I171" s="3" t="str">
        <f>IFERROR(VLOOKUP(C171,'Справочник соответствий'!A$2:D$2981,2,FALSE),IF(VALUE(C171)=0,1,VLOOKUP(C171,'Справочник соответствий'!A$2:D$2981,2,FALSE)))</f>
        <v>2</v>
      </c>
      <c r="J171" s="3">
        <f>IFERROR(VLOOKUP(D171,'Справочник соответствий'!A$2:D$2981,2,FALSE),IF(VALUE(D171)=0,0,VLOOKUP(D171,'Справочник соответствий'!A$2:D$2981,2,FALSE)))</f>
        <v>0</v>
      </c>
      <c r="K171" s="3" t="str">
        <f t="shared" si="14"/>
        <v>2</v>
      </c>
      <c r="L171" s="13" t="str">
        <f>IFERROR(VLOOKUP(C171,'Справочник соответствий'!A$2:D$2981,3,FALSE),IF(VALUE(C171)=0,"ЭТАЖ НЕ ОПРЕДЕЛЕН. ПРИНЯТ ПО ДОПУЩЕНИЮ 1",VLOOKUP(C171,'Справочник соответствий'!A$2:D$2981,3,FALSE)))</f>
        <v>ЭТАЖ ЗАДАН ЧИСЛОМ</v>
      </c>
      <c r="M171" s="13" t="b">
        <f t="shared" si="15"/>
        <v>0</v>
      </c>
      <c r="N171" s="13">
        <f t="shared" si="16"/>
        <v>2</v>
      </c>
      <c r="O171" s="13" t="str">
        <f t="shared" si="17"/>
        <v>ЭТАЖ ЗАДАН ЧИСЛОМ</v>
      </c>
      <c r="P171" s="13" t="str">
        <f t="shared" si="18"/>
        <v>ЭТАЖ ЗАДАН ЧИСЛОМ</v>
      </c>
      <c r="Q171" s="13" t="str">
        <f t="shared" si="19"/>
        <v>ГОТОВ_ИЗМЕНЕН</v>
      </c>
      <c r="R171" s="13">
        <f>IFERROR(VLOOKUP(P171,Лист1!A$1:B$20,2,FALSE),0)</f>
        <v>784</v>
      </c>
      <c r="S171" s="13">
        <f t="shared" si="20"/>
        <v>0</v>
      </c>
    </row>
    <row r="172" spans="1:19" x14ac:dyDescent="0.25">
      <c r="A172" s="24" t="s">
        <v>1262</v>
      </c>
      <c r="B172" s="4" t="s">
        <v>1063</v>
      </c>
      <c r="C172" s="25" t="s">
        <v>5</v>
      </c>
      <c r="G172" s="25" t="s">
        <v>1080</v>
      </c>
      <c r="H172" s="24" t="s">
        <v>1061</v>
      </c>
      <c r="I172" s="3" t="str">
        <f>IFERROR(VLOOKUP(C172,'Справочник соответствий'!A$2:D$2981,2,FALSE),IF(VALUE(C172)=0,1,VLOOKUP(C172,'Справочник соответствий'!A$2:D$2981,2,FALSE)))</f>
        <v>1</v>
      </c>
      <c r="J172" s="3">
        <f>IFERROR(VLOOKUP(D172,'Справочник соответствий'!A$2:D$2981,2,FALSE),IF(VALUE(D172)=0,0,VLOOKUP(D172,'Справочник соответствий'!A$2:D$2981,2,FALSE)))</f>
        <v>0</v>
      </c>
      <c r="K172" s="3" t="str">
        <f t="shared" si="14"/>
        <v>1</v>
      </c>
      <c r="L172" s="13" t="str">
        <f>IFERROR(VLOOKUP(C172,'Справочник соответствий'!A$2:D$2981,3,FALSE),IF(VALUE(C172)=0,"ЭТАЖ НЕ ОПРЕДЕЛЕН. ПРИНЯТ ПО ДОПУЩЕНИЮ 1",VLOOKUP(C172,'Справочник соответствий'!A$2:D$2981,3,FALSE)))</f>
        <v>ЭТАЖ ЗАДАН ЧИСЛОМ</v>
      </c>
      <c r="M172" s="13" t="b">
        <f t="shared" si="15"/>
        <v>0</v>
      </c>
      <c r="N172" s="13">
        <f t="shared" si="16"/>
        <v>1</v>
      </c>
      <c r="O172" s="13" t="str">
        <f t="shared" si="17"/>
        <v>ЭТАЖ ЗАДАН ЧИСЛОМ</v>
      </c>
      <c r="P172" s="13" t="str">
        <f t="shared" si="18"/>
        <v>ЭТАЖ ЗАДАН ЧИСЛОМ</v>
      </c>
      <c r="Q172" s="13" t="str">
        <f t="shared" si="19"/>
        <v>ГОТОВ_ИЗМЕНЕН</v>
      </c>
      <c r="R172" s="13">
        <f>IFERROR(VLOOKUP(P172,Лист1!A$1:B$20,2,FALSE),0)</f>
        <v>784</v>
      </c>
      <c r="S172" s="13">
        <f t="shared" si="20"/>
        <v>0</v>
      </c>
    </row>
    <row r="173" spans="1:19" x14ac:dyDescent="0.25">
      <c r="A173" s="24" t="s">
        <v>1263</v>
      </c>
      <c r="B173" s="4" t="s">
        <v>1063</v>
      </c>
      <c r="C173" s="25" t="s">
        <v>7</v>
      </c>
      <c r="G173" s="25" t="s">
        <v>1080</v>
      </c>
      <c r="H173" s="24" t="s">
        <v>1061</v>
      </c>
      <c r="I173" s="3" t="str">
        <f>IFERROR(VLOOKUP(C173,'Справочник соответствий'!A$2:D$2981,2,FALSE),IF(VALUE(C173)=0,1,VLOOKUP(C173,'Справочник соответствий'!A$2:D$2981,2,FALSE)))</f>
        <v>2</v>
      </c>
      <c r="J173" s="3">
        <f>IFERROR(VLOOKUP(D173,'Справочник соответствий'!A$2:D$2981,2,FALSE),IF(VALUE(D173)=0,0,VLOOKUP(D173,'Справочник соответствий'!A$2:D$2981,2,FALSE)))</f>
        <v>0</v>
      </c>
      <c r="K173" s="3" t="str">
        <f t="shared" si="14"/>
        <v>2</v>
      </c>
      <c r="L173" s="13" t="str">
        <f>IFERROR(VLOOKUP(C173,'Справочник соответствий'!A$2:D$2981,3,FALSE),IF(VALUE(C173)=0,"ЭТАЖ НЕ ОПРЕДЕЛЕН. ПРИНЯТ ПО ДОПУЩЕНИЮ 1",VLOOKUP(C173,'Справочник соответствий'!A$2:D$2981,3,FALSE)))</f>
        <v>ЭТАЖ ЗАДАН ЧИСЛОМ</v>
      </c>
      <c r="M173" s="13" t="b">
        <f t="shared" si="15"/>
        <v>0</v>
      </c>
      <c r="N173" s="13">
        <f t="shared" si="16"/>
        <v>2</v>
      </c>
      <c r="O173" s="13" t="str">
        <f t="shared" si="17"/>
        <v>ЭТАЖ ЗАДАН ЧИСЛОМ</v>
      </c>
      <c r="P173" s="13" t="str">
        <f t="shared" si="18"/>
        <v>ЭТАЖ ЗАДАН ЧИСЛОМ</v>
      </c>
      <c r="Q173" s="13" t="str">
        <f t="shared" si="19"/>
        <v>ГОТОВ_ИЗМЕНЕН</v>
      </c>
      <c r="R173" s="13">
        <f>IFERROR(VLOOKUP(P173,Лист1!A$1:B$20,2,FALSE),0)</f>
        <v>784</v>
      </c>
      <c r="S173" s="13">
        <f t="shared" si="20"/>
        <v>0</v>
      </c>
    </row>
    <row r="174" spans="1:19" x14ac:dyDescent="0.25">
      <c r="A174" s="24" t="s">
        <v>1264</v>
      </c>
      <c r="B174" s="4" t="s">
        <v>1059</v>
      </c>
      <c r="C174" s="25" t="s">
        <v>5</v>
      </c>
      <c r="G174" s="25" t="s">
        <v>1072</v>
      </c>
      <c r="H174" s="24" t="s">
        <v>1061</v>
      </c>
      <c r="I174" s="3" t="str">
        <f>IFERROR(VLOOKUP(C174,'Справочник соответствий'!A$2:D$2981,2,FALSE),IF(VALUE(C174)=0,1,VLOOKUP(C174,'Справочник соответствий'!A$2:D$2981,2,FALSE)))</f>
        <v>1</v>
      </c>
      <c r="J174" s="3">
        <f>IFERROR(VLOOKUP(D174,'Справочник соответствий'!A$2:D$2981,2,FALSE),IF(VALUE(D174)=0,0,VLOOKUP(D174,'Справочник соответствий'!A$2:D$2981,2,FALSE)))</f>
        <v>0</v>
      </c>
      <c r="K174" s="3" t="str">
        <f t="shared" si="14"/>
        <v>1</v>
      </c>
      <c r="L174" s="13" t="str">
        <f>IFERROR(VLOOKUP(C174,'Справочник соответствий'!A$2:D$2981,3,FALSE),IF(VALUE(C174)=0,"ЭТАЖ НЕ ОПРЕДЕЛЕН. ПРИНЯТ ПО ДОПУЩЕНИЮ 1",VLOOKUP(C174,'Справочник соответствий'!A$2:D$2981,3,FALSE)))</f>
        <v>ЭТАЖ ЗАДАН ЧИСЛОМ</v>
      </c>
      <c r="M174" s="13" t="b">
        <f t="shared" si="15"/>
        <v>0</v>
      </c>
      <c r="N174" s="13">
        <f t="shared" si="16"/>
        <v>1</v>
      </c>
      <c r="O174" s="13" t="str">
        <f t="shared" si="17"/>
        <v>ЭТАЖ ЗАДАН ЧИСЛОМ</v>
      </c>
      <c r="P174" s="13" t="str">
        <f t="shared" si="18"/>
        <v>ЭТАЖ ЗАДАН ЧИСЛОМ</v>
      </c>
      <c r="Q174" s="13" t="str">
        <f t="shared" si="19"/>
        <v>ГОТОВ_ИЗМЕНЕН</v>
      </c>
      <c r="R174" s="13">
        <f>IFERROR(VLOOKUP(P174,Лист1!A$1:B$20,2,FALSE),0)</f>
        <v>784</v>
      </c>
      <c r="S174" s="13">
        <f t="shared" si="20"/>
        <v>0</v>
      </c>
    </row>
    <row r="175" spans="1:19" x14ac:dyDescent="0.25">
      <c r="A175" s="24" t="s">
        <v>1265</v>
      </c>
      <c r="B175" s="4" t="s">
        <v>1059</v>
      </c>
      <c r="C175" s="25" t="s">
        <v>5</v>
      </c>
      <c r="G175" s="25" t="s">
        <v>1072</v>
      </c>
      <c r="H175" s="24" t="s">
        <v>1061</v>
      </c>
      <c r="I175" s="3" t="str">
        <f>IFERROR(VLOOKUP(C175,'Справочник соответствий'!A$2:D$2981,2,FALSE),IF(VALUE(C175)=0,1,VLOOKUP(C175,'Справочник соответствий'!A$2:D$2981,2,FALSE)))</f>
        <v>1</v>
      </c>
      <c r="J175" s="3">
        <f>IFERROR(VLOOKUP(D175,'Справочник соответствий'!A$2:D$2981,2,FALSE),IF(VALUE(D175)=0,0,VLOOKUP(D175,'Справочник соответствий'!A$2:D$2981,2,FALSE)))</f>
        <v>0</v>
      </c>
      <c r="K175" s="3" t="str">
        <f t="shared" si="14"/>
        <v>1</v>
      </c>
      <c r="L175" s="13" t="str">
        <f>IFERROR(VLOOKUP(C175,'Справочник соответствий'!A$2:D$2981,3,FALSE),IF(VALUE(C175)=0,"ЭТАЖ НЕ ОПРЕДЕЛЕН. ПРИНЯТ ПО ДОПУЩЕНИЮ 1",VLOOKUP(C175,'Справочник соответствий'!A$2:D$2981,3,FALSE)))</f>
        <v>ЭТАЖ ЗАДАН ЧИСЛОМ</v>
      </c>
      <c r="M175" s="13" t="b">
        <f t="shared" si="15"/>
        <v>0</v>
      </c>
      <c r="N175" s="13">
        <f t="shared" si="16"/>
        <v>1</v>
      </c>
      <c r="O175" s="13" t="str">
        <f t="shared" si="17"/>
        <v>ЭТАЖ ЗАДАН ЧИСЛОМ</v>
      </c>
      <c r="P175" s="13" t="str">
        <f t="shared" si="18"/>
        <v>ЭТАЖ ЗАДАН ЧИСЛОМ</v>
      </c>
      <c r="Q175" s="13" t="str">
        <f t="shared" si="19"/>
        <v>ГОТОВ_ИЗМЕНЕН</v>
      </c>
      <c r="R175" s="13">
        <f>IFERROR(VLOOKUP(P175,Лист1!A$1:B$20,2,FALSE),0)</f>
        <v>784</v>
      </c>
      <c r="S175" s="13">
        <f t="shared" si="20"/>
        <v>0</v>
      </c>
    </row>
    <row r="176" spans="1:19" x14ac:dyDescent="0.25">
      <c r="A176" s="24" t="s">
        <v>1266</v>
      </c>
      <c r="B176" s="4" t="s">
        <v>1059</v>
      </c>
      <c r="C176" s="25" t="s">
        <v>5</v>
      </c>
      <c r="G176" s="25" t="s">
        <v>1072</v>
      </c>
      <c r="H176" s="24" t="s">
        <v>1061</v>
      </c>
      <c r="I176" s="3" t="str">
        <f>IFERROR(VLOOKUP(C176,'Справочник соответствий'!A$2:D$2981,2,FALSE),IF(VALUE(C176)=0,1,VLOOKUP(C176,'Справочник соответствий'!A$2:D$2981,2,FALSE)))</f>
        <v>1</v>
      </c>
      <c r="J176" s="3">
        <f>IFERROR(VLOOKUP(D176,'Справочник соответствий'!A$2:D$2981,2,FALSE),IF(VALUE(D176)=0,0,VLOOKUP(D176,'Справочник соответствий'!A$2:D$2981,2,FALSE)))</f>
        <v>0</v>
      </c>
      <c r="K176" s="3" t="str">
        <f t="shared" si="14"/>
        <v>1</v>
      </c>
      <c r="L176" s="13" t="str">
        <f>IFERROR(VLOOKUP(C176,'Справочник соответствий'!A$2:D$2981,3,FALSE),IF(VALUE(C176)=0,"ЭТАЖ НЕ ОПРЕДЕЛЕН. ПРИНЯТ ПО ДОПУЩЕНИЮ 1",VLOOKUP(C176,'Справочник соответствий'!A$2:D$2981,3,FALSE)))</f>
        <v>ЭТАЖ ЗАДАН ЧИСЛОМ</v>
      </c>
      <c r="M176" s="13" t="b">
        <f t="shared" si="15"/>
        <v>0</v>
      </c>
      <c r="N176" s="13">
        <f t="shared" si="16"/>
        <v>1</v>
      </c>
      <c r="O176" s="13" t="str">
        <f t="shared" si="17"/>
        <v>ЭТАЖ ЗАДАН ЧИСЛОМ</v>
      </c>
      <c r="P176" s="13" t="str">
        <f t="shared" si="18"/>
        <v>ЭТАЖ ЗАДАН ЧИСЛОМ</v>
      </c>
      <c r="Q176" s="13" t="str">
        <f t="shared" si="19"/>
        <v>ГОТОВ_ИЗМЕНЕН</v>
      </c>
      <c r="R176" s="13">
        <f>IFERROR(VLOOKUP(P176,Лист1!A$1:B$20,2,FALSE),0)</f>
        <v>784</v>
      </c>
      <c r="S176" s="13">
        <f t="shared" si="20"/>
        <v>0</v>
      </c>
    </row>
    <row r="177" spans="1:19" x14ac:dyDescent="0.25">
      <c r="A177" s="24" t="s">
        <v>1267</v>
      </c>
      <c r="B177" s="4" t="s">
        <v>1059</v>
      </c>
      <c r="C177" s="25" t="s">
        <v>7</v>
      </c>
      <c r="G177" s="25" t="s">
        <v>1072</v>
      </c>
      <c r="H177" s="24" t="s">
        <v>1061</v>
      </c>
      <c r="I177" s="3" t="str">
        <f>IFERROR(VLOOKUP(C177,'Справочник соответствий'!A$2:D$2981,2,FALSE),IF(VALUE(C177)=0,1,VLOOKUP(C177,'Справочник соответствий'!A$2:D$2981,2,FALSE)))</f>
        <v>2</v>
      </c>
      <c r="J177" s="3">
        <f>IFERROR(VLOOKUP(D177,'Справочник соответствий'!A$2:D$2981,2,FALSE),IF(VALUE(D177)=0,0,VLOOKUP(D177,'Справочник соответствий'!A$2:D$2981,2,FALSE)))</f>
        <v>0</v>
      </c>
      <c r="K177" s="3" t="str">
        <f t="shared" si="14"/>
        <v>2</v>
      </c>
      <c r="L177" s="13" t="str">
        <f>IFERROR(VLOOKUP(C177,'Справочник соответствий'!A$2:D$2981,3,FALSE),IF(VALUE(C177)=0,"ЭТАЖ НЕ ОПРЕДЕЛЕН. ПРИНЯТ ПО ДОПУЩЕНИЮ 1",VLOOKUP(C177,'Справочник соответствий'!A$2:D$2981,3,FALSE)))</f>
        <v>ЭТАЖ ЗАДАН ЧИСЛОМ</v>
      </c>
      <c r="M177" s="13" t="b">
        <f t="shared" si="15"/>
        <v>0</v>
      </c>
      <c r="N177" s="13">
        <f t="shared" si="16"/>
        <v>2</v>
      </c>
      <c r="O177" s="13" t="str">
        <f t="shared" si="17"/>
        <v>ЭТАЖ ЗАДАН ЧИСЛОМ</v>
      </c>
      <c r="P177" s="13" t="str">
        <f t="shared" si="18"/>
        <v>ЭТАЖ ЗАДАН ЧИСЛОМ</v>
      </c>
      <c r="Q177" s="13" t="str">
        <f t="shared" si="19"/>
        <v>ГОТОВ_ИЗМЕНЕН</v>
      </c>
      <c r="R177" s="13">
        <f>IFERROR(VLOOKUP(P177,Лист1!A$1:B$20,2,FALSE),0)</f>
        <v>784</v>
      </c>
      <c r="S177" s="13">
        <f t="shared" si="20"/>
        <v>0</v>
      </c>
    </row>
    <row r="178" spans="1:19" x14ac:dyDescent="0.25">
      <c r="A178" s="24" t="s">
        <v>1268</v>
      </c>
      <c r="B178" s="4" t="s">
        <v>1059</v>
      </c>
      <c r="C178" s="25" t="s">
        <v>5</v>
      </c>
      <c r="G178" s="25" t="s">
        <v>1072</v>
      </c>
      <c r="H178" s="24" t="s">
        <v>1061</v>
      </c>
      <c r="I178" s="3" t="str">
        <f>IFERROR(VLOOKUP(C178,'Справочник соответствий'!A$2:D$2981,2,FALSE),IF(VALUE(C178)=0,1,VLOOKUP(C178,'Справочник соответствий'!A$2:D$2981,2,FALSE)))</f>
        <v>1</v>
      </c>
      <c r="J178" s="3">
        <f>IFERROR(VLOOKUP(D178,'Справочник соответствий'!A$2:D$2981,2,FALSE),IF(VALUE(D178)=0,0,VLOOKUP(D178,'Справочник соответствий'!A$2:D$2981,2,FALSE)))</f>
        <v>0</v>
      </c>
      <c r="K178" s="3" t="str">
        <f t="shared" si="14"/>
        <v>1</v>
      </c>
      <c r="L178" s="13" t="str">
        <f>IFERROR(VLOOKUP(C178,'Справочник соответствий'!A$2:D$2981,3,FALSE),IF(VALUE(C178)=0,"ЭТАЖ НЕ ОПРЕДЕЛЕН. ПРИНЯТ ПО ДОПУЩЕНИЮ 1",VLOOKUP(C178,'Справочник соответствий'!A$2:D$2981,3,FALSE)))</f>
        <v>ЭТАЖ ЗАДАН ЧИСЛОМ</v>
      </c>
      <c r="M178" s="13" t="b">
        <f t="shared" si="15"/>
        <v>0</v>
      </c>
      <c r="N178" s="13">
        <f t="shared" si="16"/>
        <v>1</v>
      </c>
      <c r="O178" s="13" t="str">
        <f t="shared" si="17"/>
        <v>ЭТАЖ ЗАДАН ЧИСЛОМ</v>
      </c>
      <c r="P178" s="13" t="str">
        <f t="shared" si="18"/>
        <v>ЭТАЖ ЗАДАН ЧИСЛОМ</v>
      </c>
      <c r="Q178" s="13" t="str">
        <f t="shared" si="19"/>
        <v>ГОТОВ_ИЗМЕНЕН</v>
      </c>
      <c r="R178" s="13">
        <f>IFERROR(VLOOKUP(P178,Лист1!A$1:B$20,2,FALSE),0)</f>
        <v>784</v>
      </c>
      <c r="S178" s="13">
        <f t="shared" si="20"/>
        <v>0</v>
      </c>
    </row>
    <row r="179" spans="1:19" x14ac:dyDescent="0.25">
      <c r="A179" s="24" t="s">
        <v>1269</v>
      </c>
      <c r="B179" s="4" t="s">
        <v>1059</v>
      </c>
      <c r="C179" s="25" t="s">
        <v>5</v>
      </c>
      <c r="G179" s="25" t="s">
        <v>1072</v>
      </c>
      <c r="H179" s="24" t="s">
        <v>1061</v>
      </c>
      <c r="I179" s="3" t="str">
        <f>IFERROR(VLOOKUP(C179,'Справочник соответствий'!A$2:D$2981,2,FALSE),IF(VALUE(C179)=0,1,VLOOKUP(C179,'Справочник соответствий'!A$2:D$2981,2,FALSE)))</f>
        <v>1</v>
      </c>
      <c r="J179" s="3">
        <f>IFERROR(VLOOKUP(D179,'Справочник соответствий'!A$2:D$2981,2,FALSE),IF(VALUE(D179)=0,0,VLOOKUP(D179,'Справочник соответствий'!A$2:D$2981,2,FALSE)))</f>
        <v>0</v>
      </c>
      <c r="K179" s="3" t="str">
        <f t="shared" si="14"/>
        <v>1</v>
      </c>
      <c r="L179" s="13" t="str">
        <f>IFERROR(VLOOKUP(C179,'Справочник соответствий'!A$2:D$2981,3,FALSE),IF(VALUE(C179)=0,"ЭТАЖ НЕ ОПРЕДЕЛЕН. ПРИНЯТ ПО ДОПУЩЕНИЮ 1",VLOOKUP(C179,'Справочник соответствий'!A$2:D$2981,3,FALSE)))</f>
        <v>ЭТАЖ ЗАДАН ЧИСЛОМ</v>
      </c>
      <c r="M179" s="13" t="b">
        <f t="shared" si="15"/>
        <v>0</v>
      </c>
      <c r="N179" s="13">
        <f t="shared" si="16"/>
        <v>1</v>
      </c>
      <c r="O179" s="13" t="str">
        <f t="shared" si="17"/>
        <v>ЭТАЖ ЗАДАН ЧИСЛОМ</v>
      </c>
      <c r="P179" s="13" t="str">
        <f t="shared" si="18"/>
        <v>ЭТАЖ ЗАДАН ЧИСЛОМ</v>
      </c>
      <c r="Q179" s="13" t="str">
        <f t="shared" si="19"/>
        <v>ГОТОВ_ИЗМЕНЕН</v>
      </c>
      <c r="R179" s="13">
        <f>IFERROR(VLOOKUP(P179,Лист1!A$1:B$20,2,FALSE),0)</f>
        <v>784</v>
      </c>
      <c r="S179" s="13">
        <f t="shared" si="20"/>
        <v>0</v>
      </c>
    </row>
    <row r="180" spans="1:19" x14ac:dyDescent="0.25">
      <c r="A180" s="24" t="s">
        <v>1270</v>
      </c>
      <c r="B180" s="4" t="s">
        <v>1059</v>
      </c>
      <c r="C180" s="25" t="s">
        <v>7</v>
      </c>
      <c r="G180" s="25" t="s">
        <v>1072</v>
      </c>
      <c r="H180" s="24" t="s">
        <v>1061</v>
      </c>
      <c r="I180" s="3" t="str">
        <f>IFERROR(VLOOKUP(C180,'Справочник соответствий'!A$2:D$2981,2,FALSE),IF(VALUE(C180)=0,1,VLOOKUP(C180,'Справочник соответствий'!A$2:D$2981,2,FALSE)))</f>
        <v>2</v>
      </c>
      <c r="J180" s="3">
        <f>IFERROR(VLOOKUP(D180,'Справочник соответствий'!A$2:D$2981,2,FALSE),IF(VALUE(D180)=0,0,VLOOKUP(D180,'Справочник соответствий'!A$2:D$2981,2,FALSE)))</f>
        <v>0</v>
      </c>
      <c r="K180" s="3" t="str">
        <f t="shared" si="14"/>
        <v>2</v>
      </c>
      <c r="L180" s="13" t="str">
        <f>IFERROR(VLOOKUP(C180,'Справочник соответствий'!A$2:D$2981,3,FALSE),IF(VALUE(C180)=0,"ЭТАЖ НЕ ОПРЕДЕЛЕН. ПРИНЯТ ПО ДОПУЩЕНИЮ 1",VLOOKUP(C180,'Справочник соответствий'!A$2:D$2981,3,FALSE)))</f>
        <v>ЭТАЖ ЗАДАН ЧИСЛОМ</v>
      </c>
      <c r="M180" s="13" t="b">
        <f t="shared" si="15"/>
        <v>0</v>
      </c>
      <c r="N180" s="13">
        <f t="shared" si="16"/>
        <v>2</v>
      </c>
      <c r="O180" s="13" t="str">
        <f t="shared" si="17"/>
        <v>ЭТАЖ ЗАДАН ЧИСЛОМ</v>
      </c>
      <c r="P180" s="13" t="str">
        <f t="shared" si="18"/>
        <v>ЭТАЖ ЗАДАН ЧИСЛОМ</v>
      </c>
      <c r="Q180" s="13" t="str">
        <f t="shared" si="19"/>
        <v>ГОТОВ_ИЗМЕНЕН</v>
      </c>
      <c r="R180" s="13">
        <f>IFERROR(VLOOKUP(P180,Лист1!A$1:B$20,2,FALSE),0)</f>
        <v>784</v>
      </c>
      <c r="S180" s="13">
        <f t="shared" si="20"/>
        <v>0</v>
      </c>
    </row>
    <row r="181" spans="1:19" x14ac:dyDescent="0.25">
      <c r="A181" s="24" t="s">
        <v>1271</v>
      </c>
      <c r="B181" s="4" t="s">
        <v>1059</v>
      </c>
      <c r="C181" s="25" t="s">
        <v>5</v>
      </c>
      <c r="G181" s="25" t="s">
        <v>1072</v>
      </c>
      <c r="H181" s="24" t="s">
        <v>1061</v>
      </c>
      <c r="I181" s="3" t="str">
        <f>IFERROR(VLOOKUP(C181,'Справочник соответствий'!A$2:D$2981,2,FALSE),IF(VALUE(C181)=0,1,VLOOKUP(C181,'Справочник соответствий'!A$2:D$2981,2,FALSE)))</f>
        <v>1</v>
      </c>
      <c r="J181" s="3">
        <f>IFERROR(VLOOKUP(D181,'Справочник соответствий'!A$2:D$2981,2,FALSE),IF(VALUE(D181)=0,0,VLOOKUP(D181,'Справочник соответствий'!A$2:D$2981,2,FALSE)))</f>
        <v>0</v>
      </c>
      <c r="K181" s="3" t="str">
        <f t="shared" si="14"/>
        <v>1</v>
      </c>
      <c r="L181" s="13" t="str">
        <f>IFERROR(VLOOKUP(C181,'Справочник соответствий'!A$2:D$2981,3,FALSE),IF(VALUE(C181)=0,"ЭТАЖ НЕ ОПРЕДЕЛЕН. ПРИНЯТ ПО ДОПУЩЕНИЮ 1",VLOOKUP(C181,'Справочник соответствий'!A$2:D$2981,3,FALSE)))</f>
        <v>ЭТАЖ ЗАДАН ЧИСЛОМ</v>
      </c>
      <c r="M181" s="13" t="b">
        <f t="shared" si="15"/>
        <v>0</v>
      </c>
      <c r="N181" s="13">
        <f t="shared" si="16"/>
        <v>1</v>
      </c>
      <c r="O181" s="13" t="str">
        <f t="shared" si="17"/>
        <v>ЭТАЖ ЗАДАН ЧИСЛОМ</v>
      </c>
      <c r="P181" s="13" t="str">
        <f t="shared" si="18"/>
        <v>ЭТАЖ ЗАДАН ЧИСЛОМ</v>
      </c>
      <c r="Q181" s="13" t="str">
        <f t="shared" si="19"/>
        <v>ГОТОВ_ИЗМЕНЕН</v>
      </c>
      <c r="R181" s="13">
        <f>IFERROR(VLOOKUP(P181,Лист1!A$1:B$20,2,FALSE),0)</f>
        <v>784</v>
      </c>
      <c r="S181" s="13">
        <f t="shared" si="20"/>
        <v>0</v>
      </c>
    </row>
    <row r="182" spans="1:19" x14ac:dyDescent="0.25">
      <c r="A182" s="24" t="s">
        <v>1272</v>
      </c>
      <c r="B182" s="4" t="s">
        <v>1063</v>
      </c>
      <c r="C182" s="25" t="s">
        <v>5</v>
      </c>
      <c r="G182" s="25" t="s">
        <v>1072</v>
      </c>
      <c r="H182" s="24" t="s">
        <v>1061</v>
      </c>
      <c r="I182" s="3" t="str">
        <f>IFERROR(VLOOKUP(C182,'Справочник соответствий'!A$2:D$2981,2,FALSE),IF(VALUE(C182)=0,1,VLOOKUP(C182,'Справочник соответствий'!A$2:D$2981,2,FALSE)))</f>
        <v>1</v>
      </c>
      <c r="J182" s="3">
        <f>IFERROR(VLOOKUP(D182,'Справочник соответствий'!A$2:D$2981,2,FALSE),IF(VALUE(D182)=0,0,VLOOKUP(D182,'Справочник соответствий'!A$2:D$2981,2,FALSE)))</f>
        <v>0</v>
      </c>
      <c r="K182" s="3" t="str">
        <f t="shared" si="14"/>
        <v>1</v>
      </c>
      <c r="L182" s="13" t="str">
        <f>IFERROR(VLOOKUP(C182,'Справочник соответствий'!A$2:D$2981,3,FALSE),IF(VALUE(C182)=0,"ЭТАЖ НЕ ОПРЕДЕЛЕН. ПРИНЯТ ПО ДОПУЩЕНИЮ 1",VLOOKUP(C182,'Справочник соответствий'!A$2:D$2981,3,FALSE)))</f>
        <v>ЭТАЖ ЗАДАН ЧИСЛОМ</v>
      </c>
      <c r="M182" s="13" t="b">
        <f t="shared" si="15"/>
        <v>0</v>
      </c>
      <c r="N182" s="13">
        <f t="shared" si="16"/>
        <v>1</v>
      </c>
      <c r="O182" s="13" t="str">
        <f t="shared" si="17"/>
        <v>ЭТАЖ ЗАДАН ЧИСЛОМ</v>
      </c>
      <c r="P182" s="13" t="str">
        <f t="shared" si="18"/>
        <v>ЭТАЖ ЗАДАН ЧИСЛОМ</v>
      </c>
      <c r="Q182" s="13" t="str">
        <f t="shared" si="19"/>
        <v>ГОТОВ_ИЗМЕНЕН</v>
      </c>
      <c r="R182" s="13">
        <f>IFERROR(VLOOKUP(P182,Лист1!A$1:B$20,2,FALSE),0)</f>
        <v>784</v>
      </c>
      <c r="S182" s="13">
        <f t="shared" si="20"/>
        <v>0</v>
      </c>
    </row>
    <row r="183" spans="1:19" x14ac:dyDescent="0.25">
      <c r="A183" s="24" t="s">
        <v>1273</v>
      </c>
      <c r="B183" s="4" t="s">
        <v>1059</v>
      </c>
      <c r="C183" s="25" t="s">
        <v>5</v>
      </c>
      <c r="G183" s="25" t="s">
        <v>1072</v>
      </c>
      <c r="H183" s="24" t="s">
        <v>1061</v>
      </c>
      <c r="I183" s="3" t="str">
        <f>IFERROR(VLOOKUP(C183,'Справочник соответствий'!A$2:D$2981,2,FALSE),IF(VALUE(C183)=0,1,VLOOKUP(C183,'Справочник соответствий'!A$2:D$2981,2,FALSE)))</f>
        <v>1</v>
      </c>
      <c r="J183" s="3">
        <f>IFERROR(VLOOKUP(D183,'Справочник соответствий'!A$2:D$2981,2,FALSE),IF(VALUE(D183)=0,0,VLOOKUP(D183,'Справочник соответствий'!A$2:D$2981,2,FALSE)))</f>
        <v>0</v>
      </c>
      <c r="K183" s="3" t="str">
        <f t="shared" si="14"/>
        <v>1</v>
      </c>
      <c r="L183" s="13" t="str">
        <f>IFERROR(VLOOKUP(C183,'Справочник соответствий'!A$2:D$2981,3,FALSE),IF(VALUE(C183)=0,"ЭТАЖ НЕ ОПРЕДЕЛЕН. ПРИНЯТ ПО ДОПУЩЕНИЮ 1",VLOOKUP(C183,'Справочник соответствий'!A$2:D$2981,3,FALSE)))</f>
        <v>ЭТАЖ ЗАДАН ЧИСЛОМ</v>
      </c>
      <c r="M183" s="13" t="b">
        <f t="shared" si="15"/>
        <v>0</v>
      </c>
      <c r="N183" s="13">
        <f t="shared" si="16"/>
        <v>1</v>
      </c>
      <c r="O183" s="13" t="str">
        <f t="shared" si="17"/>
        <v>ЭТАЖ ЗАДАН ЧИСЛОМ</v>
      </c>
      <c r="P183" s="13" t="str">
        <f t="shared" si="18"/>
        <v>ЭТАЖ ЗАДАН ЧИСЛОМ</v>
      </c>
      <c r="Q183" s="13" t="str">
        <f t="shared" si="19"/>
        <v>ГОТОВ_ИЗМЕНЕН</v>
      </c>
      <c r="R183" s="13">
        <f>IFERROR(VLOOKUP(P183,Лист1!A$1:B$20,2,FALSE),0)</f>
        <v>784</v>
      </c>
      <c r="S183" s="13">
        <f t="shared" si="20"/>
        <v>0</v>
      </c>
    </row>
    <row r="184" spans="1:19" x14ac:dyDescent="0.25">
      <c r="A184" s="24" t="s">
        <v>1274</v>
      </c>
      <c r="B184" s="4" t="s">
        <v>1059</v>
      </c>
      <c r="C184" s="25" t="s">
        <v>8</v>
      </c>
      <c r="G184" s="25" t="s">
        <v>1072</v>
      </c>
      <c r="H184" s="24" t="s">
        <v>1061</v>
      </c>
      <c r="I184" s="3" t="str">
        <f>IFERROR(VLOOKUP(C184,'Справочник соответствий'!A$2:D$2981,2,FALSE),IF(VALUE(C184)=0,1,VLOOKUP(C184,'Справочник соответствий'!A$2:D$2981,2,FALSE)))</f>
        <v>3</v>
      </c>
      <c r="J184" s="3">
        <f>IFERROR(VLOOKUP(D184,'Справочник соответствий'!A$2:D$2981,2,FALSE),IF(VALUE(D184)=0,0,VLOOKUP(D184,'Справочник соответствий'!A$2:D$2981,2,FALSE)))</f>
        <v>0</v>
      </c>
      <c r="K184" s="3" t="str">
        <f t="shared" si="14"/>
        <v>3</v>
      </c>
      <c r="L184" s="13" t="str">
        <f>IFERROR(VLOOKUP(C184,'Справочник соответствий'!A$2:D$2981,3,FALSE),IF(VALUE(C184)=0,"ЭТАЖ НЕ ОПРЕДЕЛЕН. ПРИНЯТ ПО ДОПУЩЕНИЮ 1",VLOOKUP(C184,'Справочник соответствий'!A$2:D$2981,3,FALSE)))</f>
        <v>ЭТАЖ ЗАДАН ЧИСЛОМ</v>
      </c>
      <c r="M184" s="13" t="b">
        <f t="shared" si="15"/>
        <v>0</v>
      </c>
      <c r="N184" s="13">
        <f t="shared" si="16"/>
        <v>3</v>
      </c>
      <c r="O184" s="13" t="str">
        <f t="shared" si="17"/>
        <v>ЭТАЖ ЗАДАН ЧИСЛОМ</v>
      </c>
      <c r="P184" s="13" t="str">
        <f t="shared" si="18"/>
        <v>ЭТАЖ ЗАДАН ЧИСЛОМ</v>
      </c>
      <c r="Q184" s="13" t="str">
        <f t="shared" si="19"/>
        <v>ГОТОВ_ИЗМЕНЕН</v>
      </c>
      <c r="R184" s="13">
        <f>IFERROR(VLOOKUP(P184,Лист1!A$1:B$20,2,FALSE),0)</f>
        <v>784</v>
      </c>
      <c r="S184" s="13">
        <f t="shared" si="20"/>
        <v>0</v>
      </c>
    </row>
    <row r="185" spans="1:19" x14ac:dyDescent="0.25">
      <c r="A185" s="24" t="s">
        <v>1275</v>
      </c>
      <c r="B185" s="4" t="s">
        <v>1059</v>
      </c>
      <c r="C185" s="25" t="s">
        <v>8</v>
      </c>
      <c r="D185" s="25" t="s">
        <v>5</v>
      </c>
      <c r="G185" s="25" t="s">
        <v>1276</v>
      </c>
      <c r="H185" s="24" t="s">
        <v>1061</v>
      </c>
      <c r="I185" s="3" t="str">
        <f>IFERROR(VLOOKUP(C185,'Справочник соответствий'!A$2:D$2981,2,FALSE),IF(VALUE(C185)=0,1,VLOOKUP(C185,'Справочник соответствий'!A$2:D$2981,2,FALSE)))</f>
        <v>3</v>
      </c>
      <c r="J185" s="3" t="str">
        <f>IFERROR(VLOOKUP(D185,'Справочник соответствий'!A$2:D$2981,2,FALSE),IF(VALUE(D185)=0,0,VLOOKUP(D185,'Справочник соответствий'!A$2:D$2981,2,FALSE)))</f>
        <v>1</v>
      </c>
      <c r="K185" s="3" t="str">
        <f t="shared" si="14"/>
        <v>3</v>
      </c>
      <c r="L185" s="13" t="str">
        <f>IFERROR(VLOOKUP(C185,'Справочник соответствий'!A$2:D$2981,3,FALSE),IF(VALUE(C185)=0,"ЭТАЖ НЕ ОПРЕДЕЛЕН. ПРИНЯТ ПО ДОПУЩЕНИЮ 1",VLOOKUP(C185,'Справочник соответствий'!A$2:D$2981,3,FALSE)))</f>
        <v>ЭТАЖ ЗАДАН ЧИСЛОМ</v>
      </c>
      <c r="M185" s="13" t="b">
        <f t="shared" si="15"/>
        <v>0</v>
      </c>
      <c r="N185" s="13">
        <f t="shared" si="16"/>
        <v>3</v>
      </c>
      <c r="O185" s="13" t="str">
        <f t="shared" si="17"/>
        <v>ЭТАЖ ЗАДАН ЧИСЛОМ</v>
      </c>
      <c r="P185" s="13" t="str">
        <f t="shared" si="18"/>
        <v>ЭТАЖ ЗАДАН ЧИСЛОМ</v>
      </c>
      <c r="Q185" s="13" t="str">
        <f t="shared" si="19"/>
        <v>ГОТОВ_ИЗМЕНЕН</v>
      </c>
      <c r="R185" s="13">
        <f>IFERROR(VLOOKUP(P185,Лист1!A$1:B$20,2,FALSE),0)</f>
        <v>784</v>
      </c>
      <c r="S185" s="13">
        <f t="shared" si="20"/>
        <v>0</v>
      </c>
    </row>
    <row r="186" spans="1:19" x14ac:dyDescent="0.25">
      <c r="A186" s="24" t="s">
        <v>1277</v>
      </c>
      <c r="B186" s="4" t="s">
        <v>1063</v>
      </c>
      <c r="C186" s="25" t="s">
        <v>5</v>
      </c>
      <c r="G186" s="25" t="s">
        <v>1072</v>
      </c>
      <c r="H186" s="24" t="s">
        <v>1061</v>
      </c>
      <c r="I186" s="3" t="str">
        <f>IFERROR(VLOOKUP(C186,'Справочник соответствий'!A$2:D$2981,2,FALSE),IF(VALUE(C186)=0,1,VLOOKUP(C186,'Справочник соответствий'!A$2:D$2981,2,FALSE)))</f>
        <v>1</v>
      </c>
      <c r="J186" s="3">
        <f>IFERROR(VLOOKUP(D186,'Справочник соответствий'!A$2:D$2981,2,FALSE),IF(VALUE(D186)=0,0,VLOOKUP(D186,'Справочник соответствий'!A$2:D$2981,2,FALSE)))</f>
        <v>0</v>
      </c>
      <c r="K186" s="3" t="str">
        <f t="shared" si="14"/>
        <v>1</v>
      </c>
      <c r="L186" s="13" t="str">
        <f>IFERROR(VLOOKUP(C186,'Справочник соответствий'!A$2:D$2981,3,FALSE),IF(VALUE(C186)=0,"ЭТАЖ НЕ ОПРЕДЕЛЕН. ПРИНЯТ ПО ДОПУЩЕНИЮ 1",VLOOKUP(C186,'Справочник соответствий'!A$2:D$2981,3,FALSE)))</f>
        <v>ЭТАЖ ЗАДАН ЧИСЛОМ</v>
      </c>
      <c r="M186" s="13" t="b">
        <f t="shared" si="15"/>
        <v>0</v>
      </c>
      <c r="N186" s="13">
        <f t="shared" si="16"/>
        <v>1</v>
      </c>
      <c r="O186" s="13" t="str">
        <f t="shared" si="17"/>
        <v>ЭТАЖ ЗАДАН ЧИСЛОМ</v>
      </c>
      <c r="P186" s="13" t="str">
        <f t="shared" si="18"/>
        <v>ЭТАЖ ЗАДАН ЧИСЛОМ</v>
      </c>
      <c r="Q186" s="13" t="str">
        <f t="shared" si="19"/>
        <v>ГОТОВ_ИЗМЕНЕН</v>
      </c>
      <c r="R186" s="13">
        <f>IFERROR(VLOOKUP(P186,Лист1!A$1:B$20,2,FALSE),0)</f>
        <v>784</v>
      </c>
      <c r="S186" s="13">
        <f t="shared" si="20"/>
        <v>0</v>
      </c>
    </row>
    <row r="187" spans="1:19" x14ac:dyDescent="0.25">
      <c r="A187" s="24" t="s">
        <v>1278</v>
      </c>
      <c r="B187" s="4" t="s">
        <v>1059</v>
      </c>
      <c r="C187" s="25" t="s">
        <v>7</v>
      </c>
      <c r="G187" s="25" t="s">
        <v>1072</v>
      </c>
      <c r="H187" s="24" t="s">
        <v>1061</v>
      </c>
      <c r="I187" s="3" t="str">
        <f>IFERROR(VLOOKUP(C187,'Справочник соответствий'!A$2:D$2981,2,FALSE),IF(VALUE(C187)=0,1,VLOOKUP(C187,'Справочник соответствий'!A$2:D$2981,2,FALSE)))</f>
        <v>2</v>
      </c>
      <c r="J187" s="3">
        <f>IFERROR(VLOOKUP(D187,'Справочник соответствий'!A$2:D$2981,2,FALSE),IF(VALUE(D187)=0,0,VLOOKUP(D187,'Справочник соответствий'!A$2:D$2981,2,FALSE)))</f>
        <v>0</v>
      </c>
      <c r="K187" s="3" t="str">
        <f t="shared" si="14"/>
        <v>2</v>
      </c>
      <c r="L187" s="13" t="str">
        <f>IFERROR(VLOOKUP(C187,'Справочник соответствий'!A$2:D$2981,3,FALSE),IF(VALUE(C187)=0,"ЭТАЖ НЕ ОПРЕДЕЛЕН. ПРИНЯТ ПО ДОПУЩЕНИЮ 1",VLOOKUP(C187,'Справочник соответствий'!A$2:D$2981,3,FALSE)))</f>
        <v>ЭТАЖ ЗАДАН ЧИСЛОМ</v>
      </c>
      <c r="M187" s="13" t="b">
        <f t="shared" si="15"/>
        <v>0</v>
      </c>
      <c r="N187" s="13">
        <f t="shared" si="16"/>
        <v>2</v>
      </c>
      <c r="O187" s="13" t="str">
        <f t="shared" si="17"/>
        <v>ЭТАЖ ЗАДАН ЧИСЛОМ</v>
      </c>
      <c r="P187" s="13" t="str">
        <f t="shared" si="18"/>
        <v>ЭТАЖ ЗАДАН ЧИСЛОМ</v>
      </c>
      <c r="Q187" s="13" t="str">
        <f t="shared" si="19"/>
        <v>ГОТОВ_ИЗМЕНЕН</v>
      </c>
      <c r="R187" s="13">
        <f>IFERROR(VLOOKUP(P187,Лист1!A$1:B$20,2,FALSE),0)</f>
        <v>784</v>
      </c>
      <c r="S187" s="13">
        <f t="shared" si="20"/>
        <v>0</v>
      </c>
    </row>
    <row r="188" spans="1:19" x14ac:dyDescent="0.25">
      <c r="A188" s="24" t="s">
        <v>1279</v>
      </c>
      <c r="B188" s="4" t="s">
        <v>1063</v>
      </c>
      <c r="C188" s="25" t="s">
        <v>5</v>
      </c>
      <c r="G188" s="25" t="s">
        <v>1106</v>
      </c>
      <c r="H188" s="24" t="s">
        <v>1061</v>
      </c>
      <c r="I188" s="3" t="str">
        <f>IFERROR(VLOOKUP(C188,'Справочник соответствий'!A$2:D$2981,2,FALSE),IF(VALUE(C188)=0,1,VLOOKUP(C188,'Справочник соответствий'!A$2:D$2981,2,FALSE)))</f>
        <v>1</v>
      </c>
      <c r="J188" s="3">
        <f>IFERROR(VLOOKUP(D188,'Справочник соответствий'!A$2:D$2981,2,FALSE),IF(VALUE(D188)=0,0,VLOOKUP(D188,'Справочник соответствий'!A$2:D$2981,2,FALSE)))</f>
        <v>0</v>
      </c>
      <c r="K188" s="3" t="str">
        <f t="shared" si="14"/>
        <v>1</v>
      </c>
      <c r="L188" s="13" t="str">
        <f>IFERROR(VLOOKUP(C188,'Справочник соответствий'!A$2:D$2981,3,FALSE),IF(VALUE(C188)=0,"ЭТАЖ НЕ ОПРЕДЕЛЕН. ПРИНЯТ ПО ДОПУЩЕНИЮ 1",VLOOKUP(C188,'Справочник соответствий'!A$2:D$2981,3,FALSE)))</f>
        <v>ЭТАЖ ЗАДАН ЧИСЛОМ</v>
      </c>
      <c r="M188" s="13" t="b">
        <f t="shared" si="15"/>
        <v>0</v>
      </c>
      <c r="N188" s="13">
        <f t="shared" si="16"/>
        <v>1</v>
      </c>
      <c r="O188" s="13" t="str">
        <f t="shared" si="17"/>
        <v>ЭТАЖ ЗАДАН ЧИСЛОМ</v>
      </c>
      <c r="P188" s="13" t="str">
        <f t="shared" si="18"/>
        <v>ЭТАЖ ЗАДАН ЧИСЛОМ</v>
      </c>
      <c r="Q188" s="13" t="str">
        <f t="shared" si="19"/>
        <v>ГОТОВ_ИЗМЕНЕН</v>
      </c>
      <c r="R188" s="13">
        <f>IFERROR(VLOOKUP(P188,Лист1!A$1:B$20,2,FALSE),0)</f>
        <v>784</v>
      </c>
      <c r="S188" s="13">
        <f t="shared" si="20"/>
        <v>0</v>
      </c>
    </row>
    <row r="189" spans="1:19" x14ac:dyDescent="0.25">
      <c r="A189" s="24" t="s">
        <v>1280</v>
      </c>
      <c r="B189" s="4" t="s">
        <v>1059</v>
      </c>
      <c r="C189" s="25" t="s">
        <v>5</v>
      </c>
      <c r="G189" s="25" t="s">
        <v>1106</v>
      </c>
      <c r="H189" s="24" t="s">
        <v>1061</v>
      </c>
      <c r="I189" s="3" t="str">
        <f>IFERROR(VLOOKUP(C189,'Справочник соответствий'!A$2:D$2981,2,FALSE),IF(VALUE(C189)=0,1,VLOOKUP(C189,'Справочник соответствий'!A$2:D$2981,2,FALSE)))</f>
        <v>1</v>
      </c>
      <c r="J189" s="3">
        <f>IFERROR(VLOOKUP(D189,'Справочник соответствий'!A$2:D$2981,2,FALSE),IF(VALUE(D189)=0,0,VLOOKUP(D189,'Справочник соответствий'!A$2:D$2981,2,FALSE)))</f>
        <v>0</v>
      </c>
      <c r="K189" s="3" t="str">
        <f t="shared" si="14"/>
        <v>1</v>
      </c>
      <c r="L189" s="13" t="str">
        <f>IFERROR(VLOOKUP(C189,'Справочник соответствий'!A$2:D$2981,3,FALSE),IF(VALUE(C189)=0,"ЭТАЖ НЕ ОПРЕДЕЛЕН. ПРИНЯТ ПО ДОПУЩЕНИЮ 1",VLOOKUP(C189,'Справочник соответствий'!A$2:D$2981,3,FALSE)))</f>
        <v>ЭТАЖ ЗАДАН ЧИСЛОМ</v>
      </c>
      <c r="M189" s="13" t="b">
        <f t="shared" si="15"/>
        <v>0</v>
      </c>
      <c r="N189" s="13">
        <f t="shared" si="16"/>
        <v>1</v>
      </c>
      <c r="O189" s="13" t="str">
        <f t="shared" si="17"/>
        <v>ЭТАЖ ЗАДАН ЧИСЛОМ</v>
      </c>
      <c r="P189" s="13" t="str">
        <f t="shared" si="18"/>
        <v>ЭТАЖ ЗАДАН ЧИСЛОМ</v>
      </c>
      <c r="Q189" s="13" t="str">
        <f t="shared" si="19"/>
        <v>ГОТОВ_ИЗМЕНЕН</v>
      </c>
      <c r="R189" s="13">
        <f>IFERROR(VLOOKUP(P189,Лист1!A$1:B$20,2,FALSE),0)</f>
        <v>784</v>
      </c>
      <c r="S189" s="13">
        <f t="shared" si="20"/>
        <v>0</v>
      </c>
    </row>
    <row r="190" spans="1:19" x14ac:dyDescent="0.25">
      <c r="A190" s="24" t="s">
        <v>1281</v>
      </c>
      <c r="B190" s="4" t="s">
        <v>1059</v>
      </c>
      <c r="C190" s="25" t="s">
        <v>5</v>
      </c>
      <c r="G190" s="25" t="s">
        <v>1106</v>
      </c>
      <c r="H190" s="24" t="s">
        <v>1061</v>
      </c>
      <c r="I190" s="3" t="str">
        <f>IFERROR(VLOOKUP(C190,'Справочник соответствий'!A$2:D$2981,2,FALSE),IF(VALUE(C190)=0,1,VLOOKUP(C190,'Справочник соответствий'!A$2:D$2981,2,FALSE)))</f>
        <v>1</v>
      </c>
      <c r="J190" s="3">
        <f>IFERROR(VLOOKUP(D190,'Справочник соответствий'!A$2:D$2981,2,FALSE),IF(VALUE(D190)=0,0,VLOOKUP(D190,'Справочник соответствий'!A$2:D$2981,2,FALSE)))</f>
        <v>0</v>
      </c>
      <c r="K190" s="3" t="str">
        <f t="shared" si="14"/>
        <v>1</v>
      </c>
      <c r="L190" s="13" t="str">
        <f>IFERROR(VLOOKUP(C190,'Справочник соответствий'!A$2:D$2981,3,FALSE),IF(VALUE(C190)=0,"ЭТАЖ НЕ ОПРЕДЕЛЕН. ПРИНЯТ ПО ДОПУЩЕНИЮ 1",VLOOKUP(C190,'Справочник соответствий'!A$2:D$2981,3,FALSE)))</f>
        <v>ЭТАЖ ЗАДАН ЧИСЛОМ</v>
      </c>
      <c r="M190" s="13" t="b">
        <f t="shared" si="15"/>
        <v>0</v>
      </c>
      <c r="N190" s="13">
        <f t="shared" si="16"/>
        <v>1</v>
      </c>
      <c r="O190" s="13" t="str">
        <f t="shared" si="17"/>
        <v>ЭТАЖ ЗАДАН ЧИСЛОМ</v>
      </c>
      <c r="P190" s="13" t="str">
        <f t="shared" si="18"/>
        <v>ЭТАЖ ЗАДАН ЧИСЛОМ</v>
      </c>
      <c r="Q190" s="13" t="str">
        <f t="shared" si="19"/>
        <v>ГОТОВ_ИЗМЕНЕН</v>
      </c>
      <c r="R190" s="13">
        <f>IFERROR(VLOOKUP(P190,Лист1!A$1:B$20,2,FALSE),0)</f>
        <v>784</v>
      </c>
      <c r="S190" s="13">
        <f t="shared" si="20"/>
        <v>0</v>
      </c>
    </row>
    <row r="191" spans="1:19" x14ac:dyDescent="0.25">
      <c r="A191" s="24" t="s">
        <v>1282</v>
      </c>
      <c r="B191" s="4" t="s">
        <v>1059</v>
      </c>
      <c r="C191" s="25" t="s">
        <v>5</v>
      </c>
      <c r="G191" s="25" t="s">
        <v>1106</v>
      </c>
      <c r="H191" s="24" t="s">
        <v>1061</v>
      </c>
      <c r="I191" s="3" t="str">
        <f>IFERROR(VLOOKUP(C191,'Справочник соответствий'!A$2:D$2981,2,FALSE),IF(VALUE(C191)=0,1,VLOOKUP(C191,'Справочник соответствий'!A$2:D$2981,2,FALSE)))</f>
        <v>1</v>
      </c>
      <c r="J191" s="3">
        <f>IFERROR(VLOOKUP(D191,'Справочник соответствий'!A$2:D$2981,2,FALSE),IF(VALUE(D191)=0,0,VLOOKUP(D191,'Справочник соответствий'!A$2:D$2981,2,FALSE)))</f>
        <v>0</v>
      </c>
      <c r="K191" s="3" t="str">
        <f t="shared" si="14"/>
        <v>1</v>
      </c>
      <c r="L191" s="13" t="str">
        <f>IFERROR(VLOOKUP(C191,'Справочник соответствий'!A$2:D$2981,3,FALSE),IF(VALUE(C191)=0,"ЭТАЖ НЕ ОПРЕДЕЛЕН. ПРИНЯТ ПО ДОПУЩЕНИЮ 1",VLOOKUP(C191,'Справочник соответствий'!A$2:D$2981,3,FALSE)))</f>
        <v>ЭТАЖ ЗАДАН ЧИСЛОМ</v>
      </c>
      <c r="M191" s="13" t="b">
        <f t="shared" si="15"/>
        <v>0</v>
      </c>
      <c r="N191" s="13">
        <f t="shared" si="16"/>
        <v>1</v>
      </c>
      <c r="O191" s="13" t="str">
        <f t="shared" si="17"/>
        <v>ЭТАЖ ЗАДАН ЧИСЛОМ</v>
      </c>
      <c r="P191" s="13" t="str">
        <f t="shared" si="18"/>
        <v>ЭТАЖ ЗАДАН ЧИСЛОМ</v>
      </c>
      <c r="Q191" s="13" t="str">
        <f t="shared" si="19"/>
        <v>ГОТОВ_ИЗМЕНЕН</v>
      </c>
      <c r="R191" s="13">
        <f>IFERROR(VLOOKUP(P191,Лист1!A$1:B$20,2,FALSE),0)</f>
        <v>784</v>
      </c>
      <c r="S191" s="13">
        <f t="shared" si="20"/>
        <v>0</v>
      </c>
    </row>
    <row r="192" spans="1:19" x14ac:dyDescent="0.25">
      <c r="A192" s="24" t="s">
        <v>1283</v>
      </c>
      <c r="B192" s="4" t="s">
        <v>1059</v>
      </c>
      <c r="C192" s="25" t="s">
        <v>5</v>
      </c>
      <c r="G192" s="25" t="s">
        <v>1106</v>
      </c>
      <c r="H192" s="24" t="s">
        <v>1061</v>
      </c>
      <c r="I192" s="3" t="str">
        <f>IFERROR(VLOOKUP(C192,'Справочник соответствий'!A$2:D$2981,2,FALSE),IF(VALUE(C192)=0,1,VLOOKUP(C192,'Справочник соответствий'!A$2:D$2981,2,FALSE)))</f>
        <v>1</v>
      </c>
      <c r="J192" s="3">
        <f>IFERROR(VLOOKUP(D192,'Справочник соответствий'!A$2:D$2981,2,FALSE),IF(VALUE(D192)=0,0,VLOOKUP(D192,'Справочник соответствий'!A$2:D$2981,2,FALSE)))</f>
        <v>0</v>
      </c>
      <c r="K192" s="3" t="str">
        <f t="shared" si="14"/>
        <v>1</v>
      </c>
      <c r="L192" s="13" t="str">
        <f>IFERROR(VLOOKUP(C192,'Справочник соответствий'!A$2:D$2981,3,FALSE),IF(VALUE(C192)=0,"ЭТАЖ НЕ ОПРЕДЕЛЕН. ПРИНЯТ ПО ДОПУЩЕНИЮ 1",VLOOKUP(C192,'Справочник соответствий'!A$2:D$2981,3,FALSE)))</f>
        <v>ЭТАЖ ЗАДАН ЧИСЛОМ</v>
      </c>
      <c r="M192" s="13" t="b">
        <f t="shared" si="15"/>
        <v>0</v>
      </c>
      <c r="N192" s="13">
        <f t="shared" si="16"/>
        <v>1</v>
      </c>
      <c r="O192" s="13" t="str">
        <f t="shared" si="17"/>
        <v>ЭТАЖ ЗАДАН ЧИСЛОМ</v>
      </c>
      <c r="P192" s="13" t="str">
        <f t="shared" si="18"/>
        <v>ЭТАЖ ЗАДАН ЧИСЛОМ</v>
      </c>
      <c r="Q192" s="13" t="str">
        <f t="shared" si="19"/>
        <v>ГОТОВ_ИЗМЕНЕН</v>
      </c>
      <c r="R192" s="13">
        <f>IFERROR(VLOOKUP(P192,Лист1!A$1:B$20,2,FALSE),0)</f>
        <v>784</v>
      </c>
      <c r="S192" s="13">
        <f t="shared" si="20"/>
        <v>0</v>
      </c>
    </row>
    <row r="193" spans="1:19" x14ac:dyDescent="0.25">
      <c r="A193" s="24" t="s">
        <v>1284</v>
      </c>
      <c r="B193" s="4" t="s">
        <v>1063</v>
      </c>
      <c r="C193" s="25" t="s">
        <v>5</v>
      </c>
      <c r="G193" s="25" t="s">
        <v>1106</v>
      </c>
      <c r="H193" s="24" t="s">
        <v>1061</v>
      </c>
      <c r="I193" s="3" t="str">
        <f>IFERROR(VLOOKUP(C193,'Справочник соответствий'!A$2:D$2981,2,FALSE),IF(VALUE(C193)=0,1,VLOOKUP(C193,'Справочник соответствий'!A$2:D$2981,2,FALSE)))</f>
        <v>1</v>
      </c>
      <c r="J193" s="3">
        <f>IFERROR(VLOOKUP(D193,'Справочник соответствий'!A$2:D$2981,2,FALSE),IF(VALUE(D193)=0,0,VLOOKUP(D193,'Справочник соответствий'!A$2:D$2981,2,FALSE)))</f>
        <v>0</v>
      </c>
      <c r="K193" s="3" t="str">
        <f t="shared" si="14"/>
        <v>1</v>
      </c>
      <c r="L193" s="13" t="str">
        <f>IFERROR(VLOOKUP(C193,'Справочник соответствий'!A$2:D$2981,3,FALSE),IF(VALUE(C193)=0,"ЭТАЖ НЕ ОПРЕДЕЛЕН. ПРИНЯТ ПО ДОПУЩЕНИЮ 1",VLOOKUP(C193,'Справочник соответствий'!A$2:D$2981,3,FALSE)))</f>
        <v>ЭТАЖ ЗАДАН ЧИСЛОМ</v>
      </c>
      <c r="M193" s="13" t="b">
        <f t="shared" si="15"/>
        <v>0</v>
      </c>
      <c r="N193" s="13">
        <f t="shared" si="16"/>
        <v>1</v>
      </c>
      <c r="O193" s="13" t="str">
        <f t="shared" si="17"/>
        <v>ЭТАЖ ЗАДАН ЧИСЛОМ</v>
      </c>
      <c r="P193" s="13" t="str">
        <f t="shared" si="18"/>
        <v>ЭТАЖ ЗАДАН ЧИСЛОМ</v>
      </c>
      <c r="Q193" s="13" t="str">
        <f t="shared" si="19"/>
        <v>ГОТОВ_ИЗМЕНЕН</v>
      </c>
      <c r="R193" s="13">
        <f>IFERROR(VLOOKUP(P193,Лист1!A$1:B$20,2,FALSE),0)</f>
        <v>784</v>
      </c>
      <c r="S193" s="13">
        <f t="shared" si="20"/>
        <v>0</v>
      </c>
    </row>
    <row r="194" spans="1:19" x14ac:dyDescent="0.25">
      <c r="A194" s="24" t="s">
        <v>1285</v>
      </c>
      <c r="B194" s="4" t="s">
        <v>1059</v>
      </c>
      <c r="C194" s="25" t="s">
        <v>7</v>
      </c>
      <c r="G194" s="25" t="s">
        <v>1106</v>
      </c>
      <c r="H194" s="24" t="s">
        <v>1061</v>
      </c>
      <c r="I194" s="3" t="str">
        <f>IFERROR(VLOOKUP(C194,'Справочник соответствий'!A$2:D$2981,2,FALSE),IF(VALUE(C194)=0,1,VLOOKUP(C194,'Справочник соответствий'!A$2:D$2981,2,FALSE)))</f>
        <v>2</v>
      </c>
      <c r="J194" s="3">
        <f>IFERROR(VLOOKUP(D194,'Справочник соответствий'!A$2:D$2981,2,FALSE),IF(VALUE(D194)=0,0,VLOOKUP(D194,'Справочник соответствий'!A$2:D$2981,2,FALSE)))</f>
        <v>0</v>
      </c>
      <c r="K194" s="3" t="str">
        <f t="shared" si="14"/>
        <v>2</v>
      </c>
      <c r="L194" s="13" t="str">
        <f>IFERROR(VLOOKUP(C194,'Справочник соответствий'!A$2:D$2981,3,FALSE),IF(VALUE(C194)=0,"ЭТАЖ НЕ ОПРЕДЕЛЕН. ПРИНЯТ ПО ДОПУЩЕНИЮ 1",VLOOKUP(C194,'Справочник соответствий'!A$2:D$2981,3,FALSE)))</f>
        <v>ЭТАЖ ЗАДАН ЧИСЛОМ</v>
      </c>
      <c r="M194" s="13" t="b">
        <f t="shared" si="15"/>
        <v>0</v>
      </c>
      <c r="N194" s="13">
        <f t="shared" si="16"/>
        <v>2</v>
      </c>
      <c r="O194" s="13" t="str">
        <f t="shared" si="17"/>
        <v>ЭТАЖ ЗАДАН ЧИСЛОМ</v>
      </c>
      <c r="P194" s="13" t="str">
        <f t="shared" si="18"/>
        <v>ЭТАЖ ЗАДАН ЧИСЛОМ</v>
      </c>
      <c r="Q194" s="13" t="str">
        <f t="shared" si="19"/>
        <v>ГОТОВ_ИЗМЕНЕН</v>
      </c>
      <c r="R194" s="13">
        <f>IFERROR(VLOOKUP(P194,Лист1!A$1:B$20,2,FALSE),0)</f>
        <v>784</v>
      </c>
      <c r="S194" s="13">
        <f t="shared" si="20"/>
        <v>0</v>
      </c>
    </row>
    <row r="195" spans="1:19" x14ac:dyDescent="0.25">
      <c r="A195" s="24" t="s">
        <v>1286</v>
      </c>
      <c r="B195" s="4" t="s">
        <v>1059</v>
      </c>
      <c r="C195" s="25" t="s">
        <v>5</v>
      </c>
      <c r="G195" s="25" t="s">
        <v>1106</v>
      </c>
      <c r="H195" s="24" t="s">
        <v>1061</v>
      </c>
      <c r="I195" s="3" t="str">
        <f>IFERROR(VLOOKUP(C195,'Справочник соответствий'!A$2:D$2981,2,FALSE),IF(VALUE(C195)=0,1,VLOOKUP(C195,'Справочник соответствий'!A$2:D$2981,2,FALSE)))</f>
        <v>1</v>
      </c>
      <c r="J195" s="3">
        <f>IFERROR(VLOOKUP(D195,'Справочник соответствий'!A$2:D$2981,2,FALSE),IF(VALUE(D195)=0,0,VLOOKUP(D195,'Справочник соответствий'!A$2:D$2981,2,FALSE)))</f>
        <v>0</v>
      </c>
      <c r="K195" s="3" t="str">
        <f t="shared" si="14"/>
        <v>1</v>
      </c>
      <c r="L195" s="13" t="str">
        <f>IFERROR(VLOOKUP(C195,'Справочник соответствий'!A$2:D$2981,3,FALSE),IF(VALUE(C195)=0,"ЭТАЖ НЕ ОПРЕДЕЛЕН. ПРИНЯТ ПО ДОПУЩЕНИЮ 1",VLOOKUP(C195,'Справочник соответствий'!A$2:D$2981,3,FALSE)))</f>
        <v>ЭТАЖ ЗАДАН ЧИСЛОМ</v>
      </c>
      <c r="M195" s="13" t="b">
        <f t="shared" si="15"/>
        <v>0</v>
      </c>
      <c r="N195" s="13">
        <f t="shared" si="16"/>
        <v>1</v>
      </c>
      <c r="O195" s="13" t="str">
        <f t="shared" si="17"/>
        <v>ЭТАЖ ЗАДАН ЧИСЛОМ</v>
      </c>
      <c r="P195" s="13" t="str">
        <f t="shared" si="18"/>
        <v>ЭТАЖ ЗАДАН ЧИСЛОМ</v>
      </c>
      <c r="Q195" s="13" t="str">
        <f t="shared" si="19"/>
        <v>ГОТОВ_ИЗМЕНЕН</v>
      </c>
      <c r="R195" s="13">
        <f>IFERROR(VLOOKUP(P195,Лист1!A$1:B$20,2,FALSE),0)</f>
        <v>784</v>
      </c>
      <c r="S195" s="13">
        <f t="shared" si="20"/>
        <v>0</v>
      </c>
    </row>
    <row r="196" spans="1:19" x14ac:dyDescent="0.25">
      <c r="A196" s="24" t="s">
        <v>1287</v>
      </c>
      <c r="B196" s="4" t="s">
        <v>1063</v>
      </c>
      <c r="C196" s="25" t="s">
        <v>5</v>
      </c>
      <c r="G196" s="25" t="s">
        <v>1106</v>
      </c>
      <c r="H196" s="24" t="s">
        <v>1061</v>
      </c>
      <c r="I196" s="3" t="str">
        <f>IFERROR(VLOOKUP(C196,'Справочник соответствий'!A$2:D$2981,2,FALSE),IF(VALUE(C196)=0,1,VLOOKUP(C196,'Справочник соответствий'!A$2:D$2981,2,FALSE)))</f>
        <v>1</v>
      </c>
      <c r="J196" s="3">
        <f>IFERROR(VLOOKUP(D196,'Справочник соответствий'!A$2:D$2981,2,FALSE),IF(VALUE(D196)=0,0,VLOOKUP(D196,'Справочник соответствий'!A$2:D$2981,2,FALSE)))</f>
        <v>0</v>
      </c>
      <c r="K196" s="3" t="str">
        <f t="shared" si="14"/>
        <v>1</v>
      </c>
      <c r="L196" s="13" t="str">
        <f>IFERROR(VLOOKUP(C196,'Справочник соответствий'!A$2:D$2981,3,FALSE),IF(VALUE(C196)=0,"ЭТАЖ НЕ ОПРЕДЕЛЕН. ПРИНЯТ ПО ДОПУЩЕНИЮ 1",VLOOKUP(C196,'Справочник соответствий'!A$2:D$2981,3,FALSE)))</f>
        <v>ЭТАЖ ЗАДАН ЧИСЛОМ</v>
      </c>
      <c r="M196" s="13" t="b">
        <f t="shared" si="15"/>
        <v>0</v>
      </c>
      <c r="N196" s="13">
        <f t="shared" si="16"/>
        <v>1</v>
      </c>
      <c r="O196" s="13" t="str">
        <f t="shared" si="17"/>
        <v>ЭТАЖ ЗАДАН ЧИСЛОМ</v>
      </c>
      <c r="P196" s="13" t="str">
        <f t="shared" si="18"/>
        <v>ЭТАЖ ЗАДАН ЧИСЛОМ</v>
      </c>
      <c r="Q196" s="13" t="str">
        <f t="shared" si="19"/>
        <v>ГОТОВ_ИЗМЕНЕН</v>
      </c>
      <c r="R196" s="13">
        <f>IFERROR(VLOOKUP(P196,Лист1!A$1:B$20,2,FALSE),0)</f>
        <v>784</v>
      </c>
      <c r="S196" s="13">
        <f t="shared" si="20"/>
        <v>0</v>
      </c>
    </row>
    <row r="197" spans="1:19" x14ac:dyDescent="0.25">
      <c r="A197" s="24" t="s">
        <v>1288</v>
      </c>
      <c r="B197" s="4" t="s">
        <v>1059</v>
      </c>
      <c r="C197" s="25" t="s">
        <v>7</v>
      </c>
      <c r="G197" s="25" t="s">
        <v>1289</v>
      </c>
      <c r="H197" s="24" t="s">
        <v>1061</v>
      </c>
      <c r="I197" s="3" t="str">
        <f>IFERROR(VLOOKUP(C197,'Справочник соответствий'!A$2:D$2981,2,FALSE),IF(VALUE(C197)=0,1,VLOOKUP(C197,'Справочник соответствий'!A$2:D$2981,2,FALSE)))</f>
        <v>2</v>
      </c>
      <c r="J197" s="3">
        <f>IFERROR(VLOOKUP(D197,'Справочник соответствий'!A$2:D$2981,2,FALSE),IF(VALUE(D197)=0,0,VLOOKUP(D197,'Справочник соответствий'!A$2:D$2981,2,FALSE)))</f>
        <v>0</v>
      </c>
      <c r="K197" s="3" t="str">
        <f t="shared" ref="K197:K260" si="21">IF(B197="Многоквартирный дом",IF(I197-J197&gt;0,I197-J197,1),I197)</f>
        <v>2</v>
      </c>
      <c r="L197" s="13" t="str">
        <f>IFERROR(VLOOKUP(C197,'Справочник соответствий'!A$2:D$2981,3,FALSE),IF(VALUE(C197)=0,"ЭТАЖ НЕ ОПРЕДЕЛЕН. ПРИНЯТ ПО ДОПУЩЕНИЮ 1",VLOOKUP(C197,'Справочник соответствий'!A$2:D$2981,3,FALSE)))</f>
        <v>ЭТАЖ ЗАДАН ЧИСЛОМ</v>
      </c>
      <c r="M197" s="13" t="b">
        <f t="shared" ref="M197:M260" si="22">I197=E197</f>
        <v>0</v>
      </c>
      <c r="N197" s="13">
        <f t="shared" ref="N197:N260" si="23">IF(VALUE(E197)=0,VALUE(K197),IF(L197="ЭТАЖ НЕ ОПРЕДЕЛЕН. ПРИНЯТ ПО ДОПУЩЕНИЮ 1",VALUE(E197),VALUE(K197)))</f>
        <v>2</v>
      </c>
      <c r="O197" s="13" t="str">
        <f t="shared" ref="O197:O260" si="24">IF(VALUE(E197)=0,L197,IF(L197="ЭТАЖ НЕ ОПРЕДЕЛЕН. ПРИНЯТ ПО ДОПУЩЕНИЮ 1",F197,L197))</f>
        <v>ЭТАЖ ЗАДАН ЧИСЛОМ</v>
      </c>
      <c r="P197" s="13" t="str">
        <f t="shared" ref="P197:P260" si="25">IF(B197="Многоквартирный дом",CONCATENATE("МКД_",O197),O197)</f>
        <v>ЭТАЖ ЗАДАН ЧИСЛОМ</v>
      </c>
      <c r="Q197" s="13" t="str">
        <f t="shared" ref="Q197:Q260" si="26">IFERROR(IF(N197&gt;0,IF(N197=VALUE(E197),"ГОТОВ","ГОТОВ_ИЗМЕНЕН"),"НЕ ГОТОВ"),"НЕ ГОТОВ")</f>
        <v>ГОТОВ_ИЗМЕНЕН</v>
      </c>
      <c r="R197" s="13">
        <f>IFERROR(VLOOKUP(P197,Лист1!A$1:B$20,2,FALSE),0)</f>
        <v>784</v>
      </c>
      <c r="S197" s="13">
        <f t="shared" ref="S197:S260" si="27">VALUE(E197)</f>
        <v>0</v>
      </c>
    </row>
    <row r="198" spans="1:19" x14ac:dyDescent="0.25">
      <c r="A198" s="24" t="s">
        <v>1290</v>
      </c>
      <c r="B198" s="4" t="s">
        <v>1059</v>
      </c>
      <c r="C198" s="25" t="s">
        <v>7</v>
      </c>
      <c r="G198" s="25" t="s">
        <v>1106</v>
      </c>
      <c r="H198" s="24" t="s">
        <v>1061</v>
      </c>
      <c r="I198" s="3" t="str">
        <f>IFERROR(VLOOKUP(C198,'Справочник соответствий'!A$2:D$2981,2,FALSE),IF(VALUE(C198)=0,1,VLOOKUP(C198,'Справочник соответствий'!A$2:D$2981,2,FALSE)))</f>
        <v>2</v>
      </c>
      <c r="J198" s="3">
        <f>IFERROR(VLOOKUP(D198,'Справочник соответствий'!A$2:D$2981,2,FALSE),IF(VALUE(D198)=0,0,VLOOKUP(D198,'Справочник соответствий'!A$2:D$2981,2,FALSE)))</f>
        <v>0</v>
      </c>
      <c r="K198" s="3" t="str">
        <f t="shared" si="21"/>
        <v>2</v>
      </c>
      <c r="L198" s="13" t="str">
        <f>IFERROR(VLOOKUP(C198,'Справочник соответствий'!A$2:D$2981,3,FALSE),IF(VALUE(C198)=0,"ЭТАЖ НЕ ОПРЕДЕЛЕН. ПРИНЯТ ПО ДОПУЩЕНИЮ 1",VLOOKUP(C198,'Справочник соответствий'!A$2:D$2981,3,FALSE)))</f>
        <v>ЭТАЖ ЗАДАН ЧИСЛОМ</v>
      </c>
      <c r="M198" s="13" t="b">
        <f t="shared" si="22"/>
        <v>0</v>
      </c>
      <c r="N198" s="13">
        <f t="shared" si="23"/>
        <v>2</v>
      </c>
      <c r="O198" s="13" t="str">
        <f t="shared" si="24"/>
        <v>ЭТАЖ ЗАДАН ЧИСЛОМ</v>
      </c>
      <c r="P198" s="13" t="str">
        <f t="shared" si="25"/>
        <v>ЭТАЖ ЗАДАН ЧИСЛОМ</v>
      </c>
      <c r="Q198" s="13" t="str">
        <f t="shared" si="26"/>
        <v>ГОТОВ_ИЗМЕНЕН</v>
      </c>
      <c r="R198" s="13">
        <f>IFERROR(VLOOKUP(P198,Лист1!A$1:B$20,2,FALSE),0)</f>
        <v>784</v>
      </c>
      <c r="S198" s="13">
        <f t="shared" si="27"/>
        <v>0</v>
      </c>
    </row>
    <row r="199" spans="1:19" x14ac:dyDescent="0.25">
      <c r="A199" s="24" t="s">
        <v>1291</v>
      </c>
      <c r="B199" s="4" t="s">
        <v>1059</v>
      </c>
      <c r="C199" s="25" t="s">
        <v>7</v>
      </c>
      <c r="G199" s="25" t="s">
        <v>1083</v>
      </c>
      <c r="H199" s="24" t="s">
        <v>1061</v>
      </c>
      <c r="I199" s="3" t="str">
        <f>IFERROR(VLOOKUP(C199,'Справочник соответствий'!A$2:D$2981,2,FALSE),IF(VALUE(C199)=0,1,VLOOKUP(C199,'Справочник соответствий'!A$2:D$2981,2,FALSE)))</f>
        <v>2</v>
      </c>
      <c r="J199" s="3">
        <f>IFERROR(VLOOKUP(D199,'Справочник соответствий'!A$2:D$2981,2,FALSE),IF(VALUE(D199)=0,0,VLOOKUP(D199,'Справочник соответствий'!A$2:D$2981,2,FALSE)))</f>
        <v>0</v>
      </c>
      <c r="K199" s="3" t="str">
        <f t="shared" si="21"/>
        <v>2</v>
      </c>
      <c r="L199" s="13" t="str">
        <f>IFERROR(VLOOKUP(C199,'Справочник соответствий'!A$2:D$2981,3,FALSE),IF(VALUE(C199)=0,"ЭТАЖ НЕ ОПРЕДЕЛЕН. ПРИНЯТ ПО ДОПУЩЕНИЮ 1",VLOOKUP(C199,'Справочник соответствий'!A$2:D$2981,3,FALSE)))</f>
        <v>ЭТАЖ ЗАДАН ЧИСЛОМ</v>
      </c>
      <c r="M199" s="13" t="b">
        <f t="shared" si="22"/>
        <v>0</v>
      </c>
      <c r="N199" s="13">
        <f t="shared" si="23"/>
        <v>2</v>
      </c>
      <c r="O199" s="13" t="str">
        <f t="shared" si="24"/>
        <v>ЭТАЖ ЗАДАН ЧИСЛОМ</v>
      </c>
      <c r="P199" s="13" t="str">
        <f t="shared" si="25"/>
        <v>ЭТАЖ ЗАДАН ЧИСЛОМ</v>
      </c>
      <c r="Q199" s="13" t="str">
        <f t="shared" si="26"/>
        <v>ГОТОВ_ИЗМЕНЕН</v>
      </c>
      <c r="R199" s="13">
        <f>IFERROR(VLOOKUP(P199,Лист1!A$1:B$20,2,FALSE),0)</f>
        <v>784</v>
      </c>
      <c r="S199" s="13">
        <f t="shared" si="27"/>
        <v>0</v>
      </c>
    </row>
    <row r="200" spans="1:19" x14ac:dyDescent="0.25">
      <c r="A200" s="24" t="s">
        <v>1292</v>
      </c>
      <c r="B200" s="4" t="s">
        <v>1059</v>
      </c>
      <c r="C200" s="25" t="s">
        <v>5</v>
      </c>
      <c r="G200" s="25" t="s">
        <v>1083</v>
      </c>
      <c r="H200" s="24" t="s">
        <v>1061</v>
      </c>
      <c r="I200" s="3" t="str">
        <f>IFERROR(VLOOKUP(C200,'Справочник соответствий'!A$2:D$2981,2,FALSE),IF(VALUE(C200)=0,1,VLOOKUP(C200,'Справочник соответствий'!A$2:D$2981,2,FALSE)))</f>
        <v>1</v>
      </c>
      <c r="J200" s="3">
        <f>IFERROR(VLOOKUP(D200,'Справочник соответствий'!A$2:D$2981,2,FALSE),IF(VALUE(D200)=0,0,VLOOKUP(D200,'Справочник соответствий'!A$2:D$2981,2,FALSE)))</f>
        <v>0</v>
      </c>
      <c r="K200" s="3" t="str">
        <f t="shared" si="21"/>
        <v>1</v>
      </c>
      <c r="L200" s="13" t="str">
        <f>IFERROR(VLOOKUP(C200,'Справочник соответствий'!A$2:D$2981,3,FALSE),IF(VALUE(C200)=0,"ЭТАЖ НЕ ОПРЕДЕЛЕН. ПРИНЯТ ПО ДОПУЩЕНИЮ 1",VLOOKUP(C200,'Справочник соответствий'!A$2:D$2981,3,FALSE)))</f>
        <v>ЭТАЖ ЗАДАН ЧИСЛОМ</v>
      </c>
      <c r="M200" s="13" t="b">
        <f t="shared" si="22"/>
        <v>0</v>
      </c>
      <c r="N200" s="13">
        <f t="shared" si="23"/>
        <v>1</v>
      </c>
      <c r="O200" s="13" t="str">
        <f t="shared" si="24"/>
        <v>ЭТАЖ ЗАДАН ЧИСЛОМ</v>
      </c>
      <c r="P200" s="13" t="str">
        <f t="shared" si="25"/>
        <v>ЭТАЖ ЗАДАН ЧИСЛОМ</v>
      </c>
      <c r="Q200" s="13" t="str">
        <f t="shared" si="26"/>
        <v>ГОТОВ_ИЗМЕНЕН</v>
      </c>
      <c r="R200" s="13">
        <f>IFERROR(VLOOKUP(P200,Лист1!A$1:B$20,2,FALSE),0)</f>
        <v>784</v>
      </c>
      <c r="S200" s="13">
        <f t="shared" si="27"/>
        <v>0</v>
      </c>
    </row>
    <row r="201" spans="1:19" x14ac:dyDescent="0.25">
      <c r="A201" s="24" t="s">
        <v>1293</v>
      </c>
      <c r="B201" s="4" t="s">
        <v>1059</v>
      </c>
      <c r="C201" s="25" t="s">
        <v>5</v>
      </c>
      <c r="G201" s="25" t="s">
        <v>1083</v>
      </c>
      <c r="H201" s="24" t="s">
        <v>1061</v>
      </c>
      <c r="I201" s="3" t="str">
        <f>IFERROR(VLOOKUP(C201,'Справочник соответствий'!A$2:D$2981,2,FALSE),IF(VALUE(C201)=0,1,VLOOKUP(C201,'Справочник соответствий'!A$2:D$2981,2,FALSE)))</f>
        <v>1</v>
      </c>
      <c r="J201" s="3">
        <f>IFERROR(VLOOKUP(D201,'Справочник соответствий'!A$2:D$2981,2,FALSE),IF(VALUE(D201)=0,0,VLOOKUP(D201,'Справочник соответствий'!A$2:D$2981,2,FALSE)))</f>
        <v>0</v>
      </c>
      <c r="K201" s="3" t="str">
        <f t="shared" si="21"/>
        <v>1</v>
      </c>
      <c r="L201" s="13" t="str">
        <f>IFERROR(VLOOKUP(C201,'Справочник соответствий'!A$2:D$2981,3,FALSE),IF(VALUE(C201)=0,"ЭТАЖ НЕ ОПРЕДЕЛЕН. ПРИНЯТ ПО ДОПУЩЕНИЮ 1",VLOOKUP(C201,'Справочник соответствий'!A$2:D$2981,3,FALSE)))</f>
        <v>ЭТАЖ ЗАДАН ЧИСЛОМ</v>
      </c>
      <c r="M201" s="13" t="b">
        <f t="shared" si="22"/>
        <v>0</v>
      </c>
      <c r="N201" s="13">
        <f t="shared" si="23"/>
        <v>1</v>
      </c>
      <c r="O201" s="13" t="str">
        <f t="shared" si="24"/>
        <v>ЭТАЖ ЗАДАН ЧИСЛОМ</v>
      </c>
      <c r="P201" s="13" t="str">
        <f t="shared" si="25"/>
        <v>ЭТАЖ ЗАДАН ЧИСЛОМ</v>
      </c>
      <c r="Q201" s="13" t="str">
        <f t="shared" si="26"/>
        <v>ГОТОВ_ИЗМЕНЕН</v>
      </c>
      <c r="R201" s="13">
        <f>IFERROR(VLOOKUP(P201,Лист1!A$1:B$20,2,FALSE),0)</f>
        <v>784</v>
      </c>
      <c r="S201" s="13">
        <f t="shared" si="27"/>
        <v>0</v>
      </c>
    </row>
    <row r="202" spans="1:19" x14ac:dyDescent="0.25">
      <c r="A202" s="24" t="s">
        <v>1294</v>
      </c>
      <c r="B202" s="4" t="s">
        <v>1059</v>
      </c>
      <c r="C202" s="25" t="s">
        <v>8</v>
      </c>
      <c r="D202" s="25" t="s">
        <v>5</v>
      </c>
      <c r="G202" s="25" t="s">
        <v>1083</v>
      </c>
      <c r="H202" s="24" t="s">
        <v>1061</v>
      </c>
      <c r="I202" s="3" t="str">
        <f>IFERROR(VLOOKUP(C202,'Справочник соответствий'!A$2:D$2981,2,FALSE),IF(VALUE(C202)=0,1,VLOOKUP(C202,'Справочник соответствий'!A$2:D$2981,2,FALSE)))</f>
        <v>3</v>
      </c>
      <c r="J202" s="3" t="str">
        <f>IFERROR(VLOOKUP(D202,'Справочник соответствий'!A$2:D$2981,2,FALSE),IF(VALUE(D202)=0,0,VLOOKUP(D202,'Справочник соответствий'!A$2:D$2981,2,FALSE)))</f>
        <v>1</v>
      </c>
      <c r="K202" s="3" t="str">
        <f t="shared" si="21"/>
        <v>3</v>
      </c>
      <c r="L202" s="13" t="str">
        <f>IFERROR(VLOOKUP(C202,'Справочник соответствий'!A$2:D$2981,3,FALSE),IF(VALUE(C202)=0,"ЭТАЖ НЕ ОПРЕДЕЛЕН. ПРИНЯТ ПО ДОПУЩЕНИЮ 1",VLOOKUP(C202,'Справочник соответствий'!A$2:D$2981,3,FALSE)))</f>
        <v>ЭТАЖ ЗАДАН ЧИСЛОМ</v>
      </c>
      <c r="M202" s="13" t="b">
        <f t="shared" si="22"/>
        <v>0</v>
      </c>
      <c r="N202" s="13">
        <f t="shared" si="23"/>
        <v>3</v>
      </c>
      <c r="O202" s="13" t="str">
        <f t="shared" si="24"/>
        <v>ЭТАЖ ЗАДАН ЧИСЛОМ</v>
      </c>
      <c r="P202" s="13" t="str">
        <f t="shared" si="25"/>
        <v>ЭТАЖ ЗАДАН ЧИСЛОМ</v>
      </c>
      <c r="Q202" s="13" t="str">
        <f t="shared" si="26"/>
        <v>ГОТОВ_ИЗМЕНЕН</v>
      </c>
      <c r="R202" s="13">
        <f>IFERROR(VLOOKUP(P202,Лист1!A$1:B$20,2,FALSE),0)</f>
        <v>784</v>
      </c>
      <c r="S202" s="13">
        <f t="shared" si="27"/>
        <v>0</v>
      </c>
    </row>
    <row r="203" spans="1:19" x14ac:dyDescent="0.25">
      <c r="A203" s="24" t="s">
        <v>1295</v>
      </c>
      <c r="B203" s="4" t="s">
        <v>1059</v>
      </c>
      <c r="C203" s="25" t="s">
        <v>7</v>
      </c>
      <c r="G203" s="25" t="s">
        <v>1289</v>
      </c>
      <c r="H203" s="24" t="s">
        <v>1061</v>
      </c>
      <c r="I203" s="3" t="str">
        <f>IFERROR(VLOOKUP(C203,'Справочник соответствий'!A$2:D$2981,2,FALSE),IF(VALUE(C203)=0,1,VLOOKUP(C203,'Справочник соответствий'!A$2:D$2981,2,FALSE)))</f>
        <v>2</v>
      </c>
      <c r="J203" s="3">
        <f>IFERROR(VLOOKUP(D203,'Справочник соответствий'!A$2:D$2981,2,FALSE),IF(VALUE(D203)=0,0,VLOOKUP(D203,'Справочник соответствий'!A$2:D$2981,2,FALSE)))</f>
        <v>0</v>
      </c>
      <c r="K203" s="3" t="str">
        <f t="shared" si="21"/>
        <v>2</v>
      </c>
      <c r="L203" s="13" t="str">
        <f>IFERROR(VLOOKUP(C203,'Справочник соответствий'!A$2:D$2981,3,FALSE),IF(VALUE(C203)=0,"ЭТАЖ НЕ ОПРЕДЕЛЕН. ПРИНЯТ ПО ДОПУЩЕНИЮ 1",VLOOKUP(C203,'Справочник соответствий'!A$2:D$2981,3,FALSE)))</f>
        <v>ЭТАЖ ЗАДАН ЧИСЛОМ</v>
      </c>
      <c r="M203" s="13" t="b">
        <f t="shared" si="22"/>
        <v>0</v>
      </c>
      <c r="N203" s="13">
        <f t="shared" si="23"/>
        <v>2</v>
      </c>
      <c r="O203" s="13" t="str">
        <f t="shared" si="24"/>
        <v>ЭТАЖ ЗАДАН ЧИСЛОМ</v>
      </c>
      <c r="P203" s="13" t="str">
        <f t="shared" si="25"/>
        <v>ЭТАЖ ЗАДАН ЧИСЛОМ</v>
      </c>
      <c r="Q203" s="13" t="str">
        <f t="shared" si="26"/>
        <v>ГОТОВ_ИЗМЕНЕН</v>
      </c>
      <c r="R203" s="13">
        <f>IFERROR(VLOOKUP(P203,Лист1!A$1:B$20,2,FALSE),0)</f>
        <v>784</v>
      </c>
      <c r="S203" s="13">
        <f t="shared" si="27"/>
        <v>0</v>
      </c>
    </row>
    <row r="204" spans="1:19" x14ac:dyDescent="0.25">
      <c r="A204" s="24" t="s">
        <v>1296</v>
      </c>
      <c r="B204" s="4" t="s">
        <v>1059</v>
      </c>
      <c r="C204" s="25" t="s">
        <v>7</v>
      </c>
      <c r="G204" s="25" t="s">
        <v>1083</v>
      </c>
      <c r="H204" s="24" t="s">
        <v>1061</v>
      </c>
      <c r="I204" s="3" t="str">
        <f>IFERROR(VLOOKUP(C204,'Справочник соответствий'!A$2:D$2981,2,FALSE),IF(VALUE(C204)=0,1,VLOOKUP(C204,'Справочник соответствий'!A$2:D$2981,2,FALSE)))</f>
        <v>2</v>
      </c>
      <c r="J204" s="3">
        <f>IFERROR(VLOOKUP(D204,'Справочник соответствий'!A$2:D$2981,2,FALSE),IF(VALUE(D204)=0,0,VLOOKUP(D204,'Справочник соответствий'!A$2:D$2981,2,FALSE)))</f>
        <v>0</v>
      </c>
      <c r="K204" s="3" t="str">
        <f t="shared" si="21"/>
        <v>2</v>
      </c>
      <c r="L204" s="13" t="str">
        <f>IFERROR(VLOOKUP(C204,'Справочник соответствий'!A$2:D$2981,3,FALSE),IF(VALUE(C204)=0,"ЭТАЖ НЕ ОПРЕДЕЛЕН. ПРИНЯТ ПО ДОПУЩЕНИЮ 1",VLOOKUP(C204,'Справочник соответствий'!A$2:D$2981,3,FALSE)))</f>
        <v>ЭТАЖ ЗАДАН ЧИСЛОМ</v>
      </c>
      <c r="M204" s="13" t="b">
        <f t="shared" si="22"/>
        <v>0</v>
      </c>
      <c r="N204" s="13">
        <f t="shared" si="23"/>
        <v>2</v>
      </c>
      <c r="O204" s="13" t="str">
        <f t="shared" si="24"/>
        <v>ЭТАЖ ЗАДАН ЧИСЛОМ</v>
      </c>
      <c r="P204" s="13" t="str">
        <f t="shared" si="25"/>
        <v>ЭТАЖ ЗАДАН ЧИСЛОМ</v>
      </c>
      <c r="Q204" s="13" t="str">
        <f t="shared" si="26"/>
        <v>ГОТОВ_ИЗМЕНЕН</v>
      </c>
      <c r="R204" s="13">
        <f>IFERROR(VLOOKUP(P204,Лист1!A$1:B$20,2,FALSE),0)</f>
        <v>784</v>
      </c>
      <c r="S204" s="13">
        <f t="shared" si="27"/>
        <v>0</v>
      </c>
    </row>
    <row r="205" spans="1:19" x14ac:dyDescent="0.25">
      <c r="A205" s="24" t="s">
        <v>1297</v>
      </c>
      <c r="B205" s="4" t="s">
        <v>1059</v>
      </c>
      <c r="C205" s="25" t="s">
        <v>5</v>
      </c>
      <c r="G205" s="25" t="s">
        <v>1083</v>
      </c>
      <c r="H205" s="24" t="s">
        <v>1061</v>
      </c>
      <c r="I205" s="3" t="str">
        <f>IFERROR(VLOOKUP(C205,'Справочник соответствий'!A$2:D$2981,2,FALSE),IF(VALUE(C205)=0,1,VLOOKUP(C205,'Справочник соответствий'!A$2:D$2981,2,FALSE)))</f>
        <v>1</v>
      </c>
      <c r="J205" s="3">
        <f>IFERROR(VLOOKUP(D205,'Справочник соответствий'!A$2:D$2981,2,FALSE),IF(VALUE(D205)=0,0,VLOOKUP(D205,'Справочник соответствий'!A$2:D$2981,2,FALSE)))</f>
        <v>0</v>
      </c>
      <c r="K205" s="3" t="str">
        <f t="shared" si="21"/>
        <v>1</v>
      </c>
      <c r="L205" s="13" t="str">
        <f>IFERROR(VLOOKUP(C205,'Справочник соответствий'!A$2:D$2981,3,FALSE),IF(VALUE(C205)=0,"ЭТАЖ НЕ ОПРЕДЕЛЕН. ПРИНЯТ ПО ДОПУЩЕНИЮ 1",VLOOKUP(C205,'Справочник соответствий'!A$2:D$2981,3,FALSE)))</f>
        <v>ЭТАЖ ЗАДАН ЧИСЛОМ</v>
      </c>
      <c r="M205" s="13" t="b">
        <f t="shared" si="22"/>
        <v>0</v>
      </c>
      <c r="N205" s="13">
        <f t="shared" si="23"/>
        <v>1</v>
      </c>
      <c r="O205" s="13" t="str">
        <f t="shared" si="24"/>
        <v>ЭТАЖ ЗАДАН ЧИСЛОМ</v>
      </c>
      <c r="P205" s="13" t="str">
        <f t="shared" si="25"/>
        <v>ЭТАЖ ЗАДАН ЧИСЛОМ</v>
      </c>
      <c r="Q205" s="13" t="str">
        <f t="shared" si="26"/>
        <v>ГОТОВ_ИЗМЕНЕН</v>
      </c>
      <c r="R205" s="13">
        <f>IFERROR(VLOOKUP(P205,Лист1!A$1:B$20,2,FALSE),0)</f>
        <v>784</v>
      </c>
      <c r="S205" s="13">
        <f t="shared" si="27"/>
        <v>0</v>
      </c>
    </row>
    <row r="206" spans="1:19" x14ac:dyDescent="0.25">
      <c r="A206" s="24" t="s">
        <v>1298</v>
      </c>
      <c r="B206" s="4" t="s">
        <v>1059</v>
      </c>
      <c r="C206" s="25" t="s">
        <v>7</v>
      </c>
      <c r="D206" s="25" t="s">
        <v>69</v>
      </c>
      <c r="G206" s="25" t="s">
        <v>1083</v>
      </c>
      <c r="H206" s="24" t="s">
        <v>1061</v>
      </c>
      <c r="I206" s="3" t="str">
        <f>IFERROR(VLOOKUP(C206,'Справочник соответствий'!A$2:D$2981,2,FALSE),IF(VALUE(C206)=0,1,VLOOKUP(C206,'Справочник соответствий'!A$2:D$2981,2,FALSE)))</f>
        <v>2</v>
      </c>
      <c r="J206" s="3" t="str">
        <f>IFERROR(VLOOKUP(D206,'Справочник соответствий'!A$2:D$2981,2,FALSE),IF(VALUE(D206)=0,0,VLOOKUP(D206,'Справочник соответствий'!A$2:D$2981,2,FALSE)))</f>
        <v>1</v>
      </c>
      <c r="K206" s="3" t="str">
        <f t="shared" si="21"/>
        <v>2</v>
      </c>
      <c r="L206" s="13" t="str">
        <f>IFERROR(VLOOKUP(C206,'Справочник соответствий'!A$2:D$2981,3,FALSE),IF(VALUE(C206)=0,"ЭТАЖ НЕ ОПРЕДЕЛЕН. ПРИНЯТ ПО ДОПУЩЕНИЮ 1",VLOOKUP(C206,'Справочник соответствий'!A$2:D$2981,3,FALSE)))</f>
        <v>ЭТАЖ ЗАДАН ЧИСЛОМ</v>
      </c>
      <c r="M206" s="13" t="b">
        <f t="shared" si="22"/>
        <v>0</v>
      </c>
      <c r="N206" s="13">
        <f t="shared" si="23"/>
        <v>2</v>
      </c>
      <c r="O206" s="13" t="str">
        <f t="shared" si="24"/>
        <v>ЭТАЖ ЗАДАН ЧИСЛОМ</v>
      </c>
      <c r="P206" s="13" t="str">
        <f t="shared" si="25"/>
        <v>ЭТАЖ ЗАДАН ЧИСЛОМ</v>
      </c>
      <c r="Q206" s="13" t="str">
        <f t="shared" si="26"/>
        <v>ГОТОВ_ИЗМЕНЕН</v>
      </c>
      <c r="R206" s="13">
        <f>IFERROR(VLOOKUP(P206,Лист1!A$1:B$20,2,FALSE),0)</f>
        <v>784</v>
      </c>
      <c r="S206" s="13">
        <f t="shared" si="27"/>
        <v>0</v>
      </c>
    </row>
    <row r="207" spans="1:19" x14ac:dyDescent="0.25">
      <c r="A207" s="24" t="s">
        <v>1299</v>
      </c>
      <c r="B207" s="4" t="s">
        <v>1063</v>
      </c>
      <c r="C207" s="25" t="s">
        <v>5</v>
      </c>
      <c r="G207" s="25" t="s">
        <v>1083</v>
      </c>
      <c r="H207" s="24" t="s">
        <v>1061</v>
      </c>
      <c r="I207" s="3" t="str">
        <f>IFERROR(VLOOKUP(C207,'Справочник соответствий'!A$2:D$2981,2,FALSE),IF(VALUE(C207)=0,1,VLOOKUP(C207,'Справочник соответствий'!A$2:D$2981,2,FALSE)))</f>
        <v>1</v>
      </c>
      <c r="J207" s="3">
        <f>IFERROR(VLOOKUP(D207,'Справочник соответствий'!A$2:D$2981,2,FALSE),IF(VALUE(D207)=0,0,VLOOKUP(D207,'Справочник соответствий'!A$2:D$2981,2,FALSE)))</f>
        <v>0</v>
      </c>
      <c r="K207" s="3" t="str">
        <f t="shared" si="21"/>
        <v>1</v>
      </c>
      <c r="L207" s="13" t="str">
        <f>IFERROR(VLOOKUP(C207,'Справочник соответствий'!A$2:D$2981,3,FALSE),IF(VALUE(C207)=0,"ЭТАЖ НЕ ОПРЕДЕЛЕН. ПРИНЯТ ПО ДОПУЩЕНИЮ 1",VLOOKUP(C207,'Справочник соответствий'!A$2:D$2981,3,FALSE)))</f>
        <v>ЭТАЖ ЗАДАН ЧИСЛОМ</v>
      </c>
      <c r="M207" s="13" t="b">
        <f t="shared" si="22"/>
        <v>0</v>
      </c>
      <c r="N207" s="13">
        <f t="shared" si="23"/>
        <v>1</v>
      </c>
      <c r="O207" s="13" t="str">
        <f t="shared" si="24"/>
        <v>ЭТАЖ ЗАДАН ЧИСЛОМ</v>
      </c>
      <c r="P207" s="13" t="str">
        <f t="shared" si="25"/>
        <v>ЭТАЖ ЗАДАН ЧИСЛОМ</v>
      </c>
      <c r="Q207" s="13" t="str">
        <f t="shared" si="26"/>
        <v>ГОТОВ_ИЗМЕНЕН</v>
      </c>
      <c r="R207" s="13">
        <f>IFERROR(VLOOKUP(P207,Лист1!A$1:B$20,2,FALSE),0)</f>
        <v>784</v>
      </c>
      <c r="S207" s="13">
        <f t="shared" si="27"/>
        <v>0</v>
      </c>
    </row>
    <row r="208" spans="1:19" x14ac:dyDescent="0.25">
      <c r="A208" s="24" t="s">
        <v>1300</v>
      </c>
      <c r="B208" s="4" t="s">
        <v>1059</v>
      </c>
      <c r="C208" s="25" t="s">
        <v>5</v>
      </c>
      <c r="D208" s="25" t="s">
        <v>24</v>
      </c>
      <c r="E208" s="3">
        <v>1</v>
      </c>
      <c r="F208" s="24" t="s">
        <v>1045</v>
      </c>
      <c r="G208" s="25" t="s">
        <v>1072</v>
      </c>
      <c r="H208" s="24" t="s">
        <v>1061</v>
      </c>
      <c r="I208" s="3" t="str">
        <f>IFERROR(VLOOKUP(C208,'Справочник соответствий'!A$2:D$2981,2,FALSE),IF(VALUE(C208)=0,1,VLOOKUP(C208,'Справочник соответствий'!A$2:D$2981,2,FALSE)))</f>
        <v>1</v>
      </c>
      <c r="J208" s="3" t="str">
        <f>IFERROR(VLOOKUP(D208,'Справочник соответствий'!A$2:D$2981,2,FALSE),IF(VALUE(D208)=0,0,VLOOKUP(D208,'Справочник соответствий'!A$2:D$2981,2,FALSE)))</f>
        <v>1</v>
      </c>
      <c r="K208" s="3" t="str">
        <f t="shared" si="21"/>
        <v>1</v>
      </c>
      <c r="L208" s="13" t="str">
        <f>IFERROR(VLOOKUP(C208,'Справочник соответствий'!A$2:D$2981,3,FALSE),IF(VALUE(C208)=0,"ЭТАЖ НЕ ОПРЕДЕЛЕН. ПРИНЯТ ПО ДОПУЩЕНИЮ 1",VLOOKUP(C208,'Справочник соответствий'!A$2:D$2981,3,FALSE)))</f>
        <v>ЭТАЖ ЗАДАН ЧИСЛОМ</v>
      </c>
      <c r="M208" s="13" t="b">
        <f t="shared" si="22"/>
        <v>0</v>
      </c>
      <c r="N208" s="13">
        <f t="shared" si="23"/>
        <v>1</v>
      </c>
      <c r="O208" s="13" t="str">
        <f t="shared" si="24"/>
        <v>ЭТАЖ ЗАДАН ЧИСЛОМ</v>
      </c>
      <c r="P208" s="13" t="str">
        <f t="shared" si="25"/>
        <v>ЭТАЖ ЗАДАН ЧИСЛОМ</v>
      </c>
      <c r="Q208" s="13" t="str">
        <f t="shared" si="26"/>
        <v>ГОТОВ</v>
      </c>
      <c r="R208" s="13">
        <f>IFERROR(VLOOKUP(P208,Лист1!A$1:B$20,2,FALSE),0)</f>
        <v>784</v>
      </c>
      <c r="S208" s="13">
        <f t="shared" si="27"/>
        <v>1</v>
      </c>
    </row>
    <row r="209" spans="1:19" x14ac:dyDescent="0.25">
      <c r="A209" s="24" t="s">
        <v>1301</v>
      </c>
      <c r="B209" s="4" t="s">
        <v>1031</v>
      </c>
      <c r="C209" s="25" t="s">
        <v>8</v>
      </c>
      <c r="D209" s="25" t="s">
        <v>5</v>
      </c>
      <c r="E209" s="3">
        <v>3</v>
      </c>
      <c r="F209" s="24" t="s">
        <v>1045</v>
      </c>
      <c r="G209" s="25" t="s">
        <v>1075</v>
      </c>
      <c r="H209" s="24" t="s">
        <v>1061</v>
      </c>
      <c r="I209" s="3" t="str">
        <f>IFERROR(VLOOKUP(C209,'Справочник соответствий'!A$2:D$2981,2,FALSE),IF(VALUE(C209)=0,1,VLOOKUP(C209,'Справочник соответствий'!A$2:D$2981,2,FALSE)))</f>
        <v>3</v>
      </c>
      <c r="J209" s="3" t="str">
        <f>IFERROR(VLOOKUP(D209,'Справочник соответствий'!A$2:D$2981,2,FALSE),IF(VALUE(D209)=0,0,VLOOKUP(D209,'Справочник соответствий'!A$2:D$2981,2,FALSE)))</f>
        <v>1</v>
      </c>
      <c r="K209" s="3">
        <f t="shared" si="21"/>
        <v>2</v>
      </c>
      <c r="L209" s="13" t="str">
        <f>IFERROR(VLOOKUP(C209,'Справочник соответствий'!A$2:D$2981,3,FALSE),IF(VALUE(C209)=0,"ЭТАЖ НЕ ОПРЕДЕЛЕН. ПРИНЯТ ПО ДОПУЩЕНИЮ 1",VLOOKUP(C209,'Справочник соответствий'!A$2:D$2981,3,FALSE)))</f>
        <v>ЭТАЖ ЗАДАН ЧИСЛОМ</v>
      </c>
      <c r="M209" s="13" t="b">
        <f t="shared" si="22"/>
        <v>0</v>
      </c>
      <c r="N209" s="13">
        <f t="shared" si="23"/>
        <v>2</v>
      </c>
      <c r="O209" s="13" t="str">
        <f t="shared" si="24"/>
        <v>ЭТАЖ ЗАДАН ЧИСЛОМ</v>
      </c>
      <c r="P209" s="13" t="str">
        <f t="shared" si="25"/>
        <v>МКД_ЭТАЖ ЗАДАН ЧИСЛОМ</v>
      </c>
      <c r="Q209" s="13" t="str">
        <f t="shared" si="26"/>
        <v>ГОТОВ_ИЗМЕНЕН</v>
      </c>
      <c r="R209" s="13">
        <f>IFERROR(VLOOKUP(P209,Лист1!A$1:B$20,2,FALSE),0)</f>
        <v>786</v>
      </c>
      <c r="S209" s="13">
        <f t="shared" si="27"/>
        <v>3</v>
      </c>
    </row>
    <row r="210" spans="1:19" x14ac:dyDescent="0.25">
      <c r="A210" s="24" t="s">
        <v>1302</v>
      </c>
      <c r="B210" s="4" t="s">
        <v>1059</v>
      </c>
      <c r="C210" s="25" t="s">
        <v>5</v>
      </c>
      <c r="E210" s="3">
        <v>1</v>
      </c>
      <c r="F210" s="24" t="s">
        <v>1045</v>
      </c>
      <c r="G210" s="25" t="s">
        <v>1104</v>
      </c>
      <c r="H210" s="24" t="s">
        <v>1061</v>
      </c>
      <c r="I210" s="3" t="str">
        <f>IFERROR(VLOOKUP(C210,'Справочник соответствий'!A$2:D$2981,2,FALSE),IF(VALUE(C210)=0,1,VLOOKUP(C210,'Справочник соответствий'!A$2:D$2981,2,FALSE)))</f>
        <v>1</v>
      </c>
      <c r="J210" s="3">
        <f>IFERROR(VLOOKUP(D210,'Справочник соответствий'!A$2:D$2981,2,FALSE),IF(VALUE(D210)=0,0,VLOOKUP(D210,'Справочник соответствий'!A$2:D$2981,2,FALSE)))</f>
        <v>0</v>
      </c>
      <c r="K210" s="3" t="str">
        <f t="shared" si="21"/>
        <v>1</v>
      </c>
      <c r="L210" s="13" t="str">
        <f>IFERROR(VLOOKUP(C210,'Справочник соответствий'!A$2:D$2981,3,FALSE),IF(VALUE(C210)=0,"ЭТАЖ НЕ ОПРЕДЕЛЕН. ПРИНЯТ ПО ДОПУЩЕНИЮ 1",VLOOKUP(C210,'Справочник соответствий'!A$2:D$2981,3,FALSE)))</f>
        <v>ЭТАЖ ЗАДАН ЧИСЛОМ</v>
      </c>
      <c r="M210" s="13" t="b">
        <f t="shared" si="22"/>
        <v>0</v>
      </c>
      <c r="N210" s="13">
        <f t="shared" si="23"/>
        <v>1</v>
      </c>
      <c r="O210" s="13" t="str">
        <f t="shared" si="24"/>
        <v>ЭТАЖ ЗАДАН ЧИСЛОМ</v>
      </c>
      <c r="P210" s="13" t="str">
        <f t="shared" si="25"/>
        <v>ЭТАЖ ЗАДАН ЧИСЛОМ</v>
      </c>
      <c r="Q210" s="13" t="str">
        <f t="shared" si="26"/>
        <v>ГОТОВ</v>
      </c>
      <c r="R210" s="13">
        <f>IFERROR(VLOOKUP(P210,Лист1!A$1:B$20,2,FALSE),0)</f>
        <v>784</v>
      </c>
      <c r="S210" s="13">
        <f t="shared" si="27"/>
        <v>1</v>
      </c>
    </row>
    <row r="211" spans="1:19" x14ac:dyDescent="0.25">
      <c r="A211" s="24" t="s">
        <v>1303</v>
      </c>
      <c r="B211" s="4" t="s">
        <v>1063</v>
      </c>
      <c r="C211" s="25" t="s">
        <v>7</v>
      </c>
      <c r="E211" s="3">
        <v>2</v>
      </c>
      <c r="F211" s="24" t="s">
        <v>1304</v>
      </c>
      <c r="G211" s="25" t="s">
        <v>1108</v>
      </c>
      <c r="H211" s="24" t="s">
        <v>1061</v>
      </c>
      <c r="I211" s="3" t="str">
        <f>IFERROR(VLOOKUP(C211,'Справочник соответствий'!A$2:D$2981,2,FALSE),IF(VALUE(C211)=0,1,VLOOKUP(C211,'Справочник соответствий'!A$2:D$2981,2,FALSE)))</f>
        <v>2</v>
      </c>
      <c r="J211" s="3">
        <f>IFERROR(VLOOKUP(D211,'Справочник соответствий'!A$2:D$2981,2,FALSE),IF(VALUE(D211)=0,0,VLOOKUP(D211,'Справочник соответствий'!A$2:D$2981,2,FALSE)))</f>
        <v>0</v>
      </c>
      <c r="K211" s="3" t="str">
        <f t="shared" si="21"/>
        <v>2</v>
      </c>
      <c r="L211" s="13" t="str">
        <f>IFERROR(VLOOKUP(C211,'Справочник соответствий'!A$2:D$2981,3,FALSE),IF(VALUE(C211)=0,"ЭТАЖ НЕ ОПРЕДЕЛЕН. ПРИНЯТ ПО ДОПУЩЕНИЮ 1",VLOOKUP(C211,'Справочник соответствий'!A$2:D$2981,3,FALSE)))</f>
        <v>ЭТАЖ ЗАДАН ЧИСЛОМ</v>
      </c>
      <c r="M211" s="13" t="b">
        <f t="shared" si="22"/>
        <v>0</v>
      </c>
      <c r="N211" s="13">
        <f t="shared" si="23"/>
        <v>2</v>
      </c>
      <c r="O211" s="13" t="str">
        <f t="shared" si="24"/>
        <v>ЭТАЖ ЗАДАН ЧИСЛОМ</v>
      </c>
      <c r="P211" s="13" t="str">
        <f t="shared" si="25"/>
        <v>ЭТАЖ ЗАДАН ЧИСЛОМ</v>
      </c>
      <c r="Q211" s="13" t="str">
        <f t="shared" si="26"/>
        <v>ГОТОВ</v>
      </c>
      <c r="R211" s="13">
        <f>IFERROR(VLOOKUP(P211,Лист1!A$1:B$20,2,FALSE),0)</f>
        <v>784</v>
      </c>
      <c r="S211" s="13">
        <f t="shared" si="27"/>
        <v>2</v>
      </c>
    </row>
    <row r="212" spans="1:19" x14ac:dyDescent="0.25">
      <c r="A212" s="24" t="s">
        <v>1305</v>
      </c>
      <c r="B212" s="4" t="s">
        <v>1063</v>
      </c>
      <c r="C212" s="25" t="s">
        <v>8</v>
      </c>
      <c r="E212" s="3">
        <v>3</v>
      </c>
      <c r="F212" s="24" t="s">
        <v>1045</v>
      </c>
      <c r="G212" s="25" t="s">
        <v>1174</v>
      </c>
      <c r="H212" s="24" t="s">
        <v>1061</v>
      </c>
      <c r="I212" s="3" t="str">
        <f>IFERROR(VLOOKUP(C212,'Справочник соответствий'!A$2:D$2981,2,FALSE),IF(VALUE(C212)=0,1,VLOOKUP(C212,'Справочник соответствий'!A$2:D$2981,2,FALSE)))</f>
        <v>3</v>
      </c>
      <c r="J212" s="3">
        <f>IFERROR(VLOOKUP(D212,'Справочник соответствий'!A$2:D$2981,2,FALSE),IF(VALUE(D212)=0,0,VLOOKUP(D212,'Справочник соответствий'!A$2:D$2981,2,FALSE)))</f>
        <v>0</v>
      </c>
      <c r="K212" s="3" t="str">
        <f t="shared" si="21"/>
        <v>3</v>
      </c>
      <c r="L212" s="13" t="str">
        <f>IFERROR(VLOOKUP(C212,'Справочник соответствий'!A$2:D$2981,3,FALSE),IF(VALUE(C212)=0,"ЭТАЖ НЕ ОПРЕДЕЛЕН. ПРИНЯТ ПО ДОПУЩЕНИЮ 1",VLOOKUP(C212,'Справочник соответствий'!A$2:D$2981,3,FALSE)))</f>
        <v>ЭТАЖ ЗАДАН ЧИСЛОМ</v>
      </c>
      <c r="M212" s="13" t="b">
        <f t="shared" si="22"/>
        <v>0</v>
      </c>
      <c r="N212" s="13">
        <f t="shared" si="23"/>
        <v>3</v>
      </c>
      <c r="O212" s="13" t="str">
        <f t="shared" si="24"/>
        <v>ЭТАЖ ЗАДАН ЧИСЛОМ</v>
      </c>
      <c r="P212" s="13" t="str">
        <f t="shared" si="25"/>
        <v>ЭТАЖ ЗАДАН ЧИСЛОМ</v>
      </c>
      <c r="Q212" s="13" t="str">
        <f t="shared" si="26"/>
        <v>ГОТОВ</v>
      </c>
      <c r="R212" s="13">
        <f>IFERROR(VLOOKUP(P212,Лист1!A$1:B$20,2,FALSE),0)</f>
        <v>784</v>
      </c>
      <c r="S212" s="13">
        <f t="shared" si="27"/>
        <v>3</v>
      </c>
    </row>
    <row r="213" spans="1:19" x14ac:dyDescent="0.25">
      <c r="A213" s="24" t="s">
        <v>1306</v>
      </c>
      <c r="B213" s="4" t="s">
        <v>1059</v>
      </c>
      <c r="E213" s="3">
        <v>1</v>
      </c>
      <c r="F213" s="24" t="s">
        <v>1307</v>
      </c>
      <c r="G213" s="25" t="s">
        <v>1089</v>
      </c>
      <c r="H213" s="24" t="s">
        <v>1061</v>
      </c>
      <c r="I213" s="3">
        <f>IFERROR(VLOOKUP(C213,'Справочник соответствий'!A$2:D$2981,2,FALSE),IF(VALUE(C213)=0,1,VLOOKUP(C213,'Справочник соответствий'!A$2:D$2981,2,FALSE)))</f>
        <v>1</v>
      </c>
      <c r="J213" s="3">
        <f>IFERROR(VLOOKUP(D213,'Справочник соответствий'!A$2:D$2981,2,FALSE),IF(VALUE(D213)=0,0,VLOOKUP(D213,'Справочник соответствий'!A$2:D$2981,2,FALSE)))</f>
        <v>0</v>
      </c>
      <c r="K213" s="3">
        <f t="shared" si="21"/>
        <v>1</v>
      </c>
      <c r="L213" s="13" t="str">
        <f>IFERROR(VLOOKUP(C213,'Справочник соответствий'!A$2:D$2981,3,FALSE),IF(VALUE(C213)=0,"ЭТАЖ НЕ ОПРЕДЕЛЕН. ПРИНЯТ ПО ДОПУЩЕНИЮ 1",VLOOKUP(C213,'Справочник соответствий'!A$2:D$2981,3,FALSE)))</f>
        <v>ЭТАЖ НЕ ОПРЕДЕЛЕН. ПРИНЯТ ПО ДОПУЩЕНИЮ 1</v>
      </c>
      <c r="M213" s="13" t="b">
        <f t="shared" si="22"/>
        <v>1</v>
      </c>
      <c r="N213" s="13">
        <f t="shared" si="23"/>
        <v>1</v>
      </c>
      <c r="O213" s="13" t="str">
        <f t="shared" si="24"/>
        <v>Значение определено ГБУ СО ЦГКО по дате постановки на кадастровый учет</v>
      </c>
      <c r="P213" s="13" t="str">
        <f t="shared" si="25"/>
        <v>Значение определено ГБУ СО ЦГКО по дате постановки на кадастровый учет</v>
      </c>
      <c r="Q213" s="13" t="str">
        <f t="shared" si="26"/>
        <v>ГОТОВ</v>
      </c>
      <c r="R213" s="13">
        <f>IFERROR(VLOOKUP(P213,Лист1!A$1:B$20,2,FALSE),0)</f>
        <v>0</v>
      </c>
      <c r="S213" s="13">
        <f t="shared" si="27"/>
        <v>1</v>
      </c>
    </row>
    <row r="214" spans="1:19" x14ac:dyDescent="0.25">
      <c r="A214" s="24" t="s">
        <v>1308</v>
      </c>
      <c r="B214" s="4" t="s">
        <v>1059</v>
      </c>
      <c r="C214" s="25" t="s">
        <v>7</v>
      </c>
      <c r="E214" s="3">
        <v>1</v>
      </c>
      <c r="F214" s="24" t="s">
        <v>1045</v>
      </c>
      <c r="G214" s="25" t="s">
        <v>1067</v>
      </c>
      <c r="H214" s="24" t="s">
        <v>1061</v>
      </c>
      <c r="I214" s="3" t="str">
        <f>IFERROR(VLOOKUP(C214,'Справочник соответствий'!A$2:D$2981,2,FALSE),IF(VALUE(C214)=0,1,VLOOKUP(C214,'Справочник соответствий'!A$2:D$2981,2,FALSE)))</f>
        <v>2</v>
      </c>
      <c r="J214" s="3">
        <f>IFERROR(VLOOKUP(D214,'Справочник соответствий'!A$2:D$2981,2,FALSE),IF(VALUE(D214)=0,0,VLOOKUP(D214,'Справочник соответствий'!A$2:D$2981,2,FALSE)))</f>
        <v>0</v>
      </c>
      <c r="K214" s="3" t="str">
        <f t="shared" si="21"/>
        <v>2</v>
      </c>
      <c r="L214" s="13" t="str">
        <f>IFERROR(VLOOKUP(C214,'Справочник соответствий'!A$2:D$2981,3,FALSE),IF(VALUE(C214)=0,"ЭТАЖ НЕ ОПРЕДЕЛЕН. ПРИНЯТ ПО ДОПУЩЕНИЮ 1",VLOOKUP(C214,'Справочник соответствий'!A$2:D$2981,3,FALSE)))</f>
        <v>ЭТАЖ ЗАДАН ЧИСЛОМ</v>
      </c>
      <c r="M214" s="13" t="b">
        <f t="shared" si="22"/>
        <v>0</v>
      </c>
      <c r="N214" s="13">
        <f t="shared" si="23"/>
        <v>2</v>
      </c>
      <c r="O214" s="13" t="str">
        <f t="shared" si="24"/>
        <v>ЭТАЖ ЗАДАН ЧИСЛОМ</v>
      </c>
      <c r="P214" s="13" t="str">
        <f t="shared" si="25"/>
        <v>ЭТАЖ ЗАДАН ЧИСЛОМ</v>
      </c>
      <c r="Q214" s="13" t="str">
        <f t="shared" si="26"/>
        <v>ГОТОВ_ИЗМЕНЕН</v>
      </c>
      <c r="R214" s="13">
        <f>IFERROR(VLOOKUP(P214,Лист1!A$1:B$20,2,FALSE),0)</f>
        <v>784</v>
      </c>
      <c r="S214" s="13">
        <f t="shared" si="27"/>
        <v>1</v>
      </c>
    </row>
    <row r="215" spans="1:19" x14ac:dyDescent="0.25">
      <c r="A215" s="24" t="s">
        <v>1309</v>
      </c>
      <c r="B215" s="4" t="s">
        <v>1063</v>
      </c>
      <c r="C215" s="25" t="s">
        <v>8</v>
      </c>
      <c r="E215" s="3">
        <v>3</v>
      </c>
      <c r="F215" s="24" t="s">
        <v>1045</v>
      </c>
      <c r="G215" s="25" t="s">
        <v>1276</v>
      </c>
      <c r="H215" s="24" t="s">
        <v>1061</v>
      </c>
      <c r="I215" s="3" t="str">
        <f>IFERROR(VLOOKUP(C215,'Справочник соответствий'!A$2:D$2981,2,FALSE),IF(VALUE(C215)=0,1,VLOOKUP(C215,'Справочник соответствий'!A$2:D$2981,2,FALSE)))</f>
        <v>3</v>
      </c>
      <c r="J215" s="3">
        <f>IFERROR(VLOOKUP(D215,'Справочник соответствий'!A$2:D$2981,2,FALSE),IF(VALUE(D215)=0,0,VLOOKUP(D215,'Справочник соответствий'!A$2:D$2981,2,FALSE)))</f>
        <v>0</v>
      </c>
      <c r="K215" s="3" t="str">
        <f t="shared" si="21"/>
        <v>3</v>
      </c>
      <c r="L215" s="13" t="str">
        <f>IFERROR(VLOOKUP(C215,'Справочник соответствий'!A$2:D$2981,3,FALSE),IF(VALUE(C215)=0,"ЭТАЖ НЕ ОПРЕДЕЛЕН. ПРИНЯТ ПО ДОПУЩЕНИЮ 1",VLOOKUP(C215,'Справочник соответствий'!A$2:D$2981,3,FALSE)))</f>
        <v>ЭТАЖ ЗАДАН ЧИСЛОМ</v>
      </c>
      <c r="M215" s="13" t="b">
        <f t="shared" si="22"/>
        <v>0</v>
      </c>
      <c r="N215" s="13">
        <f t="shared" si="23"/>
        <v>3</v>
      </c>
      <c r="O215" s="13" t="str">
        <f t="shared" si="24"/>
        <v>ЭТАЖ ЗАДАН ЧИСЛОМ</v>
      </c>
      <c r="P215" s="13" t="str">
        <f t="shared" si="25"/>
        <v>ЭТАЖ ЗАДАН ЧИСЛОМ</v>
      </c>
      <c r="Q215" s="13" t="str">
        <f t="shared" si="26"/>
        <v>ГОТОВ</v>
      </c>
      <c r="R215" s="13">
        <f>IFERROR(VLOOKUP(P215,Лист1!A$1:B$20,2,FALSE),0)</f>
        <v>784</v>
      </c>
      <c r="S215" s="13">
        <f t="shared" si="27"/>
        <v>3</v>
      </c>
    </row>
    <row r="216" spans="1:19" x14ac:dyDescent="0.25">
      <c r="A216" s="24" t="s">
        <v>1310</v>
      </c>
      <c r="B216" s="4" t="s">
        <v>1059</v>
      </c>
      <c r="C216" s="25" t="s">
        <v>5</v>
      </c>
      <c r="E216" s="3">
        <v>1</v>
      </c>
      <c r="F216" s="24" t="s">
        <v>1045</v>
      </c>
      <c r="G216" s="25" t="s">
        <v>1099</v>
      </c>
      <c r="H216" s="24" t="s">
        <v>1061</v>
      </c>
      <c r="I216" s="3" t="str">
        <f>IFERROR(VLOOKUP(C216,'Справочник соответствий'!A$2:D$2981,2,FALSE),IF(VALUE(C216)=0,1,VLOOKUP(C216,'Справочник соответствий'!A$2:D$2981,2,FALSE)))</f>
        <v>1</v>
      </c>
      <c r="J216" s="3">
        <f>IFERROR(VLOOKUP(D216,'Справочник соответствий'!A$2:D$2981,2,FALSE),IF(VALUE(D216)=0,0,VLOOKUP(D216,'Справочник соответствий'!A$2:D$2981,2,FALSE)))</f>
        <v>0</v>
      </c>
      <c r="K216" s="3" t="str">
        <f t="shared" si="21"/>
        <v>1</v>
      </c>
      <c r="L216" s="13" t="str">
        <f>IFERROR(VLOOKUP(C216,'Справочник соответствий'!A$2:D$2981,3,FALSE),IF(VALUE(C216)=0,"ЭТАЖ НЕ ОПРЕДЕЛЕН. ПРИНЯТ ПО ДОПУЩЕНИЮ 1",VLOOKUP(C216,'Справочник соответствий'!A$2:D$2981,3,FALSE)))</f>
        <v>ЭТАЖ ЗАДАН ЧИСЛОМ</v>
      </c>
      <c r="M216" s="13" t="b">
        <f t="shared" si="22"/>
        <v>0</v>
      </c>
      <c r="N216" s="13">
        <f t="shared" si="23"/>
        <v>1</v>
      </c>
      <c r="O216" s="13" t="str">
        <f t="shared" si="24"/>
        <v>ЭТАЖ ЗАДАН ЧИСЛОМ</v>
      </c>
      <c r="P216" s="13" t="str">
        <f t="shared" si="25"/>
        <v>ЭТАЖ ЗАДАН ЧИСЛОМ</v>
      </c>
      <c r="Q216" s="13" t="str">
        <f t="shared" si="26"/>
        <v>ГОТОВ</v>
      </c>
      <c r="R216" s="13">
        <f>IFERROR(VLOOKUP(P216,Лист1!A$1:B$20,2,FALSE),0)</f>
        <v>784</v>
      </c>
      <c r="S216" s="13">
        <f t="shared" si="27"/>
        <v>1</v>
      </c>
    </row>
    <row r="217" spans="1:19" x14ac:dyDescent="0.25">
      <c r="A217" s="24" t="s">
        <v>1311</v>
      </c>
      <c r="B217" s="4" t="s">
        <v>1059</v>
      </c>
      <c r="C217" s="25" t="s">
        <v>5</v>
      </c>
      <c r="E217" s="3">
        <v>1</v>
      </c>
      <c r="F217" s="24" t="s">
        <v>1045</v>
      </c>
      <c r="G217" s="25" t="s">
        <v>1114</v>
      </c>
      <c r="H217" s="24" t="s">
        <v>1061</v>
      </c>
      <c r="I217" s="3" t="str">
        <f>IFERROR(VLOOKUP(C217,'Справочник соответствий'!A$2:D$2981,2,FALSE),IF(VALUE(C217)=0,1,VLOOKUP(C217,'Справочник соответствий'!A$2:D$2981,2,FALSE)))</f>
        <v>1</v>
      </c>
      <c r="J217" s="3">
        <f>IFERROR(VLOOKUP(D217,'Справочник соответствий'!A$2:D$2981,2,FALSE),IF(VALUE(D217)=0,0,VLOOKUP(D217,'Справочник соответствий'!A$2:D$2981,2,FALSE)))</f>
        <v>0</v>
      </c>
      <c r="K217" s="3" t="str">
        <f t="shared" si="21"/>
        <v>1</v>
      </c>
      <c r="L217" s="13" t="str">
        <f>IFERROR(VLOOKUP(C217,'Справочник соответствий'!A$2:D$2981,3,FALSE),IF(VALUE(C217)=0,"ЭТАЖ НЕ ОПРЕДЕЛЕН. ПРИНЯТ ПО ДОПУЩЕНИЮ 1",VLOOKUP(C217,'Справочник соответствий'!A$2:D$2981,3,FALSE)))</f>
        <v>ЭТАЖ ЗАДАН ЧИСЛОМ</v>
      </c>
      <c r="M217" s="13" t="b">
        <f t="shared" si="22"/>
        <v>0</v>
      </c>
      <c r="N217" s="13">
        <f t="shared" si="23"/>
        <v>1</v>
      </c>
      <c r="O217" s="13" t="str">
        <f t="shared" si="24"/>
        <v>ЭТАЖ ЗАДАН ЧИСЛОМ</v>
      </c>
      <c r="P217" s="13" t="str">
        <f t="shared" si="25"/>
        <v>ЭТАЖ ЗАДАН ЧИСЛОМ</v>
      </c>
      <c r="Q217" s="13" t="str">
        <f t="shared" si="26"/>
        <v>ГОТОВ</v>
      </c>
      <c r="R217" s="13">
        <f>IFERROR(VLOOKUP(P217,Лист1!A$1:B$20,2,FALSE),0)</f>
        <v>784</v>
      </c>
      <c r="S217" s="13">
        <f t="shared" si="27"/>
        <v>1</v>
      </c>
    </row>
    <row r="218" spans="1:19" x14ac:dyDescent="0.25">
      <c r="A218" s="24" t="s">
        <v>1312</v>
      </c>
      <c r="B218" s="4" t="s">
        <v>1063</v>
      </c>
      <c r="C218" s="25" t="s">
        <v>7</v>
      </c>
      <c r="E218" s="3">
        <v>1</v>
      </c>
      <c r="F218" s="24" t="s">
        <v>1045</v>
      </c>
      <c r="G218" s="25" t="s">
        <v>1080</v>
      </c>
      <c r="H218" s="24" t="s">
        <v>1061</v>
      </c>
      <c r="I218" s="3" t="str">
        <f>IFERROR(VLOOKUP(C218,'Справочник соответствий'!A$2:D$2981,2,FALSE),IF(VALUE(C218)=0,1,VLOOKUP(C218,'Справочник соответствий'!A$2:D$2981,2,FALSE)))</f>
        <v>2</v>
      </c>
      <c r="J218" s="3">
        <f>IFERROR(VLOOKUP(D218,'Справочник соответствий'!A$2:D$2981,2,FALSE),IF(VALUE(D218)=0,0,VLOOKUP(D218,'Справочник соответствий'!A$2:D$2981,2,FALSE)))</f>
        <v>0</v>
      </c>
      <c r="K218" s="3" t="str">
        <f t="shared" si="21"/>
        <v>2</v>
      </c>
      <c r="L218" s="13" t="str">
        <f>IFERROR(VLOOKUP(C218,'Справочник соответствий'!A$2:D$2981,3,FALSE),IF(VALUE(C218)=0,"ЭТАЖ НЕ ОПРЕДЕЛЕН. ПРИНЯТ ПО ДОПУЩЕНИЮ 1",VLOOKUP(C218,'Справочник соответствий'!A$2:D$2981,3,FALSE)))</f>
        <v>ЭТАЖ ЗАДАН ЧИСЛОМ</v>
      </c>
      <c r="M218" s="13" t="b">
        <f t="shared" si="22"/>
        <v>0</v>
      </c>
      <c r="N218" s="13">
        <f t="shared" si="23"/>
        <v>2</v>
      </c>
      <c r="O218" s="13" t="str">
        <f t="shared" si="24"/>
        <v>ЭТАЖ ЗАДАН ЧИСЛОМ</v>
      </c>
      <c r="P218" s="13" t="str">
        <f t="shared" si="25"/>
        <v>ЭТАЖ ЗАДАН ЧИСЛОМ</v>
      </c>
      <c r="Q218" s="13" t="str">
        <f t="shared" si="26"/>
        <v>ГОТОВ_ИЗМЕНЕН</v>
      </c>
      <c r="R218" s="13">
        <f>IFERROR(VLOOKUP(P218,Лист1!A$1:B$20,2,FALSE),0)</f>
        <v>784</v>
      </c>
      <c r="S218" s="13">
        <f t="shared" si="27"/>
        <v>1</v>
      </c>
    </row>
    <row r="219" spans="1:19" x14ac:dyDescent="0.25">
      <c r="A219" s="24" t="s">
        <v>1313</v>
      </c>
      <c r="B219" s="4" t="s">
        <v>1059</v>
      </c>
      <c r="C219" s="25" t="s">
        <v>5</v>
      </c>
      <c r="E219" s="3">
        <v>1</v>
      </c>
      <c r="F219" s="24" t="s">
        <v>1045</v>
      </c>
      <c r="G219" s="25" t="s">
        <v>1083</v>
      </c>
      <c r="H219" s="24" t="s">
        <v>1061</v>
      </c>
      <c r="I219" s="3" t="str">
        <f>IFERROR(VLOOKUP(C219,'Справочник соответствий'!A$2:D$2981,2,FALSE),IF(VALUE(C219)=0,1,VLOOKUP(C219,'Справочник соответствий'!A$2:D$2981,2,FALSE)))</f>
        <v>1</v>
      </c>
      <c r="J219" s="3">
        <f>IFERROR(VLOOKUP(D219,'Справочник соответствий'!A$2:D$2981,2,FALSE),IF(VALUE(D219)=0,0,VLOOKUP(D219,'Справочник соответствий'!A$2:D$2981,2,FALSE)))</f>
        <v>0</v>
      </c>
      <c r="K219" s="3" t="str">
        <f t="shared" si="21"/>
        <v>1</v>
      </c>
      <c r="L219" s="13" t="str">
        <f>IFERROR(VLOOKUP(C219,'Справочник соответствий'!A$2:D$2981,3,FALSE),IF(VALUE(C219)=0,"ЭТАЖ НЕ ОПРЕДЕЛЕН. ПРИНЯТ ПО ДОПУЩЕНИЮ 1",VLOOKUP(C219,'Справочник соответствий'!A$2:D$2981,3,FALSE)))</f>
        <v>ЭТАЖ ЗАДАН ЧИСЛОМ</v>
      </c>
      <c r="M219" s="13" t="b">
        <f t="shared" si="22"/>
        <v>0</v>
      </c>
      <c r="N219" s="13">
        <f t="shared" si="23"/>
        <v>1</v>
      </c>
      <c r="O219" s="13" t="str">
        <f t="shared" si="24"/>
        <v>ЭТАЖ ЗАДАН ЧИСЛОМ</v>
      </c>
      <c r="P219" s="13" t="str">
        <f t="shared" si="25"/>
        <v>ЭТАЖ ЗАДАН ЧИСЛОМ</v>
      </c>
      <c r="Q219" s="13" t="str">
        <f t="shared" si="26"/>
        <v>ГОТОВ</v>
      </c>
      <c r="R219" s="13">
        <f>IFERROR(VLOOKUP(P219,Лист1!A$1:B$20,2,FALSE),0)</f>
        <v>784</v>
      </c>
      <c r="S219" s="13">
        <f t="shared" si="27"/>
        <v>1</v>
      </c>
    </row>
    <row r="220" spans="1:19" x14ac:dyDescent="0.25">
      <c r="A220" s="24" t="s">
        <v>1314</v>
      </c>
      <c r="B220" s="4" t="s">
        <v>1031</v>
      </c>
      <c r="C220" s="25" t="s">
        <v>5</v>
      </c>
      <c r="E220" s="3">
        <v>1</v>
      </c>
      <c r="F220" s="24" t="s">
        <v>1045</v>
      </c>
      <c r="G220" s="25" t="s">
        <v>1077</v>
      </c>
      <c r="H220" s="24" t="s">
        <v>1061</v>
      </c>
      <c r="I220" s="3" t="str">
        <f>IFERROR(VLOOKUP(C220,'Справочник соответствий'!A$2:D$2981,2,FALSE),IF(VALUE(C220)=0,1,VLOOKUP(C220,'Справочник соответствий'!A$2:D$2981,2,FALSE)))</f>
        <v>1</v>
      </c>
      <c r="J220" s="3">
        <f>IFERROR(VLOOKUP(D220,'Справочник соответствий'!A$2:D$2981,2,FALSE),IF(VALUE(D220)=0,0,VLOOKUP(D220,'Справочник соответствий'!A$2:D$2981,2,FALSE)))</f>
        <v>0</v>
      </c>
      <c r="K220" s="3">
        <f t="shared" si="21"/>
        <v>1</v>
      </c>
      <c r="L220" s="13" t="str">
        <f>IFERROR(VLOOKUP(C220,'Справочник соответствий'!A$2:D$2981,3,FALSE),IF(VALUE(C220)=0,"ЭТАЖ НЕ ОПРЕДЕЛЕН. ПРИНЯТ ПО ДОПУЩЕНИЮ 1",VLOOKUP(C220,'Справочник соответствий'!A$2:D$2981,3,FALSE)))</f>
        <v>ЭТАЖ ЗАДАН ЧИСЛОМ</v>
      </c>
      <c r="M220" s="13" t="b">
        <f t="shared" si="22"/>
        <v>0</v>
      </c>
      <c r="N220" s="13">
        <f t="shared" si="23"/>
        <v>1</v>
      </c>
      <c r="O220" s="13" t="str">
        <f t="shared" si="24"/>
        <v>ЭТАЖ ЗАДАН ЧИСЛОМ</v>
      </c>
      <c r="P220" s="13" t="str">
        <f t="shared" si="25"/>
        <v>МКД_ЭТАЖ ЗАДАН ЧИСЛОМ</v>
      </c>
      <c r="Q220" s="13" t="str">
        <f t="shared" si="26"/>
        <v>ГОТОВ</v>
      </c>
      <c r="R220" s="13">
        <f>IFERROR(VLOOKUP(P220,Лист1!A$1:B$20,2,FALSE),0)</f>
        <v>786</v>
      </c>
      <c r="S220" s="13">
        <f t="shared" si="27"/>
        <v>1</v>
      </c>
    </row>
    <row r="221" spans="1:19" x14ac:dyDescent="0.25">
      <c r="A221" s="24" t="s">
        <v>1315</v>
      </c>
      <c r="B221" s="4" t="s">
        <v>1063</v>
      </c>
      <c r="C221" s="25" t="s">
        <v>5</v>
      </c>
      <c r="E221" s="3">
        <v>1</v>
      </c>
      <c r="F221" s="24" t="s">
        <v>1045</v>
      </c>
      <c r="G221" s="25" t="s">
        <v>1205</v>
      </c>
      <c r="H221" s="24" t="s">
        <v>1061</v>
      </c>
      <c r="I221" s="3" t="str">
        <f>IFERROR(VLOOKUP(C221,'Справочник соответствий'!A$2:D$2981,2,FALSE),IF(VALUE(C221)=0,1,VLOOKUP(C221,'Справочник соответствий'!A$2:D$2981,2,FALSE)))</f>
        <v>1</v>
      </c>
      <c r="J221" s="3">
        <f>IFERROR(VLOOKUP(D221,'Справочник соответствий'!A$2:D$2981,2,FALSE),IF(VALUE(D221)=0,0,VLOOKUP(D221,'Справочник соответствий'!A$2:D$2981,2,FALSE)))</f>
        <v>0</v>
      </c>
      <c r="K221" s="3" t="str">
        <f t="shared" si="21"/>
        <v>1</v>
      </c>
      <c r="L221" s="13" t="str">
        <f>IFERROR(VLOOKUP(C221,'Справочник соответствий'!A$2:D$2981,3,FALSE),IF(VALUE(C221)=0,"ЭТАЖ НЕ ОПРЕДЕЛЕН. ПРИНЯТ ПО ДОПУЩЕНИЮ 1",VLOOKUP(C221,'Справочник соответствий'!A$2:D$2981,3,FALSE)))</f>
        <v>ЭТАЖ ЗАДАН ЧИСЛОМ</v>
      </c>
      <c r="M221" s="13" t="b">
        <f t="shared" si="22"/>
        <v>0</v>
      </c>
      <c r="N221" s="13">
        <f t="shared" si="23"/>
        <v>1</v>
      </c>
      <c r="O221" s="13" t="str">
        <f t="shared" si="24"/>
        <v>ЭТАЖ ЗАДАН ЧИСЛОМ</v>
      </c>
      <c r="P221" s="13" t="str">
        <f t="shared" si="25"/>
        <v>ЭТАЖ ЗАДАН ЧИСЛОМ</v>
      </c>
      <c r="Q221" s="13" t="str">
        <f t="shared" si="26"/>
        <v>ГОТОВ</v>
      </c>
      <c r="R221" s="13">
        <f>IFERROR(VLOOKUP(P221,Лист1!A$1:B$20,2,FALSE),0)</f>
        <v>784</v>
      </c>
      <c r="S221" s="13">
        <f t="shared" si="27"/>
        <v>1</v>
      </c>
    </row>
    <row r="222" spans="1:19" x14ac:dyDescent="0.25">
      <c r="A222" s="24" t="s">
        <v>1316</v>
      </c>
      <c r="B222" s="4" t="s">
        <v>1063</v>
      </c>
      <c r="C222" s="25" t="s">
        <v>5</v>
      </c>
      <c r="E222" s="3">
        <v>1</v>
      </c>
      <c r="F222" s="24" t="s">
        <v>1045</v>
      </c>
      <c r="G222" s="25" t="s">
        <v>1072</v>
      </c>
      <c r="H222" s="24" t="s">
        <v>1061</v>
      </c>
      <c r="I222" s="3" t="str">
        <f>IFERROR(VLOOKUP(C222,'Справочник соответствий'!A$2:D$2981,2,FALSE),IF(VALUE(C222)=0,1,VLOOKUP(C222,'Справочник соответствий'!A$2:D$2981,2,FALSE)))</f>
        <v>1</v>
      </c>
      <c r="J222" s="3">
        <f>IFERROR(VLOOKUP(D222,'Справочник соответствий'!A$2:D$2981,2,FALSE),IF(VALUE(D222)=0,0,VLOOKUP(D222,'Справочник соответствий'!A$2:D$2981,2,FALSE)))</f>
        <v>0</v>
      </c>
      <c r="K222" s="3" t="str">
        <f t="shared" si="21"/>
        <v>1</v>
      </c>
      <c r="L222" s="13" t="str">
        <f>IFERROR(VLOOKUP(C222,'Справочник соответствий'!A$2:D$2981,3,FALSE),IF(VALUE(C222)=0,"ЭТАЖ НЕ ОПРЕДЕЛЕН. ПРИНЯТ ПО ДОПУЩЕНИЮ 1",VLOOKUP(C222,'Справочник соответствий'!A$2:D$2981,3,FALSE)))</f>
        <v>ЭТАЖ ЗАДАН ЧИСЛОМ</v>
      </c>
      <c r="M222" s="13" t="b">
        <f t="shared" si="22"/>
        <v>0</v>
      </c>
      <c r="N222" s="13">
        <f t="shared" si="23"/>
        <v>1</v>
      </c>
      <c r="O222" s="13" t="str">
        <f t="shared" si="24"/>
        <v>ЭТАЖ ЗАДАН ЧИСЛОМ</v>
      </c>
      <c r="P222" s="13" t="str">
        <f t="shared" si="25"/>
        <v>ЭТАЖ ЗАДАН ЧИСЛОМ</v>
      </c>
      <c r="Q222" s="13" t="str">
        <f t="shared" si="26"/>
        <v>ГОТОВ</v>
      </c>
      <c r="R222" s="13">
        <f>IFERROR(VLOOKUP(P222,Лист1!A$1:B$20,2,FALSE),0)</f>
        <v>784</v>
      </c>
      <c r="S222" s="13">
        <f t="shared" si="27"/>
        <v>1</v>
      </c>
    </row>
    <row r="223" spans="1:19" x14ac:dyDescent="0.25">
      <c r="A223" s="24" t="s">
        <v>1317</v>
      </c>
      <c r="B223" s="4" t="s">
        <v>1059</v>
      </c>
      <c r="E223" s="3">
        <v>1</v>
      </c>
      <c r="F223" s="24" t="s">
        <v>1307</v>
      </c>
      <c r="G223" s="25" t="s">
        <v>1108</v>
      </c>
      <c r="H223" s="24" t="s">
        <v>1061</v>
      </c>
      <c r="I223" s="3">
        <f>IFERROR(VLOOKUP(C223,'Справочник соответствий'!A$2:D$2981,2,FALSE),IF(VALUE(C223)=0,1,VLOOKUP(C223,'Справочник соответствий'!A$2:D$2981,2,FALSE)))</f>
        <v>1</v>
      </c>
      <c r="J223" s="3">
        <f>IFERROR(VLOOKUP(D223,'Справочник соответствий'!A$2:D$2981,2,FALSE),IF(VALUE(D223)=0,0,VLOOKUP(D223,'Справочник соответствий'!A$2:D$2981,2,FALSE)))</f>
        <v>0</v>
      </c>
      <c r="K223" s="3">
        <f t="shared" si="21"/>
        <v>1</v>
      </c>
      <c r="L223" s="13" t="str">
        <f>IFERROR(VLOOKUP(C223,'Справочник соответствий'!A$2:D$2981,3,FALSE),IF(VALUE(C223)=0,"ЭТАЖ НЕ ОПРЕДЕЛЕН. ПРИНЯТ ПО ДОПУЩЕНИЮ 1",VLOOKUP(C223,'Справочник соответствий'!A$2:D$2981,3,FALSE)))</f>
        <v>ЭТАЖ НЕ ОПРЕДЕЛЕН. ПРИНЯТ ПО ДОПУЩЕНИЮ 1</v>
      </c>
      <c r="M223" s="13" t="b">
        <f t="shared" si="22"/>
        <v>1</v>
      </c>
      <c r="N223" s="13">
        <f t="shared" si="23"/>
        <v>1</v>
      </c>
      <c r="O223" s="13" t="str">
        <f t="shared" si="24"/>
        <v>Значение определено ГБУ СО ЦГКО по дате постановки на кадастровый учет</v>
      </c>
      <c r="P223" s="13" t="str">
        <f t="shared" si="25"/>
        <v>Значение определено ГБУ СО ЦГКО по дате постановки на кадастровый учет</v>
      </c>
      <c r="Q223" s="13" t="str">
        <f t="shared" si="26"/>
        <v>ГОТОВ</v>
      </c>
      <c r="R223" s="13">
        <f>IFERROR(VLOOKUP(P223,Лист1!A$1:B$20,2,FALSE),0)</f>
        <v>0</v>
      </c>
      <c r="S223" s="13">
        <f t="shared" si="27"/>
        <v>1</v>
      </c>
    </row>
    <row r="224" spans="1:19" x14ac:dyDescent="0.25">
      <c r="A224" s="24" t="s">
        <v>1318</v>
      </c>
      <c r="B224" s="4" t="s">
        <v>1031</v>
      </c>
      <c r="C224" s="25" t="s">
        <v>5</v>
      </c>
      <c r="E224" s="3">
        <v>1</v>
      </c>
      <c r="F224" s="24" t="s">
        <v>1045</v>
      </c>
      <c r="G224" s="25" t="s">
        <v>1075</v>
      </c>
      <c r="H224" s="24" t="s">
        <v>1061</v>
      </c>
      <c r="I224" s="3" t="str">
        <f>IFERROR(VLOOKUP(C224,'Справочник соответствий'!A$2:D$2981,2,FALSE),IF(VALUE(C224)=0,1,VLOOKUP(C224,'Справочник соответствий'!A$2:D$2981,2,FALSE)))</f>
        <v>1</v>
      </c>
      <c r="J224" s="3">
        <f>IFERROR(VLOOKUP(D224,'Справочник соответствий'!A$2:D$2981,2,FALSE),IF(VALUE(D224)=0,0,VLOOKUP(D224,'Справочник соответствий'!A$2:D$2981,2,FALSE)))</f>
        <v>0</v>
      </c>
      <c r="K224" s="3">
        <f t="shared" si="21"/>
        <v>1</v>
      </c>
      <c r="L224" s="13" t="str">
        <f>IFERROR(VLOOKUP(C224,'Справочник соответствий'!A$2:D$2981,3,FALSE),IF(VALUE(C224)=0,"ЭТАЖ НЕ ОПРЕДЕЛЕН. ПРИНЯТ ПО ДОПУЩЕНИЮ 1",VLOOKUP(C224,'Справочник соответствий'!A$2:D$2981,3,FALSE)))</f>
        <v>ЭТАЖ ЗАДАН ЧИСЛОМ</v>
      </c>
      <c r="M224" s="13" t="b">
        <f t="shared" si="22"/>
        <v>0</v>
      </c>
      <c r="N224" s="13">
        <f t="shared" si="23"/>
        <v>1</v>
      </c>
      <c r="O224" s="13" t="str">
        <f t="shared" si="24"/>
        <v>ЭТАЖ ЗАДАН ЧИСЛОМ</v>
      </c>
      <c r="P224" s="13" t="str">
        <f t="shared" si="25"/>
        <v>МКД_ЭТАЖ ЗАДАН ЧИСЛОМ</v>
      </c>
      <c r="Q224" s="13" t="str">
        <f t="shared" si="26"/>
        <v>ГОТОВ</v>
      </c>
      <c r="R224" s="13">
        <f>IFERROR(VLOOKUP(P224,Лист1!A$1:B$20,2,FALSE),0)</f>
        <v>786</v>
      </c>
      <c r="S224" s="13">
        <f t="shared" si="27"/>
        <v>1</v>
      </c>
    </row>
    <row r="225" spans="1:19" x14ac:dyDescent="0.25">
      <c r="A225" s="24" t="s">
        <v>1319</v>
      </c>
      <c r="B225" s="4" t="s">
        <v>1059</v>
      </c>
      <c r="C225" s="25" t="s">
        <v>5</v>
      </c>
      <c r="E225" s="3">
        <v>1</v>
      </c>
      <c r="F225" s="24" t="s">
        <v>1320</v>
      </c>
      <c r="G225" s="25" t="s">
        <v>1321</v>
      </c>
      <c r="H225" s="24" t="s">
        <v>1061</v>
      </c>
      <c r="I225" s="3" t="str">
        <f>IFERROR(VLOOKUP(C225,'Справочник соответствий'!A$2:D$2981,2,FALSE),IF(VALUE(C225)=0,1,VLOOKUP(C225,'Справочник соответствий'!A$2:D$2981,2,FALSE)))</f>
        <v>1</v>
      </c>
      <c r="J225" s="3">
        <f>IFERROR(VLOOKUP(D225,'Справочник соответствий'!A$2:D$2981,2,FALSE),IF(VALUE(D225)=0,0,VLOOKUP(D225,'Справочник соответствий'!A$2:D$2981,2,FALSE)))</f>
        <v>0</v>
      </c>
      <c r="K225" s="3" t="str">
        <f t="shared" si="21"/>
        <v>1</v>
      </c>
      <c r="L225" s="13" t="str">
        <f>IFERROR(VLOOKUP(C225,'Справочник соответствий'!A$2:D$2981,3,FALSE),IF(VALUE(C225)=0,"ЭТАЖ НЕ ОПРЕДЕЛЕН. ПРИНЯТ ПО ДОПУЩЕНИЮ 1",VLOOKUP(C225,'Справочник соответствий'!A$2:D$2981,3,FALSE)))</f>
        <v>ЭТАЖ ЗАДАН ЧИСЛОМ</v>
      </c>
      <c r="M225" s="13" t="b">
        <f t="shared" si="22"/>
        <v>0</v>
      </c>
      <c r="N225" s="13">
        <f t="shared" si="23"/>
        <v>1</v>
      </c>
      <c r="O225" s="13" t="str">
        <f t="shared" si="24"/>
        <v>ЭТАЖ ЗАДАН ЧИСЛОМ</v>
      </c>
      <c r="P225" s="13" t="str">
        <f t="shared" si="25"/>
        <v>ЭТАЖ ЗАДАН ЧИСЛОМ</v>
      </c>
      <c r="Q225" s="13" t="str">
        <f t="shared" si="26"/>
        <v>ГОТОВ</v>
      </c>
      <c r="R225" s="13">
        <f>IFERROR(VLOOKUP(P225,Лист1!A$1:B$20,2,FALSE),0)</f>
        <v>784</v>
      </c>
      <c r="S225" s="13">
        <f t="shared" si="27"/>
        <v>1</v>
      </c>
    </row>
    <row r="226" spans="1:19" x14ac:dyDescent="0.25">
      <c r="A226" s="24" t="s">
        <v>1322</v>
      </c>
      <c r="B226" s="4" t="s">
        <v>1059</v>
      </c>
      <c r="C226" s="25" t="s">
        <v>5</v>
      </c>
      <c r="E226" s="3">
        <v>1</v>
      </c>
      <c r="F226" s="24" t="s">
        <v>1045</v>
      </c>
      <c r="G226" s="25" t="s">
        <v>1108</v>
      </c>
      <c r="H226" s="24" t="s">
        <v>1061</v>
      </c>
      <c r="I226" s="3" t="str">
        <f>IFERROR(VLOOKUP(C226,'Справочник соответствий'!A$2:D$2981,2,FALSE),IF(VALUE(C226)=0,1,VLOOKUP(C226,'Справочник соответствий'!A$2:D$2981,2,FALSE)))</f>
        <v>1</v>
      </c>
      <c r="J226" s="3">
        <f>IFERROR(VLOOKUP(D226,'Справочник соответствий'!A$2:D$2981,2,FALSE),IF(VALUE(D226)=0,0,VLOOKUP(D226,'Справочник соответствий'!A$2:D$2981,2,FALSE)))</f>
        <v>0</v>
      </c>
      <c r="K226" s="3" t="str">
        <f t="shared" si="21"/>
        <v>1</v>
      </c>
      <c r="L226" s="13" t="str">
        <f>IFERROR(VLOOKUP(C226,'Справочник соответствий'!A$2:D$2981,3,FALSE),IF(VALUE(C226)=0,"ЭТАЖ НЕ ОПРЕДЕЛЕН. ПРИНЯТ ПО ДОПУЩЕНИЮ 1",VLOOKUP(C226,'Справочник соответствий'!A$2:D$2981,3,FALSE)))</f>
        <v>ЭТАЖ ЗАДАН ЧИСЛОМ</v>
      </c>
      <c r="M226" s="13" t="b">
        <f t="shared" si="22"/>
        <v>0</v>
      </c>
      <c r="N226" s="13">
        <f t="shared" si="23"/>
        <v>1</v>
      </c>
      <c r="O226" s="13" t="str">
        <f t="shared" si="24"/>
        <v>ЭТАЖ ЗАДАН ЧИСЛОМ</v>
      </c>
      <c r="P226" s="13" t="str">
        <f t="shared" si="25"/>
        <v>ЭТАЖ ЗАДАН ЧИСЛОМ</v>
      </c>
      <c r="Q226" s="13" t="str">
        <f t="shared" si="26"/>
        <v>ГОТОВ</v>
      </c>
      <c r="R226" s="13">
        <f>IFERROR(VLOOKUP(P226,Лист1!A$1:B$20,2,FALSE),0)</f>
        <v>784</v>
      </c>
      <c r="S226" s="13">
        <f t="shared" si="27"/>
        <v>1</v>
      </c>
    </row>
    <row r="227" spans="1:19" x14ac:dyDescent="0.25">
      <c r="A227" s="24" t="s">
        <v>1323</v>
      </c>
      <c r="B227" s="4" t="s">
        <v>1059</v>
      </c>
      <c r="C227" s="25" t="s">
        <v>5</v>
      </c>
      <c r="E227" s="3">
        <v>1</v>
      </c>
      <c r="F227" s="24" t="s">
        <v>1045</v>
      </c>
      <c r="G227" s="25" t="s">
        <v>1167</v>
      </c>
      <c r="H227" s="24" t="s">
        <v>1061</v>
      </c>
      <c r="I227" s="3" t="str">
        <f>IFERROR(VLOOKUP(C227,'Справочник соответствий'!A$2:D$2981,2,FALSE),IF(VALUE(C227)=0,1,VLOOKUP(C227,'Справочник соответствий'!A$2:D$2981,2,FALSE)))</f>
        <v>1</v>
      </c>
      <c r="J227" s="3">
        <f>IFERROR(VLOOKUP(D227,'Справочник соответствий'!A$2:D$2981,2,FALSE),IF(VALUE(D227)=0,0,VLOOKUP(D227,'Справочник соответствий'!A$2:D$2981,2,FALSE)))</f>
        <v>0</v>
      </c>
      <c r="K227" s="3" t="str">
        <f t="shared" si="21"/>
        <v>1</v>
      </c>
      <c r="L227" s="13" t="str">
        <f>IFERROR(VLOOKUP(C227,'Справочник соответствий'!A$2:D$2981,3,FALSE),IF(VALUE(C227)=0,"ЭТАЖ НЕ ОПРЕДЕЛЕН. ПРИНЯТ ПО ДОПУЩЕНИЮ 1",VLOOKUP(C227,'Справочник соответствий'!A$2:D$2981,3,FALSE)))</f>
        <v>ЭТАЖ ЗАДАН ЧИСЛОМ</v>
      </c>
      <c r="M227" s="13" t="b">
        <f t="shared" si="22"/>
        <v>0</v>
      </c>
      <c r="N227" s="13">
        <f t="shared" si="23"/>
        <v>1</v>
      </c>
      <c r="O227" s="13" t="str">
        <f t="shared" si="24"/>
        <v>ЭТАЖ ЗАДАН ЧИСЛОМ</v>
      </c>
      <c r="P227" s="13" t="str">
        <f t="shared" si="25"/>
        <v>ЭТАЖ ЗАДАН ЧИСЛОМ</v>
      </c>
      <c r="Q227" s="13" t="str">
        <f t="shared" si="26"/>
        <v>ГОТОВ</v>
      </c>
      <c r="R227" s="13">
        <f>IFERROR(VLOOKUP(P227,Лист1!A$1:B$20,2,FALSE),0)</f>
        <v>784</v>
      </c>
      <c r="S227" s="13">
        <f t="shared" si="27"/>
        <v>1</v>
      </c>
    </row>
    <row r="228" spans="1:19" x14ac:dyDescent="0.25">
      <c r="A228" s="24" t="s">
        <v>1324</v>
      </c>
      <c r="B228" s="4" t="s">
        <v>1059</v>
      </c>
      <c r="C228" s="25" t="s">
        <v>5</v>
      </c>
      <c r="E228" s="3">
        <v>1</v>
      </c>
      <c r="F228" s="24" t="s">
        <v>1045</v>
      </c>
      <c r="G228" s="25" t="s">
        <v>1325</v>
      </c>
      <c r="H228" s="24" t="s">
        <v>1061</v>
      </c>
      <c r="I228" s="3" t="str">
        <f>IFERROR(VLOOKUP(C228,'Справочник соответствий'!A$2:D$2981,2,FALSE),IF(VALUE(C228)=0,1,VLOOKUP(C228,'Справочник соответствий'!A$2:D$2981,2,FALSE)))</f>
        <v>1</v>
      </c>
      <c r="J228" s="3">
        <f>IFERROR(VLOOKUP(D228,'Справочник соответствий'!A$2:D$2981,2,FALSE),IF(VALUE(D228)=0,0,VLOOKUP(D228,'Справочник соответствий'!A$2:D$2981,2,FALSE)))</f>
        <v>0</v>
      </c>
      <c r="K228" s="3" t="str">
        <f t="shared" si="21"/>
        <v>1</v>
      </c>
      <c r="L228" s="13" t="str">
        <f>IFERROR(VLOOKUP(C228,'Справочник соответствий'!A$2:D$2981,3,FALSE),IF(VALUE(C228)=0,"ЭТАЖ НЕ ОПРЕДЕЛЕН. ПРИНЯТ ПО ДОПУЩЕНИЮ 1",VLOOKUP(C228,'Справочник соответствий'!A$2:D$2981,3,FALSE)))</f>
        <v>ЭТАЖ ЗАДАН ЧИСЛОМ</v>
      </c>
      <c r="M228" s="13" t="b">
        <f t="shared" si="22"/>
        <v>0</v>
      </c>
      <c r="N228" s="13">
        <f t="shared" si="23"/>
        <v>1</v>
      </c>
      <c r="O228" s="13" t="str">
        <f t="shared" si="24"/>
        <v>ЭТАЖ ЗАДАН ЧИСЛОМ</v>
      </c>
      <c r="P228" s="13" t="str">
        <f t="shared" si="25"/>
        <v>ЭТАЖ ЗАДАН ЧИСЛОМ</v>
      </c>
      <c r="Q228" s="13" t="str">
        <f t="shared" si="26"/>
        <v>ГОТОВ</v>
      </c>
      <c r="R228" s="13">
        <f>IFERROR(VLOOKUP(P228,Лист1!A$1:B$20,2,FALSE),0)</f>
        <v>784</v>
      </c>
      <c r="S228" s="13">
        <f t="shared" si="27"/>
        <v>1</v>
      </c>
    </row>
    <row r="229" spans="1:19" x14ac:dyDescent="0.25">
      <c r="A229" s="24" t="s">
        <v>1326</v>
      </c>
      <c r="B229" s="4" t="s">
        <v>1059</v>
      </c>
      <c r="C229" s="25" t="s">
        <v>5</v>
      </c>
      <c r="D229" s="25" t="s">
        <v>24</v>
      </c>
      <c r="E229" s="3">
        <v>1</v>
      </c>
      <c r="F229" s="24" t="s">
        <v>1045</v>
      </c>
      <c r="G229" s="25" t="s">
        <v>1072</v>
      </c>
      <c r="H229" s="24" t="s">
        <v>1061</v>
      </c>
      <c r="I229" s="3" t="str">
        <f>IFERROR(VLOOKUP(C229,'Справочник соответствий'!A$2:D$2981,2,FALSE),IF(VALUE(C229)=0,1,VLOOKUP(C229,'Справочник соответствий'!A$2:D$2981,2,FALSE)))</f>
        <v>1</v>
      </c>
      <c r="J229" s="3" t="str">
        <f>IFERROR(VLOOKUP(D229,'Справочник соответствий'!A$2:D$2981,2,FALSE),IF(VALUE(D229)=0,0,VLOOKUP(D229,'Справочник соответствий'!A$2:D$2981,2,FALSE)))</f>
        <v>1</v>
      </c>
      <c r="K229" s="3" t="str">
        <f t="shared" si="21"/>
        <v>1</v>
      </c>
      <c r="L229" s="13" t="str">
        <f>IFERROR(VLOOKUP(C229,'Справочник соответствий'!A$2:D$2981,3,FALSE),IF(VALUE(C229)=0,"ЭТАЖ НЕ ОПРЕДЕЛЕН. ПРИНЯТ ПО ДОПУЩЕНИЮ 1",VLOOKUP(C229,'Справочник соответствий'!A$2:D$2981,3,FALSE)))</f>
        <v>ЭТАЖ ЗАДАН ЧИСЛОМ</v>
      </c>
      <c r="M229" s="13" t="b">
        <f t="shared" si="22"/>
        <v>0</v>
      </c>
      <c r="N229" s="13">
        <f t="shared" si="23"/>
        <v>1</v>
      </c>
      <c r="O229" s="13" t="str">
        <f t="shared" si="24"/>
        <v>ЭТАЖ ЗАДАН ЧИСЛОМ</v>
      </c>
      <c r="P229" s="13" t="str">
        <f t="shared" si="25"/>
        <v>ЭТАЖ ЗАДАН ЧИСЛОМ</v>
      </c>
      <c r="Q229" s="13" t="str">
        <f t="shared" si="26"/>
        <v>ГОТОВ</v>
      </c>
      <c r="R229" s="13">
        <f>IFERROR(VLOOKUP(P229,Лист1!A$1:B$20,2,FALSE),0)</f>
        <v>784</v>
      </c>
      <c r="S229" s="13">
        <f t="shared" si="27"/>
        <v>1</v>
      </c>
    </row>
    <row r="230" spans="1:19" x14ac:dyDescent="0.25">
      <c r="A230" s="24" t="s">
        <v>1327</v>
      </c>
      <c r="B230" s="4" t="s">
        <v>1059</v>
      </c>
      <c r="C230" s="25" t="s">
        <v>5</v>
      </c>
      <c r="E230" s="3">
        <v>1</v>
      </c>
      <c r="F230" s="24" t="s">
        <v>1045</v>
      </c>
      <c r="G230" s="25" t="s">
        <v>1328</v>
      </c>
      <c r="H230" s="24" t="s">
        <v>1061</v>
      </c>
      <c r="I230" s="3" t="str">
        <f>IFERROR(VLOOKUP(C230,'Справочник соответствий'!A$2:D$2981,2,FALSE),IF(VALUE(C230)=0,1,VLOOKUP(C230,'Справочник соответствий'!A$2:D$2981,2,FALSE)))</f>
        <v>1</v>
      </c>
      <c r="J230" s="3">
        <f>IFERROR(VLOOKUP(D230,'Справочник соответствий'!A$2:D$2981,2,FALSE),IF(VALUE(D230)=0,0,VLOOKUP(D230,'Справочник соответствий'!A$2:D$2981,2,FALSE)))</f>
        <v>0</v>
      </c>
      <c r="K230" s="3" t="str">
        <f t="shared" si="21"/>
        <v>1</v>
      </c>
      <c r="L230" s="13" t="str">
        <f>IFERROR(VLOOKUP(C230,'Справочник соответствий'!A$2:D$2981,3,FALSE),IF(VALUE(C230)=0,"ЭТАЖ НЕ ОПРЕДЕЛЕН. ПРИНЯТ ПО ДОПУЩЕНИЮ 1",VLOOKUP(C230,'Справочник соответствий'!A$2:D$2981,3,FALSE)))</f>
        <v>ЭТАЖ ЗАДАН ЧИСЛОМ</v>
      </c>
      <c r="M230" s="13" t="b">
        <f t="shared" si="22"/>
        <v>0</v>
      </c>
      <c r="N230" s="13">
        <f t="shared" si="23"/>
        <v>1</v>
      </c>
      <c r="O230" s="13" t="str">
        <f t="shared" si="24"/>
        <v>ЭТАЖ ЗАДАН ЧИСЛОМ</v>
      </c>
      <c r="P230" s="13" t="str">
        <f t="shared" si="25"/>
        <v>ЭТАЖ ЗАДАН ЧИСЛОМ</v>
      </c>
      <c r="Q230" s="13" t="str">
        <f t="shared" si="26"/>
        <v>ГОТОВ</v>
      </c>
      <c r="R230" s="13">
        <f>IFERROR(VLOOKUP(P230,Лист1!A$1:B$20,2,FALSE),0)</f>
        <v>784</v>
      </c>
      <c r="S230" s="13">
        <f t="shared" si="27"/>
        <v>1</v>
      </c>
    </row>
    <row r="231" spans="1:19" x14ac:dyDescent="0.25">
      <c r="A231" s="24" t="s">
        <v>1329</v>
      </c>
      <c r="B231" s="4" t="s">
        <v>1059</v>
      </c>
      <c r="C231" s="25" t="s">
        <v>5</v>
      </c>
      <c r="E231" s="3">
        <v>1</v>
      </c>
      <c r="F231" s="24" t="s">
        <v>1045</v>
      </c>
      <c r="G231" s="25" t="s">
        <v>1174</v>
      </c>
      <c r="H231" s="24" t="s">
        <v>1061</v>
      </c>
      <c r="I231" s="3" t="str">
        <f>IFERROR(VLOOKUP(C231,'Справочник соответствий'!A$2:D$2981,2,FALSE),IF(VALUE(C231)=0,1,VLOOKUP(C231,'Справочник соответствий'!A$2:D$2981,2,FALSE)))</f>
        <v>1</v>
      </c>
      <c r="J231" s="3">
        <f>IFERROR(VLOOKUP(D231,'Справочник соответствий'!A$2:D$2981,2,FALSE),IF(VALUE(D231)=0,0,VLOOKUP(D231,'Справочник соответствий'!A$2:D$2981,2,FALSE)))</f>
        <v>0</v>
      </c>
      <c r="K231" s="3" t="str">
        <f t="shared" si="21"/>
        <v>1</v>
      </c>
      <c r="L231" s="13" t="str">
        <f>IFERROR(VLOOKUP(C231,'Справочник соответствий'!A$2:D$2981,3,FALSE),IF(VALUE(C231)=0,"ЭТАЖ НЕ ОПРЕДЕЛЕН. ПРИНЯТ ПО ДОПУЩЕНИЮ 1",VLOOKUP(C231,'Справочник соответствий'!A$2:D$2981,3,FALSE)))</f>
        <v>ЭТАЖ ЗАДАН ЧИСЛОМ</v>
      </c>
      <c r="M231" s="13" t="b">
        <f t="shared" si="22"/>
        <v>0</v>
      </c>
      <c r="N231" s="13">
        <f t="shared" si="23"/>
        <v>1</v>
      </c>
      <c r="O231" s="13" t="str">
        <f t="shared" si="24"/>
        <v>ЭТАЖ ЗАДАН ЧИСЛОМ</v>
      </c>
      <c r="P231" s="13" t="str">
        <f t="shared" si="25"/>
        <v>ЭТАЖ ЗАДАН ЧИСЛОМ</v>
      </c>
      <c r="Q231" s="13" t="str">
        <f t="shared" si="26"/>
        <v>ГОТОВ</v>
      </c>
      <c r="R231" s="13">
        <f>IFERROR(VLOOKUP(P231,Лист1!A$1:B$20,2,FALSE),0)</f>
        <v>784</v>
      </c>
      <c r="S231" s="13">
        <f t="shared" si="27"/>
        <v>1</v>
      </c>
    </row>
    <row r="232" spans="1:19" x14ac:dyDescent="0.25">
      <c r="A232" s="24" t="s">
        <v>1330</v>
      </c>
      <c r="B232" s="4" t="s">
        <v>1059</v>
      </c>
      <c r="C232" s="25" t="s">
        <v>5</v>
      </c>
      <c r="E232" s="3">
        <v>1</v>
      </c>
      <c r="F232" s="24" t="s">
        <v>1045</v>
      </c>
      <c r="G232" s="25" t="s">
        <v>1083</v>
      </c>
      <c r="H232" s="24" t="s">
        <v>1061</v>
      </c>
      <c r="I232" s="3" t="str">
        <f>IFERROR(VLOOKUP(C232,'Справочник соответствий'!A$2:D$2981,2,FALSE),IF(VALUE(C232)=0,1,VLOOKUP(C232,'Справочник соответствий'!A$2:D$2981,2,FALSE)))</f>
        <v>1</v>
      </c>
      <c r="J232" s="3">
        <f>IFERROR(VLOOKUP(D232,'Справочник соответствий'!A$2:D$2981,2,FALSE),IF(VALUE(D232)=0,0,VLOOKUP(D232,'Справочник соответствий'!A$2:D$2981,2,FALSE)))</f>
        <v>0</v>
      </c>
      <c r="K232" s="3" t="str">
        <f t="shared" si="21"/>
        <v>1</v>
      </c>
      <c r="L232" s="13" t="str">
        <f>IFERROR(VLOOKUP(C232,'Справочник соответствий'!A$2:D$2981,3,FALSE),IF(VALUE(C232)=0,"ЭТАЖ НЕ ОПРЕДЕЛЕН. ПРИНЯТ ПО ДОПУЩЕНИЮ 1",VLOOKUP(C232,'Справочник соответствий'!A$2:D$2981,3,FALSE)))</f>
        <v>ЭТАЖ ЗАДАН ЧИСЛОМ</v>
      </c>
      <c r="M232" s="13" t="b">
        <f t="shared" si="22"/>
        <v>0</v>
      </c>
      <c r="N232" s="13">
        <f t="shared" si="23"/>
        <v>1</v>
      </c>
      <c r="O232" s="13" t="str">
        <f t="shared" si="24"/>
        <v>ЭТАЖ ЗАДАН ЧИСЛОМ</v>
      </c>
      <c r="P232" s="13" t="str">
        <f t="shared" si="25"/>
        <v>ЭТАЖ ЗАДАН ЧИСЛОМ</v>
      </c>
      <c r="Q232" s="13" t="str">
        <f t="shared" si="26"/>
        <v>ГОТОВ</v>
      </c>
      <c r="R232" s="13">
        <f>IFERROR(VLOOKUP(P232,Лист1!A$1:B$20,2,FALSE),0)</f>
        <v>784</v>
      </c>
      <c r="S232" s="13">
        <f t="shared" si="27"/>
        <v>1</v>
      </c>
    </row>
    <row r="233" spans="1:19" x14ac:dyDescent="0.25">
      <c r="A233" s="24" t="s">
        <v>1331</v>
      </c>
      <c r="B233" s="4" t="s">
        <v>1031</v>
      </c>
      <c r="C233" s="25" t="s">
        <v>5</v>
      </c>
      <c r="E233" s="3">
        <v>1</v>
      </c>
      <c r="F233" s="24" t="s">
        <v>1045</v>
      </c>
      <c r="G233" s="25" t="s">
        <v>1075</v>
      </c>
      <c r="H233" s="24" t="s">
        <v>1061</v>
      </c>
      <c r="I233" s="3" t="str">
        <f>IFERROR(VLOOKUP(C233,'Справочник соответствий'!A$2:D$2981,2,FALSE),IF(VALUE(C233)=0,1,VLOOKUP(C233,'Справочник соответствий'!A$2:D$2981,2,FALSE)))</f>
        <v>1</v>
      </c>
      <c r="J233" s="3">
        <f>IFERROR(VLOOKUP(D233,'Справочник соответствий'!A$2:D$2981,2,FALSE),IF(VALUE(D233)=0,0,VLOOKUP(D233,'Справочник соответствий'!A$2:D$2981,2,FALSE)))</f>
        <v>0</v>
      </c>
      <c r="K233" s="3">
        <f t="shared" si="21"/>
        <v>1</v>
      </c>
      <c r="L233" s="13" t="str">
        <f>IFERROR(VLOOKUP(C233,'Справочник соответствий'!A$2:D$2981,3,FALSE),IF(VALUE(C233)=0,"ЭТАЖ НЕ ОПРЕДЕЛЕН. ПРИНЯТ ПО ДОПУЩЕНИЮ 1",VLOOKUP(C233,'Справочник соответствий'!A$2:D$2981,3,FALSE)))</f>
        <v>ЭТАЖ ЗАДАН ЧИСЛОМ</v>
      </c>
      <c r="M233" s="13" t="b">
        <f t="shared" si="22"/>
        <v>0</v>
      </c>
      <c r="N233" s="13">
        <f t="shared" si="23"/>
        <v>1</v>
      </c>
      <c r="O233" s="13" t="str">
        <f t="shared" si="24"/>
        <v>ЭТАЖ ЗАДАН ЧИСЛОМ</v>
      </c>
      <c r="P233" s="13" t="str">
        <f t="shared" si="25"/>
        <v>МКД_ЭТАЖ ЗАДАН ЧИСЛОМ</v>
      </c>
      <c r="Q233" s="13" t="str">
        <f t="shared" si="26"/>
        <v>ГОТОВ</v>
      </c>
      <c r="R233" s="13">
        <f>IFERROR(VLOOKUP(P233,Лист1!A$1:B$20,2,FALSE),0)</f>
        <v>786</v>
      </c>
      <c r="S233" s="13">
        <f t="shared" si="27"/>
        <v>1</v>
      </c>
    </row>
    <row r="234" spans="1:19" x14ac:dyDescent="0.25">
      <c r="A234" s="24" t="s">
        <v>1332</v>
      </c>
      <c r="B234" s="4" t="s">
        <v>1059</v>
      </c>
      <c r="C234" s="25" t="s">
        <v>5</v>
      </c>
      <c r="E234" s="3">
        <v>1</v>
      </c>
      <c r="F234" s="24" t="s">
        <v>1045</v>
      </c>
      <c r="G234" s="25" t="s">
        <v>1080</v>
      </c>
      <c r="H234" s="24" t="s">
        <v>1061</v>
      </c>
      <c r="I234" s="3" t="str">
        <f>IFERROR(VLOOKUP(C234,'Справочник соответствий'!A$2:D$2981,2,FALSE),IF(VALUE(C234)=0,1,VLOOKUP(C234,'Справочник соответствий'!A$2:D$2981,2,FALSE)))</f>
        <v>1</v>
      </c>
      <c r="J234" s="3">
        <f>IFERROR(VLOOKUP(D234,'Справочник соответствий'!A$2:D$2981,2,FALSE),IF(VALUE(D234)=0,0,VLOOKUP(D234,'Справочник соответствий'!A$2:D$2981,2,FALSE)))</f>
        <v>0</v>
      </c>
      <c r="K234" s="3" t="str">
        <f t="shared" si="21"/>
        <v>1</v>
      </c>
      <c r="L234" s="13" t="str">
        <f>IFERROR(VLOOKUP(C234,'Справочник соответствий'!A$2:D$2981,3,FALSE),IF(VALUE(C234)=0,"ЭТАЖ НЕ ОПРЕДЕЛЕН. ПРИНЯТ ПО ДОПУЩЕНИЮ 1",VLOOKUP(C234,'Справочник соответствий'!A$2:D$2981,3,FALSE)))</f>
        <v>ЭТАЖ ЗАДАН ЧИСЛОМ</v>
      </c>
      <c r="M234" s="13" t="b">
        <f t="shared" si="22"/>
        <v>0</v>
      </c>
      <c r="N234" s="13">
        <f t="shared" si="23"/>
        <v>1</v>
      </c>
      <c r="O234" s="13" t="str">
        <f t="shared" si="24"/>
        <v>ЭТАЖ ЗАДАН ЧИСЛОМ</v>
      </c>
      <c r="P234" s="13" t="str">
        <f t="shared" si="25"/>
        <v>ЭТАЖ ЗАДАН ЧИСЛОМ</v>
      </c>
      <c r="Q234" s="13" t="str">
        <f t="shared" si="26"/>
        <v>ГОТОВ</v>
      </c>
      <c r="R234" s="13">
        <f>IFERROR(VLOOKUP(P234,Лист1!A$1:B$20,2,FALSE),0)</f>
        <v>784</v>
      </c>
      <c r="S234" s="13">
        <f t="shared" si="27"/>
        <v>1</v>
      </c>
    </row>
    <row r="235" spans="1:19" x14ac:dyDescent="0.25">
      <c r="A235" s="24" t="s">
        <v>1333</v>
      </c>
      <c r="B235" s="4" t="s">
        <v>1059</v>
      </c>
      <c r="C235" s="25" t="s">
        <v>5</v>
      </c>
      <c r="E235" s="3">
        <v>1</v>
      </c>
      <c r="F235" s="24" t="s">
        <v>1045</v>
      </c>
      <c r="G235" s="25" t="s">
        <v>1072</v>
      </c>
      <c r="H235" s="24" t="s">
        <v>1061</v>
      </c>
      <c r="I235" s="3" t="str">
        <f>IFERROR(VLOOKUP(C235,'Справочник соответствий'!A$2:D$2981,2,FALSE),IF(VALUE(C235)=0,1,VLOOKUP(C235,'Справочник соответствий'!A$2:D$2981,2,FALSE)))</f>
        <v>1</v>
      </c>
      <c r="J235" s="3">
        <f>IFERROR(VLOOKUP(D235,'Справочник соответствий'!A$2:D$2981,2,FALSE),IF(VALUE(D235)=0,0,VLOOKUP(D235,'Справочник соответствий'!A$2:D$2981,2,FALSE)))</f>
        <v>0</v>
      </c>
      <c r="K235" s="3" t="str">
        <f t="shared" si="21"/>
        <v>1</v>
      </c>
      <c r="L235" s="13" t="str">
        <f>IFERROR(VLOOKUP(C235,'Справочник соответствий'!A$2:D$2981,3,FALSE),IF(VALUE(C235)=0,"ЭТАЖ НЕ ОПРЕДЕЛЕН. ПРИНЯТ ПО ДОПУЩЕНИЮ 1",VLOOKUP(C235,'Справочник соответствий'!A$2:D$2981,3,FALSE)))</f>
        <v>ЭТАЖ ЗАДАН ЧИСЛОМ</v>
      </c>
      <c r="M235" s="13" t="b">
        <f t="shared" si="22"/>
        <v>0</v>
      </c>
      <c r="N235" s="13">
        <f t="shared" si="23"/>
        <v>1</v>
      </c>
      <c r="O235" s="13" t="str">
        <f t="shared" si="24"/>
        <v>ЭТАЖ ЗАДАН ЧИСЛОМ</v>
      </c>
      <c r="P235" s="13" t="str">
        <f t="shared" si="25"/>
        <v>ЭТАЖ ЗАДАН ЧИСЛОМ</v>
      </c>
      <c r="Q235" s="13" t="str">
        <f t="shared" si="26"/>
        <v>ГОТОВ</v>
      </c>
      <c r="R235" s="13">
        <f>IFERROR(VLOOKUP(P235,Лист1!A$1:B$20,2,FALSE),0)</f>
        <v>784</v>
      </c>
      <c r="S235" s="13">
        <f t="shared" si="27"/>
        <v>1</v>
      </c>
    </row>
    <row r="236" spans="1:19" x14ac:dyDescent="0.25">
      <c r="A236" s="24" t="s">
        <v>1334</v>
      </c>
      <c r="B236" s="4" t="s">
        <v>1063</v>
      </c>
      <c r="C236" s="25" t="s">
        <v>5</v>
      </c>
      <c r="E236" s="3">
        <v>1</v>
      </c>
      <c r="F236" s="24" t="s">
        <v>1045</v>
      </c>
      <c r="G236" s="25" t="s">
        <v>1072</v>
      </c>
      <c r="H236" s="24" t="s">
        <v>1061</v>
      </c>
      <c r="I236" s="3" t="str">
        <f>IFERROR(VLOOKUP(C236,'Справочник соответствий'!A$2:D$2981,2,FALSE),IF(VALUE(C236)=0,1,VLOOKUP(C236,'Справочник соответствий'!A$2:D$2981,2,FALSE)))</f>
        <v>1</v>
      </c>
      <c r="J236" s="3">
        <f>IFERROR(VLOOKUP(D236,'Справочник соответствий'!A$2:D$2981,2,FALSE),IF(VALUE(D236)=0,0,VLOOKUP(D236,'Справочник соответствий'!A$2:D$2981,2,FALSE)))</f>
        <v>0</v>
      </c>
      <c r="K236" s="3" t="str">
        <f t="shared" si="21"/>
        <v>1</v>
      </c>
      <c r="L236" s="13" t="str">
        <f>IFERROR(VLOOKUP(C236,'Справочник соответствий'!A$2:D$2981,3,FALSE),IF(VALUE(C236)=0,"ЭТАЖ НЕ ОПРЕДЕЛЕН. ПРИНЯТ ПО ДОПУЩЕНИЮ 1",VLOOKUP(C236,'Справочник соответствий'!A$2:D$2981,3,FALSE)))</f>
        <v>ЭТАЖ ЗАДАН ЧИСЛОМ</v>
      </c>
      <c r="M236" s="13" t="b">
        <f t="shared" si="22"/>
        <v>0</v>
      </c>
      <c r="N236" s="13">
        <f t="shared" si="23"/>
        <v>1</v>
      </c>
      <c r="O236" s="13" t="str">
        <f t="shared" si="24"/>
        <v>ЭТАЖ ЗАДАН ЧИСЛОМ</v>
      </c>
      <c r="P236" s="13" t="str">
        <f t="shared" si="25"/>
        <v>ЭТАЖ ЗАДАН ЧИСЛОМ</v>
      </c>
      <c r="Q236" s="13" t="str">
        <f t="shared" si="26"/>
        <v>ГОТОВ</v>
      </c>
      <c r="R236" s="13">
        <f>IFERROR(VLOOKUP(P236,Лист1!A$1:B$20,2,FALSE),0)</f>
        <v>784</v>
      </c>
      <c r="S236" s="13">
        <f t="shared" si="27"/>
        <v>1</v>
      </c>
    </row>
    <row r="237" spans="1:19" x14ac:dyDescent="0.25">
      <c r="A237" s="24" t="s">
        <v>1335</v>
      </c>
      <c r="B237" s="4" t="s">
        <v>1063</v>
      </c>
      <c r="C237" s="25" t="s">
        <v>5</v>
      </c>
      <c r="E237" s="3">
        <v>1</v>
      </c>
      <c r="F237" s="24" t="s">
        <v>1045</v>
      </c>
      <c r="G237" s="25" t="s">
        <v>1072</v>
      </c>
      <c r="H237" s="24" t="s">
        <v>1061</v>
      </c>
      <c r="I237" s="3" t="str">
        <f>IFERROR(VLOOKUP(C237,'Справочник соответствий'!A$2:D$2981,2,FALSE),IF(VALUE(C237)=0,1,VLOOKUP(C237,'Справочник соответствий'!A$2:D$2981,2,FALSE)))</f>
        <v>1</v>
      </c>
      <c r="J237" s="3">
        <f>IFERROR(VLOOKUP(D237,'Справочник соответствий'!A$2:D$2981,2,FALSE),IF(VALUE(D237)=0,0,VLOOKUP(D237,'Справочник соответствий'!A$2:D$2981,2,FALSE)))</f>
        <v>0</v>
      </c>
      <c r="K237" s="3" t="str">
        <f t="shared" si="21"/>
        <v>1</v>
      </c>
      <c r="L237" s="13" t="str">
        <f>IFERROR(VLOOKUP(C237,'Справочник соответствий'!A$2:D$2981,3,FALSE),IF(VALUE(C237)=0,"ЭТАЖ НЕ ОПРЕДЕЛЕН. ПРИНЯТ ПО ДОПУЩЕНИЮ 1",VLOOKUP(C237,'Справочник соответствий'!A$2:D$2981,3,FALSE)))</f>
        <v>ЭТАЖ ЗАДАН ЧИСЛОМ</v>
      </c>
      <c r="M237" s="13" t="b">
        <f t="shared" si="22"/>
        <v>0</v>
      </c>
      <c r="N237" s="13">
        <f t="shared" si="23"/>
        <v>1</v>
      </c>
      <c r="O237" s="13" t="str">
        <f t="shared" si="24"/>
        <v>ЭТАЖ ЗАДАН ЧИСЛОМ</v>
      </c>
      <c r="P237" s="13" t="str">
        <f t="shared" si="25"/>
        <v>ЭТАЖ ЗАДАН ЧИСЛОМ</v>
      </c>
      <c r="Q237" s="13" t="str">
        <f t="shared" si="26"/>
        <v>ГОТОВ</v>
      </c>
      <c r="R237" s="13">
        <f>IFERROR(VLOOKUP(P237,Лист1!A$1:B$20,2,FALSE),0)</f>
        <v>784</v>
      </c>
      <c r="S237" s="13">
        <f t="shared" si="27"/>
        <v>1</v>
      </c>
    </row>
    <row r="238" spans="1:19" x14ac:dyDescent="0.25">
      <c r="A238" s="24" t="s">
        <v>1336</v>
      </c>
      <c r="B238" s="4" t="s">
        <v>1059</v>
      </c>
      <c r="C238" s="25" t="s">
        <v>5</v>
      </c>
      <c r="E238" s="3">
        <v>1</v>
      </c>
      <c r="F238" s="24" t="s">
        <v>1045</v>
      </c>
      <c r="G238" s="25" t="s">
        <v>1072</v>
      </c>
      <c r="H238" s="24" t="s">
        <v>1061</v>
      </c>
      <c r="I238" s="3" t="str">
        <f>IFERROR(VLOOKUP(C238,'Справочник соответствий'!A$2:D$2981,2,FALSE),IF(VALUE(C238)=0,1,VLOOKUP(C238,'Справочник соответствий'!A$2:D$2981,2,FALSE)))</f>
        <v>1</v>
      </c>
      <c r="J238" s="3">
        <f>IFERROR(VLOOKUP(D238,'Справочник соответствий'!A$2:D$2981,2,FALSE),IF(VALUE(D238)=0,0,VLOOKUP(D238,'Справочник соответствий'!A$2:D$2981,2,FALSE)))</f>
        <v>0</v>
      </c>
      <c r="K238" s="3" t="str">
        <f t="shared" si="21"/>
        <v>1</v>
      </c>
      <c r="L238" s="13" t="str">
        <f>IFERROR(VLOOKUP(C238,'Справочник соответствий'!A$2:D$2981,3,FALSE),IF(VALUE(C238)=0,"ЭТАЖ НЕ ОПРЕДЕЛЕН. ПРИНЯТ ПО ДОПУЩЕНИЮ 1",VLOOKUP(C238,'Справочник соответствий'!A$2:D$2981,3,FALSE)))</f>
        <v>ЭТАЖ ЗАДАН ЧИСЛОМ</v>
      </c>
      <c r="M238" s="13" t="b">
        <f t="shared" si="22"/>
        <v>0</v>
      </c>
      <c r="N238" s="13">
        <f t="shared" si="23"/>
        <v>1</v>
      </c>
      <c r="O238" s="13" t="str">
        <f t="shared" si="24"/>
        <v>ЭТАЖ ЗАДАН ЧИСЛОМ</v>
      </c>
      <c r="P238" s="13" t="str">
        <f t="shared" si="25"/>
        <v>ЭТАЖ ЗАДАН ЧИСЛОМ</v>
      </c>
      <c r="Q238" s="13" t="str">
        <f t="shared" si="26"/>
        <v>ГОТОВ</v>
      </c>
      <c r="R238" s="13">
        <f>IFERROR(VLOOKUP(P238,Лист1!A$1:B$20,2,FALSE),0)</f>
        <v>784</v>
      </c>
      <c r="S238" s="13">
        <f t="shared" si="27"/>
        <v>1</v>
      </c>
    </row>
    <row r="239" spans="1:19" x14ac:dyDescent="0.25">
      <c r="A239" s="24" t="s">
        <v>1337</v>
      </c>
      <c r="B239" s="4" t="s">
        <v>1059</v>
      </c>
      <c r="C239" s="25" t="s">
        <v>5</v>
      </c>
      <c r="E239" s="3">
        <v>1</v>
      </c>
      <c r="F239" s="24" t="s">
        <v>1045</v>
      </c>
      <c r="G239" s="25" t="s">
        <v>1104</v>
      </c>
      <c r="H239" s="24" t="s">
        <v>1061</v>
      </c>
      <c r="I239" s="3" t="str">
        <f>IFERROR(VLOOKUP(C239,'Справочник соответствий'!A$2:D$2981,2,FALSE),IF(VALUE(C239)=0,1,VLOOKUP(C239,'Справочник соответствий'!A$2:D$2981,2,FALSE)))</f>
        <v>1</v>
      </c>
      <c r="J239" s="3">
        <f>IFERROR(VLOOKUP(D239,'Справочник соответствий'!A$2:D$2981,2,FALSE),IF(VALUE(D239)=0,0,VLOOKUP(D239,'Справочник соответствий'!A$2:D$2981,2,FALSE)))</f>
        <v>0</v>
      </c>
      <c r="K239" s="3" t="str">
        <f t="shared" si="21"/>
        <v>1</v>
      </c>
      <c r="L239" s="13" t="str">
        <f>IFERROR(VLOOKUP(C239,'Справочник соответствий'!A$2:D$2981,3,FALSE),IF(VALUE(C239)=0,"ЭТАЖ НЕ ОПРЕДЕЛЕН. ПРИНЯТ ПО ДОПУЩЕНИЮ 1",VLOOKUP(C239,'Справочник соответствий'!A$2:D$2981,3,FALSE)))</f>
        <v>ЭТАЖ ЗАДАН ЧИСЛОМ</v>
      </c>
      <c r="M239" s="13" t="b">
        <f t="shared" si="22"/>
        <v>0</v>
      </c>
      <c r="N239" s="13">
        <f t="shared" si="23"/>
        <v>1</v>
      </c>
      <c r="O239" s="13" t="str">
        <f t="shared" si="24"/>
        <v>ЭТАЖ ЗАДАН ЧИСЛОМ</v>
      </c>
      <c r="P239" s="13" t="str">
        <f t="shared" si="25"/>
        <v>ЭТАЖ ЗАДАН ЧИСЛОМ</v>
      </c>
      <c r="Q239" s="13" t="str">
        <f t="shared" si="26"/>
        <v>ГОТОВ</v>
      </c>
      <c r="R239" s="13">
        <f>IFERROR(VLOOKUP(P239,Лист1!A$1:B$20,2,FALSE),0)</f>
        <v>784</v>
      </c>
      <c r="S239" s="13">
        <f t="shared" si="27"/>
        <v>1</v>
      </c>
    </row>
    <row r="240" spans="1:19" x14ac:dyDescent="0.25">
      <c r="A240" s="24" t="s">
        <v>1338</v>
      </c>
      <c r="B240" s="4" t="s">
        <v>1059</v>
      </c>
      <c r="C240" s="25" t="s">
        <v>7</v>
      </c>
      <c r="E240" s="3">
        <v>1</v>
      </c>
      <c r="F240" s="24" t="s">
        <v>1045</v>
      </c>
      <c r="G240" s="25" t="s">
        <v>1096</v>
      </c>
      <c r="H240" s="24" t="s">
        <v>1061</v>
      </c>
      <c r="I240" s="3" t="str">
        <f>IFERROR(VLOOKUP(C240,'Справочник соответствий'!A$2:D$2981,2,FALSE),IF(VALUE(C240)=0,1,VLOOKUP(C240,'Справочник соответствий'!A$2:D$2981,2,FALSE)))</f>
        <v>2</v>
      </c>
      <c r="J240" s="3">
        <f>IFERROR(VLOOKUP(D240,'Справочник соответствий'!A$2:D$2981,2,FALSE),IF(VALUE(D240)=0,0,VLOOKUP(D240,'Справочник соответствий'!A$2:D$2981,2,FALSE)))</f>
        <v>0</v>
      </c>
      <c r="K240" s="3" t="str">
        <f t="shared" si="21"/>
        <v>2</v>
      </c>
      <c r="L240" s="13" t="str">
        <f>IFERROR(VLOOKUP(C240,'Справочник соответствий'!A$2:D$2981,3,FALSE),IF(VALUE(C240)=0,"ЭТАЖ НЕ ОПРЕДЕЛЕН. ПРИНЯТ ПО ДОПУЩЕНИЮ 1",VLOOKUP(C240,'Справочник соответствий'!A$2:D$2981,3,FALSE)))</f>
        <v>ЭТАЖ ЗАДАН ЧИСЛОМ</v>
      </c>
      <c r="M240" s="13" t="b">
        <f t="shared" si="22"/>
        <v>0</v>
      </c>
      <c r="N240" s="13">
        <f t="shared" si="23"/>
        <v>2</v>
      </c>
      <c r="O240" s="13" t="str">
        <f t="shared" si="24"/>
        <v>ЭТАЖ ЗАДАН ЧИСЛОМ</v>
      </c>
      <c r="P240" s="13" t="str">
        <f t="shared" si="25"/>
        <v>ЭТАЖ ЗАДАН ЧИСЛОМ</v>
      </c>
      <c r="Q240" s="13" t="str">
        <f t="shared" si="26"/>
        <v>ГОТОВ_ИЗМЕНЕН</v>
      </c>
      <c r="R240" s="13">
        <f>IFERROR(VLOOKUP(P240,Лист1!A$1:B$20,2,FALSE),0)</f>
        <v>784</v>
      </c>
      <c r="S240" s="13">
        <f t="shared" si="27"/>
        <v>1</v>
      </c>
    </row>
    <row r="241" spans="1:19" x14ac:dyDescent="0.25">
      <c r="A241" s="24" t="s">
        <v>1339</v>
      </c>
      <c r="B241" s="4" t="s">
        <v>1031</v>
      </c>
      <c r="C241" s="25" t="s">
        <v>7</v>
      </c>
      <c r="E241" s="3">
        <v>2</v>
      </c>
      <c r="F241" s="24" t="s">
        <v>1045</v>
      </c>
      <c r="G241" s="25" t="s">
        <v>1075</v>
      </c>
      <c r="H241" s="24" t="s">
        <v>1061</v>
      </c>
      <c r="I241" s="3" t="str">
        <f>IFERROR(VLOOKUP(C241,'Справочник соответствий'!A$2:D$2981,2,FALSE),IF(VALUE(C241)=0,1,VLOOKUP(C241,'Справочник соответствий'!A$2:D$2981,2,FALSE)))</f>
        <v>2</v>
      </c>
      <c r="J241" s="3">
        <f>IFERROR(VLOOKUP(D241,'Справочник соответствий'!A$2:D$2981,2,FALSE),IF(VALUE(D241)=0,0,VLOOKUP(D241,'Справочник соответствий'!A$2:D$2981,2,FALSE)))</f>
        <v>0</v>
      </c>
      <c r="K241" s="3">
        <f t="shared" si="21"/>
        <v>2</v>
      </c>
      <c r="L241" s="13" t="str">
        <f>IFERROR(VLOOKUP(C241,'Справочник соответствий'!A$2:D$2981,3,FALSE),IF(VALUE(C241)=0,"ЭТАЖ НЕ ОПРЕДЕЛЕН. ПРИНЯТ ПО ДОПУЩЕНИЮ 1",VLOOKUP(C241,'Справочник соответствий'!A$2:D$2981,3,FALSE)))</f>
        <v>ЭТАЖ ЗАДАН ЧИСЛОМ</v>
      </c>
      <c r="M241" s="13" t="b">
        <f t="shared" si="22"/>
        <v>0</v>
      </c>
      <c r="N241" s="13">
        <f t="shared" si="23"/>
        <v>2</v>
      </c>
      <c r="O241" s="13" t="str">
        <f t="shared" si="24"/>
        <v>ЭТАЖ ЗАДАН ЧИСЛОМ</v>
      </c>
      <c r="P241" s="13" t="str">
        <f t="shared" si="25"/>
        <v>МКД_ЭТАЖ ЗАДАН ЧИСЛОМ</v>
      </c>
      <c r="Q241" s="13" t="str">
        <f t="shared" si="26"/>
        <v>ГОТОВ</v>
      </c>
      <c r="R241" s="13">
        <f>IFERROR(VLOOKUP(P241,Лист1!A$1:B$20,2,FALSE),0)</f>
        <v>786</v>
      </c>
      <c r="S241" s="13">
        <f t="shared" si="27"/>
        <v>2</v>
      </c>
    </row>
    <row r="242" spans="1:19" x14ac:dyDescent="0.25">
      <c r="A242" s="24" t="s">
        <v>1340</v>
      </c>
      <c r="B242" s="4" t="s">
        <v>1059</v>
      </c>
      <c r="C242" s="25" t="s">
        <v>5</v>
      </c>
      <c r="E242" s="3">
        <v>1</v>
      </c>
      <c r="F242" s="24" t="s">
        <v>1045</v>
      </c>
      <c r="G242" s="25" t="s">
        <v>1060</v>
      </c>
      <c r="H242" s="24" t="s">
        <v>1061</v>
      </c>
      <c r="I242" s="3" t="str">
        <f>IFERROR(VLOOKUP(C242,'Справочник соответствий'!A$2:D$2981,2,FALSE),IF(VALUE(C242)=0,1,VLOOKUP(C242,'Справочник соответствий'!A$2:D$2981,2,FALSE)))</f>
        <v>1</v>
      </c>
      <c r="J242" s="3">
        <f>IFERROR(VLOOKUP(D242,'Справочник соответствий'!A$2:D$2981,2,FALSE),IF(VALUE(D242)=0,0,VLOOKUP(D242,'Справочник соответствий'!A$2:D$2981,2,FALSE)))</f>
        <v>0</v>
      </c>
      <c r="K242" s="3" t="str">
        <f t="shared" si="21"/>
        <v>1</v>
      </c>
      <c r="L242" s="13" t="str">
        <f>IFERROR(VLOOKUP(C242,'Справочник соответствий'!A$2:D$2981,3,FALSE),IF(VALUE(C242)=0,"ЭТАЖ НЕ ОПРЕДЕЛЕН. ПРИНЯТ ПО ДОПУЩЕНИЮ 1",VLOOKUP(C242,'Справочник соответствий'!A$2:D$2981,3,FALSE)))</f>
        <v>ЭТАЖ ЗАДАН ЧИСЛОМ</v>
      </c>
      <c r="M242" s="13" t="b">
        <f t="shared" si="22"/>
        <v>0</v>
      </c>
      <c r="N242" s="13">
        <f t="shared" si="23"/>
        <v>1</v>
      </c>
      <c r="O242" s="13" t="str">
        <f t="shared" si="24"/>
        <v>ЭТАЖ ЗАДАН ЧИСЛОМ</v>
      </c>
      <c r="P242" s="13" t="str">
        <f t="shared" si="25"/>
        <v>ЭТАЖ ЗАДАН ЧИСЛОМ</v>
      </c>
      <c r="Q242" s="13" t="str">
        <f t="shared" si="26"/>
        <v>ГОТОВ</v>
      </c>
      <c r="R242" s="13">
        <f>IFERROR(VLOOKUP(P242,Лист1!A$1:B$20,2,FALSE),0)</f>
        <v>784</v>
      </c>
      <c r="S242" s="13">
        <f t="shared" si="27"/>
        <v>1</v>
      </c>
    </row>
    <row r="243" spans="1:19" x14ac:dyDescent="0.25">
      <c r="A243" s="24" t="s">
        <v>1341</v>
      </c>
      <c r="B243" s="4" t="s">
        <v>1031</v>
      </c>
      <c r="C243" s="25" t="s">
        <v>7</v>
      </c>
      <c r="E243" s="3">
        <v>2</v>
      </c>
      <c r="F243" s="24" t="s">
        <v>1074</v>
      </c>
      <c r="G243" s="25" t="s">
        <v>1075</v>
      </c>
      <c r="H243" s="24" t="s">
        <v>1061</v>
      </c>
      <c r="I243" s="3" t="str">
        <f>IFERROR(VLOOKUP(C243,'Справочник соответствий'!A$2:D$2981,2,FALSE),IF(VALUE(C243)=0,1,VLOOKUP(C243,'Справочник соответствий'!A$2:D$2981,2,FALSE)))</f>
        <v>2</v>
      </c>
      <c r="J243" s="3">
        <f>IFERROR(VLOOKUP(D243,'Справочник соответствий'!A$2:D$2981,2,FALSE),IF(VALUE(D243)=0,0,VLOOKUP(D243,'Справочник соответствий'!A$2:D$2981,2,FALSE)))</f>
        <v>0</v>
      </c>
      <c r="K243" s="3">
        <f t="shared" si="21"/>
        <v>2</v>
      </c>
      <c r="L243" s="13" t="str">
        <f>IFERROR(VLOOKUP(C243,'Справочник соответствий'!A$2:D$2981,3,FALSE),IF(VALUE(C243)=0,"ЭТАЖ НЕ ОПРЕДЕЛЕН. ПРИНЯТ ПО ДОПУЩЕНИЮ 1",VLOOKUP(C243,'Справочник соответствий'!A$2:D$2981,3,FALSE)))</f>
        <v>ЭТАЖ ЗАДАН ЧИСЛОМ</v>
      </c>
      <c r="M243" s="13" t="b">
        <f t="shared" si="22"/>
        <v>0</v>
      </c>
      <c r="N243" s="13">
        <f t="shared" si="23"/>
        <v>2</v>
      </c>
      <c r="O243" s="13" t="str">
        <f t="shared" si="24"/>
        <v>ЭТАЖ ЗАДАН ЧИСЛОМ</v>
      </c>
      <c r="P243" s="13" t="str">
        <f t="shared" si="25"/>
        <v>МКД_ЭТАЖ ЗАДАН ЧИСЛОМ</v>
      </c>
      <c r="Q243" s="13" t="str">
        <f t="shared" si="26"/>
        <v>ГОТОВ</v>
      </c>
      <c r="R243" s="13">
        <f>IFERROR(VLOOKUP(P243,Лист1!A$1:B$20,2,FALSE),0)</f>
        <v>786</v>
      </c>
      <c r="S243" s="13">
        <f t="shared" si="27"/>
        <v>2</v>
      </c>
    </row>
    <row r="244" spans="1:19" x14ac:dyDescent="0.25">
      <c r="A244" s="24" t="s">
        <v>1342</v>
      </c>
      <c r="B244" s="4" t="s">
        <v>1059</v>
      </c>
      <c r="C244" s="25" t="s">
        <v>5</v>
      </c>
      <c r="E244" s="3">
        <v>1</v>
      </c>
      <c r="F244" s="24" t="s">
        <v>1045</v>
      </c>
      <c r="G244" s="25" t="s">
        <v>1072</v>
      </c>
      <c r="H244" s="24" t="s">
        <v>1061</v>
      </c>
      <c r="I244" s="3" t="str">
        <f>IFERROR(VLOOKUP(C244,'Справочник соответствий'!A$2:D$2981,2,FALSE),IF(VALUE(C244)=0,1,VLOOKUP(C244,'Справочник соответствий'!A$2:D$2981,2,FALSE)))</f>
        <v>1</v>
      </c>
      <c r="J244" s="3">
        <f>IFERROR(VLOOKUP(D244,'Справочник соответствий'!A$2:D$2981,2,FALSE),IF(VALUE(D244)=0,0,VLOOKUP(D244,'Справочник соответствий'!A$2:D$2981,2,FALSE)))</f>
        <v>0</v>
      </c>
      <c r="K244" s="3" t="str">
        <f t="shared" si="21"/>
        <v>1</v>
      </c>
      <c r="L244" s="13" t="str">
        <f>IFERROR(VLOOKUP(C244,'Справочник соответствий'!A$2:D$2981,3,FALSE),IF(VALUE(C244)=0,"ЭТАЖ НЕ ОПРЕДЕЛЕН. ПРИНЯТ ПО ДОПУЩЕНИЮ 1",VLOOKUP(C244,'Справочник соответствий'!A$2:D$2981,3,FALSE)))</f>
        <v>ЭТАЖ ЗАДАН ЧИСЛОМ</v>
      </c>
      <c r="M244" s="13" t="b">
        <f t="shared" si="22"/>
        <v>0</v>
      </c>
      <c r="N244" s="13">
        <f t="shared" si="23"/>
        <v>1</v>
      </c>
      <c r="O244" s="13" t="str">
        <f t="shared" si="24"/>
        <v>ЭТАЖ ЗАДАН ЧИСЛОМ</v>
      </c>
      <c r="P244" s="13" t="str">
        <f t="shared" si="25"/>
        <v>ЭТАЖ ЗАДАН ЧИСЛОМ</v>
      </c>
      <c r="Q244" s="13" t="str">
        <f t="shared" si="26"/>
        <v>ГОТОВ</v>
      </c>
      <c r="R244" s="13">
        <f>IFERROR(VLOOKUP(P244,Лист1!A$1:B$20,2,FALSE),0)</f>
        <v>784</v>
      </c>
      <c r="S244" s="13">
        <f t="shared" si="27"/>
        <v>1</v>
      </c>
    </row>
    <row r="245" spans="1:19" x14ac:dyDescent="0.25">
      <c r="A245" s="24" t="s">
        <v>1343</v>
      </c>
      <c r="B245" s="4" t="s">
        <v>1063</v>
      </c>
      <c r="C245" s="25" t="s">
        <v>5</v>
      </c>
      <c r="G245" s="25" t="s">
        <v>1069</v>
      </c>
      <c r="H245" s="24" t="s">
        <v>1061</v>
      </c>
      <c r="I245" s="3" t="str">
        <f>IFERROR(VLOOKUP(C245,'Справочник соответствий'!A$2:D$2981,2,FALSE),IF(VALUE(C245)=0,1,VLOOKUP(C245,'Справочник соответствий'!A$2:D$2981,2,FALSE)))</f>
        <v>1</v>
      </c>
      <c r="J245" s="3">
        <f>IFERROR(VLOOKUP(D245,'Справочник соответствий'!A$2:D$2981,2,FALSE),IF(VALUE(D245)=0,0,VLOOKUP(D245,'Справочник соответствий'!A$2:D$2981,2,FALSE)))</f>
        <v>0</v>
      </c>
      <c r="K245" s="3" t="str">
        <f t="shared" si="21"/>
        <v>1</v>
      </c>
      <c r="L245" s="13" t="str">
        <f>IFERROR(VLOOKUP(C245,'Справочник соответствий'!A$2:D$2981,3,FALSE),IF(VALUE(C245)=0,"ЭТАЖ НЕ ОПРЕДЕЛЕН. ПРИНЯТ ПО ДОПУЩЕНИЮ 1",VLOOKUP(C245,'Справочник соответствий'!A$2:D$2981,3,FALSE)))</f>
        <v>ЭТАЖ ЗАДАН ЧИСЛОМ</v>
      </c>
      <c r="M245" s="13" t="b">
        <f t="shared" si="22"/>
        <v>0</v>
      </c>
      <c r="N245" s="13">
        <f t="shared" si="23"/>
        <v>1</v>
      </c>
      <c r="O245" s="13" t="str">
        <f t="shared" si="24"/>
        <v>ЭТАЖ ЗАДАН ЧИСЛОМ</v>
      </c>
      <c r="P245" s="13" t="str">
        <f t="shared" si="25"/>
        <v>ЭТАЖ ЗАДАН ЧИСЛОМ</v>
      </c>
      <c r="Q245" s="13" t="str">
        <f t="shared" si="26"/>
        <v>ГОТОВ_ИЗМЕНЕН</v>
      </c>
      <c r="R245" s="13">
        <f>IFERROR(VLOOKUP(P245,Лист1!A$1:B$20,2,FALSE),0)</f>
        <v>784</v>
      </c>
      <c r="S245" s="13">
        <f t="shared" si="27"/>
        <v>0</v>
      </c>
    </row>
    <row r="246" spans="1:19" x14ac:dyDescent="0.25">
      <c r="A246" s="24" t="s">
        <v>1344</v>
      </c>
      <c r="B246" s="4" t="s">
        <v>1059</v>
      </c>
      <c r="C246" s="25" t="s">
        <v>7</v>
      </c>
      <c r="G246" s="25" t="s">
        <v>1077</v>
      </c>
      <c r="H246" s="24" t="s">
        <v>1061</v>
      </c>
      <c r="I246" s="3" t="str">
        <f>IFERROR(VLOOKUP(C246,'Справочник соответствий'!A$2:D$2981,2,FALSE),IF(VALUE(C246)=0,1,VLOOKUP(C246,'Справочник соответствий'!A$2:D$2981,2,FALSE)))</f>
        <v>2</v>
      </c>
      <c r="J246" s="3">
        <f>IFERROR(VLOOKUP(D246,'Справочник соответствий'!A$2:D$2981,2,FALSE),IF(VALUE(D246)=0,0,VLOOKUP(D246,'Справочник соответствий'!A$2:D$2981,2,FALSE)))</f>
        <v>0</v>
      </c>
      <c r="K246" s="3" t="str">
        <f t="shared" si="21"/>
        <v>2</v>
      </c>
      <c r="L246" s="13" t="str">
        <f>IFERROR(VLOOKUP(C246,'Справочник соответствий'!A$2:D$2981,3,FALSE),IF(VALUE(C246)=0,"ЭТАЖ НЕ ОПРЕДЕЛЕН. ПРИНЯТ ПО ДОПУЩЕНИЮ 1",VLOOKUP(C246,'Справочник соответствий'!A$2:D$2981,3,FALSE)))</f>
        <v>ЭТАЖ ЗАДАН ЧИСЛОМ</v>
      </c>
      <c r="M246" s="13" t="b">
        <f t="shared" si="22"/>
        <v>0</v>
      </c>
      <c r="N246" s="13">
        <f t="shared" si="23"/>
        <v>2</v>
      </c>
      <c r="O246" s="13" t="str">
        <f t="shared" si="24"/>
        <v>ЭТАЖ ЗАДАН ЧИСЛОМ</v>
      </c>
      <c r="P246" s="13" t="str">
        <f t="shared" si="25"/>
        <v>ЭТАЖ ЗАДАН ЧИСЛОМ</v>
      </c>
      <c r="Q246" s="13" t="str">
        <f t="shared" si="26"/>
        <v>ГОТОВ_ИЗМЕНЕН</v>
      </c>
      <c r="R246" s="13">
        <f>IFERROR(VLOOKUP(P246,Лист1!A$1:B$20,2,FALSE),0)</f>
        <v>784</v>
      </c>
      <c r="S246" s="13">
        <f t="shared" si="27"/>
        <v>0</v>
      </c>
    </row>
    <row r="247" spans="1:19" x14ac:dyDescent="0.25">
      <c r="A247" s="24" t="s">
        <v>1345</v>
      </c>
      <c r="B247" s="4" t="s">
        <v>1059</v>
      </c>
      <c r="C247" s="25" t="s">
        <v>5</v>
      </c>
      <c r="G247" s="25" t="s">
        <v>1086</v>
      </c>
      <c r="H247" s="24" t="s">
        <v>1061</v>
      </c>
      <c r="I247" s="3" t="str">
        <f>IFERROR(VLOOKUP(C247,'Справочник соответствий'!A$2:D$2981,2,FALSE),IF(VALUE(C247)=0,1,VLOOKUP(C247,'Справочник соответствий'!A$2:D$2981,2,FALSE)))</f>
        <v>1</v>
      </c>
      <c r="J247" s="3">
        <f>IFERROR(VLOOKUP(D247,'Справочник соответствий'!A$2:D$2981,2,FALSE),IF(VALUE(D247)=0,0,VLOOKUP(D247,'Справочник соответствий'!A$2:D$2981,2,FALSE)))</f>
        <v>0</v>
      </c>
      <c r="K247" s="3" t="str">
        <f t="shared" si="21"/>
        <v>1</v>
      </c>
      <c r="L247" s="13" t="str">
        <f>IFERROR(VLOOKUP(C247,'Справочник соответствий'!A$2:D$2981,3,FALSE),IF(VALUE(C247)=0,"ЭТАЖ НЕ ОПРЕДЕЛЕН. ПРИНЯТ ПО ДОПУЩЕНИЮ 1",VLOOKUP(C247,'Справочник соответствий'!A$2:D$2981,3,FALSE)))</f>
        <v>ЭТАЖ ЗАДАН ЧИСЛОМ</v>
      </c>
      <c r="M247" s="13" t="b">
        <f t="shared" si="22"/>
        <v>0</v>
      </c>
      <c r="N247" s="13">
        <f t="shared" si="23"/>
        <v>1</v>
      </c>
      <c r="O247" s="13" t="str">
        <f t="shared" si="24"/>
        <v>ЭТАЖ ЗАДАН ЧИСЛОМ</v>
      </c>
      <c r="P247" s="13" t="str">
        <f t="shared" si="25"/>
        <v>ЭТАЖ ЗАДАН ЧИСЛОМ</v>
      </c>
      <c r="Q247" s="13" t="str">
        <f t="shared" si="26"/>
        <v>ГОТОВ_ИЗМЕНЕН</v>
      </c>
      <c r="R247" s="13">
        <f>IFERROR(VLOOKUP(P247,Лист1!A$1:B$20,2,FALSE),0)</f>
        <v>784</v>
      </c>
      <c r="S247" s="13">
        <f t="shared" si="27"/>
        <v>0</v>
      </c>
    </row>
    <row r="248" spans="1:19" x14ac:dyDescent="0.25">
      <c r="A248" s="24" t="s">
        <v>1346</v>
      </c>
      <c r="B248" s="4" t="s">
        <v>1063</v>
      </c>
      <c r="C248" s="25" t="s">
        <v>5</v>
      </c>
      <c r="G248" s="25" t="s">
        <v>1347</v>
      </c>
      <c r="H248" s="24" t="s">
        <v>1061</v>
      </c>
      <c r="I248" s="3" t="str">
        <f>IFERROR(VLOOKUP(C248,'Справочник соответствий'!A$2:D$2981,2,FALSE),IF(VALUE(C248)=0,1,VLOOKUP(C248,'Справочник соответствий'!A$2:D$2981,2,FALSE)))</f>
        <v>1</v>
      </c>
      <c r="J248" s="3">
        <f>IFERROR(VLOOKUP(D248,'Справочник соответствий'!A$2:D$2981,2,FALSE),IF(VALUE(D248)=0,0,VLOOKUP(D248,'Справочник соответствий'!A$2:D$2981,2,FALSE)))</f>
        <v>0</v>
      </c>
      <c r="K248" s="3" t="str">
        <f t="shared" si="21"/>
        <v>1</v>
      </c>
      <c r="L248" s="13" t="str">
        <f>IFERROR(VLOOKUP(C248,'Справочник соответствий'!A$2:D$2981,3,FALSE),IF(VALUE(C248)=0,"ЭТАЖ НЕ ОПРЕДЕЛЕН. ПРИНЯТ ПО ДОПУЩЕНИЮ 1",VLOOKUP(C248,'Справочник соответствий'!A$2:D$2981,3,FALSE)))</f>
        <v>ЭТАЖ ЗАДАН ЧИСЛОМ</v>
      </c>
      <c r="M248" s="13" t="b">
        <f t="shared" si="22"/>
        <v>0</v>
      </c>
      <c r="N248" s="13">
        <f t="shared" si="23"/>
        <v>1</v>
      </c>
      <c r="O248" s="13" t="str">
        <f t="shared" si="24"/>
        <v>ЭТАЖ ЗАДАН ЧИСЛОМ</v>
      </c>
      <c r="P248" s="13" t="str">
        <f t="shared" si="25"/>
        <v>ЭТАЖ ЗАДАН ЧИСЛОМ</v>
      </c>
      <c r="Q248" s="13" t="str">
        <f t="shared" si="26"/>
        <v>ГОТОВ_ИЗМЕНЕН</v>
      </c>
      <c r="R248" s="13">
        <f>IFERROR(VLOOKUP(P248,Лист1!A$1:B$20,2,FALSE),0)</f>
        <v>784</v>
      </c>
      <c r="S248" s="13">
        <f t="shared" si="27"/>
        <v>0</v>
      </c>
    </row>
    <row r="249" spans="1:19" x14ac:dyDescent="0.25">
      <c r="A249" s="24" t="s">
        <v>1348</v>
      </c>
      <c r="B249" s="4" t="s">
        <v>1063</v>
      </c>
      <c r="C249" s="25" t="s">
        <v>5</v>
      </c>
      <c r="G249" s="25" t="s">
        <v>1086</v>
      </c>
      <c r="H249" s="24" t="s">
        <v>1061</v>
      </c>
      <c r="I249" s="3" t="str">
        <f>IFERROR(VLOOKUP(C249,'Справочник соответствий'!A$2:D$2981,2,FALSE),IF(VALUE(C249)=0,1,VLOOKUP(C249,'Справочник соответствий'!A$2:D$2981,2,FALSE)))</f>
        <v>1</v>
      </c>
      <c r="J249" s="3">
        <f>IFERROR(VLOOKUP(D249,'Справочник соответствий'!A$2:D$2981,2,FALSE),IF(VALUE(D249)=0,0,VLOOKUP(D249,'Справочник соответствий'!A$2:D$2981,2,FALSE)))</f>
        <v>0</v>
      </c>
      <c r="K249" s="3" t="str">
        <f t="shared" si="21"/>
        <v>1</v>
      </c>
      <c r="L249" s="13" t="str">
        <f>IFERROR(VLOOKUP(C249,'Справочник соответствий'!A$2:D$2981,3,FALSE),IF(VALUE(C249)=0,"ЭТАЖ НЕ ОПРЕДЕЛЕН. ПРИНЯТ ПО ДОПУЩЕНИЮ 1",VLOOKUP(C249,'Справочник соответствий'!A$2:D$2981,3,FALSE)))</f>
        <v>ЭТАЖ ЗАДАН ЧИСЛОМ</v>
      </c>
      <c r="M249" s="13" t="b">
        <f t="shared" si="22"/>
        <v>0</v>
      </c>
      <c r="N249" s="13">
        <f t="shared" si="23"/>
        <v>1</v>
      </c>
      <c r="O249" s="13" t="str">
        <f t="shared" si="24"/>
        <v>ЭТАЖ ЗАДАН ЧИСЛОМ</v>
      </c>
      <c r="P249" s="13" t="str">
        <f t="shared" si="25"/>
        <v>ЭТАЖ ЗАДАН ЧИСЛОМ</v>
      </c>
      <c r="Q249" s="13" t="str">
        <f t="shared" si="26"/>
        <v>ГОТОВ_ИЗМЕНЕН</v>
      </c>
      <c r="R249" s="13">
        <f>IFERROR(VLOOKUP(P249,Лист1!A$1:B$20,2,FALSE),0)</f>
        <v>784</v>
      </c>
      <c r="S249" s="13">
        <f t="shared" si="27"/>
        <v>0</v>
      </c>
    </row>
    <row r="250" spans="1:19" x14ac:dyDescent="0.25">
      <c r="A250" s="24" t="s">
        <v>1349</v>
      </c>
      <c r="B250" s="4" t="s">
        <v>1059</v>
      </c>
      <c r="C250" s="25" t="s">
        <v>5</v>
      </c>
      <c r="G250" s="25" t="s">
        <v>1077</v>
      </c>
      <c r="H250" s="24" t="s">
        <v>1061</v>
      </c>
      <c r="I250" s="3" t="str">
        <f>IFERROR(VLOOKUP(C250,'Справочник соответствий'!A$2:D$2981,2,FALSE),IF(VALUE(C250)=0,1,VLOOKUP(C250,'Справочник соответствий'!A$2:D$2981,2,FALSE)))</f>
        <v>1</v>
      </c>
      <c r="J250" s="3">
        <f>IFERROR(VLOOKUP(D250,'Справочник соответствий'!A$2:D$2981,2,FALSE),IF(VALUE(D250)=0,0,VLOOKUP(D250,'Справочник соответствий'!A$2:D$2981,2,FALSE)))</f>
        <v>0</v>
      </c>
      <c r="K250" s="3" t="str">
        <f t="shared" si="21"/>
        <v>1</v>
      </c>
      <c r="L250" s="13" t="str">
        <f>IFERROR(VLOOKUP(C250,'Справочник соответствий'!A$2:D$2981,3,FALSE),IF(VALUE(C250)=0,"ЭТАЖ НЕ ОПРЕДЕЛЕН. ПРИНЯТ ПО ДОПУЩЕНИЮ 1",VLOOKUP(C250,'Справочник соответствий'!A$2:D$2981,3,FALSE)))</f>
        <v>ЭТАЖ ЗАДАН ЧИСЛОМ</v>
      </c>
      <c r="M250" s="13" t="b">
        <f t="shared" si="22"/>
        <v>0</v>
      </c>
      <c r="N250" s="13">
        <f t="shared" si="23"/>
        <v>1</v>
      </c>
      <c r="O250" s="13" t="str">
        <f t="shared" si="24"/>
        <v>ЭТАЖ ЗАДАН ЧИСЛОМ</v>
      </c>
      <c r="P250" s="13" t="str">
        <f t="shared" si="25"/>
        <v>ЭТАЖ ЗАДАН ЧИСЛОМ</v>
      </c>
      <c r="Q250" s="13" t="str">
        <f t="shared" si="26"/>
        <v>ГОТОВ_ИЗМЕНЕН</v>
      </c>
      <c r="R250" s="13">
        <f>IFERROR(VLOOKUP(P250,Лист1!A$1:B$20,2,FALSE),0)</f>
        <v>784</v>
      </c>
      <c r="S250" s="13">
        <f t="shared" si="27"/>
        <v>0</v>
      </c>
    </row>
    <row r="251" spans="1:19" x14ac:dyDescent="0.25">
      <c r="A251" s="24" t="s">
        <v>1350</v>
      </c>
      <c r="B251" s="4" t="s">
        <v>1063</v>
      </c>
      <c r="C251" s="25" t="s">
        <v>5</v>
      </c>
      <c r="G251" s="25" t="s">
        <v>1077</v>
      </c>
      <c r="H251" s="24" t="s">
        <v>1061</v>
      </c>
      <c r="I251" s="3" t="str">
        <f>IFERROR(VLOOKUP(C251,'Справочник соответствий'!A$2:D$2981,2,FALSE),IF(VALUE(C251)=0,1,VLOOKUP(C251,'Справочник соответствий'!A$2:D$2981,2,FALSE)))</f>
        <v>1</v>
      </c>
      <c r="J251" s="3">
        <f>IFERROR(VLOOKUP(D251,'Справочник соответствий'!A$2:D$2981,2,FALSE),IF(VALUE(D251)=0,0,VLOOKUP(D251,'Справочник соответствий'!A$2:D$2981,2,FALSE)))</f>
        <v>0</v>
      </c>
      <c r="K251" s="3" t="str">
        <f t="shared" si="21"/>
        <v>1</v>
      </c>
      <c r="L251" s="13" t="str">
        <f>IFERROR(VLOOKUP(C251,'Справочник соответствий'!A$2:D$2981,3,FALSE),IF(VALUE(C251)=0,"ЭТАЖ НЕ ОПРЕДЕЛЕН. ПРИНЯТ ПО ДОПУЩЕНИЮ 1",VLOOKUP(C251,'Справочник соответствий'!A$2:D$2981,3,FALSE)))</f>
        <v>ЭТАЖ ЗАДАН ЧИСЛОМ</v>
      </c>
      <c r="M251" s="13" t="b">
        <f t="shared" si="22"/>
        <v>0</v>
      </c>
      <c r="N251" s="13">
        <f t="shared" si="23"/>
        <v>1</v>
      </c>
      <c r="O251" s="13" t="str">
        <f t="shared" si="24"/>
        <v>ЭТАЖ ЗАДАН ЧИСЛОМ</v>
      </c>
      <c r="P251" s="13" t="str">
        <f t="shared" si="25"/>
        <v>ЭТАЖ ЗАДАН ЧИСЛОМ</v>
      </c>
      <c r="Q251" s="13" t="str">
        <f t="shared" si="26"/>
        <v>ГОТОВ_ИЗМЕНЕН</v>
      </c>
      <c r="R251" s="13">
        <f>IFERROR(VLOOKUP(P251,Лист1!A$1:B$20,2,FALSE),0)</f>
        <v>784</v>
      </c>
      <c r="S251" s="13">
        <f t="shared" si="27"/>
        <v>0</v>
      </c>
    </row>
    <row r="252" spans="1:19" x14ac:dyDescent="0.25">
      <c r="A252" s="24" t="s">
        <v>1351</v>
      </c>
      <c r="B252" s="4" t="s">
        <v>1063</v>
      </c>
      <c r="C252" s="25" t="s">
        <v>5</v>
      </c>
      <c r="G252" s="25" t="s">
        <v>1106</v>
      </c>
      <c r="H252" s="24" t="s">
        <v>1061</v>
      </c>
      <c r="I252" s="3" t="str">
        <f>IFERROR(VLOOKUP(C252,'Справочник соответствий'!A$2:D$2981,2,FALSE),IF(VALUE(C252)=0,1,VLOOKUP(C252,'Справочник соответствий'!A$2:D$2981,2,FALSE)))</f>
        <v>1</v>
      </c>
      <c r="J252" s="3">
        <f>IFERROR(VLOOKUP(D252,'Справочник соответствий'!A$2:D$2981,2,FALSE),IF(VALUE(D252)=0,0,VLOOKUP(D252,'Справочник соответствий'!A$2:D$2981,2,FALSE)))</f>
        <v>0</v>
      </c>
      <c r="K252" s="3" t="str">
        <f t="shared" si="21"/>
        <v>1</v>
      </c>
      <c r="L252" s="13" t="str">
        <f>IFERROR(VLOOKUP(C252,'Справочник соответствий'!A$2:D$2981,3,FALSE),IF(VALUE(C252)=0,"ЭТАЖ НЕ ОПРЕДЕЛЕН. ПРИНЯТ ПО ДОПУЩЕНИЮ 1",VLOOKUP(C252,'Справочник соответствий'!A$2:D$2981,3,FALSE)))</f>
        <v>ЭТАЖ ЗАДАН ЧИСЛОМ</v>
      </c>
      <c r="M252" s="13" t="b">
        <f t="shared" si="22"/>
        <v>0</v>
      </c>
      <c r="N252" s="13">
        <f t="shared" si="23"/>
        <v>1</v>
      </c>
      <c r="O252" s="13" t="str">
        <f t="shared" si="24"/>
        <v>ЭТАЖ ЗАДАН ЧИСЛОМ</v>
      </c>
      <c r="P252" s="13" t="str">
        <f t="shared" si="25"/>
        <v>ЭТАЖ ЗАДАН ЧИСЛОМ</v>
      </c>
      <c r="Q252" s="13" t="str">
        <f t="shared" si="26"/>
        <v>ГОТОВ_ИЗМЕНЕН</v>
      </c>
      <c r="R252" s="13">
        <f>IFERROR(VLOOKUP(P252,Лист1!A$1:B$20,2,FALSE),0)</f>
        <v>784</v>
      </c>
      <c r="S252" s="13">
        <f t="shared" si="27"/>
        <v>0</v>
      </c>
    </row>
    <row r="253" spans="1:19" x14ac:dyDescent="0.25">
      <c r="A253" s="24" t="s">
        <v>1352</v>
      </c>
      <c r="B253" s="4" t="s">
        <v>1063</v>
      </c>
      <c r="C253" s="25" t="s">
        <v>5</v>
      </c>
      <c r="G253" s="25" t="s">
        <v>1086</v>
      </c>
      <c r="H253" s="24" t="s">
        <v>1061</v>
      </c>
      <c r="I253" s="3" t="str">
        <f>IFERROR(VLOOKUP(C253,'Справочник соответствий'!A$2:D$2981,2,FALSE),IF(VALUE(C253)=0,1,VLOOKUP(C253,'Справочник соответствий'!A$2:D$2981,2,FALSE)))</f>
        <v>1</v>
      </c>
      <c r="J253" s="3">
        <f>IFERROR(VLOOKUP(D253,'Справочник соответствий'!A$2:D$2981,2,FALSE),IF(VALUE(D253)=0,0,VLOOKUP(D253,'Справочник соответствий'!A$2:D$2981,2,FALSE)))</f>
        <v>0</v>
      </c>
      <c r="K253" s="3" t="str">
        <f t="shared" si="21"/>
        <v>1</v>
      </c>
      <c r="L253" s="13" t="str">
        <f>IFERROR(VLOOKUP(C253,'Справочник соответствий'!A$2:D$2981,3,FALSE),IF(VALUE(C253)=0,"ЭТАЖ НЕ ОПРЕДЕЛЕН. ПРИНЯТ ПО ДОПУЩЕНИЮ 1",VLOOKUP(C253,'Справочник соответствий'!A$2:D$2981,3,FALSE)))</f>
        <v>ЭТАЖ ЗАДАН ЧИСЛОМ</v>
      </c>
      <c r="M253" s="13" t="b">
        <f t="shared" si="22"/>
        <v>0</v>
      </c>
      <c r="N253" s="13">
        <f t="shared" si="23"/>
        <v>1</v>
      </c>
      <c r="O253" s="13" t="str">
        <f t="shared" si="24"/>
        <v>ЭТАЖ ЗАДАН ЧИСЛОМ</v>
      </c>
      <c r="P253" s="13" t="str">
        <f t="shared" si="25"/>
        <v>ЭТАЖ ЗАДАН ЧИСЛОМ</v>
      </c>
      <c r="Q253" s="13" t="str">
        <f t="shared" si="26"/>
        <v>ГОТОВ_ИЗМЕНЕН</v>
      </c>
      <c r="R253" s="13">
        <f>IFERROR(VLOOKUP(P253,Лист1!A$1:B$20,2,FALSE),0)</f>
        <v>784</v>
      </c>
      <c r="S253" s="13">
        <f t="shared" si="27"/>
        <v>0</v>
      </c>
    </row>
    <row r="254" spans="1:19" x14ac:dyDescent="0.25">
      <c r="A254" s="24" t="s">
        <v>1353</v>
      </c>
      <c r="B254" s="4" t="s">
        <v>1059</v>
      </c>
      <c r="C254" s="25" t="s">
        <v>5</v>
      </c>
      <c r="G254" s="25" t="s">
        <v>1080</v>
      </c>
      <c r="H254" s="24" t="s">
        <v>1061</v>
      </c>
      <c r="I254" s="3" t="str">
        <f>IFERROR(VLOOKUP(C254,'Справочник соответствий'!A$2:D$2981,2,FALSE),IF(VALUE(C254)=0,1,VLOOKUP(C254,'Справочник соответствий'!A$2:D$2981,2,FALSE)))</f>
        <v>1</v>
      </c>
      <c r="J254" s="3">
        <f>IFERROR(VLOOKUP(D254,'Справочник соответствий'!A$2:D$2981,2,FALSE),IF(VALUE(D254)=0,0,VLOOKUP(D254,'Справочник соответствий'!A$2:D$2981,2,FALSE)))</f>
        <v>0</v>
      </c>
      <c r="K254" s="3" t="str">
        <f t="shared" si="21"/>
        <v>1</v>
      </c>
      <c r="L254" s="13" t="str">
        <f>IFERROR(VLOOKUP(C254,'Справочник соответствий'!A$2:D$2981,3,FALSE),IF(VALUE(C254)=0,"ЭТАЖ НЕ ОПРЕДЕЛЕН. ПРИНЯТ ПО ДОПУЩЕНИЮ 1",VLOOKUP(C254,'Справочник соответствий'!A$2:D$2981,3,FALSE)))</f>
        <v>ЭТАЖ ЗАДАН ЧИСЛОМ</v>
      </c>
      <c r="M254" s="13" t="b">
        <f t="shared" si="22"/>
        <v>0</v>
      </c>
      <c r="N254" s="13">
        <f t="shared" si="23"/>
        <v>1</v>
      </c>
      <c r="O254" s="13" t="str">
        <f t="shared" si="24"/>
        <v>ЭТАЖ ЗАДАН ЧИСЛОМ</v>
      </c>
      <c r="P254" s="13" t="str">
        <f t="shared" si="25"/>
        <v>ЭТАЖ ЗАДАН ЧИСЛОМ</v>
      </c>
      <c r="Q254" s="13" t="str">
        <f t="shared" si="26"/>
        <v>ГОТОВ_ИЗМЕНЕН</v>
      </c>
      <c r="R254" s="13">
        <f>IFERROR(VLOOKUP(P254,Лист1!A$1:B$20,2,FALSE),0)</f>
        <v>784</v>
      </c>
      <c r="S254" s="13">
        <f t="shared" si="27"/>
        <v>0</v>
      </c>
    </row>
    <row r="255" spans="1:19" x14ac:dyDescent="0.25">
      <c r="A255" s="24" t="s">
        <v>1354</v>
      </c>
      <c r="B255" s="4" t="s">
        <v>1063</v>
      </c>
      <c r="C255" s="25" t="s">
        <v>5</v>
      </c>
      <c r="G255" s="25" t="s">
        <v>1089</v>
      </c>
      <c r="H255" s="24" t="s">
        <v>1061</v>
      </c>
      <c r="I255" s="3" t="str">
        <f>IFERROR(VLOOKUP(C255,'Справочник соответствий'!A$2:D$2981,2,FALSE),IF(VALUE(C255)=0,1,VLOOKUP(C255,'Справочник соответствий'!A$2:D$2981,2,FALSE)))</f>
        <v>1</v>
      </c>
      <c r="J255" s="3">
        <f>IFERROR(VLOOKUP(D255,'Справочник соответствий'!A$2:D$2981,2,FALSE),IF(VALUE(D255)=0,0,VLOOKUP(D255,'Справочник соответствий'!A$2:D$2981,2,FALSE)))</f>
        <v>0</v>
      </c>
      <c r="K255" s="3" t="str">
        <f t="shared" si="21"/>
        <v>1</v>
      </c>
      <c r="L255" s="13" t="str">
        <f>IFERROR(VLOOKUP(C255,'Справочник соответствий'!A$2:D$2981,3,FALSE),IF(VALUE(C255)=0,"ЭТАЖ НЕ ОПРЕДЕЛЕН. ПРИНЯТ ПО ДОПУЩЕНИЮ 1",VLOOKUP(C255,'Справочник соответствий'!A$2:D$2981,3,FALSE)))</f>
        <v>ЭТАЖ ЗАДАН ЧИСЛОМ</v>
      </c>
      <c r="M255" s="13" t="b">
        <f t="shared" si="22"/>
        <v>0</v>
      </c>
      <c r="N255" s="13">
        <f t="shared" si="23"/>
        <v>1</v>
      </c>
      <c r="O255" s="13" t="str">
        <f t="shared" si="24"/>
        <v>ЭТАЖ ЗАДАН ЧИСЛОМ</v>
      </c>
      <c r="P255" s="13" t="str">
        <f t="shared" si="25"/>
        <v>ЭТАЖ ЗАДАН ЧИСЛОМ</v>
      </c>
      <c r="Q255" s="13" t="str">
        <f t="shared" si="26"/>
        <v>ГОТОВ_ИЗМЕНЕН</v>
      </c>
      <c r="R255" s="13">
        <f>IFERROR(VLOOKUP(P255,Лист1!A$1:B$20,2,FALSE),0)</f>
        <v>784</v>
      </c>
      <c r="S255" s="13">
        <f t="shared" si="27"/>
        <v>0</v>
      </c>
    </row>
    <row r="256" spans="1:19" x14ac:dyDescent="0.25">
      <c r="A256" s="24" t="s">
        <v>1355</v>
      </c>
      <c r="B256" s="4" t="s">
        <v>1063</v>
      </c>
      <c r="C256" s="25" t="s">
        <v>5</v>
      </c>
      <c r="G256" s="25" t="s">
        <v>1080</v>
      </c>
      <c r="H256" s="24" t="s">
        <v>1061</v>
      </c>
      <c r="I256" s="3" t="str">
        <f>IFERROR(VLOOKUP(C256,'Справочник соответствий'!A$2:D$2981,2,FALSE),IF(VALUE(C256)=0,1,VLOOKUP(C256,'Справочник соответствий'!A$2:D$2981,2,FALSE)))</f>
        <v>1</v>
      </c>
      <c r="J256" s="3">
        <f>IFERROR(VLOOKUP(D256,'Справочник соответствий'!A$2:D$2981,2,FALSE),IF(VALUE(D256)=0,0,VLOOKUP(D256,'Справочник соответствий'!A$2:D$2981,2,FALSE)))</f>
        <v>0</v>
      </c>
      <c r="K256" s="3" t="str">
        <f t="shared" si="21"/>
        <v>1</v>
      </c>
      <c r="L256" s="13" t="str">
        <f>IFERROR(VLOOKUP(C256,'Справочник соответствий'!A$2:D$2981,3,FALSE),IF(VALUE(C256)=0,"ЭТАЖ НЕ ОПРЕДЕЛЕН. ПРИНЯТ ПО ДОПУЩЕНИЮ 1",VLOOKUP(C256,'Справочник соответствий'!A$2:D$2981,3,FALSE)))</f>
        <v>ЭТАЖ ЗАДАН ЧИСЛОМ</v>
      </c>
      <c r="M256" s="13" t="b">
        <f t="shared" si="22"/>
        <v>0</v>
      </c>
      <c r="N256" s="13">
        <f t="shared" si="23"/>
        <v>1</v>
      </c>
      <c r="O256" s="13" t="str">
        <f t="shared" si="24"/>
        <v>ЭТАЖ ЗАДАН ЧИСЛОМ</v>
      </c>
      <c r="P256" s="13" t="str">
        <f t="shared" si="25"/>
        <v>ЭТАЖ ЗАДАН ЧИСЛОМ</v>
      </c>
      <c r="Q256" s="13" t="str">
        <f t="shared" si="26"/>
        <v>ГОТОВ_ИЗМЕНЕН</v>
      </c>
      <c r="R256" s="13">
        <f>IFERROR(VLOOKUP(P256,Лист1!A$1:B$20,2,FALSE),0)</f>
        <v>784</v>
      </c>
      <c r="S256" s="13">
        <f t="shared" si="27"/>
        <v>0</v>
      </c>
    </row>
    <row r="257" spans="1:19" x14ac:dyDescent="0.25">
      <c r="A257" s="24" t="s">
        <v>1356</v>
      </c>
      <c r="B257" s="4" t="s">
        <v>1063</v>
      </c>
      <c r="C257" s="25" t="s">
        <v>8</v>
      </c>
      <c r="G257" s="25" t="s">
        <v>1080</v>
      </c>
      <c r="H257" s="24" t="s">
        <v>1061</v>
      </c>
      <c r="I257" s="3" t="str">
        <f>IFERROR(VLOOKUP(C257,'Справочник соответствий'!A$2:D$2981,2,FALSE),IF(VALUE(C257)=0,1,VLOOKUP(C257,'Справочник соответствий'!A$2:D$2981,2,FALSE)))</f>
        <v>3</v>
      </c>
      <c r="J257" s="3">
        <f>IFERROR(VLOOKUP(D257,'Справочник соответствий'!A$2:D$2981,2,FALSE),IF(VALUE(D257)=0,0,VLOOKUP(D257,'Справочник соответствий'!A$2:D$2981,2,FALSE)))</f>
        <v>0</v>
      </c>
      <c r="K257" s="3" t="str">
        <f t="shared" si="21"/>
        <v>3</v>
      </c>
      <c r="L257" s="13" t="str">
        <f>IFERROR(VLOOKUP(C257,'Справочник соответствий'!A$2:D$2981,3,FALSE),IF(VALUE(C257)=0,"ЭТАЖ НЕ ОПРЕДЕЛЕН. ПРИНЯТ ПО ДОПУЩЕНИЮ 1",VLOOKUP(C257,'Справочник соответствий'!A$2:D$2981,3,FALSE)))</f>
        <v>ЭТАЖ ЗАДАН ЧИСЛОМ</v>
      </c>
      <c r="M257" s="13" t="b">
        <f t="shared" si="22"/>
        <v>0</v>
      </c>
      <c r="N257" s="13">
        <f t="shared" si="23"/>
        <v>3</v>
      </c>
      <c r="O257" s="13" t="str">
        <f t="shared" si="24"/>
        <v>ЭТАЖ ЗАДАН ЧИСЛОМ</v>
      </c>
      <c r="P257" s="13" t="str">
        <f t="shared" si="25"/>
        <v>ЭТАЖ ЗАДАН ЧИСЛОМ</v>
      </c>
      <c r="Q257" s="13" t="str">
        <f t="shared" si="26"/>
        <v>ГОТОВ_ИЗМЕНЕН</v>
      </c>
      <c r="R257" s="13">
        <f>IFERROR(VLOOKUP(P257,Лист1!A$1:B$20,2,FALSE),0)</f>
        <v>784</v>
      </c>
      <c r="S257" s="13">
        <f t="shared" si="27"/>
        <v>0</v>
      </c>
    </row>
    <row r="258" spans="1:19" x14ac:dyDescent="0.25">
      <c r="A258" s="24" t="s">
        <v>1357</v>
      </c>
      <c r="B258" s="4" t="s">
        <v>1059</v>
      </c>
      <c r="C258" s="25" t="s">
        <v>7</v>
      </c>
      <c r="D258" s="25" t="s">
        <v>5</v>
      </c>
      <c r="G258" s="25" t="s">
        <v>1086</v>
      </c>
      <c r="H258" s="24" t="s">
        <v>1061</v>
      </c>
      <c r="I258" s="3" t="str">
        <f>IFERROR(VLOOKUP(C258,'Справочник соответствий'!A$2:D$2981,2,FALSE),IF(VALUE(C258)=0,1,VLOOKUP(C258,'Справочник соответствий'!A$2:D$2981,2,FALSE)))</f>
        <v>2</v>
      </c>
      <c r="J258" s="3" t="str">
        <f>IFERROR(VLOOKUP(D258,'Справочник соответствий'!A$2:D$2981,2,FALSE),IF(VALUE(D258)=0,0,VLOOKUP(D258,'Справочник соответствий'!A$2:D$2981,2,FALSE)))</f>
        <v>1</v>
      </c>
      <c r="K258" s="3" t="str">
        <f t="shared" si="21"/>
        <v>2</v>
      </c>
      <c r="L258" s="13" t="str">
        <f>IFERROR(VLOOKUP(C258,'Справочник соответствий'!A$2:D$2981,3,FALSE),IF(VALUE(C258)=0,"ЭТАЖ НЕ ОПРЕДЕЛЕН. ПРИНЯТ ПО ДОПУЩЕНИЮ 1",VLOOKUP(C258,'Справочник соответствий'!A$2:D$2981,3,FALSE)))</f>
        <v>ЭТАЖ ЗАДАН ЧИСЛОМ</v>
      </c>
      <c r="M258" s="13" t="b">
        <f t="shared" si="22"/>
        <v>0</v>
      </c>
      <c r="N258" s="13">
        <f t="shared" si="23"/>
        <v>2</v>
      </c>
      <c r="O258" s="13" t="str">
        <f t="shared" si="24"/>
        <v>ЭТАЖ ЗАДАН ЧИСЛОМ</v>
      </c>
      <c r="P258" s="13" t="str">
        <f t="shared" si="25"/>
        <v>ЭТАЖ ЗАДАН ЧИСЛОМ</v>
      </c>
      <c r="Q258" s="13" t="str">
        <f t="shared" si="26"/>
        <v>ГОТОВ_ИЗМЕНЕН</v>
      </c>
      <c r="R258" s="13">
        <f>IFERROR(VLOOKUP(P258,Лист1!A$1:B$20,2,FALSE),0)</f>
        <v>784</v>
      </c>
      <c r="S258" s="13">
        <f t="shared" si="27"/>
        <v>0</v>
      </c>
    </row>
    <row r="259" spans="1:19" x14ac:dyDescent="0.25">
      <c r="A259" s="24" t="s">
        <v>1358</v>
      </c>
      <c r="B259" s="4" t="s">
        <v>1063</v>
      </c>
      <c r="C259" s="25" t="s">
        <v>5</v>
      </c>
      <c r="G259" s="25" t="s">
        <v>1086</v>
      </c>
      <c r="H259" s="24" t="s">
        <v>1061</v>
      </c>
      <c r="I259" s="3" t="str">
        <f>IFERROR(VLOOKUP(C259,'Справочник соответствий'!A$2:D$2981,2,FALSE),IF(VALUE(C259)=0,1,VLOOKUP(C259,'Справочник соответствий'!A$2:D$2981,2,FALSE)))</f>
        <v>1</v>
      </c>
      <c r="J259" s="3">
        <f>IFERROR(VLOOKUP(D259,'Справочник соответствий'!A$2:D$2981,2,FALSE),IF(VALUE(D259)=0,0,VLOOKUP(D259,'Справочник соответствий'!A$2:D$2981,2,FALSE)))</f>
        <v>0</v>
      </c>
      <c r="K259" s="3" t="str">
        <f t="shared" si="21"/>
        <v>1</v>
      </c>
      <c r="L259" s="13" t="str">
        <f>IFERROR(VLOOKUP(C259,'Справочник соответствий'!A$2:D$2981,3,FALSE),IF(VALUE(C259)=0,"ЭТАЖ НЕ ОПРЕДЕЛЕН. ПРИНЯТ ПО ДОПУЩЕНИЮ 1",VLOOKUP(C259,'Справочник соответствий'!A$2:D$2981,3,FALSE)))</f>
        <v>ЭТАЖ ЗАДАН ЧИСЛОМ</v>
      </c>
      <c r="M259" s="13" t="b">
        <f t="shared" si="22"/>
        <v>0</v>
      </c>
      <c r="N259" s="13">
        <f t="shared" si="23"/>
        <v>1</v>
      </c>
      <c r="O259" s="13" t="str">
        <f t="shared" si="24"/>
        <v>ЭТАЖ ЗАДАН ЧИСЛОМ</v>
      </c>
      <c r="P259" s="13" t="str">
        <f t="shared" si="25"/>
        <v>ЭТАЖ ЗАДАН ЧИСЛОМ</v>
      </c>
      <c r="Q259" s="13" t="str">
        <f t="shared" si="26"/>
        <v>ГОТОВ_ИЗМЕНЕН</v>
      </c>
      <c r="R259" s="13">
        <f>IFERROR(VLOOKUP(P259,Лист1!A$1:B$20,2,FALSE),0)</f>
        <v>784</v>
      </c>
      <c r="S259" s="13">
        <f t="shared" si="27"/>
        <v>0</v>
      </c>
    </row>
    <row r="260" spans="1:19" x14ac:dyDescent="0.25">
      <c r="A260" s="24" t="s">
        <v>1359</v>
      </c>
      <c r="B260" s="4" t="s">
        <v>1059</v>
      </c>
      <c r="C260" s="25" t="s">
        <v>7</v>
      </c>
      <c r="G260" s="25" t="s">
        <v>1077</v>
      </c>
      <c r="H260" s="24" t="s">
        <v>1061</v>
      </c>
      <c r="I260" s="3" t="str">
        <f>IFERROR(VLOOKUP(C260,'Справочник соответствий'!A$2:D$2981,2,FALSE),IF(VALUE(C260)=0,1,VLOOKUP(C260,'Справочник соответствий'!A$2:D$2981,2,FALSE)))</f>
        <v>2</v>
      </c>
      <c r="J260" s="3">
        <f>IFERROR(VLOOKUP(D260,'Справочник соответствий'!A$2:D$2981,2,FALSE),IF(VALUE(D260)=0,0,VLOOKUP(D260,'Справочник соответствий'!A$2:D$2981,2,FALSE)))</f>
        <v>0</v>
      </c>
      <c r="K260" s="3" t="str">
        <f t="shared" si="21"/>
        <v>2</v>
      </c>
      <c r="L260" s="13" t="str">
        <f>IFERROR(VLOOKUP(C260,'Справочник соответствий'!A$2:D$2981,3,FALSE),IF(VALUE(C260)=0,"ЭТАЖ НЕ ОПРЕДЕЛЕН. ПРИНЯТ ПО ДОПУЩЕНИЮ 1",VLOOKUP(C260,'Справочник соответствий'!A$2:D$2981,3,FALSE)))</f>
        <v>ЭТАЖ ЗАДАН ЧИСЛОМ</v>
      </c>
      <c r="M260" s="13" t="b">
        <f t="shared" si="22"/>
        <v>0</v>
      </c>
      <c r="N260" s="13">
        <f t="shared" si="23"/>
        <v>2</v>
      </c>
      <c r="O260" s="13" t="str">
        <f t="shared" si="24"/>
        <v>ЭТАЖ ЗАДАН ЧИСЛОМ</v>
      </c>
      <c r="P260" s="13" t="str">
        <f t="shared" si="25"/>
        <v>ЭТАЖ ЗАДАН ЧИСЛОМ</v>
      </c>
      <c r="Q260" s="13" t="str">
        <f t="shared" si="26"/>
        <v>ГОТОВ_ИЗМЕНЕН</v>
      </c>
      <c r="R260" s="13">
        <f>IFERROR(VLOOKUP(P260,Лист1!A$1:B$20,2,FALSE),0)</f>
        <v>784</v>
      </c>
      <c r="S260" s="13">
        <f t="shared" si="27"/>
        <v>0</v>
      </c>
    </row>
    <row r="261" spans="1:19" x14ac:dyDescent="0.25">
      <c r="A261" s="24" t="s">
        <v>1360</v>
      </c>
      <c r="B261" s="4" t="s">
        <v>1059</v>
      </c>
      <c r="C261" s="25" t="s">
        <v>7</v>
      </c>
      <c r="G261" s="25" t="s">
        <v>1077</v>
      </c>
      <c r="H261" s="24" t="s">
        <v>1061</v>
      </c>
      <c r="I261" s="3" t="str">
        <f>IFERROR(VLOOKUP(C261,'Справочник соответствий'!A$2:D$2981,2,FALSE),IF(VALUE(C261)=0,1,VLOOKUP(C261,'Справочник соответствий'!A$2:D$2981,2,FALSE)))</f>
        <v>2</v>
      </c>
      <c r="J261" s="3">
        <f>IFERROR(VLOOKUP(D261,'Справочник соответствий'!A$2:D$2981,2,FALSE),IF(VALUE(D261)=0,0,VLOOKUP(D261,'Справочник соответствий'!A$2:D$2981,2,FALSE)))</f>
        <v>0</v>
      </c>
      <c r="K261" s="3" t="str">
        <f t="shared" ref="K261:K324" si="28">IF(B261="Многоквартирный дом",IF(I261-J261&gt;0,I261-J261,1),I261)</f>
        <v>2</v>
      </c>
      <c r="L261" s="13" t="str">
        <f>IFERROR(VLOOKUP(C261,'Справочник соответствий'!A$2:D$2981,3,FALSE),IF(VALUE(C261)=0,"ЭТАЖ НЕ ОПРЕДЕЛЕН. ПРИНЯТ ПО ДОПУЩЕНИЮ 1",VLOOKUP(C261,'Справочник соответствий'!A$2:D$2981,3,FALSE)))</f>
        <v>ЭТАЖ ЗАДАН ЧИСЛОМ</v>
      </c>
      <c r="M261" s="13" t="b">
        <f t="shared" ref="M261:M324" si="29">I261=E261</f>
        <v>0</v>
      </c>
      <c r="N261" s="13">
        <f t="shared" ref="N261:N324" si="30">IF(VALUE(E261)=0,VALUE(K261),IF(L261="ЭТАЖ НЕ ОПРЕДЕЛЕН. ПРИНЯТ ПО ДОПУЩЕНИЮ 1",VALUE(E261),VALUE(K261)))</f>
        <v>2</v>
      </c>
      <c r="O261" s="13" t="str">
        <f t="shared" ref="O261:O324" si="31">IF(VALUE(E261)=0,L261,IF(L261="ЭТАЖ НЕ ОПРЕДЕЛЕН. ПРИНЯТ ПО ДОПУЩЕНИЮ 1",F261,L261))</f>
        <v>ЭТАЖ ЗАДАН ЧИСЛОМ</v>
      </c>
      <c r="P261" s="13" t="str">
        <f t="shared" ref="P261:P324" si="32">IF(B261="Многоквартирный дом",CONCATENATE("МКД_",O261),O261)</f>
        <v>ЭТАЖ ЗАДАН ЧИСЛОМ</v>
      </c>
      <c r="Q261" s="13" t="str">
        <f t="shared" ref="Q261:Q324" si="33">IFERROR(IF(N261&gt;0,IF(N261=VALUE(E261),"ГОТОВ","ГОТОВ_ИЗМЕНЕН"),"НЕ ГОТОВ"),"НЕ ГОТОВ")</f>
        <v>ГОТОВ_ИЗМЕНЕН</v>
      </c>
      <c r="R261" s="13">
        <f>IFERROR(VLOOKUP(P261,Лист1!A$1:B$20,2,FALSE),0)</f>
        <v>784</v>
      </c>
      <c r="S261" s="13">
        <f t="shared" ref="S261:S324" si="34">VALUE(E261)</f>
        <v>0</v>
      </c>
    </row>
    <row r="262" spans="1:19" x14ac:dyDescent="0.25">
      <c r="A262" s="24" t="s">
        <v>1361</v>
      </c>
      <c r="B262" s="4" t="s">
        <v>1059</v>
      </c>
      <c r="C262" s="25" t="s">
        <v>5</v>
      </c>
      <c r="G262" s="25" t="s">
        <v>1086</v>
      </c>
      <c r="H262" s="24" t="s">
        <v>1061</v>
      </c>
      <c r="I262" s="3" t="str">
        <f>IFERROR(VLOOKUP(C262,'Справочник соответствий'!A$2:D$2981,2,FALSE),IF(VALUE(C262)=0,1,VLOOKUP(C262,'Справочник соответствий'!A$2:D$2981,2,FALSE)))</f>
        <v>1</v>
      </c>
      <c r="J262" s="3">
        <f>IFERROR(VLOOKUP(D262,'Справочник соответствий'!A$2:D$2981,2,FALSE),IF(VALUE(D262)=0,0,VLOOKUP(D262,'Справочник соответствий'!A$2:D$2981,2,FALSE)))</f>
        <v>0</v>
      </c>
      <c r="K262" s="3" t="str">
        <f t="shared" si="28"/>
        <v>1</v>
      </c>
      <c r="L262" s="13" t="str">
        <f>IFERROR(VLOOKUP(C262,'Справочник соответствий'!A$2:D$2981,3,FALSE),IF(VALUE(C262)=0,"ЭТАЖ НЕ ОПРЕДЕЛЕН. ПРИНЯТ ПО ДОПУЩЕНИЮ 1",VLOOKUP(C262,'Справочник соответствий'!A$2:D$2981,3,FALSE)))</f>
        <v>ЭТАЖ ЗАДАН ЧИСЛОМ</v>
      </c>
      <c r="M262" s="13" t="b">
        <f t="shared" si="29"/>
        <v>0</v>
      </c>
      <c r="N262" s="13">
        <f t="shared" si="30"/>
        <v>1</v>
      </c>
      <c r="O262" s="13" t="str">
        <f t="shared" si="31"/>
        <v>ЭТАЖ ЗАДАН ЧИСЛОМ</v>
      </c>
      <c r="P262" s="13" t="str">
        <f t="shared" si="32"/>
        <v>ЭТАЖ ЗАДАН ЧИСЛОМ</v>
      </c>
      <c r="Q262" s="13" t="str">
        <f t="shared" si="33"/>
        <v>ГОТОВ_ИЗМЕНЕН</v>
      </c>
      <c r="R262" s="13">
        <f>IFERROR(VLOOKUP(P262,Лист1!A$1:B$20,2,FALSE),0)</f>
        <v>784</v>
      </c>
      <c r="S262" s="13">
        <f t="shared" si="34"/>
        <v>0</v>
      </c>
    </row>
    <row r="263" spans="1:19" x14ac:dyDescent="0.25">
      <c r="A263" s="24" t="s">
        <v>1362</v>
      </c>
      <c r="B263" s="4" t="s">
        <v>1059</v>
      </c>
      <c r="C263" s="25" t="s">
        <v>5</v>
      </c>
      <c r="G263" s="25" t="s">
        <v>1080</v>
      </c>
      <c r="H263" s="24" t="s">
        <v>1061</v>
      </c>
      <c r="I263" s="3" t="str">
        <f>IFERROR(VLOOKUP(C263,'Справочник соответствий'!A$2:D$2981,2,FALSE),IF(VALUE(C263)=0,1,VLOOKUP(C263,'Справочник соответствий'!A$2:D$2981,2,FALSE)))</f>
        <v>1</v>
      </c>
      <c r="J263" s="3">
        <f>IFERROR(VLOOKUP(D263,'Справочник соответствий'!A$2:D$2981,2,FALSE),IF(VALUE(D263)=0,0,VLOOKUP(D263,'Справочник соответствий'!A$2:D$2981,2,FALSE)))</f>
        <v>0</v>
      </c>
      <c r="K263" s="3" t="str">
        <f t="shared" si="28"/>
        <v>1</v>
      </c>
      <c r="L263" s="13" t="str">
        <f>IFERROR(VLOOKUP(C263,'Справочник соответствий'!A$2:D$2981,3,FALSE),IF(VALUE(C263)=0,"ЭТАЖ НЕ ОПРЕДЕЛЕН. ПРИНЯТ ПО ДОПУЩЕНИЮ 1",VLOOKUP(C263,'Справочник соответствий'!A$2:D$2981,3,FALSE)))</f>
        <v>ЭТАЖ ЗАДАН ЧИСЛОМ</v>
      </c>
      <c r="M263" s="13" t="b">
        <f t="shared" si="29"/>
        <v>0</v>
      </c>
      <c r="N263" s="13">
        <f t="shared" si="30"/>
        <v>1</v>
      </c>
      <c r="O263" s="13" t="str">
        <f t="shared" si="31"/>
        <v>ЭТАЖ ЗАДАН ЧИСЛОМ</v>
      </c>
      <c r="P263" s="13" t="str">
        <f t="shared" si="32"/>
        <v>ЭТАЖ ЗАДАН ЧИСЛОМ</v>
      </c>
      <c r="Q263" s="13" t="str">
        <f t="shared" si="33"/>
        <v>ГОТОВ_ИЗМЕНЕН</v>
      </c>
      <c r="R263" s="13">
        <f>IFERROR(VLOOKUP(P263,Лист1!A$1:B$20,2,FALSE),0)</f>
        <v>784</v>
      </c>
      <c r="S263" s="13">
        <f t="shared" si="34"/>
        <v>0</v>
      </c>
    </row>
    <row r="264" spans="1:19" x14ac:dyDescent="0.25">
      <c r="A264" s="24" t="s">
        <v>1363</v>
      </c>
      <c r="B264" s="4" t="s">
        <v>1059</v>
      </c>
      <c r="C264" s="25" t="s">
        <v>5</v>
      </c>
      <c r="G264" s="25" t="s">
        <v>1080</v>
      </c>
      <c r="H264" s="24" t="s">
        <v>1061</v>
      </c>
      <c r="I264" s="3" t="str">
        <f>IFERROR(VLOOKUP(C264,'Справочник соответствий'!A$2:D$2981,2,FALSE),IF(VALUE(C264)=0,1,VLOOKUP(C264,'Справочник соответствий'!A$2:D$2981,2,FALSE)))</f>
        <v>1</v>
      </c>
      <c r="J264" s="3">
        <f>IFERROR(VLOOKUP(D264,'Справочник соответствий'!A$2:D$2981,2,FALSE),IF(VALUE(D264)=0,0,VLOOKUP(D264,'Справочник соответствий'!A$2:D$2981,2,FALSE)))</f>
        <v>0</v>
      </c>
      <c r="K264" s="3" t="str">
        <f t="shared" si="28"/>
        <v>1</v>
      </c>
      <c r="L264" s="13" t="str">
        <f>IFERROR(VLOOKUP(C264,'Справочник соответствий'!A$2:D$2981,3,FALSE),IF(VALUE(C264)=0,"ЭТАЖ НЕ ОПРЕДЕЛЕН. ПРИНЯТ ПО ДОПУЩЕНИЮ 1",VLOOKUP(C264,'Справочник соответствий'!A$2:D$2981,3,FALSE)))</f>
        <v>ЭТАЖ ЗАДАН ЧИСЛОМ</v>
      </c>
      <c r="M264" s="13" t="b">
        <f t="shared" si="29"/>
        <v>0</v>
      </c>
      <c r="N264" s="13">
        <f t="shared" si="30"/>
        <v>1</v>
      </c>
      <c r="O264" s="13" t="str">
        <f t="shared" si="31"/>
        <v>ЭТАЖ ЗАДАН ЧИСЛОМ</v>
      </c>
      <c r="P264" s="13" t="str">
        <f t="shared" si="32"/>
        <v>ЭТАЖ ЗАДАН ЧИСЛОМ</v>
      </c>
      <c r="Q264" s="13" t="str">
        <f t="shared" si="33"/>
        <v>ГОТОВ_ИЗМЕНЕН</v>
      </c>
      <c r="R264" s="13">
        <f>IFERROR(VLOOKUP(P264,Лист1!A$1:B$20,2,FALSE),0)</f>
        <v>784</v>
      </c>
      <c r="S264" s="13">
        <f t="shared" si="34"/>
        <v>0</v>
      </c>
    </row>
    <row r="265" spans="1:19" x14ac:dyDescent="0.25">
      <c r="A265" s="24" t="s">
        <v>1364</v>
      </c>
      <c r="B265" s="4" t="s">
        <v>1059</v>
      </c>
      <c r="C265" s="25" t="s">
        <v>5</v>
      </c>
      <c r="G265" s="25" t="s">
        <v>1080</v>
      </c>
      <c r="H265" s="24" t="s">
        <v>1061</v>
      </c>
      <c r="I265" s="3" t="str">
        <f>IFERROR(VLOOKUP(C265,'Справочник соответствий'!A$2:D$2981,2,FALSE),IF(VALUE(C265)=0,1,VLOOKUP(C265,'Справочник соответствий'!A$2:D$2981,2,FALSE)))</f>
        <v>1</v>
      </c>
      <c r="J265" s="3">
        <f>IFERROR(VLOOKUP(D265,'Справочник соответствий'!A$2:D$2981,2,FALSE),IF(VALUE(D265)=0,0,VLOOKUP(D265,'Справочник соответствий'!A$2:D$2981,2,FALSE)))</f>
        <v>0</v>
      </c>
      <c r="K265" s="3" t="str">
        <f t="shared" si="28"/>
        <v>1</v>
      </c>
      <c r="L265" s="13" t="str">
        <f>IFERROR(VLOOKUP(C265,'Справочник соответствий'!A$2:D$2981,3,FALSE),IF(VALUE(C265)=0,"ЭТАЖ НЕ ОПРЕДЕЛЕН. ПРИНЯТ ПО ДОПУЩЕНИЮ 1",VLOOKUP(C265,'Справочник соответствий'!A$2:D$2981,3,FALSE)))</f>
        <v>ЭТАЖ ЗАДАН ЧИСЛОМ</v>
      </c>
      <c r="M265" s="13" t="b">
        <f t="shared" si="29"/>
        <v>0</v>
      </c>
      <c r="N265" s="13">
        <f t="shared" si="30"/>
        <v>1</v>
      </c>
      <c r="O265" s="13" t="str">
        <f t="shared" si="31"/>
        <v>ЭТАЖ ЗАДАН ЧИСЛОМ</v>
      </c>
      <c r="P265" s="13" t="str">
        <f t="shared" si="32"/>
        <v>ЭТАЖ ЗАДАН ЧИСЛОМ</v>
      </c>
      <c r="Q265" s="13" t="str">
        <f t="shared" si="33"/>
        <v>ГОТОВ_ИЗМЕНЕН</v>
      </c>
      <c r="R265" s="13">
        <f>IFERROR(VLOOKUP(P265,Лист1!A$1:B$20,2,FALSE),0)</f>
        <v>784</v>
      </c>
      <c r="S265" s="13">
        <f t="shared" si="34"/>
        <v>0</v>
      </c>
    </row>
    <row r="266" spans="1:19" x14ac:dyDescent="0.25">
      <c r="A266" s="24" t="s">
        <v>1365</v>
      </c>
      <c r="B266" s="4" t="s">
        <v>1059</v>
      </c>
      <c r="C266" s="25" t="s">
        <v>5</v>
      </c>
      <c r="G266" s="25" t="s">
        <v>1080</v>
      </c>
      <c r="H266" s="24" t="s">
        <v>1061</v>
      </c>
      <c r="I266" s="3" t="str">
        <f>IFERROR(VLOOKUP(C266,'Справочник соответствий'!A$2:D$2981,2,FALSE),IF(VALUE(C266)=0,1,VLOOKUP(C266,'Справочник соответствий'!A$2:D$2981,2,FALSE)))</f>
        <v>1</v>
      </c>
      <c r="J266" s="3">
        <f>IFERROR(VLOOKUP(D266,'Справочник соответствий'!A$2:D$2981,2,FALSE),IF(VALUE(D266)=0,0,VLOOKUP(D266,'Справочник соответствий'!A$2:D$2981,2,FALSE)))</f>
        <v>0</v>
      </c>
      <c r="K266" s="3" t="str">
        <f t="shared" si="28"/>
        <v>1</v>
      </c>
      <c r="L266" s="13" t="str">
        <f>IFERROR(VLOOKUP(C266,'Справочник соответствий'!A$2:D$2981,3,FALSE),IF(VALUE(C266)=0,"ЭТАЖ НЕ ОПРЕДЕЛЕН. ПРИНЯТ ПО ДОПУЩЕНИЮ 1",VLOOKUP(C266,'Справочник соответствий'!A$2:D$2981,3,FALSE)))</f>
        <v>ЭТАЖ ЗАДАН ЧИСЛОМ</v>
      </c>
      <c r="M266" s="13" t="b">
        <f t="shared" si="29"/>
        <v>0</v>
      </c>
      <c r="N266" s="13">
        <f t="shared" si="30"/>
        <v>1</v>
      </c>
      <c r="O266" s="13" t="str">
        <f t="shared" si="31"/>
        <v>ЭТАЖ ЗАДАН ЧИСЛОМ</v>
      </c>
      <c r="P266" s="13" t="str">
        <f t="shared" si="32"/>
        <v>ЭТАЖ ЗАДАН ЧИСЛОМ</v>
      </c>
      <c r="Q266" s="13" t="str">
        <f t="shared" si="33"/>
        <v>ГОТОВ_ИЗМЕНЕН</v>
      </c>
      <c r="R266" s="13">
        <f>IFERROR(VLOOKUP(P266,Лист1!A$1:B$20,2,FALSE),0)</f>
        <v>784</v>
      </c>
      <c r="S266" s="13">
        <f t="shared" si="34"/>
        <v>0</v>
      </c>
    </row>
    <row r="267" spans="1:19" x14ac:dyDescent="0.25">
      <c r="A267" s="24" t="s">
        <v>1366</v>
      </c>
      <c r="B267" s="4" t="s">
        <v>1059</v>
      </c>
      <c r="C267" s="25" t="s">
        <v>7</v>
      </c>
      <c r="G267" s="25" t="s">
        <v>1080</v>
      </c>
      <c r="H267" s="24" t="s">
        <v>1061</v>
      </c>
      <c r="I267" s="3" t="str">
        <f>IFERROR(VLOOKUP(C267,'Справочник соответствий'!A$2:D$2981,2,FALSE),IF(VALUE(C267)=0,1,VLOOKUP(C267,'Справочник соответствий'!A$2:D$2981,2,FALSE)))</f>
        <v>2</v>
      </c>
      <c r="J267" s="3">
        <f>IFERROR(VLOOKUP(D267,'Справочник соответствий'!A$2:D$2981,2,FALSE),IF(VALUE(D267)=0,0,VLOOKUP(D267,'Справочник соответствий'!A$2:D$2981,2,FALSE)))</f>
        <v>0</v>
      </c>
      <c r="K267" s="3" t="str">
        <f t="shared" si="28"/>
        <v>2</v>
      </c>
      <c r="L267" s="13" t="str">
        <f>IFERROR(VLOOKUP(C267,'Справочник соответствий'!A$2:D$2981,3,FALSE),IF(VALUE(C267)=0,"ЭТАЖ НЕ ОПРЕДЕЛЕН. ПРИНЯТ ПО ДОПУЩЕНИЮ 1",VLOOKUP(C267,'Справочник соответствий'!A$2:D$2981,3,FALSE)))</f>
        <v>ЭТАЖ ЗАДАН ЧИСЛОМ</v>
      </c>
      <c r="M267" s="13" t="b">
        <f t="shared" si="29"/>
        <v>0</v>
      </c>
      <c r="N267" s="13">
        <f t="shared" si="30"/>
        <v>2</v>
      </c>
      <c r="O267" s="13" t="str">
        <f t="shared" si="31"/>
        <v>ЭТАЖ ЗАДАН ЧИСЛОМ</v>
      </c>
      <c r="P267" s="13" t="str">
        <f t="shared" si="32"/>
        <v>ЭТАЖ ЗАДАН ЧИСЛОМ</v>
      </c>
      <c r="Q267" s="13" t="str">
        <f t="shared" si="33"/>
        <v>ГОТОВ_ИЗМЕНЕН</v>
      </c>
      <c r="R267" s="13">
        <f>IFERROR(VLOOKUP(P267,Лист1!A$1:B$20,2,FALSE),0)</f>
        <v>784</v>
      </c>
      <c r="S267" s="13">
        <f t="shared" si="34"/>
        <v>0</v>
      </c>
    </row>
    <row r="268" spans="1:19" x14ac:dyDescent="0.25">
      <c r="A268" s="24" t="s">
        <v>1367</v>
      </c>
      <c r="B268" s="4" t="s">
        <v>1059</v>
      </c>
      <c r="C268" s="25" t="s">
        <v>5</v>
      </c>
      <c r="G268" s="25" t="s">
        <v>1089</v>
      </c>
      <c r="H268" s="24" t="s">
        <v>1061</v>
      </c>
      <c r="I268" s="3" t="str">
        <f>IFERROR(VLOOKUP(C268,'Справочник соответствий'!A$2:D$2981,2,FALSE),IF(VALUE(C268)=0,1,VLOOKUP(C268,'Справочник соответствий'!A$2:D$2981,2,FALSE)))</f>
        <v>1</v>
      </c>
      <c r="J268" s="3">
        <f>IFERROR(VLOOKUP(D268,'Справочник соответствий'!A$2:D$2981,2,FALSE),IF(VALUE(D268)=0,0,VLOOKUP(D268,'Справочник соответствий'!A$2:D$2981,2,FALSE)))</f>
        <v>0</v>
      </c>
      <c r="K268" s="3" t="str">
        <f t="shared" si="28"/>
        <v>1</v>
      </c>
      <c r="L268" s="13" t="str">
        <f>IFERROR(VLOOKUP(C268,'Справочник соответствий'!A$2:D$2981,3,FALSE),IF(VALUE(C268)=0,"ЭТАЖ НЕ ОПРЕДЕЛЕН. ПРИНЯТ ПО ДОПУЩЕНИЮ 1",VLOOKUP(C268,'Справочник соответствий'!A$2:D$2981,3,FALSE)))</f>
        <v>ЭТАЖ ЗАДАН ЧИСЛОМ</v>
      </c>
      <c r="M268" s="13" t="b">
        <f t="shared" si="29"/>
        <v>0</v>
      </c>
      <c r="N268" s="13">
        <f t="shared" si="30"/>
        <v>1</v>
      </c>
      <c r="O268" s="13" t="str">
        <f t="shared" si="31"/>
        <v>ЭТАЖ ЗАДАН ЧИСЛОМ</v>
      </c>
      <c r="P268" s="13" t="str">
        <f t="shared" si="32"/>
        <v>ЭТАЖ ЗАДАН ЧИСЛОМ</v>
      </c>
      <c r="Q268" s="13" t="str">
        <f t="shared" si="33"/>
        <v>ГОТОВ_ИЗМЕНЕН</v>
      </c>
      <c r="R268" s="13">
        <f>IFERROR(VLOOKUP(P268,Лист1!A$1:B$20,2,FALSE),0)</f>
        <v>784</v>
      </c>
      <c r="S268" s="13">
        <f t="shared" si="34"/>
        <v>0</v>
      </c>
    </row>
    <row r="269" spans="1:19" x14ac:dyDescent="0.25">
      <c r="A269" s="24" t="s">
        <v>1368</v>
      </c>
      <c r="B269" s="4" t="s">
        <v>1059</v>
      </c>
      <c r="C269" s="25" t="s">
        <v>5</v>
      </c>
      <c r="G269" s="25" t="s">
        <v>1077</v>
      </c>
      <c r="H269" s="24" t="s">
        <v>1061</v>
      </c>
      <c r="I269" s="3" t="str">
        <f>IFERROR(VLOOKUP(C269,'Справочник соответствий'!A$2:D$2981,2,FALSE),IF(VALUE(C269)=0,1,VLOOKUP(C269,'Справочник соответствий'!A$2:D$2981,2,FALSE)))</f>
        <v>1</v>
      </c>
      <c r="J269" s="3">
        <f>IFERROR(VLOOKUP(D269,'Справочник соответствий'!A$2:D$2981,2,FALSE),IF(VALUE(D269)=0,0,VLOOKUP(D269,'Справочник соответствий'!A$2:D$2981,2,FALSE)))</f>
        <v>0</v>
      </c>
      <c r="K269" s="3" t="str">
        <f t="shared" si="28"/>
        <v>1</v>
      </c>
      <c r="L269" s="13" t="str">
        <f>IFERROR(VLOOKUP(C269,'Справочник соответствий'!A$2:D$2981,3,FALSE),IF(VALUE(C269)=0,"ЭТАЖ НЕ ОПРЕДЕЛЕН. ПРИНЯТ ПО ДОПУЩЕНИЮ 1",VLOOKUP(C269,'Справочник соответствий'!A$2:D$2981,3,FALSE)))</f>
        <v>ЭТАЖ ЗАДАН ЧИСЛОМ</v>
      </c>
      <c r="M269" s="13" t="b">
        <f t="shared" si="29"/>
        <v>0</v>
      </c>
      <c r="N269" s="13">
        <f t="shared" si="30"/>
        <v>1</v>
      </c>
      <c r="O269" s="13" t="str">
        <f t="shared" si="31"/>
        <v>ЭТАЖ ЗАДАН ЧИСЛОМ</v>
      </c>
      <c r="P269" s="13" t="str">
        <f t="shared" si="32"/>
        <v>ЭТАЖ ЗАДАН ЧИСЛОМ</v>
      </c>
      <c r="Q269" s="13" t="str">
        <f t="shared" si="33"/>
        <v>ГОТОВ_ИЗМЕНЕН</v>
      </c>
      <c r="R269" s="13">
        <f>IFERROR(VLOOKUP(P269,Лист1!A$1:B$20,2,FALSE),0)</f>
        <v>784</v>
      </c>
      <c r="S269" s="13">
        <f t="shared" si="34"/>
        <v>0</v>
      </c>
    </row>
    <row r="270" spans="1:19" x14ac:dyDescent="0.25">
      <c r="A270" s="24" t="s">
        <v>1369</v>
      </c>
      <c r="B270" s="4" t="s">
        <v>1059</v>
      </c>
      <c r="C270" s="25" t="s">
        <v>5</v>
      </c>
      <c r="G270" s="25" t="s">
        <v>1077</v>
      </c>
      <c r="H270" s="24" t="s">
        <v>1061</v>
      </c>
      <c r="I270" s="3" t="str">
        <f>IFERROR(VLOOKUP(C270,'Справочник соответствий'!A$2:D$2981,2,FALSE),IF(VALUE(C270)=0,1,VLOOKUP(C270,'Справочник соответствий'!A$2:D$2981,2,FALSE)))</f>
        <v>1</v>
      </c>
      <c r="J270" s="3">
        <f>IFERROR(VLOOKUP(D270,'Справочник соответствий'!A$2:D$2981,2,FALSE),IF(VALUE(D270)=0,0,VLOOKUP(D270,'Справочник соответствий'!A$2:D$2981,2,FALSE)))</f>
        <v>0</v>
      </c>
      <c r="K270" s="3" t="str">
        <f t="shared" si="28"/>
        <v>1</v>
      </c>
      <c r="L270" s="13" t="str">
        <f>IFERROR(VLOOKUP(C270,'Справочник соответствий'!A$2:D$2981,3,FALSE),IF(VALUE(C270)=0,"ЭТАЖ НЕ ОПРЕДЕЛЕН. ПРИНЯТ ПО ДОПУЩЕНИЮ 1",VLOOKUP(C270,'Справочник соответствий'!A$2:D$2981,3,FALSE)))</f>
        <v>ЭТАЖ ЗАДАН ЧИСЛОМ</v>
      </c>
      <c r="M270" s="13" t="b">
        <f t="shared" si="29"/>
        <v>0</v>
      </c>
      <c r="N270" s="13">
        <f t="shared" si="30"/>
        <v>1</v>
      </c>
      <c r="O270" s="13" t="str">
        <f t="shared" si="31"/>
        <v>ЭТАЖ ЗАДАН ЧИСЛОМ</v>
      </c>
      <c r="P270" s="13" t="str">
        <f t="shared" si="32"/>
        <v>ЭТАЖ ЗАДАН ЧИСЛОМ</v>
      </c>
      <c r="Q270" s="13" t="str">
        <f t="shared" si="33"/>
        <v>ГОТОВ_ИЗМЕНЕН</v>
      </c>
      <c r="R270" s="13">
        <f>IFERROR(VLOOKUP(P270,Лист1!A$1:B$20,2,FALSE),0)</f>
        <v>784</v>
      </c>
      <c r="S270" s="13">
        <f t="shared" si="34"/>
        <v>0</v>
      </c>
    </row>
    <row r="271" spans="1:19" x14ac:dyDescent="0.25">
      <c r="A271" s="24" t="s">
        <v>1370</v>
      </c>
      <c r="B271" s="4" t="s">
        <v>1059</v>
      </c>
      <c r="C271" s="25" t="s">
        <v>7</v>
      </c>
      <c r="G271" s="25" t="s">
        <v>1077</v>
      </c>
      <c r="H271" s="24" t="s">
        <v>1061</v>
      </c>
      <c r="I271" s="3" t="str">
        <f>IFERROR(VLOOKUP(C271,'Справочник соответствий'!A$2:D$2981,2,FALSE),IF(VALUE(C271)=0,1,VLOOKUP(C271,'Справочник соответствий'!A$2:D$2981,2,FALSE)))</f>
        <v>2</v>
      </c>
      <c r="J271" s="3">
        <f>IFERROR(VLOOKUP(D271,'Справочник соответствий'!A$2:D$2981,2,FALSE),IF(VALUE(D271)=0,0,VLOOKUP(D271,'Справочник соответствий'!A$2:D$2981,2,FALSE)))</f>
        <v>0</v>
      </c>
      <c r="K271" s="3" t="str">
        <f t="shared" si="28"/>
        <v>2</v>
      </c>
      <c r="L271" s="13" t="str">
        <f>IFERROR(VLOOKUP(C271,'Справочник соответствий'!A$2:D$2981,3,FALSE),IF(VALUE(C271)=0,"ЭТАЖ НЕ ОПРЕДЕЛЕН. ПРИНЯТ ПО ДОПУЩЕНИЮ 1",VLOOKUP(C271,'Справочник соответствий'!A$2:D$2981,3,FALSE)))</f>
        <v>ЭТАЖ ЗАДАН ЧИСЛОМ</v>
      </c>
      <c r="M271" s="13" t="b">
        <f t="shared" si="29"/>
        <v>0</v>
      </c>
      <c r="N271" s="13">
        <f t="shared" si="30"/>
        <v>2</v>
      </c>
      <c r="O271" s="13" t="str">
        <f t="shared" si="31"/>
        <v>ЭТАЖ ЗАДАН ЧИСЛОМ</v>
      </c>
      <c r="P271" s="13" t="str">
        <f t="shared" si="32"/>
        <v>ЭТАЖ ЗАДАН ЧИСЛОМ</v>
      </c>
      <c r="Q271" s="13" t="str">
        <f t="shared" si="33"/>
        <v>ГОТОВ_ИЗМЕНЕН</v>
      </c>
      <c r="R271" s="13">
        <f>IFERROR(VLOOKUP(P271,Лист1!A$1:B$20,2,FALSE),0)</f>
        <v>784</v>
      </c>
      <c r="S271" s="13">
        <f t="shared" si="34"/>
        <v>0</v>
      </c>
    </row>
    <row r="272" spans="1:19" x14ac:dyDescent="0.25">
      <c r="A272" s="24" t="s">
        <v>1371</v>
      </c>
      <c r="B272" s="4" t="s">
        <v>1063</v>
      </c>
      <c r="G272" s="25" t="s">
        <v>1086</v>
      </c>
      <c r="H272" s="24" t="s">
        <v>1061</v>
      </c>
      <c r="I272" s="3">
        <f>IFERROR(VLOOKUP(C272,'Справочник соответствий'!A$2:D$2981,2,FALSE),IF(VALUE(C272)=0,1,VLOOKUP(C272,'Справочник соответствий'!A$2:D$2981,2,FALSE)))</f>
        <v>1</v>
      </c>
      <c r="J272" s="3">
        <f>IFERROR(VLOOKUP(D272,'Справочник соответствий'!A$2:D$2981,2,FALSE),IF(VALUE(D272)=0,0,VLOOKUP(D272,'Справочник соответствий'!A$2:D$2981,2,FALSE)))</f>
        <v>0</v>
      </c>
      <c r="K272" s="3">
        <f t="shared" si="28"/>
        <v>1</v>
      </c>
      <c r="L272" s="13" t="str">
        <f>IFERROR(VLOOKUP(C272,'Справочник соответствий'!A$2:D$2981,3,FALSE),IF(VALUE(C272)=0,"ЭТАЖ НЕ ОПРЕДЕЛЕН. ПРИНЯТ ПО ДОПУЩЕНИЮ 1",VLOOKUP(C272,'Справочник соответствий'!A$2:D$2981,3,FALSE)))</f>
        <v>ЭТАЖ НЕ ОПРЕДЕЛЕН. ПРИНЯТ ПО ДОПУЩЕНИЮ 1</v>
      </c>
      <c r="M272" s="13" t="b">
        <f t="shared" si="29"/>
        <v>0</v>
      </c>
      <c r="N272" s="13">
        <f t="shared" si="30"/>
        <v>1</v>
      </c>
      <c r="O272" s="13" t="str">
        <f t="shared" si="31"/>
        <v>ЭТАЖ НЕ ОПРЕДЕЛЕН. ПРИНЯТ ПО ДОПУЩЕНИЮ 1</v>
      </c>
      <c r="P272" s="13" t="str">
        <f t="shared" si="32"/>
        <v>ЭТАЖ НЕ ОПРЕДЕЛЕН. ПРИНЯТ ПО ДОПУЩЕНИЮ 1</v>
      </c>
      <c r="Q272" s="13" t="str">
        <f t="shared" si="33"/>
        <v>ГОТОВ_ИЗМЕНЕН</v>
      </c>
      <c r="R272" s="13">
        <f>IFERROR(VLOOKUP(P272,Лист1!A$1:B$20,2,FALSE),0)</f>
        <v>788</v>
      </c>
      <c r="S272" s="13">
        <f t="shared" si="34"/>
        <v>0</v>
      </c>
    </row>
    <row r="273" spans="1:19" x14ac:dyDescent="0.25">
      <c r="A273" s="24" t="s">
        <v>1372</v>
      </c>
      <c r="B273" s="4" t="s">
        <v>1059</v>
      </c>
      <c r="C273" s="25" t="s">
        <v>5</v>
      </c>
      <c r="G273" s="25" t="s">
        <v>1086</v>
      </c>
      <c r="H273" s="24" t="s">
        <v>1061</v>
      </c>
      <c r="I273" s="3" t="str">
        <f>IFERROR(VLOOKUP(C273,'Справочник соответствий'!A$2:D$2981,2,FALSE),IF(VALUE(C273)=0,1,VLOOKUP(C273,'Справочник соответствий'!A$2:D$2981,2,FALSE)))</f>
        <v>1</v>
      </c>
      <c r="J273" s="3">
        <f>IFERROR(VLOOKUP(D273,'Справочник соответствий'!A$2:D$2981,2,FALSE),IF(VALUE(D273)=0,0,VLOOKUP(D273,'Справочник соответствий'!A$2:D$2981,2,FALSE)))</f>
        <v>0</v>
      </c>
      <c r="K273" s="3" t="str">
        <f t="shared" si="28"/>
        <v>1</v>
      </c>
      <c r="L273" s="13" t="str">
        <f>IFERROR(VLOOKUP(C273,'Справочник соответствий'!A$2:D$2981,3,FALSE),IF(VALUE(C273)=0,"ЭТАЖ НЕ ОПРЕДЕЛЕН. ПРИНЯТ ПО ДОПУЩЕНИЮ 1",VLOOKUP(C273,'Справочник соответствий'!A$2:D$2981,3,FALSE)))</f>
        <v>ЭТАЖ ЗАДАН ЧИСЛОМ</v>
      </c>
      <c r="M273" s="13" t="b">
        <f t="shared" si="29"/>
        <v>0</v>
      </c>
      <c r="N273" s="13">
        <f t="shared" si="30"/>
        <v>1</v>
      </c>
      <c r="O273" s="13" t="str">
        <f t="shared" si="31"/>
        <v>ЭТАЖ ЗАДАН ЧИСЛОМ</v>
      </c>
      <c r="P273" s="13" t="str">
        <f t="shared" si="32"/>
        <v>ЭТАЖ ЗАДАН ЧИСЛОМ</v>
      </c>
      <c r="Q273" s="13" t="str">
        <f t="shared" si="33"/>
        <v>ГОТОВ_ИЗМЕНЕН</v>
      </c>
      <c r="R273" s="13">
        <f>IFERROR(VLOOKUP(P273,Лист1!A$1:B$20,2,FALSE),0)</f>
        <v>784</v>
      </c>
      <c r="S273" s="13">
        <f t="shared" si="34"/>
        <v>0</v>
      </c>
    </row>
    <row r="274" spans="1:19" x14ac:dyDescent="0.25">
      <c r="A274" s="24" t="s">
        <v>1373</v>
      </c>
      <c r="B274" s="4" t="s">
        <v>1059</v>
      </c>
      <c r="C274" s="25" t="s">
        <v>5</v>
      </c>
      <c r="G274" s="25" t="s">
        <v>1086</v>
      </c>
      <c r="H274" s="24" t="s">
        <v>1061</v>
      </c>
      <c r="I274" s="3" t="str">
        <f>IFERROR(VLOOKUP(C274,'Справочник соответствий'!A$2:D$2981,2,FALSE),IF(VALUE(C274)=0,1,VLOOKUP(C274,'Справочник соответствий'!A$2:D$2981,2,FALSE)))</f>
        <v>1</v>
      </c>
      <c r="J274" s="3">
        <f>IFERROR(VLOOKUP(D274,'Справочник соответствий'!A$2:D$2981,2,FALSE),IF(VALUE(D274)=0,0,VLOOKUP(D274,'Справочник соответствий'!A$2:D$2981,2,FALSE)))</f>
        <v>0</v>
      </c>
      <c r="K274" s="3" t="str">
        <f t="shared" si="28"/>
        <v>1</v>
      </c>
      <c r="L274" s="13" t="str">
        <f>IFERROR(VLOOKUP(C274,'Справочник соответствий'!A$2:D$2981,3,FALSE),IF(VALUE(C274)=0,"ЭТАЖ НЕ ОПРЕДЕЛЕН. ПРИНЯТ ПО ДОПУЩЕНИЮ 1",VLOOKUP(C274,'Справочник соответствий'!A$2:D$2981,3,FALSE)))</f>
        <v>ЭТАЖ ЗАДАН ЧИСЛОМ</v>
      </c>
      <c r="M274" s="13" t="b">
        <f t="shared" si="29"/>
        <v>0</v>
      </c>
      <c r="N274" s="13">
        <f t="shared" si="30"/>
        <v>1</v>
      </c>
      <c r="O274" s="13" t="str">
        <f t="shared" si="31"/>
        <v>ЭТАЖ ЗАДАН ЧИСЛОМ</v>
      </c>
      <c r="P274" s="13" t="str">
        <f t="shared" si="32"/>
        <v>ЭТАЖ ЗАДАН ЧИСЛОМ</v>
      </c>
      <c r="Q274" s="13" t="str">
        <f t="shared" si="33"/>
        <v>ГОТОВ_ИЗМЕНЕН</v>
      </c>
      <c r="R274" s="13">
        <f>IFERROR(VLOOKUP(P274,Лист1!A$1:B$20,2,FALSE),0)</f>
        <v>784</v>
      </c>
      <c r="S274" s="13">
        <f t="shared" si="34"/>
        <v>0</v>
      </c>
    </row>
    <row r="275" spans="1:19" x14ac:dyDescent="0.25">
      <c r="A275" s="24" t="s">
        <v>1374</v>
      </c>
      <c r="B275" s="4" t="s">
        <v>1059</v>
      </c>
      <c r="C275" s="25" t="s">
        <v>7</v>
      </c>
      <c r="G275" s="25" t="s">
        <v>1086</v>
      </c>
      <c r="H275" s="24" t="s">
        <v>1061</v>
      </c>
      <c r="I275" s="3" t="str">
        <f>IFERROR(VLOOKUP(C275,'Справочник соответствий'!A$2:D$2981,2,FALSE),IF(VALUE(C275)=0,1,VLOOKUP(C275,'Справочник соответствий'!A$2:D$2981,2,FALSE)))</f>
        <v>2</v>
      </c>
      <c r="J275" s="3">
        <f>IFERROR(VLOOKUP(D275,'Справочник соответствий'!A$2:D$2981,2,FALSE),IF(VALUE(D275)=0,0,VLOOKUP(D275,'Справочник соответствий'!A$2:D$2981,2,FALSE)))</f>
        <v>0</v>
      </c>
      <c r="K275" s="3" t="str">
        <f t="shared" si="28"/>
        <v>2</v>
      </c>
      <c r="L275" s="13" t="str">
        <f>IFERROR(VLOOKUP(C275,'Справочник соответствий'!A$2:D$2981,3,FALSE),IF(VALUE(C275)=0,"ЭТАЖ НЕ ОПРЕДЕЛЕН. ПРИНЯТ ПО ДОПУЩЕНИЮ 1",VLOOKUP(C275,'Справочник соответствий'!A$2:D$2981,3,FALSE)))</f>
        <v>ЭТАЖ ЗАДАН ЧИСЛОМ</v>
      </c>
      <c r="M275" s="13" t="b">
        <f t="shared" si="29"/>
        <v>0</v>
      </c>
      <c r="N275" s="13">
        <f t="shared" si="30"/>
        <v>2</v>
      </c>
      <c r="O275" s="13" t="str">
        <f t="shared" si="31"/>
        <v>ЭТАЖ ЗАДАН ЧИСЛОМ</v>
      </c>
      <c r="P275" s="13" t="str">
        <f t="shared" si="32"/>
        <v>ЭТАЖ ЗАДАН ЧИСЛОМ</v>
      </c>
      <c r="Q275" s="13" t="str">
        <f t="shared" si="33"/>
        <v>ГОТОВ_ИЗМЕНЕН</v>
      </c>
      <c r="R275" s="13">
        <f>IFERROR(VLOOKUP(P275,Лист1!A$1:B$20,2,FALSE),0)</f>
        <v>784</v>
      </c>
      <c r="S275" s="13">
        <f t="shared" si="34"/>
        <v>0</v>
      </c>
    </row>
    <row r="276" spans="1:19" x14ac:dyDescent="0.25">
      <c r="A276" s="24" t="s">
        <v>1375</v>
      </c>
      <c r="B276" s="4" t="s">
        <v>1059</v>
      </c>
      <c r="C276" s="25" t="s">
        <v>5</v>
      </c>
      <c r="G276" s="25" t="s">
        <v>1150</v>
      </c>
      <c r="H276" s="24" t="s">
        <v>1061</v>
      </c>
      <c r="I276" s="3" t="str">
        <f>IFERROR(VLOOKUP(C276,'Справочник соответствий'!A$2:D$2981,2,FALSE),IF(VALUE(C276)=0,1,VLOOKUP(C276,'Справочник соответствий'!A$2:D$2981,2,FALSE)))</f>
        <v>1</v>
      </c>
      <c r="J276" s="3">
        <f>IFERROR(VLOOKUP(D276,'Справочник соответствий'!A$2:D$2981,2,FALSE),IF(VALUE(D276)=0,0,VLOOKUP(D276,'Справочник соответствий'!A$2:D$2981,2,FALSE)))</f>
        <v>0</v>
      </c>
      <c r="K276" s="3" t="str">
        <f t="shared" si="28"/>
        <v>1</v>
      </c>
      <c r="L276" s="13" t="str">
        <f>IFERROR(VLOOKUP(C276,'Справочник соответствий'!A$2:D$2981,3,FALSE),IF(VALUE(C276)=0,"ЭТАЖ НЕ ОПРЕДЕЛЕН. ПРИНЯТ ПО ДОПУЩЕНИЮ 1",VLOOKUP(C276,'Справочник соответствий'!A$2:D$2981,3,FALSE)))</f>
        <v>ЭТАЖ ЗАДАН ЧИСЛОМ</v>
      </c>
      <c r="M276" s="13" t="b">
        <f t="shared" si="29"/>
        <v>0</v>
      </c>
      <c r="N276" s="13">
        <f t="shared" si="30"/>
        <v>1</v>
      </c>
      <c r="O276" s="13" t="str">
        <f t="shared" si="31"/>
        <v>ЭТАЖ ЗАДАН ЧИСЛОМ</v>
      </c>
      <c r="P276" s="13" t="str">
        <f t="shared" si="32"/>
        <v>ЭТАЖ ЗАДАН ЧИСЛОМ</v>
      </c>
      <c r="Q276" s="13" t="str">
        <f t="shared" si="33"/>
        <v>ГОТОВ_ИЗМЕНЕН</v>
      </c>
      <c r="R276" s="13">
        <f>IFERROR(VLOOKUP(P276,Лист1!A$1:B$20,2,FALSE),0)</f>
        <v>784</v>
      </c>
      <c r="S276" s="13">
        <f t="shared" si="34"/>
        <v>0</v>
      </c>
    </row>
    <row r="277" spans="1:19" x14ac:dyDescent="0.25">
      <c r="A277" s="24" t="s">
        <v>1376</v>
      </c>
      <c r="B277" s="4" t="s">
        <v>1063</v>
      </c>
      <c r="C277" s="25" t="s">
        <v>7</v>
      </c>
      <c r="D277" s="25" t="s">
        <v>5</v>
      </c>
      <c r="G277" s="25" t="s">
        <v>1086</v>
      </c>
      <c r="H277" s="24" t="s">
        <v>1061</v>
      </c>
      <c r="I277" s="3" t="str">
        <f>IFERROR(VLOOKUP(C277,'Справочник соответствий'!A$2:D$2981,2,FALSE),IF(VALUE(C277)=0,1,VLOOKUP(C277,'Справочник соответствий'!A$2:D$2981,2,FALSE)))</f>
        <v>2</v>
      </c>
      <c r="J277" s="3" t="str">
        <f>IFERROR(VLOOKUP(D277,'Справочник соответствий'!A$2:D$2981,2,FALSE),IF(VALUE(D277)=0,0,VLOOKUP(D277,'Справочник соответствий'!A$2:D$2981,2,FALSE)))</f>
        <v>1</v>
      </c>
      <c r="K277" s="3" t="str">
        <f t="shared" si="28"/>
        <v>2</v>
      </c>
      <c r="L277" s="13" t="str">
        <f>IFERROR(VLOOKUP(C277,'Справочник соответствий'!A$2:D$2981,3,FALSE),IF(VALUE(C277)=0,"ЭТАЖ НЕ ОПРЕДЕЛЕН. ПРИНЯТ ПО ДОПУЩЕНИЮ 1",VLOOKUP(C277,'Справочник соответствий'!A$2:D$2981,3,FALSE)))</f>
        <v>ЭТАЖ ЗАДАН ЧИСЛОМ</v>
      </c>
      <c r="M277" s="13" t="b">
        <f t="shared" si="29"/>
        <v>0</v>
      </c>
      <c r="N277" s="13">
        <f t="shared" si="30"/>
        <v>2</v>
      </c>
      <c r="O277" s="13" t="str">
        <f t="shared" si="31"/>
        <v>ЭТАЖ ЗАДАН ЧИСЛОМ</v>
      </c>
      <c r="P277" s="13" t="str">
        <f t="shared" si="32"/>
        <v>ЭТАЖ ЗАДАН ЧИСЛОМ</v>
      </c>
      <c r="Q277" s="13" t="str">
        <f t="shared" si="33"/>
        <v>ГОТОВ_ИЗМЕНЕН</v>
      </c>
      <c r="R277" s="13">
        <f>IFERROR(VLOOKUP(P277,Лист1!A$1:B$20,2,FALSE),0)</f>
        <v>784</v>
      </c>
      <c r="S277" s="13">
        <f t="shared" si="34"/>
        <v>0</v>
      </c>
    </row>
    <row r="278" spans="1:19" x14ac:dyDescent="0.25">
      <c r="A278" s="24" t="s">
        <v>1377</v>
      </c>
      <c r="B278" s="4" t="s">
        <v>1059</v>
      </c>
      <c r="C278" s="25" t="s">
        <v>5</v>
      </c>
      <c r="D278" s="25" t="s">
        <v>69</v>
      </c>
      <c r="G278" s="25" t="s">
        <v>1086</v>
      </c>
      <c r="H278" s="24" t="s">
        <v>1061</v>
      </c>
      <c r="I278" s="3" t="str">
        <f>IFERROR(VLOOKUP(C278,'Справочник соответствий'!A$2:D$2981,2,FALSE),IF(VALUE(C278)=0,1,VLOOKUP(C278,'Справочник соответствий'!A$2:D$2981,2,FALSE)))</f>
        <v>1</v>
      </c>
      <c r="J278" s="3" t="str">
        <f>IFERROR(VLOOKUP(D278,'Справочник соответствий'!A$2:D$2981,2,FALSE),IF(VALUE(D278)=0,0,VLOOKUP(D278,'Справочник соответствий'!A$2:D$2981,2,FALSE)))</f>
        <v>1</v>
      </c>
      <c r="K278" s="3" t="str">
        <f t="shared" si="28"/>
        <v>1</v>
      </c>
      <c r="L278" s="13" t="str">
        <f>IFERROR(VLOOKUP(C278,'Справочник соответствий'!A$2:D$2981,3,FALSE),IF(VALUE(C278)=0,"ЭТАЖ НЕ ОПРЕДЕЛЕН. ПРИНЯТ ПО ДОПУЩЕНИЮ 1",VLOOKUP(C278,'Справочник соответствий'!A$2:D$2981,3,FALSE)))</f>
        <v>ЭТАЖ ЗАДАН ЧИСЛОМ</v>
      </c>
      <c r="M278" s="13" t="b">
        <f t="shared" si="29"/>
        <v>0</v>
      </c>
      <c r="N278" s="13">
        <f t="shared" si="30"/>
        <v>1</v>
      </c>
      <c r="O278" s="13" t="str">
        <f t="shared" si="31"/>
        <v>ЭТАЖ ЗАДАН ЧИСЛОМ</v>
      </c>
      <c r="P278" s="13" t="str">
        <f t="shared" si="32"/>
        <v>ЭТАЖ ЗАДАН ЧИСЛОМ</v>
      </c>
      <c r="Q278" s="13" t="str">
        <f t="shared" si="33"/>
        <v>ГОТОВ_ИЗМЕНЕН</v>
      </c>
      <c r="R278" s="13">
        <f>IFERROR(VLOOKUP(P278,Лист1!A$1:B$20,2,FALSE),0)</f>
        <v>784</v>
      </c>
      <c r="S278" s="13">
        <f t="shared" si="34"/>
        <v>0</v>
      </c>
    </row>
    <row r="279" spans="1:19" x14ac:dyDescent="0.25">
      <c r="A279" s="24" t="s">
        <v>1378</v>
      </c>
      <c r="B279" s="4" t="s">
        <v>1063</v>
      </c>
      <c r="C279" s="25" t="s">
        <v>5</v>
      </c>
      <c r="G279" s="25" t="s">
        <v>1086</v>
      </c>
      <c r="H279" s="24" t="s">
        <v>1061</v>
      </c>
      <c r="I279" s="3" t="str">
        <f>IFERROR(VLOOKUP(C279,'Справочник соответствий'!A$2:D$2981,2,FALSE),IF(VALUE(C279)=0,1,VLOOKUP(C279,'Справочник соответствий'!A$2:D$2981,2,FALSE)))</f>
        <v>1</v>
      </c>
      <c r="J279" s="3">
        <f>IFERROR(VLOOKUP(D279,'Справочник соответствий'!A$2:D$2981,2,FALSE),IF(VALUE(D279)=0,0,VLOOKUP(D279,'Справочник соответствий'!A$2:D$2981,2,FALSE)))</f>
        <v>0</v>
      </c>
      <c r="K279" s="3" t="str">
        <f t="shared" si="28"/>
        <v>1</v>
      </c>
      <c r="L279" s="13" t="str">
        <f>IFERROR(VLOOKUP(C279,'Справочник соответствий'!A$2:D$2981,3,FALSE),IF(VALUE(C279)=0,"ЭТАЖ НЕ ОПРЕДЕЛЕН. ПРИНЯТ ПО ДОПУЩЕНИЮ 1",VLOOKUP(C279,'Справочник соответствий'!A$2:D$2981,3,FALSE)))</f>
        <v>ЭТАЖ ЗАДАН ЧИСЛОМ</v>
      </c>
      <c r="M279" s="13" t="b">
        <f t="shared" si="29"/>
        <v>0</v>
      </c>
      <c r="N279" s="13">
        <f t="shared" si="30"/>
        <v>1</v>
      </c>
      <c r="O279" s="13" t="str">
        <f t="shared" si="31"/>
        <v>ЭТАЖ ЗАДАН ЧИСЛОМ</v>
      </c>
      <c r="P279" s="13" t="str">
        <f t="shared" si="32"/>
        <v>ЭТАЖ ЗАДАН ЧИСЛОМ</v>
      </c>
      <c r="Q279" s="13" t="str">
        <f t="shared" si="33"/>
        <v>ГОТОВ_ИЗМЕНЕН</v>
      </c>
      <c r="R279" s="13">
        <f>IFERROR(VLOOKUP(P279,Лист1!A$1:B$20,2,FALSE),0)</f>
        <v>784</v>
      </c>
      <c r="S279" s="13">
        <f t="shared" si="34"/>
        <v>0</v>
      </c>
    </row>
    <row r="280" spans="1:19" x14ac:dyDescent="0.25">
      <c r="A280" s="24" t="s">
        <v>1379</v>
      </c>
      <c r="B280" s="4" t="s">
        <v>1063</v>
      </c>
      <c r="C280" s="25" t="s">
        <v>5</v>
      </c>
      <c r="G280" s="25" t="s">
        <v>1086</v>
      </c>
      <c r="H280" s="24" t="s">
        <v>1061</v>
      </c>
      <c r="I280" s="3" t="str">
        <f>IFERROR(VLOOKUP(C280,'Справочник соответствий'!A$2:D$2981,2,FALSE),IF(VALUE(C280)=0,1,VLOOKUP(C280,'Справочник соответствий'!A$2:D$2981,2,FALSE)))</f>
        <v>1</v>
      </c>
      <c r="J280" s="3">
        <f>IFERROR(VLOOKUP(D280,'Справочник соответствий'!A$2:D$2981,2,FALSE),IF(VALUE(D280)=0,0,VLOOKUP(D280,'Справочник соответствий'!A$2:D$2981,2,FALSE)))</f>
        <v>0</v>
      </c>
      <c r="K280" s="3" t="str">
        <f t="shared" si="28"/>
        <v>1</v>
      </c>
      <c r="L280" s="13" t="str">
        <f>IFERROR(VLOOKUP(C280,'Справочник соответствий'!A$2:D$2981,3,FALSE),IF(VALUE(C280)=0,"ЭТАЖ НЕ ОПРЕДЕЛЕН. ПРИНЯТ ПО ДОПУЩЕНИЮ 1",VLOOKUP(C280,'Справочник соответствий'!A$2:D$2981,3,FALSE)))</f>
        <v>ЭТАЖ ЗАДАН ЧИСЛОМ</v>
      </c>
      <c r="M280" s="13" t="b">
        <f t="shared" si="29"/>
        <v>0</v>
      </c>
      <c r="N280" s="13">
        <f t="shared" si="30"/>
        <v>1</v>
      </c>
      <c r="O280" s="13" t="str">
        <f t="shared" si="31"/>
        <v>ЭТАЖ ЗАДАН ЧИСЛОМ</v>
      </c>
      <c r="P280" s="13" t="str">
        <f t="shared" si="32"/>
        <v>ЭТАЖ ЗАДАН ЧИСЛОМ</v>
      </c>
      <c r="Q280" s="13" t="str">
        <f t="shared" si="33"/>
        <v>ГОТОВ_ИЗМЕНЕН</v>
      </c>
      <c r="R280" s="13">
        <f>IFERROR(VLOOKUP(P280,Лист1!A$1:B$20,2,FALSE),0)</f>
        <v>784</v>
      </c>
      <c r="S280" s="13">
        <f t="shared" si="34"/>
        <v>0</v>
      </c>
    </row>
    <row r="281" spans="1:19" x14ac:dyDescent="0.25">
      <c r="A281" s="24" t="s">
        <v>1380</v>
      </c>
      <c r="B281" s="4" t="s">
        <v>1063</v>
      </c>
      <c r="G281" s="25" t="s">
        <v>1067</v>
      </c>
      <c r="H281" s="24" t="s">
        <v>1061</v>
      </c>
      <c r="I281" s="3">
        <f>IFERROR(VLOOKUP(C281,'Справочник соответствий'!A$2:D$2981,2,FALSE),IF(VALUE(C281)=0,1,VLOOKUP(C281,'Справочник соответствий'!A$2:D$2981,2,FALSE)))</f>
        <v>1</v>
      </c>
      <c r="J281" s="3">
        <f>IFERROR(VLOOKUP(D281,'Справочник соответствий'!A$2:D$2981,2,FALSE),IF(VALUE(D281)=0,0,VLOOKUP(D281,'Справочник соответствий'!A$2:D$2981,2,FALSE)))</f>
        <v>0</v>
      </c>
      <c r="K281" s="3">
        <f t="shared" si="28"/>
        <v>1</v>
      </c>
      <c r="L281" s="13" t="str">
        <f>IFERROR(VLOOKUP(C281,'Справочник соответствий'!A$2:D$2981,3,FALSE),IF(VALUE(C281)=0,"ЭТАЖ НЕ ОПРЕДЕЛЕН. ПРИНЯТ ПО ДОПУЩЕНИЮ 1",VLOOKUP(C281,'Справочник соответствий'!A$2:D$2981,3,FALSE)))</f>
        <v>ЭТАЖ НЕ ОПРЕДЕЛЕН. ПРИНЯТ ПО ДОПУЩЕНИЮ 1</v>
      </c>
      <c r="M281" s="13" t="b">
        <f t="shared" si="29"/>
        <v>0</v>
      </c>
      <c r="N281" s="13">
        <f t="shared" si="30"/>
        <v>1</v>
      </c>
      <c r="O281" s="13" t="str">
        <f t="shared" si="31"/>
        <v>ЭТАЖ НЕ ОПРЕДЕЛЕН. ПРИНЯТ ПО ДОПУЩЕНИЮ 1</v>
      </c>
      <c r="P281" s="13" t="str">
        <f t="shared" si="32"/>
        <v>ЭТАЖ НЕ ОПРЕДЕЛЕН. ПРИНЯТ ПО ДОПУЩЕНИЮ 1</v>
      </c>
      <c r="Q281" s="13" t="str">
        <f t="shared" si="33"/>
        <v>ГОТОВ_ИЗМЕНЕН</v>
      </c>
      <c r="R281" s="13">
        <f>IFERROR(VLOOKUP(P281,Лист1!A$1:B$20,2,FALSE),0)</f>
        <v>788</v>
      </c>
      <c r="S281" s="13">
        <f t="shared" si="34"/>
        <v>0</v>
      </c>
    </row>
    <row r="282" spans="1:19" x14ac:dyDescent="0.25">
      <c r="A282" s="24" t="s">
        <v>1381</v>
      </c>
      <c r="B282" s="4" t="s">
        <v>1059</v>
      </c>
      <c r="C282" s="25" t="s">
        <v>5</v>
      </c>
      <c r="G282" s="25" t="s">
        <v>1382</v>
      </c>
      <c r="H282" s="24" t="s">
        <v>1061</v>
      </c>
      <c r="I282" s="3" t="str">
        <f>IFERROR(VLOOKUP(C282,'Справочник соответствий'!A$2:D$2981,2,FALSE),IF(VALUE(C282)=0,1,VLOOKUP(C282,'Справочник соответствий'!A$2:D$2981,2,FALSE)))</f>
        <v>1</v>
      </c>
      <c r="J282" s="3">
        <f>IFERROR(VLOOKUP(D282,'Справочник соответствий'!A$2:D$2981,2,FALSE),IF(VALUE(D282)=0,0,VLOOKUP(D282,'Справочник соответствий'!A$2:D$2981,2,FALSE)))</f>
        <v>0</v>
      </c>
      <c r="K282" s="3" t="str">
        <f t="shared" si="28"/>
        <v>1</v>
      </c>
      <c r="L282" s="13" t="str">
        <f>IFERROR(VLOOKUP(C282,'Справочник соответствий'!A$2:D$2981,3,FALSE),IF(VALUE(C282)=0,"ЭТАЖ НЕ ОПРЕДЕЛЕН. ПРИНЯТ ПО ДОПУЩЕНИЮ 1",VLOOKUP(C282,'Справочник соответствий'!A$2:D$2981,3,FALSE)))</f>
        <v>ЭТАЖ ЗАДАН ЧИСЛОМ</v>
      </c>
      <c r="M282" s="13" t="b">
        <f t="shared" si="29"/>
        <v>0</v>
      </c>
      <c r="N282" s="13">
        <f t="shared" si="30"/>
        <v>1</v>
      </c>
      <c r="O282" s="13" t="str">
        <f t="shared" si="31"/>
        <v>ЭТАЖ ЗАДАН ЧИСЛОМ</v>
      </c>
      <c r="P282" s="13" t="str">
        <f t="shared" si="32"/>
        <v>ЭТАЖ ЗАДАН ЧИСЛОМ</v>
      </c>
      <c r="Q282" s="13" t="str">
        <f t="shared" si="33"/>
        <v>ГОТОВ_ИЗМЕНЕН</v>
      </c>
      <c r="R282" s="13">
        <f>IFERROR(VLOOKUP(P282,Лист1!A$1:B$20,2,FALSE),0)</f>
        <v>784</v>
      </c>
      <c r="S282" s="13">
        <f t="shared" si="34"/>
        <v>0</v>
      </c>
    </row>
    <row r="283" spans="1:19" x14ac:dyDescent="0.25">
      <c r="A283" s="24" t="s">
        <v>1383</v>
      </c>
      <c r="B283" s="4" t="s">
        <v>1063</v>
      </c>
      <c r="C283" s="25" t="s">
        <v>7</v>
      </c>
      <c r="G283" s="25" t="s">
        <v>1382</v>
      </c>
      <c r="H283" s="24" t="s">
        <v>1061</v>
      </c>
      <c r="I283" s="3" t="str">
        <f>IFERROR(VLOOKUP(C283,'Справочник соответствий'!A$2:D$2981,2,FALSE),IF(VALUE(C283)=0,1,VLOOKUP(C283,'Справочник соответствий'!A$2:D$2981,2,FALSE)))</f>
        <v>2</v>
      </c>
      <c r="J283" s="3">
        <f>IFERROR(VLOOKUP(D283,'Справочник соответствий'!A$2:D$2981,2,FALSE),IF(VALUE(D283)=0,0,VLOOKUP(D283,'Справочник соответствий'!A$2:D$2981,2,FALSE)))</f>
        <v>0</v>
      </c>
      <c r="K283" s="3" t="str">
        <f t="shared" si="28"/>
        <v>2</v>
      </c>
      <c r="L283" s="13" t="str">
        <f>IFERROR(VLOOKUP(C283,'Справочник соответствий'!A$2:D$2981,3,FALSE),IF(VALUE(C283)=0,"ЭТАЖ НЕ ОПРЕДЕЛЕН. ПРИНЯТ ПО ДОПУЩЕНИЮ 1",VLOOKUP(C283,'Справочник соответствий'!A$2:D$2981,3,FALSE)))</f>
        <v>ЭТАЖ ЗАДАН ЧИСЛОМ</v>
      </c>
      <c r="M283" s="13" t="b">
        <f t="shared" si="29"/>
        <v>0</v>
      </c>
      <c r="N283" s="13">
        <f t="shared" si="30"/>
        <v>2</v>
      </c>
      <c r="O283" s="13" t="str">
        <f t="shared" si="31"/>
        <v>ЭТАЖ ЗАДАН ЧИСЛОМ</v>
      </c>
      <c r="P283" s="13" t="str">
        <f t="shared" si="32"/>
        <v>ЭТАЖ ЗАДАН ЧИСЛОМ</v>
      </c>
      <c r="Q283" s="13" t="str">
        <f t="shared" si="33"/>
        <v>ГОТОВ_ИЗМЕНЕН</v>
      </c>
      <c r="R283" s="13">
        <f>IFERROR(VLOOKUP(P283,Лист1!A$1:B$20,2,FALSE),0)</f>
        <v>784</v>
      </c>
      <c r="S283" s="13">
        <f t="shared" si="34"/>
        <v>0</v>
      </c>
    </row>
    <row r="284" spans="1:19" x14ac:dyDescent="0.25">
      <c r="A284" s="24" t="s">
        <v>1384</v>
      </c>
      <c r="B284" s="4" t="s">
        <v>1059</v>
      </c>
      <c r="C284" s="25" t="s">
        <v>7</v>
      </c>
      <c r="G284" s="25" t="s">
        <v>1072</v>
      </c>
      <c r="H284" s="24" t="s">
        <v>1061</v>
      </c>
      <c r="I284" s="3" t="str">
        <f>IFERROR(VLOOKUP(C284,'Справочник соответствий'!A$2:D$2981,2,FALSE),IF(VALUE(C284)=0,1,VLOOKUP(C284,'Справочник соответствий'!A$2:D$2981,2,FALSE)))</f>
        <v>2</v>
      </c>
      <c r="J284" s="3">
        <f>IFERROR(VLOOKUP(D284,'Справочник соответствий'!A$2:D$2981,2,FALSE),IF(VALUE(D284)=0,0,VLOOKUP(D284,'Справочник соответствий'!A$2:D$2981,2,FALSE)))</f>
        <v>0</v>
      </c>
      <c r="K284" s="3" t="str">
        <f t="shared" si="28"/>
        <v>2</v>
      </c>
      <c r="L284" s="13" t="str">
        <f>IFERROR(VLOOKUP(C284,'Справочник соответствий'!A$2:D$2981,3,FALSE),IF(VALUE(C284)=0,"ЭТАЖ НЕ ОПРЕДЕЛЕН. ПРИНЯТ ПО ДОПУЩЕНИЮ 1",VLOOKUP(C284,'Справочник соответствий'!A$2:D$2981,3,FALSE)))</f>
        <v>ЭТАЖ ЗАДАН ЧИСЛОМ</v>
      </c>
      <c r="M284" s="13" t="b">
        <f t="shared" si="29"/>
        <v>0</v>
      </c>
      <c r="N284" s="13">
        <f t="shared" si="30"/>
        <v>2</v>
      </c>
      <c r="O284" s="13" t="str">
        <f t="shared" si="31"/>
        <v>ЭТАЖ ЗАДАН ЧИСЛОМ</v>
      </c>
      <c r="P284" s="13" t="str">
        <f t="shared" si="32"/>
        <v>ЭТАЖ ЗАДАН ЧИСЛОМ</v>
      </c>
      <c r="Q284" s="13" t="str">
        <f t="shared" si="33"/>
        <v>ГОТОВ_ИЗМЕНЕН</v>
      </c>
      <c r="R284" s="13">
        <f>IFERROR(VLOOKUP(P284,Лист1!A$1:B$20,2,FALSE),0)</f>
        <v>784</v>
      </c>
      <c r="S284" s="13">
        <f t="shared" si="34"/>
        <v>0</v>
      </c>
    </row>
    <row r="285" spans="1:19" x14ac:dyDescent="0.25">
      <c r="A285" s="24" t="s">
        <v>1385</v>
      </c>
      <c r="B285" s="4" t="s">
        <v>1063</v>
      </c>
      <c r="C285" s="25" t="s">
        <v>5</v>
      </c>
      <c r="G285" s="25" t="s">
        <v>1072</v>
      </c>
      <c r="H285" s="24" t="s">
        <v>1061</v>
      </c>
      <c r="I285" s="3" t="str">
        <f>IFERROR(VLOOKUP(C285,'Справочник соответствий'!A$2:D$2981,2,FALSE),IF(VALUE(C285)=0,1,VLOOKUP(C285,'Справочник соответствий'!A$2:D$2981,2,FALSE)))</f>
        <v>1</v>
      </c>
      <c r="J285" s="3">
        <f>IFERROR(VLOOKUP(D285,'Справочник соответствий'!A$2:D$2981,2,FALSE),IF(VALUE(D285)=0,0,VLOOKUP(D285,'Справочник соответствий'!A$2:D$2981,2,FALSE)))</f>
        <v>0</v>
      </c>
      <c r="K285" s="3" t="str">
        <f t="shared" si="28"/>
        <v>1</v>
      </c>
      <c r="L285" s="13" t="str">
        <f>IFERROR(VLOOKUP(C285,'Справочник соответствий'!A$2:D$2981,3,FALSE),IF(VALUE(C285)=0,"ЭТАЖ НЕ ОПРЕДЕЛЕН. ПРИНЯТ ПО ДОПУЩЕНИЮ 1",VLOOKUP(C285,'Справочник соответствий'!A$2:D$2981,3,FALSE)))</f>
        <v>ЭТАЖ ЗАДАН ЧИСЛОМ</v>
      </c>
      <c r="M285" s="13" t="b">
        <f t="shared" si="29"/>
        <v>0</v>
      </c>
      <c r="N285" s="13">
        <f t="shared" si="30"/>
        <v>1</v>
      </c>
      <c r="O285" s="13" t="str">
        <f t="shared" si="31"/>
        <v>ЭТАЖ ЗАДАН ЧИСЛОМ</v>
      </c>
      <c r="P285" s="13" t="str">
        <f t="shared" si="32"/>
        <v>ЭТАЖ ЗАДАН ЧИСЛОМ</v>
      </c>
      <c r="Q285" s="13" t="str">
        <f t="shared" si="33"/>
        <v>ГОТОВ_ИЗМЕНЕН</v>
      </c>
      <c r="R285" s="13">
        <f>IFERROR(VLOOKUP(P285,Лист1!A$1:B$20,2,FALSE),0)</f>
        <v>784</v>
      </c>
      <c r="S285" s="13">
        <f t="shared" si="34"/>
        <v>0</v>
      </c>
    </row>
    <row r="286" spans="1:19" x14ac:dyDescent="0.25">
      <c r="A286" s="24" t="s">
        <v>1386</v>
      </c>
      <c r="B286" s="4" t="s">
        <v>1059</v>
      </c>
      <c r="C286" s="25" t="s">
        <v>7</v>
      </c>
      <c r="G286" s="25" t="s">
        <v>1072</v>
      </c>
      <c r="H286" s="24" t="s">
        <v>1061</v>
      </c>
      <c r="I286" s="3" t="str">
        <f>IFERROR(VLOOKUP(C286,'Справочник соответствий'!A$2:D$2981,2,FALSE),IF(VALUE(C286)=0,1,VLOOKUP(C286,'Справочник соответствий'!A$2:D$2981,2,FALSE)))</f>
        <v>2</v>
      </c>
      <c r="J286" s="3">
        <f>IFERROR(VLOOKUP(D286,'Справочник соответствий'!A$2:D$2981,2,FALSE),IF(VALUE(D286)=0,0,VLOOKUP(D286,'Справочник соответствий'!A$2:D$2981,2,FALSE)))</f>
        <v>0</v>
      </c>
      <c r="K286" s="3" t="str">
        <f t="shared" si="28"/>
        <v>2</v>
      </c>
      <c r="L286" s="13" t="str">
        <f>IFERROR(VLOOKUP(C286,'Справочник соответствий'!A$2:D$2981,3,FALSE),IF(VALUE(C286)=0,"ЭТАЖ НЕ ОПРЕДЕЛЕН. ПРИНЯТ ПО ДОПУЩЕНИЮ 1",VLOOKUP(C286,'Справочник соответствий'!A$2:D$2981,3,FALSE)))</f>
        <v>ЭТАЖ ЗАДАН ЧИСЛОМ</v>
      </c>
      <c r="M286" s="13" t="b">
        <f t="shared" si="29"/>
        <v>0</v>
      </c>
      <c r="N286" s="13">
        <f t="shared" si="30"/>
        <v>2</v>
      </c>
      <c r="O286" s="13" t="str">
        <f t="shared" si="31"/>
        <v>ЭТАЖ ЗАДАН ЧИСЛОМ</v>
      </c>
      <c r="P286" s="13" t="str">
        <f t="shared" si="32"/>
        <v>ЭТАЖ ЗАДАН ЧИСЛОМ</v>
      </c>
      <c r="Q286" s="13" t="str">
        <f t="shared" si="33"/>
        <v>ГОТОВ_ИЗМЕНЕН</v>
      </c>
      <c r="R286" s="13">
        <f>IFERROR(VLOOKUP(P286,Лист1!A$1:B$20,2,FALSE),0)</f>
        <v>784</v>
      </c>
      <c r="S286" s="13">
        <f t="shared" si="34"/>
        <v>0</v>
      </c>
    </row>
    <row r="287" spans="1:19" x14ac:dyDescent="0.25">
      <c r="A287" s="24" t="s">
        <v>1387</v>
      </c>
      <c r="B287" s="4" t="s">
        <v>1063</v>
      </c>
      <c r="G287" s="25" t="s">
        <v>1388</v>
      </c>
      <c r="H287" s="24" t="s">
        <v>1061</v>
      </c>
      <c r="I287" s="3">
        <f>IFERROR(VLOOKUP(C287,'Справочник соответствий'!A$2:D$2981,2,FALSE),IF(VALUE(C287)=0,1,VLOOKUP(C287,'Справочник соответствий'!A$2:D$2981,2,FALSE)))</f>
        <v>1</v>
      </c>
      <c r="J287" s="3">
        <f>IFERROR(VLOOKUP(D287,'Справочник соответствий'!A$2:D$2981,2,FALSE),IF(VALUE(D287)=0,0,VLOOKUP(D287,'Справочник соответствий'!A$2:D$2981,2,FALSE)))</f>
        <v>0</v>
      </c>
      <c r="K287" s="3">
        <f t="shared" si="28"/>
        <v>1</v>
      </c>
      <c r="L287" s="13" t="str">
        <f>IFERROR(VLOOKUP(C287,'Справочник соответствий'!A$2:D$2981,3,FALSE),IF(VALUE(C287)=0,"ЭТАЖ НЕ ОПРЕДЕЛЕН. ПРИНЯТ ПО ДОПУЩЕНИЮ 1",VLOOKUP(C287,'Справочник соответствий'!A$2:D$2981,3,FALSE)))</f>
        <v>ЭТАЖ НЕ ОПРЕДЕЛЕН. ПРИНЯТ ПО ДОПУЩЕНИЮ 1</v>
      </c>
      <c r="M287" s="13" t="b">
        <f t="shared" si="29"/>
        <v>0</v>
      </c>
      <c r="N287" s="13">
        <f t="shared" si="30"/>
        <v>1</v>
      </c>
      <c r="O287" s="13" t="str">
        <f t="shared" si="31"/>
        <v>ЭТАЖ НЕ ОПРЕДЕЛЕН. ПРИНЯТ ПО ДОПУЩЕНИЮ 1</v>
      </c>
      <c r="P287" s="13" t="str">
        <f t="shared" si="32"/>
        <v>ЭТАЖ НЕ ОПРЕДЕЛЕН. ПРИНЯТ ПО ДОПУЩЕНИЮ 1</v>
      </c>
      <c r="Q287" s="13" t="str">
        <f t="shared" si="33"/>
        <v>ГОТОВ_ИЗМЕНЕН</v>
      </c>
      <c r="R287" s="13">
        <f>IFERROR(VLOOKUP(P287,Лист1!A$1:B$20,2,FALSE),0)</f>
        <v>788</v>
      </c>
      <c r="S287" s="13">
        <f t="shared" si="34"/>
        <v>0</v>
      </c>
    </row>
    <row r="288" spans="1:19" x14ac:dyDescent="0.25">
      <c r="A288" s="24" t="s">
        <v>1389</v>
      </c>
      <c r="B288" s="4" t="s">
        <v>1059</v>
      </c>
      <c r="C288" s="25" t="s">
        <v>7</v>
      </c>
      <c r="G288" s="25" t="s">
        <v>1072</v>
      </c>
      <c r="H288" s="24" t="s">
        <v>1061</v>
      </c>
      <c r="I288" s="3" t="str">
        <f>IFERROR(VLOOKUP(C288,'Справочник соответствий'!A$2:D$2981,2,FALSE),IF(VALUE(C288)=0,1,VLOOKUP(C288,'Справочник соответствий'!A$2:D$2981,2,FALSE)))</f>
        <v>2</v>
      </c>
      <c r="J288" s="3">
        <f>IFERROR(VLOOKUP(D288,'Справочник соответствий'!A$2:D$2981,2,FALSE),IF(VALUE(D288)=0,0,VLOOKUP(D288,'Справочник соответствий'!A$2:D$2981,2,FALSE)))</f>
        <v>0</v>
      </c>
      <c r="K288" s="3" t="str">
        <f t="shared" si="28"/>
        <v>2</v>
      </c>
      <c r="L288" s="13" t="str">
        <f>IFERROR(VLOOKUP(C288,'Справочник соответствий'!A$2:D$2981,3,FALSE),IF(VALUE(C288)=0,"ЭТАЖ НЕ ОПРЕДЕЛЕН. ПРИНЯТ ПО ДОПУЩЕНИЮ 1",VLOOKUP(C288,'Справочник соответствий'!A$2:D$2981,3,FALSE)))</f>
        <v>ЭТАЖ ЗАДАН ЧИСЛОМ</v>
      </c>
      <c r="M288" s="13" t="b">
        <f t="shared" si="29"/>
        <v>0</v>
      </c>
      <c r="N288" s="13">
        <f t="shared" si="30"/>
        <v>2</v>
      </c>
      <c r="O288" s="13" t="str">
        <f t="shared" si="31"/>
        <v>ЭТАЖ ЗАДАН ЧИСЛОМ</v>
      </c>
      <c r="P288" s="13" t="str">
        <f t="shared" si="32"/>
        <v>ЭТАЖ ЗАДАН ЧИСЛОМ</v>
      </c>
      <c r="Q288" s="13" t="str">
        <f t="shared" si="33"/>
        <v>ГОТОВ_ИЗМЕНЕН</v>
      </c>
      <c r="R288" s="13">
        <f>IFERROR(VLOOKUP(P288,Лист1!A$1:B$20,2,FALSE),0)</f>
        <v>784</v>
      </c>
      <c r="S288" s="13">
        <f t="shared" si="34"/>
        <v>0</v>
      </c>
    </row>
    <row r="289" spans="1:19" x14ac:dyDescent="0.25">
      <c r="A289" s="24" t="s">
        <v>1390</v>
      </c>
      <c r="B289" s="4" t="s">
        <v>1063</v>
      </c>
      <c r="C289" s="25" t="s">
        <v>5</v>
      </c>
      <c r="G289" s="25" t="s">
        <v>1391</v>
      </c>
      <c r="H289" s="24" t="s">
        <v>1061</v>
      </c>
      <c r="I289" s="3" t="str">
        <f>IFERROR(VLOOKUP(C289,'Справочник соответствий'!A$2:D$2981,2,FALSE),IF(VALUE(C289)=0,1,VLOOKUP(C289,'Справочник соответствий'!A$2:D$2981,2,FALSE)))</f>
        <v>1</v>
      </c>
      <c r="J289" s="3">
        <f>IFERROR(VLOOKUP(D289,'Справочник соответствий'!A$2:D$2981,2,FALSE),IF(VALUE(D289)=0,0,VLOOKUP(D289,'Справочник соответствий'!A$2:D$2981,2,FALSE)))</f>
        <v>0</v>
      </c>
      <c r="K289" s="3" t="str">
        <f t="shared" si="28"/>
        <v>1</v>
      </c>
      <c r="L289" s="13" t="str">
        <f>IFERROR(VLOOKUP(C289,'Справочник соответствий'!A$2:D$2981,3,FALSE),IF(VALUE(C289)=0,"ЭТАЖ НЕ ОПРЕДЕЛЕН. ПРИНЯТ ПО ДОПУЩЕНИЮ 1",VLOOKUP(C289,'Справочник соответствий'!A$2:D$2981,3,FALSE)))</f>
        <v>ЭТАЖ ЗАДАН ЧИСЛОМ</v>
      </c>
      <c r="M289" s="13" t="b">
        <f t="shared" si="29"/>
        <v>0</v>
      </c>
      <c r="N289" s="13">
        <f t="shared" si="30"/>
        <v>1</v>
      </c>
      <c r="O289" s="13" t="str">
        <f t="shared" si="31"/>
        <v>ЭТАЖ ЗАДАН ЧИСЛОМ</v>
      </c>
      <c r="P289" s="13" t="str">
        <f t="shared" si="32"/>
        <v>ЭТАЖ ЗАДАН ЧИСЛОМ</v>
      </c>
      <c r="Q289" s="13" t="str">
        <f t="shared" si="33"/>
        <v>ГОТОВ_ИЗМЕНЕН</v>
      </c>
      <c r="R289" s="13">
        <f>IFERROR(VLOOKUP(P289,Лист1!A$1:B$20,2,FALSE),0)</f>
        <v>784</v>
      </c>
      <c r="S289" s="13">
        <f t="shared" si="34"/>
        <v>0</v>
      </c>
    </row>
    <row r="290" spans="1:19" x14ac:dyDescent="0.25">
      <c r="A290" s="24" t="s">
        <v>1392</v>
      </c>
      <c r="B290" s="4" t="s">
        <v>1059</v>
      </c>
      <c r="C290" s="25" t="s">
        <v>5</v>
      </c>
      <c r="G290" s="25" t="s">
        <v>1072</v>
      </c>
      <c r="H290" s="24" t="s">
        <v>1061</v>
      </c>
      <c r="I290" s="3" t="str">
        <f>IFERROR(VLOOKUP(C290,'Справочник соответствий'!A$2:D$2981,2,FALSE),IF(VALUE(C290)=0,1,VLOOKUP(C290,'Справочник соответствий'!A$2:D$2981,2,FALSE)))</f>
        <v>1</v>
      </c>
      <c r="J290" s="3">
        <f>IFERROR(VLOOKUP(D290,'Справочник соответствий'!A$2:D$2981,2,FALSE),IF(VALUE(D290)=0,0,VLOOKUP(D290,'Справочник соответствий'!A$2:D$2981,2,FALSE)))</f>
        <v>0</v>
      </c>
      <c r="K290" s="3" t="str">
        <f t="shared" si="28"/>
        <v>1</v>
      </c>
      <c r="L290" s="13" t="str">
        <f>IFERROR(VLOOKUP(C290,'Справочник соответствий'!A$2:D$2981,3,FALSE),IF(VALUE(C290)=0,"ЭТАЖ НЕ ОПРЕДЕЛЕН. ПРИНЯТ ПО ДОПУЩЕНИЮ 1",VLOOKUP(C290,'Справочник соответствий'!A$2:D$2981,3,FALSE)))</f>
        <v>ЭТАЖ ЗАДАН ЧИСЛОМ</v>
      </c>
      <c r="M290" s="13" t="b">
        <f t="shared" si="29"/>
        <v>0</v>
      </c>
      <c r="N290" s="13">
        <f t="shared" si="30"/>
        <v>1</v>
      </c>
      <c r="O290" s="13" t="str">
        <f t="shared" si="31"/>
        <v>ЭТАЖ ЗАДАН ЧИСЛОМ</v>
      </c>
      <c r="P290" s="13" t="str">
        <f t="shared" si="32"/>
        <v>ЭТАЖ ЗАДАН ЧИСЛОМ</v>
      </c>
      <c r="Q290" s="13" t="str">
        <f t="shared" si="33"/>
        <v>ГОТОВ_ИЗМЕНЕН</v>
      </c>
      <c r="R290" s="13">
        <f>IFERROR(VLOOKUP(P290,Лист1!A$1:B$20,2,FALSE),0)</f>
        <v>784</v>
      </c>
      <c r="S290" s="13">
        <f t="shared" si="34"/>
        <v>0</v>
      </c>
    </row>
    <row r="291" spans="1:19" x14ac:dyDescent="0.25">
      <c r="A291" s="24" t="s">
        <v>1393</v>
      </c>
      <c r="B291" s="4" t="s">
        <v>1059</v>
      </c>
      <c r="C291" s="25" t="s">
        <v>7</v>
      </c>
      <c r="G291" s="25" t="s">
        <v>1167</v>
      </c>
      <c r="H291" s="24" t="s">
        <v>1061</v>
      </c>
      <c r="I291" s="3" t="str">
        <f>IFERROR(VLOOKUP(C291,'Справочник соответствий'!A$2:D$2981,2,FALSE),IF(VALUE(C291)=0,1,VLOOKUP(C291,'Справочник соответствий'!A$2:D$2981,2,FALSE)))</f>
        <v>2</v>
      </c>
      <c r="J291" s="3">
        <f>IFERROR(VLOOKUP(D291,'Справочник соответствий'!A$2:D$2981,2,FALSE),IF(VALUE(D291)=0,0,VLOOKUP(D291,'Справочник соответствий'!A$2:D$2981,2,FALSE)))</f>
        <v>0</v>
      </c>
      <c r="K291" s="3" t="str">
        <f t="shared" si="28"/>
        <v>2</v>
      </c>
      <c r="L291" s="13" t="str">
        <f>IFERROR(VLOOKUP(C291,'Справочник соответствий'!A$2:D$2981,3,FALSE),IF(VALUE(C291)=0,"ЭТАЖ НЕ ОПРЕДЕЛЕН. ПРИНЯТ ПО ДОПУЩЕНИЮ 1",VLOOKUP(C291,'Справочник соответствий'!A$2:D$2981,3,FALSE)))</f>
        <v>ЭТАЖ ЗАДАН ЧИСЛОМ</v>
      </c>
      <c r="M291" s="13" t="b">
        <f t="shared" si="29"/>
        <v>0</v>
      </c>
      <c r="N291" s="13">
        <f t="shared" si="30"/>
        <v>2</v>
      </c>
      <c r="O291" s="13" t="str">
        <f t="shared" si="31"/>
        <v>ЭТАЖ ЗАДАН ЧИСЛОМ</v>
      </c>
      <c r="P291" s="13" t="str">
        <f t="shared" si="32"/>
        <v>ЭТАЖ ЗАДАН ЧИСЛОМ</v>
      </c>
      <c r="Q291" s="13" t="str">
        <f t="shared" si="33"/>
        <v>ГОТОВ_ИЗМЕНЕН</v>
      </c>
      <c r="R291" s="13">
        <f>IFERROR(VLOOKUP(P291,Лист1!A$1:B$20,2,FALSE),0)</f>
        <v>784</v>
      </c>
      <c r="S291" s="13">
        <f t="shared" si="34"/>
        <v>0</v>
      </c>
    </row>
    <row r="292" spans="1:19" x14ac:dyDescent="0.25">
      <c r="A292" s="24" t="s">
        <v>1394</v>
      </c>
      <c r="B292" s="4" t="s">
        <v>1063</v>
      </c>
      <c r="C292" s="25" t="s">
        <v>5</v>
      </c>
      <c r="G292" s="25" t="s">
        <v>1089</v>
      </c>
      <c r="H292" s="24" t="s">
        <v>1061</v>
      </c>
      <c r="I292" s="3" t="str">
        <f>IFERROR(VLOOKUP(C292,'Справочник соответствий'!A$2:D$2981,2,FALSE),IF(VALUE(C292)=0,1,VLOOKUP(C292,'Справочник соответствий'!A$2:D$2981,2,FALSE)))</f>
        <v>1</v>
      </c>
      <c r="J292" s="3">
        <f>IFERROR(VLOOKUP(D292,'Справочник соответствий'!A$2:D$2981,2,FALSE),IF(VALUE(D292)=0,0,VLOOKUP(D292,'Справочник соответствий'!A$2:D$2981,2,FALSE)))</f>
        <v>0</v>
      </c>
      <c r="K292" s="3" t="str">
        <f t="shared" si="28"/>
        <v>1</v>
      </c>
      <c r="L292" s="13" t="str">
        <f>IFERROR(VLOOKUP(C292,'Справочник соответствий'!A$2:D$2981,3,FALSE),IF(VALUE(C292)=0,"ЭТАЖ НЕ ОПРЕДЕЛЕН. ПРИНЯТ ПО ДОПУЩЕНИЮ 1",VLOOKUP(C292,'Справочник соответствий'!A$2:D$2981,3,FALSE)))</f>
        <v>ЭТАЖ ЗАДАН ЧИСЛОМ</v>
      </c>
      <c r="M292" s="13" t="b">
        <f t="shared" si="29"/>
        <v>0</v>
      </c>
      <c r="N292" s="13">
        <f t="shared" si="30"/>
        <v>1</v>
      </c>
      <c r="O292" s="13" t="str">
        <f t="shared" si="31"/>
        <v>ЭТАЖ ЗАДАН ЧИСЛОМ</v>
      </c>
      <c r="P292" s="13" t="str">
        <f t="shared" si="32"/>
        <v>ЭТАЖ ЗАДАН ЧИСЛОМ</v>
      </c>
      <c r="Q292" s="13" t="str">
        <f t="shared" si="33"/>
        <v>ГОТОВ_ИЗМЕНЕН</v>
      </c>
      <c r="R292" s="13">
        <f>IFERROR(VLOOKUP(P292,Лист1!A$1:B$20,2,FALSE),0)</f>
        <v>784</v>
      </c>
      <c r="S292" s="13">
        <f t="shared" si="34"/>
        <v>0</v>
      </c>
    </row>
    <row r="293" spans="1:19" x14ac:dyDescent="0.25">
      <c r="A293" s="24" t="s">
        <v>1395</v>
      </c>
      <c r="B293" s="4" t="s">
        <v>1059</v>
      </c>
      <c r="C293" s="25" t="s">
        <v>5</v>
      </c>
      <c r="G293" s="25" t="s">
        <v>1069</v>
      </c>
      <c r="H293" s="24" t="s">
        <v>1061</v>
      </c>
      <c r="I293" s="3" t="str">
        <f>IFERROR(VLOOKUP(C293,'Справочник соответствий'!A$2:D$2981,2,FALSE),IF(VALUE(C293)=0,1,VLOOKUP(C293,'Справочник соответствий'!A$2:D$2981,2,FALSE)))</f>
        <v>1</v>
      </c>
      <c r="J293" s="3">
        <f>IFERROR(VLOOKUP(D293,'Справочник соответствий'!A$2:D$2981,2,FALSE),IF(VALUE(D293)=0,0,VLOOKUP(D293,'Справочник соответствий'!A$2:D$2981,2,FALSE)))</f>
        <v>0</v>
      </c>
      <c r="K293" s="3" t="str">
        <f t="shared" si="28"/>
        <v>1</v>
      </c>
      <c r="L293" s="13" t="str">
        <f>IFERROR(VLOOKUP(C293,'Справочник соответствий'!A$2:D$2981,3,FALSE),IF(VALUE(C293)=0,"ЭТАЖ НЕ ОПРЕДЕЛЕН. ПРИНЯТ ПО ДОПУЩЕНИЮ 1",VLOOKUP(C293,'Справочник соответствий'!A$2:D$2981,3,FALSE)))</f>
        <v>ЭТАЖ ЗАДАН ЧИСЛОМ</v>
      </c>
      <c r="M293" s="13" t="b">
        <f t="shared" si="29"/>
        <v>0</v>
      </c>
      <c r="N293" s="13">
        <f t="shared" si="30"/>
        <v>1</v>
      </c>
      <c r="O293" s="13" t="str">
        <f t="shared" si="31"/>
        <v>ЭТАЖ ЗАДАН ЧИСЛОМ</v>
      </c>
      <c r="P293" s="13" t="str">
        <f t="shared" si="32"/>
        <v>ЭТАЖ ЗАДАН ЧИСЛОМ</v>
      </c>
      <c r="Q293" s="13" t="str">
        <f t="shared" si="33"/>
        <v>ГОТОВ_ИЗМЕНЕН</v>
      </c>
      <c r="R293" s="13">
        <f>IFERROR(VLOOKUP(P293,Лист1!A$1:B$20,2,FALSE),0)</f>
        <v>784</v>
      </c>
      <c r="S293" s="13">
        <f t="shared" si="34"/>
        <v>0</v>
      </c>
    </row>
    <row r="294" spans="1:19" x14ac:dyDescent="0.25">
      <c r="A294" s="24" t="s">
        <v>1396</v>
      </c>
      <c r="B294" s="4" t="s">
        <v>1059</v>
      </c>
      <c r="C294" s="25" t="s">
        <v>5</v>
      </c>
      <c r="G294" s="25" t="s">
        <v>1069</v>
      </c>
      <c r="H294" s="24" t="s">
        <v>1061</v>
      </c>
      <c r="I294" s="3" t="str">
        <f>IFERROR(VLOOKUP(C294,'Справочник соответствий'!A$2:D$2981,2,FALSE),IF(VALUE(C294)=0,1,VLOOKUP(C294,'Справочник соответствий'!A$2:D$2981,2,FALSE)))</f>
        <v>1</v>
      </c>
      <c r="J294" s="3">
        <f>IFERROR(VLOOKUP(D294,'Справочник соответствий'!A$2:D$2981,2,FALSE),IF(VALUE(D294)=0,0,VLOOKUP(D294,'Справочник соответствий'!A$2:D$2981,2,FALSE)))</f>
        <v>0</v>
      </c>
      <c r="K294" s="3" t="str">
        <f t="shared" si="28"/>
        <v>1</v>
      </c>
      <c r="L294" s="13" t="str">
        <f>IFERROR(VLOOKUP(C294,'Справочник соответствий'!A$2:D$2981,3,FALSE),IF(VALUE(C294)=0,"ЭТАЖ НЕ ОПРЕДЕЛЕН. ПРИНЯТ ПО ДОПУЩЕНИЮ 1",VLOOKUP(C294,'Справочник соответствий'!A$2:D$2981,3,FALSE)))</f>
        <v>ЭТАЖ ЗАДАН ЧИСЛОМ</v>
      </c>
      <c r="M294" s="13" t="b">
        <f t="shared" si="29"/>
        <v>0</v>
      </c>
      <c r="N294" s="13">
        <f t="shared" si="30"/>
        <v>1</v>
      </c>
      <c r="O294" s="13" t="str">
        <f t="shared" si="31"/>
        <v>ЭТАЖ ЗАДАН ЧИСЛОМ</v>
      </c>
      <c r="P294" s="13" t="str">
        <f t="shared" si="32"/>
        <v>ЭТАЖ ЗАДАН ЧИСЛОМ</v>
      </c>
      <c r="Q294" s="13" t="str">
        <f t="shared" si="33"/>
        <v>ГОТОВ_ИЗМЕНЕН</v>
      </c>
      <c r="R294" s="13">
        <f>IFERROR(VLOOKUP(P294,Лист1!A$1:B$20,2,FALSE),0)</f>
        <v>784</v>
      </c>
      <c r="S294" s="13">
        <f t="shared" si="34"/>
        <v>0</v>
      </c>
    </row>
    <row r="295" spans="1:19" x14ac:dyDescent="0.25">
      <c r="A295" s="24" t="s">
        <v>1397</v>
      </c>
      <c r="B295" s="4" t="s">
        <v>1059</v>
      </c>
      <c r="C295" s="25" t="s">
        <v>5</v>
      </c>
      <c r="G295" s="25" t="s">
        <v>1069</v>
      </c>
      <c r="H295" s="24" t="s">
        <v>1061</v>
      </c>
      <c r="I295" s="3" t="str">
        <f>IFERROR(VLOOKUP(C295,'Справочник соответствий'!A$2:D$2981,2,FALSE),IF(VALUE(C295)=0,1,VLOOKUP(C295,'Справочник соответствий'!A$2:D$2981,2,FALSE)))</f>
        <v>1</v>
      </c>
      <c r="J295" s="3">
        <f>IFERROR(VLOOKUP(D295,'Справочник соответствий'!A$2:D$2981,2,FALSE),IF(VALUE(D295)=0,0,VLOOKUP(D295,'Справочник соответствий'!A$2:D$2981,2,FALSE)))</f>
        <v>0</v>
      </c>
      <c r="K295" s="3" t="str">
        <f t="shared" si="28"/>
        <v>1</v>
      </c>
      <c r="L295" s="13" t="str">
        <f>IFERROR(VLOOKUP(C295,'Справочник соответствий'!A$2:D$2981,3,FALSE),IF(VALUE(C295)=0,"ЭТАЖ НЕ ОПРЕДЕЛЕН. ПРИНЯТ ПО ДОПУЩЕНИЮ 1",VLOOKUP(C295,'Справочник соответствий'!A$2:D$2981,3,FALSE)))</f>
        <v>ЭТАЖ ЗАДАН ЧИСЛОМ</v>
      </c>
      <c r="M295" s="13" t="b">
        <f t="shared" si="29"/>
        <v>0</v>
      </c>
      <c r="N295" s="13">
        <f t="shared" si="30"/>
        <v>1</v>
      </c>
      <c r="O295" s="13" t="str">
        <f t="shared" si="31"/>
        <v>ЭТАЖ ЗАДАН ЧИСЛОМ</v>
      </c>
      <c r="P295" s="13" t="str">
        <f t="shared" si="32"/>
        <v>ЭТАЖ ЗАДАН ЧИСЛОМ</v>
      </c>
      <c r="Q295" s="13" t="str">
        <f t="shared" si="33"/>
        <v>ГОТОВ_ИЗМЕНЕН</v>
      </c>
      <c r="R295" s="13">
        <f>IFERROR(VLOOKUP(P295,Лист1!A$1:B$20,2,FALSE),0)</f>
        <v>784</v>
      </c>
      <c r="S295" s="13">
        <f t="shared" si="34"/>
        <v>0</v>
      </c>
    </row>
    <row r="296" spans="1:19" x14ac:dyDescent="0.25">
      <c r="A296" s="24" t="s">
        <v>1398</v>
      </c>
      <c r="B296" s="4" t="s">
        <v>1059</v>
      </c>
      <c r="C296" s="25" t="s">
        <v>5</v>
      </c>
      <c r="G296" s="25" t="s">
        <v>1174</v>
      </c>
      <c r="H296" s="24" t="s">
        <v>1061</v>
      </c>
      <c r="I296" s="3" t="str">
        <f>IFERROR(VLOOKUP(C296,'Справочник соответствий'!A$2:D$2981,2,FALSE),IF(VALUE(C296)=0,1,VLOOKUP(C296,'Справочник соответствий'!A$2:D$2981,2,FALSE)))</f>
        <v>1</v>
      </c>
      <c r="J296" s="3">
        <f>IFERROR(VLOOKUP(D296,'Справочник соответствий'!A$2:D$2981,2,FALSE),IF(VALUE(D296)=0,0,VLOOKUP(D296,'Справочник соответствий'!A$2:D$2981,2,FALSE)))</f>
        <v>0</v>
      </c>
      <c r="K296" s="3" t="str">
        <f t="shared" si="28"/>
        <v>1</v>
      </c>
      <c r="L296" s="13" t="str">
        <f>IFERROR(VLOOKUP(C296,'Справочник соответствий'!A$2:D$2981,3,FALSE),IF(VALUE(C296)=0,"ЭТАЖ НЕ ОПРЕДЕЛЕН. ПРИНЯТ ПО ДОПУЩЕНИЮ 1",VLOOKUP(C296,'Справочник соответствий'!A$2:D$2981,3,FALSE)))</f>
        <v>ЭТАЖ ЗАДАН ЧИСЛОМ</v>
      </c>
      <c r="M296" s="13" t="b">
        <f t="shared" si="29"/>
        <v>0</v>
      </c>
      <c r="N296" s="13">
        <f t="shared" si="30"/>
        <v>1</v>
      </c>
      <c r="O296" s="13" t="str">
        <f t="shared" si="31"/>
        <v>ЭТАЖ ЗАДАН ЧИСЛОМ</v>
      </c>
      <c r="P296" s="13" t="str">
        <f t="shared" si="32"/>
        <v>ЭТАЖ ЗАДАН ЧИСЛОМ</v>
      </c>
      <c r="Q296" s="13" t="str">
        <f t="shared" si="33"/>
        <v>ГОТОВ_ИЗМЕНЕН</v>
      </c>
      <c r="R296" s="13">
        <f>IFERROR(VLOOKUP(P296,Лист1!A$1:B$20,2,FALSE),0)</f>
        <v>784</v>
      </c>
      <c r="S296" s="13">
        <f t="shared" si="34"/>
        <v>0</v>
      </c>
    </row>
    <row r="297" spans="1:19" x14ac:dyDescent="0.25">
      <c r="A297" s="24" t="s">
        <v>1399</v>
      </c>
      <c r="B297" s="4" t="s">
        <v>1059</v>
      </c>
      <c r="C297" s="25" t="s">
        <v>5</v>
      </c>
      <c r="G297" s="25" t="s">
        <v>1069</v>
      </c>
      <c r="H297" s="24" t="s">
        <v>1061</v>
      </c>
      <c r="I297" s="3" t="str">
        <f>IFERROR(VLOOKUP(C297,'Справочник соответствий'!A$2:D$2981,2,FALSE),IF(VALUE(C297)=0,1,VLOOKUP(C297,'Справочник соответствий'!A$2:D$2981,2,FALSE)))</f>
        <v>1</v>
      </c>
      <c r="J297" s="3">
        <f>IFERROR(VLOOKUP(D297,'Справочник соответствий'!A$2:D$2981,2,FALSE),IF(VALUE(D297)=0,0,VLOOKUP(D297,'Справочник соответствий'!A$2:D$2981,2,FALSE)))</f>
        <v>0</v>
      </c>
      <c r="K297" s="3" t="str">
        <f t="shared" si="28"/>
        <v>1</v>
      </c>
      <c r="L297" s="13" t="str">
        <f>IFERROR(VLOOKUP(C297,'Справочник соответствий'!A$2:D$2981,3,FALSE),IF(VALUE(C297)=0,"ЭТАЖ НЕ ОПРЕДЕЛЕН. ПРИНЯТ ПО ДОПУЩЕНИЮ 1",VLOOKUP(C297,'Справочник соответствий'!A$2:D$2981,3,FALSE)))</f>
        <v>ЭТАЖ ЗАДАН ЧИСЛОМ</v>
      </c>
      <c r="M297" s="13" t="b">
        <f t="shared" si="29"/>
        <v>0</v>
      </c>
      <c r="N297" s="13">
        <f t="shared" si="30"/>
        <v>1</v>
      </c>
      <c r="O297" s="13" t="str">
        <f t="shared" si="31"/>
        <v>ЭТАЖ ЗАДАН ЧИСЛОМ</v>
      </c>
      <c r="P297" s="13" t="str">
        <f t="shared" si="32"/>
        <v>ЭТАЖ ЗАДАН ЧИСЛОМ</v>
      </c>
      <c r="Q297" s="13" t="str">
        <f t="shared" si="33"/>
        <v>ГОТОВ_ИЗМЕНЕН</v>
      </c>
      <c r="R297" s="13">
        <f>IFERROR(VLOOKUP(P297,Лист1!A$1:B$20,2,FALSE),0)</f>
        <v>784</v>
      </c>
      <c r="S297" s="13">
        <f t="shared" si="34"/>
        <v>0</v>
      </c>
    </row>
    <row r="298" spans="1:19" x14ac:dyDescent="0.25">
      <c r="A298" s="24" t="s">
        <v>1400</v>
      </c>
      <c r="B298" s="4" t="s">
        <v>1059</v>
      </c>
      <c r="C298" s="25" t="s">
        <v>5</v>
      </c>
      <c r="G298" s="25" t="s">
        <v>1069</v>
      </c>
      <c r="H298" s="24" t="s">
        <v>1061</v>
      </c>
      <c r="I298" s="3" t="str">
        <f>IFERROR(VLOOKUP(C298,'Справочник соответствий'!A$2:D$2981,2,FALSE),IF(VALUE(C298)=0,1,VLOOKUP(C298,'Справочник соответствий'!A$2:D$2981,2,FALSE)))</f>
        <v>1</v>
      </c>
      <c r="J298" s="3">
        <f>IFERROR(VLOOKUP(D298,'Справочник соответствий'!A$2:D$2981,2,FALSE),IF(VALUE(D298)=0,0,VLOOKUP(D298,'Справочник соответствий'!A$2:D$2981,2,FALSE)))</f>
        <v>0</v>
      </c>
      <c r="K298" s="3" t="str">
        <f t="shared" si="28"/>
        <v>1</v>
      </c>
      <c r="L298" s="13" t="str">
        <f>IFERROR(VLOOKUP(C298,'Справочник соответствий'!A$2:D$2981,3,FALSE),IF(VALUE(C298)=0,"ЭТАЖ НЕ ОПРЕДЕЛЕН. ПРИНЯТ ПО ДОПУЩЕНИЮ 1",VLOOKUP(C298,'Справочник соответствий'!A$2:D$2981,3,FALSE)))</f>
        <v>ЭТАЖ ЗАДАН ЧИСЛОМ</v>
      </c>
      <c r="M298" s="13" t="b">
        <f t="shared" si="29"/>
        <v>0</v>
      </c>
      <c r="N298" s="13">
        <f t="shared" si="30"/>
        <v>1</v>
      </c>
      <c r="O298" s="13" t="str">
        <f t="shared" si="31"/>
        <v>ЭТАЖ ЗАДАН ЧИСЛОМ</v>
      </c>
      <c r="P298" s="13" t="str">
        <f t="shared" si="32"/>
        <v>ЭТАЖ ЗАДАН ЧИСЛОМ</v>
      </c>
      <c r="Q298" s="13" t="str">
        <f t="shared" si="33"/>
        <v>ГОТОВ_ИЗМЕНЕН</v>
      </c>
      <c r="R298" s="13">
        <f>IFERROR(VLOOKUP(P298,Лист1!A$1:B$20,2,FALSE),0)</f>
        <v>784</v>
      </c>
      <c r="S298" s="13">
        <f t="shared" si="34"/>
        <v>0</v>
      </c>
    </row>
    <row r="299" spans="1:19" x14ac:dyDescent="0.25">
      <c r="A299" s="24" t="s">
        <v>1401</v>
      </c>
      <c r="B299" s="4" t="s">
        <v>1059</v>
      </c>
      <c r="C299" s="25" t="s">
        <v>7</v>
      </c>
      <c r="G299" s="25" t="s">
        <v>1205</v>
      </c>
      <c r="H299" s="24" t="s">
        <v>1061</v>
      </c>
      <c r="I299" s="3" t="str">
        <f>IFERROR(VLOOKUP(C299,'Справочник соответствий'!A$2:D$2981,2,FALSE),IF(VALUE(C299)=0,1,VLOOKUP(C299,'Справочник соответствий'!A$2:D$2981,2,FALSE)))</f>
        <v>2</v>
      </c>
      <c r="J299" s="3">
        <f>IFERROR(VLOOKUP(D299,'Справочник соответствий'!A$2:D$2981,2,FALSE),IF(VALUE(D299)=0,0,VLOOKUP(D299,'Справочник соответствий'!A$2:D$2981,2,FALSE)))</f>
        <v>0</v>
      </c>
      <c r="K299" s="3" t="str">
        <f t="shared" si="28"/>
        <v>2</v>
      </c>
      <c r="L299" s="13" t="str">
        <f>IFERROR(VLOOKUP(C299,'Справочник соответствий'!A$2:D$2981,3,FALSE),IF(VALUE(C299)=0,"ЭТАЖ НЕ ОПРЕДЕЛЕН. ПРИНЯТ ПО ДОПУЩЕНИЮ 1",VLOOKUP(C299,'Справочник соответствий'!A$2:D$2981,3,FALSE)))</f>
        <v>ЭТАЖ ЗАДАН ЧИСЛОМ</v>
      </c>
      <c r="M299" s="13" t="b">
        <f t="shared" si="29"/>
        <v>0</v>
      </c>
      <c r="N299" s="13">
        <f t="shared" si="30"/>
        <v>2</v>
      </c>
      <c r="O299" s="13" t="str">
        <f t="shared" si="31"/>
        <v>ЭТАЖ ЗАДАН ЧИСЛОМ</v>
      </c>
      <c r="P299" s="13" t="str">
        <f t="shared" si="32"/>
        <v>ЭТАЖ ЗАДАН ЧИСЛОМ</v>
      </c>
      <c r="Q299" s="13" t="str">
        <f t="shared" si="33"/>
        <v>ГОТОВ_ИЗМЕНЕН</v>
      </c>
      <c r="R299" s="13">
        <f>IFERROR(VLOOKUP(P299,Лист1!A$1:B$20,2,FALSE),0)</f>
        <v>784</v>
      </c>
      <c r="S299" s="13">
        <f t="shared" si="34"/>
        <v>0</v>
      </c>
    </row>
    <row r="300" spans="1:19" x14ac:dyDescent="0.25">
      <c r="A300" s="24" t="s">
        <v>1402</v>
      </c>
      <c r="B300" s="4" t="s">
        <v>1059</v>
      </c>
      <c r="C300" s="25" t="s">
        <v>7</v>
      </c>
      <c r="G300" s="25" t="s">
        <v>1069</v>
      </c>
      <c r="H300" s="24" t="s">
        <v>1061</v>
      </c>
      <c r="I300" s="3" t="str">
        <f>IFERROR(VLOOKUP(C300,'Справочник соответствий'!A$2:D$2981,2,FALSE),IF(VALUE(C300)=0,1,VLOOKUP(C300,'Справочник соответствий'!A$2:D$2981,2,FALSE)))</f>
        <v>2</v>
      </c>
      <c r="J300" s="3">
        <f>IFERROR(VLOOKUP(D300,'Справочник соответствий'!A$2:D$2981,2,FALSE),IF(VALUE(D300)=0,0,VLOOKUP(D300,'Справочник соответствий'!A$2:D$2981,2,FALSE)))</f>
        <v>0</v>
      </c>
      <c r="K300" s="3" t="str">
        <f t="shared" si="28"/>
        <v>2</v>
      </c>
      <c r="L300" s="13" t="str">
        <f>IFERROR(VLOOKUP(C300,'Справочник соответствий'!A$2:D$2981,3,FALSE),IF(VALUE(C300)=0,"ЭТАЖ НЕ ОПРЕДЕЛЕН. ПРИНЯТ ПО ДОПУЩЕНИЮ 1",VLOOKUP(C300,'Справочник соответствий'!A$2:D$2981,3,FALSE)))</f>
        <v>ЭТАЖ ЗАДАН ЧИСЛОМ</v>
      </c>
      <c r="M300" s="13" t="b">
        <f t="shared" si="29"/>
        <v>0</v>
      </c>
      <c r="N300" s="13">
        <f t="shared" si="30"/>
        <v>2</v>
      </c>
      <c r="O300" s="13" t="str">
        <f t="shared" si="31"/>
        <v>ЭТАЖ ЗАДАН ЧИСЛОМ</v>
      </c>
      <c r="P300" s="13" t="str">
        <f t="shared" si="32"/>
        <v>ЭТАЖ ЗАДАН ЧИСЛОМ</v>
      </c>
      <c r="Q300" s="13" t="str">
        <f t="shared" si="33"/>
        <v>ГОТОВ_ИЗМЕНЕН</v>
      </c>
      <c r="R300" s="13">
        <f>IFERROR(VLOOKUP(P300,Лист1!A$1:B$20,2,FALSE),0)</f>
        <v>784</v>
      </c>
      <c r="S300" s="13">
        <f t="shared" si="34"/>
        <v>0</v>
      </c>
    </row>
    <row r="301" spans="1:19" x14ac:dyDescent="0.25">
      <c r="A301" s="24" t="s">
        <v>1403</v>
      </c>
      <c r="B301" s="4" t="s">
        <v>1063</v>
      </c>
      <c r="G301" s="25" t="s">
        <v>1174</v>
      </c>
      <c r="H301" s="24" t="s">
        <v>1061</v>
      </c>
      <c r="I301" s="3">
        <f>IFERROR(VLOOKUP(C301,'Справочник соответствий'!A$2:D$2981,2,FALSE),IF(VALUE(C301)=0,1,VLOOKUP(C301,'Справочник соответствий'!A$2:D$2981,2,FALSE)))</f>
        <v>1</v>
      </c>
      <c r="J301" s="3">
        <f>IFERROR(VLOOKUP(D301,'Справочник соответствий'!A$2:D$2981,2,FALSE),IF(VALUE(D301)=0,0,VLOOKUP(D301,'Справочник соответствий'!A$2:D$2981,2,FALSE)))</f>
        <v>0</v>
      </c>
      <c r="K301" s="3">
        <f t="shared" si="28"/>
        <v>1</v>
      </c>
      <c r="L301" s="13" t="str">
        <f>IFERROR(VLOOKUP(C301,'Справочник соответствий'!A$2:D$2981,3,FALSE),IF(VALUE(C301)=0,"ЭТАЖ НЕ ОПРЕДЕЛЕН. ПРИНЯТ ПО ДОПУЩЕНИЮ 1",VLOOKUP(C301,'Справочник соответствий'!A$2:D$2981,3,FALSE)))</f>
        <v>ЭТАЖ НЕ ОПРЕДЕЛЕН. ПРИНЯТ ПО ДОПУЩЕНИЮ 1</v>
      </c>
      <c r="M301" s="13" t="b">
        <f t="shared" si="29"/>
        <v>0</v>
      </c>
      <c r="N301" s="13">
        <f t="shared" si="30"/>
        <v>1</v>
      </c>
      <c r="O301" s="13" t="str">
        <f t="shared" si="31"/>
        <v>ЭТАЖ НЕ ОПРЕДЕЛЕН. ПРИНЯТ ПО ДОПУЩЕНИЮ 1</v>
      </c>
      <c r="P301" s="13" t="str">
        <f t="shared" si="32"/>
        <v>ЭТАЖ НЕ ОПРЕДЕЛЕН. ПРИНЯТ ПО ДОПУЩЕНИЮ 1</v>
      </c>
      <c r="Q301" s="13" t="str">
        <f t="shared" si="33"/>
        <v>ГОТОВ_ИЗМЕНЕН</v>
      </c>
      <c r="R301" s="13">
        <f>IFERROR(VLOOKUP(P301,Лист1!A$1:B$20,2,FALSE),0)</f>
        <v>788</v>
      </c>
      <c r="S301" s="13">
        <f t="shared" si="34"/>
        <v>0</v>
      </c>
    </row>
    <row r="302" spans="1:19" x14ac:dyDescent="0.25">
      <c r="A302" s="24" t="s">
        <v>1404</v>
      </c>
      <c r="B302" s="4" t="s">
        <v>1063</v>
      </c>
      <c r="G302" s="25" t="s">
        <v>1069</v>
      </c>
      <c r="H302" s="24" t="s">
        <v>1061</v>
      </c>
      <c r="I302" s="3">
        <f>IFERROR(VLOOKUP(C302,'Справочник соответствий'!A$2:D$2981,2,FALSE),IF(VALUE(C302)=0,1,VLOOKUP(C302,'Справочник соответствий'!A$2:D$2981,2,FALSE)))</f>
        <v>1</v>
      </c>
      <c r="J302" s="3">
        <f>IFERROR(VLOOKUP(D302,'Справочник соответствий'!A$2:D$2981,2,FALSE),IF(VALUE(D302)=0,0,VLOOKUP(D302,'Справочник соответствий'!A$2:D$2981,2,FALSE)))</f>
        <v>0</v>
      </c>
      <c r="K302" s="3">
        <f t="shared" si="28"/>
        <v>1</v>
      </c>
      <c r="L302" s="13" t="str">
        <f>IFERROR(VLOOKUP(C302,'Справочник соответствий'!A$2:D$2981,3,FALSE),IF(VALUE(C302)=0,"ЭТАЖ НЕ ОПРЕДЕЛЕН. ПРИНЯТ ПО ДОПУЩЕНИЮ 1",VLOOKUP(C302,'Справочник соответствий'!A$2:D$2981,3,FALSE)))</f>
        <v>ЭТАЖ НЕ ОПРЕДЕЛЕН. ПРИНЯТ ПО ДОПУЩЕНИЮ 1</v>
      </c>
      <c r="M302" s="13" t="b">
        <f t="shared" si="29"/>
        <v>0</v>
      </c>
      <c r="N302" s="13">
        <f t="shared" si="30"/>
        <v>1</v>
      </c>
      <c r="O302" s="13" t="str">
        <f t="shared" si="31"/>
        <v>ЭТАЖ НЕ ОПРЕДЕЛЕН. ПРИНЯТ ПО ДОПУЩЕНИЮ 1</v>
      </c>
      <c r="P302" s="13" t="str">
        <f t="shared" si="32"/>
        <v>ЭТАЖ НЕ ОПРЕДЕЛЕН. ПРИНЯТ ПО ДОПУЩЕНИЮ 1</v>
      </c>
      <c r="Q302" s="13" t="str">
        <f t="shared" si="33"/>
        <v>ГОТОВ_ИЗМЕНЕН</v>
      </c>
      <c r="R302" s="13">
        <f>IFERROR(VLOOKUP(P302,Лист1!A$1:B$20,2,FALSE),0)</f>
        <v>788</v>
      </c>
      <c r="S302" s="13">
        <f t="shared" si="34"/>
        <v>0</v>
      </c>
    </row>
    <row r="303" spans="1:19" x14ac:dyDescent="0.25">
      <c r="A303" s="24" t="s">
        <v>1405</v>
      </c>
      <c r="B303" s="4" t="s">
        <v>1063</v>
      </c>
      <c r="C303" s="25" t="s">
        <v>5</v>
      </c>
      <c r="G303" s="25" t="s">
        <v>1108</v>
      </c>
      <c r="H303" s="24" t="s">
        <v>1061</v>
      </c>
      <c r="I303" s="3" t="str">
        <f>IFERROR(VLOOKUP(C303,'Справочник соответствий'!A$2:D$2981,2,FALSE),IF(VALUE(C303)=0,1,VLOOKUP(C303,'Справочник соответствий'!A$2:D$2981,2,FALSE)))</f>
        <v>1</v>
      </c>
      <c r="J303" s="3">
        <f>IFERROR(VLOOKUP(D303,'Справочник соответствий'!A$2:D$2981,2,FALSE),IF(VALUE(D303)=0,0,VLOOKUP(D303,'Справочник соответствий'!A$2:D$2981,2,FALSE)))</f>
        <v>0</v>
      </c>
      <c r="K303" s="3" t="str">
        <f t="shared" si="28"/>
        <v>1</v>
      </c>
      <c r="L303" s="13" t="str">
        <f>IFERROR(VLOOKUP(C303,'Справочник соответствий'!A$2:D$2981,3,FALSE),IF(VALUE(C303)=0,"ЭТАЖ НЕ ОПРЕДЕЛЕН. ПРИНЯТ ПО ДОПУЩЕНИЮ 1",VLOOKUP(C303,'Справочник соответствий'!A$2:D$2981,3,FALSE)))</f>
        <v>ЭТАЖ ЗАДАН ЧИСЛОМ</v>
      </c>
      <c r="M303" s="13" t="b">
        <f t="shared" si="29"/>
        <v>0</v>
      </c>
      <c r="N303" s="13">
        <f t="shared" si="30"/>
        <v>1</v>
      </c>
      <c r="O303" s="13" t="str">
        <f t="shared" si="31"/>
        <v>ЭТАЖ ЗАДАН ЧИСЛОМ</v>
      </c>
      <c r="P303" s="13" t="str">
        <f t="shared" si="32"/>
        <v>ЭТАЖ ЗАДАН ЧИСЛОМ</v>
      </c>
      <c r="Q303" s="13" t="str">
        <f t="shared" si="33"/>
        <v>ГОТОВ_ИЗМЕНЕН</v>
      </c>
      <c r="R303" s="13">
        <f>IFERROR(VLOOKUP(P303,Лист1!A$1:B$20,2,FALSE),0)</f>
        <v>784</v>
      </c>
      <c r="S303" s="13">
        <f t="shared" si="34"/>
        <v>0</v>
      </c>
    </row>
    <row r="304" spans="1:19" x14ac:dyDescent="0.25">
      <c r="A304" s="24" t="s">
        <v>1406</v>
      </c>
      <c r="B304" s="4" t="s">
        <v>1059</v>
      </c>
      <c r="C304" s="25" t="s">
        <v>5</v>
      </c>
      <c r="G304" s="25" t="s">
        <v>1108</v>
      </c>
      <c r="H304" s="24" t="s">
        <v>1061</v>
      </c>
      <c r="I304" s="3" t="str">
        <f>IFERROR(VLOOKUP(C304,'Справочник соответствий'!A$2:D$2981,2,FALSE),IF(VALUE(C304)=0,1,VLOOKUP(C304,'Справочник соответствий'!A$2:D$2981,2,FALSE)))</f>
        <v>1</v>
      </c>
      <c r="J304" s="3">
        <f>IFERROR(VLOOKUP(D304,'Справочник соответствий'!A$2:D$2981,2,FALSE),IF(VALUE(D304)=0,0,VLOOKUP(D304,'Справочник соответствий'!A$2:D$2981,2,FALSE)))</f>
        <v>0</v>
      </c>
      <c r="K304" s="3" t="str">
        <f t="shared" si="28"/>
        <v>1</v>
      </c>
      <c r="L304" s="13" t="str">
        <f>IFERROR(VLOOKUP(C304,'Справочник соответствий'!A$2:D$2981,3,FALSE),IF(VALUE(C304)=0,"ЭТАЖ НЕ ОПРЕДЕЛЕН. ПРИНЯТ ПО ДОПУЩЕНИЮ 1",VLOOKUP(C304,'Справочник соответствий'!A$2:D$2981,3,FALSE)))</f>
        <v>ЭТАЖ ЗАДАН ЧИСЛОМ</v>
      </c>
      <c r="M304" s="13" t="b">
        <f t="shared" si="29"/>
        <v>0</v>
      </c>
      <c r="N304" s="13">
        <f t="shared" si="30"/>
        <v>1</v>
      </c>
      <c r="O304" s="13" t="str">
        <f t="shared" si="31"/>
        <v>ЭТАЖ ЗАДАН ЧИСЛОМ</v>
      </c>
      <c r="P304" s="13" t="str">
        <f t="shared" si="32"/>
        <v>ЭТАЖ ЗАДАН ЧИСЛОМ</v>
      </c>
      <c r="Q304" s="13" t="str">
        <f t="shared" si="33"/>
        <v>ГОТОВ_ИЗМЕНЕН</v>
      </c>
      <c r="R304" s="13">
        <f>IFERROR(VLOOKUP(P304,Лист1!A$1:B$20,2,FALSE),0)</f>
        <v>784</v>
      </c>
      <c r="S304" s="13">
        <f t="shared" si="34"/>
        <v>0</v>
      </c>
    </row>
    <row r="305" spans="1:19" x14ac:dyDescent="0.25">
      <c r="A305" s="24" t="s">
        <v>1407</v>
      </c>
      <c r="B305" s="4" t="s">
        <v>1063</v>
      </c>
      <c r="C305" s="25" t="s">
        <v>5</v>
      </c>
      <c r="G305" s="25" t="s">
        <v>1089</v>
      </c>
      <c r="H305" s="24" t="s">
        <v>1061</v>
      </c>
      <c r="I305" s="3" t="str">
        <f>IFERROR(VLOOKUP(C305,'Справочник соответствий'!A$2:D$2981,2,FALSE),IF(VALUE(C305)=0,1,VLOOKUP(C305,'Справочник соответствий'!A$2:D$2981,2,FALSE)))</f>
        <v>1</v>
      </c>
      <c r="J305" s="3">
        <f>IFERROR(VLOOKUP(D305,'Справочник соответствий'!A$2:D$2981,2,FALSE),IF(VALUE(D305)=0,0,VLOOKUP(D305,'Справочник соответствий'!A$2:D$2981,2,FALSE)))</f>
        <v>0</v>
      </c>
      <c r="K305" s="3" t="str">
        <f t="shared" si="28"/>
        <v>1</v>
      </c>
      <c r="L305" s="13" t="str">
        <f>IFERROR(VLOOKUP(C305,'Справочник соответствий'!A$2:D$2981,3,FALSE),IF(VALUE(C305)=0,"ЭТАЖ НЕ ОПРЕДЕЛЕН. ПРИНЯТ ПО ДОПУЩЕНИЮ 1",VLOOKUP(C305,'Справочник соответствий'!A$2:D$2981,3,FALSE)))</f>
        <v>ЭТАЖ ЗАДАН ЧИСЛОМ</v>
      </c>
      <c r="M305" s="13" t="b">
        <f t="shared" si="29"/>
        <v>0</v>
      </c>
      <c r="N305" s="13">
        <f t="shared" si="30"/>
        <v>1</v>
      </c>
      <c r="O305" s="13" t="str">
        <f t="shared" si="31"/>
        <v>ЭТАЖ ЗАДАН ЧИСЛОМ</v>
      </c>
      <c r="P305" s="13" t="str">
        <f t="shared" si="32"/>
        <v>ЭТАЖ ЗАДАН ЧИСЛОМ</v>
      </c>
      <c r="Q305" s="13" t="str">
        <f t="shared" si="33"/>
        <v>ГОТОВ_ИЗМЕНЕН</v>
      </c>
      <c r="R305" s="13">
        <f>IFERROR(VLOOKUP(P305,Лист1!A$1:B$20,2,FALSE),0)</f>
        <v>784</v>
      </c>
      <c r="S305" s="13">
        <f t="shared" si="34"/>
        <v>0</v>
      </c>
    </row>
    <row r="306" spans="1:19" x14ac:dyDescent="0.25">
      <c r="A306" s="24" t="s">
        <v>1408</v>
      </c>
      <c r="B306" s="4" t="s">
        <v>1059</v>
      </c>
      <c r="C306" s="25" t="s">
        <v>5</v>
      </c>
      <c r="G306" s="25" t="s">
        <v>1108</v>
      </c>
      <c r="H306" s="24" t="s">
        <v>1061</v>
      </c>
      <c r="I306" s="3" t="str">
        <f>IFERROR(VLOOKUP(C306,'Справочник соответствий'!A$2:D$2981,2,FALSE),IF(VALUE(C306)=0,1,VLOOKUP(C306,'Справочник соответствий'!A$2:D$2981,2,FALSE)))</f>
        <v>1</v>
      </c>
      <c r="J306" s="3">
        <f>IFERROR(VLOOKUP(D306,'Справочник соответствий'!A$2:D$2981,2,FALSE),IF(VALUE(D306)=0,0,VLOOKUP(D306,'Справочник соответствий'!A$2:D$2981,2,FALSE)))</f>
        <v>0</v>
      </c>
      <c r="K306" s="3" t="str">
        <f t="shared" si="28"/>
        <v>1</v>
      </c>
      <c r="L306" s="13" t="str">
        <f>IFERROR(VLOOKUP(C306,'Справочник соответствий'!A$2:D$2981,3,FALSE),IF(VALUE(C306)=0,"ЭТАЖ НЕ ОПРЕДЕЛЕН. ПРИНЯТ ПО ДОПУЩЕНИЮ 1",VLOOKUP(C306,'Справочник соответствий'!A$2:D$2981,3,FALSE)))</f>
        <v>ЭТАЖ ЗАДАН ЧИСЛОМ</v>
      </c>
      <c r="M306" s="13" t="b">
        <f t="shared" si="29"/>
        <v>0</v>
      </c>
      <c r="N306" s="13">
        <f t="shared" si="30"/>
        <v>1</v>
      </c>
      <c r="O306" s="13" t="str">
        <f t="shared" si="31"/>
        <v>ЭТАЖ ЗАДАН ЧИСЛОМ</v>
      </c>
      <c r="P306" s="13" t="str">
        <f t="shared" si="32"/>
        <v>ЭТАЖ ЗАДАН ЧИСЛОМ</v>
      </c>
      <c r="Q306" s="13" t="str">
        <f t="shared" si="33"/>
        <v>ГОТОВ_ИЗМЕНЕН</v>
      </c>
      <c r="R306" s="13">
        <f>IFERROR(VLOOKUP(P306,Лист1!A$1:B$20,2,FALSE),0)</f>
        <v>784</v>
      </c>
      <c r="S306" s="13">
        <f t="shared" si="34"/>
        <v>0</v>
      </c>
    </row>
    <row r="307" spans="1:19" x14ac:dyDescent="0.25">
      <c r="A307" s="24" t="s">
        <v>1409</v>
      </c>
      <c r="B307" s="4" t="s">
        <v>1031</v>
      </c>
      <c r="C307" s="25" t="s">
        <v>12</v>
      </c>
      <c r="G307" s="25" t="s">
        <v>1174</v>
      </c>
      <c r="H307" s="24" t="s">
        <v>1061</v>
      </c>
      <c r="I307" s="3" t="str">
        <f>IFERROR(VLOOKUP(C307,'Справочник соответствий'!A$2:D$2981,2,FALSE),IF(VALUE(C307)=0,1,VLOOKUP(C307,'Справочник соответствий'!A$2:D$2981,2,FALSE)))</f>
        <v>4</v>
      </c>
      <c r="J307" s="3">
        <f>IFERROR(VLOOKUP(D307,'Справочник соответствий'!A$2:D$2981,2,FALSE),IF(VALUE(D307)=0,0,VLOOKUP(D307,'Справочник соответствий'!A$2:D$2981,2,FALSE)))</f>
        <v>0</v>
      </c>
      <c r="K307" s="3">
        <f t="shared" si="28"/>
        <v>4</v>
      </c>
      <c r="L307" s="13" t="str">
        <f>IFERROR(VLOOKUP(C307,'Справочник соответствий'!A$2:D$2981,3,FALSE),IF(VALUE(C307)=0,"ЭТАЖ НЕ ОПРЕДЕЛЕН. ПРИНЯТ ПО ДОПУЩЕНИЮ 1",VLOOKUP(C307,'Справочник соответствий'!A$2:D$2981,3,FALSE)))</f>
        <v>ЭТАЖ ЗАДАН ЧИСЛОМ</v>
      </c>
      <c r="M307" s="13" t="b">
        <f t="shared" si="29"/>
        <v>0</v>
      </c>
      <c r="N307" s="13">
        <f t="shared" si="30"/>
        <v>4</v>
      </c>
      <c r="O307" s="13" t="str">
        <f t="shared" si="31"/>
        <v>ЭТАЖ ЗАДАН ЧИСЛОМ</v>
      </c>
      <c r="P307" s="13" t="str">
        <f t="shared" si="32"/>
        <v>МКД_ЭТАЖ ЗАДАН ЧИСЛОМ</v>
      </c>
      <c r="Q307" s="13" t="str">
        <f t="shared" si="33"/>
        <v>ГОТОВ_ИЗМЕНЕН</v>
      </c>
      <c r="R307" s="13">
        <f>IFERROR(VLOOKUP(P307,Лист1!A$1:B$20,2,FALSE),0)</f>
        <v>786</v>
      </c>
      <c r="S307" s="13">
        <f t="shared" si="34"/>
        <v>0</v>
      </c>
    </row>
    <row r="308" spans="1:19" x14ac:dyDescent="0.25">
      <c r="A308" s="24" t="s">
        <v>1410</v>
      </c>
      <c r="B308" s="4" t="s">
        <v>1059</v>
      </c>
      <c r="C308" s="25" t="s">
        <v>7</v>
      </c>
      <c r="G308" s="25" t="s">
        <v>1174</v>
      </c>
      <c r="H308" s="24" t="s">
        <v>1061</v>
      </c>
      <c r="I308" s="3" t="str">
        <f>IFERROR(VLOOKUP(C308,'Справочник соответствий'!A$2:D$2981,2,FALSE),IF(VALUE(C308)=0,1,VLOOKUP(C308,'Справочник соответствий'!A$2:D$2981,2,FALSE)))</f>
        <v>2</v>
      </c>
      <c r="J308" s="3">
        <f>IFERROR(VLOOKUP(D308,'Справочник соответствий'!A$2:D$2981,2,FALSE),IF(VALUE(D308)=0,0,VLOOKUP(D308,'Справочник соответствий'!A$2:D$2981,2,FALSE)))</f>
        <v>0</v>
      </c>
      <c r="K308" s="3" t="str">
        <f t="shared" si="28"/>
        <v>2</v>
      </c>
      <c r="L308" s="13" t="str">
        <f>IFERROR(VLOOKUP(C308,'Справочник соответствий'!A$2:D$2981,3,FALSE),IF(VALUE(C308)=0,"ЭТАЖ НЕ ОПРЕДЕЛЕН. ПРИНЯТ ПО ДОПУЩЕНИЮ 1",VLOOKUP(C308,'Справочник соответствий'!A$2:D$2981,3,FALSE)))</f>
        <v>ЭТАЖ ЗАДАН ЧИСЛОМ</v>
      </c>
      <c r="M308" s="13" t="b">
        <f t="shared" si="29"/>
        <v>0</v>
      </c>
      <c r="N308" s="13">
        <f t="shared" si="30"/>
        <v>2</v>
      </c>
      <c r="O308" s="13" t="str">
        <f t="shared" si="31"/>
        <v>ЭТАЖ ЗАДАН ЧИСЛОМ</v>
      </c>
      <c r="P308" s="13" t="str">
        <f t="shared" si="32"/>
        <v>ЭТАЖ ЗАДАН ЧИСЛОМ</v>
      </c>
      <c r="Q308" s="13" t="str">
        <f t="shared" si="33"/>
        <v>ГОТОВ_ИЗМЕНЕН</v>
      </c>
      <c r="R308" s="13">
        <f>IFERROR(VLOOKUP(P308,Лист1!A$1:B$20,2,FALSE),0)</f>
        <v>784</v>
      </c>
      <c r="S308" s="13">
        <f t="shared" si="34"/>
        <v>0</v>
      </c>
    </row>
    <row r="309" spans="1:19" x14ac:dyDescent="0.25">
      <c r="A309" s="24" t="s">
        <v>1411</v>
      </c>
      <c r="B309" s="4" t="s">
        <v>1063</v>
      </c>
      <c r="C309" s="25" t="s">
        <v>5</v>
      </c>
      <c r="G309" s="25" t="s">
        <v>1174</v>
      </c>
      <c r="H309" s="24" t="s">
        <v>1061</v>
      </c>
      <c r="I309" s="3" t="str">
        <f>IFERROR(VLOOKUP(C309,'Справочник соответствий'!A$2:D$2981,2,FALSE),IF(VALUE(C309)=0,1,VLOOKUP(C309,'Справочник соответствий'!A$2:D$2981,2,FALSE)))</f>
        <v>1</v>
      </c>
      <c r="J309" s="3">
        <f>IFERROR(VLOOKUP(D309,'Справочник соответствий'!A$2:D$2981,2,FALSE),IF(VALUE(D309)=0,0,VLOOKUP(D309,'Справочник соответствий'!A$2:D$2981,2,FALSE)))</f>
        <v>0</v>
      </c>
      <c r="K309" s="3" t="str">
        <f t="shared" si="28"/>
        <v>1</v>
      </c>
      <c r="L309" s="13" t="str">
        <f>IFERROR(VLOOKUP(C309,'Справочник соответствий'!A$2:D$2981,3,FALSE),IF(VALUE(C309)=0,"ЭТАЖ НЕ ОПРЕДЕЛЕН. ПРИНЯТ ПО ДОПУЩЕНИЮ 1",VLOOKUP(C309,'Справочник соответствий'!A$2:D$2981,3,FALSE)))</f>
        <v>ЭТАЖ ЗАДАН ЧИСЛОМ</v>
      </c>
      <c r="M309" s="13" t="b">
        <f t="shared" si="29"/>
        <v>0</v>
      </c>
      <c r="N309" s="13">
        <f t="shared" si="30"/>
        <v>1</v>
      </c>
      <c r="O309" s="13" t="str">
        <f t="shared" si="31"/>
        <v>ЭТАЖ ЗАДАН ЧИСЛОМ</v>
      </c>
      <c r="P309" s="13" t="str">
        <f t="shared" si="32"/>
        <v>ЭТАЖ ЗАДАН ЧИСЛОМ</v>
      </c>
      <c r="Q309" s="13" t="str">
        <f t="shared" si="33"/>
        <v>ГОТОВ_ИЗМЕНЕН</v>
      </c>
      <c r="R309" s="13">
        <f>IFERROR(VLOOKUP(P309,Лист1!A$1:B$20,2,FALSE),0)</f>
        <v>784</v>
      </c>
      <c r="S309" s="13">
        <f t="shared" si="34"/>
        <v>0</v>
      </c>
    </row>
    <row r="310" spans="1:19" x14ac:dyDescent="0.25">
      <c r="A310" s="24" t="s">
        <v>1412</v>
      </c>
      <c r="B310" s="4" t="s">
        <v>1063</v>
      </c>
      <c r="C310" s="25" t="s">
        <v>7</v>
      </c>
      <c r="G310" s="25" t="s">
        <v>1108</v>
      </c>
      <c r="H310" s="24" t="s">
        <v>1061</v>
      </c>
      <c r="I310" s="3" t="str">
        <f>IFERROR(VLOOKUP(C310,'Справочник соответствий'!A$2:D$2981,2,FALSE),IF(VALUE(C310)=0,1,VLOOKUP(C310,'Справочник соответствий'!A$2:D$2981,2,FALSE)))</f>
        <v>2</v>
      </c>
      <c r="J310" s="3">
        <f>IFERROR(VLOOKUP(D310,'Справочник соответствий'!A$2:D$2981,2,FALSE),IF(VALUE(D310)=0,0,VLOOKUP(D310,'Справочник соответствий'!A$2:D$2981,2,FALSE)))</f>
        <v>0</v>
      </c>
      <c r="K310" s="3" t="str">
        <f t="shared" si="28"/>
        <v>2</v>
      </c>
      <c r="L310" s="13" t="str">
        <f>IFERROR(VLOOKUP(C310,'Справочник соответствий'!A$2:D$2981,3,FALSE),IF(VALUE(C310)=0,"ЭТАЖ НЕ ОПРЕДЕЛЕН. ПРИНЯТ ПО ДОПУЩЕНИЮ 1",VLOOKUP(C310,'Справочник соответствий'!A$2:D$2981,3,FALSE)))</f>
        <v>ЭТАЖ ЗАДАН ЧИСЛОМ</v>
      </c>
      <c r="M310" s="13" t="b">
        <f t="shared" si="29"/>
        <v>0</v>
      </c>
      <c r="N310" s="13">
        <f t="shared" si="30"/>
        <v>2</v>
      </c>
      <c r="O310" s="13" t="str">
        <f t="shared" si="31"/>
        <v>ЭТАЖ ЗАДАН ЧИСЛОМ</v>
      </c>
      <c r="P310" s="13" t="str">
        <f t="shared" si="32"/>
        <v>ЭТАЖ ЗАДАН ЧИСЛОМ</v>
      </c>
      <c r="Q310" s="13" t="str">
        <f t="shared" si="33"/>
        <v>ГОТОВ_ИЗМЕНЕН</v>
      </c>
      <c r="R310" s="13">
        <f>IFERROR(VLOOKUP(P310,Лист1!A$1:B$20,2,FALSE),0)</f>
        <v>784</v>
      </c>
      <c r="S310" s="13">
        <f t="shared" si="34"/>
        <v>0</v>
      </c>
    </row>
    <row r="311" spans="1:19" x14ac:dyDescent="0.25">
      <c r="A311" s="24" t="s">
        <v>1413</v>
      </c>
      <c r="B311" s="4" t="s">
        <v>1063</v>
      </c>
      <c r="C311" s="25" t="s">
        <v>5</v>
      </c>
      <c r="G311" s="25" t="s">
        <v>1108</v>
      </c>
      <c r="H311" s="24" t="s">
        <v>1061</v>
      </c>
      <c r="I311" s="3" t="str">
        <f>IFERROR(VLOOKUP(C311,'Справочник соответствий'!A$2:D$2981,2,FALSE),IF(VALUE(C311)=0,1,VLOOKUP(C311,'Справочник соответствий'!A$2:D$2981,2,FALSE)))</f>
        <v>1</v>
      </c>
      <c r="J311" s="3">
        <f>IFERROR(VLOOKUP(D311,'Справочник соответствий'!A$2:D$2981,2,FALSE),IF(VALUE(D311)=0,0,VLOOKUP(D311,'Справочник соответствий'!A$2:D$2981,2,FALSE)))</f>
        <v>0</v>
      </c>
      <c r="K311" s="3" t="str">
        <f t="shared" si="28"/>
        <v>1</v>
      </c>
      <c r="L311" s="13" t="str">
        <f>IFERROR(VLOOKUP(C311,'Справочник соответствий'!A$2:D$2981,3,FALSE),IF(VALUE(C311)=0,"ЭТАЖ НЕ ОПРЕДЕЛЕН. ПРИНЯТ ПО ДОПУЩЕНИЮ 1",VLOOKUP(C311,'Справочник соответствий'!A$2:D$2981,3,FALSE)))</f>
        <v>ЭТАЖ ЗАДАН ЧИСЛОМ</v>
      </c>
      <c r="M311" s="13" t="b">
        <f t="shared" si="29"/>
        <v>0</v>
      </c>
      <c r="N311" s="13">
        <f t="shared" si="30"/>
        <v>1</v>
      </c>
      <c r="O311" s="13" t="str">
        <f t="shared" si="31"/>
        <v>ЭТАЖ ЗАДАН ЧИСЛОМ</v>
      </c>
      <c r="P311" s="13" t="str">
        <f t="shared" si="32"/>
        <v>ЭТАЖ ЗАДАН ЧИСЛОМ</v>
      </c>
      <c r="Q311" s="13" t="str">
        <f t="shared" si="33"/>
        <v>ГОТОВ_ИЗМЕНЕН</v>
      </c>
      <c r="R311" s="13">
        <f>IFERROR(VLOOKUP(P311,Лист1!A$1:B$20,2,FALSE),0)</f>
        <v>784</v>
      </c>
      <c r="S311" s="13">
        <f t="shared" si="34"/>
        <v>0</v>
      </c>
    </row>
    <row r="312" spans="1:19" x14ac:dyDescent="0.25">
      <c r="A312" s="24" t="s">
        <v>1414</v>
      </c>
      <c r="B312" s="4" t="s">
        <v>1063</v>
      </c>
      <c r="C312" s="25" t="s">
        <v>5</v>
      </c>
      <c r="G312" s="25" t="s">
        <v>1108</v>
      </c>
      <c r="H312" s="24" t="s">
        <v>1061</v>
      </c>
      <c r="I312" s="3" t="str">
        <f>IFERROR(VLOOKUP(C312,'Справочник соответствий'!A$2:D$2981,2,FALSE),IF(VALUE(C312)=0,1,VLOOKUP(C312,'Справочник соответствий'!A$2:D$2981,2,FALSE)))</f>
        <v>1</v>
      </c>
      <c r="J312" s="3">
        <f>IFERROR(VLOOKUP(D312,'Справочник соответствий'!A$2:D$2981,2,FALSE),IF(VALUE(D312)=0,0,VLOOKUP(D312,'Справочник соответствий'!A$2:D$2981,2,FALSE)))</f>
        <v>0</v>
      </c>
      <c r="K312" s="3" t="str">
        <f t="shared" si="28"/>
        <v>1</v>
      </c>
      <c r="L312" s="13" t="str">
        <f>IFERROR(VLOOKUP(C312,'Справочник соответствий'!A$2:D$2981,3,FALSE),IF(VALUE(C312)=0,"ЭТАЖ НЕ ОПРЕДЕЛЕН. ПРИНЯТ ПО ДОПУЩЕНИЮ 1",VLOOKUP(C312,'Справочник соответствий'!A$2:D$2981,3,FALSE)))</f>
        <v>ЭТАЖ ЗАДАН ЧИСЛОМ</v>
      </c>
      <c r="M312" s="13" t="b">
        <f t="shared" si="29"/>
        <v>0</v>
      </c>
      <c r="N312" s="13">
        <f t="shared" si="30"/>
        <v>1</v>
      </c>
      <c r="O312" s="13" t="str">
        <f t="shared" si="31"/>
        <v>ЭТАЖ ЗАДАН ЧИСЛОМ</v>
      </c>
      <c r="P312" s="13" t="str">
        <f t="shared" si="32"/>
        <v>ЭТАЖ ЗАДАН ЧИСЛОМ</v>
      </c>
      <c r="Q312" s="13" t="str">
        <f t="shared" si="33"/>
        <v>ГОТОВ_ИЗМЕНЕН</v>
      </c>
      <c r="R312" s="13">
        <f>IFERROR(VLOOKUP(P312,Лист1!A$1:B$20,2,FALSE),0)</f>
        <v>784</v>
      </c>
      <c r="S312" s="13">
        <f t="shared" si="34"/>
        <v>0</v>
      </c>
    </row>
    <row r="313" spans="1:19" x14ac:dyDescent="0.25">
      <c r="A313" s="24" t="s">
        <v>1415</v>
      </c>
      <c r="B313" s="4" t="s">
        <v>1059</v>
      </c>
      <c r="G313" s="25" t="s">
        <v>1193</v>
      </c>
      <c r="H313" s="24" t="s">
        <v>1061</v>
      </c>
      <c r="I313" s="3">
        <f>IFERROR(VLOOKUP(C313,'Справочник соответствий'!A$2:D$2981,2,FALSE),IF(VALUE(C313)=0,1,VLOOKUP(C313,'Справочник соответствий'!A$2:D$2981,2,FALSE)))</f>
        <v>1</v>
      </c>
      <c r="J313" s="3">
        <f>IFERROR(VLOOKUP(D313,'Справочник соответствий'!A$2:D$2981,2,FALSE),IF(VALUE(D313)=0,0,VLOOKUP(D313,'Справочник соответствий'!A$2:D$2981,2,FALSE)))</f>
        <v>0</v>
      </c>
      <c r="K313" s="3">
        <f t="shared" si="28"/>
        <v>1</v>
      </c>
      <c r="L313" s="13" t="str">
        <f>IFERROR(VLOOKUP(C313,'Справочник соответствий'!A$2:D$2981,3,FALSE),IF(VALUE(C313)=0,"ЭТАЖ НЕ ОПРЕДЕЛЕН. ПРИНЯТ ПО ДОПУЩЕНИЮ 1",VLOOKUP(C313,'Справочник соответствий'!A$2:D$2981,3,FALSE)))</f>
        <v>ЭТАЖ НЕ ОПРЕДЕЛЕН. ПРИНЯТ ПО ДОПУЩЕНИЮ 1</v>
      </c>
      <c r="M313" s="13" t="b">
        <f t="shared" si="29"/>
        <v>0</v>
      </c>
      <c r="N313" s="13">
        <f t="shared" si="30"/>
        <v>1</v>
      </c>
      <c r="O313" s="13" t="str">
        <f t="shared" si="31"/>
        <v>ЭТАЖ НЕ ОПРЕДЕЛЕН. ПРИНЯТ ПО ДОПУЩЕНИЮ 1</v>
      </c>
      <c r="P313" s="13" t="str">
        <f t="shared" si="32"/>
        <v>ЭТАЖ НЕ ОПРЕДЕЛЕН. ПРИНЯТ ПО ДОПУЩЕНИЮ 1</v>
      </c>
      <c r="Q313" s="13" t="str">
        <f t="shared" si="33"/>
        <v>ГОТОВ_ИЗМЕНЕН</v>
      </c>
      <c r="R313" s="13">
        <f>IFERROR(VLOOKUP(P313,Лист1!A$1:B$20,2,FALSE),0)</f>
        <v>788</v>
      </c>
      <c r="S313" s="13">
        <f t="shared" si="34"/>
        <v>0</v>
      </c>
    </row>
    <row r="314" spans="1:19" x14ac:dyDescent="0.25">
      <c r="A314" s="24" t="s">
        <v>1416</v>
      </c>
      <c r="B314" s="4" t="s">
        <v>1063</v>
      </c>
      <c r="C314" s="25" t="s">
        <v>5</v>
      </c>
      <c r="G314" s="25" t="s">
        <v>1108</v>
      </c>
      <c r="H314" s="24" t="s">
        <v>1061</v>
      </c>
      <c r="I314" s="3" t="str">
        <f>IFERROR(VLOOKUP(C314,'Справочник соответствий'!A$2:D$2981,2,FALSE),IF(VALUE(C314)=0,1,VLOOKUP(C314,'Справочник соответствий'!A$2:D$2981,2,FALSE)))</f>
        <v>1</v>
      </c>
      <c r="J314" s="3">
        <f>IFERROR(VLOOKUP(D314,'Справочник соответствий'!A$2:D$2981,2,FALSE),IF(VALUE(D314)=0,0,VLOOKUP(D314,'Справочник соответствий'!A$2:D$2981,2,FALSE)))</f>
        <v>0</v>
      </c>
      <c r="K314" s="3" t="str">
        <f t="shared" si="28"/>
        <v>1</v>
      </c>
      <c r="L314" s="13" t="str">
        <f>IFERROR(VLOOKUP(C314,'Справочник соответствий'!A$2:D$2981,3,FALSE),IF(VALUE(C314)=0,"ЭТАЖ НЕ ОПРЕДЕЛЕН. ПРИНЯТ ПО ДОПУЩЕНИЮ 1",VLOOKUP(C314,'Справочник соответствий'!A$2:D$2981,3,FALSE)))</f>
        <v>ЭТАЖ ЗАДАН ЧИСЛОМ</v>
      </c>
      <c r="M314" s="13" t="b">
        <f t="shared" si="29"/>
        <v>0</v>
      </c>
      <c r="N314" s="13">
        <f t="shared" si="30"/>
        <v>1</v>
      </c>
      <c r="O314" s="13" t="str">
        <f t="shared" si="31"/>
        <v>ЭТАЖ ЗАДАН ЧИСЛОМ</v>
      </c>
      <c r="P314" s="13" t="str">
        <f t="shared" si="32"/>
        <v>ЭТАЖ ЗАДАН ЧИСЛОМ</v>
      </c>
      <c r="Q314" s="13" t="str">
        <f t="shared" si="33"/>
        <v>ГОТОВ_ИЗМЕНЕН</v>
      </c>
      <c r="R314" s="13">
        <f>IFERROR(VLOOKUP(P314,Лист1!A$1:B$20,2,FALSE),0)</f>
        <v>784</v>
      </c>
      <c r="S314" s="13">
        <f t="shared" si="34"/>
        <v>0</v>
      </c>
    </row>
    <row r="315" spans="1:19" x14ac:dyDescent="0.25">
      <c r="A315" s="24" t="s">
        <v>1417</v>
      </c>
      <c r="B315" s="4" t="s">
        <v>1059</v>
      </c>
      <c r="C315" s="25" t="s">
        <v>7</v>
      </c>
      <c r="G315" s="25" t="s">
        <v>1195</v>
      </c>
      <c r="H315" s="24" t="s">
        <v>1061</v>
      </c>
      <c r="I315" s="3" t="str">
        <f>IFERROR(VLOOKUP(C315,'Справочник соответствий'!A$2:D$2981,2,FALSE),IF(VALUE(C315)=0,1,VLOOKUP(C315,'Справочник соответствий'!A$2:D$2981,2,FALSE)))</f>
        <v>2</v>
      </c>
      <c r="J315" s="3">
        <f>IFERROR(VLOOKUP(D315,'Справочник соответствий'!A$2:D$2981,2,FALSE),IF(VALUE(D315)=0,0,VLOOKUP(D315,'Справочник соответствий'!A$2:D$2981,2,FALSE)))</f>
        <v>0</v>
      </c>
      <c r="K315" s="3" t="str">
        <f t="shared" si="28"/>
        <v>2</v>
      </c>
      <c r="L315" s="13" t="str">
        <f>IFERROR(VLOOKUP(C315,'Справочник соответствий'!A$2:D$2981,3,FALSE),IF(VALUE(C315)=0,"ЭТАЖ НЕ ОПРЕДЕЛЕН. ПРИНЯТ ПО ДОПУЩЕНИЮ 1",VLOOKUP(C315,'Справочник соответствий'!A$2:D$2981,3,FALSE)))</f>
        <v>ЭТАЖ ЗАДАН ЧИСЛОМ</v>
      </c>
      <c r="M315" s="13" t="b">
        <f t="shared" si="29"/>
        <v>0</v>
      </c>
      <c r="N315" s="13">
        <f t="shared" si="30"/>
        <v>2</v>
      </c>
      <c r="O315" s="13" t="str">
        <f t="shared" si="31"/>
        <v>ЭТАЖ ЗАДАН ЧИСЛОМ</v>
      </c>
      <c r="P315" s="13" t="str">
        <f t="shared" si="32"/>
        <v>ЭТАЖ ЗАДАН ЧИСЛОМ</v>
      </c>
      <c r="Q315" s="13" t="str">
        <f t="shared" si="33"/>
        <v>ГОТОВ_ИЗМЕНЕН</v>
      </c>
      <c r="R315" s="13">
        <f>IFERROR(VLOOKUP(P315,Лист1!A$1:B$20,2,FALSE),0)</f>
        <v>784</v>
      </c>
      <c r="S315" s="13">
        <f t="shared" si="34"/>
        <v>0</v>
      </c>
    </row>
    <row r="316" spans="1:19" x14ac:dyDescent="0.25">
      <c r="A316" s="24" t="s">
        <v>1418</v>
      </c>
      <c r="B316" s="4" t="s">
        <v>1059</v>
      </c>
      <c r="C316" s="25" t="s">
        <v>5</v>
      </c>
      <c r="G316" s="25" t="s">
        <v>1089</v>
      </c>
      <c r="H316" s="24" t="s">
        <v>1061</v>
      </c>
      <c r="I316" s="3" t="str">
        <f>IFERROR(VLOOKUP(C316,'Справочник соответствий'!A$2:D$2981,2,FALSE),IF(VALUE(C316)=0,1,VLOOKUP(C316,'Справочник соответствий'!A$2:D$2981,2,FALSE)))</f>
        <v>1</v>
      </c>
      <c r="J316" s="3">
        <f>IFERROR(VLOOKUP(D316,'Справочник соответствий'!A$2:D$2981,2,FALSE),IF(VALUE(D316)=0,0,VLOOKUP(D316,'Справочник соответствий'!A$2:D$2981,2,FALSE)))</f>
        <v>0</v>
      </c>
      <c r="K316" s="3" t="str">
        <f t="shared" si="28"/>
        <v>1</v>
      </c>
      <c r="L316" s="13" t="str">
        <f>IFERROR(VLOOKUP(C316,'Справочник соответствий'!A$2:D$2981,3,FALSE),IF(VALUE(C316)=0,"ЭТАЖ НЕ ОПРЕДЕЛЕН. ПРИНЯТ ПО ДОПУЩЕНИЮ 1",VLOOKUP(C316,'Справочник соответствий'!A$2:D$2981,3,FALSE)))</f>
        <v>ЭТАЖ ЗАДАН ЧИСЛОМ</v>
      </c>
      <c r="M316" s="13" t="b">
        <f t="shared" si="29"/>
        <v>0</v>
      </c>
      <c r="N316" s="13">
        <f t="shared" si="30"/>
        <v>1</v>
      </c>
      <c r="O316" s="13" t="str">
        <f t="shared" si="31"/>
        <v>ЭТАЖ ЗАДАН ЧИСЛОМ</v>
      </c>
      <c r="P316" s="13" t="str">
        <f t="shared" si="32"/>
        <v>ЭТАЖ ЗАДАН ЧИСЛОМ</v>
      </c>
      <c r="Q316" s="13" t="str">
        <f t="shared" si="33"/>
        <v>ГОТОВ_ИЗМЕНЕН</v>
      </c>
      <c r="R316" s="13">
        <f>IFERROR(VLOOKUP(P316,Лист1!A$1:B$20,2,FALSE),0)</f>
        <v>784</v>
      </c>
      <c r="S316" s="13">
        <f t="shared" si="34"/>
        <v>0</v>
      </c>
    </row>
    <row r="317" spans="1:19" x14ac:dyDescent="0.25">
      <c r="A317" s="24" t="s">
        <v>1419</v>
      </c>
      <c r="B317" s="4" t="s">
        <v>1059</v>
      </c>
      <c r="C317" s="25" t="s">
        <v>5</v>
      </c>
      <c r="G317" s="25" t="s">
        <v>1195</v>
      </c>
      <c r="H317" s="24" t="s">
        <v>1061</v>
      </c>
      <c r="I317" s="3" t="str">
        <f>IFERROR(VLOOKUP(C317,'Справочник соответствий'!A$2:D$2981,2,FALSE),IF(VALUE(C317)=0,1,VLOOKUP(C317,'Справочник соответствий'!A$2:D$2981,2,FALSE)))</f>
        <v>1</v>
      </c>
      <c r="J317" s="3">
        <f>IFERROR(VLOOKUP(D317,'Справочник соответствий'!A$2:D$2981,2,FALSE),IF(VALUE(D317)=0,0,VLOOKUP(D317,'Справочник соответствий'!A$2:D$2981,2,FALSE)))</f>
        <v>0</v>
      </c>
      <c r="K317" s="3" t="str">
        <f t="shared" si="28"/>
        <v>1</v>
      </c>
      <c r="L317" s="13" t="str">
        <f>IFERROR(VLOOKUP(C317,'Справочник соответствий'!A$2:D$2981,3,FALSE),IF(VALUE(C317)=0,"ЭТАЖ НЕ ОПРЕДЕЛЕН. ПРИНЯТ ПО ДОПУЩЕНИЮ 1",VLOOKUP(C317,'Справочник соответствий'!A$2:D$2981,3,FALSE)))</f>
        <v>ЭТАЖ ЗАДАН ЧИСЛОМ</v>
      </c>
      <c r="M317" s="13" t="b">
        <f t="shared" si="29"/>
        <v>0</v>
      </c>
      <c r="N317" s="13">
        <f t="shared" si="30"/>
        <v>1</v>
      </c>
      <c r="O317" s="13" t="str">
        <f t="shared" si="31"/>
        <v>ЭТАЖ ЗАДАН ЧИСЛОМ</v>
      </c>
      <c r="P317" s="13" t="str">
        <f t="shared" si="32"/>
        <v>ЭТАЖ ЗАДАН ЧИСЛОМ</v>
      </c>
      <c r="Q317" s="13" t="str">
        <f t="shared" si="33"/>
        <v>ГОТОВ_ИЗМЕНЕН</v>
      </c>
      <c r="R317" s="13">
        <f>IFERROR(VLOOKUP(P317,Лист1!A$1:B$20,2,FALSE),0)</f>
        <v>784</v>
      </c>
      <c r="S317" s="13">
        <f t="shared" si="34"/>
        <v>0</v>
      </c>
    </row>
    <row r="318" spans="1:19" x14ac:dyDescent="0.25">
      <c r="A318" s="24" t="s">
        <v>1420</v>
      </c>
      <c r="B318" s="4" t="s">
        <v>1031</v>
      </c>
      <c r="C318" s="25" t="s">
        <v>316</v>
      </c>
      <c r="D318" s="25" t="s">
        <v>5</v>
      </c>
      <c r="G318" s="25" t="s">
        <v>1195</v>
      </c>
      <c r="H318" s="24" t="s">
        <v>1061</v>
      </c>
      <c r="I318" s="3" t="str">
        <f>IFERROR(VLOOKUP(C318,'Справочник соответствий'!A$2:D$2981,2,FALSE),IF(VALUE(C318)=0,1,VLOOKUP(C318,'Справочник соответствий'!A$2:D$2981,2,FALSE)))</f>
        <v>10</v>
      </c>
      <c r="J318" s="3" t="str">
        <f>IFERROR(VLOOKUP(D318,'Справочник соответствий'!A$2:D$2981,2,FALSE),IF(VALUE(D318)=0,0,VLOOKUP(D318,'Справочник соответствий'!A$2:D$2981,2,FALSE)))</f>
        <v>1</v>
      </c>
      <c r="K318" s="3">
        <f t="shared" si="28"/>
        <v>9</v>
      </c>
      <c r="L318" s="13" t="str">
        <f>IFERROR(VLOOKUP(C318,'Справочник соответствий'!A$2:D$2981,3,FALSE),IF(VALUE(C318)=0,"ЭТАЖ НЕ ОПРЕДЕЛЕН. ПРИНЯТ ПО ДОПУЩЕНИЮ 1",VLOOKUP(C318,'Справочник соответствий'!A$2:D$2981,3,FALSE)))</f>
        <v>СПРАВОЧНИК ЭТАЖНОСТИ</v>
      </c>
      <c r="M318" s="13" t="b">
        <f t="shared" si="29"/>
        <v>0</v>
      </c>
      <c r="N318" s="13">
        <f t="shared" si="30"/>
        <v>9</v>
      </c>
      <c r="O318" s="13" t="str">
        <f t="shared" si="31"/>
        <v>СПРАВОЧНИК ЭТАЖНОСТИ</v>
      </c>
      <c r="P318" s="13" t="str">
        <f t="shared" si="32"/>
        <v>МКД_СПРАВОЧНИК ЭТАЖНОСТИ</v>
      </c>
      <c r="Q318" s="13" t="str">
        <f t="shared" si="33"/>
        <v>ГОТОВ_ИЗМЕНЕН</v>
      </c>
      <c r="R318" s="13">
        <f>IFERROR(VLOOKUP(P318,Лист1!A$1:B$20,2,FALSE),0)</f>
        <v>787</v>
      </c>
      <c r="S318" s="13">
        <f t="shared" si="34"/>
        <v>0</v>
      </c>
    </row>
    <row r="319" spans="1:19" x14ac:dyDescent="0.25">
      <c r="A319" s="24" t="s">
        <v>1421</v>
      </c>
      <c r="B319" s="4" t="s">
        <v>1059</v>
      </c>
      <c r="C319" s="25" t="s">
        <v>8</v>
      </c>
      <c r="D319" s="25" t="s">
        <v>5</v>
      </c>
      <c r="G319" s="25" t="s">
        <v>1195</v>
      </c>
      <c r="H319" s="24" t="s">
        <v>1061</v>
      </c>
      <c r="I319" s="3" t="str">
        <f>IFERROR(VLOOKUP(C319,'Справочник соответствий'!A$2:D$2981,2,FALSE),IF(VALUE(C319)=0,1,VLOOKUP(C319,'Справочник соответствий'!A$2:D$2981,2,FALSE)))</f>
        <v>3</v>
      </c>
      <c r="J319" s="3" t="str">
        <f>IFERROR(VLOOKUP(D319,'Справочник соответствий'!A$2:D$2981,2,FALSE),IF(VALUE(D319)=0,0,VLOOKUP(D319,'Справочник соответствий'!A$2:D$2981,2,FALSE)))</f>
        <v>1</v>
      </c>
      <c r="K319" s="3" t="str">
        <f t="shared" si="28"/>
        <v>3</v>
      </c>
      <c r="L319" s="13" t="str">
        <f>IFERROR(VLOOKUP(C319,'Справочник соответствий'!A$2:D$2981,3,FALSE),IF(VALUE(C319)=0,"ЭТАЖ НЕ ОПРЕДЕЛЕН. ПРИНЯТ ПО ДОПУЩЕНИЮ 1",VLOOKUP(C319,'Справочник соответствий'!A$2:D$2981,3,FALSE)))</f>
        <v>ЭТАЖ ЗАДАН ЧИСЛОМ</v>
      </c>
      <c r="M319" s="13" t="b">
        <f t="shared" si="29"/>
        <v>0</v>
      </c>
      <c r="N319" s="13">
        <f t="shared" si="30"/>
        <v>3</v>
      </c>
      <c r="O319" s="13" t="str">
        <f t="shared" si="31"/>
        <v>ЭТАЖ ЗАДАН ЧИСЛОМ</v>
      </c>
      <c r="P319" s="13" t="str">
        <f t="shared" si="32"/>
        <v>ЭТАЖ ЗАДАН ЧИСЛОМ</v>
      </c>
      <c r="Q319" s="13" t="str">
        <f t="shared" si="33"/>
        <v>ГОТОВ_ИЗМЕНЕН</v>
      </c>
      <c r="R319" s="13">
        <f>IFERROR(VLOOKUP(P319,Лист1!A$1:B$20,2,FALSE),0)</f>
        <v>784</v>
      </c>
      <c r="S319" s="13">
        <f t="shared" si="34"/>
        <v>0</v>
      </c>
    </row>
    <row r="320" spans="1:19" x14ac:dyDescent="0.25">
      <c r="A320" s="24" t="s">
        <v>1422</v>
      </c>
      <c r="B320" s="4" t="s">
        <v>1063</v>
      </c>
      <c r="G320" s="25" t="s">
        <v>1089</v>
      </c>
      <c r="H320" s="24" t="s">
        <v>1061</v>
      </c>
      <c r="I320" s="3">
        <f>IFERROR(VLOOKUP(C320,'Справочник соответствий'!A$2:D$2981,2,FALSE),IF(VALUE(C320)=0,1,VLOOKUP(C320,'Справочник соответствий'!A$2:D$2981,2,FALSE)))</f>
        <v>1</v>
      </c>
      <c r="J320" s="3">
        <f>IFERROR(VLOOKUP(D320,'Справочник соответствий'!A$2:D$2981,2,FALSE),IF(VALUE(D320)=0,0,VLOOKUP(D320,'Справочник соответствий'!A$2:D$2981,2,FALSE)))</f>
        <v>0</v>
      </c>
      <c r="K320" s="3">
        <f t="shared" si="28"/>
        <v>1</v>
      </c>
      <c r="L320" s="13" t="str">
        <f>IFERROR(VLOOKUP(C320,'Справочник соответствий'!A$2:D$2981,3,FALSE),IF(VALUE(C320)=0,"ЭТАЖ НЕ ОПРЕДЕЛЕН. ПРИНЯТ ПО ДОПУЩЕНИЮ 1",VLOOKUP(C320,'Справочник соответствий'!A$2:D$2981,3,FALSE)))</f>
        <v>ЭТАЖ НЕ ОПРЕДЕЛЕН. ПРИНЯТ ПО ДОПУЩЕНИЮ 1</v>
      </c>
      <c r="M320" s="13" t="b">
        <f t="shared" si="29"/>
        <v>0</v>
      </c>
      <c r="N320" s="13">
        <f t="shared" si="30"/>
        <v>1</v>
      </c>
      <c r="O320" s="13" t="str">
        <f t="shared" si="31"/>
        <v>ЭТАЖ НЕ ОПРЕДЕЛЕН. ПРИНЯТ ПО ДОПУЩЕНИЮ 1</v>
      </c>
      <c r="P320" s="13" t="str">
        <f t="shared" si="32"/>
        <v>ЭТАЖ НЕ ОПРЕДЕЛЕН. ПРИНЯТ ПО ДОПУЩЕНИЮ 1</v>
      </c>
      <c r="Q320" s="13" t="str">
        <f t="shared" si="33"/>
        <v>ГОТОВ_ИЗМЕНЕН</v>
      </c>
      <c r="R320" s="13">
        <f>IFERROR(VLOOKUP(P320,Лист1!A$1:B$20,2,FALSE),0)</f>
        <v>788</v>
      </c>
      <c r="S320" s="13">
        <f t="shared" si="34"/>
        <v>0</v>
      </c>
    </row>
    <row r="321" spans="1:19" x14ac:dyDescent="0.25">
      <c r="A321" s="24" t="s">
        <v>1423</v>
      </c>
      <c r="B321" s="4" t="s">
        <v>1063</v>
      </c>
      <c r="C321" s="25" t="s">
        <v>5</v>
      </c>
      <c r="G321" s="25" t="s">
        <v>1195</v>
      </c>
      <c r="H321" s="24" t="s">
        <v>1061</v>
      </c>
      <c r="I321" s="3" t="str">
        <f>IFERROR(VLOOKUP(C321,'Справочник соответствий'!A$2:D$2981,2,FALSE),IF(VALUE(C321)=0,1,VLOOKUP(C321,'Справочник соответствий'!A$2:D$2981,2,FALSE)))</f>
        <v>1</v>
      </c>
      <c r="J321" s="3">
        <f>IFERROR(VLOOKUP(D321,'Справочник соответствий'!A$2:D$2981,2,FALSE),IF(VALUE(D321)=0,0,VLOOKUP(D321,'Справочник соответствий'!A$2:D$2981,2,FALSE)))</f>
        <v>0</v>
      </c>
      <c r="K321" s="3" t="str">
        <f t="shared" si="28"/>
        <v>1</v>
      </c>
      <c r="L321" s="13" t="str">
        <f>IFERROR(VLOOKUP(C321,'Справочник соответствий'!A$2:D$2981,3,FALSE),IF(VALUE(C321)=0,"ЭТАЖ НЕ ОПРЕДЕЛЕН. ПРИНЯТ ПО ДОПУЩЕНИЮ 1",VLOOKUP(C321,'Справочник соответствий'!A$2:D$2981,3,FALSE)))</f>
        <v>ЭТАЖ ЗАДАН ЧИСЛОМ</v>
      </c>
      <c r="M321" s="13" t="b">
        <f t="shared" si="29"/>
        <v>0</v>
      </c>
      <c r="N321" s="13">
        <f t="shared" si="30"/>
        <v>1</v>
      </c>
      <c r="O321" s="13" t="str">
        <f t="shared" si="31"/>
        <v>ЭТАЖ ЗАДАН ЧИСЛОМ</v>
      </c>
      <c r="P321" s="13" t="str">
        <f t="shared" si="32"/>
        <v>ЭТАЖ ЗАДАН ЧИСЛОМ</v>
      </c>
      <c r="Q321" s="13" t="str">
        <f t="shared" si="33"/>
        <v>ГОТОВ_ИЗМЕНЕН</v>
      </c>
      <c r="R321" s="13">
        <f>IFERROR(VLOOKUP(P321,Лист1!A$1:B$20,2,FALSE),0)</f>
        <v>784</v>
      </c>
      <c r="S321" s="13">
        <f t="shared" si="34"/>
        <v>0</v>
      </c>
    </row>
    <row r="322" spans="1:19" x14ac:dyDescent="0.25">
      <c r="A322" s="24" t="s">
        <v>1424</v>
      </c>
      <c r="B322" s="4" t="s">
        <v>1063</v>
      </c>
      <c r="C322" s="25" t="s">
        <v>7</v>
      </c>
      <c r="G322" s="25" t="s">
        <v>1347</v>
      </c>
      <c r="H322" s="24" t="s">
        <v>1061</v>
      </c>
      <c r="I322" s="3" t="str">
        <f>IFERROR(VLOOKUP(C322,'Справочник соответствий'!A$2:D$2981,2,FALSE),IF(VALUE(C322)=0,1,VLOOKUP(C322,'Справочник соответствий'!A$2:D$2981,2,FALSE)))</f>
        <v>2</v>
      </c>
      <c r="J322" s="3">
        <f>IFERROR(VLOOKUP(D322,'Справочник соответствий'!A$2:D$2981,2,FALSE),IF(VALUE(D322)=0,0,VLOOKUP(D322,'Справочник соответствий'!A$2:D$2981,2,FALSE)))</f>
        <v>0</v>
      </c>
      <c r="K322" s="3" t="str">
        <f t="shared" si="28"/>
        <v>2</v>
      </c>
      <c r="L322" s="13" t="str">
        <f>IFERROR(VLOOKUP(C322,'Справочник соответствий'!A$2:D$2981,3,FALSE),IF(VALUE(C322)=0,"ЭТАЖ НЕ ОПРЕДЕЛЕН. ПРИНЯТ ПО ДОПУЩЕНИЮ 1",VLOOKUP(C322,'Справочник соответствий'!A$2:D$2981,3,FALSE)))</f>
        <v>ЭТАЖ ЗАДАН ЧИСЛОМ</v>
      </c>
      <c r="M322" s="13" t="b">
        <f t="shared" si="29"/>
        <v>0</v>
      </c>
      <c r="N322" s="13">
        <f t="shared" si="30"/>
        <v>2</v>
      </c>
      <c r="O322" s="13" t="str">
        <f t="shared" si="31"/>
        <v>ЭТАЖ ЗАДАН ЧИСЛОМ</v>
      </c>
      <c r="P322" s="13" t="str">
        <f t="shared" si="32"/>
        <v>ЭТАЖ ЗАДАН ЧИСЛОМ</v>
      </c>
      <c r="Q322" s="13" t="str">
        <f t="shared" si="33"/>
        <v>ГОТОВ_ИЗМЕНЕН</v>
      </c>
      <c r="R322" s="13">
        <f>IFERROR(VLOOKUP(P322,Лист1!A$1:B$20,2,FALSE),0)</f>
        <v>784</v>
      </c>
      <c r="S322" s="13">
        <f t="shared" si="34"/>
        <v>0</v>
      </c>
    </row>
    <row r="323" spans="1:19" x14ac:dyDescent="0.25">
      <c r="A323" s="24" t="s">
        <v>1425</v>
      </c>
      <c r="B323" s="4" t="s">
        <v>1059</v>
      </c>
      <c r="C323" s="25" t="s">
        <v>5</v>
      </c>
      <c r="G323" s="25" t="s">
        <v>1205</v>
      </c>
      <c r="H323" s="24" t="s">
        <v>1061</v>
      </c>
      <c r="I323" s="3" t="str">
        <f>IFERROR(VLOOKUP(C323,'Справочник соответствий'!A$2:D$2981,2,FALSE),IF(VALUE(C323)=0,1,VLOOKUP(C323,'Справочник соответствий'!A$2:D$2981,2,FALSE)))</f>
        <v>1</v>
      </c>
      <c r="J323" s="3">
        <f>IFERROR(VLOOKUP(D323,'Справочник соответствий'!A$2:D$2981,2,FALSE),IF(VALUE(D323)=0,0,VLOOKUP(D323,'Справочник соответствий'!A$2:D$2981,2,FALSE)))</f>
        <v>0</v>
      </c>
      <c r="K323" s="3" t="str">
        <f t="shared" si="28"/>
        <v>1</v>
      </c>
      <c r="L323" s="13" t="str">
        <f>IFERROR(VLOOKUP(C323,'Справочник соответствий'!A$2:D$2981,3,FALSE),IF(VALUE(C323)=0,"ЭТАЖ НЕ ОПРЕДЕЛЕН. ПРИНЯТ ПО ДОПУЩЕНИЮ 1",VLOOKUP(C323,'Справочник соответствий'!A$2:D$2981,3,FALSE)))</f>
        <v>ЭТАЖ ЗАДАН ЧИСЛОМ</v>
      </c>
      <c r="M323" s="13" t="b">
        <f t="shared" si="29"/>
        <v>0</v>
      </c>
      <c r="N323" s="13">
        <f t="shared" si="30"/>
        <v>1</v>
      </c>
      <c r="O323" s="13" t="str">
        <f t="shared" si="31"/>
        <v>ЭТАЖ ЗАДАН ЧИСЛОМ</v>
      </c>
      <c r="P323" s="13" t="str">
        <f t="shared" si="32"/>
        <v>ЭТАЖ ЗАДАН ЧИСЛОМ</v>
      </c>
      <c r="Q323" s="13" t="str">
        <f t="shared" si="33"/>
        <v>ГОТОВ_ИЗМЕНЕН</v>
      </c>
      <c r="R323" s="13">
        <f>IFERROR(VLOOKUP(P323,Лист1!A$1:B$20,2,FALSE),0)</f>
        <v>784</v>
      </c>
      <c r="S323" s="13">
        <f t="shared" si="34"/>
        <v>0</v>
      </c>
    </row>
    <row r="324" spans="1:19" x14ac:dyDescent="0.25">
      <c r="A324" s="24" t="s">
        <v>1426</v>
      </c>
      <c r="B324" s="4" t="s">
        <v>1063</v>
      </c>
      <c r="C324" s="25" t="s">
        <v>5</v>
      </c>
      <c r="G324" s="25" t="s">
        <v>1174</v>
      </c>
      <c r="H324" s="24" t="s">
        <v>1061</v>
      </c>
      <c r="I324" s="3" t="str">
        <f>IFERROR(VLOOKUP(C324,'Справочник соответствий'!A$2:D$2981,2,FALSE),IF(VALUE(C324)=0,1,VLOOKUP(C324,'Справочник соответствий'!A$2:D$2981,2,FALSE)))</f>
        <v>1</v>
      </c>
      <c r="J324" s="3">
        <f>IFERROR(VLOOKUP(D324,'Справочник соответствий'!A$2:D$2981,2,FALSE),IF(VALUE(D324)=0,0,VLOOKUP(D324,'Справочник соответствий'!A$2:D$2981,2,FALSE)))</f>
        <v>0</v>
      </c>
      <c r="K324" s="3" t="str">
        <f t="shared" si="28"/>
        <v>1</v>
      </c>
      <c r="L324" s="13" t="str">
        <f>IFERROR(VLOOKUP(C324,'Справочник соответствий'!A$2:D$2981,3,FALSE),IF(VALUE(C324)=0,"ЭТАЖ НЕ ОПРЕДЕЛЕН. ПРИНЯТ ПО ДОПУЩЕНИЮ 1",VLOOKUP(C324,'Справочник соответствий'!A$2:D$2981,3,FALSE)))</f>
        <v>ЭТАЖ ЗАДАН ЧИСЛОМ</v>
      </c>
      <c r="M324" s="13" t="b">
        <f t="shared" si="29"/>
        <v>0</v>
      </c>
      <c r="N324" s="13">
        <f t="shared" si="30"/>
        <v>1</v>
      </c>
      <c r="O324" s="13" t="str">
        <f t="shared" si="31"/>
        <v>ЭТАЖ ЗАДАН ЧИСЛОМ</v>
      </c>
      <c r="P324" s="13" t="str">
        <f t="shared" si="32"/>
        <v>ЭТАЖ ЗАДАН ЧИСЛОМ</v>
      </c>
      <c r="Q324" s="13" t="str">
        <f t="shared" si="33"/>
        <v>ГОТОВ_ИЗМЕНЕН</v>
      </c>
      <c r="R324" s="13">
        <f>IFERROR(VLOOKUP(P324,Лист1!A$1:B$20,2,FALSE),0)</f>
        <v>784</v>
      </c>
      <c r="S324" s="13">
        <f t="shared" si="34"/>
        <v>0</v>
      </c>
    </row>
    <row r="325" spans="1:19" x14ac:dyDescent="0.25">
      <c r="A325" s="24" t="s">
        <v>1427</v>
      </c>
      <c r="B325" s="4" t="s">
        <v>1059</v>
      </c>
      <c r="C325" s="25" t="s">
        <v>5</v>
      </c>
      <c r="G325" s="25" t="s">
        <v>1205</v>
      </c>
      <c r="H325" s="24" t="s">
        <v>1061</v>
      </c>
      <c r="I325" s="3" t="str">
        <f>IFERROR(VLOOKUP(C325,'Справочник соответствий'!A$2:D$2981,2,FALSE),IF(VALUE(C325)=0,1,VLOOKUP(C325,'Справочник соответствий'!A$2:D$2981,2,FALSE)))</f>
        <v>1</v>
      </c>
      <c r="J325" s="3">
        <f>IFERROR(VLOOKUP(D325,'Справочник соответствий'!A$2:D$2981,2,FALSE),IF(VALUE(D325)=0,0,VLOOKUP(D325,'Справочник соответствий'!A$2:D$2981,2,FALSE)))</f>
        <v>0</v>
      </c>
      <c r="K325" s="3" t="str">
        <f t="shared" ref="K325:K388" si="35">IF(B325="Многоквартирный дом",IF(I325-J325&gt;0,I325-J325,1),I325)</f>
        <v>1</v>
      </c>
      <c r="L325" s="13" t="str">
        <f>IFERROR(VLOOKUP(C325,'Справочник соответствий'!A$2:D$2981,3,FALSE),IF(VALUE(C325)=0,"ЭТАЖ НЕ ОПРЕДЕЛЕН. ПРИНЯТ ПО ДОПУЩЕНИЮ 1",VLOOKUP(C325,'Справочник соответствий'!A$2:D$2981,3,FALSE)))</f>
        <v>ЭТАЖ ЗАДАН ЧИСЛОМ</v>
      </c>
      <c r="M325" s="13" t="b">
        <f t="shared" ref="M325:M388" si="36">I325=E325</f>
        <v>0</v>
      </c>
      <c r="N325" s="13">
        <f t="shared" ref="N325:N388" si="37">IF(VALUE(E325)=0,VALUE(K325),IF(L325="ЭТАЖ НЕ ОПРЕДЕЛЕН. ПРИНЯТ ПО ДОПУЩЕНИЮ 1",VALUE(E325),VALUE(K325)))</f>
        <v>1</v>
      </c>
      <c r="O325" s="13" t="str">
        <f t="shared" ref="O325:O388" si="38">IF(VALUE(E325)=0,L325,IF(L325="ЭТАЖ НЕ ОПРЕДЕЛЕН. ПРИНЯТ ПО ДОПУЩЕНИЮ 1",F325,L325))</f>
        <v>ЭТАЖ ЗАДАН ЧИСЛОМ</v>
      </c>
      <c r="P325" s="13" t="str">
        <f t="shared" ref="P325:P388" si="39">IF(B325="Многоквартирный дом",CONCATENATE("МКД_",O325),O325)</f>
        <v>ЭТАЖ ЗАДАН ЧИСЛОМ</v>
      </c>
      <c r="Q325" s="13" t="str">
        <f t="shared" ref="Q325:Q388" si="40">IFERROR(IF(N325&gt;0,IF(N325=VALUE(E325),"ГОТОВ","ГОТОВ_ИЗМЕНЕН"),"НЕ ГОТОВ"),"НЕ ГОТОВ")</f>
        <v>ГОТОВ_ИЗМЕНЕН</v>
      </c>
      <c r="R325" s="13">
        <f>IFERROR(VLOOKUP(P325,Лист1!A$1:B$20,2,FALSE),0)</f>
        <v>784</v>
      </c>
      <c r="S325" s="13">
        <f t="shared" ref="S325:S388" si="41">VALUE(E325)</f>
        <v>0</v>
      </c>
    </row>
    <row r="326" spans="1:19" x14ac:dyDescent="0.25">
      <c r="A326" s="24" t="s">
        <v>1428</v>
      </c>
      <c r="B326" s="4" t="s">
        <v>1063</v>
      </c>
      <c r="C326" s="25" t="s">
        <v>5</v>
      </c>
      <c r="G326" s="25" t="s">
        <v>1205</v>
      </c>
      <c r="H326" s="24" t="s">
        <v>1061</v>
      </c>
      <c r="I326" s="3" t="str">
        <f>IFERROR(VLOOKUP(C326,'Справочник соответствий'!A$2:D$2981,2,FALSE),IF(VALUE(C326)=0,1,VLOOKUP(C326,'Справочник соответствий'!A$2:D$2981,2,FALSE)))</f>
        <v>1</v>
      </c>
      <c r="J326" s="3">
        <f>IFERROR(VLOOKUP(D326,'Справочник соответствий'!A$2:D$2981,2,FALSE),IF(VALUE(D326)=0,0,VLOOKUP(D326,'Справочник соответствий'!A$2:D$2981,2,FALSE)))</f>
        <v>0</v>
      </c>
      <c r="K326" s="3" t="str">
        <f t="shared" si="35"/>
        <v>1</v>
      </c>
      <c r="L326" s="13" t="str">
        <f>IFERROR(VLOOKUP(C326,'Справочник соответствий'!A$2:D$2981,3,FALSE),IF(VALUE(C326)=0,"ЭТАЖ НЕ ОПРЕДЕЛЕН. ПРИНЯТ ПО ДОПУЩЕНИЮ 1",VLOOKUP(C326,'Справочник соответствий'!A$2:D$2981,3,FALSE)))</f>
        <v>ЭТАЖ ЗАДАН ЧИСЛОМ</v>
      </c>
      <c r="M326" s="13" t="b">
        <f t="shared" si="36"/>
        <v>0</v>
      </c>
      <c r="N326" s="13">
        <f t="shared" si="37"/>
        <v>1</v>
      </c>
      <c r="O326" s="13" t="str">
        <f t="shared" si="38"/>
        <v>ЭТАЖ ЗАДАН ЧИСЛОМ</v>
      </c>
      <c r="P326" s="13" t="str">
        <f t="shared" si="39"/>
        <v>ЭТАЖ ЗАДАН ЧИСЛОМ</v>
      </c>
      <c r="Q326" s="13" t="str">
        <f t="shared" si="40"/>
        <v>ГОТОВ_ИЗМЕНЕН</v>
      </c>
      <c r="R326" s="13">
        <f>IFERROR(VLOOKUP(P326,Лист1!A$1:B$20,2,FALSE),0)</f>
        <v>784</v>
      </c>
      <c r="S326" s="13">
        <f t="shared" si="41"/>
        <v>0</v>
      </c>
    </row>
    <row r="327" spans="1:19" x14ac:dyDescent="0.25">
      <c r="A327" s="24" t="s">
        <v>1429</v>
      </c>
      <c r="B327" s="4" t="s">
        <v>1059</v>
      </c>
      <c r="C327" s="25" t="s">
        <v>5</v>
      </c>
      <c r="G327" s="25" t="s">
        <v>1205</v>
      </c>
      <c r="H327" s="24" t="s">
        <v>1061</v>
      </c>
      <c r="I327" s="3" t="str">
        <f>IFERROR(VLOOKUP(C327,'Справочник соответствий'!A$2:D$2981,2,FALSE),IF(VALUE(C327)=0,1,VLOOKUP(C327,'Справочник соответствий'!A$2:D$2981,2,FALSE)))</f>
        <v>1</v>
      </c>
      <c r="J327" s="3">
        <f>IFERROR(VLOOKUP(D327,'Справочник соответствий'!A$2:D$2981,2,FALSE),IF(VALUE(D327)=0,0,VLOOKUP(D327,'Справочник соответствий'!A$2:D$2981,2,FALSE)))</f>
        <v>0</v>
      </c>
      <c r="K327" s="3" t="str">
        <f t="shared" si="35"/>
        <v>1</v>
      </c>
      <c r="L327" s="13" t="str">
        <f>IFERROR(VLOOKUP(C327,'Справочник соответствий'!A$2:D$2981,3,FALSE),IF(VALUE(C327)=0,"ЭТАЖ НЕ ОПРЕДЕЛЕН. ПРИНЯТ ПО ДОПУЩЕНИЮ 1",VLOOKUP(C327,'Справочник соответствий'!A$2:D$2981,3,FALSE)))</f>
        <v>ЭТАЖ ЗАДАН ЧИСЛОМ</v>
      </c>
      <c r="M327" s="13" t="b">
        <f t="shared" si="36"/>
        <v>0</v>
      </c>
      <c r="N327" s="13">
        <f t="shared" si="37"/>
        <v>1</v>
      </c>
      <c r="O327" s="13" t="str">
        <f t="shared" si="38"/>
        <v>ЭТАЖ ЗАДАН ЧИСЛОМ</v>
      </c>
      <c r="P327" s="13" t="str">
        <f t="shared" si="39"/>
        <v>ЭТАЖ ЗАДАН ЧИСЛОМ</v>
      </c>
      <c r="Q327" s="13" t="str">
        <f t="shared" si="40"/>
        <v>ГОТОВ_ИЗМЕНЕН</v>
      </c>
      <c r="R327" s="13">
        <f>IFERROR(VLOOKUP(P327,Лист1!A$1:B$20,2,FALSE),0)</f>
        <v>784</v>
      </c>
      <c r="S327" s="13">
        <f t="shared" si="41"/>
        <v>0</v>
      </c>
    </row>
    <row r="328" spans="1:19" x14ac:dyDescent="0.25">
      <c r="A328" s="24" t="s">
        <v>1430</v>
      </c>
      <c r="B328" s="4" t="s">
        <v>1059</v>
      </c>
      <c r="C328" s="25" t="s">
        <v>7</v>
      </c>
      <c r="G328" s="25" t="s">
        <v>1205</v>
      </c>
      <c r="H328" s="24" t="s">
        <v>1061</v>
      </c>
      <c r="I328" s="3" t="str">
        <f>IFERROR(VLOOKUP(C328,'Справочник соответствий'!A$2:D$2981,2,FALSE),IF(VALUE(C328)=0,1,VLOOKUP(C328,'Справочник соответствий'!A$2:D$2981,2,FALSE)))</f>
        <v>2</v>
      </c>
      <c r="J328" s="3">
        <f>IFERROR(VLOOKUP(D328,'Справочник соответствий'!A$2:D$2981,2,FALSE),IF(VALUE(D328)=0,0,VLOOKUP(D328,'Справочник соответствий'!A$2:D$2981,2,FALSE)))</f>
        <v>0</v>
      </c>
      <c r="K328" s="3" t="str">
        <f t="shared" si="35"/>
        <v>2</v>
      </c>
      <c r="L328" s="13" t="str">
        <f>IFERROR(VLOOKUP(C328,'Справочник соответствий'!A$2:D$2981,3,FALSE),IF(VALUE(C328)=0,"ЭТАЖ НЕ ОПРЕДЕЛЕН. ПРИНЯТ ПО ДОПУЩЕНИЮ 1",VLOOKUP(C328,'Справочник соответствий'!A$2:D$2981,3,FALSE)))</f>
        <v>ЭТАЖ ЗАДАН ЧИСЛОМ</v>
      </c>
      <c r="M328" s="13" t="b">
        <f t="shared" si="36"/>
        <v>0</v>
      </c>
      <c r="N328" s="13">
        <f t="shared" si="37"/>
        <v>2</v>
      </c>
      <c r="O328" s="13" t="str">
        <f t="shared" si="38"/>
        <v>ЭТАЖ ЗАДАН ЧИСЛОМ</v>
      </c>
      <c r="P328" s="13" t="str">
        <f t="shared" si="39"/>
        <v>ЭТАЖ ЗАДАН ЧИСЛОМ</v>
      </c>
      <c r="Q328" s="13" t="str">
        <f t="shared" si="40"/>
        <v>ГОТОВ_ИЗМЕНЕН</v>
      </c>
      <c r="R328" s="13">
        <f>IFERROR(VLOOKUP(P328,Лист1!A$1:B$20,2,FALSE),0)</f>
        <v>784</v>
      </c>
      <c r="S328" s="13">
        <f t="shared" si="41"/>
        <v>0</v>
      </c>
    </row>
    <row r="329" spans="1:19" x14ac:dyDescent="0.25">
      <c r="A329" s="24" t="s">
        <v>1431</v>
      </c>
      <c r="B329" s="4" t="s">
        <v>1031</v>
      </c>
      <c r="C329" s="25" t="s">
        <v>14</v>
      </c>
      <c r="D329" s="25" t="s">
        <v>5</v>
      </c>
      <c r="G329" s="25" t="s">
        <v>1205</v>
      </c>
      <c r="H329" s="24" t="s">
        <v>1061</v>
      </c>
      <c r="I329" s="3" t="str">
        <f>IFERROR(VLOOKUP(C329,'Справочник соответствий'!A$2:D$2981,2,FALSE),IF(VALUE(C329)=0,1,VLOOKUP(C329,'Справочник соответствий'!A$2:D$2981,2,FALSE)))</f>
        <v>17</v>
      </c>
      <c r="J329" s="3" t="str">
        <f>IFERROR(VLOOKUP(D329,'Справочник соответствий'!A$2:D$2981,2,FALSE),IF(VALUE(D329)=0,0,VLOOKUP(D329,'Справочник соответствий'!A$2:D$2981,2,FALSE)))</f>
        <v>1</v>
      </c>
      <c r="K329" s="3">
        <f t="shared" si="35"/>
        <v>16</v>
      </c>
      <c r="L329" s="13" t="str">
        <f>IFERROR(VLOOKUP(C329,'Справочник соответствий'!A$2:D$2981,3,FALSE),IF(VALUE(C329)=0,"ЭТАЖ НЕ ОПРЕДЕЛЕН. ПРИНЯТ ПО ДОПУЩЕНИЮ 1",VLOOKUP(C329,'Справочник соответствий'!A$2:D$2981,3,FALSE)))</f>
        <v>ЭТАЖ ЗАДАН ЧИСЛОМ</v>
      </c>
      <c r="M329" s="13" t="b">
        <f t="shared" si="36"/>
        <v>0</v>
      </c>
      <c r="N329" s="13">
        <f t="shared" si="37"/>
        <v>16</v>
      </c>
      <c r="O329" s="13" t="str">
        <f t="shared" si="38"/>
        <v>ЭТАЖ ЗАДАН ЧИСЛОМ</v>
      </c>
      <c r="P329" s="13" t="str">
        <f t="shared" si="39"/>
        <v>МКД_ЭТАЖ ЗАДАН ЧИСЛОМ</v>
      </c>
      <c r="Q329" s="13" t="str">
        <f t="shared" si="40"/>
        <v>ГОТОВ_ИЗМЕНЕН</v>
      </c>
      <c r="R329" s="13">
        <f>IFERROR(VLOOKUP(P329,Лист1!A$1:B$20,2,FALSE),0)</f>
        <v>786</v>
      </c>
      <c r="S329" s="13">
        <f t="shared" si="41"/>
        <v>0</v>
      </c>
    </row>
    <row r="330" spans="1:19" x14ac:dyDescent="0.25">
      <c r="A330" s="24" t="s">
        <v>1432</v>
      </c>
      <c r="B330" s="4" t="s">
        <v>1031</v>
      </c>
      <c r="C330" s="25" t="s">
        <v>15</v>
      </c>
      <c r="D330" s="25" t="s">
        <v>5</v>
      </c>
      <c r="G330" s="25" t="s">
        <v>1205</v>
      </c>
      <c r="H330" s="24" t="s">
        <v>1061</v>
      </c>
      <c r="I330" s="3" t="str">
        <f>IFERROR(VLOOKUP(C330,'Справочник соответствий'!A$2:D$2981,2,FALSE),IF(VALUE(C330)=0,1,VLOOKUP(C330,'Справочник соответствий'!A$2:D$2981,2,FALSE)))</f>
        <v>10</v>
      </c>
      <c r="J330" s="3" t="str">
        <f>IFERROR(VLOOKUP(D330,'Справочник соответствий'!A$2:D$2981,2,FALSE),IF(VALUE(D330)=0,0,VLOOKUP(D330,'Справочник соответствий'!A$2:D$2981,2,FALSE)))</f>
        <v>1</v>
      </c>
      <c r="K330" s="3">
        <f t="shared" si="35"/>
        <v>9</v>
      </c>
      <c r="L330" s="13" t="str">
        <f>IFERROR(VLOOKUP(C330,'Справочник соответствий'!A$2:D$2981,3,FALSE),IF(VALUE(C330)=0,"ЭТАЖ НЕ ОПРЕДЕЛЕН. ПРИНЯТ ПО ДОПУЩЕНИЮ 1",VLOOKUP(C330,'Справочник соответствий'!A$2:D$2981,3,FALSE)))</f>
        <v>ЭТАЖ ЗАДАН ЧИСЛОМ</v>
      </c>
      <c r="M330" s="13" t="b">
        <f t="shared" si="36"/>
        <v>0</v>
      </c>
      <c r="N330" s="13">
        <f t="shared" si="37"/>
        <v>9</v>
      </c>
      <c r="O330" s="13" t="str">
        <f t="shared" si="38"/>
        <v>ЭТАЖ ЗАДАН ЧИСЛОМ</v>
      </c>
      <c r="P330" s="13" t="str">
        <f t="shared" si="39"/>
        <v>МКД_ЭТАЖ ЗАДАН ЧИСЛОМ</v>
      </c>
      <c r="Q330" s="13" t="str">
        <f t="shared" si="40"/>
        <v>ГОТОВ_ИЗМЕНЕН</v>
      </c>
      <c r="R330" s="13">
        <f>IFERROR(VLOOKUP(P330,Лист1!A$1:B$20,2,FALSE),0)</f>
        <v>786</v>
      </c>
      <c r="S330" s="13">
        <f t="shared" si="41"/>
        <v>0</v>
      </c>
    </row>
    <row r="331" spans="1:19" x14ac:dyDescent="0.25">
      <c r="A331" s="24" t="s">
        <v>1433</v>
      </c>
      <c r="B331" s="4" t="s">
        <v>1059</v>
      </c>
      <c r="C331" s="25" t="s">
        <v>5</v>
      </c>
      <c r="G331" s="25" t="s">
        <v>1205</v>
      </c>
      <c r="H331" s="24" t="s">
        <v>1061</v>
      </c>
      <c r="I331" s="3" t="str">
        <f>IFERROR(VLOOKUP(C331,'Справочник соответствий'!A$2:D$2981,2,FALSE),IF(VALUE(C331)=0,1,VLOOKUP(C331,'Справочник соответствий'!A$2:D$2981,2,FALSE)))</f>
        <v>1</v>
      </c>
      <c r="J331" s="3">
        <f>IFERROR(VLOOKUP(D331,'Справочник соответствий'!A$2:D$2981,2,FALSE),IF(VALUE(D331)=0,0,VLOOKUP(D331,'Справочник соответствий'!A$2:D$2981,2,FALSE)))</f>
        <v>0</v>
      </c>
      <c r="K331" s="3" t="str">
        <f t="shared" si="35"/>
        <v>1</v>
      </c>
      <c r="L331" s="13" t="str">
        <f>IFERROR(VLOOKUP(C331,'Справочник соответствий'!A$2:D$2981,3,FALSE),IF(VALUE(C331)=0,"ЭТАЖ НЕ ОПРЕДЕЛЕН. ПРИНЯТ ПО ДОПУЩЕНИЮ 1",VLOOKUP(C331,'Справочник соответствий'!A$2:D$2981,3,FALSE)))</f>
        <v>ЭТАЖ ЗАДАН ЧИСЛОМ</v>
      </c>
      <c r="M331" s="13" t="b">
        <f t="shared" si="36"/>
        <v>0</v>
      </c>
      <c r="N331" s="13">
        <f t="shared" si="37"/>
        <v>1</v>
      </c>
      <c r="O331" s="13" t="str">
        <f t="shared" si="38"/>
        <v>ЭТАЖ ЗАДАН ЧИСЛОМ</v>
      </c>
      <c r="P331" s="13" t="str">
        <f t="shared" si="39"/>
        <v>ЭТАЖ ЗАДАН ЧИСЛОМ</v>
      </c>
      <c r="Q331" s="13" t="str">
        <f t="shared" si="40"/>
        <v>ГОТОВ_ИЗМЕНЕН</v>
      </c>
      <c r="R331" s="13">
        <f>IFERROR(VLOOKUP(P331,Лист1!A$1:B$20,2,FALSE),0)</f>
        <v>784</v>
      </c>
      <c r="S331" s="13">
        <f t="shared" si="41"/>
        <v>0</v>
      </c>
    </row>
    <row r="332" spans="1:19" x14ac:dyDescent="0.25">
      <c r="A332" s="24" t="s">
        <v>1434</v>
      </c>
      <c r="B332" s="4" t="s">
        <v>1063</v>
      </c>
      <c r="C332" s="25" t="s">
        <v>7</v>
      </c>
      <c r="G332" s="25" t="s">
        <v>1205</v>
      </c>
      <c r="H332" s="24" t="s">
        <v>1061</v>
      </c>
      <c r="I332" s="3" t="str">
        <f>IFERROR(VLOOKUP(C332,'Справочник соответствий'!A$2:D$2981,2,FALSE),IF(VALUE(C332)=0,1,VLOOKUP(C332,'Справочник соответствий'!A$2:D$2981,2,FALSE)))</f>
        <v>2</v>
      </c>
      <c r="J332" s="3">
        <f>IFERROR(VLOOKUP(D332,'Справочник соответствий'!A$2:D$2981,2,FALSE),IF(VALUE(D332)=0,0,VLOOKUP(D332,'Справочник соответствий'!A$2:D$2981,2,FALSE)))</f>
        <v>0</v>
      </c>
      <c r="K332" s="3" t="str">
        <f t="shared" si="35"/>
        <v>2</v>
      </c>
      <c r="L332" s="13" t="str">
        <f>IFERROR(VLOOKUP(C332,'Справочник соответствий'!A$2:D$2981,3,FALSE),IF(VALUE(C332)=0,"ЭТАЖ НЕ ОПРЕДЕЛЕН. ПРИНЯТ ПО ДОПУЩЕНИЮ 1",VLOOKUP(C332,'Справочник соответствий'!A$2:D$2981,3,FALSE)))</f>
        <v>ЭТАЖ ЗАДАН ЧИСЛОМ</v>
      </c>
      <c r="M332" s="13" t="b">
        <f t="shared" si="36"/>
        <v>0</v>
      </c>
      <c r="N332" s="13">
        <f t="shared" si="37"/>
        <v>2</v>
      </c>
      <c r="O332" s="13" t="str">
        <f t="shared" si="38"/>
        <v>ЭТАЖ ЗАДАН ЧИСЛОМ</v>
      </c>
      <c r="P332" s="13" t="str">
        <f t="shared" si="39"/>
        <v>ЭТАЖ ЗАДАН ЧИСЛОМ</v>
      </c>
      <c r="Q332" s="13" t="str">
        <f t="shared" si="40"/>
        <v>ГОТОВ_ИЗМЕНЕН</v>
      </c>
      <c r="R332" s="13">
        <f>IFERROR(VLOOKUP(P332,Лист1!A$1:B$20,2,FALSE),0)</f>
        <v>784</v>
      </c>
      <c r="S332" s="13">
        <f t="shared" si="41"/>
        <v>0</v>
      </c>
    </row>
    <row r="333" spans="1:19" x14ac:dyDescent="0.25">
      <c r="A333" s="24" t="s">
        <v>1435</v>
      </c>
      <c r="B333" s="4" t="s">
        <v>1063</v>
      </c>
      <c r="C333" s="25" t="s">
        <v>5</v>
      </c>
      <c r="G333" s="25" t="s">
        <v>1205</v>
      </c>
      <c r="H333" s="24" t="s">
        <v>1061</v>
      </c>
      <c r="I333" s="3" t="str">
        <f>IFERROR(VLOOKUP(C333,'Справочник соответствий'!A$2:D$2981,2,FALSE),IF(VALUE(C333)=0,1,VLOOKUP(C333,'Справочник соответствий'!A$2:D$2981,2,FALSE)))</f>
        <v>1</v>
      </c>
      <c r="J333" s="3">
        <f>IFERROR(VLOOKUP(D333,'Справочник соответствий'!A$2:D$2981,2,FALSE),IF(VALUE(D333)=0,0,VLOOKUP(D333,'Справочник соответствий'!A$2:D$2981,2,FALSE)))</f>
        <v>0</v>
      </c>
      <c r="K333" s="3" t="str">
        <f t="shared" si="35"/>
        <v>1</v>
      </c>
      <c r="L333" s="13" t="str">
        <f>IFERROR(VLOOKUP(C333,'Справочник соответствий'!A$2:D$2981,3,FALSE),IF(VALUE(C333)=0,"ЭТАЖ НЕ ОПРЕДЕЛЕН. ПРИНЯТ ПО ДОПУЩЕНИЮ 1",VLOOKUP(C333,'Справочник соответствий'!A$2:D$2981,3,FALSE)))</f>
        <v>ЭТАЖ ЗАДАН ЧИСЛОМ</v>
      </c>
      <c r="M333" s="13" t="b">
        <f t="shared" si="36"/>
        <v>0</v>
      </c>
      <c r="N333" s="13">
        <f t="shared" si="37"/>
        <v>1</v>
      </c>
      <c r="O333" s="13" t="str">
        <f t="shared" si="38"/>
        <v>ЭТАЖ ЗАДАН ЧИСЛОМ</v>
      </c>
      <c r="P333" s="13" t="str">
        <f t="shared" si="39"/>
        <v>ЭТАЖ ЗАДАН ЧИСЛОМ</v>
      </c>
      <c r="Q333" s="13" t="str">
        <f t="shared" si="40"/>
        <v>ГОТОВ_ИЗМЕНЕН</v>
      </c>
      <c r="R333" s="13">
        <f>IFERROR(VLOOKUP(P333,Лист1!A$1:B$20,2,FALSE),0)</f>
        <v>784</v>
      </c>
      <c r="S333" s="13">
        <f t="shared" si="41"/>
        <v>0</v>
      </c>
    </row>
    <row r="334" spans="1:19" x14ac:dyDescent="0.25">
      <c r="A334" s="24" t="s">
        <v>1436</v>
      </c>
      <c r="B334" s="4" t="s">
        <v>1063</v>
      </c>
      <c r="C334" s="25" t="s">
        <v>5</v>
      </c>
      <c r="G334" s="25" t="s">
        <v>1205</v>
      </c>
      <c r="H334" s="24" t="s">
        <v>1061</v>
      </c>
      <c r="I334" s="3" t="str">
        <f>IFERROR(VLOOKUP(C334,'Справочник соответствий'!A$2:D$2981,2,FALSE),IF(VALUE(C334)=0,1,VLOOKUP(C334,'Справочник соответствий'!A$2:D$2981,2,FALSE)))</f>
        <v>1</v>
      </c>
      <c r="J334" s="3">
        <f>IFERROR(VLOOKUP(D334,'Справочник соответствий'!A$2:D$2981,2,FALSE),IF(VALUE(D334)=0,0,VLOOKUP(D334,'Справочник соответствий'!A$2:D$2981,2,FALSE)))</f>
        <v>0</v>
      </c>
      <c r="K334" s="3" t="str">
        <f t="shared" si="35"/>
        <v>1</v>
      </c>
      <c r="L334" s="13" t="str">
        <f>IFERROR(VLOOKUP(C334,'Справочник соответствий'!A$2:D$2981,3,FALSE),IF(VALUE(C334)=0,"ЭТАЖ НЕ ОПРЕДЕЛЕН. ПРИНЯТ ПО ДОПУЩЕНИЮ 1",VLOOKUP(C334,'Справочник соответствий'!A$2:D$2981,3,FALSE)))</f>
        <v>ЭТАЖ ЗАДАН ЧИСЛОМ</v>
      </c>
      <c r="M334" s="13" t="b">
        <f t="shared" si="36"/>
        <v>0</v>
      </c>
      <c r="N334" s="13">
        <f t="shared" si="37"/>
        <v>1</v>
      </c>
      <c r="O334" s="13" t="str">
        <f t="shared" si="38"/>
        <v>ЭТАЖ ЗАДАН ЧИСЛОМ</v>
      </c>
      <c r="P334" s="13" t="str">
        <f t="shared" si="39"/>
        <v>ЭТАЖ ЗАДАН ЧИСЛОМ</v>
      </c>
      <c r="Q334" s="13" t="str">
        <f t="shared" si="40"/>
        <v>ГОТОВ_ИЗМЕНЕН</v>
      </c>
      <c r="R334" s="13">
        <f>IFERROR(VLOOKUP(P334,Лист1!A$1:B$20,2,FALSE),0)</f>
        <v>784</v>
      </c>
      <c r="S334" s="13">
        <f t="shared" si="41"/>
        <v>0</v>
      </c>
    </row>
    <row r="335" spans="1:19" x14ac:dyDescent="0.25">
      <c r="A335" s="24" t="s">
        <v>1437</v>
      </c>
      <c r="B335" s="4" t="s">
        <v>1059</v>
      </c>
      <c r="C335" s="25" t="s">
        <v>5</v>
      </c>
      <c r="G335" s="25" t="s">
        <v>1224</v>
      </c>
      <c r="H335" s="24" t="s">
        <v>1061</v>
      </c>
      <c r="I335" s="3" t="str">
        <f>IFERROR(VLOOKUP(C335,'Справочник соответствий'!A$2:D$2981,2,FALSE),IF(VALUE(C335)=0,1,VLOOKUP(C335,'Справочник соответствий'!A$2:D$2981,2,FALSE)))</f>
        <v>1</v>
      </c>
      <c r="J335" s="3">
        <f>IFERROR(VLOOKUP(D335,'Справочник соответствий'!A$2:D$2981,2,FALSE),IF(VALUE(D335)=0,0,VLOOKUP(D335,'Справочник соответствий'!A$2:D$2981,2,FALSE)))</f>
        <v>0</v>
      </c>
      <c r="K335" s="3" t="str">
        <f t="shared" si="35"/>
        <v>1</v>
      </c>
      <c r="L335" s="13" t="str">
        <f>IFERROR(VLOOKUP(C335,'Справочник соответствий'!A$2:D$2981,3,FALSE),IF(VALUE(C335)=0,"ЭТАЖ НЕ ОПРЕДЕЛЕН. ПРИНЯТ ПО ДОПУЩЕНИЮ 1",VLOOKUP(C335,'Справочник соответствий'!A$2:D$2981,3,FALSE)))</f>
        <v>ЭТАЖ ЗАДАН ЧИСЛОМ</v>
      </c>
      <c r="M335" s="13" t="b">
        <f t="shared" si="36"/>
        <v>0</v>
      </c>
      <c r="N335" s="13">
        <f t="shared" si="37"/>
        <v>1</v>
      </c>
      <c r="O335" s="13" t="str">
        <f t="shared" si="38"/>
        <v>ЭТАЖ ЗАДАН ЧИСЛОМ</v>
      </c>
      <c r="P335" s="13" t="str">
        <f t="shared" si="39"/>
        <v>ЭТАЖ ЗАДАН ЧИСЛОМ</v>
      </c>
      <c r="Q335" s="13" t="str">
        <f t="shared" si="40"/>
        <v>ГОТОВ_ИЗМЕНЕН</v>
      </c>
      <c r="R335" s="13">
        <f>IFERROR(VLOOKUP(P335,Лист1!A$1:B$20,2,FALSE),0)</f>
        <v>784</v>
      </c>
      <c r="S335" s="13">
        <f t="shared" si="41"/>
        <v>0</v>
      </c>
    </row>
    <row r="336" spans="1:19" x14ac:dyDescent="0.25">
      <c r="A336" s="24" t="s">
        <v>1438</v>
      </c>
      <c r="B336" s="4" t="s">
        <v>1059</v>
      </c>
      <c r="C336" s="25" t="s">
        <v>7</v>
      </c>
      <c r="G336" s="25" t="s">
        <v>1219</v>
      </c>
      <c r="H336" s="24" t="s">
        <v>1061</v>
      </c>
      <c r="I336" s="3" t="str">
        <f>IFERROR(VLOOKUP(C336,'Справочник соответствий'!A$2:D$2981,2,FALSE),IF(VALUE(C336)=0,1,VLOOKUP(C336,'Справочник соответствий'!A$2:D$2981,2,FALSE)))</f>
        <v>2</v>
      </c>
      <c r="J336" s="3">
        <f>IFERROR(VLOOKUP(D336,'Справочник соответствий'!A$2:D$2981,2,FALSE),IF(VALUE(D336)=0,0,VLOOKUP(D336,'Справочник соответствий'!A$2:D$2981,2,FALSE)))</f>
        <v>0</v>
      </c>
      <c r="K336" s="3" t="str">
        <f t="shared" si="35"/>
        <v>2</v>
      </c>
      <c r="L336" s="13" t="str">
        <f>IFERROR(VLOOKUP(C336,'Справочник соответствий'!A$2:D$2981,3,FALSE),IF(VALUE(C336)=0,"ЭТАЖ НЕ ОПРЕДЕЛЕН. ПРИНЯТ ПО ДОПУЩЕНИЮ 1",VLOOKUP(C336,'Справочник соответствий'!A$2:D$2981,3,FALSE)))</f>
        <v>ЭТАЖ ЗАДАН ЧИСЛОМ</v>
      </c>
      <c r="M336" s="13" t="b">
        <f t="shared" si="36"/>
        <v>0</v>
      </c>
      <c r="N336" s="13">
        <f t="shared" si="37"/>
        <v>2</v>
      </c>
      <c r="O336" s="13" t="str">
        <f t="shared" si="38"/>
        <v>ЭТАЖ ЗАДАН ЧИСЛОМ</v>
      </c>
      <c r="P336" s="13" t="str">
        <f t="shared" si="39"/>
        <v>ЭТАЖ ЗАДАН ЧИСЛОМ</v>
      </c>
      <c r="Q336" s="13" t="str">
        <f t="shared" si="40"/>
        <v>ГОТОВ_ИЗМЕНЕН</v>
      </c>
      <c r="R336" s="13">
        <f>IFERROR(VLOOKUP(P336,Лист1!A$1:B$20,2,FALSE),0)</f>
        <v>784</v>
      </c>
      <c r="S336" s="13">
        <f t="shared" si="41"/>
        <v>0</v>
      </c>
    </row>
    <row r="337" spans="1:19" x14ac:dyDescent="0.25">
      <c r="A337" s="24" t="s">
        <v>1439</v>
      </c>
      <c r="B337" s="4" t="s">
        <v>1059</v>
      </c>
      <c r="C337" s="25" t="s">
        <v>7</v>
      </c>
      <c r="D337" s="25" t="s">
        <v>5</v>
      </c>
      <c r="G337" s="25" t="s">
        <v>1174</v>
      </c>
      <c r="H337" s="24" t="s">
        <v>1061</v>
      </c>
      <c r="I337" s="3" t="str">
        <f>IFERROR(VLOOKUP(C337,'Справочник соответствий'!A$2:D$2981,2,FALSE),IF(VALUE(C337)=0,1,VLOOKUP(C337,'Справочник соответствий'!A$2:D$2981,2,FALSE)))</f>
        <v>2</v>
      </c>
      <c r="J337" s="3" t="str">
        <f>IFERROR(VLOOKUP(D337,'Справочник соответствий'!A$2:D$2981,2,FALSE),IF(VALUE(D337)=0,0,VLOOKUP(D337,'Справочник соответствий'!A$2:D$2981,2,FALSE)))</f>
        <v>1</v>
      </c>
      <c r="K337" s="3" t="str">
        <f t="shared" si="35"/>
        <v>2</v>
      </c>
      <c r="L337" s="13" t="str">
        <f>IFERROR(VLOOKUP(C337,'Справочник соответствий'!A$2:D$2981,3,FALSE),IF(VALUE(C337)=0,"ЭТАЖ НЕ ОПРЕДЕЛЕН. ПРИНЯТ ПО ДОПУЩЕНИЮ 1",VLOOKUP(C337,'Справочник соответствий'!A$2:D$2981,3,FALSE)))</f>
        <v>ЭТАЖ ЗАДАН ЧИСЛОМ</v>
      </c>
      <c r="M337" s="13" t="b">
        <f t="shared" si="36"/>
        <v>0</v>
      </c>
      <c r="N337" s="13">
        <f t="shared" si="37"/>
        <v>2</v>
      </c>
      <c r="O337" s="13" t="str">
        <f t="shared" si="38"/>
        <v>ЭТАЖ ЗАДАН ЧИСЛОМ</v>
      </c>
      <c r="P337" s="13" t="str">
        <f t="shared" si="39"/>
        <v>ЭТАЖ ЗАДАН ЧИСЛОМ</v>
      </c>
      <c r="Q337" s="13" t="str">
        <f t="shared" si="40"/>
        <v>ГОТОВ_ИЗМЕНЕН</v>
      </c>
      <c r="R337" s="13">
        <f>IFERROR(VLOOKUP(P337,Лист1!A$1:B$20,2,FALSE),0)</f>
        <v>784</v>
      </c>
      <c r="S337" s="13">
        <f t="shared" si="41"/>
        <v>0</v>
      </c>
    </row>
    <row r="338" spans="1:19" x14ac:dyDescent="0.25">
      <c r="A338" s="24" t="s">
        <v>1440</v>
      </c>
      <c r="B338" s="4" t="s">
        <v>1063</v>
      </c>
      <c r="C338" s="25" t="s">
        <v>5</v>
      </c>
      <c r="G338" s="25" t="s">
        <v>1224</v>
      </c>
      <c r="H338" s="24" t="s">
        <v>1061</v>
      </c>
      <c r="I338" s="3" t="str">
        <f>IFERROR(VLOOKUP(C338,'Справочник соответствий'!A$2:D$2981,2,FALSE),IF(VALUE(C338)=0,1,VLOOKUP(C338,'Справочник соответствий'!A$2:D$2981,2,FALSE)))</f>
        <v>1</v>
      </c>
      <c r="J338" s="3">
        <f>IFERROR(VLOOKUP(D338,'Справочник соответствий'!A$2:D$2981,2,FALSE),IF(VALUE(D338)=0,0,VLOOKUP(D338,'Справочник соответствий'!A$2:D$2981,2,FALSE)))</f>
        <v>0</v>
      </c>
      <c r="K338" s="3" t="str">
        <f t="shared" si="35"/>
        <v>1</v>
      </c>
      <c r="L338" s="13" t="str">
        <f>IFERROR(VLOOKUP(C338,'Справочник соответствий'!A$2:D$2981,3,FALSE),IF(VALUE(C338)=0,"ЭТАЖ НЕ ОПРЕДЕЛЕН. ПРИНЯТ ПО ДОПУЩЕНИЮ 1",VLOOKUP(C338,'Справочник соответствий'!A$2:D$2981,3,FALSE)))</f>
        <v>ЭТАЖ ЗАДАН ЧИСЛОМ</v>
      </c>
      <c r="M338" s="13" t="b">
        <f t="shared" si="36"/>
        <v>0</v>
      </c>
      <c r="N338" s="13">
        <f t="shared" si="37"/>
        <v>1</v>
      </c>
      <c r="O338" s="13" t="str">
        <f t="shared" si="38"/>
        <v>ЭТАЖ ЗАДАН ЧИСЛОМ</v>
      </c>
      <c r="P338" s="13" t="str">
        <f t="shared" si="39"/>
        <v>ЭТАЖ ЗАДАН ЧИСЛОМ</v>
      </c>
      <c r="Q338" s="13" t="str">
        <f t="shared" si="40"/>
        <v>ГОТОВ_ИЗМЕНЕН</v>
      </c>
      <c r="R338" s="13">
        <f>IFERROR(VLOOKUP(P338,Лист1!A$1:B$20,2,FALSE),0)</f>
        <v>784</v>
      </c>
      <c r="S338" s="13">
        <f t="shared" si="41"/>
        <v>0</v>
      </c>
    </row>
    <row r="339" spans="1:19" x14ac:dyDescent="0.25">
      <c r="A339" s="24" t="s">
        <v>1441</v>
      </c>
      <c r="B339" s="4" t="s">
        <v>1059</v>
      </c>
      <c r="C339" s="25" t="s">
        <v>7</v>
      </c>
      <c r="G339" s="25" t="s">
        <v>1219</v>
      </c>
      <c r="H339" s="24" t="s">
        <v>1061</v>
      </c>
      <c r="I339" s="3" t="str">
        <f>IFERROR(VLOOKUP(C339,'Справочник соответствий'!A$2:D$2981,2,FALSE),IF(VALUE(C339)=0,1,VLOOKUP(C339,'Справочник соответствий'!A$2:D$2981,2,FALSE)))</f>
        <v>2</v>
      </c>
      <c r="J339" s="3">
        <f>IFERROR(VLOOKUP(D339,'Справочник соответствий'!A$2:D$2981,2,FALSE),IF(VALUE(D339)=0,0,VLOOKUP(D339,'Справочник соответствий'!A$2:D$2981,2,FALSE)))</f>
        <v>0</v>
      </c>
      <c r="K339" s="3" t="str">
        <f t="shared" si="35"/>
        <v>2</v>
      </c>
      <c r="L339" s="13" t="str">
        <f>IFERROR(VLOOKUP(C339,'Справочник соответствий'!A$2:D$2981,3,FALSE),IF(VALUE(C339)=0,"ЭТАЖ НЕ ОПРЕДЕЛЕН. ПРИНЯТ ПО ДОПУЩЕНИЮ 1",VLOOKUP(C339,'Справочник соответствий'!A$2:D$2981,3,FALSE)))</f>
        <v>ЭТАЖ ЗАДАН ЧИСЛОМ</v>
      </c>
      <c r="M339" s="13" t="b">
        <f t="shared" si="36"/>
        <v>0</v>
      </c>
      <c r="N339" s="13">
        <f t="shared" si="37"/>
        <v>2</v>
      </c>
      <c r="O339" s="13" t="str">
        <f t="shared" si="38"/>
        <v>ЭТАЖ ЗАДАН ЧИСЛОМ</v>
      </c>
      <c r="P339" s="13" t="str">
        <f t="shared" si="39"/>
        <v>ЭТАЖ ЗАДАН ЧИСЛОМ</v>
      </c>
      <c r="Q339" s="13" t="str">
        <f t="shared" si="40"/>
        <v>ГОТОВ_ИЗМЕНЕН</v>
      </c>
      <c r="R339" s="13">
        <f>IFERROR(VLOOKUP(P339,Лист1!A$1:B$20,2,FALSE),0)</f>
        <v>784</v>
      </c>
      <c r="S339" s="13">
        <f t="shared" si="41"/>
        <v>0</v>
      </c>
    </row>
    <row r="340" spans="1:19" x14ac:dyDescent="0.25">
      <c r="A340" s="24" t="s">
        <v>1442</v>
      </c>
      <c r="B340" s="4" t="s">
        <v>1059</v>
      </c>
      <c r="C340" s="25" t="s">
        <v>5</v>
      </c>
      <c r="G340" s="25" t="s">
        <v>1224</v>
      </c>
      <c r="H340" s="24" t="s">
        <v>1061</v>
      </c>
      <c r="I340" s="3" t="str">
        <f>IFERROR(VLOOKUP(C340,'Справочник соответствий'!A$2:D$2981,2,FALSE),IF(VALUE(C340)=0,1,VLOOKUP(C340,'Справочник соответствий'!A$2:D$2981,2,FALSE)))</f>
        <v>1</v>
      </c>
      <c r="J340" s="3">
        <f>IFERROR(VLOOKUP(D340,'Справочник соответствий'!A$2:D$2981,2,FALSE),IF(VALUE(D340)=0,0,VLOOKUP(D340,'Справочник соответствий'!A$2:D$2981,2,FALSE)))</f>
        <v>0</v>
      </c>
      <c r="K340" s="3" t="str">
        <f t="shared" si="35"/>
        <v>1</v>
      </c>
      <c r="L340" s="13" t="str">
        <f>IFERROR(VLOOKUP(C340,'Справочник соответствий'!A$2:D$2981,3,FALSE),IF(VALUE(C340)=0,"ЭТАЖ НЕ ОПРЕДЕЛЕН. ПРИНЯТ ПО ДОПУЩЕНИЮ 1",VLOOKUP(C340,'Справочник соответствий'!A$2:D$2981,3,FALSE)))</f>
        <v>ЭТАЖ ЗАДАН ЧИСЛОМ</v>
      </c>
      <c r="M340" s="13" t="b">
        <f t="shared" si="36"/>
        <v>0</v>
      </c>
      <c r="N340" s="13">
        <f t="shared" si="37"/>
        <v>1</v>
      </c>
      <c r="O340" s="13" t="str">
        <f t="shared" si="38"/>
        <v>ЭТАЖ ЗАДАН ЧИСЛОМ</v>
      </c>
      <c r="P340" s="13" t="str">
        <f t="shared" si="39"/>
        <v>ЭТАЖ ЗАДАН ЧИСЛОМ</v>
      </c>
      <c r="Q340" s="13" t="str">
        <f t="shared" si="40"/>
        <v>ГОТОВ_ИЗМЕНЕН</v>
      </c>
      <c r="R340" s="13">
        <f>IFERROR(VLOOKUP(P340,Лист1!A$1:B$20,2,FALSE),0)</f>
        <v>784</v>
      </c>
      <c r="S340" s="13">
        <f t="shared" si="41"/>
        <v>0</v>
      </c>
    </row>
    <row r="341" spans="1:19" x14ac:dyDescent="0.25">
      <c r="A341" s="24" t="s">
        <v>1443</v>
      </c>
      <c r="B341" s="4" t="s">
        <v>1063</v>
      </c>
      <c r="C341" s="25" t="s">
        <v>5</v>
      </c>
      <c r="G341" s="25" t="s">
        <v>1224</v>
      </c>
      <c r="H341" s="24" t="s">
        <v>1061</v>
      </c>
      <c r="I341" s="3" t="str">
        <f>IFERROR(VLOOKUP(C341,'Справочник соответствий'!A$2:D$2981,2,FALSE),IF(VALUE(C341)=0,1,VLOOKUP(C341,'Справочник соответствий'!A$2:D$2981,2,FALSE)))</f>
        <v>1</v>
      </c>
      <c r="J341" s="3">
        <f>IFERROR(VLOOKUP(D341,'Справочник соответствий'!A$2:D$2981,2,FALSE),IF(VALUE(D341)=0,0,VLOOKUP(D341,'Справочник соответствий'!A$2:D$2981,2,FALSE)))</f>
        <v>0</v>
      </c>
      <c r="K341" s="3" t="str">
        <f t="shared" si="35"/>
        <v>1</v>
      </c>
      <c r="L341" s="13" t="str">
        <f>IFERROR(VLOOKUP(C341,'Справочник соответствий'!A$2:D$2981,3,FALSE),IF(VALUE(C341)=0,"ЭТАЖ НЕ ОПРЕДЕЛЕН. ПРИНЯТ ПО ДОПУЩЕНИЮ 1",VLOOKUP(C341,'Справочник соответствий'!A$2:D$2981,3,FALSE)))</f>
        <v>ЭТАЖ ЗАДАН ЧИСЛОМ</v>
      </c>
      <c r="M341" s="13" t="b">
        <f t="shared" si="36"/>
        <v>0</v>
      </c>
      <c r="N341" s="13">
        <f t="shared" si="37"/>
        <v>1</v>
      </c>
      <c r="O341" s="13" t="str">
        <f t="shared" si="38"/>
        <v>ЭТАЖ ЗАДАН ЧИСЛОМ</v>
      </c>
      <c r="P341" s="13" t="str">
        <f t="shared" si="39"/>
        <v>ЭТАЖ ЗАДАН ЧИСЛОМ</v>
      </c>
      <c r="Q341" s="13" t="str">
        <f t="shared" si="40"/>
        <v>ГОТОВ_ИЗМЕНЕН</v>
      </c>
      <c r="R341" s="13">
        <f>IFERROR(VLOOKUP(P341,Лист1!A$1:B$20,2,FALSE),0)</f>
        <v>784</v>
      </c>
      <c r="S341" s="13">
        <f t="shared" si="41"/>
        <v>0</v>
      </c>
    </row>
    <row r="342" spans="1:19" x14ac:dyDescent="0.25">
      <c r="A342" s="24" t="s">
        <v>1444</v>
      </c>
      <c r="B342" s="4" t="s">
        <v>1063</v>
      </c>
      <c r="C342" s="25" t="s">
        <v>5</v>
      </c>
      <c r="G342" s="25" t="s">
        <v>1174</v>
      </c>
      <c r="H342" s="24" t="s">
        <v>1061</v>
      </c>
      <c r="I342" s="3" t="str">
        <f>IFERROR(VLOOKUP(C342,'Справочник соответствий'!A$2:D$2981,2,FALSE),IF(VALUE(C342)=0,1,VLOOKUP(C342,'Справочник соответствий'!A$2:D$2981,2,FALSE)))</f>
        <v>1</v>
      </c>
      <c r="J342" s="3">
        <f>IFERROR(VLOOKUP(D342,'Справочник соответствий'!A$2:D$2981,2,FALSE),IF(VALUE(D342)=0,0,VLOOKUP(D342,'Справочник соответствий'!A$2:D$2981,2,FALSE)))</f>
        <v>0</v>
      </c>
      <c r="K342" s="3" t="str">
        <f t="shared" si="35"/>
        <v>1</v>
      </c>
      <c r="L342" s="13" t="str">
        <f>IFERROR(VLOOKUP(C342,'Справочник соответствий'!A$2:D$2981,3,FALSE),IF(VALUE(C342)=0,"ЭТАЖ НЕ ОПРЕДЕЛЕН. ПРИНЯТ ПО ДОПУЩЕНИЮ 1",VLOOKUP(C342,'Справочник соответствий'!A$2:D$2981,3,FALSE)))</f>
        <v>ЭТАЖ ЗАДАН ЧИСЛОМ</v>
      </c>
      <c r="M342" s="13" t="b">
        <f t="shared" si="36"/>
        <v>0</v>
      </c>
      <c r="N342" s="13">
        <f t="shared" si="37"/>
        <v>1</v>
      </c>
      <c r="O342" s="13" t="str">
        <f t="shared" si="38"/>
        <v>ЭТАЖ ЗАДАН ЧИСЛОМ</v>
      </c>
      <c r="P342" s="13" t="str">
        <f t="shared" si="39"/>
        <v>ЭТАЖ ЗАДАН ЧИСЛОМ</v>
      </c>
      <c r="Q342" s="13" t="str">
        <f t="shared" si="40"/>
        <v>ГОТОВ_ИЗМЕНЕН</v>
      </c>
      <c r="R342" s="13">
        <f>IFERROR(VLOOKUP(P342,Лист1!A$1:B$20,2,FALSE),0)</f>
        <v>784</v>
      </c>
      <c r="S342" s="13">
        <f t="shared" si="41"/>
        <v>0</v>
      </c>
    </row>
    <row r="343" spans="1:19" x14ac:dyDescent="0.25">
      <c r="A343" s="24" t="s">
        <v>1445</v>
      </c>
      <c r="B343" s="4" t="s">
        <v>1063</v>
      </c>
      <c r="G343" s="25" t="s">
        <v>1230</v>
      </c>
      <c r="H343" s="24" t="s">
        <v>1061</v>
      </c>
      <c r="I343" s="3">
        <f>IFERROR(VLOOKUP(C343,'Справочник соответствий'!A$2:D$2981,2,FALSE),IF(VALUE(C343)=0,1,VLOOKUP(C343,'Справочник соответствий'!A$2:D$2981,2,FALSE)))</f>
        <v>1</v>
      </c>
      <c r="J343" s="3">
        <f>IFERROR(VLOOKUP(D343,'Справочник соответствий'!A$2:D$2981,2,FALSE),IF(VALUE(D343)=0,0,VLOOKUP(D343,'Справочник соответствий'!A$2:D$2981,2,FALSE)))</f>
        <v>0</v>
      </c>
      <c r="K343" s="3">
        <f t="shared" si="35"/>
        <v>1</v>
      </c>
      <c r="L343" s="13" t="str">
        <f>IFERROR(VLOOKUP(C343,'Справочник соответствий'!A$2:D$2981,3,FALSE),IF(VALUE(C343)=0,"ЭТАЖ НЕ ОПРЕДЕЛЕН. ПРИНЯТ ПО ДОПУЩЕНИЮ 1",VLOOKUP(C343,'Справочник соответствий'!A$2:D$2981,3,FALSE)))</f>
        <v>ЭТАЖ НЕ ОПРЕДЕЛЕН. ПРИНЯТ ПО ДОПУЩЕНИЮ 1</v>
      </c>
      <c r="M343" s="13" t="b">
        <f t="shared" si="36"/>
        <v>0</v>
      </c>
      <c r="N343" s="13">
        <f t="shared" si="37"/>
        <v>1</v>
      </c>
      <c r="O343" s="13" t="str">
        <f t="shared" si="38"/>
        <v>ЭТАЖ НЕ ОПРЕДЕЛЕН. ПРИНЯТ ПО ДОПУЩЕНИЮ 1</v>
      </c>
      <c r="P343" s="13" t="str">
        <f t="shared" si="39"/>
        <v>ЭТАЖ НЕ ОПРЕДЕЛЕН. ПРИНЯТ ПО ДОПУЩЕНИЮ 1</v>
      </c>
      <c r="Q343" s="13" t="str">
        <f t="shared" si="40"/>
        <v>ГОТОВ_ИЗМЕНЕН</v>
      </c>
      <c r="R343" s="13">
        <f>IFERROR(VLOOKUP(P343,Лист1!A$1:B$20,2,FALSE),0)</f>
        <v>788</v>
      </c>
      <c r="S343" s="13">
        <f t="shared" si="41"/>
        <v>0</v>
      </c>
    </row>
    <row r="344" spans="1:19" x14ac:dyDescent="0.25">
      <c r="A344" s="24" t="s">
        <v>1446</v>
      </c>
      <c r="B344" s="4" t="s">
        <v>1059</v>
      </c>
      <c r="C344" s="25" t="s">
        <v>7</v>
      </c>
      <c r="G344" s="25" t="s">
        <v>1219</v>
      </c>
      <c r="H344" s="24" t="s">
        <v>1061</v>
      </c>
      <c r="I344" s="3" t="str">
        <f>IFERROR(VLOOKUP(C344,'Справочник соответствий'!A$2:D$2981,2,FALSE),IF(VALUE(C344)=0,1,VLOOKUP(C344,'Справочник соответствий'!A$2:D$2981,2,FALSE)))</f>
        <v>2</v>
      </c>
      <c r="J344" s="3">
        <f>IFERROR(VLOOKUP(D344,'Справочник соответствий'!A$2:D$2981,2,FALSE),IF(VALUE(D344)=0,0,VLOOKUP(D344,'Справочник соответствий'!A$2:D$2981,2,FALSE)))</f>
        <v>0</v>
      </c>
      <c r="K344" s="3" t="str">
        <f t="shared" si="35"/>
        <v>2</v>
      </c>
      <c r="L344" s="13" t="str">
        <f>IFERROR(VLOOKUP(C344,'Справочник соответствий'!A$2:D$2981,3,FALSE),IF(VALUE(C344)=0,"ЭТАЖ НЕ ОПРЕДЕЛЕН. ПРИНЯТ ПО ДОПУЩЕНИЮ 1",VLOOKUP(C344,'Справочник соответствий'!A$2:D$2981,3,FALSE)))</f>
        <v>ЭТАЖ ЗАДАН ЧИСЛОМ</v>
      </c>
      <c r="M344" s="13" t="b">
        <f t="shared" si="36"/>
        <v>0</v>
      </c>
      <c r="N344" s="13">
        <f t="shared" si="37"/>
        <v>2</v>
      </c>
      <c r="O344" s="13" t="str">
        <f t="shared" si="38"/>
        <v>ЭТАЖ ЗАДАН ЧИСЛОМ</v>
      </c>
      <c r="P344" s="13" t="str">
        <f t="shared" si="39"/>
        <v>ЭТАЖ ЗАДАН ЧИСЛОМ</v>
      </c>
      <c r="Q344" s="13" t="str">
        <f t="shared" si="40"/>
        <v>ГОТОВ_ИЗМЕНЕН</v>
      </c>
      <c r="R344" s="13">
        <f>IFERROR(VLOOKUP(P344,Лист1!A$1:B$20,2,FALSE),0)</f>
        <v>784</v>
      </c>
      <c r="S344" s="13">
        <f t="shared" si="41"/>
        <v>0</v>
      </c>
    </row>
    <row r="345" spans="1:19" x14ac:dyDescent="0.25">
      <c r="A345" s="24" t="s">
        <v>1447</v>
      </c>
      <c r="B345" s="4" t="s">
        <v>1059</v>
      </c>
      <c r="C345" s="25" t="s">
        <v>7</v>
      </c>
      <c r="G345" s="25" t="s">
        <v>1228</v>
      </c>
      <c r="H345" s="24" t="s">
        <v>1061</v>
      </c>
      <c r="I345" s="3" t="str">
        <f>IFERROR(VLOOKUP(C345,'Справочник соответствий'!A$2:D$2981,2,FALSE),IF(VALUE(C345)=0,1,VLOOKUP(C345,'Справочник соответствий'!A$2:D$2981,2,FALSE)))</f>
        <v>2</v>
      </c>
      <c r="J345" s="3">
        <f>IFERROR(VLOOKUP(D345,'Справочник соответствий'!A$2:D$2981,2,FALSE),IF(VALUE(D345)=0,0,VLOOKUP(D345,'Справочник соответствий'!A$2:D$2981,2,FALSE)))</f>
        <v>0</v>
      </c>
      <c r="K345" s="3" t="str">
        <f t="shared" si="35"/>
        <v>2</v>
      </c>
      <c r="L345" s="13" t="str">
        <f>IFERROR(VLOOKUP(C345,'Справочник соответствий'!A$2:D$2981,3,FALSE),IF(VALUE(C345)=0,"ЭТАЖ НЕ ОПРЕДЕЛЕН. ПРИНЯТ ПО ДОПУЩЕНИЮ 1",VLOOKUP(C345,'Справочник соответствий'!A$2:D$2981,3,FALSE)))</f>
        <v>ЭТАЖ ЗАДАН ЧИСЛОМ</v>
      </c>
      <c r="M345" s="13" t="b">
        <f t="shared" si="36"/>
        <v>0</v>
      </c>
      <c r="N345" s="13">
        <f t="shared" si="37"/>
        <v>2</v>
      </c>
      <c r="O345" s="13" t="str">
        <f t="shared" si="38"/>
        <v>ЭТАЖ ЗАДАН ЧИСЛОМ</v>
      </c>
      <c r="P345" s="13" t="str">
        <f t="shared" si="39"/>
        <v>ЭТАЖ ЗАДАН ЧИСЛОМ</v>
      </c>
      <c r="Q345" s="13" t="str">
        <f t="shared" si="40"/>
        <v>ГОТОВ_ИЗМЕНЕН</v>
      </c>
      <c r="R345" s="13">
        <f>IFERROR(VLOOKUP(P345,Лист1!A$1:B$20,2,FALSE),0)</f>
        <v>784</v>
      </c>
      <c r="S345" s="13">
        <f t="shared" si="41"/>
        <v>0</v>
      </c>
    </row>
    <row r="346" spans="1:19" x14ac:dyDescent="0.25">
      <c r="A346" s="24" t="s">
        <v>1448</v>
      </c>
      <c r="B346" s="4" t="s">
        <v>1059</v>
      </c>
      <c r="C346" s="25" t="s">
        <v>5</v>
      </c>
      <c r="G346" s="25" t="s">
        <v>1230</v>
      </c>
      <c r="H346" s="24" t="s">
        <v>1061</v>
      </c>
      <c r="I346" s="3" t="str">
        <f>IFERROR(VLOOKUP(C346,'Справочник соответствий'!A$2:D$2981,2,FALSE),IF(VALUE(C346)=0,1,VLOOKUP(C346,'Справочник соответствий'!A$2:D$2981,2,FALSE)))</f>
        <v>1</v>
      </c>
      <c r="J346" s="3">
        <f>IFERROR(VLOOKUP(D346,'Справочник соответствий'!A$2:D$2981,2,FALSE),IF(VALUE(D346)=0,0,VLOOKUP(D346,'Справочник соответствий'!A$2:D$2981,2,FALSE)))</f>
        <v>0</v>
      </c>
      <c r="K346" s="3" t="str">
        <f t="shared" si="35"/>
        <v>1</v>
      </c>
      <c r="L346" s="13" t="str">
        <f>IFERROR(VLOOKUP(C346,'Справочник соответствий'!A$2:D$2981,3,FALSE),IF(VALUE(C346)=0,"ЭТАЖ НЕ ОПРЕДЕЛЕН. ПРИНЯТ ПО ДОПУЩЕНИЮ 1",VLOOKUP(C346,'Справочник соответствий'!A$2:D$2981,3,FALSE)))</f>
        <v>ЭТАЖ ЗАДАН ЧИСЛОМ</v>
      </c>
      <c r="M346" s="13" t="b">
        <f t="shared" si="36"/>
        <v>0</v>
      </c>
      <c r="N346" s="13">
        <f t="shared" si="37"/>
        <v>1</v>
      </c>
      <c r="O346" s="13" t="str">
        <f t="shared" si="38"/>
        <v>ЭТАЖ ЗАДАН ЧИСЛОМ</v>
      </c>
      <c r="P346" s="13" t="str">
        <f t="shared" si="39"/>
        <v>ЭТАЖ ЗАДАН ЧИСЛОМ</v>
      </c>
      <c r="Q346" s="13" t="str">
        <f t="shared" si="40"/>
        <v>ГОТОВ_ИЗМЕНЕН</v>
      </c>
      <c r="R346" s="13">
        <f>IFERROR(VLOOKUP(P346,Лист1!A$1:B$20,2,FALSE),0)</f>
        <v>784</v>
      </c>
      <c r="S346" s="13">
        <f t="shared" si="41"/>
        <v>0</v>
      </c>
    </row>
    <row r="347" spans="1:19" x14ac:dyDescent="0.25">
      <c r="A347" s="24" t="s">
        <v>1449</v>
      </c>
      <c r="B347" s="4" t="s">
        <v>1059</v>
      </c>
      <c r="C347" s="25" t="s">
        <v>7</v>
      </c>
      <c r="D347" s="25" t="s">
        <v>24</v>
      </c>
      <c r="G347" s="25" t="s">
        <v>1230</v>
      </c>
      <c r="H347" s="24" t="s">
        <v>1061</v>
      </c>
      <c r="I347" s="3" t="str">
        <f>IFERROR(VLOOKUP(C347,'Справочник соответствий'!A$2:D$2981,2,FALSE),IF(VALUE(C347)=0,1,VLOOKUP(C347,'Справочник соответствий'!A$2:D$2981,2,FALSE)))</f>
        <v>2</v>
      </c>
      <c r="J347" s="3" t="str">
        <f>IFERROR(VLOOKUP(D347,'Справочник соответствий'!A$2:D$2981,2,FALSE),IF(VALUE(D347)=0,0,VLOOKUP(D347,'Справочник соответствий'!A$2:D$2981,2,FALSE)))</f>
        <v>1</v>
      </c>
      <c r="K347" s="3" t="str">
        <f t="shared" si="35"/>
        <v>2</v>
      </c>
      <c r="L347" s="13" t="str">
        <f>IFERROR(VLOOKUP(C347,'Справочник соответствий'!A$2:D$2981,3,FALSE),IF(VALUE(C347)=0,"ЭТАЖ НЕ ОПРЕДЕЛЕН. ПРИНЯТ ПО ДОПУЩЕНИЮ 1",VLOOKUP(C347,'Справочник соответствий'!A$2:D$2981,3,FALSE)))</f>
        <v>ЭТАЖ ЗАДАН ЧИСЛОМ</v>
      </c>
      <c r="M347" s="13" t="b">
        <f t="shared" si="36"/>
        <v>0</v>
      </c>
      <c r="N347" s="13">
        <f t="shared" si="37"/>
        <v>2</v>
      </c>
      <c r="O347" s="13" t="str">
        <f t="shared" si="38"/>
        <v>ЭТАЖ ЗАДАН ЧИСЛОМ</v>
      </c>
      <c r="P347" s="13" t="str">
        <f t="shared" si="39"/>
        <v>ЭТАЖ ЗАДАН ЧИСЛОМ</v>
      </c>
      <c r="Q347" s="13" t="str">
        <f t="shared" si="40"/>
        <v>ГОТОВ_ИЗМЕНЕН</v>
      </c>
      <c r="R347" s="13">
        <f>IFERROR(VLOOKUP(P347,Лист1!A$1:B$20,2,FALSE),0)</f>
        <v>784</v>
      </c>
      <c r="S347" s="13">
        <f t="shared" si="41"/>
        <v>0</v>
      </c>
    </row>
    <row r="348" spans="1:19" x14ac:dyDescent="0.25">
      <c r="A348" s="24" t="s">
        <v>1450</v>
      </c>
      <c r="B348" s="4" t="s">
        <v>1059</v>
      </c>
      <c r="C348" s="25" t="s">
        <v>5</v>
      </c>
      <c r="G348" s="25" t="s">
        <v>1219</v>
      </c>
      <c r="H348" s="24" t="s">
        <v>1061</v>
      </c>
      <c r="I348" s="3" t="str">
        <f>IFERROR(VLOOKUP(C348,'Справочник соответствий'!A$2:D$2981,2,FALSE),IF(VALUE(C348)=0,1,VLOOKUP(C348,'Справочник соответствий'!A$2:D$2981,2,FALSE)))</f>
        <v>1</v>
      </c>
      <c r="J348" s="3">
        <f>IFERROR(VLOOKUP(D348,'Справочник соответствий'!A$2:D$2981,2,FALSE),IF(VALUE(D348)=0,0,VLOOKUP(D348,'Справочник соответствий'!A$2:D$2981,2,FALSE)))</f>
        <v>0</v>
      </c>
      <c r="K348" s="3" t="str">
        <f t="shared" si="35"/>
        <v>1</v>
      </c>
      <c r="L348" s="13" t="str">
        <f>IFERROR(VLOOKUP(C348,'Справочник соответствий'!A$2:D$2981,3,FALSE),IF(VALUE(C348)=0,"ЭТАЖ НЕ ОПРЕДЕЛЕН. ПРИНЯТ ПО ДОПУЩЕНИЮ 1",VLOOKUP(C348,'Справочник соответствий'!A$2:D$2981,3,FALSE)))</f>
        <v>ЭТАЖ ЗАДАН ЧИСЛОМ</v>
      </c>
      <c r="M348" s="13" t="b">
        <f t="shared" si="36"/>
        <v>0</v>
      </c>
      <c r="N348" s="13">
        <f t="shared" si="37"/>
        <v>1</v>
      </c>
      <c r="O348" s="13" t="str">
        <f t="shared" si="38"/>
        <v>ЭТАЖ ЗАДАН ЧИСЛОМ</v>
      </c>
      <c r="P348" s="13" t="str">
        <f t="shared" si="39"/>
        <v>ЭТАЖ ЗАДАН ЧИСЛОМ</v>
      </c>
      <c r="Q348" s="13" t="str">
        <f t="shared" si="40"/>
        <v>ГОТОВ_ИЗМЕНЕН</v>
      </c>
      <c r="R348" s="13">
        <f>IFERROR(VLOOKUP(P348,Лист1!A$1:B$20,2,FALSE),0)</f>
        <v>784</v>
      </c>
      <c r="S348" s="13">
        <f t="shared" si="41"/>
        <v>0</v>
      </c>
    </row>
    <row r="349" spans="1:19" x14ac:dyDescent="0.25">
      <c r="A349" s="24" t="s">
        <v>1451</v>
      </c>
      <c r="B349" s="4" t="s">
        <v>1063</v>
      </c>
      <c r="C349" s="25" t="s">
        <v>5</v>
      </c>
      <c r="G349" s="25" t="s">
        <v>1228</v>
      </c>
      <c r="H349" s="24" t="s">
        <v>1061</v>
      </c>
      <c r="I349" s="3" t="str">
        <f>IFERROR(VLOOKUP(C349,'Справочник соответствий'!A$2:D$2981,2,FALSE),IF(VALUE(C349)=0,1,VLOOKUP(C349,'Справочник соответствий'!A$2:D$2981,2,FALSE)))</f>
        <v>1</v>
      </c>
      <c r="J349" s="3">
        <f>IFERROR(VLOOKUP(D349,'Справочник соответствий'!A$2:D$2981,2,FALSE),IF(VALUE(D349)=0,0,VLOOKUP(D349,'Справочник соответствий'!A$2:D$2981,2,FALSE)))</f>
        <v>0</v>
      </c>
      <c r="K349" s="3" t="str">
        <f t="shared" si="35"/>
        <v>1</v>
      </c>
      <c r="L349" s="13" t="str">
        <f>IFERROR(VLOOKUP(C349,'Справочник соответствий'!A$2:D$2981,3,FALSE),IF(VALUE(C349)=0,"ЭТАЖ НЕ ОПРЕДЕЛЕН. ПРИНЯТ ПО ДОПУЩЕНИЮ 1",VLOOKUP(C349,'Справочник соответствий'!A$2:D$2981,3,FALSE)))</f>
        <v>ЭТАЖ ЗАДАН ЧИСЛОМ</v>
      </c>
      <c r="M349" s="13" t="b">
        <f t="shared" si="36"/>
        <v>0</v>
      </c>
      <c r="N349" s="13">
        <f t="shared" si="37"/>
        <v>1</v>
      </c>
      <c r="O349" s="13" t="str">
        <f t="shared" si="38"/>
        <v>ЭТАЖ ЗАДАН ЧИСЛОМ</v>
      </c>
      <c r="P349" s="13" t="str">
        <f t="shared" si="39"/>
        <v>ЭТАЖ ЗАДАН ЧИСЛОМ</v>
      </c>
      <c r="Q349" s="13" t="str">
        <f t="shared" si="40"/>
        <v>ГОТОВ_ИЗМЕНЕН</v>
      </c>
      <c r="R349" s="13">
        <f>IFERROR(VLOOKUP(P349,Лист1!A$1:B$20,2,FALSE),0)</f>
        <v>784</v>
      </c>
      <c r="S349" s="13">
        <f t="shared" si="41"/>
        <v>0</v>
      </c>
    </row>
    <row r="350" spans="1:19" x14ac:dyDescent="0.25">
      <c r="A350" s="24" t="s">
        <v>1452</v>
      </c>
      <c r="B350" s="4" t="s">
        <v>1063</v>
      </c>
      <c r="C350" s="25" t="s">
        <v>5</v>
      </c>
      <c r="G350" s="25" t="s">
        <v>1453</v>
      </c>
      <c r="H350" s="24" t="s">
        <v>1061</v>
      </c>
      <c r="I350" s="3" t="str">
        <f>IFERROR(VLOOKUP(C350,'Справочник соответствий'!A$2:D$2981,2,FALSE),IF(VALUE(C350)=0,1,VLOOKUP(C350,'Справочник соответствий'!A$2:D$2981,2,FALSE)))</f>
        <v>1</v>
      </c>
      <c r="J350" s="3">
        <f>IFERROR(VLOOKUP(D350,'Справочник соответствий'!A$2:D$2981,2,FALSE),IF(VALUE(D350)=0,0,VLOOKUP(D350,'Справочник соответствий'!A$2:D$2981,2,FALSE)))</f>
        <v>0</v>
      </c>
      <c r="K350" s="3" t="str">
        <f t="shared" si="35"/>
        <v>1</v>
      </c>
      <c r="L350" s="13" t="str">
        <f>IFERROR(VLOOKUP(C350,'Справочник соответствий'!A$2:D$2981,3,FALSE),IF(VALUE(C350)=0,"ЭТАЖ НЕ ОПРЕДЕЛЕН. ПРИНЯТ ПО ДОПУЩЕНИЮ 1",VLOOKUP(C350,'Справочник соответствий'!A$2:D$2981,3,FALSE)))</f>
        <v>ЭТАЖ ЗАДАН ЧИСЛОМ</v>
      </c>
      <c r="M350" s="13" t="b">
        <f t="shared" si="36"/>
        <v>0</v>
      </c>
      <c r="N350" s="13">
        <f t="shared" si="37"/>
        <v>1</v>
      </c>
      <c r="O350" s="13" t="str">
        <f t="shared" si="38"/>
        <v>ЭТАЖ ЗАДАН ЧИСЛОМ</v>
      </c>
      <c r="P350" s="13" t="str">
        <f t="shared" si="39"/>
        <v>ЭТАЖ ЗАДАН ЧИСЛОМ</v>
      </c>
      <c r="Q350" s="13" t="str">
        <f t="shared" si="40"/>
        <v>ГОТОВ_ИЗМЕНЕН</v>
      </c>
      <c r="R350" s="13">
        <f>IFERROR(VLOOKUP(P350,Лист1!A$1:B$20,2,FALSE),0)</f>
        <v>784</v>
      </c>
      <c r="S350" s="13">
        <f t="shared" si="41"/>
        <v>0</v>
      </c>
    </row>
    <row r="351" spans="1:19" x14ac:dyDescent="0.25">
      <c r="A351" s="24" t="s">
        <v>1454</v>
      </c>
      <c r="B351" s="4" t="s">
        <v>1063</v>
      </c>
      <c r="C351" s="25" t="s">
        <v>7</v>
      </c>
      <c r="G351" s="25" t="s">
        <v>1067</v>
      </c>
      <c r="H351" s="24" t="s">
        <v>1061</v>
      </c>
      <c r="I351" s="3" t="str">
        <f>IFERROR(VLOOKUP(C351,'Справочник соответствий'!A$2:D$2981,2,FALSE),IF(VALUE(C351)=0,1,VLOOKUP(C351,'Справочник соответствий'!A$2:D$2981,2,FALSE)))</f>
        <v>2</v>
      </c>
      <c r="J351" s="3">
        <f>IFERROR(VLOOKUP(D351,'Справочник соответствий'!A$2:D$2981,2,FALSE),IF(VALUE(D351)=0,0,VLOOKUP(D351,'Справочник соответствий'!A$2:D$2981,2,FALSE)))</f>
        <v>0</v>
      </c>
      <c r="K351" s="3" t="str">
        <f t="shared" si="35"/>
        <v>2</v>
      </c>
      <c r="L351" s="13" t="str">
        <f>IFERROR(VLOOKUP(C351,'Справочник соответствий'!A$2:D$2981,3,FALSE),IF(VALUE(C351)=0,"ЭТАЖ НЕ ОПРЕДЕЛЕН. ПРИНЯТ ПО ДОПУЩЕНИЮ 1",VLOOKUP(C351,'Справочник соответствий'!A$2:D$2981,3,FALSE)))</f>
        <v>ЭТАЖ ЗАДАН ЧИСЛОМ</v>
      </c>
      <c r="M351" s="13" t="b">
        <f t="shared" si="36"/>
        <v>0</v>
      </c>
      <c r="N351" s="13">
        <f t="shared" si="37"/>
        <v>2</v>
      </c>
      <c r="O351" s="13" t="str">
        <f t="shared" si="38"/>
        <v>ЭТАЖ ЗАДАН ЧИСЛОМ</v>
      </c>
      <c r="P351" s="13" t="str">
        <f t="shared" si="39"/>
        <v>ЭТАЖ ЗАДАН ЧИСЛОМ</v>
      </c>
      <c r="Q351" s="13" t="str">
        <f t="shared" si="40"/>
        <v>ГОТОВ_ИЗМЕНЕН</v>
      </c>
      <c r="R351" s="13">
        <f>IFERROR(VLOOKUP(P351,Лист1!A$1:B$20,2,FALSE),0)</f>
        <v>784</v>
      </c>
      <c r="S351" s="13">
        <f t="shared" si="41"/>
        <v>0</v>
      </c>
    </row>
    <row r="352" spans="1:19" x14ac:dyDescent="0.25">
      <c r="A352" s="24" t="s">
        <v>1455</v>
      </c>
      <c r="B352" s="4" t="s">
        <v>1063</v>
      </c>
      <c r="C352" s="25" t="s">
        <v>5</v>
      </c>
      <c r="G352" s="25" t="s">
        <v>1067</v>
      </c>
      <c r="H352" s="24" t="s">
        <v>1061</v>
      </c>
      <c r="I352" s="3" t="str">
        <f>IFERROR(VLOOKUP(C352,'Справочник соответствий'!A$2:D$2981,2,FALSE),IF(VALUE(C352)=0,1,VLOOKUP(C352,'Справочник соответствий'!A$2:D$2981,2,FALSE)))</f>
        <v>1</v>
      </c>
      <c r="J352" s="3">
        <f>IFERROR(VLOOKUP(D352,'Справочник соответствий'!A$2:D$2981,2,FALSE),IF(VALUE(D352)=0,0,VLOOKUP(D352,'Справочник соответствий'!A$2:D$2981,2,FALSE)))</f>
        <v>0</v>
      </c>
      <c r="K352" s="3" t="str">
        <f t="shared" si="35"/>
        <v>1</v>
      </c>
      <c r="L352" s="13" t="str">
        <f>IFERROR(VLOOKUP(C352,'Справочник соответствий'!A$2:D$2981,3,FALSE),IF(VALUE(C352)=0,"ЭТАЖ НЕ ОПРЕДЕЛЕН. ПРИНЯТ ПО ДОПУЩЕНИЮ 1",VLOOKUP(C352,'Справочник соответствий'!A$2:D$2981,3,FALSE)))</f>
        <v>ЭТАЖ ЗАДАН ЧИСЛОМ</v>
      </c>
      <c r="M352" s="13" t="b">
        <f t="shared" si="36"/>
        <v>0</v>
      </c>
      <c r="N352" s="13">
        <f t="shared" si="37"/>
        <v>1</v>
      </c>
      <c r="O352" s="13" t="str">
        <f t="shared" si="38"/>
        <v>ЭТАЖ ЗАДАН ЧИСЛОМ</v>
      </c>
      <c r="P352" s="13" t="str">
        <f t="shared" si="39"/>
        <v>ЭТАЖ ЗАДАН ЧИСЛОМ</v>
      </c>
      <c r="Q352" s="13" t="str">
        <f t="shared" si="40"/>
        <v>ГОТОВ_ИЗМЕНЕН</v>
      </c>
      <c r="R352" s="13">
        <f>IFERROR(VLOOKUP(P352,Лист1!A$1:B$20,2,FALSE),0)</f>
        <v>784</v>
      </c>
      <c r="S352" s="13">
        <f t="shared" si="41"/>
        <v>0</v>
      </c>
    </row>
    <row r="353" spans="1:19" x14ac:dyDescent="0.25">
      <c r="A353" s="24" t="s">
        <v>1456</v>
      </c>
      <c r="B353" s="4" t="s">
        <v>1063</v>
      </c>
      <c r="C353" s="25" t="s">
        <v>5</v>
      </c>
      <c r="G353" s="25" t="s">
        <v>1067</v>
      </c>
      <c r="H353" s="24" t="s">
        <v>1061</v>
      </c>
      <c r="I353" s="3" t="str">
        <f>IFERROR(VLOOKUP(C353,'Справочник соответствий'!A$2:D$2981,2,FALSE),IF(VALUE(C353)=0,1,VLOOKUP(C353,'Справочник соответствий'!A$2:D$2981,2,FALSE)))</f>
        <v>1</v>
      </c>
      <c r="J353" s="3">
        <f>IFERROR(VLOOKUP(D353,'Справочник соответствий'!A$2:D$2981,2,FALSE),IF(VALUE(D353)=0,0,VLOOKUP(D353,'Справочник соответствий'!A$2:D$2981,2,FALSE)))</f>
        <v>0</v>
      </c>
      <c r="K353" s="3" t="str">
        <f t="shared" si="35"/>
        <v>1</v>
      </c>
      <c r="L353" s="13" t="str">
        <f>IFERROR(VLOOKUP(C353,'Справочник соответствий'!A$2:D$2981,3,FALSE),IF(VALUE(C353)=0,"ЭТАЖ НЕ ОПРЕДЕЛЕН. ПРИНЯТ ПО ДОПУЩЕНИЮ 1",VLOOKUP(C353,'Справочник соответствий'!A$2:D$2981,3,FALSE)))</f>
        <v>ЭТАЖ ЗАДАН ЧИСЛОМ</v>
      </c>
      <c r="M353" s="13" t="b">
        <f t="shared" si="36"/>
        <v>0</v>
      </c>
      <c r="N353" s="13">
        <f t="shared" si="37"/>
        <v>1</v>
      </c>
      <c r="O353" s="13" t="str">
        <f t="shared" si="38"/>
        <v>ЭТАЖ ЗАДАН ЧИСЛОМ</v>
      </c>
      <c r="P353" s="13" t="str">
        <f t="shared" si="39"/>
        <v>ЭТАЖ ЗАДАН ЧИСЛОМ</v>
      </c>
      <c r="Q353" s="13" t="str">
        <f t="shared" si="40"/>
        <v>ГОТОВ_ИЗМЕНЕН</v>
      </c>
      <c r="R353" s="13">
        <f>IFERROR(VLOOKUP(P353,Лист1!A$1:B$20,2,FALSE),0)</f>
        <v>784</v>
      </c>
      <c r="S353" s="13">
        <f t="shared" si="41"/>
        <v>0</v>
      </c>
    </row>
    <row r="354" spans="1:19" x14ac:dyDescent="0.25">
      <c r="A354" s="24" t="s">
        <v>1457</v>
      </c>
      <c r="B354" s="4" t="s">
        <v>1059</v>
      </c>
      <c r="C354" s="25" t="s">
        <v>5</v>
      </c>
      <c r="G354" s="25" t="s">
        <v>1067</v>
      </c>
      <c r="H354" s="24" t="s">
        <v>1061</v>
      </c>
      <c r="I354" s="3" t="str">
        <f>IFERROR(VLOOKUP(C354,'Справочник соответствий'!A$2:D$2981,2,FALSE),IF(VALUE(C354)=0,1,VLOOKUP(C354,'Справочник соответствий'!A$2:D$2981,2,FALSE)))</f>
        <v>1</v>
      </c>
      <c r="J354" s="3">
        <f>IFERROR(VLOOKUP(D354,'Справочник соответствий'!A$2:D$2981,2,FALSE),IF(VALUE(D354)=0,0,VLOOKUP(D354,'Справочник соответствий'!A$2:D$2981,2,FALSE)))</f>
        <v>0</v>
      </c>
      <c r="K354" s="3" t="str">
        <f t="shared" si="35"/>
        <v>1</v>
      </c>
      <c r="L354" s="13" t="str">
        <f>IFERROR(VLOOKUP(C354,'Справочник соответствий'!A$2:D$2981,3,FALSE),IF(VALUE(C354)=0,"ЭТАЖ НЕ ОПРЕДЕЛЕН. ПРИНЯТ ПО ДОПУЩЕНИЮ 1",VLOOKUP(C354,'Справочник соответствий'!A$2:D$2981,3,FALSE)))</f>
        <v>ЭТАЖ ЗАДАН ЧИСЛОМ</v>
      </c>
      <c r="M354" s="13" t="b">
        <f t="shared" si="36"/>
        <v>0</v>
      </c>
      <c r="N354" s="13">
        <f t="shared" si="37"/>
        <v>1</v>
      </c>
      <c r="O354" s="13" t="str">
        <f t="shared" si="38"/>
        <v>ЭТАЖ ЗАДАН ЧИСЛОМ</v>
      </c>
      <c r="P354" s="13" t="str">
        <f t="shared" si="39"/>
        <v>ЭТАЖ ЗАДАН ЧИСЛОМ</v>
      </c>
      <c r="Q354" s="13" t="str">
        <f t="shared" si="40"/>
        <v>ГОТОВ_ИЗМЕНЕН</v>
      </c>
      <c r="R354" s="13">
        <f>IFERROR(VLOOKUP(P354,Лист1!A$1:B$20,2,FALSE),0)</f>
        <v>784</v>
      </c>
      <c r="S354" s="13">
        <f t="shared" si="41"/>
        <v>0</v>
      </c>
    </row>
    <row r="355" spans="1:19" x14ac:dyDescent="0.25">
      <c r="A355" s="24" t="s">
        <v>1458</v>
      </c>
      <c r="B355" s="4" t="s">
        <v>1059</v>
      </c>
      <c r="C355" s="25" t="s">
        <v>7</v>
      </c>
      <c r="G355" s="25" t="s">
        <v>1067</v>
      </c>
      <c r="H355" s="24" t="s">
        <v>1061</v>
      </c>
      <c r="I355" s="3" t="str">
        <f>IFERROR(VLOOKUP(C355,'Справочник соответствий'!A$2:D$2981,2,FALSE),IF(VALUE(C355)=0,1,VLOOKUP(C355,'Справочник соответствий'!A$2:D$2981,2,FALSE)))</f>
        <v>2</v>
      </c>
      <c r="J355" s="3">
        <f>IFERROR(VLOOKUP(D355,'Справочник соответствий'!A$2:D$2981,2,FALSE),IF(VALUE(D355)=0,0,VLOOKUP(D355,'Справочник соответствий'!A$2:D$2981,2,FALSE)))</f>
        <v>0</v>
      </c>
      <c r="K355" s="3" t="str">
        <f t="shared" si="35"/>
        <v>2</v>
      </c>
      <c r="L355" s="13" t="str">
        <f>IFERROR(VLOOKUP(C355,'Справочник соответствий'!A$2:D$2981,3,FALSE),IF(VALUE(C355)=0,"ЭТАЖ НЕ ОПРЕДЕЛЕН. ПРИНЯТ ПО ДОПУЩЕНИЮ 1",VLOOKUP(C355,'Справочник соответствий'!A$2:D$2981,3,FALSE)))</f>
        <v>ЭТАЖ ЗАДАН ЧИСЛОМ</v>
      </c>
      <c r="M355" s="13" t="b">
        <f t="shared" si="36"/>
        <v>0</v>
      </c>
      <c r="N355" s="13">
        <f t="shared" si="37"/>
        <v>2</v>
      </c>
      <c r="O355" s="13" t="str">
        <f t="shared" si="38"/>
        <v>ЭТАЖ ЗАДАН ЧИСЛОМ</v>
      </c>
      <c r="P355" s="13" t="str">
        <f t="shared" si="39"/>
        <v>ЭТАЖ ЗАДАН ЧИСЛОМ</v>
      </c>
      <c r="Q355" s="13" t="str">
        <f t="shared" si="40"/>
        <v>ГОТОВ_ИЗМЕНЕН</v>
      </c>
      <c r="R355" s="13">
        <f>IFERROR(VLOOKUP(P355,Лист1!A$1:B$20,2,FALSE),0)</f>
        <v>784</v>
      </c>
      <c r="S355" s="13">
        <f t="shared" si="41"/>
        <v>0</v>
      </c>
    </row>
    <row r="356" spans="1:19" x14ac:dyDescent="0.25">
      <c r="A356" s="24" t="s">
        <v>1459</v>
      </c>
      <c r="B356" s="4" t="s">
        <v>1059</v>
      </c>
      <c r="C356" s="25" t="s">
        <v>5</v>
      </c>
      <c r="G356" s="25" t="s">
        <v>1067</v>
      </c>
      <c r="H356" s="24" t="s">
        <v>1061</v>
      </c>
      <c r="I356" s="3" t="str">
        <f>IFERROR(VLOOKUP(C356,'Справочник соответствий'!A$2:D$2981,2,FALSE),IF(VALUE(C356)=0,1,VLOOKUP(C356,'Справочник соответствий'!A$2:D$2981,2,FALSE)))</f>
        <v>1</v>
      </c>
      <c r="J356" s="3">
        <f>IFERROR(VLOOKUP(D356,'Справочник соответствий'!A$2:D$2981,2,FALSE),IF(VALUE(D356)=0,0,VLOOKUP(D356,'Справочник соответствий'!A$2:D$2981,2,FALSE)))</f>
        <v>0</v>
      </c>
      <c r="K356" s="3" t="str">
        <f t="shared" si="35"/>
        <v>1</v>
      </c>
      <c r="L356" s="13" t="str">
        <f>IFERROR(VLOOKUP(C356,'Справочник соответствий'!A$2:D$2981,3,FALSE),IF(VALUE(C356)=0,"ЭТАЖ НЕ ОПРЕДЕЛЕН. ПРИНЯТ ПО ДОПУЩЕНИЮ 1",VLOOKUP(C356,'Справочник соответствий'!A$2:D$2981,3,FALSE)))</f>
        <v>ЭТАЖ ЗАДАН ЧИСЛОМ</v>
      </c>
      <c r="M356" s="13" t="b">
        <f t="shared" si="36"/>
        <v>0</v>
      </c>
      <c r="N356" s="13">
        <f t="shared" si="37"/>
        <v>1</v>
      </c>
      <c r="O356" s="13" t="str">
        <f t="shared" si="38"/>
        <v>ЭТАЖ ЗАДАН ЧИСЛОМ</v>
      </c>
      <c r="P356" s="13" t="str">
        <f t="shared" si="39"/>
        <v>ЭТАЖ ЗАДАН ЧИСЛОМ</v>
      </c>
      <c r="Q356" s="13" t="str">
        <f t="shared" si="40"/>
        <v>ГОТОВ_ИЗМЕНЕН</v>
      </c>
      <c r="R356" s="13">
        <f>IFERROR(VLOOKUP(P356,Лист1!A$1:B$20,2,FALSE),0)</f>
        <v>784</v>
      </c>
      <c r="S356" s="13">
        <f t="shared" si="41"/>
        <v>0</v>
      </c>
    </row>
    <row r="357" spans="1:19" x14ac:dyDescent="0.25">
      <c r="A357" s="24" t="s">
        <v>1460</v>
      </c>
      <c r="B357" s="4" t="s">
        <v>1063</v>
      </c>
      <c r="C357" s="25" t="s">
        <v>7</v>
      </c>
      <c r="G357" s="25" t="s">
        <v>1067</v>
      </c>
      <c r="H357" s="24" t="s">
        <v>1061</v>
      </c>
      <c r="I357" s="3" t="str">
        <f>IFERROR(VLOOKUP(C357,'Справочник соответствий'!A$2:D$2981,2,FALSE),IF(VALUE(C357)=0,1,VLOOKUP(C357,'Справочник соответствий'!A$2:D$2981,2,FALSE)))</f>
        <v>2</v>
      </c>
      <c r="J357" s="3">
        <f>IFERROR(VLOOKUP(D357,'Справочник соответствий'!A$2:D$2981,2,FALSE),IF(VALUE(D357)=0,0,VLOOKUP(D357,'Справочник соответствий'!A$2:D$2981,2,FALSE)))</f>
        <v>0</v>
      </c>
      <c r="K357" s="3" t="str">
        <f t="shared" si="35"/>
        <v>2</v>
      </c>
      <c r="L357" s="13" t="str">
        <f>IFERROR(VLOOKUP(C357,'Справочник соответствий'!A$2:D$2981,3,FALSE),IF(VALUE(C357)=0,"ЭТАЖ НЕ ОПРЕДЕЛЕН. ПРИНЯТ ПО ДОПУЩЕНИЮ 1",VLOOKUP(C357,'Справочник соответствий'!A$2:D$2981,3,FALSE)))</f>
        <v>ЭТАЖ ЗАДАН ЧИСЛОМ</v>
      </c>
      <c r="M357" s="13" t="b">
        <f t="shared" si="36"/>
        <v>0</v>
      </c>
      <c r="N357" s="13">
        <f t="shared" si="37"/>
        <v>2</v>
      </c>
      <c r="O357" s="13" t="str">
        <f t="shared" si="38"/>
        <v>ЭТАЖ ЗАДАН ЧИСЛОМ</v>
      </c>
      <c r="P357" s="13" t="str">
        <f t="shared" si="39"/>
        <v>ЭТАЖ ЗАДАН ЧИСЛОМ</v>
      </c>
      <c r="Q357" s="13" t="str">
        <f t="shared" si="40"/>
        <v>ГОТОВ_ИЗМЕНЕН</v>
      </c>
      <c r="R357" s="13">
        <f>IFERROR(VLOOKUP(P357,Лист1!A$1:B$20,2,FALSE),0)</f>
        <v>784</v>
      </c>
      <c r="S357" s="13">
        <f t="shared" si="41"/>
        <v>0</v>
      </c>
    </row>
    <row r="358" spans="1:19" x14ac:dyDescent="0.25">
      <c r="A358" s="24" t="s">
        <v>1461</v>
      </c>
      <c r="B358" s="4" t="s">
        <v>1059</v>
      </c>
      <c r="C358" s="25" t="s">
        <v>5</v>
      </c>
      <c r="G358" s="25" t="s">
        <v>1067</v>
      </c>
      <c r="H358" s="24" t="s">
        <v>1061</v>
      </c>
      <c r="I358" s="3" t="str">
        <f>IFERROR(VLOOKUP(C358,'Справочник соответствий'!A$2:D$2981,2,FALSE),IF(VALUE(C358)=0,1,VLOOKUP(C358,'Справочник соответствий'!A$2:D$2981,2,FALSE)))</f>
        <v>1</v>
      </c>
      <c r="J358" s="3">
        <f>IFERROR(VLOOKUP(D358,'Справочник соответствий'!A$2:D$2981,2,FALSE),IF(VALUE(D358)=0,0,VLOOKUP(D358,'Справочник соответствий'!A$2:D$2981,2,FALSE)))</f>
        <v>0</v>
      </c>
      <c r="K358" s="3" t="str">
        <f t="shared" si="35"/>
        <v>1</v>
      </c>
      <c r="L358" s="13" t="str">
        <f>IFERROR(VLOOKUP(C358,'Справочник соответствий'!A$2:D$2981,3,FALSE),IF(VALUE(C358)=0,"ЭТАЖ НЕ ОПРЕДЕЛЕН. ПРИНЯТ ПО ДОПУЩЕНИЮ 1",VLOOKUP(C358,'Справочник соответствий'!A$2:D$2981,3,FALSE)))</f>
        <v>ЭТАЖ ЗАДАН ЧИСЛОМ</v>
      </c>
      <c r="M358" s="13" t="b">
        <f t="shared" si="36"/>
        <v>0</v>
      </c>
      <c r="N358" s="13">
        <f t="shared" si="37"/>
        <v>1</v>
      </c>
      <c r="O358" s="13" t="str">
        <f t="shared" si="38"/>
        <v>ЭТАЖ ЗАДАН ЧИСЛОМ</v>
      </c>
      <c r="P358" s="13" t="str">
        <f t="shared" si="39"/>
        <v>ЭТАЖ ЗАДАН ЧИСЛОМ</v>
      </c>
      <c r="Q358" s="13" t="str">
        <f t="shared" si="40"/>
        <v>ГОТОВ_ИЗМЕНЕН</v>
      </c>
      <c r="R358" s="13">
        <f>IFERROR(VLOOKUP(P358,Лист1!A$1:B$20,2,FALSE),0)</f>
        <v>784</v>
      </c>
      <c r="S358" s="13">
        <f t="shared" si="41"/>
        <v>0</v>
      </c>
    </row>
    <row r="359" spans="1:19" x14ac:dyDescent="0.25">
      <c r="A359" s="24" t="s">
        <v>1462</v>
      </c>
      <c r="B359" s="4" t="s">
        <v>1063</v>
      </c>
      <c r="C359" s="25" t="s">
        <v>5</v>
      </c>
      <c r="G359" s="25" t="s">
        <v>1086</v>
      </c>
      <c r="H359" s="24" t="s">
        <v>1061</v>
      </c>
      <c r="I359" s="3" t="str">
        <f>IFERROR(VLOOKUP(C359,'Справочник соответствий'!A$2:D$2981,2,FALSE),IF(VALUE(C359)=0,1,VLOOKUP(C359,'Справочник соответствий'!A$2:D$2981,2,FALSE)))</f>
        <v>1</v>
      </c>
      <c r="J359" s="3">
        <f>IFERROR(VLOOKUP(D359,'Справочник соответствий'!A$2:D$2981,2,FALSE),IF(VALUE(D359)=0,0,VLOOKUP(D359,'Справочник соответствий'!A$2:D$2981,2,FALSE)))</f>
        <v>0</v>
      </c>
      <c r="K359" s="3" t="str">
        <f t="shared" si="35"/>
        <v>1</v>
      </c>
      <c r="L359" s="13" t="str">
        <f>IFERROR(VLOOKUP(C359,'Справочник соответствий'!A$2:D$2981,3,FALSE),IF(VALUE(C359)=0,"ЭТАЖ НЕ ОПРЕДЕЛЕН. ПРИНЯТ ПО ДОПУЩЕНИЮ 1",VLOOKUP(C359,'Справочник соответствий'!A$2:D$2981,3,FALSE)))</f>
        <v>ЭТАЖ ЗАДАН ЧИСЛОМ</v>
      </c>
      <c r="M359" s="13" t="b">
        <f t="shared" si="36"/>
        <v>0</v>
      </c>
      <c r="N359" s="13">
        <f t="shared" si="37"/>
        <v>1</v>
      </c>
      <c r="O359" s="13" t="str">
        <f t="shared" si="38"/>
        <v>ЭТАЖ ЗАДАН ЧИСЛОМ</v>
      </c>
      <c r="P359" s="13" t="str">
        <f t="shared" si="39"/>
        <v>ЭТАЖ ЗАДАН ЧИСЛОМ</v>
      </c>
      <c r="Q359" s="13" t="str">
        <f t="shared" si="40"/>
        <v>ГОТОВ_ИЗМЕНЕН</v>
      </c>
      <c r="R359" s="13">
        <f>IFERROR(VLOOKUP(P359,Лист1!A$1:B$20,2,FALSE),0)</f>
        <v>784</v>
      </c>
      <c r="S359" s="13">
        <f t="shared" si="41"/>
        <v>0</v>
      </c>
    </row>
    <row r="360" spans="1:19" x14ac:dyDescent="0.25">
      <c r="A360" s="24" t="s">
        <v>1463</v>
      </c>
      <c r="B360" s="4" t="s">
        <v>1063</v>
      </c>
      <c r="G360" s="25" t="s">
        <v>1276</v>
      </c>
      <c r="H360" s="24" t="s">
        <v>1061</v>
      </c>
      <c r="I360" s="3">
        <f>IFERROR(VLOOKUP(C360,'Справочник соответствий'!A$2:D$2981,2,FALSE),IF(VALUE(C360)=0,1,VLOOKUP(C360,'Справочник соответствий'!A$2:D$2981,2,FALSE)))</f>
        <v>1</v>
      </c>
      <c r="J360" s="3">
        <f>IFERROR(VLOOKUP(D360,'Справочник соответствий'!A$2:D$2981,2,FALSE),IF(VALUE(D360)=0,0,VLOOKUP(D360,'Справочник соответствий'!A$2:D$2981,2,FALSE)))</f>
        <v>0</v>
      </c>
      <c r="K360" s="3">
        <f t="shared" si="35"/>
        <v>1</v>
      </c>
      <c r="L360" s="13" t="str">
        <f>IFERROR(VLOOKUP(C360,'Справочник соответствий'!A$2:D$2981,3,FALSE),IF(VALUE(C360)=0,"ЭТАЖ НЕ ОПРЕДЕЛЕН. ПРИНЯТ ПО ДОПУЩЕНИЮ 1",VLOOKUP(C360,'Справочник соответствий'!A$2:D$2981,3,FALSE)))</f>
        <v>ЭТАЖ НЕ ОПРЕДЕЛЕН. ПРИНЯТ ПО ДОПУЩЕНИЮ 1</v>
      </c>
      <c r="M360" s="13" t="b">
        <f t="shared" si="36"/>
        <v>0</v>
      </c>
      <c r="N360" s="13">
        <f t="shared" si="37"/>
        <v>1</v>
      </c>
      <c r="O360" s="13" t="str">
        <f t="shared" si="38"/>
        <v>ЭТАЖ НЕ ОПРЕДЕЛЕН. ПРИНЯТ ПО ДОПУЩЕНИЮ 1</v>
      </c>
      <c r="P360" s="13" t="str">
        <f t="shared" si="39"/>
        <v>ЭТАЖ НЕ ОПРЕДЕЛЕН. ПРИНЯТ ПО ДОПУЩЕНИЮ 1</v>
      </c>
      <c r="Q360" s="13" t="str">
        <f t="shared" si="40"/>
        <v>ГОТОВ_ИЗМЕНЕН</v>
      </c>
      <c r="R360" s="13">
        <f>IFERROR(VLOOKUP(P360,Лист1!A$1:B$20,2,FALSE),0)</f>
        <v>788</v>
      </c>
      <c r="S360" s="13">
        <f t="shared" si="41"/>
        <v>0</v>
      </c>
    </row>
    <row r="361" spans="1:19" x14ac:dyDescent="0.25">
      <c r="A361" s="24" t="s">
        <v>1464</v>
      </c>
      <c r="B361" s="4" t="s">
        <v>1063</v>
      </c>
      <c r="C361" s="25" t="s">
        <v>5</v>
      </c>
      <c r="G361" s="25" t="s">
        <v>1086</v>
      </c>
      <c r="H361" s="24" t="s">
        <v>1061</v>
      </c>
      <c r="I361" s="3" t="str">
        <f>IFERROR(VLOOKUP(C361,'Справочник соответствий'!A$2:D$2981,2,FALSE),IF(VALUE(C361)=0,1,VLOOKUP(C361,'Справочник соответствий'!A$2:D$2981,2,FALSE)))</f>
        <v>1</v>
      </c>
      <c r="J361" s="3">
        <f>IFERROR(VLOOKUP(D361,'Справочник соответствий'!A$2:D$2981,2,FALSE),IF(VALUE(D361)=0,0,VLOOKUP(D361,'Справочник соответствий'!A$2:D$2981,2,FALSE)))</f>
        <v>0</v>
      </c>
      <c r="K361" s="3" t="str">
        <f t="shared" si="35"/>
        <v>1</v>
      </c>
      <c r="L361" s="13" t="str">
        <f>IFERROR(VLOOKUP(C361,'Справочник соответствий'!A$2:D$2981,3,FALSE),IF(VALUE(C361)=0,"ЭТАЖ НЕ ОПРЕДЕЛЕН. ПРИНЯТ ПО ДОПУЩЕНИЮ 1",VLOOKUP(C361,'Справочник соответствий'!A$2:D$2981,3,FALSE)))</f>
        <v>ЭТАЖ ЗАДАН ЧИСЛОМ</v>
      </c>
      <c r="M361" s="13" t="b">
        <f t="shared" si="36"/>
        <v>0</v>
      </c>
      <c r="N361" s="13">
        <f t="shared" si="37"/>
        <v>1</v>
      </c>
      <c r="O361" s="13" t="str">
        <f t="shared" si="38"/>
        <v>ЭТАЖ ЗАДАН ЧИСЛОМ</v>
      </c>
      <c r="P361" s="13" t="str">
        <f t="shared" si="39"/>
        <v>ЭТАЖ ЗАДАН ЧИСЛОМ</v>
      </c>
      <c r="Q361" s="13" t="str">
        <f t="shared" si="40"/>
        <v>ГОТОВ_ИЗМЕНЕН</v>
      </c>
      <c r="R361" s="13">
        <f>IFERROR(VLOOKUP(P361,Лист1!A$1:B$20,2,FALSE),0)</f>
        <v>784</v>
      </c>
      <c r="S361" s="13">
        <f t="shared" si="41"/>
        <v>0</v>
      </c>
    </row>
    <row r="362" spans="1:19" x14ac:dyDescent="0.25">
      <c r="A362" s="24" t="s">
        <v>1465</v>
      </c>
      <c r="B362" s="4" t="s">
        <v>1059</v>
      </c>
      <c r="C362" s="25" t="s">
        <v>5</v>
      </c>
      <c r="G362" s="25" t="s">
        <v>1086</v>
      </c>
      <c r="H362" s="24" t="s">
        <v>1061</v>
      </c>
      <c r="I362" s="3" t="str">
        <f>IFERROR(VLOOKUP(C362,'Справочник соответствий'!A$2:D$2981,2,FALSE),IF(VALUE(C362)=0,1,VLOOKUP(C362,'Справочник соответствий'!A$2:D$2981,2,FALSE)))</f>
        <v>1</v>
      </c>
      <c r="J362" s="3">
        <f>IFERROR(VLOOKUP(D362,'Справочник соответствий'!A$2:D$2981,2,FALSE),IF(VALUE(D362)=0,0,VLOOKUP(D362,'Справочник соответствий'!A$2:D$2981,2,FALSE)))</f>
        <v>0</v>
      </c>
      <c r="K362" s="3" t="str">
        <f t="shared" si="35"/>
        <v>1</v>
      </c>
      <c r="L362" s="13" t="str">
        <f>IFERROR(VLOOKUP(C362,'Справочник соответствий'!A$2:D$2981,3,FALSE),IF(VALUE(C362)=0,"ЭТАЖ НЕ ОПРЕДЕЛЕН. ПРИНЯТ ПО ДОПУЩЕНИЮ 1",VLOOKUP(C362,'Справочник соответствий'!A$2:D$2981,3,FALSE)))</f>
        <v>ЭТАЖ ЗАДАН ЧИСЛОМ</v>
      </c>
      <c r="M362" s="13" t="b">
        <f t="shared" si="36"/>
        <v>0</v>
      </c>
      <c r="N362" s="13">
        <f t="shared" si="37"/>
        <v>1</v>
      </c>
      <c r="O362" s="13" t="str">
        <f t="shared" si="38"/>
        <v>ЭТАЖ ЗАДАН ЧИСЛОМ</v>
      </c>
      <c r="P362" s="13" t="str">
        <f t="shared" si="39"/>
        <v>ЭТАЖ ЗАДАН ЧИСЛОМ</v>
      </c>
      <c r="Q362" s="13" t="str">
        <f t="shared" si="40"/>
        <v>ГОТОВ_ИЗМЕНЕН</v>
      </c>
      <c r="R362" s="13">
        <f>IFERROR(VLOOKUP(P362,Лист1!A$1:B$20,2,FALSE),0)</f>
        <v>784</v>
      </c>
      <c r="S362" s="13">
        <f t="shared" si="41"/>
        <v>0</v>
      </c>
    </row>
    <row r="363" spans="1:19" x14ac:dyDescent="0.25">
      <c r="A363" s="24" t="s">
        <v>1466</v>
      </c>
      <c r="B363" s="4" t="s">
        <v>1063</v>
      </c>
      <c r="C363" s="25" t="s">
        <v>5</v>
      </c>
      <c r="G363" s="25" t="s">
        <v>1086</v>
      </c>
      <c r="H363" s="24" t="s">
        <v>1061</v>
      </c>
      <c r="I363" s="3" t="str">
        <f>IFERROR(VLOOKUP(C363,'Справочник соответствий'!A$2:D$2981,2,FALSE),IF(VALUE(C363)=0,1,VLOOKUP(C363,'Справочник соответствий'!A$2:D$2981,2,FALSE)))</f>
        <v>1</v>
      </c>
      <c r="J363" s="3">
        <f>IFERROR(VLOOKUP(D363,'Справочник соответствий'!A$2:D$2981,2,FALSE),IF(VALUE(D363)=0,0,VLOOKUP(D363,'Справочник соответствий'!A$2:D$2981,2,FALSE)))</f>
        <v>0</v>
      </c>
      <c r="K363" s="3" t="str">
        <f t="shared" si="35"/>
        <v>1</v>
      </c>
      <c r="L363" s="13" t="str">
        <f>IFERROR(VLOOKUP(C363,'Справочник соответствий'!A$2:D$2981,3,FALSE),IF(VALUE(C363)=0,"ЭТАЖ НЕ ОПРЕДЕЛЕН. ПРИНЯТ ПО ДОПУЩЕНИЮ 1",VLOOKUP(C363,'Справочник соответствий'!A$2:D$2981,3,FALSE)))</f>
        <v>ЭТАЖ ЗАДАН ЧИСЛОМ</v>
      </c>
      <c r="M363" s="13" t="b">
        <f t="shared" si="36"/>
        <v>0</v>
      </c>
      <c r="N363" s="13">
        <f t="shared" si="37"/>
        <v>1</v>
      </c>
      <c r="O363" s="13" t="str">
        <f t="shared" si="38"/>
        <v>ЭТАЖ ЗАДАН ЧИСЛОМ</v>
      </c>
      <c r="P363" s="13" t="str">
        <f t="shared" si="39"/>
        <v>ЭТАЖ ЗАДАН ЧИСЛОМ</v>
      </c>
      <c r="Q363" s="13" t="str">
        <f t="shared" si="40"/>
        <v>ГОТОВ_ИЗМЕНЕН</v>
      </c>
      <c r="R363" s="13">
        <f>IFERROR(VLOOKUP(P363,Лист1!A$1:B$20,2,FALSE),0)</f>
        <v>784</v>
      </c>
      <c r="S363" s="13">
        <f t="shared" si="41"/>
        <v>0</v>
      </c>
    </row>
    <row r="364" spans="1:19" x14ac:dyDescent="0.25">
      <c r="A364" s="24" t="s">
        <v>1467</v>
      </c>
      <c r="B364" s="4" t="s">
        <v>1063</v>
      </c>
      <c r="C364" s="25" t="s">
        <v>5</v>
      </c>
      <c r="G364" s="25" t="s">
        <v>1086</v>
      </c>
      <c r="H364" s="24" t="s">
        <v>1061</v>
      </c>
      <c r="I364" s="3" t="str">
        <f>IFERROR(VLOOKUP(C364,'Справочник соответствий'!A$2:D$2981,2,FALSE),IF(VALUE(C364)=0,1,VLOOKUP(C364,'Справочник соответствий'!A$2:D$2981,2,FALSE)))</f>
        <v>1</v>
      </c>
      <c r="J364" s="3">
        <f>IFERROR(VLOOKUP(D364,'Справочник соответствий'!A$2:D$2981,2,FALSE),IF(VALUE(D364)=0,0,VLOOKUP(D364,'Справочник соответствий'!A$2:D$2981,2,FALSE)))</f>
        <v>0</v>
      </c>
      <c r="K364" s="3" t="str">
        <f t="shared" si="35"/>
        <v>1</v>
      </c>
      <c r="L364" s="13" t="str">
        <f>IFERROR(VLOOKUP(C364,'Справочник соответствий'!A$2:D$2981,3,FALSE),IF(VALUE(C364)=0,"ЭТАЖ НЕ ОПРЕДЕЛЕН. ПРИНЯТ ПО ДОПУЩЕНИЮ 1",VLOOKUP(C364,'Справочник соответствий'!A$2:D$2981,3,FALSE)))</f>
        <v>ЭТАЖ ЗАДАН ЧИСЛОМ</v>
      </c>
      <c r="M364" s="13" t="b">
        <f t="shared" si="36"/>
        <v>0</v>
      </c>
      <c r="N364" s="13">
        <f t="shared" si="37"/>
        <v>1</v>
      </c>
      <c r="O364" s="13" t="str">
        <f t="shared" si="38"/>
        <v>ЭТАЖ ЗАДАН ЧИСЛОМ</v>
      </c>
      <c r="P364" s="13" t="str">
        <f t="shared" si="39"/>
        <v>ЭТАЖ ЗАДАН ЧИСЛОМ</v>
      </c>
      <c r="Q364" s="13" t="str">
        <f t="shared" si="40"/>
        <v>ГОТОВ_ИЗМЕНЕН</v>
      </c>
      <c r="R364" s="13">
        <f>IFERROR(VLOOKUP(P364,Лист1!A$1:B$20,2,FALSE),0)</f>
        <v>784</v>
      </c>
      <c r="S364" s="13">
        <f t="shared" si="41"/>
        <v>0</v>
      </c>
    </row>
    <row r="365" spans="1:19" x14ac:dyDescent="0.25">
      <c r="A365" s="24" t="s">
        <v>1468</v>
      </c>
      <c r="B365" s="4" t="s">
        <v>1063</v>
      </c>
      <c r="G365" s="25" t="s">
        <v>1086</v>
      </c>
      <c r="H365" s="24" t="s">
        <v>1061</v>
      </c>
      <c r="I365" s="3">
        <f>IFERROR(VLOOKUP(C365,'Справочник соответствий'!A$2:D$2981,2,FALSE),IF(VALUE(C365)=0,1,VLOOKUP(C365,'Справочник соответствий'!A$2:D$2981,2,FALSE)))</f>
        <v>1</v>
      </c>
      <c r="J365" s="3">
        <f>IFERROR(VLOOKUP(D365,'Справочник соответствий'!A$2:D$2981,2,FALSE),IF(VALUE(D365)=0,0,VLOOKUP(D365,'Справочник соответствий'!A$2:D$2981,2,FALSE)))</f>
        <v>0</v>
      </c>
      <c r="K365" s="3">
        <f t="shared" si="35"/>
        <v>1</v>
      </c>
      <c r="L365" s="13" t="str">
        <f>IFERROR(VLOOKUP(C365,'Справочник соответствий'!A$2:D$2981,3,FALSE),IF(VALUE(C365)=0,"ЭТАЖ НЕ ОПРЕДЕЛЕН. ПРИНЯТ ПО ДОПУЩЕНИЮ 1",VLOOKUP(C365,'Справочник соответствий'!A$2:D$2981,3,FALSE)))</f>
        <v>ЭТАЖ НЕ ОПРЕДЕЛЕН. ПРИНЯТ ПО ДОПУЩЕНИЮ 1</v>
      </c>
      <c r="M365" s="13" t="b">
        <f t="shared" si="36"/>
        <v>0</v>
      </c>
      <c r="N365" s="13">
        <f t="shared" si="37"/>
        <v>1</v>
      </c>
      <c r="O365" s="13" t="str">
        <f t="shared" si="38"/>
        <v>ЭТАЖ НЕ ОПРЕДЕЛЕН. ПРИНЯТ ПО ДОПУЩЕНИЮ 1</v>
      </c>
      <c r="P365" s="13" t="str">
        <f t="shared" si="39"/>
        <v>ЭТАЖ НЕ ОПРЕДЕЛЕН. ПРИНЯТ ПО ДОПУЩЕНИЮ 1</v>
      </c>
      <c r="Q365" s="13" t="str">
        <f t="shared" si="40"/>
        <v>ГОТОВ_ИЗМЕНЕН</v>
      </c>
      <c r="R365" s="13">
        <f>IFERROR(VLOOKUP(P365,Лист1!A$1:B$20,2,FALSE),0)</f>
        <v>788</v>
      </c>
      <c r="S365" s="13">
        <f t="shared" si="41"/>
        <v>0</v>
      </c>
    </row>
    <row r="366" spans="1:19" x14ac:dyDescent="0.25">
      <c r="A366" s="24" t="s">
        <v>1469</v>
      </c>
      <c r="B366" s="4" t="s">
        <v>1059</v>
      </c>
      <c r="C366" s="25" t="s">
        <v>5</v>
      </c>
      <c r="G366" s="25" t="s">
        <v>1289</v>
      </c>
      <c r="H366" s="24" t="s">
        <v>1061</v>
      </c>
      <c r="I366" s="3" t="str">
        <f>IFERROR(VLOOKUP(C366,'Справочник соответствий'!A$2:D$2981,2,FALSE),IF(VALUE(C366)=0,1,VLOOKUP(C366,'Справочник соответствий'!A$2:D$2981,2,FALSE)))</f>
        <v>1</v>
      </c>
      <c r="J366" s="3">
        <f>IFERROR(VLOOKUP(D366,'Справочник соответствий'!A$2:D$2981,2,FALSE),IF(VALUE(D366)=0,0,VLOOKUP(D366,'Справочник соответствий'!A$2:D$2981,2,FALSE)))</f>
        <v>0</v>
      </c>
      <c r="K366" s="3" t="str">
        <f t="shared" si="35"/>
        <v>1</v>
      </c>
      <c r="L366" s="13" t="str">
        <f>IFERROR(VLOOKUP(C366,'Справочник соответствий'!A$2:D$2981,3,FALSE),IF(VALUE(C366)=0,"ЭТАЖ НЕ ОПРЕДЕЛЕН. ПРИНЯТ ПО ДОПУЩЕНИЮ 1",VLOOKUP(C366,'Справочник соответствий'!A$2:D$2981,3,FALSE)))</f>
        <v>ЭТАЖ ЗАДАН ЧИСЛОМ</v>
      </c>
      <c r="M366" s="13" t="b">
        <f t="shared" si="36"/>
        <v>0</v>
      </c>
      <c r="N366" s="13">
        <f t="shared" si="37"/>
        <v>1</v>
      </c>
      <c r="O366" s="13" t="str">
        <f t="shared" si="38"/>
        <v>ЭТАЖ ЗАДАН ЧИСЛОМ</v>
      </c>
      <c r="P366" s="13" t="str">
        <f t="shared" si="39"/>
        <v>ЭТАЖ ЗАДАН ЧИСЛОМ</v>
      </c>
      <c r="Q366" s="13" t="str">
        <f t="shared" si="40"/>
        <v>ГОТОВ_ИЗМЕНЕН</v>
      </c>
      <c r="R366" s="13">
        <f>IFERROR(VLOOKUP(P366,Лист1!A$1:B$20,2,FALSE),0)</f>
        <v>784</v>
      </c>
      <c r="S366" s="13">
        <f t="shared" si="41"/>
        <v>0</v>
      </c>
    </row>
    <row r="367" spans="1:19" x14ac:dyDescent="0.25">
      <c r="A367" s="24" t="s">
        <v>1470</v>
      </c>
      <c r="B367" s="4" t="s">
        <v>1031</v>
      </c>
      <c r="C367" s="25" t="s">
        <v>15</v>
      </c>
      <c r="D367" s="25" t="s">
        <v>5</v>
      </c>
      <c r="G367" s="25" t="s">
        <v>1080</v>
      </c>
      <c r="H367" s="24" t="s">
        <v>1061</v>
      </c>
      <c r="I367" s="3" t="str">
        <f>IFERROR(VLOOKUP(C367,'Справочник соответствий'!A$2:D$2981,2,FALSE),IF(VALUE(C367)=0,1,VLOOKUP(C367,'Справочник соответствий'!A$2:D$2981,2,FALSE)))</f>
        <v>10</v>
      </c>
      <c r="J367" s="3" t="str">
        <f>IFERROR(VLOOKUP(D367,'Справочник соответствий'!A$2:D$2981,2,FALSE),IF(VALUE(D367)=0,0,VLOOKUP(D367,'Справочник соответствий'!A$2:D$2981,2,FALSE)))</f>
        <v>1</v>
      </c>
      <c r="K367" s="3">
        <f t="shared" si="35"/>
        <v>9</v>
      </c>
      <c r="L367" s="13" t="str">
        <f>IFERROR(VLOOKUP(C367,'Справочник соответствий'!A$2:D$2981,3,FALSE),IF(VALUE(C367)=0,"ЭТАЖ НЕ ОПРЕДЕЛЕН. ПРИНЯТ ПО ДОПУЩЕНИЮ 1",VLOOKUP(C367,'Справочник соответствий'!A$2:D$2981,3,FALSE)))</f>
        <v>ЭТАЖ ЗАДАН ЧИСЛОМ</v>
      </c>
      <c r="M367" s="13" t="b">
        <f t="shared" si="36"/>
        <v>0</v>
      </c>
      <c r="N367" s="13">
        <f t="shared" si="37"/>
        <v>9</v>
      </c>
      <c r="O367" s="13" t="str">
        <f t="shared" si="38"/>
        <v>ЭТАЖ ЗАДАН ЧИСЛОМ</v>
      </c>
      <c r="P367" s="13" t="str">
        <f t="shared" si="39"/>
        <v>МКД_ЭТАЖ ЗАДАН ЧИСЛОМ</v>
      </c>
      <c r="Q367" s="13" t="str">
        <f t="shared" si="40"/>
        <v>ГОТОВ_ИЗМЕНЕН</v>
      </c>
      <c r="R367" s="13">
        <f>IFERROR(VLOOKUP(P367,Лист1!A$1:B$20,2,FALSE),0)</f>
        <v>786</v>
      </c>
      <c r="S367" s="13">
        <f t="shared" si="41"/>
        <v>0</v>
      </c>
    </row>
    <row r="368" spans="1:19" x14ac:dyDescent="0.25">
      <c r="A368" s="24" t="s">
        <v>1471</v>
      </c>
      <c r="B368" s="4" t="s">
        <v>1063</v>
      </c>
      <c r="C368" s="25" t="s">
        <v>5</v>
      </c>
      <c r="G368" s="25" t="s">
        <v>1080</v>
      </c>
      <c r="H368" s="24" t="s">
        <v>1061</v>
      </c>
      <c r="I368" s="3" t="str">
        <f>IFERROR(VLOOKUP(C368,'Справочник соответствий'!A$2:D$2981,2,FALSE),IF(VALUE(C368)=0,1,VLOOKUP(C368,'Справочник соответствий'!A$2:D$2981,2,FALSE)))</f>
        <v>1</v>
      </c>
      <c r="J368" s="3">
        <f>IFERROR(VLOOKUP(D368,'Справочник соответствий'!A$2:D$2981,2,FALSE),IF(VALUE(D368)=0,0,VLOOKUP(D368,'Справочник соответствий'!A$2:D$2981,2,FALSE)))</f>
        <v>0</v>
      </c>
      <c r="K368" s="3" t="str">
        <f t="shared" si="35"/>
        <v>1</v>
      </c>
      <c r="L368" s="13" t="str">
        <f>IFERROR(VLOOKUP(C368,'Справочник соответствий'!A$2:D$2981,3,FALSE),IF(VALUE(C368)=0,"ЭТАЖ НЕ ОПРЕДЕЛЕН. ПРИНЯТ ПО ДОПУЩЕНИЮ 1",VLOOKUP(C368,'Справочник соответствий'!A$2:D$2981,3,FALSE)))</f>
        <v>ЭТАЖ ЗАДАН ЧИСЛОМ</v>
      </c>
      <c r="M368" s="13" t="b">
        <f t="shared" si="36"/>
        <v>0</v>
      </c>
      <c r="N368" s="13">
        <f t="shared" si="37"/>
        <v>1</v>
      </c>
      <c r="O368" s="13" t="str">
        <f t="shared" si="38"/>
        <v>ЭТАЖ ЗАДАН ЧИСЛОМ</v>
      </c>
      <c r="P368" s="13" t="str">
        <f t="shared" si="39"/>
        <v>ЭТАЖ ЗАДАН ЧИСЛОМ</v>
      </c>
      <c r="Q368" s="13" t="str">
        <f t="shared" si="40"/>
        <v>ГОТОВ_ИЗМЕНЕН</v>
      </c>
      <c r="R368" s="13">
        <f>IFERROR(VLOOKUP(P368,Лист1!A$1:B$20,2,FALSE),0)</f>
        <v>784</v>
      </c>
      <c r="S368" s="13">
        <f t="shared" si="41"/>
        <v>0</v>
      </c>
    </row>
    <row r="369" spans="1:19" x14ac:dyDescent="0.25">
      <c r="A369" s="24" t="s">
        <v>1472</v>
      </c>
      <c r="B369" s="4" t="s">
        <v>1059</v>
      </c>
      <c r="C369" s="25" t="s">
        <v>7</v>
      </c>
      <c r="G369" s="25" t="s">
        <v>1080</v>
      </c>
      <c r="H369" s="24" t="s">
        <v>1061</v>
      </c>
      <c r="I369" s="3" t="str">
        <f>IFERROR(VLOOKUP(C369,'Справочник соответствий'!A$2:D$2981,2,FALSE),IF(VALUE(C369)=0,1,VLOOKUP(C369,'Справочник соответствий'!A$2:D$2981,2,FALSE)))</f>
        <v>2</v>
      </c>
      <c r="J369" s="3">
        <f>IFERROR(VLOOKUP(D369,'Справочник соответствий'!A$2:D$2981,2,FALSE),IF(VALUE(D369)=0,0,VLOOKUP(D369,'Справочник соответствий'!A$2:D$2981,2,FALSE)))</f>
        <v>0</v>
      </c>
      <c r="K369" s="3" t="str">
        <f t="shared" si="35"/>
        <v>2</v>
      </c>
      <c r="L369" s="13" t="str">
        <f>IFERROR(VLOOKUP(C369,'Справочник соответствий'!A$2:D$2981,3,FALSE),IF(VALUE(C369)=0,"ЭТАЖ НЕ ОПРЕДЕЛЕН. ПРИНЯТ ПО ДОПУЩЕНИЮ 1",VLOOKUP(C369,'Справочник соответствий'!A$2:D$2981,3,FALSE)))</f>
        <v>ЭТАЖ ЗАДАН ЧИСЛОМ</v>
      </c>
      <c r="M369" s="13" t="b">
        <f t="shared" si="36"/>
        <v>0</v>
      </c>
      <c r="N369" s="13">
        <f t="shared" si="37"/>
        <v>2</v>
      </c>
      <c r="O369" s="13" t="str">
        <f t="shared" si="38"/>
        <v>ЭТАЖ ЗАДАН ЧИСЛОМ</v>
      </c>
      <c r="P369" s="13" t="str">
        <f t="shared" si="39"/>
        <v>ЭТАЖ ЗАДАН ЧИСЛОМ</v>
      </c>
      <c r="Q369" s="13" t="str">
        <f t="shared" si="40"/>
        <v>ГОТОВ_ИЗМЕНЕН</v>
      </c>
      <c r="R369" s="13">
        <f>IFERROR(VLOOKUP(P369,Лист1!A$1:B$20,2,FALSE),0)</f>
        <v>784</v>
      </c>
      <c r="S369" s="13">
        <f t="shared" si="41"/>
        <v>0</v>
      </c>
    </row>
    <row r="370" spans="1:19" x14ac:dyDescent="0.25">
      <c r="A370" s="24" t="s">
        <v>1473</v>
      </c>
      <c r="B370" s="4" t="s">
        <v>1063</v>
      </c>
      <c r="C370" s="25" t="s">
        <v>5</v>
      </c>
      <c r="G370" s="25" t="s">
        <v>1080</v>
      </c>
      <c r="H370" s="24" t="s">
        <v>1061</v>
      </c>
      <c r="I370" s="3" t="str">
        <f>IFERROR(VLOOKUP(C370,'Справочник соответствий'!A$2:D$2981,2,FALSE),IF(VALUE(C370)=0,1,VLOOKUP(C370,'Справочник соответствий'!A$2:D$2981,2,FALSE)))</f>
        <v>1</v>
      </c>
      <c r="J370" s="3">
        <f>IFERROR(VLOOKUP(D370,'Справочник соответствий'!A$2:D$2981,2,FALSE),IF(VALUE(D370)=0,0,VLOOKUP(D370,'Справочник соответствий'!A$2:D$2981,2,FALSE)))</f>
        <v>0</v>
      </c>
      <c r="K370" s="3" t="str">
        <f t="shared" si="35"/>
        <v>1</v>
      </c>
      <c r="L370" s="13" t="str">
        <f>IFERROR(VLOOKUP(C370,'Справочник соответствий'!A$2:D$2981,3,FALSE),IF(VALUE(C370)=0,"ЭТАЖ НЕ ОПРЕДЕЛЕН. ПРИНЯТ ПО ДОПУЩЕНИЮ 1",VLOOKUP(C370,'Справочник соответствий'!A$2:D$2981,3,FALSE)))</f>
        <v>ЭТАЖ ЗАДАН ЧИСЛОМ</v>
      </c>
      <c r="M370" s="13" t="b">
        <f t="shared" si="36"/>
        <v>0</v>
      </c>
      <c r="N370" s="13">
        <f t="shared" si="37"/>
        <v>1</v>
      </c>
      <c r="O370" s="13" t="str">
        <f t="shared" si="38"/>
        <v>ЭТАЖ ЗАДАН ЧИСЛОМ</v>
      </c>
      <c r="P370" s="13" t="str">
        <f t="shared" si="39"/>
        <v>ЭТАЖ ЗАДАН ЧИСЛОМ</v>
      </c>
      <c r="Q370" s="13" t="str">
        <f t="shared" si="40"/>
        <v>ГОТОВ_ИЗМЕНЕН</v>
      </c>
      <c r="R370" s="13">
        <f>IFERROR(VLOOKUP(P370,Лист1!A$1:B$20,2,FALSE),0)</f>
        <v>784</v>
      </c>
      <c r="S370" s="13">
        <f t="shared" si="41"/>
        <v>0</v>
      </c>
    </row>
    <row r="371" spans="1:19" x14ac:dyDescent="0.25">
      <c r="A371" s="24" t="s">
        <v>1474</v>
      </c>
      <c r="B371" s="4" t="s">
        <v>1063</v>
      </c>
      <c r="C371" s="25" t="s">
        <v>5</v>
      </c>
      <c r="G371" s="25" t="s">
        <v>1080</v>
      </c>
      <c r="H371" s="24" t="s">
        <v>1061</v>
      </c>
      <c r="I371" s="3" t="str">
        <f>IFERROR(VLOOKUP(C371,'Справочник соответствий'!A$2:D$2981,2,FALSE),IF(VALUE(C371)=0,1,VLOOKUP(C371,'Справочник соответствий'!A$2:D$2981,2,FALSE)))</f>
        <v>1</v>
      </c>
      <c r="J371" s="3">
        <f>IFERROR(VLOOKUP(D371,'Справочник соответствий'!A$2:D$2981,2,FALSE),IF(VALUE(D371)=0,0,VLOOKUP(D371,'Справочник соответствий'!A$2:D$2981,2,FALSE)))</f>
        <v>0</v>
      </c>
      <c r="K371" s="3" t="str">
        <f t="shared" si="35"/>
        <v>1</v>
      </c>
      <c r="L371" s="13" t="str">
        <f>IFERROR(VLOOKUP(C371,'Справочник соответствий'!A$2:D$2981,3,FALSE),IF(VALUE(C371)=0,"ЭТАЖ НЕ ОПРЕДЕЛЕН. ПРИНЯТ ПО ДОПУЩЕНИЮ 1",VLOOKUP(C371,'Справочник соответствий'!A$2:D$2981,3,FALSE)))</f>
        <v>ЭТАЖ ЗАДАН ЧИСЛОМ</v>
      </c>
      <c r="M371" s="13" t="b">
        <f t="shared" si="36"/>
        <v>0</v>
      </c>
      <c r="N371" s="13">
        <f t="shared" si="37"/>
        <v>1</v>
      </c>
      <c r="O371" s="13" t="str">
        <f t="shared" si="38"/>
        <v>ЭТАЖ ЗАДАН ЧИСЛОМ</v>
      </c>
      <c r="P371" s="13" t="str">
        <f t="shared" si="39"/>
        <v>ЭТАЖ ЗАДАН ЧИСЛОМ</v>
      </c>
      <c r="Q371" s="13" t="str">
        <f t="shared" si="40"/>
        <v>ГОТОВ_ИЗМЕНЕН</v>
      </c>
      <c r="R371" s="13">
        <f>IFERROR(VLOOKUP(P371,Лист1!A$1:B$20,2,FALSE),0)</f>
        <v>784</v>
      </c>
      <c r="S371" s="13">
        <f t="shared" si="41"/>
        <v>0</v>
      </c>
    </row>
    <row r="372" spans="1:19" x14ac:dyDescent="0.25">
      <c r="A372" s="24" t="s">
        <v>1475</v>
      </c>
      <c r="B372" s="4" t="s">
        <v>1063</v>
      </c>
      <c r="C372" s="25" t="s">
        <v>5</v>
      </c>
      <c r="G372" s="25" t="s">
        <v>1222</v>
      </c>
      <c r="H372" s="24" t="s">
        <v>1061</v>
      </c>
      <c r="I372" s="3" t="str">
        <f>IFERROR(VLOOKUP(C372,'Справочник соответствий'!A$2:D$2981,2,FALSE),IF(VALUE(C372)=0,1,VLOOKUP(C372,'Справочник соответствий'!A$2:D$2981,2,FALSE)))</f>
        <v>1</v>
      </c>
      <c r="J372" s="3">
        <f>IFERROR(VLOOKUP(D372,'Справочник соответствий'!A$2:D$2981,2,FALSE),IF(VALUE(D372)=0,0,VLOOKUP(D372,'Справочник соответствий'!A$2:D$2981,2,FALSE)))</f>
        <v>0</v>
      </c>
      <c r="K372" s="3" t="str">
        <f t="shared" si="35"/>
        <v>1</v>
      </c>
      <c r="L372" s="13" t="str">
        <f>IFERROR(VLOOKUP(C372,'Справочник соответствий'!A$2:D$2981,3,FALSE),IF(VALUE(C372)=0,"ЭТАЖ НЕ ОПРЕДЕЛЕН. ПРИНЯТ ПО ДОПУЩЕНИЮ 1",VLOOKUP(C372,'Справочник соответствий'!A$2:D$2981,3,FALSE)))</f>
        <v>ЭТАЖ ЗАДАН ЧИСЛОМ</v>
      </c>
      <c r="M372" s="13" t="b">
        <f t="shared" si="36"/>
        <v>0</v>
      </c>
      <c r="N372" s="13">
        <f t="shared" si="37"/>
        <v>1</v>
      </c>
      <c r="O372" s="13" t="str">
        <f t="shared" si="38"/>
        <v>ЭТАЖ ЗАДАН ЧИСЛОМ</v>
      </c>
      <c r="P372" s="13" t="str">
        <f t="shared" si="39"/>
        <v>ЭТАЖ ЗАДАН ЧИСЛОМ</v>
      </c>
      <c r="Q372" s="13" t="str">
        <f t="shared" si="40"/>
        <v>ГОТОВ_ИЗМЕНЕН</v>
      </c>
      <c r="R372" s="13">
        <f>IFERROR(VLOOKUP(P372,Лист1!A$1:B$20,2,FALSE),0)</f>
        <v>784</v>
      </c>
      <c r="S372" s="13">
        <f t="shared" si="41"/>
        <v>0</v>
      </c>
    </row>
    <row r="373" spans="1:19" x14ac:dyDescent="0.25">
      <c r="A373" s="24" t="s">
        <v>1476</v>
      </c>
      <c r="B373" s="4" t="s">
        <v>1059</v>
      </c>
      <c r="C373" s="25" t="s">
        <v>5</v>
      </c>
      <c r="G373" s="25" t="s">
        <v>1080</v>
      </c>
      <c r="H373" s="24" t="s">
        <v>1061</v>
      </c>
      <c r="I373" s="3" t="str">
        <f>IFERROR(VLOOKUP(C373,'Справочник соответствий'!A$2:D$2981,2,FALSE),IF(VALUE(C373)=0,1,VLOOKUP(C373,'Справочник соответствий'!A$2:D$2981,2,FALSE)))</f>
        <v>1</v>
      </c>
      <c r="J373" s="3">
        <f>IFERROR(VLOOKUP(D373,'Справочник соответствий'!A$2:D$2981,2,FALSE),IF(VALUE(D373)=0,0,VLOOKUP(D373,'Справочник соответствий'!A$2:D$2981,2,FALSE)))</f>
        <v>0</v>
      </c>
      <c r="K373" s="3" t="str">
        <f t="shared" si="35"/>
        <v>1</v>
      </c>
      <c r="L373" s="13" t="str">
        <f>IFERROR(VLOOKUP(C373,'Справочник соответствий'!A$2:D$2981,3,FALSE),IF(VALUE(C373)=0,"ЭТАЖ НЕ ОПРЕДЕЛЕН. ПРИНЯТ ПО ДОПУЩЕНИЮ 1",VLOOKUP(C373,'Справочник соответствий'!A$2:D$2981,3,FALSE)))</f>
        <v>ЭТАЖ ЗАДАН ЧИСЛОМ</v>
      </c>
      <c r="M373" s="13" t="b">
        <f t="shared" si="36"/>
        <v>0</v>
      </c>
      <c r="N373" s="13">
        <f t="shared" si="37"/>
        <v>1</v>
      </c>
      <c r="O373" s="13" t="str">
        <f t="shared" si="38"/>
        <v>ЭТАЖ ЗАДАН ЧИСЛОМ</v>
      </c>
      <c r="P373" s="13" t="str">
        <f t="shared" si="39"/>
        <v>ЭТАЖ ЗАДАН ЧИСЛОМ</v>
      </c>
      <c r="Q373" s="13" t="str">
        <f t="shared" si="40"/>
        <v>ГОТОВ_ИЗМЕНЕН</v>
      </c>
      <c r="R373" s="13">
        <f>IFERROR(VLOOKUP(P373,Лист1!A$1:B$20,2,FALSE),0)</f>
        <v>784</v>
      </c>
      <c r="S373" s="13">
        <f t="shared" si="41"/>
        <v>0</v>
      </c>
    </row>
    <row r="374" spans="1:19" x14ac:dyDescent="0.25">
      <c r="A374" s="24" t="s">
        <v>1477</v>
      </c>
      <c r="B374" s="4" t="s">
        <v>1063</v>
      </c>
      <c r="C374" s="25" t="s">
        <v>5</v>
      </c>
      <c r="G374" s="25" t="s">
        <v>1080</v>
      </c>
      <c r="H374" s="24" t="s">
        <v>1061</v>
      </c>
      <c r="I374" s="3" t="str">
        <f>IFERROR(VLOOKUP(C374,'Справочник соответствий'!A$2:D$2981,2,FALSE),IF(VALUE(C374)=0,1,VLOOKUP(C374,'Справочник соответствий'!A$2:D$2981,2,FALSE)))</f>
        <v>1</v>
      </c>
      <c r="J374" s="3">
        <f>IFERROR(VLOOKUP(D374,'Справочник соответствий'!A$2:D$2981,2,FALSE),IF(VALUE(D374)=0,0,VLOOKUP(D374,'Справочник соответствий'!A$2:D$2981,2,FALSE)))</f>
        <v>0</v>
      </c>
      <c r="K374" s="3" t="str">
        <f t="shared" si="35"/>
        <v>1</v>
      </c>
      <c r="L374" s="13" t="str">
        <f>IFERROR(VLOOKUP(C374,'Справочник соответствий'!A$2:D$2981,3,FALSE),IF(VALUE(C374)=0,"ЭТАЖ НЕ ОПРЕДЕЛЕН. ПРИНЯТ ПО ДОПУЩЕНИЮ 1",VLOOKUP(C374,'Справочник соответствий'!A$2:D$2981,3,FALSE)))</f>
        <v>ЭТАЖ ЗАДАН ЧИСЛОМ</v>
      </c>
      <c r="M374" s="13" t="b">
        <f t="shared" si="36"/>
        <v>0</v>
      </c>
      <c r="N374" s="13">
        <f t="shared" si="37"/>
        <v>1</v>
      </c>
      <c r="O374" s="13" t="str">
        <f t="shared" si="38"/>
        <v>ЭТАЖ ЗАДАН ЧИСЛОМ</v>
      </c>
      <c r="P374" s="13" t="str">
        <f t="shared" si="39"/>
        <v>ЭТАЖ ЗАДАН ЧИСЛОМ</v>
      </c>
      <c r="Q374" s="13" t="str">
        <f t="shared" si="40"/>
        <v>ГОТОВ_ИЗМЕНЕН</v>
      </c>
      <c r="R374" s="13">
        <f>IFERROR(VLOOKUP(P374,Лист1!A$1:B$20,2,FALSE),0)</f>
        <v>784</v>
      </c>
      <c r="S374" s="13">
        <f t="shared" si="41"/>
        <v>0</v>
      </c>
    </row>
    <row r="375" spans="1:19" x14ac:dyDescent="0.25">
      <c r="A375" s="24" t="s">
        <v>1478</v>
      </c>
      <c r="B375" s="4" t="s">
        <v>1059</v>
      </c>
      <c r="C375" s="25" t="s">
        <v>5</v>
      </c>
      <c r="G375" s="25" t="s">
        <v>1080</v>
      </c>
      <c r="H375" s="24" t="s">
        <v>1061</v>
      </c>
      <c r="I375" s="3" t="str">
        <f>IFERROR(VLOOKUP(C375,'Справочник соответствий'!A$2:D$2981,2,FALSE),IF(VALUE(C375)=0,1,VLOOKUP(C375,'Справочник соответствий'!A$2:D$2981,2,FALSE)))</f>
        <v>1</v>
      </c>
      <c r="J375" s="3">
        <f>IFERROR(VLOOKUP(D375,'Справочник соответствий'!A$2:D$2981,2,FALSE),IF(VALUE(D375)=0,0,VLOOKUP(D375,'Справочник соответствий'!A$2:D$2981,2,FALSE)))</f>
        <v>0</v>
      </c>
      <c r="K375" s="3" t="str">
        <f t="shared" si="35"/>
        <v>1</v>
      </c>
      <c r="L375" s="13" t="str">
        <f>IFERROR(VLOOKUP(C375,'Справочник соответствий'!A$2:D$2981,3,FALSE),IF(VALUE(C375)=0,"ЭТАЖ НЕ ОПРЕДЕЛЕН. ПРИНЯТ ПО ДОПУЩЕНИЮ 1",VLOOKUP(C375,'Справочник соответствий'!A$2:D$2981,3,FALSE)))</f>
        <v>ЭТАЖ ЗАДАН ЧИСЛОМ</v>
      </c>
      <c r="M375" s="13" t="b">
        <f t="shared" si="36"/>
        <v>0</v>
      </c>
      <c r="N375" s="13">
        <f t="shared" si="37"/>
        <v>1</v>
      </c>
      <c r="O375" s="13" t="str">
        <f t="shared" si="38"/>
        <v>ЭТАЖ ЗАДАН ЧИСЛОМ</v>
      </c>
      <c r="P375" s="13" t="str">
        <f t="shared" si="39"/>
        <v>ЭТАЖ ЗАДАН ЧИСЛОМ</v>
      </c>
      <c r="Q375" s="13" t="str">
        <f t="shared" si="40"/>
        <v>ГОТОВ_ИЗМЕНЕН</v>
      </c>
      <c r="R375" s="13">
        <f>IFERROR(VLOOKUP(P375,Лист1!A$1:B$20,2,FALSE),0)</f>
        <v>784</v>
      </c>
      <c r="S375" s="13">
        <f t="shared" si="41"/>
        <v>0</v>
      </c>
    </row>
    <row r="376" spans="1:19" x14ac:dyDescent="0.25">
      <c r="A376" s="24" t="s">
        <v>1479</v>
      </c>
      <c r="B376" s="4" t="s">
        <v>1059</v>
      </c>
      <c r="C376" s="25" t="s">
        <v>5</v>
      </c>
      <c r="G376" s="25" t="s">
        <v>1072</v>
      </c>
      <c r="H376" s="24" t="s">
        <v>1061</v>
      </c>
      <c r="I376" s="3" t="str">
        <f>IFERROR(VLOOKUP(C376,'Справочник соответствий'!A$2:D$2981,2,FALSE),IF(VALUE(C376)=0,1,VLOOKUP(C376,'Справочник соответствий'!A$2:D$2981,2,FALSE)))</f>
        <v>1</v>
      </c>
      <c r="J376" s="3">
        <f>IFERROR(VLOOKUP(D376,'Справочник соответствий'!A$2:D$2981,2,FALSE),IF(VALUE(D376)=0,0,VLOOKUP(D376,'Справочник соответствий'!A$2:D$2981,2,FALSE)))</f>
        <v>0</v>
      </c>
      <c r="K376" s="3" t="str">
        <f t="shared" si="35"/>
        <v>1</v>
      </c>
      <c r="L376" s="13" t="str">
        <f>IFERROR(VLOOKUP(C376,'Справочник соответствий'!A$2:D$2981,3,FALSE),IF(VALUE(C376)=0,"ЭТАЖ НЕ ОПРЕДЕЛЕН. ПРИНЯТ ПО ДОПУЩЕНИЮ 1",VLOOKUP(C376,'Справочник соответствий'!A$2:D$2981,3,FALSE)))</f>
        <v>ЭТАЖ ЗАДАН ЧИСЛОМ</v>
      </c>
      <c r="M376" s="13" t="b">
        <f t="shared" si="36"/>
        <v>0</v>
      </c>
      <c r="N376" s="13">
        <f t="shared" si="37"/>
        <v>1</v>
      </c>
      <c r="O376" s="13" t="str">
        <f t="shared" si="38"/>
        <v>ЭТАЖ ЗАДАН ЧИСЛОМ</v>
      </c>
      <c r="P376" s="13" t="str">
        <f t="shared" si="39"/>
        <v>ЭТАЖ ЗАДАН ЧИСЛОМ</v>
      </c>
      <c r="Q376" s="13" t="str">
        <f t="shared" si="40"/>
        <v>ГОТОВ_ИЗМЕНЕН</v>
      </c>
      <c r="R376" s="13">
        <f>IFERROR(VLOOKUP(P376,Лист1!A$1:B$20,2,FALSE),0)</f>
        <v>784</v>
      </c>
      <c r="S376" s="13">
        <f t="shared" si="41"/>
        <v>0</v>
      </c>
    </row>
    <row r="377" spans="1:19" x14ac:dyDescent="0.25">
      <c r="A377" s="24" t="s">
        <v>1480</v>
      </c>
      <c r="B377" s="4" t="s">
        <v>1059</v>
      </c>
      <c r="C377" s="25" t="s">
        <v>7</v>
      </c>
      <c r="G377" s="25" t="s">
        <v>1072</v>
      </c>
      <c r="H377" s="24" t="s">
        <v>1061</v>
      </c>
      <c r="I377" s="3" t="str">
        <f>IFERROR(VLOOKUP(C377,'Справочник соответствий'!A$2:D$2981,2,FALSE),IF(VALUE(C377)=0,1,VLOOKUP(C377,'Справочник соответствий'!A$2:D$2981,2,FALSE)))</f>
        <v>2</v>
      </c>
      <c r="J377" s="3">
        <f>IFERROR(VLOOKUP(D377,'Справочник соответствий'!A$2:D$2981,2,FALSE),IF(VALUE(D377)=0,0,VLOOKUP(D377,'Справочник соответствий'!A$2:D$2981,2,FALSE)))</f>
        <v>0</v>
      </c>
      <c r="K377" s="3" t="str">
        <f t="shared" si="35"/>
        <v>2</v>
      </c>
      <c r="L377" s="13" t="str">
        <f>IFERROR(VLOOKUP(C377,'Справочник соответствий'!A$2:D$2981,3,FALSE),IF(VALUE(C377)=0,"ЭТАЖ НЕ ОПРЕДЕЛЕН. ПРИНЯТ ПО ДОПУЩЕНИЮ 1",VLOOKUP(C377,'Справочник соответствий'!A$2:D$2981,3,FALSE)))</f>
        <v>ЭТАЖ ЗАДАН ЧИСЛОМ</v>
      </c>
      <c r="M377" s="13" t="b">
        <f t="shared" si="36"/>
        <v>0</v>
      </c>
      <c r="N377" s="13">
        <f t="shared" si="37"/>
        <v>2</v>
      </c>
      <c r="O377" s="13" t="str">
        <f t="shared" si="38"/>
        <v>ЭТАЖ ЗАДАН ЧИСЛОМ</v>
      </c>
      <c r="P377" s="13" t="str">
        <f t="shared" si="39"/>
        <v>ЭТАЖ ЗАДАН ЧИСЛОМ</v>
      </c>
      <c r="Q377" s="13" t="str">
        <f t="shared" si="40"/>
        <v>ГОТОВ_ИЗМЕНЕН</v>
      </c>
      <c r="R377" s="13">
        <f>IFERROR(VLOOKUP(P377,Лист1!A$1:B$20,2,FALSE),0)</f>
        <v>784</v>
      </c>
      <c r="S377" s="13">
        <f t="shared" si="41"/>
        <v>0</v>
      </c>
    </row>
    <row r="378" spans="1:19" x14ac:dyDescent="0.25">
      <c r="A378" s="24" t="s">
        <v>1481</v>
      </c>
      <c r="B378" s="4" t="s">
        <v>1063</v>
      </c>
      <c r="C378" s="25" t="s">
        <v>7</v>
      </c>
      <c r="G378" s="25" t="s">
        <v>1072</v>
      </c>
      <c r="H378" s="24" t="s">
        <v>1061</v>
      </c>
      <c r="I378" s="3" t="str">
        <f>IFERROR(VLOOKUP(C378,'Справочник соответствий'!A$2:D$2981,2,FALSE),IF(VALUE(C378)=0,1,VLOOKUP(C378,'Справочник соответствий'!A$2:D$2981,2,FALSE)))</f>
        <v>2</v>
      </c>
      <c r="J378" s="3">
        <f>IFERROR(VLOOKUP(D378,'Справочник соответствий'!A$2:D$2981,2,FALSE),IF(VALUE(D378)=0,0,VLOOKUP(D378,'Справочник соответствий'!A$2:D$2981,2,FALSE)))</f>
        <v>0</v>
      </c>
      <c r="K378" s="3" t="str">
        <f t="shared" si="35"/>
        <v>2</v>
      </c>
      <c r="L378" s="13" t="str">
        <f>IFERROR(VLOOKUP(C378,'Справочник соответствий'!A$2:D$2981,3,FALSE),IF(VALUE(C378)=0,"ЭТАЖ НЕ ОПРЕДЕЛЕН. ПРИНЯТ ПО ДОПУЩЕНИЮ 1",VLOOKUP(C378,'Справочник соответствий'!A$2:D$2981,3,FALSE)))</f>
        <v>ЭТАЖ ЗАДАН ЧИСЛОМ</v>
      </c>
      <c r="M378" s="13" t="b">
        <f t="shared" si="36"/>
        <v>0</v>
      </c>
      <c r="N378" s="13">
        <f t="shared" si="37"/>
        <v>2</v>
      </c>
      <c r="O378" s="13" t="str">
        <f t="shared" si="38"/>
        <v>ЭТАЖ ЗАДАН ЧИСЛОМ</v>
      </c>
      <c r="P378" s="13" t="str">
        <f t="shared" si="39"/>
        <v>ЭТАЖ ЗАДАН ЧИСЛОМ</v>
      </c>
      <c r="Q378" s="13" t="str">
        <f t="shared" si="40"/>
        <v>ГОТОВ_ИЗМЕНЕН</v>
      </c>
      <c r="R378" s="13">
        <f>IFERROR(VLOOKUP(P378,Лист1!A$1:B$20,2,FALSE),0)</f>
        <v>784</v>
      </c>
      <c r="S378" s="13">
        <f t="shared" si="41"/>
        <v>0</v>
      </c>
    </row>
    <row r="379" spans="1:19" x14ac:dyDescent="0.25">
      <c r="A379" s="24" t="s">
        <v>1482</v>
      </c>
      <c r="B379" s="4" t="s">
        <v>1059</v>
      </c>
      <c r="C379" s="25" t="s">
        <v>8</v>
      </c>
      <c r="D379" s="25" t="s">
        <v>5</v>
      </c>
      <c r="G379" s="25" t="s">
        <v>1072</v>
      </c>
      <c r="H379" s="24" t="s">
        <v>1061</v>
      </c>
      <c r="I379" s="3" t="str">
        <f>IFERROR(VLOOKUP(C379,'Справочник соответствий'!A$2:D$2981,2,FALSE),IF(VALUE(C379)=0,1,VLOOKUP(C379,'Справочник соответствий'!A$2:D$2981,2,FALSE)))</f>
        <v>3</v>
      </c>
      <c r="J379" s="3" t="str">
        <f>IFERROR(VLOOKUP(D379,'Справочник соответствий'!A$2:D$2981,2,FALSE),IF(VALUE(D379)=0,0,VLOOKUP(D379,'Справочник соответствий'!A$2:D$2981,2,FALSE)))</f>
        <v>1</v>
      </c>
      <c r="K379" s="3" t="str">
        <f t="shared" si="35"/>
        <v>3</v>
      </c>
      <c r="L379" s="13" t="str">
        <f>IFERROR(VLOOKUP(C379,'Справочник соответствий'!A$2:D$2981,3,FALSE),IF(VALUE(C379)=0,"ЭТАЖ НЕ ОПРЕДЕЛЕН. ПРИНЯТ ПО ДОПУЩЕНИЮ 1",VLOOKUP(C379,'Справочник соответствий'!A$2:D$2981,3,FALSE)))</f>
        <v>ЭТАЖ ЗАДАН ЧИСЛОМ</v>
      </c>
      <c r="M379" s="13" t="b">
        <f t="shared" si="36"/>
        <v>0</v>
      </c>
      <c r="N379" s="13">
        <f t="shared" si="37"/>
        <v>3</v>
      </c>
      <c r="O379" s="13" t="str">
        <f t="shared" si="38"/>
        <v>ЭТАЖ ЗАДАН ЧИСЛОМ</v>
      </c>
      <c r="P379" s="13" t="str">
        <f t="shared" si="39"/>
        <v>ЭТАЖ ЗАДАН ЧИСЛОМ</v>
      </c>
      <c r="Q379" s="13" t="str">
        <f t="shared" si="40"/>
        <v>ГОТОВ_ИЗМЕНЕН</v>
      </c>
      <c r="R379" s="13">
        <f>IFERROR(VLOOKUP(P379,Лист1!A$1:B$20,2,FALSE),0)</f>
        <v>784</v>
      </c>
      <c r="S379" s="13">
        <f t="shared" si="41"/>
        <v>0</v>
      </c>
    </row>
    <row r="380" spans="1:19" x14ac:dyDescent="0.25">
      <c r="A380" s="24" t="s">
        <v>1483</v>
      </c>
      <c r="B380" s="4" t="s">
        <v>1059</v>
      </c>
      <c r="C380" s="25" t="s">
        <v>7</v>
      </c>
      <c r="G380" s="25" t="s">
        <v>1072</v>
      </c>
      <c r="H380" s="24" t="s">
        <v>1061</v>
      </c>
      <c r="I380" s="3" t="str">
        <f>IFERROR(VLOOKUP(C380,'Справочник соответствий'!A$2:D$2981,2,FALSE),IF(VALUE(C380)=0,1,VLOOKUP(C380,'Справочник соответствий'!A$2:D$2981,2,FALSE)))</f>
        <v>2</v>
      </c>
      <c r="J380" s="3">
        <f>IFERROR(VLOOKUP(D380,'Справочник соответствий'!A$2:D$2981,2,FALSE),IF(VALUE(D380)=0,0,VLOOKUP(D380,'Справочник соответствий'!A$2:D$2981,2,FALSE)))</f>
        <v>0</v>
      </c>
      <c r="K380" s="3" t="str">
        <f t="shared" si="35"/>
        <v>2</v>
      </c>
      <c r="L380" s="13" t="str">
        <f>IFERROR(VLOOKUP(C380,'Справочник соответствий'!A$2:D$2981,3,FALSE),IF(VALUE(C380)=0,"ЭТАЖ НЕ ОПРЕДЕЛЕН. ПРИНЯТ ПО ДОПУЩЕНИЮ 1",VLOOKUP(C380,'Справочник соответствий'!A$2:D$2981,3,FALSE)))</f>
        <v>ЭТАЖ ЗАДАН ЧИСЛОМ</v>
      </c>
      <c r="M380" s="13" t="b">
        <f t="shared" si="36"/>
        <v>0</v>
      </c>
      <c r="N380" s="13">
        <f t="shared" si="37"/>
        <v>2</v>
      </c>
      <c r="O380" s="13" t="str">
        <f t="shared" si="38"/>
        <v>ЭТАЖ ЗАДАН ЧИСЛОМ</v>
      </c>
      <c r="P380" s="13" t="str">
        <f t="shared" si="39"/>
        <v>ЭТАЖ ЗАДАН ЧИСЛОМ</v>
      </c>
      <c r="Q380" s="13" t="str">
        <f t="shared" si="40"/>
        <v>ГОТОВ_ИЗМЕНЕН</v>
      </c>
      <c r="R380" s="13">
        <f>IFERROR(VLOOKUP(P380,Лист1!A$1:B$20,2,FALSE),0)</f>
        <v>784</v>
      </c>
      <c r="S380" s="13">
        <f t="shared" si="41"/>
        <v>0</v>
      </c>
    </row>
    <row r="381" spans="1:19" x14ac:dyDescent="0.25">
      <c r="A381" s="24" t="s">
        <v>1484</v>
      </c>
      <c r="B381" s="4" t="s">
        <v>1059</v>
      </c>
      <c r="C381" s="25" t="s">
        <v>5</v>
      </c>
      <c r="G381" s="25" t="s">
        <v>1072</v>
      </c>
      <c r="H381" s="24" t="s">
        <v>1061</v>
      </c>
      <c r="I381" s="3" t="str">
        <f>IFERROR(VLOOKUP(C381,'Справочник соответствий'!A$2:D$2981,2,FALSE),IF(VALUE(C381)=0,1,VLOOKUP(C381,'Справочник соответствий'!A$2:D$2981,2,FALSE)))</f>
        <v>1</v>
      </c>
      <c r="J381" s="3">
        <f>IFERROR(VLOOKUP(D381,'Справочник соответствий'!A$2:D$2981,2,FALSE),IF(VALUE(D381)=0,0,VLOOKUP(D381,'Справочник соответствий'!A$2:D$2981,2,FALSE)))</f>
        <v>0</v>
      </c>
      <c r="K381" s="3" t="str">
        <f t="shared" si="35"/>
        <v>1</v>
      </c>
      <c r="L381" s="13" t="str">
        <f>IFERROR(VLOOKUP(C381,'Справочник соответствий'!A$2:D$2981,3,FALSE),IF(VALUE(C381)=0,"ЭТАЖ НЕ ОПРЕДЕЛЕН. ПРИНЯТ ПО ДОПУЩЕНИЮ 1",VLOOKUP(C381,'Справочник соответствий'!A$2:D$2981,3,FALSE)))</f>
        <v>ЭТАЖ ЗАДАН ЧИСЛОМ</v>
      </c>
      <c r="M381" s="13" t="b">
        <f t="shared" si="36"/>
        <v>0</v>
      </c>
      <c r="N381" s="13">
        <f t="shared" si="37"/>
        <v>1</v>
      </c>
      <c r="O381" s="13" t="str">
        <f t="shared" si="38"/>
        <v>ЭТАЖ ЗАДАН ЧИСЛОМ</v>
      </c>
      <c r="P381" s="13" t="str">
        <f t="shared" si="39"/>
        <v>ЭТАЖ ЗАДАН ЧИСЛОМ</v>
      </c>
      <c r="Q381" s="13" t="str">
        <f t="shared" si="40"/>
        <v>ГОТОВ_ИЗМЕНЕН</v>
      </c>
      <c r="R381" s="13">
        <f>IFERROR(VLOOKUP(P381,Лист1!A$1:B$20,2,FALSE),0)</f>
        <v>784</v>
      </c>
      <c r="S381" s="13">
        <f t="shared" si="41"/>
        <v>0</v>
      </c>
    </row>
    <row r="382" spans="1:19" x14ac:dyDescent="0.25">
      <c r="A382" s="24" t="s">
        <v>1485</v>
      </c>
      <c r="B382" s="4" t="s">
        <v>1059</v>
      </c>
      <c r="C382" s="25" t="s">
        <v>5</v>
      </c>
      <c r="G382" s="25" t="s">
        <v>1321</v>
      </c>
      <c r="H382" s="24" t="s">
        <v>1061</v>
      </c>
      <c r="I382" s="3" t="str">
        <f>IFERROR(VLOOKUP(C382,'Справочник соответствий'!A$2:D$2981,2,FALSE),IF(VALUE(C382)=0,1,VLOOKUP(C382,'Справочник соответствий'!A$2:D$2981,2,FALSE)))</f>
        <v>1</v>
      </c>
      <c r="J382" s="3">
        <f>IFERROR(VLOOKUP(D382,'Справочник соответствий'!A$2:D$2981,2,FALSE),IF(VALUE(D382)=0,0,VLOOKUP(D382,'Справочник соответствий'!A$2:D$2981,2,FALSE)))</f>
        <v>0</v>
      </c>
      <c r="K382" s="3" t="str">
        <f t="shared" si="35"/>
        <v>1</v>
      </c>
      <c r="L382" s="13" t="str">
        <f>IFERROR(VLOOKUP(C382,'Справочник соответствий'!A$2:D$2981,3,FALSE),IF(VALUE(C382)=0,"ЭТАЖ НЕ ОПРЕДЕЛЕН. ПРИНЯТ ПО ДОПУЩЕНИЮ 1",VLOOKUP(C382,'Справочник соответствий'!A$2:D$2981,3,FALSE)))</f>
        <v>ЭТАЖ ЗАДАН ЧИСЛОМ</v>
      </c>
      <c r="M382" s="13" t="b">
        <f t="shared" si="36"/>
        <v>0</v>
      </c>
      <c r="N382" s="13">
        <f t="shared" si="37"/>
        <v>1</v>
      </c>
      <c r="O382" s="13" t="str">
        <f t="shared" si="38"/>
        <v>ЭТАЖ ЗАДАН ЧИСЛОМ</v>
      </c>
      <c r="P382" s="13" t="str">
        <f t="shared" si="39"/>
        <v>ЭТАЖ ЗАДАН ЧИСЛОМ</v>
      </c>
      <c r="Q382" s="13" t="str">
        <f t="shared" si="40"/>
        <v>ГОТОВ_ИЗМЕНЕН</v>
      </c>
      <c r="R382" s="13">
        <f>IFERROR(VLOOKUP(P382,Лист1!A$1:B$20,2,FALSE),0)</f>
        <v>784</v>
      </c>
      <c r="S382" s="13">
        <f t="shared" si="41"/>
        <v>0</v>
      </c>
    </row>
    <row r="383" spans="1:19" x14ac:dyDescent="0.25">
      <c r="A383" s="24" t="s">
        <v>1486</v>
      </c>
      <c r="B383" s="4" t="s">
        <v>1059</v>
      </c>
      <c r="C383" s="25" t="s">
        <v>5</v>
      </c>
      <c r="G383" s="25" t="s">
        <v>1072</v>
      </c>
      <c r="H383" s="24" t="s">
        <v>1061</v>
      </c>
      <c r="I383" s="3" t="str">
        <f>IFERROR(VLOOKUP(C383,'Справочник соответствий'!A$2:D$2981,2,FALSE),IF(VALUE(C383)=0,1,VLOOKUP(C383,'Справочник соответствий'!A$2:D$2981,2,FALSE)))</f>
        <v>1</v>
      </c>
      <c r="J383" s="3">
        <f>IFERROR(VLOOKUP(D383,'Справочник соответствий'!A$2:D$2981,2,FALSE),IF(VALUE(D383)=0,0,VLOOKUP(D383,'Справочник соответствий'!A$2:D$2981,2,FALSE)))</f>
        <v>0</v>
      </c>
      <c r="K383" s="3" t="str">
        <f t="shared" si="35"/>
        <v>1</v>
      </c>
      <c r="L383" s="13" t="str">
        <f>IFERROR(VLOOKUP(C383,'Справочник соответствий'!A$2:D$2981,3,FALSE),IF(VALUE(C383)=0,"ЭТАЖ НЕ ОПРЕДЕЛЕН. ПРИНЯТ ПО ДОПУЩЕНИЮ 1",VLOOKUP(C383,'Справочник соответствий'!A$2:D$2981,3,FALSE)))</f>
        <v>ЭТАЖ ЗАДАН ЧИСЛОМ</v>
      </c>
      <c r="M383" s="13" t="b">
        <f t="shared" si="36"/>
        <v>0</v>
      </c>
      <c r="N383" s="13">
        <f t="shared" si="37"/>
        <v>1</v>
      </c>
      <c r="O383" s="13" t="str">
        <f t="shared" si="38"/>
        <v>ЭТАЖ ЗАДАН ЧИСЛОМ</v>
      </c>
      <c r="P383" s="13" t="str">
        <f t="shared" si="39"/>
        <v>ЭТАЖ ЗАДАН ЧИСЛОМ</v>
      </c>
      <c r="Q383" s="13" t="str">
        <f t="shared" si="40"/>
        <v>ГОТОВ_ИЗМЕНЕН</v>
      </c>
      <c r="R383" s="13">
        <f>IFERROR(VLOOKUP(P383,Лист1!A$1:B$20,2,FALSE),0)</f>
        <v>784</v>
      </c>
      <c r="S383" s="13">
        <f t="shared" si="41"/>
        <v>0</v>
      </c>
    </row>
    <row r="384" spans="1:19" x14ac:dyDescent="0.25">
      <c r="A384" s="24" t="s">
        <v>1487</v>
      </c>
      <c r="B384" s="4" t="s">
        <v>1063</v>
      </c>
      <c r="C384" s="25" t="s">
        <v>5</v>
      </c>
      <c r="G384" s="25" t="s">
        <v>1276</v>
      </c>
      <c r="H384" s="24" t="s">
        <v>1061</v>
      </c>
      <c r="I384" s="3" t="str">
        <f>IFERROR(VLOOKUP(C384,'Справочник соответствий'!A$2:D$2981,2,FALSE),IF(VALUE(C384)=0,1,VLOOKUP(C384,'Справочник соответствий'!A$2:D$2981,2,FALSE)))</f>
        <v>1</v>
      </c>
      <c r="J384" s="3">
        <f>IFERROR(VLOOKUP(D384,'Справочник соответствий'!A$2:D$2981,2,FALSE),IF(VALUE(D384)=0,0,VLOOKUP(D384,'Справочник соответствий'!A$2:D$2981,2,FALSE)))</f>
        <v>0</v>
      </c>
      <c r="K384" s="3" t="str">
        <f t="shared" si="35"/>
        <v>1</v>
      </c>
      <c r="L384" s="13" t="str">
        <f>IFERROR(VLOOKUP(C384,'Справочник соответствий'!A$2:D$2981,3,FALSE),IF(VALUE(C384)=0,"ЭТАЖ НЕ ОПРЕДЕЛЕН. ПРИНЯТ ПО ДОПУЩЕНИЮ 1",VLOOKUP(C384,'Справочник соответствий'!A$2:D$2981,3,FALSE)))</f>
        <v>ЭТАЖ ЗАДАН ЧИСЛОМ</v>
      </c>
      <c r="M384" s="13" t="b">
        <f t="shared" si="36"/>
        <v>0</v>
      </c>
      <c r="N384" s="13">
        <f t="shared" si="37"/>
        <v>1</v>
      </c>
      <c r="O384" s="13" t="str">
        <f t="shared" si="38"/>
        <v>ЭТАЖ ЗАДАН ЧИСЛОМ</v>
      </c>
      <c r="P384" s="13" t="str">
        <f t="shared" si="39"/>
        <v>ЭТАЖ ЗАДАН ЧИСЛОМ</v>
      </c>
      <c r="Q384" s="13" t="str">
        <f t="shared" si="40"/>
        <v>ГОТОВ_ИЗМЕНЕН</v>
      </c>
      <c r="R384" s="13">
        <f>IFERROR(VLOOKUP(P384,Лист1!A$1:B$20,2,FALSE),0)</f>
        <v>784</v>
      </c>
      <c r="S384" s="13">
        <f t="shared" si="41"/>
        <v>0</v>
      </c>
    </row>
    <row r="385" spans="1:19" x14ac:dyDescent="0.25">
      <c r="A385" s="24" t="s">
        <v>1488</v>
      </c>
      <c r="B385" s="4" t="s">
        <v>1063</v>
      </c>
      <c r="C385" s="25" t="s">
        <v>5</v>
      </c>
      <c r="G385" s="25" t="s">
        <v>1328</v>
      </c>
      <c r="H385" s="24" t="s">
        <v>1061</v>
      </c>
      <c r="I385" s="3" t="str">
        <f>IFERROR(VLOOKUP(C385,'Справочник соответствий'!A$2:D$2981,2,FALSE),IF(VALUE(C385)=0,1,VLOOKUP(C385,'Справочник соответствий'!A$2:D$2981,2,FALSE)))</f>
        <v>1</v>
      </c>
      <c r="J385" s="3">
        <f>IFERROR(VLOOKUP(D385,'Справочник соответствий'!A$2:D$2981,2,FALSE),IF(VALUE(D385)=0,0,VLOOKUP(D385,'Справочник соответствий'!A$2:D$2981,2,FALSE)))</f>
        <v>0</v>
      </c>
      <c r="K385" s="3" t="str">
        <f t="shared" si="35"/>
        <v>1</v>
      </c>
      <c r="L385" s="13" t="str">
        <f>IFERROR(VLOOKUP(C385,'Справочник соответствий'!A$2:D$2981,3,FALSE),IF(VALUE(C385)=0,"ЭТАЖ НЕ ОПРЕДЕЛЕН. ПРИНЯТ ПО ДОПУЩЕНИЮ 1",VLOOKUP(C385,'Справочник соответствий'!A$2:D$2981,3,FALSE)))</f>
        <v>ЭТАЖ ЗАДАН ЧИСЛОМ</v>
      </c>
      <c r="M385" s="13" t="b">
        <f t="shared" si="36"/>
        <v>0</v>
      </c>
      <c r="N385" s="13">
        <f t="shared" si="37"/>
        <v>1</v>
      </c>
      <c r="O385" s="13" t="str">
        <f t="shared" si="38"/>
        <v>ЭТАЖ ЗАДАН ЧИСЛОМ</v>
      </c>
      <c r="P385" s="13" t="str">
        <f t="shared" si="39"/>
        <v>ЭТАЖ ЗАДАН ЧИСЛОМ</v>
      </c>
      <c r="Q385" s="13" t="str">
        <f t="shared" si="40"/>
        <v>ГОТОВ_ИЗМЕНЕН</v>
      </c>
      <c r="R385" s="13">
        <f>IFERROR(VLOOKUP(P385,Лист1!A$1:B$20,2,FALSE),0)</f>
        <v>784</v>
      </c>
      <c r="S385" s="13">
        <f t="shared" si="41"/>
        <v>0</v>
      </c>
    </row>
    <row r="386" spans="1:19" x14ac:dyDescent="0.25">
      <c r="A386" s="24" t="s">
        <v>1489</v>
      </c>
      <c r="B386" s="4" t="s">
        <v>1063</v>
      </c>
      <c r="C386" s="25" t="s">
        <v>7</v>
      </c>
      <c r="G386" s="25" t="s">
        <v>1072</v>
      </c>
      <c r="H386" s="24" t="s">
        <v>1061</v>
      </c>
      <c r="I386" s="3" t="str">
        <f>IFERROR(VLOOKUP(C386,'Справочник соответствий'!A$2:D$2981,2,FALSE),IF(VALUE(C386)=0,1,VLOOKUP(C386,'Справочник соответствий'!A$2:D$2981,2,FALSE)))</f>
        <v>2</v>
      </c>
      <c r="J386" s="3">
        <f>IFERROR(VLOOKUP(D386,'Справочник соответствий'!A$2:D$2981,2,FALSE),IF(VALUE(D386)=0,0,VLOOKUP(D386,'Справочник соответствий'!A$2:D$2981,2,FALSE)))</f>
        <v>0</v>
      </c>
      <c r="K386" s="3" t="str">
        <f t="shared" si="35"/>
        <v>2</v>
      </c>
      <c r="L386" s="13" t="str">
        <f>IFERROR(VLOOKUP(C386,'Справочник соответствий'!A$2:D$2981,3,FALSE),IF(VALUE(C386)=0,"ЭТАЖ НЕ ОПРЕДЕЛЕН. ПРИНЯТ ПО ДОПУЩЕНИЮ 1",VLOOKUP(C386,'Справочник соответствий'!A$2:D$2981,3,FALSE)))</f>
        <v>ЭТАЖ ЗАДАН ЧИСЛОМ</v>
      </c>
      <c r="M386" s="13" t="b">
        <f t="shared" si="36"/>
        <v>0</v>
      </c>
      <c r="N386" s="13">
        <f t="shared" si="37"/>
        <v>2</v>
      </c>
      <c r="O386" s="13" t="str">
        <f t="shared" si="38"/>
        <v>ЭТАЖ ЗАДАН ЧИСЛОМ</v>
      </c>
      <c r="P386" s="13" t="str">
        <f t="shared" si="39"/>
        <v>ЭТАЖ ЗАДАН ЧИСЛОМ</v>
      </c>
      <c r="Q386" s="13" t="str">
        <f t="shared" si="40"/>
        <v>ГОТОВ_ИЗМЕНЕН</v>
      </c>
      <c r="R386" s="13">
        <f>IFERROR(VLOOKUP(P386,Лист1!A$1:B$20,2,FALSE),0)</f>
        <v>784</v>
      </c>
      <c r="S386" s="13">
        <f t="shared" si="41"/>
        <v>0</v>
      </c>
    </row>
    <row r="387" spans="1:19" x14ac:dyDescent="0.25">
      <c r="A387" s="24" t="s">
        <v>1490</v>
      </c>
      <c r="B387" s="4" t="s">
        <v>1059</v>
      </c>
      <c r="C387" s="25" t="s">
        <v>7</v>
      </c>
      <c r="G387" s="25" t="s">
        <v>1072</v>
      </c>
      <c r="H387" s="24" t="s">
        <v>1061</v>
      </c>
      <c r="I387" s="3" t="str">
        <f>IFERROR(VLOOKUP(C387,'Справочник соответствий'!A$2:D$2981,2,FALSE),IF(VALUE(C387)=0,1,VLOOKUP(C387,'Справочник соответствий'!A$2:D$2981,2,FALSE)))</f>
        <v>2</v>
      </c>
      <c r="J387" s="3">
        <f>IFERROR(VLOOKUP(D387,'Справочник соответствий'!A$2:D$2981,2,FALSE),IF(VALUE(D387)=0,0,VLOOKUP(D387,'Справочник соответствий'!A$2:D$2981,2,FALSE)))</f>
        <v>0</v>
      </c>
      <c r="K387" s="3" t="str">
        <f t="shared" si="35"/>
        <v>2</v>
      </c>
      <c r="L387" s="13" t="str">
        <f>IFERROR(VLOOKUP(C387,'Справочник соответствий'!A$2:D$2981,3,FALSE),IF(VALUE(C387)=0,"ЭТАЖ НЕ ОПРЕДЕЛЕН. ПРИНЯТ ПО ДОПУЩЕНИЮ 1",VLOOKUP(C387,'Справочник соответствий'!A$2:D$2981,3,FALSE)))</f>
        <v>ЭТАЖ ЗАДАН ЧИСЛОМ</v>
      </c>
      <c r="M387" s="13" t="b">
        <f t="shared" si="36"/>
        <v>0</v>
      </c>
      <c r="N387" s="13">
        <f t="shared" si="37"/>
        <v>2</v>
      </c>
      <c r="O387" s="13" t="str">
        <f t="shared" si="38"/>
        <v>ЭТАЖ ЗАДАН ЧИСЛОМ</v>
      </c>
      <c r="P387" s="13" t="str">
        <f t="shared" si="39"/>
        <v>ЭТАЖ ЗАДАН ЧИСЛОМ</v>
      </c>
      <c r="Q387" s="13" t="str">
        <f t="shared" si="40"/>
        <v>ГОТОВ_ИЗМЕНЕН</v>
      </c>
      <c r="R387" s="13">
        <f>IFERROR(VLOOKUP(P387,Лист1!A$1:B$20,2,FALSE),0)</f>
        <v>784</v>
      </c>
      <c r="S387" s="13">
        <f t="shared" si="41"/>
        <v>0</v>
      </c>
    </row>
    <row r="388" spans="1:19" x14ac:dyDescent="0.25">
      <c r="A388" s="24" t="s">
        <v>1491</v>
      </c>
      <c r="B388" s="4" t="s">
        <v>1059</v>
      </c>
      <c r="C388" s="25" t="s">
        <v>7</v>
      </c>
      <c r="G388" s="25" t="s">
        <v>1072</v>
      </c>
      <c r="H388" s="24" t="s">
        <v>1061</v>
      </c>
      <c r="I388" s="3" t="str">
        <f>IFERROR(VLOOKUP(C388,'Справочник соответствий'!A$2:D$2981,2,FALSE),IF(VALUE(C388)=0,1,VLOOKUP(C388,'Справочник соответствий'!A$2:D$2981,2,FALSE)))</f>
        <v>2</v>
      </c>
      <c r="J388" s="3">
        <f>IFERROR(VLOOKUP(D388,'Справочник соответствий'!A$2:D$2981,2,FALSE),IF(VALUE(D388)=0,0,VLOOKUP(D388,'Справочник соответствий'!A$2:D$2981,2,FALSE)))</f>
        <v>0</v>
      </c>
      <c r="K388" s="3" t="str">
        <f t="shared" si="35"/>
        <v>2</v>
      </c>
      <c r="L388" s="13" t="str">
        <f>IFERROR(VLOOKUP(C388,'Справочник соответствий'!A$2:D$2981,3,FALSE),IF(VALUE(C388)=0,"ЭТАЖ НЕ ОПРЕДЕЛЕН. ПРИНЯТ ПО ДОПУЩЕНИЮ 1",VLOOKUP(C388,'Справочник соответствий'!A$2:D$2981,3,FALSE)))</f>
        <v>ЭТАЖ ЗАДАН ЧИСЛОМ</v>
      </c>
      <c r="M388" s="13" t="b">
        <f t="shared" si="36"/>
        <v>0</v>
      </c>
      <c r="N388" s="13">
        <f t="shared" si="37"/>
        <v>2</v>
      </c>
      <c r="O388" s="13" t="str">
        <f t="shared" si="38"/>
        <v>ЭТАЖ ЗАДАН ЧИСЛОМ</v>
      </c>
      <c r="P388" s="13" t="str">
        <f t="shared" si="39"/>
        <v>ЭТАЖ ЗАДАН ЧИСЛОМ</v>
      </c>
      <c r="Q388" s="13" t="str">
        <f t="shared" si="40"/>
        <v>ГОТОВ_ИЗМЕНЕН</v>
      </c>
      <c r="R388" s="13">
        <f>IFERROR(VLOOKUP(P388,Лист1!A$1:B$20,2,FALSE),0)</f>
        <v>784</v>
      </c>
      <c r="S388" s="13">
        <f t="shared" si="41"/>
        <v>0</v>
      </c>
    </row>
    <row r="389" spans="1:19" x14ac:dyDescent="0.25">
      <c r="A389" s="24" t="s">
        <v>1492</v>
      </c>
      <c r="B389" s="4" t="s">
        <v>1063</v>
      </c>
      <c r="C389" s="25" t="s">
        <v>5</v>
      </c>
      <c r="G389" s="25" t="s">
        <v>1072</v>
      </c>
      <c r="H389" s="24" t="s">
        <v>1061</v>
      </c>
      <c r="I389" s="3" t="str">
        <f>IFERROR(VLOOKUP(C389,'Справочник соответствий'!A$2:D$2981,2,FALSE),IF(VALUE(C389)=0,1,VLOOKUP(C389,'Справочник соответствий'!A$2:D$2981,2,FALSE)))</f>
        <v>1</v>
      </c>
      <c r="J389" s="3">
        <f>IFERROR(VLOOKUP(D389,'Справочник соответствий'!A$2:D$2981,2,FALSE),IF(VALUE(D389)=0,0,VLOOKUP(D389,'Справочник соответствий'!A$2:D$2981,2,FALSE)))</f>
        <v>0</v>
      </c>
      <c r="K389" s="3" t="str">
        <f t="shared" ref="K389:K452" si="42">IF(B389="Многоквартирный дом",IF(I389-J389&gt;0,I389-J389,1),I389)</f>
        <v>1</v>
      </c>
      <c r="L389" s="13" t="str">
        <f>IFERROR(VLOOKUP(C389,'Справочник соответствий'!A$2:D$2981,3,FALSE),IF(VALUE(C389)=0,"ЭТАЖ НЕ ОПРЕДЕЛЕН. ПРИНЯТ ПО ДОПУЩЕНИЮ 1",VLOOKUP(C389,'Справочник соответствий'!A$2:D$2981,3,FALSE)))</f>
        <v>ЭТАЖ ЗАДАН ЧИСЛОМ</v>
      </c>
      <c r="M389" s="13" t="b">
        <f t="shared" ref="M389:M452" si="43">I389=E389</f>
        <v>0</v>
      </c>
      <c r="N389" s="13">
        <f t="shared" ref="N389:N452" si="44">IF(VALUE(E389)=0,VALUE(K389),IF(L389="ЭТАЖ НЕ ОПРЕДЕЛЕН. ПРИНЯТ ПО ДОПУЩЕНИЮ 1",VALUE(E389),VALUE(K389)))</f>
        <v>1</v>
      </c>
      <c r="O389" s="13" t="str">
        <f t="shared" ref="O389:O452" si="45">IF(VALUE(E389)=0,L389,IF(L389="ЭТАЖ НЕ ОПРЕДЕЛЕН. ПРИНЯТ ПО ДОПУЩЕНИЮ 1",F389,L389))</f>
        <v>ЭТАЖ ЗАДАН ЧИСЛОМ</v>
      </c>
      <c r="P389" s="13" t="str">
        <f t="shared" ref="P389:P452" si="46">IF(B389="Многоквартирный дом",CONCATENATE("МКД_",O389),O389)</f>
        <v>ЭТАЖ ЗАДАН ЧИСЛОМ</v>
      </c>
      <c r="Q389" s="13" t="str">
        <f t="shared" ref="Q389:Q452" si="47">IFERROR(IF(N389&gt;0,IF(N389=VALUE(E389),"ГОТОВ","ГОТОВ_ИЗМЕНЕН"),"НЕ ГОТОВ"),"НЕ ГОТОВ")</f>
        <v>ГОТОВ_ИЗМЕНЕН</v>
      </c>
      <c r="R389" s="13">
        <f>IFERROR(VLOOKUP(P389,Лист1!A$1:B$20,2,FALSE),0)</f>
        <v>784</v>
      </c>
      <c r="S389" s="13">
        <f t="shared" ref="S389:S452" si="48">VALUE(E389)</f>
        <v>0</v>
      </c>
    </row>
    <row r="390" spans="1:19" x14ac:dyDescent="0.25">
      <c r="A390" s="24" t="s">
        <v>1493</v>
      </c>
      <c r="B390" s="4" t="s">
        <v>1059</v>
      </c>
      <c r="C390" s="25" t="s">
        <v>5</v>
      </c>
      <c r="G390" s="25" t="s">
        <v>1072</v>
      </c>
      <c r="H390" s="24" t="s">
        <v>1061</v>
      </c>
      <c r="I390" s="3" t="str">
        <f>IFERROR(VLOOKUP(C390,'Справочник соответствий'!A$2:D$2981,2,FALSE),IF(VALUE(C390)=0,1,VLOOKUP(C390,'Справочник соответствий'!A$2:D$2981,2,FALSE)))</f>
        <v>1</v>
      </c>
      <c r="J390" s="3">
        <f>IFERROR(VLOOKUP(D390,'Справочник соответствий'!A$2:D$2981,2,FALSE),IF(VALUE(D390)=0,0,VLOOKUP(D390,'Справочник соответствий'!A$2:D$2981,2,FALSE)))</f>
        <v>0</v>
      </c>
      <c r="K390" s="3" t="str">
        <f t="shared" si="42"/>
        <v>1</v>
      </c>
      <c r="L390" s="13" t="str">
        <f>IFERROR(VLOOKUP(C390,'Справочник соответствий'!A$2:D$2981,3,FALSE),IF(VALUE(C390)=0,"ЭТАЖ НЕ ОПРЕДЕЛЕН. ПРИНЯТ ПО ДОПУЩЕНИЮ 1",VLOOKUP(C390,'Справочник соответствий'!A$2:D$2981,3,FALSE)))</f>
        <v>ЭТАЖ ЗАДАН ЧИСЛОМ</v>
      </c>
      <c r="M390" s="13" t="b">
        <f t="shared" si="43"/>
        <v>0</v>
      </c>
      <c r="N390" s="13">
        <f t="shared" si="44"/>
        <v>1</v>
      </c>
      <c r="O390" s="13" t="str">
        <f t="shared" si="45"/>
        <v>ЭТАЖ ЗАДАН ЧИСЛОМ</v>
      </c>
      <c r="P390" s="13" t="str">
        <f t="shared" si="46"/>
        <v>ЭТАЖ ЗАДАН ЧИСЛОМ</v>
      </c>
      <c r="Q390" s="13" t="str">
        <f t="shared" si="47"/>
        <v>ГОТОВ_ИЗМЕНЕН</v>
      </c>
      <c r="R390" s="13">
        <f>IFERROR(VLOOKUP(P390,Лист1!A$1:B$20,2,FALSE),0)</f>
        <v>784</v>
      </c>
      <c r="S390" s="13">
        <f t="shared" si="48"/>
        <v>0</v>
      </c>
    </row>
    <row r="391" spans="1:19" x14ac:dyDescent="0.25">
      <c r="A391" s="24" t="s">
        <v>1494</v>
      </c>
      <c r="B391" s="4" t="s">
        <v>1059</v>
      </c>
      <c r="C391" s="25" t="s">
        <v>7</v>
      </c>
      <c r="G391" s="25" t="s">
        <v>1106</v>
      </c>
      <c r="H391" s="24" t="s">
        <v>1061</v>
      </c>
      <c r="I391" s="3" t="str">
        <f>IFERROR(VLOOKUP(C391,'Справочник соответствий'!A$2:D$2981,2,FALSE),IF(VALUE(C391)=0,1,VLOOKUP(C391,'Справочник соответствий'!A$2:D$2981,2,FALSE)))</f>
        <v>2</v>
      </c>
      <c r="J391" s="3">
        <f>IFERROR(VLOOKUP(D391,'Справочник соответствий'!A$2:D$2981,2,FALSE),IF(VALUE(D391)=0,0,VLOOKUP(D391,'Справочник соответствий'!A$2:D$2981,2,FALSE)))</f>
        <v>0</v>
      </c>
      <c r="K391" s="3" t="str">
        <f t="shared" si="42"/>
        <v>2</v>
      </c>
      <c r="L391" s="13" t="str">
        <f>IFERROR(VLOOKUP(C391,'Справочник соответствий'!A$2:D$2981,3,FALSE),IF(VALUE(C391)=0,"ЭТАЖ НЕ ОПРЕДЕЛЕН. ПРИНЯТ ПО ДОПУЩЕНИЮ 1",VLOOKUP(C391,'Справочник соответствий'!A$2:D$2981,3,FALSE)))</f>
        <v>ЭТАЖ ЗАДАН ЧИСЛОМ</v>
      </c>
      <c r="M391" s="13" t="b">
        <f t="shared" si="43"/>
        <v>0</v>
      </c>
      <c r="N391" s="13">
        <f t="shared" si="44"/>
        <v>2</v>
      </c>
      <c r="O391" s="13" t="str">
        <f t="shared" si="45"/>
        <v>ЭТАЖ ЗАДАН ЧИСЛОМ</v>
      </c>
      <c r="P391" s="13" t="str">
        <f t="shared" si="46"/>
        <v>ЭТАЖ ЗАДАН ЧИСЛОМ</v>
      </c>
      <c r="Q391" s="13" t="str">
        <f t="shared" si="47"/>
        <v>ГОТОВ_ИЗМЕНЕН</v>
      </c>
      <c r="R391" s="13">
        <f>IFERROR(VLOOKUP(P391,Лист1!A$1:B$20,2,FALSE),0)</f>
        <v>784</v>
      </c>
      <c r="S391" s="13">
        <f t="shared" si="48"/>
        <v>0</v>
      </c>
    </row>
    <row r="392" spans="1:19" x14ac:dyDescent="0.25">
      <c r="A392" s="24" t="s">
        <v>1495</v>
      </c>
      <c r="B392" s="4" t="s">
        <v>1059</v>
      </c>
      <c r="C392" s="25" t="s">
        <v>7</v>
      </c>
      <c r="G392" s="25" t="s">
        <v>1106</v>
      </c>
      <c r="H392" s="24" t="s">
        <v>1061</v>
      </c>
      <c r="I392" s="3" t="str">
        <f>IFERROR(VLOOKUP(C392,'Справочник соответствий'!A$2:D$2981,2,FALSE),IF(VALUE(C392)=0,1,VLOOKUP(C392,'Справочник соответствий'!A$2:D$2981,2,FALSE)))</f>
        <v>2</v>
      </c>
      <c r="J392" s="3">
        <f>IFERROR(VLOOKUP(D392,'Справочник соответствий'!A$2:D$2981,2,FALSE),IF(VALUE(D392)=0,0,VLOOKUP(D392,'Справочник соответствий'!A$2:D$2981,2,FALSE)))</f>
        <v>0</v>
      </c>
      <c r="K392" s="3" t="str">
        <f t="shared" si="42"/>
        <v>2</v>
      </c>
      <c r="L392" s="13" t="str">
        <f>IFERROR(VLOOKUP(C392,'Справочник соответствий'!A$2:D$2981,3,FALSE),IF(VALUE(C392)=0,"ЭТАЖ НЕ ОПРЕДЕЛЕН. ПРИНЯТ ПО ДОПУЩЕНИЮ 1",VLOOKUP(C392,'Справочник соответствий'!A$2:D$2981,3,FALSE)))</f>
        <v>ЭТАЖ ЗАДАН ЧИСЛОМ</v>
      </c>
      <c r="M392" s="13" t="b">
        <f t="shared" si="43"/>
        <v>0</v>
      </c>
      <c r="N392" s="13">
        <f t="shared" si="44"/>
        <v>2</v>
      </c>
      <c r="O392" s="13" t="str">
        <f t="shared" si="45"/>
        <v>ЭТАЖ ЗАДАН ЧИСЛОМ</v>
      </c>
      <c r="P392" s="13" t="str">
        <f t="shared" si="46"/>
        <v>ЭТАЖ ЗАДАН ЧИСЛОМ</v>
      </c>
      <c r="Q392" s="13" t="str">
        <f t="shared" si="47"/>
        <v>ГОТОВ_ИЗМЕНЕН</v>
      </c>
      <c r="R392" s="13">
        <f>IFERROR(VLOOKUP(P392,Лист1!A$1:B$20,2,FALSE),0)</f>
        <v>784</v>
      </c>
      <c r="S392" s="13">
        <f t="shared" si="48"/>
        <v>0</v>
      </c>
    </row>
    <row r="393" spans="1:19" x14ac:dyDescent="0.25">
      <c r="A393" s="24" t="s">
        <v>1496</v>
      </c>
      <c r="B393" s="4" t="s">
        <v>1059</v>
      </c>
      <c r="C393" s="25" t="s">
        <v>5</v>
      </c>
      <c r="G393" s="25" t="s">
        <v>1106</v>
      </c>
      <c r="H393" s="24" t="s">
        <v>1061</v>
      </c>
      <c r="I393" s="3" t="str">
        <f>IFERROR(VLOOKUP(C393,'Справочник соответствий'!A$2:D$2981,2,FALSE),IF(VALUE(C393)=0,1,VLOOKUP(C393,'Справочник соответствий'!A$2:D$2981,2,FALSE)))</f>
        <v>1</v>
      </c>
      <c r="J393" s="3">
        <f>IFERROR(VLOOKUP(D393,'Справочник соответствий'!A$2:D$2981,2,FALSE),IF(VALUE(D393)=0,0,VLOOKUP(D393,'Справочник соответствий'!A$2:D$2981,2,FALSE)))</f>
        <v>0</v>
      </c>
      <c r="K393" s="3" t="str">
        <f t="shared" si="42"/>
        <v>1</v>
      </c>
      <c r="L393" s="13" t="str">
        <f>IFERROR(VLOOKUP(C393,'Справочник соответствий'!A$2:D$2981,3,FALSE),IF(VALUE(C393)=0,"ЭТАЖ НЕ ОПРЕДЕЛЕН. ПРИНЯТ ПО ДОПУЩЕНИЮ 1",VLOOKUP(C393,'Справочник соответствий'!A$2:D$2981,3,FALSE)))</f>
        <v>ЭТАЖ ЗАДАН ЧИСЛОМ</v>
      </c>
      <c r="M393" s="13" t="b">
        <f t="shared" si="43"/>
        <v>0</v>
      </c>
      <c r="N393" s="13">
        <f t="shared" si="44"/>
        <v>1</v>
      </c>
      <c r="O393" s="13" t="str">
        <f t="shared" si="45"/>
        <v>ЭТАЖ ЗАДАН ЧИСЛОМ</v>
      </c>
      <c r="P393" s="13" t="str">
        <f t="shared" si="46"/>
        <v>ЭТАЖ ЗАДАН ЧИСЛОМ</v>
      </c>
      <c r="Q393" s="13" t="str">
        <f t="shared" si="47"/>
        <v>ГОТОВ_ИЗМЕНЕН</v>
      </c>
      <c r="R393" s="13">
        <f>IFERROR(VLOOKUP(P393,Лист1!A$1:B$20,2,FALSE),0)</f>
        <v>784</v>
      </c>
      <c r="S393" s="13">
        <f t="shared" si="48"/>
        <v>0</v>
      </c>
    </row>
    <row r="394" spans="1:19" x14ac:dyDescent="0.25">
      <c r="A394" s="24" t="s">
        <v>1497</v>
      </c>
      <c r="B394" s="4" t="s">
        <v>1063</v>
      </c>
      <c r="C394" s="25" t="s">
        <v>5</v>
      </c>
      <c r="G394" s="25" t="s">
        <v>1106</v>
      </c>
      <c r="H394" s="24" t="s">
        <v>1061</v>
      </c>
      <c r="I394" s="3" t="str">
        <f>IFERROR(VLOOKUP(C394,'Справочник соответствий'!A$2:D$2981,2,FALSE),IF(VALUE(C394)=0,1,VLOOKUP(C394,'Справочник соответствий'!A$2:D$2981,2,FALSE)))</f>
        <v>1</v>
      </c>
      <c r="J394" s="3">
        <f>IFERROR(VLOOKUP(D394,'Справочник соответствий'!A$2:D$2981,2,FALSE),IF(VALUE(D394)=0,0,VLOOKUP(D394,'Справочник соответствий'!A$2:D$2981,2,FALSE)))</f>
        <v>0</v>
      </c>
      <c r="K394" s="3" t="str">
        <f t="shared" si="42"/>
        <v>1</v>
      </c>
      <c r="L394" s="13" t="str">
        <f>IFERROR(VLOOKUP(C394,'Справочник соответствий'!A$2:D$2981,3,FALSE),IF(VALUE(C394)=0,"ЭТАЖ НЕ ОПРЕДЕЛЕН. ПРИНЯТ ПО ДОПУЩЕНИЮ 1",VLOOKUP(C394,'Справочник соответствий'!A$2:D$2981,3,FALSE)))</f>
        <v>ЭТАЖ ЗАДАН ЧИСЛОМ</v>
      </c>
      <c r="M394" s="13" t="b">
        <f t="shared" si="43"/>
        <v>0</v>
      </c>
      <c r="N394" s="13">
        <f t="shared" si="44"/>
        <v>1</v>
      </c>
      <c r="O394" s="13" t="str">
        <f t="shared" si="45"/>
        <v>ЭТАЖ ЗАДАН ЧИСЛОМ</v>
      </c>
      <c r="P394" s="13" t="str">
        <f t="shared" si="46"/>
        <v>ЭТАЖ ЗАДАН ЧИСЛОМ</v>
      </c>
      <c r="Q394" s="13" t="str">
        <f t="shared" si="47"/>
        <v>ГОТОВ_ИЗМЕНЕН</v>
      </c>
      <c r="R394" s="13">
        <f>IFERROR(VLOOKUP(P394,Лист1!A$1:B$20,2,FALSE),0)</f>
        <v>784</v>
      </c>
      <c r="S394" s="13">
        <f t="shared" si="48"/>
        <v>0</v>
      </c>
    </row>
    <row r="395" spans="1:19" x14ac:dyDescent="0.25">
      <c r="A395" s="24" t="s">
        <v>1498</v>
      </c>
      <c r="B395" s="4" t="s">
        <v>1059</v>
      </c>
      <c r="C395" s="25" t="s">
        <v>7</v>
      </c>
      <c r="G395" s="25" t="s">
        <v>1106</v>
      </c>
      <c r="H395" s="24" t="s">
        <v>1061</v>
      </c>
      <c r="I395" s="3" t="str">
        <f>IFERROR(VLOOKUP(C395,'Справочник соответствий'!A$2:D$2981,2,FALSE),IF(VALUE(C395)=0,1,VLOOKUP(C395,'Справочник соответствий'!A$2:D$2981,2,FALSE)))</f>
        <v>2</v>
      </c>
      <c r="J395" s="3">
        <f>IFERROR(VLOOKUP(D395,'Справочник соответствий'!A$2:D$2981,2,FALSE),IF(VALUE(D395)=0,0,VLOOKUP(D395,'Справочник соответствий'!A$2:D$2981,2,FALSE)))</f>
        <v>0</v>
      </c>
      <c r="K395" s="3" t="str">
        <f t="shared" si="42"/>
        <v>2</v>
      </c>
      <c r="L395" s="13" t="str">
        <f>IFERROR(VLOOKUP(C395,'Справочник соответствий'!A$2:D$2981,3,FALSE),IF(VALUE(C395)=0,"ЭТАЖ НЕ ОПРЕДЕЛЕН. ПРИНЯТ ПО ДОПУЩЕНИЮ 1",VLOOKUP(C395,'Справочник соответствий'!A$2:D$2981,3,FALSE)))</f>
        <v>ЭТАЖ ЗАДАН ЧИСЛОМ</v>
      </c>
      <c r="M395" s="13" t="b">
        <f t="shared" si="43"/>
        <v>0</v>
      </c>
      <c r="N395" s="13">
        <f t="shared" si="44"/>
        <v>2</v>
      </c>
      <c r="O395" s="13" t="str">
        <f t="shared" si="45"/>
        <v>ЭТАЖ ЗАДАН ЧИСЛОМ</v>
      </c>
      <c r="P395" s="13" t="str">
        <f t="shared" si="46"/>
        <v>ЭТАЖ ЗАДАН ЧИСЛОМ</v>
      </c>
      <c r="Q395" s="13" t="str">
        <f t="shared" si="47"/>
        <v>ГОТОВ_ИЗМЕНЕН</v>
      </c>
      <c r="R395" s="13">
        <f>IFERROR(VLOOKUP(P395,Лист1!A$1:B$20,2,FALSE),0)</f>
        <v>784</v>
      </c>
      <c r="S395" s="13">
        <f t="shared" si="48"/>
        <v>0</v>
      </c>
    </row>
    <row r="396" spans="1:19" x14ac:dyDescent="0.25">
      <c r="A396" s="24" t="s">
        <v>1499</v>
      </c>
      <c r="B396" s="4" t="s">
        <v>1059</v>
      </c>
      <c r="C396" s="25" t="s">
        <v>7</v>
      </c>
      <c r="G396" s="25" t="s">
        <v>1106</v>
      </c>
      <c r="H396" s="24" t="s">
        <v>1061</v>
      </c>
      <c r="I396" s="3" t="str">
        <f>IFERROR(VLOOKUP(C396,'Справочник соответствий'!A$2:D$2981,2,FALSE),IF(VALUE(C396)=0,1,VLOOKUP(C396,'Справочник соответствий'!A$2:D$2981,2,FALSE)))</f>
        <v>2</v>
      </c>
      <c r="J396" s="3">
        <f>IFERROR(VLOOKUP(D396,'Справочник соответствий'!A$2:D$2981,2,FALSE),IF(VALUE(D396)=0,0,VLOOKUP(D396,'Справочник соответствий'!A$2:D$2981,2,FALSE)))</f>
        <v>0</v>
      </c>
      <c r="K396" s="3" t="str">
        <f t="shared" si="42"/>
        <v>2</v>
      </c>
      <c r="L396" s="13" t="str">
        <f>IFERROR(VLOOKUP(C396,'Справочник соответствий'!A$2:D$2981,3,FALSE),IF(VALUE(C396)=0,"ЭТАЖ НЕ ОПРЕДЕЛЕН. ПРИНЯТ ПО ДОПУЩЕНИЮ 1",VLOOKUP(C396,'Справочник соответствий'!A$2:D$2981,3,FALSE)))</f>
        <v>ЭТАЖ ЗАДАН ЧИСЛОМ</v>
      </c>
      <c r="M396" s="13" t="b">
        <f t="shared" si="43"/>
        <v>0</v>
      </c>
      <c r="N396" s="13">
        <f t="shared" si="44"/>
        <v>2</v>
      </c>
      <c r="O396" s="13" t="str">
        <f t="shared" si="45"/>
        <v>ЭТАЖ ЗАДАН ЧИСЛОМ</v>
      </c>
      <c r="P396" s="13" t="str">
        <f t="shared" si="46"/>
        <v>ЭТАЖ ЗАДАН ЧИСЛОМ</v>
      </c>
      <c r="Q396" s="13" t="str">
        <f t="shared" si="47"/>
        <v>ГОТОВ_ИЗМЕНЕН</v>
      </c>
      <c r="R396" s="13">
        <f>IFERROR(VLOOKUP(P396,Лист1!A$1:B$20,2,FALSE),0)</f>
        <v>784</v>
      </c>
      <c r="S396" s="13">
        <f t="shared" si="48"/>
        <v>0</v>
      </c>
    </row>
    <row r="397" spans="1:19" x14ac:dyDescent="0.25">
      <c r="A397" s="24" t="s">
        <v>1500</v>
      </c>
      <c r="B397" s="4" t="s">
        <v>1059</v>
      </c>
      <c r="C397" s="25" t="s">
        <v>7</v>
      </c>
      <c r="G397" s="25" t="s">
        <v>1106</v>
      </c>
      <c r="H397" s="24" t="s">
        <v>1061</v>
      </c>
      <c r="I397" s="3" t="str">
        <f>IFERROR(VLOOKUP(C397,'Справочник соответствий'!A$2:D$2981,2,FALSE),IF(VALUE(C397)=0,1,VLOOKUP(C397,'Справочник соответствий'!A$2:D$2981,2,FALSE)))</f>
        <v>2</v>
      </c>
      <c r="J397" s="3">
        <f>IFERROR(VLOOKUP(D397,'Справочник соответствий'!A$2:D$2981,2,FALSE),IF(VALUE(D397)=0,0,VLOOKUP(D397,'Справочник соответствий'!A$2:D$2981,2,FALSE)))</f>
        <v>0</v>
      </c>
      <c r="K397" s="3" t="str">
        <f t="shared" si="42"/>
        <v>2</v>
      </c>
      <c r="L397" s="13" t="str">
        <f>IFERROR(VLOOKUP(C397,'Справочник соответствий'!A$2:D$2981,3,FALSE),IF(VALUE(C397)=0,"ЭТАЖ НЕ ОПРЕДЕЛЕН. ПРИНЯТ ПО ДОПУЩЕНИЮ 1",VLOOKUP(C397,'Справочник соответствий'!A$2:D$2981,3,FALSE)))</f>
        <v>ЭТАЖ ЗАДАН ЧИСЛОМ</v>
      </c>
      <c r="M397" s="13" t="b">
        <f t="shared" si="43"/>
        <v>0</v>
      </c>
      <c r="N397" s="13">
        <f t="shared" si="44"/>
        <v>2</v>
      </c>
      <c r="O397" s="13" t="str">
        <f t="shared" si="45"/>
        <v>ЭТАЖ ЗАДАН ЧИСЛОМ</v>
      </c>
      <c r="P397" s="13" t="str">
        <f t="shared" si="46"/>
        <v>ЭТАЖ ЗАДАН ЧИСЛОМ</v>
      </c>
      <c r="Q397" s="13" t="str">
        <f t="shared" si="47"/>
        <v>ГОТОВ_ИЗМЕНЕН</v>
      </c>
      <c r="R397" s="13">
        <f>IFERROR(VLOOKUP(P397,Лист1!A$1:B$20,2,FALSE),0)</f>
        <v>784</v>
      </c>
      <c r="S397" s="13">
        <f t="shared" si="48"/>
        <v>0</v>
      </c>
    </row>
    <row r="398" spans="1:19" x14ac:dyDescent="0.25">
      <c r="A398" s="24" t="s">
        <v>1501</v>
      </c>
      <c r="B398" s="4" t="s">
        <v>1063</v>
      </c>
      <c r="C398" s="25" t="s">
        <v>5</v>
      </c>
      <c r="G398" s="25" t="s">
        <v>1106</v>
      </c>
      <c r="H398" s="24" t="s">
        <v>1061</v>
      </c>
      <c r="I398" s="3" t="str">
        <f>IFERROR(VLOOKUP(C398,'Справочник соответствий'!A$2:D$2981,2,FALSE),IF(VALUE(C398)=0,1,VLOOKUP(C398,'Справочник соответствий'!A$2:D$2981,2,FALSE)))</f>
        <v>1</v>
      </c>
      <c r="J398" s="3">
        <f>IFERROR(VLOOKUP(D398,'Справочник соответствий'!A$2:D$2981,2,FALSE),IF(VALUE(D398)=0,0,VLOOKUP(D398,'Справочник соответствий'!A$2:D$2981,2,FALSE)))</f>
        <v>0</v>
      </c>
      <c r="K398" s="3" t="str">
        <f t="shared" si="42"/>
        <v>1</v>
      </c>
      <c r="L398" s="13" t="str">
        <f>IFERROR(VLOOKUP(C398,'Справочник соответствий'!A$2:D$2981,3,FALSE),IF(VALUE(C398)=0,"ЭТАЖ НЕ ОПРЕДЕЛЕН. ПРИНЯТ ПО ДОПУЩЕНИЮ 1",VLOOKUP(C398,'Справочник соответствий'!A$2:D$2981,3,FALSE)))</f>
        <v>ЭТАЖ ЗАДАН ЧИСЛОМ</v>
      </c>
      <c r="M398" s="13" t="b">
        <f t="shared" si="43"/>
        <v>0</v>
      </c>
      <c r="N398" s="13">
        <f t="shared" si="44"/>
        <v>1</v>
      </c>
      <c r="O398" s="13" t="str">
        <f t="shared" si="45"/>
        <v>ЭТАЖ ЗАДАН ЧИСЛОМ</v>
      </c>
      <c r="P398" s="13" t="str">
        <f t="shared" si="46"/>
        <v>ЭТАЖ ЗАДАН ЧИСЛОМ</v>
      </c>
      <c r="Q398" s="13" t="str">
        <f t="shared" si="47"/>
        <v>ГОТОВ_ИЗМЕНЕН</v>
      </c>
      <c r="R398" s="13">
        <f>IFERROR(VLOOKUP(P398,Лист1!A$1:B$20,2,FALSE),0)</f>
        <v>784</v>
      </c>
      <c r="S398" s="13">
        <f t="shared" si="48"/>
        <v>0</v>
      </c>
    </row>
    <row r="399" spans="1:19" x14ac:dyDescent="0.25">
      <c r="A399" s="24" t="s">
        <v>1502</v>
      </c>
      <c r="B399" s="4" t="s">
        <v>1063</v>
      </c>
      <c r="C399" s="25" t="s">
        <v>5</v>
      </c>
      <c r="G399" s="25" t="s">
        <v>1106</v>
      </c>
      <c r="H399" s="24" t="s">
        <v>1061</v>
      </c>
      <c r="I399" s="3" t="str">
        <f>IFERROR(VLOOKUP(C399,'Справочник соответствий'!A$2:D$2981,2,FALSE),IF(VALUE(C399)=0,1,VLOOKUP(C399,'Справочник соответствий'!A$2:D$2981,2,FALSE)))</f>
        <v>1</v>
      </c>
      <c r="J399" s="3">
        <f>IFERROR(VLOOKUP(D399,'Справочник соответствий'!A$2:D$2981,2,FALSE),IF(VALUE(D399)=0,0,VLOOKUP(D399,'Справочник соответствий'!A$2:D$2981,2,FALSE)))</f>
        <v>0</v>
      </c>
      <c r="K399" s="3" t="str">
        <f t="shared" si="42"/>
        <v>1</v>
      </c>
      <c r="L399" s="13" t="str">
        <f>IFERROR(VLOOKUP(C399,'Справочник соответствий'!A$2:D$2981,3,FALSE),IF(VALUE(C399)=0,"ЭТАЖ НЕ ОПРЕДЕЛЕН. ПРИНЯТ ПО ДОПУЩЕНИЮ 1",VLOOKUP(C399,'Справочник соответствий'!A$2:D$2981,3,FALSE)))</f>
        <v>ЭТАЖ ЗАДАН ЧИСЛОМ</v>
      </c>
      <c r="M399" s="13" t="b">
        <f t="shared" si="43"/>
        <v>0</v>
      </c>
      <c r="N399" s="13">
        <f t="shared" si="44"/>
        <v>1</v>
      </c>
      <c r="O399" s="13" t="str">
        <f t="shared" si="45"/>
        <v>ЭТАЖ ЗАДАН ЧИСЛОМ</v>
      </c>
      <c r="P399" s="13" t="str">
        <f t="shared" si="46"/>
        <v>ЭТАЖ ЗАДАН ЧИСЛОМ</v>
      </c>
      <c r="Q399" s="13" t="str">
        <f t="shared" si="47"/>
        <v>ГОТОВ_ИЗМЕНЕН</v>
      </c>
      <c r="R399" s="13">
        <f>IFERROR(VLOOKUP(P399,Лист1!A$1:B$20,2,FALSE),0)</f>
        <v>784</v>
      </c>
      <c r="S399" s="13">
        <f t="shared" si="48"/>
        <v>0</v>
      </c>
    </row>
    <row r="400" spans="1:19" x14ac:dyDescent="0.25">
      <c r="A400" s="24" t="s">
        <v>1503</v>
      </c>
      <c r="B400" s="4" t="s">
        <v>1059</v>
      </c>
      <c r="C400" s="25" t="s">
        <v>7</v>
      </c>
      <c r="G400" s="25" t="s">
        <v>1106</v>
      </c>
      <c r="H400" s="24" t="s">
        <v>1061</v>
      </c>
      <c r="I400" s="3" t="str">
        <f>IFERROR(VLOOKUP(C400,'Справочник соответствий'!A$2:D$2981,2,FALSE),IF(VALUE(C400)=0,1,VLOOKUP(C400,'Справочник соответствий'!A$2:D$2981,2,FALSE)))</f>
        <v>2</v>
      </c>
      <c r="J400" s="3">
        <f>IFERROR(VLOOKUP(D400,'Справочник соответствий'!A$2:D$2981,2,FALSE),IF(VALUE(D400)=0,0,VLOOKUP(D400,'Справочник соответствий'!A$2:D$2981,2,FALSE)))</f>
        <v>0</v>
      </c>
      <c r="K400" s="3" t="str">
        <f t="shared" si="42"/>
        <v>2</v>
      </c>
      <c r="L400" s="13" t="str">
        <f>IFERROR(VLOOKUP(C400,'Справочник соответствий'!A$2:D$2981,3,FALSE),IF(VALUE(C400)=0,"ЭТАЖ НЕ ОПРЕДЕЛЕН. ПРИНЯТ ПО ДОПУЩЕНИЮ 1",VLOOKUP(C400,'Справочник соответствий'!A$2:D$2981,3,FALSE)))</f>
        <v>ЭТАЖ ЗАДАН ЧИСЛОМ</v>
      </c>
      <c r="M400" s="13" t="b">
        <f t="shared" si="43"/>
        <v>0</v>
      </c>
      <c r="N400" s="13">
        <f t="shared" si="44"/>
        <v>2</v>
      </c>
      <c r="O400" s="13" t="str">
        <f t="shared" si="45"/>
        <v>ЭТАЖ ЗАДАН ЧИСЛОМ</v>
      </c>
      <c r="P400" s="13" t="str">
        <f t="shared" si="46"/>
        <v>ЭТАЖ ЗАДАН ЧИСЛОМ</v>
      </c>
      <c r="Q400" s="13" t="str">
        <f t="shared" si="47"/>
        <v>ГОТОВ_ИЗМЕНЕН</v>
      </c>
      <c r="R400" s="13">
        <f>IFERROR(VLOOKUP(P400,Лист1!A$1:B$20,2,FALSE),0)</f>
        <v>784</v>
      </c>
      <c r="S400" s="13">
        <f t="shared" si="48"/>
        <v>0</v>
      </c>
    </row>
    <row r="401" spans="1:19" x14ac:dyDescent="0.25">
      <c r="A401" s="24" t="s">
        <v>1504</v>
      </c>
      <c r="B401" s="4" t="s">
        <v>1059</v>
      </c>
      <c r="C401" s="25" t="s">
        <v>5</v>
      </c>
      <c r="G401" s="25" t="s">
        <v>1083</v>
      </c>
      <c r="H401" s="24" t="s">
        <v>1061</v>
      </c>
      <c r="I401" s="3" t="str">
        <f>IFERROR(VLOOKUP(C401,'Справочник соответствий'!A$2:D$2981,2,FALSE),IF(VALUE(C401)=0,1,VLOOKUP(C401,'Справочник соответствий'!A$2:D$2981,2,FALSE)))</f>
        <v>1</v>
      </c>
      <c r="J401" s="3">
        <f>IFERROR(VLOOKUP(D401,'Справочник соответствий'!A$2:D$2981,2,FALSE),IF(VALUE(D401)=0,0,VLOOKUP(D401,'Справочник соответствий'!A$2:D$2981,2,FALSE)))</f>
        <v>0</v>
      </c>
      <c r="K401" s="3" t="str">
        <f t="shared" si="42"/>
        <v>1</v>
      </c>
      <c r="L401" s="13" t="str">
        <f>IFERROR(VLOOKUP(C401,'Справочник соответствий'!A$2:D$2981,3,FALSE),IF(VALUE(C401)=0,"ЭТАЖ НЕ ОПРЕДЕЛЕН. ПРИНЯТ ПО ДОПУЩЕНИЮ 1",VLOOKUP(C401,'Справочник соответствий'!A$2:D$2981,3,FALSE)))</f>
        <v>ЭТАЖ ЗАДАН ЧИСЛОМ</v>
      </c>
      <c r="M401" s="13" t="b">
        <f t="shared" si="43"/>
        <v>0</v>
      </c>
      <c r="N401" s="13">
        <f t="shared" si="44"/>
        <v>1</v>
      </c>
      <c r="O401" s="13" t="str">
        <f t="shared" si="45"/>
        <v>ЭТАЖ ЗАДАН ЧИСЛОМ</v>
      </c>
      <c r="P401" s="13" t="str">
        <f t="shared" si="46"/>
        <v>ЭТАЖ ЗАДАН ЧИСЛОМ</v>
      </c>
      <c r="Q401" s="13" t="str">
        <f t="shared" si="47"/>
        <v>ГОТОВ_ИЗМЕНЕН</v>
      </c>
      <c r="R401" s="13">
        <f>IFERROR(VLOOKUP(P401,Лист1!A$1:B$20,2,FALSE),0)</f>
        <v>784</v>
      </c>
      <c r="S401" s="13">
        <f t="shared" si="48"/>
        <v>0</v>
      </c>
    </row>
    <row r="402" spans="1:19" x14ac:dyDescent="0.25">
      <c r="A402" s="24" t="s">
        <v>1505</v>
      </c>
      <c r="B402" s="4" t="s">
        <v>1059</v>
      </c>
      <c r="C402" s="25" t="s">
        <v>5</v>
      </c>
      <c r="G402" s="25" t="s">
        <v>1083</v>
      </c>
      <c r="H402" s="24" t="s">
        <v>1061</v>
      </c>
      <c r="I402" s="3" t="str">
        <f>IFERROR(VLOOKUP(C402,'Справочник соответствий'!A$2:D$2981,2,FALSE),IF(VALUE(C402)=0,1,VLOOKUP(C402,'Справочник соответствий'!A$2:D$2981,2,FALSE)))</f>
        <v>1</v>
      </c>
      <c r="J402" s="3">
        <f>IFERROR(VLOOKUP(D402,'Справочник соответствий'!A$2:D$2981,2,FALSE),IF(VALUE(D402)=0,0,VLOOKUP(D402,'Справочник соответствий'!A$2:D$2981,2,FALSE)))</f>
        <v>0</v>
      </c>
      <c r="K402" s="3" t="str">
        <f t="shared" si="42"/>
        <v>1</v>
      </c>
      <c r="L402" s="13" t="str">
        <f>IFERROR(VLOOKUP(C402,'Справочник соответствий'!A$2:D$2981,3,FALSE),IF(VALUE(C402)=0,"ЭТАЖ НЕ ОПРЕДЕЛЕН. ПРИНЯТ ПО ДОПУЩЕНИЮ 1",VLOOKUP(C402,'Справочник соответствий'!A$2:D$2981,3,FALSE)))</f>
        <v>ЭТАЖ ЗАДАН ЧИСЛОМ</v>
      </c>
      <c r="M402" s="13" t="b">
        <f t="shared" si="43"/>
        <v>0</v>
      </c>
      <c r="N402" s="13">
        <f t="shared" si="44"/>
        <v>1</v>
      </c>
      <c r="O402" s="13" t="str">
        <f t="shared" si="45"/>
        <v>ЭТАЖ ЗАДАН ЧИСЛОМ</v>
      </c>
      <c r="P402" s="13" t="str">
        <f t="shared" si="46"/>
        <v>ЭТАЖ ЗАДАН ЧИСЛОМ</v>
      </c>
      <c r="Q402" s="13" t="str">
        <f t="shared" si="47"/>
        <v>ГОТОВ_ИЗМЕНЕН</v>
      </c>
      <c r="R402" s="13">
        <f>IFERROR(VLOOKUP(P402,Лист1!A$1:B$20,2,FALSE),0)</f>
        <v>784</v>
      </c>
      <c r="S402" s="13">
        <f t="shared" si="48"/>
        <v>0</v>
      </c>
    </row>
    <row r="403" spans="1:19" x14ac:dyDescent="0.25">
      <c r="A403" s="24" t="s">
        <v>1506</v>
      </c>
      <c r="B403" s="4" t="s">
        <v>1059</v>
      </c>
      <c r="C403" s="25" t="s">
        <v>7</v>
      </c>
      <c r="G403" s="25" t="s">
        <v>1083</v>
      </c>
      <c r="H403" s="24" t="s">
        <v>1061</v>
      </c>
      <c r="I403" s="3" t="str">
        <f>IFERROR(VLOOKUP(C403,'Справочник соответствий'!A$2:D$2981,2,FALSE),IF(VALUE(C403)=0,1,VLOOKUP(C403,'Справочник соответствий'!A$2:D$2981,2,FALSE)))</f>
        <v>2</v>
      </c>
      <c r="J403" s="3">
        <f>IFERROR(VLOOKUP(D403,'Справочник соответствий'!A$2:D$2981,2,FALSE),IF(VALUE(D403)=0,0,VLOOKUP(D403,'Справочник соответствий'!A$2:D$2981,2,FALSE)))</f>
        <v>0</v>
      </c>
      <c r="K403" s="3" t="str">
        <f t="shared" si="42"/>
        <v>2</v>
      </c>
      <c r="L403" s="13" t="str">
        <f>IFERROR(VLOOKUP(C403,'Справочник соответствий'!A$2:D$2981,3,FALSE),IF(VALUE(C403)=0,"ЭТАЖ НЕ ОПРЕДЕЛЕН. ПРИНЯТ ПО ДОПУЩЕНИЮ 1",VLOOKUP(C403,'Справочник соответствий'!A$2:D$2981,3,FALSE)))</f>
        <v>ЭТАЖ ЗАДАН ЧИСЛОМ</v>
      </c>
      <c r="M403" s="13" t="b">
        <f t="shared" si="43"/>
        <v>0</v>
      </c>
      <c r="N403" s="13">
        <f t="shared" si="44"/>
        <v>2</v>
      </c>
      <c r="O403" s="13" t="str">
        <f t="shared" si="45"/>
        <v>ЭТАЖ ЗАДАН ЧИСЛОМ</v>
      </c>
      <c r="P403" s="13" t="str">
        <f t="shared" si="46"/>
        <v>ЭТАЖ ЗАДАН ЧИСЛОМ</v>
      </c>
      <c r="Q403" s="13" t="str">
        <f t="shared" si="47"/>
        <v>ГОТОВ_ИЗМЕНЕН</v>
      </c>
      <c r="R403" s="13">
        <f>IFERROR(VLOOKUP(P403,Лист1!A$1:B$20,2,FALSE),0)</f>
        <v>784</v>
      </c>
      <c r="S403" s="13">
        <f t="shared" si="48"/>
        <v>0</v>
      </c>
    </row>
    <row r="404" spans="1:19" x14ac:dyDescent="0.25">
      <c r="A404" s="24" t="s">
        <v>1507</v>
      </c>
      <c r="B404" s="4" t="s">
        <v>1059</v>
      </c>
      <c r="C404" s="25" t="s">
        <v>7</v>
      </c>
      <c r="G404" s="25" t="s">
        <v>1064</v>
      </c>
      <c r="H404" s="24" t="s">
        <v>1061</v>
      </c>
      <c r="I404" s="3" t="str">
        <f>IFERROR(VLOOKUP(C404,'Справочник соответствий'!A$2:D$2981,2,FALSE),IF(VALUE(C404)=0,1,VLOOKUP(C404,'Справочник соответствий'!A$2:D$2981,2,FALSE)))</f>
        <v>2</v>
      </c>
      <c r="J404" s="3">
        <f>IFERROR(VLOOKUP(D404,'Справочник соответствий'!A$2:D$2981,2,FALSE),IF(VALUE(D404)=0,0,VLOOKUP(D404,'Справочник соответствий'!A$2:D$2981,2,FALSE)))</f>
        <v>0</v>
      </c>
      <c r="K404" s="3" t="str">
        <f t="shared" si="42"/>
        <v>2</v>
      </c>
      <c r="L404" s="13" t="str">
        <f>IFERROR(VLOOKUP(C404,'Справочник соответствий'!A$2:D$2981,3,FALSE),IF(VALUE(C404)=0,"ЭТАЖ НЕ ОПРЕДЕЛЕН. ПРИНЯТ ПО ДОПУЩЕНИЮ 1",VLOOKUP(C404,'Справочник соответствий'!A$2:D$2981,3,FALSE)))</f>
        <v>ЭТАЖ ЗАДАН ЧИСЛОМ</v>
      </c>
      <c r="M404" s="13" t="b">
        <f t="shared" si="43"/>
        <v>0</v>
      </c>
      <c r="N404" s="13">
        <f t="shared" si="44"/>
        <v>2</v>
      </c>
      <c r="O404" s="13" t="str">
        <f t="shared" si="45"/>
        <v>ЭТАЖ ЗАДАН ЧИСЛОМ</v>
      </c>
      <c r="P404" s="13" t="str">
        <f t="shared" si="46"/>
        <v>ЭТАЖ ЗАДАН ЧИСЛОМ</v>
      </c>
      <c r="Q404" s="13" t="str">
        <f t="shared" si="47"/>
        <v>ГОТОВ_ИЗМЕНЕН</v>
      </c>
      <c r="R404" s="13">
        <f>IFERROR(VLOOKUP(P404,Лист1!A$1:B$20,2,FALSE),0)</f>
        <v>784</v>
      </c>
      <c r="S404" s="13">
        <f t="shared" si="48"/>
        <v>0</v>
      </c>
    </row>
    <row r="405" spans="1:19" x14ac:dyDescent="0.25">
      <c r="A405" s="24" t="s">
        <v>1508</v>
      </c>
      <c r="B405" s="4" t="s">
        <v>1063</v>
      </c>
      <c r="C405" s="25" t="s">
        <v>5</v>
      </c>
      <c r="G405" s="25" t="s">
        <v>1083</v>
      </c>
      <c r="H405" s="24" t="s">
        <v>1061</v>
      </c>
      <c r="I405" s="3" t="str">
        <f>IFERROR(VLOOKUP(C405,'Справочник соответствий'!A$2:D$2981,2,FALSE),IF(VALUE(C405)=0,1,VLOOKUP(C405,'Справочник соответствий'!A$2:D$2981,2,FALSE)))</f>
        <v>1</v>
      </c>
      <c r="J405" s="3">
        <f>IFERROR(VLOOKUP(D405,'Справочник соответствий'!A$2:D$2981,2,FALSE),IF(VALUE(D405)=0,0,VLOOKUP(D405,'Справочник соответствий'!A$2:D$2981,2,FALSE)))</f>
        <v>0</v>
      </c>
      <c r="K405" s="3" t="str">
        <f t="shared" si="42"/>
        <v>1</v>
      </c>
      <c r="L405" s="13" t="str">
        <f>IFERROR(VLOOKUP(C405,'Справочник соответствий'!A$2:D$2981,3,FALSE),IF(VALUE(C405)=0,"ЭТАЖ НЕ ОПРЕДЕЛЕН. ПРИНЯТ ПО ДОПУЩЕНИЮ 1",VLOOKUP(C405,'Справочник соответствий'!A$2:D$2981,3,FALSE)))</f>
        <v>ЭТАЖ ЗАДАН ЧИСЛОМ</v>
      </c>
      <c r="M405" s="13" t="b">
        <f t="shared" si="43"/>
        <v>0</v>
      </c>
      <c r="N405" s="13">
        <f t="shared" si="44"/>
        <v>1</v>
      </c>
      <c r="O405" s="13" t="str">
        <f t="shared" si="45"/>
        <v>ЭТАЖ ЗАДАН ЧИСЛОМ</v>
      </c>
      <c r="P405" s="13" t="str">
        <f t="shared" si="46"/>
        <v>ЭТАЖ ЗАДАН ЧИСЛОМ</v>
      </c>
      <c r="Q405" s="13" t="str">
        <f t="shared" si="47"/>
        <v>ГОТОВ_ИЗМЕНЕН</v>
      </c>
      <c r="R405" s="13">
        <f>IFERROR(VLOOKUP(P405,Лист1!A$1:B$20,2,FALSE),0)</f>
        <v>784</v>
      </c>
      <c r="S405" s="13">
        <f t="shared" si="48"/>
        <v>0</v>
      </c>
    </row>
    <row r="406" spans="1:19" x14ac:dyDescent="0.25">
      <c r="A406" s="24" t="s">
        <v>1509</v>
      </c>
      <c r="B406" s="4" t="s">
        <v>1059</v>
      </c>
      <c r="C406" s="25" t="s">
        <v>5</v>
      </c>
      <c r="G406" s="25" t="s">
        <v>1083</v>
      </c>
      <c r="H406" s="24" t="s">
        <v>1061</v>
      </c>
      <c r="I406" s="3" t="str">
        <f>IFERROR(VLOOKUP(C406,'Справочник соответствий'!A$2:D$2981,2,FALSE),IF(VALUE(C406)=0,1,VLOOKUP(C406,'Справочник соответствий'!A$2:D$2981,2,FALSE)))</f>
        <v>1</v>
      </c>
      <c r="J406" s="3">
        <f>IFERROR(VLOOKUP(D406,'Справочник соответствий'!A$2:D$2981,2,FALSE),IF(VALUE(D406)=0,0,VLOOKUP(D406,'Справочник соответствий'!A$2:D$2981,2,FALSE)))</f>
        <v>0</v>
      </c>
      <c r="K406" s="3" t="str">
        <f t="shared" si="42"/>
        <v>1</v>
      </c>
      <c r="L406" s="13" t="str">
        <f>IFERROR(VLOOKUP(C406,'Справочник соответствий'!A$2:D$2981,3,FALSE),IF(VALUE(C406)=0,"ЭТАЖ НЕ ОПРЕДЕЛЕН. ПРИНЯТ ПО ДОПУЩЕНИЮ 1",VLOOKUP(C406,'Справочник соответствий'!A$2:D$2981,3,FALSE)))</f>
        <v>ЭТАЖ ЗАДАН ЧИСЛОМ</v>
      </c>
      <c r="M406" s="13" t="b">
        <f t="shared" si="43"/>
        <v>0</v>
      </c>
      <c r="N406" s="13">
        <f t="shared" si="44"/>
        <v>1</v>
      </c>
      <c r="O406" s="13" t="str">
        <f t="shared" si="45"/>
        <v>ЭТАЖ ЗАДАН ЧИСЛОМ</v>
      </c>
      <c r="P406" s="13" t="str">
        <f t="shared" si="46"/>
        <v>ЭТАЖ ЗАДАН ЧИСЛОМ</v>
      </c>
      <c r="Q406" s="13" t="str">
        <f t="shared" si="47"/>
        <v>ГОТОВ_ИЗМЕНЕН</v>
      </c>
      <c r="R406" s="13">
        <f>IFERROR(VLOOKUP(P406,Лист1!A$1:B$20,2,FALSE),0)</f>
        <v>784</v>
      </c>
      <c r="S406" s="13">
        <f t="shared" si="48"/>
        <v>0</v>
      </c>
    </row>
    <row r="407" spans="1:19" x14ac:dyDescent="0.25">
      <c r="A407" s="24" t="s">
        <v>1510</v>
      </c>
      <c r="B407" s="4" t="s">
        <v>1059</v>
      </c>
      <c r="C407" s="25" t="s">
        <v>5</v>
      </c>
      <c r="G407" s="25" t="s">
        <v>1083</v>
      </c>
      <c r="H407" s="24" t="s">
        <v>1061</v>
      </c>
      <c r="I407" s="3" t="str">
        <f>IFERROR(VLOOKUP(C407,'Справочник соответствий'!A$2:D$2981,2,FALSE),IF(VALUE(C407)=0,1,VLOOKUP(C407,'Справочник соответствий'!A$2:D$2981,2,FALSE)))</f>
        <v>1</v>
      </c>
      <c r="J407" s="3">
        <f>IFERROR(VLOOKUP(D407,'Справочник соответствий'!A$2:D$2981,2,FALSE),IF(VALUE(D407)=0,0,VLOOKUP(D407,'Справочник соответствий'!A$2:D$2981,2,FALSE)))</f>
        <v>0</v>
      </c>
      <c r="K407" s="3" t="str">
        <f t="shared" si="42"/>
        <v>1</v>
      </c>
      <c r="L407" s="13" t="str">
        <f>IFERROR(VLOOKUP(C407,'Справочник соответствий'!A$2:D$2981,3,FALSE),IF(VALUE(C407)=0,"ЭТАЖ НЕ ОПРЕДЕЛЕН. ПРИНЯТ ПО ДОПУЩЕНИЮ 1",VLOOKUP(C407,'Справочник соответствий'!A$2:D$2981,3,FALSE)))</f>
        <v>ЭТАЖ ЗАДАН ЧИСЛОМ</v>
      </c>
      <c r="M407" s="13" t="b">
        <f t="shared" si="43"/>
        <v>0</v>
      </c>
      <c r="N407" s="13">
        <f t="shared" si="44"/>
        <v>1</v>
      </c>
      <c r="O407" s="13" t="str">
        <f t="shared" si="45"/>
        <v>ЭТАЖ ЗАДАН ЧИСЛОМ</v>
      </c>
      <c r="P407" s="13" t="str">
        <f t="shared" si="46"/>
        <v>ЭТАЖ ЗАДАН ЧИСЛОМ</v>
      </c>
      <c r="Q407" s="13" t="str">
        <f t="shared" si="47"/>
        <v>ГОТОВ_ИЗМЕНЕН</v>
      </c>
      <c r="R407" s="13">
        <f>IFERROR(VLOOKUP(P407,Лист1!A$1:B$20,2,FALSE),0)</f>
        <v>784</v>
      </c>
      <c r="S407" s="13">
        <f t="shared" si="48"/>
        <v>0</v>
      </c>
    </row>
    <row r="408" spans="1:19" x14ac:dyDescent="0.25">
      <c r="A408" s="24" t="s">
        <v>1511</v>
      </c>
      <c r="B408" s="4" t="s">
        <v>1063</v>
      </c>
      <c r="C408" s="25" t="s">
        <v>29</v>
      </c>
      <c r="G408" s="25" t="s">
        <v>1083</v>
      </c>
      <c r="H408" s="24" t="s">
        <v>1061</v>
      </c>
      <c r="I408" s="3" t="str">
        <f>IFERROR(VLOOKUP(C408,'Справочник соответствий'!A$2:D$2981,2,FALSE),IF(VALUE(C408)=0,1,VLOOKUP(C408,'Справочник соответствий'!A$2:D$2981,2,FALSE)))</f>
        <v>3</v>
      </c>
      <c r="J408" s="3">
        <f>IFERROR(VLOOKUP(D408,'Справочник соответствий'!A$2:D$2981,2,FALSE),IF(VALUE(D408)=0,0,VLOOKUP(D408,'Справочник соответствий'!A$2:D$2981,2,FALSE)))</f>
        <v>0</v>
      </c>
      <c r="K408" s="3" t="str">
        <f t="shared" si="42"/>
        <v>3</v>
      </c>
      <c r="L408" s="13" t="str">
        <f>IFERROR(VLOOKUP(C408,'Справочник соответствий'!A$2:D$2981,3,FALSE),IF(VALUE(C408)=0,"ЭТАЖ НЕ ОПРЕДЕЛЕН. ПРИНЯТ ПО ДОПУЩЕНИЮ 1",VLOOKUP(C408,'Справочник соответствий'!A$2:D$2981,3,FALSE)))</f>
        <v>СПРАВОЧНИК ЭТАЖНОСТИ</v>
      </c>
      <c r="M408" s="13" t="b">
        <f t="shared" si="43"/>
        <v>0</v>
      </c>
      <c r="N408" s="13">
        <f t="shared" si="44"/>
        <v>3</v>
      </c>
      <c r="O408" s="13" t="str">
        <f t="shared" si="45"/>
        <v>СПРАВОЧНИК ЭТАЖНОСТИ</v>
      </c>
      <c r="P408" s="13" t="str">
        <f t="shared" si="46"/>
        <v>СПРАВОЧНИК ЭТАЖНОСТИ</v>
      </c>
      <c r="Q408" s="13" t="str">
        <f t="shared" si="47"/>
        <v>ГОТОВ_ИЗМЕНЕН</v>
      </c>
      <c r="R408" s="13">
        <f>IFERROR(VLOOKUP(P408,Лист1!A$1:B$20,2,FALSE),0)</f>
        <v>785</v>
      </c>
      <c r="S408" s="13">
        <f t="shared" si="48"/>
        <v>0</v>
      </c>
    </row>
    <row r="409" spans="1:19" x14ac:dyDescent="0.25">
      <c r="A409" s="24" t="s">
        <v>1512</v>
      </c>
      <c r="B409" s="4" t="s">
        <v>1063</v>
      </c>
      <c r="G409" s="25" t="s">
        <v>1083</v>
      </c>
      <c r="H409" s="24" t="s">
        <v>1061</v>
      </c>
      <c r="I409" s="3">
        <f>IFERROR(VLOOKUP(C409,'Справочник соответствий'!A$2:D$2981,2,FALSE),IF(VALUE(C409)=0,1,VLOOKUP(C409,'Справочник соответствий'!A$2:D$2981,2,FALSE)))</f>
        <v>1</v>
      </c>
      <c r="J409" s="3">
        <f>IFERROR(VLOOKUP(D409,'Справочник соответствий'!A$2:D$2981,2,FALSE),IF(VALUE(D409)=0,0,VLOOKUP(D409,'Справочник соответствий'!A$2:D$2981,2,FALSE)))</f>
        <v>0</v>
      </c>
      <c r="K409" s="3">
        <f t="shared" si="42"/>
        <v>1</v>
      </c>
      <c r="L409" s="13" t="str">
        <f>IFERROR(VLOOKUP(C409,'Справочник соответствий'!A$2:D$2981,3,FALSE),IF(VALUE(C409)=0,"ЭТАЖ НЕ ОПРЕДЕЛЕН. ПРИНЯТ ПО ДОПУЩЕНИЮ 1",VLOOKUP(C409,'Справочник соответствий'!A$2:D$2981,3,FALSE)))</f>
        <v>ЭТАЖ НЕ ОПРЕДЕЛЕН. ПРИНЯТ ПО ДОПУЩЕНИЮ 1</v>
      </c>
      <c r="M409" s="13" t="b">
        <f t="shared" si="43"/>
        <v>0</v>
      </c>
      <c r="N409" s="13">
        <f t="shared" si="44"/>
        <v>1</v>
      </c>
      <c r="O409" s="13" t="str">
        <f t="shared" si="45"/>
        <v>ЭТАЖ НЕ ОПРЕДЕЛЕН. ПРИНЯТ ПО ДОПУЩЕНИЮ 1</v>
      </c>
      <c r="P409" s="13" t="str">
        <f t="shared" si="46"/>
        <v>ЭТАЖ НЕ ОПРЕДЕЛЕН. ПРИНЯТ ПО ДОПУЩЕНИЮ 1</v>
      </c>
      <c r="Q409" s="13" t="str">
        <f t="shared" si="47"/>
        <v>ГОТОВ_ИЗМЕНЕН</v>
      </c>
      <c r="R409" s="13">
        <f>IFERROR(VLOOKUP(P409,Лист1!A$1:B$20,2,FALSE),0)</f>
        <v>788</v>
      </c>
      <c r="S409" s="13">
        <f t="shared" si="48"/>
        <v>0</v>
      </c>
    </row>
    <row r="410" spans="1:19" x14ac:dyDescent="0.25">
      <c r="A410" s="24" t="s">
        <v>1513</v>
      </c>
      <c r="B410" s="4" t="s">
        <v>1063</v>
      </c>
      <c r="G410" s="25" t="s">
        <v>1083</v>
      </c>
      <c r="H410" s="24" t="s">
        <v>1061</v>
      </c>
      <c r="I410" s="3">
        <f>IFERROR(VLOOKUP(C410,'Справочник соответствий'!A$2:D$2981,2,FALSE),IF(VALUE(C410)=0,1,VLOOKUP(C410,'Справочник соответствий'!A$2:D$2981,2,FALSE)))</f>
        <v>1</v>
      </c>
      <c r="J410" s="3">
        <f>IFERROR(VLOOKUP(D410,'Справочник соответствий'!A$2:D$2981,2,FALSE),IF(VALUE(D410)=0,0,VLOOKUP(D410,'Справочник соответствий'!A$2:D$2981,2,FALSE)))</f>
        <v>0</v>
      </c>
      <c r="K410" s="3">
        <f t="shared" si="42"/>
        <v>1</v>
      </c>
      <c r="L410" s="13" t="str">
        <f>IFERROR(VLOOKUP(C410,'Справочник соответствий'!A$2:D$2981,3,FALSE),IF(VALUE(C410)=0,"ЭТАЖ НЕ ОПРЕДЕЛЕН. ПРИНЯТ ПО ДОПУЩЕНИЮ 1",VLOOKUP(C410,'Справочник соответствий'!A$2:D$2981,3,FALSE)))</f>
        <v>ЭТАЖ НЕ ОПРЕДЕЛЕН. ПРИНЯТ ПО ДОПУЩЕНИЮ 1</v>
      </c>
      <c r="M410" s="13" t="b">
        <f t="shared" si="43"/>
        <v>0</v>
      </c>
      <c r="N410" s="13">
        <f t="shared" si="44"/>
        <v>1</v>
      </c>
      <c r="O410" s="13" t="str">
        <f t="shared" si="45"/>
        <v>ЭТАЖ НЕ ОПРЕДЕЛЕН. ПРИНЯТ ПО ДОПУЩЕНИЮ 1</v>
      </c>
      <c r="P410" s="13" t="str">
        <f t="shared" si="46"/>
        <v>ЭТАЖ НЕ ОПРЕДЕЛЕН. ПРИНЯТ ПО ДОПУЩЕНИЮ 1</v>
      </c>
      <c r="Q410" s="13" t="str">
        <f t="shared" si="47"/>
        <v>ГОТОВ_ИЗМЕНЕН</v>
      </c>
      <c r="R410" s="13">
        <f>IFERROR(VLOOKUP(P410,Лист1!A$1:B$20,2,FALSE),0)</f>
        <v>788</v>
      </c>
      <c r="S410" s="13">
        <f t="shared" si="48"/>
        <v>0</v>
      </c>
    </row>
    <row r="411" spans="1:19" x14ac:dyDescent="0.25">
      <c r="A411" s="24" t="s">
        <v>1514</v>
      </c>
      <c r="B411" s="4" t="s">
        <v>1059</v>
      </c>
      <c r="C411" s="25" t="s">
        <v>7</v>
      </c>
      <c r="G411" s="25" t="s">
        <v>1083</v>
      </c>
      <c r="H411" s="24" t="s">
        <v>1061</v>
      </c>
      <c r="I411" s="3" t="str">
        <f>IFERROR(VLOOKUP(C411,'Справочник соответствий'!A$2:D$2981,2,FALSE),IF(VALUE(C411)=0,1,VLOOKUP(C411,'Справочник соответствий'!A$2:D$2981,2,FALSE)))</f>
        <v>2</v>
      </c>
      <c r="J411" s="3">
        <f>IFERROR(VLOOKUP(D411,'Справочник соответствий'!A$2:D$2981,2,FALSE),IF(VALUE(D411)=0,0,VLOOKUP(D411,'Справочник соответствий'!A$2:D$2981,2,FALSE)))</f>
        <v>0</v>
      </c>
      <c r="K411" s="3" t="str">
        <f t="shared" si="42"/>
        <v>2</v>
      </c>
      <c r="L411" s="13" t="str">
        <f>IFERROR(VLOOKUP(C411,'Справочник соответствий'!A$2:D$2981,3,FALSE),IF(VALUE(C411)=0,"ЭТАЖ НЕ ОПРЕДЕЛЕН. ПРИНЯТ ПО ДОПУЩЕНИЮ 1",VLOOKUP(C411,'Справочник соответствий'!A$2:D$2981,3,FALSE)))</f>
        <v>ЭТАЖ ЗАДАН ЧИСЛОМ</v>
      </c>
      <c r="M411" s="13" t="b">
        <f t="shared" si="43"/>
        <v>0</v>
      </c>
      <c r="N411" s="13">
        <f t="shared" si="44"/>
        <v>2</v>
      </c>
      <c r="O411" s="13" t="str">
        <f t="shared" si="45"/>
        <v>ЭТАЖ ЗАДАН ЧИСЛОМ</v>
      </c>
      <c r="P411" s="13" t="str">
        <f t="shared" si="46"/>
        <v>ЭТАЖ ЗАДАН ЧИСЛОМ</v>
      </c>
      <c r="Q411" s="13" t="str">
        <f t="shared" si="47"/>
        <v>ГОТОВ_ИЗМЕНЕН</v>
      </c>
      <c r="R411" s="13">
        <f>IFERROR(VLOOKUP(P411,Лист1!A$1:B$20,2,FALSE),0)</f>
        <v>784</v>
      </c>
      <c r="S411" s="13">
        <f t="shared" si="48"/>
        <v>0</v>
      </c>
    </row>
    <row r="412" spans="1:19" x14ac:dyDescent="0.25">
      <c r="A412" s="24" t="s">
        <v>1515</v>
      </c>
      <c r="B412" s="4" t="s">
        <v>1031</v>
      </c>
      <c r="C412" s="25" t="s">
        <v>5</v>
      </c>
      <c r="E412" s="3">
        <v>1</v>
      </c>
      <c r="F412" s="24" t="s">
        <v>1516</v>
      </c>
      <c r="G412" s="25" t="s">
        <v>1075</v>
      </c>
      <c r="H412" s="24" t="s">
        <v>1061</v>
      </c>
      <c r="I412" s="3" t="str">
        <f>IFERROR(VLOOKUP(C412,'Справочник соответствий'!A$2:D$2981,2,FALSE),IF(VALUE(C412)=0,1,VLOOKUP(C412,'Справочник соответствий'!A$2:D$2981,2,FALSE)))</f>
        <v>1</v>
      </c>
      <c r="J412" s="3">
        <f>IFERROR(VLOOKUP(D412,'Справочник соответствий'!A$2:D$2981,2,FALSE),IF(VALUE(D412)=0,0,VLOOKUP(D412,'Справочник соответствий'!A$2:D$2981,2,FALSE)))</f>
        <v>0</v>
      </c>
      <c r="K412" s="3">
        <f t="shared" si="42"/>
        <v>1</v>
      </c>
      <c r="L412" s="13" t="str">
        <f>IFERROR(VLOOKUP(C412,'Справочник соответствий'!A$2:D$2981,3,FALSE),IF(VALUE(C412)=0,"ЭТАЖ НЕ ОПРЕДЕЛЕН. ПРИНЯТ ПО ДОПУЩЕНИЮ 1",VLOOKUP(C412,'Справочник соответствий'!A$2:D$2981,3,FALSE)))</f>
        <v>ЭТАЖ ЗАДАН ЧИСЛОМ</v>
      </c>
      <c r="M412" s="13" t="b">
        <f t="shared" si="43"/>
        <v>0</v>
      </c>
      <c r="N412" s="13">
        <f t="shared" si="44"/>
        <v>1</v>
      </c>
      <c r="O412" s="13" t="str">
        <f t="shared" si="45"/>
        <v>ЭТАЖ ЗАДАН ЧИСЛОМ</v>
      </c>
      <c r="P412" s="13" t="str">
        <f t="shared" si="46"/>
        <v>МКД_ЭТАЖ ЗАДАН ЧИСЛОМ</v>
      </c>
      <c r="Q412" s="13" t="str">
        <f t="shared" si="47"/>
        <v>ГОТОВ</v>
      </c>
      <c r="R412" s="13">
        <f>IFERROR(VLOOKUP(P412,Лист1!A$1:B$20,2,FALSE),0)</f>
        <v>786</v>
      </c>
      <c r="S412" s="13">
        <f t="shared" si="48"/>
        <v>1</v>
      </c>
    </row>
    <row r="413" spans="1:19" x14ac:dyDescent="0.25">
      <c r="A413" s="24" t="s">
        <v>1517</v>
      </c>
      <c r="B413" s="4" t="s">
        <v>1031</v>
      </c>
      <c r="C413" s="25" t="s">
        <v>7</v>
      </c>
      <c r="E413" s="3">
        <v>2</v>
      </c>
      <c r="F413" s="24" t="s">
        <v>1074</v>
      </c>
      <c r="G413" s="25" t="s">
        <v>1075</v>
      </c>
      <c r="H413" s="24" t="s">
        <v>1061</v>
      </c>
      <c r="I413" s="3" t="str">
        <f>IFERROR(VLOOKUP(C413,'Справочник соответствий'!A$2:D$2981,2,FALSE),IF(VALUE(C413)=0,1,VLOOKUP(C413,'Справочник соответствий'!A$2:D$2981,2,FALSE)))</f>
        <v>2</v>
      </c>
      <c r="J413" s="3">
        <f>IFERROR(VLOOKUP(D413,'Справочник соответствий'!A$2:D$2981,2,FALSE),IF(VALUE(D413)=0,0,VLOOKUP(D413,'Справочник соответствий'!A$2:D$2981,2,FALSE)))</f>
        <v>0</v>
      </c>
      <c r="K413" s="3">
        <f t="shared" si="42"/>
        <v>2</v>
      </c>
      <c r="L413" s="13" t="str">
        <f>IFERROR(VLOOKUP(C413,'Справочник соответствий'!A$2:D$2981,3,FALSE),IF(VALUE(C413)=0,"ЭТАЖ НЕ ОПРЕДЕЛЕН. ПРИНЯТ ПО ДОПУЩЕНИЮ 1",VLOOKUP(C413,'Справочник соответствий'!A$2:D$2981,3,FALSE)))</f>
        <v>ЭТАЖ ЗАДАН ЧИСЛОМ</v>
      </c>
      <c r="M413" s="13" t="b">
        <f t="shared" si="43"/>
        <v>0</v>
      </c>
      <c r="N413" s="13">
        <f t="shared" si="44"/>
        <v>2</v>
      </c>
      <c r="O413" s="13" t="str">
        <f t="shared" si="45"/>
        <v>ЭТАЖ ЗАДАН ЧИСЛОМ</v>
      </c>
      <c r="P413" s="13" t="str">
        <f t="shared" si="46"/>
        <v>МКД_ЭТАЖ ЗАДАН ЧИСЛОМ</v>
      </c>
      <c r="Q413" s="13" t="str">
        <f t="shared" si="47"/>
        <v>ГОТОВ</v>
      </c>
      <c r="R413" s="13">
        <f>IFERROR(VLOOKUP(P413,Лист1!A$1:B$20,2,FALSE),0)</f>
        <v>786</v>
      </c>
      <c r="S413" s="13">
        <f t="shared" si="48"/>
        <v>2</v>
      </c>
    </row>
    <row r="414" spans="1:19" x14ac:dyDescent="0.25">
      <c r="A414" s="24" t="s">
        <v>1518</v>
      </c>
      <c r="B414" s="4" t="s">
        <v>1059</v>
      </c>
      <c r="C414" s="25" t="s">
        <v>5</v>
      </c>
      <c r="E414" s="3">
        <v>1</v>
      </c>
      <c r="F414" s="24" t="s">
        <v>1045</v>
      </c>
      <c r="G414" s="25" t="s">
        <v>1174</v>
      </c>
      <c r="H414" s="24" t="s">
        <v>1061</v>
      </c>
      <c r="I414" s="3" t="str">
        <f>IFERROR(VLOOKUP(C414,'Справочник соответствий'!A$2:D$2981,2,FALSE),IF(VALUE(C414)=0,1,VLOOKUP(C414,'Справочник соответствий'!A$2:D$2981,2,FALSE)))</f>
        <v>1</v>
      </c>
      <c r="J414" s="3">
        <f>IFERROR(VLOOKUP(D414,'Справочник соответствий'!A$2:D$2981,2,FALSE),IF(VALUE(D414)=0,0,VLOOKUP(D414,'Справочник соответствий'!A$2:D$2981,2,FALSE)))</f>
        <v>0</v>
      </c>
      <c r="K414" s="3" t="str">
        <f t="shared" si="42"/>
        <v>1</v>
      </c>
      <c r="L414" s="13" t="str">
        <f>IFERROR(VLOOKUP(C414,'Справочник соответствий'!A$2:D$2981,3,FALSE),IF(VALUE(C414)=0,"ЭТАЖ НЕ ОПРЕДЕЛЕН. ПРИНЯТ ПО ДОПУЩЕНИЮ 1",VLOOKUP(C414,'Справочник соответствий'!A$2:D$2981,3,FALSE)))</f>
        <v>ЭТАЖ ЗАДАН ЧИСЛОМ</v>
      </c>
      <c r="M414" s="13" t="b">
        <f t="shared" si="43"/>
        <v>0</v>
      </c>
      <c r="N414" s="13">
        <f t="shared" si="44"/>
        <v>1</v>
      </c>
      <c r="O414" s="13" t="str">
        <f t="shared" si="45"/>
        <v>ЭТАЖ ЗАДАН ЧИСЛОМ</v>
      </c>
      <c r="P414" s="13" t="str">
        <f t="shared" si="46"/>
        <v>ЭТАЖ ЗАДАН ЧИСЛОМ</v>
      </c>
      <c r="Q414" s="13" t="str">
        <f t="shared" si="47"/>
        <v>ГОТОВ</v>
      </c>
      <c r="R414" s="13">
        <f>IFERROR(VLOOKUP(P414,Лист1!A$1:B$20,2,FALSE),0)</f>
        <v>784</v>
      </c>
      <c r="S414" s="13">
        <f t="shared" si="48"/>
        <v>1</v>
      </c>
    </row>
    <row r="415" spans="1:19" x14ac:dyDescent="0.25">
      <c r="A415" s="24" t="s">
        <v>1519</v>
      </c>
      <c r="B415" s="4" t="s">
        <v>1059</v>
      </c>
      <c r="C415" s="25" t="s">
        <v>7</v>
      </c>
      <c r="E415" s="3">
        <v>2</v>
      </c>
      <c r="F415" s="24" t="s">
        <v>1045</v>
      </c>
      <c r="G415" s="25" t="s">
        <v>1083</v>
      </c>
      <c r="H415" s="24" t="s">
        <v>1061</v>
      </c>
      <c r="I415" s="3" t="str">
        <f>IFERROR(VLOOKUP(C415,'Справочник соответствий'!A$2:D$2981,2,FALSE),IF(VALUE(C415)=0,1,VLOOKUP(C415,'Справочник соответствий'!A$2:D$2981,2,FALSE)))</f>
        <v>2</v>
      </c>
      <c r="J415" s="3">
        <f>IFERROR(VLOOKUP(D415,'Справочник соответствий'!A$2:D$2981,2,FALSE),IF(VALUE(D415)=0,0,VLOOKUP(D415,'Справочник соответствий'!A$2:D$2981,2,FALSE)))</f>
        <v>0</v>
      </c>
      <c r="K415" s="3" t="str">
        <f t="shared" si="42"/>
        <v>2</v>
      </c>
      <c r="L415" s="13" t="str">
        <f>IFERROR(VLOOKUP(C415,'Справочник соответствий'!A$2:D$2981,3,FALSE),IF(VALUE(C415)=0,"ЭТАЖ НЕ ОПРЕДЕЛЕН. ПРИНЯТ ПО ДОПУЩЕНИЮ 1",VLOOKUP(C415,'Справочник соответствий'!A$2:D$2981,3,FALSE)))</f>
        <v>ЭТАЖ ЗАДАН ЧИСЛОМ</v>
      </c>
      <c r="M415" s="13" t="b">
        <f t="shared" si="43"/>
        <v>0</v>
      </c>
      <c r="N415" s="13">
        <f t="shared" si="44"/>
        <v>2</v>
      </c>
      <c r="O415" s="13" t="str">
        <f t="shared" si="45"/>
        <v>ЭТАЖ ЗАДАН ЧИСЛОМ</v>
      </c>
      <c r="P415" s="13" t="str">
        <f t="shared" si="46"/>
        <v>ЭТАЖ ЗАДАН ЧИСЛОМ</v>
      </c>
      <c r="Q415" s="13" t="str">
        <f t="shared" si="47"/>
        <v>ГОТОВ</v>
      </c>
      <c r="R415" s="13">
        <f>IFERROR(VLOOKUP(P415,Лист1!A$1:B$20,2,FALSE),0)</f>
        <v>784</v>
      </c>
      <c r="S415" s="13">
        <f t="shared" si="48"/>
        <v>2</v>
      </c>
    </row>
    <row r="416" spans="1:19" x14ac:dyDescent="0.25">
      <c r="A416" s="24" t="s">
        <v>1520</v>
      </c>
      <c r="B416" s="4" t="s">
        <v>1059</v>
      </c>
      <c r="C416" s="25" t="s">
        <v>5</v>
      </c>
      <c r="E416" s="3">
        <v>1</v>
      </c>
      <c r="F416" s="24" t="s">
        <v>1045</v>
      </c>
      <c r="G416" s="25" t="s">
        <v>1072</v>
      </c>
      <c r="H416" s="24" t="s">
        <v>1061</v>
      </c>
      <c r="I416" s="3" t="str">
        <f>IFERROR(VLOOKUP(C416,'Справочник соответствий'!A$2:D$2981,2,FALSE),IF(VALUE(C416)=0,1,VLOOKUP(C416,'Справочник соответствий'!A$2:D$2981,2,FALSE)))</f>
        <v>1</v>
      </c>
      <c r="J416" s="3">
        <f>IFERROR(VLOOKUP(D416,'Справочник соответствий'!A$2:D$2981,2,FALSE),IF(VALUE(D416)=0,0,VLOOKUP(D416,'Справочник соответствий'!A$2:D$2981,2,FALSE)))</f>
        <v>0</v>
      </c>
      <c r="K416" s="3" t="str">
        <f t="shared" si="42"/>
        <v>1</v>
      </c>
      <c r="L416" s="13" t="str">
        <f>IFERROR(VLOOKUP(C416,'Справочник соответствий'!A$2:D$2981,3,FALSE),IF(VALUE(C416)=0,"ЭТАЖ НЕ ОПРЕДЕЛЕН. ПРИНЯТ ПО ДОПУЩЕНИЮ 1",VLOOKUP(C416,'Справочник соответствий'!A$2:D$2981,3,FALSE)))</f>
        <v>ЭТАЖ ЗАДАН ЧИСЛОМ</v>
      </c>
      <c r="M416" s="13" t="b">
        <f t="shared" si="43"/>
        <v>0</v>
      </c>
      <c r="N416" s="13">
        <f t="shared" si="44"/>
        <v>1</v>
      </c>
      <c r="O416" s="13" t="str">
        <f t="shared" si="45"/>
        <v>ЭТАЖ ЗАДАН ЧИСЛОМ</v>
      </c>
      <c r="P416" s="13" t="str">
        <f t="shared" si="46"/>
        <v>ЭТАЖ ЗАДАН ЧИСЛОМ</v>
      </c>
      <c r="Q416" s="13" t="str">
        <f t="shared" si="47"/>
        <v>ГОТОВ</v>
      </c>
      <c r="R416" s="13">
        <f>IFERROR(VLOOKUP(P416,Лист1!A$1:B$20,2,FALSE),0)</f>
        <v>784</v>
      </c>
      <c r="S416" s="13">
        <f t="shared" si="48"/>
        <v>1</v>
      </c>
    </row>
    <row r="417" spans="1:19" x14ac:dyDescent="0.25">
      <c r="A417" s="24" t="s">
        <v>1521</v>
      </c>
      <c r="B417" s="4" t="s">
        <v>1059</v>
      </c>
      <c r="C417" s="25" t="s">
        <v>5</v>
      </c>
      <c r="E417" s="3">
        <v>1</v>
      </c>
      <c r="F417" s="24" t="s">
        <v>1045</v>
      </c>
      <c r="G417" s="25" t="s">
        <v>1072</v>
      </c>
      <c r="H417" s="24" t="s">
        <v>1061</v>
      </c>
      <c r="I417" s="3" t="str">
        <f>IFERROR(VLOOKUP(C417,'Справочник соответствий'!A$2:D$2981,2,FALSE),IF(VALUE(C417)=0,1,VLOOKUP(C417,'Справочник соответствий'!A$2:D$2981,2,FALSE)))</f>
        <v>1</v>
      </c>
      <c r="J417" s="3">
        <f>IFERROR(VLOOKUP(D417,'Справочник соответствий'!A$2:D$2981,2,FALSE),IF(VALUE(D417)=0,0,VLOOKUP(D417,'Справочник соответствий'!A$2:D$2981,2,FALSE)))</f>
        <v>0</v>
      </c>
      <c r="K417" s="3" t="str">
        <f t="shared" si="42"/>
        <v>1</v>
      </c>
      <c r="L417" s="13" t="str">
        <f>IFERROR(VLOOKUP(C417,'Справочник соответствий'!A$2:D$2981,3,FALSE),IF(VALUE(C417)=0,"ЭТАЖ НЕ ОПРЕДЕЛЕН. ПРИНЯТ ПО ДОПУЩЕНИЮ 1",VLOOKUP(C417,'Справочник соответствий'!A$2:D$2981,3,FALSE)))</f>
        <v>ЭТАЖ ЗАДАН ЧИСЛОМ</v>
      </c>
      <c r="M417" s="13" t="b">
        <f t="shared" si="43"/>
        <v>0</v>
      </c>
      <c r="N417" s="13">
        <f t="shared" si="44"/>
        <v>1</v>
      </c>
      <c r="O417" s="13" t="str">
        <f t="shared" si="45"/>
        <v>ЭТАЖ ЗАДАН ЧИСЛОМ</v>
      </c>
      <c r="P417" s="13" t="str">
        <f t="shared" si="46"/>
        <v>ЭТАЖ ЗАДАН ЧИСЛОМ</v>
      </c>
      <c r="Q417" s="13" t="str">
        <f t="shared" si="47"/>
        <v>ГОТОВ</v>
      </c>
      <c r="R417" s="13">
        <f>IFERROR(VLOOKUP(P417,Лист1!A$1:B$20,2,FALSE),0)</f>
        <v>784</v>
      </c>
      <c r="S417" s="13">
        <f t="shared" si="48"/>
        <v>1</v>
      </c>
    </row>
    <row r="418" spans="1:19" x14ac:dyDescent="0.25">
      <c r="A418" s="24" t="s">
        <v>1522</v>
      </c>
      <c r="B418" s="4" t="s">
        <v>1059</v>
      </c>
      <c r="C418" s="25" t="s">
        <v>7</v>
      </c>
      <c r="E418" s="3">
        <v>2</v>
      </c>
      <c r="F418" s="24" t="s">
        <v>1523</v>
      </c>
      <c r="G418" s="25" t="s">
        <v>1089</v>
      </c>
      <c r="H418" s="24" t="s">
        <v>1061</v>
      </c>
      <c r="I418" s="3" t="str">
        <f>IFERROR(VLOOKUP(C418,'Справочник соответствий'!A$2:D$2981,2,FALSE),IF(VALUE(C418)=0,1,VLOOKUP(C418,'Справочник соответствий'!A$2:D$2981,2,FALSE)))</f>
        <v>2</v>
      </c>
      <c r="J418" s="3">
        <f>IFERROR(VLOOKUP(D418,'Справочник соответствий'!A$2:D$2981,2,FALSE),IF(VALUE(D418)=0,0,VLOOKUP(D418,'Справочник соответствий'!A$2:D$2981,2,FALSE)))</f>
        <v>0</v>
      </c>
      <c r="K418" s="3" t="str">
        <f t="shared" si="42"/>
        <v>2</v>
      </c>
      <c r="L418" s="13" t="str">
        <f>IFERROR(VLOOKUP(C418,'Справочник соответствий'!A$2:D$2981,3,FALSE),IF(VALUE(C418)=0,"ЭТАЖ НЕ ОПРЕДЕЛЕН. ПРИНЯТ ПО ДОПУЩЕНИЮ 1",VLOOKUP(C418,'Справочник соответствий'!A$2:D$2981,3,FALSE)))</f>
        <v>ЭТАЖ ЗАДАН ЧИСЛОМ</v>
      </c>
      <c r="M418" s="13" t="b">
        <f t="shared" si="43"/>
        <v>0</v>
      </c>
      <c r="N418" s="13">
        <f t="shared" si="44"/>
        <v>2</v>
      </c>
      <c r="O418" s="13" t="str">
        <f t="shared" si="45"/>
        <v>ЭТАЖ ЗАДАН ЧИСЛОМ</v>
      </c>
      <c r="P418" s="13" t="str">
        <f t="shared" si="46"/>
        <v>ЭТАЖ ЗАДАН ЧИСЛОМ</v>
      </c>
      <c r="Q418" s="13" t="str">
        <f t="shared" si="47"/>
        <v>ГОТОВ</v>
      </c>
      <c r="R418" s="13">
        <f>IFERROR(VLOOKUP(P418,Лист1!A$1:B$20,2,FALSE),0)</f>
        <v>784</v>
      </c>
      <c r="S418" s="13">
        <f t="shared" si="48"/>
        <v>2</v>
      </c>
    </row>
    <row r="419" spans="1:19" x14ac:dyDescent="0.25">
      <c r="A419" s="24" t="s">
        <v>1524</v>
      </c>
      <c r="B419" s="4" t="s">
        <v>1059</v>
      </c>
      <c r="C419" s="25" t="s">
        <v>5</v>
      </c>
      <c r="E419" s="3">
        <v>1</v>
      </c>
      <c r="F419" s="24" t="s">
        <v>1045</v>
      </c>
      <c r="G419" s="25" t="s">
        <v>1089</v>
      </c>
      <c r="H419" s="24" t="s">
        <v>1061</v>
      </c>
      <c r="I419" s="3" t="str">
        <f>IFERROR(VLOOKUP(C419,'Справочник соответствий'!A$2:D$2981,2,FALSE),IF(VALUE(C419)=0,1,VLOOKUP(C419,'Справочник соответствий'!A$2:D$2981,2,FALSE)))</f>
        <v>1</v>
      </c>
      <c r="J419" s="3">
        <f>IFERROR(VLOOKUP(D419,'Справочник соответствий'!A$2:D$2981,2,FALSE),IF(VALUE(D419)=0,0,VLOOKUP(D419,'Справочник соответствий'!A$2:D$2981,2,FALSE)))</f>
        <v>0</v>
      </c>
      <c r="K419" s="3" t="str">
        <f t="shared" si="42"/>
        <v>1</v>
      </c>
      <c r="L419" s="13" t="str">
        <f>IFERROR(VLOOKUP(C419,'Справочник соответствий'!A$2:D$2981,3,FALSE),IF(VALUE(C419)=0,"ЭТАЖ НЕ ОПРЕДЕЛЕН. ПРИНЯТ ПО ДОПУЩЕНИЮ 1",VLOOKUP(C419,'Справочник соответствий'!A$2:D$2981,3,FALSE)))</f>
        <v>ЭТАЖ ЗАДАН ЧИСЛОМ</v>
      </c>
      <c r="M419" s="13" t="b">
        <f t="shared" si="43"/>
        <v>0</v>
      </c>
      <c r="N419" s="13">
        <f t="shared" si="44"/>
        <v>1</v>
      </c>
      <c r="O419" s="13" t="str">
        <f t="shared" si="45"/>
        <v>ЭТАЖ ЗАДАН ЧИСЛОМ</v>
      </c>
      <c r="P419" s="13" t="str">
        <f t="shared" si="46"/>
        <v>ЭТАЖ ЗАДАН ЧИСЛОМ</v>
      </c>
      <c r="Q419" s="13" t="str">
        <f t="shared" si="47"/>
        <v>ГОТОВ</v>
      </c>
      <c r="R419" s="13">
        <f>IFERROR(VLOOKUP(P419,Лист1!A$1:B$20,2,FALSE),0)</f>
        <v>784</v>
      </c>
      <c r="S419" s="13">
        <f t="shared" si="48"/>
        <v>1</v>
      </c>
    </row>
    <row r="420" spans="1:19" x14ac:dyDescent="0.25">
      <c r="A420" s="24" t="s">
        <v>1525</v>
      </c>
      <c r="B420" s="4" t="s">
        <v>1031</v>
      </c>
      <c r="C420" s="25" t="s">
        <v>7</v>
      </c>
      <c r="E420" s="3">
        <v>2</v>
      </c>
      <c r="F420" s="24" t="s">
        <v>1074</v>
      </c>
      <c r="G420" s="25" t="s">
        <v>1096</v>
      </c>
      <c r="H420" s="24" t="s">
        <v>1061</v>
      </c>
      <c r="I420" s="3" t="str">
        <f>IFERROR(VLOOKUP(C420,'Справочник соответствий'!A$2:D$2981,2,FALSE),IF(VALUE(C420)=0,1,VLOOKUP(C420,'Справочник соответствий'!A$2:D$2981,2,FALSE)))</f>
        <v>2</v>
      </c>
      <c r="J420" s="3">
        <f>IFERROR(VLOOKUP(D420,'Справочник соответствий'!A$2:D$2981,2,FALSE),IF(VALUE(D420)=0,0,VLOOKUP(D420,'Справочник соответствий'!A$2:D$2981,2,FALSE)))</f>
        <v>0</v>
      </c>
      <c r="K420" s="3">
        <f t="shared" si="42"/>
        <v>2</v>
      </c>
      <c r="L420" s="13" t="str">
        <f>IFERROR(VLOOKUP(C420,'Справочник соответствий'!A$2:D$2981,3,FALSE),IF(VALUE(C420)=0,"ЭТАЖ НЕ ОПРЕДЕЛЕН. ПРИНЯТ ПО ДОПУЩЕНИЮ 1",VLOOKUP(C420,'Справочник соответствий'!A$2:D$2981,3,FALSE)))</f>
        <v>ЭТАЖ ЗАДАН ЧИСЛОМ</v>
      </c>
      <c r="M420" s="13" t="b">
        <f t="shared" si="43"/>
        <v>0</v>
      </c>
      <c r="N420" s="13">
        <f t="shared" si="44"/>
        <v>2</v>
      </c>
      <c r="O420" s="13" t="str">
        <f t="shared" si="45"/>
        <v>ЭТАЖ ЗАДАН ЧИСЛОМ</v>
      </c>
      <c r="P420" s="13" t="str">
        <f t="shared" si="46"/>
        <v>МКД_ЭТАЖ ЗАДАН ЧИСЛОМ</v>
      </c>
      <c r="Q420" s="13" t="str">
        <f t="shared" si="47"/>
        <v>ГОТОВ</v>
      </c>
      <c r="R420" s="13">
        <f>IFERROR(VLOOKUP(P420,Лист1!A$1:B$20,2,FALSE),0)</f>
        <v>786</v>
      </c>
      <c r="S420" s="13">
        <f t="shared" si="48"/>
        <v>2</v>
      </c>
    </row>
    <row r="421" spans="1:19" x14ac:dyDescent="0.25">
      <c r="A421" s="24" t="s">
        <v>1526</v>
      </c>
      <c r="B421" s="4" t="s">
        <v>1063</v>
      </c>
      <c r="C421" s="25" t="s">
        <v>5</v>
      </c>
      <c r="E421" s="3">
        <v>1</v>
      </c>
      <c r="F421" s="24" t="s">
        <v>1045</v>
      </c>
      <c r="G421" s="25" t="s">
        <v>1072</v>
      </c>
      <c r="H421" s="24" t="s">
        <v>1061</v>
      </c>
      <c r="I421" s="3" t="str">
        <f>IFERROR(VLOOKUP(C421,'Справочник соответствий'!A$2:D$2981,2,FALSE),IF(VALUE(C421)=0,1,VLOOKUP(C421,'Справочник соответствий'!A$2:D$2981,2,FALSE)))</f>
        <v>1</v>
      </c>
      <c r="J421" s="3">
        <f>IFERROR(VLOOKUP(D421,'Справочник соответствий'!A$2:D$2981,2,FALSE),IF(VALUE(D421)=0,0,VLOOKUP(D421,'Справочник соответствий'!A$2:D$2981,2,FALSE)))</f>
        <v>0</v>
      </c>
      <c r="K421" s="3" t="str">
        <f t="shared" si="42"/>
        <v>1</v>
      </c>
      <c r="L421" s="13" t="str">
        <f>IFERROR(VLOOKUP(C421,'Справочник соответствий'!A$2:D$2981,3,FALSE),IF(VALUE(C421)=0,"ЭТАЖ НЕ ОПРЕДЕЛЕН. ПРИНЯТ ПО ДОПУЩЕНИЮ 1",VLOOKUP(C421,'Справочник соответствий'!A$2:D$2981,3,FALSE)))</f>
        <v>ЭТАЖ ЗАДАН ЧИСЛОМ</v>
      </c>
      <c r="M421" s="13" t="b">
        <f t="shared" si="43"/>
        <v>0</v>
      </c>
      <c r="N421" s="13">
        <f t="shared" si="44"/>
        <v>1</v>
      </c>
      <c r="O421" s="13" t="str">
        <f t="shared" si="45"/>
        <v>ЭТАЖ ЗАДАН ЧИСЛОМ</v>
      </c>
      <c r="P421" s="13" t="str">
        <f t="shared" si="46"/>
        <v>ЭТАЖ ЗАДАН ЧИСЛОМ</v>
      </c>
      <c r="Q421" s="13" t="str">
        <f t="shared" si="47"/>
        <v>ГОТОВ</v>
      </c>
      <c r="R421" s="13">
        <f>IFERROR(VLOOKUP(P421,Лист1!A$1:B$20,2,FALSE),0)</f>
        <v>784</v>
      </c>
      <c r="S421" s="13">
        <f t="shared" si="48"/>
        <v>1</v>
      </c>
    </row>
    <row r="422" spans="1:19" x14ac:dyDescent="0.25">
      <c r="A422" s="24" t="s">
        <v>1527</v>
      </c>
      <c r="B422" s="4" t="s">
        <v>1063</v>
      </c>
      <c r="C422" s="25" t="s">
        <v>5</v>
      </c>
      <c r="E422" s="3">
        <v>1</v>
      </c>
      <c r="F422" s="24" t="s">
        <v>1045</v>
      </c>
      <c r="G422" s="25" t="s">
        <v>1089</v>
      </c>
      <c r="H422" s="24" t="s">
        <v>1061</v>
      </c>
      <c r="I422" s="3" t="str">
        <f>IFERROR(VLOOKUP(C422,'Справочник соответствий'!A$2:D$2981,2,FALSE),IF(VALUE(C422)=0,1,VLOOKUP(C422,'Справочник соответствий'!A$2:D$2981,2,FALSE)))</f>
        <v>1</v>
      </c>
      <c r="J422" s="3">
        <f>IFERROR(VLOOKUP(D422,'Справочник соответствий'!A$2:D$2981,2,FALSE),IF(VALUE(D422)=0,0,VLOOKUP(D422,'Справочник соответствий'!A$2:D$2981,2,FALSE)))</f>
        <v>0</v>
      </c>
      <c r="K422" s="3" t="str">
        <f t="shared" si="42"/>
        <v>1</v>
      </c>
      <c r="L422" s="13" t="str">
        <f>IFERROR(VLOOKUP(C422,'Справочник соответствий'!A$2:D$2981,3,FALSE),IF(VALUE(C422)=0,"ЭТАЖ НЕ ОПРЕДЕЛЕН. ПРИНЯТ ПО ДОПУЩЕНИЮ 1",VLOOKUP(C422,'Справочник соответствий'!A$2:D$2981,3,FALSE)))</f>
        <v>ЭТАЖ ЗАДАН ЧИСЛОМ</v>
      </c>
      <c r="M422" s="13" t="b">
        <f t="shared" si="43"/>
        <v>0</v>
      </c>
      <c r="N422" s="13">
        <f t="shared" si="44"/>
        <v>1</v>
      </c>
      <c r="O422" s="13" t="str">
        <f t="shared" si="45"/>
        <v>ЭТАЖ ЗАДАН ЧИСЛОМ</v>
      </c>
      <c r="P422" s="13" t="str">
        <f t="shared" si="46"/>
        <v>ЭТАЖ ЗАДАН ЧИСЛОМ</v>
      </c>
      <c r="Q422" s="13" t="str">
        <f t="shared" si="47"/>
        <v>ГОТОВ</v>
      </c>
      <c r="R422" s="13">
        <f>IFERROR(VLOOKUP(P422,Лист1!A$1:B$20,2,FALSE),0)</f>
        <v>784</v>
      </c>
      <c r="S422" s="13">
        <f t="shared" si="48"/>
        <v>1</v>
      </c>
    </row>
    <row r="423" spans="1:19" x14ac:dyDescent="0.25">
      <c r="A423" s="24" t="s">
        <v>1528</v>
      </c>
      <c r="B423" s="4" t="s">
        <v>1063</v>
      </c>
      <c r="C423" s="25" t="s">
        <v>5</v>
      </c>
      <c r="E423" s="3">
        <v>1</v>
      </c>
      <c r="F423" s="24" t="s">
        <v>1045</v>
      </c>
      <c r="G423" s="25" t="s">
        <v>1089</v>
      </c>
      <c r="H423" s="24" t="s">
        <v>1061</v>
      </c>
      <c r="I423" s="3" t="str">
        <f>IFERROR(VLOOKUP(C423,'Справочник соответствий'!A$2:D$2981,2,FALSE),IF(VALUE(C423)=0,1,VLOOKUP(C423,'Справочник соответствий'!A$2:D$2981,2,FALSE)))</f>
        <v>1</v>
      </c>
      <c r="J423" s="3">
        <f>IFERROR(VLOOKUP(D423,'Справочник соответствий'!A$2:D$2981,2,FALSE),IF(VALUE(D423)=0,0,VLOOKUP(D423,'Справочник соответствий'!A$2:D$2981,2,FALSE)))</f>
        <v>0</v>
      </c>
      <c r="K423" s="3" t="str">
        <f t="shared" si="42"/>
        <v>1</v>
      </c>
      <c r="L423" s="13" t="str">
        <f>IFERROR(VLOOKUP(C423,'Справочник соответствий'!A$2:D$2981,3,FALSE),IF(VALUE(C423)=0,"ЭТАЖ НЕ ОПРЕДЕЛЕН. ПРИНЯТ ПО ДОПУЩЕНИЮ 1",VLOOKUP(C423,'Справочник соответствий'!A$2:D$2981,3,FALSE)))</f>
        <v>ЭТАЖ ЗАДАН ЧИСЛОМ</v>
      </c>
      <c r="M423" s="13" t="b">
        <f t="shared" si="43"/>
        <v>0</v>
      </c>
      <c r="N423" s="13">
        <f t="shared" si="44"/>
        <v>1</v>
      </c>
      <c r="O423" s="13" t="str">
        <f t="shared" si="45"/>
        <v>ЭТАЖ ЗАДАН ЧИСЛОМ</v>
      </c>
      <c r="P423" s="13" t="str">
        <f t="shared" si="46"/>
        <v>ЭТАЖ ЗАДАН ЧИСЛОМ</v>
      </c>
      <c r="Q423" s="13" t="str">
        <f t="shared" si="47"/>
        <v>ГОТОВ</v>
      </c>
      <c r="R423" s="13">
        <f>IFERROR(VLOOKUP(P423,Лист1!A$1:B$20,2,FALSE),0)</f>
        <v>784</v>
      </c>
      <c r="S423" s="13">
        <f t="shared" si="48"/>
        <v>1</v>
      </c>
    </row>
    <row r="424" spans="1:19" x14ac:dyDescent="0.25">
      <c r="A424" s="24" t="s">
        <v>1529</v>
      </c>
      <c r="B424" s="4" t="s">
        <v>1059</v>
      </c>
      <c r="C424" s="25" t="s">
        <v>5</v>
      </c>
      <c r="E424" s="3">
        <v>1</v>
      </c>
      <c r="F424" s="24" t="s">
        <v>1045</v>
      </c>
      <c r="G424" s="25" t="s">
        <v>1072</v>
      </c>
      <c r="H424" s="24" t="s">
        <v>1061</v>
      </c>
      <c r="I424" s="3" t="str">
        <f>IFERROR(VLOOKUP(C424,'Справочник соответствий'!A$2:D$2981,2,FALSE),IF(VALUE(C424)=0,1,VLOOKUP(C424,'Справочник соответствий'!A$2:D$2981,2,FALSE)))</f>
        <v>1</v>
      </c>
      <c r="J424" s="3">
        <f>IFERROR(VLOOKUP(D424,'Справочник соответствий'!A$2:D$2981,2,FALSE),IF(VALUE(D424)=0,0,VLOOKUP(D424,'Справочник соответствий'!A$2:D$2981,2,FALSE)))</f>
        <v>0</v>
      </c>
      <c r="K424" s="3" t="str">
        <f t="shared" si="42"/>
        <v>1</v>
      </c>
      <c r="L424" s="13" t="str">
        <f>IFERROR(VLOOKUP(C424,'Справочник соответствий'!A$2:D$2981,3,FALSE),IF(VALUE(C424)=0,"ЭТАЖ НЕ ОПРЕДЕЛЕН. ПРИНЯТ ПО ДОПУЩЕНИЮ 1",VLOOKUP(C424,'Справочник соответствий'!A$2:D$2981,3,FALSE)))</f>
        <v>ЭТАЖ ЗАДАН ЧИСЛОМ</v>
      </c>
      <c r="M424" s="13" t="b">
        <f t="shared" si="43"/>
        <v>0</v>
      </c>
      <c r="N424" s="13">
        <f t="shared" si="44"/>
        <v>1</v>
      </c>
      <c r="O424" s="13" t="str">
        <f t="shared" si="45"/>
        <v>ЭТАЖ ЗАДАН ЧИСЛОМ</v>
      </c>
      <c r="P424" s="13" t="str">
        <f t="shared" si="46"/>
        <v>ЭТАЖ ЗАДАН ЧИСЛОМ</v>
      </c>
      <c r="Q424" s="13" t="str">
        <f t="shared" si="47"/>
        <v>ГОТОВ</v>
      </c>
      <c r="R424" s="13">
        <f>IFERROR(VLOOKUP(P424,Лист1!A$1:B$20,2,FALSE),0)</f>
        <v>784</v>
      </c>
      <c r="S424" s="13">
        <f t="shared" si="48"/>
        <v>1</v>
      </c>
    </row>
    <row r="425" spans="1:19" x14ac:dyDescent="0.25">
      <c r="A425" s="24" t="s">
        <v>1530</v>
      </c>
      <c r="B425" s="4" t="s">
        <v>1063</v>
      </c>
      <c r="C425" s="25" t="s">
        <v>5</v>
      </c>
      <c r="E425" s="3">
        <v>1</v>
      </c>
      <c r="F425" s="24" t="s">
        <v>1045</v>
      </c>
      <c r="G425" s="25" t="s">
        <v>1080</v>
      </c>
      <c r="H425" s="24" t="s">
        <v>1061</v>
      </c>
      <c r="I425" s="3" t="str">
        <f>IFERROR(VLOOKUP(C425,'Справочник соответствий'!A$2:D$2981,2,FALSE),IF(VALUE(C425)=0,1,VLOOKUP(C425,'Справочник соответствий'!A$2:D$2981,2,FALSE)))</f>
        <v>1</v>
      </c>
      <c r="J425" s="3">
        <f>IFERROR(VLOOKUP(D425,'Справочник соответствий'!A$2:D$2981,2,FALSE),IF(VALUE(D425)=0,0,VLOOKUP(D425,'Справочник соответствий'!A$2:D$2981,2,FALSE)))</f>
        <v>0</v>
      </c>
      <c r="K425" s="3" t="str">
        <f t="shared" si="42"/>
        <v>1</v>
      </c>
      <c r="L425" s="13" t="str">
        <f>IFERROR(VLOOKUP(C425,'Справочник соответствий'!A$2:D$2981,3,FALSE),IF(VALUE(C425)=0,"ЭТАЖ НЕ ОПРЕДЕЛЕН. ПРИНЯТ ПО ДОПУЩЕНИЮ 1",VLOOKUP(C425,'Справочник соответствий'!A$2:D$2981,3,FALSE)))</f>
        <v>ЭТАЖ ЗАДАН ЧИСЛОМ</v>
      </c>
      <c r="M425" s="13" t="b">
        <f t="shared" si="43"/>
        <v>0</v>
      </c>
      <c r="N425" s="13">
        <f t="shared" si="44"/>
        <v>1</v>
      </c>
      <c r="O425" s="13" t="str">
        <f t="shared" si="45"/>
        <v>ЭТАЖ ЗАДАН ЧИСЛОМ</v>
      </c>
      <c r="P425" s="13" t="str">
        <f t="shared" si="46"/>
        <v>ЭТАЖ ЗАДАН ЧИСЛОМ</v>
      </c>
      <c r="Q425" s="13" t="str">
        <f t="shared" si="47"/>
        <v>ГОТОВ</v>
      </c>
      <c r="R425" s="13">
        <f>IFERROR(VLOOKUP(P425,Лист1!A$1:B$20,2,FALSE),0)</f>
        <v>784</v>
      </c>
      <c r="S425" s="13">
        <f t="shared" si="48"/>
        <v>1</v>
      </c>
    </row>
    <row r="426" spans="1:19" x14ac:dyDescent="0.25">
      <c r="A426" s="24" t="s">
        <v>1531</v>
      </c>
      <c r="B426" s="4" t="s">
        <v>1063</v>
      </c>
      <c r="C426" s="25" t="s">
        <v>5</v>
      </c>
      <c r="E426" s="3">
        <v>1</v>
      </c>
      <c r="F426" s="24" t="s">
        <v>1045</v>
      </c>
      <c r="G426" s="25" t="s">
        <v>1114</v>
      </c>
      <c r="H426" s="24" t="s">
        <v>1061</v>
      </c>
      <c r="I426" s="3" t="str">
        <f>IFERROR(VLOOKUP(C426,'Справочник соответствий'!A$2:D$2981,2,FALSE),IF(VALUE(C426)=0,1,VLOOKUP(C426,'Справочник соответствий'!A$2:D$2981,2,FALSE)))</f>
        <v>1</v>
      </c>
      <c r="J426" s="3">
        <f>IFERROR(VLOOKUP(D426,'Справочник соответствий'!A$2:D$2981,2,FALSE),IF(VALUE(D426)=0,0,VLOOKUP(D426,'Справочник соответствий'!A$2:D$2981,2,FALSE)))</f>
        <v>0</v>
      </c>
      <c r="K426" s="3" t="str">
        <f t="shared" si="42"/>
        <v>1</v>
      </c>
      <c r="L426" s="13" t="str">
        <f>IFERROR(VLOOKUP(C426,'Справочник соответствий'!A$2:D$2981,3,FALSE),IF(VALUE(C426)=0,"ЭТАЖ НЕ ОПРЕДЕЛЕН. ПРИНЯТ ПО ДОПУЩЕНИЮ 1",VLOOKUP(C426,'Справочник соответствий'!A$2:D$2981,3,FALSE)))</f>
        <v>ЭТАЖ ЗАДАН ЧИСЛОМ</v>
      </c>
      <c r="M426" s="13" t="b">
        <f t="shared" si="43"/>
        <v>0</v>
      </c>
      <c r="N426" s="13">
        <f t="shared" si="44"/>
        <v>1</v>
      </c>
      <c r="O426" s="13" t="str">
        <f t="shared" si="45"/>
        <v>ЭТАЖ ЗАДАН ЧИСЛОМ</v>
      </c>
      <c r="P426" s="13" t="str">
        <f t="shared" si="46"/>
        <v>ЭТАЖ ЗАДАН ЧИСЛОМ</v>
      </c>
      <c r="Q426" s="13" t="str">
        <f t="shared" si="47"/>
        <v>ГОТОВ</v>
      </c>
      <c r="R426" s="13">
        <f>IFERROR(VLOOKUP(P426,Лист1!A$1:B$20,2,FALSE),0)</f>
        <v>784</v>
      </c>
      <c r="S426" s="13">
        <f t="shared" si="48"/>
        <v>1</v>
      </c>
    </row>
    <row r="427" spans="1:19" x14ac:dyDescent="0.25">
      <c r="A427" s="24" t="s">
        <v>1532</v>
      </c>
      <c r="B427" s="4" t="s">
        <v>1059</v>
      </c>
      <c r="C427" s="25" t="s">
        <v>5</v>
      </c>
      <c r="E427" s="3">
        <v>1</v>
      </c>
      <c r="F427" s="24" t="s">
        <v>1038</v>
      </c>
      <c r="G427" s="25" t="s">
        <v>1072</v>
      </c>
      <c r="H427" s="24" t="s">
        <v>1061</v>
      </c>
      <c r="I427" s="3" t="str">
        <f>IFERROR(VLOOKUP(C427,'Справочник соответствий'!A$2:D$2981,2,FALSE),IF(VALUE(C427)=0,1,VLOOKUP(C427,'Справочник соответствий'!A$2:D$2981,2,FALSE)))</f>
        <v>1</v>
      </c>
      <c r="J427" s="3">
        <f>IFERROR(VLOOKUP(D427,'Справочник соответствий'!A$2:D$2981,2,FALSE),IF(VALUE(D427)=0,0,VLOOKUP(D427,'Справочник соответствий'!A$2:D$2981,2,FALSE)))</f>
        <v>0</v>
      </c>
      <c r="K427" s="3" t="str">
        <f t="shared" si="42"/>
        <v>1</v>
      </c>
      <c r="L427" s="13" t="str">
        <f>IFERROR(VLOOKUP(C427,'Справочник соответствий'!A$2:D$2981,3,FALSE),IF(VALUE(C427)=0,"ЭТАЖ НЕ ОПРЕДЕЛЕН. ПРИНЯТ ПО ДОПУЩЕНИЮ 1",VLOOKUP(C427,'Справочник соответствий'!A$2:D$2981,3,FALSE)))</f>
        <v>ЭТАЖ ЗАДАН ЧИСЛОМ</v>
      </c>
      <c r="M427" s="13" t="b">
        <f t="shared" si="43"/>
        <v>0</v>
      </c>
      <c r="N427" s="13">
        <f t="shared" si="44"/>
        <v>1</v>
      </c>
      <c r="O427" s="13" t="str">
        <f t="shared" si="45"/>
        <v>ЭТАЖ ЗАДАН ЧИСЛОМ</v>
      </c>
      <c r="P427" s="13" t="str">
        <f t="shared" si="46"/>
        <v>ЭТАЖ ЗАДАН ЧИСЛОМ</v>
      </c>
      <c r="Q427" s="13" t="str">
        <f t="shared" si="47"/>
        <v>ГОТОВ</v>
      </c>
      <c r="R427" s="13">
        <f>IFERROR(VLOOKUP(P427,Лист1!A$1:B$20,2,FALSE),0)</f>
        <v>784</v>
      </c>
      <c r="S427" s="13">
        <f t="shared" si="48"/>
        <v>1</v>
      </c>
    </row>
    <row r="428" spans="1:19" x14ac:dyDescent="0.25">
      <c r="A428" s="24" t="s">
        <v>1533</v>
      </c>
      <c r="B428" s="4" t="s">
        <v>1059</v>
      </c>
      <c r="C428" s="25" t="s">
        <v>5</v>
      </c>
      <c r="E428" s="3">
        <v>1</v>
      </c>
      <c r="F428" s="24" t="s">
        <v>1045</v>
      </c>
      <c r="G428" s="25" t="s">
        <v>1080</v>
      </c>
      <c r="H428" s="24" t="s">
        <v>1061</v>
      </c>
      <c r="I428" s="3" t="str">
        <f>IFERROR(VLOOKUP(C428,'Справочник соответствий'!A$2:D$2981,2,FALSE),IF(VALUE(C428)=0,1,VLOOKUP(C428,'Справочник соответствий'!A$2:D$2981,2,FALSE)))</f>
        <v>1</v>
      </c>
      <c r="J428" s="3">
        <f>IFERROR(VLOOKUP(D428,'Справочник соответствий'!A$2:D$2981,2,FALSE),IF(VALUE(D428)=0,0,VLOOKUP(D428,'Справочник соответствий'!A$2:D$2981,2,FALSE)))</f>
        <v>0</v>
      </c>
      <c r="K428" s="3" t="str">
        <f t="shared" si="42"/>
        <v>1</v>
      </c>
      <c r="L428" s="13" t="str">
        <f>IFERROR(VLOOKUP(C428,'Справочник соответствий'!A$2:D$2981,3,FALSE),IF(VALUE(C428)=0,"ЭТАЖ НЕ ОПРЕДЕЛЕН. ПРИНЯТ ПО ДОПУЩЕНИЮ 1",VLOOKUP(C428,'Справочник соответствий'!A$2:D$2981,3,FALSE)))</f>
        <v>ЭТАЖ ЗАДАН ЧИСЛОМ</v>
      </c>
      <c r="M428" s="13" t="b">
        <f t="shared" si="43"/>
        <v>0</v>
      </c>
      <c r="N428" s="13">
        <f t="shared" si="44"/>
        <v>1</v>
      </c>
      <c r="O428" s="13" t="str">
        <f t="shared" si="45"/>
        <v>ЭТАЖ ЗАДАН ЧИСЛОМ</v>
      </c>
      <c r="P428" s="13" t="str">
        <f t="shared" si="46"/>
        <v>ЭТАЖ ЗАДАН ЧИСЛОМ</v>
      </c>
      <c r="Q428" s="13" t="str">
        <f t="shared" si="47"/>
        <v>ГОТОВ</v>
      </c>
      <c r="R428" s="13">
        <f>IFERROR(VLOOKUP(P428,Лист1!A$1:B$20,2,FALSE),0)</f>
        <v>784</v>
      </c>
      <c r="S428" s="13">
        <f t="shared" si="48"/>
        <v>1</v>
      </c>
    </row>
    <row r="429" spans="1:19" x14ac:dyDescent="0.25">
      <c r="A429" s="24" t="s">
        <v>1534</v>
      </c>
      <c r="B429" s="4" t="s">
        <v>1059</v>
      </c>
      <c r="E429" s="3">
        <v>1</v>
      </c>
      <c r="F429" s="24" t="s">
        <v>1045</v>
      </c>
      <c r="G429" s="25" t="s">
        <v>1064</v>
      </c>
      <c r="H429" s="24" t="s">
        <v>1061</v>
      </c>
      <c r="I429" s="3">
        <f>IFERROR(VLOOKUP(C429,'Справочник соответствий'!A$2:D$2981,2,FALSE),IF(VALUE(C429)=0,1,VLOOKUP(C429,'Справочник соответствий'!A$2:D$2981,2,FALSE)))</f>
        <v>1</v>
      </c>
      <c r="J429" s="3">
        <f>IFERROR(VLOOKUP(D429,'Справочник соответствий'!A$2:D$2981,2,FALSE),IF(VALUE(D429)=0,0,VLOOKUP(D429,'Справочник соответствий'!A$2:D$2981,2,FALSE)))</f>
        <v>0</v>
      </c>
      <c r="K429" s="3">
        <f t="shared" si="42"/>
        <v>1</v>
      </c>
      <c r="L429" s="13" t="str">
        <f>IFERROR(VLOOKUP(C429,'Справочник соответствий'!A$2:D$2981,3,FALSE),IF(VALUE(C429)=0,"ЭТАЖ НЕ ОПРЕДЕЛЕН. ПРИНЯТ ПО ДОПУЩЕНИЮ 1",VLOOKUP(C429,'Справочник соответствий'!A$2:D$2981,3,FALSE)))</f>
        <v>ЭТАЖ НЕ ОПРЕДЕЛЕН. ПРИНЯТ ПО ДОПУЩЕНИЮ 1</v>
      </c>
      <c r="M429" s="13" t="b">
        <f t="shared" si="43"/>
        <v>1</v>
      </c>
      <c r="N429" s="13">
        <f t="shared" si="44"/>
        <v>1</v>
      </c>
      <c r="O429" s="13" t="str">
        <f t="shared" si="45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429" s="13" t="str">
        <f t="shared" si="46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429" s="13" t="str">
        <f t="shared" si="47"/>
        <v>ГОТОВ</v>
      </c>
      <c r="R429" s="13">
        <f>IFERROR(VLOOKUP(P429,Лист1!A$1:B$20,2,FALSE),0)</f>
        <v>214</v>
      </c>
      <c r="S429" s="13">
        <f t="shared" si="48"/>
        <v>1</v>
      </c>
    </row>
    <row r="430" spans="1:19" x14ac:dyDescent="0.25">
      <c r="A430" s="24" t="s">
        <v>1535</v>
      </c>
      <c r="B430" s="4" t="s">
        <v>1031</v>
      </c>
      <c r="C430" s="25" t="s">
        <v>7</v>
      </c>
      <c r="D430" s="25" t="s">
        <v>5</v>
      </c>
      <c r="E430" s="3">
        <v>2</v>
      </c>
      <c r="F430" s="24" t="s">
        <v>1074</v>
      </c>
      <c r="G430" s="25" t="s">
        <v>1075</v>
      </c>
      <c r="H430" s="24" t="s">
        <v>1061</v>
      </c>
      <c r="I430" s="3" t="str">
        <f>IFERROR(VLOOKUP(C430,'Справочник соответствий'!A$2:D$2981,2,FALSE),IF(VALUE(C430)=0,1,VLOOKUP(C430,'Справочник соответствий'!A$2:D$2981,2,FALSE)))</f>
        <v>2</v>
      </c>
      <c r="J430" s="3" t="str">
        <f>IFERROR(VLOOKUP(D430,'Справочник соответствий'!A$2:D$2981,2,FALSE),IF(VALUE(D430)=0,0,VLOOKUP(D430,'Справочник соответствий'!A$2:D$2981,2,FALSE)))</f>
        <v>1</v>
      </c>
      <c r="K430" s="3">
        <f t="shared" si="42"/>
        <v>1</v>
      </c>
      <c r="L430" s="13" t="str">
        <f>IFERROR(VLOOKUP(C430,'Справочник соответствий'!A$2:D$2981,3,FALSE),IF(VALUE(C430)=0,"ЭТАЖ НЕ ОПРЕДЕЛЕН. ПРИНЯТ ПО ДОПУЩЕНИЮ 1",VLOOKUP(C430,'Справочник соответствий'!A$2:D$2981,3,FALSE)))</f>
        <v>ЭТАЖ ЗАДАН ЧИСЛОМ</v>
      </c>
      <c r="M430" s="13" t="b">
        <f t="shared" si="43"/>
        <v>0</v>
      </c>
      <c r="N430" s="13">
        <f t="shared" si="44"/>
        <v>1</v>
      </c>
      <c r="O430" s="13" t="str">
        <f t="shared" si="45"/>
        <v>ЭТАЖ ЗАДАН ЧИСЛОМ</v>
      </c>
      <c r="P430" s="13" t="str">
        <f t="shared" si="46"/>
        <v>МКД_ЭТАЖ ЗАДАН ЧИСЛОМ</v>
      </c>
      <c r="Q430" s="13" t="str">
        <f t="shared" si="47"/>
        <v>ГОТОВ_ИЗМЕНЕН</v>
      </c>
      <c r="R430" s="13">
        <f>IFERROR(VLOOKUP(P430,Лист1!A$1:B$20,2,FALSE),0)</f>
        <v>786</v>
      </c>
      <c r="S430" s="13">
        <f t="shared" si="48"/>
        <v>2</v>
      </c>
    </row>
    <row r="431" spans="1:19" x14ac:dyDescent="0.25">
      <c r="A431" s="24" t="s">
        <v>1536</v>
      </c>
      <c r="B431" s="4" t="s">
        <v>1031</v>
      </c>
      <c r="C431" s="25" t="s">
        <v>5</v>
      </c>
      <c r="E431" s="3">
        <v>1</v>
      </c>
      <c r="F431" s="24" t="s">
        <v>1045</v>
      </c>
      <c r="G431" s="25" t="s">
        <v>1075</v>
      </c>
      <c r="H431" s="24" t="s">
        <v>1061</v>
      </c>
      <c r="I431" s="3" t="str">
        <f>IFERROR(VLOOKUP(C431,'Справочник соответствий'!A$2:D$2981,2,FALSE),IF(VALUE(C431)=0,1,VLOOKUP(C431,'Справочник соответствий'!A$2:D$2981,2,FALSE)))</f>
        <v>1</v>
      </c>
      <c r="J431" s="3">
        <f>IFERROR(VLOOKUP(D431,'Справочник соответствий'!A$2:D$2981,2,FALSE),IF(VALUE(D431)=0,0,VLOOKUP(D431,'Справочник соответствий'!A$2:D$2981,2,FALSE)))</f>
        <v>0</v>
      </c>
      <c r="K431" s="3">
        <f t="shared" si="42"/>
        <v>1</v>
      </c>
      <c r="L431" s="13" t="str">
        <f>IFERROR(VLOOKUP(C431,'Справочник соответствий'!A$2:D$2981,3,FALSE),IF(VALUE(C431)=0,"ЭТАЖ НЕ ОПРЕДЕЛЕН. ПРИНЯТ ПО ДОПУЩЕНИЮ 1",VLOOKUP(C431,'Справочник соответствий'!A$2:D$2981,3,FALSE)))</f>
        <v>ЭТАЖ ЗАДАН ЧИСЛОМ</v>
      </c>
      <c r="M431" s="13" t="b">
        <f t="shared" si="43"/>
        <v>0</v>
      </c>
      <c r="N431" s="13">
        <f t="shared" si="44"/>
        <v>1</v>
      </c>
      <c r="O431" s="13" t="str">
        <f t="shared" si="45"/>
        <v>ЭТАЖ ЗАДАН ЧИСЛОМ</v>
      </c>
      <c r="P431" s="13" t="str">
        <f t="shared" si="46"/>
        <v>МКД_ЭТАЖ ЗАДАН ЧИСЛОМ</v>
      </c>
      <c r="Q431" s="13" t="str">
        <f t="shared" si="47"/>
        <v>ГОТОВ</v>
      </c>
      <c r="R431" s="13">
        <f>IFERROR(VLOOKUP(P431,Лист1!A$1:B$20,2,FALSE),0)</f>
        <v>786</v>
      </c>
      <c r="S431" s="13">
        <f t="shared" si="48"/>
        <v>1</v>
      </c>
    </row>
    <row r="432" spans="1:19" x14ac:dyDescent="0.25">
      <c r="A432" s="24" t="s">
        <v>1537</v>
      </c>
      <c r="B432" s="4" t="s">
        <v>1059</v>
      </c>
      <c r="C432" s="25" t="s">
        <v>5</v>
      </c>
      <c r="E432" s="3">
        <v>1</v>
      </c>
      <c r="F432" s="24" t="s">
        <v>1045</v>
      </c>
      <c r="G432" s="25" t="s">
        <v>1075</v>
      </c>
      <c r="H432" s="24" t="s">
        <v>1061</v>
      </c>
      <c r="I432" s="3" t="str">
        <f>IFERROR(VLOOKUP(C432,'Справочник соответствий'!A$2:D$2981,2,FALSE),IF(VALUE(C432)=0,1,VLOOKUP(C432,'Справочник соответствий'!A$2:D$2981,2,FALSE)))</f>
        <v>1</v>
      </c>
      <c r="J432" s="3">
        <f>IFERROR(VLOOKUP(D432,'Справочник соответствий'!A$2:D$2981,2,FALSE),IF(VALUE(D432)=0,0,VLOOKUP(D432,'Справочник соответствий'!A$2:D$2981,2,FALSE)))</f>
        <v>0</v>
      </c>
      <c r="K432" s="3" t="str">
        <f t="shared" si="42"/>
        <v>1</v>
      </c>
      <c r="L432" s="13" t="str">
        <f>IFERROR(VLOOKUP(C432,'Справочник соответствий'!A$2:D$2981,3,FALSE),IF(VALUE(C432)=0,"ЭТАЖ НЕ ОПРЕДЕЛЕН. ПРИНЯТ ПО ДОПУЩЕНИЮ 1",VLOOKUP(C432,'Справочник соответствий'!A$2:D$2981,3,FALSE)))</f>
        <v>ЭТАЖ ЗАДАН ЧИСЛОМ</v>
      </c>
      <c r="M432" s="13" t="b">
        <f t="shared" si="43"/>
        <v>0</v>
      </c>
      <c r="N432" s="13">
        <f t="shared" si="44"/>
        <v>1</v>
      </c>
      <c r="O432" s="13" t="str">
        <f t="shared" si="45"/>
        <v>ЭТАЖ ЗАДАН ЧИСЛОМ</v>
      </c>
      <c r="P432" s="13" t="str">
        <f t="shared" si="46"/>
        <v>ЭТАЖ ЗАДАН ЧИСЛОМ</v>
      </c>
      <c r="Q432" s="13" t="str">
        <f t="shared" si="47"/>
        <v>ГОТОВ</v>
      </c>
      <c r="R432" s="13">
        <f>IFERROR(VLOOKUP(P432,Лист1!A$1:B$20,2,FALSE),0)</f>
        <v>784</v>
      </c>
      <c r="S432" s="13">
        <f t="shared" si="48"/>
        <v>1</v>
      </c>
    </row>
    <row r="433" spans="1:19" x14ac:dyDescent="0.25">
      <c r="A433" s="24" t="s">
        <v>1538</v>
      </c>
      <c r="B433" s="4" t="s">
        <v>1059</v>
      </c>
      <c r="C433" s="25" t="s">
        <v>5</v>
      </c>
      <c r="D433" s="25" t="s">
        <v>24</v>
      </c>
      <c r="E433" s="3">
        <v>1</v>
      </c>
      <c r="F433" s="24" t="s">
        <v>1045</v>
      </c>
      <c r="G433" s="25" t="s">
        <v>1072</v>
      </c>
      <c r="H433" s="24" t="s">
        <v>1061</v>
      </c>
      <c r="I433" s="3" t="str">
        <f>IFERROR(VLOOKUP(C433,'Справочник соответствий'!A$2:D$2981,2,FALSE),IF(VALUE(C433)=0,1,VLOOKUP(C433,'Справочник соответствий'!A$2:D$2981,2,FALSE)))</f>
        <v>1</v>
      </c>
      <c r="J433" s="3" t="str">
        <f>IFERROR(VLOOKUP(D433,'Справочник соответствий'!A$2:D$2981,2,FALSE),IF(VALUE(D433)=0,0,VLOOKUP(D433,'Справочник соответствий'!A$2:D$2981,2,FALSE)))</f>
        <v>1</v>
      </c>
      <c r="K433" s="3" t="str">
        <f t="shared" si="42"/>
        <v>1</v>
      </c>
      <c r="L433" s="13" t="str">
        <f>IFERROR(VLOOKUP(C433,'Справочник соответствий'!A$2:D$2981,3,FALSE),IF(VALUE(C433)=0,"ЭТАЖ НЕ ОПРЕДЕЛЕН. ПРИНЯТ ПО ДОПУЩЕНИЮ 1",VLOOKUP(C433,'Справочник соответствий'!A$2:D$2981,3,FALSE)))</f>
        <v>ЭТАЖ ЗАДАН ЧИСЛОМ</v>
      </c>
      <c r="M433" s="13" t="b">
        <f t="shared" si="43"/>
        <v>0</v>
      </c>
      <c r="N433" s="13">
        <f t="shared" si="44"/>
        <v>1</v>
      </c>
      <c r="O433" s="13" t="str">
        <f t="shared" si="45"/>
        <v>ЭТАЖ ЗАДАН ЧИСЛОМ</v>
      </c>
      <c r="P433" s="13" t="str">
        <f t="shared" si="46"/>
        <v>ЭТАЖ ЗАДАН ЧИСЛОМ</v>
      </c>
      <c r="Q433" s="13" t="str">
        <f t="shared" si="47"/>
        <v>ГОТОВ</v>
      </c>
      <c r="R433" s="13">
        <f>IFERROR(VLOOKUP(P433,Лист1!A$1:B$20,2,FALSE),0)</f>
        <v>784</v>
      </c>
      <c r="S433" s="13">
        <f t="shared" si="48"/>
        <v>1</v>
      </c>
    </row>
    <row r="434" spans="1:19" x14ac:dyDescent="0.25">
      <c r="A434" s="24" t="s">
        <v>1539</v>
      </c>
      <c r="B434" s="4" t="s">
        <v>1063</v>
      </c>
      <c r="C434" s="25" t="s">
        <v>5</v>
      </c>
      <c r="E434" s="3">
        <v>1</v>
      </c>
      <c r="F434" s="24" t="s">
        <v>1307</v>
      </c>
      <c r="G434" s="25" t="s">
        <v>1089</v>
      </c>
      <c r="H434" s="24" t="s">
        <v>1061</v>
      </c>
      <c r="I434" s="3" t="str">
        <f>IFERROR(VLOOKUP(C434,'Справочник соответствий'!A$2:D$2981,2,FALSE),IF(VALUE(C434)=0,1,VLOOKUP(C434,'Справочник соответствий'!A$2:D$2981,2,FALSE)))</f>
        <v>1</v>
      </c>
      <c r="J434" s="3">
        <f>IFERROR(VLOOKUP(D434,'Справочник соответствий'!A$2:D$2981,2,FALSE),IF(VALUE(D434)=0,0,VLOOKUP(D434,'Справочник соответствий'!A$2:D$2981,2,FALSE)))</f>
        <v>0</v>
      </c>
      <c r="K434" s="3" t="str">
        <f t="shared" si="42"/>
        <v>1</v>
      </c>
      <c r="L434" s="13" t="str">
        <f>IFERROR(VLOOKUP(C434,'Справочник соответствий'!A$2:D$2981,3,FALSE),IF(VALUE(C434)=0,"ЭТАЖ НЕ ОПРЕДЕЛЕН. ПРИНЯТ ПО ДОПУЩЕНИЮ 1",VLOOKUP(C434,'Справочник соответствий'!A$2:D$2981,3,FALSE)))</f>
        <v>ЭТАЖ ЗАДАН ЧИСЛОМ</v>
      </c>
      <c r="M434" s="13" t="b">
        <f t="shared" si="43"/>
        <v>0</v>
      </c>
      <c r="N434" s="13">
        <f t="shared" si="44"/>
        <v>1</v>
      </c>
      <c r="O434" s="13" t="str">
        <f t="shared" si="45"/>
        <v>ЭТАЖ ЗАДАН ЧИСЛОМ</v>
      </c>
      <c r="P434" s="13" t="str">
        <f t="shared" si="46"/>
        <v>ЭТАЖ ЗАДАН ЧИСЛОМ</v>
      </c>
      <c r="Q434" s="13" t="str">
        <f t="shared" si="47"/>
        <v>ГОТОВ</v>
      </c>
      <c r="R434" s="13">
        <f>IFERROR(VLOOKUP(P434,Лист1!A$1:B$20,2,FALSE),0)</f>
        <v>784</v>
      </c>
      <c r="S434" s="13">
        <f t="shared" si="48"/>
        <v>1</v>
      </c>
    </row>
    <row r="435" spans="1:19" x14ac:dyDescent="0.25">
      <c r="A435" s="24" t="s">
        <v>1540</v>
      </c>
      <c r="B435" s="4" t="s">
        <v>1063</v>
      </c>
      <c r="C435" s="25" t="s">
        <v>5</v>
      </c>
      <c r="E435" s="3">
        <v>1</v>
      </c>
      <c r="F435" s="24" t="s">
        <v>1045</v>
      </c>
      <c r="G435" s="25" t="s">
        <v>1072</v>
      </c>
      <c r="H435" s="24" t="s">
        <v>1061</v>
      </c>
      <c r="I435" s="3" t="str">
        <f>IFERROR(VLOOKUP(C435,'Справочник соответствий'!A$2:D$2981,2,FALSE),IF(VALUE(C435)=0,1,VLOOKUP(C435,'Справочник соответствий'!A$2:D$2981,2,FALSE)))</f>
        <v>1</v>
      </c>
      <c r="J435" s="3">
        <f>IFERROR(VLOOKUP(D435,'Справочник соответствий'!A$2:D$2981,2,FALSE),IF(VALUE(D435)=0,0,VLOOKUP(D435,'Справочник соответствий'!A$2:D$2981,2,FALSE)))</f>
        <v>0</v>
      </c>
      <c r="K435" s="3" t="str">
        <f t="shared" si="42"/>
        <v>1</v>
      </c>
      <c r="L435" s="13" t="str">
        <f>IFERROR(VLOOKUP(C435,'Справочник соответствий'!A$2:D$2981,3,FALSE),IF(VALUE(C435)=0,"ЭТАЖ НЕ ОПРЕДЕЛЕН. ПРИНЯТ ПО ДОПУЩЕНИЮ 1",VLOOKUP(C435,'Справочник соответствий'!A$2:D$2981,3,FALSE)))</f>
        <v>ЭТАЖ ЗАДАН ЧИСЛОМ</v>
      </c>
      <c r="M435" s="13" t="b">
        <f t="shared" si="43"/>
        <v>0</v>
      </c>
      <c r="N435" s="13">
        <f t="shared" si="44"/>
        <v>1</v>
      </c>
      <c r="O435" s="13" t="str">
        <f t="shared" si="45"/>
        <v>ЭТАЖ ЗАДАН ЧИСЛОМ</v>
      </c>
      <c r="P435" s="13" t="str">
        <f t="shared" si="46"/>
        <v>ЭТАЖ ЗАДАН ЧИСЛОМ</v>
      </c>
      <c r="Q435" s="13" t="str">
        <f t="shared" si="47"/>
        <v>ГОТОВ</v>
      </c>
      <c r="R435" s="13">
        <f>IFERROR(VLOOKUP(P435,Лист1!A$1:B$20,2,FALSE),0)</f>
        <v>784</v>
      </c>
      <c r="S435" s="13">
        <f t="shared" si="48"/>
        <v>1</v>
      </c>
    </row>
    <row r="436" spans="1:19" x14ac:dyDescent="0.25">
      <c r="A436" s="24" t="s">
        <v>1541</v>
      </c>
      <c r="B436" s="4" t="s">
        <v>1031</v>
      </c>
      <c r="C436" s="25" t="s">
        <v>5</v>
      </c>
      <c r="E436" s="3">
        <v>1</v>
      </c>
      <c r="F436" s="24" t="s">
        <v>1045</v>
      </c>
      <c r="G436" s="25" t="s">
        <v>1075</v>
      </c>
      <c r="H436" s="24" t="s">
        <v>1061</v>
      </c>
      <c r="I436" s="3" t="str">
        <f>IFERROR(VLOOKUP(C436,'Справочник соответствий'!A$2:D$2981,2,FALSE),IF(VALUE(C436)=0,1,VLOOKUP(C436,'Справочник соответствий'!A$2:D$2981,2,FALSE)))</f>
        <v>1</v>
      </c>
      <c r="J436" s="3">
        <f>IFERROR(VLOOKUP(D436,'Справочник соответствий'!A$2:D$2981,2,FALSE),IF(VALUE(D436)=0,0,VLOOKUP(D436,'Справочник соответствий'!A$2:D$2981,2,FALSE)))</f>
        <v>0</v>
      </c>
      <c r="K436" s="3">
        <f t="shared" si="42"/>
        <v>1</v>
      </c>
      <c r="L436" s="13" t="str">
        <f>IFERROR(VLOOKUP(C436,'Справочник соответствий'!A$2:D$2981,3,FALSE),IF(VALUE(C436)=0,"ЭТАЖ НЕ ОПРЕДЕЛЕН. ПРИНЯТ ПО ДОПУЩЕНИЮ 1",VLOOKUP(C436,'Справочник соответствий'!A$2:D$2981,3,FALSE)))</f>
        <v>ЭТАЖ ЗАДАН ЧИСЛОМ</v>
      </c>
      <c r="M436" s="13" t="b">
        <f t="shared" si="43"/>
        <v>0</v>
      </c>
      <c r="N436" s="13">
        <f t="shared" si="44"/>
        <v>1</v>
      </c>
      <c r="O436" s="13" t="str">
        <f t="shared" si="45"/>
        <v>ЭТАЖ ЗАДАН ЧИСЛОМ</v>
      </c>
      <c r="P436" s="13" t="str">
        <f t="shared" si="46"/>
        <v>МКД_ЭТАЖ ЗАДАН ЧИСЛОМ</v>
      </c>
      <c r="Q436" s="13" t="str">
        <f t="shared" si="47"/>
        <v>ГОТОВ</v>
      </c>
      <c r="R436" s="13">
        <f>IFERROR(VLOOKUP(P436,Лист1!A$1:B$20,2,FALSE),0)</f>
        <v>786</v>
      </c>
      <c r="S436" s="13">
        <f t="shared" si="48"/>
        <v>1</v>
      </c>
    </row>
    <row r="437" spans="1:19" x14ac:dyDescent="0.25">
      <c r="A437" s="24" t="s">
        <v>1542</v>
      </c>
      <c r="B437" s="4" t="s">
        <v>1059</v>
      </c>
      <c r="C437" s="25" t="s">
        <v>5</v>
      </c>
      <c r="E437" s="3">
        <v>2</v>
      </c>
      <c r="F437" s="24" t="s">
        <v>1045</v>
      </c>
      <c r="G437" s="25" t="s">
        <v>1072</v>
      </c>
      <c r="H437" s="24" t="s">
        <v>1061</v>
      </c>
      <c r="I437" s="3" t="str">
        <f>IFERROR(VLOOKUP(C437,'Справочник соответствий'!A$2:D$2981,2,FALSE),IF(VALUE(C437)=0,1,VLOOKUP(C437,'Справочник соответствий'!A$2:D$2981,2,FALSE)))</f>
        <v>1</v>
      </c>
      <c r="J437" s="3">
        <f>IFERROR(VLOOKUP(D437,'Справочник соответствий'!A$2:D$2981,2,FALSE),IF(VALUE(D437)=0,0,VLOOKUP(D437,'Справочник соответствий'!A$2:D$2981,2,FALSE)))</f>
        <v>0</v>
      </c>
      <c r="K437" s="3" t="str">
        <f t="shared" si="42"/>
        <v>1</v>
      </c>
      <c r="L437" s="13" t="str">
        <f>IFERROR(VLOOKUP(C437,'Справочник соответствий'!A$2:D$2981,3,FALSE),IF(VALUE(C437)=0,"ЭТАЖ НЕ ОПРЕДЕЛЕН. ПРИНЯТ ПО ДОПУЩЕНИЮ 1",VLOOKUP(C437,'Справочник соответствий'!A$2:D$2981,3,FALSE)))</f>
        <v>ЭТАЖ ЗАДАН ЧИСЛОМ</v>
      </c>
      <c r="M437" s="13" t="b">
        <f t="shared" si="43"/>
        <v>0</v>
      </c>
      <c r="N437" s="13">
        <f t="shared" si="44"/>
        <v>1</v>
      </c>
      <c r="O437" s="13" t="str">
        <f t="shared" si="45"/>
        <v>ЭТАЖ ЗАДАН ЧИСЛОМ</v>
      </c>
      <c r="P437" s="13" t="str">
        <f t="shared" si="46"/>
        <v>ЭТАЖ ЗАДАН ЧИСЛОМ</v>
      </c>
      <c r="Q437" s="13" t="str">
        <f t="shared" si="47"/>
        <v>ГОТОВ_ИЗМЕНЕН</v>
      </c>
      <c r="R437" s="13">
        <f>IFERROR(VLOOKUP(P437,Лист1!A$1:B$20,2,FALSE),0)</f>
        <v>784</v>
      </c>
      <c r="S437" s="13">
        <f t="shared" si="48"/>
        <v>2</v>
      </c>
    </row>
    <row r="438" spans="1:19" x14ac:dyDescent="0.25">
      <c r="A438" s="24" t="s">
        <v>1543</v>
      </c>
      <c r="B438" s="4" t="s">
        <v>1059</v>
      </c>
      <c r="C438" s="25" t="s">
        <v>5</v>
      </c>
      <c r="D438" s="25" t="s">
        <v>24</v>
      </c>
      <c r="E438" s="3">
        <v>1</v>
      </c>
      <c r="F438" s="24" t="s">
        <v>1045</v>
      </c>
      <c r="G438" s="25" t="s">
        <v>1072</v>
      </c>
      <c r="H438" s="24" t="s">
        <v>1061</v>
      </c>
      <c r="I438" s="3" t="str">
        <f>IFERROR(VLOOKUP(C438,'Справочник соответствий'!A$2:D$2981,2,FALSE),IF(VALUE(C438)=0,1,VLOOKUP(C438,'Справочник соответствий'!A$2:D$2981,2,FALSE)))</f>
        <v>1</v>
      </c>
      <c r="J438" s="3" t="str">
        <f>IFERROR(VLOOKUP(D438,'Справочник соответствий'!A$2:D$2981,2,FALSE),IF(VALUE(D438)=0,0,VLOOKUP(D438,'Справочник соответствий'!A$2:D$2981,2,FALSE)))</f>
        <v>1</v>
      </c>
      <c r="K438" s="3" t="str">
        <f t="shared" si="42"/>
        <v>1</v>
      </c>
      <c r="L438" s="13" t="str">
        <f>IFERROR(VLOOKUP(C438,'Справочник соответствий'!A$2:D$2981,3,FALSE),IF(VALUE(C438)=0,"ЭТАЖ НЕ ОПРЕДЕЛЕН. ПРИНЯТ ПО ДОПУЩЕНИЮ 1",VLOOKUP(C438,'Справочник соответствий'!A$2:D$2981,3,FALSE)))</f>
        <v>ЭТАЖ ЗАДАН ЧИСЛОМ</v>
      </c>
      <c r="M438" s="13" t="b">
        <f t="shared" si="43"/>
        <v>0</v>
      </c>
      <c r="N438" s="13">
        <f t="shared" si="44"/>
        <v>1</v>
      </c>
      <c r="O438" s="13" t="str">
        <f t="shared" si="45"/>
        <v>ЭТАЖ ЗАДАН ЧИСЛОМ</v>
      </c>
      <c r="P438" s="13" t="str">
        <f t="shared" si="46"/>
        <v>ЭТАЖ ЗАДАН ЧИСЛОМ</v>
      </c>
      <c r="Q438" s="13" t="str">
        <f t="shared" si="47"/>
        <v>ГОТОВ</v>
      </c>
      <c r="R438" s="13">
        <f>IFERROR(VLOOKUP(P438,Лист1!A$1:B$20,2,FALSE),0)</f>
        <v>784</v>
      </c>
      <c r="S438" s="13">
        <f t="shared" si="48"/>
        <v>1</v>
      </c>
    </row>
    <row r="439" spans="1:19" x14ac:dyDescent="0.25">
      <c r="A439" s="24" t="s">
        <v>1544</v>
      </c>
      <c r="B439" s="4" t="s">
        <v>1031</v>
      </c>
      <c r="E439" s="3">
        <v>1</v>
      </c>
      <c r="F439" s="24" t="s">
        <v>1045</v>
      </c>
      <c r="G439" s="25" t="s">
        <v>1080</v>
      </c>
      <c r="H439" s="24" t="s">
        <v>1061</v>
      </c>
      <c r="I439" s="3">
        <f>IFERROR(VLOOKUP(C439,'Справочник соответствий'!A$2:D$2981,2,FALSE),IF(VALUE(C439)=0,1,VLOOKUP(C439,'Справочник соответствий'!A$2:D$2981,2,FALSE)))</f>
        <v>1</v>
      </c>
      <c r="J439" s="3">
        <f>IFERROR(VLOOKUP(D439,'Справочник соответствий'!A$2:D$2981,2,FALSE),IF(VALUE(D439)=0,0,VLOOKUP(D439,'Справочник соответствий'!A$2:D$2981,2,FALSE)))</f>
        <v>0</v>
      </c>
      <c r="K439" s="3">
        <f t="shared" si="42"/>
        <v>1</v>
      </c>
      <c r="L439" s="13" t="str">
        <f>IFERROR(VLOOKUP(C439,'Справочник соответствий'!A$2:D$2981,3,FALSE),IF(VALUE(C439)=0,"ЭТАЖ НЕ ОПРЕДЕЛЕН. ПРИНЯТ ПО ДОПУЩЕНИЮ 1",VLOOKUP(C439,'Справочник соответствий'!A$2:D$2981,3,FALSE)))</f>
        <v>ЭТАЖ НЕ ОПРЕДЕЛЕН. ПРИНЯТ ПО ДОПУЩЕНИЮ 1</v>
      </c>
      <c r="M439" s="13" t="b">
        <f t="shared" si="43"/>
        <v>1</v>
      </c>
      <c r="N439" s="13">
        <f t="shared" si="44"/>
        <v>1</v>
      </c>
      <c r="O439" s="13" t="str">
        <f t="shared" si="45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439" s="13" t="str">
        <f t="shared" si="46"/>
        <v>МКД_Значение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439" s="13" t="str">
        <f t="shared" si="47"/>
        <v>ГОТОВ</v>
      </c>
      <c r="R439" s="13">
        <f>IFERROR(VLOOKUP(P439,Лист1!A$1:B$20,2,FALSE),0)</f>
        <v>0</v>
      </c>
      <c r="S439" s="13">
        <f t="shared" si="48"/>
        <v>1</v>
      </c>
    </row>
    <row r="440" spans="1:19" x14ac:dyDescent="0.25">
      <c r="A440" s="24" t="s">
        <v>1545</v>
      </c>
      <c r="B440" s="4" t="s">
        <v>1059</v>
      </c>
      <c r="C440" s="25" t="s">
        <v>5</v>
      </c>
      <c r="E440" s="3">
        <v>1</v>
      </c>
      <c r="F440" s="24" t="s">
        <v>1045</v>
      </c>
      <c r="G440" s="25" t="s">
        <v>1072</v>
      </c>
      <c r="H440" s="24" t="s">
        <v>1061</v>
      </c>
      <c r="I440" s="3" t="str">
        <f>IFERROR(VLOOKUP(C440,'Справочник соответствий'!A$2:D$2981,2,FALSE),IF(VALUE(C440)=0,1,VLOOKUP(C440,'Справочник соответствий'!A$2:D$2981,2,FALSE)))</f>
        <v>1</v>
      </c>
      <c r="J440" s="3">
        <f>IFERROR(VLOOKUP(D440,'Справочник соответствий'!A$2:D$2981,2,FALSE),IF(VALUE(D440)=0,0,VLOOKUP(D440,'Справочник соответствий'!A$2:D$2981,2,FALSE)))</f>
        <v>0</v>
      </c>
      <c r="K440" s="3" t="str">
        <f t="shared" si="42"/>
        <v>1</v>
      </c>
      <c r="L440" s="13" t="str">
        <f>IFERROR(VLOOKUP(C440,'Справочник соответствий'!A$2:D$2981,3,FALSE),IF(VALUE(C440)=0,"ЭТАЖ НЕ ОПРЕДЕЛЕН. ПРИНЯТ ПО ДОПУЩЕНИЮ 1",VLOOKUP(C440,'Справочник соответствий'!A$2:D$2981,3,FALSE)))</f>
        <v>ЭТАЖ ЗАДАН ЧИСЛОМ</v>
      </c>
      <c r="M440" s="13" t="b">
        <f t="shared" si="43"/>
        <v>0</v>
      </c>
      <c r="N440" s="13">
        <f t="shared" si="44"/>
        <v>1</v>
      </c>
      <c r="O440" s="13" t="str">
        <f t="shared" si="45"/>
        <v>ЭТАЖ ЗАДАН ЧИСЛОМ</v>
      </c>
      <c r="P440" s="13" t="str">
        <f t="shared" si="46"/>
        <v>ЭТАЖ ЗАДАН ЧИСЛОМ</v>
      </c>
      <c r="Q440" s="13" t="str">
        <f t="shared" si="47"/>
        <v>ГОТОВ</v>
      </c>
      <c r="R440" s="13">
        <f>IFERROR(VLOOKUP(P440,Лист1!A$1:B$20,2,FALSE),0)</f>
        <v>784</v>
      </c>
      <c r="S440" s="13">
        <f t="shared" si="48"/>
        <v>1</v>
      </c>
    </row>
    <row r="441" spans="1:19" x14ac:dyDescent="0.25">
      <c r="A441" s="24" t="s">
        <v>1546</v>
      </c>
      <c r="B441" s="4" t="s">
        <v>1059</v>
      </c>
      <c r="C441" s="25" t="s">
        <v>5</v>
      </c>
      <c r="E441" s="3">
        <v>1</v>
      </c>
      <c r="F441" s="24" t="s">
        <v>1045</v>
      </c>
      <c r="G441" s="25" t="s">
        <v>1104</v>
      </c>
      <c r="H441" s="24" t="s">
        <v>1061</v>
      </c>
      <c r="I441" s="3" t="str">
        <f>IFERROR(VLOOKUP(C441,'Справочник соответствий'!A$2:D$2981,2,FALSE),IF(VALUE(C441)=0,1,VLOOKUP(C441,'Справочник соответствий'!A$2:D$2981,2,FALSE)))</f>
        <v>1</v>
      </c>
      <c r="J441" s="3">
        <f>IFERROR(VLOOKUP(D441,'Справочник соответствий'!A$2:D$2981,2,FALSE),IF(VALUE(D441)=0,0,VLOOKUP(D441,'Справочник соответствий'!A$2:D$2981,2,FALSE)))</f>
        <v>0</v>
      </c>
      <c r="K441" s="3" t="str">
        <f t="shared" si="42"/>
        <v>1</v>
      </c>
      <c r="L441" s="13" t="str">
        <f>IFERROR(VLOOKUP(C441,'Справочник соответствий'!A$2:D$2981,3,FALSE),IF(VALUE(C441)=0,"ЭТАЖ НЕ ОПРЕДЕЛЕН. ПРИНЯТ ПО ДОПУЩЕНИЮ 1",VLOOKUP(C441,'Справочник соответствий'!A$2:D$2981,3,FALSE)))</f>
        <v>ЭТАЖ ЗАДАН ЧИСЛОМ</v>
      </c>
      <c r="M441" s="13" t="b">
        <f t="shared" si="43"/>
        <v>0</v>
      </c>
      <c r="N441" s="13">
        <f t="shared" si="44"/>
        <v>1</v>
      </c>
      <c r="O441" s="13" t="str">
        <f t="shared" si="45"/>
        <v>ЭТАЖ ЗАДАН ЧИСЛОМ</v>
      </c>
      <c r="P441" s="13" t="str">
        <f t="shared" si="46"/>
        <v>ЭТАЖ ЗАДАН ЧИСЛОМ</v>
      </c>
      <c r="Q441" s="13" t="str">
        <f t="shared" si="47"/>
        <v>ГОТОВ</v>
      </c>
      <c r="R441" s="13">
        <f>IFERROR(VLOOKUP(P441,Лист1!A$1:B$20,2,FALSE),0)</f>
        <v>784</v>
      </c>
      <c r="S441" s="13">
        <f t="shared" si="48"/>
        <v>1</v>
      </c>
    </row>
    <row r="442" spans="1:19" x14ac:dyDescent="0.25">
      <c r="A442" s="24" t="s">
        <v>1547</v>
      </c>
      <c r="B442" s="4" t="s">
        <v>1059</v>
      </c>
      <c r="C442" s="25" t="s">
        <v>5</v>
      </c>
      <c r="E442" s="3">
        <v>1</v>
      </c>
      <c r="F442" s="24" t="s">
        <v>1045</v>
      </c>
      <c r="G442" s="25" t="s">
        <v>1104</v>
      </c>
      <c r="H442" s="24" t="s">
        <v>1061</v>
      </c>
      <c r="I442" s="3" t="str">
        <f>IFERROR(VLOOKUP(C442,'Справочник соответствий'!A$2:D$2981,2,FALSE),IF(VALUE(C442)=0,1,VLOOKUP(C442,'Справочник соответствий'!A$2:D$2981,2,FALSE)))</f>
        <v>1</v>
      </c>
      <c r="J442" s="3">
        <f>IFERROR(VLOOKUP(D442,'Справочник соответствий'!A$2:D$2981,2,FALSE),IF(VALUE(D442)=0,0,VLOOKUP(D442,'Справочник соответствий'!A$2:D$2981,2,FALSE)))</f>
        <v>0</v>
      </c>
      <c r="K442" s="3" t="str">
        <f t="shared" si="42"/>
        <v>1</v>
      </c>
      <c r="L442" s="13" t="str">
        <f>IFERROR(VLOOKUP(C442,'Справочник соответствий'!A$2:D$2981,3,FALSE),IF(VALUE(C442)=0,"ЭТАЖ НЕ ОПРЕДЕЛЕН. ПРИНЯТ ПО ДОПУЩЕНИЮ 1",VLOOKUP(C442,'Справочник соответствий'!A$2:D$2981,3,FALSE)))</f>
        <v>ЭТАЖ ЗАДАН ЧИСЛОМ</v>
      </c>
      <c r="M442" s="13" t="b">
        <f t="shared" si="43"/>
        <v>0</v>
      </c>
      <c r="N442" s="13">
        <f t="shared" si="44"/>
        <v>1</v>
      </c>
      <c r="O442" s="13" t="str">
        <f t="shared" si="45"/>
        <v>ЭТАЖ ЗАДАН ЧИСЛОМ</v>
      </c>
      <c r="P442" s="13" t="str">
        <f t="shared" si="46"/>
        <v>ЭТАЖ ЗАДАН ЧИСЛОМ</v>
      </c>
      <c r="Q442" s="13" t="str">
        <f t="shared" si="47"/>
        <v>ГОТОВ</v>
      </c>
      <c r="R442" s="13">
        <f>IFERROR(VLOOKUP(P442,Лист1!A$1:B$20,2,FALSE),0)</f>
        <v>784</v>
      </c>
      <c r="S442" s="13">
        <f t="shared" si="48"/>
        <v>1</v>
      </c>
    </row>
    <row r="443" spans="1:19" x14ac:dyDescent="0.25">
      <c r="A443" s="24" t="s">
        <v>1548</v>
      </c>
      <c r="B443" s="4" t="s">
        <v>1059</v>
      </c>
      <c r="C443" s="25" t="s">
        <v>5</v>
      </c>
      <c r="E443" s="3">
        <v>1</v>
      </c>
      <c r="F443" s="24" t="s">
        <v>1045</v>
      </c>
      <c r="G443" s="25" t="s">
        <v>1104</v>
      </c>
      <c r="H443" s="24" t="s">
        <v>1061</v>
      </c>
      <c r="I443" s="3" t="str">
        <f>IFERROR(VLOOKUP(C443,'Справочник соответствий'!A$2:D$2981,2,FALSE),IF(VALUE(C443)=0,1,VLOOKUP(C443,'Справочник соответствий'!A$2:D$2981,2,FALSE)))</f>
        <v>1</v>
      </c>
      <c r="J443" s="3">
        <f>IFERROR(VLOOKUP(D443,'Справочник соответствий'!A$2:D$2981,2,FALSE),IF(VALUE(D443)=0,0,VLOOKUP(D443,'Справочник соответствий'!A$2:D$2981,2,FALSE)))</f>
        <v>0</v>
      </c>
      <c r="K443" s="3" t="str">
        <f t="shared" si="42"/>
        <v>1</v>
      </c>
      <c r="L443" s="13" t="str">
        <f>IFERROR(VLOOKUP(C443,'Справочник соответствий'!A$2:D$2981,3,FALSE),IF(VALUE(C443)=0,"ЭТАЖ НЕ ОПРЕДЕЛЕН. ПРИНЯТ ПО ДОПУЩЕНИЮ 1",VLOOKUP(C443,'Справочник соответствий'!A$2:D$2981,3,FALSE)))</f>
        <v>ЭТАЖ ЗАДАН ЧИСЛОМ</v>
      </c>
      <c r="M443" s="13" t="b">
        <f t="shared" si="43"/>
        <v>0</v>
      </c>
      <c r="N443" s="13">
        <f t="shared" si="44"/>
        <v>1</v>
      </c>
      <c r="O443" s="13" t="str">
        <f t="shared" si="45"/>
        <v>ЭТАЖ ЗАДАН ЧИСЛОМ</v>
      </c>
      <c r="P443" s="13" t="str">
        <f t="shared" si="46"/>
        <v>ЭТАЖ ЗАДАН ЧИСЛОМ</v>
      </c>
      <c r="Q443" s="13" t="str">
        <f t="shared" si="47"/>
        <v>ГОТОВ</v>
      </c>
      <c r="R443" s="13">
        <f>IFERROR(VLOOKUP(P443,Лист1!A$1:B$20,2,FALSE),0)</f>
        <v>784</v>
      </c>
      <c r="S443" s="13">
        <f t="shared" si="48"/>
        <v>1</v>
      </c>
    </row>
    <row r="444" spans="1:19" x14ac:dyDescent="0.25">
      <c r="A444" s="24" t="s">
        <v>1549</v>
      </c>
      <c r="B444" s="4" t="s">
        <v>1063</v>
      </c>
      <c r="C444" s="25" t="s">
        <v>5</v>
      </c>
      <c r="E444" s="3">
        <v>1</v>
      </c>
      <c r="F444" s="24" t="s">
        <v>1045</v>
      </c>
      <c r="G444" s="25" t="s">
        <v>1325</v>
      </c>
      <c r="H444" s="24" t="s">
        <v>1061</v>
      </c>
      <c r="I444" s="3" t="str">
        <f>IFERROR(VLOOKUP(C444,'Справочник соответствий'!A$2:D$2981,2,FALSE),IF(VALUE(C444)=0,1,VLOOKUP(C444,'Справочник соответствий'!A$2:D$2981,2,FALSE)))</f>
        <v>1</v>
      </c>
      <c r="J444" s="3">
        <f>IFERROR(VLOOKUP(D444,'Справочник соответствий'!A$2:D$2981,2,FALSE),IF(VALUE(D444)=0,0,VLOOKUP(D444,'Справочник соответствий'!A$2:D$2981,2,FALSE)))</f>
        <v>0</v>
      </c>
      <c r="K444" s="3" t="str">
        <f t="shared" si="42"/>
        <v>1</v>
      </c>
      <c r="L444" s="13" t="str">
        <f>IFERROR(VLOOKUP(C444,'Справочник соответствий'!A$2:D$2981,3,FALSE),IF(VALUE(C444)=0,"ЭТАЖ НЕ ОПРЕДЕЛЕН. ПРИНЯТ ПО ДОПУЩЕНИЮ 1",VLOOKUP(C444,'Справочник соответствий'!A$2:D$2981,3,FALSE)))</f>
        <v>ЭТАЖ ЗАДАН ЧИСЛОМ</v>
      </c>
      <c r="M444" s="13" t="b">
        <f t="shared" si="43"/>
        <v>0</v>
      </c>
      <c r="N444" s="13">
        <f t="shared" si="44"/>
        <v>1</v>
      </c>
      <c r="O444" s="13" t="str">
        <f t="shared" si="45"/>
        <v>ЭТАЖ ЗАДАН ЧИСЛОМ</v>
      </c>
      <c r="P444" s="13" t="str">
        <f t="shared" si="46"/>
        <v>ЭТАЖ ЗАДАН ЧИСЛОМ</v>
      </c>
      <c r="Q444" s="13" t="str">
        <f t="shared" si="47"/>
        <v>ГОТОВ</v>
      </c>
      <c r="R444" s="13">
        <f>IFERROR(VLOOKUP(P444,Лист1!A$1:B$20,2,FALSE),0)</f>
        <v>784</v>
      </c>
      <c r="S444" s="13">
        <f t="shared" si="48"/>
        <v>1</v>
      </c>
    </row>
    <row r="445" spans="1:19" x14ac:dyDescent="0.25">
      <c r="A445" s="24" t="s">
        <v>1550</v>
      </c>
      <c r="B445" s="4" t="s">
        <v>1063</v>
      </c>
      <c r="C445" s="25" t="s">
        <v>5</v>
      </c>
      <c r="E445" s="3">
        <v>1</v>
      </c>
      <c r="F445" s="24" t="s">
        <v>1045</v>
      </c>
      <c r="G445" s="25" t="s">
        <v>1117</v>
      </c>
      <c r="H445" s="24" t="s">
        <v>1061</v>
      </c>
      <c r="I445" s="3" t="str">
        <f>IFERROR(VLOOKUP(C445,'Справочник соответствий'!A$2:D$2981,2,FALSE),IF(VALUE(C445)=0,1,VLOOKUP(C445,'Справочник соответствий'!A$2:D$2981,2,FALSE)))</f>
        <v>1</v>
      </c>
      <c r="J445" s="3">
        <f>IFERROR(VLOOKUP(D445,'Справочник соответствий'!A$2:D$2981,2,FALSE),IF(VALUE(D445)=0,0,VLOOKUP(D445,'Справочник соответствий'!A$2:D$2981,2,FALSE)))</f>
        <v>0</v>
      </c>
      <c r="K445" s="3" t="str">
        <f t="shared" si="42"/>
        <v>1</v>
      </c>
      <c r="L445" s="13" t="str">
        <f>IFERROR(VLOOKUP(C445,'Справочник соответствий'!A$2:D$2981,3,FALSE),IF(VALUE(C445)=0,"ЭТАЖ НЕ ОПРЕДЕЛЕН. ПРИНЯТ ПО ДОПУЩЕНИЮ 1",VLOOKUP(C445,'Справочник соответствий'!A$2:D$2981,3,FALSE)))</f>
        <v>ЭТАЖ ЗАДАН ЧИСЛОМ</v>
      </c>
      <c r="M445" s="13" t="b">
        <f t="shared" si="43"/>
        <v>0</v>
      </c>
      <c r="N445" s="13">
        <f t="shared" si="44"/>
        <v>1</v>
      </c>
      <c r="O445" s="13" t="str">
        <f t="shared" si="45"/>
        <v>ЭТАЖ ЗАДАН ЧИСЛОМ</v>
      </c>
      <c r="P445" s="13" t="str">
        <f t="shared" si="46"/>
        <v>ЭТАЖ ЗАДАН ЧИСЛОМ</v>
      </c>
      <c r="Q445" s="13" t="str">
        <f t="shared" si="47"/>
        <v>ГОТОВ</v>
      </c>
      <c r="R445" s="13">
        <f>IFERROR(VLOOKUP(P445,Лист1!A$1:B$20,2,FALSE),0)</f>
        <v>784</v>
      </c>
      <c r="S445" s="13">
        <f t="shared" si="48"/>
        <v>1</v>
      </c>
    </row>
    <row r="446" spans="1:19" x14ac:dyDescent="0.25">
      <c r="A446" s="24" t="s">
        <v>1551</v>
      </c>
      <c r="B446" s="4" t="s">
        <v>1059</v>
      </c>
      <c r="C446" s="25" t="s">
        <v>5</v>
      </c>
      <c r="E446" s="3">
        <v>1</v>
      </c>
      <c r="F446" s="24" t="s">
        <v>1045</v>
      </c>
      <c r="G446" s="25" t="s">
        <v>1069</v>
      </c>
      <c r="H446" s="24" t="s">
        <v>1061</v>
      </c>
      <c r="I446" s="3" t="str">
        <f>IFERROR(VLOOKUP(C446,'Справочник соответствий'!A$2:D$2981,2,FALSE),IF(VALUE(C446)=0,1,VLOOKUP(C446,'Справочник соответствий'!A$2:D$2981,2,FALSE)))</f>
        <v>1</v>
      </c>
      <c r="J446" s="3">
        <f>IFERROR(VLOOKUP(D446,'Справочник соответствий'!A$2:D$2981,2,FALSE),IF(VALUE(D446)=0,0,VLOOKUP(D446,'Справочник соответствий'!A$2:D$2981,2,FALSE)))</f>
        <v>0</v>
      </c>
      <c r="K446" s="3" t="str">
        <f t="shared" si="42"/>
        <v>1</v>
      </c>
      <c r="L446" s="13" t="str">
        <f>IFERROR(VLOOKUP(C446,'Справочник соответствий'!A$2:D$2981,3,FALSE),IF(VALUE(C446)=0,"ЭТАЖ НЕ ОПРЕДЕЛЕН. ПРИНЯТ ПО ДОПУЩЕНИЮ 1",VLOOKUP(C446,'Справочник соответствий'!A$2:D$2981,3,FALSE)))</f>
        <v>ЭТАЖ ЗАДАН ЧИСЛОМ</v>
      </c>
      <c r="M446" s="13" t="b">
        <f t="shared" si="43"/>
        <v>0</v>
      </c>
      <c r="N446" s="13">
        <f t="shared" si="44"/>
        <v>1</v>
      </c>
      <c r="O446" s="13" t="str">
        <f t="shared" si="45"/>
        <v>ЭТАЖ ЗАДАН ЧИСЛОМ</v>
      </c>
      <c r="P446" s="13" t="str">
        <f t="shared" si="46"/>
        <v>ЭТАЖ ЗАДАН ЧИСЛОМ</v>
      </c>
      <c r="Q446" s="13" t="str">
        <f t="shared" si="47"/>
        <v>ГОТОВ</v>
      </c>
      <c r="R446" s="13">
        <f>IFERROR(VLOOKUP(P446,Лист1!A$1:B$20,2,FALSE),0)</f>
        <v>784</v>
      </c>
      <c r="S446" s="13">
        <f t="shared" si="48"/>
        <v>1</v>
      </c>
    </row>
    <row r="447" spans="1:19" x14ac:dyDescent="0.25">
      <c r="A447" s="24" t="s">
        <v>1552</v>
      </c>
      <c r="B447" s="4" t="s">
        <v>1059</v>
      </c>
      <c r="C447" s="25" t="s">
        <v>5</v>
      </c>
      <c r="E447" s="3">
        <v>1</v>
      </c>
      <c r="F447" s="24" t="s">
        <v>1045</v>
      </c>
      <c r="G447" s="25" t="s">
        <v>1099</v>
      </c>
      <c r="H447" s="24" t="s">
        <v>1061</v>
      </c>
      <c r="I447" s="3" t="str">
        <f>IFERROR(VLOOKUP(C447,'Справочник соответствий'!A$2:D$2981,2,FALSE),IF(VALUE(C447)=0,1,VLOOKUP(C447,'Справочник соответствий'!A$2:D$2981,2,FALSE)))</f>
        <v>1</v>
      </c>
      <c r="J447" s="3">
        <f>IFERROR(VLOOKUP(D447,'Справочник соответствий'!A$2:D$2981,2,FALSE),IF(VALUE(D447)=0,0,VLOOKUP(D447,'Справочник соответствий'!A$2:D$2981,2,FALSE)))</f>
        <v>0</v>
      </c>
      <c r="K447" s="3" t="str">
        <f t="shared" si="42"/>
        <v>1</v>
      </c>
      <c r="L447" s="13" t="str">
        <f>IFERROR(VLOOKUP(C447,'Справочник соответствий'!A$2:D$2981,3,FALSE),IF(VALUE(C447)=0,"ЭТАЖ НЕ ОПРЕДЕЛЕН. ПРИНЯТ ПО ДОПУЩЕНИЮ 1",VLOOKUP(C447,'Справочник соответствий'!A$2:D$2981,3,FALSE)))</f>
        <v>ЭТАЖ ЗАДАН ЧИСЛОМ</v>
      </c>
      <c r="M447" s="13" t="b">
        <f t="shared" si="43"/>
        <v>0</v>
      </c>
      <c r="N447" s="13">
        <f t="shared" si="44"/>
        <v>1</v>
      </c>
      <c r="O447" s="13" t="str">
        <f t="shared" si="45"/>
        <v>ЭТАЖ ЗАДАН ЧИСЛОМ</v>
      </c>
      <c r="P447" s="13" t="str">
        <f t="shared" si="46"/>
        <v>ЭТАЖ ЗАДАН ЧИСЛОМ</v>
      </c>
      <c r="Q447" s="13" t="str">
        <f t="shared" si="47"/>
        <v>ГОТОВ</v>
      </c>
      <c r="R447" s="13">
        <f>IFERROR(VLOOKUP(P447,Лист1!A$1:B$20,2,FALSE),0)</f>
        <v>784</v>
      </c>
      <c r="S447" s="13">
        <f t="shared" si="48"/>
        <v>1</v>
      </c>
    </row>
    <row r="448" spans="1:19" x14ac:dyDescent="0.25">
      <c r="A448" s="24" t="s">
        <v>1553</v>
      </c>
      <c r="B448" s="4" t="s">
        <v>1059</v>
      </c>
      <c r="C448" s="25" t="s">
        <v>5</v>
      </c>
      <c r="E448" s="3">
        <v>1</v>
      </c>
      <c r="F448" s="24" t="s">
        <v>1045</v>
      </c>
      <c r="G448" s="25" t="s">
        <v>1219</v>
      </c>
      <c r="H448" s="24" t="s">
        <v>1061</v>
      </c>
      <c r="I448" s="3" t="str">
        <f>IFERROR(VLOOKUP(C448,'Справочник соответствий'!A$2:D$2981,2,FALSE),IF(VALUE(C448)=0,1,VLOOKUP(C448,'Справочник соответствий'!A$2:D$2981,2,FALSE)))</f>
        <v>1</v>
      </c>
      <c r="J448" s="3">
        <f>IFERROR(VLOOKUP(D448,'Справочник соответствий'!A$2:D$2981,2,FALSE),IF(VALUE(D448)=0,0,VLOOKUP(D448,'Справочник соответствий'!A$2:D$2981,2,FALSE)))</f>
        <v>0</v>
      </c>
      <c r="K448" s="3" t="str">
        <f t="shared" si="42"/>
        <v>1</v>
      </c>
      <c r="L448" s="13" t="str">
        <f>IFERROR(VLOOKUP(C448,'Справочник соответствий'!A$2:D$2981,3,FALSE),IF(VALUE(C448)=0,"ЭТАЖ НЕ ОПРЕДЕЛЕН. ПРИНЯТ ПО ДОПУЩЕНИЮ 1",VLOOKUP(C448,'Справочник соответствий'!A$2:D$2981,3,FALSE)))</f>
        <v>ЭТАЖ ЗАДАН ЧИСЛОМ</v>
      </c>
      <c r="M448" s="13" t="b">
        <f t="shared" si="43"/>
        <v>0</v>
      </c>
      <c r="N448" s="13">
        <f t="shared" si="44"/>
        <v>1</v>
      </c>
      <c r="O448" s="13" t="str">
        <f t="shared" si="45"/>
        <v>ЭТАЖ ЗАДАН ЧИСЛОМ</v>
      </c>
      <c r="P448" s="13" t="str">
        <f t="shared" si="46"/>
        <v>ЭТАЖ ЗАДАН ЧИСЛОМ</v>
      </c>
      <c r="Q448" s="13" t="str">
        <f t="shared" si="47"/>
        <v>ГОТОВ</v>
      </c>
      <c r="R448" s="13">
        <f>IFERROR(VLOOKUP(P448,Лист1!A$1:B$20,2,FALSE),0)</f>
        <v>784</v>
      </c>
      <c r="S448" s="13">
        <f t="shared" si="48"/>
        <v>1</v>
      </c>
    </row>
    <row r="449" spans="1:19" x14ac:dyDescent="0.25">
      <c r="A449" s="24" t="s">
        <v>1554</v>
      </c>
      <c r="B449" s="4" t="s">
        <v>1059</v>
      </c>
      <c r="C449" s="25" t="s">
        <v>5</v>
      </c>
      <c r="E449" s="3">
        <v>1</v>
      </c>
      <c r="F449" s="24" t="s">
        <v>1045</v>
      </c>
      <c r="G449" s="25" t="s">
        <v>1069</v>
      </c>
      <c r="H449" s="24" t="s">
        <v>1061</v>
      </c>
      <c r="I449" s="3" t="str">
        <f>IFERROR(VLOOKUP(C449,'Справочник соответствий'!A$2:D$2981,2,FALSE),IF(VALUE(C449)=0,1,VLOOKUP(C449,'Справочник соответствий'!A$2:D$2981,2,FALSE)))</f>
        <v>1</v>
      </c>
      <c r="J449" s="3">
        <f>IFERROR(VLOOKUP(D449,'Справочник соответствий'!A$2:D$2981,2,FALSE),IF(VALUE(D449)=0,0,VLOOKUP(D449,'Справочник соответствий'!A$2:D$2981,2,FALSE)))</f>
        <v>0</v>
      </c>
      <c r="K449" s="3" t="str">
        <f t="shared" si="42"/>
        <v>1</v>
      </c>
      <c r="L449" s="13" t="str">
        <f>IFERROR(VLOOKUP(C449,'Справочник соответствий'!A$2:D$2981,3,FALSE),IF(VALUE(C449)=0,"ЭТАЖ НЕ ОПРЕДЕЛЕН. ПРИНЯТ ПО ДОПУЩЕНИЮ 1",VLOOKUP(C449,'Справочник соответствий'!A$2:D$2981,3,FALSE)))</f>
        <v>ЭТАЖ ЗАДАН ЧИСЛОМ</v>
      </c>
      <c r="M449" s="13" t="b">
        <f t="shared" si="43"/>
        <v>0</v>
      </c>
      <c r="N449" s="13">
        <f t="shared" si="44"/>
        <v>1</v>
      </c>
      <c r="O449" s="13" t="str">
        <f t="shared" si="45"/>
        <v>ЭТАЖ ЗАДАН ЧИСЛОМ</v>
      </c>
      <c r="P449" s="13" t="str">
        <f t="shared" si="46"/>
        <v>ЭТАЖ ЗАДАН ЧИСЛОМ</v>
      </c>
      <c r="Q449" s="13" t="str">
        <f t="shared" si="47"/>
        <v>ГОТОВ</v>
      </c>
      <c r="R449" s="13">
        <f>IFERROR(VLOOKUP(P449,Лист1!A$1:B$20,2,FALSE),0)</f>
        <v>784</v>
      </c>
      <c r="S449" s="13">
        <f t="shared" si="48"/>
        <v>1</v>
      </c>
    </row>
    <row r="450" spans="1:19" x14ac:dyDescent="0.25">
      <c r="A450" s="24" t="s">
        <v>1555</v>
      </c>
      <c r="B450" s="4" t="s">
        <v>1031</v>
      </c>
      <c r="C450" s="25" t="s">
        <v>7</v>
      </c>
      <c r="E450" s="3">
        <v>2</v>
      </c>
      <c r="F450" s="24" t="s">
        <v>1045</v>
      </c>
      <c r="G450" s="25" t="s">
        <v>1075</v>
      </c>
      <c r="H450" s="24" t="s">
        <v>1061</v>
      </c>
      <c r="I450" s="3" t="str">
        <f>IFERROR(VLOOKUP(C450,'Справочник соответствий'!A$2:D$2981,2,FALSE),IF(VALUE(C450)=0,1,VLOOKUP(C450,'Справочник соответствий'!A$2:D$2981,2,FALSE)))</f>
        <v>2</v>
      </c>
      <c r="J450" s="3">
        <f>IFERROR(VLOOKUP(D450,'Справочник соответствий'!A$2:D$2981,2,FALSE),IF(VALUE(D450)=0,0,VLOOKUP(D450,'Справочник соответствий'!A$2:D$2981,2,FALSE)))</f>
        <v>0</v>
      </c>
      <c r="K450" s="3">
        <f t="shared" si="42"/>
        <v>2</v>
      </c>
      <c r="L450" s="13" t="str">
        <f>IFERROR(VLOOKUP(C450,'Справочник соответствий'!A$2:D$2981,3,FALSE),IF(VALUE(C450)=0,"ЭТАЖ НЕ ОПРЕДЕЛЕН. ПРИНЯТ ПО ДОПУЩЕНИЮ 1",VLOOKUP(C450,'Справочник соответствий'!A$2:D$2981,3,FALSE)))</f>
        <v>ЭТАЖ ЗАДАН ЧИСЛОМ</v>
      </c>
      <c r="M450" s="13" t="b">
        <f t="shared" si="43"/>
        <v>0</v>
      </c>
      <c r="N450" s="13">
        <f t="shared" si="44"/>
        <v>2</v>
      </c>
      <c r="O450" s="13" t="str">
        <f t="shared" si="45"/>
        <v>ЭТАЖ ЗАДАН ЧИСЛОМ</v>
      </c>
      <c r="P450" s="13" t="str">
        <f t="shared" si="46"/>
        <v>МКД_ЭТАЖ ЗАДАН ЧИСЛОМ</v>
      </c>
      <c r="Q450" s="13" t="str">
        <f t="shared" si="47"/>
        <v>ГОТОВ</v>
      </c>
      <c r="R450" s="13">
        <f>IFERROR(VLOOKUP(P450,Лист1!A$1:B$20,2,FALSE),0)</f>
        <v>786</v>
      </c>
      <c r="S450" s="13">
        <f t="shared" si="48"/>
        <v>2</v>
      </c>
    </row>
    <row r="451" spans="1:19" x14ac:dyDescent="0.25">
      <c r="A451" s="24" t="s">
        <v>1556</v>
      </c>
      <c r="B451" s="4" t="s">
        <v>1059</v>
      </c>
      <c r="C451" s="25" t="s">
        <v>7</v>
      </c>
      <c r="G451" s="25" t="s">
        <v>1086</v>
      </c>
      <c r="H451" s="24" t="s">
        <v>1061</v>
      </c>
      <c r="I451" s="3" t="str">
        <f>IFERROR(VLOOKUP(C451,'Справочник соответствий'!A$2:D$2981,2,FALSE),IF(VALUE(C451)=0,1,VLOOKUP(C451,'Справочник соответствий'!A$2:D$2981,2,FALSE)))</f>
        <v>2</v>
      </c>
      <c r="J451" s="3">
        <f>IFERROR(VLOOKUP(D451,'Справочник соответствий'!A$2:D$2981,2,FALSE),IF(VALUE(D451)=0,0,VLOOKUP(D451,'Справочник соответствий'!A$2:D$2981,2,FALSE)))</f>
        <v>0</v>
      </c>
      <c r="K451" s="3" t="str">
        <f t="shared" si="42"/>
        <v>2</v>
      </c>
      <c r="L451" s="13" t="str">
        <f>IFERROR(VLOOKUP(C451,'Справочник соответствий'!A$2:D$2981,3,FALSE),IF(VALUE(C451)=0,"ЭТАЖ НЕ ОПРЕДЕЛЕН. ПРИНЯТ ПО ДОПУЩЕНИЮ 1",VLOOKUP(C451,'Справочник соответствий'!A$2:D$2981,3,FALSE)))</f>
        <v>ЭТАЖ ЗАДАН ЧИСЛОМ</v>
      </c>
      <c r="M451" s="13" t="b">
        <f t="shared" si="43"/>
        <v>0</v>
      </c>
      <c r="N451" s="13">
        <f t="shared" si="44"/>
        <v>2</v>
      </c>
      <c r="O451" s="13" t="str">
        <f t="shared" si="45"/>
        <v>ЭТАЖ ЗАДАН ЧИСЛОМ</v>
      </c>
      <c r="P451" s="13" t="str">
        <f t="shared" si="46"/>
        <v>ЭТАЖ ЗАДАН ЧИСЛОМ</v>
      </c>
      <c r="Q451" s="13" t="str">
        <f t="shared" si="47"/>
        <v>ГОТОВ_ИЗМЕНЕН</v>
      </c>
      <c r="R451" s="13">
        <f>IFERROR(VLOOKUP(P451,Лист1!A$1:B$20,2,FALSE),0)</f>
        <v>784</v>
      </c>
      <c r="S451" s="13">
        <f t="shared" si="48"/>
        <v>0</v>
      </c>
    </row>
    <row r="452" spans="1:19" x14ac:dyDescent="0.25">
      <c r="A452" s="24" t="s">
        <v>1557</v>
      </c>
      <c r="B452" s="4" t="s">
        <v>1063</v>
      </c>
      <c r="C452" s="25" t="s">
        <v>5</v>
      </c>
      <c r="G452" s="25" t="s">
        <v>1086</v>
      </c>
      <c r="H452" s="24" t="s">
        <v>1061</v>
      </c>
      <c r="I452" s="3" t="str">
        <f>IFERROR(VLOOKUP(C452,'Справочник соответствий'!A$2:D$2981,2,FALSE),IF(VALUE(C452)=0,1,VLOOKUP(C452,'Справочник соответствий'!A$2:D$2981,2,FALSE)))</f>
        <v>1</v>
      </c>
      <c r="J452" s="3">
        <f>IFERROR(VLOOKUP(D452,'Справочник соответствий'!A$2:D$2981,2,FALSE),IF(VALUE(D452)=0,0,VLOOKUP(D452,'Справочник соответствий'!A$2:D$2981,2,FALSE)))</f>
        <v>0</v>
      </c>
      <c r="K452" s="3" t="str">
        <f t="shared" si="42"/>
        <v>1</v>
      </c>
      <c r="L452" s="13" t="str">
        <f>IFERROR(VLOOKUP(C452,'Справочник соответствий'!A$2:D$2981,3,FALSE),IF(VALUE(C452)=0,"ЭТАЖ НЕ ОПРЕДЕЛЕН. ПРИНЯТ ПО ДОПУЩЕНИЮ 1",VLOOKUP(C452,'Справочник соответствий'!A$2:D$2981,3,FALSE)))</f>
        <v>ЭТАЖ ЗАДАН ЧИСЛОМ</v>
      </c>
      <c r="M452" s="13" t="b">
        <f t="shared" si="43"/>
        <v>0</v>
      </c>
      <c r="N452" s="13">
        <f t="shared" si="44"/>
        <v>1</v>
      </c>
      <c r="O452" s="13" t="str">
        <f t="shared" si="45"/>
        <v>ЭТАЖ ЗАДАН ЧИСЛОМ</v>
      </c>
      <c r="P452" s="13" t="str">
        <f t="shared" si="46"/>
        <v>ЭТАЖ ЗАДАН ЧИСЛОМ</v>
      </c>
      <c r="Q452" s="13" t="str">
        <f t="shared" si="47"/>
        <v>ГОТОВ_ИЗМЕНЕН</v>
      </c>
      <c r="R452" s="13">
        <f>IFERROR(VLOOKUP(P452,Лист1!A$1:B$20,2,FALSE),0)</f>
        <v>784</v>
      </c>
      <c r="S452" s="13">
        <f t="shared" si="48"/>
        <v>0</v>
      </c>
    </row>
    <row r="453" spans="1:19" x14ac:dyDescent="0.25">
      <c r="A453" s="24" t="s">
        <v>1558</v>
      </c>
      <c r="B453" s="4" t="s">
        <v>1059</v>
      </c>
      <c r="C453" s="25" t="s">
        <v>7</v>
      </c>
      <c r="G453" s="25" t="s">
        <v>1077</v>
      </c>
      <c r="H453" s="24" t="s">
        <v>1061</v>
      </c>
      <c r="I453" s="3" t="str">
        <f>IFERROR(VLOOKUP(C453,'Справочник соответствий'!A$2:D$2981,2,FALSE),IF(VALUE(C453)=0,1,VLOOKUP(C453,'Справочник соответствий'!A$2:D$2981,2,FALSE)))</f>
        <v>2</v>
      </c>
      <c r="J453" s="3">
        <f>IFERROR(VLOOKUP(D453,'Справочник соответствий'!A$2:D$2981,2,FALSE),IF(VALUE(D453)=0,0,VLOOKUP(D453,'Справочник соответствий'!A$2:D$2981,2,FALSE)))</f>
        <v>0</v>
      </c>
      <c r="K453" s="3" t="str">
        <f t="shared" ref="K453:K516" si="49">IF(B453="Многоквартирный дом",IF(I453-J453&gt;0,I453-J453,1),I453)</f>
        <v>2</v>
      </c>
      <c r="L453" s="13" t="str">
        <f>IFERROR(VLOOKUP(C453,'Справочник соответствий'!A$2:D$2981,3,FALSE),IF(VALUE(C453)=0,"ЭТАЖ НЕ ОПРЕДЕЛЕН. ПРИНЯТ ПО ДОПУЩЕНИЮ 1",VLOOKUP(C453,'Справочник соответствий'!A$2:D$2981,3,FALSE)))</f>
        <v>ЭТАЖ ЗАДАН ЧИСЛОМ</v>
      </c>
      <c r="M453" s="13" t="b">
        <f t="shared" ref="M453:M516" si="50">I453=E453</f>
        <v>0</v>
      </c>
      <c r="N453" s="13">
        <f t="shared" ref="N453:N516" si="51">IF(VALUE(E453)=0,VALUE(K453),IF(L453="ЭТАЖ НЕ ОПРЕДЕЛЕН. ПРИНЯТ ПО ДОПУЩЕНИЮ 1",VALUE(E453),VALUE(K453)))</f>
        <v>2</v>
      </c>
      <c r="O453" s="13" t="str">
        <f t="shared" ref="O453:O516" si="52">IF(VALUE(E453)=0,L453,IF(L453="ЭТАЖ НЕ ОПРЕДЕЛЕН. ПРИНЯТ ПО ДОПУЩЕНИЮ 1",F453,L453))</f>
        <v>ЭТАЖ ЗАДАН ЧИСЛОМ</v>
      </c>
      <c r="P453" s="13" t="str">
        <f t="shared" ref="P453:P516" si="53">IF(B453="Многоквартирный дом",CONCATENATE("МКД_",O453),O453)</f>
        <v>ЭТАЖ ЗАДАН ЧИСЛОМ</v>
      </c>
      <c r="Q453" s="13" t="str">
        <f t="shared" ref="Q453:Q516" si="54">IFERROR(IF(N453&gt;0,IF(N453=VALUE(E453),"ГОТОВ","ГОТОВ_ИЗМЕНЕН"),"НЕ ГОТОВ"),"НЕ ГОТОВ")</f>
        <v>ГОТОВ_ИЗМЕНЕН</v>
      </c>
      <c r="R453" s="13">
        <f>IFERROR(VLOOKUP(P453,Лист1!A$1:B$20,2,FALSE),0)</f>
        <v>784</v>
      </c>
      <c r="S453" s="13">
        <f t="shared" ref="S453:S516" si="55">VALUE(E453)</f>
        <v>0</v>
      </c>
    </row>
    <row r="454" spans="1:19" x14ac:dyDescent="0.25">
      <c r="A454" s="24" t="s">
        <v>1559</v>
      </c>
      <c r="B454" s="4" t="s">
        <v>1059</v>
      </c>
      <c r="C454" s="25" t="s">
        <v>5</v>
      </c>
      <c r="G454" s="25" t="s">
        <v>1077</v>
      </c>
      <c r="H454" s="24" t="s">
        <v>1061</v>
      </c>
      <c r="I454" s="3" t="str">
        <f>IFERROR(VLOOKUP(C454,'Справочник соответствий'!A$2:D$2981,2,FALSE),IF(VALUE(C454)=0,1,VLOOKUP(C454,'Справочник соответствий'!A$2:D$2981,2,FALSE)))</f>
        <v>1</v>
      </c>
      <c r="J454" s="3">
        <f>IFERROR(VLOOKUP(D454,'Справочник соответствий'!A$2:D$2981,2,FALSE),IF(VALUE(D454)=0,0,VLOOKUP(D454,'Справочник соответствий'!A$2:D$2981,2,FALSE)))</f>
        <v>0</v>
      </c>
      <c r="K454" s="3" t="str">
        <f t="shared" si="49"/>
        <v>1</v>
      </c>
      <c r="L454" s="13" t="str">
        <f>IFERROR(VLOOKUP(C454,'Справочник соответствий'!A$2:D$2981,3,FALSE),IF(VALUE(C454)=0,"ЭТАЖ НЕ ОПРЕДЕЛЕН. ПРИНЯТ ПО ДОПУЩЕНИЮ 1",VLOOKUP(C454,'Справочник соответствий'!A$2:D$2981,3,FALSE)))</f>
        <v>ЭТАЖ ЗАДАН ЧИСЛОМ</v>
      </c>
      <c r="M454" s="13" t="b">
        <f t="shared" si="50"/>
        <v>0</v>
      </c>
      <c r="N454" s="13">
        <f t="shared" si="51"/>
        <v>1</v>
      </c>
      <c r="O454" s="13" t="str">
        <f t="shared" si="52"/>
        <v>ЭТАЖ ЗАДАН ЧИСЛОМ</v>
      </c>
      <c r="P454" s="13" t="str">
        <f t="shared" si="53"/>
        <v>ЭТАЖ ЗАДАН ЧИСЛОМ</v>
      </c>
      <c r="Q454" s="13" t="str">
        <f t="shared" si="54"/>
        <v>ГОТОВ_ИЗМЕНЕН</v>
      </c>
      <c r="R454" s="13">
        <f>IFERROR(VLOOKUP(P454,Лист1!A$1:B$20,2,FALSE),0)</f>
        <v>784</v>
      </c>
      <c r="S454" s="13">
        <f t="shared" si="55"/>
        <v>0</v>
      </c>
    </row>
    <row r="455" spans="1:19" x14ac:dyDescent="0.25">
      <c r="A455" s="24" t="s">
        <v>1560</v>
      </c>
      <c r="B455" s="4" t="s">
        <v>1059</v>
      </c>
      <c r="C455" s="25" t="s">
        <v>5</v>
      </c>
      <c r="G455" s="25" t="s">
        <v>1077</v>
      </c>
      <c r="H455" s="24" t="s">
        <v>1061</v>
      </c>
      <c r="I455" s="3" t="str">
        <f>IFERROR(VLOOKUP(C455,'Справочник соответствий'!A$2:D$2981,2,FALSE),IF(VALUE(C455)=0,1,VLOOKUP(C455,'Справочник соответствий'!A$2:D$2981,2,FALSE)))</f>
        <v>1</v>
      </c>
      <c r="J455" s="3">
        <f>IFERROR(VLOOKUP(D455,'Справочник соответствий'!A$2:D$2981,2,FALSE),IF(VALUE(D455)=0,0,VLOOKUP(D455,'Справочник соответствий'!A$2:D$2981,2,FALSE)))</f>
        <v>0</v>
      </c>
      <c r="K455" s="3" t="str">
        <f t="shared" si="49"/>
        <v>1</v>
      </c>
      <c r="L455" s="13" t="str">
        <f>IFERROR(VLOOKUP(C455,'Справочник соответствий'!A$2:D$2981,3,FALSE),IF(VALUE(C455)=0,"ЭТАЖ НЕ ОПРЕДЕЛЕН. ПРИНЯТ ПО ДОПУЩЕНИЮ 1",VLOOKUP(C455,'Справочник соответствий'!A$2:D$2981,3,FALSE)))</f>
        <v>ЭТАЖ ЗАДАН ЧИСЛОМ</v>
      </c>
      <c r="M455" s="13" t="b">
        <f t="shared" si="50"/>
        <v>0</v>
      </c>
      <c r="N455" s="13">
        <f t="shared" si="51"/>
        <v>1</v>
      </c>
      <c r="O455" s="13" t="str">
        <f t="shared" si="52"/>
        <v>ЭТАЖ ЗАДАН ЧИСЛОМ</v>
      </c>
      <c r="P455" s="13" t="str">
        <f t="shared" si="53"/>
        <v>ЭТАЖ ЗАДАН ЧИСЛОМ</v>
      </c>
      <c r="Q455" s="13" t="str">
        <f t="shared" si="54"/>
        <v>ГОТОВ_ИЗМЕНЕН</v>
      </c>
      <c r="R455" s="13">
        <f>IFERROR(VLOOKUP(P455,Лист1!A$1:B$20,2,FALSE),0)</f>
        <v>784</v>
      </c>
      <c r="S455" s="13">
        <f t="shared" si="55"/>
        <v>0</v>
      </c>
    </row>
    <row r="456" spans="1:19" x14ac:dyDescent="0.25">
      <c r="A456" s="24" t="s">
        <v>1561</v>
      </c>
      <c r="B456" s="4" t="s">
        <v>1063</v>
      </c>
      <c r="C456" s="25" t="s">
        <v>5</v>
      </c>
      <c r="G456" s="25" t="s">
        <v>1086</v>
      </c>
      <c r="H456" s="24" t="s">
        <v>1061</v>
      </c>
      <c r="I456" s="3" t="str">
        <f>IFERROR(VLOOKUP(C456,'Справочник соответствий'!A$2:D$2981,2,FALSE),IF(VALUE(C456)=0,1,VLOOKUP(C456,'Справочник соответствий'!A$2:D$2981,2,FALSE)))</f>
        <v>1</v>
      </c>
      <c r="J456" s="3">
        <f>IFERROR(VLOOKUP(D456,'Справочник соответствий'!A$2:D$2981,2,FALSE),IF(VALUE(D456)=0,0,VLOOKUP(D456,'Справочник соответствий'!A$2:D$2981,2,FALSE)))</f>
        <v>0</v>
      </c>
      <c r="K456" s="3" t="str">
        <f t="shared" si="49"/>
        <v>1</v>
      </c>
      <c r="L456" s="13" t="str">
        <f>IFERROR(VLOOKUP(C456,'Справочник соответствий'!A$2:D$2981,3,FALSE),IF(VALUE(C456)=0,"ЭТАЖ НЕ ОПРЕДЕЛЕН. ПРИНЯТ ПО ДОПУЩЕНИЮ 1",VLOOKUP(C456,'Справочник соответствий'!A$2:D$2981,3,FALSE)))</f>
        <v>ЭТАЖ ЗАДАН ЧИСЛОМ</v>
      </c>
      <c r="M456" s="13" t="b">
        <f t="shared" si="50"/>
        <v>0</v>
      </c>
      <c r="N456" s="13">
        <f t="shared" si="51"/>
        <v>1</v>
      </c>
      <c r="O456" s="13" t="str">
        <f t="shared" si="52"/>
        <v>ЭТАЖ ЗАДАН ЧИСЛОМ</v>
      </c>
      <c r="P456" s="13" t="str">
        <f t="shared" si="53"/>
        <v>ЭТАЖ ЗАДАН ЧИСЛОМ</v>
      </c>
      <c r="Q456" s="13" t="str">
        <f t="shared" si="54"/>
        <v>ГОТОВ_ИЗМЕНЕН</v>
      </c>
      <c r="R456" s="13">
        <f>IFERROR(VLOOKUP(P456,Лист1!A$1:B$20,2,FALSE),0)</f>
        <v>784</v>
      </c>
      <c r="S456" s="13">
        <f t="shared" si="55"/>
        <v>0</v>
      </c>
    </row>
    <row r="457" spans="1:19" x14ac:dyDescent="0.25">
      <c r="A457" s="24" t="s">
        <v>1562</v>
      </c>
      <c r="B457" s="4" t="s">
        <v>1063</v>
      </c>
      <c r="C457" s="25" t="s">
        <v>5</v>
      </c>
      <c r="G457" s="25" t="s">
        <v>1086</v>
      </c>
      <c r="H457" s="24" t="s">
        <v>1061</v>
      </c>
      <c r="I457" s="3" t="str">
        <f>IFERROR(VLOOKUP(C457,'Справочник соответствий'!A$2:D$2981,2,FALSE),IF(VALUE(C457)=0,1,VLOOKUP(C457,'Справочник соответствий'!A$2:D$2981,2,FALSE)))</f>
        <v>1</v>
      </c>
      <c r="J457" s="3">
        <f>IFERROR(VLOOKUP(D457,'Справочник соответствий'!A$2:D$2981,2,FALSE),IF(VALUE(D457)=0,0,VLOOKUP(D457,'Справочник соответствий'!A$2:D$2981,2,FALSE)))</f>
        <v>0</v>
      </c>
      <c r="K457" s="3" t="str">
        <f t="shared" si="49"/>
        <v>1</v>
      </c>
      <c r="L457" s="13" t="str">
        <f>IFERROR(VLOOKUP(C457,'Справочник соответствий'!A$2:D$2981,3,FALSE),IF(VALUE(C457)=0,"ЭТАЖ НЕ ОПРЕДЕЛЕН. ПРИНЯТ ПО ДОПУЩЕНИЮ 1",VLOOKUP(C457,'Справочник соответствий'!A$2:D$2981,3,FALSE)))</f>
        <v>ЭТАЖ ЗАДАН ЧИСЛОМ</v>
      </c>
      <c r="M457" s="13" t="b">
        <f t="shared" si="50"/>
        <v>0</v>
      </c>
      <c r="N457" s="13">
        <f t="shared" si="51"/>
        <v>1</v>
      </c>
      <c r="O457" s="13" t="str">
        <f t="shared" si="52"/>
        <v>ЭТАЖ ЗАДАН ЧИСЛОМ</v>
      </c>
      <c r="P457" s="13" t="str">
        <f t="shared" si="53"/>
        <v>ЭТАЖ ЗАДАН ЧИСЛОМ</v>
      </c>
      <c r="Q457" s="13" t="str">
        <f t="shared" si="54"/>
        <v>ГОТОВ_ИЗМЕНЕН</v>
      </c>
      <c r="R457" s="13">
        <f>IFERROR(VLOOKUP(P457,Лист1!A$1:B$20,2,FALSE),0)</f>
        <v>784</v>
      </c>
      <c r="S457" s="13">
        <f t="shared" si="55"/>
        <v>0</v>
      </c>
    </row>
    <row r="458" spans="1:19" x14ac:dyDescent="0.25">
      <c r="A458" s="24" t="s">
        <v>1563</v>
      </c>
      <c r="B458" s="4" t="s">
        <v>1063</v>
      </c>
      <c r="C458" s="25" t="s">
        <v>5</v>
      </c>
      <c r="G458" s="25" t="s">
        <v>1086</v>
      </c>
      <c r="H458" s="24" t="s">
        <v>1061</v>
      </c>
      <c r="I458" s="3" t="str">
        <f>IFERROR(VLOOKUP(C458,'Справочник соответствий'!A$2:D$2981,2,FALSE),IF(VALUE(C458)=0,1,VLOOKUP(C458,'Справочник соответствий'!A$2:D$2981,2,FALSE)))</f>
        <v>1</v>
      </c>
      <c r="J458" s="3">
        <f>IFERROR(VLOOKUP(D458,'Справочник соответствий'!A$2:D$2981,2,FALSE),IF(VALUE(D458)=0,0,VLOOKUP(D458,'Справочник соответствий'!A$2:D$2981,2,FALSE)))</f>
        <v>0</v>
      </c>
      <c r="K458" s="3" t="str">
        <f t="shared" si="49"/>
        <v>1</v>
      </c>
      <c r="L458" s="13" t="str">
        <f>IFERROR(VLOOKUP(C458,'Справочник соответствий'!A$2:D$2981,3,FALSE),IF(VALUE(C458)=0,"ЭТАЖ НЕ ОПРЕДЕЛЕН. ПРИНЯТ ПО ДОПУЩЕНИЮ 1",VLOOKUP(C458,'Справочник соответствий'!A$2:D$2981,3,FALSE)))</f>
        <v>ЭТАЖ ЗАДАН ЧИСЛОМ</v>
      </c>
      <c r="M458" s="13" t="b">
        <f t="shared" si="50"/>
        <v>0</v>
      </c>
      <c r="N458" s="13">
        <f t="shared" si="51"/>
        <v>1</v>
      </c>
      <c r="O458" s="13" t="str">
        <f t="shared" si="52"/>
        <v>ЭТАЖ ЗАДАН ЧИСЛОМ</v>
      </c>
      <c r="P458" s="13" t="str">
        <f t="shared" si="53"/>
        <v>ЭТАЖ ЗАДАН ЧИСЛОМ</v>
      </c>
      <c r="Q458" s="13" t="str">
        <f t="shared" si="54"/>
        <v>ГОТОВ_ИЗМЕНЕН</v>
      </c>
      <c r="R458" s="13">
        <f>IFERROR(VLOOKUP(P458,Лист1!A$1:B$20,2,FALSE),0)</f>
        <v>784</v>
      </c>
      <c r="S458" s="13">
        <f t="shared" si="55"/>
        <v>0</v>
      </c>
    </row>
    <row r="459" spans="1:19" x14ac:dyDescent="0.25">
      <c r="A459" s="24" t="s">
        <v>1564</v>
      </c>
      <c r="B459" s="4" t="s">
        <v>1059</v>
      </c>
      <c r="C459" s="25" t="s">
        <v>7</v>
      </c>
      <c r="G459" s="25" t="s">
        <v>1080</v>
      </c>
      <c r="H459" s="24" t="s">
        <v>1061</v>
      </c>
      <c r="I459" s="3" t="str">
        <f>IFERROR(VLOOKUP(C459,'Справочник соответствий'!A$2:D$2981,2,FALSE),IF(VALUE(C459)=0,1,VLOOKUP(C459,'Справочник соответствий'!A$2:D$2981,2,FALSE)))</f>
        <v>2</v>
      </c>
      <c r="J459" s="3">
        <f>IFERROR(VLOOKUP(D459,'Справочник соответствий'!A$2:D$2981,2,FALSE),IF(VALUE(D459)=0,0,VLOOKUP(D459,'Справочник соответствий'!A$2:D$2981,2,FALSE)))</f>
        <v>0</v>
      </c>
      <c r="K459" s="3" t="str">
        <f t="shared" si="49"/>
        <v>2</v>
      </c>
      <c r="L459" s="13" t="str">
        <f>IFERROR(VLOOKUP(C459,'Справочник соответствий'!A$2:D$2981,3,FALSE),IF(VALUE(C459)=0,"ЭТАЖ НЕ ОПРЕДЕЛЕН. ПРИНЯТ ПО ДОПУЩЕНИЮ 1",VLOOKUP(C459,'Справочник соответствий'!A$2:D$2981,3,FALSE)))</f>
        <v>ЭТАЖ ЗАДАН ЧИСЛОМ</v>
      </c>
      <c r="M459" s="13" t="b">
        <f t="shared" si="50"/>
        <v>0</v>
      </c>
      <c r="N459" s="13">
        <f t="shared" si="51"/>
        <v>2</v>
      </c>
      <c r="O459" s="13" t="str">
        <f t="shared" si="52"/>
        <v>ЭТАЖ ЗАДАН ЧИСЛОМ</v>
      </c>
      <c r="P459" s="13" t="str">
        <f t="shared" si="53"/>
        <v>ЭТАЖ ЗАДАН ЧИСЛОМ</v>
      </c>
      <c r="Q459" s="13" t="str">
        <f t="shared" si="54"/>
        <v>ГОТОВ_ИЗМЕНЕН</v>
      </c>
      <c r="R459" s="13">
        <f>IFERROR(VLOOKUP(P459,Лист1!A$1:B$20,2,FALSE),0)</f>
        <v>784</v>
      </c>
      <c r="S459" s="13">
        <f t="shared" si="55"/>
        <v>0</v>
      </c>
    </row>
    <row r="460" spans="1:19" x14ac:dyDescent="0.25">
      <c r="A460" s="24" t="s">
        <v>1565</v>
      </c>
      <c r="B460" s="4" t="s">
        <v>1059</v>
      </c>
      <c r="C460" s="25" t="s">
        <v>5</v>
      </c>
      <c r="G460" s="25" t="s">
        <v>1080</v>
      </c>
      <c r="H460" s="24" t="s">
        <v>1061</v>
      </c>
      <c r="I460" s="3" t="str">
        <f>IFERROR(VLOOKUP(C460,'Справочник соответствий'!A$2:D$2981,2,FALSE),IF(VALUE(C460)=0,1,VLOOKUP(C460,'Справочник соответствий'!A$2:D$2981,2,FALSE)))</f>
        <v>1</v>
      </c>
      <c r="J460" s="3">
        <f>IFERROR(VLOOKUP(D460,'Справочник соответствий'!A$2:D$2981,2,FALSE),IF(VALUE(D460)=0,0,VLOOKUP(D460,'Справочник соответствий'!A$2:D$2981,2,FALSE)))</f>
        <v>0</v>
      </c>
      <c r="K460" s="3" t="str">
        <f t="shared" si="49"/>
        <v>1</v>
      </c>
      <c r="L460" s="13" t="str">
        <f>IFERROR(VLOOKUP(C460,'Справочник соответствий'!A$2:D$2981,3,FALSE),IF(VALUE(C460)=0,"ЭТАЖ НЕ ОПРЕДЕЛЕН. ПРИНЯТ ПО ДОПУЩЕНИЮ 1",VLOOKUP(C460,'Справочник соответствий'!A$2:D$2981,3,FALSE)))</f>
        <v>ЭТАЖ ЗАДАН ЧИСЛОМ</v>
      </c>
      <c r="M460" s="13" t="b">
        <f t="shared" si="50"/>
        <v>0</v>
      </c>
      <c r="N460" s="13">
        <f t="shared" si="51"/>
        <v>1</v>
      </c>
      <c r="O460" s="13" t="str">
        <f t="shared" si="52"/>
        <v>ЭТАЖ ЗАДАН ЧИСЛОМ</v>
      </c>
      <c r="P460" s="13" t="str">
        <f t="shared" si="53"/>
        <v>ЭТАЖ ЗАДАН ЧИСЛОМ</v>
      </c>
      <c r="Q460" s="13" t="str">
        <f t="shared" si="54"/>
        <v>ГОТОВ_ИЗМЕНЕН</v>
      </c>
      <c r="R460" s="13">
        <f>IFERROR(VLOOKUP(P460,Лист1!A$1:B$20,2,FALSE),0)</f>
        <v>784</v>
      </c>
      <c r="S460" s="13">
        <f t="shared" si="55"/>
        <v>0</v>
      </c>
    </row>
    <row r="461" spans="1:19" x14ac:dyDescent="0.25">
      <c r="A461" s="24" t="s">
        <v>1566</v>
      </c>
      <c r="B461" s="4" t="s">
        <v>1059</v>
      </c>
      <c r="C461" s="25" t="s">
        <v>7</v>
      </c>
      <c r="G461" s="25" t="s">
        <v>1080</v>
      </c>
      <c r="H461" s="24" t="s">
        <v>1061</v>
      </c>
      <c r="I461" s="3" t="str">
        <f>IFERROR(VLOOKUP(C461,'Справочник соответствий'!A$2:D$2981,2,FALSE),IF(VALUE(C461)=0,1,VLOOKUP(C461,'Справочник соответствий'!A$2:D$2981,2,FALSE)))</f>
        <v>2</v>
      </c>
      <c r="J461" s="3">
        <f>IFERROR(VLOOKUP(D461,'Справочник соответствий'!A$2:D$2981,2,FALSE),IF(VALUE(D461)=0,0,VLOOKUP(D461,'Справочник соответствий'!A$2:D$2981,2,FALSE)))</f>
        <v>0</v>
      </c>
      <c r="K461" s="3" t="str">
        <f t="shared" si="49"/>
        <v>2</v>
      </c>
      <c r="L461" s="13" t="str">
        <f>IFERROR(VLOOKUP(C461,'Справочник соответствий'!A$2:D$2981,3,FALSE),IF(VALUE(C461)=0,"ЭТАЖ НЕ ОПРЕДЕЛЕН. ПРИНЯТ ПО ДОПУЩЕНИЮ 1",VLOOKUP(C461,'Справочник соответствий'!A$2:D$2981,3,FALSE)))</f>
        <v>ЭТАЖ ЗАДАН ЧИСЛОМ</v>
      </c>
      <c r="M461" s="13" t="b">
        <f t="shared" si="50"/>
        <v>0</v>
      </c>
      <c r="N461" s="13">
        <f t="shared" si="51"/>
        <v>2</v>
      </c>
      <c r="O461" s="13" t="str">
        <f t="shared" si="52"/>
        <v>ЭТАЖ ЗАДАН ЧИСЛОМ</v>
      </c>
      <c r="P461" s="13" t="str">
        <f t="shared" si="53"/>
        <v>ЭТАЖ ЗАДАН ЧИСЛОМ</v>
      </c>
      <c r="Q461" s="13" t="str">
        <f t="shared" si="54"/>
        <v>ГОТОВ_ИЗМЕНЕН</v>
      </c>
      <c r="R461" s="13">
        <f>IFERROR(VLOOKUP(P461,Лист1!A$1:B$20,2,FALSE),0)</f>
        <v>784</v>
      </c>
      <c r="S461" s="13">
        <f t="shared" si="55"/>
        <v>0</v>
      </c>
    </row>
    <row r="462" spans="1:19" x14ac:dyDescent="0.25">
      <c r="A462" s="24" t="s">
        <v>1567</v>
      </c>
      <c r="B462" s="4" t="s">
        <v>1059</v>
      </c>
      <c r="C462" s="25" t="s">
        <v>5</v>
      </c>
      <c r="G462" s="25" t="s">
        <v>1080</v>
      </c>
      <c r="H462" s="24" t="s">
        <v>1061</v>
      </c>
      <c r="I462" s="3" t="str">
        <f>IFERROR(VLOOKUP(C462,'Справочник соответствий'!A$2:D$2981,2,FALSE),IF(VALUE(C462)=0,1,VLOOKUP(C462,'Справочник соответствий'!A$2:D$2981,2,FALSE)))</f>
        <v>1</v>
      </c>
      <c r="J462" s="3">
        <f>IFERROR(VLOOKUP(D462,'Справочник соответствий'!A$2:D$2981,2,FALSE),IF(VALUE(D462)=0,0,VLOOKUP(D462,'Справочник соответствий'!A$2:D$2981,2,FALSE)))</f>
        <v>0</v>
      </c>
      <c r="K462" s="3" t="str">
        <f t="shared" si="49"/>
        <v>1</v>
      </c>
      <c r="L462" s="13" t="str">
        <f>IFERROR(VLOOKUP(C462,'Справочник соответствий'!A$2:D$2981,3,FALSE),IF(VALUE(C462)=0,"ЭТАЖ НЕ ОПРЕДЕЛЕН. ПРИНЯТ ПО ДОПУЩЕНИЮ 1",VLOOKUP(C462,'Справочник соответствий'!A$2:D$2981,3,FALSE)))</f>
        <v>ЭТАЖ ЗАДАН ЧИСЛОМ</v>
      </c>
      <c r="M462" s="13" t="b">
        <f t="shared" si="50"/>
        <v>0</v>
      </c>
      <c r="N462" s="13">
        <f t="shared" si="51"/>
        <v>1</v>
      </c>
      <c r="O462" s="13" t="str">
        <f t="shared" si="52"/>
        <v>ЭТАЖ ЗАДАН ЧИСЛОМ</v>
      </c>
      <c r="P462" s="13" t="str">
        <f t="shared" si="53"/>
        <v>ЭТАЖ ЗАДАН ЧИСЛОМ</v>
      </c>
      <c r="Q462" s="13" t="str">
        <f t="shared" si="54"/>
        <v>ГОТОВ_ИЗМЕНЕН</v>
      </c>
      <c r="R462" s="13">
        <f>IFERROR(VLOOKUP(P462,Лист1!A$1:B$20,2,FALSE),0)</f>
        <v>784</v>
      </c>
      <c r="S462" s="13">
        <f t="shared" si="55"/>
        <v>0</v>
      </c>
    </row>
    <row r="463" spans="1:19" x14ac:dyDescent="0.25">
      <c r="A463" s="24" t="s">
        <v>1568</v>
      </c>
      <c r="B463" s="4" t="s">
        <v>1059</v>
      </c>
      <c r="C463" s="25" t="s">
        <v>7</v>
      </c>
      <c r="G463" s="25" t="s">
        <v>1086</v>
      </c>
      <c r="H463" s="24" t="s">
        <v>1061</v>
      </c>
      <c r="I463" s="3" t="str">
        <f>IFERROR(VLOOKUP(C463,'Справочник соответствий'!A$2:D$2981,2,FALSE),IF(VALUE(C463)=0,1,VLOOKUP(C463,'Справочник соответствий'!A$2:D$2981,2,FALSE)))</f>
        <v>2</v>
      </c>
      <c r="J463" s="3">
        <f>IFERROR(VLOOKUP(D463,'Справочник соответствий'!A$2:D$2981,2,FALSE),IF(VALUE(D463)=0,0,VLOOKUP(D463,'Справочник соответствий'!A$2:D$2981,2,FALSE)))</f>
        <v>0</v>
      </c>
      <c r="K463" s="3" t="str">
        <f t="shared" si="49"/>
        <v>2</v>
      </c>
      <c r="L463" s="13" t="str">
        <f>IFERROR(VLOOKUP(C463,'Справочник соответствий'!A$2:D$2981,3,FALSE),IF(VALUE(C463)=0,"ЭТАЖ НЕ ОПРЕДЕЛЕН. ПРИНЯТ ПО ДОПУЩЕНИЮ 1",VLOOKUP(C463,'Справочник соответствий'!A$2:D$2981,3,FALSE)))</f>
        <v>ЭТАЖ ЗАДАН ЧИСЛОМ</v>
      </c>
      <c r="M463" s="13" t="b">
        <f t="shared" si="50"/>
        <v>0</v>
      </c>
      <c r="N463" s="13">
        <f t="shared" si="51"/>
        <v>2</v>
      </c>
      <c r="O463" s="13" t="str">
        <f t="shared" si="52"/>
        <v>ЭТАЖ ЗАДАН ЧИСЛОМ</v>
      </c>
      <c r="P463" s="13" t="str">
        <f t="shared" si="53"/>
        <v>ЭТАЖ ЗАДАН ЧИСЛОМ</v>
      </c>
      <c r="Q463" s="13" t="str">
        <f t="shared" si="54"/>
        <v>ГОТОВ_ИЗМЕНЕН</v>
      </c>
      <c r="R463" s="13">
        <f>IFERROR(VLOOKUP(P463,Лист1!A$1:B$20,2,FALSE),0)</f>
        <v>784</v>
      </c>
      <c r="S463" s="13">
        <f t="shared" si="55"/>
        <v>0</v>
      </c>
    </row>
    <row r="464" spans="1:19" x14ac:dyDescent="0.25">
      <c r="A464" s="24" t="s">
        <v>1569</v>
      </c>
      <c r="B464" s="4" t="s">
        <v>1063</v>
      </c>
      <c r="C464" s="25" t="s">
        <v>5</v>
      </c>
      <c r="G464" s="25" t="s">
        <v>1086</v>
      </c>
      <c r="H464" s="24" t="s">
        <v>1061</v>
      </c>
      <c r="I464" s="3" t="str">
        <f>IFERROR(VLOOKUP(C464,'Справочник соответствий'!A$2:D$2981,2,FALSE),IF(VALUE(C464)=0,1,VLOOKUP(C464,'Справочник соответствий'!A$2:D$2981,2,FALSE)))</f>
        <v>1</v>
      </c>
      <c r="J464" s="3">
        <f>IFERROR(VLOOKUP(D464,'Справочник соответствий'!A$2:D$2981,2,FALSE),IF(VALUE(D464)=0,0,VLOOKUP(D464,'Справочник соответствий'!A$2:D$2981,2,FALSE)))</f>
        <v>0</v>
      </c>
      <c r="K464" s="3" t="str">
        <f t="shared" si="49"/>
        <v>1</v>
      </c>
      <c r="L464" s="13" t="str">
        <f>IFERROR(VLOOKUP(C464,'Справочник соответствий'!A$2:D$2981,3,FALSE),IF(VALUE(C464)=0,"ЭТАЖ НЕ ОПРЕДЕЛЕН. ПРИНЯТ ПО ДОПУЩЕНИЮ 1",VLOOKUP(C464,'Справочник соответствий'!A$2:D$2981,3,FALSE)))</f>
        <v>ЭТАЖ ЗАДАН ЧИСЛОМ</v>
      </c>
      <c r="M464" s="13" t="b">
        <f t="shared" si="50"/>
        <v>0</v>
      </c>
      <c r="N464" s="13">
        <f t="shared" si="51"/>
        <v>1</v>
      </c>
      <c r="O464" s="13" t="str">
        <f t="shared" si="52"/>
        <v>ЭТАЖ ЗАДАН ЧИСЛОМ</v>
      </c>
      <c r="P464" s="13" t="str">
        <f t="shared" si="53"/>
        <v>ЭТАЖ ЗАДАН ЧИСЛОМ</v>
      </c>
      <c r="Q464" s="13" t="str">
        <f t="shared" si="54"/>
        <v>ГОТОВ_ИЗМЕНЕН</v>
      </c>
      <c r="R464" s="13">
        <f>IFERROR(VLOOKUP(P464,Лист1!A$1:B$20,2,FALSE),0)</f>
        <v>784</v>
      </c>
      <c r="S464" s="13">
        <f t="shared" si="55"/>
        <v>0</v>
      </c>
    </row>
    <row r="465" spans="1:19" x14ac:dyDescent="0.25">
      <c r="A465" s="24" t="s">
        <v>1570</v>
      </c>
      <c r="B465" s="4" t="s">
        <v>1031</v>
      </c>
      <c r="C465" s="25" t="s">
        <v>1571</v>
      </c>
      <c r="D465" s="25" t="s">
        <v>5</v>
      </c>
      <c r="G465" s="25" t="s">
        <v>1086</v>
      </c>
      <c r="H465" s="24" t="s">
        <v>1061</v>
      </c>
      <c r="I465" s="3" t="e">
        <f>IFERROR(VLOOKUP(C465,'Справочник соответствий'!A$2:D$2981,2,FALSE),IF(VALUE(C465)=0,1,VLOOKUP(C465,'Справочник соответствий'!A$2:D$2981,2,FALSE)))</f>
        <v>#N/A</v>
      </c>
      <c r="J465" s="3" t="str">
        <f>IFERROR(VLOOKUP(D465,'Справочник соответствий'!A$2:D$2981,2,FALSE),IF(VALUE(D465)=0,0,VLOOKUP(D465,'Справочник соответствий'!A$2:D$2981,2,FALSE)))</f>
        <v>1</v>
      </c>
      <c r="K465" s="3" t="e">
        <f t="shared" si="49"/>
        <v>#N/A</v>
      </c>
      <c r="L465" s="13" t="e">
        <f>IFERROR(VLOOKUP(C465,'Справочник соответствий'!A$2:D$2981,3,FALSE),IF(VALUE(C465)=0,"ЭТАЖ НЕ ОПРЕДЕЛЕН. ПРИНЯТ ПО ДОПУЩЕНИЮ 1",VLOOKUP(C465,'Справочник соответствий'!A$2:D$2981,3,FALSE)))</f>
        <v>#N/A</v>
      </c>
      <c r="M465" s="13" t="e">
        <f t="shared" si="50"/>
        <v>#N/A</v>
      </c>
      <c r="N465" s="13" t="e">
        <f t="shared" si="51"/>
        <v>#N/A</v>
      </c>
      <c r="O465" s="13" t="e">
        <f t="shared" si="52"/>
        <v>#N/A</v>
      </c>
      <c r="P465" s="13" t="e">
        <f t="shared" si="53"/>
        <v>#N/A</v>
      </c>
      <c r="Q465" s="13" t="str">
        <f t="shared" si="54"/>
        <v>НЕ ГОТОВ</v>
      </c>
      <c r="R465" s="13">
        <f>IFERROR(VLOOKUP(P465,Лист1!A$1:B$20,2,FALSE),0)</f>
        <v>0</v>
      </c>
      <c r="S465" s="13">
        <f t="shared" si="55"/>
        <v>0</v>
      </c>
    </row>
    <row r="466" spans="1:19" x14ac:dyDescent="0.25">
      <c r="A466" s="24" t="s">
        <v>1572</v>
      </c>
      <c r="B466" s="4" t="s">
        <v>1059</v>
      </c>
      <c r="C466" s="25" t="s">
        <v>7</v>
      </c>
      <c r="G466" s="25" t="s">
        <v>1077</v>
      </c>
      <c r="H466" s="24" t="s">
        <v>1061</v>
      </c>
      <c r="I466" s="3" t="str">
        <f>IFERROR(VLOOKUP(C466,'Справочник соответствий'!A$2:D$2981,2,FALSE),IF(VALUE(C466)=0,1,VLOOKUP(C466,'Справочник соответствий'!A$2:D$2981,2,FALSE)))</f>
        <v>2</v>
      </c>
      <c r="J466" s="3">
        <f>IFERROR(VLOOKUP(D466,'Справочник соответствий'!A$2:D$2981,2,FALSE),IF(VALUE(D466)=0,0,VLOOKUP(D466,'Справочник соответствий'!A$2:D$2981,2,FALSE)))</f>
        <v>0</v>
      </c>
      <c r="K466" s="3" t="str">
        <f t="shared" si="49"/>
        <v>2</v>
      </c>
      <c r="L466" s="13" t="str">
        <f>IFERROR(VLOOKUP(C466,'Справочник соответствий'!A$2:D$2981,3,FALSE),IF(VALUE(C466)=0,"ЭТАЖ НЕ ОПРЕДЕЛЕН. ПРИНЯТ ПО ДОПУЩЕНИЮ 1",VLOOKUP(C466,'Справочник соответствий'!A$2:D$2981,3,FALSE)))</f>
        <v>ЭТАЖ ЗАДАН ЧИСЛОМ</v>
      </c>
      <c r="M466" s="13" t="b">
        <f t="shared" si="50"/>
        <v>0</v>
      </c>
      <c r="N466" s="13">
        <f t="shared" si="51"/>
        <v>2</v>
      </c>
      <c r="O466" s="13" t="str">
        <f t="shared" si="52"/>
        <v>ЭТАЖ ЗАДАН ЧИСЛОМ</v>
      </c>
      <c r="P466" s="13" t="str">
        <f t="shared" si="53"/>
        <v>ЭТАЖ ЗАДАН ЧИСЛОМ</v>
      </c>
      <c r="Q466" s="13" t="str">
        <f t="shared" si="54"/>
        <v>ГОТОВ_ИЗМЕНЕН</v>
      </c>
      <c r="R466" s="13">
        <f>IFERROR(VLOOKUP(P466,Лист1!A$1:B$20,2,FALSE),0)</f>
        <v>784</v>
      </c>
      <c r="S466" s="13">
        <f t="shared" si="55"/>
        <v>0</v>
      </c>
    </row>
    <row r="467" spans="1:19" x14ac:dyDescent="0.25">
      <c r="A467" s="24" t="s">
        <v>1573</v>
      </c>
      <c r="B467" s="4" t="s">
        <v>1063</v>
      </c>
      <c r="C467" s="25" t="s">
        <v>5</v>
      </c>
      <c r="G467" s="25" t="s">
        <v>1086</v>
      </c>
      <c r="H467" s="24" t="s">
        <v>1061</v>
      </c>
      <c r="I467" s="3" t="str">
        <f>IFERROR(VLOOKUP(C467,'Справочник соответствий'!A$2:D$2981,2,FALSE),IF(VALUE(C467)=0,1,VLOOKUP(C467,'Справочник соответствий'!A$2:D$2981,2,FALSE)))</f>
        <v>1</v>
      </c>
      <c r="J467" s="3">
        <f>IFERROR(VLOOKUP(D467,'Справочник соответствий'!A$2:D$2981,2,FALSE),IF(VALUE(D467)=0,0,VLOOKUP(D467,'Справочник соответствий'!A$2:D$2981,2,FALSE)))</f>
        <v>0</v>
      </c>
      <c r="K467" s="3" t="str">
        <f t="shared" si="49"/>
        <v>1</v>
      </c>
      <c r="L467" s="13" t="str">
        <f>IFERROR(VLOOKUP(C467,'Справочник соответствий'!A$2:D$2981,3,FALSE),IF(VALUE(C467)=0,"ЭТАЖ НЕ ОПРЕДЕЛЕН. ПРИНЯТ ПО ДОПУЩЕНИЮ 1",VLOOKUP(C467,'Справочник соответствий'!A$2:D$2981,3,FALSE)))</f>
        <v>ЭТАЖ ЗАДАН ЧИСЛОМ</v>
      </c>
      <c r="M467" s="13" t="b">
        <f t="shared" si="50"/>
        <v>0</v>
      </c>
      <c r="N467" s="13">
        <f t="shared" si="51"/>
        <v>1</v>
      </c>
      <c r="O467" s="13" t="str">
        <f t="shared" si="52"/>
        <v>ЭТАЖ ЗАДАН ЧИСЛОМ</v>
      </c>
      <c r="P467" s="13" t="str">
        <f t="shared" si="53"/>
        <v>ЭТАЖ ЗАДАН ЧИСЛОМ</v>
      </c>
      <c r="Q467" s="13" t="str">
        <f t="shared" si="54"/>
        <v>ГОТОВ_ИЗМЕНЕН</v>
      </c>
      <c r="R467" s="13">
        <f>IFERROR(VLOOKUP(P467,Лист1!A$1:B$20,2,FALSE),0)</f>
        <v>784</v>
      </c>
      <c r="S467" s="13">
        <f t="shared" si="55"/>
        <v>0</v>
      </c>
    </row>
    <row r="468" spans="1:19" x14ac:dyDescent="0.25">
      <c r="A468" s="24" t="s">
        <v>1574</v>
      </c>
      <c r="B468" s="4" t="s">
        <v>1059</v>
      </c>
      <c r="C468" s="25" t="s">
        <v>5</v>
      </c>
      <c r="G468" s="25" t="s">
        <v>1080</v>
      </c>
      <c r="H468" s="24" t="s">
        <v>1061</v>
      </c>
      <c r="I468" s="3" t="str">
        <f>IFERROR(VLOOKUP(C468,'Справочник соответствий'!A$2:D$2981,2,FALSE),IF(VALUE(C468)=0,1,VLOOKUP(C468,'Справочник соответствий'!A$2:D$2981,2,FALSE)))</f>
        <v>1</v>
      </c>
      <c r="J468" s="3">
        <f>IFERROR(VLOOKUP(D468,'Справочник соответствий'!A$2:D$2981,2,FALSE),IF(VALUE(D468)=0,0,VLOOKUP(D468,'Справочник соответствий'!A$2:D$2981,2,FALSE)))</f>
        <v>0</v>
      </c>
      <c r="K468" s="3" t="str">
        <f t="shared" si="49"/>
        <v>1</v>
      </c>
      <c r="L468" s="13" t="str">
        <f>IFERROR(VLOOKUP(C468,'Справочник соответствий'!A$2:D$2981,3,FALSE),IF(VALUE(C468)=0,"ЭТАЖ НЕ ОПРЕДЕЛЕН. ПРИНЯТ ПО ДОПУЩЕНИЮ 1",VLOOKUP(C468,'Справочник соответствий'!A$2:D$2981,3,FALSE)))</f>
        <v>ЭТАЖ ЗАДАН ЧИСЛОМ</v>
      </c>
      <c r="M468" s="13" t="b">
        <f t="shared" si="50"/>
        <v>0</v>
      </c>
      <c r="N468" s="13">
        <f t="shared" si="51"/>
        <v>1</v>
      </c>
      <c r="O468" s="13" t="str">
        <f t="shared" si="52"/>
        <v>ЭТАЖ ЗАДАН ЧИСЛОМ</v>
      </c>
      <c r="P468" s="13" t="str">
        <f t="shared" si="53"/>
        <v>ЭТАЖ ЗАДАН ЧИСЛОМ</v>
      </c>
      <c r="Q468" s="13" t="str">
        <f t="shared" si="54"/>
        <v>ГОТОВ_ИЗМЕНЕН</v>
      </c>
      <c r="R468" s="13">
        <f>IFERROR(VLOOKUP(P468,Лист1!A$1:B$20,2,FALSE),0)</f>
        <v>784</v>
      </c>
      <c r="S468" s="13">
        <f t="shared" si="55"/>
        <v>0</v>
      </c>
    </row>
    <row r="469" spans="1:19" x14ac:dyDescent="0.25">
      <c r="A469" s="24" t="s">
        <v>1575</v>
      </c>
      <c r="B469" s="4" t="s">
        <v>1059</v>
      </c>
      <c r="C469" s="25" t="s">
        <v>7</v>
      </c>
      <c r="G469" s="25" t="s">
        <v>1080</v>
      </c>
      <c r="H469" s="24" t="s">
        <v>1061</v>
      </c>
      <c r="I469" s="3" t="str">
        <f>IFERROR(VLOOKUP(C469,'Справочник соответствий'!A$2:D$2981,2,FALSE),IF(VALUE(C469)=0,1,VLOOKUP(C469,'Справочник соответствий'!A$2:D$2981,2,FALSE)))</f>
        <v>2</v>
      </c>
      <c r="J469" s="3">
        <f>IFERROR(VLOOKUP(D469,'Справочник соответствий'!A$2:D$2981,2,FALSE),IF(VALUE(D469)=0,0,VLOOKUP(D469,'Справочник соответствий'!A$2:D$2981,2,FALSE)))</f>
        <v>0</v>
      </c>
      <c r="K469" s="3" t="str">
        <f t="shared" si="49"/>
        <v>2</v>
      </c>
      <c r="L469" s="13" t="str">
        <f>IFERROR(VLOOKUP(C469,'Справочник соответствий'!A$2:D$2981,3,FALSE),IF(VALUE(C469)=0,"ЭТАЖ НЕ ОПРЕДЕЛЕН. ПРИНЯТ ПО ДОПУЩЕНИЮ 1",VLOOKUP(C469,'Справочник соответствий'!A$2:D$2981,3,FALSE)))</f>
        <v>ЭТАЖ ЗАДАН ЧИСЛОМ</v>
      </c>
      <c r="M469" s="13" t="b">
        <f t="shared" si="50"/>
        <v>0</v>
      </c>
      <c r="N469" s="13">
        <f t="shared" si="51"/>
        <v>2</v>
      </c>
      <c r="O469" s="13" t="str">
        <f t="shared" si="52"/>
        <v>ЭТАЖ ЗАДАН ЧИСЛОМ</v>
      </c>
      <c r="P469" s="13" t="str">
        <f t="shared" si="53"/>
        <v>ЭТАЖ ЗАДАН ЧИСЛОМ</v>
      </c>
      <c r="Q469" s="13" t="str">
        <f t="shared" si="54"/>
        <v>ГОТОВ_ИЗМЕНЕН</v>
      </c>
      <c r="R469" s="13">
        <f>IFERROR(VLOOKUP(P469,Лист1!A$1:B$20,2,FALSE),0)</f>
        <v>784</v>
      </c>
      <c r="S469" s="13">
        <f t="shared" si="55"/>
        <v>0</v>
      </c>
    </row>
    <row r="470" spans="1:19" x14ac:dyDescent="0.25">
      <c r="A470" s="24" t="s">
        <v>1576</v>
      </c>
      <c r="B470" s="4" t="s">
        <v>1031</v>
      </c>
      <c r="C470" s="25" t="s">
        <v>7</v>
      </c>
      <c r="G470" s="25" t="s">
        <v>1080</v>
      </c>
      <c r="H470" s="24" t="s">
        <v>1061</v>
      </c>
      <c r="I470" s="3" t="str">
        <f>IFERROR(VLOOKUP(C470,'Справочник соответствий'!A$2:D$2981,2,FALSE),IF(VALUE(C470)=0,1,VLOOKUP(C470,'Справочник соответствий'!A$2:D$2981,2,FALSE)))</f>
        <v>2</v>
      </c>
      <c r="J470" s="3">
        <f>IFERROR(VLOOKUP(D470,'Справочник соответствий'!A$2:D$2981,2,FALSE),IF(VALUE(D470)=0,0,VLOOKUP(D470,'Справочник соответствий'!A$2:D$2981,2,FALSE)))</f>
        <v>0</v>
      </c>
      <c r="K470" s="3">
        <f t="shared" si="49"/>
        <v>2</v>
      </c>
      <c r="L470" s="13" t="str">
        <f>IFERROR(VLOOKUP(C470,'Справочник соответствий'!A$2:D$2981,3,FALSE),IF(VALUE(C470)=0,"ЭТАЖ НЕ ОПРЕДЕЛЕН. ПРИНЯТ ПО ДОПУЩЕНИЮ 1",VLOOKUP(C470,'Справочник соответствий'!A$2:D$2981,3,FALSE)))</f>
        <v>ЭТАЖ ЗАДАН ЧИСЛОМ</v>
      </c>
      <c r="M470" s="13" t="b">
        <f t="shared" si="50"/>
        <v>0</v>
      </c>
      <c r="N470" s="13">
        <f t="shared" si="51"/>
        <v>2</v>
      </c>
      <c r="O470" s="13" t="str">
        <f t="shared" si="52"/>
        <v>ЭТАЖ ЗАДАН ЧИСЛОМ</v>
      </c>
      <c r="P470" s="13" t="str">
        <f t="shared" si="53"/>
        <v>МКД_ЭТАЖ ЗАДАН ЧИСЛОМ</v>
      </c>
      <c r="Q470" s="13" t="str">
        <f t="shared" si="54"/>
        <v>ГОТОВ_ИЗМЕНЕН</v>
      </c>
      <c r="R470" s="13">
        <f>IFERROR(VLOOKUP(P470,Лист1!A$1:B$20,2,FALSE),0)</f>
        <v>786</v>
      </c>
      <c r="S470" s="13">
        <f t="shared" si="55"/>
        <v>0</v>
      </c>
    </row>
    <row r="471" spans="1:19" x14ac:dyDescent="0.25">
      <c r="A471" s="24" t="s">
        <v>1577</v>
      </c>
      <c r="B471" s="4" t="s">
        <v>1063</v>
      </c>
      <c r="C471" s="25" t="s">
        <v>5</v>
      </c>
      <c r="G471" s="25" t="s">
        <v>1080</v>
      </c>
      <c r="H471" s="24" t="s">
        <v>1061</v>
      </c>
      <c r="I471" s="3" t="str">
        <f>IFERROR(VLOOKUP(C471,'Справочник соответствий'!A$2:D$2981,2,FALSE),IF(VALUE(C471)=0,1,VLOOKUP(C471,'Справочник соответствий'!A$2:D$2981,2,FALSE)))</f>
        <v>1</v>
      </c>
      <c r="J471" s="3">
        <f>IFERROR(VLOOKUP(D471,'Справочник соответствий'!A$2:D$2981,2,FALSE),IF(VALUE(D471)=0,0,VLOOKUP(D471,'Справочник соответствий'!A$2:D$2981,2,FALSE)))</f>
        <v>0</v>
      </c>
      <c r="K471" s="3" t="str">
        <f t="shared" si="49"/>
        <v>1</v>
      </c>
      <c r="L471" s="13" t="str">
        <f>IFERROR(VLOOKUP(C471,'Справочник соответствий'!A$2:D$2981,3,FALSE),IF(VALUE(C471)=0,"ЭТАЖ НЕ ОПРЕДЕЛЕН. ПРИНЯТ ПО ДОПУЩЕНИЮ 1",VLOOKUP(C471,'Справочник соответствий'!A$2:D$2981,3,FALSE)))</f>
        <v>ЭТАЖ ЗАДАН ЧИСЛОМ</v>
      </c>
      <c r="M471" s="13" t="b">
        <f t="shared" si="50"/>
        <v>0</v>
      </c>
      <c r="N471" s="13">
        <f t="shared" si="51"/>
        <v>1</v>
      </c>
      <c r="O471" s="13" t="str">
        <f t="shared" si="52"/>
        <v>ЭТАЖ ЗАДАН ЧИСЛОМ</v>
      </c>
      <c r="P471" s="13" t="str">
        <f t="shared" si="53"/>
        <v>ЭТАЖ ЗАДАН ЧИСЛОМ</v>
      </c>
      <c r="Q471" s="13" t="str">
        <f t="shared" si="54"/>
        <v>ГОТОВ_ИЗМЕНЕН</v>
      </c>
      <c r="R471" s="13">
        <f>IFERROR(VLOOKUP(P471,Лист1!A$1:B$20,2,FALSE),0)</f>
        <v>784</v>
      </c>
      <c r="S471" s="13">
        <f t="shared" si="55"/>
        <v>0</v>
      </c>
    </row>
    <row r="472" spans="1:19" x14ac:dyDescent="0.25">
      <c r="A472" s="24" t="s">
        <v>1578</v>
      </c>
      <c r="B472" s="4" t="s">
        <v>1063</v>
      </c>
      <c r="C472" s="25" t="s">
        <v>5</v>
      </c>
      <c r="G472" s="25" t="s">
        <v>1080</v>
      </c>
      <c r="H472" s="24" t="s">
        <v>1061</v>
      </c>
      <c r="I472" s="3" t="str">
        <f>IFERROR(VLOOKUP(C472,'Справочник соответствий'!A$2:D$2981,2,FALSE),IF(VALUE(C472)=0,1,VLOOKUP(C472,'Справочник соответствий'!A$2:D$2981,2,FALSE)))</f>
        <v>1</v>
      </c>
      <c r="J472" s="3">
        <f>IFERROR(VLOOKUP(D472,'Справочник соответствий'!A$2:D$2981,2,FALSE),IF(VALUE(D472)=0,0,VLOOKUP(D472,'Справочник соответствий'!A$2:D$2981,2,FALSE)))</f>
        <v>0</v>
      </c>
      <c r="K472" s="3" t="str">
        <f t="shared" si="49"/>
        <v>1</v>
      </c>
      <c r="L472" s="13" t="str">
        <f>IFERROR(VLOOKUP(C472,'Справочник соответствий'!A$2:D$2981,3,FALSE),IF(VALUE(C472)=0,"ЭТАЖ НЕ ОПРЕДЕЛЕН. ПРИНЯТ ПО ДОПУЩЕНИЮ 1",VLOOKUP(C472,'Справочник соответствий'!A$2:D$2981,3,FALSE)))</f>
        <v>ЭТАЖ ЗАДАН ЧИСЛОМ</v>
      </c>
      <c r="M472" s="13" t="b">
        <f t="shared" si="50"/>
        <v>0</v>
      </c>
      <c r="N472" s="13">
        <f t="shared" si="51"/>
        <v>1</v>
      </c>
      <c r="O472" s="13" t="str">
        <f t="shared" si="52"/>
        <v>ЭТАЖ ЗАДАН ЧИСЛОМ</v>
      </c>
      <c r="P472" s="13" t="str">
        <f t="shared" si="53"/>
        <v>ЭТАЖ ЗАДАН ЧИСЛОМ</v>
      </c>
      <c r="Q472" s="13" t="str">
        <f t="shared" si="54"/>
        <v>ГОТОВ_ИЗМЕНЕН</v>
      </c>
      <c r="R472" s="13">
        <f>IFERROR(VLOOKUP(P472,Лист1!A$1:B$20,2,FALSE),0)</f>
        <v>784</v>
      </c>
      <c r="S472" s="13">
        <f t="shared" si="55"/>
        <v>0</v>
      </c>
    </row>
    <row r="473" spans="1:19" x14ac:dyDescent="0.25">
      <c r="A473" s="24" t="s">
        <v>1579</v>
      </c>
      <c r="B473" s="4" t="s">
        <v>1059</v>
      </c>
      <c r="C473" s="25" t="s">
        <v>5</v>
      </c>
      <c r="G473" s="25" t="s">
        <v>1077</v>
      </c>
      <c r="H473" s="24" t="s">
        <v>1061</v>
      </c>
      <c r="I473" s="3" t="str">
        <f>IFERROR(VLOOKUP(C473,'Справочник соответствий'!A$2:D$2981,2,FALSE),IF(VALUE(C473)=0,1,VLOOKUP(C473,'Справочник соответствий'!A$2:D$2981,2,FALSE)))</f>
        <v>1</v>
      </c>
      <c r="J473" s="3">
        <f>IFERROR(VLOOKUP(D473,'Справочник соответствий'!A$2:D$2981,2,FALSE),IF(VALUE(D473)=0,0,VLOOKUP(D473,'Справочник соответствий'!A$2:D$2981,2,FALSE)))</f>
        <v>0</v>
      </c>
      <c r="K473" s="3" t="str">
        <f t="shared" si="49"/>
        <v>1</v>
      </c>
      <c r="L473" s="13" t="str">
        <f>IFERROR(VLOOKUP(C473,'Справочник соответствий'!A$2:D$2981,3,FALSE),IF(VALUE(C473)=0,"ЭТАЖ НЕ ОПРЕДЕЛЕН. ПРИНЯТ ПО ДОПУЩЕНИЮ 1",VLOOKUP(C473,'Справочник соответствий'!A$2:D$2981,3,FALSE)))</f>
        <v>ЭТАЖ ЗАДАН ЧИСЛОМ</v>
      </c>
      <c r="M473" s="13" t="b">
        <f t="shared" si="50"/>
        <v>0</v>
      </c>
      <c r="N473" s="13">
        <f t="shared" si="51"/>
        <v>1</v>
      </c>
      <c r="O473" s="13" t="str">
        <f t="shared" si="52"/>
        <v>ЭТАЖ ЗАДАН ЧИСЛОМ</v>
      </c>
      <c r="P473" s="13" t="str">
        <f t="shared" si="53"/>
        <v>ЭТАЖ ЗАДАН ЧИСЛОМ</v>
      </c>
      <c r="Q473" s="13" t="str">
        <f t="shared" si="54"/>
        <v>ГОТОВ_ИЗМЕНЕН</v>
      </c>
      <c r="R473" s="13">
        <f>IFERROR(VLOOKUP(P473,Лист1!A$1:B$20,2,FALSE),0)</f>
        <v>784</v>
      </c>
      <c r="S473" s="13">
        <f t="shared" si="55"/>
        <v>0</v>
      </c>
    </row>
    <row r="474" spans="1:19" x14ac:dyDescent="0.25">
      <c r="A474" s="24" t="s">
        <v>1580</v>
      </c>
      <c r="B474" s="4" t="s">
        <v>1063</v>
      </c>
      <c r="C474" s="25" t="s">
        <v>5</v>
      </c>
      <c r="G474" s="25" t="s">
        <v>1077</v>
      </c>
      <c r="H474" s="24" t="s">
        <v>1061</v>
      </c>
      <c r="I474" s="3" t="str">
        <f>IFERROR(VLOOKUP(C474,'Справочник соответствий'!A$2:D$2981,2,FALSE),IF(VALUE(C474)=0,1,VLOOKUP(C474,'Справочник соответствий'!A$2:D$2981,2,FALSE)))</f>
        <v>1</v>
      </c>
      <c r="J474" s="3">
        <f>IFERROR(VLOOKUP(D474,'Справочник соответствий'!A$2:D$2981,2,FALSE),IF(VALUE(D474)=0,0,VLOOKUP(D474,'Справочник соответствий'!A$2:D$2981,2,FALSE)))</f>
        <v>0</v>
      </c>
      <c r="K474" s="3" t="str">
        <f t="shared" si="49"/>
        <v>1</v>
      </c>
      <c r="L474" s="13" t="str">
        <f>IFERROR(VLOOKUP(C474,'Справочник соответствий'!A$2:D$2981,3,FALSE),IF(VALUE(C474)=0,"ЭТАЖ НЕ ОПРЕДЕЛЕН. ПРИНЯТ ПО ДОПУЩЕНИЮ 1",VLOOKUP(C474,'Справочник соответствий'!A$2:D$2981,3,FALSE)))</f>
        <v>ЭТАЖ ЗАДАН ЧИСЛОМ</v>
      </c>
      <c r="M474" s="13" t="b">
        <f t="shared" si="50"/>
        <v>0</v>
      </c>
      <c r="N474" s="13">
        <f t="shared" si="51"/>
        <v>1</v>
      </c>
      <c r="O474" s="13" t="str">
        <f t="shared" si="52"/>
        <v>ЭТАЖ ЗАДАН ЧИСЛОМ</v>
      </c>
      <c r="P474" s="13" t="str">
        <f t="shared" si="53"/>
        <v>ЭТАЖ ЗАДАН ЧИСЛОМ</v>
      </c>
      <c r="Q474" s="13" t="str">
        <f t="shared" si="54"/>
        <v>ГОТОВ_ИЗМЕНЕН</v>
      </c>
      <c r="R474" s="13">
        <f>IFERROR(VLOOKUP(P474,Лист1!A$1:B$20,2,FALSE),0)</f>
        <v>784</v>
      </c>
      <c r="S474" s="13">
        <f t="shared" si="55"/>
        <v>0</v>
      </c>
    </row>
    <row r="475" spans="1:19" x14ac:dyDescent="0.25">
      <c r="A475" s="24" t="s">
        <v>1581</v>
      </c>
      <c r="B475" s="4" t="s">
        <v>1059</v>
      </c>
      <c r="C475" s="25" t="s">
        <v>5</v>
      </c>
      <c r="G475" s="25" t="s">
        <v>1077</v>
      </c>
      <c r="H475" s="24" t="s">
        <v>1061</v>
      </c>
      <c r="I475" s="3" t="str">
        <f>IFERROR(VLOOKUP(C475,'Справочник соответствий'!A$2:D$2981,2,FALSE),IF(VALUE(C475)=0,1,VLOOKUP(C475,'Справочник соответствий'!A$2:D$2981,2,FALSE)))</f>
        <v>1</v>
      </c>
      <c r="J475" s="3">
        <f>IFERROR(VLOOKUP(D475,'Справочник соответствий'!A$2:D$2981,2,FALSE),IF(VALUE(D475)=0,0,VLOOKUP(D475,'Справочник соответствий'!A$2:D$2981,2,FALSE)))</f>
        <v>0</v>
      </c>
      <c r="K475" s="3" t="str">
        <f t="shared" si="49"/>
        <v>1</v>
      </c>
      <c r="L475" s="13" t="str">
        <f>IFERROR(VLOOKUP(C475,'Справочник соответствий'!A$2:D$2981,3,FALSE),IF(VALUE(C475)=0,"ЭТАЖ НЕ ОПРЕДЕЛЕН. ПРИНЯТ ПО ДОПУЩЕНИЮ 1",VLOOKUP(C475,'Справочник соответствий'!A$2:D$2981,3,FALSE)))</f>
        <v>ЭТАЖ ЗАДАН ЧИСЛОМ</v>
      </c>
      <c r="M475" s="13" t="b">
        <f t="shared" si="50"/>
        <v>0</v>
      </c>
      <c r="N475" s="13">
        <f t="shared" si="51"/>
        <v>1</v>
      </c>
      <c r="O475" s="13" t="str">
        <f t="shared" si="52"/>
        <v>ЭТАЖ ЗАДАН ЧИСЛОМ</v>
      </c>
      <c r="P475" s="13" t="str">
        <f t="shared" si="53"/>
        <v>ЭТАЖ ЗАДАН ЧИСЛОМ</v>
      </c>
      <c r="Q475" s="13" t="str">
        <f t="shared" si="54"/>
        <v>ГОТОВ_ИЗМЕНЕН</v>
      </c>
      <c r="R475" s="13">
        <f>IFERROR(VLOOKUP(P475,Лист1!A$1:B$20,2,FALSE),0)</f>
        <v>784</v>
      </c>
      <c r="S475" s="13">
        <f t="shared" si="55"/>
        <v>0</v>
      </c>
    </row>
    <row r="476" spans="1:19" x14ac:dyDescent="0.25">
      <c r="A476" s="24" t="s">
        <v>1582</v>
      </c>
      <c r="B476" s="4" t="s">
        <v>1059</v>
      </c>
      <c r="C476" s="25" t="s">
        <v>5</v>
      </c>
      <c r="G476" s="25" t="s">
        <v>1077</v>
      </c>
      <c r="H476" s="24" t="s">
        <v>1061</v>
      </c>
      <c r="I476" s="3" t="str">
        <f>IFERROR(VLOOKUP(C476,'Справочник соответствий'!A$2:D$2981,2,FALSE),IF(VALUE(C476)=0,1,VLOOKUP(C476,'Справочник соответствий'!A$2:D$2981,2,FALSE)))</f>
        <v>1</v>
      </c>
      <c r="J476" s="3">
        <f>IFERROR(VLOOKUP(D476,'Справочник соответствий'!A$2:D$2981,2,FALSE),IF(VALUE(D476)=0,0,VLOOKUP(D476,'Справочник соответствий'!A$2:D$2981,2,FALSE)))</f>
        <v>0</v>
      </c>
      <c r="K476" s="3" t="str">
        <f t="shared" si="49"/>
        <v>1</v>
      </c>
      <c r="L476" s="13" t="str">
        <f>IFERROR(VLOOKUP(C476,'Справочник соответствий'!A$2:D$2981,3,FALSE),IF(VALUE(C476)=0,"ЭТАЖ НЕ ОПРЕДЕЛЕН. ПРИНЯТ ПО ДОПУЩЕНИЮ 1",VLOOKUP(C476,'Справочник соответствий'!A$2:D$2981,3,FALSE)))</f>
        <v>ЭТАЖ ЗАДАН ЧИСЛОМ</v>
      </c>
      <c r="M476" s="13" t="b">
        <f t="shared" si="50"/>
        <v>0</v>
      </c>
      <c r="N476" s="13">
        <f t="shared" si="51"/>
        <v>1</v>
      </c>
      <c r="O476" s="13" t="str">
        <f t="shared" si="52"/>
        <v>ЭТАЖ ЗАДАН ЧИСЛОМ</v>
      </c>
      <c r="P476" s="13" t="str">
        <f t="shared" si="53"/>
        <v>ЭТАЖ ЗАДАН ЧИСЛОМ</v>
      </c>
      <c r="Q476" s="13" t="str">
        <f t="shared" si="54"/>
        <v>ГОТОВ_ИЗМЕНЕН</v>
      </c>
      <c r="R476" s="13">
        <f>IFERROR(VLOOKUP(P476,Лист1!A$1:B$20,2,FALSE),0)</f>
        <v>784</v>
      </c>
      <c r="S476" s="13">
        <f t="shared" si="55"/>
        <v>0</v>
      </c>
    </row>
    <row r="477" spans="1:19" x14ac:dyDescent="0.25">
      <c r="A477" s="24" t="s">
        <v>1583</v>
      </c>
      <c r="B477" s="4" t="s">
        <v>1059</v>
      </c>
      <c r="C477" s="25" t="s">
        <v>7</v>
      </c>
      <c r="G477" s="25" t="s">
        <v>1150</v>
      </c>
      <c r="H477" s="24" t="s">
        <v>1061</v>
      </c>
      <c r="I477" s="3" t="str">
        <f>IFERROR(VLOOKUP(C477,'Справочник соответствий'!A$2:D$2981,2,FALSE),IF(VALUE(C477)=0,1,VLOOKUP(C477,'Справочник соответствий'!A$2:D$2981,2,FALSE)))</f>
        <v>2</v>
      </c>
      <c r="J477" s="3">
        <f>IFERROR(VLOOKUP(D477,'Справочник соответствий'!A$2:D$2981,2,FALSE),IF(VALUE(D477)=0,0,VLOOKUP(D477,'Справочник соответствий'!A$2:D$2981,2,FALSE)))</f>
        <v>0</v>
      </c>
      <c r="K477" s="3" t="str">
        <f t="shared" si="49"/>
        <v>2</v>
      </c>
      <c r="L477" s="13" t="str">
        <f>IFERROR(VLOOKUP(C477,'Справочник соответствий'!A$2:D$2981,3,FALSE),IF(VALUE(C477)=0,"ЭТАЖ НЕ ОПРЕДЕЛЕН. ПРИНЯТ ПО ДОПУЩЕНИЮ 1",VLOOKUP(C477,'Справочник соответствий'!A$2:D$2981,3,FALSE)))</f>
        <v>ЭТАЖ ЗАДАН ЧИСЛОМ</v>
      </c>
      <c r="M477" s="13" t="b">
        <f t="shared" si="50"/>
        <v>0</v>
      </c>
      <c r="N477" s="13">
        <f t="shared" si="51"/>
        <v>2</v>
      </c>
      <c r="O477" s="13" t="str">
        <f t="shared" si="52"/>
        <v>ЭТАЖ ЗАДАН ЧИСЛОМ</v>
      </c>
      <c r="P477" s="13" t="str">
        <f t="shared" si="53"/>
        <v>ЭТАЖ ЗАДАН ЧИСЛОМ</v>
      </c>
      <c r="Q477" s="13" t="str">
        <f t="shared" si="54"/>
        <v>ГОТОВ_ИЗМЕНЕН</v>
      </c>
      <c r="R477" s="13">
        <f>IFERROR(VLOOKUP(P477,Лист1!A$1:B$20,2,FALSE),0)</f>
        <v>784</v>
      </c>
      <c r="S477" s="13">
        <f t="shared" si="55"/>
        <v>0</v>
      </c>
    </row>
    <row r="478" spans="1:19" x14ac:dyDescent="0.25">
      <c r="A478" s="24" t="s">
        <v>1584</v>
      </c>
      <c r="B478" s="4" t="s">
        <v>1059</v>
      </c>
      <c r="C478" s="25" t="s">
        <v>5</v>
      </c>
      <c r="G478" s="25" t="s">
        <v>1086</v>
      </c>
      <c r="H478" s="24" t="s">
        <v>1061</v>
      </c>
      <c r="I478" s="3" t="str">
        <f>IFERROR(VLOOKUP(C478,'Справочник соответствий'!A$2:D$2981,2,FALSE),IF(VALUE(C478)=0,1,VLOOKUP(C478,'Справочник соответствий'!A$2:D$2981,2,FALSE)))</f>
        <v>1</v>
      </c>
      <c r="J478" s="3">
        <f>IFERROR(VLOOKUP(D478,'Справочник соответствий'!A$2:D$2981,2,FALSE),IF(VALUE(D478)=0,0,VLOOKUP(D478,'Справочник соответствий'!A$2:D$2981,2,FALSE)))</f>
        <v>0</v>
      </c>
      <c r="K478" s="3" t="str">
        <f t="shared" si="49"/>
        <v>1</v>
      </c>
      <c r="L478" s="13" t="str">
        <f>IFERROR(VLOOKUP(C478,'Справочник соответствий'!A$2:D$2981,3,FALSE),IF(VALUE(C478)=0,"ЭТАЖ НЕ ОПРЕДЕЛЕН. ПРИНЯТ ПО ДОПУЩЕНИЮ 1",VLOOKUP(C478,'Справочник соответствий'!A$2:D$2981,3,FALSE)))</f>
        <v>ЭТАЖ ЗАДАН ЧИСЛОМ</v>
      </c>
      <c r="M478" s="13" t="b">
        <f t="shared" si="50"/>
        <v>0</v>
      </c>
      <c r="N478" s="13">
        <f t="shared" si="51"/>
        <v>1</v>
      </c>
      <c r="O478" s="13" t="str">
        <f t="shared" si="52"/>
        <v>ЭТАЖ ЗАДАН ЧИСЛОМ</v>
      </c>
      <c r="P478" s="13" t="str">
        <f t="shared" si="53"/>
        <v>ЭТАЖ ЗАДАН ЧИСЛОМ</v>
      </c>
      <c r="Q478" s="13" t="str">
        <f t="shared" si="54"/>
        <v>ГОТОВ_ИЗМЕНЕН</v>
      </c>
      <c r="R478" s="13">
        <f>IFERROR(VLOOKUP(P478,Лист1!A$1:B$20,2,FALSE),0)</f>
        <v>784</v>
      </c>
      <c r="S478" s="13">
        <f t="shared" si="55"/>
        <v>0</v>
      </c>
    </row>
    <row r="479" spans="1:19" x14ac:dyDescent="0.25">
      <c r="A479" s="24" t="s">
        <v>1585</v>
      </c>
      <c r="B479" s="4" t="s">
        <v>1059</v>
      </c>
      <c r="C479" s="25" t="s">
        <v>5</v>
      </c>
      <c r="G479" s="25" t="s">
        <v>1086</v>
      </c>
      <c r="H479" s="24" t="s">
        <v>1061</v>
      </c>
      <c r="I479" s="3" t="str">
        <f>IFERROR(VLOOKUP(C479,'Справочник соответствий'!A$2:D$2981,2,FALSE),IF(VALUE(C479)=0,1,VLOOKUP(C479,'Справочник соответствий'!A$2:D$2981,2,FALSE)))</f>
        <v>1</v>
      </c>
      <c r="J479" s="3">
        <f>IFERROR(VLOOKUP(D479,'Справочник соответствий'!A$2:D$2981,2,FALSE),IF(VALUE(D479)=0,0,VLOOKUP(D479,'Справочник соответствий'!A$2:D$2981,2,FALSE)))</f>
        <v>0</v>
      </c>
      <c r="K479" s="3" t="str">
        <f t="shared" si="49"/>
        <v>1</v>
      </c>
      <c r="L479" s="13" t="str">
        <f>IFERROR(VLOOKUP(C479,'Справочник соответствий'!A$2:D$2981,3,FALSE),IF(VALUE(C479)=0,"ЭТАЖ НЕ ОПРЕДЕЛЕН. ПРИНЯТ ПО ДОПУЩЕНИЮ 1",VLOOKUP(C479,'Справочник соответствий'!A$2:D$2981,3,FALSE)))</f>
        <v>ЭТАЖ ЗАДАН ЧИСЛОМ</v>
      </c>
      <c r="M479" s="13" t="b">
        <f t="shared" si="50"/>
        <v>0</v>
      </c>
      <c r="N479" s="13">
        <f t="shared" si="51"/>
        <v>1</v>
      </c>
      <c r="O479" s="13" t="str">
        <f t="shared" si="52"/>
        <v>ЭТАЖ ЗАДАН ЧИСЛОМ</v>
      </c>
      <c r="P479" s="13" t="str">
        <f t="shared" si="53"/>
        <v>ЭТАЖ ЗАДАН ЧИСЛОМ</v>
      </c>
      <c r="Q479" s="13" t="str">
        <f t="shared" si="54"/>
        <v>ГОТОВ_ИЗМЕНЕН</v>
      </c>
      <c r="R479" s="13">
        <f>IFERROR(VLOOKUP(P479,Лист1!A$1:B$20,2,FALSE),0)</f>
        <v>784</v>
      </c>
      <c r="S479" s="13">
        <f t="shared" si="55"/>
        <v>0</v>
      </c>
    </row>
    <row r="480" spans="1:19" x14ac:dyDescent="0.25">
      <c r="A480" s="24" t="s">
        <v>1586</v>
      </c>
      <c r="B480" s="4" t="s">
        <v>1059</v>
      </c>
      <c r="C480" s="25" t="s">
        <v>5</v>
      </c>
      <c r="G480" s="25" t="s">
        <v>1086</v>
      </c>
      <c r="H480" s="24" t="s">
        <v>1061</v>
      </c>
      <c r="I480" s="3" t="str">
        <f>IFERROR(VLOOKUP(C480,'Справочник соответствий'!A$2:D$2981,2,FALSE),IF(VALUE(C480)=0,1,VLOOKUP(C480,'Справочник соответствий'!A$2:D$2981,2,FALSE)))</f>
        <v>1</v>
      </c>
      <c r="J480" s="3">
        <f>IFERROR(VLOOKUP(D480,'Справочник соответствий'!A$2:D$2981,2,FALSE),IF(VALUE(D480)=0,0,VLOOKUP(D480,'Справочник соответствий'!A$2:D$2981,2,FALSE)))</f>
        <v>0</v>
      </c>
      <c r="K480" s="3" t="str">
        <f t="shared" si="49"/>
        <v>1</v>
      </c>
      <c r="L480" s="13" t="str">
        <f>IFERROR(VLOOKUP(C480,'Справочник соответствий'!A$2:D$2981,3,FALSE),IF(VALUE(C480)=0,"ЭТАЖ НЕ ОПРЕДЕЛЕН. ПРИНЯТ ПО ДОПУЩЕНИЮ 1",VLOOKUP(C480,'Справочник соответствий'!A$2:D$2981,3,FALSE)))</f>
        <v>ЭТАЖ ЗАДАН ЧИСЛОМ</v>
      </c>
      <c r="M480" s="13" t="b">
        <f t="shared" si="50"/>
        <v>0</v>
      </c>
      <c r="N480" s="13">
        <f t="shared" si="51"/>
        <v>1</v>
      </c>
      <c r="O480" s="13" t="str">
        <f t="shared" si="52"/>
        <v>ЭТАЖ ЗАДАН ЧИСЛОМ</v>
      </c>
      <c r="P480" s="13" t="str">
        <f t="shared" si="53"/>
        <v>ЭТАЖ ЗАДАН ЧИСЛОМ</v>
      </c>
      <c r="Q480" s="13" t="str">
        <f t="shared" si="54"/>
        <v>ГОТОВ_ИЗМЕНЕН</v>
      </c>
      <c r="R480" s="13">
        <f>IFERROR(VLOOKUP(P480,Лист1!A$1:B$20,2,FALSE),0)</f>
        <v>784</v>
      </c>
      <c r="S480" s="13">
        <f t="shared" si="55"/>
        <v>0</v>
      </c>
    </row>
    <row r="481" spans="1:19" x14ac:dyDescent="0.25">
      <c r="A481" s="24" t="s">
        <v>1587</v>
      </c>
      <c r="B481" s="4" t="s">
        <v>1059</v>
      </c>
      <c r="C481" s="25" t="s">
        <v>7</v>
      </c>
      <c r="G481" s="25" t="s">
        <v>1086</v>
      </c>
      <c r="H481" s="24" t="s">
        <v>1061</v>
      </c>
      <c r="I481" s="3" t="str">
        <f>IFERROR(VLOOKUP(C481,'Справочник соответствий'!A$2:D$2981,2,FALSE),IF(VALUE(C481)=0,1,VLOOKUP(C481,'Справочник соответствий'!A$2:D$2981,2,FALSE)))</f>
        <v>2</v>
      </c>
      <c r="J481" s="3">
        <f>IFERROR(VLOOKUP(D481,'Справочник соответствий'!A$2:D$2981,2,FALSE),IF(VALUE(D481)=0,0,VLOOKUP(D481,'Справочник соответствий'!A$2:D$2981,2,FALSE)))</f>
        <v>0</v>
      </c>
      <c r="K481" s="3" t="str">
        <f t="shared" si="49"/>
        <v>2</v>
      </c>
      <c r="L481" s="13" t="str">
        <f>IFERROR(VLOOKUP(C481,'Справочник соответствий'!A$2:D$2981,3,FALSE),IF(VALUE(C481)=0,"ЭТАЖ НЕ ОПРЕДЕЛЕН. ПРИНЯТ ПО ДОПУЩЕНИЮ 1",VLOOKUP(C481,'Справочник соответствий'!A$2:D$2981,3,FALSE)))</f>
        <v>ЭТАЖ ЗАДАН ЧИСЛОМ</v>
      </c>
      <c r="M481" s="13" t="b">
        <f t="shared" si="50"/>
        <v>0</v>
      </c>
      <c r="N481" s="13">
        <f t="shared" si="51"/>
        <v>2</v>
      </c>
      <c r="O481" s="13" t="str">
        <f t="shared" si="52"/>
        <v>ЭТАЖ ЗАДАН ЧИСЛОМ</v>
      </c>
      <c r="P481" s="13" t="str">
        <f t="shared" si="53"/>
        <v>ЭТАЖ ЗАДАН ЧИСЛОМ</v>
      </c>
      <c r="Q481" s="13" t="str">
        <f t="shared" si="54"/>
        <v>ГОТОВ_ИЗМЕНЕН</v>
      </c>
      <c r="R481" s="13">
        <f>IFERROR(VLOOKUP(P481,Лист1!A$1:B$20,2,FALSE),0)</f>
        <v>784</v>
      </c>
      <c r="S481" s="13">
        <f t="shared" si="55"/>
        <v>0</v>
      </c>
    </row>
    <row r="482" spans="1:19" x14ac:dyDescent="0.25">
      <c r="A482" s="24" t="s">
        <v>1588</v>
      </c>
      <c r="B482" s="4" t="s">
        <v>1059</v>
      </c>
      <c r="C482" s="25" t="s">
        <v>7</v>
      </c>
      <c r="G482" s="25" t="s">
        <v>1086</v>
      </c>
      <c r="H482" s="24" t="s">
        <v>1061</v>
      </c>
      <c r="I482" s="3" t="str">
        <f>IFERROR(VLOOKUP(C482,'Справочник соответствий'!A$2:D$2981,2,FALSE),IF(VALUE(C482)=0,1,VLOOKUP(C482,'Справочник соответствий'!A$2:D$2981,2,FALSE)))</f>
        <v>2</v>
      </c>
      <c r="J482" s="3">
        <f>IFERROR(VLOOKUP(D482,'Справочник соответствий'!A$2:D$2981,2,FALSE),IF(VALUE(D482)=0,0,VLOOKUP(D482,'Справочник соответствий'!A$2:D$2981,2,FALSE)))</f>
        <v>0</v>
      </c>
      <c r="K482" s="3" t="str">
        <f t="shared" si="49"/>
        <v>2</v>
      </c>
      <c r="L482" s="13" t="str">
        <f>IFERROR(VLOOKUP(C482,'Справочник соответствий'!A$2:D$2981,3,FALSE),IF(VALUE(C482)=0,"ЭТАЖ НЕ ОПРЕДЕЛЕН. ПРИНЯТ ПО ДОПУЩЕНИЮ 1",VLOOKUP(C482,'Справочник соответствий'!A$2:D$2981,3,FALSE)))</f>
        <v>ЭТАЖ ЗАДАН ЧИСЛОМ</v>
      </c>
      <c r="M482" s="13" t="b">
        <f t="shared" si="50"/>
        <v>0</v>
      </c>
      <c r="N482" s="13">
        <f t="shared" si="51"/>
        <v>2</v>
      </c>
      <c r="O482" s="13" t="str">
        <f t="shared" si="52"/>
        <v>ЭТАЖ ЗАДАН ЧИСЛОМ</v>
      </c>
      <c r="P482" s="13" t="str">
        <f t="shared" si="53"/>
        <v>ЭТАЖ ЗАДАН ЧИСЛОМ</v>
      </c>
      <c r="Q482" s="13" t="str">
        <f t="shared" si="54"/>
        <v>ГОТОВ_ИЗМЕНЕН</v>
      </c>
      <c r="R482" s="13">
        <f>IFERROR(VLOOKUP(P482,Лист1!A$1:B$20,2,FALSE),0)</f>
        <v>784</v>
      </c>
      <c r="S482" s="13">
        <f t="shared" si="55"/>
        <v>0</v>
      </c>
    </row>
    <row r="483" spans="1:19" x14ac:dyDescent="0.25">
      <c r="A483" s="24" t="s">
        <v>1589</v>
      </c>
      <c r="B483" s="4" t="s">
        <v>1059</v>
      </c>
      <c r="C483" s="25" t="s">
        <v>7</v>
      </c>
      <c r="G483" s="25" t="s">
        <v>1086</v>
      </c>
      <c r="H483" s="24" t="s">
        <v>1061</v>
      </c>
      <c r="I483" s="3" t="str">
        <f>IFERROR(VLOOKUP(C483,'Справочник соответствий'!A$2:D$2981,2,FALSE),IF(VALUE(C483)=0,1,VLOOKUP(C483,'Справочник соответствий'!A$2:D$2981,2,FALSE)))</f>
        <v>2</v>
      </c>
      <c r="J483" s="3">
        <f>IFERROR(VLOOKUP(D483,'Справочник соответствий'!A$2:D$2981,2,FALSE),IF(VALUE(D483)=0,0,VLOOKUP(D483,'Справочник соответствий'!A$2:D$2981,2,FALSE)))</f>
        <v>0</v>
      </c>
      <c r="K483" s="3" t="str">
        <f t="shared" si="49"/>
        <v>2</v>
      </c>
      <c r="L483" s="13" t="str">
        <f>IFERROR(VLOOKUP(C483,'Справочник соответствий'!A$2:D$2981,3,FALSE),IF(VALUE(C483)=0,"ЭТАЖ НЕ ОПРЕДЕЛЕН. ПРИНЯТ ПО ДОПУЩЕНИЮ 1",VLOOKUP(C483,'Справочник соответствий'!A$2:D$2981,3,FALSE)))</f>
        <v>ЭТАЖ ЗАДАН ЧИСЛОМ</v>
      </c>
      <c r="M483" s="13" t="b">
        <f t="shared" si="50"/>
        <v>0</v>
      </c>
      <c r="N483" s="13">
        <f t="shared" si="51"/>
        <v>2</v>
      </c>
      <c r="O483" s="13" t="str">
        <f t="shared" si="52"/>
        <v>ЭТАЖ ЗАДАН ЧИСЛОМ</v>
      </c>
      <c r="P483" s="13" t="str">
        <f t="shared" si="53"/>
        <v>ЭТАЖ ЗАДАН ЧИСЛОМ</v>
      </c>
      <c r="Q483" s="13" t="str">
        <f t="shared" si="54"/>
        <v>ГОТОВ_ИЗМЕНЕН</v>
      </c>
      <c r="R483" s="13">
        <f>IFERROR(VLOOKUP(P483,Лист1!A$1:B$20,2,FALSE),0)</f>
        <v>784</v>
      </c>
      <c r="S483" s="13">
        <f t="shared" si="55"/>
        <v>0</v>
      </c>
    </row>
    <row r="484" spans="1:19" x14ac:dyDescent="0.25">
      <c r="A484" s="24" t="s">
        <v>1590</v>
      </c>
      <c r="B484" s="4" t="s">
        <v>1059</v>
      </c>
      <c r="C484" s="25" t="s">
        <v>5</v>
      </c>
      <c r="G484" s="25" t="s">
        <v>1086</v>
      </c>
      <c r="H484" s="24" t="s">
        <v>1061</v>
      </c>
      <c r="I484" s="3" t="str">
        <f>IFERROR(VLOOKUP(C484,'Справочник соответствий'!A$2:D$2981,2,FALSE),IF(VALUE(C484)=0,1,VLOOKUP(C484,'Справочник соответствий'!A$2:D$2981,2,FALSE)))</f>
        <v>1</v>
      </c>
      <c r="J484" s="3">
        <f>IFERROR(VLOOKUP(D484,'Справочник соответствий'!A$2:D$2981,2,FALSE),IF(VALUE(D484)=0,0,VLOOKUP(D484,'Справочник соответствий'!A$2:D$2981,2,FALSE)))</f>
        <v>0</v>
      </c>
      <c r="K484" s="3" t="str">
        <f t="shared" si="49"/>
        <v>1</v>
      </c>
      <c r="L484" s="13" t="str">
        <f>IFERROR(VLOOKUP(C484,'Справочник соответствий'!A$2:D$2981,3,FALSE),IF(VALUE(C484)=0,"ЭТАЖ НЕ ОПРЕДЕЛЕН. ПРИНЯТ ПО ДОПУЩЕНИЮ 1",VLOOKUP(C484,'Справочник соответствий'!A$2:D$2981,3,FALSE)))</f>
        <v>ЭТАЖ ЗАДАН ЧИСЛОМ</v>
      </c>
      <c r="M484" s="13" t="b">
        <f t="shared" si="50"/>
        <v>0</v>
      </c>
      <c r="N484" s="13">
        <f t="shared" si="51"/>
        <v>1</v>
      </c>
      <c r="O484" s="13" t="str">
        <f t="shared" si="52"/>
        <v>ЭТАЖ ЗАДАН ЧИСЛОМ</v>
      </c>
      <c r="P484" s="13" t="str">
        <f t="shared" si="53"/>
        <v>ЭТАЖ ЗАДАН ЧИСЛОМ</v>
      </c>
      <c r="Q484" s="13" t="str">
        <f t="shared" si="54"/>
        <v>ГОТОВ_ИЗМЕНЕН</v>
      </c>
      <c r="R484" s="13">
        <f>IFERROR(VLOOKUP(P484,Лист1!A$1:B$20,2,FALSE),0)</f>
        <v>784</v>
      </c>
      <c r="S484" s="13">
        <f t="shared" si="55"/>
        <v>0</v>
      </c>
    </row>
    <row r="485" spans="1:19" x14ac:dyDescent="0.25">
      <c r="A485" s="24" t="s">
        <v>1591</v>
      </c>
      <c r="B485" s="4" t="s">
        <v>1063</v>
      </c>
      <c r="C485" s="25" t="s">
        <v>5</v>
      </c>
      <c r="G485" s="25" t="s">
        <v>1086</v>
      </c>
      <c r="H485" s="24" t="s">
        <v>1061</v>
      </c>
      <c r="I485" s="3" t="str">
        <f>IFERROR(VLOOKUP(C485,'Справочник соответствий'!A$2:D$2981,2,FALSE),IF(VALUE(C485)=0,1,VLOOKUP(C485,'Справочник соответствий'!A$2:D$2981,2,FALSE)))</f>
        <v>1</v>
      </c>
      <c r="J485" s="3">
        <f>IFERROR(VLOOKUP(D485,'Справочник соответствий'!A$2:D$2981,2,FALSE),IF(VALUE(D485)=0,0,VLOOKUP(D485,'Справочник соответствий'!A$2:D$2981,2,FALSE)))</f>
        <v>0</v>
      </c>
      <c r="K485" s="3" t="str">
        <f t="shared" si="49"/>
        <v>1</v>
      </c>
      <c r="L485" s="13" t="str">
        <f>IFERROR(VLOOKUP(C485,'Справочник соответствий'!A$2:D$2981,3,FALSE),IF(VALUE(C485)=0,"ЭТАЖ НЕ ОПРЕДЕЛЕН. ПРИНЯТ ПО ДОПУЩЕНИЮ 1",VLOOKUP(C485,'Справочник соответствий'!A$2:D$2981,3,FALSE)))</f>
        <v>ЭТАЖ ЗАДАН ЧИСЛОМ</v>
      </c>
      <c r="M485" s="13" t="b">
        <f t="shared" si="50"/>
        <v>0</v>
      </c>
      <c r="N485" s="13">
        <f t="shared" si="51"/>
        <v>1</v>
      </c>
      <c r="O485" s="13" t="str">
        <f t="shared" si="52"/>
        <v>ЭТАЖ ЗАДАН ЧИСЛОМ</v>
      </c>
      <c r="P485" s="13" t="str">
        <f t="shared" si="53"/>
        <v>ЭТАЖ ЗАДАН ЧИСЛОМ</v>
      </c>
      <c r="Q485" s="13" t="str">
        <f t="shared" si="54"/>
        <v>ГОТОВ_ИЗМЕНЕН</v>
      </c>
      <c r="R485" s="13">
        <f>IFERROR(VLOOKUP(P485,Лист1!A$1:B$20,2,FALSE),0)</f>
        <v>784</v>
      </c>
      <c r="S485" s="13">
        <f t="shared" si="55"/>
        <v>0</v>
      </c>
    </row>
    <row r="486" spans="1:19" x14ac:dyDescent="0.25">
      <c r="A486" s="24" t="s">
        <v>1592</v>
      </c>
      <c r="B486" s="4" t="s">
        <v>1063</v>
      </c>
      <c r="C486" s="25" t="s">
        <v>5</v>
      </c>
      <c r="G486" s="25" t="s">
        <v>1382</v>
      </c>
      <c r="H486" s="24" t="s">
        <v>1061</v>
      </c>
      <c r="I486" s="3" t="str">
        <f>IFERROR(VLOOKUP(C486,'Справочник соответствий'!A$2:D$2981,2,FALSE),IF(VALUE(C486)=0,1,VLOOKUP(C486,'Справочник соответствий'!A$2:D$2981,2,FALSE)))</f>
        <v>1</v>
      </c>
      <c r="J486" s="3">
        <f>IFERROR(VLOOKUP(D486,'Справочник соответствий'!A$2:D$2981,2,FALSE),IF(VALUE(D486)=0,0,VLOOKUP(D486,'Справочник соответствий'!A$2:D$2981,2,FALSE)))</f>
        <v>0</v>
      </c>
      <c r="K486" s="3" t="str">
        <f t="shared" si="49"/>
        <v>1</v>
      </c>
      <c r="L486" s="13" t="str">
        <f>IFERROR(VLOOKUP(C486,'Справочник соответствий'!A$2:D$2981,3,FALSE),IF(VALUE(C486)=0,"ЭТАЖ НЕ ОПРЕДЕЛЕН. ПРИНЯТ ПО ДОПУЩЕНИЮ 1",VLOOKUP(C486,'Справочник соответствий'!A$2:D$2981,3,FALSE)))</f>
        <v>ЭТАЖ ЗАДАН ЧИСЛОМ</v>
      </c>
      <c r="M486" s="13" t="b">
        <f t="shared" si="50"/>
        <v>0</v>
      </c>
      <c r="N486" s="13">
        <f t="shared" si="51"/>
        <v>1</v>
      </c>
      <c r="O486" s="13" t="str">
        <f t="shared" si="52"/>
        <v>ЭТАЖ ЗАДАН ЧИСЛОМ</v>
      </c>
      <c r="P486" s="13" t="str">
        <f t="shared" si="53"/>
        <v>ЭТАЖ ЗАДАН ЧИСЛОМ</v>
      </c>
      <c r="Q486" s="13" t="str">
        <f t="shared" si="54"/>
        <v>ГОТОВ_ИЗМЕНЕН</v>
      </c>
      <c r="R486" s="13">
        <f>IFERROR(VLOOKUP(P486,Лист1!A$1:B$20,2,FALSE),0)</f>
        <v>784</v>
      </c>
      <c r="S486" s="13">
        <f t="shared" si="55"/>
        <v>0</v>
      </c>
    </row>
    <row r="487" spans="1:19" x14ac:dyDescent="0.25">
      <c r="A487" s="24" t="s">
        <v>1593</v>
      </c>
      <c r="B487" s="4" t="s">
        <v>1063</v>
      </c>
      <c r="C487" s="25" t="s">
        <v>5</v>
      </c>
      <c r="G487" s="25" t="s">
        <v>1382</v>
      </c>
      <c r="H487" s="24" t="s">
        <v>1061</v>
      </c>
      <c r="I487" s="3" t="str">
        <f>IFERROR(VLOOKUP(C487,'Справочник соответствий'!A$2:D$2981,2,FALSE),IF(VALUE(C487)=0,1,VLOOKUP(C487,'Справочник соответствий'!A$2:D$2981,2,FALSE)))</f>
        <v>1</v>
      </c>
      <c r="J487" s="3">
        <f>IFERROR(VLOOKUP(D487,'Справочник соответствий'!A$2:D$2981,2,FALSE),IF(VALUE(D487)=0,0,VLOOKUP(D487,'Справочник соответствий'!A$2:D$2981,2,FALSE)))</f>
        <v>0</v>
      </c>
      <c r="K487" s="3" t="str">
        <f t="shared" si="49"/>
        <v>1</v>
      </c>
      <c r="L487" s="13" t="str">
        <f>IFERROR(VLOOKUP(C487,'Справочник соответствий'!A$2:D$2981,3,FALSE),IF(VALUE(C487)=0,"ЭТАЖ НЕ ОПРЕДЕЛЕН. ПРИНЯТ ПО ДОПУЩЕНИЮ 1",VLOOKUP(C487,'Справочник соответствий'!A$2:D$2981,3,FALSE)))</f>
        <v>ЭТАЖ ЗАДАН ЧИСЛОМ</v>
      </c>
      <c r="M487" s="13" t="b">
        <f t="shared" si="50"/>
        <v>0</v>
      </c>
      <c r="N487" s="13">
        <f t="shared" si="51"/>
        <v>1</v>
      </c>
      <c r="O487" s="13" t="str">
        <f t="shared" si="52"/>
        <v>ЭТАЖ ЗАДАН ЧИСЛОМ</v>
      </c>
      <c r="P487" s="13" t="str">
        <f t="shared" si="53"/>
        <v>ЭТАЖ ЗАДАН ЧИСЛОМ</v>
      </c>
      <c r="Q487" s="13" t="str">
        <f t="shared" si="54"/>
        <v>ГОТОВ_ИЗМЕНЕН</v>
      </c>
      <c r="R487" s="13">
        <f>IFERROR(VLOOKUP(P487,Лист1!A$1:B$20,2,FALSE),0)</f>
        <v>784</v>
      </c>
      <c r="S487" s="13">
        <f t="shared" si="55"/>
        <v>0</v>
      </c>
    </row>
    <row r="488" spans="1:19" x14ac:dyDescent="0.25">
      <c r="A488" s="24" t="s">
        <v>1594</v>
      </c>
      <c r="B488" s="4" t="s">
        <v>1063</v>
      </c>
      <c r="C488" s="25" t="s">
        <v>5</v>
      </c>
      <c r="G488" s="25" t="s">
        <v>1067</v>
      </c>
      <c r="H488" s="24" t="s">
        <v>1061</v>
      </c>
      <c r="I488" s="3" t="str">
        <f>IFERROR(VLOOKUP(C488,'Справочник соответствий'!A$2:D$2981,2,FALSE),IF(VALUE(C488)=0,1,VLOOKUP(C488,'Справочник соответствий'!A$2:D$2981,2,FALSE)))</f>
        <v>1</v>
      </c>
      <c r="J488" s="3">
        <f>IFERROR(VLOOKUP(D488,'Справочник соответствий'!A$2:D$2981,2,FALSE),IF(VALUE(D488)=0,0,VLOOKUP(D488,'Справочник соответствий'!A$2:D$2981,2,FALSE)))</f>
        <v>0</v>
      </c>
      <c r="K488" s="3" t="str">
        <f t="shared" si="49"/>
        <v>1</v>
      </c>
      <c r="L488" s="13" t="str">
        <f>IFERROR(VLOOKUP(C488,'Справочник соответствий'!A$2:D$2981,3,FALSE),IF(VALUE(C488)=0,"ЭТАЖ НЕ ОПРЕДЕЛЕН. ПРИНЯТ ПО ДОПУЩЕНИЮ 1",VLOOKUP(C488,'Справочник соответствий'!A$2:D$2981,3,FALSE)))</f>
        <v>ЭТАЖ ЗАДАН ЧИСЛОМ</v>
      </c>
      <c r="M488" s="13" t="b">
        <f t="shared" si="50"/>
        <v>0</v>
      </c>
      <c r="N488" s="13">
        <f t="shared" si="51"/>
        <v>1</v>
      </c>
      <c r="O488" s="13" t="str">
        <f t="shared" si="52"/>
        <v>ЭТАЖ ЗАДАН ЧИСЛОМ</v>
      </c>
      <c r="P488" s="13" t="str">
        <f t="shared" si="53"/>
        <v>ЭТАЖ ЗАДАН ЧИСЛОМ</v>
      </c>
      <c r="Q488" s="13" t="str">
        <f t="shared" si="54"/>
        <v>ГОТОВ_ИЗМЕНЕН</v>
      </c>
      <c r="R488" s="13">
        <f>IFERROR(VLOOKUP(P488,Лист1!A$1:B$20,2,FALSE),0)</f>
        <v>784</v>
      </c>
      <c r="S488" s="13">
        <f t="shared" si="55"/>
        <v>0</v>
      </c>
    </row>
    <row r="489" spans="1:19" x14ac:dyDescent="0.25">
      <c r="A489" s="24" t="s">
        <v>1595</v>
      </c>
      <c r="B489" s="4" t="s">
        <v>1059</v>
      </c>
      <c r="D489" s="25" t="s">
        <v>5</v>
      </c>
      <c r="G489" s="25" t="s">
        <v>1072</v>
      </c>
      <c r="H489" s="24" t="s">
        <v>1061</v>
      </c>
      <c r="I489" s="3">
        <f>IFERROR(VLOOKUP(C489,'Справочник соответствий'!A$2:D$2981,2,FALSE),IF(VALUE(C489)=0,1,VLOOKUP(C489,'Справочник соответствий'!A$2:D$2981,2,FALSE)))</f>
        <v>1</v>
      </c>
      <c r="J489" s="3" t="str">
        <f>IFERROR(VLOOKUP(D489,'Справочник соответствий'!A$2:D$2981,2,FALSE),IF(VALUE(D489)=0,0,VLOOKUP(D489,'Справочник соответствий'!A$2:D$2981,2,FALSE)))</f>
        <v>1</v>
      </c>
      <c r="K489" s="3">
        <f t="shared" si="49"/>
        <v>1</v>
      </c>
      <c r="L489" s="13" t="str">
        <f>IFERROR(VLOOKUP(C489,'Справочник соответствий'!A$2:D$2981,3,FALSE),IF(VALUE(C489)=0,"ЭТАЖ НЕ ОПРЕДЕЛЕН. ПРИНЯТ ПО ДОПУЩЕНИЮ 1",VLOOKUP(C489,'Справочник соответствий'!A$2:D$2981,3,FALSE)))</f>
        <v>ЭТАЖ НЕ ОПРЕДЕЛЕН. ПРИНЯТ ПО ДОПУЩЕНИЮ 1</v>
      </c>
      <c r="M489" s="13" t="b">
        <f t="shared" si="50"/>
        <v>0</v>
      </c>
      <c r="N489" s="13">
        <f t="shared" si="51"/>
        <v>1</v>
      </c>
      <c r="O489" s="13" t="str">
        <f t="shared" si="52"/>
        <v>ЭТАЖ НЕ ОПРЕДЕЛЕН. ПРИНЯТ ПО ДОПУЩЕНИЮ 1</v>
      </c>
      <c r="P489" s="13" t="str">
        <f t="shared" si="53"/>
        <v>ЭТАЖ НЕ ОПРЕДЕЛЕН. ПРИНЯТ ПО ДОПУЩЕНИЮ 1</v>
      </c>
      <c r="Q489" s="13" t="str">
        <f t="shared" si="54"/>
        <v>ГОТОВ_ИЗМЕНЕН</v>
      </c>
      <c r="R489" s="13">
        <f>IFERROR(VLOOKUP(P489,Лист1!A$1:B$20,2,FALSE),0)</f>
        <v>788</v>
      </c>
      <c r="S489" s="13">
        <f t="shared" si="55"/>
        <v>0</v>
      </c>
    </row>
    <row r="490" spans="1:19" x14ac:dyDescent="0.25">
      <c r="A490" s="24" t="s">
        <v>1596</v>
      </c>
      <c r="B490" s="4" t="s">
        <v>1063</v>
      </c>
      <c r="C490" s="25" t="s">
        <v>5</v>
      </c>
      <c r="G490" s="25" t="s">
        <v>1072</v>
      </c>
      <c r="H490" s="24" t="s">
        <v>1061</v>
      </c>
      <c r="I490" s="3" t="str">
        <f>IFERROR(VLOOKUP(C490,'Справочник соответствий'!A$2:D$2981,2,FALSE),IF(VALUE(C490)=0,1,VLOOKUP(C490,'Справочник соответствий'!A$2:D$2981,2,FALSE)))</f>
        <v>1</v>
      </c>
      <c r="J490" s="3">
        <f>IFERROR(VLOOKUP(D490,'Справочник соответствий'!A$2:D$2981,2,FALSE),IF(VALUE(D490)=0,0,VLOOKUP(D490,'Справочник соответствий'!A$2:D$2981,2,FALSE)))</f>
        <v>0</v>
      </c>
      <c r="K490" s="3" t="str">
        <f t="shared" si="49"/>
        <v>1</v>
      </c>
      <c r="L490" s="13" t="str">
        <f>IFERROR(VLOOKUP(C490,'Справочник соответствий'!A$2:D$2981,3,FALSE),IF(VALUE(C490)=0,"ЭТАЖ НЕ ОПРЕДЕЛЕН. ПРИНЯТ ПО ДОПУЩЕНИЮ 1",VLOOKUP(C490,'Справочник соответствий'!A$2:D$2981,3,FALSE)))</f>
        <v>ЭТАЖ ЗАДАН ЧИСЛОМ</v>
      </c>
      <c r="M490" s="13" t="b">
        <f t="shared" si="50"/>
        <v>0</v>
      </c>
      <c r="N490" s="13">
        <f t="shared" si="51"/>
        <v>1</v>
      </c>
      <c r="O490" s="13" t="str">
        <f t="shared" si="52"/>
        <v>ЭТАЖ ЗАДАН ЧИСЛОМ</v>
      </c>
      <c r="P490" s="13" t="str">
        <f t="shared" si="53"/>
        <v>ЭТАЖ ЗАДАН ЧИСЛОМ</v>
      </c>
      <c r="Q490" s="13" t="str">
        <f t="shared" si="54"/>
        <v>ГОТОВ_ИЗМЕНЕН</v>
      </c>
      <c r="R490" s="13">
        <f>IFERROR(VLOOKUP(P490,Лист1!A$1:B$20,2,FALSE),0)</f>
        <v>784</v>
      </c>
      <c r="S490" s="13">
        <f t="shared" si="55"/>
        <v>0</v>
      </c>
    </row>
    <row r="491" spans="1:19" x14ac:dyDescent="0.25">
      <c r="A491" s="24" t="s">
        <v>1597</v>
      </c>
      <c r="B491" s="4" t="s">
        <v>1059</v>
      </c>
      <c r="C491" s="25" t="s">
        <v>5</v>
      </c>
      <c r="G491" s="25" t="s">
        <v>1161</v>
      </c>
      <c r="H491" s="24" t="s">
        <v>1061</v>
      </c>
      <c r="I491" s="3" t="str">
        <f>IFERROR(VLOOKUP(C491,'Справочник соответствий'!A$2:D$2981,2,FALSE),IF(VALUE(C491)=0,1,VLOOKUP(C491,'Справочник соответствий'!A$2:D$2981,2,FALSE)))</f>
        <v>1</v>
      </c>
      <c r="J491" s="3">
        <f>IFERROR(VLOOKUP(D491,'Справочник соответствий'!A$2:D$2981,2,FALSE),IF(VALUE(D491)=0,0,VLOOKUP(D491,'Справочник соответствий'!A$2:D$2981,2,FALSE)))</f>
        <v>0</v>
      </c>
      <c r="K491" s="3" t="str">
        <f t="shared" si="49"/>
        <v>1</v>
      </c>
      <c r="L491" s="13" t="str">
        <f>IFERROR(VLOOKUP(C491,'Справочник соответствий'!A$2:D$2981,3,FALSE),IF(VALUE(C491)=0,"ЭТАЖ НЕ ОПРЕДЕЛЕН. ПРИНЯТ ПО ДОПУЩЕНИЮ 1",VLOOKUP(C491,'Справочник соответствий'!A$2:D$2981,3,FALSE)))</f>
        <v>ЭТАЖ ЗАДАН ЧИСЛОМ</v>
      </c>
      <c r="M491" s="13" t="b">
        <f t="shared" si="50"/>
        <v>0</v>
      </c>
      <c r="N491" s="13">
        <f t="shared" si="51"/>
        <v>1</v>
      </c>
      <c r="O491" s="13" t="str">
        <f t="shared" si="52"/>
        <v>ЭТАЖ ЗАДАН ЧИСЛОМ</v>
      </c>
      <c r="P491" s="13" t="str">
        <f t="shared" si="53"/>
        <v>ЭТАЖ ЗАДАН ЧИСЛОМ</v>
      </c>
      <c r="Q491" s="13" t="str">
        <f t="shared" si="54"/>
        <v>ГОТОВ_ИЗМЕНЕН</v>
      </c>
      <c r="R491" s="13">
        <f>IFERROR(VLOOKUP(P491,Лист1!A$1:B$20,2,FALSE),0)</f>
        <v>784</v>
      </c>
      <c r="S491" s="13">
        <f t="shared" si="55"/>
        <v>0</v>
      </c>
    </row>
    <row r="492" spans="1:19" x14ac:dyDescent="0.25">
      <c r="A492" s="24" t="s">
        <v>1598</v>
      </c>
      <c r="B492" s="4" t="s">
        <v>1063</v>
      </c>
      <c r="C492" s="25" t="s">
        <v>7</v>
      </c>
      <c r="D492" s="25" t="s">
        <v>5</v>
      </c>
      <c r="G492" s="25" t="s">
        <v>1072</v>
      </c>
      <c r="H492" s="24" t="s">
        <v>1061</v>
      </c>
      <c r="I492" s="3" t="str">
        <f>IFERROR(VLOOKUP(C492,'Справочник соответствий'!A$2:D$2981,2,FALSE),IF(VALUE(C492)=0,1,VLOOKUP(C492,'Справочник соответствий'!A$2:D$2981,2,FALSE)))</f>
        <v>2</v>
      </c>
      <c r="J492" s="3" t="str">
        <f>IFERROR(VLOOKUP(D492,'Справочник соответствий'!A$2:D$2981,2,FALSE),IF(VALUE(D492)=0,0,VLOOKUP(D492,'Справочник соответствий'!A$2:D$2981,2,FALSE)))</f>
        <v>1</v>
      </c>
      <c r="K492" s="3" t="str">
        <f t="shared" si="49"/>
        <v>2</v>
      </c>
      <c r="L492" s="13" t="str">
        <f>IFERROR(VLOOKUP(C492,'Справочник соответствий'!A$2:D$2981,3,FALSE),IF(VALUE(C492)=0,"ЭТАЖ НЕ ОПРЕДЕЛЕН. ПРИНЯТ ПО ДОПУЩЕНИЮ 1",VLOOKUP(C492,'Справочник соответствий'!A$2:D$2981,3,FALSE)))</f>
        <v>ЭТАЖ ЗАДАН ЧИСЛОМ</v>
      </c>
      <c r="M492" s="13" t="b">
        <f t="shared" si="50"/>
        <v>0</v>
      </c>
      <c r="N492" s="13">
        <f t="shared" si="51"/>
        <v>2</v>
      </c>
      <c r="O492" s="13" t="str">
        <f t="shared" si="52"/>
        <v>ЭТАЖ ЗАДАН ЧИСЛОМ</v>
      </c>
      <c r="P492" s="13" t="str">
        <f t="shared" si="53"/>
        <v>ЭТАЖ ЗАДАН ЧИСЛОМ</v>
      </c>
      <c r="Q492" s="13" t="str">
        <f t="shared" si="54"/>
        <v>ГОТОВ_ИЗМЕНЕН</v>
      </c>
      <c r="R492" s="13">
        <f>IFERROR(VLOOKUP(P492,Лист1!A$1:B$20,2,FALSE),0)</f>
        <v>784</v>
      </c>
      <c r="S492" s="13">
        <f t="shared" si="55"/>
        <v>0</v>
      </c>
    </row>
    <row r="493" spans="1:19" x14ac:dyDescent="0.25">
      <c r="A493" s="24" t="s">
        <v>1599</v>
      </c>
      <c r="B493" s="4" t="s">
        <v>1063</v>
      </c>
      <c r="C493" s="25" t="s">
        <v>5</v>
      </c>
      <c r="G493" s="25" t="s">
        <v>1104</v>
      </c>
      <c r="H493" s="24" t="s">
        <v>1061</v>
      </c>
      <c r="I493" s="3" t="str">
        <f>IFERROR(VLOOKUP(C493,'Справочник соответствий'!A$2:D$2981,2,FALSE),IF(VALUE(C493)=0,1,VLOOKUP(C493,'Справочник соответствий'!A$2:D$2981,2,FALSE)))</f>
        <v>1</v>
      </c>
      <c r="J493" s="3">
        <f>IFERROR(VLOOKUP(D493,'Справочник соответствий'!A$2:D$2981,2,FALSE),IF(VALUE(D493)=0,0,VLOOKUP(D493,'Справочник соответствий'!A$2:D$2981,2,FALSE)))</f>
        <v>0</v>
      </c>
      <c r="K493" s="3" t="str">
        <f t="shared" si="49"/>
        <v>1</v>
      </c>
      <c r="L493" s="13" t="str">
        <f>IFERROR(VLOOKUP(C493,'Справочник соответствий'!A$2:D$2981,3,FALSE),IF(VALUE(C493)=0,"ЭТАЖ НЕ ОПРЕДЕЛЕН. ПРИНЯТ ПО ДОПУЩЕНИЮ 1",VLOOKUP(C493,'Справочник соответствий'!A$2:D$2981,3,FALSE)))</f>
        <v>ЭТАЖ ЗАДАН ЧИСЛОМ</v>
      </c>
      <c r="M493" s="13" t="b">
        <f t="shared" si="50"/>
        <v>0</v>
      </c>
      <c r="N493" s="13">
        <f t="shared" si="51"/>
        <v>1</v>
      </c>
      <c r="O493" s="13" t="str">
        <f t="shared" si="52"/>
        <v>ЭТАЖ ЗАДАН ЧИСЛОМ</v>
      </c>
      <c r="P493" s="13" t="str">
        <f t="shared" si="53"/>
        <v>ЭТАЖ ЗАДАН ЧИСЛОМ</v>
      </c>
      <c r="Q493" s="13" t="str">
        <f t="shared" si="54"/>
        <v>ГОТОВ_ИЗМЕНЕН</v>
      </c>
      <c r="R493" s="13">
        <f>IFERROR(VLOOKUP(P493,Лист1!A$1:B$20,2,FALSE),0)</f>
        <v>784</v>
      </c>
      <c r="S493" s="13">
        <f t="shared" si="55"/>
        <v>0</v>
      </c>
    </row>
    <row r="494" spans="1:19" x14ac:dyDescent="0.25">
      <c r="A494" s="24" t="s">
        <v>1600</v>
      </c>
      <c r="B494" s="4" t="s">
        <v>1063</v>
      </c>
      <c r="G494" s="25" t="s">
        <v>1072</v>
      </c>
      <c r="H494" s="24" t="s">
        <v>1061</v>
      </c>
      <c r="I494" s="3">
        <f>IFERROR(VLOOKUP(C494,'Справочник соответствий'!A$2:D$2981,2,FALSE),IF(VALUE(C494)=0,1,VLOOKUP(C494,'Справочник соответствий'!A$2:D$2981,2,FALSE)))</f>
        <v>1</v>
      </c>
      <c r="J494" s="3">
        <f>IFERROR(VLOOKUP(D494,'Справочник соответствий'!A$2:D$2981,2,FALSE),IF(VALUE(D494)=0,0,VLOOKUP(D494,'Справочник соответствий'!A$2:D$2981,2,FALSE)))</f>
        <v>0</v>
      </c>
      <c r="K494" s="3">
        <f t="shared" si="49"/>
        <v>1</v>
      </c>
      <c r="L494" s="13" t="str">
        <f>IFERROR(VLOOKUP(C494,'Справочник соответствий'!A$2:D$2981,3,FALSE),IF(VALUE(C494)=0,"ЭТАЖ НЕ ОПРЕДЕЛЕН. ПРИНЯТ ПО ДОПУЩЕНИЮ 1",VLOOKUP(C494,'Справочник соответствий'!A$2:D$2981,3,FALSE)))</f>
        <v>ЭТАЖ НЕ ОПРЕДЕЛЕН. ПРИНЯТ ПО ДОПУЩЕНИЮ 1</v>
      </c>
      <c r="M494" s="13" t="b">
        <f t="shared" si="50"/>
        <v>0</v>
      </c>
      <c r="N494" s="13">
        <f t="shared" si="51"/>
        <v>1</v>
      </c>
      <c r="O494" s="13" t="str">
        <f t="shared" si="52"/>
        <v>ЭТАЖ НЕ ОПРЕДЕЛЕН. ПРИНЯТ ПО ДОПУЩЕНИЮ 1</v>
      </c>
      <c r="P494" s="13" t="str">
        <f t="shared" si="53"/>
        <v>ЭТАЖ НЕ ОПРЕДЕЛЕН. ПРИНЯТ ПО ДОПУЩЕНИЮ 1</v>
      </c>
      <c r="Q494" s="13" t="str">
        <f t="shared" si="54"/>
        <v>ГОТОВ_ИЗМЕНЕН</v>
      </c>
      <c r="R494" s="13">
        <f>IFERROR(VLOOKUP(P494,Лист1!A$1:B$20,2,FALSE),0)</f>
        <v>788</v>
      </c>
      <c r="S494" s="13">
        <f t="shared" si="55"/>
        <v>0</v>
      </c>
    </row>
    <row r="495" spans="1:19" x14ac:dyDescent="0.25">
      <c r="A495" s="24" t="s">
        <v>1601</v>
      </c>
      <c r="B495" s="4" t="s">
        <v>1059</v>
      </c>
      <c r="C495" s="25" t="s">
        <v>7</v>
      </c>
      <c r="G495" s="25" t="s">
        <v>1072</v>
      </c>
      <c r="H495" s="24" t="s">
        <v>1061</v>
      </c>
      <c r="I495" s="3" t="str">
        <f>IFERROR(VLOOKUP(C495,'Справочник соответствий'!A$2:D$2981,2,FALSE),IF(VALUE(C495)=0,1,VLOOKUP(C495,'Справочник соответствий'!A$2:D$2981,2,FALSE)))</f>
        <v>2</v>
      </c>
      <c r="J495" s="3">
        <f>IFERROR(VLOOKUP(D495,'Справочник соответствий'!A$2:D$2981,2,FALSE),IF(VALUE(D495)=0,0,VLOOKUP(D495,'Справочник соответствий'!A$2:D$2981,2,FALSE)))</f>
        <v>0</v>
      </c>
      <c r="K495" s="3" t="str">
        <f t="shared" si="49"/>
        <v>2</v>
      </c>
      <c r="L495" s="13" t="str">
        <f>IFERROR(VLOOKUP(C495,'Справочник соответствий'!A$2:D$2981,3,FALSE),IF(VALUE(C495)=0,"ЭТАЖ НЕ ОПРЕДЕЛЕН. ПРИНЯТ ПО ДОПУЩЕНИЮ 1",VLOOKUP(C495,'Справочник соответствий'!A$2:D$2981,3,FALSE)))</f>
        <v>ЭТАЖ ЗАДАН ЧИСЛОМ</v>
      </c>
      <c r="M495" s="13" t="b">
        <f t="shared" si="50"/>
        <v>0</v>
      </c>
      <c r="N495" s="13">
        <f t="shared" si="51"/>
        <v>2</v>
      </c>
      <c r="O495" s="13" t="str">
        <f t="shared" si="52"/>
        <v>ЭТАЖ ЗАДАН ЧИСЛОМ</v>
      </c>
      <c r="P495" s="13" t="str">
        <f t="shared" si="53"/>
        <v>ЭТАЖ ЗАДАН ЧИСЛОМ</v>
      </c>
      <c r="Q495" s="13" t="str">
        <f t="shared" si="54"/>
        <v>ГОТОВ_ИЗМЕНЕН</v>
      </c>
      <c r="R495" s="13">
        <f>IFERROR(VLOOKUP(P495,Лист1!A$1:B$20,2,FALSE),0)</f>
        <v>784</v>
      </c>
      <c r="S495" s="13">
        <f t="shared" si="55"/>
        <v>0</v>
      </c>
    </row>
    <row r="496" spans="1:19" x14ac:dyDescent="0.25">
      <c r="A496" s="24" t="s">
        <v>1602</v>
      </c>
      <c r="B496" s="4" t="s">
        <v>1059</v>
      </c>
      <c r="C496" s="25" t="s">
        <v>7</v>
      </c>
      <c r="G496" s="25" t="s">
        <v>1167</v>
      </c>
      <c r="H496" s="24" t="s">
        <v>1061</v>
      </c>
      <c r="I496" s="3" t="str">
        <f>IFERROR(VLOOKUP(C496,'Справочник соответствий'!A$2:D$2981,2,FALSE),IF(VALUE(C496)=0,1,VLOOKUP(C496,'Справочник соответствий'!A$2:D$2981,2,FALSE)))</f>
        <v>2</v>
      </c>
      <c r="J496" s="3">
        <f>IFERROR(VLOOKUP(D496,'Справочник соответствий'!A$2:D$2981,2,FALSE),IF(VALUE(D496)=0,0,VLOOKUP(D496,'Справочник соответствий'!A$2:D$2981,2,FALSE)))</f>
        <v>0</v>
      </c>
      <c r="K496" s="3" t="str">
        <f t="shared" si="49"/>
        <v>2</v>
      </c>
      <c r="L496" s="13" t="str">
        <f>IFERROR(VLOOKUP(C496,'Справочник соответствий'!A$2:D$2981,3,FALSE),IF(VALUE(C496)=0,"ЭТАЖ НЕ ОПРЕДЕЛЕН. ПРИНЯТ ПО ДОПУЩЕНИЮ 1",VLOOKUP(C496,'Справочник соответствий'!A$2:D$2981,3,FALSE)))</f>
        <v>ЭТАЖ ЗАДАН ЧИСЛОМ</v>
      </c>
      <c r="M496" s="13" t="b">
        <f t="shared" si="50"/>
        <v>0</v>
      </c>
      <c r="N496" s="13">
        <f t="shared" si="51"/>
        <v>2</v>
      </c>
      <c r="O496" s="13" t="str">
        <f t="shared" si="52"/>
        <v>ЭТАЖ ЗАДАН ЧИСЛОМ</v>
      </c>
      <c r="P496" s="13" t="str">
        <f t="shared" si="53"/>
        <v>ЭТАЖ ЗАДАН ЧИСЛОМ</v>
      </c>
      <c r="Q496" s="13" t="str">
        <f t="shared" si="54"/>
        <v>ГОТОВ_ИЗМЕНЕН</v>
      </c>
      <c r="R496" s="13">
        <f>IFERROR(VLOOKUP(P496,Лист1!A$1:B$20,2,FALSE),0)</f>
        <v>784</v>
      </c>
      <c r="S496" s="13">
        <f t="shared" si="55"/>
        <v>0</v>
      </c>
    </row>
    <row r="497" spans="1:19" x14ac:dyDescent="0.25">
      <c r="A497" s="24" t="s">
        <v>1603</v>
      </c>
      <c r="B497" s="4" t="s">
        <v>1063</v>
      </c>
      <c r="C497" s="25" t="s">
        <v>5</v>
      </c>
      <c r="G497" s="25" t="s">
        <v>1072</v>
      </c>
      <c r="H497" s="24" t="s">
        <v>1061</v>
      </c>
      <c r="I497" s="3" t="str">
        <f>IFERROR(VLOOKUP(C497,'Справочник соответствий'!A$2:D$2981,2,FALSE),IF(VALUE(C497)=0,1,VLOOKUP(C497,'Справочник соответствий'!A$2:D$2981,2,FALSE)))</f>
        <v>1</v>
      </c>
      <c r="J497" s="3">
        <f>IFERROR(VLOOKUP(D497,'Справочник соответствий'!A$2:D$2981,2,FALSE),IF(VALUE(D497)=0,0,VLOOKUP(D497,'Справочник соответствий'!A$2:D$2981,2,FALSE)))</f>
        <v>0</v>
      </c>
      <c r="K497" s="3" t="str">
        <f t="shared" si="49"/>
        <v>1</v>
      </c>
      <c r="L497" s="13" t="str">
        <f>IFERROR(VLOOKUP(C497,'Справочник соответствий'!A$2:D$2981,3,FALSE),IF(VALUE(C497)=0,"ЭТАЖ НЕ ОПРЕДЕЛЕН. ПРИНЯТ ПО ДОПУЩЕНИЮ 1",VLOOKUP(C497,'Справочник соответствий'!A$2:D$2981,3,FALSE)))</f>
        <v>ЭТАЖ ЗАДАН ЧИСЛОМ</v>
      </c>
      <c r="M497" s="13" t="b">
        <f t="shared" si="50"/>
        <v>0</v>
      </c>
      <c r="N497" s="13">
        <f t="shared" si="51"/>
        <v>1</v>
      </c>
      <c r="O497" s="13" t="str">
        <f t="shared" si="52"/>
        <v>ЭТАЖ ЗАДАН ЧИСЛОМ</v>
      </c>
      <c r="P497" s="13" t="str">
        <f t="shared" si="53"/>
        <v>ЭТАЖ ЗАДАН ЧИСЛОМ</v>
      </c>
      <c r="Q497" s="13" t="str">
        <f t="shared" si="54"/>
        <v>ГОТОВ_ИЗМЕНЕН</v>
      </c>
      <c r="R497" s="13">
        <f>IFERROR(VLOOKUP(P497,Лист1!A$1:B$20,2,FALSE),0)</f>
        <v>784</v>
      </c>
      <c r="S497" s="13">
        <f t="shared" si="55"/>
        <v>0</v>
      </c>
    </row>
    <row r="498" spans="1:19" x14ac:dyDescent="0.25">
      <c r="A498" s="24" t="s">
        <v>1604</v>
      </c>
      <c r="B498" s="4" t="s">
        <v>1031</v>
      </c>
      <c r="C498" s="25" t="s">
        <v>15</v>
      </c>
      <c r="D498" s="25" t="s">
        <v>5</v>
      </c>
      <c r="G498" s="25" t="s">
        <v>1089</v>
      </c>
      <c r="H498" s="24" t="s">
        <v>1061</v>
      </c>
      <c r="I498" s="3" t="str">
        <f>IFERROR(VLOOKUP(C498,'Справочник соответствий'!A$2:D$2981,2,FALSE),IF(VALUE(C498)=0,1,VLOOKUP(C498,'Справочник соответствий'!A$2:D$2981,2,FALSE)))</f>
        <v>10</v>
      </c>
      <c r="J498" s="3" t="str">
        <f>IFERROR(VLOOKUP(D498,'Справочник соответствий'!A$2:D$2981,2,FALSE),IF(VALUE(D498)=0,0,VLOOKUP(D498,'Справочник соответствий'!A$2:D$2981,2,FALSE)))</f>
        <v>1</v>
      </c>
      <c r="K498" s="3">
        <f t="shared" si="49"/>
        <v>9</v>
      </c>
      <c r="L498" s="13" t="str">
        <f>IFERROR(VLOOKUP(C498,'Справочник соответствий'!A$2:D$2981,3,FALSE),IF(VALUE(C498)=0,"ЭТАЖ НЕ ОПРЕДЕЛЕН. ПРИНЯТ ПО ДОПУЩЕНИЮ 1",VLOOKUP(C498,'Справочник соответствий'!A$2:D$2981,3,FALSE)))</f>
        <v>ЭТАЖ ЗАДАН ЧИСЛОМ</v>
      </c>
      <c r="M498" s="13" t="b">
        <f t="shared" si="50"/>
        <v>0</v>
      </c>
      <c r="N498" s="13">
        <f t="shared" si="51"/>
        <v>9</v>
      </c>
      <c r="O498" s="13" t="str">
        <f t="shared" si="52"/>
        <v>ЭТАЖ ЗАДАН ЧИСЛОМ</v>
      </c>
      <c r="P498" s="13" t="str">
        <f t="shared" si="53"/>
        <v>МКД_ЭТАЖ ЗАДАН ЧИСЛОМ</v>
      </c>
      <c r="Q498" s="13" t="str">
        <f t="shared" si="54"/>
        <v>ГОТОВ_ИЗМЕНЕН</v>
      </c>
      <c r="R498" s="13">
        <f>IFERROR(VLOOKUP(P498,Лист1!A$1:B$20,2,FALSE),0)</f>
        <v>786</v>
      </c>
      <c r="S498" s="13">
        <f t="shared" si="55"/>
        <v>0</v>
      </c>
    </row>
    <row r="499" spans="1:19" x14ac:dyDescent="0.25">
      <c r="A499" s="24" t="s">
        <v>1605</v>
      </c>
      <c r="B499" s="4" t="s">
        <v>1059</v>
      </c>
      <c r="C499" s="25" t="s">
        <v>5</v>
      </c>
      <c r="G499" s="25" t="s">
        <v>1089</v>
      </c>
      <c r="H499" s="24" t="s">
        <v>1061</v>
      </c>
      <c r="I499" s="3" t="str">
        <f>IFERROR(VLOOKUP(C499,'Справочник соответствий'!A$2:D$2981,2,FALSE),IF(VALUE(C499)=0,1,VLOOKUP(C499,'Справочник соответствий'!A$2:D$2981,2,FALSE)))</f>
        <v>1</v>
      </c>
      <c r="J499" s="3">
        <f>IFERROR(VLOOKUP(D499,'Справочник соответствий'!A$2:D$2981,2,FALSE),IF(VALUE(D499)=0,0,VLOOKUP(D499,'Справочник соответствий'!A$2:D$2981,2,FALSE)))</f>
        <v>0</v>
      </c>
      <c r="K499" s="3" t="str">
        <f t="shared" si="49"/>
        <v>1</v>
      </c>
      <c r="L499" s="13" t="str">
        <f>IFERROR(VLOOKUP(C499,'Справочник соответствий'!A$2:D$2981,3,FALSE),IF(VALUE(C499)=0,"ЭТАЖ НЕ ОПРЕДЕЛЕН. ПРИНЯТ ПО ДОПУЩЕНИЮ 1",VLOOKUP(C499,'Справочник соответствий'!A$2:D$2981,3,FALSE)))</f>
        <v>ЭТАЖ ЗАДАН ЧИСЛОМ</v>
      </c>
      <c r="M499" s="13" t="b">
        <f t="shared" si="50"/>
        <v>0</v>
      </c>
      <c r="N499" s="13">
        <f t="shared" si="51"/>
        <v>1</v>
      </c>
      <c r="O499" s="13" t="str">
        <f t="shared" si="52"/>
        <v>ЭТАЖ ЗАДАН ЧИСЛОМ</v>
      </c>
      <c r="P499" s="13" t="str">
        <f t="shared" si="53"/>
        <v>ЭТАЖ ЗАДАН ЧИСЛОМ</v>
      </c>
      <c r="Q499" s="13" t="str">
        <f t="shared" si="54"/>
        <v>ГОТОВ_ИЗМЕНЕН</v>
      </c>
      <c r="R499" s="13">
        <f>IFERROR(VLOOKUP(P499,Лист1!A$1:B$20,2,FALSE),0)</f>
        <v>784</v>
      </c>
      <c r="S499" s="13">
        <f t="shared" si="55"/>
        <v>0</v>
      </c>
    </row>
    <row r="500" spans="1:19" x14ac:dyDescent="0.25">
      <c r="A500" s="24" t="s">
        <v>1606</v>
      </c>
      <c r="B500" s="4" t="s">
        <v>1059</v>
      </c>
      <c r="C500" s="25" t="s">
        <v>7</v>
      </c>
      <c r="G500" s="25" t="s">
        <v>1072</v>
      </c>
      <c r="H500" s="24" t="s">
        <v>1061</v>
      </c>
      <c r="I500" s="3" t="str">
        <f>IFERROR(VLOOKUP(C500,'Справочник соответствий'!A$2:D$2981,2,FALSE),IF(VALUE(C500)=0,1,VLOOKUP(C500,'Справочник соответствий'!A$2:D$2981,2,FALSE)))</f>
        <v>2</v>
      </c>
      <c r="J500" s="3">
        <f>IFERROR(VLOOKUP(D500,'Справочник соответствий'!A$2:D$2981,2,FALSE),IF(VALUE(D500)=0,0,VLOOKUP(D500,'Справочник соответствий'!A$2:D$2981,2,FALSE)))</f>
        <v>0</v>
      </c>
      <c r="K500" s="3" t="str">
        <f t="shared" si="49"/>
        <v>2</v>
      </c>
      <c r="L500" s="13" t="str">
        <f>IFERROR(VLOOKUP(C500,'Справочник соответствий'!A$2:D$2981,3,FALSE),IF(VALUE(C500)=0,"ЭТАЖ НЕ ОПРЕДЕЛЕН. ПРИНЯТ ПО ДОПУЩЕНИЮ 1",VLOOKUP(C500,'Справочник соответствий'!A$2:D$2981,3,FALSE)))</f>
        <v>ЭТАЖ ЗАДАН ЧИСЛОМ</v>
      </c>
      <c r="M500" s="13" t="b">
        <f t="shared" si="50"/>
        <v>0</v>
      </c>
      <c r="N500" s="13">
        <f t="shared" si="51"/>
        <v>2</v>
      </c>
      <c r="O500" s="13" t="str">
        <f t="shared" si="52"/>
        <v>ЭТАЖ ЗАДАН ЧИСЛОМ</v>
      </c>
      <c r="P500" s="13" t="str">
        <f t="shared" si="53"/>
        <v>ЭТАЖ ЗАДАН ЧИСЛОМ</v>
      </c>
      <c r="Q500" s="13" t="str">
        <f t="shared" si="54"/>
        <v>ГОТОВ_ИЗМЕНЕН</v>
      </c>
      <c r="R500" s="13">
        <f>IFERROR(VLOOKUP(P500,Лист1!A$1:B$20,2,FALSE),0)</f>
        <v>784</v>
      </c>
      <c r="S500" s="13">
        <f t="shared" si="55"/>
        <v>0</v>
      </c>
    </row>
    <row r="501" spans="1:19" x14ac:dyDescent="0.25">
      <c r="A501" s="24" t="s">
        <v>1607</v>
      </c>
      <c r="B501" s="4" t="s">
        <v>1059</v>
      </c>
      <c r="C501" s="25" t="s">
        <v>5</v>
      </c>
      <c r="G501" s="25" t="s">
        <v>1174</v>
      </c>
      <c r="H501" s="24" t="s">
        <v>1061</v>
      </c>
      <c r="I501" s="3" t="str">
        <f>IFERROR(VLOOKUP(C501,'Справочник соответствий'!A$2:D$2981,2,FALSE),IF(VALUE(C501)=0,1,VLOOKUP(C501,'Справочник соответствий'!A$2:D$2981,2,FALSE)))</f>
        <v>1</v>
      </c>
      <c r="J501" s="3">
        <f>IFERROR(VLOOKUP(D501,'Справочник соответствий'!A$2:D$2981,2,FALSE),IF(VALUE(D501)=0,0,VLOOKUP(D501,'Справочник соответствий'!A$2:D$2981,2,FALSE)))</f>
        <v>0</v>
      </c>
      <c r="K501" s="3" t="str">
        <f t="shared" si="49"/>
        <v>1</v>
      </c>
      <c r="L501" s="13" t="str">
        <f>IFERROR(VLOOKUP(C501,'Справочник соответствий'!A$2:D$2981,3,FALSE),IF(VALUE(C501)=0,"ЭТАЖ НЕ ОПРЕДЕЛЕН. ПРИНЯТ ПО ДОПУЩЕНИЮ 1",VLOOKUP(C501,'Справочник соответствий'!A$2:D$2981,3,FALSE)))</f>
        <v>ЭТАЖ ЗАДАН ЧИСЛОМ</v>
      </c>
      <c r="M501" s="13" t="b">
        <f t="shared" si="50"/>
        <v>0</v>
      </c>
      <c r="N501" s="13">
        <f t="shared" si="51"/>
        <v>1</v>
      </c>
      <c r="O501" s="13" t="str">
        <f t="shared" si="52"/>
        <v>ЭТАЖ ЗАДАН ЧИСЛОМ</v>
      </c>
      <c r="P501" s="13" t="str">
        <f t="shared" si="53"/>
        <v>ЭТАЖ ЗАДАН ЧИСЛОМ</v>
      </c>
      <c r="Q501" s="13" t="str">
        <f t="shared" si="54"/>
        <v>ГОТОВ_ИЗМЕНЕН</v>
      </c>
      <c r="R501" s="13">
        <f>IFERROR(VLOOKUP(P501,Лист1!A$1:B$20,2,FALSE),0)</f>
        <v>784</v>
      </c>
      <c r="S501" s="13">
        <f t="shared" si="55"/>
        <v>0</v>
      </c>
    </row>
    <row r="502" spans="1:19" x14ac:dyDescent="0.25">
      <c r="A502" s="24" t="s">
        <v>1608</v>
      </c>
      <c r="B502" s="4" t="s">
        <v>1059</v>
      </c>
      <c r="G502" s="25" t="s">
        <v>1174</v>
      </c>
      <c r="H502" s="24" t="s">
        <v>1061</v>
      </c>
      <c r="I502" s="3">
        <f>IFERROR(VLOOKUP(C502,'Справочник соответствий'!A$2:D$2981,2,FALSE),IF(VALUE(C502)=0,1,VLOOKUP(C502,'Справочник соответствий'!A$2:D$2981,2,FALSE)))</f>
        <v>1</v>
      </c>
      <c r="J502" s="3">
        <f>IFERROR(VLOOKUP(D502,'Справочник соответствий'!A$2:D$2981,2,FALSE),IF(VALUE(D502)=0,0,VLOOKUP(D502,'Справочник соответствий'!A$2:D$2981,2,FALSE)))</f>
        <v>0</v>
      </c>
      <c r="K502" s="3">
        <f t="shared" si="49"/>
        <v>1</v>
      </c>
      <c r="L502" s="13" t="str">
        <f>IFERROR(VLOOKUP(C502,'Справочник соответствий'!A$2:D$2981,3,FALSE),IF(VALUE(C502)=0,"ЭТАЖ НЕ ОПРЕДЕЛЕН. ПРИНЯТ ПО ДОПУЩЕНИЮ 1",VLOOKUP(C502,'Справочник соответствий'!A$2:D$2981,3,FALSE)))</f>
        <v>ЭТАЖ НЕ ОПРЕДЕЛЕН. ПРИНЯТ ПО ДОПУЩЕНИЮ 1</v>
      </c>
      <c r="M502" s="13" t="b">
        <f t="shared" si="50"/>
        <v>0</v>
      </c>
      <c r="N502" s="13">
        <f t="shared" si="51"/>
        <v>1</v>
      </c>
      <c r="O502" s="13" t="str">
        <f t="shared" si="52"/>
        <v>ЭТАЖ НЕ ОПРЕДЕЛЕН. ПРИНЯТ ПО ДОПУЩЕНИЮ 1</v>
      </c>
      <c r="P502" s="13" t="str">
        <f t="shared" si="53"/>
        <v>ЭТАЖ НЕ ОПРЕДЕЛЕН. ПРИНЯТ ПО ДОПУЩЕНИЮ 1</v>
      </c>
      <c r="Q502" s="13" t="str">
        <f t="shared" si="54"/>
        <v>ГОТОВ_ИЗМЕНЕН</v>
      </c>
      <c r="R502" s="13">
        <f>IFERROR(VLOOKUP(P502,Лист1!A$1:B$20,2,FALSE),0)</f>
        <v>788</v>
      </c>
      <c r="S502" s="13">
        <f t="shared" si="55"/>
        <v>0</v>
      </c>
    </row>
    <row r="503" spans="1:19" x14ac:dyDescent="0.25">
      <c r="A503" s="24" t="s">
        <v>1609</v>
      </c>
      <c r="B503" s="4" t="s">
        <v>1063</v>
      </c>
      <c r="C503" s="25" t="s">
        <v>5</v>
      </c>
      <c r="G503" s="25" t="s">
        <v>1069</v>
      </c>
      <c r="H503" s="24" t="s">
        <v>1061</v>
      </c>
      <c r="I503" s="3" t="str">
        <f>IFERROR(VLOOKUP(C503,'Справочник соответствий'!A$2:D$2981,2,FALSE),IF(VALUE(C503)=0,1,VLOOKUP(C503,'Справочник соответствий'!A$2:D$2981,2,FALSE)))</f>
        <v>1</v>
      </c>
      <c r="J503" s="3">
        <f>IFERROR(VLOOKUP(D503,'Справочник соответствий'!A$2:D$2981,2,FALSE),IF(VALUE(D503)=0,0,VLOOKUP(D503,'Справочник соответствий'!A$2:D$2981,2,FALSE)))</f>
        <v>0</v>
      </c>
      <c r="K503" s="3" t="str">
        <f t="shared" si="49"/>
        <v>1</v>
      </c>
      <c r="L503" s="13" t="str">
        <f>IFERROR(VLOOKUP(C503,'Справочник соответствий'!A$2:D$2981,3,FALSE),IF(VALUE(C503)=0,"ЭТАЖ НЕ ОПРЕДЕЛЕН. ПРИНЯТ ПО ДОПУЩЕНИЮ 1",VLOOKUP(C503,'Справочник соответствий'!A$2:D$2981,3,FALSE)))</f>
        <v>ЭТАЖ ЗАДАН ЧИСЛОМ</v>
      </c>
      <c r="M503" s="13" t="b">
        <f t="shared" si="50"/>
        <v>0</v>
      </c>
      <c r="N503" s="13">
        <f t="shared" si="51"/>
        <v>1</v>
      </c>
      <c r="O503" s="13" t="str">
        <f t="shared" si="52"/>
        <v>ЭТАЖ ЗАДАН ЧИСЛОМ</v>
      </c>
      <c r="P503" s="13" t="str">
        <f t="shared" si="53"/>
        <v>ЭТАЖ ЗАДАН ЧИСЛОМ</v>
      </c>
      <c r="Q503" s="13" t="str">
        <f t="shared" si="54"/>
        <v>ГОТОВ_ИЗМЕНЕН</v>
      </c>
      <c r="R503" s="13">
        <f>IFERROR(VLOOKUP(P503,Лист1!A$1:B$20,2,FALSE),0)</f>
        <v>784</v>
      </c>
      <c r="S503" s="13">
        <f t="shared" si="55"/>
        <v>0</v>
      </c>
    </row>
    <row r="504" spans="1:19" x14ac:dyDescent="0.25">
      <c r="A504" s="24" t="s">
        <v>1610</v>
      </c>
      <c r="B504" s="4" t="s">
        <v>1031</v>
      </c>
      <c r="C504" s="25" t="s">
        <v>102</v>
      </c>
      <c r="D504" s="25" t="s">
        <v>5</v>
      </c>
      <c r="G504" s="25" t="s">
        <v>1069</v>
      </c>
      <c r="H504" s="24" t="s">
        <v>1061</v>
      </c>
      <c r="I504" s="3" t="str">
        <f>IFERROR(VLOOKUP(C504,'Справочник соответствий'!A$2:D$2981,2,FALSE),IF(VALUE(C504)=0,1,VLOOKUP(C504,'Справочник соответствий'!A$2:D$2981,2,FALSE)))</f>
        <v>19</v>
      </c>
      <c r="J504" s="3" t="str">
        <f>IFERROR(VLOOKUP(D504,'Справочник соответствий'!A$2:D$2981,2,FALSE),IF(VALUE(D504)=0,0,VLOOKUP(D504,'Справочник соответствий'!A$2:D$2981,2,FALSE)))</f>
        <v>1</v>
      </c>
      <c r="K504" s="3">
        <f t="shared" si="49"/>
        <v>18</v>
      </c>
      <c r="L504" s="13" t="str">
        <f>IFERROR(VLOOKUP(C504,'Справочник соответствий'!A$2:D$2981,3,FALSE),IF(VALUE(C504)=0,"ЭТАЖ НЕ ОПРЕДЕЛЕН. ПРИНЯТ ПО ДОПУЩЕНИЮ 1",VLOOKUP(C504,'Справочник соответствий'!A$2:D$2981,3,FALSE)))</f>
        <v>ЭТАЖ ЗАДАН ЧИСЛОМ</v>
      </c>
      <c r="M504" s="13" t="b">
        <f t="shared" si="50"/>
        <v>0</v>
      </c>
      <c r="N504" s="13">
        <f t="shared" si="51"/>
        <v>18</v>
      </c>
      <c r="O504" s="13" t="str">
        <f t="shared" si="52"/>
        <v>ЭТАЖ ЗАДАН ЧИСЛОМ</v>
      </c>
      <c r="P504" s="13" t="str">
        <f t="shared" si="53"/>
        <v>МКД_ЭТАЖ ЗАДАН ЧИСЛОМ</v>
      </c>
      <c r="Q504" s="13" t="str">
        <f t="shared" si="54"/>
        <v>ГОТОВ_ИЗМЕНЕН</v>
      </c>
      <c r="R504" s="13">
        <f>IFERROR(VLOOKUP(P504,Лист1!A$1:B$20,2,FALSE),0)</f>
        <v>786</v>
      </c>
      <c r="S504" s="13">
        <f t="shared" si="55"/>
        <v>0</v>
      </c>
    </row>
    <row r="505" spans="1:19" x14ac:dyDescent="0.25">
      <c r="A505" s="24" t="s">
        <v>1611</v>
      </c>
      <c r="B505" s="4" t="s">
        <v>1063</v>
      </c>
      <c r="G505" s="25" t="s">
        <v>1072</v>
      </c>
      <c r="H505" s="24" t="s">
        <v>1061</v>
      </c>
      <c r="I505" s="3">
        <f>IFERROR(VLOOKUP(C505,'Справочник соответствий'!A$2:D$2981,2,FALSE),IF(VALUE(C505)=0,1,VLOOKUP(C505,'Справочник соответствий'!A$2:D$2981,2,FALSE)))</f>
        <v>1</v>
      </c>
      <c r="J505" s="3">
        <f>IFERROR(VLOOKUP(D505,'Справочник соответствий'!A$2:D$2981,2,FALSE),IF(VALUE(D505)=0,0,VLOOKUP(D505,'Справочник соответствий'!A$2:D$2981,2,FALSE)))</f>
        <v>0</v>
      </c>
      <c r="K505" s="3">
        <f t="shared" si="49"/>
        <v>1</v>
      </c>
      <c r="L505" s="13" t="str">
        <f>IFERROR(VLOOKUP(C505,'Справочник соответствий'!A$2:D$2981,3,FALSE),IF(VALUE(C505)=0,"ЭТАЖ НЕ ОПРЕДЕЛЕН. ПРИНЯТ ПО ДОПУЩЕНИЮ 1",VLOOKUP(C505,'Справочник соответствий'!A$2:D$2981,3,FALSE)))</f>
        <v>ЭТАЖ НЕ ОПРЕДЕЛЕН. ПРИНЯТ ПО ДОПУЩЕНИЮ 1</v>
      </c>
      <c r="M505" s="13" t="b">
        <f t="shared" si="50"/>
        <v>0</v>
      </c>
      <c r="N505" s="13">
        <f t="shared" si="51"/>
        <v>1</v>
      </c>
      <c r="O505" s="13" t="str">
        <f t="shared" si="52"/>
        <v>ЭТАЖ НЕ ОПРЕДЕЛЕН. ПРИНЯТ ПО ДОПУЩЕНИЮ 1</v>
      </c>
      <c r="P505" s="13" t="str">
        <f t="shared" si="53"/>
        <v>ЭТАЖ НЕ ОПРЕДЕЛЕН. ПРИНЯТ ПО ДОПУЩЕНИЮ 1</v>
      </c>
      <c r="Q505" s="13" t="str">
        <f t="shared" si="54"/>
        <v>ГОТОВ_ИЗМЕНЕН</v>
      </c>
      <c r="R505" s="13">
        <f>IFERROR(VLOOKUP(P505,Лист1!A$1:B$20,2,FALSE),0)</f>
        <v>788</v>
      </c>
      <c r="S505" s="13">
        <f t="shared" si="55"/>
        <v>0</v>
      </c>
    </row>
    <row r="506" spans="1:19" x14ac:dyDescent="0.25">
      <c r="A506" s="24" t="s">
        <v>1612</v>
      </c>
      <c r="B506" s="4" t="s">
        <v>1059</v>
      </c>
      <c r="C506" s="25" t="s">
        <v>127</v>
      </c>
      <c r="G506" s="25" t="s">
        <v>1089</v>
      </c>
      <c r="H506" s="24" t="s">
        <v>1061</v>
      </c>
      <c r="I506" s="3" t="str">
        <f>IFERROR(VLOOKUP(C506,'Справочник соответствий'!A$2:D$2981,2,FALSE),IF(VALUE(C506)=0,1,VLOOKUP(C506,'Справочник соответствий'!A$2:D$2981,2,FALSE)))</f>
        <v>1</v>
      </c>
      <c r="J506" s="3">
        <f>IFERROR(VLOOKUP(D506,'Справочник соответствий'!A$2:D$2981,2,FALSE),IF(VALUE(D506)=0,0,VLOOKUP(D506,'Справочник соответствий'!A$2:D$2981,2,FALSE)))</f>
        <v>0</v>
      </c>
      <c r="K506" s="3" t="str">
        <f t="shared" si="49"/>
        <v>1</v>
      </c>
      <c r="L506" s="13" t="str">
        <f>IFERROR(VLOOKUP(C506,'Справочник соответствий'!A$2:D$2981,3,FALSE),IF(VALUE(C506)=0,"ЭТАЖ НЕ ОПРЕДЕЛЕН. ПРИНЯТ ПО ДОПУЩЕНИЮ 1",VLOOKUP(C506,'Справочник соответствий'!A$2:D$2981,3,FALSE)))</f>
        <v>СПРАВОЧНИК ЭТАЖНОСТИ</v>
      </c>
      <c r="M506" s="13" t="b">
        <f t="shared" si="50"/>
        <v>0</v>
      </c>
      <c r="N506" s="13">
        <f t="shared" si="51"/>
        <v>1</v>
      </c>
      <c r="O506" s="13" t="str">
        <f t="shared" si="52"/>
        <v>СПРАВОЧНИК ЭТАЖНОСТИ</v>
      </c>
      <c r="P506" s="13" t="str">
        <f t="shared" si="53"/>
        <v>СПРАВОЧНИК ЭТАЖНОСТИ</v>
      </c>
      <c r="Q506" s="13" t="str">
        <f t="shared" si="54"/>
        <v>ГОТОВ_ИЗМЕНЕН</v>
      </c>
      <c r="R506" s="13">
        <f>IFERROR(VLOOKUP(P506,Лист1!A$1:B$20,2,FALSE),0)</f>
        <v>785</v>
      </c>
      <c r="S506" s="13">
        <f t="shared" si="55"/>
        <v>0</v>
      </c>
    </row>
    <row r="507" spans="1:19" x14ac:dyDescent="0.25">
      <c r="A507" s="24" t="s">
        <v>1613</v>
      </c>
      <c r="B507" s="4" t="s">
        <v>1063</v>
      </c>
      <c r="G507" s="25" t="s">
        <v>1072</v>
      </c>
      <c r="H507" s="24" t="s">
        <v>1061</v>
      </c>
      <c r="I507" s="3">
        <f>IFERROR(VLOOKUP(C507,'Справочник соответствий'!A$2:D$2981,2,FALSE),IF(VALUE(C507)=0,1,VLOOKUP(C507,'Справочник соответствий'!A$2:D$2981,2,FALSE)))</f>
        <v>1</v>
      </c>
      <c r="J507" s="3">
        <f>IFERROR(VLOOKUP(D507,'Справочник соответствий'!A$2:D$2981,2,FALSE),IF(VALUE(D507)=0,0,VLOOKUP(D507,'Справочник соответствий'!A$2:D$2981,2,FALSE)))</f>
        <v>0</v>
      </c>
      <c r="K507" s="3">
        <f t="shared" si="49"/>
        <v>1</v>
      </c>
      <c r="L507" s="13" t="str">
        <f>IFERROR(VLOOKUP(C507,'Справочник соответствий'!A$2:D$2981,3,FALSE),IF(VALUE(C507)=0,"ЭТАЖ НЕ ОПРЕДЕЛЕН. ПРИНЯТ ПО ДОПУЩЕНИЮ 1",VLOOKUP(C507,'Справочник соответствий'!A$2:D$2981,3,FALSE)))</f>
        <v>ЭТАЖ НЕ ОПРЕДЕЛЕН. ПРИНЯТ ПО ДОПУЩЕНИЮ 1</v>
      </c>
      <c r="M507" s="13" t="b">
        <f t="shared" si="50"/>
        <v>0</v>
      </c>
      <c r="N507" s="13">
        <f t="shared" si="51"/>
        <v>1</v>
      </c>
      <c r="O507" s="13" t="str">
        <f t="shared" si="52"/>
        <v>ЭТАЖ НЕ ОПРЕДЕЛЕН. ПРИНЯТ ПО ДОПУЩЕНИЮ 1</v>
      </c>
      <c r="P507" s="13" t="str">
        <f t="shared" si="53"/>
        <v>ЭТАЖ НЕ ОПРЕДЕЛЕН. ПРИНЯТ ПО ДОПУЩЕНИЮ 1</v>
      </c>
      <c r="Q507" s="13" t="str">
        <f t="shared" si="54"/>
        <v>ГОТОВ_ИЗМЕНЕН</v>
      </c>
      <c r="R507" s="13">
        <f>IFERROR(VLOOKUP(P507,Лист1!A$1:B$20,2,FALSE),0)</f>
        <v>788</v>
      </c>
      <c r="S507" s="13">
        <f t="shared" si="55"/>
        <v>0</v>
      </c>
    </row>
    <row r="508" spans="1:19" x14ac:dyDescent="0.25">
      <c r="A508" s="24" t="s">
        <v>1614</v>
      </c>
      <c r="B508" s="4" t="s">
        <v>1063</v>
      </c>
      <c r="C508" s="25" t="s">
        <v>5</v>
      </c>
      <c r="G508" s="25" t="s">
        <v>1089</v>
      </c>
      <c r="H508" s="24" t="s">
        <v>1061</v>
      </c>
      <c r="I508" s="3" t="str">
        <f>IFERROR(VLOOKUP(C508,'Справочник соответствий'!A$2:D$2981,2,FALSE),IF(VALUE(C508)=0,1,VLOOKUP(C508,'Справочник соответствий'!A$2:D$2981,2,FALSE)))</f>
        <v>1</v>
      </c>
      <c r="J508" s="3">
        <f>IFERROR(VLOOKUP(D508,'Справочник соответствий'!A$2:D$2981,2,FALSE),IF(VALUE(D508)=0,0,VLOOKUP(D508,'Справочник соответствий'!A$2:D$2981,2,FALSE)))</f>
        <v>0</v>
      </c>
      <c r="K508" s="3" t="str">
        <f t="shared" si="49"/>
        <v>1</v>
      </c>
      <c r="L508" s="13" t="str">
        <f>IFERROR(VLOOKUP(C508,'Справочник соответствий'!A$2:D$2981,3,FALSE),IF(VALUE(C508)=0,"ЭТАЖ НЕ ОПРЕДЕЛЕН. ПРИНЯТ ПО ДОПУЩЕНИЮ 1",VLOOKUP(C508,'Справочник соответствий'!A$2:D$2981,3,FALSE)))</f>
        <v>ЭТАЖ ЗАДАН ЧИСЛОМ</v>
      </c>
      <c r="M508" s="13" t="b">
        <f t="shared" si="50"/>
        <v>0</v>
      </c>
      <c r="N508" s="13">
        <f t="shared" si="51"/>
        <v>1</v>
      </c>
      <c r="O508" s="13" t="str">
        <f t="shared" si="52"/>
        <v>ЭТАЖ ЗАДАН ЧИСЛОМ</v>
      </c>
      <c r="P508" s="13" t="str">
        <f t="shared" si="53"/>
        <v>ЭТАЖ ЗАДАН ЧИСЛОМ</v>
      </c>
      <c r="Q508" s="13" t="str">
        <f t="shared" si="54"/>
        <v>ГОТОВ_ИЗМЕНЕН</v>
      </c>
      <c r="R508" s="13">
        <f>IFERROR(VLOOKUP(P508,Лист1!A$1:B$20,2,FALSE),0)</f>
        <v>784</v>
      </c>
      <c r="S508" s="13">
        <f t="shared" si="55"/>
        <v>0</v>
      </c>
    </row>
    <row r="509" spans="1:19" x14ac:dyDescent="0.25">
      <c r="A509" s="24" t="s">
        <v>1615</v>
      </c>
      <c r="B509" s="4" t="s">
        <v>1059</v>
      </c>
      <c r="C509" s="25" t="s">
        <v>5</v>
      </c>
      <c r="G509" s="25" t="s">
        <v>1089</v>
      </c>
      <c r="H509" s="24" t="s">
        <v>1061</v>
      </c>
      <c r="I509" s="3" t="str">
        <f>IFERROR(VLOOKUP(C509,'Справочник соответствий'!A$2:D$2981,2,FALSE),IF(VALUE(C509)=0,1,VLOOKUP(C509,'Справочник соответствий'!A$2:D$2981,2,FALSE)))</f>
        <v>1</v>
      </c>
      <c r="J509" s="3">
        <f>IFERROR(VLOOKUP(D509,'Справочник соответствий'!A$2:D$2981,2,FALSE),IF(VALUE(D509)=0,0,VLOOKUP(D509,'Справочник соответствий'!A$2:D$2981,2,FALSE)))</f>
        <v>0</v>
      </c>
      <c r="K509" s="3" t="str">
        <f t="shared" si="49"/>
        <v>1</v>
      </c>
      <c r="L509" s="13" t="str">
        <f>IFERROR(VLOOKUP(C509,'Справочник соответствий'!A$2:D$2981,3,FALSE),IF(VALUE(C509)=0,"ЭТАЖ НЕ ОПРЕДЕЛЕН. ПРИНЯТ ПО ДОПУЩЕНИЮ 1",VLOOKUP(C509,'Справочник соответствий'!A$2:D$2981,3,FALSE)))</f>
        <v>ЭТАЖ ЗАДАН ЧИСЛОМ</v>
      </c>
      <c r="M509" s="13" t="b">
        <f t="shared" si="50"/>
        <v>0</v>
      </c>
      <c r="N509" s="13">
        <f t="shared" si="51"/>
        <v>1</v>
      </c>
      <c r="O509" s="13" t="str">
        <f t="shared" si="52"/>
        <v>ЭТАЖ ЗАДАН ЧИСЛОМ</v>
      </c>
      <c r="P509" s="13" t="str">
        <f t="shared" si="53"/>
        <v>ЭТАЖ ЗАДАН ЧИСЛОМ</v>
      </c>
      <c r="Q509" s="13" t="str">
        <f t="shared" si="54"/>
        <v>ГОТОВ_ИЗМЕНЕН</v>
      </c>
      <c r="R509" s="13">
        <f>IFERROR(VLOOKUP(P509,Лист1!A$1:B$20,2,FALSE),0)</f>
        <v>784</v>
      </c>
      <c r="S509" s="13">
        <f t="shared" si="55"/>
        <v>0</v>
      </c>
    </row>
    <row r="510" spans="1:19" x14ac:dyDescent="0.25">
      <c r="A510" s="24" t="s">
        <v>1616</v>
      </c>
      <c r="B510" s="4" t="s">
        <v>1059</v>
      </c>
      <c r="C510" s="25" t="s">
        <v>7</v>
      </c>
      <c r="D510" s="25" t="s">
        <v>5</v>
      </c>
      <c r="G510" s="25" t="s">
        <v>1108</v>
      </c>
      <c r="H510" s="24" t="s">
        <v>1061</v>
      </c>
      <c r="I510" s="3" t="str">
        <f>IFERROR(VLOOKUP(C510,'Справочник соответствий'!A$2:D$2981,2,FALSE),IF(VALUE(C510)=0,1,VLOOKUP(C510,'Справочник соответствий'!A$2:D$2981,2,FALSE)))</f>
        <v>2</v>
      </c>
      <c r="J510" s="3" t="str">
        <f>IFERROR(VLOOKUP(D510,'Справочник соответствий'!A$2:D$2981,2,FALSE),IF(VALUE(D510)=0,0,VLOOKUP(D510,'Справочник соответствий'!A$2:D$2981,2,FALSE)))</f>
        <v>1</v>
      </c>
      <c r="K510" s="3" t="str">
        <f t="shared" si="49"/>
        <v>2</v>
      </c>
      <c r="L510" s="13" t="str">
        <f>IFERROR(VLOOKUP(C510,'Справочник соответствий'!A$2:D$2981,3,FALSE),IF(VALUE(C510)=0,"ЭТАЖ НЕ ОПРЕДЕЛЕН. ПРИНЯТ ПО ДОПУЩЕНИЮ 1",VLOOKUP(C510,'Справочник соответствий'!A$2:D$2981,3,FALSE)))</f>
        <v>ЭТАЖ ЗАДАН ЧИСЛОМ</v>
      </c>
      <c r="M510" s="13" t="b">
        <f t="shared" si="50"/>
        <v>0</v>
      </c>
      <c r="N510" s="13">
        <f t="shared" si="51"/>
        <v>2</v>
      </c>
      <c r="O510" s="13" t="str">
        <f t="shared" si="52"/>
        <v>ЭТАЖ ЗАДАН ЧИСЛОМ</v>
      </c>
      <c r="P510" s="13" t="str">
        <f t="shared" si="53"/>
        <v>ЭТАЖ ЗАДАН ЧИСЛОМ</v>
      </c>
      <c r="Q510" s="13" t="str">
        <f t="shared" si="54"/>
        <v>ГОТОВ_ИЗМЕНЕН</v>
      </c>
      <c r="R510" s="13">
        <f>IFERROR(VLOOKUP(P510,Лист1!A$1:B$20,2,FALSE),0)</f>
        <v>784</v>
      </c>
      <c r="S510" s="13">
        <f t="shared" si="55"/>
        <v>0</v>
      </c>
    </row>
    <row r="511" spans="1:19" x14ac:dyDescent="0.25">
      <c r="A511" s="24" t="s">
        <v>1617</v>
      </c>
      <c r="B511" s="4" t="s">
        <v>1063</v>
      </c>
      <c r="C511" s="25" t="s">
        <v>5</v>
      </c>
      <c r="G511" s="25" t="s">
        <v>1108</v>
      </c>
      <c r="H511" s="24" t="s">
        <v>1061</v>
      </c>
      <c r="I511" s="3" t="str">
        <f>IFERROR(VLOOKUP(C511,'Справочник соответствий'!A$2:D$2981,2,FALSE),IF(VALUE(C511)=0,1,VLOOKUP(C511,'Справочник соответствий'!A$2:D$2981,2,FALSE)))</f>
        <v>1</v>
      </c>
      <c r="J511" s="3">
        <f>IFERROR(VLOOKUP(D511,'Справочник соответствий'!A$2:D$2981,2,FALSE),IF(VALUE(D511)=0,0,VLOOKUP(D511,'Справочник соответствий'!A$2:D$2981,2,FALSE)))</f>
        <v>0</v>
      </c>
      <c r="K511" s="3" t="str">
        <f t="shared" si="49"/>
        <v>1</v>
      </c>
      <c r="L511" s="13" t="str">
        <f>IFERROR(VLOOKUP(C511,'Справочник соответствий'!A$2:D$2981,3,FALSE),IF(VALUE(C511)=0,"ЭТАЖ НЕ ОПРЕДЕЛЕН. ПРИНЯТ ПО ДОПУЩЕНИЮ 1",VLOOKUP(C511,'Справочник соответствий'!A$2:D$2981,3,FALSE)))</f>
        <v>ЭТАЖ ЗАДАН ЧИСЛОМ</v>
      </c>
      <c r="M511" s="13" t="b">
        <f t="shared" si="50"/>
        <v>0</v>
      </c>
      <c r="N511" s="13">
        <f t="shared" si="51"/>
        <v>1</v>
      </c>
      <c r="O511" s="13" t="str">
        <f t="shared" si="52"/>
        <v>ЭТАЖ ЗАДАН ЧИСЛОМ</v>
      </c>
      <c r="P511" s="13" t="str">
        <f t="shared" si="53"/>
        <v>ЭТАЖ ЗАДАН ЧИСЛОМ</v>
      </c>
      <c r="Q511" s="13" t="str">
        <f t="shared" si="54"/>
        <v>ГОТОВ_ИЗМЕНЕН</v>
      </c>
      <c r="R511" s="13">
        <f>IFERROR(VLOOKUP(P511,Лист1!A$1:B$20,2,FALSE),0)</f>
        <v>784</v>
      </c>
      <c r="S511" s="13">
        <f t="shared" si="55"/>
        <v>0</v>
      </c>
    </row>
    <row r="512" spans="1:19" x14ac:dyDescent="0.25">
      <c r="A512" s="24" t="s">
        <v>1618</v>
      </c>
      <c r="B512" s="4" t="s">
        <v>1059</v>
      </c>
      <c r="C512" s="25" t="s">
        <v>7</v>
      </c>
      <c r="G512" s="25" t="s">
        <v>1174</v>
      </c>
      <c r="H512" s="24" t="s">
        <v>1061</v>
      </c>
      <c r="I512" s="3" t="str">
        <f>IFERROR(VLOOKUP(C512,'Справочник соответствий'!A$2:D$2981,2,FALSE),IF(VALUE(C512)=0,1,VLOOKUP(C512,'Справочник соответствий'!A$2:D$2981,2,FALSE)))</f>
        <v>2</v>
      </c>
      <c r="J512" s="3">
        <f>IFERROR(VLOOKUP(D512,'Справочник соответствий'!A$2:D$2981,2,FALSE),IF(VALUE(D512)=0,0,VLOOKUP(D512,'Справочник соответствий'!A$2:D$2981,2,FALSE)))</f>
        <v>0</v>
      </c>
      <c r="K512" s="3" t="str">
        <f t="shared" si="49"/>
        <v>2</v>
      </c>
      <c r="L512" s="13" t="str">
        <f>IFERROR(VLOOKUP(C512,'Справочник соответствий'!A$2:D$2981,3,FALSE),IF(VALUE(C512)=0,"ЭТАЖ НЕ ОПРЕДЕЛЕН. ПРИНЯТ ПО ДОПУЩЕНИЮ 1",VLOOKUP(C512,'Справочник соответствий'!A$2:D$2981,3,FALSE)))</f>
        <v>ЭТАЖ ЗАДАН ЧИСЛОМ</v>
      </c>
      <c r="M512" s="13" t="b">
        <f t="shared" si="50"/>
        <v>0</v>
      </c>
      <c r="N512" s="13">
        <f t="shared" si="51"/>
        <v>2</v>
      </c>
      <c r="O512" s="13" t="str">
        <f t="shared" si="52"/>
        <v>ЭТАЖ ЗАДАН ЧИСЛОМ</v>
      </c>
      <c r="P512" s="13" t="str">
        <f t="shared" si="53"/>
        <v>ЭТАЖ ЗАДАН ЧИСЛОМ</v>
      </c>
      <c r="Q512" s="13" t="str">
        <f t="shared" si="54"/>
        <v>ГОТОВ_ИЗМЕНЕН</v>
      </c>
      <c r="R512" s="13">
        <f>IFERROR(VLOOKUP(P512,Лист1!A$1:B$20,2,FALSE),0)</f>
        <v>784</v>
      </c>
      <c r="S512" s="13">
        <f t="shared" si="55"/>
        <v>0</v>
      </c>
    </row>
    <row r="513" spans="1:19" x14ac:dyDescent="0.25">
      <c r="A513" s="24" t="s">
        <v>1619</v>
      </c>
      <c r="B513" s="4" t="s">
        <v>1059</v>
      </c>
      <c r="C513" s="25" t="s">
        <v>7</v>
      </c>
      <c r="G513" s="25" t="s">
        <v>1174</v>
      </c>
      <c r="H513" s="24" t="s">
        <v>1061</v>
      </c>
      <c r="I513" s="3" t="str">
        <f>IFERROR(VLOOKUP(C513,'Справочник соответствий'!A$2:D$2981,2,FALSE),IF(VALUE(C513)=0,1,VLOOKUP(C513,'Справочник соответствий'!A$2:D$2981,2,FALSE)))</f>
        <v>2</v>
      </c>
      <c r="J513" s="3">
        <f>IFERROR(VLOOKUP(D513,'Справочник соответствий'!A$2:D$2981,2,FALSE),IF(VALUE(D513)=0,0,VLOOKUP(D513,'Справочник соответствий'!A$2:D$2981,2,FALSE)))</f>
        <v>0</v>
      </c>
      <c r="K513" s="3" t="str">
        <f t="shared" si="49"/>
        <v>2</v>
      </c>
      <c r="L513" s="13" t="str">
        <f>IFERROR(VLOOKUP(C513,'Справочник соответствий'!A$2:D$2981,3,FALSE),IF(VALUE(C513)=0,"ЭТАЖ НЕ ОПРЕДЕЛЕН. ПРИНЯТ ПО ДОПУЩЕНИЮ 1",VLOOKUP(C513,'Справочник соответствий'!A$2:D$2981,3,FALSE)))</f>
        <v>ЭТАЖ ЗАДАН ЧИСЛОМ</v>
      </c>
      <c r="M513" s="13" t="b">
        <f t="shared" si="50"/>
        <v>0</v>
      </c>
      <c r="N513" s="13">
        <f t="shared" si="51"/>
        <v>2</v>
      </c>
      <c r="O513" s="13" t="str">
        <f t="shared" si="52"/>
        <v>ЭТАЖ ЗАДАН ЧИСЛОМ</v>
      </c>
      <c r="P513" s="13" t="str">
        <f t="shared" si="53"/>
        <v>ЭТАЖ ЗАДАН ЧИСЛОМ</v>
      </c>
      <c r="Q513" s="13" t="str">
        <f t="shared" si="54"/>
        <v>ГОТОВ_ИЗМЕНЕН</v>
      </c>
      <c r="R513" s="13">
        <f>IFERROR(VLOOKUP(P513,Лист1!A$1:B$20,2,FALSE),0)</f>
        <v>784</v>
      </c>
      <c r="S513" s="13">
        <f t="shared" si="55"/>
        <v>0</v>
      </c>
    </row>
    <row r="514" spans="1:19" x14ac:dyDescent="0.25">
      <c r="A514" s="24" t="s">
        <v>1620</v>
      </c>
      <c r="B514" s="4" t="s">
        <v>1059</v>
      </c>
      <c r="C514" s="25" t="s">
        <v>8</v>
      </c>
      <c r="G514" s="25" t="s">
        <v>1108</v>
      </c>
      <c r="H514" s="24" t="s">
        <v>1061</v>
      </c>
      <c r="I514" s="3" t="str">
        <f>IFERROR(VLOOKUP(C514,'Справочник соответствий'!A$2:D$2981,2,FALSE),IF(VALUE(C514)=0,1,VLOOKUP(C514,'Справочник соответствий'!A$2:D$2981,2,FALSE)))</f>
        <v>3</v>
      </c>
      <c r="J514" s="3">
        <f>IFERROR(VLOOKUP(D514,'Справочник соответствий'!A$2:D$2981,2,FALSE),IF(VALUE(D514)=0,0,VLOOKUP(D514,'Справочник соответствий'!A$2:D$2981,2,FALSE)))</f>
        <v>0</v>
      </c>
      <c r="K514" s="3" t="str">
        <f t="shared" si="49"/>
        <v>3</v>
      </c>
      <c r="L514" s="13" t="str">
        <f>IFERROR(VLOOKUP(C514,'Справочник соответствий'!A$2:D$2981,3,FALSE),IF(VALUE(C514)=0,"ЭТАЖ НЕ ОПРЕДЕЛЕН. ПРИНЯТ ПО ДОПУЩЕНИЮ 1",VLOOKUP(C514,'Справочник соответствий'!A$2:D$2981,3,FALSE)))</f>
        <v>ЭТАЖ ЗАДАН ЧИСЛОМ</v>
      </c>
      <c r="M514" s="13" t="b">
        <f t="shared" si="50"/>
        <v>0</v>
      </c>
      <c r="N514" s="13">
        <f t="shared" si="51"/>
        <v>3</v>
      </c>
      <c r="O514" s="13" t="str">
        <f t="shared" si="52"/>
        <v>ЭТАЖ ЗАДАН ЧИСЛОМ</v>
      </c>
      <c r="P514" s="13" t="str">
        <f t="shared" si="53"/>
        <v>ЭТАЖ ЗАДАН ЧИСЛОМ</v>
      </c>
      <c r="Q514" s="13" t="str">
        <f t="shared" si="54"/>
        <v>ГОТОВ_ИЗМЕНЕН</v>
      </c>
      <c r="R514" s="13">
        <f>IFERROR(VLOOKUP(P514,Лист1!A$1:B$20,2,FALSE),0)</f>
        <v>784</v>
      </c>
      <c r="S514" s="13">
        <f t="shared" si="55"/>
        <v>0</v>
      </c>
    </row>
    <row r="515" spans="1:19" x14ac:dyDescent="0.25">
      <c r="A515" s="24" t="s">
        <v>1621</v>
      </c>
      <c r="B515" s="4" t="s">
        <v>1059</v>
      </c>
      <c r="C515" s="25" t="s">
        <v>7</v>
      </c>
      <c r="G515" s="25" t="s">
        <v>1108</v>
      </c>
      <c r="H515" s="24" t="s">
        <v>1061</v>
      </c>
      <c r="I515" s="3" t="str">
        <f>IFERROR(VLOOKUP(C515,'Справочник соответствий'!A$2:D$2981,2,FALSE),IF(VALUE(C515)=0,1,VLOOKUP(C515,'Справочник соответствий'!A$2:D$2981,2,FALSE)))</f>
        <v>2</v>
      </c>
      <c r="J515" s="3">
        <f>IFERROR(VLOOKUP(D515,'Справочник соответствий'!A$2:D$2981,2,FALSE),IF(VALUE(D515)=0,0,VLOOKUP(D515,'Справочник соответствий'!A$2:D$2981,2,FALSE)))</f>
        <v>0</v>
      </c>
      <c r="K515" s="3" t="str">
        <f t="shared" si="49"/>
        <v>2</v>
      </c>
      <c r="L515" s="13" t="str">
        <f>IFERROR(VLOOKUP(C515,'Справочник соответствий'!A$2:D$2981,3,FALSE),IF(VALUE(C515)=0,"ЭТАЖ НЕ ОПРЕДЕЛЕН. ПРИНЯТ ПО ДОПУЩЕНИЮ 1",VLOOKUP(C515,'Справочник соответствий'!A$2:D$2981,3,FALSE)))</f>
        <v>ЭТАЖ ЗАДАН ЧИСЛОМ</v>
      </c>
      <c r="M515" s="13" t="b">
        <f t="shared" si="50"/>
        <v>0</v>
      </c>
      <c r="N515" s="13">
        <f t="shared" si="51"/>
        <v>2</v>
      </c>
      <c r="O515" s="13" t="str">
        <f t="shared" si="52"/>
        <v>ЭТАЖ ЗАДАН ЧИСЛОМ</v>
      </c>
      <c r="P515" s="13" t="str">
        <f t="shared" si="53"/>
        <v>ЭТАЖ ЗАДАН ЧИСЛОМ</v>
      </c>
      <c r="Q515" s="13" t="str">
        <f t="shared" si="54"/>
        <v>ГОТОВ_ИЗМЕНЕН</v>
      </c>
      <c r="R515" s="13">
        <f>IFERROR(VLOOKUP(P515,Лист1!A$1:B$20,2,FALSE),0)</f>
        <v>784</v>
      </c>
      <c r="S515" s="13">
        <f t="shared" si="55"/>
        <v>0</v>
      </c>
    </row>
    <row r="516" spans="1:19" x14ac:dyDescent="0.25">
      <c r="A516" s="24" t="s">
        <v>1622</v>
      </c>
      <c r="B516" s="4" t="s">
        <v>1059</v>
      </c>
      <c r="C516" s="25" t="s">
        <v>5</v>
      </c>
      <c r="G516" s="25" t="s">
        <v>1108</v>
      </c>
      <c r="H516" s="24" t="s">
        <v>1061</v>
      </c>
      <c r="I516" s="3" t="str">
        <f>IFERROR(VLOOKUP(C516,'Справочник соответствий'!A$2:D$2981,2,FALSE),IF(VALUE(C516)=0,1,VLOOKUP(C516,'Справочник соответствий'!A$2:D$2981,2,FALSE)))</f>
        <v>1</v>
      </c>
      <c r="J516" s="3">
        <f>IFERROR(VLOOKUP(D516,'Справочник соответствий'!A$2:D$2981,2,FALSE),IF(VALUE(D516)=0,0,VLOOKUP(D516,'Справочник соответствий'!A$2:D$2981,2,FALSE)))</f>
        <v>0</v>
      </c>
      <c r="K516" s="3" t="str">
        <f t="shared" si="49"/>
        <v>1</v>
      </c>
      <c r="L516" s="13" t="str">
        <f>IFERROR(VLOOKUP(C516,'Справочник соответствий'!A$2:D$2981,3,FALSE),IF(VALUE(C516)=0,"ЭТАЖ НЕ ОПРЕДЕЛЕН. ПРИНЯТ ПО ДОПУЩЕНИЮ 1",VLOOKUP(C516,'Справочник соответствий'!A$2:D$2981,3,FALSE)))</f>
        <v>ЭТАЖ ЗАДАН ЧИСЛОМ</v>
      </c>
      <c r="M516" s="13" t="b">
        <f t="shared" si="50"/>
        <v>0</v>
      </c>
      <c r="N516" s="13">
        <f t="shared" si="51"/>
        <v>1</v>
      </c>
      <c r="O516" s="13" t="str">
        <f t="shared" si="52"/>
        <v>ЭТАЖ ЗАДАН ЧИСЛОМ</v>
      </c>
      <c r="P516" s="13" t="str">
        <f t="shared" si="53"/>
        <v>ЭТАЖ ЗАДАН ЧИСЛОМ</v>
      </c>
      <c r="Q516" s="13" t="str">
        <f t="shared" si="54"/>
        <v>ГОТОВ_ИЗМЕНЕН</v>
      </c>
      <c r="R516" s="13">
        <f>IFERROR(VLOOKUP(P516,Лист1!A$1:B$20,2,FALSE),0)</f>
        <v>784</v>
      </c>
      <c r="S516" s="13">
        <f t="shared" si="55"/>
        <v>0</v>
      </c>
    </row>
    <row r="517" spans="1:19" x14ac:dyDescent="0.25">
      <c r="A517" s="24" t="s">
        <v>1623</v>
      </c>
      <c r="B517" s="4" t="s">
        <v>1063</v>
      </c>
      <c r="C517" s="25" t="s">
        <v>5</v>
      </c>
      <c r="G517" s="25" t="s">
        <v>1108</v>
      </c>
      <c r="H517" s="24" t="s">
        <v>1061</v>
      </c>
      <c r="I517" s="3" t="str">
        <f>IFERROR(VLOOKUP(C517,'Справочник соответствий'!A$2:D$2981,2,FALSE),IF(VALUE(C517)=0,1,VLOOKUP(C517,'Справочник соответствий'!A$2:D$2981,2,FALSE)))</f>
        <v>1</v>
      </c>
      <c r="J517" s="3">
        <f>IFERROR(VLOOKUP(D517,'Справочник соответствий'!A$2:D$2981,2,FALSE),IF(VALUE(D517)=0,0,VLOOKUP(D517,'Справочник соответствий'!A$2:D$2981,2,FALSE)))</f>
        <v>0</v>
      </c>
      <c r="K517" s="3" t="str">
        <f t="shared" ref="K517:K580" si="56">IF(B517="Многоквартирный дом",IF(I517-J517&gt;0,I517-J517,1),I517)</f>
        <v>1</v>
      </c>
      <c r="L517" s="13" t="str">
        <f>IFERROR(VLOOKUP(C517,'Справочник соответствий'!A$2:D$2981,3,FALSE),IF(VALUE(C517)=0,"ЭТАЖ НЕ ОПРЕДЕЛЕН. ПРИНЯТ ПО ДОПУЩЕНИЮ 1",VLOOKUP(C517,'Справочник соответствий'!A$2:D$2981,3,FALSE)))</f>
        <v>ЭТАЖ ЗАДАН ЧИСЛОМ</v>
      </c>
      <c r="M517" s="13" t="b">
        <f t="shared" ref="M517:M580" si="57">I517=E517</f>
        <v>0</v>
      </c>
      <c r="N517" s="13">
        <f t="shared" ref="N517:N580" si="58">IF(VALUE(E517)=0,VALUE(K517),IF(L517="ЭТАЖ НЕ ОПРЕДЕЛЕН. ПРИНЯТ ПО ДОПУЩЕНИЮ 1",VALUE(E517),VALUE(K517)))</f>
        <v>1</v>
      </c>
      <c r="O517" s="13" t="str">
        <f t="shared" ref="O517:O580" si="59">IF(VALUE(E517)=0,L517,IF(L517="ЭТАЖ НЕ ОПРЕДЕЛЕН. ПРИНЯТ ПО ДОПУЩЕНИЮ 1",F517,L517))</f>
        <v>ЭТАЖ ЗАДАН ЧИСЛОМ</v>
      </c>
      <c r="P517" s="13" t="str">
        <f t="shared" ref="P517:P580" si="60">IF(B517="Многоквартирный дом",CONCATENATE("МКД_",O517),O517)</f>
        <v>ЭТАЖ ЗАДАН ЧИСЛОМ</v>
      </c>
      <c r="Q517" s="13" t="str">
        <f t="shared" ref="Q517:Q580" si="61">IFERROR(IF(N517&gt;0,IF(N517=VALUE(E517),"ГОТОВ","ГОТОВ_ИЗМЕНЕН"),"НЕ ГОТОВ"),"НЕ ГОТОВ")</f>
        <v>ГОТОВ_ИЗМЕНЕН</v>
      </c>
      <c r="R517" s="13">
        <f>IFERROR(VLOOKUP(P517,Лист1!A$1:B$20,2,FALSE),0)</f>
        <v>784</v>
      </c>
      <c r="S517" s="13">
        <f t="shared" ref="S517:S580" si="62">VALUE(E517)</f>
        <v>0</v>
      </c>
    </row>
    <row r="518" spans="1:19" x14ac:dyDescent="0.25">
      <c r="A518" s="24" t="s">
        <v>1624</v>
      </c>
      <c r="B518" s="4" t="s">
        <v>1063</v>
      </c>
      <c r="G518" s="25" t="s">
        <v>1321</v>
      </c>
      <c r="H518" s="24" t="s">
        <v>1061</v>
      </c>
      <c r="I518" s="3">
        <f>IFERROR(VLOOKUP(C518,'Справочник соответствий'!A$2:D$2981,2,FALSE),IF(VALUE(C518)=0,1,VLOOKUP(C518,'Справочник соответствий'!A$2:D$2981,2,FALSE)))</f>
        <v>1</v>
      </c>
      <c r="J518" s="3">
        <f>IFERROR(VLOOKUP(D518,'Справочник соответствий'!A$2:D$2981,2,FALSE),IF(VALUE(D518)=0,0,VLOOKUP(D518,'Справочник соответствий'!A$2:D$2981,2,FALSE)))</f>
        <v>0</v>
      </c>
      <c r="K518" s="3">
        <f t="shared" si="56"/>
        <v>1</v>
      </c>
      <c r="L518" s="13" t="str">
        <f>IFERROR(VLOOKUP(C518,'Справочник соответствий'!A$2:D$2981,3,FALSE),IF(VALUE(C518)=0,"ЭТАЖ НЕ ОПРЕДЕЛЕН. ПРИНЯТ ПО ДОПУЩЕНИЮ 1",VLOOKUP(C518,'Справочник соответствий'!A$2:D$2981,3,FALSE)))</f>
        <v>ЭТАЖ НЕ ОПРЕДЕЛЕН. ПРИНЯТ ПО ДОПУЩЕНИЮ 1</v>
      </c>
      <c r="M518" s="13" t="b">
        <f t="shared" si="57"/>
        <v>0</v>
      </c>
      <c r="N518" s="13">
        <f t="shared" si="58"/>
        <v>1</v>
      </c>
      <c r="O518" s="13" t="str">
        <f t="shared" si="59"/>
        <v>ЭТАЖ НЕ ОПРЕДЕЛЕН. ПРИНЯТ ПО ДОПУЩЕНИЮ 1</v>
      </c>
      <c r="P518" s="13" t="str">
        <f t="shared" si="60"/>
        <v>ЭТАЖ НЕ ОПРЕДЕЛЕН. ПРИНЯТ ПО ДОПУЩЕНИЮ 1</v>
      </c>
      <c r="Q518" s="13" t="str">
        <f t="shared" si="61"/>
        <v>ГОТОВ_ИЗМЕНЕН</v>
      </c>
      <c r="R518" s="13">
        <f>IFERROR(VLOOKUP(P518,Лист1!A$1:B$20,2,FALSE),0)</f>
        <v>788</v>
      </c>
      <c r="S518" s="13">
        <f t="shared" si="62"/>
        <v>0</v>
      </c>
    </row>
    <row r="519" spans="1:19" x14ac:dyDescent="0.25">
      <c r="A519" s="24" t="s">
        <v>1625</v>
      </c>
      <c r="B519" s="4" t="s">
        <v>1063</v>
      </c>
      <c r="C519" s="25" t="s">
        <v>5</v>
      </c>
      <c r="G519" s="25" t="s">
        <v>1108</v>
      </c>
      <c r="H519" s="24" t="s">
        <v>1061</v>
      </c>
      <c r="I519" s="3" t="str">
        <f>IFERROR(VLOOKUP(C519,'Справочник соответствий'!A$2:D$2981,2,FALSE),IF(VALUE(C519)=0,1,VLOOKUP(C519,'Справочник соответствий'!A$2:D$2981,2,FALSE)))</f>
        <v>1</v>
      </c>
      <c r="J519" s="3">
        <f>IFERROR(VLOOKUP(D519,'Справочник соответствий'!A$2:D$2981,2,FALSE),IF(VALUE(D519)=0,0,VLOOKUP(D519,'Справочник соответствий'!A$2:D$2981,2,FALSE)))</f>
        <v>0</v>
      </c>
      <c r="K519" s="3" t="str">
        <f t="shared" si="56"/>
        <v>1</v>
      </c>
      <c r="L519" s="13" t="str">
        <f>IFERROR(VLOOKUP(C519,'Справочник соответствий'!A$2:D$2981,3,FALSE),IF(VALUE(C519)=0,"ЭТАЖ НЕ ОПРЕДЕЛЕН. ПРИНЯТ ПО ДОПУЩЕНИЮ 1",VLOOKUP(C519,'Справочник соответствий'!A$2:D$2981,3,FALSE)))</f>
        <v>ЭТАЖ ЗАДАН ЧИСЛОМ</v>
      </c>
      <c r="M519" s="13" t="b">
        <f t="shared" si="57"/>
        <v>0</v>
      </c>
      <c r="N519" s="13">
        <f t="shared" si="58"/>
        <v>1</v>
      </c>
      <c r="O519" s="13" t="str">
        <f t="shared" si="59"/>
        <v>ЭТАЖ ЗАДАН ЧИСЛОМ</v>
      </c>
      <c r="P519" s="13" t="str">
        <f t="shared" si="60"/>
        <v>ЭТАЖ ЗАДАН ЧИСЛОМ</v>
      </c>
      <c r="Q519" s="13" t="str">
        <f t="shared" si="61"/>
        <v>ГОТОВ_ИЗМЕНЕН</v>
      </c>
      <c r="R519" s="13">
        <f>IFERROR(VLOOKUP(P519,Лист1!A$1:B$20,2,FALSE),0)</f>
        <v>784</v>
      </c>
      <c r="S519" s="13">
        <f t="shared" si="62"/>
        <v>0</v>
      </c>
    </row>
    <row r="520" spans="1:19" x14ac:dyDescent="0.25">
      <c r="A520" s="24" t="s">
        <v>1626</v>
      </c>
      <c r="B520" s="4" t="s">
        <v>1059</v>
      </c>
      <c r="C520" s="25" t="s">
        <v>5</v>
      </c>
      <c r="G520" s="25" t="s">
        <v>1195</v>
      </c>
      <c r="H520" s="24" t="s">
        <v>1061</v>
      </c>
      <c r="I520" s="3" t="str">
        <f>IFERROR(VLOOKUP(C520,'Справочник соответствий'!A$2:D$2981,2,FALSE),IF(VALUE(C520)=0,1,VLOOKUP(C520,'Справочник соответствий'!A$2:D$2981,2,FALSE)))</f>
        <v>1</v>
      </c>
      <c r="J520" s="3">
        <f>IFERROR(VLOOKUP(D520,'Справочник соответствий'!A$2:D$2981,2,FALSE),IF(VALUE(D520)=0,0,VLOOKUP(D520,'Справочник соответствий'!A$2:D$2981,2,FALSE)))</f>
        <v>0</v>
      </c>
      <c r="K520" s="3" t="str">
        <f t="shared" si="56"/>
        <v>1</v>
      </c>
      <c r="L520" s="13" t="str">
        <f>IFERROR(VLOOKUP(C520,'Справочник соответствий'!A$2:D$2981,3,FALSE),IF(VALUE(C520)=0,"ЭТАЖ НЕ ОПРЕДЕЛЕН. ПРИНЯТ ПО ДОПУЩЕНИЮ 1",VLOOKUP(C520,'Справочник соответствий'!A$2:D$2981,3,FALSE)))</f>
        <v>ЭТАЖ ЗАДАН ЧИСЛОМ</v>
      </c>
      <c r="M520" s="13" t="b">
        <f t="shared" si="57"/>
        <v>0</v>
      </c>
      <c r="N520" s="13">
        <f t="shared" si="58"/>
        <v>1</v>
      </c>
      <c r="O520" s="13" t="str">
        <f t="shared" si="59"/>
        <v>ЭТАЖ ЗАДАН ЧИСЛОМ</v>
      </c>
      <c r="P520" s="13" t="str">
        <f t="shared" si="60"/>
        <v>ЭТАЖ ЗАДАН ЧИСЛОМ</v>
      </c>
      <c r="Q520" s="13" t="str">
        <f t="shared" si="61"/>
        <v>ГОТОВ_ИЗМЕНЕН</v>
      </c>
      <c r="R520" s="13">
        <f>IFERROR(VLOOKUP(P520,Лист1!A$1:B$20,2,FALSE),0)</f>
        <v>784</v>
      </c>
      <c r="S520" s="13">
        <f t="shared" si="62"/>
        <v>0</v>
      </c>
    </row>
    <row r="521" spans="1:19" x14ac:dyDescent="0.25">
      <c r="A521" s="24" t="s">
        <v>1627</v>
      </c>
      <c r="B521" s="4" t="s">
        <v>1059</v>
      </c>
      <c r="C521" s="25" t="s">
        <v>5</v>
      </c>
      <c r="G521" s="25" t="s">
        <v>1195</v>
      </c>
      <c r="H521" s="24" t="s">
        <v>1061</v>
      </c>
      <c r="I521" s="3" t="str">
        <f>IFERROR(VLOOKUP(C521,'Справочник соответствий'!A$2:D$2981,2,FALSE),IF(VALUE(C521)=0,1,VLOOKUP(C521,'Справочник соответствий'!A$2:D$2981,2,FALSE)))</f>
        <v>1</v>
      </c>
      <c r="J521" s="3">
        <f>IFERROR(VLOOKUP(D521,'Справочник соответствий'!A$2:D$2981,2,FALSE),IF(VALUE(D521)=0,0,VLOOKUP(D521,'Справочник соответствий'!A$2:D$2981,2,FALSE)))</f>
        <v>0</v>
      </c>
      <c r="K521" s="3" t="str">
        <f t="shared" si="56"/>
        <v>1</v>
      </c>
      <c r="L521" s="13" t="str">
        <f>IFERROR(VLOOKUP(C521,'Справочник соответствий'!A$2:D$2981,3,FALSE),IF(VALUE(C521)=0,"ЭТАЖ НЕ ОПРЕДЕЛЕН. ПРИНЯТ ПО ДОПУЩЕНИЮ 1",VLOOKUP(C521,'Справочник соответствий'!A$2:D$2981,3,FALSE)))</f>
        <v>ЭТАЖ ЗАДАН ЧИСЛОМ</v>
      </c>
      <c r="M521" s="13" t="b">
        <f t="shared" si="57"/>
        <v>0</v>
      </c>
      <c r="N521" s="13">
        <f t="shared" si="58"/>
        <v>1</v>
      </c>
      <c r="O521" s="13" t="str">
        <f t="shared" si="59"/>
        <v>ЭТАЖ ЗАДАН ЧИСЛОМ</v>
      </c>
      <c r="P521" s="13" t="str">
        <f t="shared" si="60"/>
        <v>ЭТАЖ ЗАДАН ЧИСЛОМ</v>
      </c>
      <c r="Q521" s="13" t="str">
        <f t="shared" si="61"/>
        <v>ГОТОВ_ИЗМЕНЕН</v>
      </c>
      <c r="R521" s="13">
        <f>IFERROR(VLOOKUP(P521,Лист1!A$1:B$20,2,FALSE),0)</f>
        <v>784</v>
      </c>
      <c r="S521" s="13">
        <f t="shared" si="62"/>
        <v>0</v>
      </c>
    </row>
    <row r="522" spans="1:19" x14ac:dyDescent="0.25">
      <c r="A522" s="24" t="s">
        <v>1628</v>
      </c>
      <c r="B522" s="4" t="s">
        <v>1059</v>
      </c>
      <c r="C522" s="25" t="s">
        <v>7</v>
      </c>
      <c r="G522" s="25" t="s">
        <v>1195</v>
      </c>
      <c r="H522" s="24" t="s">
        <v>1061</v>
      </c>
      <c r="I522" s="3" t="str">
        <f>IFERROR(VLOOKUP(C522,'Справочник соответствий'!A$2:D$2981,2,FALSE),IF(VALUE(C522)=0,1,VLOOKUP(C522,'Справочник соответствий'!A$2:D$2981,2,FALSE)))</f>
        <v>2</v>
      </c>
      <c r="J522" s="3">
        <f>IFERROR(VLOOKUP(D522,'Справочник соответствий'!A$2:D$2981,2,FALSE),IF(VALUE(D522)=0,0,VLOOKUP(D522,'Справочник соответствий'!A$2:D$2981,2,FALSE)))</f>
        <v>0</v>
      </c>
      <c r="K522" s="3" t="str">
        <f t="shared" si="56"/>
        <v>2</v>
      </c>
      <c r="L522" s="13" t="str">
        <f>IFERROR(VLOOKUP(C522,'Справочник соответствий'!A$2:D$2981,3,FALSE),IF(VALUE(C522)=0,"ЭТАЖ НЕ ОПРЕДЕЛЕН. ПРИНЯТ ПО ДОПУЩЕНИЮ 1",VLOOKUP(C522,'Справочник соответствий'!A$2:D$2981,3,FALSE)))</f>
        <v>ЭТАЖ ЗАДАН ЧИСЛОМ</v>
      </c>
      <c r="M522" s="13" t="b">
        <f t="shared" si="57"/>
        <v>0</v>
      </c>
      <c r="N522" s="13">
        <f t="shared" si="58"/>
        <v>2</v>
      </c>
      <c r="O522" s="13" t="str">
        <f t="shared" si="59"/>
        <v>ЭТАЖ ЗАДАН ЧИСЛОМ</v>
      </c>
      <c r="P522" s="13" t="str">
        <f t="shared" si="60"/>
        <v>ЭТАЖ ЗАДАН ЧИСЛОМ</v>
      </c>
      <c r="Q522" s="13" t="str">
        <f t="shared" si="61"/>
        <v>ГОТОВ_ИЗМЕНЕН</v>
      </c>
      <c r="R522" s="13">
        <f>IFERROR(VLOOKUP(P522,Лист1!A$1:B$20,2,FALSE),0)</f>
        <v>784</v>
      </c>
      <c r="S522" s="13">
        <f t="shared" si="62"/>
        <v>0</v>
      </c>
    </row>
    <row r="523" spans="1:19" x14ac:dyDescent="0.25">
      <c r="A523" s="24" t="s">
        <v>1629</v>
      </c>
      <c r="B523" s="4" t="s">
        <v>1063</v>
      </c>
      <c r="C523" s="25" t="s">
        <v>5</v>
      </c>
      <c r="G523" s="25" t="s">
        <v>1195</v>
      </c>
      <c r="H523" s="24" t="s">
        <v>1061</v>
      </c>
      <c r="I523" s="3" t="str">
        <f>IFERROR(VLOOKUP(C523,'Справочник соответствий'!A$2:D$2981,2,FALSE),IF(VALUE(C523)=0,1,VLOOKUP(C523,'Справочник соответствий'!A$2:D$2981,2,FALSE)))</f>
        <v>1</v>
      </c>
      <c r="J523" s="3">
        <f>IFERROR(VLOOKUP(D523,'Справочник соответствий'!A$2:D$2981,2,FALSE),IF(VALUE(D523)=0,0,VLOOKUP(D523,'Справочник соответствий'!A$2:D$2981,2,FALSE)))</f>
        <v>0</v>
      </c>
      <c r="K523" s="3" t="str">
        <f t="shared" si="56"/>
        <v>1</v>
      </c>
      <c r="L523" s="13" t="str">
        <f>IFERROR(VLOOKUP(C523,'Справочник соответствий'!A$2:D$2981,3,FALSE),IF(VALUE(C523)=0,"ЭТАЖ НЕ ОПРЕДЕЛЕН. ПРИНЯТ ПО ДОПУЩЕНИЮ 1",VLOOKUP(C523,'Справочник соответствий'!A$2:D$2981,3,FALSE)))</f>
        <v>ЭТАЖ ЗАДАН ЧИСЛОМ</v>
      </c>
      <c r="M523" s="13" t="b">
        <f t="shared" si="57"/>
        <v>0</v>
      </c>
      <c r="N523" s="13">
        <f t="shared" si="58"/>
        <v>1</v>
      </c>
      <c r="O523" s="13" t="str">
        <f t="shared" si="59"/>
        <v>ЭТАЖ ЗАДАН ЧИСЛОМ</v>
      </c>
      <c r="P523" s="13" t="str">
        <f t="shared" si="60"/>
        <v>ЭТАЖ ЗАДАН ЧИСЛОМ</v>
      </c>
      <c r="Q523" s="13" t="str">
        <f t="shared" si="61"/>
        <v>ГОТОВ_ИЗМЕНЕН</v>
      </c>
      <c r="R523" s="13">
        <f>IFERROR(VLOOKUP(P523,Лист1!A$1:B$20,2,FALSE),0)</f>
        <v>784</v>
      </c>
      <c r="S523" s="13">
        <f t="shared" si="62"/>
        <v>0</v>
      </c>
    </row>
    <row r="524" spans="1:19" x14ac:dyDescent="0.25">
      <c r="A524" s="24" t="s">
        <v>1630</v>
      </c>
      <c r="B524" s="4" t="s">
        <v>1063</v>
      </c>
      <c r="C524" s="25" t="s">
        <v>5</v>
      </c>
      <c r="G524" s="25" t="s">
        <v>1195</v>
      </c>
      <c r="H524" s="24" t="s">
        <v>1061</v>
      </c>
      <c r="I524" s="3" t="str">
        <f>IFERROR(VLOOKUP(C524,'Справочник соответствий'!A$2:D$2981,2,FALSE),IF(VALUE(C524)=0,1,VLOOKUP(C524,'Справочник соответствий'!A$2:D$2981,2,FALSE)))</f>
        <v>1</v>
      </c>
      <c r="J524" s="3">
        <f>IFERROR(VLOOKUP(D524,'Справочник соответствий'!A$2:D$2981,2,FALSE),IF(VALUE(D524)=0,0,VLOOKUP(D524,'Справочник соответствий'!A$2:D$2981,2,FALSE)))</f>
        <v>0</v>
      </c>
      <c r="K524" s="3" t="str">
        <f t="shared" si="56"/>
        <v>1</v>
      </c>
      <c r="L524" s="13" t="str">
        <f>IFERROR(VLOOKUP(C524,'Справочник соответствий'!A$2:D$2981,3,FALSE),IF(VALUE(C524)=0,"ЭТАЖ НЕ ОПРЕДЕЛЕН. ПРИНЯТ ПО ДОПУЩЕНИЮ 1",VLOOKUP(C524,'Справочник соответствий'!A$2:D$2981,3,FALSE)))</f>
        <v>ЭТАЖ ЗАДАН ЧИСЛОМ</v>
      </c>
      <c r="M524" s="13" t="b">
        <f t="shared" si="57"/>
        <v>0</v>
      </c>
      <c r="N524" s="13">
        <f t="shared" si="58"/>
        <v>1</v>
      </c>
      <c r="O524" s="13" t="str">
        <f t="shared" si="59"/>
        <v>ЭТАЖ ЗАДАН ЧИСЛОМ</v>
      </c>
      <c r="P524" s="13" t="str">
        <f t="shared" si="60"/>
        <v>ЭТАЖ ЗАДАН ЧИСЛОМ</v>
      </c>
      <c r="Q524" s="13" t="str">
        <f t="shared" si="61"/>
        <v>ГОТОВ_ИЗМЕНЕН</v>
      </c>
      <c r="R524" s="13">
        <f>IFERROR(VLOOKUP(P524,Лист1!A$1:B$20,2,FALSE),0)</f>
        <v>784</v>
      </c>
      <c r="S524" s="13">
        <f t="shared" si="62"/>
        <v>0</v>
      </c>
    </row>
    <row r="525" spans="1:19" x14ac:dyDescent="0.25">
      <c r="A525" s="24" t="s">
        <v>1631</v>
      </c>
      <c r="B525" s="4" t="s">
        <v>1063</v>
      </c>
      <c r="G525" s="25" t="s">
        <v>1195</v>
      </c>
      <c r="H525" s="24" t="s">
        <v>1061</v>
      </c>
      <c r="I525" s="3">
        <f>IFERROR(VLOOKUP(C525,'Справочник соответствий'!A$2:D$2981,2,FALSE),IF(VALUE(C525)=0,1,VLOOKUP(C525,'Справочник соответствий'!A$2:D$2981,2,FALSE)))</f>
        <v>1</v>
      </c>
      <c r="J525" s="3">
        <f>IFERROR(VLOOKUP(D525,'Справочник соответствий'!A$2:D$2981,2,FALSE),IF(VALUE(D525)=0,0,VLOOKUP(D525,'Справочник соответствий'!A$2:D$2981,2,FALSE)))</f>
        <v>0</v>
      </c>
      <c r="K525" s="3">
        <f t="shared" si="56"/>
        <v>1</v>
      </c>
      <c r="L525" s="13" t="str">
        <f>IFERROR(VLOOKUP(C525,'Справочник соответствий'!A$2:D$2981,3,FALSE),IF(VALUE(C525)=0,"ЭТАЖ НЕ ОПРЕДЕЛЕН. ПРИНЯТ ПО ДОПУЩЕНИЮ 1",VLOOKUP(C525,'Справочник соответствий'!A$2:D$2981,3,FALSE)))</f>
        <v>ЭТАЖ НЕ ОПРЕДЕЛЕН. ПРИНЯТ ПО ДОПУЩЕНИЮ 1</v>
      </c>
      <c r="M525" s="13" t="b">
        <f t="shared" si="57"/>
        <v>0</v>
      </c>
      <c r="N525" s="13">
        <f t="shared" si="58"/>
        <v>1</v>
      </c>
      <c r="O525" s="13" t="str">
        <f t="shared" si="59"/>
        <v>ЭТАЖ НЕ ОПРЕДЕЛЕН. ПРИНЯТ ПО ДОПУЩЕНИЮ 1</v>
      </c>
      <c r="P525" s="13" t="str">
        <f t="shared" si="60"/>
        <v>ЭТАЖ НЕ ОПРЕДЕЛЕН. ПРИНЯТ ПО ДОПУЩЕНИЮ 1</v>
      </c>
      <c r="Q525" s="13" t="str">
        <f t="shared" si="61"/>
        <v>ГОТОВ_ИЗМЕНЕН</v>
      </c>
      <c r="R525" s="13">
        <f>IFERROR(VLOOKUP(P525,Лист1!A$1:B$20,2,FALSE),0)</f>
        <v>788</v>
      </c>
      <c r="S525" s="13">
        <f t="shared" si="62"/>
        <v>0</v>
      </c>
    </row>
    <row r="526" spans="1:19" x14ac:dyDescent="0.25">
      <c r="A526" s="24" t="s">
        <v>1632</v>
      </c>
      <c r="B526" s="4" t="s">
        <v>1059</v>
      </c>
      <c r="C526" s="25" t="s">
        <v>8</v>
      </c>
      <c r="D526" s="25" t="s">
        <v>5</v>
      </c>
      <c r="G526" s="25" t="s">
        <v>1195</v>
      </c>
      <c r="H526" s="24" t="s">
        <v>1061</v>
      </c>
      <c r="I526" s="3" t="str">
        <f>IFERROR(VLOOKUP(C526,'Справочник соответствий'!A$2:D$2981,2,FALSE),IF(VALUE(C526)=0,1,VLOOKUP(C526,'Справочник соответствий'!A$2:D$2981,2,FALSE)))</f>
        <v>3</v>
      </c>
      <c r="J526" s="3" t="str">
        <f>IFERROR(VLOOKUP(D526,'Справочник соответствий'!A$2:D$2981,2,FALSE),IF(VALUE(D526)=0,0,VLOOKUP(D526,'Справочник соответствий'!A$2:D$2981,2,FALSE)))</f>
        <v>1</v>
      </c>
      <c r="K526" s="3" t="str">
        <f t="shared" si="56"/>
        <v>3</v>
      </c>
      <c r="L526" s="13" t="str">
        <f>IFERROR(VLOOKUP(C526,'Справочник соответствий'!A$2:D$2981,3,FALSE),IF(VALUE(C526)=0,"ЭТАЖ НЕ ОПРЕДЕЛЕН. ПРИНЯТ ПО ДОПУЩЕНИЮ 1",VLOOKUP(C526,'Справочник соответствий'!A$2:D$2981,3,FALSE)))</f>
        <v>ЭТАЖ ЗАДАН ЧИСЛОМ</v>
      </c>
      <c r="M526" s="13" t="b">
        <f t="shared" si="57"/>
        <v>0</v>
      </c>
      <c r="N526" s="13">
        <f t="shared" si="58"/>
        <v>3</v>
      </c>
      <c r="O526" s="13" t="str">
        <f t="shared" si="59"/>
        <v>ЭТАЖ ЗАДАН ЧИСЛОМ</v>
      </c>
      <c r="P526" s="13" t="str">
        <f t="shared" si="60"/>
        <v>ЭТАЖ ЗАДАН ЧИСЛОМ</v>
      </c>
      <c r="Q526" s="13" t="str">
        <f t="shared" si="61"/>
        <v>ГОТОВ_ИЗМЕНЕН</v>
      </c>
      <c r="R526" s="13">
        <f>IFERROR(VLOOKUP(P526,Лист1!A$1:B$20,2,FALSE),0)</f>
        <v>784</v>
      </c>
      <c r="S526" s="13">
        <f t="shared" si="62"/>
        <v>0</v>
      </c>
    </row>
    <row r="527" spans="1:19" x14ac:dyDescent="0.25">
      <c r="A527" s="24" t="s">
        <v>1633</v>
      </c>
      <c r="B527" s="4" t="s">
        <v>1059</v>
      </c>
      <c r="C527" s="25" t="s">
        <v>7</v>
      </c>
      <c r="G527" s="25" t="s">
        <v>1203</v>
      </c>
      <c r="H527" s="24" t="s">
        <v>1061</v>
      </c>
      <c r="I527" s="3" t="str">
        <f>IFERROR(VLOOKUP(C527,'Справочник соответствий'!A$2:D$2981,2,FALSE),IF(VALUE(C527)=0,1,VLOOKUP(C527,'Справочник соответствий'!A$2:D$2981,2,FALSE)))</f>
        <v>2</v>
      </c>
      <c r="J527" s="3">
        <f>IFERROR(VLOOKUP(D527,'Справочник соответствий'!A$2:D$2981,2,FALSE),IF(VALUE(D527)=0,0,VLOOKUP(D527,'Справочник соответствий'!A$2:D$2981,2,FALSE)))</f>
        <v>0</v>
      </c>
      <c r="K527" s="3" t="str">
        <f t="shared" si="56"/>
        <v>2</v>
      </c>
      <c r="L527" s="13" t="str">
        <f>IFERROR(VLOOKUP(C527,'Справочник соответствий'!A$2:D$2981,3,FALSE),IF(VALUE(C527)=0,"ЭТАЖ НЕ ОПРЕДЕЛЕН. ПРИНЯТ ПО ДОПУЩЕНИЮ 1",VLOOKUP(C527,'Справочник соответствий'!A$2:D$2981,3,FALSE)))</f>
        <v>ЭТАЖ ЗАДАН ЧИСЛОМ</v>
      </c>
      <c r="M527" s="13" t="b">
        <f t="shared" si="57"/>
        <v>0</v>
      </c>
      <c r="N527" s="13">
        <f t="shared" si="58"/>
        <v>2</v>
      </c>
      <c r="O527" s="13" t="str">
        <f t="shared" si="59"/>
        <v>ЭТАЖ ЗАДАН ЧИСЛОМ</v>
      </c>
      <c r="P527" s="13" t="str">
        <f t="shared" si="60"/>
        <v>ЭТАЖ ЗАДАН ЧИСЛОМ</v>
      </c>
      <c r="Q527" s="13" t="str">
        <f t="shared" si="61"/>
        <v>ГОТОВ_ИЗМЕНЕН</v>
      </c>
      <c r="R527" s="13">
        <f>IFERROR(VLOOKUP(P527,Лист1!A$1:B$20,2,FALSE),0)</f>
        <v>784</v>
      </c>
      <c r="S527" s="13">
        <f t="shared" si="62"/>
        <v>0</v>
      </c>
    </row>
    <row r="528" spans="1:19" x14ac:dyDescent="0.25">
      <c r="A528" s="24" t="s">
        <v>1634</v>
      </c>
      <c r="B528" s="4" t="s">
        <v>1059</v>
      </c>
      <c r="C528" s="25" t="s">
        <v>7</v>
      </c>
      <c r="G528" s="25" t="s">
        <v>1205</v>
      </c>
      <c r="H528" s="24" t="s">
        <v>1061</v>
      </c>
      <c r="I528" s="3" t="str">
        <f>IFERROR(VLOOKUP(C528,'Справочник соответствий'!A$2:D$2981,2,FALSE),IF(VALUE(C528)=0,1,VLOOKUP(C528,'Справочник соответствий'!A$2:D$2981,2,FALSE)))</f>
        <v>2</v>
      </c>
      <c r="J528" s="3">
        <f>IFERROR(VLOOKUP(D528,'Справочник соответствий'!A$2:D$2981,2,FALSE),IF(VALUE(D528)=0,0,VLOOKUP(D528,'Справочник соответствий'!A$2:D$2981,2,FALSE)))</f>
        <v>0</v>
      </c>
      <c r="K528" s="3" t="str">
        <f t="shared" si="56"/>
        <v>2</v>
      </c>
      <c r="L528" s="13" t="str">
        <f>IFERROR(VLOOKUP(C528,'Справочник соответствий'!A$2:D$2981,3,FALSE),IF(VALUE(C528)=0,"ЭТАЖ НЕ ОПРЕДЕЛЕН. ПРИНЯТ ПО ДОПУЩЕНИЮ 1",VLOOKUP(C528,'Справочник соответствий'!A$2:D$2981,3,FALSE)))</f>
        <v>ЭТАЖ ЗАДАН ЧИСЛОМ</v>
      </c>
      <c r="M528" s="13" t="b">
        <f t="shared" si="57"/>
        <v>0</v>
      </c>
      <c r="N528" s="13">
        <f t="shared" si="58"/>
        <v>2</v>
      </c>
      <c r="O528" s="13" t="str">
        <f t="shared" si="59"/>
        <v>ЭТАЖ ЗАДАН ЧИСЛОМ</v>
      </c>
      <c r="P528" s="13" t="str">
        <f t="shared" si="60"/>
        <v>ЭТАЖ ЗАДАН ЧИСЛОМ</v>
      </c>
      <c r="Q528" s="13" t="str">
        <f t="shared" si="61"/>
        <v>ГОТОВ_ИЗМЕНЕН</v>
      </c>
      <c r="R528" s="13">
        <f>IFERROR(VLOOKUP(P528,Лист1!A$1:B$20,2,FALSE),0)</f>
        <v>784</v>
      </c>
      <c r="S528" s="13">
        <f t="shared" si="62"/>
        <v>0</v>
      </c>
    </row>
    <row r="529" spans="1:19" x14ac:dyDescent="0.25">
      <c r="A529" s="24" t="s">
        <v>1635</v>
      </c>
      <c r="B529" s="4" t="s">
        <v>1059</v>
      </c>
      <c r="C529" s="25" t="s">
        <v>5</v>
      </c>
      <c r="G529" s="25" t="s">
        <v>1205</v>
      </c>
      <c r="H529" s="24" t="s">
        <v>1061</v>
      </c>
      <c r="I529" s="3" t="str">
        <f>IFERROR(VLOOKUP(C529,'Справочник соответствий'!A$2:D$2981,2,FALSE),IF(VALUE(C529)=0,1,VLOOKUP(C529,'Справочник соответствий'!A$2:D$2981,2,FALSE)))</f>
        <v>1</v>
      </c>
      <c r="J529" s="3">
        <f>IFERROR(VLOOKUP(D529,'Справочник соответствий'!A$2:D$2981,2,FALSE),IF(VALUE(D529)=0,0,VLOOKUP(D529,'Справочник соответствий'!A$2:D$2981,2,FALSE)))</f>
        <v>0</v>
      </c>
      <c r="K529" s="3" t="str">
        <f t="shared" si="56"/>
        <v>1</v>
      </c>
      <c r="L529" s="13" t="str">
        <f>IFERROR(VLOOKUP(C529,'Справочник соответствий'!A$2:D$2981,3,FALSE),IF(VALUE(C529)=0,"ЭТАЖ НЕ ОПРЕДЕЛЕН. ПРИНЯТ ПО ДОПУЩЕНИЮ 1",VLOOKUP(C529,'Справочник соответствий'!A$2:D$2981,3,FALSE)))</f>
        <v>ЭТАЖ ЗАДАН ЧИСЛОМ</v>
      </c>
      <c r="M529" s="13" t="b">
        <f t="shared" si="57"/>
        <v>0</v>
      </c>
      <c r="N529" s="13">
        <f t="shared" si="58"/>
        <v>1</v>
      </c>
      <c r="O529" s="13" t="str">
        <f t="shared" si="59"/>
        <v>ЭТАЖ ЗАДАН ЧИСЛОМ</v>
      </c>
      <c r="P529" s="13" t="str">
        <f t="shared" si="60"/>
        <v>ЭТАЖ ЗАДАН ЧИСЛОМ</v>
      </c>
      <c r="Q529" s="13" t="str">
        <f t="shared" si="61"/>
        <v>ГОТОВ_ИЗМЕНЕН</v>
      </c>
      <c r="R529" s="13">
        <f>IFERROR(VLOOKUP(P529,Лист1!A$1:B$20,2,FALSE),0)</f>
        <v>784</v>
      </c>
      <c r="S529" s="13">
        <f t="shared" si="62"/>
        <v>0</v>
      </c>
    </row>
    <row r="530" spans="1:19" x14ac:dyDescent="0.25">
      <c r="A530" s="24" t="s">
        <v>1636</v>
      </c>
      <c r="B530" s="4" t="s">
        <v>1063</v>
      </c>
      <c r="C530" s="25" t="s">
        <v>5</v>
      </c>
      <c r="G530" s="25" t="s">
        <v>1205</v>
      </c>
      <c r="H530" s="24" t="s">
        <v>1061</v>
      </c>
      <c r="I530" s="3" t="str">
        <f>IFERROR(VLOOKUP(C530,'Справочник соответствий'!A$2:D$2981,2,FALSE),IF(VALUE(C530)=0,1,VLOOKUP(C530,'Справочник соответствий'!A$2:D$2981,2,FALSE)))</f>
        <v>1</v>
      </c>
      <c r="J530" s="3">
        <f>IFERROR(VLOOKUP(D530,'Справочник соответствий'!A$2:D$2981,2,FALSE),IF(VALUE(D530)=0,0,VLOOKUP(D530,'Справочник соответствий'!A$2:D$2981,2,FALSE)))</f>
        <v>0</v>
      </c>
      <c r="K530" s="3" t="str">
        <f t="shared" si="56"/>
        <v>1</v>
      </c>
      <c r="L530" s="13" t="str">
        <f>IFERROR(VLOOKUP(C530,'Справочник соответствий'!A$2:D$2981,3,FALSE),IF(VALUE(C530)=0,"ЭТАЖ НЕ ОПРЕДЕЛЕН. ПРИНЯТ ПО ДОПУЩЕНИЮ 1",VLOOKUP(C530,'Справочник соответствий'!A$2:D$2981,3,FALSE)))</f>
        <v>ЭТАЖ ЗАДАН ЧИСЛОМ</v>
      </c>
      <c r="M530" s="13" t="b">
        <f t="shared" si="57"/>
        <v>0</v>
      </c>
      <c r="N530" s="13">
        <f t="shared" si="58"/>
        <v>1</v>
      </c>
      <c r="O530" s="13" t="str">
        <f t="shared" si="59"/>
        <v>ЭТАЖ ЗАДАН ЧИСЛОМ</v>
      </c>
      <c r="P530" s="13" t="str">
        <f t="shared" si="60"/>
        <v>ЭТАЖ ЗАДАН ЧИСЛОМ</v>
      </c>
      <c r="Q530" s="13" t="str">
        <f t="shared" si="61"/>
        <v>ГОТОВ_ИЗМЕНЕН</v>
      </c>
      <c r="R530" s="13">
        <f>IFERROR(VLOOKUP(P530,Лист1!A$1:B$20,2,FALSE),0)</f>
        <v>784</v>
      </c>
      <c r="S530" s="13">
        <f t="shared" si="62"/>
        <v>0</v>
      </c>
    </row>
    <row r="531" spans="1:19" x14ac:dyDescent="0.25">
      <c r="A531" s="24" t="s">
        <v>1637</v>
      </c>
      <c r="B531" s="4" t="s">
        <v>1063</v>
      </c>
      <c r="C531" s="25" t="s">
        <v>5</v>
      </c>
      <c r="G531" s="25" t="s">
        <v>1222</v>
      </c>
      <c r="H531" s="24" t="s">
        <v>1061</v>
      </c>
      <c r="I531" s="3" t="str">
        <f>IFERROR(VLOOKUP(C531,'Справочник соответствий'!A$2:D$2981,2,FALSE),IF(VALUE(C531)=0,1,VLOOKUP(C531,'Справочник соответствий'!A$2:D$2981,2,FALSE)))</f>
        <v>1</v>
      </c>
      <c r="J531" s="3">
        <f>IFERROR(VLOOKUP(D531,'Справочник соответствий'!A$2:D$2981,2,FALSE),IF(VALUE(D531)=0,0,VLOOKUP(D531,'Справочник соответствий'!A$2:D$2981,2,FALSE)))</f>
        <v>0</v>
      </c>
      <c r="K531" s="3" t="str">
        <f t="shared" si="56"/>
        <v>1</v>
      </c>
      <c r="L531" s="13" t="str">
        <f>IFERROR(VLOOKUP(C531,'Справочник соответствий'!A$2:D$2981,3,FALSE),IF(VALUE(C531)=0,"ЭТАЖ НЕ ОПРЕДЕЛЕН. ПРИНЯТ ПО ДОПУЩЕНИЮ 1",VLOOKUP(C531,'Справочник соответствий'!A$2:D$2981,3,FALSE)))</f>
        <v>ЭТАЖ ЗАДАН ЧИСЛОМ</v>
      </c>
      <c r="M531" s="13" t="b">
        <f t="shared" si="57"/>
        <v>0</v>
      </c>
      <c r="N531" s="13">
        <f t="shared" si="58"/>
        <v>1</v>
      </c>
      <c r="O531" s="13" t="str">
        <f t="shared" si="59"/>
        <v>ЭТАЖ ЗАДАН ЧИСЛОМ</v>
      </c>
      <c r="P531" s="13" t="str">
        <f t="shared" si="60"/>
        <v>ЭТАЖ ЗАДАН ЧИСЛОМ</v>
      </c>
      <c r="Q531" s="13" t="str">
        <f t="shared" si="61"/>
        <v>ГОТОВ_ИЗМЕНЕН</v>
      </c>
      <c r="R531" s="13">
        <f>IFERROR(VLOOKUP(P531,Лист1!A$1:B$20,2,FALSE),0)</f>
        <v>784</v>
      </c>
      <c r="S531" s="13">
        <f t="shared" si="62"/>
        <v>0</v>
      </c>
    </row>
    <row r="532" spans="1:19" x14ac:dyDescent="0.25">
      <c r="A532" s="24" t="s">
        <v>1638</v>
      </c>
      <c r="B532" s="4" t="s">
        <v>1059</v>
      </c>
      <c r="C532" s="25" t="s">
        <v>5</v>
      </c>
      <c r="G532" s="25" t="s">
        <v>1174</v>
      </c>
      <c r="H532" s="24" t="s">
        <v>1061</v>
      </c>
      <c r="I532" s="3" t="str">
        <f>IFERROR(VLOOKUP(C532,'Справочник соответствий'!A$2:D$2981,2,FALSE),IF(VALUE(C532)=0,1,VLOOKUP(C532,'Справочник соответствий'!A$2:D$2981,2,FALSE)))</f>
        <v>1</v>
      </c>
      <c r="J532" s="3">
        <f>IFERROR(VLOOKUP(D532,'Справочник соответствий'!A$2:D$2981,2,FALSE),IF(VALUE(D532)=0,0,VLOOKUP(D532,'Справочник соответствий'!A$2:D$2981,2,FALSE)))</f>
        <v>0</v>
      </c>
      <c r="K532" s="3" t="str">
        <f t="shared" si="56"/>
        <v>1</v>
      </c>
      <c r="L532" s="13" t="str">
        <f>IFERROR(VLOOKUP(C532,'Справочник соответствий'!A$2:D$2981,3,FALSE),IF(VALUE(C532)=0,"ЭТАЖ НЕ ОПРЕДЕЛЕН. ПРИНЯТ ПО ДОПУЩЕНИЮ 1",VLOOKUP(C532,'Справочник соответствий'!A$2:D$2981,3,FALSE)))</f>
        <v>ЭТАЖ ЗАДАН ЧИСЛОМ</v>
      </c>
      <c r="M532" s="13" t="b">
        <f t="shared" si="57"/>
        <v>0</v>
      </c>
      <c r="N532" s="13">
        <f t="shared" si="58"/>
        <v>1</v>
      </c>
      <c r="O532" s="13" t="str">
        <f t="shared" si="59"/>
        <v>ЭТАЖ ЗАДАН ЧИСЛОМ</v>
      </c>
      <c r="P532" s="13" t="str">
        <f t="shared" si="60"/>
        <v>ЭТАЖ ЗАДАН ЧИСЛОМ</v>
      </c>
      <c r="Q532" s="13" t="str">
        <f t="shared" si="61"/>
        <v>ГОТОВ_ИЗМЕНЕН</v>
      </c>
      <c r="R532" s="13">
        <f>IFERROR(VLOOKUP(P532,Лист1!A$1:B$20,2,FALSE),0)</f>
        <v>784</v>
      </c>
      <c r="S532" s="13">
        <f t="shared" si="62"/>
        <v>0</v>
      </c>
    </row>
    <row r="533" spans="1:19" x14ac:dyDescent="0.25">
      <c r="A533" s="24" t="s">
        <v>1639</v>
      </c>
      <c r="B533" s="4" t="s">
        <v>1063</v>
      </c>
      <c r="C533" s="25" t="s">
        <v>5</v>
      </c>
      <c r="G533" s="25" t="s">
        <v>1205</v>
      </c>
      <c r="H533" s="24" t="s">
        <v>1061</v>
      </c>
      <c r="I533" s="3" t="str">
        <f>IFERROR(VLOOKUP(C533,'Справочник соответствий'!A$2:D$2981,2,FALSE),IF(VALUE(C533)=0,1,VLOOKUP(C533,'Справочник соответствий'!A$2:D$2981,2,FALSE)))</f>
        <v>1</v>
      </c>
      <c r="J533" s="3">
        <f>IFERROR(VLOOKUP(D533,'Справочник соответствий'!A$2:D$2981,2,FALSE),IF(VALUE(D533)=0,0,VLOOKUP(D533,'Справочник соответствий'!A$2:D$2981,2,FALSE)))</f>
        <v>0</v>
      </c>
      <c r="K533" s="3" t="str">
        <f t="shared" si="56"/>
        <v>1</v>
      </c>
      <c r="L533" s="13" t="str">
        <f>IFERROR(VLOOKUP(C533,'Справочник соответствий'!A$2:D$2981,3,FALSE),IF(VALUE(C533)=0,"ЭТАЖ НЕ ОПРЕДЕЛЕН. ПРИНЯТ ПО ДОПУЩЕНИЮ 1",VLOOKUP(C533,'Справочник соответствий'!A$2:D$2981,3,FALSE)))</f>
        <v>ЭТАЖ ЗАДАН ЧИСЛОМ</v>
      </c>
      <c r="M533" s="13" t="b">
        <f t="shared" si="57"/>
        <v>0</v>
      </c>
      <c r="N533" s="13">
        <f t="shared" si="58"/>
        <v>1</v>
      </c>
      <c r="O533" s="13" t="str">
        <f t="shared" si="59"/>
        <v>ЭТАЖ ЗАДАН ЧИСЛОМ</v>
      </c>
      <c r="P533" s="13" t="str">
        <f t="shared" si="60"/>
        <v>ЭТАЖ ЗАДАН ЧИСЛОМ</v>
      </c>
      <c r="Q533" s="13" t="str">
        <f t="shared" si="61"/>
        <v>ГОТОВ_ИЗМЕНЕН</v>
      </c>
      <c r="R533" s="13">
        <f>IFERROR(VLOOKUP(P533,Лист1!A$1:B$20,2,FALSE),0)</f>
        <v>784</v>
      </c>
      <c r="S533" s="13">
        <f t="shared" si="62"/>
        <v>0</v>
      </c>
    </row>
    <row r="534" spans="1:19" x14ac:dyDescent="0.25">
      <c r="A534" s="24" t="s">
        <v>1640</v>
      </c>
      <c r="B534" s="4" t="s">
        <v>1059</v>
      </c>
      <c r="C534" s="25" t="s">
        <v>7</v>
      </c>
      <c r="G534" s="25" t="s">
        <v>1205</v>
      </c>
      <c r="H534" s="24" t="s">
        <v>1061</v>
      </c>
      <c r="I534" s="3" t="str">
        <f>IFERROR(VLOOKUP(C534,'Справочник соответствий'!A$2:D$2981,2,FALSE),IF(VALUE(C534)=0,1,VLOOKUP(C534,'Справочник соответствий'!A$2:D$2981,2,FALSE)))</f>
        <v>2</v>
      </c>
      <c r="J534" s="3">
        <f>IFERROR(VLOOKUP(D534,'Справочник соответствий'!A$2:D$2981,2,FALSE),IF(VALUE(D534)=0,0,VLOOKUP(D534,'Справочник соответствий'!A$2:D$2981,2,FALSE)))</f>
        <v>0</v>
      </c>
      <c r="K534" s="3" t="str">
        <f t="shared" si="56"/>
        <v>2</v>
      </c>
      <c r="L534" s="13" t="str">
        <f>IFERROR(VLOOKUP(C534,'Справочник соответствий'!A$2:D$2981,3,FALSE),IF(VALUE(C534)=0,"ЭТАЖ НЕ ОПРЕДЕЛЕН. ПРИНЯТ ПО ДОПУЩЕНИЮ 1",VLOOKUP(C534,'Справочник соответствий'!A$2:D$2981,3,FALSE)))</f>
        <v>ЭТАЖ ЗАДАН ЧИСЛОМ</v>
      </c>
      <c r="M534" s="13" t="b">
        <f t="shared" si="57"/>
        <v>0</v>
      </c>
      <c r="N534" s="13">
        <f t="shared" si="58"/>
        <v>2</v>
      </c>
      <c r="O534" s="13" t="str">
        <f t="shared" si="59"/>
        <v>ЭТАЖ ЗАДАН ЧИСЛОМ</v>
      </c>
      <c r="P534" s="13" t="str">
        <f t="shared" si="60"/>
        <v>ЭТАЖ ЗАДАН ЧИСЛОМ</v>
      </c>
      <c r="Q534" s="13" t="str">
        <f t="shared" si="61"/>
        <v>ГОТОВ_ИЗМЕНЕН</v>
      </c>
      <c r="R534" s="13">
        <f>IFERROR(VLOOKUP(P534,Лист1!A$1:B$20,2,FALSE),0)</f>
        <v>784</v>
      </c>
      <c r="S534" s="13">
        <f t="shared" si="62"/>
        <v>0</v>
      </c>
    </row>
    <row r="535" spans="1:19" x14ac:dyDescent="0.25">
      <c r="A535" s="24" t="s">
        <v>1641</v>
      </c>
      <c r="B535" s="4" t="s">
        <v>1063</v>
      </c>
      <c r="C535" s="25" t="s">
        <v>5</v>
      </c>
      <c r="G535" s="25" t="s">
        <v>1205</v>
      </c>
      <c r="H535" s="24" t="s">
        <v>1061</v>
      </c>
      <c r="I535" s="3" t="str">
        <f>IFERROR(VLOOKUP(C535,'Справочник соответствий'!A$2:D$2981,2,FALSE),IF(VALUE(C535)=0,1,VLOOKUP(C535,'Справочник соответствий'!A$2:D$2981,2,FALSE)))</f>
        <v>1</v>
      </c>
      <c r="J535" s="3">
        <f>IFERROR(VLOOKUP(D535,'Справочник соответствий'!A$2:D$2981,2,FALSE),IF(VALUE(D535)=0,0,VLOOKUP(D535,'Справочник соответствий'!A$2:D$2981,2,FALSE)))</f>
        <v>0</v>
      </c>
      <c r="K535" s="3" t="str">
        <f t="shared" si="56"/>
        <v>1</v>
      </c>
      <c r="L535" s="13" t="str">
        <f>IFERROR(VLOOKUP(C535,'Справочник соответствий'!A$2:D$2981,3,FALSE),IF(VALUE(C535)=0,"ЭТАЖ НЕ ОПРЕДЕЛЕН. ПРИНЯТ ПО ДОПУЩЕНИЮ 1",VLOOKUP(C535,'Справочник соответствий'!A$2:D$2981,3,FALSE)))</f>
        <v>ЭТАЖ ЗАДАН ЧИСЛОМ</v>
      </c>
      <c r="M535" s="13" t="b">
        <f t="shared" si="57"/>
        <v>0</v>
      </c>
      <c r="N535" s="13">
        <f t="shared" si="58"/>
        <v>1</v>
      </c>
      <c r="O535" s="13" t="str">
        <f t="shared" si="59"/>
        <v>ЭТАЖ ЗАДАН ЧИСЛОМ</v>
      </c>
      <c r="P535" s="13" t="str">
        <f t="shared" si="60"/>
        <v>ЭТАЖ ЗАДАН ЧИСЛОМ</v>
      </c>
      <c r="Q535" s="13" t="str">
        <f t="shared" si="61"/>
        <v>ГОТОВ_ИЗМЕНЕН</v>
      </c>
      <c r="R535" s="13">
        <f>IFERROR(VLOOKUP(P535,Лист1!A$1:B$20,2,FALSE),0)</f>
        <v>784</v>
      </c>
      <c r="S535" s="13">
        <f t="shared" si="62"/>
        <v>0</v>
      </c>
    </row>
    <row r="536" spans="1:19" x14ac:dyDescent="0.25">
      <c r="A536" s="24" t="s">
        <v>1642</v>
      </c>
      <c r="B536" s="4" t="s">
        <v>1059</v>
      </c>
      <c r="C536" s="25" t="s">
        <v>5</v>
      </c>
      <c r="G536" s="25" t="s">
        <v>1205</v>
      </c>
      <c r="H536" s="24" t="s">
        <v>1061</v>
      </c>
      <c r="I536" s="3" t="str">
        <f>IFERROR(VLOOKUP(C536,'Справочник соответствий'!A$2:D$2981,2,FALSE),IF(VALUE(C536)=0,1,VLOOKUP(C536,'Справочник соответствий'!A$2:D$2981,2,FALSE)))</f>
        <v>1</v>
      </c>
      <c r="J536" s="3">
        <f>IFERROR(VLOOKUP(D536,'Справочник соответствий'!A$2:D$2981,2,FALSE),IF(VALUE(D536)=0,0,VLOOKUP(D536,'Справочник соответствий'!A$2:D$2981,2,FALSE)))</f>
        <v>0</v>
      </c>
      <c r="K536" s="3" t="str">
        <f t="shared" si="56"/>
        <v>1</v>
      </c>
      <c r="L536" s="13" t="str">
        <f>IFERROR(VLOOKUP(C536,'Справочник соответствий'!A$2:D$2981,3,FALSE),IF(VALUE(C536)=0,"ЭТАЖ НЕ ОПРЕДЕЛЕН. ПРИНЯТ ПО ДОПУЩЕНИЮ 1",VLOOKUP(C536,'Справочник соответствий'!A$2:D$2981,3,FALSE)))</f>
        <v>ЭТАЖ ЗАДАН ЧИСЛОМ</v>
      </c>
      <c r="M536" s="13" t="b">
        <f t="shared" si="57"/>
        <v>0</v>
      </c>
      <c r="N536" s="13">
        <f t="shared" si="58"/>
        <v>1</v>
      </c>
      <c r="O536" s="13" t="str">
        <f t="shared" si="59"/>
        <v>ЭТАЖ ЗАДАН ЧИСЛОМ</v>
      </c>
      <c r="P536" s="13" t="str">
        <f t="shared" si="60"/>
        <v>ЭТАЖ ЗАДАН ЧИСЛОМ</v>
      </c>
      <c r="Q536" s="13" t="str">
        <f t="shared" si="61"/>
        <v>ГОТОВ_ИЗМЕНЕН</v>
      </c>
      <c r="R536" s="13">
        <f>IFERROR(VLOOKUP(P536,Лист1!A$1:B$20,2,FALSE),0)</f>
        <v>784</v>
      </c>
      <c r="S536" s="13">
        <f t="shared" si="62"/>
        <v>0</v>
      </c>
    </row>
    <row r="537" spans="1:19" x14ac:dyDescent="0.25">
      <c r="A537" s="24" t="s">
        <v>1643</v>
      </c>
      <c r="B537" s="4" t="s">
        <v>1063</v>
      </c>
      <c r="C537" s="25" t="s">
        <v>1644</v>
      </c>
      <c r="G537" s="25" t="s">
        <v>1205</v>
      </c>
      <c r="H537" s="24" t="s">
        <v>1061</v>
      </c>
      <c r="I537" s="3" t="e">
        <f>IFERROR(VLOOKUP(C537,'Справочник соответствий'!A$2:D$2981,2,FALSE),IF(VALUE(C537)=0,1,VLOOKUP(C537,'Справочник соответствий'!A$2:D$2981,2,FALSE)))</f>
        <v>#VALUE!</v>
      </c>
      <c r="J537" s="3">
        <f>IFERROR(VLOOKUP(D537,'Справочник соответствий'!A$2:D$2981,2,FALSE),IF(VALUE(D537)=0,0,VLOOKUP(D537,'Справочник соответствий'!A$2:D$2981,2,FALSE)))</f>
        <v>0</v>
      </c>
      <c r="K537" s="3" t="e">
        <f t="shared" si="56"/>
        <v>#VALUE!</v>
      </c>
      <c r="L537" s="13" t="e">
        <f>IFERROR(VLOOKUP(C537,'Справочник соответствий'!A$2:D$2981,3,FALSE),IF(VALUE(C537)=0,"ЭТАЖ НЕ ОПРЕДЕЛЕН. ПРИНЯТ ПО ДОПУЩЕНИЮ 1",VLOOKUP(C537,'Справочник соответствий'!A$2:D$2981,3,FALSE)))</f>
        <v>#VALUE!</v>
      </c>
      <c r="M537" s="13" t="e">
        <f t="shared" si="57"/>
        <v>#VALUE!</v>
      </c>
      <c r="N537" s="13" t="e">
        <f t="shared" si="58"/>
        <v>#VALUE!</v>
      </c>
      <c r="O537" s="13" t="e">
        <f t="shared" si="59"/>
        <v>#VALUE!</v>
      </c>
      <c r="P537" s="13" t="e">
        <f t="shared" si="60"/>
        <v>#VALUE!</v>
      </c>
      <c r="Q537" s="13" t="str">
        <f t="shared" si="61"/>
        <v>НЕ ГОТОВ</v>
      </c>
      <c r="R537" s="13">
        <f>IFERROR(VLOOKUP(P537,Лист1!A$1:B$20,2,FALSE),0)</f>
        <v>0</v>
      </c>
      <c r="S537" s="13">
        <f t="shared" si="62"/>
        <v>0</v>
      </c>
    </row>
    <row r="538" spans="1:19" x14ac:dyDescent="0.25">
      <c r="A538" s="24" t="s">
        <v>1645</v>
      </c>
      <c r="B538" s="4" t="s">
        <v>1059</v>
      </c>
      <c r="C538" s="25" t="s">
        <v>5</v>
      </c>
      <c r="G538" s="25" t="s">
        <v>1205</v>
      </c>
      <c r="H538" s="24" t="s">
        <v>1061</v>
      </c>
      <c r="I538" s="3" t="str">
        <f>IFERROR(VLOOKUP(C538,'Справочник соответствий'!A$2:D$2981,2,FALSE),IF(VALUE(C538)=0,1,VLOOKUP(C538,'Справочник соответствий'!A$2:D$2981,2,FALSE)))</f>
        <v>1</v>
      </c>
      <c r="J538" s="3">
        <f>IFERROR(VLOOKUP(D538,'Справочник соответствий'!A$2:D$2981,2,FALSE),IF(VALUE(D538)=0,0,VLOOKUP(D538,'Справочник соответствий'!A$2:D$2981,2,FALSE)))</f>
        <v>0</v>
      </c>
      <c r="K538" s="3" t="str">
        <f t="shared" si="56"/>
        <v>1</v>
      </c>
      <c r="L538" s="13" t="str">
        <f>IFERROR(VLOOKUP(C538,'Справочник соответствий'!A$2:D$2981,3,FALSE),IF(VALUE(C538)=0,"ЭТАЖ НЕ ОПРЕДЕЛЕН. ПРИНЯТ ПО ДОПУЩЕНИЮ 1",VLOOKUP(C538,'Справочник соответствий'!A$2:D$2981,3,FALSE)))</f>
        <v>ЭТАЖ ЗАДАН ЧИСЛОМ</v>
      </c>
      <c r="M538" s="13" t="b">
        <f t="shared" si="57"/>
        <v>0</v>
      </c>
      <c r="N538" s="13">
        <f t="shared" si="58"/>
        <v>1</v>
      </c>
      <c r="O538" s="13" t="str">
        <f t="shared" si="59"/>
        <v>ЭТАЖ ЗАДАН ЧИСЛОМ</v>
      </c>
      <c r="P538" s="13" t="str">
        <f t="shared" si="60"/>
        <v>ЭТАЖ ЗАДАН ЧИСЛОМ</v>
      </c>
      <c r="Q538" s="13" t="str">
        <f t="shared" si="61"/>
        <v>ГОТОВ_ИЗМЕНЕН</v>
      </c>
      <c r="R538" s="13">
        <f>IFERROR(VLOOKUP(P538,Лист1!A$1:B$20,2,FALSE),0)</f>
        <v>784</v>
      </c>
      <c r="S538" s="13">
        <f t="shared" si="62"/>
        <v>0</v>
      </c>
    </row>
    <row r="539" spans="1:19" x14ac:dyDescent="0.25">
      <c r="A539" s="24" t="s">
        <v>1646</v>
      </c>
      <c r="B539" s="4" t="s">
        <v>1059</v>
      </c>
      <c r="C539" s="25" t="s">
        <v>7</v>
      </c>
      <c r="G539" s="25" t="s">
        <v>1205</v>
      </c>
      <c r="H539" s="24" t="s">
        <v>1061</v>
      </c>
      <c r="I539" s="3" t="str">
        <f>IFERROR(VLOOKUP(C539,'Справочник соответствий'!A$2:D$2981,2,FALSE),IF(VALUE(C539)=0,1,VLOOKUP(C539,'Справочник соответствий'!A$2:D$2981,2,FALSE)))</f>
        <v>2</v>
      </c>
      <c r="J539" s="3">
        <f>IFERROR(VLOOKUP(D539,'Справочник соответствий'!A$2:D$2981,2,FALSE),IF(VALUE(D539)=0,0,VLOOKUP(D539,'Справочник соответствий'!A$2:D$2981,2,FALSE)))</f>
        <v>0</v>
      </c>
      <c r="K539" s="3" t="str">
        <f t="shared" si="56"/>
        <v>2</v>
      </c>
      <c r="L539" s="13" t="str">
        <f>IFERROR(VLOOKUP(C539,'Справочник соответствий'!A$2:D$2981,3,FALSE),IF(VALUE(C539)=0,"ЭТАЖ НЕ ОПРЕДЕЛЕН. ПРИНЯТ ПО ДОПУЩЕНИЮ 1",VLOOKUP(C539,'Справочник соответствий'!A$2:D$2981,3,FALSE)))</f>
        <v>ЭТАЖ ЗАДАН ЧИСЛОМ</v>
      </c>
      <c r="M539" s="13" t="b">
        <f t="shared" si="57"/>
        <v>0</v>
      </c>
      <c r="N539" s="13">
        <f t="shared" si="58"/>
        <v>2</v>
      </c>
      <c r="O539" s="13" t="str">
        <f t="shared" si="59"/>
        <v>ЭТАЖ ЗАДАН ЧИСЛОМ</v>
      </c>
      <c r="P539" s="13" t="str">
        <f t="shared" si="60"/>
        <v>ЭТАЖ ЗАДАН ЧИСЛОМ</v>
      </c>
      <c r="Q539" s="13" t="str">
        <f t="shared" si="61"/>
        <v>ГОТОВ_ИЗМЕНЕН</v>
      </c>
      <c r="R539" s="13">
        <f>IFERROR(VLOOKUP(P539,Лист1!A$1:B$20,2,FALSE),0)</f>
        <v>784</v>
      </c>
      <c r="S539" s="13">
        <f t="shared" si="62"/>
        <v>0</v>
      </c>
    </row>
    <row r="540" spans="1:19" x14ac:dyDescent="0.25">
      <c r="A540" s="24" t="s">
        <v>1647</v>
      </c>
      <c r="B540" s="4" t="s">
        <v>1059</v>
      </c>
      <c r="C540" s="25" t="s">
        <v>7</v>
      </c>
      <c r="G540" s="25" t="s">
        <v>1174</v>
      </c>
      <c r="H540" s="24" t="s">
        <v>1061</v>
      </c>
      <c r="I540" s="3" t="str">
        <f>IFERROR(VLOOKUP(C540,'Справочник соответствий'!A$2:D$2981,2,FALSE),IF(VALUE(C540)=0,1,VLOOKUP(C540,'Справочник соответствий'!A$2:D$2981,2,FALSE)))</f>
        <v>2</v>
      </c>
      <c r="J540" s="3">
        <f>IFERROR(VLOOKUP(D540,'Справочник соответствий'!A$2:D$2981,2,FALSE),IF(VALUE(D540)=0,0,VLOOKUP(D540,'Справочник соответствий'!A$2:D$2981,2,FALSE)))</f>
        <v>0</v>
      </c>
      <c r="K540" s="3" t="str">
        <f t="shared" si="56"/>
        <v>2</v>
      </c>
      <c r="L540" s="13" t="str">
        <f>IFERROR(VLOOKUP(C540,'Справочник соответствий'!A$2:D$2981,3,FALSE),IF(VALUE(C540)=0,"ЭТАЖ НЕ ОПРЕДЕЛЕН. ПРИНЯТ ПО ДОПУЩЕНИЮ 1",VLOOKUP(C540,'Справочник соответствий'!A$2:D$2981,3,FALSE)))</f>
        <v>ЭТАЖ ЗАДАН ЧИСЛОМ</v>
      </c>
      <c r="M540" s="13" t="b">
        <f t="shared" si="57"/>
        <v>0</v>
      </c>
      <c r="N540" s="13">
        <f t="shared" si="58"/>
        <v>2</v>
      </c>
      <c r="O540" s="13" t="str">
        <f t="shared" si="59"/>
        <v>ЭТАЖ ЗАДАН ЧИСЛОМ</v>
      </c>
      <c r="P540" s="13" t="str">
        <f t="shared" si="60"/>
        <v>ЭТАЖ ЗАДАН ЧИСЛОМ</v>
      </c>
      <c r="Q540" s="13" t="str">
        <f t="shared" si="61"/>
        <v>ГОТОВ_ИЗМЕНЕН</v>
      </c>
      <c r="R540" s="13">
        <f>IFERROR(VLOOKUP(P540,Лист1!A$1:B$20,2,FALSE),0)</f>
        <v>784</v>
      </c>
      <c r="S540" s="13">
        <f t="shared" si="62"/>
        <v>0</v>
      </c>
    </row>
    <row r="541" spans="1:19" x14ac:dyDescent="0.25">
      <c r="A541" s="24" t="s">
        <v>1648</v>
      </c>
      <c r="B541" s="4" t="s">
        <v>1063</v>
      </c>
      <c r="G541" s="25" t="s">
        <v>1174</v>
      </c>
      <c r="H541" s="24" t="s">
        <v>1061</v>
      </c>
      <c r="I541" s="3">
        <f>IFERROR(VLOOKUP(C541,'Справочник соответствий'!A$2:D$2981,2,FALSE),IF(VALUE(C541)=0,1,VLOOKUP(C541,'Справочник соответствий'!A$2:D$2981,2,FALSE)))</f>
        <v>1</v>
      </c>
      <c r="J541" s="3">
        <f>IFERROR(VLOOKUP(D541,'Справочник соответствий'!A$2:D$2981,2,FALSE),IF(VALUE(D541)=0,0,VLOOKUP(D541,'Справочник соответствий'!A$2:D$2981,2,FALSE)))</f>
        <v>0</v>
      </c>
      <c r="K541" s="3">
        <f t="shared" si="56"/>
        <v>1</v>
      </c>
      <c r="L541" s="13" t="str">
        <f>IFERROR(VLOOKUP(C541,'Справочник соответствий'!A$2:D$2981,3,FALSE),IF(VALUE(C541)=0,"ЭТАЖ НЕ ОПРЕДЕЛЕН. ПРИНЯТ ПО ДОПУЩЕНИЮ 1",VLOOKUP(C541,'Справочник соответствий'!A$2:D$2981,3,FALSE)))</f>
        <v>ЭТАЖ НЕ ОПРЕДЕЛЕН. ПРИНЯТ ПО ДОПУЩЕНИЮ 1</v>
      </c>
      <c r="M541" s="13" t="b">
        <f t="shared" si="57"/>
        <v>0</v>
      </c>
      <c r="N541" s="13">
        <f t="shared" si="58"/>
        <v>1</v>
      </c>
      <c r="O541" s="13" t="str">
        <f t="shared" si="59"/>
        <v>ЭТАЖ НЕ ОПРЕДЕЛЕН. ПРИНЯТ ПО ДОПУЩЕНИЮ 1</v>
      </c>
      <c r="P541" s="13" t="str">
        <f t="shared" si="60"/>
        <v>ЭТАЖ НЕ ОПРЕДЕЛЕН. ПРИНЯТ ПО ДОПУЩЕНИЮ 1</v>
      </c>
      <c r="Q541" s="13" t="str">
        <f t="shared" si="61"/>
        <v>ГОТОВ_ИЗМЕНЕН</v>
      </c>
      <c r="R541" s="13">
        <f>IFERROR(VLOOKUP(P541,Лист1!A$1:B$20,2,FALSE),0)</f>
        <v>788</v>
      </c>
      <c r="S541" s="13">
        <f t="shared" si="62"/>
        <v>0</v>
      </c>
    </row>
    <row r="542" spans="1:19" x14ac:dyDescent="0.25">
      <c r="A542" s="24" t="s">
        <v>1649</v>
      </c>
      <c r="B542" s="4" t="s">
        <v>1059</v>
      </c>
      <c r="C542" s="25" t="s">
        <v>7</v>
      </c>
      <c r="G542" s="25" t="s">
        <v>1219</v>
      </c>
      <c r="H542" s="24" t="s">
        <v>1061</v>
      </c>
      <c r="I542" s="3" t="str">
        <f>IFERROR(VLOOKUP(C542,'Справочник соответствий'!A$2:D$2981,2,FALSE),IF(VALUE(C542)=0,1,VLOOKUP(C542,'Справочник соответствий'!A$2:D$2981,2,FALSE)))</f>
        <v>2</v>
      </c>
      <c r="J542" s="3">
        <f>IFERROR(VLOOKUP(D542,'Справочник соответствий'!A$2:D$2981,2,FALSE),IF(VALUE(D542)=0,0,VLOOKUP(D542,'Справочник соответствий'!A$2:D$2981,2,FALSE)))</f>
        <v>0</v>
      </c>
      <c r="K542" s="3" t="str">
        <f t="shared" si="56"/>
        <v>2</v>
      </c>
      <c r="L542" s="13" t="str">
        <f>IFERROR(VLOOKUP(C542,'Справочник соответствий'!A$2:D$2981,3,FALSE),IF(VALUE(C542)=0,"ЭТАЖ НЕ ОПРЕДЕЛЕН. ПРИНЯТ ПО ДОПУЩЕНИЮ 1",VLOOKUP(C542,'Справочник соответствий'!A$2:D$2981,3,FALSE)))</f>
        <v>ЭТАЖ ЗАДАН ЧИСЛОМ</v>
      </c>
      <c r="M542" s="13" t="b">
        <f t="shared" si="57"/>
        <v>0</v>
      </c>
      <c r="N542" s="13">
        <f t="shared" si="58"/>
        <v>2</v>
      </c>
      <c r="O542" s="13" t="str">
        <f t="shared" si="59"/>
        <v>ЭТАЖ ЗАДАН ЧИСЛОМ</v>
      </c>
      <c r="P542" s="13" t="str">
        <f t="shared" si="60"/>
        <v>ЭТАЖ ЗАДАН ЧИСЛОМ</v>
      </c>
      <c r="Q542" s="13" t="str">
        <f t="shared" si="61"/>
        <v>ГОТОВ_ИЗМЕНЕН</v>
      </c>
      <c r="R542" s="13">
        <f>IFERROR(VLOOKUP(P542,Лист1!A$1:B$20,2,FALSE),0)</f>
        <v>784</v>
      </c>
      <c r="S542" s="13">
        <f t="shared" si="62"/>
        <v>0</v>
      </c>
    </row>
    <row r="543" spans="1:19" x14ac:dyDescent="0.25">
      <c r="A543" s="24" t="s">
        <v>1650</v>
      </c>
      <c r="B543" s="4" t="s">
        <v>1059</v>
      </c>
      <c r="C543" s="25" t="s">
        <v>5</v>
      </c>
      <c r="G543" s="25" t="s">
        <v>1219</v>
      </c>
      <c r="H543" s="24" t="s">
        <v>1061</v>
      </c>
      <c r="I543" s="3" t="str">
        <f>IFERROR(VLOOKUP(C543,'Справочник соответствий'!A$2:D$2981,2,FALSE),IF(VALUE(C543)=0,1,VLOOKUP(C543,'Справочник соответствий'!A$2:D$2981,2,FALSE)))</f>
        <v>1</v>
      </c>
      <c r="J543" s="3">
        <f>IFERROR(VLOOKUP(D543,'Справочник соответствий'!A$2:D$2981,2,FALSE),IF(VALUE(D543)=0,0,VLOOKUP(D543,'Справочник соответствий'!A$2:D$2981,2,FALSE)))</f>
        <v>0</v>
      </c>
      <c r="K543" s="3" t="str">
        <f t="shared" si="56"/>
        <v>1</v>
      </c>
      <c r="L543" s="13" t="str">
        <f>IFERROR(VLOOKUP(C543,'Справочник соответствий'!A$2:D$2981,3,FALSE),IF(VALUE(C543)=0,"ЭТАЖ НЕ ОПРЕДЕЛЕН. ПРИНЯТ ПО ДОПУЩЕНИЮ 1",VLOOKUP(C543,'Справочник соответствий'!A$2:D$2981,3,FALSE)))</f>
        <v>ЭТАЖ ЗАДАН ЧИСЛОМ</v>
      </c>
      <c r="M543" s="13" t="b">
        <f t="shared" si="57"/>
        <v>0</v>
      </c>
      <c r="N543" s="13">
        <f t="shared" si="58"/>
        <v>1</v>
      </c>
      <c r="O543" s="13" t="str">
        <f t="shared" si="59"/>
        <v>ЭТАЖ ЗАДАН ЧИСЛОМ</v>
      </c>
      <c r="P543" s="13" t="str">
        <f t="shared" si="60"/>
        <v>ЭТАЖ ЗАДАН ЧИСЛОМ</v>
      </c>
      <c r="Q543" s="13" t="str">
        <f t="shared" si="61"/>
        <v>ГОТОВ_ИЗМЕНЕН</v>
      </c>
      <c r="R543" s="13">
        <f>IFERROR(VLOOKUP(P543,Лист1!A$1:B$20,2,FALSE),0)</f>
        <v>784</v>
      </c>
      <c r="S543" s="13">
        <f t="shared" si="62"/>
        <v>0</v>
      </c>
    </row>
    <row r="544" spans="1:19" x14ac:dyDescent="0.25">
      <c r="A544" s="24" t="s">
        <v>1651</v>
      </c>
      <c r="B544" s="4" t="s">
        <v>1059</v>
      </c>
      <c r="C544" s="25" t="s">
        <v>7</v>
      </c>
      <c r="G544" s="25" t="s">
        <v>1174</v>
      </c>
      <c r="H544" s="24" t="s">
        <v>1061</v>
      </c>
      <c r="I544" s="3" t="str">
        <f>IFERROR(VLOOKUP(C544,'Справочник соответствий'!A$2:D$2981,2,FALSE),IF(VALUE(C544)=0,1,VLOOKUP(C544,'Справочник соответствий'!A$2:D$2981,2,FALSE)))</f>
        <v>2</v>
      </c>
      <c r="J544" s="3">
        <f>IFERROR(VLOOKUP(D544,'Справочник соответствий'!A$2:D$2981,2,FALSE),IF(VALUE(D544)=0,0,VLOOKUP(D544,'Справочник соответствий'!A$2:D$2981,2,FALSE)))</f>
        <v>0</v>
      </c>
      <c r="K544" s="3" t="str">
        <f t="shared" si="56"/>
        <v>2</v>
      </c>
      <c r="L544" s="13" t="str">
        <f>IFERROR(VLOOKUP(C544,'Справочник соответствий'!A$2:D$2981,3,FALSE),IF(VALUE(C544)=0,"ЭТАЖ НЕ ОПРЕДЕЛЕН. ПРИНЯТ ПО ДОПУЩЕНИЮ 1",VLOOKUP(C544,'Справочник соответствий'!A$2:D$2981,3,FALSE)))</f>
        <v>ЭТАЖ ЗАДАН ЧИСЛОМ</v>
      </c>
      <c r="M544" s="13" t="b">
        <f t="shared" si="57"/>
        <v>0</v>
      </c>
      <c r="N544" s="13">
        <f t="shared" si="58"/>
        <v>2</v>
      </c>
      <c r="O544" s="13" t="str">
        <f t="shared" si="59"/>
        <v>ЭТАЖ ЗАДАН ЧИСЛОМ</v>
      </c>
      <c r="P544" s="13" t="str">
        <f t="shared" si="60"/>
        <v>ЭТАЖ ЗАДАН ЧИСЛОМ</v>
      </c>
      <c r="Q544" s="13" t="str">
        <f t="shared" si="61"/>
        <v>ГОТОВ_ИЗМЕНЕН</v>
      </c>
      <c r="R544" s="13">
        <f>IFERROR(VLOOKUP(P544,Лист1!A$1:B$20,2,FALSE),0)</f>
        <v>784</v>
      </c>
      <c r="S544" s="13">
        <f t="shared" si="62"/>
        <v>0</v>
      </c>
    </row>
    <row r="545" spans="1:19" x14ac:dyDescent="0.25">
      <c r="A545" s="24" t="s">
        <v>1652</v>
      </c>
      <c r="B545" s="4" t="s">
        <v>1059</v>
      </c>
      <c r="C545" s="25" t="s">
        <v>5</v>
      </c>
      <c r="G545" s="25" t="s">
        <v>1224</v>
      </c>
      <c r="H545" s="24" t="s">
        <v>1061</v>
      </c>
      <c r="I545" s="3" t="str">
        <f>IFERROR(VLOOKUP(C545,'Справочник соответствий'!A$2:D$2981,2,FALSE),IF(VALUE(C545)=0,1,VLOOKUP(C545,'Справочник соответствий'!A$2:D$2981,2,FALSE)))</f>
        <v>1</v>
      </c>
      <c r="J545" s="3">
        <f>IFERROR(VLOOKUP(D545,'Справочник соответствий'!A$2:D$2981,2,FALSE),IF(VALUE(D545)=0,0,VLOOKUP(D545,'Справочник соответствий'!A$2:D$2981,2,FALSE)))</f>
        <v>0</v>
      </c>
      <c r="K545" s="3" t="str">
        <f t="shared" si="56"/>
        <v>1</v>
      </c>
      <c r="L545" s="13" t="str">
        <f>IFERROR(VLOOKUP(C545,'Справочник соответствий'!A$2:D$2981,3,FALSE),IF(VALUE(C545)=0,"ЭТАЖ НЕ ОПРЕДЕЛЕН. ПРИНЯТ ПО ДОПУЩЕНИЮ 1",VLOOKUP(C545,'Справочник соответствий'!A$2:D$2981,3,FALSE)))</f>
        <v>ЭТАЖ ЗАДАН ЧИСЛОМ</v>
      </c>
      <c r="M545" s="13" t="b">
        <f t="shared" si="57"/>
        <v>0</v>
      </c>
      <c r="N545" s="13">
        <f t="shared" si="58"/>
        <v>1</v>
      </c>
      <c r="O545" s="13" t="str">
        <f t="shared" si="59"/>
        <v>ЭТАЖ ЗАДАН ЧИСЛОМ</v>
      </c>
      <c r="P545" s="13" t="str">
        <f t="shared" si="60"/>
        <v>ЭТАЖ ЗАДАН ЧИСЛОМ</v>
      </c>
      <c r="Q545" s="13" t="str">
        <f t="shared" si="61"/>
        <v>ГОТОВ_ИЗМЕНЕН</v>
      </c>
      <c r="R545" s="13">
        <f>IFERROR(VLOOKUP(P545,Лист1!A$1:B$20,2,FALSE),0)</f>
        <v>784</v>
      </c>
      <c r="S545" s="13">
        <f t="shared" si="62"/>
        <v>0</v>
      </c>
    </row>
    <row r="546" spans="1:19" x14ac:dyDescent="0.25">
      <c r="A546" s="24" t="s">
        <v>1653</v>
      </c>
      <c r="B546" s="4" t="s">
        <v>1059</v>
      </c>
      <c r="C546" s="25" t="s">
        <v>7</v>
      </c>
      <c r="G546" s="25" t="s">
        <v>1224</v>
      </c>
      <c r="H546" s="24" t="s">
        <v>1061</v>
      </c>
      <c r="I546" s="3" t="str">
        <f>IFERROR(VLOOKUP(C546,'Справочник соответствий'!A$2:D$2981,2,FALSE),IF(VALUE(C546)=0,1,VLOOKUP(C546,'Справочник соответствий'!A$2:D$2981,2,FALSE)))</f>
        <v>2</v>
      </c>
      <c r="J546" s="3">
        <f>IFERROR(VLOOKUP(D546,'Справочник соответствий'!A$2:D$2981,2,FALSE),IF(VALUE(D546)=0,0,VLOOKUP(D546,'Справочник соответствий'!A$2:D$2981,2,FALSE)))</f>
        <v>0</v>
      </c>
      <c r="K546" s="3" t="str">
        <f t="shared" si="56"/>
        <v>2</v>
      </c>
      <c r="L546" s="13" t="str">
        <f>IFERROR(VLOOKUP(C546,'Справочник соответствий'!A$2:D$2981,3,FALSE),IF(VALUE(C546)=0,"ЭТАЖ НЕ ОПРЕДЕЛЕН. ПРИНЯТ ПО ДОПУЩЕНИЮ 1",VLOOKUP(C546,'Справочник соответствий'!A$2:D$2981,3,FALSE)))</f>
        <v>ЭТАЖ ЗАДАН ЧИСЛОМ</v>
      </c>
      <c r="M546" s="13" t="b">
        <f t="shared" si="57"/>
        <v>0</v>
      </c>
      <c r="N546" s="13">
        <f t="shared" si="58"/>
        <v>2</v>
      </c>
      <c r="O546" s="13" t="str">
        <f t="shared" si="59"/>
        <v>ЭТАЖ ЗАДАН ЧИСЛОМ</v>
      </c>
      <c r="P546" s="13" t="str">
        <f t="shared" si="60"/>
        <v>ЭТАЖ ЗАДАН ЧИСЛОМ</v>
      </c>
      <c r="Q546" s="13" t="str">
        <f t="shared" si="61"/>
        <v>ГОТОВ_ИЗМЕНЕН</v>
      </c>
      <c r="R546" s="13">
        <f>IFERROR(VLOOKUP(P546,Лист1!A$1:B$20,2,FALSE),0)</f>
        <v>784</v>
      </c>
      <c r="S546" s="13">
        <f t="shared" si="62"/>
        <v>0</v>
      </c>
    </row>
    <row r="547" spans="1:19" x14ac:dyDescent="0.25">
      <c r="A547" s="24" t="s">
        <v>1654</v>
      </c>
      <c r="B547" s="4" t="s">
        <v>1059</v>
      </c>
      <c r="C547" s="25" t="s">
        <v>7</v>
      </c>
      <c r="G547" s="25" t="s">
        <v>1224</v>
      </c>
      <c r="H547" s="24" t="s">
        <v>1061</v>
      </c>
      <c r="I547" s="3" t="str">
        <f>IFERROR(VLOOKUP(C547,'Справочник соответствий'!A$2:D$2981,2,FALSE),IF(VALUE(C547)=0,1,VLOOKUP(C547,'Справочник соответствий'!A$2:D$2981,2,FALSE)))</f>
        <v>2</v>
      </c>
      <c r="J547" s="3">
        <f>IFERROR(VLOOKUP(D547,'Справочник соответствий'!A$2:D$2981,2,FALSE),IF(VALUE(D547)=0,0,VLOOKUP(D547,'Справочник соответствий'!A$2:D$2981,2,FALSE)))</f>
        <v>0</v>
      </c>
      <c r="K547" s="3" t="str">
        <f t="shared" si="56"/>
        <v>2</v>
      </c>
      <c r="L547" s="13" t="str">
        <f>IFERROR(VLOOKUP(C547,'Справочник соответствий'!A$2:D$2981,3,FALSE),IF(VALUE(C547)=0,"ЭТАЖ НЕ ОПРЕДЕЛЕН. ПРИНЯТ ПО ДОПУЩЕНИЮ 1",VLOOKUP(C547,'Справочник соответствий'!A$2:D$2981,3,FALSE)))</f>
        <v>ЭТАЖ ЗАДАН ЧИСЛОМ</v>
      </c>
      <c r="M547" s="13" t="b">
        <f t="shared" si="57"/>
        <v>0</v>
      </c>
      <c r="N547" s="13">
        <f t="shared" si="58"/>
        <v>2</v>
      </c>
      <c r="O547" s="13" t="str">
        <f t="shared" si="59"/>
        <v>ЭТАЖ ЗАДАН ЧИСЛОМ</v>
      </c>
      <c r="P547" s="13" t="str">
        <f t="shared" si="60"/>
        <v>ЭТАЖ ЗАДАН ЧИСЛОМ</v>
      </c>
      <c r="Q547" s="13" t="str">
        <f t="shared" si="61"/>
        <v>ГОТОВ_ИЗМЕНЕН</v>
      </c>
      <c r="R547" s="13">
        <f>IFERROR(VLOOKUP(P547,Лист1!A$1:B$20,2,FALSE),0)</f>
        <v>784</v>
      </c>
      <c r="S547" s="13">
        <f t="shared" si="62"/>
        <v>0</v>
      </c>
    </row>
    <row r="548" spans="1:19" x14ac:dyDescent="0.25">
      <c r="A548" s="24" t="s">
        <v>1655</v>
      </c>
      <c r="B548" s="4" t="s">
        <v>1059</v>
      </c>
      <c r="C548" s="25" t="s">
        <v>7</v>
      </c>
      <c r="G548" s="25" t="s">
        <v>1230</v>
      </c>
      <c r="H548" s="24" t="s">
        <v>1061</v>
      </c>
      <c r="I548" s="3" t="str">
        <f>IFERROR(VLOOKUP(C548,'Справочник соответствий'!A$2:D$2981,2,FALSE),IF(VALUE(C548)=0,1,VLOOKUP(C548,'Справочник соответствий'!A$2:D$2981,2,FALSE)))</f>
        <v>2</v>
      </c>
      <c r="J548" s="3">
        <f>IFERROR(VLOOKUP(D548,'Справочник соответствий'!A$2:D$2981,2,FALSE),IF(VALUE(D548)=0,0,VLOOKUP(D548,'Справочник соответствий'!A$2:D$2981,2,FALSE)))</f>
        <v>0</v>
      </c>
      <c r="K548" s="3" t="str">
        <f t="shared" si="56"/>
        <v>2</v>
      </c>
      <c r="L548" s="13" t="str">
        <f>IFERROR(VLOOKUP(C548,'Справочник соответствий'!A$2:D$2981,3,FALSE),IF(VALUE(C548)=0,"ЭТАЖ НЕ ОПРЕДЕЛЕН. ПРИНЯТ ПО ДОПУЩЕНИЮ 1",VLOOKUP(C548,'Справочник соответствий'!A$2:D$2981,3,FALSE)))</f>
        <v>ЭТАЖ ЗАДАН ЧИСЛОМ</v>
      </c>
      <c r="M548" s="13" t="b">
        <f t="shared" si="57"/>
        <v>0</v>
      </c>
      <c r="N548" s="13">
        <f t="shared" si="58"/>
        <v>2</v>
      </c>
      <c r="O548" s="13" t="str">
        <f t="shared" si="59"/>
        <v>ЭТАЖ ЗАДАН ЧИСЛОМ</v>
      </c>
      <c r="P548" s="13" t="str">
        <f t="shared" si="60"/>
        <v>ЭТАЖ ЗАДАН ЧИСЛОМ</v>
      </c>
      <c r="Q548" s="13" t="str">
        <f t="shared" si="61"/>
        <v>ГОТОВ_ИЗМЕНЕН</v>
      </c>
      <c r="R548" s="13">
        <f>IFERROR(VLOOKUP(P548,Лист1!A$1:B$20,2,FALSE),0)</f>
        <v>784</v>
      </c>
      <c r="S548" s="13">
        <f t="shared" si="62"/>
        <v>0</v>
      </c>
    </row>
    <row r="549" spans="1:19" x14ac:dyDescent="0.25">
      <c r="A549" s="24" t="s">
        <v>1656</v>
      </c>
      <c r="B549" s="4" t="s">
        <v>1063</v>
      </c>
      <c r="C549" s="25" t="s">
        <v>5</v>
      </c>
      <c r="D549" s="25" t="s">
        <v>24</v>
      </c>
      <c r="G549" s="25" t="s">
        <v>1230</v>
      </c>
      <c r="H549" s="24" t="s">
        <v>1061</v>
      </c>
      <c r="I549" s="3" t="str">
        <f>IFERROR(VLOOKUP(C549,'Справочник соответствий'!A$2:D$2981,2,FALSE),IF(VALUE(C549)=0,1,VLOOKUP(C549,'Справочник соответствий'!A$2:D$2981,2,FALSE)))</f>
        <v>1</v>
      </c>
      <c r="J549" s="3" t="str">
        <f>IFERROR(VLOOKUP(D549,'Справочник соответствий'!A$2:D$2981,2,FALSE),IF(VALUE(D549)=0,0,VLOOKUP(D549,'Справочник соответствий'!A$2:D$2981,2,FALSE)))</f>
        <v>1</v>
      </c>
      <c r="K549" s="3" t="str">
        <f t="shared" si="56"/>
        <v>1</v>
      </c>
      <c r="L549" s="13" t="str">
        <f>IFERROR(VLOOKUP(C549,'Справочник соответствий'!A$2:D$2981,3,FALSE),IF(VALUE(C549)=0,"ЭТАЖ НЕ ОПРЕДЕЛЕН. ПРИНЯТ ПО ДОПУЩЕНИЮ 1",VLOOKUP(C549,'Справочник соответствий'!A$2:D$2981,3,FALSE)))</f>
        <v>ЭТАЖ ЗАДАН ЧИСЛОМ</v>
      </c>
      <c r="M549" s="13" t="b">
        <f t="shared" si="57"/>
        <v>0</v>
      </c>
      <c r="N549" s="13">
        <f t="shared" si="58"/>
        <v>1</v>
      </c>
      <c r="O549" s="13" t="str">
        <f t="shared" si="59"/>
        <v>ЭТАЖ ЗАДАН ЧИСЛОМ</v>
      </c>
      <c r="P549" s="13" t="str">
        <f t="shared" si="60"/>
        <v>ЭТАЖ ЗАДАН ЧИСЛОМ</v>
      </c>
      <c r="Q549" s="13" t="str">
        <f t="shared" si="61"/>
        <v>ГОТОВ_ИЗМЕНЕН</v>
      </c>
      <c r="R549" s="13">
        <f>IFERROR(VLOOKUP(P549,Лист1!A$1:B$20,2,FALSE),0)</f>
        <v>784</v>
      </c>
      <c r="S549" s="13">
        <f t="shared" si="62"/>
        <v>0</v>
      </c>
    </row>
    <row r="550" spans="1:19" x14ac:dyDescent="0.25">
      <c r="A550" s="24" t="s">
        <v>1657</v>
      </c>
      <c r="B550" s="4" t="s">
        <v>1059</v>
      </c>
      <c r="G550" s="25" t="s">
        <v>1230</v>
      </c>
      <c r="H550" s="24" t="s">
        <v>1061</v>
      </c>
      <c r="I550" s="3">
        <f>IFERROR(VLOOKUP(C550,'Справочник соответствий'!A$2:D$2981,2,FALSE),IF(VALUE(C550)=0,1,VLOOKUP(C550,'Справочник соответствий'!A$2:D$2981,2,FALSE)))</f>
        <v>1</v>
      </c>
      <c r="J550" s="3">
        <f>IFERROR(VLOOKUP(D550,'Справочник соответствий'!A$2:D$2981,2,FALSE),IF(VALUE(D550)=0,0,VLOOKUP(D550,'Справочник соответствий'!A$2:D$2981,2,FALSE)))</f>
        <v>0</v>
      </c>
      <c r="K550" s="3">
        <f t="shared" si="56"/>
        <v>1</v>
      </c>
      <c r="L550" s="13" t="str">
        <f>IFERROR(VLOOKUP(C550,'Справочник соответствий'!A$2:D$2981,3,FALSE),IF(VALUE(C550)=0,"ЭТАЖ НЕ ОПРЕДЕЛЕН. ПРИНЯТ ПО ДОПУЩЕНИЮ 1",VLOOKUP(C550,'Справочник соответствий'!A$2:D$2981,3,FALSE)))</f>
        <v>ЭТАЖ НЕ ОПРЕДЕЛЕН. ПРИНЯТ ПО ДОПУЩЕНИЮ 1</v>
      </c>
      <c r="M550" s="13" t="b">
        <f t="shared" si="57"/>
        <v>0</v>
      </c>
      <c r="N550" s="13">
        <f t="shared" si="58"/>
        <v>1</v>
      </c>
      <c r="O550" s="13" t="str">
        <f t="shared" si="59"/>
        <v>ЭТАЖ НЕ ОПРЕДЕЛЕН. ПРИНЯТ ПО ДОПУЩЕНИЮ 1</v>
      </c>
      <c r="P550" s="13" t="str">
        <f t="shared" si="60"/>
        <v>ЭТАЖ НЕ ОПРЕДЕЛЕН. ПРИНЯТ ПО ДОПУЩЕНИЮ 1</v>
      </c>
      <c r="Q550" s="13" t="str">
        <f t="shared" si="61"/>
        <v>ГОТОВ_ИЗМЕНЕН</v>
      </c>
      <c r="R550" s="13">
        <f>IFERROR(VLOOKUP(P550,Лист1!A$1:B$20,2,FALSE),0)</f>
        <v>788</v>
      </c>
      <c r="S550" s="13">
        <f t="shared" si="62"/>
        <v>0</v>
      </c>
    </row>
    <row r="551" spans="1:19" x14ac:dyDescent="0.25">
      <c r="A551" s="24" t="s">
        <v>1658</v>
      </c>
      <c r="B551" s="4" t="s">
        <v>1063</v>
      </c>
      <c r="C551" s="25" t="s">
        <v>5</v>
      </c>
      <c r="G551" s="25" t="s">
        <v>1219</v>
      </c>
      <c r="H551" s="24" t="s">
        <v>1061</v>
      </c>
      <c r="I551" s="3" t="str">
        <f>IFERROR(VLOOKUP(C551,'Справочник соответствий'!A$2:D$2981,2,FALSE),IF(VALUE(C551)=0,1,VLOOKUP(C551,'Справочник соответствий'!A$2:D$2981,2,FALSE)))</f>
        <v>1</v>
      </c>
      <c r="J551" s="3">
        <f>IFERROR(VLOOKUP(D551,'Справочник соответствий'!A$2:D$2981,2,FALSE),IF(VALUE(D551)=0,0,VLOOKUP(D551,'Справочник соответствий'!A$2:D$2981,2,FALSE)))</f>
        <v>0</v>
      </c>
      <c r="K551" s="3" t="str">
        <f t="shared" si="56"/>
        <v>1</v>
      </c>
      <c r="L551" s="13" t="str">
        <f>IFERROR(VLOOKUP(C551,'Справочник соответствий'!A$2:D$2981,3,FALSE),IF(VALUE(C551)=0,"ЭТАЖ НЕ ОПРЕДЕЛЕН. ПРИНЯТ ПО ДОПУЩЕНИЮ 1",VLOOKUP(C551,'Справочник соответствий'!A$2:D$2981,3,FALSE)))</f>
        <v>ЭТАЖ ЗАДАН ЧИСЛОМ</v>
      </c>
      <c r="M551" s="13" t="b">
        <f t="shared" si="57"/>
        <v>0</v>
      </c>
      <c r="N551" s="13">
        <f t="shared" si="58"/>
        <v>1</v>
      </c>
      <c r="O551" s="13" t="str">
        <f t="shared" si="59"/>
        <v>ЭТАЖ ЗАДАН ЧИСЛОМ</v>
      </c>
      <c r="P551" s="13" t="str">
        <f t="shared" si="60"/>
        <v>ЭТАЖ ЗАДАН ЧИСЛОМ</v>
      </c>
      <c r="Q551" s="13" t="str">
        <f t="shared" si="61"/>
        <v>ГОТОВ_ИЗМЕНЕН</v>
      </c>
      <c r="R551" s="13">
        <f>IFERROR(VLOOKUP(P551,Лист1!A$1:B$20,2,FALSE),0)</f>
        <v>784</v>
      </c>
      <c r="S551" s="13">
        <f t="shared" si="62"/>
        <v>0</v>
      </c>
    </row>
    <row r="552" spans="1:19" x14ac:dyDescent="0.25">
      <c r="A552" s="24" t="s">
        <v>1659</v>
      </c>
      <c r="B552" s="4" t="s">
        <v>1059</v>
      </c>
      <c r="C552" s="25" t="s">
        <v>8</v>
      </c>
      <c r="G552" s="25" t="s">
        <v>1228</v>
      </c>
      <c r="H552" s="24" t="s">
        <v>1061</v>
      </c>
      <c r="I552" s="3" t="str">
        <f>IFERROR(VLOOKUP(C552,'Справочник соответствий'!A$2:D$2981,2,FALSE),IF(VALUE(C552)=0,1,VLOOKUP(C552,'Справочник соответствий'!A$2:D$2981,2,FALSE)))</f>
        <v>3</v>
      </c>
      <c r="J552" s="3">
        <f>IFERROR(VLOOKUP(D552,'Справочник соответствий'!A$2:D$2981,2,FALSE),IF(VALUE(D552)=0,0,VLOOKUP(D552,'Справочник соответствий'!A$2:D$2981,2,FALSE)))</f>
        <v>0</v>
      </c>
      <c r="K552" s="3" t="str">
        <f t="shared" si="56"/>
        <v>3</v>
      </c>
      <c r="L552" s="13" t="str">
        <f>IFERROR(VLOOKUP(C552,'Справочник соответствий'!A$2:D$2981,3,FALSE),IF(VALUE(C552)=0,"ЭТАЖ НЕ ОПРЕДЕЛЕН. ПРИНЯТ ПО ДОПУЩЕНИЮ 1",VLOOKUP(C552,'Справочник соответствий'!A$2:D$2981,3,FALSE)))</f>
        <v>ЭТАЖ ЗАДАН ЧИСЛОМ</v>
      </c>
      <c r="M552" s="13" t="b">
        <f t="shared" si="57"/>
        <v>0</v>
      </c>
      <c r="N552" s="13">
        <f t="shared" si="58"/>
        <v>3</v>
      </c>
      <c r="O552" s="13" t="str">
        <f t="shared" si="59"/>
        <v>ЭТАЖ ЗАДАН ЧИСЛОМ</v>
      </c>
      <c r="P552" s="13" t="str">
        <f t="shared" si="60"/>
        <v>ЭТАЖ ЗАДАН ЧИСЛОМ</v>
      </c>
      <c r="Q552" s="13" t="str">
        <f t="shared" si="61"/>
        <v>ГОТОВ_ИЗМЕНЕН</v>
      </c>
      <c r="R552" s="13">
        <f>IFERROR(VLOOKUP(P552,Лист1!A$1:B$20,2,FALSE),0)</f>
        <v>784</v>
      </c>
      <c r="S552" s="13">
        <f t="shared" si="62"/>
        <v>0</v>
      </c>
    </row>
    <row r="553" spans="1:19" x14ac:dyDescent="0.25">
      <c r="A553" s="24" t="s">
        <v>1660</v>
      </c>
      <c r="B553" s="4" t="s">
        <v>1059</v>
      </c>
      <c r="C553" s="25" t="s">
        <v>5</v>
      </c>
      <c r="G553" s="25" t="s">
        <v>1230</v>
      </c>
      <c r="H553" s="24" t="s">
        <v>1061</v>
      </c>
      <c r="I553" s="3" t="str">
        <f>IFERROR(VLOOKUP(C553,'Справочник соответствий'!A$2:D$2981,2,FALSE),IF(VALUE(C553)=0,1,VLOOKUP(C553,'Справочник соответствий'!A$2:D$2981,2,FALSE)))</f>
        <v>1</v>
      </c>
      <c r="J553" s="3">
        <f>IFERROR(VLOOKUP(D553,'Справочник соответствий'!A$2:D$2981,2,FALSE),IF(VALUE(D553)=0,0,VLOOKUP(D553,'Справочник соответствий'!A$2:D$2981,2,FALSE)))</f>
        <v>0</v>
      </c>
      <c r="K553" s="3" t="str">
        <f t="shared" si="56"/>
        <v>1</v>
      </c>
      <c r="L553" s="13" t="str">
        <f>IFERROR(VLOOKUP(C553,'Справочник соответствий'!A$2:D$2981,3,FALSE),IF(VALUE(C553)=0,"ЭТАЖ НЕ ОПРЕДЕЛЕН. ПРИНЯТ ПО ДОПУЩЕНИЮ 1",VLOOKUP(C553,'Справочник соответствий'!A$2:D$2981,3,FALSE)))</f>
        <v>ЭТАЖ ЗАДАН ЧИСЛОМ</v>
      </c>
      <c r="M553" s="13" t="b">
        <f t="shared" si="57"/>
        <v>0</v>
      </c>
      <c r="N553" s="13">
        <f t="shared" si="58"/>
        <v>1</v>
      </c>
      <c r="O553" s="13" t="str">
        <f t="shared" si="59"/>
        <v>ЭТАЖ ЗАДАН ЧИСЛОМ</v>
      </c>
      <c r="P553" s="13" t="str">
        <f t="shared" si="60"/>
        <v>ЭТАЖ ЗАДАН ЧИСЛОМ</v>
      </c>
      <c r="Q553" s="13" t="str">
        <f t="shared" si="61"/>
        <v>ГОТОВ_ИЗМЕНЕН</v>
      </c>
      <c r="R553" s="13">
        <f>IFERROR(VLOOKUP(P553,Лист1!A$1:B$20,2,FALSE),0)</f>
        <v>784</v>
      </c>
      <c r="S553" s="13">
        <f t="shared" si="62"/>
        <v>0</v>
      </c>
    </row>
    <row r="554" spans="1:19" x14ac:dyDescent="0.25">
      <c r="A554" s="24" t="s">
        <v>1661</v>
      </c>
      <c r="B554" s="4" t="s">
        <v>1063</v>
      </c>
      <c r="C554" s="25" t="s">
        <v>5</v>
      </c>
      <c r="G554" s="25" t="s">
        <v>1230</v>
      </c>
      <c r="H554" s="24" t="s">
        <v>1061</v>
      </c>
      <c r="I554" s="3" t="str">
        <f>IFERROR(VLOOKUP(C554,'Справочник соответствий'!A$2:D$2981,2,FALSE),IF(VALUE(C554)=0,1,VLOOKUP(C554,'Справочник соответствий'!A$2:D$2981,2,FALSE)))</f>
        <v>1</v>
      </c>
      <c r="J554" s="3">
        <f>IFERROR(VLOOKUP(D554,'Справочник соответствий'!A$2:D$2981,2,FALSE),IF(VALUE(D554)=0,0,VLOOKUP(D554,'Справочник соответствий'!A$2:D$2981,2,FALSE)))</f>
        <v>0</v>
      </c>
      <c r="K554" s="3" t="str">
        <f t="shared" si="56"/>
        <v>1</v>
      </c>
      <c r="L554" s="13" t="str">
        <f>IFERROR(VLOOKUP(C554,'Справочник соответствий'!A$2:D$2981,3,FALSE),IF(VALUE(C554)=0,"ЭТАЖ НЕ ОПРЕДЕЛЕН. ПРИНЯТ ПО ДОПУЩЕНИЮ 1",VLOOKUP(C554,'Справочник соответствий'!A$2:D$2981,3,FALSE)))</f>
        <v>ЭТАЖ ЗАДАН ЧИСЛОМ</v>
      </c>
      <c r="M554" s="13" t="b">
        <f t="shared" si="57"/>
        <v>0</v>
      </c>
      <c r="N554" s="13">
        <f t="shared" si="58"/>
        <v>1</v>
      </c>
      <c r="O554" s="13" t="str">
        <f t="shared" si="59"/>
        <v>ЭТАЖ ЗАДАН ЧИСЛОМ</v>
      </c>
      <c r="P554" s="13" t="str">
        <f t="shared" si="60"/>
        <v>ЭТАЖ ЗАДАН ЧИСЛОМ</v>
      </c>
      <c r="Q554" s="13" t="str">
        <f t="shared" si="61"/>
        <v>ГОТОВ_ИЗМЕНЕН</v>
      </c>
      <c r="R554" s="13">
        <f>IFERROR(VLOOKUP(P554,Лист1!A$1:B$20,2,FALSE),0)</f>
        <v>784</v>
      </c>
      <c r="S554" s="13">
        <f t="shared" si="62"/>
        <v>0</v>
      </c>
    </row>
    <row r="555" spans="1:19" x14ac:dyDescent="0.25">
      <c r="A555" s="24" t="s">
        <v>1662</v>
      </c>
      <c r="B555" s="4" t="s">
        <v>1059</v>
      </c>
      <c r="C555" s="25" t="s">
        <v>5</v>
      </c>
      <c r="G555" s="25" t="s">
        <v>1230</v>
      </c>
      <c r="H555" s="24" t="s">
        <v>1061</v>
      </c>
      <c r="I555" s="3" t="str">
        <f>IFERROR(VLOOKUP(C555,'Справочник соответствий'!A$2:D$2981,2,FALSE),IF(VALUE(C555)=0,1,VLOOKUP(C555,'Справочник соответствий'!A$2:D$2981,2,FALSE)))</f>
        <v>1</v>
      </c>
      <c r="J555" s="3">
        <f>IFERROR(VLOOKUP(D555,'Справочник соответствий'!A$2:D$2981,2,FALSE),IF(VALUE(D555)=0,0,VLOOKUP(D555,'Справочник соответствий'!A$2:D$2981,2,FALSE)))</f>
        <v>0</v>
      </c>
      <c r="K555" s="3" t="str">
        <f t="shared" si="56"/>
        <v>1</v>
      </c>
      <c r="L555" s="13" t="str">
        <f>IFERROR(VLOOKUP(C555,'Справочник соответствий'!A$2:D$2981,3,FALSE),IF(VALUE(C555)=0,"ЭТАЖ НЕ ОПРЕДЕЛЕН. ПРИНЯТ ПО ДОПУЩЕНИЮ 1",VLOOKUP(C555,'Справочник соответствий'!A$2:D$2981,3,FALSE)))</f>
        <v>ЭТАЖ ЗАДАН ЧИСЛОМ</v>
      </c>
      <c r="M555" s="13" t="b">
        <f t="shared" si="57"/>
        <v>0</v>
      </c>
      <c r="N555" s="13">
        <f t="shared" si="58"/>
        <v>1</v>
      </c>
      <c r="O555" s="13" t="str">
        <f t="shared" si="59"/>
        <v>ЭТАЖ ЗАДАН ЧИСЛОМ</v>
      </c>
      <c r="P555" s="13" t="str">
        <f t="shared" si="60"/>
        <v>ЭТАЖ ЗАДАН ЧИСЛОМ</v>
      </c>
      <c r="Q555" s="13" t="str">
        <f t="shared" si="61"/>
        <v>ГОТОВ_ИЗМЕНЕН</v>
      </c>
      <c r="R555" s="13">
        <f>IFERROR(VLOOKUP(P555,Лист1!A$1:B$20,2,FALSE),0)</f>
        <v>784</v>
      </c>
      <c r="S555" s="13">
        <f t="shared" si="62"/>
        <v>0</v>
      </c>
    </row>
    <row r="556" spans="1:19" x14ac:dyDescent="0.25">
      <c r="A556" s="24" t="s">
        <v>1663</v>
      </c>
      <c r="B556" s="4" t="s">
        <v>1059</v>
      </c>
      <c r="C556" s="25" t="s">
        <v>5</v>
      </c>
      <c r="G556" s="25" t="s">
        <v>1067</v>
      </c>
      <c r="H556" s="24" t="s">
        <v>1061</v>
      </c>
      <c r="I556" s="3" t="str">
        <f>IFERROR(VLOOKUP(C556,'Справочник соответствий'!A$2:D$2981,2,FALSE),IF(VALUE(C556)=0,1,VLOOKUP(C556,'Справочник соответствий'!A$2:D$2981,2,FALSE)))</f>
        <v>1</v>
      </c>
      <c r="J556" s="3">
        <f>IFERROR(VLOOKUP(D556,'Справочник соответствий'!A$2:D$2981,2,FALSE),IF(VALUE(D556)=0,0,VLOOKUP(D556,'Справочник соответствий'!A$2:D$2981,2,FALSE)))</f>
        <v>0</v>
      </c>
      <c r="K556" s="3" t="str">
        <f t="shared" si="56"/>
        <v>1</v>
      </c>
      <c r="L556" s="13" t="str">
        <f>IFERROR(VLOOKUP(C556,'Справочник соответствий'!A$2:D$2981,3,FALSE),IF(VALUE(C556)=0,"ЭТАЖ НЕ ОПРЕДЕЛЕН. ПРИНЯТ ПО ДОПУЩЕНИЮ 1",VLOOKUP(C556,'Справочник соответствий'!A$2:D$2981,3,FALSE)))</f>
        <v>ЭТАЖ ЗАДАН ЧИСЛОМ</v>
      </c>
      <c r="M556" s="13" t="b">
        <f t="shared" si="57"/>
        <v>0</v>
      </c>
      <c r="N556" s="13">
        <f t="shared" si="58"/>
        <v>1</v>
      </c>
      <c r="O556" s="13" t="str">
        <f t="shared" si="59"/>
        <v>ЭТАЖ ЗАДАН ЧИСЛОМ</v>
      </c>
      <c r="P556" s="13" t="str">
        <f t="shared" si="60"/>
        <v>ЭТАЖ ЗАДАН ЧИСЛОМ</v>
      </c>
      <c r="Q556" s="13" t="str">
        <f t="shared" si="61"/>
        <v>ГОТОВ_ИЗМЕНЕН</v>
      </c>
      <c r="R556" s="13">
        <f>IFERROR(VLOOKUP(P556,Лист1!A$1:B$20,2,FALSE),0)</f>
        <v>784</v>
      </c>
      <c r="S556" s="13">
        <f t="shared" si="62"/>
        <v>0</v>
      </c>
    </row>
    <row r="557" spans="1:19" x14ac:dyDescent="0.25">
      <c r="A557" s="24" t="s">
        <v>1664</v>
      </c>
      <c r="B557" s="4" t="s">
        <v>1059</v>
      </c>
      <c r="G557" s="25" t="s">
        <v>1067</v>
      </c>
      <c r="H557" s="24" t="s">
        <v>1061</v>
      </c>
      <c r="I557" s="3">
        <f>IFERROR(VLOOKUP(C557,'Справочник соответствий'!A$2:D$2981,2,FALSE),IF(VALUE(C557)=0,1,VLOOKUP(C557,'Справочник соответствий'!A$2:D$2981,2,FALSE)))</f>
        <v>1</v>
      </c>
      <c r="J557" s="3">
        <f>IFERROR(VLOOKUP(D557,'Справочник соответствий'!A$2:D$2981,2,FALSE),IF(VALUE(D557)=0,0,VLOOKUP(D557,'Справочник соответствий'!A$2:D$2981,2,FALSE)))</f>
        <v>0</v>
      </c>
      <c r="K557" s="3">
        <f t="shared" si="56"/>
        <v>1</v>
      </c>
      <c r="L557" s="13" t="str">
        <f>IFERROR(VLOOKUP(C557,'Справочник соответствий'!A$2:D$2981,3,FALSE),IF(VALUE(C557)=0,"ЭТАЖ НЕ ОПРЕДЕЛЕН. ПРИНЯТ ПО ДОПУЩЕНИЮ 1",VLOOKUP(C557,'Справочник соответствий'!A$2:D$2981,3,FALSE)))</f>
        <v>ЭТАЖ НЕ ОПРЕДЕЛЕН. ПРИНЯТ ПО ДОПУЩЕНИЮ 1</v>
      </c>
      <c r="M557" s="13" t="b">
        <f t="shared" si="57"/>
        <v>0</v>
      </c>
      <c r="N557" s="13">
        <f t="shared" si="58"/>
        <v>1</v>
      </c>
      <c r="O557" s="13" t="str">
        <f t="shared" si="59"/>
        <v>ЭТАЖ НЕ ОПРЕДЕЛЕН. ПРИНЯТ ПО ДОПУЩЕНИЮ 1</v>
      </c>
      <c r="P557" s="13" t="str">
        <f t="shared" si="60"/>
        <v>ЭТАЖ НЕ ОПРЕДЕЛЕН. ПРИНЯТ ПО ДОПУЩЕНИЮ 1</v>
      </c>
      <c r="Q557" s="13" t="str">
        <f t="shared" si="61"/>
        <v>ГОТОВ_ИЗМЕНЕН</v>
      </c>
      <c r="R557" s="13">
        <f>IFERROR(VLOOKUP(P557,Лист1!A$1:B$20,2,FALSE),0)</f>
        <v>788</v>
      </c>
      <c r="S557" s="13">
        <f t="shared" si="62"/>
        <v>0</v>
      </c>
    </row>
    <row r="558" spans="1:19" x14ac:dyDescent="0.25">
      <c r="A558" s="24" t="s">
        <v>1665</v>
      </c>
      <c r="B558" s="4" t="s">
        <v>1059</v>
      </c>
      <c r="C558" s="25" t="s">
        <v>5</v>
      </c>
      <c r="G558" s="25" t="s">
        <v>1067</v>
      </c>
      <c r="H558" s="24" t="s">
        <v>1061</v>
      </c>
      <c r="I558" s="3" t="str">
        <f>IFERROR(VLOOKUP(C558,'Справочник соответствий'!A$2:D$2981,2,FALSE),IF(VALUE(C558)=0,1,VLOOKUP(C558,'Справочник соответствий'!A$2:D$2981,2,FALSE)))</f>
        <v>1</v>
      </c>
      <c r="J558" s="3">
        <f>IFERROR(VLOOKUP(D558,'Справочник соответствий'!A$2:D$2981,2,FALSE),IF(VALUE(D558)=0,0,VLOOKUP(D558,'Справочник соответствий'!A$2:D$2981,2,FALSE)))</f>
        <v>0</v>
      </c>
      <c r="K558" s="3" t="str">
        <f t="shared" si="56"/>
        <v>1</v>
      </c>
      <c r="L558" s="13" t="str">
        <f>IFERROR(VLOOKUP(C558,'Справочник соответствий'!A$2:D$2981,3,FALSE),IF(VALUE(C558)=0,"ЭТАЖ НЕ ОПРЕДЕЛЕН. ПРИНЯТ ПО ДОПУЩЕНИЮ 1",VLOOKUP(C558,'Справочник соответствий'!A$2:D$2981,3,FALSE)))</f>
        <v>ЭТАЖ ЗАДАН ЧИСЛОМ</v>
      </c>
      <c r="M558" s="13" t="b">
        <f t="shared" si="57"/>
        <v>0</v>
      </c>
      <c r="N558" s="13">
        <f t="shared" si="58"/>
        <v>1</v>
      </c>
      <c r="O558" s="13" t="str">
        <f t="shared" si="59"/>
        <v>ЭТАЖ ЗАДАН ЧИСЛОМ</v>
      </c>
      <c r="P558" s="13" t="str">
        <f t="shared" si="60"/>
        <v>ЭТАЖ ЗАДАН ЧИСЛОМ</v>
      </c>
      <c r="Q558" s="13" t="str">
        <f t="shared" si="61"/>
        <v>ГОТОВ_ИЗМЕНЕН</v>
      </c>
      <c r="R558" s="13">
        <f>IFERROR(VLOOKUP(P558,Лист1!A$1:B$20,2,FALSE),0)</f>
        <v>784</v>
      </c>
      <c r="S558" s="13">
        <f t="shared" si="62"/>
        <v>0</v>
      </c>
    </row>
    <row r="559" spans="1:19" x14ac:dyDescent="0.25">
      <c r="A559" s="24" t="s">
        <v>1666</v>
      </c>
      <c r="B559" s="4" t="s">
        <v>1059</v>
      </c>
      <c r="C559" s="25" t="s">
        <v>5</v>
      </c>
      <c r="G559" s="25" t="s">
        <v>1067</v>
      </c>
      <c r="H559" s="24" t="s">
        <v>1061</v>
      </c>
      <c r="I559" s="3" t="str">
        <f>IFERROR(VLOOKUP(C559,'Справочник соответствий'!A$2:D$2981,2,FALSE),IF(VALUE(C559)=0,1,VLOOKUP(C559,'Справочник соответствий'!A$2:D$2981,2,FALSE)))</f>
        <v>1</v>
      </c>
      <c r="J559" s="3">
        <f>IFERROR(VLOOKUP(D559,'Справочник соответствий'!A$2:D$2981,2,FALSE),IF(VALUE(D559)=0,0,VLOOKUP(D559,'Справочник соответствий'!A$2:D$2981,2,FALSE)))</f>
        <v>0</v>
      </c>
      <c r="K559" s="3" t="str">
        <f t="shared" si="56"/>
        <v>1</v>
      </c>
      <c r="L559" s="13" t="str">
        <f>IFERROR(VLOOKUP(C559,'Справочник соответствий'!A$2:D$2981,3,FALSE),IF(VALUE(C559)=0,"ЭТАЖ НЕ ОПРЕДЕЛЕН. ПРИНЯТ ПО ДОПУЩЕНИЮ 1",VLOOKUP(C559,'Справочник соответствий'!A$2:D$2981,3,FALSE)))</f>
        <v>ЭТАЖ ЗАДАН ЧИСЛОМ</v>
      </c>
      <c r="M559" s="13" t="b">
        <f t="shared" si="57"/>
        <v>0</v>
      </c>
      <c r="N559" s="13">
        <f t="shared" si="58"/>
        <v>1</v>
      </c>
      <c r="O559" s="13" t="str">
        <f t="shared" si="59"/>
        <v>ЭТАЖ ЗАДАН ЧИСЛОМ</v>
      </c>
      <c r="P559" s="13" t="str">
        <f t="shared" si="60"/>
        <v>ЭТАЖ ЗАДАН ЧИСЛОМ</v>
      </c>
      <c r="Q559" s="13" t="str">
        <f t="shared" si="61"/>
        <v>ГОТОВ_ИЗМЕНЕН</v>
      </c>
      <c r="R559" s="13">
        <f>IFERROR(VLOOKUP(P559,Лист1!A$1:B$20,2,FALSE),0)</f>
        <v>784</v>
      </c>
      <c r="S559" s="13">
        <f t="shared" si="62"/>
        <v>0</v>
      </c>
    </row>
    <row r="560" spans="1:19" x14ac:dyDescent="0.25">
      <c r="A560" s="24" t="s">
        <v>1667</v>
      </c>
      <c r="B560" s="4" t="s">
        <v>1059</v>
      </c>
      <c r="C560" s="25" t="s">
        <v>7</v>
      </c>
      <c r="G560" s="25" t="s">
        <v>1067</v>
      </c>
      <c r="H560" s="24" t="s">
        <v>1061</v>
      </c>
      <c r="I560" s="3" t="str">
        <f>IFERROR(VLOOKUP(C560,'Справочник соответствий'!A$2:D$2981,2,FALSE),IF(VALUE(C560)=0,1,VLOOKUP(C560,'Справочник соответствий'!A$2:D$2981,2,FALSE)))</f>
        <v>2</v>
      </c>
      <c r="J560" s="3">
        <f>IFERROR(VLOOKUP(D560,'Справочник соответствий'!A$2:D$2981,2,FALSE),IF(VALUE(D560)=0,0,VLOOKUP(D560,'Справочник соответствий'!A$2:D$2981,2,FALSE)))</f>
        <v>0</v>
      </c>
      <c r="K560" s="3" t="str">
        <f t="shared" si="56"/>
        <v>2</v>
      </c>
      <c r="L560" s="13" t="str">
        <f>IFERROR(VLOOKUP(C560,'Справочник соответствий'!A$2:D$2981,3,FALSE),IF(VALUE(C560)=0,"ЭТАЖ НЕ ОПРЕДЕЛЕН. ПРИНЯТ ПО ДОПУЩЕНИЮ 1",VLOOKUP(C560,'Справочник соответствий'!A$2:D$2981,3,FALSE)))</f>
        <v>ЭТАЖ ЗАДАН ЧИСЛОМ</v>
      </c>
      <c r="M560" s="13" t="b">
        <f t="shared" si="57"/>
        <v>0</v>
      </c>
      <c r="N560" s="13">
        <f t="shared" si="58"/>
        <v>2</v>
      </c>
      <c r="O560" s="13" t="str">
        <f t="shared" si="59"/>
        <v>ЭТАЖ ЗАДАН ЧИСЛОМ</v>
      </c>
      <c r="P560" s="13" t="str">
        <f t="shared" si="60"/>
        <v>ЭТАЖ ЗАДАН ЧИСЛОМ</v>
      </c>
      <c r="Q560" s="13" t="str">
        <f t="shared" si="61"/>
        <v>ГОТОВ_ИЗМЕНЕН</v>
      </c>
      <c r="R560" s="13">
        <f>IFERROR(VLOOKUP(P560,Лист1!A$1:B$20,2,FALSE),0)</f>
        <v>784</v>
      </c>
      <c r="S560" s="13">
        <f t="shared" si="62"/>
        <v>0</v>
      </c>
    </row>
    <row r="561" spans="1:19" x14ac:dyDescent="0.25">
      <c r="A561" s="24" t="s">
        <v>1668</v>
      </c>
      <c r="B561" s="4" t="s">
        <v>1059</v>
      </c>
      <c r="C561" s="25" t="s">
        <v>5</v>
      </c>
      <c r="G561" s="25" t="s">
        <v>1067</v>
      </c>
      <c r="H561" s="24" t="s">
        <v>1061</v>
      </c>
      <c r="I561" s="3" t="str">
        <f>IFERROR(VLOOKUP(C561,'Справочник соответствий'!A$2:D$2981,2,FALSE),IF(VALUE(C561)=0,1,VLOOKUP(C561,'Справочник соответствий'!A$2:D$2981,2,FALSE)))</f>
        <v>1</v>
      </c>
      <c r="J561" s="3">
        <f>IFERROR(VLOOKUP(D561,'Справочник соответствий'!A$2:D$2981,2,FALSE),IF(VALUE(D561)=0,0,VLOOKUP(D561,'Справочник соответствий'!A$2:D$2981,2,FALSE)))</f>
        <v>0</v>
      </c>
      <c r="K561" s="3" t="str">
        <f t="shared" si="56"/>
        <v>1</v>
      </c>
      <c r="L561" s="13" t="str">
        <f>IFERROR(VLOOKUP(C561,'Справочник соответствий'!A$2:D$2981,3,FALSE),IF(VALUE(C561)=0,"ЭТАЖ НЕ ОПРЕДЕЛЕН. ПРИНЯТ ПО ДОПУЩЕНИЮ 1",VLOOKUP(C561,'Справочник соответствий'!A$2:D$2981,3,FALSE)))</f>
        <v>ЭТАЖ ЗАДАН ЧИСЛОМ</v>
      </c>
      <c r="M561" s="13" t="b">
        <f t="shared" si="57"/>
        <v>0</v>
      </c>
      <c r="N561" s="13">
        <f t="shared" si="58"/>
        <v>1</v>
      </c>
      <c r="O561" s="13" t="str">
        <f t="shared" si="59"/>
        <v>ЭТАЖ ЗАДАН ЧИСЛОМ</v>
      </c>
      <c r="P561" s="13" t="str">
        <f t="shared" si="60"/>
        <v>ЭТАЖ ЗАДАН ЧИСЛОМ</v>
      </c>
      <c r="Q561" s="13" t="str">
        <f t="shared" si="61"/>
        <v>ГОТОВ_ИЗМЕНЕН</v>
      </c>
      <c r="R561" s="13">
        <f>IFERROR(VLOOKUP(P561,Лист1!A$1:B$20,2,FALSE),0)</f>
        <v>784</v>
      </c>
      <c r="S561" s="13">
        <f t="shared" si="62"/>
        <v>0</v>
      </c>
    </row>
    <row r="562" spans="1:19" x14ac:dyDescent="0.25">
      <c r="A562" s="24" t="s">
        <v>1669</v>
      </c>
      <c r="B562" s="4" t="s">
        <v>1059</v>
      </c>
      <c r="C562" s="25" t="s">
        <v>7</v>
      </c>
      <c r="G562" s="25" t="s">
        <v>1067</v>
      </c>
      <c r="H562" s="24" t="s">
        <v>1061</v>
      </c>
      <c r="I562" s="3" t="str">
        <f>IFERROR(VLOOKUP(C562,'Справочник соответствий'!A$2:D$2981,2,FALSE),IF(VALUE(C562)=0,1,VLOOKUP(C562,'Справочник соответствий'!A$2:D$2981,2,FALSE)))</f>
        <v>2</v>
      </c>
      <c r="J562" s="3">
        <f>IFERROR(VLOOKUP(D562,'Справочник соответствий'!A$2:D$2981,2,FALSE),IF(VALUE(D562)=0,0,VLOOKUP(D562,'Справочник соответствий'!A$2:D$2981,2,FALSE)))</f>
        <v>0</v>
      </c>
      <c r="K562" s="3" t="str">
        <f t="shared" si="56"/>
        <v>2</v>
      </c>
      <c r="L562" s="13" t="str">
        <f>IFERROR(VLOOKUP(C562,'Справочник соответствий'!A$2:D$2981,3,FALSE),IF(VALUE(C562)=0,"ЭТАЖ НЕ ОПРЕДЕЛЕН. ПРИНЯТ ПО ДОПУЩЕНИЮ 1",VLOOKUP(C562,'Справочник соответствий'!A$2:D$2981,3,FALSE)))</f>
        <v>ЭТАЖ ЗАДАН ЧИСЛОМ</v>
      </c>
      <c r="M562" s="13" t="b">
        <f t="shared" si="57"/>
        <v>0</v>
      </c>
      <c r="N562" s="13">
        <f t="shared" si="58"/>
        <v>2</v>
      </c>
      <c r="O562" s="13" t="str">
        <f t="shared" si="59"/>
        <v>ЭТАЖ ЗАДАН ЧИСЛОМ</v>
      </c>
      <c r="P562" s="13" t="str">
        <f t="shared" si="60"/>
        <v>ЭТАЖ ЗАДАН ЧИСЛОМ</v>
      </c>
      <c r="Q562" s="13" t="str">
        <f t="shared" si="61"/>
        <v>ГОТОВ_ИЗМЕНЕН</v>
      </c>
      <c r="R562" s="13">
        <f>IFERROR(VLOOKUP(P562,Лист1!A$1:B$20,2,FALSE),0)</f>
        <v>784</v>
      </c>
      <c r="S562" s="13">
        <f t="shared" si="62"/>
        <v>0</v>
      </c>
    </row>
    <row r="563" spans="1:19" x14ac:dyDescent="0.25">
      <c r="A563" s="24" t="s">
        <v>1670</v>
      </c>
      <c r="B563" s="4" t="s">
        <v>1059</v>
      </c>
      <c r="C563" s="25" t="s">
        <v>5</v>
      </c>
      <c r="G563" s="25" t="s">
        <v>1328</v>
      </c>
      <c r="H563" s="24" t="s">
        <v>1061</v>
      </c>
      <c r="I563" s="3" t="str">
        <f>IFERROR(VLOOKUP(C563,'Справочник соответствий'!A$2:D$2981,2,FALSE),IF(VALUE(C563)=0,1,VLOOKUP(C563,'Справочник соответствий'!A$2:D$2981,2,FALSE)))</f>
        <v>1</v>
      </c>
      <c r="J563" s="3">
        <f>IFERROR(VLOOKUP(D563,'Справочник соответствий'!A$2:D$2981,2,FALSE),IF(VALUE(D563)=0,0,VLOOKUP(D563,'Справочник соответствий'!A$2:D$2981,2,FALSE)))</f>
        <v>0</v>
      </c>
      <c r="K563" s="3" t="str">
        <f t="shared" si="56"/>
        <v>1</v>
      </c>
      <c r="L563" s="13" t="str">
        <f>IFERROR(VLOOKUP(C563,'Справочник соответствий'!A$2:D$2981,3,FALSE),IF(VALUE(C563)=0,"ЭТАЖ НЕ ОПРЕДЕЛЕН. ПРИНЯТ ПО ДОПУЩЕНИЮ 1",VLOOKUP(C563,'Справочник соответствий'!A$2:D$2981,3,FALSE)))</f>
        <v>ЭТАЖ ЗАДАН ЧИСЛОМ</v>
      </c>
      <c r="M563" s="13" t="b">
        <f t="shared" si="57"/>
        <v>0</v>
      </c>
      <c r="N563" s="13">
        <f t="shared" si="58"/>
        <v>1</v>
      </c>
      <c r="O563" s="13" t="str">
        <f t="shared" si="59"/>
        <v>ЭТАЖ ЗАДАН ЧИСЛОМ</v>
      </c>
      <c r="P563" s="13" t="str">
        <f t="shared" si="60"/>
        <v>ЭТАЖ ЗАДАН ЧИСЛОМ</v>
      </c>
      <c r="Q563" s="13" t="str">
        <f t="shared" si="61"/>
        <v>ГОТОВ_ИЗМЕНЕН</v>
      </c>
      <c r="R563" s="13">
        <f>IFERROR(VLOOKUP(P563,Лист1!A$1:B$20,2,FALSE),0)</f>
        <v>784</v>
      </c>
      <c r="S563" s="13">
        <f t="shared" si="62"/>
        <v>0</v>
      </c>
    </row>
    <row r="564" spans="1:19" x14ac:dyDescent="0.25">
      <c r="A564" s="24" t="s">
        <v>1671</v>
      </c>
      <c r="B564" s="4" t="s">
        <v>1059</v>
      </c>
      <c r="C564" s="25" t="s">
        <v>5</v>
      </c>
      <c r="G564" s="25" t="s">
        <v>1086</v>
      </c>
      <c r="H564" s="24" t="s">
        <v>1061</v>
      </c>
      <c r="I564" s="3" t="str">
        <f>IFERROR(VLOOKUP(C564,'Справочник соответствий'!A$2:D$2981,2,FALSE),IF(VALUE(C564)=0,1,VLOOKUP(C564,'Справочник соответствий'!A$2:D$2981,2,FALSE)))</f>
        <v>1</v>
      </c>
      <c r="J564" s="3">
        <f>IFERROR(VLOOKUP(D564,'Справочник соответствий'!A$2:D$2981,2,FALSE),IF(VALUE(D564)=0,0,VLOOKUP(D564,'Справочник соответствий'!A$2:D$2981,2,FALSE)))</f>
        <v>0</v>
      </c>
      <c r="K564" s="3" t="str">
        <f t="shared" si="56"/>
        <v>1</v>
      </c>
      <c r="L564" s="13" t="str">
        <f>IFERROR(VLOOKUP(C564,'Справочник соответствий'!A$2:D$2981,3,FALSE),IF(VALUE(C564)=0,"ЭТАЖ НЕ ОПРЕДЕЛЕН. ПРИНЯТ ПО ДОПУЩЕНИЮ 1",VLOOKUP(C564,'Справочник соответствий'!A$2:D$2981,3,FALSE)))</f>
        <v>ЭТАЖ ЗАДАН ЧИСЛОМ</v>
      </c>
      <c r="M564" s="13" t="b">
        <f t="shared" si="57"/>
        <v>0</v>
      </c>
      <c r="N564" s="13">
        <f t="shared" si="58"/>
        <v>1</v>
      </c>
      <c r="O564" s="13" t="str">
        <f t="shared" si="59"/>
        <v>ЭТАЖ ЗАДАН ЧИСЛОМ</v>
      </c>
      <c r="P564" s="13" t="str">
        <f t="shared" si="60"/>
        <v>ЭТАЖ ЗАДАН ЧИСЛОМ</v>
      </c>
      <c r="Q564" s="13" t="str">
        <f t="shared" si="61"/>
        <v>ГОТОВ_ИЗМЕНЕН</v>
      </c>
      <c r="R564" s="13">
        <f>IFERROR(VLOOKUP(P564,Лист1!A$1:B$20,2,FALSE),0)</f>
        <v>784</v>
      </c>
      <c r="S564" s="13">
        <f t="shared" si="62"/>
        <v>0</v>
      </c>
    </row>
    <row r="565" spans="1:19" x14ac:dyDescent="0.25">
      <c r="A565" s="24" t="s">
        <v>1672</v>
      </c>
      <c r="B565" s="4" t="s">
        <v>1063</v>
      </c>
      <c r="C565" s="25" t="s">
        <v>5</v>
      </c>
      <c r="G565" s="25" t="s">
        <v>1289</v>
      </c>
      <c r="H565" s="24" t="s">
        <v>1061</v>
      </c>
      <c r="I565" s="3" t="str">
        <f>IFERROR(VLOOKUP(C565,'Справочник соответствий'!A$2:D$2981,2,FALSE),IF(VALUE(C565)=0,1,VLOOKUP(C565,'Справочник соответствий'!A$2:D$2981,2,FALSE)))</f>
        <v>1</v>
      </c>
      <c r="J565" s="3">
        <f>IFERROR(VLOOKUP(D565,'Справочник соответствий'!A$2:D$2981,2,FALSE),IF(VALUE(D565)=0,0,VLOOKUP(D565,'Справочник соответствий'!A$2:D$2981,2,FALSE)))</f>
        <v>0</v>
      </c>
      <c r="K565" s="3" t="str">
        <f t="shared" si="56"/>
        <v>1</v>
      </c>
      <c r="L565" s="13" t="str">
        <f>IFERROR(VLOOKUP(C565,'Справочник соответствий'!A$2:D$2981,3,FALSE),IF(VALUE(C565)=0,"ЭТАЖ НЕ ОПРЕДЕЛЕН. ПРИНЯТ ПО ДОПУЩЕНИЮ 1",VLOOKUP(C565,'Справочник соответствий'!A$2:D$2981,3,FALSE)))</f>
        <v>ЭТАЖ ЗАДАН ЧИСЛОМ</v>
      </c>
      <c r="M565" s="13" t="b">
        <f t="shared" si="57"/>
        <v>0</v>
      </c>
      <c r="N565" s="13">
        <f t="shared" si="58"/>
        <v>1</v>
      </c>
      <c r="O565" s="13" t="str">
        <f t="shared" si="59"/>
        <v>ЭТАЖ ЗАДАН ЧИСЛОМ</v>
      </c>
      <c r="P565" s="13" t="str">
        <f t="shared" si="60"/>
        <v>ЭТАЖ ЗАДАН ЧИСЛОМ</v>
      </c>
      <c r="Q565" s="13" t="str">
        <f t="shared" si="61"/>
        <v>ГОТОВ_ИЗМЕНЕН</v>
      </c>
      <c r="R565" s="13">
        <f>IFERROR(VLOOKUP(P565,Лист1!A$1:B$20,2,FALSE),0)</f>
        <v>784</v>
      </c>
      <c r="S565" s="13">
        <f t="shared" si="62"/>
        <v>0</v>
      </c>
    </row>
    <row r="566" spans="1:19" x14ac:dyDescent="0.25">
      <c r="A566" s="24" t="s">
        <v>1673</v>
      </c>
      <c r="B566" s="4" t="s">
        <v>1059</v>
      </c>
      <c r="C566" s="25" t="s">
        <v>5</v>
      </c>
      <c r="D566" s="25" t="s">
        <v>69</v>
      </c>
      <c r="G566" s="25" t="s">
        <v>1086</v>
      </c>
      <c r="H566" s="24" t="s">
        <v>1061</v>
      </c>
      <c r="I566" s="3" t="str">
        <f>IFERROR(VLOOKUP(C566,'Справочник соответствий'!A$2:D$2981,2,FALSE),IF(VALUE(C566)=0,1,VLOOKUP(C566,'Справочник соответствий'!A$2:D$2981,2,FALSE)))</f>
        <v>1</v>
      </c>
      <c r="J566" s="3" t="str">
        <f>IFERROR(VLOOKUP(D566,'Справочник соответствий'!A$2:D$2981,2,FALSE),IF(VALUE(D566)=0,0,VLOOKUP(D566,'Справочник соответствий'!A$2:D$2981,2,FALSE)))</f>
        <v>1</v>
      </c>
      <c r="K566" s="3" t="str">
        <f t="shared" si="56"/>
        <v>1</v>
      </c>
      <c r="L566" s="13" t="str">
        <f>IFERROR(VLOOKUP(C566,'Справочник соответствий'!A$2:D$2981,3,FALSE),IF(VALUE(C566)=0,"ЭТАЖ НЕ ОПРЕДЕЛЕН. ПРИНЯТ ПО ДОПУЩЕНИЮ 1",VLOOKUP(C566,'Справочник соответствий'!A$2:D$2981,3,FALSE)))</f>
        <v>ЭТАЖ ЗАДАН ЧИСЛОМ</v>
      </c>
      <c r="M566" s="13" t="b">
        <f t="shared" si="57"/>
        <v>0</v>
      </c>
      <c r="N566" s="13">
        <f t="shared" si="58"/>
        <v>1</v>
      </c>
      <c r="O566" s="13" t="str">
        <f t="shared" si="59"/>
        <v>ЭТАЖ ЗАДАН ЧИСЛОМ</v>
      </c>
      <c r="P566" s="13" t="str">
        <f t="shared" si="60"/>
        <v>ЭТАЖ ЗАДАН ЧИСЛОМ</v>
      </c>
      <c r="Q566" s="13" t="str">
        <f t="shared" si="61"/>
        <v>ГОТОВ_ИЗМЕНЕН</v>
      </c>
      <c r="R566" s="13">
        <f>IFERROR(VLOOKUP(P566,Лист1!A$1:B$20,2,FALSE),0)</f>
        <v>784</v>
      </c>
      <c r="S566" s="13">
        <f t="shared" si="62"/>
        <v>0</v>
      </c>
    </row>
    <row r="567" spans="1:19" x14ac:dyDescent="0.25">
      <c r="A567" s="24" t="s">
        <v>1674</v>
      </c>
      <c r="B567" s="4" t="s">
        <v>1063</v>
      </c>
      <c r="C567" s="25" t="s">
        <v>5</v>
      </c>
      <c r="G567" s="25" t="s">
        <v>1086</v>
      </c>
      <c r="H567" s="24" t="s">
        <v>1061</v>
      </c>
      <c r="I567" s="3" t="str">
        <f>IFERROR(VLOOKUP(C567,'Справочник соответствий'!A$2:D$2981,2,FALSE),IF(VALUE(C567)=0,1,VLOOKUP(C567,'Справочник соответствий'!A$2:D$2981,2,FALSE)))</f>
        <v>1</v>
      </c>
      <c r="J567" s="3">
        <f>IFERROR(VLOOKUP(D567,'Справочник соответствий'!A$2:D$2981,2,FALSE),IF(VALUE(D567)=0,0,VLOOKUP(D567,'Справочник соответствий'!A$2:D$2981,2,FALSE)))</f>
        <v>0</v>
      </c>
      <c r="K567" s="3" t="str">
        <f t="shared" si="56"/>
        <v>1</v>
      </c>
      <c r="L567" s="13" t="str">
        <f>IFERROR(VLOOKUP(C567,'Справочник соответствий'!A$2:D$2981,3,FALSE),IF(VALUE(C567)=0,"ЭТАЖ НЕ ОПРЕДЕЛЕН. ПРИНЯТ ПО ДОПУЩЕНИЮ 1",VLOOKUP(C567,'Справочник соответствий'!A$2:D$2981,3,FALSE)))</f>
        <v>ЭТАЖ ЗАДАН ЧИСЛОМ</v>
      </c>
      <c r="M567" s="13" t="b">
        <f t="shared" si="57"/>
        <v>0</v>
      </c>
      <c r="N567" s="13">
        <f t="shared" si="58"/>
        <v>1</v>
      </c>
      <c r="O567" s="13" t="str">
        <f t="shared" si="59"/>
        <v>ЭТАЖ ЗАДАН ЧИСЛОМ</v>
      </c>
      <c r="P567" s="13" t="str">
        <f t="shared" si="60"/>
        <v>ЭТАЖ ЗАДАН ЧИСЛОМ</v>
      </c>
      <c r="Q567" s="13" t="str">
        <f t="shared" si="61"/>
        <v>ГОТОВ_ИЗМЕНЕН</v>
      </c>
      <c r="R567" s="13">
        <f>IFERROR(VLOOKUP(P567,Лист1!A$1:B$20,2,FALSE),0)</f>
        <v>784</v>
      </c>
      <c r="S567" s="13">
        <f t="shared" si="62"/>
        <v>0</v>
      </c>
    </row>
    <row r="568" spans="1:19" x14ac:dyDescent="0.25">
      <c r="A568" s="24" t="s">
        <v>1675</v>
      </c>
      <c r="B568" s="4" t="s">
        <v>1031</v>
      </c>
      <c r="C568" s="25" t="s">
        <v>14</v>
      </c>
      <c r="D568" s="25" t="s">
        <v>5</v>
      </c>
      <c r="G568" s="25" t="s">
        <v>1086</v>
      </c>
      <c r="H568" s="24" t="s">
        <v>1061</v>
      </c>
      <c r="I568" s="3" t="str">
        <f>IFERROR(VLOOKUP(C568,'Справочник соответствий'!A$2:D$2981,2,FALSE),IF(VALUE(C568)=0,1,VLOOKUP(C568,'Справочник соответствий'!A$2:D$2981,2,FALSE)))</f>
        <v>17</v>
      </c>
      <c r="J568" s="3" t="str">
        <f>IFERROR(VLOOKUP(D568,'Справочник соответствий'!A$2:D$2981,2,FALSE),IF(VALUE(D568)=0,0,VLOOKUP(D568,'Справочник соответствий'!A$2:D$2981,2,FALSE)))</f>
        <v>1</v>
      </c>
      <c r="K568" s="3">
        <f t="shared" si="56"/>
        <v>16</v>
      </c>
      <c r="L568" s="13" t="str">
        <f>IFERROR(VLOOKUP(C568,'Справочник соответствий'!A$2:D$2981,3,FALSE),IF(VALUE(C568)=0,"ЭТАЖ НЕ ОПРЕДЕЛЕН. ПРИНЯТ ПО ДОПУЩЕНИЮ 1",VLOOKUP(C568,'Справочник соответствий'!A$2:D$2981,3,FALSE)))</f>
        <v>ЭТАЖ ЗАДАН ЧИСЛОМ</v>
      </c>
      <c r="M568" s="13" t="b">
        <f t="shared" si="57"/>
        <v>0</v>
      </c>
      <c r="N568" s="13">
        <f t="shared" si="58"/>
        <v>16</v>
      </c>
      <c r="O568" s="13" t="str">
        <f t="shared" si="59"/>
        <v>ЭТАЖ ЗАДАН ЧИСЛОМ</v>
      </c>
      <c r="P568" s="13" t="str">
        <f t="shared" si="60"/>
        <v>МКД_ЭТАЖ ЗАДАН ЧИСЛОМ</v>
      </c>
      <c r="Q568" s="13" t="str">
        <f t="shared" si="61"/>
        <v>ГОТОВ_ИЗМЕНЕН</v>
      </c>
      <c r="R568" s="13">
        <f>IFERROR(VLOOKUP(P568,Лист1!A$1:B$20,2,FALSE),0)</f>
        <v>786</v>
      </c>
      <c r="S568" s="13">
        <f t="shared" si="62"/>
        <v>0</v>
      </c>
    </row>
    <row r="569" spans="1:19" x14ac:dyDescent="0.25">
      <c r="A569" s="24" t="s">
        <v>1676</v>
      </c>
      <c r="B569" s="4" t="s">
        <v>1059</v>
      </c>
      <c r="C569" s="25" t="s">
        <v>7</v>
      </c>
      <c r="G569" s="25" t="s">
        <v>1086</v>
      </c>
      <c r="H569" s="24" t="s">
        <v>1061</v>
      </c>
      <c r="I569" s="3" t="str">
        <f>IFERROR(VLOOKUP(C569,'Справочник соответствий'!A$2:D$2981,2,FALSE),IF(VALUE(C569)=0,1,VLOOKUP(C569,'Справочник соответствий'!A$2:D$2981,2,FALSE)))</f>
        <v>2</v>
      </c>
      <c r="J569" s="3">
        <f>IFERROR(VLOOKUP(D569,'Справочник соответствий'!A$2:D$2981,2,FALSE),IF(VALUE(D569)=0,0,VLOOKUP(D569,'Справочник соответствий'!A$2:D$2981,2,FALSE)))</f>
        <v>0</v>
      </c>
      <c r="K569" s="3" t="str">
        <f t="shared" si="56"/>
        <v>2</v>
      </c>
      <c r="L569" s="13" t="str">
        <f>IFERROR(VLOOKUP(C569,'Справочник соответствий'!A$2:D$2981,3,FALSE),IF(VALUE(C569)=0,"ЭТАЖ НЕ ОПРЕДЕЛЕН. ПРИНЯТ ПО ДОПУЩЕНИЮ 1",VLOOKUP(C569,'Справочник соответствий'!A$2:D$2981,3,FALSE)))</f>
        <v>ЭТАЖ ЗАДАН ЧИСЛОМ</v>
      </c>
      <c r="M569" s="13" t="b">
        <f t="shared" si="57"/>
        <v>0</v>
      </c>
      <c r="N569" s="13">
        <f t="shared" si="58"/>
        <v>2</v>
      </c>
      <c r="O569" s="13" t="str">
        <f t="shared" si="59"/>
        <v>ЭТАЖ ЗАДАН ЧИСЛОМ</v>
      </c>
      <c r="P569" s="13" t="str">
        <f t="shared" si="60"/>
        <v>ЭТАЖ ЗАДАН ЧИСЛОМ</v>
      </c>
      <c r="Q569" s="13" t="str">
        <f t="shared" si="61"/>
        <v>ГОТОВ_ИЗМЕНЕН</v>
      </c>
      <c r="R569" s="13">
        <f>IFERROR(VLOOKUP(P569,Лист1!A$1:B$20,2,FALSE),0)</f>
        <v>784</v>
      </c>
      <c r="S569" s="13">
        <f t="shared" si="62"/>
        <v>0</v>
      </c>
    </row>
    <row r="570" spans="1:19" x14ac:dyDescent="0.25">
      <c r="A570" s="24" t="s">
        <v>1677</v>
      </c>
      <c r="B570" s="4" t="s">
        <v>1063</v>
      </c>
      <c r="C570" s="25" t="s">
        <v>5</v>
      </c>
      <c r="G570" s="25" t="s">
        <v>1086</v>
      </c>
      <c r="H570" s="24" t="s">
        <v>1061</v>
      </c>
      <c r="I570" s="3" t="str">
        <f>IFERROR(VLOOKUP(C570,'Справочник соответствий'!A$2:D$2981,2,FALSE),IF(VALUE(C570)=0,1,VLOOKUP(C570,'Справочник соответствий'!A$2:D$2981,2,FALSE)))</f>
        <v>1</v>
      </c>
      <c r="J570" s="3">
        <f>IFERROR(VLOOKUP(D570,'Справочник соответствий'!A$2:D$2981,2,FALSE),IF(VALUE(D570)=0,0,VLOOKUP(D570,'Справочник соответствий'!A$2:D$2981,2,FALSE)))</f>
        <v>0</v>
      </c>
      <c r="K570" s="3" t="str">
        <f t="shared" si="56"/>
        <v>1</v>
      </c>
      <c r="L570" s="13" t="str">
        <f>IFERROR(VLOOKUP(C570,'Справочник соответствий'!A$2:D$2981,3,FALSE),IF(VALUE(C570)=0,"ЭТАЖ НЕ ОПРЕДЕЛЕН. ПРИНЯТ ПО ДОПУЩЕНИЮ 1",VLOOKUP(C570,'Справочник соответствий'!A$2:D$2981,3,FALSE)))</f>
        <v>ЭТАЖ ЗАДАН ЧИСЛОМ</v>
      </c>
      <c r="M570" s="13" t="b">
        <f t="shared" si="57"/>
        <v>0</v>
      </c>
      <c r="N570" s="13">
        <f t="shared" si="58"/>
        <v>1</v>
      </c>
      <c r="O570" s="13" t="str">
        <f t="shared" si="59"/>
        <v>ЭТАЖ ЗАДАН ЧИСЛОМ</v>
      </c>
      <c r="P570" s="13" t="str">
        <f t="shared" si="60"/>
        <v>ЭТАЖ ЗАДАН ЧИСЛОМ</v>
      </c>
      <c r="Q570" s="13" t="str">
        <f t="shared" si="61"/>
        <v>ГОТОВ_ИЗМЕНЕН</v>
      </c>
      <c r="R570" s="13">
        <f>IFERROR(VLOOKUP(P570,Лист1!A$1:B$20,2,FALSE),0)</f>
        <v>784</v>
      </c>
      <c r="S570" s="13">
        <f t="shared" si="62"/>
        <v>0</v>
      </c>
    </row>
    <row r="571" spans="1:19" x14ac:dyDescent="0.25">
      <c r="A571" s="24" t="s">
        <v>1678</v>
      </c>
      <c r="B571" s="4" t="s">
        <v>1059</v>
      </c>
      <c r="C571" s="25" t="s">
        <v>5</v>
      </c>
      <c r="G571" s="25" t="s">
        <v>1086</v>
      </c>
      <c r="H571" s="24" t="s">
        <v>1061</v>
      </c>
      <c r="I571" s="3" t="str">
        <f>IFERROR(VLOOKUP(C571,'Справочник соответствий'!A$2:D$2981,2,FALSE),IF(VALUE(C571)=0,1,VLOOKUP(C571,'Справочник соответствий'!A$2:D$2981,2,FALSE)))</f>
        <v>1</v>
      </c>
      <c r="J571" s="3">
        <f>IFERROR(VLOOKUP(D571,'Справочник соответствий'!A$2:D$2981,2,FALSE),IF(VALUE(D571)=0,0,VLOOKUP(D571,'Справочник соответствий'!A$2:D$2981,2,FALSE)))</f>
        <v>0</v>
      </c>
      <c r="K571" s="3" t="str">
        <f t="shared" si="56"/>
        <v>1</v>
      </c>
      <c r="L571" s="13" t="str">
        <f>IFERROR(VLOOKUP(C571,'Справочник соответствий'!A$2:D$2981,3,FALSE),IF(VALUE(C571)=0,"ЭТАЖ НЕ ОПРЕДЕЛЕН. ПРИНЯТ ПО ДОПУЩЕНИЮ 1",VLOOKUP(C571,'Справочник соответствий'!A$2:D$2981,3,FALSE)))</f>
        <v>ЭТАЖ ЗАДАН ЧИСЛОМ</v>
      </c>
      <c r="M571" s="13" t="b">
        <f t="shared" si="57"/>
        <v>0</v>
      </c>
      <c r="N571" s="13">
        <f t="shared" si="58"/>
        <v>1</v>
      </c>
      <c r="O571" s="13" t="str">
        <f t="shared" si="59"/>
        <v>ЭТАЖ ЗАДАН ЧИСЛОМ</v>
      </c>
      <c r="P571" s="13" t="str">
        <f t="shared" si="60"/>
        <v>ЭТАЖ ЗАДАН ЧИСЛОМ</v>
      </c>
      <c r="Q571" s="13" t="str">
        <f t="shared" si="61"/>
        <v>ГОТОВ_ИЗМЕНЕН</v>
      </c>
      <c r="R571" s="13">
        <f>IFERROR(VLOOKUP(P571,Лист1!A$1:B$20,2,FALSE),0)</f>
        <v>784</v>
      </c>
      <c r="S571" s="13">
        <f t="shared" si="62"/>
        <v>0</v>
      </c>
    </row>
    <row r="572" spans="1:19" x14ac:dyDescent="0.25">
      <c r="A572" s="24" t="s">
        <v>1679</v>
      </c>
      <c r="B572" s="4" t="s">
        <v>1063</v>
      </c>
      <c r="C572" s="25" t="s">
        <v>5</v>
      </c>
      <c r="G572" s="25" t="s">
        <v>1680</v>
      </c>
      <c r="H572" s="24" t="s">
        <v>1061</v>
      </c>
      <c r="I572" s="3" t="str">
        <f>IFERROR(VLOOKUP(C572,'Справочник соответствий'!A$2:D$2981,2,FALSE),IF(VALUE(C572)=0,1,VLOOKUP(C572,'Справочник соответствий'!A$2:D$2981,2,FALSE)))</f>
        <v>1</v>
      </c>
      <c r="J572" s="3">
        <f>IFERROR(VLOOKUP(D572,'Справочник соответствий'!A$2:D$2981,2,FALSE),IF(VALUE(D572)=0,0,VLOOKUP(D572,'Справочник соответствий'!A$2:D$2981,2,FALSE)))</f>
        <v>0</v>
      </c>
      <c r="K572" s="3" t="str">
        <f t="shared" si="56"/>
        <v>1</v>
      </c>
      <c r="L572" s="13" t="str">
        <f>IFERROR(VLOOKUP(C572,'Справочник соответствий'!A$2:D$2981,3,FALSE),IF(VALUE(C572)=0,"ЭТАЖ НЕ ОПРЕДЕЛЕН. ПРИНЯТ ПО ДОПУЩЕНИЮ 1",VLOOKUP(C572,'Справочник соответствий'!A$2:D$2981,3,FALSE)))</f>
        <v>ЭТАЖ ЗАДАН ЧИСЛОМ</v>
      </c>
      <c r="M572" s="13" t="b">
        <f t="shared" si="57"/>
        <v>0</v>
      </c>
      <c r="N572" s="13">
        <f t="shared" si="58"/>
        <v>1</v>
      </c>
      <c r="O572" s="13" t="str">
        <f t="shared" si="59"/>
        <v>ЭТАЖ ЗАДАН ЧИСЛОМ</v>
      </c>
      <c r="P572" s="13" t="str">
        <f t="shared" si="60"/>
        <v>ЭТАЖ ЗАДАН ЧИСЛОМ</v>
      </c>
      <c r="Q572" s="13" t="str">
        <f t="shared" si="61"/>
        <v>ГОТОВ_ИЗМЕНЕН</v>
      </c>
      <c r="R572" s="13">
        <f>IFERROR(VLOOKUP(P572,Лист1!A$1:B$20,2,FALSE),0)</f>
        <v>784</v>
      </c>
      <c r="S572" s="13">
        <f t="shared" si="62"/>
        <v>0</v>
      </c>
    </row>
    <row r="573" spans="1:19" x14ac:dyDescent="0.25">
      <c r="A573" s="24" t="s">
        <v>1681</v>
      </c>
      <c r="B573" s="4" t="s">
        <v>1059</v>
      </c>
      <c r="C573" s="25" t="s">
        <v>5</v>
      </c>
      <c r="G573" s="25" t="s">
        <v>1080</v>
      </c>
      <c r="H573" s="24" t="s">
        <v>1061</v>
      </c>
      <c r="I573" s="3" t="str">
        <f>IFERROR(VLOOKUP(C573,'Справочник соответствий'!A$2:D$2981,2,FALSE),IF(VALUE(C573)=0,1,VLOOKUP(C573,'Справочник соответствий'!A$2:D$2981,2,FALSE)))</f>
        <v>1</v>
      </c>
      <c r="J573" s="3">
        <f>IFERROR(VLOOKUP(D573,'Справочник соответствий'!A$2:D$2981,2,FALSE),IF(VALUE(D573)=0,0,VLOOKUP(D573,'Справочник соответствий'!A$2:D$2981,2,FALSE)))</f>
        <v>0</v>
      </c>
      <c r="K573" s="3" t="str">
        <f t="shared" si="56"/>
        <v>1</v>
      </c>
      <c r="L573" s="13" t="str">
        <f>IFERROR(VLOOKUP(C573,'Справочник соответствий'!A$2:D$2981,3,FALSE),IF(VALUE(C573)=0,"ЭТАЖ НЕ ОПРЕДЕЛЕН. ПРИНЯТ ПО ДОПУЩЕНИЮ 1",VLOOKUP(C573,'Справочник соответствий'!A$2:D$2981,3,FALSE)))</f>
        <v>ЭТАЖ ЗАДАН ЧИСЛОМ</v>
      </c>
      <c r="M573" s="13" t="b">
        <f t="shared" si="57"/>
        <v>0</v>
      </c>
      <c r="N573" s="13">
        <f t="shared" si="58"/>
        <v>1</v>
      </c>
      <c r="O573" s="13" t="str">
        <f t="shared" si="59"/>
        <v>ЭТАЖ ЗАДАН ЧИСЛОМ</v>
      </c>
      <c r="P573" s="13" t="str">
        <f t="shared" si="60"/>
        <v>ЭТАЖ ЗАДАН ЧИСЛОМ</v>
      </c>
      <c r="Q573" s="13" t="str">
        <f t="shared" si="61"/>
        <v>ГОТОВ_ИЗМЕНЕН</v>
      </c>
      <c r="R573" s="13">
        <f>IFERROR(VLOOKUP(P573,Лист1!A$1:B$20,2,FALSE),0)</f>
        <v>784</v>
      </c>
      <c r="S573" s="13">
        <f t="shared" si="62"/>
        <v>0</v>
      </c>
    </row>
    <row r="574" spans="1:19" x14ac:dyDescent="0.25">
      <c r="A574" s="24" t="s">
        <v>1682</v>
      </c>
      <c r="B574" s="4" t="s">
        <v>1059</v>
      </c>
      <c r="C574" s="25" t="s">
        <v>5</v>
      </c>
      <c r="G574" s="25" t="s">
        <v>1080</v>
      </c>
      <c r="H574" s="24" t="s">
        <v>1061</v>
      </c>
      <c r="I574" s="3" t="str">
        <f>IFERROR(VLOOKUP(C574,'Справочник соответствий'!A$2:D$2981,2,FALSE),IF(VALUE(C574)=0,1,VLOOKUP(C574,'Справочник соответствий'!A$2:D$2981,2,FALSE)))</f>
        <v>1</v>
      </c>
      <c r="J574" s="3">
        <f>IFERROR(VLOOKUP(D574,'Справочник соответствий'!A$2:D$2981,2,FALSE),IF(VALUE(D574)=0,0,VLOOKUP(D574,'Справочник соответствий'!A$2:D$2981,2,FALSE)))</f>
        <v>0</v>
      </c>
      <c r="K574" s="3" t="str">
        <f t="shared" si="56"/>
        <v>1</v>
      </c>
      <c r="L574" s="13" t="str">
        <f>IFERROR(VLOOKUP(C574,'Справочник соответствий'!A$2:D$2981,3,FALSE),IF(VALUE(C574)=0,"ЭТАЖ НЕ ОПРЕДЕЛЕН. ПРИНЯТ ПО ДОПУЩЕНИЮ 1",VLOOKUP(C574,'Справочник соответствий'!A$2:D$2981,3,FALSE)))</f>
        <v>ЭТАЖ ЗАДАН ЧИСЛОМ</v>
      </c>
      <c r="M574" s="13" t="b">
        <f t="shared" si="57"/>
        <v>0</v>
      </c>
      <c r="N574" s="13">
        <f t="shared" si="58"/>
        <v>1</v>
      </c>
      <c r="O574" s="13" t="str">
        <f t="shared" si="59"/>
        <v>ЭТАЖ ЗАДАН ЧИСЛОМ</v>
      </c>
      <c r="P574" s="13" t="str">
        <f t="shared" si="60"/>
        <v>ЭТАЖ ЗАДАН ЧИСЛОМ</v>
      </c>
      <c r="Q574" s="13" t="str">
        <f t="shared" si="61"/>
        <v>ГОТОВ_ИЗМЕНЕН</v>
      </c>
      <c r="R574" s="13">
        <f>IFERROR(VLOOKUP(P574,Лист1!A$1:B$20,2,FALSE),0)</f>
        <v>784</v>
      </c>
      <c r="S574" s="13">
        <f t="shared" si="62"/>
        <v>0</v>
      </c>
    </row>
    <row r="575" spans="1:19" x14ac:dyDescent="0.25">
      <c r="A575" s="24" t="s">
        <v>1683</v>
      </c>
      <c r="B575" s="4" t="s">
        <v>1059</v>
      </c>
      <c r="C575" s="25" t="s">
        <v>5</v>
      </c>
      <c r="D575" s="25" t="s">
        <v>69</v>
      </c>
      <c r="G575" s="25" t="s">
        <v>1080</v>
      </c>
      <c r="H575" s="24" t="s">
        <v>1061</v>
      </c>
      <c r="I575" s="3" t="str">
        <f>IFERROR(VLOOKUP(C575,'Справочник соответствий'!A$2:D$2981,2,FALSE),IF(VALUE(C575)=0,1,VLOOKUP(C575,'Справочник соответствий'!A$2:D$2981,2,FALSE)))</f>
        <v>1</v>
      </c>
      <c r="J575" s="3" t="str">
        <f>IFERROR(VLOOKUP(D575,'Справочник соответствий'!A$2:D$2981,2,FALSE),IF(VALUE(D575)=0,0,VLOOKUP(D575,'Справочник соответствий'!A$2:D$2981,2,FALSE)))</f>
        <v>1</v>
      </c>
      <c r="K575" s="3" t="str">
        <f t="shared" si="56"/>
        <v>1</v>
      </c>
      <c r="L575" s="13" t="str">
        <f>IFERROR(VLOOKUP(C575,'Справочник соответствий'!A$2:D$2981,3,FALSE),IF(VALUE(C575)=0,"ЭТАЖ НЕ ОПРЕДЕЛЕН. ПРИНЯТ ПО ДОПУЩЕНИЮ 1",VLOOKUP(C575,'Справочник соответствий'!A$2:D$2981,3,FALSE)))</f>
        <v>ЭТАЖ ЗАДАН ЧИСЛОМ</v>
      </c>
      <c r="M575" s="13" t="b">
        <f t="shared" si="57"/>
        <v>0</v>
      </c>
      <c r="N575" s="13">
        <f t="shared" si="58"/>
        <v>1</v>
      </c>
      <c r="O575" s="13" t="str">
        <f t="shared" si="59"/>
        <v>ЭТАЖ ЗАДАН ЧИСЛОМ</v>
      </c>
      <c r="P575" s="13" t="str">
        <f t="shared" si="60"/>
        <v>ЭТАЖ ЗАДАН ЧИСЛОМ</v>
      </c>
      <c r="Q575" s="13" t="str">
        <f t="shared" si="61"/>
        <v>ГОТОВ_ИЗМЕНЕН</v>
      </c>
      <c r="R575" s="13">
        <f>IFERROR(VLOOKUP(P575,Лист1!A$1:B$20,2,FALSE),0)</f>
        <v>784</v>
      </c>
      <c r="S575" s="13">
        <f t="shared" si="62"/>
        <v>0</v>
      </c>
    </row>
    <row r="576" spans="1:19" x14ac:dyDescent="0.25">
      <c r="A576" s="24" t="s">
        <v>1684</v>
      </c>
      <c r="B576" s="4" t="s">
        <v>1059</v>
      </c>
      <c r="C576" s="25" t="s">
        <v>5</v>
      </c>
      <c r="G576" s="25" t="s">
        <v>1080</v>
      </c>
      <c r="H576" s="24" t="s">
        <v>1061</v>
      </c>
      <c r="I576" s="3" t="str">
        <f>IFERROR(VLOOKUP(C576,'Справочник соответствий'!A$2:D$2981,2,FALSE),IF(VALUE(C576)=0,1,VLOOKUP(C576,'Справочник соответствий'!A$2:D$2981,2,FALSE)))</f>
        <v>1</v>
      </c>
      <c r="J576" s="3">
        <f>IFERROR(VLOOKUP(D576,'Справочник соответствий'!A$2:D$2981,2,FALSE),IF(VALUE(D576)=0,0,VLOOKUP(D576,'Справочник соответствий'!A$2:D$2981,2,FALSE)))</f>
        <v>0</v>
      </c>
      <c r="K576" s="3" t="str">
        <f t="shared" si="56"/>
        <v>1</v>
      </c>
      <c r="L576" s="13" t="str">
        <f>IFERROR(VLOOKUP(C576,'Справочник соответствий'!A$2:D$2981,3,FALSE),IF(VALUE(C576)=0,"ЭТАЖ НЕ ОПРЕДЕЛЕН. ПРИНЯТ ПО ДОПУЩЕНИЮ 1",VLOOKUP(C576,'Справочник соответствий'!A$2:D$2981,3,FALSE)))</f>
        <v>ЭТАЖ ЗАДАН ЧИСЛОМ</v>
      </c>
      <c r="M576" s="13" t="b">
        <f t="shared" si="57"/>
        <v>0</v>
      </c>
      <c r="N576" s="13">
        <f t="shared" si="58"/>
        <v>1</v>
      </c>
      <c r="O576" s="13" t="str">
        <f t="shared" si="59"/>
        <v>ЭТАЖ ЗАДАН ЧИСЛОМ</v>
      </c>
      <c r="P576" s="13" t="str">
        <f t="shared" si="60"/>
        <v>ЭТАЖ ЗАДАН ЧИСЛОМ</v>
      </c>
      <c r="Q576" s="13" t="str">
        <f t="shared" si="61"/>
        <v>ГОТОВ_ИЗМЕНЕН</v>
      </c>
      <c r="R576" s="13">
        <f>IFERROR(VLOOKUP(P576,Лист1!A$1:B$20,2,FALSE),0)</f>
        <v>784</v>
      </c>
      <c r="S576" s="13">
        <f t="shared" si="62"/>
        <v>0</v>
      </c>
    </row>
    <row r="577" spans="1:19" x14ac:dyDescent="0.25">
      <c r="A577" s="24" t="s">
        <v>1685</v>
      </c>
      <c r="B577" s="4" t="s">
        <v>1063</v>
      </c>
      <c r="C577" s="25" t="s">
        <v>5</v>
      </c>
      <c r="G577" s="25" t="s">
        <v>1080</v>
      </c>
      <c r="H577" s="24" t="s">
        <v>1061</v>
      </c>
      <c r="I577" s="3" t="str">
        <f>IFERROR(VLOOKUP(C577,'Справочник соответствий'!A$2:D$2981,2,FALSE),IF(VALUE(C577)=0,1,VLOOKUP(C577,'Справочник соответствий'!A$2:D$2981,2,FALSE)))</f>
        <v>1</v>
      </c>
      <c r="J577" s="3">
        <f>IFERROR(VLOOKUP(D577,'Справочник соответствий'!A$2:D$2981,2,FALSE),IF(VALUE(D577)=0,0,VLOOKUP(D577,'Справочник соответствий'!A$2:D$2981,2,FALSE)))</f>
        <v>0</v>
      </c>
      <c r="K577" s="3" t="str">
        <f t="shared" si="56"/>
        <v>1</v>
      </c>
      <c r="L577" s="13" t="str">
        <f>IFERROR(VLOOKUP(C577,'Справочник соответствий'!A$2:D$2981,3,FALSE),IF(VALUE(C577)=0,"ЭТАЖ НЕ ОПРЕДЕЛЕН. ПРИНЯТ ПО ДОПУЩЕНИЮ 1",VLOOKUP(C577,'Справочник соответствий'!A$2:D$2981,3,FALSE)))</f>
        <v>ЭТАЖ ЗАДАН ЧИСЛОМ</v>
      </c>
      <c r="M577" s="13" t="b">
        <f t="shared" si="57"/>
        <v>0</v>
      </c>
      <c r="N577" s="13">
        <f t="shared" si="58"/>
        <v>1</v>
      </c>
      <c r="O577" s="13" t="str">
        <f t="shared" si="59"/>
        <v>ЭТАЖ ЗАДАН ЧИСЛОМ</v>
      </c>
      <c r="P577" s="13" t="str">
        <f t="shared" si="60"/>
        <v>ЭТАЖ ЗАДАН ЧИСЛОМ</v>
      </c>
      <c r="Q577" s="13" t="str">
        <f t="shared" si="61"/>
        <v>ГОТОВ_ИЗМЕНЕН</v>
      </c>
      <c r="R577" s="13">
        <f>IFERROR(VLOOKUP(P577,Лист1!A$1:B$20,2,FALSE),0)</f>
        <v>784</v>
      </c>
      <c r="S577" s="13">
        <f t="shared" si="62"/>
        <v>0</v>
      </c>
    </row>
    <row r="578" spans="1:19" x14ac:dyDescent="0.25">
      <c r="A578" s="24" t="s">
        <v>1686</v>
      </c>
      <c r="B578" s="4" t="s">
        <v>1059</v>
      </c>
      <c r="C578" s="25" t="s">
        <v>5</v>
      </c>
      <c r="G578" s="25" t="s">
        <v>1080</v>
      </c>
      <c r="H578" s="24" t="s">
        <v>1061</v>
      </c>
      <c r="I578" s="3" t="str">
        <f>IFERROR(VLOOKUP(C578,'Справочник соответствий'!A$2:D$2981,2,FALSE),IF(VALUE(C578)=0,1,VLOOKUP(C578,'Справочник соответствий'!A$2:D$2981,2,FALSE)))</f>
        <v>1</v>
      </c>
      <c r="J578" s="3">
        <f>IFERROR(VLOOKUP(D578,'Справочник соответствий'!A$2:D$2981,2,FALSE),IF(VALUE(D578)=0,0,VLOOKUP(D578,'Справочник соответствий'!A$2:D$2981,2,FALSE)))</f>
        <v>0</v>
      </c>
      <c r="K578" s="3" t="str">
        <f t="shared" si="56"/>
        <v>1</v>
      </c>
      <c r="L578" s="13" t="str">
        <f>IFERROR(VLOOKUP(C578,'Справочник соответствий'!A$2:D$2981,3,FALSE),IF(VALUE(C578)=0,"ЭТАЖ НЕ ОПРЕДЕЛЕН. ПРИНЯТ ПО ДОПУЩЕНИЮ 1",VLOOKUP(C578,'Справочник соответствий'!A$2:D$2981,3,FALSE)))</f>
        <v>ЭТАЖ ЗАДАН ЧИСЛОМ</v>
      </c>
      <c r="M578" s="13" t="b">
        <f t="shared" si="57"/>
        <v>0</v>
      </c>
      <c r="N578" s="13">
        <f t="shared" si="58"/>
        <v>1</v>
      </c>
      <c r="O578" s="13" t="str">
        <f t="shared" si="59"/>
        <v>ЭТАЖ ЗАДАН ЧИСЛОМ</v>
      </c>
      <c r="P578" s="13" t="str">
        <f t="shared" si="60"/>
        <v>ЭТАЖ ЗАДАН ЧИСЛОМ</v>
      </c>
      <c r="Q578" s="13" t="str">
        <f t="shared" si="61"/>
        <v>ГОТОВ_ИЗМЕНЕН</v>
      </c>
      <c r="R578" s="13">
        <f>IFERROR(VLOOKUP(P578,Лист1!A$1:B$20,2,FALSE),0)</f>
        <v>784</v>
      </c>
      <c r="S578" s="13">
        <f t="shared" si="62"/>
        <v>0</v>
      </c>
    </row>
    <row r="579" spans="1:19" x14ac:dyDescent="0.25">
      <c r="A579" s="24" t="s">
        <v>1687</v>
      </c>
      <c r="B579" s="4" t="s">
        <v>1059</v>
      </c>
      <c r="C579" s="25" t="s">
        <v>7</v>
      </c>
      <c r="G579" s="25" t="s">
        <v>1080</v>
      </c>
      <c r="H579" s="24" t="s">
        <v>1061</v>
      </c>
      <c r="I579" s="3" t="str">
        <f>IFERROR(VLOOKUP(C579,'Справочник соответствий'!A$2:D$2981,2,FALSE),IF(VALUE(C579)=0,1,VLOOKUP(C579,'Справочник соответствий'!A$2:D$2981,2,FALSE)))</f>
        <v>2</v>
      </c>
      <c r="J579" s="3">
        <f>IFERROR(VLOOKUP(D579,'Справочник соответствий'!A$2:D$2981,2,FALSE),IF(VALUE(D579)=0,0,VLOOKUP(D579,'Справочник соответствий'!A$2:D$2981,2,FALSE)))</f>
        <v>0</v>
      </c>
      <c r="K579" s="3" t="str">
        <f t="shared" si="56"/>
        <v>2</v>
      </c>
      <c r="L579" s="13" t="str">
        <f>IFERROR(VLOOKUP(C579,'Справочник соответствий'!A$2:D$2981,3,FALSE),IF(VALUE(C579)=0,"ЭТАЖ НЕ ОПРЕДЕЛЕН. ПРИНЯТ ПО ДОПУЩЕНИЮ 1",VLOOKUP(C579,'Справочник соответствий'!A$2:D$2981,3,FALSE)))</f>
        <v>ЭТАЖ ЗАДАН ЧИСЛОМ</v>
      </c>
      <c r="M579" s="13" t="b">
        <f t="shared" si="57"/>
        <v>0</v>
      </c>
      <c r="N579" s="13">
        <f t="shared" si="58"/>
        <v>2</v>
      </c>
      <c r="O579" s="13" t="str">
        <f t="shared" si="59"/>
        <v>ЭТАЖ ЗАДАН ЧИСЛОМ</v>
      </c>
      <c r="P579" s="13" t="str">
        <f t="shared" si="60"/>
        <v>ЭТАЖ ЗАДАН ЧИСЛОМ</v>
      </c>
      <c r="Q579" s="13" t="str">
        <f t="shared" si="61"/>
        <v>ГОТОВ_ИЗМЕНЕН</v>
      </c>
      <c r="R579" s="13">
        <f>IFERROR(VLOOKUP(P579,Лист1!A$1:B$20,2,FALSE),0)</f>
        <v>784</v>
      </c>
      <c r="S579" s="13">
        <f t="shared" si="62"/>
        <v>0</v>
      </c>
    </row>
    <row r="580" spans="1:19" x14ac:dyDescent="0.25">
      <c r="A580" s="24" t="s">
        <v>1688</v>
      </c>
      <c r="B580" s="4" t="s">
        <v>1063</v>
      </c>
      <c r="C580" s="25" t="s">
        <v>7</v>
      </c>
      <c r="G580" s="25" t="s">
        <v>1080</v>
      </c>
      <c r="H580" s="24" t="s">
        <v>1061</v>
      </c>
      <c r="I580" s="3" t="str">
        <f>IFERROR(VLOOKUP(C580,'Справочник соответствий'!A$2:D$2981,2,FALSE),IF(VALUE(C580)=0,1,VLOOKUP(C580,'Справочник соответствий'!A$2:D$2981,2,FALSE)))</f>
        <v>2</v>
      </c>
      <c r="J580" s="3">
        <f>IFERROR(VLOOKUP(D580,'Справочник соответствий'!A$2:D$2981,2,FALSE),IF(VALUE(D580)=0,0,VLOOKUP(D580,'Справочник соответствий'!A$2:D$2981,2,FALSE)))</f>
        <v>0</v>
      </c>
      <c r="K580" s="3" t="str">
        <f t="shared" si="56"/>
        <v>2</v>
      </c>
      <c r="L580" s="13" t="str">
        <f>IFERROR(VLOOKUP(C580,'Справочник соответствий'!A$2:D$2981,3,FALSE),IF(VALUE(C580)=0,"ЭТАЖ НЕ ОПРЕДЕЛЕН. ПРИНЯТ ПО ДОПУЩЕНИЮ 1",VLOOKUP(C580,'Справочник соответствий'!A$2:D$2981,3,FALSE)))</f>
        <v>ЭТАЖ ЗАДАН ЧИСЛОМ</v>
      </c>
      <c r="M580" s="13" t="b">
        <f t="shared" si="57"/>
        <v>0</v>
      </c>
      <c r="N580" s="13">
        <f t="shared" si="58"/>
        <v>2</v>
      </c>
      <c r="O580" s="13" t="str">
        <f t="shared" si="59"/>
        <v>ЭТАЖ ЗАДАН ЧИСЛОМ</v>
      </c>
      <c r="P580" s="13" t="str">
        <f t="shared" si="60"/>
        <v>ЭТАЖ ЗАДАН ЧИСЛОМ</v>
      </c>
      <c r="Q580" s="13" t="str">
        <f t="shared" si="61"/>
        <v>ГОТОВ_ИЗМЕНЕН</v>
      </c>
      <c r="R580" s="13">
        <f>IFERROR(VLOOKUP(P580,Лист1!A$1:B$20,2,FALSE),0)</f>
        <v>784</v>
      </c>
      <c r="S580" s="13">
        <f t="shared" si="62"/>
        <v>0</v>
      </c>
    </row>
    <row r="581" spans="1:19" x14ac:dyDescent="0.25">
      <c r="A581" s="24" t="s">
        <v>1689</v>
      </c>
      <c r="B581" s="4" t="s">
        <v>1059</v>
      </c>
      <c r="C581" s="25" t="s">
        <v>5</v>
      </c>
      <c r="G581" s="25" t="s">
        <v>1080</v>
      </c>
      <c r="H581" s="24" t="s">
        <v>1061</v>
      </c>
      <c r="I581" s="3" t="str">
        <f>IFERROR(VLOOKUP(C581,'Справочник соответствий'!A$2:D$2981,2,FALSE),IF(VALUE(C581)=0,1,VLOOKUP(C581,'Справочник соответствий'!A$2:D$2981,2,FALSE)))</f>
        <v>1</v>
      </c>
      <c r="J581" s="3">
        <f>IFERROR(VLOOKUP(D581,'Справочник соответствий'!A$2:D$2981,2,FALSE),IF(VALUE(D581)=0,0,VLOOKUP(D581,'Справочник соответствий'!A$2:D$2981,2,FALSE)))</f>
        <v>0</v>
      </c>
      <c r="K581" s="3" t="str">
        <f t="shared" ref="K581:K644" si="63">IF(B581="Многоквартирный дом",IF(I581-J581&gt;0,I581-J581,1),I581)</f>
        <v>1</v>
      </c>
      <c r="L581" s="13" t="str">
        <f>IFERROR(VLOOKUP(C581,'Справочник соответствий'!A$2:D$2981,3,FALSE),IF(VALUE(C581)=0,"ЭТАЖ НЕ ОПРЕДЕЛЕН. ПРИНЯТ ПО ДОПУЩЕНИЮ 1",VLOOKUP(C581,'Справочник соответствий'!A$2:D$2981,3,FALSE)))</f>
        <v>ЭТАЖ ЗАДАН ЧИСЛОМ</v>
      </c>
      <c r="M581" s="13" t="b">
        <f t="shared" ref="M581:M644" si="64">I581=E581</f>
        <v>0</v>
      </c>
      <c r="N581" s="13">
        <f t="shared" ref="N581:N644" si="65">IF(VALUE(E581)=0,VALUE(K581),IF(L581="ЭТАЖ НЕ ОПРЕДЕЛЕН. ПРИНЯТ ПО ДОПУЩЕНИЮ 1",VALUE(E581),VALUE(K581)))</f>
        <v>1</v>
      </c>
      <c r="O581" s="13" t="str">
        <f t="shared" ref="O581:O644" si="66">IF(VALUE(E581)=0,L581,IF(L581="ЭТАЖ НЕ ОПРЕДЕЛЕН. ПРИНЯТ ПО ДОПУЩЕНИЮ 1",F581,L581))</f>
        <v>ЭТАЖ ЗАДАН ЧИСЛОМ</v>
      </c>
      <c r="P581" s="13" t="str">
        <f t="shared" ref="P581:P644" si="67">IF(B581="Многоквартирный дом",CONCATENATE("МКД_",O581),O581)</f>
        <v>ЭТАЖ ЗАДАН ЧИСЛОМ</v>
      </c>
      <c r="Q581" s="13" t="str">
        <f t="shared" ref="Q581:Q644" si="68">IFERROR(IF(N581&gt;0,IF(N581=VALUE(E581),"ГОТОВ","ГОТОВ_ИЗМЕНЕН"),"НЕ ГОТОВ"),"НЕ ГОТОВ")</f>
        <v>ГОТОВ_ИЗМЕНЕН</v>
      </c>
      <c r="R581" s="13">
        <f>IFERROR(VLOOKUP(P581,Лист1!A$1:B$20,2,FALSE),0)</f>
        <v>784</v>
      </c>
      <c r="S581" s="13">
        <f t="shared" ref="S581:S644" si="69">VALUE(E581)</f>
        <v>0</v>
      </c>
    </row>
    <row r="582" spans="1:19" x14ac:dyDescent="0.25">
      <c r="A582" s="24" t="s">
        <v>1690</v>
      </c>
      <c r="B582" s="4" t="s">
        <v>1059</v>
      </c>
      <c r="C582" s="25" t="s">
        <v>5</v>
      </c>
      <c r="G582" s="25" t="s">
        <v>1072</v>
      </c>
      <c r="H582" s="24" t="s">
        <v>1061</v>
      </c>
      <c r="I582" s="3" t="str">
        <f>IFERROR(VLOOKUP(C582,'Справочник соответствий'!A$2:D$2981,2,FALSE),IF(VALUE(C582)=0,1,VLOOKUP(C582,'Справочник соответствий'!A$2:D$2981,2,FALSE)))</f>
        <v>1</v>
      </c>
      <c r="J582" s="3">
        <f>IFERROR(VLOOKUP(D582,'Справочник соответствий'!A$2:D$2981,2,FALSE),IF(VALUE(D582)=0,0,VLOOKUP(D582,'Справочник соответствий'!A$2:D$2981,2,FALSE)))</f>
        <v>0</v>
      </c>
      <c r="K582" s="3" t="str">
        <f t="shared" si="63"/>
        <v>1</v>
      </c>
      <c r="L582" s="13" t="str">
        <f>IFERROR(VLOOKUP(C582,'Справочник соответствий'!A$2:D$2981,3,FALSE),IF(VALUE(C582)=0,"ЭТАЖ НЕ ОПРЕДЕЛЕН. ПРИНЯТ ПО ДОПУЩЕНИЮ 1",VLOOKUP(C582,'Справочник соответствий'!A$2:D$2981,3,FALSE)))</f>
        <v>ЭТАЖ ЗАДАН ЧИСЛОМ</v>
      </c>
      <c r="M582" s="13" t="b">
        <f t="shared" si="64"/>
        <v>0</v>
      </c>
      <c r="N582" s="13">
        <f t="shared" si="65"/>
        <v>1</v>
      </c>
      <c r="O582" s="13" t="str">
        <f t="shared" si="66"/>
        <v>ЭТАЖ ЗАДАН ЧИСЛОМ</v>
      </c>
      <c r="P582" s="13" t="str">
        <f t="shared" si="67"/>
        <v>ЭТАЖ ЗАДАН ЧИСЛОМ</v>
      </c>
      <c r="Q582" s="13" t="str">
        <f t="shared" si="68"/>
        <v>ГОТОВ_ИЗМЕНЕН</v>
      </c>
      <c r="R582" s="13">
        <f>IFERROR(VLOOKUP(P582,Лист1!A$1:B$20,2,FALSE),0)</f>
        <v>784</v>
      </c>
      <c r="S582" s="13">
        <f t="shared" si="69"/>
        <v>0</v>
      </c>
    </row>
    <row r="583" spans="1:19" x14ac:dyDescent="0.25">
      <c r="A583" s="24" t="s">
        <v>1691</v>
      </c>
      <c r="B583" s="4" t="s">
        <v>1063</v>
      </c>
      <c r="C583" s="25" t="s">
        <v>5</v>
      </c>
      <c r="G583" s="25" t="s">
        <v>1072</v>
      </c>
      <c r="H583" s="24" t="s">
        <v>1061</v>
      </c>
      <c r="I583" s="3" t="str">
        <f>IFERROR(VLOOKUP(C583,'Справочник соответствий'!A$2:D$2981,2,FALSE),IF(VALUE(C583)=0,1,VLOOKUP(C583,'Справочник соответствий'!A$2:D$2981,2,FALSE)))</f>
        <v>1</v>
      </c>
      <c r="J583" s="3">
        <f>IFERROR(VLOOKUP(D583,'Справочник соответствий'!A$2:D$2981,2,FALSE),IF(VALUE(D583)=0,0,VLOOKUP(D583,'Справочник соответствий'!A$2:D$2981,2,FALSE)))</f>
        <v>0</v>
      </c>
      <c r="K583" s="3" t="str">
        <f t="shared" si="63"/>
        <v>1</v>
      </c>
      <c r="L583" s="13" t="str">
        <f>IFERROR(VLOOKUP(C583,'Справочник соответствий'!A$2:D$2981,3,FALSE),IF(VALUE(C583)=0,"ЭТАЖ НЕ ОПРЕДЕЛЕН. ПРИНЯТ ПО ДОПУЩЕНИЮ 1",VLOOKUP(C583,'Справочник соответствий'!A$2:D$2981,3,FALSE)))</f>
        <v>ЭТАЖ ЗАДАН ЧИСЛОМ</v>
      </c>
      <c r="M583" s="13" t="b">
        <f t="shared" si="64"/>
        <v>0</v>
      </c>
      <c r="N583" s="13">
        <f t="shared" si="65"/>
        <v>1</v>
      </c>
      <c r="O583" s="13" t="str">
        <f t="shared" si="66"/>
        <v>ЭТАЖ ЗАДАН ЧИСЛОМ</v>
      </c>
      <c r="P583" s="13" t="str">
        <f t="shared" si="67"/>
        <v>ЭТАЖ ЗАДАН ЧИСЛОМ</v>
      </c>
      <c r="Q583" s="13" t="str">
        <f t="shared" si="68"/>
        <v>ГОТОВ_ИЗМЕНЕН</v>
      </c>
      <c r="R583" s="13">
        <f>IFERROR(VLOOKUP(P583,Лист1!A$1:B$20,2,FALSE),0)</f>
        <v>784</v>
      </c>
      <c r="S583" s="13">
        <f t="shared" si="69"/>
        <v>0</v>
      </c>
    </row>
    <row r="584" spans="1:19" x14ac:dyDescent="0.25">
      <c r="A584" s="24" t="s">
        <v>1692</v>
      </c>
      <c r="B584" s="4" t="s">
        <v>1059</v>
      </c>
      <c r="C584" s="25" t="s">
        <v>5</v>
      </c>
      <c r="G584" s="25" t="s">
        <v>1072</v>
      </c>
      <c r="H584" s="24" t="s">
        <v>1061</v>
      </c>
      <c r="I584" s="3" t="str">
        <f>IFERROR(VLOOKUP(C584,'Справочник соответствий'!A$2:D$2981,2,FALSE),IF(VALUE(C584)=0,1,VLOOKUP(C584,'Справочник соответствий'!A$2:D$2981,2,FALSE)))</f>
        <v>1</v>
      </c>
      <c r="J584" s="3">
        <f>IFERROR(VLOOKUP(D584,'Справочник соответствий'!A$2:D$2981,2,FALSE),IF(VALUE(D584)=0,0,VLOOKUP(D584,'Справочник соответствий'!A$2:D$2981,2,FALSE)))</f>
        <v>0</v>
      </c>
      <c r="K584" s="3" t="str">
        <f t="shared" si="63"/>
        <v>1</v>
      </c>
      <c r="L584" s="13" t="str">
        <f>IFERROR(VLOOKUP(C584,'Справочник соответствий'!A$2:D$2981,3,FALSE),IF(VALUE(C584)=0,"ЭТАЖ НЕ ОПРЕДЕЛЕН. ПРИНЯТ ПО ДОПУЩЕНИЮ 1",VLOOKUP(C584,'Справочник соответствий'!A$2:D$2981,3,FALSE)))</f>
        <v>ЭТАЖ ЗАДАН ЧИСЛОМ</v>
      </c>
      <c r="M584" s="13" t="b">
        <f t="shared" si="64"/>
        <v>0</v>
      </c>
      <c r="N584" s="13">
        <f t="shared" si="65"/>
        <v>1</v>
      </c>
      <c r="O584" s="13" t="str">
        <f t="shared" si="66"/>
        <v>ЭТАЖ ЗАДАН ЧИСЛОМ</v>
      </c>
      <c r="P584" s="13" t="str">
        <f t="shared" si="67"/>
        <v>ЭТАЖ ЗАДАН ЧИСЛОМ</v>
      </c>
      <c r="Q584" s="13" t="str">
        <f t="shared" si="68"/>
        <v>ГОТОВ_ИЗМЕНЕН</v>
      </c>
      <c r="R584" s="13">
        <f>IFERROR(VLOOKUP(P584,Лист1!A$1:B$20,2,FALSE),0)</f>
        <v>784</v>
      </c>
      <c r="S584" s="13">
        <f t="shared" si="69"/>
        <v>0</v>
      </c>
    </row>
    <row r="585" spans="1:19" x14ac:dyDescent="0.25">
      <c r="A585" s="24" t="s">
        <v>1693</v>
      </c>
      <c r="B585" s="4" t="s">
        <v>1059</v>
      </c>
      <c r="C585" s="25" t="s">
        <v>7</v>
      </c>
      <c r="G585" s="25" t="s">
        <v>1072</v>
      </c>
      <c r="H585" s="24" t="s">
        <v>1061</v>
      </c>
      <c r="I585" s="3" t="str">
        <f>IFERROR(VLOOKUP(C585,'Справочник соответствий'!A$2:D$2981,2,FALSE),IF(VALUE(C585)=0,1,VLOOKUP(C585,'Справочник соответствий'!A$2:D$2981,2,FALSE)))</f>
        <v>2</v>
      </c>
      <c r="J585" s="3">
        <f>IFERROR(VLOOKUP(D585,'Справочник соответствий'!A$2:D$2981,2,FALSE),IF(VALUE(D585)=0,0,VLOOKUP(D585,'Справочник соответствий'!A$2:D$2981,2,FALSE)))</f>
        <v>0</v>
      </c>
      <c r="K585" s="3" t="str">
        <f t="shared" si="63"/>
        <v>2</v>
      </c>
      <c r="L585" s="13" t="str">
        <f>IFERROR(VLOOKUP(C585,'Справочник соответствий'!A$2:D$2981,3,FALSE),IF(VALUE(C585)=0,"ЭТАЖ НЕ ОПРЕДЕЛЕН. ПРИНЯТ ПО ДОПУЩЕНИЮ 1",VLOOKUP(C585,'Справочник соответствий'!A$2:D$2981,3,FALSE)))</f>
        <v>ЭТАЖ ЗАДАН ЧИСЛОМ</v>
      </c>
      <c r="M585" s="13" t="b">
        <f t="shared" si="64"/>
        <v>0</v>
      </c>
      <c r="N585" s="13">
        <f t="shared" si="65"/>
        <v>2</v>
      </c>
      <c r="O585" s="13" t="str">
        <f t="shared" si="66"/>
        <v>ЭТАЖ ЗАДАН ЧИСЛОМ</v>
      </c>
      <c r="P585" s="13" t="str">
        <f t="shared" si="67"/>
        <v>ЭТАЖ ЗАДАН ЧИСЛОМ</v>
      </c>
      <c r="Q585" s="13" t="str">
        <f t="shared" si="68"/>
        <v>ГОТОВ_ИЗМЕНЕН</v>
      </c>
      <c r="R585" s="13">
        <f>IFERROR(VLOOKUP(P585,Лист1!A$1:B$20,2,FALSE),0)</f>
        <v>784</v>
      </c>
      <c r="S585" s="13">
        <f t="shared" si="69"/>
        <v>0</v>
      </c>
    </row>
    <row r="586" spans="1:19" x14ac:dyDescent="0.25">
      <c r="A586" s="24" t="s">
        <v>1694</v>
      </c>
      <c r="B586" s="4" t="s">
        <v>1031</v>
      </c>
      <c r="C586" s="25" t="s">
        <v>7</v>
      </c>
      <c r="G586" s="25" t="s">
        <v>1347</v>
      </c>
      <c r="H586" s="24" t="s">
        <v>1061</v>
      </c>
      <c r="I586" s="3" t="str">
        <f>IFERROR(VLOOKUP(C586,'Справочник соответствий'!A$2:D$2981,2,FALSE),IF(VALUE(C586)=0,1,VLOOKUP(C586,'Справочник соответствий'!A$2:D$2981,2,FALSE)))</f>
        <v>2</v>
      </c>
      <c r="J586" s="3">
        <f>IFERROR(VLOOKUP(D586,'Справочник соответствий'!A$2:D$2981,2,FALSE),IF(VALUE(D586)=0,0,VLOOKUP(D586,'Справочник соответствий'!A$2:D$2981,2,FALSE)))</f>
        <v>0</v>
      </c>
      <c r="K586" s="3">
        <f t="shared" si="63"/>
        <v>2</v>
      </c>
      <c r="L586" s="13" t="str">
        <f>IFERROR(VLOOKUP(C586,'Справочник соответствий'!A$2:D$2981,3,FALSE),IF(VALUE(C586)=0,"ЭТАЖ НЕ ОПРЕДЕЛЕН. ПРИНЯТ ПО ДОПУЩЕНИЮ 1",VLOOKUP(C586,'Справочник соответствий'!A$2:D$2981,3,FALSE)))</f>
        <v>ЭТАЖ ЗАДАН ЧИСЛОМ</v>
      </c>
      <c r="M586" s="13" t="b">
        <f t="shared" si="64"/>
        <v>0</v>
      </c>
      <c r="N586" s="13">
        <f t="shared" si="65"/>
        <v>2</v>
      </c>
      <c r="O586" s="13" t="str">
        <f t="shared" si="66"/>
        <v>ЭТАЖ ЗАДАН ЧИСЛОМ</v>
      </c>
      <c r="P586" s="13" t="str">
        <f t="shared" si="67"/>
        <v>МКД_ЭТАЖ ЗАДАН ЧИСЛОМ</v>
      </c>
      <c r="Q586" s="13" t="str">
        <f t="shared" si="68"/>
        <v>ГОТОВ_ИЗМЕНЕН</v>
      </c>
      <c r="R586" s="13">
        <f>IFERROR(VLOOKUP(P586,Лист1!A$1:B$20,2,FALSE),0)</f>
        <v>786</v>
      </c>
      <c r="S586" s="13">
        <f t="shared" si="69"/>
        <v>0</v>
      </c>
    </row>
    <row r="587" spans="1:19" x14ac:dyDescent="0.25">
      <c r="A587" s="24" t="s">
        <v>1695</v>
      </c>
      <c r="B587" s="4" t="s">
        <v>1059</v>
      </c>
      <c r="C587" s="25" t="s">
        <v>7</v>
      </c>
      <c r="G587" s="25" t="s">
        <v>1089</v>
      </c>
      <c r="H587" s="24" t="s">
        <v>1061</v>
      </c>
      <c r="I587" s="3" t="str">
        <f>IFERROR(VLOOKUP(C587,'Справочник соответствий'!A$2:D$2981,2,FALSE),IF(VALUE(C587)=0,1,VLOOKUP(C587,'Справочник соответствий'!A$2:D$2981,2,FALSE)))</f>
        <v>2</v>
      </c>
      <c r="J587" s="3">
        <f>IFERROR(VLOOKUP(D587,'Справочник соответствий'!A$2:D$2981,2,FALSE),IF(VALUE(D587)=0,0,VLOOKUP(D587,'Справочник соответствий'!A$2:D$2981,2,FALSE)))</f>
        <v>0</v>
      </c>
      <c r="K587" s="3" t="str">
        <f t="shared" si="63"/>
        <v>2</v>
      </c>
      <c r="L587" s="13" t="str">
        <f>IFERROR(VLOOKUP(C587,'Справочник соответствий'!A$2:D$2981,3,FALSE),IF(VALUE(C587)=0,"ЭТАЖ НЕ ОПРЕДЕЛЕН. ПРИНЯТ ПО ДОПУЩЕНИЮ 1",VLOOKUP(C587,'Справочник соответствий'!A$2:D$2981,3,FALSE)))</f>
        <v>ЭТАЖ ЗАДАН ЧИСЛОМ</v>
      </c>
      <c r="M587" s="13" t="b">
        <f t="shared" si="64"/>
        <v>0</v>
      </c>
      <c r="N587" s="13">
        <f t="shared" si="65"/>
        <v>2</v>
      </c>
      <c r="O587" s="13" t="str">
        <f t="shared" si="66"/>
        <v>ЭТАЖ ЗАДАН ЧИСЛОМ</v>
      </c>
      <c r="P587" s="13" t="str">
        <f t="shared" si="67"/>
        <v>ЭТАЖ ЗАДАН ЧИСЛОМ</v>
      </c>
      <c r="Q587" s="13" t="str">
        <f t="shared" si="68"/>
        <v>ГОТОВ_ИЗМЕНЕН</v>
      </c>
      <c r="R587" s="13">
        <f>IFERROR(VLOOKUP(P587,Лист1!A$1:B$20,2,FALSE),0)</f>
        <v>784</v>
      </c>
      <c r="S587" s="13">
        <f t="shared" si="69"/>
        <v>0</v>
      </c>
    </row>
    <row r="588" spans="1:19" x14ac:dyDescent="0.25">
      <c r="A588" s="24" t="s">
        <v>1696</v>
      </c>
      <c r="B588" s="4" t="s">
        <v>1059</v>
      </c>
      <c r="C588" s="25" t="s">
        <v>7</v>
      </c>
      <c r="G588" s="25" t="s">
        <v>1072</v>
      </c>
      <c r="H588" s="24" t="s">
        <v>1061</v>
      </c>
      <c r="I588" s="3" t="str">
        <f>IFERROR(VLOOKUP(C588,'Справочник соответствий'!A$2:D$2981,2,FALSE),IF(VALUE(C588)=0,1,VLOOKUP(C588,'Справочник соответствий'!A$2:D$2981,2,FALSE)))</f>
        <v>2</v>
      </c>
      <c r="J588" s="3">
        <f>IFERROR(VLOOKUP(D588,'Справочник соответствий'!A$2:D$2981,2,FALSE),IF(VALUE(D588)=0,0,VLOOKUP(D588,'Справочник соответствий'!A$2:D$2981,2,FALSE)))</f>
        <v>0</v>
      </c>
      <c r="K588" s="3" t="str">
        <f t="shared" si="63"/>
        <v>2</v>
      </c>
      <c r="L588" s="13" t="str">
        <f>IFERROR(VLOOKUP(C588,'Справочник соответствий'!A$2:D$2981,3,FALSE),IF(VALUE(C588)=0,"ЭТАЖ НЕ ОПРЕДЕЛЕН. ПРИНЯТ ПО ДОПУЩЕНИЮ 1",VLOOKUP(C588,'Справочник соответствий'!A$2:D$2981,3,FALSE)))</f>
        <v>ЭТАЖ ЗАДАН ЧИСЛОМ</v>
      </c>
      <c r="M588" s="13" t="b">
        <f t="shared" si="64"/>
        <v>0</v>
      </c>
      <c r="N588" s="13">
        <f t="shared" si="65"/>
        <v>2</v>
      </c>
      <c r="O588" s="13" t="str">
        <f t="shared" si="66"/>
        <v>ЭТАЖ ЗАДАН ЧИСЛОМ</v>
      </c>
      <c r="P588" s="13" t="str">
        <f t="shared" si="67"/>
        <v>ЭТАЖ ЗАДАН ЧИСЛОМ</v>
      </c>
      <c r="Q588" s="13" t="str">
        <f t="shared" si="68"/>
        <v>ГОТОВ_ИЗМЕНЕН</v>
      </c>
      <c r="R588" s="13">
        <f>IFERROR(VLOOKUP(P588,Лист1!A$1:B$20,2,FALSE),0)</f>
        <v>784</v>
      </c>
      <c r="S588" s="13">
        <f t="shared" si="69"/>
        <v>0</v>
      </c>
    </row>
    <row r="589" spans="1:19" x14ac:dyDescent="0.25">
      <c r="A589" s="24" t="s">
        <v>1697</v>
      </c>
      <c r="B589" s="4" t="s">
        <v>1063</v>
      </c>
      <c r="C589" s="25" t="s">
        <v>5</v>
      </c>
      <c r="G589" s="25" t="s">
        <v>1698</v>
      </c>
      <c r="H589" s="24" t="s">
        <v>1061</v>
      </c>
      <c r="I589" s="3" t="str">
        <f>IFERROR(VLOOKUP(C589,'Справочник соответствий'!A$2:D$2981,2,FALSE),IF(VALUE(C589)=0,1,VLOOKUP(C589,'Справочник соответствий'!A$2:D$2981,2,FALSE)))</f>
        <v>1</v>
      </c>
      <c r="J589" s="3">
        <f>IFERROR(VLOOKUP(D589,'Справочник соответствий'!A$2:D$2981,2,FALSE),IF(VALUE(D589)=0,0,VLOOKUP(D589,'Справочник соответствий'!A$2:D$2981,2,FALSE)))</f>
        <v>0</v>
      </c>
      <c r="K589" s="3" t="str">
        <f t="shared" si="63"/>
        <v>1</v>
      </c>
      <c r="L589" s="13" t="str">
        <f>IFERROR(VLOOKUP(C589,'Справочник соответствий'!A$2:D$2981,3,FALSE),IF(VALUE(C589)=0,"ЭТАЖ НЕ ОПРЕДЕЛЕН. ПРИНЯТ ПО ДОПУЩЕНИЮ 1",VLOOKUP(C589,'Справочник соответствий'!A$2:D$2981,3,FALSE)))</f>
        <v>ЭТАЖ ЗАДАН ЧИСЛОМ</v>
      </c>
      <c r="M589" s="13" t="b">
        <f t="shared" si="64"/>
        <v>0</v>
      </c>
      <c r="N589" s="13">
        <f t="shared" si="65"/>
        <v>1</v>
      </c>
      <c r="O589" s="13" t="str">
        <f t="shared" si="66"/>
        <v>ЭТАЖ ЗАДАН ЧИСЛОМ</v>
      </c>
      <c r="P589" s="13" t="str">
        <f t="shared" si="67"/>
        <v>ЭТАЖ ЗАДАН ЧИСЛОМ</v>
      </c>
      <c r="Q589" s="13" t="str">
        <f t="shared" si="68"/>
        <v>ГОТОВ_ИЗМЕНЕН</v>
      </c>
      <c r="R589" s="13">
        <f>IFERROR(VLOOKUP(P589,Лист1!A$1:B$20,2,FALSE),0)</f>
        <v>784</v>
      </c>
      <c r="S589" s="13">
        <f t="shared" si="69"/>
        <v>0</v>
      </c>
    </row>
    <row r="590" spans="1:19" x14ac:dyDescent="0.25">
      <c r="A590" s="24" t="s">
        <v>1699</v>
      </c>
      <c r="B590" s="4" t="s">
        <v>1063</v>
      </c>
      <c r="C590" s="25" t="s">
        <v>5</v>
      </c>
      <c r="G590" s="25" t="s">
        <v>1698</v>
      </c>
      <c r="H590" s="24" t="s">
        <v>1061</v>
      </c>
      <c r="I590" s="3" t="str">
        <f>IFERROR(VLOOKUP(C590,'Справочник соответствий'!A$2:D$2981,2,FALSE),IF(VALUE(C590)=0,1,VLOOKUP(C590,'Справочник соответствий'!A$2:D$2981,2,FALSE)))</f>
        <v>1</v>
      </c>
      <c r="J590" s="3">
        <f>IFERROR(VLOOKUP(D590,'Справочник соответствий'!A$2:D$2981,2,FALSE),IF(VALUE(D590)=0,0,VLOOKUP(D590,'Справочник соответствий'!A$2:D$2981,2,FALSE)))</f>
        <v>0</v>
      </c>
      <c r="K590" s="3" t="str">
        <f t="shared" si="63"/>
        <v>1</v>
      </c>
      <c r="L590" s="13" t="str">
        <f>IFERROR(VLOOKUP(C590,'Справочник соответствий'!A$2:D$2981,3,FALSE),IF(VALUE(C590)=0,"ЭТАЖ НЕ ОПРЕДЕЛЕН. ПРИНЯТ ПО ДОПУЩЕНИЮ 1",VLOOKUP(C590,'Справочник соответствий'!A$2:D$2981,3,FALSE)))</f>
        <v>ЭТАЖ ЗАДАН ЧИСЛОМ</v>
      </c>
      <c r="M590" s="13" t="b">
        <f t="shared" si="64"/>
        <v>0</v>
      </c>
      <c r="N590" s="13">
        <f t="shared" si="65"/>
        <v>1</v>
      </c>
      <c r="O590" s="13" t="str">
        <f t="shared" si="66"/>
        <v>ЭТАЖ ЗАДАН ЧИСЛОМ</v>
      </c>
      <c r="P590" s="13" t="str">
        <f t="shared" si="67"/>
        <v>ЭТАЖ ЗАДАН ЧИСЛОМ</v>
      </c>
      <c r="Q590" s="13" t="str">
        <f t="shared" si="68"/>
        <v>ГОТОВ_ИЗМЕНЕН</v>
      </c>
      <c r="R590" s="13">
        <f>IFERROR(VLOOKUP(P590,Лист1!A$1:B$20,2,FALSE),0)</f>
        <v>784</v>
      </c>
      <c r="S590" s="13">
        <f t="shared" si="69"/>
        <v>0</v>
      </c>
    </row>
    <row r="591" spans="1:19" x14ac:dyDescent="0.25">
      <c r="A591" s="24" t="s">
        <v>1700</v>
      </c>
      <c r="B591" s="4" t="s">
        <v>1063</v>
      </c>
      <c r="C591" s="25" t="s">
        <v>5</v>
      </c>
      <c r="G591" s="25" t="s">
        <v>1072</v>
      </c>
      <c r="H591" s="24" t="s">
        <v>1061</v>
      </c>
      <c r="I591" s="3" t="str">
        <f>IFERROR(VLOOKUP(C591,'Справочник соответствий'!A$2:D$2981,2,FALSE),IF(VALUE(C591)=0,1,VLOOKUP(C591,'Справочник соответствий'!A$2:D$2981,2,FALSE)))</f>
        <v>1</v>
      </c>
      <c r="J591" s="3">
        <f>IFERROR(VLOOKUP(D591,'Справочник соответствий'!A$2:D$2981,2,FALSE),IF(VALUE(D591)=0,0,VLOOKUP(D591,'Справочник соответствий'!A$2:D$2981,2,FALSE)))</f>
        <v>0</v>
      </c>
      <c r="K591" s="3" t="str">
        <f t="shared" si="63"/>
        <v>1</v>
      </c>
      <c r="L591" s="13" t="str">
        <f>IFERROR(VLOOKUP(C591,'Справочник соответствий'!A$2:D$2981,3,FALSE),IF(VALUE(C591)=0,"ЭТАЖ НЕ ОПРЕДЕЛЕН. ПРИНЯТ ПО ДОПУЩЕНИЮ 1",VLOOKUP(C591,'Справочник соответствий'!A$2:D$2981,3,FALSE)))</f>
        <v>ЭТАЖ ЗАДАН ЧИСЛОМ</v>
      </c>
      <c r="M591" s="13" t="b">
        <f t="shared" si="64"/>
        <v>0</v>
      </c>
      <c r="N591" s="13">
        <f t="shared" si="65"/>
        <v>1</v>
      </c>
      <c r="O591" s="13" t="str">
        <f t="shared" si="66"/>
        <v>ЭТАЖ ЗАДАН ЧИСЛОМ</v>
      </c>
      <c r="P591" s="13" t="str">
        <f t="shared" si="67"/>
        <v>ЭТАЖ ЗАДАН ЧИСЛОМ</v>
      </c>
      <c r="Q591" s="13" t="str">
        <f t="shared" si="68"/>
        <v>ГОТОВ_ИЗМЕНЕН</v>
      </c>
      <c r="R591" s="13">
        <f>IFERROR(VLOOKUP(P591,Лист1!A$1:B$20,2,FALSE),0)</f>
        <v>784</v>
      </c>
      <c r="S591" s="13">
        <f t="shared" si="69"/>
        <v>0</v>
      </c>
    </row>
    <row r="592" spans="1:19" x14ac:dyDescent="0.25">
      <c r="A592" s="24" t="s">
        <v>1701</v>
      </c>
      <c r="B592" s="4" t="s">
        <v>1059</v>
      </c>
      <c r="C592" s="25" t="s">
        <v>5</v>
      </c>
      <c r="G592" s="25" t="s">
        <v>1072</v>
      </c>
      <c r="H592" s="24" t="s">
        <v>1061</v>
      </c>
      <c r="I592" s="3" t="str">
        <f>IFERROR(VLOOKUP(C592,'Справочник соответствий'!A$2:D$2981,2,FALSE),IF(VALUE(C592)=0,1,VLOOKUP(C592,'Справочник соответствий'!A$2:D$2981,2,FALSE)))</f>
        <v>1</v>
      </c>
      <c r="J592" s="3">
        <f>IFERROR(VLOOKUP(D592,'Справочник соответствий'!A$2:D$2981,2,FALSE),IF(VALUE(D592)=0,0,VLOOKUP(D592,'Справочник соответствий'!A$2:D$2981,2,FALSE)))</f>
        <v>0</v>
      </c>
      <c r="K592" s="3" t="str">
        <f t="shared" si="63"/>
        <v>1</v>
      </c>
      <c r="L592" s="13" t="str">
        <f>IFERROR(VLOOKUP(C592,'Справочник соответствий'!A$2:D$2981,3,FALSE),IF(VALUE(C592)=0,"ЭТАЖ НЕ ОПРЕДЕЛЕН. ПРИНЯТ ПО ДОПУЩЕНИЮ 1",VLOOKUP(C592,'Справочник соответствий'!A$2:D$2981,3,FALSE)))</f>
        <v>ЭТАЖ ЗАДАН ЧИСЛОМ</v>
      </c>
      <c r="M592" s="13" t="b">
        <f t="shared" si="64"/>
        <v>0</v>
      </c>
      <c r="N592" s="13">
        <f t="shared" si="65"/>
        <v>1</v>
      </c>
      <c r="O592" s="13" t="str">
        <f t="shared" si="66"/>
        <v>ЭТАЖ ЗАДАН ЧИСЛОМ</v>
      </c>
      <c r="P592" s="13" t="str">
        <f t="shared" si="67"/>
        <v>ЭТАЖ ЗАДАН ЧИСЛОМ</v>
      </c>
      <c r="Q592" s="13" t="str">
        <f t="shared" si="68"/>
        <v>ГОТОВ_ИЗМЕНЕН</v>
      </c>
      <c r="R592" s="13">
        <f>IFERROR(VLOOKUP(P592,Лист1!A$1:B$20,2,FALSE),0)</f>
        <v>784</v>
      </c>
      <c r="S592" s="13">
        <f t="shared" si="69"/>
        <v>0</v>
      </c>
    </row>
    <row r="593" spans="1:19" x14ac:dyDescent="0.25">
      <c r="A593" s="24" t="s">
        <v>1702</v>
      </c>
      <c r="B593" s="4" t="s">
        <v>1063</v>
      </c>
      <c r="C593" s="25" t="s">
        <v>5</v>
      </c>
      <c r="G593" s="25" t="s">
        <v>1072</v>
      </c>
      <c r="H593" s="24" t="s">
        <v>1061</v>
      </c>
      <c r="I593" s="3" t="str">
        <f>IFERROR(VLOOKUP(C593,'Справочник соответствий'!A$2:D$2981,2,FALSE),IF(VALUE(C593)=0,1,VLOOKUP(C593,'Справочник соответствий'!A$2:D$2981,2,FALSE)))</f>
        <v>1</v>
      </c>
      <c r="J593" s="3">
        <f>IFERROR(VLOOKUP(D593,'Справочник соответствий'!A$2:D$2981,2,FALSE),IF(VALUE(D593)=0,0,VLOOKUP(D593,'Справочник соответствий'!A$2:D$2981,2,FALSE)))</f>
        <v>0</v>
      </c>
      <c r="K593" s="3" t="str">
        <f t="shared" si="63"/>
        <v>1</v>
      </c>
      <c r="L593" s="13" t="str">
        <f>IFERROR(VLOOKUP(C593,'Справочник соответствий'!A$2:D$2981,3,FALSE),IF(VALUE(C593)=0,"ЭТАЖ НЕ ОПРЕДЕЛЕН. ПРИНЯТ ПО ДОПУЩЕНИЮ 1",VLOOKUP(C593,'Справочник соответствий'!A$2:D$2981,3,FALSE)))</f>
        <v>ЭТАЖ ЗАДАН ЧИСЛОМ</v>
      </c>
      <c r="M593" s="13" t="b">
        <f t="shared" si="64"/>
        <v>0</v>
      </c>
      <c r="N593" s="13">
        <f t="shared" si="65"/>
        <v>1</v>
      </c>
      <c r="O593" s="13" t="str">
        <f t="shared" si="66"/>
        <v>ЭТАЖ ЗАДАН ЧИСЛОМ</v>
      </c>
      <c r="P593" s="13" t="str">
        <f t="shared" si="67"/>
        <v>ЭТАЖ ЗАДАН ЧИСЛОМ</v>
      </c>
      <c r="Q593" s="13" t="str">
        <f t="shared" si="68"/>
        <v>ГОТОВ_ИЗМЕНЕН</v>
      </c>
      <c r="R593" s="13">
        <f>IFERROR(VLOOKUP(P593,Лист1!A$1:B$20,2,FALSE),0)</f>
        <v>784</v>
      </c>
      <c r="S593" s="13">
        <f t="shared" si="69"/>
        <v>0</v>
      </c>
    </row>
    <row r="594" spans="1:19" x14ac:dyDescent="0.25">
      <c r="A594" s="24" t="s">
        <v>1703</v>
      </c>
      <c r="B594" s="4" t="s">
        <v>1063</v>
      </c>
      <c r="C594" s="25" t="s">
        <v>7</v>
      </c>
      <c r="D594" s="25" t="s">
        <v>5</v>
      </c>
      <c r="G594" s="25" t="s">
        <v>1072</v>
      </c>
      <c r="H594" s="24" t="s">
        <v>1061</v>
      </c>
      <c r="I594" s="3" t="str">
        <f>IFERROR(VLOOKUP(C594,'Справочник соответствий'!A$2:D$2981,2,FALSE),IF(VALUE(C594)=0,1,VLOOKUP(C594,'Справочник соответствий'!A$2:D$2981,2,FALSE)))</f>
        <v>2</v>
      </c>
      <c r="J594" s="3" t="str">
        <f>IFERROR(VLOOKUP(D594,'Справочник соответствий'!A$2:D$2981,2,FALSE),IF(VALUE(D594)=0,0,VLOOKUP(D594,'Справочник соответствий'!A$2:D$2981,2,FALSE)))</f>
        <v>1</v>
      </c>
      <c r="K594" s="3" t="str">
        <f t="shared" si="63"/>
        <v>2</v>
      </c>
      <c r="L594" s="13" t="str">
        <f>IFERROR(VLOOKUP(C594,'Справочник соответствий'!A$2:D$2981,3,FALSE),IF(VALUE(C594)=0,"ЭТАЖ НЕ ОПРЕДЕЛЕН. ПРИНЯТ ПО ДОПУЩЕНИЮ 1",VLOOKUP(C594,'Справочник соответствий'!A$2:D$2981,3,FALSE)))</f>
        <v>ЭТАЖ ЗАДАН ЧИСЛОМ</v>
      </c>
      <c r="M594" s="13" t="b">
        <f t="shared" si="64"/>
        <v>0</v>
      </c>
      <c r="N594" s="13">
        <f t="shared" si="65"/>
        <v>2</v>
      </c>
      <c r="O594" s="13" t="str">
        <f t="shared" si="66"/>
        <v>ЭТАЖ ЗАДАН ЧИСЛОМ</v>
      </c>
      <c r="P594" s="13" t="str">
        <f t="shared" si="67"/>
        <v>ЭТАЖ ЗАДАН ЧИСЛОМ</v>
      </c>
      <c r="Q594" s="13" t="str">
        <f t="shared" si="68"/>
        <v>ГОТОВ_ИЗМЕНЕН</v>
      </c>
      <c r="R594" s="13">
        <f>IFERROR(VLOOKUP(P594,Лист1!A$1:B$20,2,FALSE),0)</f>
        <v>784</v>
      </c>
      <c r="S594" s="13">
        <f t="shared" si="69"/>
        <v>0</v>
      </c>
    </row>
    <row r="595" spans="1:19" x14ac:dyDescent="0.25">
      <c r="A595" s="24" t="s">
        <v>1704</v>
      </c>
      <c r="B595" s="4" t="s">
        <v>1059</v>
      </c>
      <c r="C595" s="25" t="s">
        <v>5</v>
      </c>
      <c r="G595" s="25" t="s">
        <v>1072</v>
      </c>
      <c r="H595" s="24" t="s">
        <v>1061</v>
      </c>
      <c r="I595" s="3" t="str">
        <f>IFERROR(VLOOKUP(C595,'Справочник соответствий'!A$2:D$2981,2,FALSE),IF(VALUE(C595)=0,1,VLOOKUP(C595,'Справочник соответствий'!A$2:D$2981,2,FALSE)))</f>
        <v>1</v>
      </c>
      <c r="J595" s="3">
        <f>IFERROR(VLOOKUP(D595,'Справочник соответствий'!A$2:D$2981,2,FALSE),IF(VALUE(D595)=0,0,VLOOKUP(D595,'Справочник соответствий'!A$2:D$2981,2,FALSE)))</f>
        <v>0</v>
      </c>
      <c r="K595" s="3" t="str">
        <f t="shared" si="63"/>
        <v>1</v>
      </c>
      <c r="L595" s="13" t="str">
        <f>IFERROR(VLOOKUP(C595,'Справочник соответствий'!A$2:D$2981,3,FALSE),IF(VALUE(C595)=0,"ЭТАЖ НЕ ОПРЕДЕЛЕН. ПРИНЯТ ПО ДОПУЩЕНИЮ 1",VLOOKUP(C595,'Справочник соответствий'!A$2:D$2981,3,FALSE)))</f>
        <v>ЭТАЖ ЗАДАН ЧИСЛОМ</v>
      </c>
      <c r="M595" s="13" t="b">
        <f t="shared" si="64"/>
        <v>0</v>
      </c>
      <c r="N595" s="13">
        <f t="shared" si="65"/>
        <v>1</v>
      </c>
      <c r="O595" s="13" t="str">
        <f t="shared" si="66"/>
        <v>ЭТАЖ ЗАДАН ЧИСЛОМ</v>
      </c>
      <c r="P595" s="13" t="str">
        <f t="shared" si="67"/>
        <v>ЭТАЖ ЗАДАН ЧИСЛОМ</v>
      </c>
      <c r="Q595" s="13" t="str">
        <f t="shared" si="68"/>
        <v>ГОТОВ_ИЗМЕНЕН</v>
      </c>
      <c r="R595" s="13">
        <f>IFERROR(VLOOKUP(P595,Лист1!A$1:B$20,2,FALSE),0)</f>
        <v>784</v>
      </c>
      <c r="S595" s="13">
        <f t="shared" si="69"/>
        <v>0</v>
      </c>
    </row>
    <row r="596" spans="1:19" x14ac:dyDescent="0.25">
      <c r="A596" s="24" t="s">
        <v>1705</v>
      </c>
      <c r="B596" s="4" t="s">
        <v>1059</v>
      </c>
      <c r="C596" s="25" t="s">
        <v>5</v>
      </c>
      <c r="G596" s="25" t="s">
        <v>1106</v>
      </c>
      <c r="H596" s="24" t="s">
        <v>1061</v>
      </c>
      <c r="I596" s="3" t="str">
        <f>IFERROR(VLOOKUP(C596,'Справочник соответствий'!A$2:D$2981,2,FALSE),IF(VALUE(C596)=0,1,VLOOKUP(C596,'Справочник соответствий'!A$2:D$2981,2,FALSE)))</f>
        <v>1</v>
      </c>
      <c r="J596" s="3">
        <f>IFERROR(VLOOKUP(D596,'Справочник соответствий'!A$2:D$2981,2,FALSE),IF(VALUE(D596)=0,0,VLOOKUP(D596,'Справочник соответствий'!A$2:D$2981,2,FALSE)))</f>
        <v>0</v>
      </c>
      <c r="K596" s="3" t="str">
        <f t="shared" si="63"/>
        <v>1</v>
      </c>
      <c r="L596" s="13" t="str">
        <f>IFERROR(VLOOKUP(C596,'Справочник соответствий'!A$2:D$2981,3,FALSE),IF(VALUE(C596)=0,"ЭТАЖ НЕ ОПРЕДЕЛЕН. ПРИНЯТ ПО ДОПУЩЕНИЮ 1",VLOOKUP(C596,'Справочник соответствий'!A$2:D$2981,3,FALSE)))</f>
        <v>ЭТАЖ ЗАДАН ЧИСЛОМ</v>
      </c>
      <c r="M596" s="13" t="b">
        <f t="shared" si="64"/>
        <v>0</v>
      </c>
      <c r="N596" s="13">
        <f t="shared" si="65"/>
        <v>1</v>
      </c>
      <c r="O596" s="13" t="str">
        <f t="shared" si="66"/>
        <v>ЭТАЖ ЗАДАН ЧИСЛОМ</v>
      </c>
      <c r="P596" s="13" t="str">
        <f t="shared" si="67"/>
        <v>ЭТАЖ ЗАДАН ЧИСЛОМ</v>
      </c>
      <c r="Q596" s="13" t="str">
        <f t="shared" si="68"/>
        <v>ГОТОВ_ИЗМЕНЕН</v>
      </c>
      <c r="R596" s="13">
        <f>IFERROR(VLOOKUP(P596,Лист1!A$1:B$20,2,FALSE),0)</f>
        <v>784</v>
      </c>
      <c r="S596" s="13">
        <f t="shared" si="69"/>
        <v>0</v>
      </c>
    </row>
    <row r="597" spans="1:19" x14ac:dyDescent="0.25">
      <c r="A597" s="24" t="s">
        <v>1706</v>
      </c>
      <c r="B597" s="4" t="s">
        <v>1059</v>
      </c>
      <c r="C597" s="25" t="s">
        <v>5</v>
      </c>
      <c r="G597" s="25" t="s">
        <v>1106</v>
      </c>
      <c r="H597" s="24" t="s">
        <v>1061</v>
      </c>
      <c r="I597" s="3" t="str">
        <f>IFERROR(VLOOKUP(C597,'Справочник соответствий'!A$2:D$2981,2,FALSE),IF(VALUE(C597)=0,1,VLOOKUP(C597,'Справочник соответствий'!A$2:D$2981,2,FALSE)))</f>
        <v>1</v>
      </c>
      <c r="J597" s="3">
        <f>IFERROR(VLOOKUP(D597,'Справочник соответствий'!A$2:D$2981,2,FALSE),IF(VALUE(D597)=0,0,VLOOKUP(D597,'Справочник соответствий'!A$2:D$2981,2,FALSE)))</f>
        <v>0</v>
      </c>
      <c r="K597" s="3" t="str">
        <f t="shared" si="63"/>
        <v>1</v>
      </c>
      <c r="L597" s="13" t="str">
        <f>IFERROR(VLOOKUP(C597,'Справочник соответствий'!A$2:D$2981,3,FALSE),IF(VALUE(C597)=0,"ЭТАЖ НЕ ОПРЕДЕЛЕН. ПРИНЯТ ПО ДОПУЩЕНИЮ 1",VLOOKUP(C597,'Справочник соответствий'!A$2:D$2981,3,FALSE)))</f>
        <v>ЭТАЖ ЗАДАН ЧИСЛОМ</v>
      </c>
      <c r="M597" s="13" t="b">
        <f t="shared" si="64"/>
        <v>0</v>
      </c>
      <c r="N597" s="13">
        <f t="shared" si="65"/>
        <v>1</v>
      </c>
      <c r="O597" s="13" t="str">
        <f t="shared" si="66"/>
        <v>ЭТАЖ ЗАДАН ЧИСЛОМ</v>
      </c>
      <c r="P597" s="13" t="str">
        <f t="shared" si="67"/>
        <v>ЭТАЖ ЗАДАН ЧИСЛОМ</v>
      </c>
      <c r="Q597" s="13" t="str">
        <f t="shared" si="68"/>
        <v>ГОТОВ_ИЗМЕНЕН</v>
      </c>
      <c r="R597" s="13">
        <f>IFERROR(VLOOKUP(P597,Лист1!A$1:B$20,2,FALSE),0)</f>
        <v>784</v>
      </c>
      <c r="S597" s="13">
        <f t="shared" si="69"/>
        <v>0</v>
      </c>
    </row>
    <row r="598" spans="1:19" x14ac:dyDescent="0.25">
      <c r="A598" s="24" t="s">
        <v>1707</v>
      </c>
      <c r="B598" s="4" t="s">
        <v>1059</v>
      </c>
      <c r="C598" s="25" t="s">
        <v>5</v>
      </c>
      <c r="G598" s="25" t="s">
        <v>1106</v>
      </c>
      <c r="H598" s="24" t="s">
        <v>1061</v>
      </c>
      <c r="I598" s="3" t="str">
        <f>IFERROR(VLOOKUP(C598,'Справочник соответствий'!A$2:D$2981,2,FALSE),IF(VALUE(C598)=0,1,VLOOKUP(C598,'Справочник соответствий'!A$2:D$2981,2,FALSE)))</f>
        <v>1</v>
      </c>
      <c r="J598" s="3">
        <f>IFERROR(VLOOKUP(D598,'Справочник соответствий'!A$2:D$2981,2,FALSE),IF(VALUE(D598)=0,0,VLOOKUP(D598,'Справочник соответствий'!A$2:D$2981,2,FALSE)))</f>
        <v>0</v>
      </c>
      <c r="K598" s="3" t="str">
        <f t="shared" si="63"/>
        <v>1</v>
      </c>
      <c r="L598" s="13" t="str">
        <f>IFERROR(VLOOKUP(C598,'Справочник соответствий'!A$2:D$2981,3,FALSE),IF(VALUE(C598)=0,"ЭТАЖ НЕ ОПРЕДЕЛЕН. ПРИНЯТ ПО ДОПУЩЕНИЮ 1",VLOOKUP(C598,'Справочник соответствий'!A$2:D$2981,3,FALSE)))</f>
        <v>ЭТАЖ ЗАДАН ЧИСЛОМ</v>
      </c>
      <c r="M598" s="13" t="b">
        <f t="shared" si="64"/>
        <v>0</v>
      </c>
      <c r="N598" s="13">
        <f t="shared" si="65"/>
        <v>1</v>
      </c>
      <c r="O598" s="13" t="str">
        <f t="shared" si="66"/>
        <v>ЭТАЖ ЗАДАН ЧИСЛОМ</v>
      </c>
      <c r="P598" s="13" t="str">
        <f t="shared" si="67"/>
        <v>ЭТАЖ ЗАДАН ЧИСЛОМ</v>
      </c>
      <c r="Q598" s="13" t="str">
        <f t="shared" si="68"/>
        <v>ГОТОВ_ИЗМЕНЕН</v>
      </c>
      <c r="R598" s="13">
        <f>IFERROR(VLOOKUP(P598,Лист1!A$1:B$20,2,FALSE),0)</f>
        <v>784</v>
      </c>
      <c r="S598" s="13">
        <f t="shared" si="69"/>
        <v>0</v>
      </c>
    </row>
    <row r="599" spans="1:19" x14ac:dyDescent="0.25">
      <c r="A599" s="24" t="s">
        <v>1708</v>
      </c>
      <c r="B599" s="4" t="s">
        <v>1063</v>
      </c>
      <c r="C599" s="25" t="s">
        <v>5</v>
      </c>
      <c r="G599" s="25" t="s">
        <v>1106</v>
      </c>
      <c r="H599" s="24" t="s">
        <v>1061</v>
      </c>
      <c r="I599" s="3" t="str">
        <f>IFERROR(VLOOKUP(C599,'Справочник соответствий'!A$2:D$2981,2,FALSE),IF(VALUE(C599)=0,1,VLOOKUP(C599,'Справочник соответствий'!A$2:D$2981,2,FALSE)))</f>
        <v>1</v>
      </c>
      <c r="J599" s="3">
        <f>IFERROR(VLOOKUP(D599,'Справочник соответствий'!A$2:D$2981,2,FALSE),IF(VALUE(D599)=0,0,VLOOKUP(D599,'Справочник соответствий'!A$2:D$2981,2,FALSE)))</f>
        <v>0</v>
      </c>
      <c r="K599" s="3" t="str">
        <f t="shared" si="63"/>
        <v>1</v>
      </c>
      <c r="L599" s="13" t="str">
        <f>IFERROR(VLOOKUP(C599,'Справочник соответствий'!A$2:D$2981,3,FALSE),IF(VALUE(C599)=0,"ЭТАЖ НЕ ОПРЕДЕЛЕН. ПРИНЯТ ПО ДОПУЩЕНИЮ 1",VLOOKUP(C599,'Справочник соответствий'!A$2:D$2981,3,FALSE)))</f>
        <v>ЭТАЖ ЗАДАН ЧИСЛОМ</v>
      </c>
      <c r="M599" s="13" t="b">
        <f t="shared" si="64"/>
        <v>0</v>
      </c>
      <c r="N599" s="13">
        <f t="shared" si="65"/>
        <v>1</v>
      </c>
      <c r="O599" s="13" t="str">
        <f t="shared" si="66"/>
        <v>ЭТАЖ ЗАДАН ЧИСЛОМ</v>
      </c>
      <c r="P599" s="13" t="str">
        <f t="shared" si="67"/>
        <v>ЭТАЖ ЗАДАН ЧИСЛОМ</v>
      </c>
      <c r="Q599" s="13" t="str">
        <f t="shared" si="68"/>
        <v>ГОТОВ_ИЗМЕНЕН</v>
      </c>
      <c r="R599" s="13">
        <f>IFERROR(VLOOKUP(P599,Лист1!A$1:B$20,2,FALSE),0)</f>
        <v>784</v>
      </c>
      <c r="S599" s="13">
        <f t="shared" si="69"/>
        <v>0</v>
      </c>
    </row>
    <row r="600" spans="1:19" x14ac:dyDescent="0.25">
      <c r="A600" s="24" t="s">
        <v>1709</v>
      </c>
      <c r="B600" s="4" t="s">
        <v>1059</v>
      </c>
      <c r="C600" s="25" t="s">
        <v>7</v>
      </c>
      <c r="G600" s="25" t="s">
        <v>1106</v>
      </c>
      <c r="H600" s="24" t="s">
        <v>1061</v>
      </c>
      <c r="I600" s="3" t="str">
        <f>IFERROR(VLOOKUP(C600,'Справочник соответствий'!A$2:D$2981,2,FALSE),IF(VALUE(C600)=0,1,VLOOKUP(C600,'Справочник соответствий'!A$2:D$2981,2,FALSE)))</f>
        <v>2</v>
      </c>
      <c r="J600" s="3">
        <f>IFERROR(VLOOKUP(D600,'Справочник соответствий'!A$2:D$2981,2,FALSE),IF(VALUE(D600)=0,0,VLOOKUP(D600,'Справочник соответствий'!A$2:D$2981,2,FALSE)))</f>
        <v>0</v>
      </c>
      <c r="K600" s="3" t="str">
        <f t="shared" si="63"/>
        <v>2</v>
      </c>
      <c r="L600" s="13" t="str">
        <f>IFERROR(VLOOKUP(C600,'Справочник соответствий'!A$2:D$2981,3,FALSE),IF(VALUE(C600)=0,"ЭТАЖ НЕ ОПРЕДЕЛЕН. ПРИНЯТ ПО ДОПУЩЕНИЮ 1",VLOOKUP(C600,'Справочник соответствий'!A$2:D$2981,3,FALSE)))</f>
        <v>ЭТАЖ ЗАДАН ЧИСЛОМ</v>
      </c>
      <c r="M600" s="13" t="b">
        <f t="shared" si="64"/>
        <v>0</v>
      </c>
      <c r="N600" s="13">
        <f t="shared" si="65"/>
        <v>2</v>
      </c>
      <c r="O600" s="13" t="str">
        <f t="shared" si="66"/>
        <v>ЭТАЖ ЗАДАН ЧИСЛОМ</v>
      </c>
      <c r="P600" s="13" t="str">
        <f t="shared" si="67"/>
        <v>ЭТАЖ ЗАДАН ЧИСЛОМ</v>
      </c>
      <c r="Q600" s="13" t="str">
        <f t="shared" si="68"/>
        <v>ГОТОВ_ИЗМЕНЕН</v>
      </c>
      <c r="R600" s="13">
        <f>IFERROR(VLOOKUP(P600,Лист1!A$1:B$20,2,FALSE),0)</f>
        <v>784</v>
      </c>
      <c r="S600" s="13">
        <f t="shared" si="69"/>
        <v>0</v>
      </c>
    </row>
    <row r="601" spans="1:19" x14ac:dyDescent="0.25">
      <c r="A601" s="24" t="s">
        <v>1710</v>
      </c>
      <c r="B601" s="4" t="s">
        <v>1063</v>
      </c>
      <c r="C601" s="25" t="s">
        <v>5</v>
      </c>
      <c r="G601" s="25" t="s">
        <v>1106</v>
      </c>
      <c r="H601" s="24" t="s">
        <v>1061</v>
      </c>
      <c r="I601" s="3" t="str">
        <f>IFERROR(VLOOKUP(C601,'Справочник соответствий'!A$2:D$2981,2,FALSE),IF(VALUE(C601)=0,1,VLOOKUP(C601,'Справочник соответствий'!A$2:D$2981,2,FALSE)))</f>
        <v>1</v>
      </c>
      <c r="J601" s="3">
        <f>IFERROR(VLOOKUP(D601,'Справочник соответствий'!A$2:D$2981,2,FALSE),IF(VALUE(D601)=0,0,VLOOKUP(D601,'Справочник соответствий'!A$2:D$2981,2,FALSE)))</f>
        <v>0</v>
      </c>
      <c r="K601" s="3" t="str">
        <f t="shared" si="63"/>
        <v>1</v>
      </c>
      <c r="L601" s="13" t="str">
        <f>IFERROR(VLOOKUP(C601,'Справочник соответствий'!A$2:D$2981,3,FALSE),IF(VALUE(C601)=0,"ЭТАЖ НЕ ОПРЕДЕЛЕН. ПРИНЯТ ПО ДОПУЩЕНИЮ 1",VLOOKUP(C601,'Справочник соответствий'!A$2:D$2981,3,FALSE)))</f>
        <v>ЭТАЖ ЗАДАН ЧИСЛОМ</v>
      </c>
      <c r="M601" s="13" t="b">
        <f t="shared" si="64"/>
        <v>0</v>
      </c>
      <c r="N601" s="13">
        <f t="shared" si="65"/>
        <v>1</v>
      </c>
      <c r="O601" s="13" t="str">
        <f t="shared" si="66"/>
        <v>ЭТАЖ ЗАДАН ЧИСЛОМ</v>
      </c>
      <c r="P601" s="13" t="str">
        <f t="shared" si="67"/>
        <v>ЭТАЖ ЗАДАН ЧИСЛОМ</v>
      </c>
      <c r="Q601" s="13" t="str">
        <f t="shared" si="68"/>
        <v>ГОТОВ_ИЗМЕНЕН</v>
      </c>
      <c r="R601" s="13">
        <f>IFERROR(VLOOKUP(P601,Лист1!A$1:B$20,2,FALSE),0)</f>
        <v>784</v>
      </c>
      <c r="S601" s="13">
        <f t="shared" si="69"/>
        <v>0</v>
      </c>
    </row>
    <row r="602" spans="1:19" x14ac:dyDescent="0.25">
      <c r="A602" s="24" t="s">
        <v>1711</v>
      </c>
      <c r="B602" s="4" t="s">
        <v>1059</v>
      </c>
      <c r="C602" s="25" t="s">
        <v>5</v>
      </c>
      <c r="G602" s="25" t="s">
        <v>1106</v>
      </c>
      <c r="H602" s="24" t="s">
        <v>1061</v>
      </c>
      <c r="I602" s="3" t="str">
        <f>IFERROR(VLOOKUP(C602,'Справочник соответствий'!A$2:D$2981,2,FALSE),IF(VALUE(C602)=0,1,VLOOKUP(C602,'Справочник соответствий'!A$2:D$2981,2,FALSE)))</f>
        <v>1</v>
      </c>
      <c r="J602" s="3">
        <f>IFERROR(VLOOKUP(D602,'Справочник соответствий'!A$2:D$2981,2,FALSE),IF(VALUE(D602)=0,0,VLOOKUP(D602,'Справочник соответствий'!A$2:D$2981,2,FALSE)))</f>
        <v>0</v>
      </c>
      <c r="K602" s="3" t="str">
        <f t="shared" si="63"/>
        <v>1</v>
      </c>
      <c r="L602" s="13" t="str">
        <f>IFERROR(VLOOKUP(C602,'Справочник соответствий'!A$2:D$2981,3,FALSE),IF(VALUE(C602)=0,"ЭТАЖ НЕ ОПРЕДЕЛЕН. ПРИНЯТ ПО ДОПУЩЕНИЮ 1",VLOOKUP(C602,'Справочник соответствий'!A$2:D$2981,3,FALSE)))</f>
        <v>ЭТАЖ ЗАДАН ЧИСЛОМ</v>
      </c>
      <c r="M602" s="13" t="b">
        <f t="shared" si="64"/>
        <v>0</v>
      </c>
      <c r="N602" s="13">
        <f t="shared" si="65"/>
        <v>1</v>
      </c>
      <c r="O602" s="13" t="str">
        <f t="shared" si="66"/>
        <v>ЭТАЖ ЗАДАН ЧИСЛОМ</v>
      </c>
      <c r="P602" s="13" t="str">
        <f t="shared" si="67"/>
        <v>ЭТАЖ ЗАДАН ЧИСЛОМ</v>
      </c>
      <c r="Q602" s="13" t="str">
        <f t="shared" si="68"/>
        <v>ГОТОВ_ИЗМЕНЕН</v>
      </c>
      <c r="R602" s="13">
        <f>IFERROR(VLOOKUP(P602,Лист1!A$1:B$20,2,FALSE),0)</f>
        <v>784</v>
      </c>
      <c r="S602" s="13">
        <f t="shared" si="69"/>
        <v>0</v>
      </c>
    </row>
    <row r="603" spans="1:19" x14ac:dyDescent="0.25">
      <c r="A603" s="24" t="s">
        <v>1712</v>
      </c>
      <c r="B603" s="4" t="s">
        <v>1063</v>
      </c>
      <c r="G603" s="25" t="s">
        <v>1106</v>
      </c>
      <c r="H603" s="24" t="s">
        <v>1061</v>
      </c>
      <c r="I603" s="3">
        <f>IFERROR(VLOOKUP(C603,'Справочник соответствий'!A$2:D$2981,2,FALSE),IF(VALUE(C603)=0,1,VLOOKUP(C603,'Справочник соответствий'!A$2:D$2981,2,FALSE)))</f>
        <v>1</v>
      </c>
      <c r="J603" s="3">
        <f>IFERROR(VLOOKUP(D603,'Справочник соответствий'!A$2:D$2981,2,FALSE),IF(VALUE(D603)=0,0,VLOOKUP(D603,'Справочник соответствий'!A$2:D$2981,2,FALSE)))</f>
        <v>0</v>
      </c>
      <c r="K603" s="3">
        <f t="shared" si="63"/>
        <v>1</v>
      </c>
      <c r="L603" s="13" t="str">
        <f>IFERROR(VLOOKUP(C603,'Справочник соответствий'!A$2:D$2981,3,FALSE),IF(VALUE(C603)=0,"ЭТАЖ НЕ ОПРЕДЕЛЕН. ПРИНЯТ ПО ДОПУЩЕНИЮ 1",VLOOKUP(C603,'Справочник соответствий'!A$2:D$2981,3,FALSE)))</f>
        <v>ЭТАЖ НЕ ОПРЕДЕЛЕН. ПРИНЯТ ПО ДОПУЩЕНИЮ 1</v>
      </c>
      <c r="M603" s="13" t="b">
        <f t="shared" si="64"/>
        <v>0</v>
      </c>
      <c r="N603" s="13">
        <f t="shared" si="65"/>
        <v>1</v>
      </c>
      <c r="O603" s="13" t="str">
        <f t="shared" si="66"/>
        <v>ЭТАЖ НЕ ОПРЕДЕЛЕН. ПРИНЯТ ПО ДОПУЩЕНИЮ 1</v>
      </c>
      <c r="P603" s="13" t="str">
        <f t="shared" si="67"/>
        <v>ЭТАЖ НЕ ОПРЕДЕЛЕН. ПРИНЯТ ПО ДОПУЩЕНИЮ 1</v>
      </c>
      <c r="Q603" s="13" t="str">
        <f t="shared" si="68"/>
        <v>ГОТОВ_ИЗМЕНЕН</v>
      </c>
      <c r="R603" s="13">
        <f>IFERROR(VLOOKUP(P603,Лист1!A$1:B$20,2,FALSE),0)</f>
        <v>788</v>
      </c>
      <c r="S603" s="13">
        <f t="shared" si="69"/>
        <v>0</v>
      </c>
    </row>
    <row r="604" spans="1:19" x14ac:dyDescent="0.25">
      <c r="A604" s="24" t="s">
        <v>1713</v>
      </c>
      <c r="B604" s="4" t="s">
        <v>1063</v>
      </c>
      <c r="C604" s="25" t="s">
        <v>5</v>
      </c>
      <c r="G604" s="25" t="s">
        <v>1289</v>
      </c>
      <c r="H604" s="24" t="s">
        <v>1061</v>
      </c>
      <c r="I604" s="3" t="str">
        <f>IFERROR(VLOOKUP(C604,'Справочник соответствий'!A$2:D$2981,2,FALSE),IF(VALUE(C604)=0,1,VLOOKUP(C604,'Справочник соответствий'!A$2:D$2981,2,FALSE)))</f>
        <v>1</v>
      </c>
      <c r="J604" s="3">
        <f>IFERROR(VLOOKUP(D604,'Справочник соответствий'!A$2:D$2981,2,FALSE),IF(VALUE(D604)=0,0,VLOOKUP(D604,'Справочник соответствий'!A$2:D$2981,2,FALSE)))</f>
        <v>0</v>
      </c>
      <c r="K604" s="3" t="str">
        <f t="shared" si="63"/>
        <v>1</v>
      </c>
      <c r="L604" s="13" t="str">
        <f>IFERROR(VLOOKUP(C604,'Справочник соответствий'!A$2:D$2981,3,FALSE),IF(VALUE(C604)=0,"ЭТАЖ НЕ ОПРЕДЕЛЕН. ПРИНЯТ ПО ДОПУЩЕНИЮ 1",VLOOKUP(C604,'Справочник соответствий'!A$2:D$2981,3,FALSE)))</f>
        <v>ЭТАЖ ЗАДАН ЧИСЛОМ</v>
      </c>
      <c r="M604" s="13" t="b">
        <f t="shared" si="64"/>
        <v>0</v>
      </c>
      <c r="N604" s="13">
        <f t="shared" si="65"/>
        <v>1</v>
      </c>
      <c r="O604" s="13" t="str">
        <f t="shared" si="66"/>
        <v>ЭТАЖ ЗАДАН ЧИСЛОМ</v>
      </c>
      <c r="P604" s="13" t="str">
        <f t="shared" si="67"/>
        <v>ЭТАЖ ЗАДАН ЧИСЛОМ</v>
      </c>
      <c r="Q604" s="13" t="str">
        <f t="shared" si="68"/>
        <v>ГОТОВ_ИЗМЕНЕН</v>
      </c>
      <c r="R604" s="13">
        <f>IFERROR(VLOOKUP(P604,Лист1!A$1:B$20,2,FALSE),0)</f>
        <v>784</v>
      </c>
      <c r="S604" s="13">
        <f t="shared" si="69"/>
        <v>0</v>
      </c>
    </row>
    <row r="605" spans="1:19" x14ac:dyDescent="0.25">
      <c r="A605" s="24" t="s">
        <v>1714</v>
      </c>
      <c r="B605" s="4" t="s">
        <v>1059</v>
      </c>
      <c r="C605" s="25" t="s">
        <v>5</v>
      </c>
      <c r="G605" s="25" t="s">
        <v>1106</v>
      </c>
      <c r="H605" s="24" t="s">
        <v>1061</v>
      </c>
      <c r="I605" s="3" t="str">
        <f>IFERROR(VLOOKUP(C605,'Справочник соответствий'!A$2:D$2981,2,FALSE),IF(VALUE(C605)=0,1,VLOOKUP(C605,'Справочник соответствий'!A$2:D$2981,2,FALSE)))</f>
        <v>1</v>
      </c>
      <c r="J605" s="3">
        <f>IFERROR(VLOOKUP(D605,'Справочник соответствий'!A$2:D$2981,2,FALSE),IF(VALUE(D605)=0,0,VLOOKUP(D605,'Справочник соответствий'!A$2:D$2981,2,FALSE)))</f>
        <v>0</v>
      </c>
      <c r="K605" s="3" t="str">
        <f t="shared" si="63"/>
        <v>1</v>
      </c>
      <c r="L605" s="13" t="str">
        <f>IFERROR(VLOOKUP(C605,'Справочник соответствий'!A$2:D$2981,3,FALSE),IF(VALUE(C605)=0,"ЭТАЖ НЕ ОПРЕДЕЛЕН. ПРИНЯТ ПО ДОПУЩЕНИЮ 1",VLOOKUP(C605,'Справочник соответствий'!A$2:D$2981,3,FALSE)))</f>
        <v>ЭТАЖ ЗАДАН ЧИСЛОМ</v>
      </c>
      <c r="M605" s="13" t="b">
        <f t="shared" si="64"/>
        <v>0</v>
      </c>
      <c r="N605" s="13">
        <f t="shared" si="65"/>
        <v>1</v>
      </c>
      <c r="O605" s="13" t="str">
        <f t="shared" si="66"/>
        <v>ЭТАЖ ЗАДАН ЧИСЛОМ</v>
      </c>
      <c r="P605" s="13" t="str">
        <f t="shared" si="67"/>
        <v>ЭТАЖ ЗАДАН ЧИСЛОМ</v>
      </c>
      <c r="Q605" s="13" t="str">
        <f t="shared" si="68"/>
        <v>ГОТОВ_ИЗМЕНЕН</v>
      </c>
      <c r="R605" s="13">
        <f>IFERROR(VLOOKUP(P605,Лист1!A$1:B$20,2,FALSE),0)</f>
        <v>784</v>
      </c>
      <c r="S605" s="13">
        <f t="shared" si="69"/>
        <v>0</v>
      </c>
    </row>
    <row r="606" spans="1:19" x14ac:dyDescent="0.25">
      <c r="A606" s="24" t="s">
        <v>1715</v>
      </c>
      <c r="B606" s="4" t="s">
        <v>1059</v>
      </c>
      <c r="C606" s="25" t="s">
        <v>5</v>
      </c>
      <c r="G606" s="25" t="s">
        <v>1083</v>
      </c>
      <c r="H606" s="24" t="s">
        <v>1061</v>
      </c>
      <c r="I606" s="3" t="str">
        <f>IFERROR(VLOOKUP(C606,'Справочник соответствий'!A$2:D$2981,2,FALSE),IF(VALUE(C606)=0,1,VLOOKUP(C606,'Справочник соответствий'!A$2:D$2981,2,FALSE)))</f>
        <v>1</v>
      </c>
      <c r="J606" s="3">
        <f>IFERROR(VLOOKUP(D606,'Справочник соответствий'!A$2:D$2981,2,FALSE),IF(VALUE(D606)=0,0,VLOOKUP(D606,'Справочник соответствий'!A$2:D$2981,2,FALSE)))</f>
        <v>0</v>
      </c>
      <c r="K606" s="3" t="str">
        <f t="shared" si="63"/>
        <v>1</v>
      </c>
      <c r="L606" s="13" t="str">
        <f>IFERROR(VLOOKUP(C606,'Справочник соответствий'!A$2:D$2981,3,FALSE),IF(VALUE(C606)=0,"ЭТАЖ НЕ ОПРЕДЕЛЕН. ПРИНЯТ ПО ДОПУЩЕНИЮ 1",VLOOKUP(C606,'Справочник соответствий'!A$2:D$2981,3,FALSE)))</f>
        <v>ЭТАЖ ЗАДАН ЧИСЛОМ</v>
      </c>
      <c r="M606" s="13" t="b">
        <f t="shared" si="64"/>
        <v>0</v>
      </c>
      <c r="N606" s="13">
        <f t="shared" si="65"/>
        <v>1</v>
      </c>
      <c r="O606" s="13" t="str">
        <f t="shared" si="66"/>
        <v>ЭТАЖ ЗАДАН ЧИСЛОМ</v>
      </c>
      <c r="P606" s="13" t="str">
        <f t="shared" si="67"/>
        <v>ЭТАЖ ЗАДАН ЧИСЛОМ</v>
      </c>
      <c r="Q606" s="13" t="str">
        <f t="shared" si="68"/>
        <v>ГОТОВ_ИЗМЕНЕН</v>
      </c>
      <c r="R606" s="13">
        <f>IFERROR(VLOOKUP(P606,Лист1!A$1:B$20,2,FALSE),0)</f>
        <v>784</v>
      </c>
      <c r="S606" s="13">
        <f t="shared" si="69"/>
        <v>0</v>
      </c>
    </row>
    <row r="607" spans="1:19" x14ac:dyDescent="0.25">
      <c r="A607" s="24" t="s">
        <v>1716</v>
      </c>
      <c r="B607" s="4" t="s">
        <v>1063</v>
      </c>
      <c r="C607" s="25" t="s">
        <v>5</v>
      </c>
      <c r="G607" s="25" t="s">
        <v>1083</v>
      </c>
      <c r="H607" s="24" t="s">
        <v>1061</v>
      </c>
      <c r="I607" s="3" t="str">
        <f>IFERROR(VLOOKUP(C607,'Справочник соответствий'!A$2:D$2981,2,FALSE),IF(VALUE(C607)=0,1,VLOOKUP(C607,'Справочник соответствий'!A$2:D$2981,2,FALSE)))</f>
        <v>1</v>
      </c>
      <c r="J607" s="3">
        <f>IFERROR(VLOOKUP(D607,'Справочник соответствий'!A$2:D$2981,2,FALSE),IF(VALUE(D607)=0,0,VLOOKUP(D607,'Справочник соответствий'!A$2:D$2981,2,FALSE)))</f>
        <v>0</v>
      </c>
      <c r="K607" s="3" t="str">
        <f t="shared" si="63"/>
        <v>1</v>
      </c>
      <c r="L607" s="13" t="str">
        <f>IFERROR(VLOOKUP(C607,'Справочник соответствий'!A$2:D$2981,3,FALSE),IF(VALUE(C607)=0,"ЭТАЖ НЕ ОПРЕДЕЛЕН. ПРИНЯТ ПО ДОПУЩЕНИЮ 1",VLOOKUP(C607,'Справочник соответствий'!A$2:D$2981,3,FALSE)))</f>
        <v>ЭТАЖ ЗАДАН ЧИСЛОМ</v>
      </c>
      <c r="M607" s="13" t="b">
        <f t="shared" si="64"/>
        <v>0</v>
      </c>
      <c r="N607" s="13">
        <f t="shared" si="65"/>
        <v>1</v>
      </c>
      <c r="O607" s="13" t="str">
        <f t="shared" si="66"/>
        <v>ЭТАЖ ЗАДАН ЧИСЛОМ</v>
      </c>
      <c r="P607" s="13" t="str">
        <f t="shared" si="67"/>
        <v>ЭТАЖ ЗАДАН ЧИСЛОМ</v>
      </c>
      <c r="Q607" s="13" t="str">
        <f t="shared" si="68"/>
        <v>ГОТОВ_ИЗМЕНЕН</v>
      </c>
      <c r="R607" s="13">
        <f>IFERROR(VLOOKUP(P607,Лист1!A$1:B$20,2,FALSE),0)</f>
        <v>784</v>
      </c>
      <c r="S607" s="13">
        <f t="shared" si="69"/>
        <v>0</v>
      </c>
    </row>
    <row r="608" spans="1:19" x14ac:dyDescent="0.25">
      <c r="A608" s="24" t="s">
        <v>1717</v>
      </c>
      <c r="B608" s="4" t="s">
        <v>1059</v>
      </c>
      <c r="C608" s="25" t="s">
        <v>7</v>
      </c>
      <c r="G608" s="25" t="s">
        <v>1083</v>
      </c>
      <c r="H608" s="24" t="s">
        <v>1061</v>
      </c>
      <c r="I608" s="3" t="str">
        <f>IFERROR(VLOOKUP(C608,'Справочник соответствий'!A$2:D$2981,2,FALSE),IF(VALUE(C608)=0,1,VLOOKUP(C608,'Справочник соответствий'!A$2:D$2981,2,FALSE)))</f>
        <v>2</v>
      </c>
      <c r="J608" s="3">
        <f>IFERROR(VLOOKUP(D608,'Справочник соответствий'!A$2:D$2981,2,FALSE),IF(VALUE(D608)=0,0,VLOOKUP(D608,'Справочник соответствий'!A$2:D$2981,2,FALSE)))</f>
        <v>0</v>
      </c>
      <c r="K608" s="3" t="str">
        <f t="shared" si="63"/>
        <v>2</v>
      </c>
      <c r="L608" s="13" t="str">
        <f>IFERROR(VLOOKUP(C608,'Справочник соответствий'!A$2:D$2981,3,FALSE),IF(VALUE(C608)=0,"ЭТАЖ НЕ ОПРЕДЕЛЕН. ПРИНЯТ ПО ДОПУЩЕНИЮ 1",VLOOKUP(C608,'Справочник соответствий'!A$2:D$2981,3,FALSE)))</f>
        <v>ЭТАЖ ЗАДАН ЧИСЛОМ</v>
      </c>
      <c r="M608" s="13" t="b">
        <f t="shared" si="64"/>
        <v>0</v>
      </c>
      <c r="N608" s="13">
        <f t="shared" si="65"/>
        <v>2</v>
      </c>
      <c r="O608" s="13" t="str">
        <f t="shared" si="66"/>
        <v>ЭТАЖ ЗАДАН ЧИСЛОМ</v>
      </c>
      <c r="P608" s="13" t="str">
        <f t="shared" si="67"/>
        <v>ЭТАЖ ЗАДАН ЧИСЛОМ</v>
      </c>
      <c r="Q608" s="13" t="str">
        <f t="shared" si="68"/>
        <v>ГОТОВ_ИЗМЕНЕН</v>
      </c>
      <c r="R608" s="13">
        <f>IFERROR(VLOOKUP(P608,Лист1!A$1:B$20,2,FALSE),0)</f>
        <v>784</v>
      </c>
      <c r="S608" s="13">
        <f t="shared" si="69"/>
        <v>0</v>
      </c>
    </row>
    <row r="609" spans="1:19" x14ac:dyDescent="0.25">
      <c r="A609" s="24" t="s">
        <v>1718</v>
      </c>
      <c r="B609" s="4" t="s">
        <v>1059</v>
      </c>
      <c r="C609" s="25" t="s">
        <v>5</v>
      </c>
      <c r="G609" s="25" t="s">
        <v>1083</v>
      </c>
      <c r="H609" s="24" t="s">
        <v>1061</v>
      </c>
      <c r="I609" s="3" t="str">
        <f>IFERROR(VLOOKUP(C609,'Справочник соответствий'!A$2:D$2981,2,FALSE),IF(VALUE(C609)=0,1,VLOOKUP(C609,'Справочник соответствий'!A$2:D$2981,2,FALSE)))</f>
        <v>1</v>
      </c>
      <c r="J609" s="3">
        <f>IFERROR(VLOOKUP(D609,'Справочник соответствий'!A$2:D$2981,2,FALSE),IF(VALUE(D609)=0,0,VLOOKUP(D609,'Справочник соответствий'!A$2:D$2981,2,FALSE)))</f>
        <v>0</v>
      </c>
      <c r="K609" s="3" t="str">
        <f t="shared" si="63"/>
        <v>1</v>
      </c>
      <c r="L609" s="13" t="str">
        <f>IFERROR(VLOOKUP(C609,'Справочник соответствий'!A$2:D$2981,3,FALSE),IF(VALUE(C609)=0,"ЭТАЖ НЕ ОПРЕДЕЛЕН. ПРИНЯТ ПО ДОПУЩЕНИЮ 1",VLOOKUP(C609,'Справочник соответствий'!A$2:D$2981,3,FALSE)))</f>
        <v>ЭТАЖ ЗАДАН ЧИСЛОМ</v>
      </c>
      <c r="M609" s="13" t="b">
        <f t="shared" si="64"/>
        <v>0</v>
      </c>
      <c r="N609" s="13">
        <f t="shared" si="65"/>
        <v>1</v>
      </c>
      <c r="O609" s="13" t="str">
        <f t="shared" si="66"/>
        <v>ЭТАЖ ЗАДАН ЧИСЛОМ</v>
      </c>
      <c r="P609" s="13" t="str">
        <f t="shared" si="67"/>
        <v>ЭТАЖ ЗАДАН ЧИСЛОМ</v>
      </c>
      <c r="Q609" s="13" t="str">
        <f t="shared" si="68"/>
        <v>ГОТОВ_ИЗМЕНЕН</v>
      </c>
      <c r="R609" s="13">
        <f>IFERROR(VLOOKUP(P609,Лист1!A$1:B$20,2,FALSE),0)</f>
        <v>784</v>
      </c>
      <c r="S609" s="13">
        <f t="shared" si="69"/>
        <v>0</v>
      </c>
    </row>
    <row r="610" spans="1:19" x14ac:dyDescent="0.25">
      <c r="A610" s="24" t="s">
        <v>1719</v>
      </c>
      <c r="B610" s="4" t="s">
        <v>1059</v>
      </c>
      <c r="C610" s="25" t="s">
        <v>5</v>
      </c>
      <c r="G610" s="25" t="s">
        <v>1083</v>
      </c>
      <c r="H610" s="24" t="s">
        <v>1061</v>
      </c>
      <c r="I610" s="3" t="str">
        <f>IFERROR(VLOOKUP(C610,'Справочник соответствий'!A$2:D$2981,2,FALSE),IF(VALUE(C610)=0,1,VLOOKUP(C610,'Справочник соответствий'!A$2:D$2981,2,FALSE)))</f>
        <v>1</v>
      </c>
      <c r="J610" s="3">
        <f>IFERROR(VLOOKUP(D610,'Справочник соответствий'!A$2:D$2981,2,FALSE),IF(VALUE(D610)=0,0,VLOOKUP(D610,'Справочник соответствий'!A$2:D$2981,2,FALSE)))</f>
        <v>0</v>
      </c>
      <c r="K610" s="3" t="str">
        <f t="shared" si="63"/>
        <v>1</v>
      </c>
      <c r="L610" s="13" t="str">
        <f>IFERROR(VLOOKUP(C610,'Справочник соответствий'!A$2:D$2981,3,FALSE),IF(VALUE(C610)=0,"ЭТАЖ НЕ ОПРЕДЕЛЕН. ПРИНЯТ ПО ДОПУЩЕНИЮ 1",VLOOKUP(C610,'Справочник соответствий'!A$2:D$2981,3,FALSE)))</f>
        <v>ЭТАЖ ЗАДАН ЧИСЛОМ</v>
      </c>
      <c r="M610" s="13" t="b">
        <f t="shared" si="64"/>
        <v>0</v>
      </c>
      <c r="N610" s="13">
        <f t="shared" si="65"/>
        <v>1</v>
      </c>
      <c r="O610" s="13" t="str">
        <f t="shared" si="66"/>
        <v>ЭТАЖ ЗАДАН ЧИСЛОМ</v>
      </c>
      <c r="P610" s="13" t="str">
        <f t="shared" si="67"/>
        <v>ЭТАЖ ЗАДАН ЧИСЛОМ</v>
      </c>
      <c r="Q610" s="13" t="str">
        <f t="shared" si="68"/>
        <v>ГОТОВ_ИЗМЕНЕН</v>
      </c>
      <c r="R610" s="13">
        <f>IFERROR(VLOOKUP(P610,Лист1!A$1:B$20,2,FALSE),0)</f>
        <v>784</v>
      </c>
      <c r="S610" s="13">
        <f t="shared" si="69"/>
        <v>0</v>
      </c>
    </row>
    <row r="611" spans="1:19" x14ac:dyDescent="0.25">
      <c r="A611" s="24" t="s">
        <v>1720</v>
      </c>
      <c r="B611" s="4" t="s">
        <v>1059</v>
      </c>
      <c r="C611" s="25" t="s">
        <v>5</v>
      </c>
      <c r="G611" s="25" t="s">
        <v>1083</v>
      </c>
      <c r="H611" s="24" t="s">
        <v>1061</v>
      </c>
      <c r="I611" s="3" t="str">
        <f>IFERROR(VLOOKUP(C611,'Справочник соответствий'!A$2:D$2981,2,FALSE),IF(VALUE(C611)=0,1,VLOOKUP(C611,'Справочник соответствий'!A$2:D$2981,2,FALSE)))</f>
        <v>1</v>
      </c>
      <c r="J611" s="3">
        <f>IFERROR(VLOOKUP(D611,'Справочник соответствий'!A$2:D$2981,2,FALSE),IF(VALUE(D611)=0,0,VLOOKUP(D611,'Справочник соответствий'!A$2:D$2981,2,FALSE)))</f>
        <v>0</v>
      </c>
      <c r="K611" s="3" t="str">
        <f t="shared" si="63"/>
        <v>1</v>
      </c>
      <c r="L611" s="13" t="str">
        <f>IFERROR(VLOOKUP(C611,'Справочник соответствий'!A$2:D$2981,3,FALSE),IF(VALUE(C611)=0,"ЭТАЖ НЕ ОПРЕДЕЛЕН. ПРИНЯТ ПО ДОПУЩЕНИЮ 1",VLOOKUP(C611,'Справочник соответствий'!A$2:D$2981,3,FALSE)))</f>
        <v>ЭТАЖ ЗАДАН ЧИСЛОМ</v>
      </c>
      <c r="M611" s="13" t="b">
        <f t="shared" si="64"/>
        <v>0</v>
      </c>
      <c r="N611" s="13">
        <f t="shared" si="65"/>
        <v>1</v>
      </c>
      <c r="O611" s="13" t="str">
        <f t="shared" si="66"/>
        <v>ЭТАЖ ЗАДАН ЧИСЛОМ</v>
      </c>
      <c r="P611" s="13" t="str">
        <f t="shared" si="67"/>
        <v>ЭТАЖ ЗАДАН ЧИСЛОМ</v>
      </c>
      <c r="Q611" s="13" t="str">
        <f t="shared" si="68"/>
        <v>ГОТОВ_ИЗМЕНЕН</v>
      </c>
      <c r="R611" s="13">
        <f>IFERROR(VLOOKUP(P611,Лист1!A$1:B$20,2,FALSE),0)</f>
        <v>784</v>
      </c>
      <c r="S611" s="13">
        <f t="shared" si="69"/>
        <v>0</v>
      </c>
    </row>
    <row r="612" spans="1:19" x14ac:dyDescent="0.25">
      <c r="A612" s="24" t="s">
        <v>1721</v>
      </c>
      <c r="B612" s="4" t="s">
        <v>1063</v>
      </c>
      <c r="C612" s="25" t="s">
        <v>5</v>
      </c>
      <c r="G612" s="25" t="s">
        <v>1083</v>
      </c>
      <c r="H612" s="24" t="s">
        <v>1061</v>
      </c>
      <c r="I612" s="3" t="str">
        <f>IFERROR(VLOOKUP(C612,'Справочник соответствий'!A$2:D$2981,2,FALSE),IF(VALUE(C612)=0,1,VLOOKUP(C612,'Справочник соответствий'!A$2:D$2981,2,FALSE)))</f>
        <v>1</v>
      </c>
      <c r="J612" s="3">
        <f>IFERROR(VLOOKUP(D612,'Справочник соответствий'!A$2:D$2981,2,FALSE),IF(VALUE(D612)=0,0,VLOOKUP(D612,'Справочник соответствий'!A$2:D$2981,2,FALSE)))</f>
        <v>0</v>
      </c>
      <c r="K612" s="3" t="str">
        <f t="shared" si="63"/>
        <v>1</v>
      </c>
      <c r="L612" s="13" t="str">
        <f>IFERROR(VLOOKUP(C612,'Справочник соответствий'!A$2:D$2981,3,FALSE),IF(VALUE(C612)=0,"ЭТАЖ НЕ ОПРЕДЕЛЕН. ПРИНЯТ ПО ДОПУЩЕНИЮ 1",VLOOKUP(C612,'Справочник соответствий'!A$2:D$2981,3,FALSE)))</f>
        <v>ЭТАЖ ЗАДАН ЧИСЛОМ</v>
      </c>
      <c r="M612" s="13" t="b">
        <f t="shared" si="64"/>
        <v>0</v>
      </c>
      <c r="N612" s="13">
        <f t="shared" si="65"/>
        <v>1</v>
      </c>
      <c r="O612" s="13" t="str">
        <f t="shared" si="66"/>
        <v>ЭТАЖ ЗАДАН ЧИСЛОМ</v>
      </c>
      <c r="P612" s="13" t="str">
        <f t="shared" si="67"/>
        <v>ЭТАЖ ЗАДАН ЧИСЛОМ</v>
      </c>
      <c r="Q612" s="13" t="str">
        <f t="shared" si="68"/>
        <v>ГОТОВ_ИЗМЕНЕН</v>
      </c>
      <c r="R612" s="13">
        <f>IFERROR(VLOOKUP(P612,Лист1!A$1:B$20,2,FALSE),0)</f>
        <v>784</v>
      </c>
      <c r="S612" s="13">
        <f t="shared" si="69"/>
        <v>0</v>
      </c>
    </row>
    <row r="613" spans="1:19" x14ac:dyDescent="0.25">
      <c r="A613" s="24" t="s">
        <v>1722</v>
      </c>
      <c r="B613" s="4" t="s">
        <v>1063</v>
      </c>
      <c r="C613" s="25" t="s">
        <v>5</v>
      </c>
      <c r="G613" s="25" t="s">
        <v>1083</v>
      </c>
      <c r="H613" s="24" t="s">
        <v>1061</v>
      </c>
      <c r="I613" s="3" t="str">
        <f>IFERROR(VLOOKUP(C613,'Справочник соответствий'!A$2:D$2981,2,FALSE),IF(VALUE(C613)=0,1,VLOOKUP(C613,'Справочник соответствий'!A$2:D$2981,2,FALSE)))</f>
        <v>1</v>
      </c>
      <c r="J613" s="3">
        <f>IFERROR(VLOOKUP(D613,'Справочник соответствий'!A$2:D$2981,2,FALSE),IF(VALUE(D613)=0,0,VLOOKUP(D613,'Справочник соответствий'!A$2:D$2981,2,FALSE)))</f>
        <v>0</v>
      </c>
      <c r="K613" s="3" t="str">
        <f t="shared" si="63"/>
        <v>1</v>
      </c>
      <c r="L613" s="13" t="str">
        <f>IFERROR(VLOOKUP(C613,'Справочник соответствий'!A$2:D$2981,3,FALSE),IF(VALUE(C613)=0,"ЭТАЖ НЕ ОПРЕДЕЛЕН. ПРИНЯТ ПО ДОПУЩЕНИЮ 1",VLOOKUP(C613,'Справочник соответствий'!A$2:D$2981,3,FALSE)))</f>
        <v>ЭТАЖ ЗАДАН ЧИСЛОМ</v>
      </c>
      <c r="M613" s="13" t="b">
        <f t="shared" si="64"/>
        <v>0</v>
      </c>
      <c r="N613" s="13">
        <f t="shared" si="65"/>
        <v>1</v>
      </c>
      <c r="O613" s="13" t="str">
        <f t="shared" si="66"/>
        <v>ЭТАЖ ЗАДАН ЧИСЛОМ</v>
      </c>
      <c r="P613" s="13" t="str">
        <f t="shared" si="67"/>
        <v>ЭТАЖ ЗАДАН ЧИСЛОМ</v>
      </c>
      <c r="Q613" s="13" t="str">
        <f t="shared" si="68"/>
        <v>ГОТОВ_ИЗМЕНЕН</v>
      </c>
      <c r="R613" s="13">
        <f>IFERROR(VLOOKUP(P613,Лист1!A$1:B$20,2,FALSE),0)</f>
        <v>784</v>
      </c>
      <c r="S613" s="13">
        <f t="shared" si="69"/>
        <v>0</v>
      </c>
    </row>
    <row r="614" spans="1:19" x14ac:dyDescent="0.25">
      <c r="A614" s="24" t="s">
        <v>1723</v>
      </c>
      <c r="B614" s="4" t="s">
        <v>1059</v>
      </c>
      <c r="C614" s="25" t="s">
        <v>5</v>
      </c>
      <c r="G614" s="25" t="s">
        <v>1083</v>
      </c>
      <c r="H614" s="24" t="s">
        <v>1061</v>
      </c>
      <c r="I614" s="3" t="str">
        <f>IFERROR(VLOOKUP(C614,'Справочник соответствий'!A$2:D$2981,2,FALSE),IF(VALUE(C614)=0,1,VLOOKUP(C614,'Справочник соответствий'!A$2:D$2981,2,FALSE)))</f>
        <v>1</v>
      </c>
      <c r="J614" s="3">
        <f>IFERROR(VLOOKUP(D614,'Справочник соответствий'!A$2:D$2981,2,FALSE),IF(VALUE(D614)=0,0,VLOOKUP(D614,'Справочник соответствий'!A$2:D$2981,2,FALSE)))</f>
        <v>0</v>
      </c>
      <c r="K614" s="3" t="str">
        <f t="shared" si="63"/>
        <v>1</v>
      </c>
      <c r="L614" s="13" t="str">
        <f>IFERROR(VLOOKUP(C614,'Справочник соответствий'!A$2:D$2981,3,FALSE),IF(VALUE(C614)=0,"ЭТАЖ НЕ ОПРЕДЕЛЕН. ПРИНЯТ ПО ДОПУЩЕНИЮ 1",VLOOKUP(C614,'Справочник соответствий'!A$2:D$2981,3,FALSE)))</f>
        <v>ЭТАЖ ЗАДАН ЧИСЛОМ</v>
      </c>
      <c r="M614" s="13" t="b">
        <f t="shared" si="64"/>
        <v>0</v>
      </c>
      <c r="N614" s="13">
        <f t="shared" si="65"/>
        <v>1</v>
      </c>
      <c r="O614" s="13" t="str">
        <f t="shared" si="66"/>
        <v>ЭТАЖ ЗАДАН ЧИСЛОМ</v>
      </c>
      <c r="P614" s="13" t="str">
        <f t="shared" si="67"/>
        <v>ЭТАЖ ЗАДАН ЧИСЛОМ</v>
      </c>
      <c r="Q614" s="13" t="str">
        <f t="shared" si="68"/>
        <v>ГОТОВ_ИЗМЕНЕН</v>
      </c>
      <c r="R614" s="13">
        <f>IFERROR(VLOOKUP(P614,Лист1!A$1:B$20,2,FALSE),0)</f>
        <v>784</v>
      </c>
      <c r="S614" s="13">
        <f t="shared" si="69"/>
        <v>0</v>
      </c>
    </row>
    <row r="615" spans="1:19" x14ac:dyDescent="0.25">
      <c r="A615" s="24" t="s">
        <v>1724</v>
      </c>
      <c r="B615" s="4" t="s">
        <v>1063</v>
      </c>
      <c r="G615" s="25" t="s">
        <v>1083</v>
      </c>
      <c r="H615" s="24" t="s">
        <v>1061</v>
      </c>
      <c r="I615" s="3">
        <f>IFERROR(VLOOKUP(C615,'Справочник соответствий'!A$2:D$2981,2,FALSE),IF(VALUE(C615)=0,1,VLOOKUP(C615,'Справочник соответствий'!A$2:D$2981,2,FALSE)))</f>
        <v>1</v>
      </c>
      <c r="J615" s="3">
        <f>IFERROR(VLOOKUP(D615,'Справочник соответствий'!A$2:D$2981,2,FALSE),IF(VALUE(D615)=0,0,VLOOKUP(D615,'Справочник соответствий'!A$2:D$2981,2,FALSE)))</f>
        <v>0</v>
      </c>
      <c r="K615" s="3">
        <f t="shared" si="63"/>
        <v>1</v>
      </c>
      <c r="L615" s="13" t="str">
        <f>IFERROR(VLOOKUP(C615,'Справочник соответствий'!A$2:D$2981,3,FALSE),IF(VALUE(C615)=0,"ЭТАЖ НЕ ОПРЕДЕЛЕН. ПРИНЯТ ПО ДОПУЩЕНИЮ 1",VLOOKUP(C615,'Справочник соответствий'!A$2:D$2981,3,FALSE)))</f>
        <v>ЭТАЖ НЕ ОПРЕДЕЛЕН. ПРИНЯТ ПО ДОПУЩЕНИЮ 1</v>
      </c>
      <c r="M615" s="13" t="b">
        <f t="shared" si="64"/>
        <v>0</v>
      </c>
      <c r="N615" s="13">
        <f t="shared" si="65"/>
        <v>1</v>
      </c>
      <c r="O615" s="13" t="str">
        <f t="shared" si="66"/>
        <v>ЭТАЖ НЕ ОПРЕДЕЛЕН. ПРИНЯТ ПО ДОПУЩЕНИЮ 1</v>
      </c>
      <c r="P615" s="13" t="str">
        <f t="shared" si="67"/>
        <v>ЭТАЖ НЕ ОПРЕДЕЛЕН. ПРИНЯТ ПО ДОПУЩЕНИЮ 1</v>
      </c>
      <c r="Q615" s="13" t="str">
        <f t="shared" si="68"/>
        <v>ГОТОВ_ИЗМЕНЕН</v>
      </c>
      <c r="R615" s="13">
        <f>IFERROR(VLOOKUP(P615,Лист1!A$1:B$20,2,FALSE),0)</f>
        <v>788</v>
      </c>
      <c r="S615" s="13">
        <f t="shared" si="69"/>
        <v>0</v>
      </c>
    </row>
    <row r="616" spans="1:19" x14ac:dyDescent="0.25">
      <c r="A616" s="24" t="s">
        <v>1725</v>
      </c>
      <c r="B616" s="4" t="s">
        <v>1063</v>
      </c>
      <c r="C616" s="25" t="s">
        <v>5</v>
      </c>
      <c r="E616" s="3">
        <v>1</v>
      </c>
      <c r="F616" s="24" t="s">
        <v>1045</v>
      </c>
      <c r="G616" s="25" t="s">
        <v>1114</v>
      </c>
      <c r="H616" s="24" t="s">
        <v>1061</v>
      </c>
      <c r="I616" s="3" t="str">
        <f>IFERROR(VLOOKUP(C616,'Справочник соответствий'!A$2:D$2981,2,FALSE),IF(VALUE(C616)=0,1,VLOOKUP(C616,'Справочник соответствий'!A$2:D$2981,2,FALSE)))</f>
        <v>1</v>
      </c>
      <c r="J616" s="3">
        <f>IFERROR(VLOOKUP(D616,'Справочник соответствий'!A$2:D$2981,2,FALSE),IF(VALUE(D616)=0,0,VLOOKUP(D616,'Справочник соответствий'!A$2:D$2981,2,FALSE)))</f>
        <v>0</v>
      </c>
      <c r="K616" s="3" t="str">
        <f t="shared" si="63"/>
        <v>1</v>
      </c>
      <c r="L616" s="13" t="str">
        <f>IFERROR(VLOOKUP(C616,'Справочник соответствий'!A$2:D$2981,3,FALSE),IF(VALUE(C616)=0,"ЭТАЖ НЕ ОПРЕДЕЛЕН. ПРИНЯТ ПО ДОПУЩЕНИЮ 1",VLOOKUP(C616,'Справочник соответствий'!A$2:D$2981,3,FALSE)))</f>
        <v>ЭТАЖ ЗАДАН ЧИСЛОМ</v>
      </c>
      <c r="M616" s="13" t="b">
        <f t="shared" si="64"/>
        <v>0</v>
      </c>
      <c r="N616" s="13">
        <f t="shared" si="65"/>
        <v>1</v>
      </c>
      <c r="O616" s="13" t="str">
        <f t="shared" si="66"/>
        <v>ЭТАЖ ЗАДАН ЧИСЛОМ</v>
      </c>
      <c r="P616" s="13" t="str">
        <f t="shared" si="67"/>
        <v>ЭТАЖ ЗАДАН ЧИСЛОМ</v>
      </c>
      <c r="Q616" s="13" t="str">
        <f t="shared" si="68"/>
        <v>ГОТОВ</v>
      </c>
      <c r="R616" s="13">
        <f>IFERROR(VLOOKUP(P616,Лист1!A$1:B$20,2,FALSE),0)</f>
        <v>784</v>
      </c>
      <c r="S616" s="13">
        <f t="shared" si="69"/>
        <v>1</v>
      </c>
    </row>
    <row r="617" spans="1:19" x14ac:dyDescent="0.25">
      <c r="A617" s="24" t="s">
        <v>1726</v>
      </c>
      <c r="B617" s="4" t="s">
        <v>1031</v>
      </c>
      <c r="C617" s="25" t="s">
        <v>5</v>
      </c>
      <c r="E617" s="3">
        <v>1</v>
      </c>
      <c r="F617" s="24" t="s">
        <v>1727</v>
      </c>
      <c r="G617" s="25" t="s">
        <v>1075</v>
      </c>
      <c r="H617" s="24" t="s">
        <v>1061</v>
      </c>
      <c r="I617" s="3" t="str">
        <f>IFERROR(VLOOKUP(C617,'Справочник соответствий'!A$2:D$2981,2,FALSE),IF(VALUE(C617)=0,1,VLOOKUP(C617,'Справочник соответствий'!A$2:D$2981,2,FALSE)))</f>
        <v>1</v>
      </c>
      <c r="J617" s="3">
        <f>IFERROR(VLOOKUP(D617,'Справочник соответствий'!A$2:D$2981,2,FALSE),IF(VALUE(D617)=0,0,VLOOKUP(D617,'Справочник соответствий'!A$2:D$2981,2,FALSE)))</f>
        <v>0</v>
      </c>
      <c r="K617" s="3">
        <f t="shared" si="63"/>
        <v>1</v>
      </c>
      <c r="L617" s="13" t="str">
        <f>IFERROR(VLOOKUP(C617,'Справочник соответствий'!A$2:D$2981,3,FALSE),IF(VALUE(C617)=0,"ЭТАЖ НЕ ОПРЕДЕЛЕН. ПРИНЯТ ПО ДОПУЩЕНИЮ 1",VLOOKUP(C617,'Справочник соответствий'!A$2:D$2981,3,FALSE)))</f>
        <v>ЭТАЖ ЗАДАН ЧИСЛОМ</v>
      </c>
      <c r="M617" s="13" t="b">
        <f t="shared" si="64"/>
        <v>0</v>
      </c>
      <c r="N617" s="13">
        <f t="shared" si="65"/>
        <v>1</v>
      </c>
      <c r="O617" s="13" t="str">
        <f t="shared" si="66"/>
        <v>ЭТАЖ ЗАДАН ЧИСЛОМ</v>
      </c>
      <c r="P617" s="13" t="str">
        <f t="shared" si="67"/>
        <v>МКД_ЭТАЖ ЗАДАН ЧИСЛОМ</v>
      </c>
      <c r="Q617" s="13" t="str">
        <f t="shared" si="68"/>
        <v>ГОТОВ</v>
      </c>
      <c r="R617" s="13">
        <f>IFERROR(VLOOKUP(P617,Лист1!A$1:B$20,2,FALSE),0)</f>
        <v>786</v>
      </c>
      <c r="S617" s="13">
        <f t="shared" si="69"/>
        <v>1</v>
      </c>
    </row>
    <row r="618" spans="1:19" x14ac:dyDescent="0.25">
      <c r="A618" s="24" t="s">
        <v>1728</v>
      </c>
      <c r="B618" s="4" t="s">
        <v>1059</v>
      </c>
      <c r="C618" s="25" t="s">
        <v>5</v>
      </c>
      <c r="E618" s="3">
        <v>1</v>
      </c>
      <c r="F618" s="24" t="s">
        <v>1045</v>
      </c>
      <c r="G618" s="25" t="s">
        <v>1069</v>
      </c>
      <c r="H618" s="24" t="s">
        <v>1061</v>
      </c>
      <c r="I618" s="3" t="str">
        <f>IFERROR(VLOOKUP(C618,'Справочник соответствий'!A$2:D$2981,2,FALSE),IF(VALUE(C618)=0,1,VLOOKUP(C618,'Справочник соответствий'!A$2:D$2981,2,FALSE)))</f>
        <v>1</v>
      </c>
      <c r="J618" s="3">
        <f>IFERROR(VLOOKUP(D618,'Справочник соответствий'!A$2:D$2981,2,FALSE),IF(VALUE(D618)=0,0,VLOOKUP(D618,'Справочник соответствий'!A$2:D$2981,2,FALSE)))</f>
        <v>0</v>
      </c>
      <c r="K618" s="3" t="str">
        <f t="shared" si="63"/>
        <v>1</v>
      </c>
      <c r="L618" s="13" t="str">
        <f>IFERROR(VLOOKUP(C618,'Справочник соответствий'!A$2:D$2981,3,FALSE),IF(VALUE(C618)=0,"ЭТАЖ НЕ ОПРЕДЕЛЕН. ПРИНЯТ ПО ДОПУЩЕНИЮ 1",VLOOKUP(C618,'Справочник соответствий'!A$2:D$2981,3,FALSE)))</f>
        <v>ЭТАЖ ЗАДАН ЧИСЛОМ</v>
      </c>
      <c r="M618" s="13" t="b">
        <f t="shared" si="64"/>
        <v>0</v>
      </c>
      <c r="N618" s="13">
        <f t="shared" si="65"/>
        <v>1</v>
      </c>
      <c r="O618" s="13" t="str">
        <f t="shared" si="66"/>
        <v>ЭТАЖ ЗАДАН ЧИСЛОМ</v>
      </c>
      <c r="P618" s="13" t="str">
        <f t="shared" si="67"/>
        <v>ЭТАЖ ЗАДАН ЧИСЛОМ</v>
      </c>
      <c r="Q618" s="13" t="str">
        <f t="shared" si="68"/>
        <v>ГОТОВ</v>
      </c>
      <c r="R618" s="13">
        <f>IFERROR(VLOOKUP(P618,Лист1!A$1:B$20,2,FALSE),0)</f>
        <v>784</v>
      </c>
      <c r="S618" s="13">
        <f t="shared" si="69"/>
        <v>1</v>
      </c>
    </row>
    <row r="619" spans="1:19" x14ac:dyDescent="0.25">
      <c r="A619" s="24" t="s">
        <v>1729</v>
      </c>
      <c r="B619" s="4" t="s">
        <v>1059</v>
      </c>
      <c r="C619" s="25" t="s">
        <v>5</v>
      </c>
      <c r="E619" s="3">
        <v>1</v>
      </c>
      <c r="F619" s="24" t="s">
        <v>1045</v>
      </c>
      <c r="G619" s="25" t="s">
        <v>1083</v>
      </c>
      <c r="H619" s="24" t="s">
        <v>1061</v>
      </c>
      <c r="I619" s="3" t="str">
        <f>IFERROR(VLOOKUP(C619,'Справочник соответствий'!A$2:D$2981,2,FALSE),IF(VALUE(C619)=0,1,VLOOKUP(C619,'Справочник соответствий'!A$2:D$2981,2,FALSE)))</f>
        <v>1</v>
      </c>
      <c r="J619" s="3">
        <f>IFERROR(VLOOKUP(D619,'Справочник соответствий'!A$2:D$2981,2,FALSE),IF(VALUE(D619)=0,0,VLOOKUP(D619,'Справочник соответствий'!A$2:D$2981,2,FALSE)))</f>
        <v>0</v>
      </c>
      <c r="K619" s="3" t="str">
        <f t="shared" si="63"/>
        <v>1</v>
      </c>
      <c r="L619" s="13" t="str">
        <f>IFERROR(VLOOKUP(C619,'Справочник соответствий'!A$2:D$2981,3,FALSE),IF(VALUE(C619)=0,"ЭТАЖ НЕ ОПРЕДЕЛЕН. ПРИНЯТ ПО ДОПУЩЕНИЮ 1",VLOOKUP(C619,'Справочник соответствий'!A$2:D$2981,3,FALSE)))</f>
        <v>ЭТАЖ ЗАДАН ЧИСЛОМ</v>
      </c>
      <c r="M619" s="13" t="b">
        <f t="shared" si="64"/>
        <v>0</v>
      </c>
      <c r="N619" s="13">
        <f t="shared" si="65"/>
        <v>1</v>
      </c>
      <c r="O619" s="13" t="str">
        <f t="shared" si="66"/>
        <v>ЭТАЖ ЗАДАН ЧИСЛОМ</v>
      </c>
      <c r="P619" s="13" t="str">
        <f t="shared" si="67"/>
        <v>ЭТАЖ ЗАДАН ЧИСЛОМ</v>
      </c>
      <c r="Q619" s="13" t="str">
        <f t="shared" si="68"/>
        <v>ГОТОВ</v>
      </c>
      <c r="R619" s="13">
        <f>IFERROR(VLOOKUP(P619,Лист1!A$1:B$20,2,FALSE),0)</f>
        <v>784</v>
      </c>
      <c r="S619" s="13">
        <f t="shared" si="69"/>
        <v>1</v>
      </c>
    </row>
    <row r="620" spans="1:19" x14ac:dyDescent="0.25">
      <c r="A620" s="24" t="s">
        <v>1730</v>
      </c>
      <c r="B620" s="4" t="s">
        <v>1059</v>
      </c>
      <c r="C620" s="25" t="s">
        <v>7</v>
      </c>
      <c r="E620" s="3">
        <v>2</v>
      </c>
      <c r="F620" s="24" t="s">
        <v>1045</v>
      </c>
      <c r="G620" s="25" t="s">
        <v>1089</v>
      </c>
      <c r="H620" s="24" t="s">
        <v>1061</v>
      </c>
      <c r="I620" s="3" t="str">
        <f>IFERROR(VLOOKUP(C620,'Справочник соответствий'!A$2:D$2981,2,FALSE),IF(VALUE(C620)=0,1,VLOOKUP(C620,'Справочник соответствий'!A$2:D$2981,2,FALSE)))</f>
        <v>2</v>
      </c>
      <c r="J620" s="3">
        <f>IFERROR(VLOOKUP(D620,'Справочник соответствий'!A$2:D$2981,2,FALSE),IF(VALUE(D620)=0,0,VLOOKUP(D620,'Справочник соответствий'!A$2:D$2981,2,FALSE)))</f>
        <v>0</v>
      </c>
      <c r="K620" s="3" t="str">
        <f t="shared" si="63"/>
        <v>2</v>
      </c>
      <c r="L620" s="13" t="str">
        <f>IFERROR(VLOOKUP(C620,'Справочник соответствий'!A$2:D$2981,3,FALSE),IF(VALUE(C620)=0,"ЭТАЖ НЕ ОПРЕДЕЛЕН. ПРИНЯТ ПО ДОПУЩЕНИЮ 1",VLOOKUP(C620,'Справочник соответствий'!A$2:D$2981,3,FALSE)))</f>
        <v>ЭТАЖ ЗАДАН ЧИСЛОМ</v>
      </c>
      <c r="M620" s="13" t="b">
        <f t="shared" si="64"/>
        <v>0</v>
      </c>
      <c r="N620" s="13">
        <f t="shared" si="65"/>
        <v>2</v>
      </c>
      <c r="O620" s="13" t="str">
        <f t="shared" si="66"/>
        <v>ЭТАЖ ЗАДАН ЧИСЛОМ</v>
      </c>
      <c r="P620" s="13" t="str">
        <f t="shared" si="67"/>
        <v>ЭТАЖ ЗАДАН ЧИСЛОМ</v>
      </c>
      <c r="Q620" s="13" t="str">
        <f t="shared" si="68"/>
        <v>ГОТОВ</v>
      </c>
      <c r="R620" s="13">
        <f>IFERROR(VLOOKUP(P620,Лист1!A$1:B$20,2,FALSE),0)</f>
        <v>784</v>
      </c>
      <c r="S620" s="13">
        <f t="shared" si="69"/>
        <v>2</v>
      </c>
    </row>
    <row r="621" spans="1:19" x14ac:dyDescent="0.25">
      <c r="A621" s="24" t="s">
        <v>1731</v>
      </c>
      <c r="B621" s="4" t="s">
        <v>1059</v>
      </c>
      <c r="C621" s="25" t="s">
        <v>5</v>
      </c>
      <c r="E621" s="3">
        <v>1</v>
      </c>
      <c r="F621" s="24" t="s">
        <v>1045</v>
      </c>
      <c r="G621" s="25" t="s">
        <v>1069</v>
      </c>
      <c r="H621" s="24" t="s">
        <v>1061</v>
      </c>
      <c r="I621" s="3" t="str">
        <f>IFERROR(VLOOKUP(C621,'Справочник соответствий'!A$2:D$2981,2,FALSE),IF(VALUE(C621)=0,1,VLOOKUP(C621,'Справочник соответствий'!A$2:D$2981,2,FALSE)))</f>
        <v>1</v>
      </c>
      <c r="J621" s="3">
        <f>IFERROR(VLOOKUP(D621,'Справочник соответствий'!A$2:D$2981,2,FALSE),IF(VALUE(D621)=0,0,VLOOKUP(D621,'Справочник соответствий'!A$2:D$2981,2,FALSE)))</f>
        <v>0</v>
      </c>
      <c r="K621" s="3" t="str">
        <f t="shared" si="63"/>
        <v>1</v>
      </c>
      <c r="L621" s="13" t="str">
        <f>IFERROR(VLOOKUP(C621,'Справочник соответствий'!A$2:D$2981,3,FALSE),IF(VALUE(C621)=0,"ЭТАЖ НЕ ОПРЕДЕЛЕН. ПРИНЯТ ПО ДОПУЩЕНИЮ 1",VLOOKUP(C621,'Справочник соответствий'!A$2:D$2981,3,FALSE)))</f>
        <v>ЭТАЖ ЗАДАН ЧИСЛОМ</v>
      </c>
      <c r="M621" s="13" t="b">
        <f t="shared" si="64"/>
        <v>0</v>
      </c>
      <c r="N621" s="13">
        <f t="shared" si="65"/>
        <v>1</v>
      </c>
      <c r="O621" s="13" t="str">
        <f t="shared" si="66"/>
        <v>ЭТАЖ ЗАДАН ЧИСЛОМ</v>
      </c>
      <c r="P621" s="13" t="str">
        <f t="shared" si="67"/>
        <v>ЭТАЖ ЗАДАН ЧИСЛОМ</v>
      </c>
      <c r="Q621" s="13" t="str">
        <f t="shared" si="68"/>
        <v>ГОТОВ</v>
      </c>
      <c r="R621" s="13">
        <f>IFERROR(VLOOKUP(P621,Лист1!A$1:B$20,2,FALSE),0)</f>
        <v>784</v>
      </c>
      <c r="S621" s="13">
        <f t="shared" si="69"/>
        <v>1</v>
      </c>
    </row>
    <row r="622" spans="1:19" x14ac:dyDescent="0.25">
      <c r="A622" s="24" t="s">
        <v>1732</v>
      </c>
      <c r="B622" s="4" t="s">
        <v>1059</v>
      </c>
      <c r="C622" s="25" t="s">
        <v>5</v>
      </c>
      <c r="E622" s="3">
        <v>1</v>
      </c>
      <c r="F622" s="24" t="s">
        <v>1045</v>
      </c>
      <c r="G622" s="25" t="s">
        <v>1072</v>
      </c>
      <c r="H622" s="24" t="s">
        <v>1061</v>
      </c>
      <c r="I622" s="3" t="str">
        <f>IFERROR(VLOOKUP(C622,'Справочник соответствий'!A$2:D$2981,2,FALSE),IF(VALUE(C622)=0,1,VLOOKUP(C622,'Справочник соответствий'!A$2:D$2981,2,FALSE)))</f>
        <v>1</v>
      </c>
      <c r="J622" s="3">
        <f>IFERROR(VLOOKUP(D622,'Справочник соответствий'!A$2:D$2981,2,FALSE),IF(VALUE(D622)=0,0,VLOOKUP(D622,'Справочник соответствий'!A$2:D$2981,2,FALSE)))</f>
        <v>0</v>
      </c>
      <c r="K622" s="3" t="str">
        <f t="shared" si="63"/>
        <v>1</v>
      </c>
      <c r="L622" s="13" t="str">
        <f>IFERROR(VLOOKUP(C622,'Справочник соответствий'!A$2:D$2981,3,FALSE),IF(VALUE(C622)=0,"ЭТАЖ НЕ ОПРЕДЕЛЕН. ПРИНЯТ ПО ДОПУЩЕНИЮ 1",VLOOKUP(C622,'Справочник соответствий'!A$2:D$2981,3,FALSE)))</f>
        <v>ЭТАЖ ЗАДАН ЧИСЛОМ</v>
      </c>
      <c r="M622" s="13" t="b">
        <f t="shared" si="64"/>
        <v>0</v>
      </c>
      <c r="N622" s="13">
        <f t="shared" si="65"/>
        <v>1</v>
      </c>
      <c r="O622" s="13" t="str">
        <f t="shared" si="66"/>
        <v>ЭТАЖ ЗАДАН ЧИСЛОМ</v>
      </c>
      <c r="P622" s="13" t="str">
        <f t="shared" si="67"/>
        <v>ЭТАЖ ЗАДАН ЧИСЛОМ</v>
      </c>
      <c r="Q622" s="13" t="str">
        <f t="shared" si="68"/>
        <v>ГОТОВ</v>
      </c>
      <c r="R622" s="13">
        <f>IFERROR(VLOOKUP(P622,Лист1!A$1:B$20,2,FALSE),0)</f>
        <v>784</v>
      </c>
      <c r="S622" s="13">
        <f t="shared" si="69"/>
        <v>1</v>
      </c>
    </row>
    <row r="623" spans="1:19" x14ac:dyDescent="0.25">
      <c r="A623" s="24" t="s">
        <v>1733</v>
      </c>
      <c r="B623" s="4" t="s">
        <v>1031</v>
      </c>
      <c r="C623" s="25" t="s">
        <v>5</v>
      </c>
      <c r="E623" s="3">
        <v>1</v>
      </c>
      <c r="F623" s="24" t="s">
        <v>1045</v>
      </c>
      <c r="G623" s="25" t="s">
        <v>1075</v>
      </c>
      <c r="H623" s="24" t="s">
        <v>1061</v>
      </c>
      <c r="I623" s="3" t="str">
        <f>IFERROR(VLOOKUP(C623,'Справочник соответствий'!A$2:D$2981,2,FALSE),IF(VALUE(C623)=0,1,VLOOKUP(C623,'Справочник соответствий'!A$2:D$2981,2,FALSE)))</f>
        <v>1</v>
      </c>
      <c r="J623" s="3">
        <f>IFERROR(VLOOKUP(D623,'Справочник соответствий'!A$2:D$2981,2,FALSE),IF(VALUE(D623)=0,0,VLOOKUP(D623,'Справочник соответствий'!A$2:D$2981,2,FALSE)))</f>
        <v>0</v>
      </c>
      <c r="K623" s="3">
        <f t="shared" si="63"/>
        <v>1</v>
      </c>
      <c r="L623" s="13" t="str">
        <f>IFERROR(VLOOKUP(C623,'Справочник соответствий'!A$2:D$2981,3,FALSE),IF(VALUE(C623)=0,"ЭТАЖ НЕ ОПРЕДЕЛЕН. ПРИНЯТ ПО ДОПУЩЕНИЮ 1",VLOOKUP(C623,'Справочник соответствий'!A$2:D$2981,3,FALSE)))</f>
        <v>ЭТАЖ ЗАДАН ЧИСЛОМ</v>
      </c>
      <c r="M623" s="13" t="b">
        <f t="shared" si="64"/>
        <v>0</v>
      </c>
      <c r="N623" s="13">
        <f t="shared" si="65"/>
        <v>1</v>
      </c>
      <c r="O623" s="13" t="str">
        <f t="shared" si="66"/>
        <v>ЭТАЖ ЗАДАН ЧИСЛОМ</v>
      </c>
      <c r="P623" s="13" t="str">
        <f t="shared" si="67"/>
        <v>МКД_ЭТАЖ ЗАДАН ЧИСЛОМ</v>
      </c>
      <c r="Q623" s="13" t="str">
        <f t="shared" si="68"/>
        <v>ГОТОВ</v>
      </c>
      <c r="R623" s="13">
        <f>IFERROR(VLOOKUP(P623,Лист1!A$1:B$20,2,FALSE),0)</f>
        <v>786</v>
      </c>
      <c r="S623" s="13">
        <f t="shared" si="69"/>
        <v>1</v>
      </c>
    </row>
    <row r="624" spans="1:19" x14ac:dyDescent="0.25">
      <c r="A624" s="24" t="s">
        <v>1734</v>
      </c>
      <c r="B624" s="4" t="s">
        <v>1059</v>
      </c>
      <c r="C624" s="25" t="s">
        <v>5</v>
      </c>
      <c r="E624" s="3">
        <v>1</v>
      </c>
      <c r="F624" s="24" t="s">
        <v>1045</v>
      </c>
      <c r="G624" s="25" t="s">
        <v>1219</v>
      </c>
      <c r="H624" s="24" t="s">
        <v>1061</v>
      </c>
      <c r="I624" s="3" t="str">
        <f>IFERROR(VLOOKUP(C624,'Справочник соответствий'!A$2:D$2981,2,FALSE),IF(VALUE(C624)=0,1,VLOOKUP(C624,'Справочник соответствий'!A$2:D$2981,2,FALSE)))</f>
        <v>1</v>
      </c>
      <c r="J624" s="3">
        <f>IFERROR(VLOOKUP(D624,'Справочник соответствий'!A$2:D$2981,2,FALSE),IF(VALUE(D624)=0,0,VLOOKUP(D624,'Справочник соответствий'!A$2:D$2981,2,FALSE)))</f>
        <v>0</v>
      </c>
      <c r="K624" s="3" t="str">
        <f t="shared" si="63"/>
        <v>1</v>
      </c>
      <c r="L624" s="13" t="str">
        <f>IFERROR(VLOOKUP(C624,'Справочник соответствий'!A$2:D$2981,3,FALSE),IF(VALUE(C624)=0,"ЭТАЖ НЕ ОПРЕДЕЛЕН. ПРИНЯТ ПО ДОПУЩЕНИЮ 1",VLOOKUP(C624,'Справочник соответствий'!A$2:D$2981,3,FALSE)))</f>
        <v>ЭТАЖ ЗАДАН ЧИСЛОМ</v>
      </c>
      <c r="M624" s="13" t="b">
        <f t="shared" si="64"/>
        <v>0</v>
      </c>
      <c r="N624" s="13">
        <f t="shared" si="65"/>
        <v>1</v>
      </c>
      <c r="O624" s="13" t="str">
        <f t="shared" si="66"/>
        <v>ЭТАЖ ЗАДАН ЧИСЛОМ</v>
      </c>
      <c r="P624" s="13" t="str">
        <f t="shared" si="67"/>
        <v>ЭТАЖ ЗАДАН ЧИСЛОМ</v>
      </c>
      <c r="Q624" s="13" t="str">
        <f t="shared" si="68"/>
        <v>ГОТОВ</v>
      </c>
      <c r="R624" s="13">
        <f>IFERROR(VLOOKUP(P624,Лист1!A$1:B$20,2,FALSE),0)</f>
        <v>784</v>
      </c>
      <c r="S624" s="13">
        <f t="shared" si="69"/>
        <v>1</v>
      </c>
    </row>
    <row r="625" spans="1:19" x14ac:dyDescent="0.25">
      <c r="A625" s="24" t="s">
        <v>1735</v>
      </c>
      <c r="B625" s="4" t="s">
        <v>1059</v>
      </c>
      <c r="C625" s="25" t="s">
        <v>7</v>
      </c>
      <c r="E625" s="3">
        <v>1</v>
      </c>
      <c r="F625" s="24" t="s">
        <v>1045</v>
      </c>
      <c r="G625" s="25" t="s">
        <v>1106</v>
      </c>
      <c r="H625" s="24" t="s">
        <v>1061</v>
      </c>
      <c r="I625" s="3" t="str">
        <f>IFERROR(VLOOKUP(C625,'Справочник соответствий'!A$2:D$2981,2,FALSE),IF(VALUE(C625)=0,1,VLOOKUP(C625,'Справочник соответствий'!A$2:D$2981,2,FALSE)))</f>
        <v>2</v>
      </c>
      <c r="J625" s="3">
        <f>IFERROR(VLOOKUP(D625,'Справочник соответствий'!A$2:D$2981,2,FALSE),IF(VALUE(D625)=0,0,VLOOKUP(D625,'Справочник соответствий'!A$2:D$2981,2,FALSE)))</f>
        <v>0</v>
      </c>
      <c r="K625" s="3" t="str">
        <f t="shared" si="63"/>
        <v>2</v>
      </c>
      <c r="L625" s="13" t="str">
        <f>IFERROR(VLOOKUP(C625,'Справочник соответствий'!A$2:D$2981,3,FALSE),IF(VALUE(C625)=0,"ЭТАЖ НЕ ОПРЕДЕЛЕН. ПРИНЯТ ПО ДОПУЩЕНИЮ 1",VLOOKUP(C625,'Справочник соответствий'!A$2:D$2981,3,FALSE)))</f>
        <v>ЭТАЖ ЗАДАН ЧИСЛОМ</v>
      </c>
      <c r="M625" s="13" t="b">
        <f t="shared" si="64"/>
        <v>0</v>
      </c>
      <c r="N625" s="13">
        <f t="shared" si="65"/>
        <v>2</v>
      </c>
      <c r="O625" s="13" t="str">
        <f t="shared" si="66"/>
        <v>ЭТАЖ ЗАДАН ЧИСЛОМ</v>
      </c>
      <c r="P625" s="13" t="str">
        <f t="shared" si="67"/>
        <v>ЭТАЖ ЗАДАН ЧИСЛОМ</v>
      </c>
      <c r="Q625" s="13" t="str">
        <f t="shared" si="68"/>
        <v>ГОТОВ_ИЗМЕНЕН</v>
      </c>
      <c r="R625" s="13">
        <f>IFERROR(VLOOKUP(P625,Лист1!A$1:B$20,2,FALSE),0)</f>
        <v>784</v>
      </c>
      <c r="S625" s="13">
        <f t="shared" si="69"/>
        <v>1</v>
      </c>
    </row>
    <row r="626" spans="1:19" x14ac:dyDescent="0.25">
      <c r="A626" s="24" t="s">
        <v>1736</v>
      </c>
      <c r="B626" s="4" t="s">
        <v>1059</v>
      </c>
      <c r="C626" s="25" t="s">
        <v>5</v>
      </c>
      <c r="E626" s="3">
        <v>1</v>
      </c>
      <c r="F626" s="24" t="s">
        <v>1045</v>
      </c>
      <c r="G626" s="25" t="s">
        <v>1072</v>
      </c>
      <c r="H626" s="24" t="s">
        <v>1061</v>
      </c>
      <c r="I626" s="3" t="str">
        <f>IFERROR(VLOOKUP(C626,'Справочник соответствий'!A$2:D$2981,2,FALSE),IF(VALUE(C626)=0,1,VLOOKUP(C626,'Справочник соответствий'!A$2:D$2981,2,FALSE)))</f>
        <v>1</v>
      </c>
      <c r="J626" s="3">
        <f>IFERROR(VLOOKUP(D626,'Справочник соответствий'!A$2:D$2981,2,FALSE),IF(VALUE(D626)=0,0,VLOOKUP(D626,'Справочник соответствий'!A$2:D$2981,2,FALSE)))</f>
        <v>0</v>
      </c>
      <c r="K626" s="3" t="str">
        <f t="shared" si="63"/>
        <v>1</v>
      </c>
      <c r="L626" s="13" t="str">
        <f>IFERROR(VLOOKUP(C626,'Справочник соответствий'!A$2:D$2981,3,FALSE),IF(VALUE(C626)=0,"ЭТАЖ НЕ ОПРЕДЕЛЕН. ПРИНЯТ ПО ДОПУЩЕНИЮ 1",VLOOKUP(C626,'Справочник соответствий'!A$2:D$2981,3,FALSE)))</f>
        <v>ЭТАЖ ЗАДАН ЧИСЛОМ</v>
      </c>
      <c r="M626" s="13" t="b">
        <f t="shared" si="64"/>
        <v>0</v>
      </c>
      <c r="N626" s="13">
        <f t="shared" si="65"/>
        <v>1</v>
      </c>
      <c r="O626" s="13" t="str">
        <f t="shared" si="66"/>
        <v>ЭТАЖ ЗАДАН ЧИСЛОМ</v>
      </c>
      <c r="P626" s="13" t="str">
        <f t="shared" si="67"/>
        <v>ЭТАЖ ЗАДАН ЧИСЛОМ</v>
      </c>
      <c r="Q626" s="13" t="str">
        <f t="shared" si="68"/>
        <v>ГОТОВ</v>
      </c>
      <c r="R626" s="13">
        <f>IFERROR(VLOOKUP(P626,Лист1!A$1:B$20,2,FALSE),0)</f>
        <v>784</v>
      </c>
      <c r="S626" s="13">
        <f t="shared" si="69"/>
        <v>1</v>
      </c>
    </row>
    <row r="627" spans="1:19" x14ac:dyDescent="0.25">
      <c r="A627" s="24" t="s">
        <v>1737</v>
      </c>
      <c r="B627" s="4" t="s">
        <v>1063</v>
      </c>
      <c r="C627" s="25" t="s">
        <v>5</v>
      </c>
      <c r="E627" s="3">
        <v>1</v>
      </c>
      <c r="F627" s="24" t="s">
        <v>1045</v>
      </c>
      <c r="G627" s="25" t="s">
        <v>1060</v>
      </c>
      <c r="H627" s="24" t="s">
        <v>1061</v>
      </c>
      <c r="I627" s="3" t="str">
        <f>IFERROR(VLOOKUP(C627,'Справочник соответствий'!A$2:D$2981,2,FALSE),IF(VALUE(C627)=0,1,VLOOKUP(C627,'Справочник соответствий'!A$2:D$2981,2,FALSE)))</f>
        <v>1</v>
      </c>
      <c r="J627" s="3">
        <f>IFERROR(VLOOKUP(D627,'Справочник соответствий'!A$2:D$2981,2,FALSE),IF(VALUE(D627)=0,0,VLOOKUP(D627,'Справочник соответствий'!A$2:D$2981,2,FALSE)))</f>
        <v>0</v>
      </c>
      <c r="K627" s="3" t="str">
        <f t="shared" si="63"/>
        <v>1</v>
      </c>
      <c r="L627" s="13" t="str">
        <f>IFERROR(VLOOKUP(C627,'Справочник соответствий'!A$2:D$2981,3,FALSE),IF(VALUE(C627)=0,"ЭТАЖ НЕ ОПРЕДЕЛЕН. ПРИНЯТ ПО ДОПУЩЕНИЮ 1",VLOOKUP(C627,'Справочник соответствий'!A$2:D$2981,3,FALSE)))</f>
        <v>ЭТАЖ ЗАДАН ЧИСЛОМ</v>
      </c>
      <c r="M627" s="13" t="b">
        <f t="shared" si="64"/>
        <v>0</v>
      </c>
      <c r="N627" s="13">
        <f t="shared" si="65"/>
        <v>1</v>
      </c>
      <c r="O627" s="13" t="str">
        <f t="shared" si="66"/>
        <v>ЭТАЖ ЗАДАН ЧИСЛОМ</v>
      </c>
      <c r="P627" s="13" t="str">
        <f t="shared" si="67"/>
        <v>ЭТАЖ ЗАДАН ЧИСЛОМ</v>
      </c>
      <c r="Q627" s="13" t="str">
        <f t="shared" si="68"/>
        <v>ГОТОВ</v>
      </c>
      <c r="R627" s="13">
        <f>IFERROR(VLOOKUP(P627,Лист1!A$1:B$20,2,FALSE),0)</f>
        <v>784</v>
      </c>
      <c r="S627" s="13">
        <f t="shared" si="69"/>
        <v>1</v>
      </c>
    </row>
    <row r="628" spans="1:19" x14ac:dyDescent="0.25">
      <c r="A628" s="24" t="s">
        <v>1738</v>
      </c>
      <c r="B628" s="4" t="s">
        <v>1063</v>
      </c>
      <c r="C628" s="25" t="s">
        <v>7</v>
      </c>
      <c r="E628" s="3">
        <v>2</v>
      </c>
      <c r="F628" s="24" t="s">
        <v>1045</v>
      </c>
      <c r="G628" s="25" t="s">
        <v>1086</v>
      </c>
      <c r="H628" s="24" t="s">
        <v>1061</v>
      </c>
      <c r="I628" s="3" t="str">
        <f>IFERROR(VLOOKUP(C628,'Справочник соответствий'!A$2:D$2981,2,FALSE),IF(VALUE(C628)=0,1,VLOOKUP(C628,'Справочник соответствий'!A$2:D$2981,2,FALSE)))</f>
        <v>2</v>
      </c>
      <c r="J628" s="3">
        <f>IFERROR(VLOOKUP(D628,'Справочник соответствий'!A$2:D$2981,2,FALSE),IF(VALUE(D628)=0,0,VLOOKUP(D628,'Справочник соответствий'!A$2:D$2981,2,FALSE)))</f>
        <v>0</v>
      </c>
      <c r="K628" s="3" t="str">
        <f t="shared" si="63"/>
        <v>2</v>
      </c>
      <c r="L628" s="13" t="str">
        <f>IFERROR(VLOOKUP(C628,'Справочник соответствий'!A$2:D$2981,3,FALSE),IF(VALUE(C628)=0,"ЭТАЖ НЕ ОПРЕДЕЛЕН. ПРИНЯТ ПО ДОПУЩЕНИЮ 1",VLOOKUP(C628,'Справочник соответствий'!A$2:D$2981,3,FALSE)))</f>
        <v>ЭТАЖ ЗАДАН ЧИСЛОМ</v>
      </c>
      <c r="M628" s="13" t="b">
        <f t="shared" si="64"/>
        <v>0</v>
      </c>
      <c r="N628" s="13">
        <f t="shared" si="65"/>
        <v>2</v>
      </c>
      <c r="O628" s="13" t="str">
        <f t="shared" si="66"/>
        <v>ЭТАЖ ЗАДАН ЧИСЛОМ</v>
      </c>
      <c r="P628" s="13" t="str">
        <f t="shared" si="67"/>
        <v>ЭТАЖ ЗАДАН ЧИСЛОМ</v>
      </c>
      <c r="Q628" s="13" t="str">
        <f t="shared" si="68"/>
        <v>ГОТОВ</v>
      </c>
      <c r="R628" s="13">
        <f>IFERROR(VLOOKUP(P628,Лист1!A$1:B$20,2,FALSE),0)</f>
        <v>784</v>
      </c>
      <c r="S628" s="13">
        <f t="shared" si="69"/>
        <v>2</v>
      </c>
    </row>
    <row r="629" spans="1:19" x14ac:dyDescent="0.25">
      <c r="A629" s="24" t="s">
        <v>1739</v>
      </c>
      <c r="B629" s="4" t="s">
        <v>1059</v>
      </c>
      <c r="C629" s="25" t="s">
        <v>5</v>
      </c>
      <c r="E629" s="3">
        <v>1</v>
      </c>
      <c r="F629" s="24" t="s">
        <v>1045</v>
      </c>
      <c r="G629" s="25" t="s">
        <v>1072</v>
      </c>
      <c r="H629" s="24" t="s">
        <v>1061</v>
      </c>
      <c r="I629" s="3" t="str">
        <f>IFERROR(VLOOKUP(C629,'Справочник соответствий'!A$2:D$2981,2,FALSE),IF(VALUE(C629)=0,1,VLOOKUP(C629,'Справочник соответствий'!A$2:D$2981,2,FALSE)))</f>
        <v>1</v>
      </c>
      <c r="J629" s="3">
        <f>IFERROR(VLOOKUP(D629,'Справочник соответствий'!A$2:D$2981,2,FALSE),IF(VALUE(D629)=0,0,VLOOKUP(D629,'Справочник соответствий'!A$2:D$2981,2,FALSE)))</f>
        <v>0</v>
      </c>
      <c r="K629" s="3" t="str">
        <f t="shared" si="63"/>
        <v>1</v>
      </c>
      <c r="L629" s="13" t="str">
        <f>IFERROR(VLOOKUP(C629,'Справочник соответствий'!A$2:D$2981,3,FALSE),IF(VALUE(C629)=0,"ЭТАЖ НЕ ОПРЕДЕЛЕН. ПРИНЯТ ПО ДОПУЩЕНИЮ 1",VLOOKUP(C629,'Справочник соответствий'!A$2:D$2981,3,FALSE)))</f>
        <v>ЭТАЖ ЗАДАН ЧИСЛОМ</v>
      </c>
      <c r="M629" s="13" t="b">
        <f t="shared" si="64"/>
        <v>0</v>
      </c>
      <c r="N629" s="13">
        <f t="shared" si="65"/>
        <v>1</v>
      </c>
      <c r="O629" s="13" t="str">
        <f t="shared" si="66"/>
        <v>ЭТАЖ ЗАДАН ЧИСЛОМ</v>
      </c>
      <c r="P629" s="13" t="str">
        <f t="shared" si="67"/>
        <v>ЭТАЖ ЗАДАН ЧИСЛОМ</v>
      </c>
      <c r="Q629" s="13" t="str">
        <f t="shared" si="68"/>
        <v>ГОТОВ</v>
      </c>
      <c r="R629" s="13">
        <f>IFERROR(VLOOKUP(P629,Лист1!A$1:B$20,2,FALSE),0)</f>
        <v>784</v>
      </c>
      <c r="S629" s="13">
        <f t="shared" si="69"/>
        <v>1</v>
      </c>
    </row>
    <row r="630" spans="1:19" x14ac:dyDescent="0.25">
      <c r="A630" s="24" t="s">
        <v>1740</v>
      </c>
      <c r="B630" s="4" t="s">
        <v>1063</v>
      </c>
      <c r="C630" s="25" t="s">
        <v>5</v>
      </c>
      <c r="E630" s="3">
        <v>1</v>
      </c>
      <c r="F630" s="24" t="s">
        <v>1045</v>
      </c>
      <c r="G630" s="25" t="s">
        <v>1072</v>
      </c>
      <c r="H630" s="24" t="s">
        <v>1061</v>
      </c>
      <c r="I630" s="3" t="str">
        <f>IFERROR(VLOOKUP(C630,'Справочник соответствий'!A$2:D$2981,2,FALSE),IF(VALUE(C630)=0,1,VLOOKUP(C630,'Справочник соответствий'!A$2:D$2981,2,FALSE)))</f>
        <v>1</v>
      </c>
      <c r="J630" s="3">
        <f>IFERROR(VLOOKUP(D630,'Справочник соответствий'!A$2:D$2981,2,FALSE),IF(VALUE(D630)=0,0,VLOOKUP(D630,'Справочник соответствий'!A$2:D$2981,2,FALSE)))</f>
        <v>0</v>
      </c>
      <c r="K630" s="3" t="str">
        <f t="shared" si="63"/>
        <v>1</v>
      </c>
      <c r="L630" s="13" t="str">
        <f>IFERROR(VLOOKUP(C630,'Справочник соответствий'!A$2:D$2981,3,FALSE),IF(VALUE(C630)=0,"ЭТАЖ НЕ ОПРЕДЕЛЕН. ПРИНЯТ ПО ДОПУЩЕНИЮ 1",VLOOKUP(C630,'Справочник соответствий'!A$2:D$2981,3,FALSE)))</f>
        <v>ЭТАЖ ЗАДАН ЧИСЛОМ</v>
      </c>
      <c r="M630" s="13" t="b">
        <f t="shared" si="64"/>
        <v>0</v>
      </c>
      <c r="N630" s="13">
        <f t="shared" si="65"/>
        <v>1</v>
      </c>
      <c r="O630" s="13" t="str">
        <f t="shared" si="66"/>
        <v>ЭТАЖ ЗАДАН ЧИСЛОМ</v>
      </c>
      <c r="P630" s="13" t="str">
        <f t="shared" si="67"/>
        <v>ЭТАЖ ЗАДАН ЧИСЛОМ</v>
      </c>
      <c r="Q630" s="13" t="str">
        <f t="shared" si="68"/>
        <v>ГОТОВ</v>
      </c>
      <c r="R630" s="13">
        <f>IFERROR(VLOOKUP(P630,Лист1!A$1:B$20,2,FALSE),0)</f>
        <v>784</v>
      </c>
      <c r="S630" s="13">
        <f t="shared" si="69"/>
        <v>1</v>
      </c>
    </row>
    <row r="631" spans="1:19" x14ac:dyDescent="0.25">
      <c r="A631" s="24" t="s">
        <v>1741</v>
      </c>
      <c r="B631" s="4" t="s">
        <v>1063</v>
      </c>
      <c r="C631" s="25" t="s">
        <v>7</v>
      </c>
      <c r="E631" s="3">
        <v>2</v>
      </c>
      <c r="F631" s="24" t="s">
        <v>1045</v>
      </c>
      <c r="G631" s="25" t="s">
        <v>1114</v>
      </c>
      <c r="H631" s="24" t="s">
        <v>1061</v>
      </c>
      <c r="I631" s="3" t="str">
        <f>IFERROR(VLOOKUP(C631,'Справочник соответствий'!A$2:D$2981,2,FALSE),IF(VALUE(C631)=0,1,VLOOKUP(C631,'Справочник соответствий'!A$2:D$2981,2,FALSE)))</f>
        <v>2</v>
      </c>
      <c r="J631" s="3">
        <f>IFERROR(VLOOKUP(D631,'Справочник соответствий'!A$2:D$2981,2,FALSE),IF(VALUE(D631)=0,0,VLOOKUP(D631,'Справочник соответствий'!A$2:D$2981,2,FALSE)))</f>
        <v>0</v>
      </c>
      <c r="K631" s="3" t="str">
        <f t="shared" si="63"/>
        <v>2</v>
      </c>
      <c r="L631" s="13" t="str">
        <f>IFERROR(VLOOKUP(C631,'Справочник соответствий'!A$2:D$2981,3,FALSE),IF(VALUE(C631)=0,"ЭТАЖ НЕ ОПРЕДЕЛЕН. ПРИНЯТ ПО ДОПУЩЕНИЮ 1",VLOOKUP(C631,'Справочник соответствий'!A$2:D$2981,3,FALSE)))</f>
        <v>ЭТАЖ ЗАДАН ЧИСЛОМ</v>
      </c>
      <c r="M631" s="13" t="b">
        <f t="shared" si="64"/>
        <v>0</v>
      </c>
      <c r="N631" s="13">
        <f t="shared" si="65"/>
        <v>2</v>
      </c>
      <c r="O631" s="13" t="str">
        <f t="shared" si="66"/>
        <v>ЭТАЖ ЗАДАН ЧИСЛОМ</v>
      </c>
      <c r="P631" s="13" t="str">
        <f t="shared" si="67"/>
        <v>ЭТАЖ ЗАДАН ЧИСЛОМ</v>
      </c>
      <c r="Q631" s="13" t="str">
        <f t="shared" si="68"/>
        <v>ГОТОВ</v>
      </c>
      <c r="R631" s="13">
        <f>IFERROR(VLOOKUP(P631,Лист1!A$1:B$20,2,FALSE),0)</f>
        <v>784</v>
      </c>
      <c r="S631" s="13">
        <f t="shared" si="69"/>
        <v>2</v>
      </c>
    </row>
    <row r="632" spans="1:19" x14ac:dyDescent="0.25">
      <c r="A632" s="24" t="s">
        <v>1742</v>
      </c>
      <c r="B632" s="4" t="s">
        <v>1031</v>
      </c>
      <c r="C632" s="25" t="s">
        <v>5</v>
      </c>
      <c r="E632" s="3">
        <v>1</v>
      </c>
      <c r="F632" s="24" t="s">
        <v>1045</v>
      </c>
      <c r="G632" s="25" t="s">
        <v>1096</v>
      </c>
      <c r="H632" s="24" t="s">
        <v>1061</v>
      </c>
      <c r="I632" s="3" t="str">
        <f>IFERROR(VLOOKUP(C632,'Справочник соответствий'!A$2:D$2981,2,FALSE),IF(VALUE(C632)=0,1,VLOOKUP(C632,'Справочник соответствий'!A$2:D$2981,2,FALSE)))</f>
        <v>1</v>
      </c>
      <c r="J632" s="3">
        <f>IFERROR(VLOOKUP(D632,'Справочник соответствий'!A$2:D$2981,2,FALSE),IF(VALUE(D632)=0,0,VLOOKUP(D632,'Справочник соответствий'!A$2:D$2981,2,FALSE)))</f>
        <v>0</v>
      </c>
      <c r="K632" s="3">
        <f t="shared" si="63"/>
        <v>1</v>
      </c>
      <c r="L632" s="13" t="str">
        <f>IFERROR(VLOOKUP(C632,'Справочник соответствий'!A$2:D$2981,3,FALSE),IF(VALUE(C632)=0,"ЭТАЖ НЕ ОПРЕДЕЛЕН. ПРИНЯТ ПО ДОПУЩЕНИЮ 1",VLOOKUP(C632,'Справочник соответствий'!A$2:D$2981,3,FALSE)))</f>
        <v>ЭТАЖ ЗАДАН ЧИСЛОМ</v>
      </c>
      <c r="M632" s="13" t="b">
        <f t="shared" si="64"/>
        <v>0</v>
      </c>
      <c r="N632" s="13">
        <f t="shared" si="65"/>
        <v>1</v>
      </c>
      <c r="O632" s="13" t="str">
        <f t="shared" si="66"/>
        <v>ЭТАЖ ЗАДАН ЧИСЛОМ</v>
      </c>
      <c r="P632" s="13" t="str">
        <f t="shared" si="67"/>
        <v>МКД_ЭТАЖ ЗАДАН ЧИСЛОМ</v>
      </c>
      <c r="Q632" s="13" t="str">
        <f t="shared" si="68"/>
        <v>ГОТОВ</v>
      </c>
      <c r="R632" s="13">
        <f>IFERROR(VLOOKUP(P632,Лист1!A$1:B$20,2,FALSE),0)</f>
        <v>786</v>
      </c>
      <c r="S632" s="13">
        <f t="shared" si="69"/>
        <v>1</v>
      </c>
    </row>
    <row r="633" spans="1:19" x14ac:dyDescent="0.25">
      <c r="A633" s="24" t="s">
        <v>1743</v>
      </c>
      <c r="B633" s="4" t="s">
        <v>1059</v>
      </c>
      <c r="C633" s="25" t="s">
        <v>7</v>
      </c>
      <c r="E633" s="3">
        <v>1</v>
      </c>
      <c r="F633" s="24" t="s">
        <v>1045</v>
      </c>
      <c r="G633" s="25" t="s">
        <v>1086</v>
      </c>
      <c r="H633" s="24" t="s">
        <v>1061</v>
      </c>
      <c r="I633" s="3" t="str">
        <f>IFERROR(VLOOKUP(C633,'Справочник соответствий'!A$2:D$2981,2,FALSE),IF(VALUE(C633)=0,1,VLOOKUP(C633,'Справочник соответствий'!A$2:D$2981,2,FALSE)))</f>
        <v>2</v>
      </c>
      <c r="J633" s="3">
        <f>IFERROR(VLOOKUP(D633,'Справочник соответствий'!A$2:D$2981,2,FALSE),IF(VALUE(D633)=0,0,VLOOKUP(D633,'Справочник соответствий'!A$2:D$2981,2,FALSE)))</f>
        <v>0</v>
      </c>
      <c r="K633" s="3" t="str">
        <f t="shared" si="63"/>
        <v>2</v>
      </c>
      <c r="L633" s="13" t="str">
        <f>IFERROR(VLOOKUP(C633,'Справочник соответствий'!A$2:D$2981,3,FALSE),IF(VALUE(C633)=0,"ЭТАЖ НЕ ОПРЕДЕЛЕН. ПРИНЯТ ПО ДОПУЩЕНИЮ 1",VLOOKUP(C633,'Справочник соответствий'!A$2:D$2981,3,FALSE)))</f>
        <v>ЭТАЖ ЗАДАН ЧИСЛОМ</v>
      </c>
      <c r="M633" s="13" t="b">
        <f t="shared" si="64"/>
        <v>0</v>
      </c>
      <c r="N633" s="13">
        <f t="shared" si="65"/>
        <v>2</v>
      </c>
      <c r="O633" s="13" t="str">
        <f t="shared" si="66"/>
        <v>ЭТАЖ ЗАДАН ЧИСЛОМ</v>
      </c>
      <c r="P633" s="13" t="str">
        <f t="shared" si="67"/>
        <v>ЭТАЖ ЗАДАН ЧИСЛОМ</v>
      </c>
      <c r="Q633" s="13" t="str">
        <f t="shared" si="68"/>
        <v>ГОТОВ_ИЗМЕНЕН</v>
      </c>
      <c r="R633" s="13">
        <f>IFERROR(VLOOKUP(P633,Лист1!A$1:B$20,2,FALSE),0)</f>
        <v>784</v>
      </c>
      <c r="S633" s="13">
        <f t="shared" si="69"/>
        <v>1</v>
      </c>
    </row>
    <row r="634" spans="1:19" x14ac:dyDescent="0.25">
      <c r="A634" s="24" t="s">
        <v>1744</v>
      </c>
      <c r="B634" s="4" t="s">
        <v>1059</v>
      </c>
      <c r="C634" s="25" t="s">
        <v>7</v>
      </c>
      <c r="E634" s="3">
        <v>2</v>
      </c>
      <c r="F634" s="24" t="s">
        <v>1045</v>
      </c>
      <c r="G634" s="25" t="s">
        <v>1083</v>
      </c>
      <c r="H634" s="24" t="s">
        <v>1061</v>
      </c>
      <c r="I634" s="3" t="str">
        <f>IFERROR(VLOOKUP(C634,'Справочник соответствий'!A$2:D$2981,2,FALSE),IF(VALUE(C634)=0,1,VLOOKUP(C634,'Справочник соответствий'!A$2:D$2981,2,FALSE)))</f>
        <v>2</v>
      </c>
      <c r="J634" s="3">
        <f>IFERROR(VLOOKUP(D634,'Справочник соответствий'!A$2:D$2981,2,FALSE),IF(VALUE(D634)=0,0,VLOOKUP(D634,'Справочник соответствий'!A$2:D$2981,2,FALSE)))</f>
        <v>0</v>
      </c>
      <c r="K634" s="3" t="str">
        <f t="shared" si="63"/>
        <v>2</v>
      </c>
      <c r="L634" s="13" t="str">
        <f>IFERROR(VLOOKUP(C634,'Справочник соответствий'!A$2:D$2981,3,FALSE),IF(VALUE(C634)=0,"ЭТАЖ НЕ ОПРЕДЕЛЕН. ПРИНЯТ ПО ДОПУЩЕНИЮ 1",VLOOKUP(C634,'Справочник соответствий'!A$2:D$2981,3,FALSE)))</f>
        <v>ЭТАЖ ЗАДАН ЧИСЛОМ</v>
      </c>
      <c r="M634" s="13" t="b">
        <f t="shared" si="64"/>
        <v>0</v>
      </c>
      <c r="N634" s="13">
        <f t="shared" si="65"/>
        <v>2</v>
      </c>
      <c r="O634" s="13" t="str">
        <f t="shared" si="66"/>
        <v>ЭТАЖ ЗАДАН ЧИСЛОМ</v>
      </c>
      <c r="P634" s="13" t="str">
        <f t="shared" si="67"/>
        <v>ЭТАЖ ЗАДАН ЧИСЛОМ</v>
      </c>
      <c r="Q634" s="13" t="str">
        <f t="shared" si="68"/>
        <v>ГОТОВ</v>
      </c>
      <c r="R634" s="13">
        <f>IFERROR(VLOOKUP(P634,Лист1!A$1:B$20,2,FALSE),0)</f>
        <v>784</v>
      </c>
      <c r="S634" s="13">
        <f t="shared" si="69"/>
        <v>2</v>
      </c>
    </row>
    <row r="635" spans="1:19" x14ac:dyDescent="0.25">
      <c r="A635" s="24" t="s">
        <v>1745</v>
      </c>
      <c r="B635" s="4" t="s">
        <v>1059</v>
      </c>
      <c r="C635" s="25" t="s">
        <v>5</v>
      </c>
      <c r="E635" s="3">
        <v>1</v>
      </c>
      <c r="F635" s="24" t="s">
        <v>1045</v>
      </c>
      <c r="G635" s="25" t="s">
        <v>1072</v>
      </c>
      <c r="H635" s="24" t="s">
        <v>1061</v>
      </c>
      <c r="I635" s="3" t="str">
        <f>IFERROR(VLOOKUP(C635,'Справочник соответствий'!A$2:D$2981,2,FALSE),IF(VALUE(C635)=0,1,VLOOKUP(C635,'Справочник соответствий'!A$2:D$2981,2,FALSE)))</f>
        <v>1</v>
      </c>
      <c r="J635" s="3">
        <f>IFERROR(VLOOKUP(D635,'Справочник соответствий'!A$2:D$2981,2,FALSE),IF(VALUE(D635)=0,0,VLOOKUP(D635,'Справочник соответствий'!A$2:D$2981,2,FALSE)))</f>
        <v>0</v>
      </c>
      <c r="K635" s="3" t="str">
        <f t="shared" si="63"/>
        <v>1</v>
      </c>
      <c r="L635" s="13" t="str">
        <f>IFERROR(VLOOKUP(C635,'Справочник соответствий'!A$2:D$2981,3,FALSE),IF(VALUE(C635)=0,"ЭТАЖ НЕ ОПРЕДЕЛЕН. ПРИНЯТ ПО ДОПУЩЕНИЮ 1",VLOOKUP(C635,'Справочник соответствий'!A$2:D$2981,3,FALSE)))</f>
        <v>ЭТАЖ ЗАДАН ЧИСЛОМ</v>
      </c>
      <c r="M635" s="13" t="b">
        <f t="shared" si="64"/>
        <v>0</v>
      </c>
      <c r="N635" s="13">
        <f t="shared" si="65"/>
        <v>1</v>
      </c>
      <c r="O635" s="13" t="str">
        <f t="shared" si="66"/>
        <v>ЭТАЖ ЗАДАН ЧИСЛОМ</v>
      </c>
      <c r="P635" s="13" t="str">
        <f t="shared" si="67"/>
        <v>ЭТАЖ ЗАДАН ЧИСЛОМ</v>
      </c>
      <c r="Q635" s="13" t="str">
        <f t="shared" si="68"/>
        <v>ГОТОВ</v>
      </c>
      <c r="R635" s="13">
        <f>IFERROR(VLOOKUP(P635,Лист1!A$1:B$20,2,FALSE),0)</f>
        <v>784</v>
      </c>
      <c r="S635" s="13">
        <f t="shared" si="69"/>
        <v>1</v>
      </c>
    </row>
    <row r="636" spans="1:19" x14ac:dyDescent="0.25">
      <c r="A636" s="24" t="s">
        <v>1746</v>
      </c>
      <c r="B636" s="4" t="s">
        <v>1059</v>
      </c>
      <c r="C636" s="25" t="s">
        <v>5</v>
      </c>
      <c r="E636" s="3">
        <v>1</v>
      </c>
      <c r="F636" s="24" t="s">
        <v>1045</v>
      </c>
      <c r="G636" s="25" t="s">
        <v>1083</v>
      </c>
      <c r="H636" s="24" t="s">
        <v>1061</v>
      </c>
      <c r="I636" s="3" t="str">
        <f>IFERROR(VLOOKUP(C636,'Справочник соответствий'!A$2:D$2981,2,FALSE),IF(VALUE(C636)=0,1,VLOOKUP(C636,'Справочник соответствий'!A$2:D$2981,2,FALSE)))</f>
        <v>1</v>
      </c>
      <c r="J636" s="3">
        <f>IFERROR(VLOOKUP(D636,'Справочник соответствий'!A$2:D$2981,2,FALSE),IF(VALUE(D636)=0,0,VLOOKUP(D636,'Справочник соответствий'!A$2:D$2981,2,FALSE)))</f>
        <v>0</v>
      </c>
      <c r="K636" s="3" t="str">
        <f t="shared" si="63"/>
        <v>1</v>
      </c>
      <c r="L636" s="13" t="str">
        <f>IFERROR(VLOOKUP(C636,'Справочник соответствий'!A$2:D$2981,3,FALSE),IF(VALUE(C636)=0,"ЭТАЖ НЕ ОПРЕДЕЛЕН. ПРИНЯТ ПО ДОПУЩЕНИЮ 1",VLOOKUP(C636,'Справочник соответствий'!A$2:D$2981,3,FALSE)))</f>
        <v>ЭТАЖ ЗАДАН ЧИСЛОМ</v>
      </c>
      <c r="M636" s="13" t="b">
        <f t="shared" si="64"/>
        <v>0</v>
      </c>
      <c r="N636" s="13">
        <f t="shared" si="65"/>
        <v>1</v>
      </c>
      <c r="O636" s="13" t="str">
        <f t="shared" si="66"/>
        <v>ЭТАЖ ЗАДАН ЧИСЛОМ</v>
      </c>
      <c r="P636" s="13" t="str">
        <f t="shared" si="67"/>
        <v>ЭТАЖ ЗАДАН ЧИСЛОМ</v>
      </c>
      <c r="Q636" s="13" t="str">
        <f t="shared" si="68"/>
        <v>ГОТОВ</v>
      </c>
      <c r="R636" s="13">
        <f>IFERROR(VLOOKUP(P636,Лист1!A$1:B$20,2,FALSE),0)</f>
        <v>784</v>
      </c>
      <c r="S636" s="13">
        <f t="shared" si="69"/>
        <v>1</v>
      </c>
    </row>
    <row r="637" spans="1:19" x14ac:dyDescent="0.25">
      <c r="A637" s="24" t="s">
        <v>1747</v>
      </c>
      <c r="B637" s="4" t="s">
        <v>1059</v>
      </c>
      <c r="C637" s="25" t="s">
        <v>5</v>
      </c>
      <c r="D637" s="25" t="s">
        <v>24</v>
      </c>
      <c r="E637" s="3">
        <v>1</v>
      </c>
      <c r="F637" s="24" t="s">
        <v>1045</v>
      </c>
      <c r="G637" s="25" t="s">
        <v>1195</v>
      </c>
      <c r="H637" s="24" t="s">
        <v>1061</v>
      </c>
      <c r="I637" s="3" t="str">
        <f>IFERROR(VLOOKUP(C637,'Справочник соответствий'!A$2:D$2981,2,FALSE),IF(VALUE(C637)=0,1,VLOOKUP(C637,'Справочник соответствий'!A$2:D$2981,2,FALSE)))</f>
        <v>1</v>
      </c>
      <c r="J637" s="3" t="str">
        <f>IFERROR(VLOOKUP(D637,'Справочник соответствий'!A$2:D$2981,2,FALSE),IF(VALUE(D637)=0,0,VLOOKUP(D637,'Справочник соответствий'!A$2:D$2981,2,FALSE)))</f>
        <v>1</v>
      </c>
      <c r="K637" s="3" t="str">
        <f t="shared" si="63"/>
        <v>1</v>
      </c>
      <c r="L637" s="13" t="str">
        <f>IFERROR(VLOOKUP(C637,'Справочник соответствий'!A$2:D$2981,3,FALSE),IF(VALUE(C637)=0,"ЭТАЖ НЕ ОПРЕДЕЛЕН. ПРИНЯТ ПО ДОПУЩЕНИЮ 1",VLOOKUP(C637,'Справочник соответствий'!A$2:D$2981,3,FALSE)))</f>
        <v>ЭТАЖ ЗАДАН ЧИСЛОМ</v>
      </c>
      <c r="M637" s="13" t="b">
        <f t="shared" si="64"/>
        <v>0</v>
      </c>
      <c r="N637" s="13">
        <f t="shared" si="65"/>
        <v>1</v>
      </c>
      <c r="O637" s="13" t="str">
        <f t="shared" si="66"/>
        <v>ЭТАЖ ЗАДАН ЧИСЛОМ</v>
      </c>
      <c r="P637" s="13" t="str">
        <f t="shared" si="67"/>
        <v>ЭТАЖ ЗАДАН ЧИСЛОМ</v>
      </c>
      <c r="Q637" s="13" t="str">
        <f t="shared" si="68"/>
        <v>ГОТОВ</v>
      </c>
      <c r="R637" s="13">
        <f>IFERROR(VLOOKUP(P637,Лист1!A$1:B$20,2,FALSE),0)</f>
        <v>784</v>
      </c>
      <c r="S637" s="13">
        <f t="shared" si="69"/>
        <v>1</v>
      </c>
    </row>
    <row r="638" spans="1:19" x14ac:dyDescent="0.25">
      <c r="A638" s="24" t="s">
        <v>1748</v>
      </c>
      <c r="B638" s="4" t="s">
        <v>1031</v>
      </c>
      <c r="E638" s="3">
        <v>1</v>
      </c>
      <c r="F638" s="24" t="s">
        <v>1045</v>
      </c>
      <c r="G638" s="25" t="s">
        <v>1089</v>
      </c>
      <c r="H638" s="24" t="s">
        <v>1061</v>
      </c>
      <c r="I638" s="3">
        <f>IFERROR(VLOOKUP(C638,'Справочник соответствий'!A$2:D$2981,2,FALSE),IF(VALUE(C638)=0,1,VLOOKUP(C638,'Справочник соответствий'!A$2:D$2981,2,FALSE)))</f>
        <v>1</v>
      </c>
      <c r="J638" s="3">
        <f>IFERROR(VLOOKUP(D638,'Справочник соответствий'!A$2:D$2981,2,FALSE),IF(VALUE(D638)=0,0,VLOOKUP(D638,'Справочник соответствий'!A$2:D$2981,2,FALSE)))</f>
        <v>0</v>
      </c>
      <c r="K638" s="3">
        <f t="shared" si="63"/>
        <v>1</v>
      </c>
      <c r="L638" s="13" t="str">
        <f>IFERROR(VLOOKUP(C638,'Справочник соответствий'!A$2:D$2981,3,FALSE),IF(VALUE(C638)=0,"ЭТАЖ НЕ ОПРЕДЕЛЕН. ПРИНЯТ ПО ДОПУЩЕНИЮ 1",VLOOKUP(C638,'Справочник соответствий'!A$2:D$2981,3,FALSE)))</f>
        <v>ЭТАЖ НЕ ОПРЕДЕЛЕН. ПРИНЯТ ПО ДОПУЩЕНИЮ 1</v>
      </c>
      <c r="M638" s="13" t="b">
        <f t="shared" si="64"/>
        <v>1</v>
      </c>
      <c r="N638" s="13">
        <f t="shared" si="65"/>
        <v>1</v>
      </c>
      <c r="O638" s="13" t="str">
        <f t="shared" si="66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638" s="13" t="str">
        <f t="shared" si="67"/>
        <v>МКД_Значение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638" s="13" t="str">
        <f t="shared" si="68"/>
        <v>ГОТОВ</v>
      </c>
      <c r="R638" s="13">
        <f>IFERROR(VLOOKUP(P638,Лист1!A$1:B$20,2,FALSE),0)</f>
        <v>0</v>
      </c>
      <c r="S638" s="13">
        <f t="shared" si="69"/>
        <v>1</v>
      </c>
    </row>
    <row r="639" spans="1:19" x14ac:dyDescent="0.25">
      <c r="A639" s="24" t="s">
        <v>1749</v>
      </c>
      <c r="B639" s="4" t="s">
        <v>1063</v>
      </c>
      <c r="C639" s="25" t="s">
        <v>5</v>
      </c>
      <c r="E639" s="3">
        <v>1</v>
      </c>
      <c r="F639" s="24" t="s">
        <v>1045</v>
      </c>
      <c r="G639" s="25" t="s">
        <v>1276</v>
      </c>
      <c r="H639" s="24" t="s">
        <v>1061</v>
      </c>
      <c r="I639" s="3" t="str">
        <f>IFERROR(VLOOKUP(C639,'Справочник соответствий'!A$2:D$2981,2,FALSE),IF(VALUE(C639)=0,1,VLOOKUP(C639,'Справочник соответствий'!A$2:D$2981,2,FALSE)))</f>
        <v>1</v>
      </c>
      <c r="J639" s="3">
        <f>IFERROR(VLOOKUP(D639,'Справочник соответствий'!A$2:D$2981,2,FALSE),IF(VALUE(D639)=0,0,VLOOKUP(D639,'Справочник соответствий'!A$2:D$2981,2,FALSE)))</f>
        <v>0</v>
      </c>
      <c r="K639" s="3" t="str">
        <f t="shared" si="63"/>
        <v>1</v>
      </c>
      <c r="L639" s="13" t="str">
        <f>IFERROR(VLOOKUP(C639,'Справочник соответствий'!A$2:D$2981,3,FALSE),IF(VALUE(C639)=0,"ЭТАЖ НЕ ОПРЕДЕЛЕН. ПРИНЯТ ПО ДОПУЩЕНИЮ 1",VLOOKUP(C639,'Справочник соответствий'!A$2:D$2981,3,FALSE)))</f>
        <v>ЭТАЖ ЗАДАН ЧИСЛОМ</v>
      </c>
      <c r="M639" s="13" t="b">
        <f t="shared" si="64"/>
        <v>0</v>
      </c>
      <c r="N639" s="13">
        <f t="shared" si="65"/>
        <v>1</v>
      </c>
      <c r="O639" s="13" t="str">
        <f t="shared" si="66"/>
        <v>ЭТАЖ ЗАДАН ЧИСЛОМ</v>
      </c>
      <c r="P639" s="13" t="str">
        <f t="shared" si="67"/>
        <v>ЭТАЖ ЗАДАН ЧИСЛОМ</v>
      </c>
      <c r="Q639" s="13" t="str">
        <f t="shared" si="68"/>
        <v>ГОТОВ</v>
      </c>
      <c r="R639" s="13">
        <f>IFERROR(VLOOKUP(P639,Лист1!A$1:B$20,2,FALSE),0)</f>
        <v>784</v>
      </c>
      <c r="S639" s="13">
        <f t="shared" si="69"/>
        <v>1</v>
      </c>
    </row>
    <row r="640" spans="1:19" x14ac:dyDescent="0.25">
      <c r="A640" s="24" t="s">
        <v>1750</v>
      </c>
      <c r="B640" s="4" t="s">
        <v>1031</v>
      </c>
      <c r="C640" s="25" t="s">
        <v>5</v>
      </c>
      <c r="E640" s="3">
        <v>1</v>
      </c>
      <c r="F640" s="24" t="s">
        <v>1045</v>
      </c>
      <c r="G640" s="25" t="s">
        <v>1075</v>
      </c>
      <c r="H640" s="24" t="s">
        <v>1061</v>
      </c>
      <c r="I640" s="3" t="str">
        <f>IFERROR(VLOOKUP(C640,'Справочник соответствий'!A$2:D$2981,2,FALSE),IF(VALUE(C640)=0,1,VLOOKUP(C640,'Справочник соответствий'!A$2:D$2981,2,FALSE)))</f>
        <v>1</v>
      </c>
      <c r="J640" s="3">
        <f>IFERROR(VLOOKUP(D640,'Справочник соответствий'!A$2:D$2981,2,FALSE),IF(VALUE(D640)=0,0,VLOOKUP(D640,'Справочник соответствий'!A$2:D$2981,2,FALSE)))</f>
        <v>0</v>
      </c>
      <c r="K640" s="3">
        <f t="shared" si="63"/>
        <v>1</v>
      </c>
      <c r="L640" s="13" t="str">
        <f>IFERROR(VLOOKUP(C640,'Справочник соответствий'!A$2:D$2981,3,FALSE),IF(VALUE(C640)=0,"ЭТАЖ НЕ ОПРЕДЕЛЕН. ПРИНЯТ ПО ДОПУЩЕНИЮ 1",VLOOKUP(C640,'Справочник соответствий'!A$2:D$2981,3,FALSE)))</f>
        <v>ЭТАЖ ЗАДАН ЧИСЛОМ</v>
      </c>
      <c r="M640" s="13" t="b">
        <f t="shared" si="64"/>
        <v>0</v>
      </c>
      <c r="N640" s="13">
        <f t="shared" si="65"/>
        <v>1</v>
      </c>
      <c r="O640" s="13" t="str">
        <f t="shared" si="66"/>
        <v>ЭТАЖ ЗАДАН ЧИСЛОМ</v>
      </c>
      <c r="P640" s="13" t="str">
        <f t="shared" si="67"/>
        <v>МКД_ЭТАЖ ЗАДАН ЧИСЛОМ</v>
      </c>
      <c r="Q640" s="13" t="str">
        <f t="shared" si="68"/>
        <v>ГОТОВ</v>
      </c>
      <c r="R640" s="13">
        <f>IFERROR(VLOOKUP(P640,Лист1!A$1:B$20,2,FALSE),0)</f>
        <v>786</v>
      </c>
      <c r="S640" s="13">
        <f t="shared" si="69"/>
        <v>1</v>
      </c>
    </row>
    <row r="641" spans="1:19" x14ac:dyDescent="0.25">
      <c r="A641" s="24" t="s">
        <v>1751</v>
      </c>
      <c r="B641" s="4" t="s">
        <v>1031</v>
      </c>
      <c r="C641" s="25" t="s">
        <v>5</v>
      </c>
      <c r="E641" s="3">
        <v>1</v>
      </c>
      <c r="F641" s="24" t="s">
        <v>1045</v>
      </c>
      <c r="G641" s="25" t="s">
        <v>1075</v>
      </c>
      <c r="H641" s="24" t="s">
        <v>1061</v>
      </c>
      <c r="I641" s="3" t="str">
        <f>IFERROR(VLOOKUP(C641,'Справочник соответствий'!A$2:D$2981,2,FALSE),IF(VALUE(C641)=0,1,VLOOKUP(C641,'Справочник соответствий'!A$2:D$2981,2,FALSE)))</f>
        <v>1</v>
      </c>
      <c r="J641" s="3">
        <f>IFERROR(VLOOKUP(D641,'Справочник соответствий'!A$2:D$2981,2,FALSE),IF(VALUE(D641)=0,0,VLOOKUP(D641,'Справочник соответствий'!A$2:D$2981,2,FALSE)))</f>
        <v>0</v>
      </c>
      <c r="K641" s="3">
        <f t="shared" si="63"/>
        <v>1</v>
      </c>
      <c r="L641" s="13" t="str">
        <f>IFERROR(VLOOKUP(C641,'Справочник соответствий'!A$2:D$2981,3,FALSE),IF(VALUE(C641)=0,"ЭТАЖ НЕ ОПРЕДЕЛЕН. ПРИНЯТ ПО ДОПУЩЕНИЮ 1",VLOOKUP(C641,'Справочник соответствий'!A$2:D$2981,3,FALSE)))</f>
        <v>ЭТАЖ ЗАДАН ЧИСЛОМ</v>
      </c>
      <c r="M641" s="13" t="b">
        <f t="shared" si="64"/>
        <v>0</v>
      </c>
      <c r="N641" s="13">
        <f t="shared" si="65"/>
        <v>1</v>
      </c>
      <c r="O641" s="13" t="str">
        <f t="shared" si="66"/>
        <v>ЭТАЖ ЗАДАН ЧИСЛОМ</v>
      </c>
      <c r="P641" s="13" t="str">
        <f t="shared" si="67"/>
        <v>МКД_ЭТАЖ ЗАДАН ЧИСЛОМ</v>
      </c>
      <c r="Q641" s="13" t="str">
        <f t="shared" si="68"/>
        <v>ГОТОВ</v>
      </c>
      <c r="R641" s="13">
        <f>IFERROR(VLOOKUP(P641,Лист1!A$1:B$20,2,FALSE),0)</f>
        <v>786</v>
      </c>
      <c r="S641" s="13">
        <f t="shared" si="69"/>
        <v>1</v>
      </c>
    </row>
    <row r="642" spans="1:19" x14ac:dyDescent="0.25">
      <c r="A642" s="24" t="s">
        <v>1752</v>
      </c>
      <c r="B642" s="4" t="s">
        <v>1059</v>
      </c>
      <c r="C642" s="25" t="s">
        <v>7</v>
      </c>
      <c r="E642" s="3">
        <v>2</v>
      </c>
      <c r="F642" s="24" t="s">
        <v>1045</v>
      </c>
      <c r="G642" s="25" t="s">
        <v>1083</v>
      </c>
      <c r="H642" s="24" t="s">
        <v>1061</v>
      </c>
      <c r="I642" s="3" t="str">
        <f>IFERROR(VLOOKUP(C642,'Справочник соответствий'!A$2:D$2981,2,FALSE),IF(VALUE(C642)=0,1,VLOOKUP(C642,'Справочник соответствий'!A$2:D$2981,2,FALSE)))</f>
        <v>2</v>
      </c>
      <c r="J642" s="3">
        <f>IFERROR(VLOOKUP(D642,'Справочник соответствий'!A$2:D$2981,2,FALSE),IF(VALUE(D642)=0,0,VLOOKUP(D642,'Справочник соответствий'!A$2:D$2981,2,FALSE)))</f>
        <v>0</v>
      </c>
      <c r="K642" s="3" t="str">
        <f t="shared" si="63"/>
        <v>2</v>
      </c>
      <c r="L642" s="13" t="str">
        <f>IFERROR(VLOOKUP(C642,'Справочник соответствий'!A$2:D$2981,3,FALSE),IF(VALUE(C642)=0,"ЭТАЖ НЕ ОПРЕДЕЛЕН. ПРИНЯТ ПО ДОПУЩЕНИЮ 1",VLOOKUP(C642,'Справочник соответствий'!A$2:D$2981,3,FALSE)))</f>
        <v>ЭТАЖ ЗАДАН ЧИСЛОМ</v>
      </c>
      <c r="M642" s="13" t="b">
        <f t="shared" si="64"/>
        <v>0</v>
      </c>
      <c r="N642" s="13">
        <f t="shared" si="65"/>
        <v>2</v>
      </c>
      <c r="O642" s="13" t="str">
        <f t="shared" si="66"/>
        <v>ЭТАЖ ЗАДАН ЧИСЛОМ</v>
      </c>
      <c r="P642" s="13" t="str">
        <f t="shared" si="67"/>
        <v>ЭТАЖ ЗАДАН ЧИСЛОМ</v>
      </c>
      <c r="Q642" s="13" t="str">
        <f t="shared" si="68"/>
        <v>ГОТОВ</v>
      </c>
      <c r="R642" s="13">
        <f>IFERROR(VLOOKUP(P642,Лист1!A$1:B$20,2,FALSE),0)</f>
        <v>784</v>
      </c>
      <c r="S642" s="13">
        <f t="shared" si="69"/>
        <v>2</v>
      </c>
    </row>
    <row r="643" spans="1:19" x14ac:dyDescent="0.25">
      <c r="A643" s="24" t="s">
        <v>1753</v>
      </c>
      <c r="B643" s="4" t="s">
        <v>1031</v>
      </c>
      <c r="C643" s="25" t="s">
        <v>5</v>
      </c>
      <c r="E643" s="3">
        <v>1</v>
      </c>
      <c r="F643" s="24" t="s">
        <v>1045</v>
      </c>
      <c r="G643" s="25" t="s">
        <v>1075</v>
      </c>
      <c r="H643" s="24" t="s">
        <v>1061</v>
      </c>
      <c r="I643" s="3" t="str">
        <f>IFERROR(VLOOKUP(C643,'Справочник соответствий'!A$2:D$2981,2,FALSE),IF(VALUE(C643)=0,1,VLOOKUP(C643,'Справочник соответствий'!A$2:D$2981,2,FALSE)))</f>
        <v>1</v>
      </c>
      <c r="J643" s="3">
        <f>IFERROR(VLOOKUP(D643,'Справочник соответствий'!A$2:D$2981,2,FALSE),IF(VALUE(D643)=0,0,VLOOKUP(D643,'Справочник соответствий'!A$2:D$2981,2,FALSE)))</f>
        <v>0</v>
      </c>
      <c r="K643" s="3">
        <f t="shared" si="63"/>
        <v>1</v>
      </c>
      <c r="L643" s="13" t="str">
        <f>IFERROR(VLOOKUP(C643,'Справочник соответствий'!A$2:D$2981,3,FALSE),IF(VALUE(C643)=0,"ЭТАЖ НЕ ОПРЕДЕЛЕН. ПРИНЯТ ПО ДОПУЩЕНИЮ 1",VLOOKUP(C643,'Справочник соответствий'!A$2:D$2981,3,FALSE)))</f>
        <v>ЭТАЖ ЗАДАН ЧИСЛОМ</v>
      </c>
      <c r="M643" s="13" t="b">
        <f t="shared" si="64"/>
        <v>0</v>
      </c>
      <c r="N643" s="13">
        <f t="shared" si="65"/>
        <v>1</v>
      </c>
      <c r="O643" s="13" t="str">
        <f t="shared" si="66"/>
        <v>ЭТАЖ ЗАДАН ЧИСЛОМ</v>
      </c>
      <c r="P643" s="13" t="str">
        <f t="shared" si="67"/>
        <v>МКД_ЭТАЖ ЗАДАН ЧИСЛОМ</v>
      </c>
      <c r="Q643" s="13" t="str">
        <f t="shared" si="68"/>
        <v>ГОТОВ</v>
      </c>
      <c r="R643" s="13">
        <f>IFERROR(VLOOKUP(P643,Лист1!A$1:B$20,2,FALSE),0)</f>
        <v>786</v>
      </c>
      <c r="S643" s="13">
        <f t="shared" si="69"/>
        <v>1</v>
      </c>
    </row>
    <row r="644" spans="1:19" x14ac:dyDescent="0.25">
      <c r="A644" s="24" t="s">
        <v>1754</v>
      </c>
      <c r="B644" s="4" t="s">
        <v>1063</v>
      </c>
      <c r="C644" s="25" t="s">
        <v>12</v>
      </c>
      <c r="D644" s="25" t="s">
        <v>5</v>
      </c>
      <c r="E644" s="3">
        <v>4</v>
      </c>
      <c r="F644" s="24" t="s">
        <v>1045</v>
      </c>
      <c r="G644" s="25" t="s">
        <v>1072</v>
      </c>
      <c r="H644" s="24" t="s">
        <v>1061</v>
      </c>
      <c r="I644" s="3" t="str">
        <f>IFERROR(VLOOKUP(C644,'Справочник соответствий'!A$2:D$2981,2,FALSE),IF(VALUE(C644)=0,1,VLOOKUP(C644,'Справочник соответствий'!A$2:D$2981,2,FALSE)))</f>
        <v>4</v>
      </c>
      <c r="J644" s="3" t="str">
        <f>IFERROR(VLOOKUP(D644,'Справочник соответствий'!A$2:D$2981,2,FALSE),IF(VALUE(D644)=0,0,VLOOKUP(D644,'Справочник соответствий'!A$2:D$2981,2,FALSE)))</f>
        <v>1</v>
      </c>
      <c r="K644" s="3" t="str">
        <f t="shared" si="63"/>
        <v>4</v>
      </c>
      <c r="L644" s="13" t="str">
        <f>IFERROR(VLOOKUP(C644,'Справочник соответствий'!A$2:D$2981,3,FALSE),IF(VALUE(C644)=0,"ЭТАЖ НЕ ОПРЕДЕЛЕН. ПРИНЯТ ПО ДОПУЩЕНИЮ 1",VLOOKUP(C644,'Справочник соответствий'!A$2:D$2981,3,FALSE)))</f>
        <v>ЭТАЖ ЗАДАН ЧИСЛОМ</v>
      </c>
      <c r="M644" s="13" t="b">
        <f t="shared" si="64"/>
        <v>0</v>
      </c>
      <c r="N644" s="13">
        <f t="shared" si="65"/>
        <v>4</v>
      </c>
      <c r="O644" s="13" t="str">
        <f t="shared" si="66"/>
        <v>ЭТАЖ ЗАДАН ЧИСЛОМ</v>
      </c>
      <c r="P644" s="13" t="str">
        <f t="shared" si="67"/>
        <v>ЭТАЖ ЗАДАН ЧИСЛОМ</v>
      </c>
      <c r="Q644" s="13" t="str">
        <f t="shared" si="68"/>
        <v>ГОТОВ</v>
      </c>
      <c r="R644" s="13">
        <f>IFERROR(VLOOKUP(P644,Лист1!A$1:B$20,2,FALSE),0)</f>
        <v>784</v>
      </c>
      <c r="S644" s="13">
        <f t="shared" si="69"/>
        <v>4</v>
      </c>
    </row>
    <row r="645" spans="1:19" x14ac:dyDescent="0.25">
      <c r="A645" s="24" t="s">
        <v>1755</v>
      </c>
      <c r="B645" s="4" t="s">
        <v>1063</v>
      </c>
      <c r="E645" s="3">
        <v>1</v>
      </c>
      <c r="F645" s="24" t="s">
        <v>1045</v>
      </c>
      <c r="G645" s="25" t="s">
        <v>1289</v>
      </c>
      <c r="H645" s="24" t="s">
        <v>1061</v>
      </c>
      <c r="I645" s="3">
        <f>IFERROR(VLOOKUP(C645,'Справочник соответствий'!A$2:D$2981,2,FALSE),IF(VALUE(C645)=0,1,VLOOKUP(C645,'Справочник соответствий'!A$2:D$2981,2,FALSE)))</f>
        <v>1</v>
      </c>
      <c r="J645" s="3">
        <f>IFERROR(VLOOKUP(D645,'Справочник соответствий'!A$2:D$2981,2,FALSE),IF(VALUE(D645)=0,0,VLOOKUP(D645,'Справочник соответствий'!A$2:D$2981,2,FALSE)))</f>
        <v>0</v>
      </c>
      <c r="K645" s="3">
        <f t="shared" ref="K645:K708" si="70">IF(B645="Многоквартирный дом",IF(I645-J645&gt;0,I645-J645,1),I645)</f>
        <v>1</v>
      </c>
      <c r="L645" s="13" t="str">
        <f>IFERROR(VLOOKUP(C645,'Справочник соответствий'!A$2:D$2981,3,FALSE),IF(VALUE(C645)=0,"ЭТАЖ НЕ ОПРЕДЕЛЕН. ПРИНЯТ ПО ДОПУЩЕНИЮ 1",VLOOKUP(C645,'Справочник соответствий'!A$2:D$2981,3,FALSE)))</f>
        <v>ЭТАЖ НЕ ОПРЕДЕЛЕН. ПРИНЯТ ПО ДОПУЩЕНИЮ 1</v>
      </c>
      <c r="M645" s="13" t="b">
        <f t="shared" ref="M645:M708" si="71">I645=E645</f>
        <v>1</v>
      </c>
      <c r="N645" s="13">
        <f t="shared" ref="N645:N708" si="72">IF(VALUE(E645)=0,VALUE(K645),IF(L645="ЭТАЖ НЕ ОПРЕДЕЛЕН. ПРИНЯТ ПО ДОПУЩЕНИЮ 1",VALUE(E645),VALUE(K645)))</f>
        <v>1</v>
      </c>
      <c r="O645" s="13" t="str">
        <f t="shared" ref="O645:O708" si="73">IF(VALUE(E645)=0,L645,IF(L645="ЭТАЖ НЕ ОПРЕДЕЛЕН. ПРИНЯТ ПО ДОПУЩЕНИЮ 1",F645,L645))</f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645" s="13" t="str">
        <f t="shared" ref="P645:P708" si="74">IF(B645="Многоквартирный дом",CONCATENATE("МКД_",O645),O645)</f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645" s="13" t="str">
        <f t="shared" ref="Q645:Q708" si="75">IFERROR(IF(N645&gt;0,IF(N645=VALUE(E645),"ГОТОВ","ГОТОВ_ИЗМЕНЕН"),"НЕ ГОТОВ"),"НЕ ГОТОВ")</f>
        <v>ГОТОВ</v>
      </c>
      <c r="R645" s="13">
        <f>IFERROR(VLOOKUP(P645,Лист1!A$1:B$20,2,FALSE),0)</f>
        <v>214</v>
      </c>
      <c r="S645" s="13">
        <f t="shared" ref="S645:S708" si="76">VALUE(E645)</f>
        <v>1</v>
      </c>
    </row>
    <row r="646" spans="1:19" x14ac:dyDescent="0.25">
      <c r="A646" s="24" t="s">
        <v>1756</v>
      </c>
      <c r="B646" s="4" t="s">
        <v>1059</v>
      </c>
      <c r="C646" s="25" t="s">
        <v>5</v>
      </c>
      <c r="E646" s="3">
        <v>1</v>
      </c>
      <c r="F646" s="24" t="s">
        <v>1045</v>
      </c>
      <c r="G646" s="25" t="s">
        <v>1104</v>
      </c>
      <c r="H646" s="24" t="s">
        <v>1061</v>
      </c>
      <c r="I646" s="3" t="str">
        <f>IFERROR(VLOOKUP(C646,'Справочник соответствий'!A$2:D$2981,2,FALSE),IF(VALUE(C646)=0,1,VLOOKUP(C646,'Справочник соответствий'!A$2:D$2981,2,FALSE)))</f>
        <v>1</v>
      </c>
      <c r="J646" s="3">
        <f>IFERROR(VLOOKUP(D646,'Справочник соответствий'!A$2:D$2981,2,FALSE),IF(VALUE(D646)=0,0,VLOOKUP(D646,'Справочник соответствий'!A$2:D$2981,2,FALSE)))</f>
        <v>0</v>
      </c>
      <c r="K646" s="3" t="str">
        <f t="shared" si="70"/>
        <v>1</v>
      </c>
      <c r="L646" s="13" t="str">
        <f>IFERROR(VLOOKUP(C646,'Справочник соответствий'!A$2:D$2981,3,FALSE),IF(VALUE(C646)=0,"ЭТАЖ НЕ ОПРЕДЕЛЕН. ПРИНЯТ ПО ДОПУЩЕНИЮ 1",VLOOKUP(C646,'Справочник соответствий'!A$2:D$2981,3,FALSE)))</f>
        <v>ЭТАЖ ЗАДАН ЧИСЛОМ</v>
      </c>
      <c r="M646" s="13" t="b">
        <f t="shared" si="71"/>
        <v>0</v>
      </c>
      <c r="N646" s="13">
        <f t="shared" si="72"/>
        <v>1</v>
      </c>
      <c r="O646" s="13" t="str">
        <f t="shared" si="73"/>
        <v>ЭТАЖ ЗАДАН ЧИСЛОМ</v>
      </c>
      <c r="P646" s="13" t="str">
        <f t="shared" si="74"/>
        <v>ЭТАЖ ЗАДАН ЧИСЛОМ</v>
      </c>
      <c r="Q646" s="13" t="str">
        <f t="shared" si="75"/>
        <v>ГОТОВ</v>
      </c>
      <c r="R646" s="13">
        <f>IFERROR(VLOOKUP(P646,Лист1!A$1:B$20,2,FALSE),0)</f>
        <v>784</v>
      </c>
      <c r="S646" s="13">
        <f t="shared" si="76"/>
        <v>1</v>
      </c>
    </row>
    <row r="647" spans="1:19" x14ac:dyDescent="0.25">
      <c r="A647" s="24" t="s">
        <v>1757</v>
      </c>
      <c r="B647" s="4" t="s">
        <v>1059</v>
      </c>
      <c r="C647" s="25" t="s">
        <v>5</v>
      </c>
      <c r="E647" s="3">
        <v>1</v>
      </c>
      <c r="F647" s="24" t="s">
        <v>1045</v>
      </c>
      <c r="G647" s="25" t="s">
        <v>1072</v>
      </c>
      <c r="H647" s="24" t="s">
        <v>1061</v>
      </c>
      <c r="I647" s="3" t="str">
        <f>IFERROR(VLOOKUP(C647,'Справочник соответствий'!A$2:D$2981,2,FALSE),IF(VALUE(C647)=0,1,VLOOKUP(C647,'Справочник соответствий'!A$2:D$2981,2,FALSE)))</f>
        <v>1</v>
      </c>
      <c r="J647" s="3">
        <f>IFERROR(VLOOKUP(D647,'Справочник соответствий'!A$2:D$2981,2,FALSE),IF(VALUE(D647)=0,0,VLOOKUP(D647,'Справочник соответствий'!A$2:D$2981,2,FALSE)))</f>
        <v>0</v>
      </c>
      <c r="K647" s="3" t="str">
        <f t="shared" si="70"/>
        <v>1</v>
      </c>
      <c r="L647" s="13" t="str">
        <f>IFERROR(VLOOKUP(C647,'Справочник соответствий'!A$2:D$2981,3,FALSE),IF(VALUE(C647)=0,"ЭТАЖ НЕ ОПРЕДЕЛЕН. ПРИНЯТ ПО ДОПУЩЕНИЮ 1",VLOOKUP(C647,'Справочник соответствий'!A$2:D$2981,3,FALSE)))</f>
        <v>ЭТАЖ ЗАДАН ЧИСЛОМ</v>
      </c>
      <c r="M647" s="13" t="b">
        <f t="shared" si="71"/>
        <v>0</v>
      </c>
      <c r="N647" s="13">
        <f t="shared" si="72"/>
        <v>1</v>
      </c>
      <c r="O647" s="13" t="str">
        <f t="shared" si="73"/>
        <v>ЭТАЖ ЗАДАН ЧИСЛОМ</v>
      </c>
      <c r="P647" s="13" t="str">
        <f t="shared" si="74"/>
        <v>ЭТАЖ ЗАДАН ЧИСЛОМ</v>
      </c>
      <c r="Q647" s="13" t="str">
        <f t="shared" si="75"/>
        <v>ГОТОВ</v>
      </c>
      <c r="R647" s="13">
        <f>IFERROR(VLOOKUP(P647,Лист1!A$1:B$20,2,FALSE),0)</f>
        <v>784</v>
      </c>
      <c r="S647" s="13">
        <f t="shared" si="76"/>
        <v>1</v>
      </c>
    </row>
    <row r="648" spans="1:19" x14ac:dyDescent="0.25">
      <c r="A648" s="24" t="s">
        <v>1758</v>
      </c>
      <c r="B648" s="4" t="s">
        <v>1063</v>
      </c>
      <c r="C648" s="25" t="s">
        <v>5</v>
      </c>
      <c r="E648" s="3">
        <v>1</v>
      </c>
      <c r="F648" s="24" t="s">
        <v>1045</v>
      </c>
      <c r="G648" s="25" t="s">
        <v>1060</v>
      </c>
      <c r="H648" s="24" t="s">
        <v>1061</v>
      </c>
      <c r="I648" s="3" t="str">
        <f>IFERROR(VLOOKUP(C648,'Справочник соответствий'!A$2:D$2981,2,FALSE),IF(VALUE(C648)=0,1,VLOOKUP(C648,'Справочник соответствий'!A$2:D$2981,2,FALSE)))</f>
        <v>1</v>
      </c>
      <c r="J648" s="3">
        <f>IFERROR(VLOOKUP(D648,'Справочник соответствий'!A$2:D$2981,2,FALSE),IF(VALUE(D648)=0,0,VLOOKUP(D648,'Справочник соответствий'!A$2:D$2981,2,FALSE)))</f>
        <v>0</v>
      </c>
      <c r="K648" s="3" t="str">
        <f t="shared" si="70"/>
        <v>1</v>
      </c>
      <c r="L648" s="13" t="str">
        <f>IFERROR(VLOOKUP(C648,'Справочник соответствий'!A$2:D$2981,3,FALSE),IF(VALUE(C648)=0,"ЭТАЖ НЕ ОПРЕДЕЛЕН. ПРИНЯТ ПО ДОПУЩЕНИЮ 1",VLOOKUP(C648,'Справочник соответствий'!A$2:D$2981,3,FALSE)))</f>
        <v>ЭТАЖ ЗАДАН ЧИСЛОМ</v>
      </c>
      <c r="M648" s="13" t="b">
        <f t="shared" si="71"/>
        <v>0</v>
      </c>
      <c r="N648" s="13">
        <f t="shared" si="72"/>
        <v>1</v>
      </c>
      <c r="O648" s="13" t="str">
        <f t="shared" si="73"/>
        <v>ЭТАЖ ЗАДАН ЧИСЛОМ</v>
      </c>
      <c r="P648" s="13" t="str">
        <f t="shared" si="74"/>
        <v>ЭТАЖ ЗАДАН ЧИСЛОМ</v>
      </c>
      <c r="Q648" s="13" t="str">
        <f t="shared" si="75"/>
        <v>ГОТОВ</v>
      </c>
      <c r="R648" s="13">
        <f>IFERROR(VLOOKUP(P648,Лист1!A$1:B$20,2,FALSE),0)</f>
        <v>784</v>
      </c>
      <c r="S648" s="13">
        <f t="shared" si="76"/>
        <v>1</v>
      </c>
    </row>
    <row r="649" spans="1:19" x14ac:dyDescent="0.25">
      <c r="A649" s="24" t="s">
        <v>1759</v>
      </c>
      <c r="B649" s="4" t="s">
        <v>1063</v>
      </c>
      <c r="E649" s="3">
        <v>4</v>
      </c>
      <c r="F649" s="24" t="s">
        <v>1760</v>
      </c>
      <c r="G649" s="25" t="s">
        <v>1167</v>
      </c>
      <c r="H649" s="24" t="s">
        <v>1061</v>
      </c>
      <c r="I649" s="3">
        <f>IFERROR(VLOOKUP(C649,'Справочник соответствий'!A$2:D$2981,2,FALSE),IF(VALUE(C649)=0,1,VLOOKUP(C649,'Справочник соответствий'!A$2:D$2981,2,FALSE)))</f>
        <v>1</v>
      </c>
      <c r="J649" s="3">
        <f>IFERROR(VLOOKUP(D649,'Справочник соответствий'!A$2:D$2981,2,FALSE),IF(VALUE(D649)=0,0,VLOOKUP(D649,'Справочник соответствий'!A$2:D$2981,2,FALSE)))</f>
        <v>0</v>
      </c>
      <c r="K649" s="3">
        <f t="shared" si="70"/>
        <v>1</v>
      </c>
      <c r="L649" s="13" t="str">
        <f>IFERROR(VLOOKUP(C649,'Справочник соответствий'!A$2:D$2981,3,FALSE),IF(VALUE(C649)=0,"ЭТАЖ НЕ ОПРЕДЕЛЕН. ПРИНЯТ ПО ДОПУЩЕНИЮ 1",VLOOKUP(C649,'Справочник соответствий'!A$2:D$2981,3,FALSE)))</f>
        <v>ЭТАЖ НЕ ОПРЕДЕЛЕН. ПРИНЯТ ПО ДОПУЩЕНИЮ 1</v>
      </c>
      <c r="M649" s="13" t="b">
        <f t="shared" si="71"/>
        <v>0</v>
      </c>
      <c r="N649" s="13">
        <f t="shared" si="72"/>
        <v>4</v>
      </c>
      <c r="O649" s="13" t="str">
        <f t="shared" si="73"/>
        <v>Письмо № 3758 от 13.06.2018 Глава полевского городского округа</v>
      </c>
      <c r="P649" s="13" t="str">
        <f t="shared" si="74"/>
        <v>Письмо № 3758 от 13.06.2018 Глава полевского городского округа</v>
      </c>
      <c r="Q649" s="13" t="str">
        <f t="shared" si="75"/>
        <v>ГОТОВ</v>
      </c>
      <c r="R649" s="13">
        <f>IFERROR(VLOOKUP(P649,Лист1!A$1:B$20,2,FALSE),0)</f>
        <v>0</v>
      </c>
      <c r="S649" s="13">
        <f t="shared" si="76"/>
        <v>4</v>
      </c>
    </row>
    <row r="650" spans="1:19" x14ac:dyDescent="0.25">
      <c r="A650" s="24" t="s">
        <v>1761</v>
      </c>
      <c r="B650" s="4" t="s">
        <v>1059</v>
      </c>
      <c r="C650" s="25" t="s">
        <v>7</v>
      </c>
      <c r="D650" s="25" t="s">
        <v>5</v>
      </c>
      <c r="E650" s="3">
        <v>1</v>
      </c>
      <c r="F650" s="24" t="s">
        <v>1045</v>
      </c>
      <c r="G650" s="25" t="s">
        <v>1072</v>
      </c>
      <c r="H650" s="24" t="s">
        <v>1061</v>
      </c>
      <c r="I650" s="3" t="str">
        <f>IFERROR(VLOOKUP(C650,'Справочник соответствий'!A$2:D$2981,2,FALSE),IF(VALUE(C650)=0,1,VLOOKUP(C650,'Справочник соответствий'!A$2:D$2981,2,FALSE)))</f>
        <v>2</v>
      </c>
      <c r="J650" s="3" t="str">
        <f>IFERROR(VLOOKUP(D650,'Справочник соответствий'!A$2:D$2981,2,FALSE),IF(VALUE(D650)=0,0,VLOOKUP(D650,'Справочник соответствий'!A$2:D$2981,2,FALSE)))</f>
        <v>1</v>
      </c>
      <c r="K650" s="3" t="str">
        <f t="shared" si="70"/>
        <v>2</v>
      </c>
      <c r="L650" s="13" t="str">
        <f>IFERROR(VLOOKUP(C650,'Справочник соответствий'!A$2:D$2981,3,FALSE),IF(VALUE(C650)=0,"ЭТАЖ НЕ ОПРЕДЕЛЕН. ПРИНЯТ ПО ДОПУЩЕНИЮ 1",VLOOKUP(C650,'Справочник соответствий'!A$2:D$2981,3,FALSE)))</f>
        <v>ЭТАЖ ЗАДАН ЧИСЛОМ</v>
      </c>
      <c r="M650" s="13" t="b">
        <f t="shared" si="71"/>
        <v>0</v>
      </c>
      <c r="N650" s="13">
        <f t="shared" si="72"/>
        <v>2</v>
      </c>
      <c r="O650" s="13" t="str">
        <f t="shared" si="73"/>
        <v>ЭТАЖ ЗАДАН ЧИСЛОМ</v>
      </c>
      <c r="P650" s="13" t="str">
        <f t="shared" si="74"/>
        <v>ЭТАЖ ЗАДАН ЧИСЛОМ</v>
      </c>
      <c r="Q650" s="13" t="str">
        <f t="shared" si="75"/>
        <v>ГОТОВ_ИЗМЕНЕН</v>
      </c>
      <c r="R650" s="13">
        <f>IFERROR(VLOOKUP(P650,Лист1!A$1:B$20,2,FALSE),0)</f>
        <v>784</v>
      </c>
      <c r="S650" s="13">
        <f t="shared" si="76"/>
        <v>1</v>
      </c>
    </row>
    <row r="651" spans="1:19" x14ac:dyDescent="0.25">
      <c r="A651" s="24" t="s">
        <v>1762</v>
      </c>
      <c r="B651" s="4" t="s">
        <v>1059</v>
      </c>
      <c r="C651" s="25" t="s">
        <v>5</v>
      </c>
      <c r="E651" s="3">
        <v>1</v>
      </c>
      <c r="F651" s="24" t="s">
        <v>1045</v>
      </c>
      <c r="G651" s="25" t="s">
        <v>1114</v>
      </c>
      <c r="H651" s="24" t="s">
        <v>1061</v>
      </c>
      <c r="I651" s="3" t="str">
        <f>IFERROR(VLOOKUP(C651,'Справочник соответствий'!A$2:D$2981,2,FALSE),IF(VALUE(C651)=0,1,VLOOKUP(C651,'Справочник соответствий'!A$2:D$2981,2,FALSE)))</f>
        <v>1</v>
      </c>
      <c r="J651" s="3">
        <f>IFERROR(VLOOKUP(D651,'Справочник соответствий'!A$2:D$2981,2,FALSE),IF(VALUE(D651)=0,0,VLOOKUP(D651,'Справочник соответствий'!A$2:D$2981,2,FALSE)))</f>
        <v>0</v>
      </c>
      <c r="K651" s="3" t="str">
        <f t="shared" si="70"/>
        <v>1</v>
      </c>
      <c r="L651" s="13" t="str">
        <f>IFERROR(VLOOKUP(C651,'Справочник соответствий'!A$2:D$2981,3,FALSE),IF(VALUE(C651)=0,"ЭТАЖ НЕ ОПРЕДЕЛЕН. ПРИНЯТ ПО ДОПУЩЕНИЮ 1",VLOOKUP(C651,'Справочник соответствий'!A$2:D$2981,3,FALSE)))</f>
        <v>ЭТАЖ ЗАДАН ЧИСЛОМ</v>
      </c>
      <c r="M651" s="13" t="b">
        <f t="shared" si="71"/>
        <v>0</v>
      </c>
      <c r="N651" s="13">
        <f t="shared" si="72"/>
        <v>1</v>
      </c>
      <c r="O651" s="13" t="str">
        <f t="shared" si="73"/>
        <v>ЭТАЖ ЗАДАН ЧИСЛОМ</v>
      </c>
      <c r="P651" s="13" t="str">
        <f t="shared" si="74"/>
        <v>ЭТАЖ ЗАДАН ЧИСЛОМ</v>
      </c>
      <c r="Q651" s="13" t="str">
        <f t="shared" si="75"/>
        <v>ГОТОВ</v>
      </c>
      <c r="R651" s="13">
        <f>IFERROR(VLOOKUP(P651,Лист1!A$1:B$20,2,FALSE),0)</f>
        <v>784</v>
      </c>
      <c r="S651" s="13">
        <f t="shared" si="76"/>
        <v>1</v>
      </c>
    </row>
    <row r="652" spans="1:19" x14ac:dyDescent="0.25">
      <c r="A652" s="24" t="s">
        <v>1763</v>
      </c>
      <c r="B652" s="4" t="s">
        <v>1063</v>
      </c>
      <c r="C652" s="25" t="s">
        <v>5</v>
      </c>
      <c r="E652" s="3">
        <v>1</v>
      </c>
      <c r="F652" s="24" t="s">
        <v>1045</v>
      </c>
      <c r="G652" s="25" t="s">
        <v>1080</v>
      </c>
      <c r="H652" s="24" t="s">
        <v>1061</v>
      </c>
      <c r="I652" s="3" t="str">
        <f>IFERROR(VLOOKUP(C652,'Справочник соответствий'!A$2:D$2981,2,FALSE),IF(VALUE(C652)=0,1,VLOOKUP(C652,'Справочник соответствий'!A$2:D$2981,2,FALSE)))</f>
        <v>1</v>
      </c>
      <c r="J652" s="3">
        <f>IFERROR(VLOOKUP(D652,'Справочник соответствий'!A$2:D$2981,2,FALSE),IF(VALUE(D652)=0,0,VLOOKUP(D652,'Справочник соответствий'!A$2:D$2981,2,FALSE)))</f>
        <v>0</v>
      </c>
      <c r="K652" s="3" t="str">
        <f t="shared" si="70"/>
        <v>1</v>
      </c>
      <c r="L652" s="13" t="str">
        <f>IFERROR(VLOOKUP(C652,'Справочник соответствий'!A$2:D$2981,3,FALSE),IF(VALUE(C652)=0,"ЭТАЖ НЕ ОПРЕДЕЛЕН. ПРИНЯТ ПО ДОПУЩЕНИЮ 1",VLOOKUP(C652,'Справочник соответствий'!A$2:D$2981,3,FALSE)))</f>
        <v>ЭТАЖ ЗАДАН ЧИСЛОМ</v>
      </c>
      <c r="M652" s="13" t="b">
        <f t="shared" si="71"/>
        <v>0</v>
      </c>
      <c r="N652" s="13">
        <f t="shared" si="72"/>
        <v>1</v>
      </c>
      <c r="O652" s="13" t="str">
        <f t="shared" si="73"/>
        <v>ЭТАЖ ЗАДАН ЧИСЛОМ</v>
      </c>
      <c r="P652" s="13" t="str">
        <f t="shared" si="74"/>
        <v>ЭТАЖ ЗАДАН ЧИСЛОМ</v>
      </c>
      <c r="Q652" s="13" t="str">
        <f t="shared" si="75"/>
        <v>ГОТОВ</v>
      </c>
      <c r="R652" s="13">
        <f>IFERROR(VLOOKUP(P652,Лист1!A$1:B$20,2,FALSE),0)</f>
        <v>784</v>
      </c>
      <c r="S652" s="13">
        <f t="shared" si="76"/>
        <v>1</v>
      </c>
    </row>
    <row r="653" spans="1:19" x14ac:dyDescent="0.25">
      <c r="A653" s="24" t="s">
        <v>1764</v>
      </c>
      <c r="B653" s="4" t="s">
        <v>1059</v>
      </c>
      <c r="C653" s="25" t="s">
        <v>5</v>
      </c>
      <c r="E653" s="3">
        <v>1</v>
      </c>
      <c r="F653" s="24" t="s">
        <v>1045</v>
      </c>
      <c r="G653" s="25" t="s">
        <v>1089</v>
      </c>
      <c r="H653" s="24" t="s">
        <v>1061</v>
      </c>
      <c r="I653" s="3" t="str">
        <f>IFERROR(VLOOKUP(C653,'Справочник соответствий'!A$2:D$2981,2,FALSE),IF(VALUE(C653)=0,1,VLOOKUP(C653,'Справочник соответствий'!A$2:D$2981,2,FALSE)))</f>
        <v>1</v>
      </c>
      <c r="J653" s="3">
        <f>IFERROR(VLOOKUP(D653,'Справочник соответствий'!A$2:D$2981,2,FALSE),IF(VALUE(D653)=0,0,VLOOKUP(D653,'Справочник соответствий'!A$2:D$2981,2,FALSE)))</f>
        <v>0</v>
      </c>
      <c r="K653" s="3" t="str">
        <f t="shared" si="70"/>
        <v>1</v>
      </c>
      <c r="L653" s="13" t="str">
        <f>IFERROR(VLOOKUP(C653,'Справочник соответствий'!A$2:D$2981,3,FALSE),IF(VALUE(C653)=0,"ЭТАЖ НЕ ОПРЕДЕЛЕН. ПРИНЯТ ПО ДОПУЩЕНИЮ 1",VLOOKUP(C653,'Справочник соответствий'!A$2:D$2981,3,FALSE)))</f>
        <v>ЭТАЖ ЗАДАН ЧИСЛОМ</v>
      </c>
      <c r="M653" s="13" t="b">
        <f t="shared" si="71"/>
        <v>0</v>
      </c>
      <c r="N653" s="13">
        <f t="shared" si="72"/>
        <v>1</v>
      </c>
      <c r="O653" s="13" t="str">
        <f t="shared" si="73"/>
        <v>ЭТАЖ ЗАДАН ЧИСЛОМ</v>
      </c>
      <c r="P653" s="13" t="str">
        <f t="shared" si="74"/>
        <v>ЭТАЖ ЗАДАН ЧИСЛОМ</v>
      </c>
      <c r="Q653" s="13" t="str">
        <f t="shared" si="75"/>
        <v>ГОТОВ</v>
      </c>
      <c r="R653" s="13">
        <f>IFERROR(VLOOKUP(P653,Лист1!A$1:B$20,2,FALSE),0)</f>
        <v>784</v>
      </c>
      <c r="S653" s="13">
        <f t="shared" si="76"/>
        <v>1</v>
      </c>
    </row>
    <row r="654" spans="1:19" x14ac:dyDescent="0.25">
      <c r="A654" s="24" t="s">
        <v>1765</v>
      </c>
      <c r="B654" s="4" t="s">
        <v>1059</v>
      </c>
      <c r="C654" s="25" t="s">
        <v>5</v>
      </c>
      <c r="E654" s="3">
        <v>1</v>
      </c>
      <c r="F654" s="24" t="s">
        <v>1045</v>
      </c>
      <c r="G654" s="25" t="s">
        <v>1080</v>
      </c>
      <c r="H654" s="24" t="s">
        <v>1061</v>
      </c>
      <c r="I654" s="3" t="str">
        <f>IFERROR(VLOOKUP(C654,'Справочник соответствий'!A$2:D$2981,2,FALSE),IF(VALUE(C654)=0,1,VLOOKUP(C654,'Справочник соответствий'!A$2:D$2981,2,FALSE)))</f>
        <v>1</v>
      </c>
      <c r="J654" s="3">
        <f>IFERROR(VLOOKUP(D654,'Справочник соответствий'!A$2:D$2981,2,FALSE),IF(VALUE(D654)=0,0,VLOOKUP(D654,'Справочник соответствий'!A$2:D$2981,2,FALSE)))</f>
        <v>0</v>
      </c>
      <c r="K654" s="3" t="str">
        <f t="shared" si="70"/>
        <v>1</v>
      </c>
      <c r="L654" s="13" t="str">
        <f>IFERROR(VLOOKUP(C654,'Справочник соответствий'!A$2:D$2981,3,FALSE),IF(VALUE(C654)=0,"ЭТАЖ НЕ ОПРЕДЕЛЕН. ПРИНЯТ ПО ДОПУЩЕНИЮ 1",VLOOKUP(C654,'Справочник соответствий'!A$2:D$2981,3,FALSE)))</f>
        <v>ЭТАЖ ЗАДАН ЧИСЛОМ</v>
      </c>
      <c r="M654" s="13" t="b">
        <f t="shared" si="71"/>
        <v>0</v>
      </c>
      <c r="N654" s="13">
        <f t="shared" si="72"/>
        <v>1</v>
      </c>
      <c r="O654" s="13" t="str">
        <f t="shared" si="73"/>
        <v>ЭТАЖ ЗАДАН ЧИСЛОМ</v>
      </c>
      <c r="P654" s="13" t="str">
        <f t="shared" si="74"/>
        <v>ЭТАЖ ЗАДАН ЧИСЛОМ</v>
      </c>
      <c r="Q654" s="13" t="str">
        <f t="shared" si="75"/>
        <v>ГОТОВ</v>
      </c>
      <c r="R654" s="13">
        <f>IFERROR(VLOOKUP(P654,Лист1!A$1:B$20,2,FALSE),0)</f>
        <v>784</v>
      </c>
      <c r="S654" s="13">
        <f t="shared" si="76"/>
        <v>1</v>
      </c>
    </row>
    <row r="655" spans="1:19" x14ac:dyDescent="0.25">
      <c r="A655" s="24" t="s">
        <v>1766</v>
      </c>
      <c r="B655" s="4" t="s">
        <v>1059</v>
      </c>
      <c r="C655" s="25" t="s">
        <v>7</v>
      </c>
      <c r="D655" s="25" t="s">
        <v>5</v>
      </c>
      <c r="G655" s="25" t="s">
        <v>1069</v>
      </c>
      <c r="H655" s="24" t="s">
        <v>1061</v>
      </c>
      <c r="I655" s="3" t="str">
        <f>IFERROR(VLOOKUP(C655,'Справочник соответствий'!A$2:D$2981,2,FALSE),IF(VALUE(C655)=0,1,VLOOKUP(C655,'Справочник соответствий'!A$2:D$2981,2,FALSE)))</f>
        <v>2</v>
      </c>
      <c r="J655" s="3" t="str">
        <f>IFERROR(VLOOKUP(D655,'Справочник соответствий'!A$2:D$2981,2,FALSE),IF(VALUE(D655)=0,0,VLOOKUP(D655,'Справочник соответствий'!A$2:D$2981,2,FALSE)))</f>
        <v>1</v>
      </c>
      <c r="K655" s="3" t="str">
        <f t="shared" si="70"/>
        <v>2</v>
      </c>
      <c r="L655" s="13" t="str">
        <f>IFERROR(VLOOKUP(C655,'Справочник соответствий'!A$2:D$2981,3,FALSE),IF(VALUE(C655)=0,"ЭТАЖ НЕ ОПРЕДЕЛЕН. ПРИНЯТ ПО ДОПУЩЕНИЮ 1",VLOOKUP(C655,'Справочник соответствий'!A$2:D$2981,3,FALSE)))</f>
        <v>ЭТАЖ ЗАДАН ЧИСЛОМ</v>
      </c>
      <c r="M655" s="13" t="b">
        <f t="shared" si="71"/>
        <v>0</v>
      </c>
      <c r="N655" s="13">
        <f t="shared" si="72"/>
        <v>2</v>
      </c>
      <c r="O655" s="13" t="str">
        <f t="shared" si="73"/>
        <v>ЭТАЖ ЗАДАН ЧИСЛОМ</v>
      </c>
      <c r="P655" s="13" t="str">
        <f t="shared" si="74"/>
        <v>ЭТАЖ ЗАДАН ЧИСЛОМ</v>
      </c>
      <c r="Q655" s="13" t="str">
        <f t="shared" si="75"/>
        <v>ГОТОВ_ИЗМЕНЕН</v>
      </c>
      <c r="R655" s="13">
        <f>IFERROR(VLOOKUP(P655,Лист1!A$1:B$20,2,FALSE),0)</f>
        <v>784</v>
      </c>
      <c r="S655" s="13">
        <f t="shared" si="76"/>
        <v>0</v>
      </c>
    </row>
    <row r="656" spans="1:19" x14ac:dyDescent="0.25">
      <c r="A656" s="24" t="s">
        <v>1767</v>
      </c>
      <c r="B656" s="4" t="s">
        <v>1063</v>
      </c>
      <c r="C656" s="25" t="s">
        <v>5</v>
      </c>
      <c r="G656" s="25" t="s">
        <v>1086</v>
      </c>
      <c r="H656" s="24" t="s">
        <v>1061</v>
      </c>
      <c r="I656" s="3" t="str">
        <f>IFERROR(VLOOKUP(C656,'Справочник соответствий'!A$2:D$2981,2,FALSE),IF(VALUE(C656)=0,1,VLOOKUP(C656,'Справочник соответствий'!A$2:D$2981,2,FALSE)))</f>
        <v>1</v>
      </c>
      <c r="J656" s="3">
        <f>IFERROR(VLOOKUP(D656,'Справочник соответствий'!A$2:D$2981,2,FALSE),IF(VALUE(D656)=0,0,VLOOKUP(D656,'Справочник соответствий'!A$2:D$2981,2,FALSE)))</f>
        <v>0</v>
      </c>
      <c r="K656" s="3" t="str">
        <f t="shared" si="70"/>
        <v>1</v>
      </c>
      <c r="L656" s="13" t="str">
        <f>IFERROR(VLOOKUP(C656,'Справочник соответствий'!A$2:D$2981,3,FALSE),IF(VALUE(C656)=0,"ЭТАЖ НЕ ОПРЕДЕЛЕН. ПРИНЯТ ПО ДОПУЩЕНИЮ 1",VLOOKUP(C656,'Справочник соответствий'!A$2:D$2981,3,FALSE)))</f>
        <v>ЭТАЖ ЗАДАН ЧИСЛОМ</v>
      </c>
      <c r="M656" s="13" t="b">
        <f t="shared" si="71"/>
        <v>0</v>
      </c>
      <c r="N656" s="13">
        <f t="shared" si="72"/>
        <v>1</v>
      </c>
      <c r="O656" s="13" t="str">
        <f t="shared" si="73"/>
        <v>ЭТАЖ ЗАДАН ЧИСЛОМ</v>
      </c>
      <c r="P656" s="13" t="str">
        <f t="shared" si="74"/>
        <v>ЭТАЖ ЗАДАН ЧИСЛОМ</v>
      </c>
      <c r="Q656" s="13" t="str">
        <f t="shared" si="75"/>
        <v>ГОТОВ_ИЗМЕНЕН</v>
      </c>
      <c r="R656" s="13">
        <f>IFERROR(VLOOKUP(P656,Лист1!A$1:B$20,2,FALSE),0)</f>
        <v>784</v>
      </c>
      <c r="S656" s="13">
        <f t="shared" si="76"/>
        <v>0</v>
      </c>
    </row>
    <row r="657" spans="1:19" x14ac:dyDescent="0.25">
      <c r="A657" s="24" t="s">
        <v>1768</v>
      </c>
      <c r="B657" s="4" t="s">
        <v>1059</v>
      </c>
      <c r="C657" s="25" t="s">
        <v>5</v>
      </c>
      <c r="G657" s="25" t="s">
        <v>1077</v>
      </c>
      <c r="H657" s="24" t="s">
        <v>1061</v>
      </c>
      <c r="I657" s="3" t="str">
        <f>IFERROR(VLOOKUP(C657,'Справочник соответствий'!A$2:D$2981,2,FALSE),IF(VALUE(C657)=0,1,VLOOKUP(C657,'Справочник соответствий'!A$2:D$2981,2,FALSE)))</f>
        <v>1</v>
      </c>
      <c r="J657" s="3">
        <f>IFERROR(VLOOKUP(D657,'Справочник соответствий'!A$2:D$2981,2,FALSE),IF(VALUE(D657)=0,0,VLOOKUP(D657,'Справочник соответствий'!A$2:D$2981,2,FALSE)))</f>
        <v>0</v>
      </c>
      <c r="K657" s="3" t="str">
        <f t="shared" si="70"/>
        <v>1</v>
      </c>
      <c r="L657" s="13" t="str">
        <f>IFERROR(VLOOKUP(C657,'Справочник соответствий'!A$2:D$2981,3,FALSE),IF(VALUE(C657)=0,"ЭТАЖ НЕ ОПРЕДЕЛЕН. ПРИНЯТ ПО ДОПУЩЕНИЮ 1",VLOOKUP(C657,'Справочник соответствий'!A$2:D$2981,3,FALSE)))</f>
        <v>ЭТАЖ ЗАДАН ЧИСЛОМ</v>
      </c>
      <c r="M657" s="13" t="b">
        <f t="shared" si="71"/>
        <v>0</v>
      </c>
      <c r="N657" s="13">
        <f t="shared" si="72"/>
        <v>1</v>
      </c>
      <c r="O657" s="13" t="str">
        <f t="shared" si="73"/>
        <v>ЭТАЖ ЗАДАН ЧИСЛОМ</v>
      </c>
      <c r="P657" s="13" t="str">
        <f t="shared" si="74"/>
        <v>ЭТАЖ ЗАДАН ЧИСЛОМ</v>
      </c>
      <c r="Q657" s="13" t="str">
        <f t="shared" si="75"/>
        <v>ГОТОВ_ИЗМЕНЕН</v>
      </c>
      <c r="R657" s="13">
        <f>IFERROR(VLOOKUP(P657,Лист1!A$1:B$20,2,FALSE),0)</f>
        <v>784</v>
      </c>
      <c r="S657" s="13">
        <f t="shared" si="76"/>
        <v>0</v>
      </c>
    </row>
    <row r="658" spans="1:19" x14ac:dyDescent="0.25">
      <c r="A658" s="24" t="s">
        <v>1769</v>
      </c>
      <c r="B658" s="4" t="s">
        <v>1059</v>
      </c>
      <c r="C658" s="25" t="s">
        <v>5</v>
      </c>
      <c r="G658" s="25" t="s">
        <v>1077</v>
      </c>
      <c r="H658" s="24" t="s">
        <v>1061</v>
      </c>
      <c r="I658" s="3" t="str">
        <f>IFERROR(VLOOKUP(C658,'Справочник соответствий'!A$2:D$2981,2,FALSE),IF(VALUE(C658)=0,1,VLOOKUP(C658,'Справочник соответствий'!A$2:D$2981,2,FALSE)))</f>
        <v>1</v>
      </c>
      <c r="J658" s="3">
        <f>IFERROR(VLOOKUP(D658,'Справочник соответствий'!A$2:D$2981,2,FALSE),IF(VALUE(D658)=0,0,VLOOKUP(D658,'Справочник соответствий'!A$2:D$2981,2,FALSE)))</f>
        <v>0</v>
      </c>
      <c r="K658" s="3" t="str">
        <f t="shared" si="70"/>
        <v>1</v>
      </c>
      <c r="L658" s="13" t="str">
        <f>IFERROR(VLOOKUP(C658,'Справочник соответствий'!A$2:D$2981,3,FALSE),IF(VALUE(C658)=0,"ЭТАЖ НЕ ОПРЕДЕЛЕН. ПРИНЯТ ПО ДОПУЩЕНИЮ 1",VLOOKUP(C658,'Справочник соответствий'!A$2:D$2981,3,FALSE)))</f>
        <v>ЭТАЖ ЗАДАН ЧИСЛОМ</v>
      </c>
      <c r="M658" s="13" t="b">
        <f t="shared" si="71"/>
        <v>0</v>
      </c>
      <c r="N658" s="13">
        <f t="shared" si="72"/>
        <v>1</v>
      </c>
      <c r="O658" s="13" t="str">
        <f t="shared" si="73"/>
        <v>ЭТАЖ ЗАДАН ЧИСЛОМ</v>
      </c>
      <c r="P658" s="13" t="str">
        <f t="shared" si="74"/>
        <v>ЭТАЖ ЗАДАН ЧИСЛОМ</v>
      </c>
      <c r="Q658" s="13" t="str">
        <f t="shared" si="75"/>
        <v>ГОТОВ_ИЗМЕНЕН</v>
      </c>
      <c r="R658" s="13">
        <f>IFERROR(VLOOKUP(P658,Лист1!A$1:B$20,2,FALSE),0)</f>
        <v>784</v>
      </c>
      <c r="S658" s="13">
        <f t="shared" si="76"/>
        <v>0</v>
      </c>
    </row>
    <row r="659" spans="1:19" x14ac:dyDescent="0.25">
      <c r="A659" s="24" t="s">
        <v>1770</v>
      </c>
      <c r="B659" s="4" t="s">
        <v>1059</v>
      </c>
      <c r="C659" s="25" t="s">
        <v>5</v>
      </c>
      <c r="G659" s="25" t="s">
        <v>1086</v>
      </c>
      <c r="H659" s="24" t="s">
        <v>1061</v>
      </c>
      <c r="I659" s="3" t="str">
        <f>IFERROR(VLOOKUP(C659,'Справочник соответствий'!A$2:D$2981,2,FALSE),IF(VALUE(C659)=0,1,VLOOKUP(C659,'Справочник соответствий'!A$2:D$2981,2,FALSE)))</f>
        <v>1</v>
      </c>
      <c r="J659" s="3">
        <f>IFERROR(VLOOKUP(D659,'Справочник соответствий'!A$2:D$2981,2,FALSE),IF(VALUE(D659)=0,0,VLOOKUP(D659,'Справочник соответствий'!A$2:D$2981,2,FALSE)))</f>
        <v>0</v>
      </c>
      <c r="K659" s="3" t="str">
        <f t="shared" si="70"/>
        <v>1</v>
      </c>
      <c r="L659" s="13" t="str">
        <f>IFERROR(VLOOKUP(C659,'Справочник соответствий'!A$2:D$2981,3,FALSE),IF(VALUE(C659)=0,"ЭТАЖ НЕ ОПРЕДЕЛЕН. ПРИНЯТ ПО ДОПУЩЕНИЮ 1",VLOOKUP(C659,'Справочник соответствий'!A$2:D$2981,3,FALSE)))</f>
        <v>ЭТАЖ ЗАДАН ЧИСЛОМ</v>
      </c>
      <c r="M659" s="13" t="b">
        <f t="shared" si="71"/>
        <v>0</v>
      </c>
      <c r="N659" s="13">
        <f t="shared" si="72"/>
        <v>1</v>
      </c>
      <c r="O659" s="13" t="str">
        <f t="shared" si="73"/>
        <v>ЭТАЖ ЗАДАН ЧИСЛОМ</v>
      </c>
      <c r="P659" s="13" t="str">
        <f t="shared" si="74"/>
        <v>ЭТАЖ ЗАДАН ЧИСЛОМ</v>
      </c>
      <c r="Q659" s="13" t="str">
        <f t="shared" si="75"/>
        <v>ГОТОВ_ИЗМЕНЕН</v>
      </c>
      <c r="R659" s="13">
        <f>IFERROR(VLOOKUP(P659,Лист1!A$1:B$20,2,FALSE),0)</f>
        <v>784</v>
      </c>
      <c r="S659" s="13">
        <f t="shared" si="76"/>
        <v>0</v>
      </c>
    </row>
    <row r="660" spans="1:19" x14ac:dyDescent="0.25">
      <c r="A660" s="24" t="s">
        <v>1771</v>
      </c>
      <c r="B660" s="4" t="s">
        <v>1059</v>
      </c>
      <c r="C660" s="25" t="s">
        <v>5</v>
      </c>
      <c r="G660" s="25" t="s">
        <v>1086</v>
      </c>
      <c r="H660" s="24" t="s">
        <v>1061</v>
      </c>
      <c r="I660" s="3" t="str">
        <f>IFERROR(VLOOKUP(C660,'Справочник соответствий'!A$2:D$2981,2,FALSE),IF(VALUE(C660)=0,1,VLOOKUP(C660,'Справочник соответствий'!A$2:D$2981,2,FALSE)))</f>
        <v>1</v>
      </c>
      <c r="J660" s="3">
        <f>IFERROR(VLOOKUP(D660,'Справочник соответствий'!A$2:D$2981,2,FALSE),IF(VALUE(D660)=0,0,VLOOKUP(D660,'Справочник соответствий'!A$2:D$2981,2,FALSE)))</f>
        <v>0</v>
      </c>
      <c r="K660" s="3" t="str">
        <f t="shared" si="70"/>
        <v>1</v>
      </c>
      <c r="L660" s="13" t="str">
        <f>IFERROR(VLOOKUP(C660,'Справочник соответствий'!A$2:D$2981,3,FALSE),IF(VALUE(C660)=0,"ЭТАЖ НЕ ОПРЕДЕЛЕН. ПРИНЯТ ПО ДОПУЩЕНИЮ 1",VLOOKUP(C660,'Справочник соответствий'!A$2:D$2981,3,FALSE)))</f>
        <v>ЭТАЖ ЗАДАН ЧИСЛОМ</v>
      </c>
      <c r="M660" s="13" t="b">
        <f t="shared" si="71"/>
        <v>0</v>
      </c>
      <c r="N660" s="13">
        <f t="shared" si="72"/>
        <v>1</v>
      </c>
      <c r="O660" s="13" t="str">
        <f t="shared" si="73"/>
        <v>ЭТАЖ ЗАДАН ЧИСЛОМ</v>
      </c>
      <c r="P660" s="13" t="str">
        <f t="shared" si="74"/>
        <v>ЭТАЖ ЗАДАН ЧИСЛОМ</v>
      </c>
      <c r="Q660" s="13" t="str">
        <f t="shared" si="75"/>
        <v>ГОТОВ_ИЗМЕНЕН</v>
      </c>
      <c r="R660" s="13">
        <f>IFERROR(VLOOKUP(P660,Лист1!A$1:B$20,2,FALSE),0)</f>
        <v>784</v>
      </c>
      <c r="S660" s="13">
        <f t="shared" si="76"/>
        <v>0</v>
      </c>
    </row>
    <row r="661" spans="1:19" x14ac:dyDescent="0.25">
      <c r="A661" s="24" t="s">
        <v>1772</v>
      </c>
      <c r="B661" s="4" t="s">
        <v>1059</v>
      </c>
      <c r="C661" s="25" t="s">
        <v>7</v>
      </c>
      <c r="G661" s="25" t="s">
        <v>1086</v>
      </c>
      <c r="H661" s="24" t="s">
        <v>1061</v>
      </c>
      <c r="I661" s="3" t="str">
        <f>IFERROR(VLOOKUP(C661,'Справочник соответствий'!A$2:D$2981,2,FALSE),IF(VALUE(C661)=0,1,VLOOKUP(C661,'Справочник соответствий'!A$2:D$2981,2,FALSE)))</f>
        <v>2</v>
      </c>
      <c r="J661" s="3">
        <f>IFERROR(VLOOKUP(D661,'Справочник соответствий'!A$2:D$2981,2,FALSE),IF(VALUE(D661)=0,0,VLOOKUP(D661,'Справочник соответствий'!A$2:D$2981,2,FALSE)))</f>
        <v>0</v>
      </c>
      <c r="K661" s="3" t="str">
        <f t="shared" si="70"/>
        <v>2</v>
      </c>
      <c r="L661" s="13" t="str">
        <f>IFERROR(VLOOKUP(C661,'Справочник соответствий'!A$2:D$2981,3,FALSE),IF(VALUE(C661)=0,"ЭТАЖ НЕ ОПРЕДЕЛЕН. ПРИНЯТ ПО ДОПУЩЕНИЮ 1",VLOOKUP(C661,'Справочник соответствий'!A$2:D$2981,3,FALSE)))</f>
        <v>ЭТАЖ ЗАДАН ЧИСЛОМ</v>
      </c>
      <c r="M661" s="13" t="b">
        <f t="shared" si="71"/>
        <v>0</v>
      </c>
      <c r="N661" s="13">
        <f t="shared" si="72"/>
        <v>2</v>
      </c>
      <c r="O661" s="13" t="str">
        <f t="shared" si="73"/>
        <v>ЭТАЖ ЗАДАН ЧИСЛОМ</v>
      </c>
      <c r="P661" s="13" t="str">
        <f t="shared" si="74"/>
        <v>ЭТАЖ ЗАДАН ЧИСЛОМ</v>
      </c>
      <c r="Q661" s="13" t="str">
        <f t="shared" si="75"/>
        <v>ГОТОВ_ИЗМЕНЕН</v>
      </c>
      <c r="R661" s="13">
        <f>IFERROR(VLOOKUP(P661,Лист1!A$1:B$20,2,FALSE),0)</f>
        <v>784</v>
      </c>
      <c r="S661" s="13">
        <f t="shared" si="76"/>
        <v>0</v>
      </c>
    </row>
    <row r="662" spans="1:19" x14ac:dyDescent="0.25">
      <c r="A662" s="24" t="s">
        <v>1773</v>
      </c>
      <c r="B662" s="4" t="s">
        <v>1031</v>
      </c>
      <c r="C662" s="25" t="s">
        <v>70</v>
      </c>
      <c r="D662" s="25" t="s">
        <v>5</v>
      </c>
      <c r="G662" s="25" t="s">
        <v>1086</v>
      </c>
      <c r="H662" s="24" t="s">
        <v>1061</v>
      </c>
      <c r="I662" s="3" t="str">
        <f>IFERROR(VLOOKUP(C662,'Справочник соответствий'!A$2:D$2981,2,FALSE),IF(VALUE(C662)=0,1,VLOOKUP(C662,'Справочник соответствий'!A$2:D$2981,2,FALSE)))</f>
        <v>16</v>
      </c>
      <c r="J662" s="3" t="str">
        <f>IFERROR(VLOOKUP(D662,'Справочник соответствий'!A$2:D$2981,2,FALSE),IF(VALUE(D662)=0,0,VLOOKUP(D662,'Справочник соответствий'!A$2:D$2981,2,FALSE)))</f>
        <v>1</v>
      </c>
      <c r="K662" s="3">
        <f t="shared" si="70"/>
        <v>15</v>
      </c>
      <c r="L662" s="13" t="str">
        <f>IFERROR(VLOOKUP(C662,'Справочник соответствий'!A$2:D$2981,3,FALSE),IF(VALUE(C662)=0,"ЭТАЖ НЕ ОПРЕДЕЛЕН. ПРИНЯТ ПО ДОПУЩЕНИЮ 1",VLOOKUP(C662,'Справочник соответствий'!A$2:D$2981,3,FALSE)))</f>
        <v>ЭТАЖ ЗАДАН ЧИСЛОМ</v>
      </c>
      <c r="M662" s="13" t="b">
        <f t="shared" si="71"/>
        <v>0</v>
      </c>
      <c r="N662" s="13">
        <f t="shared" si="72"/>
        <v>15</v>
      </c>
      <c r="O662" s="13" t="str">
        <f t="shared" si="73"/>
        <v>ЭТАЖ ЗАДАН ЧИСЛОМ</v>
      </c>
      <c r="P662" s="13" t="str">
        <f t="shared" si="74"/>
        <v>МКД_ЭТАЖ ЗАДАН ЧИСЛОМ</v>
      </c>
      <c r="Q662" s="13" t="str">
        <f t="shared" si="75"/>
        <v>ГОТОВ_ИЗМЕНЕН</v>
      </c>
      <c r="R662" s="13">
        <f>IFERROR(VLOOKUP(P662,Лист1!A$1:B$20,2,FALSE),0)</f>
        <v>786</v>
      </c>
      <c r="S662" s="13">
        <f t="shared" si="76"/>
        <v>0</v>
      </c>
    </row>
    <row r="663" spans="1:19" x14ac:dyDescent="0.25">
      <c r="A663" s="24" t="s">
        <v>1774</v>
      </c>
      <c r="B663" s="4" t="s">
        <v>1059</v>
      </c>
      <c r="C663" s="25" t="s">
        <v>7</v>
      </c>
      <c r="G663" s="25" t="s">
        <v>1080</v>
      </c>
      <c r="H663" s="24" t="s">
        <v>1061</v>
      </c>
      <c r="I663" s="3" t="str">
        <f>IFERROR(VLOOKUP(C663,'Справочник соответствий'!A$2:D$2981,2,FALSE),IF(VALUE(C663)=0,1,VLOOKUP(C663,'Справочник соответствий'!A$2:D$2981,2,FALSE)))</f>
        <v>2</v>
      </c>
      <c r="J663" s="3">
        <f>IFERROR(VLOOKUP(D663,'Справочник соответствий'!A$2:D$2981,2,FALSE),IF(VALUE(D663)=0,0,VLOOKUP(D663,'Справочник соответствий'!A$2:D$2981,2,FALSE)))</f>
        <v>0</v>
      </c>
      <c r="K663" s="3" t="str">
        <f t="shared" si="70"/>
        <v>2</v>
      </c>
      <c r="L663" s="13" t="str">
        <f>IFERROR(VLOOKUP(C663,'Справочник соответствий'!A$2:D$2981,3,FALSE),IF(VALUE(C663)=0,"ЭТАЖ НЕ ОПРЕДЕЛЕН. ПРИНЯТ ПО ДОПУЩЕНИЮ 1",VLOOKUP(C663,'Справочник соответствий'!A$2:D$2981,3,FALSE)))</f>
        <v>ЭТАЖ ЗАДАН ЧИСЛОМ</v>
      </c>
      <c r="M663" s="13" t="b">
        <f t="shared" si="71"/>
        <v>0</v>
      </c>
      <c r="N663" s="13">
        <f t="shared" si="72"/>
        <v>2</v>
      </c>
      <c r="O663" s="13" t="str">
        <f t="shared" si="73"/>
        <v>ЭТАЖ ЗАДАН ЧИСЛОМ</v>
      </c>
      <c r="P663" s="13" t="str">
        <f t="shared" si="74"/>
        <v>ЭТАЖ ЗАДАН ЧИСЛОМ</v>
      </c>
      <c r="Q663" s="13" t="str">
        <f t="shared" si="75"/>
        <v>ГОТОВ_ИЗМЕНЕН</v>
      </c>
      <c r="R663" s="13">
        <f>IFERROR(VLOOKUP(P663,Лист1!A$1:B$20,2,FALSE),0)</f>
        <v>784</v>
      </c>
      <c r="S663" s="13">
        <f t="shared" si="76"/>
        <v>0</v>
      </c>
    </row>
    <row r="664" spans="1:19" x14ac:dyDescent="0.25">
      <c r="A664" s="24" t="s">
        <v>1775</v>
      </c>
      <c r="B664" s="4" t="s">
        <v>1059</v>
      </c>
      <c r="C664" s="25" t="s">
        <v>7</v>
      </c>
      <c r="G664" s="25" t="s">
        <v>1080</v>
      </c>
      <c r="H664" s="24" t="s">
        <v>1061</v>
      </c>
      <c r="I664" s="3" t="str">
        <f>IFERROR(VLOOKUP(C664,'Справочник соответствий'!A$2:D$2981,2,FALSE),IF(VALUE(C664)=0,1,VLOOKUP(C664,'Справочник соответствий'!A$2:D$2981,2,FALSE)))</f>
        <v>2</v>
      </c>
      <c r="J664" s="3">
        <f>IFERROR(VLOOKUP(D664,'Справочник соответствий'!A$2:D$2981,2,FALSE),IF(VALUE(D664)=0,0,VLOOKUP(D664,'Справочник соответствий'!A$2:D$2981,2,FALSE)))</f>
        <v>0</v>
      </c>
      <c r="K664" s="3" t="str">
        <f t="shared" si="70"/>
        <v>2</v>
      </c>
      <c r="L664" s="13" t="str">
        <f>IFERROR(VLOOKUP(C664,'Справочник соответствий'!A$2:D$2981,3,FALSE),IF(VALUE(C664)=0,"ЭТАЖ НЕ ОПРЕДЕЛЕН. ПРИНЯТ ПО ДОПУЩЕНИЮ 1",VLOOKUP(C664,'Справочник соответствий'!A$2:D$2981,3,FALSE)))</f>
        <v>ЭТАЖ ЗАДАН ЧИСЛОМ</v>
      </c>
      <c r="M664" s="13" t="b">
        <f t="shared" si="71"/>
        <v>0</v>
      </c>
      <c r="N664" s="13">
        <f t="shared" si="72"/>
        <v>2</v>
      </c>
      <c r="O664" s="13" t="str">
        <f t="shared" si="73"/>
        <v>ЭТАЖ ЗАДАН ЧИСЛОМ</v>
      </c>
      <c r="P664" s="13" t="str">
        <f t="shared" si="74"/>
        <v>ЭТАЖ ЗАДАН ЧИСЛОМ</v>
      </c>
      <c r="Q664" s="13" t="str">
        <f t="shared" si="75"/>
        <v>ГОТОВ_ИЗМЕНЕН</v>
      </c>
      <c r="R664" s="13">
        <f>IFERROR(VLOOKUP(P664,Лист1!A$1:B$20,2,FALSE),0)</f>
        <v>784</v>
      </c>
      <c r="S664" s="13">
        <f t="shared" si="76"/>
        <v>0</v>
      </c>
    </row>
    <row r="665" spans="1:19" x14ac:dyDescent="0.25">
      <c r="A665" s="24" t="s">
        <v>1776</v>
      </c>
      <c r="B665" s="4" t="s">
        <v>1063</v>
      </c>
      <c r="C665" s="25" t="s">
        <v>5</v>
      </c>
      <c r="G665" s="25" t="s">
        <v>1077</v>
      </c>
      <c r="H665" s="24" t="s">
        <v>1061</v>
      </c>
      <c r="I665" s="3" t="str">
        <f>IFERROR(VLOOKUP(C665,'Справочник соответствий'!A$2:D$2981,2,FALSE),IF(VALUE(C665)=0,1,VLOOKUP(C665,'Справочник соответствий'!A$2:D$2981,2,FALSE)))</f>
        <v>1</v>
      </c>
      <c r="J665" s="3">
        <f>IFERROR(VLOOKUP(D665,'Справочник соответствий'!A$2:D$2981,2,FALSE),IF(VALUE(D665)=0,0,VLOOKUP(D665,'Справочник соответствий'!A$2:D$2981,2,FALSE)))</f>
        <v>0</v>
      </c>
      <c r="K665" s="3" t="str">
        <f t="shared" si="70"/>
        <v>1</v>
      </c>
      <c r="L665" s="13" t="str">
        <f>IFERROR(VLOOKUP(C665,'Справочник соответствий'!A$2:D$2981,3,FALSE),IF(VALUE(C665)=0,"ЭТАЖ НЕ ОПРЕДЕЛЕН. ПРИНЯТ ПО ДОПУЩЕНИЮ 1",VLOOKUP(C665,'Справочник соответствий'!A$2:D$2981,3,FALSE)))</f>
        <v>ЭТАЖ ЗАДАН ЧИСЛОМ</v>
      </c>
      <c r="M665" s="13" t="b">
        <f t="shared" si="71"/>
        <v>0</v>
      </c>
      <c r="N665" s="13">
        <f t="shared" si="72"/>
        <v>1</v>
      </c>
      <c r="O665" s="13" t="str">
        <f t="shared" si="73"/>
        <v>ЭТАЖ ЗАДАН ЧИСЛОМ</v>
      </c>
      <c r="P665" s="13" t="str">
        <f t="shared" si="74"/>
        <v>ЭТАЖ ЗАДАН ЧИСЛОМ</v>
      </c>
      <c r="Q665" s="13" t="str">
        <f t="shared" si="75"/>
        <v>ГОТОВ_ИЗМЕНЕН</v>
      </c>
      <c r="R665" s="13">
        <f>IFERROR(VLOOKUP(P665,Лист1!A$1:B$20,2,FALSE),0)</f>
        <v>784</v>
      </c>
      <c r="S665" s="13">
        <f t="shared" si="76"/>
        <v>0</v>
      </c>
    </row>
    <row r="666" spans="1:19" x14ac:dyDescent="0.25">
      <c r="A666" s="24" t="s">
        <v>1777</v>
      </c>
      <c r="B666" s="4" t="s">
        <v>1063</v>
      </c>
      <c r="C666" s="25" t="s">
        <v>5</v>
      </c>
      <c r="G666" s="25" t="s">
        <v>1080</v>
      </c>
      <c r="H666" s="24" t="s">
        <v>1061</v>
      </c>
      <c r="I666" s="3" t="str">
        <f>IFERROR(VLOOKUP(C666,'Справочник соответствий'!A$2:D$2981,2,FALSE),IF(VALUE(C666)=0,1,VLOOKUP(C666,'Справочник соответствий'!A$2:D$2981,2,FALSE)))</f>
        <v>1</v>
      </c>
      <c r="J666" s="3">
        <f>IFERROR(VLOOKUP(D666,'Справочник соответствий'!A$2:D$2981,2,FALSE),IF(VALUE(D666)=0,0,VLOOKUP(D666,'Справочник соответствий'!A$2:D$2981,2,FALSE)))</f>
        <v>0</v>
      </c>
      <c r="K666" s="3" t="str">
        <f t="shared" si="70"/>
        <v>1</v>
      </c>
      <c r="L666" s="13" t="str">
        <f>IFERROR(VLOOKUP(C666,'Справочник соответствий'!A$2:D$2981,3,FALSE),IF(VALUE(C666)=0,"ЭТАЖ НЕ ОПРЕДЕЛЕН. ПРИНЯТ ПО ДОПУЩЕНИЮ 1",VLOOKUP(C666,'Справочник соответствий'!A$2:D$2981,3,FALSE)))</f>
        <v>ЭТАЖ ЗАДАН ЧИСЛОМ</v>
      </c>
      <c r="M666" s="13" t="b">
        <f t="shared" si="71"/>
        <v>0</v>
      </c>
      <c r="N666" s="13">
        <f t="shared" si="72"/>
        <v>1</v>
      </c>
      <c r="O666" s="13" t="str">
        <f t="shared" si="73"/>
        <v>ЭТАЖ ЗАДАН ЧИСЛОМ</v>
      </c>
      <c r="P666" s="13" t="str">
        <f t="shared" si="74"/>
        <v>ЭТАЖ ЗАДАН ЧИСЛОМ</v>
      </c>
      <c r="Q666" s="13" t="str">
        <f t="shared" si="75"/>
        <v>ГОТОВ_ИЗМЕНЕН</v>
      </c>
      <c r="R666" s="13">
        <f>IFERROR(VLOOKUP(P666,Лист1!A$1:B$20,2,FALSE),0)</f>
        <v>784</v>
      </c>
      <c r="S666" s="13">
        <f t="shared" si="76"/>
        <v>0</v>
      </c>
    </row>
    <row r="667" spans="1:19" x14ac:dyDescent="0.25">
      <c r="A667" s="24" t="s">
        <v>1778</v>
      </c>
      <c r="B667" s="4" t="s">
        <v>1063</v>
      </c>
      <c r="C667" s="25" t="s">
        <v>5</v>
      </c>
      <c r="G667" s="25" t="s">
        <v>1086</v>
      </c>
      <c r="H667" s="24" t="s">
        <v>1061</v>
      </c>
      <c r="I667" s="3" t="str">
        <f>IFERROR(VLOOKUP(C667,'Справочник соответствий'!A$2:D$2981,2,FALSE),IF(VALUE(C667)=0,1,VLOOKUP(C667,'Справочник соответствий'!A$2:D$2981,2,FALSE)))</f>
        <v>1</v>
      </c>
      <c r="J667" s="3">
        <f>IFERROR(VLOOKUP(D667,'Справочник соответствий'!A$2:D$2981,2,FALSE),IF(VALUE(D667)=0,0,VLOOKUP(D667,'Справочник соответствий'!A$2:D$2981,2,FALSE)))</f>
        <v>0</v>
      </c>
      <c r="K667" s="3" t="str">
        <f t="shared" si="70"/>
        <v>1</v>
      </c>
      <c r="L667" s="13" t="str">
        <f>IFERROR(VLOOKUP(C667,'Справочник соответствий'!A$2:D$2981,3,FALSE),IF(VALUE(C667)=0,"ЭТАЖ НЕ ОПРЕДЕЛЕН. ПРИНЯТ ПО ДОПУЩЕНИЮ 1",VLOOKUP(C667,'Справочник соответствий'!A$2:D$2981,3,FALSE)))</f>
        <v>ЭТАЖ ЗАДАН ЧИСЛОМ</v>
      </c>
      <c r="M667" s="13" t="b">
        <f t="shared" si="71"/>
        <v>0</v>
      </c>
      <c r="N667" s="13">
        <f t="shared" si="72"/>
        <v>1</v>
      </c>
      <c r="O667" s="13" t="str">
        <f t="shared" si="73"/>
        <v>ЭТАЖ ЗАДАН ЧИСЛОМ</v>
      </c>
      <c r="P667" s="13" t="str">
        <f t="shared" si="74"/>
        <v>ЭТАЖ ЗАДАН ЧИСЛОМ</v>
      </c>
      <c r="Q667" s="13" t="str">
        <f t="shared" si="75"/>
        <v>ГОТОВ_ИЗМЕНЕН</v>
      </c>
      <c r="R667" s="13">
        <f>IFERROR(VLOOKUP(P667,Лист1!A$1:B$20,2,FALSE),0)</f>
        <v>784</v>
      </c>
      <c r="S667" s="13">
        <f t="shared" si="76"/>
        <v>0</v>
      </c>
    </row>
    <row r="668" spans="1:19" x14ac:dyDescent="0.25">
      <c r="A668" s="24" t="s">
        <v>1779</v>
      </c>
      <c r="B668" s="4" t="s">
        <v>1063</v>
      </c>
      <c r="C668" s="25" t="s">
        <v>5</v>
      </c>
      <c r="G668" s="25" t="s">
        <v>1086</v>
      </c>
      <c r="H668" s="24" t="s">
        <v>1061</v>
      </c>
      <c r="I668" s="3" t="str">
        <f>IFERROR(VLOOKUP(C668,'Справочник соответствий'!A$2:D$2981,2,FALSE),IF(VALUE(C668)=0,1,VLOOKUP(C668,'Справочник соответствий'!A$2:D$2981,2,FALSE)))</f>
        <v>1</v>
      </c>
      <c r="J668" s="3">
        <f>IFERROR(VLOOKUP(D668,'Справочник соответствий'!A$2:D$2981,2,FALSE),IF(VALUE(D668)=0,0,VLOOKUP(D668,'Справочник соответствий'!A$2:D$2981,2,FALSE)))</f>
        <v>0</v>
      </c>
      <c r="K668" s="3" t="str">
        <f t="shared" si="70"/>
        <v>1</v>
      </c>
      <c r="L668" s="13" t="str">
        <f>IFERROR(VLOOKUP(C668,'Справочник соответствий'!A$2:D$2981,3,FALSE),IF(VALUE(C668)=0,"ЭТАЖ НЕ ОПРЕДЕЛЕН. ПРИНЯТ ПО ДОПУЩЕНИЮ 1",VLOOKUP(C668,'Справочник соответствий'!A$2:D$2981,3,FALSE)))</f>
        <v>ЭТАЖ ЗАДАН ЧИСЛОМ</v>
      </c>
      <c r="M668" s="13" t="b">
        <f t="shared" si="71"/>
        <v>0</v>
      </c>
      <c r="N668" s="13">
        <f t="shared" si="72"/>
        <v>1</v>
      </c>
      <c r="O668" s="13" t="str">
        <f t="shared" si="73"/>
        <v>ЭТАЖ ЗАДАН ЧИСЛОМ</v>
      </c>
      <c r="P668" s="13" t="str">
        <f t="shared" si="74"/>
        <v>ЭТАЖ ЗАДАН ЧИСЛОМ</v>
      </c>
      <c r="Q668" s="13" t="str">
        <f t="shared" si="75"/>
        <v>ГОТОВ_ИЗМЕНЕН</v>
      </c>
      <c r="R668" s="13">
        <f>IFERROR(VLOOKUP(P668,Лист1!A$1:B$20,2,FALSE),0)</f>
        <v>784</v>
      </c>
      <c r="S668" s="13">
        <f t="shared" si="76"/>
        <v>0</v>
      </c>
    </row>
    <row r="669" spans="1:19" x14ac:dyDescent="0.25">
      <c r="A669" s="24" t="s">
        <v>1780</v>
      </c>
      <c r="B669" s="4" t="s">
        <v>1031</v>
      </c>
      <c r="C669" s="25" t="s">
        <v>1781</v>
      </c>
      <c r="D669" s="25" t="s">
        <v>5</v>
      </c>
      <c r="G669" s="25" t="s">
        <v>1080</v>
      </c>
      <c r="H669" s="24" t="s">
        <v>1061</v>
      </c>
      <c r="I669" s="3" t="e">
        <f>IFERROR(VLOOKUP(C669,'Справочник соответствий'!A$2:D$2981,2,FALSE),IF(VALUE(C669)=0,1,VLOOKUP(C669,'Справочник соответствий'!A$2:D$2981,2,FALSE)))</f>
        <v>#N/A</v>
      </c>
      <c r="J669" s="3" t="str">
        <f>IFERROR(VLOOKUP(D669,'Справочник соответствий'!A$2:D$2981,2,FALSE),IF(VALUE(D669)=0,0,VLOOKUP(D669,'Справочник соответствий'!A$2:D$2981,2,FALSE)))</f>
        <v>1</v>
      </c>
      <c r="K669" s="3" t="e">
        <f t="shared" si="70"/>
        <v>#N/A</v>
      </c>
      <c r="L669" s="13" t="e">
        <f>IFERROR(VLOOKUP(C669,'Справочник соответствий'!A$2:D$2981,3,FALSE),IF(VALUE(C669)=0,"ЭТАЖ НЕ ОПРЕДЕЛЕН. ПРИНЯТ ПО ДОПУЩЕНИЮ 1",VLOOKUP(C669,'Справочник соответствий'!A$2:D$2981,3,FALSE)))</f>
        <v>#N/A</v>
      </c>
      <c r="M669" s="13" t="e">
        <f t="shared" si="71"/>
        <v>#N/A</v>
      </c>
      <c r="N669" s="13" t="e">
        <f t="shared" si="72"/>
        <v>#N/A</v>
      </c>
      <c r="O669" s="13" t="e">
        <f t="shared" si="73"/>
        <v>#N/A</v>
      </c>
      <c r="P669" s="13" t="e">
        <f t="shared" si="74"/>
        <v>#N/A</v>
      </c>
      <c r="Q669" s="13" t="str">
        <f t="shared" si="75"/>
        <v>НЕ ГОТОВ</v>
      </c>
      <c r="R669" s="13">
        <f>IFERROR(VLOOKUP(P669,Лист1!A$1:B$20,2,FALSE),0)</f>
        <v>0</v>
      </c>
      <c r="S669" s="13">
        <f t="shared" si="76"/>
        <v>0</v>
      </c>
    </row>
    <row r="670" spans="1:19" x14ac:dyDescent="0.25">
      <c r="A670" s="24" t="s">
        <v>1782</v>
      </c>
      <c r="B670" s="4" t="s">
        <v>1059</v>
      </c>
      <c r="C670" s="25" t="s">
        <v>7</v>
      </c>
      <c r="G670" s="25" t="s">
        <v>1077</v>
      </c>
      <c r="H670" s="24" t="s">
        <v>1061</v>
      </c>
      <c r="I670" s="3" t="str">
        <f>IFERROR(VLOOKUP(C670,'Справочник соответствий'!A$2:D$2981,2,FALSE),IF(VALUE(C670)=0,1,VLOOKUP(C670,'Справочник соответствий'!A$2:D$2981,2,FALSE)))</f>
        <v>2</v>
      </c>
      <c r="J670" s="3">
        <f>IFERROR(VLOOKUP(D670,'Справочник соответствий'!A$2:D$2981,2,FALSE),IF(VALUE(D670)=0,0,VLOOKUP(D670,'Справочник соответствий'!A$2:D$2981,2,FALSE)))</f>
        <v>0</v>
      </c>
      <c r="K670" s="3" t="str">
        <f t="shared" si="70"/>
        <v>2</v>
      </c>
      <c r="L670" s="13" t="str">
        <f>IFERROR(VLOOKUP(C670,'Справочник соответствий'!A$2:D$2981,3,FALSE),IF(VALUE(C670)=0,"ЭТАЖ НЕ ОПРЕДЕЛЕН. ПРИНЯТ ПО ДОПУЩЕНИЮ 1",VLOOKUP(C670,'Справочник соответствий'!A$2:D$2981,3,FALSE)))</f>
        <v>ЭТАЖ ЗАДАН ЧИСЛОМ</v>
      </c>
      <c r="M670" s="13" t="b">
        <f t="shared" si="71"/>
        <v>0</v>
      </c>
      <c r="N670" s="13">
        <f t="shared" si="72"/>
        <v>2</v>
      </c>
      <c r="O670" s="13" t="str">
        <f t="shared" si="73"/>
        <v>ЭТАЖ ЗАДАН ЧИСЛОМ</v>
      </c>
      <c r="P670" s="13" t="str">
        <f t="shared" si="74"/>
        <v>ЭТАЖ ЗАДАН ЧИСЛОМ</v>
      </c>
      <c r="Q670" s="13" t="str">
        <f t="shared" si="75"/>
        <v>ГОТОВ_ИЗМЕНЕН</v>
      </c>
      <c r="R670" s="13">
        <f>IFERROR(VLOOKUP(P670,Лист1!A$1:B$20,2,FALSE),0)</f>
        <v>784</v>
      </c>
      <c r="S670" s="13">
        <f t="shared" si="76"/>
        <v>0</v>
      </c>
    </row>
    <row r="671" spans="1:19" x14ac:dyDescent="0.25">
      <c r="A671" s="24" t="s">
        <v>1783</v>
      </c>
      <c r="B671" s="4" t="s">
        <v>1063</v>
      </c>
      <c r="G671" s="25" t="s">
        <v>1086</v>
      </c>
      <c r="H671" s="24" t="s">
        <v>1061</v>
      </c>
      <c r="I671" s="3">
        <f>IFERROR(VLOOKUP(C671,'Справочник соответствий'!A$2:D$2981,2,FALSE),IF(VALUE(C671)=0,1,VLOOKUP(C671,'Справочник соответствий'!A$2:D$2981,2,FALSE)))</f>
        <v>1</v>
      </c>
      <c r="J671" s="3">
        <f>IFERROR(VLOOKUP(D671,'Справочник соответствий'!A$2:D$2981,2,FALSE),IF(VALUE(D671)=0,0,VLOOKUP(D671,'Справочник соответствий'!A$2:D$2981,2,FALSE)))</f>
        <v>0</v>
      </c>
      <c r="K671" s="3">
        <f t="shared" si="70"/>
        <v>1</v>
      </c>
      <c r="L671" s="13" t="str">
        <f>IFERROR(VLOOKUP(C671,'Справочник соответствий'!A$2:D$2981,3,FALSE),IF(VALUE(C671)=0,"ЭТАЖ НЕ ОПРЕДЕЛЕН. ПРИНЯТ ПО ДОПУЩЕНИЮ 1",VLOOKUP(C671,'Справочник соответствий'!A$2:D$2981,3,FALSE)))</f>
        <v>ЭТАЖ НЕ ОПРЕДЕЛЕН. ПРИНЯТ ПО ДОПУЩЕНИЮ 1</v>
      </c>
      <c r="M671" s="13" t="b">
        <f t="shared" si="71"/>
        <v>0</v>
      </c>
      <c r="N671" s="13">
        <f t="shared" si="72"/>
        <v>1</v>
      </c>
      <c r="O671" s="13" t="str">
        <f t="shared" si="73"/>
        <v>ЭТАЖ НЕ ОПРЕДЕЛЕН. ПРИНЯТ ПО ДОПУЩЕНИЮ 1</v>
      </c>
      <c r="P671" s="13" t="str">
        <f t="shared" si="74"/>
        <v>ЭТАЖ НЕ ОПРЕДЕЛЕН. ПРИНЯТ ПО ДОПУЩЕНИЮ 1</v>
      </c>
      <c r="Q671" s="13" t="str">
        <f t="shared" si="75"/>
        <v>ГОТОВ_ИЗМЕНЕН</v>
      </c>
      <c r="R671" s="13">
        <f>IFERROR(VLOOKUP(P671,Лист1!A$1:B$20,2,FALSE),0)</f>
        <v>788</v>
      </c>
      <c r="S671" s="13">
        <f t="shared" si="76"/>
        <v>0</v>
      </c>
    </row>
    <row r="672" spans="1:19" x14ac:dyDescent="0.25">
      <c r="A672" s="24" t="s">
        <v>1784</v>
      </c>
      <c r="B672" s="4" t="s">
        <v>1059</v>
      </c>
      <c r="C672" s="25" t="s">
        <v>5</v>
      </c>
      <c r="G672" s="25" t="s">
        <v>1080</v>
      </c>
      <c r="H672" s="24" t="s">
        <v>1061</v>
      </c>
      <c r="I672" s="3" t="str">
        <f>IFERROR(VLOOKUP(C672,'Справочник соответствий'!A$2:D$2981,2,FALSE),IF(VALUE(C672)=0,1,VLOOKUP(C672,'Справочник соответствий'!A$2:D$2981,2,FALSE)))</f>
        <v>1</v>
      </c>
      <c r="J672" s="3">
        <f>IFERROR(VLOOKUP(D672,'Справочник соответствий'!A$2:D$2981,2,FALSE),IF(VALUE(D672)=0,0,VLOOKUP(D672,'Справочник соответствий'!A$2:D$2981,2,FALSE)))</f>
        <v>0</v>
      </c>
      <c r="K672" s="3" t="str">
        <f t="shared" si="70"/>
        <v>1</v>
      </c>
      <c r="L672" s="13" t="str">
        <f>IFERROR(VLOOKUP(C672,'Справочник соответствий'!A$2:D$2981,3,FALSE),IF(VALUE(C672)=0,"ЭТАЖ НЕ ОПРЕДЕЛЕН. ПРИНЯТ ПО ДОПУЩЕНИЮ 1",VLOOKUP(C672,'Справочник соответствий'!A$2:D$2981,3,FALSE)))</f>
        <v>ЭТАЖ ЗАДАН ЧИСЛОМ</v>
      </c>
      <c r="M672" s="13" t="b">
        <f t="shared" si="71"/>
        <v>0</v>
      </c>
      <c r="N672" s="13">
        <f t="shared" si="72"/>
        <v>1</v>
      </c>
      <c r="O672" s="13" t="str">
        <f t="shared" si="73"/>
        <v>ЭТАЖ ЗАДАН ЧИСЛОМ</v>
      </c>
      <c r="P672" s="13" t="str">
        <f t="shared" si="74"/>
        <v>ЭТАЖ ЗАДАН ЧИСЛОМ</v>
      </c>
      <c r="Q672" s="13" t="str">
        <f t="shared" si="75"/>
        <v>ГОТОВ_ИЗМЕНЕН</v>
      </c>
      <c r="R672" s="13">
        <f>IFERROR(VLOOKUP(P672,Лист1!A$1:B$20,2,FALSE),0)</f>
        <v>784</v>
      </c>
      <c r="S672" s="13">
        <f t="shared" si="76"/>
        <v>0</v>
      </c>
    </row>
    <row r="673" spans="1:19" x14ac:dyDescent="0.25">
      <c r="A673" s="24" t="s">
        <v>1785</v>
      </c>
      <c r="B673" s="4" t="s">
        <v>1063</v>
      </c>
      <c r="C673" s="25" t="s">
        <v>7</v>
      </c>
      <c r="G673" s="25" t="s">
        <v>1080</v>
      </c>
      <c r="H673" s="24" t="s">
        <v>1061</v>
      </c>
      <c r="I673" s="3" t="str">
        <f>IFERROR(VLOOKUP(C673,'Справочник соответствий'!A$2:D$2981,2,FALSE),IF(VALUE(C673)=0,1,VLOOKUP(C673,'Справочник соответствий'!A$2:D$2981,2,FALSE)))</f>
        <v>2</v>
      </c>
      <c r="J673" s="3">
        <f>IFERROR(VLOOKUP(D673,'Справочник соответствий'!A$2:D$2981,2,FALSE),IF(VALUE(D673)=0,0,VLOOKUP(D673,'Справочник соответствий'!A$2:D$2981,2,FALSE)))</f>
        <v>0</v>
      </c>
      <c r="K673" s="3" t="str">
        <f t="shared" si="70"/>
        <v>2</v>
      </c>
      <c r="L673" s="13" t="str">
        <f>IFERROR(VLOOKUP(C673,'Справочник соответствий'!A$2:D$2981,3,FALSE),IF(VALUE(C673)=0,"ЭТАЖ НЕ ОПРЕДЕЛЕН. ПРИНЯТ ПО ДОПУЩЕНИЮ 1",VLOOKUP(C673,'Справочник соответствий'!A$2:D$2981,3,FALSE)))</f>
        <v>ЭТАЖ ЗАДАН ЧИСЛОМ</v>
      </c>
      <c r="M673" s="13" t="b">
        <f t="shared" si="71"/>
        <v>0</v>
      </c>
      <c r="N673" s="13">
        <f t="shared" si="72"/>
        <v>2</v>
      </c>
      <c r="O673" s="13" t="str">
        <f t="shared" si="73"/>
        <v>ЭТАЖ ЗАДАН ЧИСЛОМ</v>
      </c>
      <c r="P673" s="13" t="str">
        <f t="shared" si="74"/>
        <v>ЭТАЖ ЗАДАН ЧИСЛОМ</v>
      </c>
      <c r="Q673" s="13" t="str">
        <f t="shared" si="75"/>
        <v>ГОТОВ_ИЗМЕНЕН</v>
      </c>
      <c r="R673" s="13">
        <f>IFERROR(VLOOKUP(P673,Лист1!A$1:B$20,2,FALSE),0)</f>
        <v>784</v>
      </c>
      <c r="S673" s="13">
        <f t="shared" si="76"/>
        <v>0</v>
      </c>
    </row>
    <row r="674" spans="1:19" x14ac:dyDescent="0.25">
      <c r="A674" s="24" t="s">
        <v>1786</v>
      </c>
      <c r="B674" s="4" t="s">
        <v>1063</v>
      </c>
      <c r="C674" s="25" t="s">
        <v>5</v>
      </c>
      <c r="G674" s="25" t="s">
        <v>1080</v>
      </c>
      <c r="H674" s="24" t="s">
        <v>1061</v>
      </c>
      <c r="I674" s="3" t="str">
        <f>IFERROR(VLOOKUP(C674,'Справочник соответствий'!A$2:D$2981,2,FALSE),IF(VALUE(C674)=0,1,VLOOKUP(C674,'Справочник соответствий'!A$2:D$2981,2,FALSE)))</f>
        <v>1</v>
      </c>
      <c r="J674" s="3">
        <f>IFERROR(VLOOKUP(D674,'Справочник соответствий'!A$2:D$2981,2,FALSE),IF(VALUE(D674)=0,0,VLOOKUP(D674,'Справочник соответствий'!A$2:D$2981,2,FALSE)))</f>
        <v>0</v>
      </c>
      <c r="K674" s="3" t="str">
        <f t="shared" si="70"/>
        <v>1</v>
      </c>
      <c r="L674" s="13" t="str">
        <f>IFERROR(VLOOKUP(C674,'Справочник соответствий'!A$2:D$2981,3,FALSE),IF(VALUE(C674)=0,"ЭТАЖ НЕ ОПРЕДЕЛЕН. ПРИНЯТ ПО ДОПУЩЕНИЮ 1",VLOOKUP(C674,'Справочник соответствий'!A$2:D$2981,3,FALSE)))</f>
        <v>ЭТАЖ ЗАДАН ЧИСЛОМ</v>
      </c>
      <c r="M674" s="13" t="b">
        <f t="shared" si="71"/>
        <v>0</v>
      </c>
      <c r="N674" s="13">
        <f t="shared" si="72"/>
        <v>1</v>
      </c>
      <c r="O674" s="13" t="str">
        <f t="shared" si="73"/>
        <v>ЭТАЖ ЗАДАН ЧИСЛОМ</v>
      </c>
      <c r="P674" s="13" t="str">
        <f t="shared" si="74"/>
        <v>ЭТАЖ ЗАДАН ЧИСЛОМ</v>
      </c>
      <c r="Q674" s="13" t="str">
        <f t="shared" si="75"/>
        <v>ГОТОВ_ИЗМЕНЕН</v>
      </c>
      <c r="R674" s="13">
        <f>IFERROR(VLOOKUP(P674,Лист1!A$1:B$20,2,FALSE),0)</f>
        <v>784</v>
      </c>
      <c r="S674" s="13">
        <f t="shared" si="76"/>
        <v>0</v>
      </c>
    </row>
    <row r="675" spans="1:19" x14ac:dyDescent="0.25">
      <c r="A675" s="24" t="s">
        <v>1787</v>
      </c>
      <c r="B675" s="4" t="s">
        <v>1059</v>
      </c>
      <c r="C675" s="25" t="s">
        <v>7</v>
      </c>
      <c r="G675" s="25" t="s">
        <v>1080</v>
      </c>
      <c r="H675" s="24" t="s">
        <v>1061</v>
      </c>
      <c r="I675" s="3" t="str">
        <f>IFERROR(VLOOKUP(C675,'Справочник соответствий'!A$2:D$2981,2,FALSE),IF(VALUE(C675)=0,1,VLOOKUP(C675,'Справочник соответствий'!A$2:D$2981,2,FALSE)))</f>
        <v>2</v>
      </c>
      <c r="J675" s="3">
        <f>IFERROR(VLOOKUP(D675,'Справочник соответствий'!A$2:D$2981,2,FALSE),IF(VALUE(D675)=0,0,VLOOKUP(D675,'Справочник соответствий'!A$2:D$2981,2,FALSE)))</f>
        <v>0</v>
      </c>
      <c r="K675" s="3" t="str">
        <f t="shared" si="70"/>
        <v>2</v>
      </c>
      <c r="L675" s="13" t="str">
        <f>IFERROR(VLOOKUP(C675,'Справочник соответствий'!A$2:D$2981,3,FALSE),IF(VALUE(C675)=0,"ЭТАЖ НЕ ОПРЕДЕЛЕН. ПРИНЯТ ПО ДОПУЩЕНИЮ 1",VLOOKUP(C675,'Справочник соответствий'!A$2:D$2981,3,FALSE)))</f>
        <v>ЭТАЖ ЗАДАН ЧИСЛОМ</v>
      </c>
      <c r="M675" s="13" t="b">
        <f t="shared" si="71"/>
        <v>0</v>
      </c>
      <c r="N675" s="13">
        <f t="shared" si="72"/>
        <v>2</v>
      </c>
      <c r="O675" s="13" t="str">
        <f t="shared" si="73"/>
        <v>ЭТАЖ ЗАДАН ЧИСЛОМ</v>
      </c>
      <c r="P675" s="13" t="str">
        <f t="shared" si="74"/>
        <v>ЭТАЖ ЗАДАН ЧИСЛОМ</v>
      </c>
      <c r="Q675" s="13" t="str">
        <f t="shared" si="75"/>
        <v>ГОТОВ_ИЗМЕНЕН</v>
      </c>
      <c r="R675" s="13">
        <f>IFERROR(VLOOKUP(P675,Лист1!A$1:B$20,2,FALSE),0)</f>
        <v>784</v>
      </c>
      <c r="S675" s="13">
        <f t="shared" si="76"/>
        <v>0</v>
      </c>
    </row>
    <row r="676" spans="1:19" x14ac:dyDescent="0.25">
      <c r="A676" s="24" t="s">
        <v>1788</v>
      </c>
      <c r="B676" s="4" t="s">
        <v>1059</v>
      </c>
      <c r="C676" s="25" t="s">
        <v>5</v>
      </c>
      <c r="G676" s="25" t="s">
        <v>1080</v>
      </c>
      <c r="H676" s="24" t="s">
        <v>1061</v>
      </c>
      <c r="I676" s="3" t="str">
        <f>IFERROR(VLOOKUP(C676,'Справочник соответствий'!A$2:D$2981,2,FALSE),IF(VALUE(C676)=0,1,VLOOKUP(C676,'Справочник соответствий'!A$2:D$2981,2,FALSE)))</f>
        <v>1</v>
      </c>
      <c r="J676" s="3">
        <f>IFERROR(VLOOKUP(D676,'Справочник соответствий'!A$2:D$2981,2,FALSE),IF(VALUE(D676)=0,0,VLOOKUP(D676,'Справочник соответствий'!A$2:D$2981,2,FALSE)))</f>
        <v>0</v>
      </c>
      <c r="K676" s="3" t="str">
        <f t="shared" si="70"/>
        <v>1</v>
      </c>
      <c r="L676" s="13" t="str">
        <f>IFERROR(VLOOKUP(C676,'Справочник соответствий'!A$2:D$2981,3,FALSE),IF(VALUE(C676)=0,"ЭТАЖ НЕ ОПРЕДЕЛЕН. ПРИНЯТ ПО ДОПУЩЕНИЮ 1",VLOOKUP(C676,'Справочник соответствий'!A$2:D$2981,3,FALSE)))</f>
        <v>ЭТАЖ ЗАДАН ЧИСЛОМ</v>
      </c>
      <c r="M676" s="13" t="b">
        <f t="shared" si="71"/>
        <v>0</v>
      </c>
      <c r="N676" s="13">
        <f t="shared" si="72"/>
        <v>1</v>
      </c>
      <c r="O676" s="13" t="str">
        <f t="shared" si="73"/>
        <v>ЭТАЖ ЗАДАН ЧИСЛОМ</v>
      </c>
      <c r="P676" s="13" t="str">
        <f t="shared" si="74"/>
        <v>ЭТАЖ ЗАДАН ЧИСЛОМ</v>
      </c>
      <c r="Q676" s="13" t="str">
        <f t="shared" si="75"/>
        <v>ГОТОВ_ИЗМЕНЕН</v>
      </c>
      <c r="R676" s="13">
        <f>IFERROR(VLOOKUP(P676,Лист1!A$1:B$20,2,FALSE),0)</f>
        <v>784</v>
      </c>
      <c r="S676" s="13">
        <f t="shared" si="76"/>
        <v>0</v>
      </c>
    </row>
    <row r="677" spans="1:19" x14ac:dyDescent="0.25">
      <c r="A677" s="24" t="s">
        <v>1789</v>
      </c>
      <c r="B677" s="4" t="s">
        <v>1063</v>
      </c>
      <c r="G677" s="25" t="s">
        <v>1077</v>
      </c>
      <c r="H677" s="24" t="s">
        <v>1061</v>
      </c>
      <c r="I677" s="3">
        <f>IFERROR(VLOOKUP(C677,'Справочник соответствий'!A$2:D$2981,2,FALSE),IF(VALUE(C677)=0,1,VLOOKUP(C677,'Справочник соответствий'!A$2:D$2981,2,FALSE)))</f>
        <v>1</v>
      </c>
      <c r="J677" s="3">
        <f>IFERROR(VLOOKUP(D677,'Справочник соответствий'!A$2:D$2981,2,FALSE),IF(VALUE(D677)=0,0,VLOOKUP(D677,'Справочник соответствий'!A$2:D$2981,2,FALSE)))</f>
        <v>0</v>
      </c>
      <c r="K677" s="3">
        <f t="shared" si="70"/>
        <v>1</v>
      </c>
      <c r="L677" s="13" t="str">
        <f>IFERROR(VLOOKUP(C677,'Справочник соответствий'!A$2:D$2981,3,FALSE),IF(VALUE(C677)=0,"ЭТАЖ НЕ ОПРЕДЕЛЕН. ПРИНЯТ ПО ДОПУЩЕНИЮ 1",VLOOKUP(C677,'Справочник соответствий'!A$2:D$2981,3,FALSE)))</f>
        <v>ЭТАЖ НЕ ОПРЕДЕЛЕН. ПРИНЯТ ПО ДОПУЩЕНИЮ 1</v>
      </c>
      <c r="M677" s="13" t="b">
        <f t="shared" si="71"/>
        <v>0</v>
      </c>
      <c r="N677" s="13">
        <f t="shared" si="72"/>
        <v>1</v>
      </c>
      <c r="O677" s="13" t="str">
        <f t="shared" si="73"/>
        <v>ЭТАЖ НЕ ОПРЕДЕЛЕН. ПРИНЯТ ПО ДОПУЩЕНИЮ 1</v>
      </c>
      <c r="P677" s="13" t="str">
        <f t="shared" si="74"/>
        <v>ЭТАЖ НЕ ОПРЕДЕЛЕН. ПРИНЯТ ПО ДОПУЩЕНИЮ 1</v>
      </c>
      <c r="Q677" s="13" t="str">
        <f t="shared" si="75"/>
        <v>ГОТОВ_ИЗМЕНЕН</v>
      </c>
      <c r="R677" s="13">
        <f>IFERROR(VLOOKUP(P677,Лист1!A$1:B$20,2,FALSE),0)</f>
        <v>788</v>
      </c>
      <c r="S677" s="13">
        <f t="shared" si="76"/>
        <v>0</v>
      </c>
    </row>
    <row r="678" spans="1:19" x14ac:dyDescent="0.25">
      <c r="A678" s="24" t="s">
        <v>1790</v>
      </c>
      <c r="B678" s="4" t="s">
        <v>1059</v>
      </c>
      <c r="C678" s="25" t="s">
        <v>5</v>
      </c>
      <c r="G678" s="25" t="s">
        <v>1077</v>
      </c>
      <c r="H678" s="24" t="s">
        <v>1061</v>
      </c>
      <c r="I678" s="3" t="str">
        <f>IFERROR(VLOOKUP(C678,'Справочник соответствий'!A$2:D$2981,2,FALSE),IF(VALUE(C678)=0,1,VLOOKUP(C678,'Справочник соответствий'!A$2:D$2981,2,FALSE)))</f>
        <v>1</v>
      </c>
      <c r="J678" s="3">
        <f>IFERROR(VLOOKUP(D678,'Справочник соответствий'!A$2:D$2981,2,FALSE),IF(VALUE(D678)=0,0,VLOOKUP(D678,'Справочник соответствий'!A$2:D$2981,2,FALSE)))</f>
        <v>0</v>
      </c>
      <c r="K678" s="3" t="str">
        <f t="shared" si="70"/>
        <v>1</v>
      </c>
      <c r="L678" s="13" t="str">
        <f>IFERROR(VLOOKUP(C678,'Справочник соответствий'!A$2:D$2981,3,FALSE),IF(VALUE(C678)=0,"ЭТАЖ НЕ ОПРЕДЕЛЕН. ПРИНЯТ ПО ДОПУЩЕНИЮ 1",VLOOKUP(C678,'Справочник соответствий'!A$2:D$2981,3,FALSE)))</f>
        <v>ЭТАЖ ЗАДАН ЧИСЛОМ</v>
      </c>
      <c r="M678" s="13" t="b">
        <f t="shared" si="71"/>
        <v>0</v>
      </c>
      <c r="N678" s="13">
        <f t="shared" si="72"/>
        <v>1</v>
      </c>
      <c r="O678" s="13" t="str">
        <f t="shared" si="73"/>
        <v>ЭТАЖ ЗАДАН ЧИСЛОМ</v>
      </c>
      <c r="P678" s="13" t="str">
        <f t="shared" si="74"/>
        <v>ЭТАЖ ЗАДАН ЧИСЛОМ</v>
      </c>
      <c r="Q678" s="13" t="str">
        <f t="shared" si="75"/>
        <v>ГОТОВ_ИЗМЕНЕН</v>
      </c>
      <c r="R678" s="13">
        <f>IFERROR(VLOOKUP(P678,Лист1!A$1:B$20,2,FALSE),0)</f>
        <v>784</v>
      </c>
      <c r="S678" s="13">
        <f t="shared" si="76"/>
        <v>0</v>
      </c>
    </row>
    <row r="679" spans="1:19" x14ac:dyDescent="0.25">
      <c r="A679" s="24" t="s">
        <v>1791</v>
      </c>
      <c r="B679" s="4" t="s">
        <v>1063</v>
      </c>
      <c r="C679" s="25" t="s">
        <v>5</v>
      </c>
      <c r="G679" s="25" t="s">
        <v>1089</v>
      </c>
      <c r="H679" s="24" t="s">
        <v>1061</v>
      </c>
      <c r="I679" s="3" t="str">
        <f>IFERROR(VLOOKUP(C679,'Справочник соответствий'!A$2:D$2981,2,FALSE),IF(VALUE(C679)=0,1,VLOOKUP(C679,'Справочник соответствий'!A$2:D$2981,2,FALSE)))</f>
        <v>1</v>
      </c>
      <c r="J679" s="3">
        <f>IFERROR(VLOOKUP(D679,'Справочник соответствий'!A$2:D$2981,2,FALSE),IF(VALUE(D679)=0,0,VLOOKUP(D679,'Справочник соответствий'!A$2:D$2981,2,FALSE)))</f>
        <v>0</v>
      </c>
      <c r="K679" s="3" t="str">
        <f t="shared" si="70"/>
        <v>1</v>
      </c>
      <c r="L679" s="13" t="str">
        <f>IFERROR(VLOOKUP(C679,'Справочник соответствий'!A$2:D$2981,3,FALSE),IF(VALUE(C679)=0,"ЭТАЖ НЕ ОПРЕДЕЛЕН. ПРИНЯТ ПО ДОПУЩЕНИЮ 1",VLOOKUP(C679,'Справочник соответствий'!A$2:D$2981,3,FALSE)))</f>
        <v>ЭТАЖ ЗАДАН ЧИСЛОМ</v>
      </c>
      <c r="M679" s="13" t="b">
        <f t="shared" si="71"/>
        <v>0</v>
      </c>
      <c r="N679" s="13">
        <f t="shared" si="72"/>
        <v>1</v>
      </c>
      <c r="O679" s="13" t="str">
        <f t="shared" si="73"/>
        <v>ЭТАЖ ЗАДАН ЧИСЛОМ</v>
      </c>
      <c r="P679" s="13" t="str">
        <f t="shared" si="74"/>
        <v>ЭТАЖ ЗАДАН ЧИСЛОМ</v>
      </c>
      <c r="Q679" s="13" t="str">
        <f t="shared" si="75"/>
        <v>ГОТОВ_ИЗМЕНЕН</v>
      </c>
      <c r="R679" s="13">
        <f>IFERROR(VLOOKUP(P679,Лист1!A$1:B$20,2,FALSE),0)</f>
        <v>784</v>
      </c>
      <c r="S679" s="13">
        <f t="shared" si="76"/>
        <v>0</v>
      </c>
    </row>
    <row r="680" spans="1:19" x14ac:dyDescent="0.25">
      <c r="A680" s="24" t="s">
        <v>1792</v>
      </c>
      <c r="B680" s="4" t="s">
        <v>1063</v>
      </c>
      <c r="C680" s="25" t="s">
        <v>5</v>
      </c>
      <c r="G680" s="25" t="s">
        <v>1077</v>
      </c>
      <c r="H680" s="24" t="s">
        <v>1061</v>
      </c>
      <c r="I680" s="3" t="str">
        <f>IFERROR(VLOOKUP(C680,'Справочник соответствий'!A$2:D$2981,2,FALSE),IF(VALUE(C680)=0,1,VLOOKUP(C680,'Справочник соответствий'!A$2:D$2981,2,FALSE)))</f>
        <v>1</v>
      </c>
      <c r="J680" s="3">
        <f>IFERROR(VLOOKUP(D680,'Справочник соответствий'!A$2:D$2981,2,FALSE),IF(VALUE(D680)=0,0,VLOOKUP(D680,'Справочник соответствий'!A$2:D$2981,2,FALSE)))</f>
        <v>0</v>
      </c>
      <c r="K680" s="3" t="str">
        <f t="shared" si="70"/>
        <v>1</v>
      </c>
      <c r="L680" s="13" t="str">
        <f>IFERROR(VLOOKUP(C680,'Справочник соответствий'!A$2:D$2981,3,FALSE),IF(VALUE(C680)=0,"ЭТАЖ НЕ ОПРЕДЕЛЕН. ПРИНЯТ ПО ДОПУЩЕНИЮ 1",VLOOKUP(C680,'Справочник соответствий'!A$2:D$2981,3,FALSE)))</f>
        <v>ЭТАЖ ЗАДАН ЧИСЛОМ</v>
      </c>
      <c r="M680" s="13" t="b">
        <f t="shared" si="71"/>
        <v>0</v>
      </c>
      <c r="N680" s="13">
        <f t="shared" si="72"/>
        <v>1</v>
      </c>
      <c r="O680" s="13" t="str">
        <f t="shared" si="73"/>
        <v>ЭТАЖ ЗАДАН ЧИСЛОМ</v>
      </c>
      <c r="P680" s="13" t="str">
        <f t="shared" si="74"/>
        <v>ЭТАЖ ЗАДАН ЧИСЛОМ</v>
      </c>
      <c r="Q680" s="13" t="str">
        <f t="shared" si="75"/>
        <v>ГОТОВ_ИЗМЕНЕН</v>
      </c>
      <c r="R680" s="13">
        <f>IFERROR(VLOOKUP(P680,Лист1!A$1:B$20,2,FALSE),0)</f>
        <v>784</v>
      </c>
      <c r="S680" s="13">
        <f t="shared" si="76"/>
        <v>0</v>
      </c>
    </row>
    <row r="681" spans="1:19" x14ac:dyDescent="0.25">
      <c r="A681" s="24" t="s">
        <v>1793</v>
      </c>
      <c r="B681" s="4" t="s">
        <v>1059</v>
      </c>
      <c r="C681" s="25" t="s">
        <v>5</v>
      </c>
      <c r="G681" s="25" t="s">
        <v>1086</v>
      </c>
      <c r="H681" s="24" t="s">
        <v>1061</v>
      </c>
      <c r="I681" s="3" t="str">
        <f>IFERROR(VLOOKUP(C681,'Справочник соответствий'!A$2:D$2981,2,FALSE),IF(VALUE(C681)=0,1,VLOOKUP(C681,'Справочник соответствий'!A$2:D$2981,2,FALSE)))</f>
        <v>1</v>
      </c>
      <c r="J681" s="3">
        <f>IFERROR(VLOOKUP(D681,'Справочник соответствий'!A$2:D$2981,2,FALSE),IF(VALUE(D681)=0,0,VLOOKUP(D681,'Справочник соответствий'!A$2:D$2981,2,FALSE)))</f>
        <v>0</v>
      </c>
      <c r="K681" s="3" t="str">
        <f t="shared" si="70"/>
        <v>1</v>
      </c>
      <c r="L681" s="13" t="str">
        <f>IFERROR(VLOOKUP(C681,'Справочник соответствий'!A$2:D$2981,3,FALSE),IF(VALUE(C681)=0,"ЭТАЖ НЕ ОПРЕДЕЛЕН. ПРИНЯТ ПО ДОПУЩЕНИЮ 1",VLOOKUP(C681,'Справочник соответствий'!A$2:D$2981,3,FALSE)))</f>
        <v>ЭТАЖ ЗАДАН ЧИСЛОМ</v>
      </c>
      <c r="M681" s="13" t="b">
        <f t="shared" si="71"/>
        <v>0</v>
      </c>
      <c r="N681" s="13">
        <f t="shared" si="72"/>
        <v>1</v>
      </c>
      <c r="O681" s="13" t="str">
        <f t="shared" si="73"/>
        <v>ЭТАЖ ЗАДАН ЧИСЛОМ</v>
      </c>
      <c r="P681" s="13" t="str">
        <f t="shared" si="74"/>
        <v>ЭТАЖ ЗАДАН ЧИСЛОМ</v>
      </c>
      <c r="Q681" s="13" t="str">
        <f t="shared" si="75"/>
        <v>ГОТОВ_ИЗМЕНЕН</v>
      </c>
      <c r="R681" s="13">
        <f>IFERROR(VLOOKUP(P681,Лист1!A$1:B$20,2,FALSE),0)</f>
        <v>784</v>
      </c>
      <c r="S681" s="13">
        <f t="shared" si="76"/>
        <v>0</v>
      </c>
    </row>
    <row r="682" spans="1:19" x14ac:dyDescent="0.25">
      <c r="A682" s="24" t="s">
        <v>1794</v>
      </c>
      <c r="B682" s="4" t="s">
        <v>1059</v>
      </c>
      <c r="C682" s="25" t="s">
        <v>5</v>
      </c>
      <c r="G682" s="25" t="s">
        <v>1086</v>
      </c>
      <c r="H682" s="24" t="s">
        <v>1061</v>
      </c>
      <c r="I682" s="3" t="str">
        <f>IFERROR(VLOOKUP(C682,'Справочник соответствий'!A$2:D$2981,2,FALSE),IF(VALUE(C682)=0,1,VLOOKUP(C682,'Справочник соответствий'!A$2:D$2981,2,FALSE)))</f>
        <v>1</v>
      </c>
      <c r="J682" s="3">
        <f>IFERROR(VLOOKUP(D682,'Справочник соответствий'!A$2:D$2981,2,FALSE),IF(VALUE(D682)=0,0,VLOOKUP(D682,'Справочник соответствий'!A$2:D$2981,2,FALSE)))</f>
        <v>0</v>
      </c>
      <c r="K682" s="3" t="str">
        <f t="shared" si="70"/>
        <v>1</v>
      </c>
      <c r="L682" s="13" t="str">
        <f>IFERROR(VLOOKUP(C682,'Справочник соответствий'!A$2:D$2981,3,FALSE),IF(VALUE(C682)=0,"ЭТАЖ НЕ ОПРЕДЕЛЕН. ПРИНЯТ ПО ДОПУЩЕНИЮ 1",VLOOKUP(C682,'Справочник соответствий'!A$2:D$2981,3,FALSE)))</f>
        <v>ЭТАЖ ЗАДАН ЧИСЛОМ</v>
      </c>
      <c r="M682" s="13" t="b">
        <f t="shared" si="71"/>
        <v>0</v>
      </c>
      <c r="N682" s="13">
        <f t="shared" si="72"/>
        <v>1</v>
      </c>
      <c r="O682" s="13" t="str">
        <f t="shared" si="73"/>
        <v>ЭТАЖ ЗАДАН ЧИСЛОМ</v>
      </c>
      <c r="P682" s="13" t="str">
        <f t="shared" si="74"/>
        <v>ЭТАЖ ЗАДАН ЧИСЛОМ</v>
      </c>
      <c r="Q682" s="13" t="str">
        <f t="shared" si="75"/>
        <v>ГОТОВ_ИЗМЕНЕН</v>
      </c>
      <c r="R682" s="13">
        <f>IFERROR(VLOOKUP(P682,Лист1!A$1:B$20,2,FALSE),0)</f>
        <v>784</v>
      </c>
      <c r="S682" s="13">
        <f t="shared" si="76"/>
        <v>0</v>
      </c>
    </row>
    <row r="683" spans="1:19" x14ac:dyDescent="0.25">
      <c r="A683" s="24" t="s">
        <v>1795</v>
      </c>
      <c r="B683" s="4" t="s">
        <v>1059</v>
      </c>
      <c r="C683" s="25" t="s">
        <v>5</v>
      </c>
      <c r="G683" s="25" t="s">
        <v>1086</v>
      </c>
      <c r="H683" s="24" t="s">
        <v>1061</v>
      </c>
      <c r="I683" s="3" t="str">
        <f>IFERROR(VLOOKUP(C683,'Справочник соответствий'!A$2:D$2981,2,FALSE),IF(VALUE(C683)=0,1,VLOOKUP(C683,'Справочник соответствий'!A$2:D$2981,2,FALSE)))</f>
        <v>1</v>
      </c>
      <c r="J683" s="3">
        <f>IFERROR(VLOOKUP(D683,'Справочник соответствий'!A$2:D$2981,2,FALSE),IF(VALUE(D683)=0,0,VLOOKUP(D683,'Справочник соответствий'!A$2:D$2981,2,FALSE)))</f>
        <v>0</v>
      </c>
      <c r="K683" s="3" t="str">
        <f t="shared" si="70"/>
        <v>1</v>
      </c>
      <c r="L683" s="13" t="str">
        <f>IFERROR(VLOOKUP(C683,'Справочник соответствий'!A$2:D$2981,3,FALSE),IF(VALUE(C683)=0,"ЭТАЖ НЕ ОПРЕДЕЛЕН. ПРИНЯТ ПО ДОПУЩЕНИЮ 1",VLOOKUP(C683,'Справочник соответствий'!A$2:D$2981,3,FALSE)))</f>
        <v>ЭТАЖ ЗАДАН ЧИСЛОМ</v>
      </c>
      <c r="M683" s="13" t="b">
        <f t="shared" si="71"/>
        <v>0</v>
      </c>
      <c r="N683" s="13">
        <f t="shared" si="72"/>
        <v>1</v>
      </c>
      <c r="O683" s="13" t="str">
        <f t="shared" si="73"/>
        <v>ЭТАЖ ЗАДАН ЧИСЛОМ</v>
      </c>
      <c r="P683" s="13" t="str">
        <f t="shared" si="74"/>
        <v>ЭТАЖ ЗАДАН ЧИСЛОМ</v>
      </c>
      <c r="Q683" s="13" t="str">
        <f t="shared" si="75"/>
        <v>ГОТОВ_ИЗМЕНЕН</v>
      </c>
      <c r="R683" s="13">
        <f>IFERROR(VLOOKUP(P683,Лист1!A$1:B$20,2,FALSE),0)</f>
        <v>784</v>
      </c>
      <c r="S683" s="13">
        <f t="shared" si="76"/>
        <v>0</v>
      </c>
    </row>
    <row r="684" spans="1:19" x14ac:dyDescent="0.25">
      <c r="A684" s="24" t="s">
        <v>1796</v>
      </c>
      <c r="B684" s="4" t="s">
        <v>1059</v>
      </c>
      <c r="C684" s="25" t="s">
        <v>5</v>
      </c>
      <c r="G684" s="25" t="s">
        <v>1086</v>
      </c>
      <c r="H684" s="24" t="s">
        <v>1061</v>
      </c>
      <c r="I684" s="3" t="str">
        <f>IFERROR(VLOOKUP(C684,'Справочник соответствий'!A$2:D$2981,2,FALSE),IF(VALUE(C684)=0,1,VLOOKUP(C684,'Справочник соответствий'!A$2:D$2981,2,FALSE)))</f>
        <v>1</v>
      </c>
      <c r="J684" s="3">
        <f>IFERROR(VLOOKUP(D684,'Справочник соответствий'!A$2:D$2981,2,FALSE),IF(VALUE(D684)=0,0,VLOOKUP(D684,'Справочник соответствий'!A$2:D$2981,2,FALSE)))</f>
        <v>0</v>
      </c>
      <c r="K684" s="3" t="str">
        <f t="shared" si="70"/>
        <v>1</v>
      </c>
      <c r="L684" s="13" t="str">
        <f>IFERROR(VLOOKUP(C684,'Справочник соответствий'!A$2:D$2981,3,FALSE),IF(VALUE(C684)=0,"ЭТАЖ НЕ ОПРЕДЕЛЕН. ПРИНЯТ ПО ДОПУЩЕНИЮ 1",VLOOKUP(C684,'Справочник соответствий'!A$2:D$2981,3,FALSE)))</f>
        <v>ЭТАЖ ЗАДАН ЧИСЛОМ</v>
      </c>
      <c r="M684" s="13" t="b">
        <f t="shared" si="71"/>
        <v>0</v>
      </c>
      <c r="N684" s="13">
        <f t="shared" si="72"/>
        <v>1</v>
      </c>
      <c r="O684" s="13" t="str">
        <f t="shared" si="73"/>
        <v>ЭТАЖ ЗАДАН ЧИСЛОМ</v>
      </c>
      <c r="P684" s="13" t="str">
        <f t="shared" si="74"/>
        <v>ЭТАЖ ЗАДАН ЧИСЛОМ</v>
      </c>
      <c r="Q684" s="13" t="str">
        <f t="shared" si="75"/>
        <v>ГОТОВ_ИЗМЕНЕН</v>
      </c>
      <c r="R684" s="13">
        <f>IFERROR(VLOOKUP(P684,Лист1!A$1:B$20,2,FALSE),0)</f>
        <v>784</v>
      </c>
      <c r="S684" s="13">
        <f t="shared" si="76"/>
        <v>0</v>
      </c>
    </row>
    <row r="685" spans="1:19" x14ac:dyDescent="0.25">
      <c r="A685" s="24" t="s">
        <v>1797</v>
      </c>
      <c r="B685" s="4" t="s">
        <v>1059</v>
      </c>
      <c r="C685" s="25" t="s">
        <v>7</v>
      </c>
      <c r="G685" s="25" t="s">
        <v>1150</v>
      </c>
      <c r="H685" s="24" t="s">
        <v>1061</v>
      </c>
      <c r="I685" s="3" t="str">
        <f>IFERROR(VLOOKUP(C685,'Справочник соответствий'!A$2:D$2981,2,FALSE),IF(VALUE(C685)=0,1,VLOOKUP(C685,'Справочник соответствий'!A$2:D$2981,2,FALSE)))</f>
        <v>2</v>
      </c>
      <c r="J685" s="3">
        <f>IFERROR(VLOOKUP(D685,'Справочник соответствий'!A$2:D$2981,2,FALSE),IF(VALUE(D685)=0,0,VLOOKUP(D685,'Справочник соответствий'!A$2:D$2981,2,FALSE)))</f>
        <v>0</v>
      </c>
      <c r="K685" s="3" t="str">
        <f t="shared" si="70"/>
        <v>2</v>
      </c>
      <c r="L685" s="13" t="str">
        <f>IFERROR(VLOOKUP(C685,'Справочник соответствий'!A$2:D$2981,3,FALSE),IF(VALUE(C685)=0,"ЭТАЖ НЕ ОПРЕДЕЛЕН. ПРИНЯТ ПО ДОПУЩЕНИЮ 1",VLOOKUP(C685,'Справочник соответствий'!A$2:D$2981,3,FALSE)))</f>
        <v>ЭТАЖ ЗАДАН ЧИСЛОМ</v>
      </c>
      <c r="M685" s="13" t="b">
        <f t="shared" si="71"/>
        <v>0</v>
      </c>
      <c r="N685" s="13">
        <f t="shared" si="72"/>
        <v>2</v>
      </c>
      <c r="O685" s="13" t="str">
        <f t="shared" si="73"/>
        <v>ЭТАЖ ЗАДАН ЧИСЛОМ</v>
      </c>
      <c r="P685" s="13" t="str">
        <f t="shared" si="74"/>
        <v>ЭТАЖ ЗАДАН ЧИСЛОМ</v>
      </c>
      <c r="Q685" s="13" t="str">
        <f t="shared" si="75"/>
        <v>ГОТОВ_ИЗМЕНЕН</v>
      </c>
      <c r="R685" s="13">
        <f>IFERROR(VLOOKUP(P685,Лист1!A$1:B$20,2,FALSE),0)</f>
        <v>784</v>
      </c>
      <c r="S685" s="13">
        <f t="shared" si="76"/>
        <v>0</v>
      </c>
    </row>
    <row r="686" spans="1:19" x14ac:dyDescent="0.25">
      <c r="A686" s="24" t="s">
        <v>1798</v>
      </c>
      <c r="B686" s="4" t="s">
        <v>1059</v>
      </c>
      <c r="C686" s="25" t="s">
        <v>5</v>
      </c>
      <c r="G686" s="25" t="s">
        <v>1086</v>
      </c>
      <c r="H686" s="24" t="s">
        <v>1061</v>
      </c>
      <c r="I686" s="3" t="str">
        <f>IFERROR(VLOOKUP(C686,'Справочник соответствий'!A$2:D$2981,2,FALSE),IF(VALUE(C686)=0,1,VLOOKUP(C686,'Справочник соответствий'!A$2:D$2981,2,FALSE)))</f>
        <v>1</v>
      </c>
      <c r="J686" s="3">
        <f>IFERROR(VLOOKUP(D686,'Справочник соответствий'!A$2:D$2981,2,FALSE),IF(VALUE(D686)=0,0,VLOOKUP(D686,'Справочник соответствий'!A$2:D$2981,2,FALSE)))</f>
        <v>0</v>
      </c>
      <c r="K686" s="3" t="str">
        <f t="shared" si="70"/>
        <v>1</v>
      </c>
      <c r="L686" s="13" t="str">
        <f>IFERROR(VLOOKUP(C686,'Справочник соответствий'!A$2:D$2981,3,FALSE),IF(VALUE(C686)=0,"ЭТАЖ НЕ ОПРЕДЕЛЕН. ПРИНЯТ ПО ДОПУЩЕНИЮ 1",VLOOKUP(C686,'Справочник соответствий'!A$2:D$2981,3,FALSE)))</f>
        <v>ЭТАЖ ЗАДАН ЧИСЛОМ</v>
      </c>
      <c r="M686" s="13" t="b">
        <f t="shared" si="71"/>
        <v>0</v>
      </c>
      <c r="N686" s="13">
        <f t="shared" si="72"/>
        <v>1</v>
      </c>
      <c r="O686" s="13" t="str">
        <f t="shared" si="73"/>
        <v>ЭТАЖ ЗАДАН ЧИСЛОМ</v>
      </c>
      <c r="P686" s="13" t="str">
        <f t="shared" si="74"/>
        <v>ЭТАЖ ЗАДАН ЧИСЛОМ</v>
      </c>
      <c r="Q686" s="13" t="str">
        <f t="shared" si="75"/>
        <v>ГОТОВ_ИЗМЕНЕН</v>
      </c>
      <c r="R686" s="13">
        <f>IFERROR(VLOOKUP(P686,Лист1!A$1:B$20,2,FALSE),0)</f>
        <v>784</v>
      </c>
      <c r="S686" s="13">
        <f t="shared" si="76"/>
        <v>0</v>
      </c>
    </row>
    <row r="687" spans="1:19" x14ac:dyDescent="0.25">
      <c r="A687" s="24" t="s">
        <v>1799</v>
      </c>
      <c r="B687" s="4" t="s">
        <v>1059</v>
      </c>
      <c r="C687" s="25" t="s">
        <v>5</v>
      </c>
      <c r="G687" s="25" t="s">
        <v>1086</v>
      </c>
      <c r="H687" s="24" t="s">
        <v>1061</v>
      </c>
      <c r="I687" s="3" t="str">
        <f>IFERROR(VLOOKUP(C687,'Справочник соответствий'!A$2:D$2981,2,FALSE),IF(VALUE(C687)=0,1,VLOOKUP(C687,'Справочник соответствий'!A$2:D$2981,2,FALSE)))</f>
        <v>1</v>
      </c>
      <c r="J687" s="3">
        <f>IFERROR(VLOOKUP(D687,'Справочник соответствий'!A$2:D$2981,2,FALSE),IF(VALUE(D687)=0,0,VLOOKUP(D687,'Справочник соответствий'!A$2:D$2981,2,FALSE)))</f>
        <v>0</v>
      </c>
      <c r="K687" s="3" t="str">
        <f t="shared" si="70"/>
        <v>1</v>
      </c>
      <c r="L687" s="13" t="str">
        <f>IFERROR(VLOOKUP(C687,'Справочник соответствий'!A$2:D$2981,3,FALSE),IF(VALUE(C687)=0,"ЭТАЖ НЕ ОПРЕДЕЛЕН. ПРИНЯТ ПО ДОПУЩЕНИЮ 1",VLOOKUP(C687,'Справочник соответствий'!A$2:D$2981,3,FALSE)))</f>
        <v>ЭТАЖ ЗАДАН ЧИСЛОМ</v>
      </c>
      <c r="M687" s="13" t="b">
        <f t="shared" si="71"/>
        <v>0</v>
      </c>
      <c r="N687" s="13">
        <f t="shared" si="72"/>
        <v>1</v>
      </c>
      <c r="O687" s="13" t="str">
        <f t="shared" si="73"/>
        <v>ЭТАЖ ЗАДАН ЧИСЛОМ</v>
      </c>
      <c r="P687" s="13" t="str">
        <f t="shared" si="74"/>
        <v>ЭТАЖ ЗАДАН ЧИСЛОМ</v>
      </c>
      <c r="Q687" s="13" t="str">
        <f t="shared" si="75"/>
        <v>ГОТОВ_ИЗМЕНЕН</v>
      </c>
      <c r="R687" s="13">
        <f>IFERROR(VLOOKUP(P687,Лист1!A$1:B$20,2,FALSE),0)</f>
        <v>784</v>
      </c>
      <c r="S687" s="13">
        <f t="shared" si="76"/>
        <v>0</v>
      </c>
    </row>
    <row r="688" spans="1:19" x14ac:dyDescent="0.25">
      <c r="A688" s="24" t="s">
        <v>1800</v>
      </c>
      <c r="B688" s="4" t="s">
        <v>1059</v>
      </c>
      <c r="G688" s="25" t="s">
        <v>1086</v>
      </c>
      <c r="H688" s="24" t="s">
        <v>1061</v>
      </c>
      <c r="I688" s="3">
        <f>IFERROR(VLOOKUP(C688,'Справочник соответствий'!A$2:D$2981,2,FALSE),IF(VALUE(C688)=0,1,VLOOKUP(C688,'Справочник соответствий'!A$2:D$2981,2,FALSE)))</f>
        <v>1</v>
      </c>
      <c r="J688" s="3">
        <f>IFERROR(VLOOKUP(D688,'Справочник соответствий'!A$2:D$2981,2,FALSE),IF(VALUE(D688)=0,0,VLOOKUP(D688,'Справочник соответствий'!A$2:D$2981,2,FALSE)))</f>
        <v>0</v>
      </c>
      <c r="K688" s="3">
        <f t="shared" si="70"/>
        <v>1</v>
      </c>
      <c r="L688" s="13" t="str">
        <f>IFERROR(VLOOKUP(C688,'Справочник соответствий'!A$2:D$2981,3,FALSE),IF(VALUE(C688)=0,"ЭТАЖ НЕ ОПРЕДЕЛЕН. ПРИНЯТ ПО ДОПУЩЕНИЮ 1",VLOOKUP(C688,'Справочник соответствий'!A$2:D$2981,3,FALSE)))</f>
        <v>ЭТАЖ НЕ ОПРЕДЕЛЕН. ПРИНЯТ ПО ДОПУЩЕНИЮ 1</v>
      </c>
      <c r="M688" s="13" t="b">
        <f t="shared" si="71"/>
        <v>0</v>
      </c>
      <c r="N688" s="13">
        <f t="shared" si="72"/>
        <v>1</v>
      </c>
      <c r="O688" s="13" t="str">
        <f t="shared" si="73"/>
        <v>ЭТАЖ НЕ ОПРЕДЕЛЕН. ПРИНЯТ ПО ДОПУЩЕНИЮ 1</v>
      </c>
      <c r="P688" s="13" t="str">
        <f t="shared" si="74"/>
        <v>ЭТАЖ НЕ ОПРЕДЕЛЕН. ПРИНЯТ ПО ДОПУЩЕНИЮ 1</v>
      </c>
      <c r="Q688" s="13" t="str">
        <f t="shared" si="75"/>
        <v>ГОТОВ_ИЗМЕНЕН</v>
      </c>
      <c r="R688" s="13">
        <f>IFERROR(VLOOKUP(P688,Лист1!A$1:B$20,2,FALSE),0)</f>
        <v>788</v>
      </c>
      <c r="S688" s="13">
        <f t="shared" si="76"/>
        <v>0</v>
      </c>
    </row>
    <row r="689" spans="1:19" x14ac:dyDescent="0.25">
      <c r="A689" s="24" t="s">
        <v>1801</v>
      </c>
      <c r="B689" s="4" t="s">
        <v>1059</v>
      </c>
      <c r="C689" s="25" t="s">
        <v>5</v>
      </c>
      <c r="G689" s="25" t="s">
        <v>1150</v>
      </c>
      <c r="H689" s="24" t="s">
        <v>1061</v>
      </c>
      <c r="I689" s="3" t="str">
        <f>IFERROR(VLOOKUP(C689,'Справочник соответствий'!A$2:D$2981,2,FALSE),IF(VALUE(C689)=0,1,VLOOKUP(C689,'Справочник соответствий'!A$2:D$2981,2,FALSE)))</f>
        <v>1</v>
      </c>
      <c r="J689" s="3">
        <f>IFERROR(VLOOKUP(D689,'Справочник соответствий'!A$2:D$2981,2,FALSE),IF(VALUE(D689)=0,0,VLOOKUP(D689,'Справочник соответствий'!A$2:D$2981,2,FALSE)))</f>
        <v>0</v>
      </c>
      <c r="K689" s="3" t="str">
        <f t="shared" si="70"/>
        <v>1</v>
      </c>
      <c r="L689" s="13" t="str">
        <f>IFERROR(VLOOKUP(C689,'Справочник соответствий'!A$2:D$2981,3,FALSE),IF(VALUE(C689)=0,"ЭТАЖ НЕ ОПРЕДЕЛЕН. ПРИНЯТ ПО ДОПУЩЕНИЮ 1",VLOOKUP(C689,'Справочник соответствий'!A$2:D$2981,3,FALSE)))</f>
        <v>ЭТАЖ ЗАДАН ЧИСЛОМ</v>
      </c>
      <c r="M689" s="13" t="b">
        <f t="shared" si="71"/>
        <v>0</v>
      </c>
      <c r="N689" s="13">
        <f t="shared" si="72"/>
        <v>1</v>
      </c>
      <c r="O689" s="13" t="str">
        <f t="shared" si="73"/>
        <v>ЭТАЖ ЗАДАН ЧИСЛОМ</v>
      </c>
      <c r="P689" s="13" t="str">
        <f t="shared" si="74"/>
        <v>ЭТАЖ ЗАДАН ЧИСЛОМ</v>
      </c>
      <c r="Q689" s="13" t="str">
        <f t="shared" si="75"/>
        <v>ГОТОВ_ИЗМЕНЕН</v>
      </c>
      <c r="R689" s="13">
        <f>IFERROR(VLOOKUP(P689,Лист1!A$1:B$20,2,FALSE),0)</f>
        <v>784</v>
      </c>
      <c r="S689" s="13">
        <f t="shared" si="76"/>
        <v>0</v>
      </c>
    </row>
    <row r="690" spans="1:19" x14ac:dyDescent="0.25">
      <c r="A690" s="24" t="s">
        <v>1802</v>
      </c>
      <c r="B690" s="4" t="s">
        <v>1059</v>
      </c>
      <c r="C690" s="25" t="s">
        <v>5</v>
      </c>
      <c r="G690" s="25" t="s">
        <v>1382</v>
      </c>
      <c r="H690" s="24" t="s">
        <v>1061</v>
      </c>
      <c r="I690" s="3" t="str">
        <f>IFERROR(VLOOKUP(C690,'Справочник соответствий'!A$2:D$2981,2,FALSE),IF(VALUE(C690)=0,1,VLOOKUP(C690,'Справочник соответствий'!A$2:D$2981,2,FALSE)))</f>
        <v>1</v>
      </c>
      <c r="J690" s="3">
        <f>IFERROR(VLOOKUP(D690,'Справочник соответствий'!A$2:D$2981,2,FALSE),IF(VALUE(D690)=0,0,VLOOKUP(D690,'Справочник соответствий'!A$2:D$2981,2,FALSE)))</f>
        <v>0</v>
      </c>
      <c r="K690" s="3" t="str">
        <f t="shared" si="70"/>
        <v>1</v>
      </c>
      <c r="L690" s="13" t="str">
        <f>IFERROR(VLOOKUP(C690,'Справочник соответствий'!A$2:D$2981,3,FALSE),IF(VALUE(C690)=0,"ЭТАЖ НЕ ОПРЕДЕЛЕН. ПРИНЯТ ПО ДОПУЩЕНИЮ 1",VLOOKUP(C690,'Справочник соответствий'!A$2:D$2981,3,FALSE)))</f>
        <v>ЭТАЖ ЗАДАН ЧИСЛОМ</v>
      </c>
      <c r="M690" s="13" t="b">
        <f t="shared" si="71"/>
        <v>0</v>
      </c>
      <c r="N690" s="13">
        <f t="shared" si="72"/>
        <v>1</v>
      </c>
      <c r="O690" s="13" t="str">
        <f t="shared" si="73"/>
        <v>ЭТАЖ ЗАДАН ЧИСЛОМ</v>
      </c>
      <c r="P690" s="13" t="str">
        <f t="shared" si="74"/>
        <v>ЭТАЖ ЗАДАН ЧИСЛОМ</v>
      </c>
      <c r="Q690" s="13" t="str">
        <f t="shared" si="75"/>
        <v>ГОТОВ_ИЗМЕНЕН</v>
      </c>
      <c r="R690" s="13">
        <f>IFERROR(VLOOKUP(P690,Лист1!A$1:B$20,2,FALSE),0)</f>
        <v>784</v>
      </c>
      <c r="S690" s="13">
        <f t="shared" si="76"/>
        <v>0</v>
      </c>
    </row>
    <row r="691" spans="1:19" x14ac:dyDescent="0.25">
      <c r="A691" s="24" t="s">
        <v>1803</v>
      </c>
      <c r="B691" s="4" t="s">
        <v>1063</v>
      </c>
      <c r="C691" s="25" t="s">
        <v>5</v>
      </c>
      <c r="G691" s="25" t="s">
        <v>1382</v>
      </c>
      <c r="H691" s="24" t="s">
        <v>1061</v>
      </c>
      <c r="I691" s="3" t="str">
        <f>IFERROR(VLOOKUP(C691,'Справочник соответствий'!A$2:D$2981,2,FALSE),IF(VALUE(C691)=0,1,VLOOKUP(C691,'Справочник соответствий'!A$2:D$2981,2,FALSE)))</f>
        <v>1</v>
      </c>
      <c r="J691" s="3">
        <f>IFERROR(VLOOKUP(D691,'Справочник соответствий'!A$2:D$2981,2,FALSE),IF(VALUE(D691)=0,0,VLOOKUP(D691,'Справочник соответствий'!A$2:D$2981,2,FALSE)))</f>
        <v>0</v>
      </c>
      <c r="K691" s="3" t="str">
        <f t="shared" si="70"/>
        <v>1</v>
      </c>
      <c r="L691" s="13" t="str">
        <f>IFERROR(VLOOKUP(C691,'Справочник соответствий'!A$2:D$2981,3,FALSE),IF(VALUE(C691)=0,"ЭТАЖ НЕ ОПРЕДЕЛЕН. ПРИНЯТ ПО ДОПУЩЕНИЮ 1",VLOOKUP(C691,'Справочник соответствий'!A$2:D$2981,3,FALSE)))</f>
        <v>ЭТАЖ ЗАДАН ЧИСЛОМ</v>
      </c>
      <c r="M691" s="13" t="b">
        <f t="shared" si="71"/>
        <v>0</v>
      </c>
      <c r="N691" s="13">
        <f t="shared" si="72"/>
        <v>1</v>
      </c>
      <c r="O691" s="13" t="str">
        <f t="shared" si="73"/>
        <v>ЭТАЖ ЗАДАН ЧИСЛОМ</v>
      </c>
      <c r="P691" s="13" t="str">
        <f t="shared" si="74"/>
        <v>ЭТАЖ ЗАДАН ЧИСЛОМ</v>
      </c>
      <c r="Q691" s="13" t="str">
        <f t="shared" si="75"/>
        <v>ГОТОВ_ИЗМЕНЕН</v>
      </c>
      <c r="R691" s="13">
        <f>IFERROR(VLOOKUP(P691,Лист1!A$1:B$20,2,FALSE),0)</f>
        <v>784</v>
      </c>
      <c r="S691" s="13">
        <f t="shared" si="76"/>
        <v>0</v>
      </c>
    </row>
    <row r="692" spans="1:19" x14ac:dyDescent="0.25">
      <c r="A692" s="24" t="s">
        <v>1804</v>
      </c>
      <c r="B692" s="4" t="s">
        <v>1063</v>
      </c>
      <c r="C692" s="25" t="s">
        <v>5</v>
      </c>
      <c r="G692" s="25" t="s">
        <v>1067</v>
      </c>
      <c r="H692" s="24" t="s">
        <v>1061</v>
      </c>
      <c r="I692" s="3" t="str">
        <f>IFERROR(VLOOKUP(C692,'Справочник соответствий'!A$2:D$2981,2,FALSE),IF(VALUE(C692)=0,1,VLOOKUP(C692,'Справочник соответствий'!A$2:D$2981,2,FALSE)))</f>
        <v>1</v>
      </c>
      <c r="J692" s="3">
        <f>IFERROR(VLOOKUP(D692,'Справочник соответствий'!A$2:D$2981,2,FALSE),IF(VALUE(D692)=0,0,VLOOKUP(D692,'Справочник соответствий'!A$2:D$2981,2,FALSE)))</f>
        <v>0</v>
      </c>
      <c r="K692" s="3" t="str">
        <f t="shared" si="70"/>
        <v>1</v>
      </c>
      <c r="L692" s="13" t="str">
        <f>IFERROR(VLOOKUP(C692,'Справочник соответствий'!A$2:D$2981,3,FALSE),IF(VALUE(C692)=0,"ЭТАЖ НЕ ОПРЕДЕЛЕН. ПРИНЯТ ПО ДОПУЩЕНИЮ 1",VLOOKUP(C692,'Справочник соответствий'!A$2:D$2981,3,FALSE)))</f>
        <v>ЭТАЖ ЗАДАН ЧИСЛОМ</v>
      </c>
      <c r="M692" s="13" t="b">
        <f t="shared" si="71"/>
        <v>0</v>
      </c>
      <c r="N692" s="13">
        <f t="shared" si="72"/>
        <v>1</v>
      </c>
      <c r="O692" s="13" t="str">
        <f t="shared" si="73"/>
        <v>ЭТАЖ ЗАДАН ЧИСЛОМ</v>
      </c>
      <c r="P692" s="13" t="str">
        <f t="shared" si="74"/>
        <v>ЭТАЖ ЗАДАН ЧИСЛОМ</v>
      </c>
      <c r="Q692" s="13" t="str">
        <f t="shared" si="75"/>
        <v>ГОТОВ_ИЗМЕНЕН</v>
      </c>
      <c r="R692" s="13">
        <f>IFERROR(VLOOKUP(P692,Лист1!A$1:B$20,2,FALSE),0)</f>
        <v>784</v>
      </c>
      <c r="S692" s="13">
        <f t="shared" si="76"/>
        <v>0</v>
      </c>
    </row>
    <row r="693" spans="1:19" x14ac:dyDescent="0.25">
      <c r="A693" s="24" t="s">
        <v>1805</v>
      </c>
      <c r="B693" s="4" t="s">
        <v>1063</v>
      </c>
      <c r="C693" s="25" t="s">
        <v>5</v>
      </c>
      <c r="G693" s="25" t="s">
        <v>1072</v>
      </c>
      <c r="H693" s="24" t="s">
        <v>1061</v>
      </c>
      <c r="I693" s="3" t="str">
        <f>IFERROR(VLOOKUP(C693,'Справочник соответствий'!A$2:D$2981,2,FALSE),IF(VALUE(C693)=0,1,VLOOKUP(C693,'Справочник соответствий'!A$2:D$2981,2,FALSE)))</f>
        <v>1</v>
      </c>
      <c r="J693" s="3">
        <f>IFERROR(VLOOKUP(D693,'Справочник соответствий'!A$2:D$2981,2,FALSE),IF(VALUE(D693)=0,0,VLOOKUP(D693,'Справочник соответствий'!A$2:D$2981,2,FALSE)))</f>
        <v>0</v>
      </c>
      <c r="K693" s="3" t="str">
        <f t="shared" si="70"/>
        <v>1</v>
      </c>
      <c r="L693" s="13" t="str">
        <f>IFERROR(VLOOKUP(C693,'Справочник соответствий'!A$2:D$2981,3,FALSE),IF(VALUE(C693)=0,"ЭТАЖ НЕ ОПРЕДЕЛЕН. ПРИНЯТ ПО ДОПУЩЕНИЮ 1",VLOOKUP(C693,'Справочник соответствий'!A$2:D$2981,3,FALSE)))</f>
        <v>ЭТАЖ ЗАДАН ЧИСЛОМ</v>
      </c>
      <c r="M693" s="13" t="b">
        <f t="shared" si="71"/>
        <v>0</v>
      </c>
      <c r="N693" s="13">
        <f t="shared" si="72"/>
        <v>1</v>
      </c>
      <c r="O693" s="13" t="str">
        <f t="shared" si="73"/>
        <v>ЭТАЖ ЗАДАН ЧИСЛОМ</v>
      </c>
      <c r="P693" s="13" t="str">
        <f t="shared" si="74"/>
        <v>ЭТАЖ ЗАДАН ЧИСЛОМ</v>
      </c>
      <c r="Q693" s="13" t="str">
        <f t="shared" si="75"/>
        <v>ГОТОВ_ИЗМЕНЕН</v>
      </c>
      <c r="R693" s="13">
        <f>IFERROR(VLOOKUP(P693,Лист1!A$1:B$20,2,FALSE),0)</f>
        <v>784</v>
      </c>
      <c r="S693" s="13">
        <f t="shared" si="76"/>
        <v>0</v>
      </c>
    </row>
    <row r="694" spans="1:19" x14ac:dyDescent="0.25">
      <c r="A694" s="24" t="s">
        <v>1806</v>
      </c>
      <c r="B694" s="4" t="s">
        <v>1063</v>
      </c>
      <c r="G694" s="25" t="s">
        <v>1072</v>
      </c>
      <c r="H694" s="24" t="s">
        <v>1061</v>
      </c>
      <c r="I694" s="3">
        <f>IFERROR(VLOOKUP(C694,'Справочник соответствий'!A$2:D$2981,2,FALSE),IF(VALUE(C694)=0,1,VLOOKUP(C694,'Справочник соответствий'!A$2:D$2981,2,FALSE)))</f>
        <v>1</v>
      </c>
      <c r="J694" s="3">
        <f>IFERROR(VLOOKUP(D694,'Справочник соответствий'!A$2:D$2981,2,FALSE),IF(VALUE(D694)=0,0,VLOOKUP(D694,'Справочник соответствий'!A$2:D$2981,2,FALSE)))</f>
        <v>0</v>
      </c>
      <c r="K694" s="3">
        <f t="shared" si="70"/>
        <v>1</v>
      </c>
      <c r="L694" s="13" t="str">
        <f>IFERROR(VLOOKUP(C694,'Справочник соответствий'!A$2:D$2981,3,FALSE),IF(VALUE(C694)=0,"ЭТАЖ НЕ ОПРЕДЕЛЕН. ПРИНЯТ ПО ДОПУЩЕНИЮ 1",VLOOKUP(C694,'Справочник соответствий'!A$2:D$2981,3,FALSE)))</f>
        <v>ЭТАЖ НЕ ОПРЕДЕЛЕН. ПРИНЯТ ПО ДОПУЩЕНИЮ 1</v>
      </c>
      <c r="M694" s="13" t="b">
        <f t="shared" si="71"/>
        <v>0</v>
      </c>
      <c r="N694" s="13">
        <f t="shared" si="72"/>
        <v>1</v>
      </c>
      <c r="O694" s="13" t="str">
        <f t="shared" si="73"/>
        <v>ЭТАЖ НЕ ОПРЕДЕЛЕН. ПРИНЯТ ПО ДОПУЩЕНИЮ 1</v>
      </c>
      <c r="P694" s="13" t="str">
        <f t="shared" si="74"/>
        <v>ЭТАЖ НЕ ОПРЕДЕЛЕН. ПРИНЯТ ПО ДОПУЩЕНИЮ 1</v>
      </c>
      <c r="Q694" s="13" t="str">
        <f t="shared" si="75"/>
        <v>ГОТОВ_ИЗМЕНЕН</v>
      </c>
      <c r="R694" s="13">
        <f>IFERROR(VLOOKUP(P694,Лист1!A$1:B$20,2,FALSE),0)</f>
        <v>788</v>
      </c>
      <c r="S694" s="13">
        <f t="shared" si="76"/>
        <v>0</v>
      </c>
    </row>
    <row r="695" spans="1:19" x14ac:dyDescent="0.25">
      <c r="A695" s="24" t="s">
        <v>1807</v>
      </c>
      <c r="B695" s="4" t="s">
        <v>1059</v>
      </c>
      <c r="C695" s="25" t="s">
        <v>7</v>
      </c>
      <c r="G695" s="25" t="s">
        <v>1072</v>
      </c>
      <c r="H695" s="24" t="s">
        <v>1061</v>
      </c>
      <c r="I695" s="3" t="str">
        <f>IFERROR(VLOOKUP(C695,'Справочник соответствий'!A$2:D$2981,2,FALSE),IF(VALUE(C695)=0,1,VLOOKUP(C695,'Справочник соответствий'!A$2:D$2981,2,FALSE)))</f>
        <v>2</v>
      </c>
      <c r="J695" s="3">
        <f>IFERROR(VLOOKUP(D695,'Справочник соответствий'!A$2:D$2981,2,FALSE),IF(VALUE(D695)=0,0,VLOOKUP(D695,'Справочник соответствий'!A$2:D$2981,2,FALSE)))</f>
        <v>0</v>
      </c>
      <c r="K695" s="3" t="str">
        <f t="shared" si="70"/>
        <v>2</v>
      </c>
      <c r="L695" s="13" t="str">
        <f>IFERROR(VLOOKUP(C695,'Справочник соответствий'!A$2:D$2981,3,FALSE),IF(VALUE(C695)=0,"ЭТАЖ НЕ ОПРЕДЕЛЕН. ПРИНЯТ ПО ДОПУЩЕНИЮ 1",VLOOKUP(C695,'Справочник соответствий'!A$2:D$2981,3,FALSE)))</f>
        <v>ЭТАЖ ЗАДАН ЧИСЛОМ</v>
      </c>
      <c r="M695" s="13" t="b">
        <f t="shared" si="71"/>
        <v>0</v>
      </c>
      <c r="N695" s="13">
        <f t="shared" si="72"/>
        <v>2</v>
      </c>
      <c r="O695" s="13" t="str">
        <f t="shared" si="73"/>
        <v>ЭТАЖ ЗАДАН ЧИСЛОМ</v>
      </c>
      <c r="P695" s="13" t="str">
        <f t="shared" si="74"/>
        <v>ЭТАЖ ЗАДАН ЧИСЛОМ</v>
      </c>
      <c r="Q695" s="13" t="str">
        <f t="shared" si="75"/>
        <v>ГОТОВ_ИЗМЕНЕН</v>
      </c>
      <c r="R695" s="13">
        <f>IFERROR(VLOOKUP(P695,Лист1!A$1:B$20,2,FALSE),0)</f>
        <v>784</v>
      </c>
      <c r="S695" s="13">
        <f t="shared" si="76"/>
        <v>0</v>
      </c>
    </row>
    <row r="696" spans="1:19" x14ac:dyDescent="0.25">
      <c r="A696" s="24" t="s">
        <v>1808</v>
      </c>
      <c r="B696" s="4" t="s">
        <v>1063</v>
      </c>
      <c r="C696" s="25" t="s">
        <v>5</v>
      </c>
      <c r="G696" s="25" t="s">
        <v>1072</v>
      </c>
      <c r="H696" s="24" t="s">
        <v>1061</v>
      </c>
      <c r="I696" s="3" t="str">
        <f>IFERROR(VLOOKUP(C696,'Справочник соответствий'!A$2:D$2981,2,FALSE),IF(VALUE(C696)=0,1,VLOOKUP(C696,'Справочник соответствий'!A$2:D$2981,2,FALSE)))</f>
        <v>1</v>
      </c>
      <c r="J696" s="3">
        <f>IFERROR(VLOOKUP(D696,'Справочник соответствий'!A$2:D$2981,2,FALSE),IF(VALUE(D696)=0,0,VLOOKUP(D696,'Справочник соответствий'!A$2:D$2981,2,FALSE)))</f>
        <v>0</v>
      </c>
      <c r="K696" s="3" t="str">
        <f t="shared" si="70"/>
        <v>1</v>
      </c>
      <c r="L696" s="13" t="str">
        <f>IFERROR(VLOOKUP(C696,'Справочник соответствий'!A$2:D$2981,3,FALSE),IF(VALUE(C696)=0,"ЭТАЖ НЕ ОПРЕДЕЛЕН. ПРИНЯТ ПО ДОПУЩЕНИЮ 1",VLOOKUP(C696,'Справочник соответствий'!A$2:D$2981,3,FALSE)))</f>
        <v>ЭТАЖ ЗАДАН ЧИСЛОМ</v>
      </c>
      <c r="M696" s="13" t="b">
        <f t="shared" si="71"/>
        <v>0</v>
      </c>
      <c r="N696" s="13">
        <f t="shared" si="72"/>
        <v>1</v>
      </c>
      <c r="O696" s="13" t="str">
        <f t="shared" si="73"/>
        <v>ЭТАЖ ЗАДАН ЧИСЛОМ</v>
      </c>
      <c r="P696" s="13" t="str">
        <f t="shared" si="74"/>
        <v>ЭТАЖ ЗАДАН ЧИСЛОМ</v>
      </c>
      <c r="Q696" s="13" t="str">
        <f t="shared" si="75"/>
        <v>ГОТОВ_ИЗМЕНЕН</v>
      </c>
      <c r="R696" s="13">
        <f>IFERROR(VLOOKUP(P696,Лист1!A$1:B$20,2,FALSE),0)</f>
        <v>784</v>
      </c>
      <c r="S696" s="13">
        <f t="shared" si="76"/>
        <v>0</v>
      </c>
    </row>
    <row r="697" spans="1:19" x14ac:dyDescent="0.25">
      <c r="A697" s="24" t="s">
        <v>1809</v>
      </c>
      <c r="B697" s="4" t="s">
        <v>1063</v>
      </c>
      <c r="C697" s="25" t="s">
        <v>5</v>
      </c>
      <c r="G697" s="25" t="s">
        <v>1072</v>
      </c>
      <c r="H697" s="24" t="s">
        <v>1061</v>
      </c>
      <c r="I697" s="3" t="str">
        <f>IFERROR(VLOOKUP(C697,'Справочник соответствий'!A$2:D$2981,2,FALSE),IF(VALUE(C697)=0,1,VLOOKUP(C697,'Справочник соответствий'!A$2:D$2981,2,FALSE)))</f>
        <v>1</v>
      </c>
      <c r="J697" s="3">
        <f>IFERROR(VLOOKUP(D697,'Справочник соответствий'!A$2:D$2981,2,FALSE),IF(VALUE(D697)=0,0,VLOOKUP(D697,'Справочник соответствий'!A$2:D$2981,2,FALSE)))</f>
        <v>0</v>
      </c>
      <c r="K697" s="3" t="str">
        <f t="shared" si="70"/>
        <v>1</v>
      </c>
      <c r="L697" s="13" t="str">
        <f>IFERROR(VLOOKUP(C697,'Справочник соответствий'!A$2:D$2981,3,FALSE),IF(VALUE(C697)=0,"ЭТАЖ НЕ ОПРЕДЕЛЕН. ПРИНЯТ ПО ДОПУЩЕНИЮ 1",VLOOKUP(C697,'Справочник соответствий'!A$2:D$2981,3,FALSE)))</f>
        <v>ЭТАЖ ЗАДАН ЧИСЛОМ</v>
      </c>
      <c r="M697" s="13" t="b">
        <f t="shared" si="71"/>
        <v>0</v>
      </c>
      <c r="N697" s="13">
        <f t="shared" si="72"/>
        <v>1</v>
      </c>
      <c r="O697" s="13" t="str">
        <f t="shared" si="73"/>
        <v>ЭТАЖ ЗАДАН ЧИСЛОМ</v>
      </c>
      <c r="P697" s="13" t="str">
        <f t="shared" si="74"/>
        <v>ЭТАЖ ЗАДАН ЧИСЛОМ</v>
      </c>
      <c r="Q697" s="13" t="str">
        <f t="shared" si="75"/>
        <v>ГОТОВ_ИЗМЕНЕН</v>
      </c>
      <c r="R697" s="13">
        <f>IFERROR(VLOOKUP(P697,Лист1!A$1:B$20,2,FALSE),0)</f>
        <v>784</v>
      </c>
      <c r="S697" s="13">
        <f t="shared" si="76"/>
        <v>0</v>
      </c>
    </row>
    <row r="698" spans="1:19" x14ac:dyDescent="0.25">
      <c r="A698" s="24" t="s">
        <v>1810</v>
      </c>
      <c r="B698" s="4" t="s">
        <v>1063</v>
      </c>
      <c r="G698" s="25" t="s">
        <v>1072</v>
      </c>
      <c r="H698" s="24" t="s">
        <v>1061</v>
      </c>
      <c r="I698" s="3">
        <f>IFERROR(VLOOKUP(C698,'Справочник соответствий'!A$2:D$2981,2,FALSE),IF(VALUE(C698)=0,1,VLOOKUP(C698,'Справочник соответствий'!A$2:D$2981,2,FALSE)))</f>
        <v>1</v>
      </c>
      <c r="J698" s="3">
        <f>IFERROR(VLOOKUP(D698,'Справочник соответствий'!A$2:D$2981,2,FALSE),IF(VALUE(D698)=0,0,VLOOKUP(D698,'Справочник соответствий'!A$2:D$2981,2,FALSE)))</f>
        <v>0</v>
      </c>
      <c r="K698" s="3">
        <f t="shared" si="70"/>
        <v>1</v>
      </c>
      <c r="L698" s="13" t="str">
        <f>IFERROR(VLOOKUP(C698,'Справочник соответствий'!A$2:D$2981,3,FALSE),IF(VALUE(C698)=0,"ЭТАЖ НЕ ОПРЕДЕЛЕН. ПРИНЯТ ПО ДОПУЩЕНИЮ 1",VLOOKUP(C698,'Справочник соответствий'!A$2:D$2981,3,FALSE)))</f>
        <v>ЭТАЖ НЕ ОПРЕДЕЛЕН. ПРИНЯТ ПО ДОПУЩЕНИЮ 1</v>
      </c>
      <c r="M698" s="13" t="b">
        <f t="shared" si="71"/>
        <v>0</v>
      </c>
      <c r="N698" s="13">
        <f t="shared" si="72"/>
        <v>1</v>
      </c>
      <c r="O698" s="13" t="str">
        <f t="shared" si="73"/>
        <v>ЭТАЖ НЕ ОПРЕДЕЛЕН. ПРИНЯТ ПО ДОПУЩЕНИЮ 1</v>
      </c>
      <c r="P698" s="13" t="str">
        <f t="shared" si="74"/>
        <v>ЭТАЖ НЕ ОПРЕДЕЛЕН. ПРИНЯТ ПО ДОПУЩЕНИЮ 1</v>
      </c>
      <c r="Q698" s="13" t="str">
        <f t="shared" si="75"/>
        <v>ГОТОВ_ИЗМЕНЕН</v>
      </c>
      <c r="R698" s="13">
        <f>IFERROR(VLOOKUP(P698,Лист1!A$1:B$20,2,FALSE),0)</f>
        <v>788</v>
      </c>
      <c r="S698" s="13">
        <f t="shared" si="76"/>
        <v>0</v>
      </c>
    </row>
    <row r="699" spans="1:19" x14ac:dyDescent="0.25">
      <c r="A699" s="24" t="s">
        <v>1811</v>
      </c>
      <c r="B699" s="4" t="s">
        <v>1059</v>
      </c>
      <c r="C699" s="25" t="s">
        <v>5</v>
      </c>
      <c r="G699" s="25" t="s">
        <v>1072</v>
      </c>
      <c r="H699" s="24" t="s">
        <v>1061</v>
      </c>
      <c r="I699" s="3" t="str">
        <f>IFERROR(VLOOKUP(C699,'Справочник соответствий'!A$2:D$2981,2,FALSE),IF(VALUE(C699)=0,1,VLOOKUP(C699,'Справочник соответствий'!A$2:D$2981,2,FALSE)))</f>
        <v>1</v>
      </c>
      <c r="J699" s="3">
        <f>IFERROR(VLOOKUP(D699,'Справочник соответствий'!A$2:D$2981,2,FALSE),IF(VALUE(D699)=0,0,VLOOKUP(D699,'Справочник соответствий'!A$2:D$2981,2,FALSE)))</f>
        <v>0</v>
      </c>
      <c r="K699" s="3" t="str">
        <f t="shared" si="70"/>
        <v>1</v>
      </c>
      <c r="L699" s="13" t="str">
        <f>IFERROR(VLOOKUP(C699,'Справочник соответствий'!A$2:D$2981,3,FALSE),IF(VALUE(C699)=0,"ЭТАЖ НЕ ОПРЕДЕЛЕН. ПРИНЯТ ПО ДОПУЩЕНИЮ 1",VLOOKUP(C699,'Справочник соответствий'!A$2:D$2981,3,FALSE)))</f>
        <v>ЭТАЖ ЗАДАН ЧИСЛОМ</v>
      </c>
      <c r="M699" s="13" t="b">
        <f t="shared" si="71"/>
        <v>0</v>
      </c>
      <c r="N699" s="13">
        <f t="shared" si="72"/>
        <v>1</v>
      </c>
      <c r="O699" s="13" t="str">
        <f t="shared" si="73"/>
        <v>ЭТАЖ ЗАДАН ЧИСЛОМ</v>
      </c>
      <c r="P699" s="13" t="str">
        <f t="shared" si="74"/>
        <v>ЭТАЖ ЗАДАН ЧИСЛОМ</v>
      </c>
      <c r="Q699" s="13" t="str">
        <f t="shared" si="75"/>
        <v>ГОТОВ_ИЗМЕНЕН</v>
      </c>
      <c r="R699" s="13">
        <f>IFERROR(VLOOKUP(P699,Лист1!A$1:B$20,2,FALSE),0)</f>
        <v>784</v>
      </c>
      <c r="S699" s="13">
        <f t="shared" si="76"/>
        <v>0</v>
      </c>
    </row>
    <row r="700" spans="1:19" x14ac:dyDescent="0.25">
      <c r="A700" s="24" t="s">
        <v>1812</v>
      </c>
      <c r="B700" s="4" t="s">
        <v>1059</v>
      </c>
      <c r="C700" s="25" t="s">
        <v>21</v>
      </c>
      <c r="D700" s="25" t="s">
        <v>5</v>
      </c>
      <c r="G700" s="25" t="s">
        <v>1072</v>
      </c>
      <c r="H700" s="24" t="s">
        <v>1061</v>
      </c>
      <c r="I700" s="3" t="str">
        <f>IFERROR(VLOOKUP(C700,'Справочник соответствий'!A$2:D$2981,2,FALSE),IF(VALUE(C700)=0,1,VLOOKUP(C700,'Справочник соответствий'!A$2:D$2981,2,FALSE)))</f>
        <v>2</v>
      </c>
      <c r="J700" s="3" t="str">
        <f>IFERROR(VLOOKUP(D700,'Справочник соответствий'!A$2:D$2981,2,FALSE),IF(VALUE(D700)=0,0,VLOOKUP(D700,'Справочник соответствий'!A$2:D$2981,2,FALSE)))</f>
        <v>1</v>
      </c>
      <c r="K700" s="3" t="str">
        <f t="shared" si="70"/>
        <v>2</v>
      </c>
      <c r="L700" s="13" t="str">
        <f>IFERROR(VLOOKUP(C700,'Справочник соответствий'!A$2:D$2981,3,FALSE),IF(VALUE(C700)=0,"ЭТАЖ НЕ ОПРЕДЕЛЕН. ПРИНЯТ ПО ДОПУЩЕНИЮ 1",VLOOKUP(C700,'Справочник соответствий'!A$2:D$2981,3,FALSE)))</f>
        <v>СПРАВОЧНИК ЭТАЖНОСТИ</v>
      </c>
      <c r="M700" s="13" t="b">
        <f t="shared" si="71"/>
        <v>0</v>
      </c>
      <c r="N700" s="13">
        <f t="shared" si="72"/>
        <v>2</v>
      </c>
      <c r="O700" s="13" t="str">
        <f t="shared" si="73"/>
        <v>СПРАВОЧНИК ЭТАЖНОСТИ</v>
      </c>
      <c r="P700" s="13" t="str">
        <f t="shared" si="74"/>
        <v>СПРАВОЧНИК ЭТАЖНОСТИ</v>
      </c>
      <c r="Q700" s="13" t="str">
        <f t="shared" si="75"/>
        <v>ГОТОВ_ИЗМЕНЕН</v>
      </c>
      <c r="R700" s="13">
        <f>IFERROR(VLOOKUP(P700,Лист1!A$1:B$20,2,FALSE),0)</f>
        <v>785</v>
      </c>
      <c r="S700" s="13">
        <f t="shared" si="76"/>
        <v>0</v>
      </c>
    </row>
    <row r="701" spans="1:19" x14ac:dyDescent="0.25">
      <c r="A701" s="24" t="s">
        <v>1813</v>
      </c>
      <c r="B701" s="4" t="s">
        <v>1059</v>
      </c>
      <c r="C701" s="25" t="s">
        <v>7</v>
      </c>
      <c r="G701" s="25" t="s">
        <v>1072</v>
      </c>
      <c r="H701" s="24" t="s">
        <v>1061</v>
      </c>
      <c r="I701" s="3" t="str">
        <f>IFERROR(VLOOKUP(C701,'Справочник соответствий'!A$2:D$2981,2,FALSE),IF(VALUE(C701)=0,1,VLOOKUP(C701,'Справочник соответствий'!A$2:D$2981,2,FALSE)))</f>
        <v>2</v>
      </c>
      <c r="J701" s="3">
        <f>IFERROR(VLOOKUP(D701,'Справочник соответствий'!A$2:D$2981,2,FALSE),IF(VALUE(D701)=0,0,VLOOKUP(D701,'Справочник соответствий'!A$2:D$2981,2,FALSE)))</f>
        <v>0</v>
      </c>
      <c r="K701" s="3" t="str">
        <f t="shared" si="70"/>
        <v>2</v>
      </c>
      <c r="L701" s="13" t="str">
        <f>IFERROR(VLOOKUP(C701,'Справочник соответствий'!A$2:D$2981,3,FALSE),IF(VALUE(C701)=0,"ЭТАЖ НЕ ОПРЕДЕЛЕН. ПРИНЯТ ПО ДОПУЩЕНИЮ 1",VLOOKUP(C701,'Справочник соответствий'!A$2:D$2981,3,FALSE)))</f>
        <v>ЭТАЖ ЗАДАН ЧИСЛОМ</v>
      </c>
      <c r="M701" s="13" t="b">
        <f t="shared" si="71"/>
        <v>0</v>
      </c>
      <c r="N701" s="13">
        <f t="shared" si="72"/>
        <v>2</v>
      </c>
      <c r="O701" s="13" t="str">
        <f t="shared" si="73"/>
        <v>ЭТАЖ ЗАДАН ЧИСЛОМ</v>
      </c>
      <c r="P701" s="13" t="str">
        <f t="shared" si="74"/>
        <v>ЭТАЖ ЗАДАН ЧИСЛОМ</v>
      </c>
      <c r="Q701" s="13" t="str">
        <f t="shared" si="75"/>
        <v>ГОТОВ_ИЗМЕНЕН</v>
      </c>
      <c r="R701" s="13">
        <f>IFERROR(VLOOKUP(P701,Лист1!A$1:B$20,2,FALSE),0)</f>
        <v>784</v>
      </c>
      <c r="S701" s="13">
        <f t="shared" si="76"/>
        <v>0</v>
      </c>
    </row>
    <row r="702" spans="1:19" x14ac:dyDescent="0.25">
      <c r="A702" s="24" t="s">
        <v>1814</v>
      </c>
      <c r="B702" s="4" t="s">
        <v>1059</v>
      </c>
      <c r="C702" s="25" t="s">
        <v>1815</v>
      </c>
      <c r="G702" s="25" t="s">
        <v>1167</v>
      </c>
      <c r="H702" s="24" t="s">
        <v>1061</v>
      </c>
      <c r="I702" s="3" t="e">
        <f>IFERROR(VLOOKUP(C702,'Справочник соответствий'!A$2:D$2981,2,FALSE),IF(VALUE(C702)=0,1,VLOOKUP(C702,'Справочник соответствий'!A$2:D$2981,2,FALSE)))</f>
        <v>#VALUE!</v>
      </c>
      <c r="J702" s="3">
        <f>IFERROR(VLOOKUP(D702,'Справочник соответствий'!A$2:D$2981,2,FALSE),IF(VALUE(D702)=0,0,VLOOKUP(D702,'Справочник соответствий'!A$2:D$2981,2,FALSE)))</f>
        <v>0</v>
      </c>
      <c r="K702" s="3" t="e">
        <f t="shared" si="70"/>
        <v>#VALUE!</v>
      </c>
      <c r="L702" s="13" t="e">
        <f>IFERROR(VLOOKUP(C702,'Справочник соответствий'!A$2:D$2981,3,FALSE),IF(VALUE(C702)=0,"ЭТАЖ НЕ ОПРЕДЕЛЕН. ПРИНЯТ ПО ДОПУЩЕНИЮ 1",VLOOKUP(C702,'Справочник соответствий'!A$2:D$2981,3,FALSE)))</f>
        <v>#VALUE!</v>
      </c>
      <c r="M702" s="13" t="e">
        <f t="shared" si="71"/>
        <v>#VALUE!</v>
      </c>
      <c r="N702" s="13" t="e">
        <f t="shared" si="72"/>
        <v>#VALUE!</v>
      </c>
      <c r="O702" s="13" t="e">
        <f t="shared" si="73"/>
        <v>#VALUE!</v>
      </c>
      <c r="P702" s="13" t="e">
        <f t="shared" si="74"/>
        <v>#VALUE!</v>
      </c>
      <c r="Q702" s="13" t="str">
        <f t="shared" si="75"/>
        <v>НЕ ГОТОВ</v>
      </c>
      <c r="R702" s="13">
        <f>IFERROR(VLOOKUP(P702,Лист1!A$1:B$20,2,FALSE),0)</f>
        <v>0</v>
      </c>
      <c r="S702" s="13">
        <f t="shared" si="76"/>
        <v>0</v>
      </c>
    </row>
    <row r="703" spans="1:19" x14ac:dyDescent="0.25">
      <c r="A703" s="24" t="s">
        <v>1816</v>
      </c>
      <c r="B703" s="4" t="s">
        <v>1059</v>
      </c>
      <c r="C703" s="25" t="s">
        <v>7</v>
      </c>
      <c r="G703" s="25" t="s">
        <v>1069</v>
      </c>
      <c r="H703" s="24" t="s">
        <v>1061</v>
      </c>
      <c r="I703" s="3" t="str">
        <f>IFERROR(VLOOKUP(C703,'Справочник соответствий'!A$2:D$2981,2,FALSE),IF(VALUE(C703)=0,1,VLOOKUP(C703,'Справочник соответствий'!A$2:D$2981,2,FALSE)))</f>
        <v>2</v>
      </c>
      <c r="J703" s="3">
        <f>IFERROR(VLOOKUP(D703,'Справочник соответствий'!A$2:D$2981,2,FALSE),IF(VALUE(D703)=0,0,VLOOKUP(D703,'Справочник соответствий'!A$2:D$2981,2,FALSE)))</f>
        <v>0</v>
      </c>
      <c r="K703" s="3" t="str">
        <f t="shared" si="70"/>
        <v>2</v>
      </c>
      <c r="L703" s="13" t="str">
        <f>IFERROR(VLOOKUP(C703,'Справочник соответствий'!A$2:D$2981,3,FALSE),IF(VALUE(C703)=0,"ЭТАЖ НЕ ОПРЕДЕЛЕН. ПРИНЯТ ПО ДОПУЩЕНИЮ 1",VLOOKUP(C703,'Справочник соответствий'!A$2:D$2981,3,FALSE)))</f>
        <v>ЭТАЖ ЗАДАН ЧИСЛОМ</v>
      </c>
      <c r="M703" s="13" t="b">
        <f t="shared" si="71"/>
        <v>0</v>
      </c>
      <c r="N703" s="13">
        <f t="shared" si="72"/>
        <v>2</v>
      </c>
      <c r="O703" s="13" t="str">
        <f t="shared" si="73"/>
        <v>ЭТАЖ ЗАДАН ЧИСЛОМ</v>
      </c>
      <c r="P703" s="13" t="str">
        <f t="shared" si="74"/>
        <v>ЭТАЖ ЗАДАН ЧИСЛОМ</v>
      </c>
      <c r="Q703" s="13" t="str">
        <f t="shared" si="75"/>
        <v>ГОТОВ_ИЗМЕНЕН</v>
      </c>
      <c r="R703" s="13">
        <f>IFERROR(VLOOKUP(P703,Лист1!A$1:B$20,2,FALSE),0)</f>
        <v>784</v>
      </c>
      <c r="S703" s="13">
        <f t="shared" si="76"/>
        <v>0</v>
      </c>
    </row>
    <row r="704" spans="1:19" x14ac:dyDescent="0.25">
      <c r="A704" s="24" t="s">
        <v>1817</v>
      </c>
      <c r="B704" s="4" t="s">
        <v>1059</v>
      </c>
      <c r="C704" s="25" t="s">
        <v>7</v>
      </c>
      <c r="G704" s="25" t="s">
        <v>1089</v>
      </c>
      <c r="H704" s="24" t="s">
        <v>1061</v>
      </c>
      <c r="I704" s="3" t="str">
        <f>IFERROR(VLOOKUP(C704,'Справочник соответствий'!A$2:D$2981,2,FALSE),IF(VALUE(C704)=0,1,VLOOKUP(C704,'Справочник соответствий'!A$2:D$2981,2,FALSE)))</f>
        <v>2</v>
      </c>
      <c r="J704" s="3">
        <f>IFERROR(VLOOKUP(D704,'Справочник соответствий'!A$2:D$2981,2,FALSE),IF(VALUE(D704)=0,0,VLOOKUP(D704,'Справочник соответствий'!A$2:D$2981,2,FALSE)))</f>
        <v>0</v>
      </c>
      <c r="K704" s="3" t="str">
        <f t="shared" si="70"/>
        <v>2</v>
      </c>
      <c r="L704" s="13" t="str">
        <f>IFERROR(VLOOKUP(C704,'Справочник соответствий'!A$2:D$2981,3,FALSE),IF(VALUE(C704)=0,"ЭТАЖ НЕ ОПРЕДЕЛЕН. ПРИНЯТ ПО ДОПУЩЕНИЮ 1",VLOOKUP(C704,'Справочник соответствий'!A$2:D$2981,3,FALSE)))</f>
        <v>ЭТАЖ ЗАДАН ЧИСЛОМ</v>
      </c>
      <c r="M704" s="13" t="b">
        <f t="shared" si="71"/>
        <v>0</v>
      </c>
      <c r="N704" s="13">
        <f t="shared" si="72"/>
        <v>2</v>
      </c>
      <c r="O704" s="13" t="str">
        <f t="shared" si="73"/>
        <v>ЭТАЖ ЗАДАН ЧИСЛОМ</v>
      </c>
      <c r="P704" s="13" t="str">
        <f t="shared" si="74"/>
        <v>ЭТАЖ ЗАДАН ЧИСЛОМ</v>
      </c>
      <c r="Q704" s="13" t="str">
        <f t="shared" si="75"/>
        <v>ГОТОВ_ИЗМЕНЕН</v>
      </c>
      <c r="R704" s="13">
        <f>IFERROR(VLOOKUP(P704,Лист1!A$1:B$20,2,FALSE),0)</f>
        <v>784</v>
      </c>
      <c r="S704" s="13">
        <f t="shared" si="76"/>
        <v>0</v>
      </c>
    </row>
    <row r="705" spans="1:19" x14ac:dyDescent="0.25">
      <c r="A705" s="24" t="s">
        <v>1818</v>
      </c>
      <c r="B705" s="4" t="s">
        <v>1059</v>
      </c>
      <c r="C705" s="25" t="s">
        <v>5</v>
      </c>
      <c r="G705" s="25" t="s">
        <v>1174</v>
      </c>
      <c r="H705" s="24" t="s">
        <v>1061</v>
      </c>
      <c r="I705" s="3" t="str">
        <f>IFERROR(VLOOKUP(C705,'Справочник соответствий'!A$2:D$2981,2,FALSE),IF(VALUE(C705)=0,1,VLOOKUP(C705,'Справочник соответствий'!A$2:D$2981,2,FALSE)))</f>
        <v>1</v>
      </c>
      <c r="J705" s="3">
        <f>IFERROR(VLOOKUP(D705,'Справочник соответствий'!A$2:D$2981,2,FALSE),IF(VALUE(D705)=0,0,VLOOKUP(D705,'Справочник соответствий'!A$2:D$2981,2,FALSE)))</f>
        <v>0</v>
      </c>
      <c r="K705" s="3" t="str">
        <f t="shared" si="70"/>
        <v>1</v>
      </c>
      <c r="L705" s="13" t="str">
        <f>IFERROR(VLOOKUP(C705,'Справочник соответствий'!A$2:D$2981,3,FALSE),IF(VALUE(C705)=0,"ЭТАЖ НЕ ОПРЕДЕЛЕН. ПРИНЯТ ПО ДОПУЩЕНИЮ 1",VLOOKUP(C705,'Справочник соответствий'!A$2:D$2981,3,FALSE)))</f>
        <v>ЭТАЖ ЗАДАН ЧИСЛОМ</v>
      </c>
      <c r="M705" s="13" t="b">
        <f t="shared" si="71"/>
        <v>0</v>
      </c>
      <c r="N705" s="13">
        <f t="shared" si="72"/>
        <v>1</v>
      </c>
      <c r="O705" s="13" t="str">
        <f t="shared" si="73"/>
        <v>ЭТАЖ ЗАДАН ЧИСЛОМ</v>
      </c>
      <c r="P705" s="13" t="str">
        <f t="shared" si="74"/>
        <v>ЭТАЖ ЗАДАН ЧИСЛОМ</v>
      </c>
      <c r="Q705" s="13" t="str">
        <f t="shared" si="75"/>
        <v>ГОТОВ_ИЗМЕНЕН</v>
      </c>
      <c r="R705" s="13">
        <f>IFERROR(VLOOKUP(P705,Лист1!A$1:B$20,2,FALSE),0)</f>
        <v>784</v>
      </c>
      <c r="S705" s="13">
        <f t="shared" si="76"/>
        <v>0</v>
      </c>
    </row>
    <row r="706" spans="1:19" x14ac:dyDescent="0.25">
      <c r="A706" s="24" t="s">
        <v>1819</v>
      </c>
      <c r="B706" s="4" t="s">
        <v>1059</v>
      </c>
      <c r="G706" s="25" t="s">
        <v>1072</v>
      </c>
      <c r="H706" s="24" t="s">
        <v>1061</v>
      </c>
      <c r="I706" s="3">
        <f>IFERROR(VLOOKUP(C706,'Справочник соответствий'!A$2:D$2981,2,FALSE),IF(VALUE(C706)=0,1,VLOOKUP(C706,'Справочник соответствий'!A$2:D$2981,2,FALSE)))</f>
        <v>1</v>
      </c>
      <c r="J706" s="3">
        <f>IFERROR(VLOOKUP(D706,'Справочник соответствий'!A$2:D$2981,2,FALSE),IF(VALUE(D706)=0,0,VLOOKUP(D706,'Справочник соответствий'!A$2:D$2981,2,FALSE)))</f>
        <v>0</v>
      </c>
      <c r="K706" s="3">
        <f t="shared" si="70"/>
        <v>1</v>
      </c>
      <c r="L706" s="13" t="str">
        <f>IFERROR(VLOOKUP(C706,'Справочник соответствий'!A$2:D$2981,3,FALSE),IF(VALUE(C706)=0,"ЭТАЖ НЕ ОПРЕДЕЛЕН. ПРИНЯТ ПО ДОПУЩЕНИЮ 1",VLOOKUP(C706,'Справочник соответствий'!A$2:D$2981,3,FALSE)))</f>
        <v>ЭТАЖ НЕ ОПРЕДЕЛЕН. ПРИНЯТ ПО ДОПУЩЕНИЮ 1</v>
      </c>
      <c r="M706" s="13" t="b">
        <f t="shared" si="71"/>
        <v>0</v>
      </c>
      <c r="N706" s="13">
        <f t="shared" si="72"/>
        <v>1</v>
      </c>
      <c r="O706" s="13" t="str">
        <f t="shared" si="73"/>
        <v>ЭТАЖ НЕ ОПРЕДЕЛЕН. ПРИНЯТ ПО ДОПУЩЕНИЮ 1</v>
      </c>
      <c r="P706" s="13" t="str">
        <f t="shared" si="74"/>
        <v>ЭТАЖ НЕ ОПРЕДЕЛЕН. ПРИНЯТ ПО ДОПУЩЕНИЮ 1</v>
      </c>
      <c r="Q706" s="13" t="str">
        <f t="shared" si="75"/>
        <v>ГОТОВ_ИЗМЕНЕН</v>
      </c>
      <c r="R706" s="13">
        <f>IFERROR(VLOOKUP(P706,Лист1!A$1:B$20,2,FALSE),0)</f>
        <v>788</v>
      </c>
      <c r="S706" s="13">
        <f t="shared" si="76"/>
        <v>0</v>
      </c>
    </row>
    <row r="707" spans="1:19" x14ac:dyDescent="0.25">
      <c r="A707" s="24" t="s">
        <v>1820</v>
      </c>
      <c r="B707" s="4" t="s">
        <v>1059</v>
      </c>
      <c r="C707" s="25" t="s">
        <v>7</v>
      </c>
      <c r="G707" s="25" t="s">
        <v>1174</v>
      </c>
      <c r="H707" s="24" t="s">
        <v>1061</v>
      </c>
      <c r="I707" s="3" t="str">
        <f>IFERROR(VLOOKUP(C707,'Справочник соответствий'!A$2:D$2981,2,FALSE),IF(VALUE(C707)=0,1,VLOOKUP(C707,'Справочник соответствий'!A$2:D$2981,2,FALSE)))</f>
        <v>2</v>
      </c>
      <c r="J707" s="3">
        <f>IFERROR(VLOOKUP(D707,'Справочник соответствий'!A$2:D$2981,2,FALSE),IF(VALUE(D707)=0,0,VLOOKUP(D707,'Справочник соответствий'!A$2:D$2981,2,FALSE)))</f>
        <v>0</v>
      </c>
      <c r="K707" s="3" t="str">
        <f t="shared" si="70"/>
        <v>2</v>
      </c>
      <c r="L707" s="13" t="str">
        <f>IFERROR(VLOOKUP(C707,'Справочник соответствий'!A$2:D$2981,3,FALSE),IF(VALUE(C707)=0,"ЭТАЖ НЕ ОПРЕДЕЛЕН. ПРИНЯТ ПО ДОПУЩЕНИЮ 1",VLOOKUP(C707,'Справочник соответствий'!A$2:D$2981,3,FALSE)))</f>
        <v>ЭТАЖ ЗАДАН ЧИСЛОМ</v>
      </c>
      <c r="M707" s="13" t="b">
        <f t="shared" si="71"/>
        <v>0</v>
      </c>
      <c r="N707" s="13">
        <f t="shared" si="72"/>
        <v>2</v>
      </c>
      <c r="O707" s="13" t="str">
        <f t="shared" si="73"/>
        <v>ЭТАЖ ЗАДАН ЧИСЛОМ</v>
      </c>
      <c r="P707" s="13" t="str">
        <f t="shared" si="74"/>
        <v>ЭТАЖ ЗАДАН ЧИСЛОМ</v>
      </c>
      <c r="Q707" s="13" t="str">
        <f t="shared" si="75"/>
        <v>ГОТОВ_ИЗМЕНЕН</v>
      </c>
      <c r="R707" s="13">
        <f>IFERROR(VLOOKUP(P707,Лист1!A$1:B$20,2,FALSE),0)</f>
        <v>784</v>
      </c>
      <c r="S707" s="13">
        <f t="shared" si="76"/>
        <v>0</v>
      </c>
    </row>
    <row r="708" spans="1:19" x14ac:dyDescent="0.25">
      <c r="A708" s="24" t="s">
        <v>1821</v>
      </c>
      <c r="B708" s="4" t="s">
        <v>1059</v>
      </c>
      <c r="C708" s="25" t="s">
        <v>5</v>
      </c>
      <c r="G708" s="25" t="s">
        <v>1069</v>
      </c>
      <c r="H708" s="24" t="s">
        <v>1061</v>
      </c>
      <c r="I708" s="3" t="str">
        <f>IFERROR(VLOOKUP(C708,'Справочник соответствий'!A$2:D$2981,2,FALSE),IF(VALUE(C708)=0,1,VLOOKUP(C708,'Справочник соответствий'!A$2:D$2981,2,FALSE)))</f>
        <v>1</v>
      </c>
      <c r="J708" s="3">
        <f>IFERROR(VLOOKUP(D708,'Справочник соответствий'!A$2:D$2981,2,FALSE),IF(VALUE(D708)=0,0,VLOOKUP(D708,'Справочник соответствий'!A$2:D$2981,2,FALSE)))</f>
        <v>0</v>
      </c>
      <c r="K708" s="3" t="str">
        <f t="shared" si="70"/>
        <v>1</v>
      </c>
      <c r="L708" s="13" t="str">
        <f>IFERROR(VLOOKUP(C708,'Справочник соответствий'!A$2:D$2981,3,FALSE),IF(VALUE(C708)=0,"ЭТАЖ НЕ ОПРЕДЕЛЕН. ПРИНЯТ ПО ДОПУЩЕНИЮ 1",VLOOKUP(C708,'Справочник соответствий'!A$2:D$2981,3,FALSE)))</f>
        <v>ЭТАЖ ЗАДАН ЧИСЛОМ</v>
      </c>
      <c r="M708" s="13" t="b">
        <f t="shared" si="71"/>
        <v>0</v>
      </c>
      <c r="N708" s="13">
        <f t="shared" si="72"/>
        <v>1</v>
      </c>
      <c r="O708" s="13" t="str">
        <f t="shared" si="73"/>
        <v>ЭТАЖ ЗАДАН ЧИСЛОМ</v>
      </c>
      <c r="P708" s="13" t="str">
        <f t="shared" si="74"/>
        <v>ЭТАЖ ЗАДАН ЧИСЛОМ</v>
      </c>
      <c r="Q708" s="13" t="str">
        <f t="shared" si="75"/>
        <v>ГОТОВ_ИЗМЕНЕН</v>
      </c>
      <c r="R708" s="13">
        <f>IFERROR(VLOOKUP(P708,Лист1!A$1:B$20,2,FALSE),0)</f>
        <v>784</v>
      </c>
      <c r="S708" s="13">
        <f t="shared" si="76"/>
        <v>0</v>
      </c>
    </row>
    <row r="709" spans="1:19" x14ac:dyDescent="0.25">
      <c r="A709" s="24" t="s">
        <v>1822</v>
      </c>
      <c r="B709" s="4" t="s">
        <v>1059</v>
      </c>
      <c r="C709" s="25" t="s">
        <v>5</v>
      </c>
      <c r="G709" s="25" t="s">
        <v>1069</v>
      </c>
      <c r="H709" s="24" t="s">
        <v>1061</v>
      </c>
      <c r="I709" s="3" t="str">
        <f>IFERROR(VLOOKUP(C709,'Справочник соответствий'!A$2:D$2981,2,FALSE),IF(VALUE(C709)=0,1,VLOOKUP(C709,'Справочник соответствий'!A$2:D$2981,2,FALSE)))</f>
        <v>1</v>
      </c>
      <c r="J709" s="3">
        <f>IFERROR(VLOOKUP(D709,'Справочник соответствий'!A$2:D$2981,2,FALSE),IF(VALUE(D709)=0,0,VLOOKUP(D709,'Справочник соответствий'!A$2:D$2981,2,FALSE)))</f>
        <v>0</v>
      </c>
      <c r="K709" s="3" t="str">
        <f t="shared" ref="K709:K772" si="77">IF(B709="Многоквартирный дом",IF(I709-J709&gt;0,I709-J709,1),I709)</f>
        <v>1</v>
      </c>
      <c r="L709" s="13" t="str">
        <f>IFERROR(VLOOKUP(C709,'Справочник соответствий'!A$2:D$2981,3,FALSE),IF(VALUE(C709)=0,"ЭТАЖ НЕ ОПРЕДЕЛЕН. ПРИНЯТ ПО ДОПУЩЕНИЮ 1",VLOOKUP(C709,'Справочник соответствий'!A$2:D$2981,3,FALSE)))</f>
        <v>ЭТАЖ ЗАДАН ЧИСЛОМ</v>
      </c>
      <c r="M709" s="13" t="b">
        <f t="shared" ref="M709:M772" si="78">I709=E709</f>
        <v>0</v>
      </c>
      <c r="N709" s="13">
        <f t="shared" ref="N709:N772" si="79">IF(VALUE(E709)=0,VALUE(K709),IF(L709="ЭТАЖ НЕ ОПРЕДЕЛЕН. ПРИНЯТ ПО ДОПУЩЕНИЮ 1",VALUE(E709),VALUE(K709)))</f>
        <v>1</v>
      </c>
      <c r="O709" s="13" t="str">
        <f t="shared" ref="O709:O772" si="80">IF(VALUE(E709)=0,L709,IF(L709="ЭТАЖ НЕ ОПРЕДЕЛЕН. ПРИНЯТ ПО ДОПУЩЕНИЮ 1",F709,L709))</f>
        <v>ЭТАЖ ЗАДАН ЧИСЛОМ</v>
      </c>
      <c r="P709" s="13" t="str">
        <f t="shared" ref="P709:P772" si="81">IF(B709="Многоквартирный дом",CONCATENATE("МКД_",O709),O709)</f>
        <v>ЭТАЖ ЗАДАН ЧИСЛОМ</v>
      </c>
      <c r="Q709" s="13" t="str">
        <f t="shared" ref="Q709:Q772" si="82">IFERROR(IF(N709&gt;0,IF(N709=VALUE(E709),"ГОТОВ","ГОТОВ_ИЗМЕНЕН"),"НЕ ГОТОВ"),"НЕ ГОТОВ")</f>
        <v>ГОТОВ_ИЗМЕНЕН</v>
      </c>
      <c r="R709" s="13">
        <f>IFERROR(VLOOKUP(P709,Лист1!A$1:B$20,2,FALSE),0)</f>
        <v>784</v>
      </c>
      <c r="S709" s="13">
        <f t="shared" ref="S709:S772" si="83">VALUE(E709)</f>
        <v>0</v>
      </c>
    </row>
    <row r="710" spans="1:19" x14ac:dyDescent="0.25">
      <c r="A710" s="24" t="s">
        <v>1823</v>
      </c>
      <c r="B710" s="4" t="s">
        <v>1063</v>
      </c>
      <c r="C710" s="25" t="s">
        <v>5</v>
      </c>
      <c r="G710" s="25" t="s">
        <v>1069</v>
      </c>
      <c r="H710" s="24" t="s">
        <v>1061</v>
      </c>
      <c r="I710" s="3" t="str">
        <f>IFERROR(VLOOKUP(C710,'Справочник соответствий'!A$2:D$2981,2,FALSE),IF(VALUE(C710)=0,1,VLOOKUP(C710,'Справочник соответствий'!A$2:D$2981,2,FALSE)))</f>
        <v>1</v>
      </c>
      <c r="J710" s="3">
        <f>IFERROR(VLOOKUP(D710,'Справочник соответствий'!A$2:D$2981,2,FALSE),IF(VALUE(D710)=0,0,VLOOKUP(D710,'Справочник соответствий'!A$2:D$2981,2,FALSE)))</f>
        <v>0</v>
      </c>
      <c r="K710" s="3" t="str">
        <f t="shared" si="77"/>
        <v>1</v>
      </c>
      <c r="L710" s="13" t="str">
        <f>IFERROR(VLOOKUP(C710,'Справочник соответствий'!A$2:D$2981,3,FALSE),IF(VALUE(C710)=0,"ЭТАЖ НЕ ОПРЕДЕЛЕН. ПРИНЯТ ПО ДОПУЩЕНИЮ 1",VLOOKUP(C710,'Справочник соответствий'!A$2:D$2981,3,FALSE)))</f>
        <v>ЭТАЖ ЗАДАН ЧИСЛОМ</v>
      </c>
      <c r="M710" s="13" t="b">
        <f t="shared" si="78"/>
        <v>0</v>
      </c>
      <c r="N710" s="13">
        <f t="shared" si="79"/>
        <v>1</v>
      </c>
      <c r="O710" s="13" t="str">
        <f t="shared" si="80"/>
        <v>ЭТАЖ ЗАДАН ЧИСЛОМ</v>
      </c>
      <c r="P710" s="13" t="str">
        <f t="shared" si="81"/>
        <v>ЭТАЖ ЗАДАН ЧИСЛОМ</v>
      </c>
      <c r="Q710" s="13" t="str">
        <f t="shared" si="82"/>
        <v>ГОТОВ_ИЗМЕНЕН</v>
      </c>
      <c r="R710" s="13">
        <f>IFERROR(VLOOKUP(P710,Лист1!A$1:B$20,2,FALSE),0)</f>
        <v>784</v>
      </c>
      <c r="S710" s="13">
        <f t="shared" si="83"/>
        <v>0</v>
      </c>
    </row>
    <row r="711" spans="1:19" x14ac:dyDescent="0.25">
      <c r="A711" s="24" t="s">
        <v>1824</v>
      </c>
      <c r="B711" s="4" t="s">
        <v>1063</v>
      </c>
      <c r="G711" s="25" t="s">
        <v>1089</v>
      </c>
      <c r="H711" s="24" t="s">
        <v>1061</v>
      </c>
      <c r="I711" s="3">
        <f>IFERROR(VLOOKUP(C711,'Справочник соответствий'!A$2:D$2981,2,FALSE),IF(VALUE(C711)=0,1,VLOOKUP(C711,'Справочник соответствий'!A$2:D$2981,2,FALSE)))</f>
        <v>1</v>
      </c>
      <c r="J711" s="3">
        <f>IFERROR(VLOOKUP(D711,'Справочник соответствий'!A$2:D$2981,2,FALSE),IF(VALUE(D711)=0,0,VLOOKUP(D711,'Справочник соответствий'!A$2:D$2981,2,FALSE)))</f>
        <v>0</v>
      </c>
      <c r="K711" s="3">
        <f t="shared" si="77"/>
        <v>1</v>
      </c>
      <c r="L711" s="13" t="str">
        <f>IFERROR(VLOOKUP(C711,'Справочник соответствий'!A$2:D$2981,3,FALSE),IF(VALUE(C711)=0,"ЭТАЖ НЕ ОПРЕДЕЛЕН. ПРИНЯТ ПО ДОПУЩЕНИЮ 1",VLOOKUP(C711,'Справочник соответствий'!A$2:D$2981,3,FALSE)))</f>
        <v>ЭТАЖ НЕ ОПРЕДЕЛЕН. ПРИНЯТ ПО ДОПУЩЕНИЮ 1</v>
      </c>
      <c r="M711" s="13" t="b">
        <f t="shared" si="78"/>
        <v>0</v>
      </c>
      <c r="N711" s="13">
        <f t="shared" si="79"/>
        <v>1</v>
      </c>
      <c r="O711" s="13" t="str">
        <f t="shared" si="80"/>
        <v>ЭТАЖ НЕ ОПРЕДЕЛЕН. ПРИНЯТ ПО ДОПУЩЕНИЮ 1</v>
      </c>
      <c r="P711" s="13" t="str">
        <f t="shared" si="81"/>
        <v>ЭТАЖ НЕ ОПРЕДЕЛЕН. ПРИНЯТ ПО ДОПУЩЕНИЮ 1</v>
      </c>
      <c r="Q711" s="13" t="str">
        <f t="shared" si="82"/>
        <v>ГОТОВ_ИЗМЕНЕН</v>
      </c>
      <c r="R711" s="13">
        <f>IFERROR(VLOOKUP(P711,Лист1!A$1:B$20,2,FALSE),0)</f>
        <v>788</v>
      </c>
      <c r="S711" s="13">
        <f t="shared" si="83"/>
        <v>0</v>
      </c>
    </row>
    <row r="712" spans="1:19" x14ac:dyDescent="0.25">
      <c r="A712" s="24" t="s">
        <v>1825</v>
      </c>
      <c r="B712" s="4" t="s">
        <v>1063</v>
      </c>
      <c r="G712" s="25" t="s">
        <v>1072</v>
      </c>
      <c r="H712" s="24" t="s">
        <v>1061</v>
      </c>
      <c r="I712" s="3">
        <f>IFERROR(VLOOKUP(C712,'Справочник соответствий'!A$2:D$2981,2,FALSE),IF(VALUE(C712)=0,1,VLOOKUP(C712,'Справочник соответствий'!A$2:D$2981,2,FALSE)))</f>
        <v>1</v>
      </c>
      <c r="J712" s="3">
        <f>IFERROR(VLOOKUP(D712,'Справочник соответствий'!A$2:D$2981,2,FALSE),IF(VALUE(D712)=0,0,VLOOKUP(D712,'Справочник соответствий'!A$2:D$2981,2,FALSE)))</f>
        <v>0</v>
      </c>
      <c r="K712" s="3">
        <f t="shared" si="77"/>
        <v>1</v>
      </c>
      <c r="L712" s="13" t="str">
        <f>IFERROR(VLOOKUP(C712,'Справочник соответствий'!A$2:D$2981,3,FALSE),IF(VALUE(C712)=0,"ЭТАЖ НЕ ОПРЕДЕЛЕН. ПРИНЯТ ПО ДОПУЩЕНИЮ 1",VLOOKUP(C712,'Справочник соответствий'!A$2:D$2981,3,FALSE)))</f>
        <v>ЭТАЖ НЕ ОПРЕДЕЛЕН. ПРИНЯТ ПО ДОПУЩЕНИЮ 1</v>
      </c>
      <c r="M712" s="13" t="b">
        <f t="shared" si="78"/>
        <v>0</v>
      </c>
      <c r="N712" s="13">
        <f t="shared" si="79"/>
        <v>1</v>
      </c>
      <c r="O712" s="13" t="str">
        <f t="shared" si="80"/>
        <v>ЭТАЖ НЕ ОПРЕДЕЛЕН. ПРИНЯТ ПО ДОПУЩЕНИЮ 1</v>
      </c>
      <c r="P712" s="13" t="str">
        <f t="shared" si="81"/>
        <v>ЭТАЖ НЕ ОПРЕДЕЛЕН. ПРИНЯТ ПО ДОПУЩЕНИЮ 1</v>
      </c>
      <c r="Q712" s="13" t="str">
        <f t="shared" si="82"/>
        <v>ГОТОВ_ИЗМЕНЕН</v>
      </c>
      <c r="R712" s="13">
        <f>IFERROR(VLOOKUP(P712,Лист1!A$1:B$20,2,FALSE),0)</f>
        <v>788</v>
      </c>
      <c r="S712" s="13">
        <f t="shared" si="83"/>
        <v>0</v>
      </c>
    </row>
    <row r="713" spans="1:19" x14ac:dyDescent="0.25">
      <c r="A713" s="24" t="s">
        <v>1826</v>
      </c>
      <c r="B713" s="4" t="s">
        <v>1059</v>
      </c>
      <c r="C713" s="25" t="s">
        <v>5</v>
      </c>
      <c r="G713" s="25" t="s">
        <v>1108</v>
      </c>
      <c r="H713" s="24" t="s">
        <v>1061</v>
      </c>
      <c r="I713" s="3" t="str">
        <f>IFERROR(VLOOKUP(C713,'Справочник соответствий'!A$2:D$2981,2,FALSE),IF(VALUE(C713)=0,1,VLOOKUP(C713,'Справочник соответствий'!A$2:D$2981,2,FALSE)))</f>
        <v>1</v>
      </c>
      <c r="J713" s="3">
        <f>IFERROR(VLOOKUP(D713,'Справочник соответствий'!A$2:D$2981,2,FALSE),IF(VALUE(D713)=0,0,VLOOKUP(D713,'Справочник соответствий'!A$2:D$2981,2,FALSE)))</f>
        <v>0</v>
      </c>
      <c r="K713" s="3" t="str">
        <f t="shared" si="77"/>
        <v>1</v>
      </c>
      <c r="L713" s="13" t="str">
        <f>IFERROR(VLOOKUP(C713,'Справочник соответствий'!A$2:D$2981,3,FALSE),IF(VALUE(C713)=0,"ЭТАЖ НЕ ОПРЕДЕЛЕН. ПРИНЯТ ПО ДОПУЩЕНИЮ 1",VLOOKUP(C713,'Справочник соответствий'!A$2:D$2981,3,FALSE)))</f>
        <v>ЭТАЖ ЗАДАН ЧИСЛОМ</v>
      </c>
      <c r="M713" s="13" t="b">
        <f t="shared" si="78"/>
        <v>0</v>
      </c>
      <c r="N713" s="13">
        <f t="shared" si="79"/>
        <v>1</v>
      </c>
      <c r="O713" s="13" t="str">
        <f t="shared" si="80"/>
        <v>ЭТАЖ ЗАДАН ЧИСЛОМ</v>
      </c>
      <c r="P713" s="13" t="str">
        <f t="shared" si="81"/>
        <v>ЭТАЖ ЗАДАН ЧИСЛОМ</v>
      </c>
      <c r="Q713" s="13" t="str">
        <f t="shared" si="82"/>
        <v>ГОТОВ_ИЗМЕНЕН</v>
      </c>
      <c r="R713" s="13">
        <f>IFERROR(VLOOKUP(P713,Лист1!A$1:B$20,2,FALSE),0)</f>
        <v>784</v>
      </c>
      <c r="S713" s="13">
        <f t="shared" si="83"/>
        <v>0</v>
      </c>
    </row>
    <row r="714" spans="1:19" x14ac:dyDescent="0.25">
      <c r="A714" s="24" t="s">
        <v>1827</v>
      </c>
      <c r="B714" s="4" t="s">
        <v>1059</v>
      </c>
      <c r="C714" s="25" t="s">
        <v>5</v>
      </c>
      <c r="G714" s="25" t="s">
        <v>1174</v>
      </c>
      <c r="H714" s="24" t="s">
        <v>1061</v>
      </c>
      <c r="I714" s="3" t="str">
        <f>IFERROR(VLOOKUP(C714,'Справочник соответствий'!A$2:D$2981,2,FALSE),IF(VALUE(C714)=0,1,VLOOKUP(C714,'Справочник соответствий'!A$2:D$2981,2,FALSE)))</f>
        <v>1</v>
      </c>
      <c r="J714" s="3">
        <f>IFERROR(VLOOKUP(D714,'Справочник соответствий'!A$2:D$2981,2,FALSE),IF(VALUE(D714)=0,0,VLOOKUP(D714,'Справочник соответствий'!A$2:D$2981,2,FALSE)))</f>
        <v>0</v>
      </c>
      <c r="K714" s="3" t="str">
        <f t="shared" si="77"/>
        <v>1</v>
      </c>
      <c r="L714" s="13" t="str">
        <f>IFERROR(VLOOKUP(C714,'Справочник соответствий'!A$2:D$2981,3,FALSE),IF(VALUE(C714)=0,"ЭТАЖ НЕ ОПРЕДЕЛЕН. ПРИНЯТ ПО ДОПУЩЕНИЮ 1",VLOOKUP(C714,'Справочник соответствий'!A$2:D$2981,3,FALSE)))</f>
        <v>ЭТАЖ ЗАДАН ЧИСЛОМ</v>
      </c>
      <c r="M714" s="13" t="b">
        <f t="shared" si="78"/>
        <v>0</v>
      </c>
      <c r="N714" s="13">
        <f t="shared" si="79"/>
        <v>1</v>
      </c>
      <c r="O714" s="13" t="str">
        <f t="shared" si="80"/>
        <v>ЭТАЖ ЗАДАН ЧИСЛОМ</v>
      </c>
      <c r="P714" s="13" t="str">
        <f t="shared" si="81"/>
        <v>ЭТАЖ ЗАДАН ЧИСЛОМ</v>
      </c>
      <c r="Q714" s="13" t="str">
        <f t="shared" si="82"/>
        <v>ГОТОВ_ИЗМЕНЕН</v>
      </c>
      <c r="R714" s="13">
        <f>IFERROR(VLOOKUP(P714,Лист1!A$1:B$20,2,FALSE),0)</f>
        <v>784</v>
      </c>
      <c r="S714" s="13">
        <f t="shared" si="83"/>
        <v>0</v>
      </c>
    </row>
    <row r="715" spans="1:19" x14ac:dyDescent="0.25">
      <c r="A715" s="24" t="s">
        <v>1828</v>
      </c>
      <c r="B715" s="4" t="s">
        <v>1063</v>
      </c>
      <c r="G715" s="25" t="s">
        <v>1108</v>
      </c>
      <c r="H715" s="24" t="s">
        <v>1061</v>
      </c>
      <c r="I715" s="3">
        <f>IFERROR(VLOOKUP(C715,'Справочник соответствий'!A$2:D$2981,2,FALSE),IF(VALUE(C715)=0,1,VLOOKUP(C715,'Справочник соответствий'!A$2:D$2981,2,FALSE)))</f>
        <v>1</v>
      </c>
      <c r="J715" s="3">
        <f>IFERROR(VLOOKUP(D715,'Справочник соответствий'!A$2:D$2981,2,FALSE),IF(VALUE(D715)=0,0,VLOOKUP(D715,'Справочник соответствий'!A$2:D$2981,2,FALSE)))</f>
        <v>0</v>
      </c>
      <c r="K715" s="3">
        <f t="shared" si="77"/>
        <v>1</v>
      </c>
      <c r="L715" s="13" t="str">
        <f>IFERROR(VLOOKUP(C715,'Справочник соответствий'!A$2:D$2981,3,FALSE),IF(VALUE(C715)=0,"ЭТАЖ НЕ ОПРЕДЕЛЕН. ПРИНЯТ ПО ДОПУЩЕНИЮ 1",VLOOKUP(C715,'Справочник соответствий'!A$2:D$2981,3,FALSE)))</f>
        <v>ЭТАЖ НЕ ОПРЕДЕЛЕН. ПРИНЯТ ПО ДОПУЩЕНИЮ 1</v>
      </c>
      <c r="M715" s="13" t="b">
        <f t="shared" si="78"/>
        <v>0</v>
      </c>
      <c r="N715" s="13">
        <f t="shared" si="79"/>
        <v>1</v>
      </c>
      <c r="O715" s="13" t="str">
        <f t="shared" si="80"/>
        <v>ЭТАЖ НЕ ОПРЕДЕЛЕН. ПРИНЯТ ПО ДОПУЩЕНИЮ 1</v>
      </c>
      <c r="P715" s="13" t="str">
        <f t="shared" si="81"/>
        <v>ЭТАЖ НЕ ОПРЕДЕЛЕН. ПРИНЯТ ПО ДОПУЩЕНИЮ 1</v>
      </c>
      <c r="Q715" s="13" t="str">
        <f t="shared" si="82"/>
        <v>ГОТОВ_ИЗМЕНЕН</v>
      </c>
      <c r="R715" s="13">
        <f>IFERROR(VLOOKUP(P715,Лист1!A$1:B$20,2,FALSE),0)</f>
        <v>788</v>
      </c>
      <c r="S715" s="13">
        <f t="shared" si="83"/>
        <v>0</v>
      </c>
    </row>
    <row r="716" spans="1:19" x14ac:dyDescent="0.25">
      <c r="A716" s="24" t="s">
        <v>1829</v>
      </c>
      <c r="B716" s="4" t="s">
        <v>1063</v>
      </c>
      <c r="C716" s="25" t="s">
        <v>7</v>
      </c>
      <c r="G716" s="25" t="s">
        <v>1089</v>
      </c>
      <c r="H716" s="24" t="s">
        <v>1061</v>
      </c>
      <c r="I716" s="3" t="str">
        <f>IFERROR(VLOOKUP(C716,'Справочник соответствий'!A$2:D$2981,2,FALSE),IF(VALUE(C716)=0,1,VLOOKUP(C716,'Справочник соответствий'!A$2:D$2981,2,FALSE)))</f>
        <v>2</v>
      </c>
      <c r="J716" s="3">
        <f>IFERROR(VLOOKUP(D716,'Справочник соответствий'!A$2:D$2981,2,FALSE),IF(VALUE(D716)=0,0,VLOOKUP(D716,'Справочник соответствий'!A$2:D$2981,2,FALSE)))</f>
        <v>0</v>
      </c>
      <c r="K716" s="3" t="str">
        <f t="shared" si="77"/>
        <v>2</v>
      </c>
      <c r="L716" s="13" t="str">
        <f>IFERROR(VLOOKUP(C716,'Справочник соответствий'!A$2:D$2981,3,FALSE),IF(VALUE(C716)=0,"ЭТАЖ НЕ ОПРЕДЕЛЕН. ПРИНЯТ ПО ДОПУЩЕНИЮ 1",VLOOKUP(C716,'Справочник соответствий'!A$2:D$2981,3,FALSE)))</f>
        <v>ЭТАЖ ЗАДАН ЧИСЛОМ</v>
      </c>
      <c r="M716" s="13" t="b">
        <f t="shared" si="78"/>
        <v>0</v>
      </c>
      <c r="N716" s="13">
        <f t="shared" si="79"/>
        <v>2</v>
      </c>
      <c r="O716" s="13" t="str">
        <f t="shared" si="80"/>
        <v>ЭТАЖ ЗАДАН ЧИСЛОМ</v>
      </c>
      <c r="P716" s="13" t="str">
        <f t="shared" si="81"/>
        <v>ЭТАЖ ЗАДАН ЧИСЛОМ</v>
      </c>
      <c r="Q716" s="13" t="str">
        <f t="shared" si="82"/>
        <v>ГОТОВ_ИЗМЕНЕН</v>
      </c>
      <c r="R716" s="13">
        <f>IFERROR(VLOOKUP(P716,Лист1!A$1:B$20,2,FALSE),0)</f>
        <v>784</v>
      </c>
      <c r="S716" s="13">
        <f t="shared" si="83"/>
        <v>0</v>
      </c>
    </row>
    <row r="717" spans="1:19" x14ac:dyDescent="0.25">
      <c r="A717" s="24" t="s">
        <v>1830</v>
      </c>
      <c r="B717" s="4" t="s">
        <v>1059</v>
      </c>
      <c r="C717" s="25" t="s">
        <v>8</v>
      </c>
      <c r="D717" s="25" t="s">
        <v>5</v>
      </c>
      <c r="G717" s="25" t="s">
        <v>1174</v>
      </c>
      <c r="H717" s="24" t="s">
        <v>1061</v>
      </c>
      <c r="I717" s="3" t="str">
        <f>IFERROR(VLOOKUP(C717,'Справочник соответствий'!A$2:D$2981,2,FALSE),IF(VALUE(C717)=0,1,VLOOKUP(C717,'Справочник соответствий'!A$2:D$2981,2,FALSE)))</f>
        <v>3</v>
      </c>
      <c r="J717" s="3" t="str">
        <f>IFERROR(VLOOKUP(D717,'Справочник соответствий'!A$2:D$2981,2,FALSE),IF(VALUE(D717)=0,0,VLOOKUP(D717,'Справочник соответствий'!A$2:D$2981,2,FALSE)))</f>
        <v>1</v>
      </c>
      <c r="K717" s="3" t="str">
        <f t="shared" si="77"/>
        <v>3</v>
      </c>
      <c r="L717" s="13" t="str">
        <f>IFERROR(VLOOKUP(C717,'Справочник соответствий'!A$2:D$2981,3,FALSE),IF(VALUE(C717)=0,"ЭТАЖ НЕ ОПРЕДЕЛЕН. ПРИНЯТ ПО ДОПУЩЕНИЮ 1",VLOOKUP(C717,'Справочник соответствий'!A$2:D$2981,3,FALSE)))</f>
        <v>ЭТАЖ ЗАДАН ЧИСЛОМ</v>
      </c>
      <c r="M717" s="13" t="b">
        <f t="shared" si="78"/>
        <v>0</v>
      </c>
      <c r="N717" s="13">
        <f t="shared" si="79"/>
        <v>3</v>
      </c>
      <c r="O717" s="13" t="str">
        <f t="shared" si="80"/>
        <v>ЭТАЖ ЗАДАН ЧИСЛОМ</v>
      </c>
      <c r="P717" s="13" t="str">
        <f t="shared" si="81"/>
        <v>ЭТАЖ ЗАДАН ЧИСЛОМ</v>
      </c>
      <c r="Q717" s="13" t="str">
        <f t="shared" si="82"/>
        <v>ГОТОВ_ИЗМЕНЕН</v>
      </c>
      <c r="R717" s="13">
        <f>IFERROR(VLOOKUP(P717,Лист1!A$1:B$20,2,FALSE),0)</f>
        <v>784</v>
      </c>
      <c r="S717" s="13">
        <f t="shared" si="83"/>
        <v>0</v>
      </c>
    </row>
    <row r="718" spans="1:19" x14ac:dyDescent="0.25">
      <c r="A718" s="24" t="s">
        <v>1831</v>
      </c>
      <c r="B718" s="4" t="s">
        <v>1059</v>
      </c>
      <c r="C718" s="25" t="s">
        <v>8</v>
      </c>
      <c r="G718" s="25" t="s">
        <v>1089</v>
      </c>
      <c r="H718" s="24" t="s">
        <v>1061</v>
      </c>
      <c r="I718" s="3" t="str">
        <f>IFERROR(VLOOKUP(C718,'Справочник соответствий'!A$2:D$2981,2,FALSE),IF(VALUE(C718)=0,1,VLOOKUP(C718,'Справочник соответствий'!A$2:D$2981,2,FALSE)))</f>
        <v>3</v>
      </c>
      <c r="J718" s="3">
        <f>IFERROR(VLOOKUP(D718,'Справочник соответствий'!A$2:D$2981,2,FALSE),IF(VALUE(D718)=0,0,VLOOKUP(D718,'Справочник соответствий'!A$2:D$2981,2,FALSE)))</f>
        <v>0</v>
      </c>
      <c r="K718" s="3" t="str">
        <f t="shared" si="77"/>
        <v>3</v>
      </c>
      <c r="L718" s="13" t="str">
        <f>IFERROR(VLOOKUP(C718,'Справочник соответствий'!A$2:D$2981,3,FALSE),IF(VALUE(C718)=0,"ЭТАЖ НЕ ОПРЕДЕЛЕН. ПРИНЯТ ПО ДОПУЩЕНИЮ 1",VLOOKUP(C718,'Справочник соответствий'!A$2:D$2981,3,FALSE)))</f>
        <v>ЭТАЖ ЗАДАН ЧИСЛОМ</v>
      </c>
      <c r="M718" s="13" t="b">
        <f t="shared" si="78"/>
        <v>0</v>
      </c>
      <c r="N718" s="13">
        <f t="shared" si="79"/>
        <v>3</v>
      </c>
      <c r="O718" s="13" t="str">
        <f t="shared" si="80"/>
        <v>ЭТАЖ ЗАДАН ЧИСЛОМ</v>
      </c>
      <c r="P718" s="13" t="str">
        <f t="shared" si="81"/>
        <v>ЭТАЖ ЗАДАН ЧИСЛОМ</v>
      </c>
      <c r="Q718" s="13" t="str">
        <f t="shared" si="82"/>
        <v>ГОТОВ_ИЗМЕНЕН</v>
      </c>
      <c r="R718" s="13">
        <f>IFERROR(VLOOKUP(P718,Лист1!A$1:B$20,2,FALSE),0)</f>
        <v>784</v>
      </c>
      <c r="S718" s="13">
        <f t="shared" si="83"/>
        <v>0</v>
      </c>
    </row>
    <row r="719" spans="1:19" x14ac:dyDescent="0.25">
      <c r="A719" s="24" t="s">
        <v>1832</v>
      </c>
      <c r="B719" s="4" t="s">
        <v>1063</v>
      </c>
      <c r="C719" s="25" t="s">
        <v>7</v>
      </c>
      <c r="G719" s="25" t="s">
        <v>1108</v>
      </c>
      <c r="H719" s="24" t="s">
        <v>1061</v>
      </c>
      <c r="I719" s="3" t="str">
        <f>IFERROR(VLOOKUP(C719,'Справочник соответствий'!A$2:D$2981,2,FALSE),IF(VALUE(C719)=0,1,VLOOKUP(C719,'Справочник соответствий'!A$2:D$2981,2,FALSE)))</f>
        <v>2</v>
      </c>
      <c r="J719" s="3">
        <f>IFERROR(VLOOKUP(D719,'Справочник соответствий'!A$2:D$2981,2,FALSE),IF(VALUE(D719)=0,0,VLOOKUP(D719,'Справочник соответствий'!A$2:D$2981,2,FALSE)))</f>
        <v>0</v>
      </c>
      <c r="K719" s="3" t="str">
        <f t="shared" si="77"/>
        <v>2</v>
      </c>
      <c r="L719" s="13" t="str">
        <f>IFERROR(VLOOKUP(C719,'Справочник соответствий'!A$2:D$2981,3,FALSE),IF(VALUE(C719)=0,"ЭТАЖ НЕ ОПРЕДЕЛЕН. ПРИНЯТ ПО ДОПУЩЕНИЮ 1",VLOOKUP(C719,'Справочник соответствий'!A$2:D$2981,3,FALSE)))</f>
        <v>ЭТАЖ ЗАДАН ЧИСЛОМ</v>
      </c>
      <c r="M719" s="13" t="b">
        <f t="shared" si="78"/>
        <v>0</v>
      </c>
      <c r="N719" s="13">
        <f t="shared" si="79"/>
        <v>2</v>
      </c>
      <c r="O719" s="13" t="str">
        <f t="shared" si="80"/>
        <v>ЭТАЖ ЗАДАН ЧИСЛОМ</v>
      </c>
      <c r="P719" s="13" t="str">
        <f t="shared" si="81"/>
        <v>ЭТАЖ ЗАДАН ЧИСЛОМ</v>
      </c>
      <c r="Q719" s="13" t="str">
        <f t="shared" si="82"/>
        <v>ГОТОВ_ИЗМЕНЕН</v>
      </c>
      <c r="R719" s="13">
        <f>IFERROR(VLOOKUP(P719,Лист1!A$1:B$20,2,FALSE),0)</f>
        <v>784</v>
      </c>
      <c r="S719" s="13">
        <f t="shared" si="83"/>
        <v>0</v>
      </c>
    </row>
    <row r="720" spans="1:19" x14ac:dyDescent="0.25">
      <c r="A720" s="24" t="s">
        <v>1833</v>
      </c>
      <c r="B720" s="4" t="s">
        <v>1063</v>
      </c>
      <c r="G720" s="25" t="s">
        <v>1321</v>
      </c>
      <c r="H720" s="24" t="s">
        <v>1061</v>
      </c>
      <c r="I720" s="3">
        <f>IFERROR(VLOOKUP(C720,'Справочник соответствий'!A$2:D$2981,2,FALSE),IF(VALUE(C720)=0,1,VLOOKUP(C720,'Справочник соответствий'!A$2:D$2981,2,FALSE)))</f>
        <v>1</v>
      </c>
      <c r="J720" s="3">
        <f>IFERROR(VLOOKUP(D720,'Справочник соответствий'!A$2:D$2981,2,FALSE),IF(VALUE(D720)=0,0,VLOOKUP(D720,'Справочник соответствий'!A$2:D$2981,2,FALSE)))</f>
        <v>0</v>
      </c>
      <c r="K720" s="3">
        <f t="shared" si="77"/>
        <v>1</v>
      </c>
      <c r="L720" s="13" t="str">
        <f>IFERROR(VLOOKUP(C720,'Справочник соответствий'!A$2:D$2981,3,FALSE),IF(VALUE(C720)=0,"ЭТАЖ НЕ ОПРЕДЕЛЕН. ПРИНЯТ ПО ДОПУЩЕНИЮ 1",VLOOKUP(C720,'Справочник соответствий'!A$2:D$2981,3,FALSE)))</f>
        <v>ЭТАЖ НЕ ОПРЕДЕЛЕН. ПРИНЯТ ПО ДОПУЩЕНИЮ 1</v>
      </c>
      <c r="M720" s="13" t="b">
        <f t="shared" si="78"/>
        <v>0</v>
      </c>
      <c r="N720" s="13">
        <f t="shared" si="79"/>
        <v>1</v>
      </c>
      <c r="O720" s="13" t="str">
        <f t="shared" si="80"/>
        <v>ЭТАЖ НЕ ОПРЕДЕЛЕН. ПРИНЯТ ПО ДОПУЩЕНИЮ 1</v>
      </c>
      <c r="P720" s="13" t="str">
        <f t="shared" si="81"/>
        <v>ЭТАЖ НЕ ОПРЕДЕЛЕН. ПРИНЯТ ПО ДОПУЩЕНИЮ 1</v>
      </c>
      <c r="Q720" s="13" t="str">
        <f t="shared" si="82"/>
        <v>ГОТОВ_ИЗМЕНЕН</v>
      </c>
      <c r="R720" s="13">
        <f>IFERROR(VLOOKUP(P720,Лист1!A$1:B$20,2,FALSE),0)</f>
        <v>788</v>
      </c>
      <c r="S720" s="13">
        <f t="shared" si="83"/>
        <v>0</v>
      </c>
    </row>
    <row r="721" spans="1:19" x14ac:dyDescent="0.25">
      <c r="A721" s="24" t="s">
        <v>1834</v>
      </c>
      <c r="B721" s="4" t="s">
        <v>1063</v>
      </c>
      <c r="C721" s="25" t="s">
        <v>5</v>
      </c>
      <c r="G721" s="25" t="s">
        <v>1089</v>
      </c>
      <c r="H721" s="24" t="s">
        <v>1061</v>
      </c>
      <c r="I721" s="3" t="str">
        <f>IFERROR(VLOOKUP(C721,'Справочник соответствий'!A$2:D$2981,2,FALSE),IF(VALUE(C721)=0,1,VLOOKUP(C721,'Справочник соответствий'!A$2:D$2981,2,FALSE)))</f>
        <v>1</v>
      </c>
      <c r="J721" s="3">
        <f>IFERROR(VLOOKUP(D721,'Справочник соответствий'!A$2:D$2981,2,FALSE),IF(VALUE(D721)=0,0,VLOOKUP(D721,'Справочник соответствий'!A$2:D$2981,2,FALSE)))</f>
        <v>0</v>
      </c>
      <c r="K721" s="3" t="str">
        <f t="shared" si="77"/>
        <v>1</v>
      </c>
      <c r="L721" s="13" t="str">
        <f>IFERROR(VLOOKUP(C721,'Справочник соответствий'!A$2:D$2981,3,FALSE),IF(VALUE(C721)=0,"ЭТАЖ НЕ ОПРЕДЕЛЕН. ПРИНЯТ ПО ДОПУЩЕНИЮ 1",VLOOKUP(C721,'Справочник соответствий'!A$2:D$2981,3,FALSE)))</f>
        <v>ЭТАЖ ЗАДАН ЧИСЛОМ</v>
      </c>
      <c r="M721" s="13" t="b">
        <f t="shared" si="78"/>
        <v>0</v>
      </c>
      <c r="N721" s="13">
        <f t="shared" si="79"/>
        <v>1</v>
      </c>
      <c r="O721" s="13" t="str">
        <f t="shared" si="80"/>
        <v>ЭТАЖ ЗАДАН ЧИСЛОМ</v>
      </c>
      <c r="P721" s="13" t="str">
        <f t="shared" si="81"/>
        <v>ЭТАЖ ЗАДАН ЧИСЛОМ</v>
      </c>
      <c r="Q721" s="13" t="str">
        <f t="shared" si="82"/>
        <v>ГОТОВ_ИЗМЕНЕН</v>
      </c>
      <c r="R721" s="13">
        <f>IFERROR(VLOOKUP(P721,Лист1!A$1:B$20,2,FALSE),0)</f>
        <v>784</v>
      </c>
      <c r="S721" s="13">
        <f t="shared" si="83"/>
        <v>0</v>
      </c>
    </row>
    <row r="722" spans="1:19" x14ac:dyDescent="0.25">
      <c r="A722" s="24" t="s">
        <v>1835</v>
      </c>
      <c r="B722" s="4" t="s">
        <v>1063</v>
      </c>
      <c r="C722" s="25" t="s">
        <v>5</v>
      </c>
      <c r="G722" s="25" t="s">
        <v>1174</v>
      </c>
      <c r="H722" s="24" t="s">
        <v>1061</v>
      </c>
      <c r="I722" s="3" t="str">
        <f>IFERROR(VLOOKUP(C722,'Справочник соответствий'!A$2:D$2981,2,FALSE),IF(VALUE(C722)=0,1,VLOOKUP(C722,'Справочник соответствий'!A$2:D$2981,2,FALSE)))</f>
        <v>1</v>
      </c>
      <c r="J722" s="3">
        <f>IFERROR(VLOOKUP(D722,'Справочник соответствий'!A$2:D$2981,2,FALSE),IF(VALUE(D722)=0,0,VLOOKUP(D722,'Справочник соответствий'!A$2:D$2981,2,FALSE)))</f>
        <v>0</v>
      </c>
      <c r="K722" s="3" t="str">
        <f t="shared" si="77"/>
        <v>1</v>
      </c>
      <c r="L722" s="13" t="str">
        <f>IFERROR(VLOOKUP(C722,'Справочник соответствий'!A$2:D$2981,3,FALSE),IF(VALUE(C722)=0,"ЭТАЖ НЕ ОПРЕДЕЛЕН. ПРИНЯТ ПО ДОПУЩЕНИЮ 1",VLOOKUP(C722,'Справочник соответствий'!A$2:D$2981,3,FALSE)))</f>
        <v>ЭТАЖ ЗАДАН ЧИСЛОМ</v>
      </c>
      <c r="M722" s="13" t="b">
        <f t="shared" si="78"/>
        <v>0</v>
      </c>
      <c r="N722" s="13">
        <f t="shared" si="79"/>
        <v>1</v>
      </c>
      <c r="O722" s="13" t="str">
        <f t="shared" si="80"/>
        <v>ЭТАЖ ЗАДАН ЧИСЛОМ</v>
      </c>
      <c r="P722" s="13" t="str">
        <f t="shared" si="81"/>
        <v>ЭТАЖ ЗАДАН ЧИСЛОМ</v>
      </c>
      <c r="Q722" s="13" t="str">
        <f t="shared" si="82"/>
        <v>ГОТОВ_ИЗМЕНЕН</v>
      </c>
      <c r="R722" s="13">
        <f>IFERROR(VLOOKUP(P722,Лист1!A$1:B$20,2,FALSE),0)</f>
        <v>784</v>
      </c>
      <c r="S722" s="13">
        <f t="shared" si="83"/>
        <v>0</v>
      </c>
    </row>
    <row r="723" spans="1:19" x14ac:dyDescent="0.25">
      <c r="A723" s="24" t="s">
        <v>1836</v>
      </c>
      <c r="B723" s="4" t="s">
        <v>1063</v>
      </c>
      <c r="C723" s="25" t="s">
        <v>5</v>
      </c>
      <c r="G723" s="25" t="s">
        <v>1174</v>
      </c>
      <c r="H723" s="24" t="s">
        <v>1061</v>
      </c>
      <c r="I723" s="3" t="str">
        <f>IFERROR(VLOOKUP(C723,'Справочник соответствий'!A$2:D$2981,2,FALSE),IF(VALUE(C723)=0,1,VLOOKUP(C723,'Справочник соответствий'!A$2:D$2981,2,FALSE)))</f>
        <v>1</v>
      </c>
      <c r="J723" s="3">
        <f>IFERROR(VLOOKUP(D723,'Справочник соответствий'!A$2:D$2981,2,FALSE),IF(VALUE(D723)=0,0,VLOOKUP(D723,'Справочник соответствий'!A$2:D$2981,2,FALSE)))</f>
        <v>0</v>
      </c>
      <c r="K723" s="3" t="str">
        <f t="shared" si="77"/>
        <v>1</v>
      </c>
      <c r="L723" s="13" t="str">
        <f>IFERROR(VLOOKUP(C723,'Справочник соответствий'!A$2:D$2981,3,FALSE),IF(VALUE(C723)=0,"ЭТАЖ НЕ ОПРЕДЕЛЕН. ПРИНЯТ ПО ДОПУЩЕНИЮ 1",VLOOKUP(C723,'Справочник соответствий'!A$2:D$2981,3,FALSE)))</f>
        <v>ЭТАЖ ЗАДАН ЧИСЛОМ</v>
      </c>
      <c r="M723" s="13" t="b">
        <f t="shared" si="78"/>
        <v>0</v>
      </c>
      <c r="N723" s="13">
        <f t="shared" si="79"/>
        <v>1</v>
      </c>
      <c r="O723" s="13" t="str">
        <f t="shared" si="80"/>
        <v>ЭТАЖ ЗАДАН ЧИСЛОМ</v>
      </c>
      <c r="P723" s="13" t="str">
        <f t="shared" si="81"/>
        <v>ЭТАЖ ЗАДАН ЧИСЛОМ</v>
      </c>
      <c r="Q723" s="13" t="str">
        <f t="shared" si="82"/>
        <v>ГОТОВ_ИЗМЕНЕН</v>
      </c>
      <c r="R723" s="13">
        <f>IFERROR(VLOOKUP(P723,Лист1!A$1:B$20,2,FALSE),0)</f>
        <v>784</v>
      </c>
      <c r="S723" s="13">
        <f t="shared" si="83"/>
        <v>0</v>
      </c>
    </row>
    <row r="724" spans="1:19" x14ac:dyDescent="0.25">
      <c r="A724" s="24" t="s">
        <v>1837</v>
      </c>
      <c r="B724" s="4" t="s">
        <v>1059</v>
      </c>
      <c r="C724" s="25" t="s">
        <v>7</v>
      </c>
      <c r="G724" s="25" t="s">
        <v>1195</v>
      </c>
      <c r="H724" s="24" t="s">
        <v>1061</v>
      </c>
      <c r="I724" s="3" t="str">
        <f>IFERROR(VLOOKUP(C724,'Справочник соответствий'!A$2:D$2981,2,FALSE),IF(VALUE(C724)=0,1,VLOOKUP(C724,'Справочник соответствий'!A$2:D$2981,2,FALSE)))</f>
        <v>2</v>
      </c>
      <c r="J724" s="3">
        <f>IFERROR(VLOOKUP(D724,'Справочник соответствий'!A$2:D$2981,2,FALSE),IF(VALUE(D724)=0,0,VLOOKUP(D724,'Справочник соответствий'!A$2:D$2981,2,FALSE)))</f>
        <v>0</v>
      </c>
      <c r="K724" s="3" t="str">
        <f t="shared" si="77"/>
        <v>2</v>
      </c>
      <c r="L724" s="13" t="str">
        <f>IFERROR(VLOOKUP(C724,'Справочник соответствий'!A$2:D$2981,3,FALSE),IF(VALUE(C724)=0,"ЭТАЖ НЕ ОПРЕДЕЛЕН. ПРИНЯТ ПО ДОПУЩЕНИЮ 1",VLOOKUP(C724,'Справочник соответствий'!A$2:D$2981,3,FALSE)))</f>
        <v>ЭТАЖ ЗАДАН ЧИСЛОМ</v>
      </c>
      <c r="M724" s="13" t="b">
        <f t="shared" si="78"/>
        <v>0</v>
      </c>
      <c r="N724" s="13">
        <f t="shared" si="79"/>
        <v>2</v>
      </c>
      <c r="O724" s="13" t="str">
        <f t="shared" si="80"/>
        <v>ЭТАЖ ЗАДАН ЧИСЛОМ</v>
      </c>
      <c r="P724" s="13" t="str">
        <f t="shared" si="81"/>
        <v>ЭТАЖ ЗАДАН ЧИСЛОМ</v>
      </c>
      <c r="Q724" s="13" t="str">
        <f t="shared" si="82"/>
        <v>ГОТОВ_ИЗМЕНЕН</v>
      </c>
      <c r="R724" s="13">
        <f>IFERROR(VLOOKUP(P724,Лист1!A$1:B$20,2,FALSE),0)</f>
        <v>784</v>
      </c>
      <c r="S724" s="13">
        <f t="shared" si="83"/>
        <v>0</v>
      </c>
    </row>
    <row r="725" spans="1:19" x14ac:dyDescent="0.25">
      <c r="A725" s="24" t="s">
        <v>1838</v>
      </c>
      <c r="B725" s="4" t="s">
        <v>1059</v>
      </c>
      <c r="C725" s="25" t="s">
        <v>5</v>
      </c>
      <c r="G725" s="25" t="s">
        <v>1195</v>
      </c>
      <c r="H725" s="24" t="s">
        <v>1061</v>
      </c>
      <c r="I725" s="3" t="str">
        <f>IFERROR(VLOOKUP(C725,'Справочник соответствий'!A$2:D$2981,2,FALSE),IF(VALUE(C725)=0,1,VLOOKUP(C725,'Справочник соответствий'!A$2:D$2981,2,FALSE)))</f>
        <v>1</v>
      </c>
      <c r="J725" s="3">
        <f>IFERROR(VLOOKUP(D725,'Справочник соответствий'!A$2:D$2981,2,FALSE),IF(VALUE(D725)=0,0,VLOOKUP(D725,'Справочник соответствий'!A$2:D$2981,2,FALSE)))</f>
        <v>0</v>
      </c>
      <c r="K725" s="3" t="str">
        <f t="shared" si="77"/>
        <v>1</v>
      </c>
      <c r="L725" s="13" t="str">
        <f>IFERROR(VLOOKUP(C725,'Справочник соответствий'!A$2:D$2981,3,FALSE),IF(VALUE(C725)=0,"ЭТАЖ НЕ ОПРЕДЕЛЕН. ПРИНЯТ ПО ДОПУЩЕНИЮ 1",VLOOKUP(C725,'Справочник соответствий'!A$2:D$2981,3,FALSE)))</f>
        <v>ЭТАЖ ЗАДАН ЧИСЛОМ</v>
      </c>
      <c r="M725" s="13" t="b">
        <f t="shared" si="78"/>
        <v>0</v>
      </c>
      <c r="N725" s="13">
        <f t="shared" si="79"/>
        <v>1</v>
      </c>
      <c r="O725" s="13" t="str">
        <f t="shared" si="80"/>
        <v>ЭТАЖ ЗАДАН ЧИСЛОМ</v>
      </c>
      <c r="P725" s="13" t="str">
        <f t="shared" si="81"/>
        <v>ЭТАЖ ЗАДАН ЧИСЛОМ</v>
      </c>
      <c r="Q725" s="13" t="str">
        <f t="shared" si="82"/>
        <v>ГОТОВ_ИЗМЕНЕН</v>
      </c>
      <c r="R725" s="13">
        <f>IFERROR(VLOOKUP(P725,Лист1!A$1:B$20,2,FALSE),0)</f>
        <v>784</v>
      </c>
      <c r="S725" s="13">
        <f t="shared" si="83"/>
        <v>0</v>
      </c>
    </row>
    <row r="726" spans="1:19" x14ac:dyDescent="0.25">
      <c r="A726" s="24" t="s">
        <v>1839</v>
      </c>
      <c r="B726" s="4" t="s">
        <v>1059</v>
      </c>
      <c r="C726" s="25" t="s">
        <v>5</v>
      </c>
      <c r="G726" s="25" t="s">
        <v>1195</v>
      </c>
      <c r="H726" s="24" t="s">
        <v>1061</v>
      </c>
      <c r="I726" s="3" t="str">
        <f>IFERROR(VLOOKUP(C726,'Справочник соответствий'!A$2:D$2981,2,FALSE),IF(VALUE(C726)=0,1,VLOOKUP(C726,'Справочник соответствий'!A$2:D$2981,2,FALSE)))</f>
        <v>1</v>
      </c>
      <c r="J726" s="3">
        <f>IFERROR(VLOOKUP(D726,'Справочник соответствий'!A$2:D$2981,2,FALSE),IF(VALUE(D726)=0,0,VLOOKUP(D726,'Справочник соответствий'!A$2:D$2981,2,FALSE)))</f>
        <v>0</v>
      </c>
      <c r="K726" s="3" t="str">
        <f t="shared" si="77"/>
        <v>1</v>
      </c>
      <c r="L726" s="13" t="str">
        <f>IFERROR(VLOOKUP(C726,'Справочник соответствий'!A$2:D$2981,3,FALSE),IF(VALUE(C726)=0,"ЭТАЖ НЕ ОПРЕДЕЛЕН. ПРИНЯТ ПО ДОПУЩЕНИЮ 1",VLOOKUP(C726,'Справочник соответствий'!A$2:D$2981,3,FALSE)))</f>
        <v>ЭТАЖ ЗАДАН ЧИСЛОМ</v>
      </c>
      <c r="M726" s="13" t="b">
        <f t="shared" si="78"/>
        <v>0</v>
      </c>
      <c r="N726" s="13">
        <f t="shared" si="79"/>
        <v>1</v>
      </c>
      <c r="O726" s="13" t="str">
        <f t="shared" si="80"/>
        <v>ЭТАЖ ЗАДАН ЧИСЛОМ</v>
      </c>
      <c r="P726" s="13" t="str">
        <f t="shared" si="81"/>
        <v>ЭТАЖ ЗАДАН ЧИСЛОМ</v>
      </c>
      <c r="Q726" s="13" t="str">
        <f t="shared" si="82"/>
        <v>ГОТОВ_ИЗМЕНЕН</v>
      </c>
      <c r="R726" s="13">
        <f>IFERROR(VLOOKUP(P726,Лист1!A$1:B$20,2,FALSE),0)</f>
        <v>784</v>
      </c>
      <c r="S726" s="13">
        <f t="shared" si="83"/>
        <v>0</v>
      </c>
    </row>
    <row r="727" spans="1:19" x14ac:dyDescent="0.25">
      <c r="A727" s="24" t="s">
        <v>1840</v>
      </c>
      <c r="B727" s="4" t="s">
        <v>1063</v>
      </c>
      <c r="C727" s="25" t="s">
        <v>5</v>
      </c>
      <c r="G727" s="25" t="s">
        <v>1195</v>
      </c>
      <c r="H727" s="24" t="s">
        <v>1061</v>
      </c>
      <c r="I727" s="3" t="str">
        <f>IFERROR(VLOOKUP(C727,'Справочник соответствий'!A$2:D$2981,2,FALSE),IF(VALUE(C727)=0,1,VLOOKUP(C727,'Справочник соответствий'!A$2:D$2981,2,FALSE)))</f>
        <v>1</v>
      </c>
      <c r="J727" s="3">
        <f>IFERROR(VLOOKUP(D727,'Справочник соответствий'!A$2:D$2981,2,FALSE),IF(VALUE(D727)=0,0,VLOOKUP(D727,'Справочник соответствий'!A$2:D$2981,2,FALSE)))</f>
        <v>0</v>
      </c>
      <c r="K727" s="3" t="str">
        <f t="shared" si="77"/>
        <v>1</v>
      </c>
      <c r="L727" s="13" t="str">
        <f>IFERROR(VLOOKUP(C727,'Справочник соответствий'!A$2:D$2981,3,FALSE),IF(VALUE(C727)=0,"ЭТАЖ НЕ ОПРЕДЕЛЕН. ПРИНЯТ ПО ДОПУЩЕНИЮ 1",VLOOKUP(C727,'Справочник соответствий'!A$2:D$2981,3,FALSE)))</f>
        <v>ЭТАЖ ЗАДАН ЧИСЛОМ</v>
      </c>
      <c r="M727" s="13" t="b">
        <f t="shared" si="78"/>
        <v>0</v>
      </c>
      <c r="N727" s="13">
        <f t="shared" si="79"/>
        <v>1</v>
      </c>
      <c r="O727" s="13" t="str">
        <f t="shared" si="80"/>
        <v>ЭТАЖ ЗАДАН ЧИСЛОМ</v>
      </c>
      <c r="P727" s="13" t="str">
        <f t="shared" si="81"/>
        <v>ЭТАЖ ЗАДАН ЧИСЛОМ</v>
      </c>
      <c r="Q727" s="13" t="str">
        <f t="shared" si="82"/>
        <v>ГОТОВ_ИЗМЕНЕН</v>
      </c>
      <c r="R727" s="13">
        <f>IFERROR(VLOOKUP(P727,Лист1!A$1:B$20,2,FALSE),0)</f>
        <v>784</v>
      </c>
      <c r="S727" s="13">
        <f t="shared" si="83"/>
        <v>0</v>
      </c>
    </row>
    <row r="728" spans="1:19" x14ac:dyDescent="0.25">
      <c r="A728" s="24" t="s">
        <v>1841</v>
      </c>
      <c r="B728" s="4" t="s">
        <v>1059</v>
      </c>
      <c r="C728" s="25" t="s">
        <v>8</v>
      </c>
      <c r="G728" s="25" t="s">
        <v>1195</v>
      </c>
      <c r="H728" s="24" t="s">
        <v>1061</v>
      </c>
      <c r="I728" s="3" t="str">
        <f>IFERROR(VLOOKUP(C728,'Справочник соответствий'!A$2:D$2981,2,FALSE),IF(VALUE(C728)=0,1,VLOOKUP(C728,'Справочник соответствий'!A$2:D$2981,2,FALSE)))</f>
        <v>3</v>
      </c>
      <c r="J728" s="3">
        <f>IFERROR(VLOOKUP(D728,'Справочник соответствий'!A$2:D$2981,2,FALSE),IF(VALUE(D728)=0,0,VLOOKUP(D728,'Справочник соответствий'!A$2:D$2981,2,FALSE)))</f>
        <v>0</v>
      </c>
      <c r="K728" s="3" t="str">
        <f t="shared" si="77"/>
        <v>3</v>
      </c>
      <c r="L728" s="13" t="str">
        <f>IFERROR(VLOOKUP(C728,'Справочник соответствий'!A$2:D$2981,3,FALSE),IF(VALUE(C728)=0,"ЭТАЖ НЕ ОПРЕДЕЛЕН. ПРИНЯТ ПО ДОПУЩЕНИЮ 1",VLOOKUP(C728,'Справочник соответствий'!A$2:D$2981,3,FALSE)))</f>
        <v>ЭТАЖ ЗАДАН ЧИСЛОМ</v>
      </c>
      <c r="M728" s="13" t="b">
        <f t="shared" si="78"/>
        <v>0</v>
      </c>
      <c r="N728" s="13">
        <f t="shared" si="79"/>
        <v>3</v>
      </c>
      <c r="O728" s="13" t="str">
        <f t="shared" si="80"/>
        <v>ЭТАЖ ЗАДАН ЧИСЛОМ</v>
      </c>
      <c r="P728" s="13" t="str">
        <f t="shared" si="81"/>
        <v>ЭТАЖ ЗАДАН ЧИСЛОМ</v>
      </c>
      <c r="Q728" s="13" t="str">
        <f t="shared" si="82"/>
        <v>ГОТОВ_ИЗМЕНЕН</v>
      </c>
      <c r="R728" s="13">
        <f>IFERROR(VLOOKUP(P728,Лист1!A$1:B$20,2,FALSE),0)</f>
        <v>784</v>
      </c>
      <c r="S728" s="13">
        <f t="shared" si="83"/>
        <v>0</v>
      </c>
    </row>
    <row r="729" spans="1:19" x14ac:dyDescent="0.25">
      <c r="A729" s="24" t="s">
        <v>1842</v>
      </c>
      <c r="B729" s="4" t="s">
        <v>1063</v>
      </c>
      <c r="C729" s="25" t="s">
        <v>5</v>
      </c>
      <c r="G729" s="25" t="s">
        <v>1089</v>
      </c>
      <c r="H729" s="24" t="s">
        <v>1061</v>
      </c>
      <c r="I729" s="3" t="str">
        <f>IFERROR(VLOOKUP(C729,'Справочник соответствий'!A$2:D$2981,2,FALSE),IF(VALUE(C729)=0,1,VLOOKUP(C729,'Справочник соответствий'!A$2:D$2981,2,FALSE)))</f>
        <v>1</v>
      </c>
      <c r="J729" s="3">
        <f>IFERROR(VLOOKUP(D729,'Справочник соответствий'!A$2:D$2981,2,FALSE),IF(VALUE(D729)=0,0,VLOOKUP(D729,'Справочник соответствий'!A$2:D$2981,2,FALSE)))</f>
        <v>0</v>
      </c>
      <c r="K729" s="3" t="str">
        <f t="shared" si="77"/>
        <v>1</v>
      </c>
      <c r="L729" s="13" t="str">
        <f>IFERROR(VLOOKUP(C729,'Справочник соответствий'!A$2:D$2981,3,FALSE),IF(VALUE(C729)=0,"ЭТАЖ НЕ ОПРЕДЕЛЕН. ПРИНЯТ ПО ДОПУЩЕНИЮ 1",VLOOKUP(C729,'Справочник соответствий'!A$2:D$2981,3,FALSE)))</f>
        <v>ЭТАЖ ЗАДАН ЧИСЛОМ</v>
      </c>
      <c r="M729" s="13" t="b">
        <f t="shared" si="78"/>
        <v>0</v>
      </c>
      <c r="N729" s="13">
        <f t="shared" si="79"/>
        <v>1</v>
      </c>
      <c r="O729" s="13" t="str">
        <f t="shared" si="80"/>
        <v>ЭТАЖ ЗАДАН ЧИСЛОМ</v>
      </c>
      <c r="P729" s="13" t="str">
        <f t="shared" si="81"/>
        <v>ЭТАЖ ЗАДАН ЧИСЛОМ</v>
      </c>
      <c r="Q729" s="13" t="str">
        <f t="shared" si="82"/>
        <v>ГОТОВ_ИЗМЕНЕН</v>
      </c>
      <c r="R729" s="13">
        <f>IFERROR(VLOOKUP(P729,Лист1!A$1:B$20,2,FALSE),0)</f>
        <v>784</v>
      </c>
      <c r="S729" s="13">
        <f t="shared" si="83"/>
        <v>0</v>
      </c>
    </row>
    <row r="730" spans="1:19" x14ac:dyDescent="0.25">
      <c r="A730" s="24" t="s">
        <v>1843</v>
      </c>
      <c r="B730" s="4" t="s">
        <v>1059</v>
      </c>
      <c r="C730" s="25" t="s">
        <v>7</v>
      </c>
      <c r="G730" s="25" t="s">
        <v>1195</v>
      </c>
      <c r="H730" s="24" t="s">
        <v>1061</v>
      </c>
      <c r="I730" s="3" t="str">
        <f>IFERROR(VLOOKUP(C730,'Справочник соответствий'!A$2:D$2981,2,FALSE),IF(VALUE(C730)=0,1,VLOOKUP(C730,'Справочник соответствий'!A$2:D$2981,2,FALSE)))</f>
        <v>2</v>
      </c>
      <c r="J730" s="3">
        <f>IFERROR(VLOOKUP(D730,'Справочник соответствий'!A$2:D$2981,2,FALSE),IF(VALUE(D730)=0,0,VLOOKUP(D730,'Справочник соответствий'!A$2:D$2981,2,FALSE)))</f>
        <v>0</v>
      </c>
      <c r="K730" s="3" t="str">
        <f t="shared" si="77"/>
        <v>2</v>
      </c>
      <c r="L730" s="13" t="str">
        <f>IFERROR(VLOOKUP(C730,'Справочник соответствий'!A$2:D$2981,3,FALSE),IF(VALUE(C730)=0,"ЭТАЖ НЕ ОПРЕДЕЛЕН. ПРИНЯТ ПО ДОПУЩЕНИЮ 1",VLOOKUP(C730,'Справочник соответствий'!A$2:D$2981,3,FALSE)))</f>
        <v>ЭТАЖ ЗАДАН ЧИСЛОМ</v>
      </c>
      <c r="M730" s="13" t="b">
        <f t="shared" si="78"/>
        <v>0</v>
      </c>
      <c r="N730" s="13">
        <f t="shared" si="79"/>
        <v>2</v>
      </c>
      <c r="O730" s="13" t="str">
        <f t="shared" si="80"/>
        <v>ЭТАЖ ЗАДАН ЧИСЛОМ</v>
      </c>
      <c r="P730" s="13" t="str">
        <f t="shared" si="81"/>
        <v>ЭТАЖ ЗАДАН ЧИСЛОМ</v>
      </c>
      <c r="Q730" s="13" t="str">
        <f t="shared" si="82"/>
        <v>ГОТОВ_ИЗМЕНЕН</v>
      </c>
      <c r="R730" s="13">
        <f>IFERROR(VLOOKUP(P730,Лист1!A$1:B$20,2,FALSE),0)</f>
        <v>784</v>
      </c>
      <c r="S730" s="13">
        <f t="shared" si="83"/>
        <v>0</v>
      </c>
    </row>
    <row r="731" spans="1:19" x14ac:dyDescent="0.25">
      <c r="A731" s="24" t="s">
        <v>1844</v>
      </c>
      <c r="B731" s="4" t="s">
        <v>1059</v>
      </c>
      <c r="C731" s="25" t="s">
        <v>5</v>
      </c>
      <c r="G731" s="25" t="s">
        <v>1203</v>
      </c>
      <c r="H731" s="24" t="s">
        <v>1061</v>
      </c>
      <c r="I731" s="3" t="str">
        <f>IFERROR(VLOOKUP(C731,'Справочник соответствий'!A$2:D$2981,2,FALSE),IF(VALUE(C731)=0,1,VLOOKUP(C731,'Справочник соответствий'!A$2:D$2981,2,FALSE)))</f>
        <v>1</v>
      </c>
      <c r="J731" s="3">
        <f>IFERROR(VLOOKUP(D731,'Справочник соответствий'!A$2:D$2981,2,FALSE),IF(VALUE(D731)=0,0,VLOOKUP(D731,'Справочник соответствий'!A$2:D$2981,2,FALSE)))</f>
        <v>0</v>
      </c>
      <c r="K731" s="3" t="str">
        <f t="shared" si="77"/>
        <v>1</v>
      </c>
      <c r="L731" s="13" t="str">
        <f>IFERROR(VLOOKUP(C731,'Справочник соответствий'!A$2:D$2981,3,FALSE),IF(VALUE(C731)=0,"ЭТАЖ НЕ ОПРЕДЕЛЕН. ПРИНЯТ ПО ДОПУЩЕНИЮ 1",VLOOKUP(C731,'Справочник соответствий'!A$2:D$2981,3,FALSE)))</f>
        <v>ЭТАЖ ЗАДАН ЧИСЛОМ</v>
      </c>
      <c r="M731" s="13" t="b">
        <f t="shared" si="78"/>
        <v>0</v>
      </c>
      <c r="N731" s="13">
        <f t="shared" si="79"/>
        <v>1</v>
      </c>
      <c r="O731" s="13" t="str">
        <f t="shared" si="80"/>
        <v>ЭТАЖ ЗАДАН ЧИСЛОМ</v>
      </c>
      <c r="P731" s="13" t="str">
        <f t="shared" si="81"/>
        <v>ЭТАЖ ЗАДАН ЧИСЛОМ</v>
      </c>
      <c r="Q731" s="13" t="str">
        <f t="shared" si="82"/>
        <v>ГОТОВ_ИЗМЕНЕН</v>
      </c>
      <c r="R731" s="13">
        <f>IFERROR(VLOOKUP(P731,Лист1!A$1:B$20,2,FALSE),0)</f>
        <v>784</v>
      </c>
      <c r="S731" s="13">
        <f t="shared" si="83"/>
        <v>0</v>
      </c>
    </row>
    <row r="732" spans="1:19" x14ac:dyDescent="0.25">
      <c r="A732" s="24" t="s">
        <v>1845</v>
      </c>
      <c r="B732" s="4" t="s">
        <v>1063</v>
      </c>
      <c r="C732" s="25" t="s">
        <v>5</v>
      </c>
      <c r="G732" s="25" t="s">
        <v>1205</v>
      </c>
      <c r="H732" s="24" t="s">
        <v>1061</v>
      </c>
      <c r="I732" s="3" t="str">
        <f>IFERROR(VLOOKUP(C732,'Справочник соответствий'!A$2:D$2981,2,FALSE),IF(VALUE(C732)=0,1,VLOOKUP(C732,'Справочник соответствий'!A$2:D$2981,2,FALSE)))</f>
        <v>1</v>
      </c>
      <c r="J732" s="3">
        <f>IFERROR(VLOOKUP(D732,'Справочник соответствий'!A$2:D$2981,2,FALSE),IF(VALUE(D732)=0,0,VLOOKUP(D732,'Справочник соответствий'!A$2:D$2981,2,FALSE)))</f>
        <v>0</v>
      </c>
      <c r="K732" s="3" t="str">
        <f t="shared" si="77"/>
        <v>1</v>
      </c>
      <c r="L732" s="13" t="str">
        <f>IFERROR(VLOOKUP(C732,'Справочник соответствий'!A$2:D$2981,3,FALSE),IF(VALUE(C732)=0,"ЭТАЖ НЕ ОПРЕДЕЛЕН. ПРИНЯТ ПО ДОПУЩЕНИЮ 1",VLOOKUP(C732,'Справочник соответствий'!A$2:D$2981,3,FALSE)))</f>
        <v>ЭТАЖ ЗАДАН ЧИСЛОМ</v>
      </c>
      <c r="M732" s="13" t="b">
        <f t="shared" si="78"/>
        <v>0</v>
      </c>
      <c r="N732" s="13">
        <f t="shared" si="79"/>
        <v>1</v>
      </c>
      <c r="O732" s="13" t="str">
        <f t="shared" si="80"/>
        <v>ЭТАЖ ЗАДАН ЧИСЛОМ</v>
      </c>
      <c r="P732" s="13" t="str">
        <f t="shared" si="81"/>
        <v>ЭТАЖ ЗАДАН ЧИСЛОМ</v>
      </c>
      <c r="Q732" s="13" t="str">
        <f t="shared" si="82"/>
        <v>ГОТОВ_ИЗМЕНЕН</v>
      </c>
      <c r="R732" s="13">
        <f>IFERROR(VLOOKUP(P732,Лист1!A$1:B$20,2,FALSE),0)</f>
        <v>784</v>
      </c>
      <c r="S732" s="13">
        <f t="shared" si="83"/>
        <v>0</v>
      </c>
    </row>
    <row r="733" spans="1:19" x14ac:dyDescent="0.25">
      <c r="A733" s="24" t="s">
        <v>1846</v>
      </c>
      <c r="B733" s="4" t="s">
        <v>1059</v>
      </c>
      <c r="C733" s="25" t="s">
        <v>7</v>
      </c>
      <c r="G733" s="25" t="s">
        <v>1174</v>
      </c>
      <c r="H733" s="24" t="s">
        <v>1061</v>
      </c>
      <c r="I733" s="3" t="str">
        <f>IFERROR(VLOOKUP(C733,'Справочник соответствий'!A$2:D$2981,2,FALSE),IF(VALUE(C733)=0,1,VLOOKUP(C733,'Справочник соответствий'!A$2:D$2981,2,FALSE)))</f>
        <v>2</v>
      </c>
      <c r="J733" s="3">
        <f>IFERROR(VLOOKUP(D733,'Справочник соответствий'!A$2:D$2981,2,FALSE),IF(VALUE(D733)=0,0,VLOOKUP(D733,'Справочник соответствий'!A$2:D$2981,2,FALSE)))</f>
        <v>0</v>
      </c>
      <c r="K733" s="3" t="str">
        <f t="shared" si="77"/>
        <v>2</v>
      </c>
      <c r="L733" s="13" t="str">
        <f>IFERROR(VLOOKUP(C733,'Справочник соответствий'!A$2:D$2981,3,FALSE),IF(VALUE(C733)=0,"ЭТАЖ НЕ ОПРЕДЕЛЕН. ПРИНЯТ ПО ДОПУЩЕНИЮ 1",VLOOKUP(C733,'Справочник соответствий'!A$2:D$2981,3,FALSE)))</f>
        <v>ЭТАЖ ЗАДАН ЧИСЛОМ</v>
      </c>
      <c r="M733" s="13" t="b">
        <f t="shared" si="78"/>
        <v>0</v>
      </c>
      <c r="N733" s="13">
        <f t="shared" si="79"/>
        <v>2</v>
      </c>
      <c r="O733" s="13" t="str">
        <f t="shared" si="80"/>
        <v>ЭТАЖ ЗАДАН ЧИСЛОМ</v>
      </c>
      <c r="P733" s="13" t="str">
        <f t="shared" si="81"/>
        <v>ЭТАЖ ЗАДАН ЧИСЛОМ</v>
      </c>
      <c r="Q733" s="13" t="str">
        <f t="shared" si="82"/>
        <v>ГОТОВ_ИЗМЕНЕН</v>
      </c>
      <c r="R733" s="13">
        <f>IFERROR(VLOOKUP(P733,Лист1!A$1:B$20,2,FALSE),0)</f>
        <v>784</v>
      </c>
      <c r="S733" s="13">
        <f t="shared" si="83"/>
        <v>0</v>
      </c>
    </row>
    <row r="734" spans="1:19" x14ac:dyDescent="0.25">
      <c r="A734" s="24" t="s">
        <v>1847</v>
      </c>
      <c r="B734" s="4" t="s">
        <v>1031</v>
      </c>
      <c r="C734" s="25" t="s">
        <v>5</v>
      </c>
      <c r="G734" s="25" t="s">
        <v>1205</v>
      </c>
      <c r="H734" s="24" t="s">
        <v>1061</v>
      </c>
      <c r="I734" s="3" t="str">
        <f>IFERROR(VLOOKUP(C734,'Справочник соответствий'!A$2:D$2981,2,FALSE),IF(VALUE(C734)=0,1,VLOOKUP(C734,'Справочник соответствий'!A$2:D$2981,2,FALSE)))</f>
        <v>1</v>
      </c>
      <c r="J734" s="3">
        <f>IFERROR(VLOOKUP(D734,'Справочник соответствий'!A$2:D$2981,2,FALSE),IF(VALUE(D734)=0,0,VLOOKUP(D734,'Справочник соответствий'!A$2:D$2981,2,FALSE)))</f>
        <v>0</v>
      </c>
      <c r="K734" s="3">
        <f t="shared" si="77"/>
        <v>1</v>
      </c>
      <c r="L734" s="13" t="str">
        <f>IFERROR(VLOOKUP(C734,'Справочник соответствий'!A$2:D$2981,3,FALSE),IF(VALUE(C734)=0,"ЭТАЖ НЕ ОПРЕДЕЛЕН. ПРИНЯТ ПО ДОПУЩЕНИЮ 1",VLOOKUP(C734,'Справочник соответствий'!A$2:D$2981,3,FALSE)))</f>
        <v>ЭТАЖ ЗАДАН ЧИСЛОМ</v>
      </c>
      <c r="M734" s="13" t="b">
        <f t="shared" si="78"/>
        <v>0</v>
      </c>
      <c r="N734" s="13">
        <f t="shared" si="79"/>
        <v>1</v>
      </c>
      <c r="O734" s="13" t="str">
        <f t="shared" si="80"/>
        <v>ЭТАЖ ЗАДАН ЧИСЛОМ</v>
      </c>
      <c r="P734" s="13" t="str">
        <f t="shared" si="81"/>
        <v>МКД_ЭТАЖ ЗАДАН ЧИСЛОМ</v>
      </c>
      <c r="Q734" s="13" t="str">
        <f t="shared" si="82"/>
        <v>ГОТОВ_ИЗМЕНЕН</v>
      </c>
      <c r="R734" s="13">
        <f>IFERROR(VLOOKUP(P734,Лист1!A$1:B$20,2,FALSE),0)</f>
        <v>786</v>
      </c>
      <c r="S734" s="13">
        <f t="shared" si="83"/>
        <v>0</v>
      </c>
    </row>
    <row r="735" spans="1:19" x14ac:dyDescent="0.25">
      <c r="A735" s="24" t="s">
        <v>1848</v>
      </c>
      <c r="B735" s="4" t="s">
        <v>1063</v>
      </c>
      <c r="G735" s="25" t="s">
        <v>1174</v>
      </c>
      <c r="H735" s="24" t="s">
        <v>1061</v>
      </c>
      <c r="I735" s="3">
        <f>IFERROR(VLOOKUP(C735,'Справочник соответствий'!A$2:D$2981,2,FALSE),IF(VALUE(C735)=0,1,VLOOKUP(C735,'Справочник соответствий'!A$2:D$2981,2,FALSE)))</f>
        <v>1</v>
      </c>
      <c r="J735" s="3">
        <f>IFERROR(VLOOKUP(D735,'Справочник соответствий'!A$2:D$2981,2,FALSE),IF(VALUE(D735)=0,0,VLOOKUP(D735,'Справочник соответствий'!A$2:D$2981,2,FALSE)))</f>
        <v>0</v>
      </c>
      <c r="K735" s="3">
        <f t="shared" si="77"/>
        <v>1</v>
      </c>
      <c r="L735" s="13" t="str">
        <f>IFERROR(VLOOKUP(C735,'Справочник соответствий'!A$2:D$2981,3,FALSE),IF(VALUE(C735)=0,"ЭТАЖ НЕ ОПРЕДЕЛЕН. ПРИНЯТ ПО ДОПУЩЕНИЮ 1",VLOOKUP(C735,'Справочник соответствий'!A$2:D$2981,3,FALSE)))</f>
        <v>ЭТАЖ НЕ ОПРЕДЕЛЕН. ПРИНЯТ ПО ДОПУЩЕНИЮ 1</v>
      </c>
      <c r="M735" s="13" t="b">
        <f t="shared" si="78"/>
        <v>0</v>
      </c>
      <c r="N735" s="13">
        <f t="shared" si="79"/>
        <v>1</v>
      </c>
      <c r="O735" s="13" t="str">
        <f t="shared" si="80"/>
        <v>ЭТАЖ НЕ ОПРЕДЕЛЕН. ПРИНЯТ ПО ДОПУЩЕНИЮ 1</v>
      </c>
      <c r="P735" s="13" t="str">
        <f t="shared" si="81"/>
        <v>ЭТАЖ НЕ ОПРЕДЕЛЕН. ПРИНЯТ ПО ДОПУЩЕНИЮ 1</v>
      </c>
      <c r="Q735" s="13" t="str">
        <f t="shared" si="82"/>
        <v>ГОТОВ_ИЗМЕНЕН</v>
      </c>
      <c r="R735" s="13">
        <f>IFERROR(VLOOKUP(P735,Лист1!A$1:B$20,2,FALSE),0)</f>
        <v>788</v>
      </c>
      <c r="S735" s="13">
        <f t="shared" si="83"/>
        <v>0</v>
      </c>
    </row>
    <row r="736" spans="1:19" x14ac:dyDescent="0.25">
      <c r="A736" s="24" t="s">
        <v>1849</v>
      </c>
      <c r="B736" s="4" t="s">
        <v>1059</v>
      </c>
      <c r="C736" s="25" t="s">
        <v>7</v>
      </c>
      <c r="G736" s="25" t="s">
        <v>1205</v>
      </c>
      <c r="H736" s="24" t="s">
        <v>1061</v>
      </c>
      <c r="I736" s="3" t="str">
        <f>IFERROR(VLOOKUP(C736,'Справочник соответствий'!A$2:D$2981,2,FALSE),IF(VALUE(C736)=0,1,VLOOKUP(C736,'Справочник соответствий'!A$2:D$2981,2,FALSE)))</f>
        <v>2</v>
      </c>
      <c r="J736" s="3">
        <f>IFERROR(VLOOKUP(D736,'Справочник соответствий'!A$2:D$2981,2,FALSE),IF(VALUE(D736)=0,0,VLOOKUP(D736,'Справочник соответствий'!A$2:D$2981,2,FALSE)))</f>
        <v>0</v>
      </c>
      <c r="K736" s="3" t="str">
        <f t="shared" si="77"/>
        <v>2</v>
      </c>
      <c r="L736" s="13" t="str">
        <f>IFERROR(VLOOKUP(C736,'Справочник соответствий'!A$2:D$2981,3,FALSE),IF(VALUE(C736)=0,"ЭТАЖ НЕ ОПРЕДЕЛЕН. ПРИНЯТ ПО ДОПУЩЕНИЮ 1",VLOOKUP(C736,'Справочник соответствий'!A$2:D$2981,3,FALSE)))</f>
        <v>ЭТАЖ ЗАДАН ЧИСЛОМ</v>
      </c>
      <c r="M736" s="13" t="b">
        <f t="shared" si="78"/>
        <v>0</v>
      </c>
      <c r="N736" s="13">
        <f t="shared" si="79"/>
        <v>2</v>
      </c>
      <c r="O736" s="13" t="str">
        <f t="shared" si="80"/>
        <v>ЭТАЖ ЗАДАН ЧИСЛОМ</v>
      </c>
      <c r="P736" s="13" t="str">
        <f t="shared" si="81"/>
        <v>ЭТАЖ ЗАДАН ЧИСЛОМ</v>
      </c>
      <c r="Q736" s="13" t="str">
        <f t="shared" si="82"/>
        <v>ГОТОВ_ИЗМЕНЕН</v>
      </c>
      <c r="R736" s="13">
        <f>IFERROR(VLOOKUP(P736,Лист1!A$1:B$20,2,FALSE),0)</f>
        <v>784</v>
      </c>
      <c r="S736" s="13">
        <f t="shared" si="83"/>
        <v>0</v>
      </c>
    </row>
    <row r="737" spans="1:19" x14ac:dyDescent="0.25">
      <c r="A737" s="24" t="s">
        <v>1850</v>
      </c>
      <c r="B737" s="4" t="s">
        <v>1059</v>
      </c>
      <c r="C737" s="25" t="s">
        <v>5</v>
      </c>
      <c r="G737" s="25" t="s">
        <v>1205</v>
      </c>
      <c r="H737" s="24" t="s">
        <v>1061</v>
      </c>
      <c r="I737" s="3" t="str">
        <f>IFERROR(VLOOKUP(C737,'Справочник соответствий'!A$2:D$2981,2,FALSE),IF(VALUE(C737)=0,1,VLOOKUP(C737,'Справочник соответствий'!A$2:D$2981,2,FALSE)))</f>
        <v>1</v>
      </c>
      <c r="J737" s="3">
        <f>IFERROR(VLOOKUP(D737,'Справочник соответствий'!A$2:D$2981,2,FALSE),IF(VALUE(D737)=0,0,VLOOKUP(D737,'Справочник соответствий'!A$2:D$2981,2,FALSE)))</f>
        <v>0</v>
      </c>
      <c r="K737" s="3" t="str">
        <f t="shared" si="77"/>
        <v>1</v>
      </c>
      <c r="L737" s="13" t="str">
        <f>IFERROR(VLOOKUP(C737,'Справочник соответствий'!A$2:D$2981,3,FALSE),IF(VALUE(C737)=0,"ЭТАЖ НЕ ОПРЕДЕЛЕН. ПРИНЯТ ПО ДОПУЩЕНИЮ 1",VLOOKUP(C737,'Справочник соответствий'!A$2:D$2981,3,FALSE)))</f>
        <v>ЭТАЖ ЗАДАН ЧИСЛОМ</v>
      </c>
      <c r="M737" s="13" t="b">
        <f t="shared" si="78"/>
        <v>0</v>
      </c>
      <c r="N737" s="13">
        <f t="shared" si="79"/>
        <v>1</v>
      </c>
      <c r="O737" s="13" t="str">
        <f t="shared" si="80"/>
        <v>ЭТАЖ ЗАДАН ЧИСЛОМ</v>
      </c>
      <c r="P737" s="13" t="str">
        <f t="shared" si="81"/>
        <v>ЭТАЖ ЗАДАН ЧИСЛОМ</v>
      </c>
      <c r="Q737" s="13" t="str">
        <f t="shared" si="82"/>
        <v>ГОТОВ_ИЗМЕНЕН</v>
      </c>
      <c r="R737" s="13">
        <f>IFERROR(VLOOKUP(P737,Лист1!A$1:B$20,2,FALSE),0)</f>
        <v>784</v>
      </c>
      <c r="S737" s="13">
        <f t="shared" si="83"/>
        <v>0</v>
      </c>
    </row>
    <row r="738" spans="1:19" x14ac:dyDescent="0.25">
      <c r="A738" s="24" t="s">
        <v>1851</v>
      </c>
      <c r="B738" s="4" t="s">
        <v>1059</v>
      </c>
      <c r="C738" s="25" t="s">
        <v>8</v>
      </c>
      <c r="D738" s="25" t="s">
        <v>5</v>
      </c>
      <c r="G738" s="25" t="s">
        <v>1205</v>
      </c>
      <c r="H738" s="24" t="s">
        <v>1061</v>
      </c>
      <c r="I738" s="3" t="str">
        <f>IFERROR(VLOOKUP(C738,'Справочник соответствий'!A$2:D$2981,2,FALSE),IF(VALUE(C738)=0,1,VLOOKUP(C738,'Справочник соответствий'!A$2:D$2981,2,FALSE)))</f>
        <v>3</v>
      </c>
      <c r="J738" s="3" t="str">
        <f>IFERROR(VLOOKUP(D738,'Справочник соответствий'!A$2:D$2981,2,FALSE),IF(VALUE(D738)=0,0,VLOOKUP(D738,'Справочник соответствий'!A$2:D$2981,2,FALSE)))</f>
        <v>1</v>
      </c>
      <c r="K738" s="3" t="str">
        <f t="shared" si="77"/>
        <v>3</v>
      </c>
      <c r="L738" s="13" t="str">
        <f>IFERROR(VLOOKUP(C738,'Справочник соответствий'!A$2:D$2981,3,FALSE),IF(VALUE(C738)=0,"ЭТАЖ НЕ ОПРЕДЕЛЕН. ПРИНЯТ ПО ДОПУЩЕНИЮ 1",VLOOKUP(C738,'Справочник соответствий'!A$2:D$2981,3,FALSE)))</f>
        <v>ЭТАЖ ЗАДАН ЧИСЛОМ</v>
      </c>
      <c r="M738" s="13" t="b">
        <f t="shared" si="78"/>
        <v>0</v>
      </c>
      <c r="N738" s="13">
        <f t="shared" si="79"/>
        <v>3</v>
      </c>
      <c r="O738" s="13" t="str">
        <f t="shared" si="80"/>
        <v>ЭТАЖ ЗАДАН ЧИСЛОМ</v>
      </c>
      <c r="P738" s="13" t="str">
        <f t="shared" si="81"/>
        <v>ЭТАЖ ЗАДАН ЧИСЛОМ</v>
      </c>
      <c r="Q738" s="13" t="str">
        <f t="shared" si="82"/>
        <v>ГОТОВ_ИЗМЕНЕН</v>
      </c>
      <c r="R738" s="13">
        <f>IFERROR(VLOOKUP(P738,Лист1!A$1:B$20,2,FALSE),0)</f>
        <v>784</v>
      </c>
      <c r="S738" s="13">
        <f t="shared" si="83"/>
        <v>0</v>
      </c>
    </row>
    <row r="739" spans="1:19" x14ac:dyDescent="0.25">
      <c r="A739" s="24" t="s">
        <v>1852</v>
      </c>
      <c r="B739" s="4" t="s">
        <v>1063</v>
      </c>
      <c r="C739" s="25" t="s">
        <v>5</v>
      </c>
      <c r="G739" s="25" t="s">
        <v>1205</v>
      </c>
      <c r="H739" s="24" t="s">
        <v>1061</v>
      </c>
      <c r="I739" s="3" t="str">
        <f>IFERROR(VLOOKUP(C739,'Справочник соответствий'!A$2:D$2981,2,FALSE),IF(VALUE(C739)=0,1,VLOOKUP(C739,'Справочник соответствий'!A$2:D$2981,2,FALSE)))</f>
        <v>1</v>
      </c>
      <c r="J739" s="3">
        <f>IFERROR(VLOOKUP(D739,'Справочник соответствий'!A$2:D$2981,2,FALSE),IF(VALUE(D739)=0,0,VLOOKUP(D739,'Справочник соответствий'!A$2:D$2981,2,FALSE)))</f>
        <v>0</v>
      </c>
      <c r="K739" s="3" t="str">
        <f t="shared" si="77"/>
        <v>1</v>
      </c>
      <c r="L739" s="13" t="str">
        <f>IFERROR(VLOOKUP(C739,'Справочник соответствий'!A$2:D$2981,3,FALSE),IF(VALUE(C739)=0,"ЭТАЖ НЕ ОПРЕДЕЛЕН. ПРИНЯТ ПО ДОПУЩЕНИЮ 1",VLOOKUP(C739,'Справочник соответствий'!A$2:D$2981,3,FALSE)))</f>
        <v>ЭТАЖ ЗАДАН ЧИСЛОМ</v>
      </c>
      <c r="M739" s="13" t="b">
        <f t="shared" si="78"/>
        <v>0</v>
      </c>
      <c r="N739" s="13">
        <f t="shared" si="79"/>
        <v>1</v>
      </c>
      <c r="O739" s="13" t="str">
        <f t="shared" si="80"/>
        <v>ЭТАЖ ЗАДАН ЧИСЛОМ</v>
      </c>
      <c r="P739" s="13" t="str">
        <f t="shared" si="81"/>
        <v>ЭТАЖ ЗАДАН ЧИСЛОМ</v>
      </c>
      <c r="Q739" s="13" t="str">
        <f t="shared" si="82"/>
        <v>ГОТОВ_ИЗМЕНЕН</v>
      </c>
      <c r="R739" s="13">
        <f>IFERROR(VLOOKUP(P739,Лист1!A$1:B$20,2,FALSE),0)</f>
        <v>784</v>
      </c>
      <c r="S739" s="13">
        <f t="shared" si="83"/>
        <v>0</v>
      </c>
    </row>
    <row r="740" spans="1:19" x14ac:dyDescent="0.25">
      <c r="A740" s="24" t="s">
        <v>1853</v>
      </c>
      <c r="B740" s="4" t="s">
        <v>1059</v>
      </c>
      <c r="C740" s="25" t="s">
        <v>5</v>
      </c>
      <c r="G740" s="25" t="s">
        <v>1205</v>
      </c>
      <c r="H740" s="24" t="s">
        <v>1061</v>
      </c>
      <c r="I740" s="3" t="str">
        <f>IFERROR(VLOOKUP(C740,'Справочник соответствий'!A$2:D$2981,2,FALSE),IF(VALUE(C740)=0,1,VLOOKUP(C740,'Справочник соответствий'!A$2:D$2981,2,FALSE)))</f>
        <v>1</v>
      </c>
      <c r="J740" s="3">
        <f>IFERROR(VLOOKUP(D740,'Справочник соответствий'!A$2:D$2981,2,FALSE),IF(VALUE(D740)=0,0,VLOOKUP(D740,'Справочник соответствий'!A$2:D$2981,2,FALSE)))</f>
        <v>0</v>
      </c>
      <c r="K740" s="3" t="str">
        <f t="shared" si="77"/>
        <v>1</v>
      </c>
      <c r="L740" s="13" t="str">
        <f>IFERROR(VLOOKUP(C740,'Справочник соответствий'!A$2:D$2981,3,FALSE),IF(VALUE(C740)=0,"ЭТАЖ НЕ ОПРЕДЕЛЕН. ПРИНЯТ ПО ДОПУЩЕНИЮ 1",VLOOKUP(C740,'Справочник соответствий'!A$2:D$2981,3,FALSE)))</f>
        <v>ЭТАЖ ЗАДАН ЧИСЛОМ</v>
      </c>
      <c r="M740" s="13" t="b">
        <f t="shared" si="78"/>
        <v>0</v>
      </c>
      <c r="N740" s="13">
        <f t="shared" si="79"/>
        <v>1</v>
      </c>
      <c r="O740" s="13" t="str">
        <f t="shared" si="80"/>
        <v>ЭТАЖ ЗАДАН ЧИСЛОМ</v>
      </c>
      <c r="P740" s="13" t="str">
        <f t="shared" si="81"/>
        <v>ЭТАЖ ЗАДАН ЧИСЛОМ</v>
      </c>
      <c r="Q740" s="13" t="str">
        <f t="shared" si="82"/>
        <v>ГОТОВ_ИЗМЕНЕН</v>
      </c>
      <c r="R740" s="13">
        <f>IFERROR(VLOOKUP(P740,Лист1!A$1:B$20,2,FALSE),0)</f>
        <v>784</v>
      </c>
      <c r="S740" s="13">
        <f t="shared" si="83"/>
        <v>0</v>
      </c>
    </row>
    <row r="741" spans="1:19" x14ac:dyDescent="0.25">
      <c r="A741" s="24" t="s">
        <v>1854</v>
      </c>
      <c r="B741" s="4" t="s">
        <v>1063</v>
      </c>
      <c r="C741" s="25" t="s">
        <v>5</v>
      </c>
      <c r="G741" s="25" t="s">
        <v>1205</v>
      </c>
      <c r="H741" s="24" t="s">
        <v>1061</v>
      </c>
      <c r="I741" s="3" t="str">
        <f>IFERROR(VLOOKUP(C741,'Справочник соответствий'!A$2:D$2981,2,FALSE),IF(VALUE(C741)=0,1,VLOOKUP(C741,'Справочник соответствий'!A$2:D$2981,2,FALSE)))</f>
        <v>1</v>
      </c>
      <c r="J741" s="3">
        <f>IFERROR(VLOOKUP(D741,'Справочник соответствий'!A$2:D$2981,2,FALSE),IF(VALUE(D741)=0,0,VLOOKUP(D741,'Справочник соответствий'!A$2:D$2981,2,FALSE)))</f>
        <v>0</v>
      </c>
      <c r="K741" s="3" t="str">
        <f t="shared" si="77"/>
        <v>1</v>
      </c>
      <c r="L741" s="13" t="str">
        <f>IFERROR(VLOOKUP(C741,'Справочник соответствий'!A$2:D$2981,3,FALSE),IF(VALUE(C741)=0,"ЭТАЖ НЕ ОПРЕДЕЛЕН. ПРИНЯТ ПО ДОПУЩЕНИЮ 1",VLOOKUP(C741,'Справочник соответствий'!A$2:D$2981,3,FALSE)))</f>
        <v>ЭТАЖ ЗАДАН ЧИСЛОМ</v>
      </c>
      <c r="M741" s="13" t="b">
        <f t="shared" si="78"/>
        <v>0</v>
      </c>
      <c r="N741" s="13">
        <f t="shared" si="79"/>
        <v>1</v>
      </c>
      <c r="O741" s="13" t="str">
        <f t="shared" si="80"/>
        <v>ЭТАЖ ЗАДАН ЧИСЛОМ</v>
      </c>
      <c r="P741" s="13" t="str">
        <f t="shared" si="81"/>
        <v>ЭТАЖ ЗАДАН ЧИСЛОМ</v>
      </c>
      <c r="Q741" s="13" t="str">
        <f t="shared" si="82"/>
        <v>ГОТОВ_ИЗМЕНЕН</v>
      </c>
      <c r="R741" s="13">
        <f>IFERROR(VLOOKUP(P741,Лист1!A$1:B$20,2,FALSE),0)</f>
        <v>784</v>
      </c>
      <c r="S741" s="13">
        <f t="shared" si="83"/>
        <v>0</v>
      </c>
    </row>
    <row r="742" spans="1:19" x14ac:dyDescent="0.25">
      <c r="A742" s="24" t="s">
        <v>1855</v>
      </c>
      <c r="B742" s="4" t="s">
        <v>1059</v>
      </c>
      <c r="C742" s="25" t="s">
        <v>5</v>
      </c>
      <c r="G742" s="25" t="s">
        <v>1086</v>
      </c>
      <c r="H742" s="24" t="s">
        <v>1061</v>
      </c>
      <c r="I742" s="3" t="str">
        <f>IFERROR(VLOOKUP(C742,'Справочник соответствий'!A$2:D$2981,2,FALSE),IF(VALUE(C742)=0,1,VLOOKUP(C742,'Справочник соответствий'!A$2:D$2981,2,FALSE)))</f>
        <v>1</v>
      </c>
      <c r="J742" s="3">
        <f>IFERROR(VLOOKUP(D742,'Справочник соответствий'!A$2:D$2981,2,FALSE),IF(VALUE(D742)=0,0,VLOOKUP(D742,'Справочник соответствий'!A$2:D$2981,2,FALSE)))</f>
        <v>0</v>
      </c>
      <c r="K742" s="3" t="str">
        <f t="shared" si="77"/>
        <v>1</v>
      </c>
      <c r="L742" s="13" t="str">
        <f>IFERROR(VLOOKUP(C742,'Справочник соответствий'!A$2:D$2981,3,FALSE),IF(VALUE(C742)=0,"ЭТАЖ НЕ ОПРЕДЕЛЕН. ПРИНЯТ ПО ДОПУЩЕНИЮ 1",VLOOKUP(C742,'Справочник соответствий'!A$2:D$2981,3,FALSE)))</f>
        <v>ЭТАЖ ЗАДАН ЧИСЛОМ</v>
      </c>
      <c r="M742" s="13" t="b">
        <f t="shared" si="78"/>
        <v>0</v>
      </c>
      <c r="N742" s="13">
        <f t="shared" si="79"/>
        <v>1</v>
      </c>
      <c r="O742" s="13" t="str">
        <f t="shared" si="80"/>
        <v>ЭТАЖ ЗАДАН ЧИСЛОМ</v>
      </c>
      <c r="P742" s="13" t="str">
        <f t="shared" si="81"/>
        <v>ЭТАЖ ЗАДАН ЧИСЛОМ</v>
      </c>
      <c r="Q742" s="13" t="str">
        <f t="shared" si="82"/>
        <v>ГОТОВ_ИЗМЕНЕН</v>
      </c>
      <c r="R742" s="13">
        <f>IFERROR(VLOOKUP(P742,Лист1!A$1:B$20,2,FALSE),0)</f>
        <v>784</v>
      </c>
      <c r="S742" s="13">
        <f t="shared" si="83"/>
        <v>0</v>
      </c>
    </row>
    <row r="743" spans="1:19" x14ac:dyDescent="0.25">
      <c r="A743" s="24" t="s">
        <v>1856</v>
      </c>
      <c r="B743" s="4" t="s">
        <v>1059</v>
      </c>
      <c r="C743" s="25" t="s">
        <v>5</v>
      </c>
      <c r="G743" s="25" t="s">
        <v>1205</v>
      </c>
      <c r="H743" s="24" t="s">
        <v>1061</v>
      </c>
      <c r="I743" s="3" t="str">
        <f>IFERROR(VLOOKUP(C743,'Справочник соответствий'!A$2:D$2981,2,FALSE),IF(VALUE(C743)=0,1,VLOOKUP(C743,'Справочник соответствий'!A$2:D$2981,2,FALSE)))</f>
        <v>1</v>
      </c>
      <c r="J743" s="3">
        <f>IFERROR(VLOOKUP(D743,'Справочник соответствий'!A$2:D$2981,2,FALSE),IF(VALUE(D743)=0,0,VLOOKUP(D743,'Справочник соответствий'!A$2:D$2981,2,FALSE)))</f>
        <v>0</v>
      </c>
      <c r="K743" s="3" t="str">
        <f t="shared" si="77"/>
        <v>1</v>
      </c>
      <c r="L743" s="13" t="str">
        <f>IFERROR(VLOOKUP(C743,'Справочник соответствий'!A$2:D$2981,3,FALSE),IF(VALUE(C743)=0,"ЭТАЖ НЕ ОПРЕДЕЛЕН. ПРИНЯТ ПО ДОПУЩЕНИЮ 1",VLOOKUP(C743,'Справочник соответствий'!A$2:D$2981,3,FALSE)))</f>
        <v>ЭТАЖ ЗАДАН ЧИСЛОМ</v>
      </c>
      <c r="M743" s="13" t="b">
        <f t="shared" si="78"/>
        <v>0</v>
      </c>
      <c r="N743" s="13">
        <f t="shared" si="79"/>
        <v>1</v>
      </c>
      <c r="O743" s="13" t="str">
        <f t="shared" si="80"/>
        <v>ЭТАЖ ЗАДАН ЧИСЛОМ</v>
      </c>
      <c r="P743" s="13" t="str">
        <f t="shared" si="81"/>
        <v>ЭТАЖ ЗАДАН ЧИСЛОМ</v>
      </c>
      <c r="Q743" s="13" t="str">
        <f t="shared" si="82"/>
        <v>ГОТОВ_ИЗМЕНЕН</v>
      </c>
      <c r="R743" s="13">
        <f>IFERROR(VLOOKUP(P743,Лист1!A$1:B$20,2,FALSE),0)</f>
        <v>784</v>
      </c>
      <c r="S743" s="13">
        <f t="shared" si="83"/>
        <v>0</v>
      </c>
    </row>
    <row r="744" spans="1:19" x14ac:dyDescent="0.25">
      <c r="A744" s="24" t="s">
        <v>1857</v>
      </c>
      <c r="B744" s="4" t="s">
        <v>1063</v>
      </c>
      <c r="C744" s="25" t="s">
        <v>5</v>
      </c>
      <c r="G744" s="25" t="s">
        <v>1205</v>
      </c>
      <c r="H744" s="24" t="s">
        <v>1061</v>
      </c>
      <c r="I744" s="3" t="str">
        <f>IFERROR(VLOOKUP(C744,'Справочник соответствий'!A$2:D$2981,2,FALSE),IF(VALUE(C744)=0,1,VLOOKUP(C744,'Справочник соответствий'!A$2:D$2981,2,FALSE)))</f>
        <v>1</v>
      </c>
      <c r="J744" s="3">
        <f>IFERROR(VLOOKUP(D744,'Справочник соответствий'!A$2:D$2981,2,FALSE),IF(VALUE(D744)=0,0,VLOOKUP(D744,'Справочник соответствий'!A$2:D$2981,2,FALSE)))</f>
        <v>0</v>
      </c>
      <c r="K744" s="3" t="str">
        <f t="shared" si="77"/>
        <v>1</v>
      </c>
      <c r="L744" s="13" t="str">
        <f>IFERROR(VLOOKUP(C744,'Справочник соответствий'!A$2:D$2981,3,FALSE),IF(VALUE(C744)=0,"ЭТАЖ НЕ ОПРЕДЕЛЕН. ПРИНЯТ ПО ДОПУЩЕНИЮ 1",VLOOKUP(C744,'Справочник соответствий'!A$2:D$2981,3,FALSE)))</f>
        <v>ЭТАЖ ЗАДАН ЧИСЛОМ</v>
      </c>
      <c r="M744" s="13" t="b">
        <f t="shared" si="78"/>
        <v>0</v>
      </c>
      <c r="N744" s="13">
        <f t="shared" si="79"/>
        <v>1</v>
      </c>
      <c r="O744" s="13" t="str">
        <f t="shared" si="80"/>
        <v>ЭТАЖ ЗАДАН ЧИСЛОМ</v>
      </c>
      <c r="P744" s="13" t="str">
        <f t="shared" si="81"/>
        <v>ЭТАЖ ЗАДАН ЧИСЛОМ</v>
      </c>
      <c r="Q744" s="13" t="str">
        <f t="shared" si="82"/>
        <v>ГОТОВ_ИЗМЕНЕН</v>
      </c>
      <c r="R744" s="13">
        <f>IFERROR(VLOOKUP(P744,Лист1!A$1:B$20,2,FALSE),0)</f>
        <v>784</v>
      </c>
      <c r="S744" s="13">
        <f t="shared" si="83"/>
        <v>0</v>
      </c>
    </row>
    <row r="745" spans="1:19" x14ac:dyDescent="0.25">
      <c r="A745" s="24" t="s">
        <v>1858</v>
      </c>
      <c r="B745" s="4" t="s">
        <v>1063</v>
      </c>
      <c r="G745" s="25" t="s">
        <v>1219</v>
      </c>
      <c r="H745" s="24" t="s">
        <v>1061</v>
      </c>
      <c r="I745" s="3">
        <f>IFERROR(VLOOKUP(C745,'Справочник соответствий'!A$2:D$2981,2,FALSE),IF(VALUE(C745)=0,1,VLOOKUP(C745,'Справочник соответствий'!A$2:D$2981,2,FALSE)))</f>
        <v>1</v>
      </c>
      <c r="J745" s="3">
        <f>IFERROR(VLOOKUP(D745,'Справочник соответствий'!A$2:D$2981,2,FALSE),IF(VALUE(D745)=0,0,VLOOKUP(D745,'Справочник соответствий'!A$2:D$2981,2,FALSE)))</f>
        <v>0</v>
      </c>
      <c r="K745" s="3">
        <f t="shared" si="77"/>
        <v>1</v>
      </c>
      <c r="L745" s="13" t="str">
        <f>IFERROR(VLOOKUP(C745,'Справочник соответствий'!A$2:D$2981,3,FALSE),IF(VALUE(C745)=0,"ЭТАЖ НЕ ОПРЕДЕЛЕН. ПРИНЯТ ПО ДОПУЩЕНИЮ 1",VLOOKUP(C745,'Справочник соответствий'!A$2:D$2981,3,FALSE)))</f>
        <v>ЭТАЖ НЕ ОПРЕДЕЛЕН. ПРИНЯТ ПО ДОПУЩЕНИЮ 1</v>
      </c>
      <c r="M745" s="13" t="b">
        <f t="shared" si="78"/>
        <v>0</v>
      </c>
      <c r="N745" s="13">
        <f t="shared" si="79"/>
        <v>1</v>
      </c>
      <c r="O745" s="13" t="str">
        <f t="shared" si="80"/>
        <v>ЭТАЖ НЕ ОПРЕДЕЛЕН. ПРИНЯТ ПО ДОПУЩЕНИЮ 1</v>
      </c>
      <c r="P745" s="13" t="str">
        <f t="shared" si="81"/>
        <v>ЭТАЖ НЕ ОПРЕДЕЛЕН. ПРИНЯТ ПО ДОПУЩЕНИЮ 1</v>
      </c>
      <c r="Q745" s="13" t="str">
        <f t="shared" si="82"/>
        <v>ГОТОВ_ИЗМЕНЕН</v>
      </c>
      <c r="R745" s="13">
        <f>IFERROR(VLOOKUP(P745,Лист1!A$1:B$20,2,FALSE),0)</f>
        <v>788</v>
      </c>
      <c r="S745" s="13">
        <f t="shared" si="83"/>
        <v>0</v>
      </c>
    </row>
    <row r="746" spans="1:19" x14ac:dyDescent="0.25">
      <c r="A746" s="24" t="s">
        <v>1859</v>
      </c>
      <c r="B746" s="4" t="s">
        <v>1059</v>
      </c>
      <c r="C746" s="25" t="s">
        <v>7</v>
      </c>
      <c r="G746" s="25" t="s">
        <v>1174</v>
      </c>
      <c r="H746" s="24" t="s">
        <v>1061</v>
      </c>
      <c r="I746" s="3" t="str">
        <f>IFERROR(VLOOKUP(C746,'Справочник соответствий'!A$2:D$2981,2,FALSE),IF(VALUE(C746)=0,1,VLOOKUP(C746,'Справочник соответствий'!A$2:D$2981,2,FALSE)))</f>
        <v>2</v>
      </c>
      <c r="J746" s="3">
        <f>IFERROR(VLOOKUP(D746,'Справочник соответствий'!A$2:D$2981,2,FALSE),IF(VALUE(D746)=0,0,VLOOKUP(D746,'Справочник соответствий'!A$2:D$2981,2,FALSE)))</f>
        <v>0</v>
      </c>
      <c r="K746" s="3" t="str">
        <f t="shared" si="77"/>
        <v>2</v>
      </c>
      <c r="L746" s="13" t="str">
        <f>IFERROR(VLOOKUP(C746,'Справочник соответствий'!A$2:D$2981,3,FALSE),IF(VALUE(C746)=0,"ЭТАЖ НЕ ОПРЕДЕЛЕН. ПРИНЯТ ПО ДОПУЩЕНИЮ 1",VLOOKUP(C746,'Справочник соответствий'!A$2:D$2981,3,FALSE)))</f>
        <v>ЭТАЖ ЗАДАН ЧИСЛОМ</v>
      </c>
      <c r="M746" s="13" t="b">
        <f t="shared" si="78"/>
        <v>0</v>
      </c>
      <c r="N746" s="13">
        <f t="shared" si="79"/>
        <v>2</v>
      </c>
      <c r="O746" s="13" t="str">
        <f t="shared" si="80"/>
        <v>ЭТАЖ ЗАДАН ЧИСЛОМ</v>
      </c>
      <c r="P746" s="13" t="str">
        <f t="shared" si="81"/>
        <v>ЭТАЖ ЗАДАН ЧИСЛОМ</v>
      </c>
      <c r="Q746" s="13" t="str">
        <f t="shared" si="82"/>
        <v>ГОТОВ_ИЗМЕНЕН</v>
      </c>
      <c r="R746" s="13">
        <f>IFERROR(VLOOKUP(P746,Лист1!A$1:B$20,2,FALSE),0)</f>
        <v>784</v>
      </c>
      <c r="S746" s="13">
        <f t="shared" si="83"/>
        <v>0</v>
      </c>
    </row>
    <row r="747" spans="1:19" x14ac:dyDescent="0.25">
      <c r="A747" s="24" t="s">
        <v>1860</v>
      </c>
      <c r="B747" s="4" t="s">
        <v>1059</v>
      </c>
      <c r="C747" s="25" t="s">
        <v>5</v>
      </c>
      <c r="G747" s="25" t="s">
        <v>1174</v>
      </c>
      <c r="H747" s="24" t="s">
        <v>1061</v>
      </c>
      <c r="I747" s="3" t="str">
        <f>IFERROR(VLOOKUP(C747,'Справочник соответствий'!A$2:D$2981,2,FALSE),IF(VALUE(C747)=0,1,VLOOKUP(C747,'Справочник соответствий'!A$2:D$2981,2,FALSE)))</f>
        <v>1</v>
      </c>
      <c r="J747" s="3">
        <f>IFERROR(VLOOKUP(D747,'Справочник соответствий'!A$2:D$2981,2,FALSE),IF(VALUE(D747)=0,0,VLOOKUP(D747,'Справочник соответствий'!A$2:D$2981,2,FALSE)))</f>
        <v>0</v>
      </c>
      <c r="K747" s="3" t="str">
        <f t="shared" si="77"/>
        <v>1</v>
      </c>
      <c r="L747" s="13" t="str">
        <f>IFERROR(VLOOKUP(C747,'Справочник соответствий'!A$2:D$2981,3,FALSE),IF(VALUE(C747)=0,"ЭТАЖ НЕ ОПРЕДЕЛЕН. ПРИНЯТ ПО ДОПУЩЕНИЮ 1",VLOOKUP(C747,'Справочник соответствий'!A$2:D$2981,3,FALSE)))</f>
        <v>ЭТАЖ ЗАДАН ЧИСЛОМ</v>
      </c>
      <c r="M747" s="13" t="b">
        <f t="shared" si="78"/>
        <v>0</v>
      </c>
      <c r="N747" s="13">
        <f t="shared" si="79"/>
        <v>1</v>
      </c>
      <c r="O747" s="13" t="str">
        <f t="shared" si="80"/>
        <v>ЭТАЖ ЗАДАН ЧИСЛОМ</v>
      </c>
      <c r="P747" s="13" t="str">
        <f t="shared" si="81"/>
        <v>ЭТАЖ ЗАДАН ЧИСЛОМ</v>
      </c>
      <c r="Q747" s="13" t="str">
        <f t="shared" si="82"/>
        <v>ГОТОВ_ИЗМЕНЕН</v>
      </c>
      <c r="R747" s="13">
        <f>IFERROR(VLOOKUP(P747,Лист1!A$1:B$20,2,FALSE),0)</f>
        <v>784</v>
      </c>
      <c r="S747" s="13">
        <f t="shared" si="83"/>
        <v>0</v>
      </c>
    </row>
    <row r="748" spans="1:19" x14ac:dyDescent="0.25">
      <c r="A748" s="24" t="s">
        <v>1861</v>
      </c>
      <c r="B748" s="4" t="s">
        <v>1059</v>
      </c>
      <c r="C748" s="25" t="s">
        <v>5</v>
      </c>
      <c r="G748" s="25" t="s">
        <v>1222</v>
      </c>
      <c r="H748" s="24" t="s">
        <v>1061</v>
      </c>
      <c r="I748" s="3" t="str">
        <f>IFERROR(VLOOKUP(C748,'Справочник соответствий'!A$2:D$2981,2,FALSE),IF(VALUE(C748)=0,1,VLOOKUP(C748,'Справочник соответствий'!A$2:D$2981,2,FALSE)))</f>
        <v>1</v>
      </c>
      <c r="J748" s="3">
        <f>IFERROR(VLOOKUP(D748,'Справочник соответствий'!A$2:D$2981,2,FALSE),IF(VALUE(D748)=0,0,VLOOKUP(D748,'Справочник соответствий'!A$2:D$2981,2,FALSE)))</f>
        <v>0</v>
      </c>
      <c r="K748" s="3" t="str">
        <f t="shared" si="77"/>
        <v>1</v>
      </c>
      <c r="L748" s="13" t="str">
        <f>IFERROR(VLOOKUP(C748,'Справочник соответствий'!A$2:D$2981,3,FALSE),IF(VALUE(C748)=0,"ЭТАЖ НЕ ОПРЕДЕЛЕН. ПРИНЯТ ПО ДОПУЩЕНИЮ 1",VLOOKUP(C748,'Справочник соответствий'!A$2:D$2981,3,FALSE)))</f>
        <v>ЭТАЖ ЗАДАН ЧИСЛОМ</v>
      </c>
      <c r="M748" s="13" t="b">
        <f t="shared" si="78"/>
        <v>0</v>
      </c>
      <c r="N748" s="13">
        <f t="shared" si="79"/>
        <v>1</v>
      </c>
      <c r="O748" s="13" t="str">
        <f t="shared" si="80"/>
        <v>ЭТАЖ ЗАДАН ЧИСЛОМ</v>
      </c>
      <c r="P748" s="13" t="str">
        <f t="shared" si="81"/>
        <v>ЭТАЖ ЗАДАН ЧИСЛОМ</v>
      </c>
      <c r="Q748" s="13" t="str">
        <f t="shared" si="82"/>
        <v>ГОТОВ_ИЗМЕНЕН</v>
      </c>
      <c r="R748" s="13">
        <f>IFERROR(VLOOKUP(P748,Лист1!A$1:B$20,2,FALSE),0)</f>
        <v>784</v>
      </c>
      <c r="S748" s="13">
        <f t="shared" si="83"/>
        <v>0</v>
      </c>
    </row>
    <row r="749" spans="1:19" x14ac:dyDescent="0.25">
      <c r="A749" s="24" t="s">
        <v>1862</v>
      </c>
      <c r="B749" s="4" t="s">
        <v>1063</v>
      </c>
      <c r="C749" s="25" t="s">
        <v>5</v>
      </c>
      <c r="G749" s="25" t="s">
        <v>1072</v>
      </c>
      <c r="H749" s="24" t="s">
        <v>1061</v>
      </c>
      <c r="I749" s="3" t="str">
        <f>IFERROR(VLOOKUP(C749,'Справочник соответствий'!A$2:D$2981,2,FALSE),IF(VALUE(C749)=0,1,VLOOKUP(C749,'Справочник соответствий'!A$2:D$2981,2,FALSE)))</f>
        <v>1</v>
      </c>
      <c r="J749" s="3">
        <f>IFERROR(VLOOKUP(D749,'Справочник соответствий'!A$2:D$2981,2,FALSE),IF(VALUE(D749)=0,0,VLOOKUP(D749,'Справочник соответствий'!A$2:D$2981,2,FALSE)))</f>
        <v>0</v>
      </c>
      <c r="K749" s="3" t="str">
        <f t="shared" si="77"/>
        <v>1</v>
      </c>
      <c r="L749" s="13" t="str">
        <f>IFERROR(VLOOKUP(C749,'Справочник соответствий'!A$2:D$2981,3,FALSE),IF(VALUE(C749)=0,"ЭТАЖ НЕ ОПРЕДЕЛЕН. ПРИНЯТ ПО ДОПУЩЕНИЮ 1",VLOOKUP(C749,'Справочник соответствий'!A$2:D$2981,3,FALSE)))</f>
        <v>ЭТАЖ ЗАДАН ЧИСЛОМ</v>
      </c>
      <c r="M749" s="13" t="b">
        <f t="shared" si="78"/>
        <v>0</v>
      </c>
      <c r="N749" s="13">
        <f t="shared" si="79"/>
        <v>1</v>
      </c>
      <c r="O749" s="13" t="str">
        <f t="shared" si="80"/>
        <v>ЭТАЖ ЗАДАН ЧИСЛОМ</v>
      </c>
      <c r="P749" s="13" t="str">
        <f t="shared" si="81"/>
        <v>ЭТАЖ ЗАДАН ЧИСЛОМ</v>
      </c>
      <c r="Q749" s="13" t="str">
        <f t="shared" si="82"/>
        <v>ГОТОВ_ИЗМЕНЕН</v>
      </c>
      <c r="R749" s="13">
        <f>IFERROR(VLOOKUP(P749,Лист1!A$1:B$20,2,FALSE),0)</f>
        <v>784</v>
      </c>
      <c r="S749" s="13">
        <f t="shared" si="83"/>
        <v>0</v>
      </c>
    </row>
    <row r="750" spans="1:19" x14ac:dyDescent="0.25">
      <c r="A750" s="24" t="s">
        <v>1863</v>
      </c>
      <c r="B750" s="4" t="s">
        <v>1063</v>
      </c>
      <c r="C750" s="25" t="s">
        <v>7</v>
      </c>
      <c r="G750" s="25" t="s">
        <v>1219</v>
      </c>
      <c r="H750" s="24" t="s">
        <v>1061</v>
      </c>
      <c r="I750" s="3" t="str">
        <f>IFERROR(VLOOKUP(C750,'Справочник соответствий'!A$2:D$2981,2,FALSE),IF(VALUE(C750)=0,1,VLOOKUP(C750,'Справочник соответствий'!A$2:D$2981,2,FALSE)))</f>
        <v>2</v>
      </c>
      <c r="J750" s="3">
        <f>IFERROR(VLOOKUP(D750,'Справочник соответствий'!A$2:D$2981,2,FALSE),IF(VALUE(D750)=0,0,VLOOKUP(D750,'Справочник соответствий'!A$2:D$2981,2,FALSE)))</f>
        <v>0</v>
      </c>
      <c r="K750" s="3" t="str">
        <f t="shared" si="77"/>
        <v>2</v>
      </c>
      <c r="L750" s="13" t="str">
        <f>IFERROR(VLOOKUP(C750,'Справочник соответствий'!A$2:D$2981,3,FALSE),IF(VALUE(C750)=0,"ЭТАЖ НЕ ОПРЕДЕЛЕН. ПРИНЯТ ПО ДОПУЩЕНИЮ 1",VLOOKUP(C750,'Справочник соответствий'!A$2:D$2981,3,FALSE)))</f>
        <v>ЭТАЖ ЗАДАН ЧИСЛОМ</v>
      </c>
      <c r="M750" s="13" t="b">
        <f t="shared" si="78"/>
        <v>0</v>
      </c>
      <c r="N750" s="13">
        <f t="shared" si="79"/>
        <v>2</v>
      </c>
      <c r="O750" s="13" t="str">
        <f t="shared" si="80"/>
        <v>ЭТАЖ ЗАДАН ЧИСЛОМ</v>
      </c>
      <c r="P750" s="13" t="str">
        <f t="shared" si="81"/>
        <v>ЭТАЖ ЗАДАН ЧИСЛОМ</v>
      </c>
      <c r="Q750" s="13" t="str">
        <f t="shared" si="82"/>
        <v>ГОТОВ_ИЗМЕНЕН</v>
      </c>
      <c r="R750" s="13">
        <f>IFERROR(VLOOKUP(P750,Лист1!A$1:B$20,2,FALSE),0)</f>
        <v>784</v>
      </c>
      <c r="S750" s="13">
        <f t="shared" si="83"/>
        <v>0</v>
      </c>
    </row>
    <row r="751" spans="1:19" x14ac:dyDescent="0.25">
      <c r="A751" s="24" t="s">
        <v>1864</v>
      </c>
      <c r="B751" s="4" t="s">
        <v>1063</v>
      </c>
      <c r="C751" s="25" t="s">
        <v>5</v>
      </c>
      <c r="G751" s="25" t="s">
        <v>1224</v>
      </c>
      <c r="H751" s="24" t="s">
        <v>1061</v>
      </c>
      <c r="I751" s="3" t="str">
        <f>IFERROR(VLOOKUP(C751,'Справочник соответствий'!A$2:D$2981,2,FALSE),IF(VALUE(C751)=0,1,VLOOKUP(C751,'Справочник соответствий'!A$2:D$2981,2,FALSE)))</f>
        <v>1</v>
      </c>
      <c r="J751" s="3">
        <f>IFERROR(VLOOKUP(D751,'Справочник соответствий'!A$2:D$2981,2,FALSE),IF(VALUE(D751)=0,0,VLOOKUP(D751,'Справочник соответствий'!A$2:D$2981,2,FALSE)))</f>
        <v>0</v>
      </c>
      <c r="K751" s="3" t="str">
        <f t="shared" si="77"/>
        <v>1</v>
      </c>
      <c r="L751" s="13" t="str">
        <f>IFERROR(VLOOKUP(C751,'Справочник соответствий'!A$2:D$2981,3,FALSE),IF(VALUE(C751)=0,"ЭТАЖ НЕ ОПРЕДЕЛЕН. ПРИНЯТ ПО ДОПУЩЕНИЮ 1",VLOOKUP(C751,'Справочник соответствий'!A$2:D$2981,3,FALSE)))</f>
        <v>ЭТАЖ ЗАДАН ЧИСЛОМ</v>
      </c>
      <c r="M751" s="13" t="b">
        <f t="shared" si="78"/>
        <v>0</v>
      </c>
      <c r="N751" s="13">
        <f t="shared" si="79"/>
        <v>1</v>
      </c>
      <c r="O751" s="13" t="str">
        <f t="shared" si="80"/>
        <v>ЭТАЖ ЗАДАН ЧИСЛОМ</v>
      </c>
      <c r="P751" s="13" t="str">
        <f t="shared" si="81"/>
        <v>ЭТАЖ ЗАДАН ЧИСЛОМ</v>
      </c>
      <c r="Q751" s="13" t="str">
        <f t="shared" si="82"/>
        <v>ГОТОВ_ИЗМЕНЕН</v>
      </c>
      <c r="R751" s="13">
        <f>IFERROR(VLOOKUP(P751,Лист1!A$1:B$20,2,FALSE),0)</f>
        <v>784</v>
      </c>
      <c r="S751" s="13">
        <f t="shared" si="83"/>
        <v>0</v>
      </c>
    </row>
    <row r="752" spans="1:19" x14ac:dyDescent="0.25">
      <c r="A752" s="24" t="s">
        <v>1865</v>
      </c>
      <c r="B752" s="4" t="s">
        <v>1059</v>
      </c>
      <c r="C752" s="25" t="s">
        <v>5</v>
      </c>
      <c r="G752" s="25" t="s">
        <v>1230</v>
      </c>
      <c r="H752" s="24" t="s">
        <v>1061</v>
      </c>
      <c r="I752" s="3" t="str">
        <f>IFERROR(VLOOKUP(C752,'Справочник соответствий'!A$2:D$2981,2,FALSE),IF(VALUE(C752)=0,1,VLOOKUP(C752,'Справочник соответствий'!A$2:D$2981,2,FALSE)))</f>
        <v>1</v>
      </c>
      <c r="J752" s="3">
        <f>IFERROR(VLOOKUP(D752,'Справочник соответствий'!A$2:D$2981,2,FALSE),IF(VALUE(D752)=0,0,VLOOKUP(D752,'Справочник соответствий'!A$2:D$2981,2,FALSE)))</f>
        <v>0</v>
      </c>
      <c r="K752" s="3" t="str">
        <f t="shared" si="77"/>
        <v>1</v>
      </c>
      <c r="L752" s="13" t="str">
        <f>IFERROR(VLOOKUP(C752,'Справочник соответствий'!A$2:D$2981,3,FALSE),IF(VALUE(C752)=0,"ЭТАЖ НЕ ОПРЕДЕЛЕН. ПРИНЯТ ПО ДОПУЩЕНИЮ 1",VLOOKUP(C752,'Справочник соответствий'!A$2:D$2981,3,FALSE)))</f>
        <v>ЭТАЖ ЗАДАН ЧИСЛОМ</v>
      </c>
      <c r="M752" s="13" t="b">
        <f t="shared" si="78"/>
        <v>0</v>
      </c>
      <c r="N752" s="13">
        <f t="shared" si="79"/>
        <v>1</v>
      </c>
      <c r="O752" s="13" t="str">
        <f t="shared" si="80"/>
        <v>ЭТАЖ ЗАДАН ЧИСЛОМ</v>
      </c>
      <c r="P752" s="13" t="str">
        <f t="shared" si="81"/>
        <v>ЭТАЖ ЗАДАН ЧИСЛОМ</v>
      </c>
      <c r="Q752" s="13" t="str">
        <f t="shared" si="82"/>
        <v>ГОТОВ_ИЗМЕНЕН</v>
      </c>
      <c r="R752" s="13">
        <f>IFERROR(VLOOKUP(P752,Лист1!A$1:B$20,2,FALSE),0)</f>
        <v>784</v>
      </c>
      <c r="S752" s="13">
        <f t="shared" si="83"/>
        <v>0</v>
      </c>
    </row>
    <row r="753" spans="1:19" x14ac:dyDescent="0.25">
      <c r="A753" s="24" t="s">
        <v>1866</v>
      </c>
      <c r="B753" s="4" t="s">
        <v>1063</v>
      </c>
      <c r="C753" s="25" t="s">
        <v>5</v>
      </c>
      <c r="G753" s="25" t="s">
        <v>1219</v>
      </c>
      <c r="H753" s="24" t="s">
        <v>1061</v>
      </c>
      <c r="I753" s="3" t="str">
        <f>IFERROR(VLOOKUP(C753,'Справочник соответствий'!A$2:D$2981,2,FALSE),IF(VALUE(C753)=0,1,VLOOKUP(C753,'Справочник соответствий'!A$2:D$2981,2,FALSE)))</f>
        <v>1</v>
      </c>
      <c r="J753" s="3">
        <f>IFERROR(VLOOKUP(D753,'Справочник соответствий'!A$2:D$2981,2,FALSE),IF(VALUE(D753)=0,0,VLOOKUP(D753,'Справочник соответствий'!A$2:D$2981,2,FALSE)))</f>
        <v>0</v>
      </c>
      <c r="K753" s="3" t="str">
        <f t="shared" si="77"/>
        <v>1</v>
      </c>
      <c r="L753" s="13" t="str">
        <f>IFERROR(VLOOKUP(C753,'Справочник соответствий'!A$2:D$2981,3,FALSE),IF(VALUE(C753)=0,"ЭТАЖ НЕ ОПРЕДЕЛЕН. ПРИНЯТ ПО ДОПУЩЕНИЮ 1",VLOOKUP(C753,'Справочник соответствий'!A$2:D$2981,3,FALSE)))</f>
        <v>ЭТАЖ ЗАДАН ЧИСЛОМ</v>
      </c>
      <c r="M753" s="13" t="b">
        <f t="shared" si="78"/>
        <v>0</v>
      </c>
      <c r="N753" s="13">
        <f t="shared" si="79"/>
        <v>1</v>
      </c>
      <c r="O753" s="13" t="str">
        <f t="shared" si="80"/>
        <v>ЭТАЖ ЗАДАН ЧИСЛОМ</v>
      </c>
      <c r="P753" s="13" t="str">
        <f t="shared" si="81"/>
        <v>ЭТАЖ ЗАДАН ЧИСЛОМ</v>
      </c>
      <c r="Q753" s="13" t="str">
        <f t="shared" si="82"/>
        <v>ГОТОВ_ИЗМЕНЕН</v>
      </c>
      <c r="R753" s="13">
        <f>IFERROR(VLOOKUP(P753,Лист1!A$1:B$20,2,FALSE),0)</f>
        <v>784</v>
      </c>
      <c r="S753" s="13">
        <f t="shared" si="83"/>
        <v>0</v>
      </c>
    </row>
    <row r="754" spans="1:19" x14ac:dyDescent="0.25">
      <c r="A754" s="24" t="s">
        <v>1867</v>
      </c>
      <c r="B754" s="4" t="s">
        <v>1059</v>
      </c>
      <c r="C754" s="25" t="s">
        <v>7</v>
      </c>
      <c r="G754" s="25" t="s">
        <v>1230</v>
      </c>
      <c r="H754" s="24" t="s">
        <v>1061</v>
      </c>
      <c r="I754" s="3" t="str">
        <f>IFERROR(VLOOKUP(C754,'Справочник соответствий'!A$2:D$2981,2,FALSE),IF(VALUE(C754)=0,1,VLOOKUP(C754,'Справочник соответствий'!A$2:D$2981,2,FALSE)))</f>
        <v>2</v>
      </c>
      <c r="J754" s="3">
        <f>IFERROR(VLOOKUP(D754,'Справочник соответствий'!A$2:D$2981,2,FALSE),IF(VALUE(D754)=0,0,VLOOKUP(D754,'Справочник соответствий'!A$2:D$2981,2,FALSE)))</f>
        <v>0</v>
      </c>
      <c r="K754" s="3" t="str">
        <f t="shared" si="77"/>
        <v>2</v>
      </c>
      <c r="L754" s="13" t="str">
        <f>IFERROR(VLOOKUP(C754,'Справочник соответствий'!A$2:D$2981,3,FALSE),IF(VALUE(C754)=0,"ЭТАЖ НЕ ОПРЕДЕЛЕН. ПРИНЯТ ПО ДОПУЩЕНИЮ 1",VLOOKUP(C754,'Справочник соответствий'!A$2:D$2981,3,FALSE)))</f>
        <v>ЭТАЖ ЗАДАН ЧИСЛОМ</v>
      </c>
      <c r="M754" s="13" t="b">
        <f t="shared" si="78"/>
        <v>0</v>
      </c>
      <c r="N754" s="13">
        <f t="shared" si="79"/>
        <v>2</v>
      </c>
      <c r="O754" s="13" t="str">
        <f t="shared" si="80"/>
        <v>ЭТАЖ ЗАДАН ЧИСЛОМ</v>
      </c>
      <c r="P754" s="13" t="str">
        <f t="shared" si="81"/>
        <v>ЭТАЖ ЗАДАН ЧИСЛОМ</v>
      </c>
      <c r="Q754" s="13" t="str">
        <f t="shared" si="82"/>
        <v>ГОТОВ_ИЗМЕНЕН</v>
      </c>
      <c r="R754" s="13">
        <f>IFERROR(VLOOKUP(P754,Лист1!A$1:B$20,2,FALSE),0)</f>
        <v>784</v>
      </c>
      <c r="S754" s="13">
        <f t="shared" si="83"/>
        <v>0</v>
      </c>
    </row>
    <row r="755" spans="1:19" x14ac:dyDescent="0.25">
      <c r="A755" s="24" t="s">
        <v>1868</v>
      </c>
      <c r="B755" s="4" t="s">
        <v>1063</v>
      </c>
      <c r="C755" s="25" t="s">
        <v>5</v>
      </c>
      <c r="G755" s="25" t="s">
        <v>1230</v>
      </c>
      <c r="H755" s="24" t="s">
        <v>1061</v>
      </c>
      <c r="I755" s="3" t="str">
        <f>IFERROR(VLOOKUP(C755,'Справочник соответствий'!A$2:D$2981,2,FALSE),IF(VALUE(C755)=0,1,VLOOKUP(C755,'Справочник соответствий'!A$2:D$2981,2,FALSE)))</f>
        <v>1</v>
      </c>
      <c r="J755" s="3">
        <f>IFERROR(VLOOKUP(D755,'Справочник соответствий'!A$2:D$2981,2,FALSE),IF(VALUE(D755)=0,0,VLOOKUP(D755,'Справочник соответствий'!A$2:D$2981,2,FALSE)))</f>
        <v>0</v>
      </c>
      <c r="K755" s="3" t="str">
        <f t="shared" si="77"/>
        <v>1</v>
      </c>
      <c r="L755" s="13" t="str">
        <f>IFERROR(VLOOKUP(C755,'Справочник соответствий'!A$2:D$2981,3,FALSE),IF(VALUE(C755)=0,"ЭТАЖ НЕ ОПРЕДЕЛЕН. ПРИНЯТ ПО ДОПУЩЕНИЮ 1",VLOOKUP(C755,'Справочник соответствий'!A$2:D$2981,3,FALSE)))</f>
        <v>ЭТАЖ ЗАДАН ЧИСЛОМ</v>
      </c>
      <c r="M755" s="13" t="b">
        <f t="shared" si="78"/>
        <v>0</v>
      </c>
      <c r="N755" s="13">
        <f t="shared" si="79"/>
        <v>1</v>
      </c>
      <c r="O755" s="13" t="str">
        <f t="shared" si="80"/>
        <v>ЭТАЖ ЗАДАН ЧИСЛОМ</v>
      </c>
      <c r="P755" s="13" t="str">
        <f t="shared" si="81"/>
        <v>ЭТАЖ ЗАДАН ЧИСЛОМ</v>
      </c>
      <c r="Q755" s="13" t="str">
        <f t="shared" si="82"/>
        <v>ГОТОВ_ИЗМЕНЕН</v>
      </c>
      <c r="R755" s="13">
        <f>IFERROR(VLOOKUP(P755,Лист1!A$1:B$20,2,FALSE),0)</f>
        <v>784</v>
      </c>
      <c r="S755" s="13">
        <f t="shared" si="83"/>
        <v>0</v>
      </c>
    </row>
    <row r="756" spans="1:19" x14ac:dyDescent="0.25">
      <c r="A756" s="24" t="s">
        <v>1869</v>
      </c>
      <c r="B756" s="4" t="s">
        <v>1059</v>
      </c>
      <c r="C756" s="25" t="s">
        <v>7</v>
      </c>
      <c r="G756" s="25" t="s">
        <v>1219</v>
      </c>
      <c r="H756" s="24" t="s">
        <v>1061</v>
      </c>
      <c r="I756" s="3" t="str">
        <f>IFERROR(VLOOKUP(C756,'Справочник соответствий'!A$2:D$2981,2,FALSE),IF(VALUE(C756)=0,1,VLOOKUP(C756,'Справочник соответствий'!A$2:D$2981,2,FALSE)))</f>
        <v>2</v>
      </c>
      <c r="J756" s="3">
        <f>IFERROR(VLOOKUP(D756,'Справочник соответствий'!A$2:D$2981,2,FALSE),IF(VALUE(D756)=0,0,VLOOKUP(D756,'Справочник соответствий'!A$2:D$2981,2,FALSE)))</f>
        <v>0</v>
      </c>
      <c r="K756" s="3" t="str">
        <f t="shared" si="77"/>
        <v>2</v>
      </c>
      <c r="L756" s="13" t="str">
        <f>IFERROR(VLOOKUP(C756,'Справочник соответствий'!A$2:D$2981,3,FALSE),IF(VALUE(C756)=0,"ЭТАЖ НЕ ОПРЕДЕЛЕН. ПРИНЯТ ПО ДОПУЩЕНИЮ 1",VLOOKUP(C756,'Справочник соответствий'!A$2:D$2981,3,FALSE)))</f>
        <v>ЭТАЖ ЗАДАН ЧИСЛОМ</v>
      </c>
      <c r="M756" s="13" t="b">
        <f t="shared" si="78"/>
        <v>0</v>
      </c>
      <c r="N756" s="13">
        <f t="shared" si="79"/>
        <v>2</v>
      </c>
      <c r="O756" s="13" t="str">
        <f t="shared" si="80"/>
        <v>ЭТАЖ ЗАДАН ЧИСЛОМ</v>
      </c>
      <c r="P756" s="13" t="str">
        <f t="shared" si="81"/>
        <v>ЭТАЖ ЗАДАН ЧИСЛОМ</v>
      </c>
      <c r="Q756" s="13" t="str">
        <f t="shared" si="82"/>
        <v>ГОТОВ_ИЗМЕНЕН</v>
      </c>
      <c r="R756" s="13">
        <f>IFERROR(VLOOKUP(P756,Лист1!A$1:B$20,2,FALSE),0)</f>
        <v>784</v>
      </c>
      <c r="S756" s="13">
        <f t="shared" si="83"/>
        <v>0</v>
      </c>
    </row>
    <row r="757" spans="1:19" x14ac:dyDescent="0.25">
      <c r="A757" s="24" t="s">
        <v>1870</v>
      </c>
      <c r="B757" s="4" t="s">
        <v>1059</v>
      </c>
      <c r="C757" s="25" t="s">
        <v>5</v>
      </c>
      <c r="G757" s="25" t="s">
        <v>1228</v>
      </c>
      <c r="H757" s="24" t="s">
        <v>1061</v>
      </c>
      <c r="I757" s="3" t="str">
        <f>IFERROR(VLOOKUP(C757,'Справочник соответствий'!A$2:D$2981,2,FALSE),IF(VALUE(C757)=0,1,VLOOKUP(C757,'Справочник соответствий'!A$2:D$2981,2,FALSE)))</f>
        <v>1</v>
      </c>
      <c r="J757" s="3">
        <f>IFERROR(VLOOKUP(D757,'Справочник соответствий'!A$2:D$2981,2,FALSE),IF(VALUE(D757)=0,0,VLOOKUP(D757,'Справочник соответствий'!A$2:D$2981,2,FALSE)))</f>
        <v>0</v>
      </c>
      <c r="K757" s="3" t="str">
        <f t="shared" si="77"/>
        <v>1</v>
      </c>
      <c r="L757" s="13" t="str">
        <f>IFERROR(VLOOKUP(C757,'Справочник соответствий'!A$2:D$2981,3,FALSE),IF(VALUE(C757)=0,"ЭТАЖ НЕ ОПРЕДЕЛЕН. ПРИНЯТ ПО ДОПУЩЕНИЮ 1",VLOOKUP(C757,'Справочник соответствий'!A$2:D$2981,3,FALSE)))</f>
        <v>ЭТАЖ ЗАДАН ЧИСЛОМ</v>
      </c>
      <c r="M757" s="13" t="b">
        <f t="shared" si="78"/>
        <v>0</v>
      </c>
      <c r="N757" s="13">
        <f t="shared" si="79"/>
        <v>1</v>
      </c>
      <c r="O757" s="13" t="str">
        <f t="shared" si="80"/>
        <v>ЭТАЖ ЗАДАН ЧИСЛОМ</v>
      </c>
      <c r="P757" s="13" t="str">
        <f t="shared" si="81"/>
        <v>ЭТАЖ ЗАДАН ЧИСЛОМ</v>
      </c>
      <c r="Q757" s="13" t="str">
        <f t="shared" si="82"/>
        <v>ГОТОВ_ИЗМЕНЕН</v>
      </c>
      <c r="R757" s="13">
        <f>IFERROR(VLOOKUP(P757,Лист1!A$1:B$20,2,FALSE),0)</f>
        <v>784</v>
      </c>
      <c r="S757" s="13">
        <f t="shared" si="83"/>
        <v>0</v>
      </c>
    </row>
    <row r="758" spans="1:19" x14ac:dyDescent="0.25">
      <c r="A758" s="24" t="s">
        <v>1871</v>
      </c>
      <c r="B758" s="4" t="s">
        <v>1063</v>
      </c>
      <c r="C758" s="25" t="s">
        <v>5</v>
      </c>
      <c r="G758" s="25" t="s">
        <v>1230</v>
      </c>
      <c r="H758" s="24" t="s">
        <v>1061</v>
      </c>
      <c r="I758" s="3" t="str">
        <f>IFERROR(VLOOKUP(C758,'Справочник соответствий'!A$2:D$2981,2,FALSE),IF(VALUE(C758)=0,1,VLOOKUP(C758,'Справочник соответствий'!A$2:D$2981,2,FALSE)))</f>
        <v>1</v>
      </c>
      <c r="J758" s="3">
        <f>IFERROR(VLOOKUP(D758,'Справочник соответствий'!A$2:D$2981,2,FALSE),IF(VALUE(D758)=0,0,VLOOKUP(D758,'Справочник соответствий'!A$2:D$2981,2,FALSE)))</f>
        <v>0</v>
      </c>
      <c r="K758" s="3" t="str">
        <f t="shared" si="77"/>
        <v>1</v>
      </c>
      <c r="L758" s="13" t="str">
        <f>IFERROR(VLOOKUP(C758,'Справочник соответствий'!A$2:D$2981,3,FALSE),IF(VALUE(C758)=0,"ЭТАЖ НЕ ОПРЕДЕЛЕН. ПРИНЯТ ПО ДОПУЩЕНИЮ 1",VLOOKUP(C758,'Справочник соответствий'!A$2:D$2981,3,FALSE)))</f>
        <v>ЭТАЖ ЗАДАН ЧИСЛОМ</v>
      </c>
      <c r="M758" s="13" t="b">
        <f t="shared" si="78"/>
        <v>0</v>
      </c>
      <c r="N758" s="13">
        <f t="shared" si="79"/>
        <v>1</v>
      </c>
      <c r="O758" s="13" t="str">
        <f t="shared" si="80"/>
        <v>ЭТАЖ ЗАДАН ЧИСЛОМ</v>
      </c>
      <c r="P758" s="13" t="str">
        <f t="shared" si="81"/>
        <v>ЭТАЖ ЗАДАН ЧИСЛОМ</v>
      </c>
      <c r="Q758" s="13" t="str">
        <f t="shared" si="82"/>
        <v>ГОТОВ_ИЗМЕНЕН</v>
      </c>
      <c r="R758" s="13">
        <f>IFERROR(VLOOKUP(P758,Лист1!A$1:B$20,2,FALSE),0)</f>
        <v>784</v>
      </c>
      <c r="S758" s="13">
        <f t="shared" si="83"/>
        <v>0</v>
      </c>
    </row>
    <row r="759" spans="1:19" x14ac:dyDescent="0.25">
      <c r="A759" s="24" t="s">
        <v>1872</v>
      </c>
      <c r="B759" s="4" t="s">
        <v>1063</v>
      </c>
      <c r="C759" s="25" t="s">
        <v>5</v>
      </c>
      <c r="G759" s="25" t="s">
        <v>1230</v>
      </c>
      <c r="H759" s="24" t="s">
        <v>1061</v>
      </c>
      <c r="I759" s="3" t="str">
        <f>IFERROR(VLOOKUP(C759,'Справочник соответствий'!A$2:D$2981,2,FALSE),IF(VALUE(C759)=0,1,VLOOKUP(C759,'Справочник соответствий'!A$2:D$2981,2,FALSE)))</f>
        <v>1</v>
      </c>
      <c r="J759" s="3">
        <f>IFERROR(VLOOKUP(D759,'Справочник соответствий'!A$2:D$2981,2,FALSE),IF(VALUE(D759)=0,0,VLOOKUP(D759,'Справочник соответствий'!A$2:D$2981,2,FALSE)))</f>
        <v>0</v>
      </c>
      <c r="K759" s="3" t="str">
        <f t="shared" si="77"/>
        <v>1</v>
      </c>
      <c r="L759" s="13" t="str">
        <f>IFERROR(VLOOKUP(C759,'Справочник соответствий'!A$2:D$2981,3,FALSE),IF(VALUE(C759)=0,"ЭТАЖ НЕ ОПРЕДЕЛЕН. ПРИНЯТ ПО ДОПУЩЕНИЮ 1",VLOOKUP(C759,'Справочник соответствий'!A$2:D$2981,3,FALSE)))</f>
        <v>ЭТАЖ ЗАДАН ЧИСЛОМ</v>
      </c>
      <c r="M759" s="13" t="b">
        <f t="shared" si="78"/>
        <v>0</v>
      </c>
      <c r="N759" s="13">
        <f t="shared" si="79"/>
        <v>1</v>
      </c>
      <c r="O759" s="13" t="str">
        <f t="shared" si="80"/>
        <v>ЭТАЖ ЗАДАН ЧИСЛОМ</v>
      </c>
      <c r="P759" s="13" t="str">
        <f t="shared" si="81"/>
        <v>ЭТАЖ ЗАДАН ЧИСЛОМ</v>
      </c>
      <c r="Q759" s="13" t="str">
        <f t="shared" si="82"/>
        <v>ГОТОВ_ИЗМЕНЕН</v>
      </c>
      <c r="R759" s="13">
        <f>IFERROR(VLOOKUP(P759,Лист1!A$1:B$20,2,FALSE),0)</f>
        <v>784</v>
      </c>
      <c r="S759" s="13">
        <f t="shared" si="83"/>
        <v>0</v>
      </c>
    </row>
    <row r="760" spans="1:19" x14ac:dyDescent="0.25">
      <c r="A760" s="24" t="s">
        <v>1873</v>
      </c>
      <c r="B760" s="4" t="s">
        <v>1063</v>
      </c>
      <c r="C760" s="25" t="s">
        <v>5</v>
      </c>
      <c r="G760" s="25" t="s">
        <v>1067</v>
      </c>
      <c r="H760" s="24" t="s">
        <v>1061</v>
      </c>
      <c r="I760" s="3" t="str">
        <f>IFERROR(VLOOKUP(C760,'Справочник соответствий'!A$2:D$2981,2,FALSE),IF(VALUE(C760)=0,1,VLOOKUP(C760,'Справочник соответствий'!A$2:D$2981,2,FALSE)))</f>
        <v>1</v>
      </c>
      <c r="J760" s="3">
        <f>IFERROR(VLOOKUP(D760,'Справочник соответствий'!A$2:D$2981,2,FALSE),IF(VALUE(D760)=0,0,VLOOKUP(D760,'Справочник соответствий'!A$2:D$2981,2,FALSE)))</f>
        <v>0</v>
      </c>
      <c r="K760" s="3" t="str">
        <f t="shared" si="77"/>
        <v>1</v>
      </c>
      <c r="L760" s="13" t="str">
        <f>IFERROR(VLOOKUP(C760,'Справочник соответствий'!A$2:D$2981,3,FALSE),IF(VALUE(C760)=0,"ЭТАЖ НЕ ОПРЕДЕЛЕН. ПРИНЯТ ПО ДОПУЩЕНИЮ 1",VLOOKUP(C760,'Справочник соответствий'!A$2:D$2981,3,FALSE)))</f>
        <v>ЭТАЖ ЗАДАН ЧИСЛОМ</v>
      </c>
      <c r="M760" s="13" t="b">
        <f t="shared" si="78"/>
        <v>0</v>
      </c>
      <c r="N760" s="13">
        <f t="shared" si="79"/>
        <v>1</v>
      </c>
      <c r="O760" s="13" t="str">
        <f t="shared" si="80"/>
        <v>ЭТАЖ ЗАДАН ЧИСЛОМ</v>
      </c>
      <c r="P760" s="13" t="str">
        <f t="shared" si="81"/>
        <v>ЭТАЖ ЗАДАН ЧИСЛОМ</v>
      </c>
      <c r="Q760" s="13" t="str">
        <f t="shared" si="82"/>
        <v>ГОТОВ_ИЗМЕНЕН</v>
      </c>
      <c r="R760" s="13">
        <f>IFERROR(VLOOKUP(P760,Лист1!A$1:B$20,2,FALSE),0)</f>
        <v>784</v>
      </c>
      <c r="S760" s="13">
        <f t="shared" si="83"/>
        <v>0</v>
      </c>
    </row>
    <row r="761" spans="1:19" x14ac:dyDescent="0.25">
      <c r="A761" s="24" t="s">
        <v>1874</v>
      </c>
      <c r="B761" s="4" t="s">
        <v>1059</v>
      </c>
      <c r="C761" s="25" t="s">
        <v>5</v>
      </c>
      <c r="G761" s="25" t="s">
        <v>1067</v>
      </c>
      <c r="H761" s="24" t="s">
        <v>1061</v>
      </c>
      <c r="I761" s="3" t="str">
        <f>IFERROR(VLOOKUP(C761,'Справочник соответствий'!A$2:D$2981,2,FALSE),IF(VALUE(C761)=0,1,VLOOKUP(C761,'Справочник соответствий'!A$2:D$2981,2,FALSE)))</f>
        <v>1</v>
      </c>
      <c r="J761" s="3">
        <f>IFERROR(VLOOKUP(D761,'Справочник соответствий'!A$2:D$2981,2,FALSE),IF(VALUE(D761)=0,0,VLOOKUP(D761,'Справочник соответствий'!A$2:D$2981,2,FALSE)))</f>
        <v>0</v>
      </c>
      <c r="K761" s="3" t="str">
        <f t="shared" si="77"/>
        <v>1</v>
      </c>
      <c r="L761" s="13" t="str">
        <f>IFERROR(VLOOKUP(C761,'Справочник соответствий'!A$2:D$2981,3,FALSE),IF(VALUE(C761)=0,"ЭТАЖ НЕ ОПРЕДЕЛЕН. ПРИНЯТ ПО ДОПУЩЕНИЮ 1",VLOOKUP(C761,'Справочник соответствий'!A$2:D$2981,3,FALSE)))</f>
        <v>ЭТАЖ ЗАДАН ЧИСЛОМ</v>
      </c>
      <c r="M761" s="13" t="b">
        <f t="shared" si="78"/>
        <v>0</v>
      </c>
      <c r="N761" s="13">
        <f t="shared" si="79"/>
        <v>1</v>
      </c>
      <c r="O761" s="13" t="str">
        <f t="shared" si="80"/>
        <v>ЭТАЖ ЗАДАН ЧИСЛОМ</v>
      </c>
      <c r="P761" s="13" t="str">
        <f t="shared" si="81"/>
        <v>ЭТАЖ ЗАДАН ЧИСЛОМ</v>
      </c>
      <c r="Q761" s="13" t="str">
        <f t="shared" si="82"/>
        <v>ГОТОВ_ИЗМЕНЕН</v>
      </c>
      <c r="R761" s="13">
        <f>IFERROR(VLOOKUP(P761,Лист1!A$1:B$20,2,FALSE),0)</f>
        <v>784</v>
      </c>
      <c r="S761" s="13">
        <f t="shared" si="83"/>
        <v>0</v>
      </c>
    </row>
    <row r="762" spans="1:19" x14ac:dyDescent="0.25">
      <c r="A762" s="24" t="s">
        <v>1875</v>
      </c>
      <c r="B762" s="4" t="s">
        <v>1059</v>
      </c>
      <c r="C762" s="25" t="s">
        <v>5</v>
      </c>
      <c r="G762" s="25" t="s">
        <v>1276</v>
      </c>
      <c r="H762" s="24" t="s">
        <v>1061</v>
      </c>
      <c r="I762" s="3" t="str">
        <f>IFERROR(VLOOKUP(C762,'Справочник соответствий'!A$2:D$2981,2,FALSE),IF(VALUE(C762)=0,1,VLOOKUP(C762,'Справочник соответствий'!A$2:D$2981,2,FALSE)))</f>
        <v>1</v>
      </c>
      <c r="J762" s="3">
        <f>IFERROR(VLOOKUP(D762,'Справочник соответствий'!A$2:D$2981,2,FALSE),IF(VALUE(D762)=0,0,VLOOKUP(D762,'Справочник соответствий'!A$2:D$2981,2,FALSE)))</f>
        <v>0</v>
      </c>
      <c r="K762" s="3" t="str">
        <f t="shared" si="77"/>
        <v>1</v>
      </c>
      <c r="L762" s="13" t="str">
        <f>IFERROR(VLOOKUP(C762,'Справочник соответствий'!A$2:D$2981,3,FALSE),IF(VALUE(C762)=0,"ЭТАЖ НЕ ОПРЕДЕЛЕН. ПРИНЯТ ПО ДОПУЩЕНИЮ 1",VLOOKUP(C762,'Справочник соответствий'!A$2:D$2981,3,FALSE)))</f>
        <v>ЭТАЖ ЗАДАН ЧИСЛОМ</v>
      </c>
      <c r="M762" s="13" t="b">
        <f t="shared" si="78"/>
        <v>0</v>
      </c>
      <c r="N762" s="13">
        <f t="shared" si="79"/>
        <v>1</v>
      </c>
      <c r="O762" s="13" t="str">
        <f t="shared" si="80"/>
        <v>ЭТАЖ ЗАДАН ЧИСЛОМ</v>
      </c>
      <c r="P762" s="13" t="str">
        <f t="shared" si="81"/>
        <v>ЭТАЖ ЗАДАН ЧИСЛОМ</v>
      </c>
      <c r="Q762" s="13" t="str">
        <f t="shared" si="82"/>
        <v>ГОТОВ_ИЗМЕНЕН</v>
      </c>
      <c r="R762" s="13">
        <f>IFERROR(VLOOKUP(P762,Лист1!A$1:B$20,2,FALSE),0)</f>
        <v>784</v>
      </c>
      <c r="S762" s="13">
        <f t="shared" si="83"/>
        <v>0</v>
      </c>
    </row>
    <row r="763" spans="1:19" x14ac:dyDescent="0.25">
      <c r="A763" s="24" t="s">
        <v>1876</v>
      </c>
      <c r="B763" s="4" t="s">
        <v>1059</v>
      </c>
      <c r="C763" s="25" t="s">
        <v>5</v>
      </c>
      <c r="G763" s="25" t="s">
        <v>1067</v>
      </c>
      <c r="H763" s="24" t="s">
        <v>1061</v>
      </c>
      <c r="I763" s="3" t="str">
        <f>IFERROR(VLOOKUP(C763,'Справочник соответствий'!A$2:D$2981,2,FALSE),IF(VALUE(C763)=0,1,VLOOKUP(C763,'Справочник соответствий'!A$2:D$2981,2,FALSE)))</f>
        <v>1</v>
      </c>
      <c r="J763" s="3">
        <f>IFERROR(VLOOKUP(D763,'Справочник соответствий'!A$2:D$2981,2,FALSE),IF(VALUE(D763)=0,0,VLOOKUP(D763,'Справочник соответствий'!A$2:D$2981,2,FALSE)))</f>
        <v>0</v>
      </c>
      <c r="K763" s="3" t="str">
        <f t="shared" si="77"/>
        <v>1</v>
      </c>
      <c r="L763" s="13" t="str">
        <f>IFERROR(VLOOKUP(C763,'Справочник соответствий'!A$2:D$2981,3,FALSE),IF(VALUE(C763)=0,"ЭТАЖ НЕ ОПРЕДЕЛЕН. ПРИНЯТ ПО ДОПУЩЕНИЮ 1",VLOOKUP(C763,'Справочник соответствий'!A$2:D$2981,3,FALSE)))</f>
        <v>ЭТАЖ ЗАДАН ЧИСЛОМ</v>
      </c>
      <c r="M763" s="13" t="b">
        <f t="shared" si="78"/>
        <v>0</v>
      </c>
      <c r="N763" s="13">
        <f t="shared" si="79"/>
        <v>1</v>
      </c>
      <c r="O763" s="13" t="str">
        <f t="shared" si="80"/>
        <v>ЭТАЖ ЗАДАН ЧИСЛОМ</v>
      </c>
      <c r="P763" s="13" t="str">
        <f t="shared" si="81"/>
        <v>ЭТАЖ ЗАДАН ЧИСЛОМ</v>
      </c>
      <c r="Q763" s="13" t="str">
        <f t="shared" si="82"/>
        <v>ГОТОВ_ИЗМЕНЕН</v>
      </c>
      <c r="R763" s="13">
        <f>IFERROR(VLOOKUP(P763,Лист1!A$1:B$20,2,FALSE),0)</f>
        <v>784</v>
      </c>
      <c r="S763" s="13">
        <f t="shared" si="83"/>
        <v>0</v>
      </c>
    </row>
    <row r="764" spans="1:19" x14ac:dyDescent="0.25">
      <c r="A764" s="24" t="s">
        <v>1877</v>
      </c>
      <c r="B764" s="4" t="s">
        <v>1063</v>
      </c>
      <c r="C764" s="25" t="s">
        <v>5</v>
      </c>
      <c r="G764" s="25" t="s">
        <v>1067</v>
      </c>
      <c r="H764" s="24" t="s">
        <v>1061</v>
      </c>
      <c r="I764" s="3" t="str">
        <f>IFERROR(VLOOKUP(C764,'Справочник соответствий'!A$2:D$2981,2,FALSE),IF(VALUE(C764)=0,1,VLOOKUP(C764,'Справочник соответствий'!A$2:D$2981,2,FALSE)))</f>
        <v>1</v>
      </c>
      <c r="J764" s="3">
        <f>IFERROR(VLOOKUP(D764,'Справочник соответствий'!A$2:D$2981,2,FALSE),IF(VALUE(D764)=0,0,VLOOKUP(D764,'Справочник соответствий'!A$2:D$2981,2,FALSE)))</f>
        <v>0</v>
      </c>
      <c r="K764" s="3" t="str">
        <f t="shared" si="77"/>
        <v>1</v>
      </c>
      <c r="L764" s="13" t="str">
        <f>IFERROR(VLOOKUP(C764,'Справочник соответствий'!A$2:D$2981,3,FALSE),IF(VALUE(C764)=0,"ЭТАЖ НЕ ОПРЕДЕЛЕН. ПРИНЯТ ПО ДОПУЩЕНИЮ 1",VLOOKUP(C764,'Справочник соответствий'!A$2:D$2981,3,FALSE)))</f>
        <v>ЭТАЖ ЗАДАН ЧИСЛОМ</v>
      </c>
      <c r="M764" s="13" t="b">
        <f t="shared" si="78"/>
        <v>0</v>
      </c>
      <c r="N764" s="13">
        <f t="shared" si="79"/>
        <v>1</v>
      </c>
      <c r="O764" s="13" t="str">
        <f t="shared" si="80"/>
        <v>ЭТАЖ ЗАДАН ЧИСЛОМ</v>
      </c>
      <c r="P764" s="13" t="str">
        <f t="shared" si="81"/>
        <v>ЭТАЖ ЗАДАН ЧИСЛОМ</v>
      </c>
      <c r="Q764" s="13" t="str">
        <f t="shared" si="82"/>
        <v>ГОТОВ_ИЗМЕНЕН</v>
      </c>
      <c r="R764" s="13">
        <f>IFERROR(VLOOKUP(P764,Лист1!A$1:B$20,2,FALSE),0)</f>
        <v>784</v>
      </c>
      <c r="S764" s="13">
        <f t="shared" si="83"/>
        <v>0</v>
      </c>
    </row>
    <row r="765" spans="1:19" x14ac:dyDescent="0.25">
      <c r="A765" s="24" t="s">
        <v>1878</v>
      </c>
      <c r="B765" s="4" t="s">
        <v>1063</v>
      </c>
      <c r="C765" s="25" t="s">
        <v>5</v>
      </c>
      <c r="G765" s="25" t="s">
        <v>1067</v>
      </c>
      <c r="H765" s="24" t="s">
        <v>1061</v>
      </c>
      <c r="I765" s="3" t="str">
        <f>IFERROR(VLOOKUP(C765,'Справочник соответствий'!A$2:D$2981,2,FALSE),IF(VALUE(C765)=0,1,VLOOKUP(C765,'Справочник соответствий'!A$2:D$2981,2,FALSE)))</f>
        <v>1</v>
      </c>
      <c r="J765" s="3">
        <f>IFERROR(VLOOKUP(D765,'Справочник соответствий'!A$2:D$2981,2,FALSE),IF(VALUE(D765)=0,0,VLOOKUP(D765,'Справочник соответствий'!A$2:D$2981,2,FALSE)))</f>
        <v>0</v>
      </c>
      <c r="K765" s="3" t="str">
        <f t="shared" si="77"/>
        <v>1</v>
      </c>
      <c r="L765" s="13" t="str">
        <f>IFERROR(VLOOKUP(C765,'Справочник соответствий'!A$2:D$2981,3,FALSE),IF(VALUE(C765)=0,"ЭТАЖ НЕ ОПРЕДЕЛЕН. ПРИНЯТ ПО ДОПУЩЕНИЮ 1",VLOOKUP(C765,'Справочник соответствий'!A$2:D$2981,3,FALSE)))</f>
        <v>ЭТАЖ ЗАДАН ЧИСЛОМ</v>
      </c>
      <c r="M765" s="13" t="b">
        <f t="shared" si="78"/>
        <v>0</v>
      </c>
      <c r="N765" s="13">
        <f t="shared" si="79"/>
        <v>1</v>
      </c>
      <c r="O765" s="13" t="str">
        <f t="shared" si="80"/>
        <v>ЭТАЖ ЗАДАН ЧИСЛОМ</v>
      </c>
      <c r="P765" s="13" t="str">
        <f t="shared" si="81"/>
        <v>ЭТАЖ ЗАДАН ЧИСЛОМ</v>
      </c>
      <c r="Q765" s="13" t="str">
        <f t="shared" si="82"/>
        <v>ГОТОВ_ИЗМЕНЕН</v>
      </c>
      <c r="R765" s="13">
        <f>IFERROR(VLOOKUP(P765,Лист1!A$1:B$20,2,FALSE),0)</f>
        <v>784</v>
      </c>
      <c r="S765" s="13">
        <f t="shared" si="83"/>
        <v>0</v>
      </c>
    </row>
    <row r="766" spans="1:19" x14ac:dyDescent="0.25">
      <c r="A766" s="24" t="s">
        <v>1879</v>
      </c>
      <c r="B766" s="4" t="s">
        <v>1063</v>
      </c>
      <c r="C766" s="25" t="s">
        <v>5</v>
      </c>
      <c r="G766" s="25" t="s">
        <v>1067</v>
      </c>
      <c r="H766" s="24" t="s">
        <v>1061</v>
      </c>
      <c r="I766" s="3" t="str">
        <f>IFERROR(VLOOKUP(C766,'Справочник соответствий'!A$2:D$2981,2,FALSE),IF(VALUE(C766)=0,1,VLOOKUP(C766,'Справочник соответствий'!A$2:D$2981,2,FALSE)))</f>
        <v>1</v>
      </c>
      <c r="J766" s="3">
        <f>IFERROR(VLOOKUP(D766,'Справочник соответствий'!A$2:D$2981,2,FALSE),IF(VALUE(D766)=0,0,VLOOKUP(D766,'Справочник соответствий'!A$2:D$2981,2,FALSE)))</f>
        <v>0</v>
      </c>
      <c r="K766" s="3" t="str">
        <f t="shared" si="77"/>
        <v>1</v>
      </c>
      <c r="L766" s="13" t="str">
        <f>IFERROR(VLOOKUP(C766,'Справочник соответствий'!A$2:D$2981,3,FALSE),IF(VALUE(C766)=0,"ЭТАЖ НЕ ОПРЕДЕЛЕН. ПРИНЯТ ПО ДОПУЩЕНИЮ 1",VLOOKUP(C766,'Справочник соответствий'!A$2:D$2981,3,FALSE)))</f>
        <v>ЭТАЖ ЗАДАН ЧИСЛОМ</v>
      </c>
      <c r="M766" s="13" t="b">
        <f t="shared" si="78"/>
        <v>0</v>
      </c>
      <c r="N766" s="13">
        <f t="shared" si="79"/>
        <v>1</v>
      </c>
      <c r="O766" s="13" t="str">
        <f t="shared" si="80"/>
        <v>ЭТАЖ ЗАДАН ЧИСЛОМ</v>
      </c>
      <c r="P766" s="13" t="str">
        <f t="shared" si="81"/>
        <v>ЭТАЖ ЗАДАН ЧИСЛОМ</v>
      </c>
      <c r="Q766" s="13" t="str">
        <f t="shared" si="82"/>
        <v>ГОТОВ_ИЗМЕНЕН</v>
      </c>
      <c r="R766" s="13">
        <f>IFERROR(VLOOKUP(P766,Лист1!A$1:B$20,2,FALSE),0)</f>
        <v>784</v>
      </c>
      <c r="S766" s="13">
        <f t="shared" si="83"/>
        <v>0</v>
      </c>
    </row>
    <row r="767" spans="1:19" x14ac:dyDescent="0.25">
      <c r="A767" s="24" t="s">
        <v>1880</v>
      </c>
      <c r="B767" s="4" t="s">
        <v>1059</v>
      </c>
      <c r="C767" s="25" t="s">
        <v>5</v>
      </c>
      <c r="G767" s="25" t="s">
        <v>1328</v>
      </c>
      <c r="H767" s="24" t="s">
        <v>1061</v>
      </c>
      <c r="I767" s="3" t="str">
        <f>IFERROR(VLOOKUP(C767,'Справочник соответствий'!A$2:D$2981,2,FALSE),IF(VALUE(C767)=0,1,VLOOKUP(C767,'Справочник соответствий'!A$2:D$2981,2,FALSE)))</f>
        <v>1</v>
      </c>
      <c r="J767" s="3">
        <f>IFERROR(VLOOKUP(D767,'Справочник соответствий'!A$2:D$2981,2,FALSE),IF(VALUE(D767)=0,0,VLOOKUP(D767,'Справочник соответствий'!A$2:D$2981,2,FALSE)))</f>
        <v>0</v>
      </c>
      <c r="K767" s="3" t="str">
        <f t="shared" si="77"/>
        <v>1</v>
      </c>
      <c r="L767" s="13" t="str">
        <f>IFERROR(VLOOKUP(C767,'Справочник соответствий'!A$2:D$2981,3,FALSE),IF(VALUE(C767)=0,"ЭТАЖ НЕ ОПРЕДЕЛЕН. ПРИНЯТ ПО ДОПУЩЕНИЮ 1",VLOOKUP(C767,'Справочник соответствий'!A$2:D$2981,3,FALSE)))</f>
        <v>ЭТАЖ ЗАДАН ЧИСЛОМ</v>
      </c>
      <c r="M767" s="13" t="b">
        <f t="shared" si="78"/>
        <v>0</v>
      </c>
      <c r="N767" s="13">
        <f t="shared" si="79"/>
        <v>1</v>
      </c>
      <c r="O767" s="13" t="str">
        <f t="shared" si="80"/>
        <v>ЭТАЖ ЗАДАН ЧИСЛОМ</v>
      </c>
      <c r="P767" s="13" t="str">
        <f t="shared" si="81"/>
        <v>ЭТАЖ ЗАДАН ЧИСЛОМ</v>
      </c>
      <c r="Q767" s="13" t="str">
        <f t="shared" si="82"/>
        <v>ГОТОВ_ИЗМЕНЕН</v>
      </c>
      <c r="R767" s="13">
        <f>IFERROR(VLOOKUP(P767,Лист1!A$1:B$20,2,FALSE),0)</f>
        <v>784</v>
      </c>
      <c r="S767" s="13">
        <f t="shared" si="83"/>
        <v>0</v>
      </c>
    </row>
    <row r="768" spans="1:19" x14ac:dyDescent="0.25">
      <c r="A768" s="24" t="s">
        <v>1881</v>
      </c>
      <c r="B768" s="4" t="s">
        <v>1059</v>
      </c>
      <c r="C768" s="25" t="s">
        <v>5</v>
      </c>
      <c r="G768" s="25" t="s">
        <v>1067</v>
      </c>
      <c r="H768" s="24" t="s">
        <v>1061</v>
      </c>
      <c r="I768" s="3" t="str">
        <f>IFERROR(VLOOKUP(C768,'Справочник соответствий'!A$2:D$2981,2,FALSE),IF(VALUE(C768)=0,1,VLOOKUP(C768,'Справочник соответствий'!A$2:D$2981,2,FALSE)))</f>
        <v>1</v>
      </c>
      <c r="J768" s="3">
        <f>IFERROR(VLOOKUP(D768,'Справочник соответствий'!A$2:D$2981,2,FALSE),IF(VALUE(D768)=0,0,VLOOKUP(D768,'Справочник соответствий'!A$2:D$2981,2,FALSE)))</f>
        <v>0</v>
      </c>
      <c r="K768" s="3" t="str">
        <f t="shared" si="77"/>
        <v>1</v>
      </c>
      <c r="L768" s="13" t="str">
        <f>IFERROR(VLOOKUP(C768,'Справочник соответствий'!A$2:D$2981,3,FALSE),IF(VALUE(C768)=0,"ЭТАЖ НЕ ОПРЕДЕЛЕН. ПРИНЯТ ПО ДОПУЩЕНИЮ 1",VLOOKUP(C768,'Справочник соответствий'!A$2:D$2981,3,FALSE)))</f>
        <v>ЭТАЖ ЗАДАН ЧИСЛОМ</v>
      </c>
      <c r="M768" s="13" t="b">
        <f t="shared" si="78"/>
        <v>0</v>
      </c>
      <c r="N768" s="13">
        <f t="shared" si="79"/>
        <v>1</v>
      </c>
      <c r="O768" s="13" t="str">
        <f t="shared" si="80"/>
        <v>ЭТАЖ ЗАДАН ЧИСЛОМ</v>
      </c>
      <c r="P768" s="13" t="str">
        <f t="shared" si="81"/>
        <v>ЭТАЖ ЗАДАН ЧИСЛОМ</v>
      </c>
      <c r="Q768" s="13" t="str">
        <f t="shared" si="82"/>
        <v>ГОТОВ_ИЗМЕНЕН</v>
      </c>
      <c r="R768" s="13">
        <f>IFERROR(VLOOKUP(P768,Лист1!A$1:B$20,2,FALSE),0)</f>
        <v>784</v>
      </c>
      <c r="S768" s="13">
        <f t="shared" si="83"/>
        <v>0</v>
      </c>
    </row>
    <row r="769" spans="1:19" x14ac:dyDescent="0.25">
      <c r="A769" s="24" t="s">
        <v>1882</v>
      </c>
      <c r="B769" s="4" t="s">
        <v>1059</v>
      </c>
      <c r="C769" s="25" t="s">
        <v>5</v>
      </c>
      <c r="G769" s="25" t="s">
        <v>1117</v>
      </c>
      <c r="H769" s="24" t="s">
        <v>1061</v>
      </c>
      <c r="I769" s="3" t="str">
        <f>IFERROR(VLOOKUP(C769,'Справочник соответствий'!A$2:D$2981,2,FALSE),IF(VALUE(C769)=0,1,VLOOKUP(C769,'Справочник соответствий'!A$2:D$2981,2,FALSE)))</f>
        <v>1</v>
      </c>
      <c r="J769" s="3">
        <f>IFERROR(VLOOKUP(D769,'Справочник соответствий'!A$2:D$2981,2,FALSE),IF(VALUE(D769)=0,0,VLOOKUP(D769,'Справочник соответствий'!A$2:D$2981,2,FALSE)))</f>
        <v>0</v>
      </c>
      <c r="K769" s="3" t="str">
        <f t="shared" si="77"/>
        <v>1</v>
      </c>
      <c r="L769" s="13" t="str">
        <f>IFERROR(VLOOKUP(C769,'Справочник соответствий'!A$2:D$2981,3,FALSE),IF(VALUE(C769)=0,"ЭТАЖ НЕ ОПРЕДЕЛЕН. ПРИНЯТ ПО ДОПУЩЕНИЮ 1",VLOOKUP(C769,'Справочник соответствий'!A$2:D$2981,3,FALSE)))</f>
        <v>ЭТАЖ ЗАДАН ЧИСЛОМ</v>
      </c>
      <c r="M769" s="13" t="b">
        <f t="shared" si="78"/>
        <v>0</v>
      </c>
      <c r="N769" s="13">
        <f t="shared" si="79"/>
        <v>1</v>
      </c>
      <c r="O769" s="13" t="str">
        <f t="shared" si="80"/>
        <v>ЭТАЖ ЗАДАН ЧИСЛОМ</v>
      </c>
      <c r="P769" s="13" t="str">
        <f t="shared" si="81"/>
        <v>ЭТАЖ ЗАДАН ЧИСЛОМ</v>
      </c>
      <c r="Q769" s="13" t="str">
        <f t="shared" si="82"/>
        <v>ГОТОВ_ИЗМЕНЕН</v>
      </c>
      <c r="R769" s="13">
        <f>IFERROR(VLOOKUP(P769,Лист1!A$1:B$20,2,FALSE),0)</f>
        <v>784</v>
      </c>
      <c r="S769" s="13">
        <f t="shared" si="83"/>
        <v>0</v>
      </c>
    </row>
    <row r="770" spans="1:19" x14ac:dyDescent="0.25">
      <c r="A770" s="24" t="s">
        <v>1883</v>
      </c>
      <c r="B770" s="4" t="s">
        <v>1063</v>
      </c>
      <c r="C770" s="25" t="s">
        <v>5</v>
      </c>
      <c r="G770" s="25" t="s">
        <v>1086</v>
      </c>
      <c r="H770" s="24" t="s">
        <v>1061</v>
      </c>
      <c r="I770" s="3" t="str">
        <f>IFERROR(VLOOKUP(C770,'Справочник соответствий'!A$2:D$2981,2,FALSE),IF(VALUE(C770)=0,1,VLOOKUP(C770,'Справочник соответствий'!A$2:D$2981,2,FALSE)))</f>
        <v>1</v>
      </c>
      <c r="J770" s="3">
        <f>IFERROR(VLOOKUP(D770,'Справочник соответствий'!A$2:D$2981,2,FALSE),IF(VALUE(D770)=0,0,VLOOKUP(D770,'Справочник соответствий'!A$2:D$2981,2,FALSE)))</f>
        <v>0</v>
      </c>
      <c r="K770" s="3" t="str">
        <f t="shared" si="77"/>
        <v>1</v>
      </c>
      <c r="L770" s="13" t="str">
        <f>IFERROR(VLOOKUP(C770,'Справочник соответствий'!A$2:D$2981,3,FALSE),IF(VALUE(C770)=0,"ЭТАЖ НЕ ОПРЕДЕЛЕН. ПРИНЯТ ПО ДОПУЩЕНИЮ 1",VLOOKUP(C770,'Справочник соответствий'!A$2:D$2981,3,FALSE)))</f>
        <v>ЭТАЖ ЗАДАН ЧИСЛОМ</v>
      </c>
      <c r="M770" s="13" t="b">
        <f t="shared" si="78"/>
        <v>0</v>
      </c>
      <c r="N770" s="13">
        <f t="shared" si="79"/>
        <v>1</v>
      </c>
      <c r="O770" s="13" t="str">
        <f t="shared" si="80"/>
        <v>ЭТАЖ ЗАДАН ЧИСЛОМ</v>
      </c>
      <c r="P770" s="13" t="str">
        <f t="shared" si="81"/>
        <v>ЭТАЖ ЗАДАН ЧИСЛОМ</v>
      </c>
      <c r="Q770" s="13" t="str">
        <f t="shared" si="82"/>
        <v>ГОТОВ_ИЗМЕНЕН</v>
      </c>
      <c r="R770" s="13">
        <f>IFERROR(VLOOKUP(P770,Лист1!A$1:B$20,2,FALSE),0)</f>
        <v>784</v>
      </c>
      <c r="S770" s="13">
        <f t="shared" si="83"/>
        <v>0</v>
      </c>
    </row>
    <row r="771" spans="1:19" x14ac:dyDescent="0.25">
      <c r="A771" s="24" t="s">
        <v>1884</v>
      </c>
      <c r="B771" s="4" t="s">
        <v>1063</v>
      </c>
      <c r="C771" s="25" t="s">
        <v>5</v>
      </c>
      <c r="G771" s="25" t="s">
        <v>1086</v>
      </c>
      <c r="H771" s="24" t="s">
        <v>1061</v>
      </c>
      <c r="I771" s="3" t="str">
        <f>IFERROR(VLOOKUP(C771,'Справочник соответствий'!A$2:D$2981,2,FALSE),IF(VALUE(C771)=0,1,VLOOKUP(C771,'Справочник соответствий'!A$2:D$2981,2,FALSE)))</f>
        <v>1</v>
      </c>
      <c r="J771" s="3">
        <f>IFERROR(VLOOKUP(D771,'Справочник соответствий'!A$2:D$2981,2,FALSE),IF(VALUE(D771)=0,0,VLOOKUP(D771,'Справочник соответствий'!A$2:D$2981,2,FALSE)))</f>
        <v>0</v>
      </c>
      <c r="K771" s="3" t="str">
        <f t="shared" si="77"/>
        <v>1</v>
      </c>
      <c r="L771" s="13" t="str">
        <f>IFERROR(VLOOKUP(C771,'Справочник соответствий'!A$2:D$2981,3,FALSE),IF(VALUE(C771)=0,"ЭТАЖ НЕ ОПРЕДЕЛЕН. ПРИНЯТ ПО ДОПУЩЕНИЮ 1",VLOOKUP(C771,'Справочник соответствий'!A$2:D$2981,3,FALSE)))</f>
        <v>ЭТАЖ ЗАДАН ЧИСЛОМ</v>
      </c>
      <c r="M771" s="13" t="b">
        <f t="shared" si="78"/>
        <v>0</v>
      </c>
      <c r="N771" s="13">
        <f t="shared" si="79"/>
        <v>1</v>
      </c>
      <c r="O771" s="13" t="str">
        <f t="shared" si="80"/>
        <v>ЭТАЖ ЗАДАН ЧИСЛОМ</v>
      </c>
      <c r="P771" s="13" t="str">
        <f t="shared" si="81"/>
        <v>ЭТАЖ ЗАДАН ЧИСЛОМ</v>
      </c>
      <c r="Q771" s="13" t="str">
        <f t="shared" si="82"/>
        <v>ГОТОВ_ИЗМЕНЕН</v>
      </c>
      <c r="R771" s="13">
        <f>IFERROR(VLOOKUP(P771,Лист1!A$1:B$20,2,FALSE),0)</f>
        <v>784</v>
      </c>
      <c r="S771" s="13">
        <f t="shared" si="83"/>
        <v>0</v>
      </c>
    </row>
    <row r="772" spans="1:19" x14ac:dyDescent="0.25">
      <c r="A772" s="24" t="s">
        <v>1885</v>
      </c>
      <c r="B772" s="4" t="s">
        <v>1059</v>
      </c>
      <c r="C772" s="25" t="s">
        <v>7</v>
      </c>
      <c r="G772" s="25" t="s">
        <v>1086</v>
      </c>
      <c r="H772" s="24" t="s">
        <v>1061</v>
      </c>
      <c r="I772" s="3" t="str">
        <f>IFERROR(VLOOKUP(C772,'Справочник соответствий'!A$2:D$2981,2,FALSE),IF(VALUE(C772)=0,1,VLOOKUP(C772,'Справочник соответствий'!A$2:D$2981,2,FALSE)))</f>
        <v>2</v>
      </c>
      <c r="J772" s="3">
        <f>IFERROR(VLOOKUP(D772,'Справочник соответствий'!A$2:D$2981,2,FALSE),IF(VALUE(D772)=0,0,VLOOKUP(D772,'Справочник соответствий'!A$2:D$2981,2,FALSE)))</f>
        <v>0</v>
      </c>
      <c r="K772" s="3" t="str">
        <f t="shared" si="77"/>
        <v>2</v>
      </c>
      <c r="L772" s="13" t="str">
        <f>IFERROR(VLOOKUP(C772,'Справочник соответствий'!A$2:D$2981,3,FALSE),IF(VALUE(C772)=0,"ЭТАЖ НЕ ОПРЕДЕЛЕН. ПРИНЯТ ПО ДОПУЩЕНИЮ 1",VLOOKUP(C772,'Справочник соответствий'!A$2:D$2981,3,FALSE)))</f>
        <v>ЭТАЖ ЗАДАН ЧИСЛОМ</v>
      </c>
      <c r="M772" s="13" t="b">
        <f t="shared" si="78"/>
        <v>0</v>
      </c>
      <c r="N772" s="13">
        <f t="shared" si="79"/>
        <v>2</v>
      </c>
      <c r="O772" s="13" t="str">
        <f t="shared" si="80"/>
        <v>ЭТАЖ ЗАДАН ЧИСЛОМ</v>
      </c>
      <c r="P772" s="13" t="str">
        <f t="shared" si="81"/>
        <v>ЭТАЖ ЗАДАН ЧИСЛОМ</v>
      </c>
      <c r="Q772" s="13" t="str">
        <f t="shared" si="82"/>
        <v>ГОТОВ_ИЗМЕНЕН</v>
      </c>
      <c r="R772" s="13">
        <f>IFERROR(VLOOKUP(P772,Лист1!A$1:B$20,2,FALSE),0)</f>
        <v>784</v>
      </c>
      <c r="S772" s="13">
        <f t="shared" si="83"/>
        <v>0</v>
      </c>
    </row>
    <row r="773" spans="1:19" x14ac:dyDescent="0.25">
      <c r="A773" s="24" t="s">
        <v>1886</v>
      </c>
      <c r="B773" s="4" t="s">
        <v>1059</v>
      </c>
      <c r="C773" s="25" t="s">
        <v>7</v>
      </c>
      <c r="G773" s="25" t="s">
        <v>1086</v>
      </c>
      <c r="H773" s="24" t="s">
        <v>1061</v>
      </c>
      <c r="I773" s="3" t="str">
        <f>IFERROR(VLOOKUP(C773,'Справочник соответствий'!A$2:D$2981,2,FALSE),IF(VALUE(C773)=0,1,VLOOKUP(C773,'Справочник соответствий'!A$2:D$2981,2,FALSE)))</f>
        <v>2</v>
      </c>
      <c r="J773" s="3">
        <f>IFERROR(VLOOKUP(D773,'Справочник соответствий'!A$2:D$2981,2,FALSE),IF(VALUE(D773)=0,0,VLOOKUP(D773,'Справочник соответствий'!A$2:D$2981,2,FALSE)))</f>
        <v>0</v>
      </c>
      <c r="K773" s="3" t="str">
        <f t="shared" ref="K773:K836" si="84">IF(B773="Многоквартирный дом",IF(I773-J773&gt;0,I773-J773,1),I773)</f>
        <v>2</v>
      </c>
      <c r="L773" s="13" t="str">
        <f>IFERROR(VLOOKUP(C773,'Справочник соответствий'!A$2:D$2981,3,FALSE),IF(VALUE(C773)=0,"ЭТАЖ НЕ ОПРЕДЕЛЕН. ПРИНЯТ ПО ДОПУЩЕНИЮ 1",VLOOKUP(C773,'Справочник соответствий'!A$2:D$2981,3,FALSE)))</f>
        <v>ЭТАЖ ЗАДАН ЧИСЛОМ</v>
      </c>
      <c r="M773" s="13" t="b">
        <f t="shared" ref="M773:M836" si="85">I773=E773</f>
        <v>0</v>
      </c>
      <c r="N773" s="13">
        <f t="shared" ref="N773:N836" si="86">IF(VALUE(E773)=0,VALUE(K773),IF(L773="ЭТАЖ НЕ ОПРЕДЕЛЕН. ПРИНЯТ ПО ДОПУЩЕНИЮ 1",VALUE(E773),VALUE(K773)))</f>
        <v>2</v>
      </c>
      <c r="O773" s="13" t="str">
        <f t="shared" ref="O773:O836" si="87">IF(VALUE(E773)=0,L773,IF(L773="ЭТАЖ НЕ ОПРЕДЕЛЕН. ПРИНЯТ ПО ДОПУЩЕНИЮ 1",F773,L773))</f>
        <v>ЭТАЖ ЗАДАН ЧИСЛОМ</v>
      </c>
      <c r="P773" s="13" t="str">
        <f t="shared" ref="P773:P836" si="88">IF(B773="Многоквартирный дом",CONCATENATE("МКД_",O773),O773)</f>
        <v>ЭТАЖ ЗАДАН ЧИСЛОМ</v>
      </c>
      <c r="Q773" s="13" t="str">
        <f t="shared" ref="Q773:Q836" si="89">IFERROR(IF(N773&gt;0,IF(N773=VALUE(E773),"ГОТОВ","ГОТОВ_ИЗМЕНЕН"),"НЕ ГОТОВ"),"НЕ ГОТОВ")</f>
        <v>ГОТОВ_ИЗМЕНЕН</v>
      </c>
      <c r="R773" s="13">
        <f>IFERROR(VLOOKUP(P773,Лист1!A$1:B$20,2,FALSE),0)</f>
        <v>784</v>
      </c>
      <c r="S773" s="13">
        <f t="shared" ref="S773:S836" si="90">VALUE(E773)</f>
        <v>0</v>
      </c>
    </row>
    <row r="774" spans="1:19" x14ac:dyDescent="0.25">
      <c r="A774" s="24" t="s">
        <v>1887</v>
      </c>
      <c r="B774" s="4" t="s">
        <v>1063</v>
      </c>
      <c r="C774" s="25" t="s">
        <v>12</v>
      </c>
      <c r="D774" s="25" t="s">
        <v>5</v>
      </c>
      <c r="G774" s="25" t="s">
        <v>1086</v>
      </c>
      <c r="H774" s="24" t="s">
        <v>1061</v>
      </c>
      <c r="I774" s="3" t="str">
        <f>IFERROR(VLOOKUP(C774,'Справочник соответствий'!A$2:D$2981,2,FALSE),IF(VALUE(C774)=0,1,VLOOKUP(C774,'Справочник соответствий'!A$2:D$2981,2,FALSE)))</f>
        <v>4</v>
      </c>
      <c r="J774" s="3" t="str">
        <f>IFERROR(VLOOKUP(D774,'Справочник соответствий'!A$2:D$2981,2,FALSE),IF(VALUE(D774)=0,0,VLOOKUP(D774,'Справочник соответствий'!A$2:D$2981,2,FALSE)))</f>
        <v>1</v>
      </c>
      <c r="K774" s="3" t="str">
        <f t="shared" si="84"/>
        <v>4</v>
      </c>
      <c r="L774" s="13" t="str">
        <f>IFERROR(VLOOKUP(C774,'Справочник соответствий'!A$2:D$2981,3,FALSE),IF(VALUE(C774)=0,"ЭТАЖ НЕ ОПРЕДЕЛЕН. ПРИНЯТ ПО ДОПУЩЕНИЮ 1",VLOOKUP(C774,'Справочник соответствий'!A$2:D$2981,3,FALSE)))</f>
        <v>ЭТАЖ ЗАДАН ЧИСЛОМ</v>
      </c>
      <c r="M774" s="13" t="b">
        <f t="shared" si="85"/>
        <v>0</v>
      </c>
      <c r="N774" s="13">
        <f t="shared" si="86"/>
        <v>4</v>
      </c>
      <c r="O774" s="13" t="str">
        <f t="shared" si="87"/>
        <v>ЭТАЖ ЗАДАН ЧИСЛОМ</v>
      </c>
      <c r="P774" s="13" t="str">
        <f t="shared" si="88"/>
        <v>ЭТАЖ ЗАДАН ЧИСЛОМ</v>
      </c>
      <c r="Q774" s="13" t="str">
        <f t="shared" si="89"/>
        <v>ГОТОВ_ИЗМЕНЕН</v>
      </c>
      <c r="R774" s="13">
        <f>IFERROR(VLOOKUP(P774,Лист1!A$1:B$20,2,FALSE),0)</f>
        <v>784</v>
      </c>
      <c r="S774" s="13">
        <f t="shared" si="90"/>
        <v>0</v>
      </c>
    </row>
    <row r="775" spans="1:19" x14ac:dyDescent="0.25">
      <c r="A775" s="24" t="s">
        <v>1888</v>
      </c>
      <c r="B775" s="4" t="s">
        <v>1059</v>
      </c>
      <c r="C775" s="25" t="s">
        <v>7</v>
      </c>
      <c r="G775" s="25" t="s">
        <v>1117</v>
      </c>
      <c r="H775" s="24" t="s">
        <v>1061</v>
      </c>
      <c r="I775" s="3" t="str">
        <f>IFERROR(VLOOKUP(C775,'Справочник соответствий'!A$2:D$2981,2,FALSE),IF(VALUE(C775)=0,1,VLOOKUP(C775,'Справочник соответствий'!A$2:D$2981,2,FALSE)))</f>
        <v>2</v>
      </c>
      <c r="J775" s="3">
        <f>IFERROR(VLOOKUP(D775,'Справочник соответствий'!A$2:D$2981,2,FALSE),IF(VALUE(D775)=0,0,VLOOKUP(D775,'Справочник соответствий'!A$2:D$2981,2,FALSE)))</f>
        <v>0</v>
      </c>
      <c r="K775" s="3" t="str">
        <f t="shared" si="84"/>
        <v>2</v>
      </c>
      <c r="L775" s="13" t="str">
        <f>IFERROR(VLOOKUP(C775,'Справочник соответствий'!A$2:D$2981,3,FALSE),IF(VALUE(C775)=0,"ЭТАЖ НЕ ОПРЕДЕЛЕН. ПРИНЯТ ПО ДОПУЩЕНИЮ 1",VLOOKUP(C775,'Справочник соответствий'!A$2:D$2981,3,FALSE)))</f>
        <v>ЭТАЖ ЗАДАН ЧИСЛОМ</v>
      </c>
      <c r="M775" s="13" t="b">
        <f t="shared" si="85"/>
        <v>0</v>
      </c>
      <c r="N775" s="13">
        <f t="shared" si="86"/>
        <v>2</v>
      </c>
      <c r="O775" s="13" t="str">
        <f t="shared" si="87"/>
        <v>ЭТАЖ ЗАДАН ЧИСЛОМ</v>
      </c>
      <c r="P775" s="13" t="str">
        <f t="shared" si="88"/>
        <v>ЭТАЖ ЗАДАН ЧИСЛОМ</v>
      </c>
      <c r="Q775" s="13" t="str">
        <f t="shared" si="89"/>
        <v>ГОТОВ_ИЗМЕНЕН</v>
      </c>
      <c r="R775" s="13">
        <f>IFERROR(VLOOKUP(P775,Лист1!A$1:B$20,2,FALSE),0)</f>
        <v>784</v>
      </c>
      <c r="S775" s="13">
        <f t="shared" si="90"/>
        <v>0</v>
      </c>
    </row>
    <row r="776" spans="1:19" x14ac:dyDescent="0.25">
      <c r="A776" s="24" t="s">
        <v>1889</v>
      </c>
      <c r="B776" s="4" t="s">
        <v>1059</v>
      </c>
      <c r="C776" s="25" t="s">
        <v>5</v>
      </c>
      <c r="G776" s="25" t="s">
        <v>1086</v>
      </c>
      <c r="H776" s="24" t="s">
        <v>1061</v>
      </c>
      <c r="I776" s="3" t="str">
        <f>IFERROR(VLOOKUP(C776,'Справочник соответствий'!A$2:D$2981,2,FALSE),IF(VALUE(C776)=0,1,VLOOKUP(C776,'Справочник соответствий'!A$2:D$2981,2,FALSE)))</f>
        <v>1</v>
      </c>
      <c r="J776" s="3">
        <f>IFERROR(VLOOKUP(D776,'Справочник соответствий'!A$2:D$2981,2,FALSE),IF(VALUE(D776)=0,0,VLOOKUP(D776,'Справочник соответствий'!A$2:D$2981,2,FALSE)))</f>
        <v>0</v>
      </c>
      <c r="K776" s="3" t="str">
        <f t="shared" si="84"/>
        <v>1</v>
      </c>
      <c r="L776" s="13" t="str">
        <f>IFERROR(VLOOKUP(C776,'Справочник соответствий'!A$2:D$2981,3,FALSE),IF(VALUE(C776)=0,"ЭТАЖ НЕ ОПРЕДЕЛЕН. ПРИНЯТ ПО ДОПУЩЕНИЮ 1",VLOOKUP(C776,'Справочник соответствий'!A$2:D$2981,3,FALSE)))</f>
        <v>ЭТАЖ ЗАДАН ЧИСЛОМ</v>
      </c>
      <c r="M776" s="13" t="b">
        <f t="shared" si="85"/>
        <v>0</v>
      </c>
      <c r="N776" s="13">
        <f t="shared" si="86"/>
        <v>1</v>
      </c>
      <c r="O776" s="13" t="str">
        <f t="shared" si="87"/>
        <v>ЭТАЖ ЗАДАН ЧИСЛОМ</v>
      </c>
      <c r="P776" s="13" t="str">
        <f t="shared" si="88"/>
        <v>ЭТАЖ ЗАДАН ЧИСЛОМ</v>
      </c>
      <c r="Q776" s="13" t="str">
        <f t="shared" si="89"/>
        <v>ГОТОВ_ИЗМЕНЕН</v>
      </c>
      <c r="R776" s="13">
        <f>IFERROR(VLOOKUP(P776,Лист1!A$1:B$20,2,FALSE),0)</f>
        <v>784</v>
      </c>
      <c r="S776" s="13">
        <f t="shared" si="90"/>
        <v>0</v>
      </c>
    </row>
    <row r="777" spans="1:19" x14ac:dyDescent="0.25">
      <c r="A777" s="24" t="s">
        <v>1890</v>
      </c>
      <c r="B777" s="4" t="s">
        <v>1063</v>
      </c>
      <c r="C777" s="25" t="s">
        <v>5</v>
      </c>
      <c r="G777" s="25" t="s">
        <v>1080</v>
      </c>
      <c r="H777" s="24" t="s">
        <v>1061</v>
      </c>
      <c r="I777" s="3" t="str">
        <f>IFERROR(VLOOKUP(C777,'Справочник соответствий'!A$2:D$2981,2,FALSE),IF(VALUE(C777)=0,1,VLOOKUP(C777,'Справочник соответствий'!A$2:D$2981,2,FALSE)))</f>
        <v>1</v>
      </c>
      <c r="J777" s="3">
        <f>IFERROR(VLOOKUP(D777,'Справочник соответствий'!A$2:D$2981,2,FALSE),IF(VALUE(D777)=0,0,VLOOKUP(D777,'Справочник соответствий'!A$2:D$2981,2,FALSE)))</f>
        <v>0</v>
      </c>
      <c r="K777" s="3" t="str">
        <f t="shared" si="84"/>
        <v>1</v>
      </c>
      <c r="L777" s="13" t="str">
        <f>IFERROR(VLOOKUP(C777,'Справочник соответствий'!A$2:D$2981,3,FALSE),IF(VALUE(C777)=0,"ЭТАЖ НЕ ОПРЕДЕЛЕН. ПРИНЯТ ПО ДОПУЩЕНИЮ 1",VLOOKUP(C777,'Справочник соответствий'!A$2:D$2981,3,FALSE)))</f>
        <v>ЭТАЖ ЗАДАН ЧИСЛОМ</v>
      </c>
      <c r="M777" s="13" t="b">
        <f t="shared" si="85"/>
        <v>0</v>
      </c>
      <c r="N777" s="13">
        <f t="shared" si="86"/>
        <v>1</v>
      </c>
      <c r="O777" s="13" t="str">
        <f t="shared" si="87"/>
        <v>ЭТАЖ ЗАДАН ЧИСЛОМ</v>
      </c>
      <c r="P777" s="13" t="str">
        <f t="shared" si="88"/>
        <v>ЭТАЖ ЗАДАН ЧИСЛОМ</v>
      </c>
      <c r="Q777" s="13" t="str">
        <f t="shared" si="89"/>
        <v>ГОТОВ_ИЗМЕНЕН</v>
      </c>
      <c r="R777" s="13">
        <f>IFERROR(VLOOKUP(P777,Лист1!A$1:B$20,2,FALSE),0)</f>
        <v>784</v>
      </c>
      <c r="S777" s="13">
        <f t="shared" si="90"/>
        <v>0</v>
      </c>
    </row>
    <row r="778" spans="1:19" x14ac:dyDescent="0.25">
      <c r="A778" s="24" t="s">
        <v>1891</v>
      </c>
      <c r="B778" s="4" t="s">
        <v>1059</v>
      </c>
      <c r="C778" s="25" t="s">
        <v>7</v>
      </c>
      <c r="G778" s="25" t="s">
        <v>1080</v>
      </c>
      <c r="H778" s="24" t="s">
        <v>1061</v>
      </c>
      <c r="I778" s="3" t="str">
        <f>IFERROR(VLOOKUP(C778,'Справочник соответствий'!A$2:D$2981,2,FALSE),IF(VALUE(C778)=0,1,VLOOKUP(C778,'Справочник соответствий'!A$2:D$2981,2,FALSE)))</f>
        <v>2</v>
      </c>
      <c r="J778" s="3">
        <f>IFERROR(VLOOKUP(D778,'Справочник соответствий'!A$2:D$2981,2,FALSE),IF(VALUE(D778)=0,0,VLOOKUP(D778,'Справочник соответствий'!A$2:D$2981,2,FALSE)))</f>
        <v>0</v>
      </c>
      <c r="K778" s="3" t="str">
        <f t="shared" si="84"/>
        <v>2</v>
      </c>
      <c r="L778" s="13" t="str">
        <f>IFERROR(VLOOKUP(C778,'Справочник соответствий'!A$2:D$2981,3,FALSE),IF(VALUE(C778)=0,"ЭТАЖ НЕ ОПРЕДЕЛЕН. ПРИНЯТ ПО ДОПУЩЕНИЮ 1",VLOOKUP(C778,'Справочник соответствий'!A$2:D$2981,3,FALSE)))</f>
        <v>ЭТАЖ ЗАДАН ЧИСЛОМ</v>
      </c>
      <c r="M778" s="13" t="b">
        <f t="shared" si="85"/>
        <v>0</v>
      </c>
      <c r="N778" s="13">
        <f t="shared" si="86"/>
        <v>2</v>
      </c>
      <c r="O778" s="13" t="str">
        <f t="shared" si="87"/>
        <v>ЭТАЖ ЗАДАН ЧИСЛОМ</v>
      </c>
      <c r="P778" s="13" t="str">
        <f t="shared" si="88"/>
        <v>ЭТАЖ ЗАДАН ЧИСЛОМ</v>
      </c>
      <c r="Q778" s="13" t="str">
        <f t="shared" si="89"/>
        <v>ГОТОВ_ИЗМЕНЕН</v>
      </c>
      <c r="R778" s="13">
        <f>IFERROR(VLOOKUP(P778,Лист1!A$1:B$20,2,FALSE),0)</f>
        <v>784</v>
      </c>
      <c r="S778" s="13">
        <f t="shared" si="90"/>
        <v>0</v>
      </c>
    </row>
    <row r="779" spans="1:19" x14ac:dyDescent="0.25">
      <c r="A779" s="24" t="s">
        <v>1892</v>
      </c>
      <c r="B779" s="4" t="s">
        <v>1059</v>
      </c>
      <c r="C779" s="25" t="s">
        <v>5</v>
      </c>
      <c r="G779" s="25" t="s">
        <v>1080</v>
      </c>
      <c r="H779" s="24" t="s">
        <v>1061</v>
      </c>
      <c r="I779" s="3" t="str">
        <f>IFERROR(VLOOKUP(C779,'Справочник соответствий'!A$2:D$2981,2,FALSE),IF(VALUE(C779)=0,1,VLOOKUP(C779,'Справочник соответствий'!A$2:D$2981,2,FALSE)))</f>
        <v>1</v>
      </c>
      <c r="J779" s="3">
        <f>IFERROR(VLOOKUP(D779,'Справочник соответствий'!A$2:D$2981,2,FALSE),IF(VALUE(D779)=0,0,VLOOKUP(D779,'Справочник соответствий'!A$2:D$2981,2,FALSE)))</f>
        <v>0</v>
      </c>
      <c r="K779" s="3" t="str">
        <f t="shared" si="84"/>
        <v>1</v>
      </c>
      <c r="L779" s="13" t="str">
        <f>IFERROR(VLOOKUP(C779,'Справочник соответствий'!A$2:D$2981,3,FALSE),IF(VALUE(C779)=0,"ЭТАЖ НЕ ОПРЕДЕЛЕН. ПРИНЯТ ПО ДОПУЩЕНИЮ 1",VLOOKUP(C779,'Справочник соответствий'!A$2:D$2981,3,FALSE)))</f>
        <v>ЭТАЖ ЗАДАН ЧИСЛОМ</v>
      </c>
      <c r="M779" s="13" t="b">
        <f t="shared" si="85"/>
        <v>0</v>
      </c>
      <c r="N779" s="13">
        <f t="shared" si="86"/>
        <v>1</v>
      </c>
      <c r="O779" s="13" t="str">
        <f t="shared" si="87"/>
        <v>ЭТАЖ ЗАДАН ЧИСЛОМ</v>
      </c>
      <c r="P779" s="13" t="str">
        <f t="shared" si="88"/>
        <v>ЭТАЖ ЗАДАН ЧИСЛОМ</v>
      </c>
      <c r="Q779" s="13" t="str">
        <f t="shared" si="89"/>
        <v>ГОТОВ_ИЗМЕНЕН</v>
      </c>
      <c r="R779" s="13">
        <f>IFERROR(VLOOKUP(P779,Лист1!A$1:B$20,2,FALSE),0)</f>
        <v>784</v>
      </c>
      <c r="S779" s="13">
        <f t="shared" si="90"/>
        <v>0</v>
      </c>
    </row>
    <row r="780" spans="1:19" x14ac:dyDescent="0.25">
      <c r="A780" s="24" t="s">
        <v>1893</v>
      </c>
      <c r="B780" s="4" t="s">
        <v>1059</v>
      </c>
      <c r="G780" s="25" t="s">
        <v>1080</v>
      </c>
      <c r="H780" s="24" t="s">
        <v>1061</v>
      </c>
      <c r="I780" s="3">
        <f>IFERROR(VLOOKUP(C780,'Справочник соответствий'!A$2:D$2981,2,FALSE),IF(VALUE(C780)=0,1,VLOOKUP(C780,'Справочник соответствий'!A$2:D$2981,2,FALSE)))</f>
        <v>1</v>
      </c>
      <c r="J780" s="3">
        <f>IFERROR(VLOOKUP(D780,'Справочник соответствий'!A$2:D$2981,2,FALSE),IF(VALUE(D780)=0,0,VLOOKUP(D780,'Справочник соответствий'!A$2:D$2981,2,FALSE)))</f>
        <v>0</v>
      </c>
      <c r="K780" s="3">
        <f t="shared" si="84"/>
        <v>1</v>
      </c>
      <c r="L780" s="13" t="str">
        <f>IFERROR(VLOOKUP(C780,'Справочник соответствий'!A$2:D$2981,3,FALSE),IF(VALUE(C780)=0,"ЭТАЖ НЕ ОПРЕДЕЛЕН. ПРИНЯТ ПО ДОПУЩЕНИЮ 1",VLOOKUP(C780,'Справочник соответствий'!A$2:D$2981,3,FALSE)))</f>
        <v>ЭТАЖ НЕ ОПРЕДЕЛЕН. ПРИНЯТ ПО ДОПУЩЕНИЮ 1</v>
      </c>
      <c r="M780" s="13" t="b">
        <f t="shared" si="85"/>
        <v>0</v>
      </c>
      <c r="N780" s="13">
        <f t="shared" si="86"/>
        <v>1</v>
      </c>
      <c r="O780" s="13" t="str">
        <f t="shared" si="87"/>
        <v>ЭТАЖ НЕ ОПРЕДЕЛЕН. ПРИНЯТ ПО ДОПУЩЕНИЮ 1</v>
      </c>
      <c r="P780" s="13" t="str">
        <f t="shared" si="88"/>
        <v>ЭТАЖ НЕ ОПРЕДЕЛЕН. ПРИНЯТ ПО ДОПУЩЕНИЮ 1</v>
      </c>
      <c r="Q780" s="13" t="str">
        <f t="shared" si="89"/>
        <v>ГОТОВ_ИЗМЕНЕН</v>
      </c>
      <c r="R780" s="13">
        <f>IFERROR(VLOOKUP(P780,Лист1!A$1:B$20,2,FALSE),0)</f>
        <v>788</v>
      </c>
      <c r="S780" s="13">
        <f t="shared" si="90"/>
        <v>0</v>
      </c>
    </row>
    <row r="781" spans="1:19" x14ac:dyDescent="0.25">
      <c r="A781" s="24" t="s">
        <v>1894</v>
      </c>
      <c r="B781" s="4" t="s">
        <v>1063</v>
      </c>
      <c r="C781" s="25" t="s">
        <v>5</v>
      </c>
      <c r="G781" s="25" t="s">
        <v>1080</v>
      </c>
      <c r="H781" s="24" t="s">
        <v>1061</v>
      </c>
      <c r="I781" s="3" t="str">
        <f>IFERROR(VLOOKUP(C781,'Справочник соответствий'!A$2:D$2981,2,FALSE),IF(VALUE(C781)=0,1,VLOOKUP(C781,'Справочник соответствий'!A$2:D$2981,2,FALSE)))</f>
        <v>1</v>
      </c>
      <c r="J781" s="3">
        <f>IFERROR(VLOOKUP(D781,'Справочник соответствий'!A$2:D$2981,2,FALSE),IF(VALUE(D781)=0,0,VLOOKUP(D781,'Справочник соответствий'!A$2:D$2981,2,FALSE)))</f>
        <v>0</v>
      </c>
      <c r="K781" s="3" t="str">
        <f t="shared" si="84"/>
        <v>1</v>
      </c>
      <c r="L781" s="13" t="str">
        <f>IFERROR(VLOOKUP(C781,'Справочник соответствий'!A$2:D$2981,3,FALSE),IF(VALUE(C781)=0,"ЭТАЖ НЕ ОПРЕДЕЛЕН. ПРИНЯТ ПО ДОПУЩЕНИЮ 1",VLOOKUP(C781,'Справочник соответствий'!A$2:D$2981,3,FALSE)))</f>
        <v>ЭТАЖ ЗАДАН ЧИСЛОМ</v>
      </c>
      <c r="M781" s="13" t="b">
        <f t="shared" si="85"/>
        <v>0</v>
      </c>
      <c r="N781" s="13">
        <f t="shared" si="86"/>
        <v>1</v>
      </c>
      <c r="O781" s="13" t="str">
        <f t="shared" si="87"/>
        <v>ЭТАЖ ЗАДАН ЧИСЛОМ</v>
      </c>
      <c r="P781" s="13" t="str">
        <f t="shared" si="88"/>
        <v>ЭТАЖ ЗАДАН ЧИСЛОМ</v>
      </c>
      <c r="Q781" s="13" t="str">
        <f t="shared" si="89"/>
        <v>ГОТОВ_ИЗМЕНЕН</v>
      </c>
      <c r="R781" s="13">
        <f>IFERROR(VLOOKUP(P781,Лист1!A$1:B$20,2,FALSE),0)</f>
        <v>784</v>
      </c>
      <c r="S781" s="13">
        <f t="shared" si="90"/>
        <v>0</v>
      </c>
    </row>
    <row r="782" spans="1:19" x14ac:dyDescent="0.25">
      <c r="A782" s="24" t="s">
        <v>1895</v>
      </c>
      <c r="B782" s="4" t="s">
        <v>1059</v>
      </c>
      <c r="C782" s="25" t="s">
        <v>5</v>
      </c>
      <c r="G782" s="25" t="s">
        <v>1080</v>
      </c>
      <c r="H782" s="24" t="s">
        <v>1061</v>
      </c>
      <c r="I782" s="3" t="str">
        <f>IFERROR(VLOOKUP(C782,'Справочник соответствий'!A$2:D$2981,2,FALSE),IF(VALUE(C782)=0,1,VLOOKUP(C782,'Справочник соответствий'!A$2:D$2981,2,FALSE)))</f>
        <v>1</v>
      </c>
      <c r="J782" s="3">
        <f>IFERROR(VLOOKUP(D782,'Справочник соответствий'!A$2:D$2981,2,FALSE),IF(VALUE(D782)=0,0,VLOOKUP(D782,'Справочник соответствий'!A$2:D$2981,2,FALSE)))</f>
        <v>0</v>
      </c>
      <c r="K782" s="3" t="str">
        <f t="shared" si="84"/>
        <v>1</v>
      </c>
      <c r="L782" s="13" t="str">
        <f>IFERROR(VLOOKUP(C782,'Справочник соответствий'!A$2:D$2981,3,FALSE),IF(VALUE(C782)=0,"ЭТАЖ НЕ ОПРЕДЕЛЕН. ПРИНЯТ ПО ДОПУЩЕНИЮ 1",VLOOKUP(C782,'Справочник соответствий'!A$2:D$2981,3,FALSE)))</f>
        <v>ЭТАЖ ЗАДАН ЧИСЛОМ</v>
      </c>
      <c r="M782" s="13" t="b">
        <f t="shared" si="85"/>
        <v>0</v>
      </c>
      <c r="N782" s="13">
        <f t="shared" si="86"/>
        <v>1</v>
      </c>
      <c r="O782" s="13" t="str">
        <f t="shared" si="87"/>
        <v>ЭТАЖ ЗАДАН ЧИСЛОМ</v>
      </c>
      <c r="P782" s="13" t="str">
        <f t="shared" si="88"/>
        <v>ЭТАЖ ЗАДАН ЧИСЛОМ</v>
      </c>
      <c r="Q782" s="13" t="str">
        <f t="shared" si="89"/>
        <v>ГОТОВ_ИЗМЕНЕН</v>
      </c>
      <c r="R782" s="13">
        <f>IFERROR(VLOOKUP(P782,Лист1!A$1:B$20,2,FALSE),0)</f>
        <v>784</v>
      </c>
      <c r="S782" s="13">
        <f t="shared" si="90"/>
        <v>0</v>
      </c>
    </row>
    <row r="783" spans="1:19" x14ac:dyDescent="0.25">
      <c r="A783" s="24" t="s">
        <v>1896</v>
      </c>
      <c r="B783" s="4" t="s">
        <v>1059</v>
      </c>
      <c r="C783" s="25" t="s">
        <v>7</v>
      </c>
      <c r="G783" s="25" t="s">
        <v>1080</v>
      </c>
      <c r="H783" s="24" t="s">
        <v>1061</v>
      </c>
      <c r="I783" s="3" t="str">
        <f>IFERROR(VLOOKUP(C783,'Справочник соответствий'!A$2:D$2981,2,FALSE),IF(VALUE(C783)=0,1,VLOOKUP(C783,'Справочник соответствий'!A$2:D$2981,2,FALSE)))</f>
        <v>2</v>
      </c>
      <c r="J783" s="3">
        <f>IFERROR(VLOOKUP(D783,'Справочник соответствий'!A$2:D$2981,2,FALSE),IF(VALUE(D783)=0,0,VLOOKUP(D783,'Справочник соответствий'!A$2:D$2981,2,FALSE)))</f>
        <v>0</v>
      </c>
      <c r="K783" s="3" t="str">
        <f t="shared" si="84"/>
        <v>2</v>
      </c>
      <c r="L783" s="13" t="str">
        <f>IFERROR(VLOOKUP(C783,'Справочник соответствий'!A$2:D$2981,3,FALSE),IF(VALUE(C783)=0,"ЭТАЖ НЕ ОПРЕДЕЛЕН. ПРИНЯТ ПО ДОПУЩЕНИЮ 1",VLOOKUP(C783,'Справочник соответствий'!A$2:D$2981,3,FALSE)))</f>
        <v>ЭТАЖ ЗАДАН ЧИСЛОМ</v>
      </c>
      <c r="M783" s="13" t="b">
        <f t="shared" si="85"/>
        <v>0</v>
      </c>
      <c r="N783" s="13">
        <f t="shared" si="86"/>
        <v>2</v>
      </c>
      <c r="O783" s="13" t="str">
        <f t="shared" si="87"/>
        <v>ЭТАЖ ЗАДАН ЧИСЛОМ</v>
      </c>
      <c r="P783" s="13" t="str">
        <f t="shared" si="88"/>
        <v>ЭТАЖ ЗАДАН ЧИСЛОМ</v>
      </c>
      <c r="Q783" s="13" t="str">
        <f t="shared" si="89"/>
        <v>ГОТОВ_ИЗМЕНЕН</v>
      </c>
      <c r="R783" s="13">
        <f>IFERROR(VLOOKUP(P783,Лист1!A$1:B$20,2,FALSE),0)</f>
        <v>784</v>
      </c>
      <c r="S783" s="13">
        <f t="shared" si="90"/>
        <v>0</v>
      </c>
    </row>
    <row r="784" spans="1:19" x14ac:dyDescent="0.25">
      <c r="A784" s="24" t="s">
        <v>1897</v>
      </c>
      <c r="B784" s="4" t="s">
        <v>1063</v>
      </c>
      <c r="C784" s="25" t="s">
        <v>5</v>
      </c>
      <c r="G784" s="25" t="s">
        <v>1080</v>
      </c>
      <c r="H784" s="24" t="s">
        <v>1061</v>
      </c>
      <c r="I784" s="3" t="str">
        <f>IFERROR(VLOOKUP(C784,'Справочник соответствий'!A$2:D$2981,2,FALSE),IF(VALUE(C784)=0,1,VLOOKUP(C784,'Справочник соответствий'!A$2:D$2981,2,FALSE)))</f>
        <v>1</v>
      </c>
      <c r="J784" s="3">
        <f>IFERROR(VLOOKUP(D784,'Справочник соответствий'!A$2:D$2981,2,FALSE),IF(VALUE(D784)=0,0,VLOOKUP(D784,'Справочник соответствий'!A$2:D$2981,2,FALSE)))</f>
        <v>0</v>
      </c>
      <c r="K784" s="3" t="str">
        <f t="shared" si="84"/>
        <v>1</v>
      </c>
      <c r="L784" s="13" t="str">
        <f>IFERROR(VLOOKUP(C784,'Справочник соответствий'!A$2:D$2981,3,FALSE),IF(VALUE(C784)=0,"ЭТАЖ НЕ ОПРЕДЕЛЕН. ПРИНЯТ ПО ДОПУЩЕНИЮ 1",VLOOKUP(C784,'Справочник соответствий'!A$2:D$2981,3,FALSE)))</f>
        <v>ЭТАЖ ЗАДАН ЧИСЛОМ</v>
      </c>
      <c r="M784" s="13" t="b">
        <f t="shared" si="85"/>
        <v>0</v>
      </c>
      <c r="N784" s="13">
        <f t="shared" si="86"/>
        <v>1</v>
      </c>
      <c r="O784" s="13" t="str">
        <f t="shared" si="87"/>
        <v>ЭТАЖ ЗАДАН ЧИСЛОМ</v>
      </c>
      <c r="P784" s="13" t="str">
        <f t="shared" si="88"/>
        <v>ЭТАЖ ЗАДАН ЧИСЛОМ</v>
      </c>
      <c r="Q784" s="13" t="str">
        <f t="shared" si="89"/>
        <v>ГОТОВ_ИЗМЕНЕН</v>
      </c>
      <c r="R784" s="13">
        <f>IFERROR(VLOOKUP(P784,Лист1!A$1:B$20,2,FALSE),0)</f>
        <v>784</v>
      </c>
      <c r="S784" s="13">
        <f t="shared" si="90"/>
        <v>0</v>
      </c>
    </row>
    <row r="785" spans="1:19" x14ac:dyDescent="0.25">
      <c r="A785" s="24" t="s">
        <v>1898</v>
      </c>
      <c r="B785" s="4" t="s">
        <v>1063</v>
      </c>
      <c r="C785" s="25" t="s">
        <v>12</v>
      </c>
      <c r="D785" s="25" t="s">
        <v>5</v>
      </c>
      <c r="G785" s="25" t="s">
        <v>1080</v>
      </c>
      <c r="H785" s="24" t="s">
        <v>1061</v>
      </c>
      <c r="I785" s="3" t="str">
        <f>IFERROR(VLOOKUP(C785,'Справочник соответствий'!A$2:D$2981,2,FALSE),IF(VALUE(C785)=0,1,VLOOKUP(C785,'Справочник соответствий'!A$2:D$2981,2,FALSE)))</f>
        <v>4</v>
      </c>
      <c r="J785" s="3" t="str">
        <f>IFERROR(VLOOKUP(D785,'Справочник соответствий'!A$2:D$2981,2,FALSE),IF(VALUE(D785)=0,0,VLOOKUP(D785,'Справочник соответствий'!A$2:D$2981,2,FALSE)))</f>
        <v>1</v>
      </c>
      <c r="K785" s="3" t="str">
        <f t="shared" si="84"/>
        <v>4</v>
      </c>
      <c r="L785" s="13" t="str">
        <f>IFERROR(VLOOKUP(C785,'Справочник соответствий'!A$2:D$2981,3,FALSE),IF(VALUE(C785)=0,"ЭТАЖ НЕ ОПРЕДЕЛЕН. ПРИНЯТ ПО ДОПУЩЕНИЮ 1",VLOOKUP(C785,'Справочник соответствий'!A$2:D$2981,3,FALSE)))</f>
        <v>ЭТАЖ ЗАДАН ЧИСЛОМ</v>
      </c>
      <c r="M785" s="13" t="b">
        <f t="shared" si="85"/>
        <v>0</v>
      </c>
      <c r="N785" s="13">
        <f t="shared" si="86"/>
        <v>4</v>
      </c>
      <c r="O785" s="13" t="str">
        <f t="shared" si="87"/>
        <v>ЭТАЖ ЗАДАН ЧИСЛОМ</v>
      </c>
      <c r="P785" s="13" t="str">
        <f t="shared" si="88"/>
        <v>ЭТАЖ ЗАДАН ЧИСЛОМ</v>
      </c>
      <c r="Q785" s="13" t="str">
        <f t="shared" si="89"/>
        <v>ГОТОВ_ИЗМЕНЕН</v>
      </c>
      <c r="R785" s="13">
        <f>IFERROR(VLOOKUP(P785,Лист1!A$1:B$20,2,FALSE),0)</f>
        <v>784</v>
      </c>
      <c r="S785" s="13">
        <f t="shared" si="90"/>
        <v>0</v>
      </c>
    </row>
    <row r="786" spans="1:19" x14ac:dyDescent="0.25">
      <c r="A786" s="24" t="s">
        <v>1899</v>
      </c>
      <c r="B786" s="4" t="s">
        <v>1063</v>
      </c>
      <c r="C786" s="25" t="s">
        <v>5</v>
      </c>
      <c r="G786" s="25" t="s">
        <v>1072</v>
      </c>
      <c r="H786" s="24" t="s">
        <v>1061</v>
      </c>
      <c r="I786" s="3" t="str">
        <f>IFERROR(VLOOKUP(C786,'Справочник соответствий'!A$2:D$2981,2,FALSE),IF(VALUE(C786)=0,1,VLOOKUP(C786,'Справочник соответствий'!A$2:D$2981,2,FALSE)))</f>
        <v>1</v>
      </c>
      <c r="J786" s="3">
        <f>IFERROR(VLOOKUP(D786,'Справочник соответствий'!A$2:D$2981,2,FALSE),IF(VALUE(D786)=0,0,VLOOKUP(D786,'Справочник соответствий'!A$2:D$2981,2,FALSE)))</f>
        <v>0</v>
      </c>
      <c r="K786" s="3" t="str">
        <f t="shared" si="84"/>
        <v>1</v>
      </c>
      <c r="L786" s="13" t="str">
        <f>IFERROR(VLOOKUP(C786,'Справочник соответствий'!A$2:D$2981,3,FALSE),IF(VALUE(C786)=0,"ЭТАЖ НЕ ОПРЕДЕЛЕН. ПРИНЯТ ПО ДОПУЩЕНИЮ 1",VLOOKUP(C786,'Справочник соответствий'!A$2:D$2981,3,FALSE)))</f>
        <v>ЭТАЖ ЗАДАН ЧИСЛОМ</v>
      </c>
      <c r="M786" s="13" t="b">
        <f t="shared" si="85"/>
        <v>0</v>
      </c>
      <c r="N786" s="13">
        <f t="shared" si="86"/>
        <v>1</v>
      </c>
      <c r="O786" s="13" t="str">
        <f t="shared" si="87"/>
        <v>ЭТАЖ ЗАДАН ЧИСЛОМ</v>
      </c>
      <c r="P786" s="13" t="str">
        <f t="shared" si="88"/>
        <v>ЭТАЖ ЗАДАН ЧИСЛОМ</v>
      </c>
      <c r="Q786" s="13" t="str">
        <f t="shared" si="89"/>
        <v>ГОТОВ_ИЗМЕНЕН</v>
      </c>
      <c r="R786" s="13">
        <f>IFERROR(VLOOKUP(P786,Лист1!A$1:B$20,2,FALSE),0)</f>
        <v>784</v>
      </c>
      <c r="S786" s="13">
        <f t="shared" si="90"/>
        <v>0</v>
      </c>
    </row>
    <row r="787" spans="1:19" x14ac:dyDescent="0.25">
      <c r="A787" s="24" t="s">
        <v>1900</v>
      </c>
      <c r="B787" s="4" t="s">
        <v>1063</v>
      </c>
      <c r="C787" s="25" t="s">
        <v>5</v>
      </c>
      <c r="G787" s="25" t="s">
        <v>1072</v>
      </c>
      <c r="H787" s="24" t="s">
        <v>1061</v>
      </c>
      <c r="I787" s="3" t="str">
        <f>IFERROR(VLOOKUP(C787,'Справочник соответствий'!A$2:D$2981,2,FALSE),IF(VALUE(C787)=0,1,VLOOKUP(C787,'Справочник соответствий'!A$2:D$2981,2,FALSE)))</f>
        <v>1</v>
      </c>
      <c r="J787" s="3">
        <f>IFERROR(VLOOKUP(D787,'Справочник соответствий'!A$2:D$2981,2,FALSE),IF(VALUE(D787)=0,0,VLOOKUP(D787,'Справочник соответствий'!A$2:D$2981,2,FALSE)))</f>
        <v>0</v>
      </c>
      <c r="K787" s="3" t="str">
        <f t="shared" si="84"/>
        <v>1</v>
      </c>
      <c r="L787" s="13" t="str">
        <f>IFERROR(VLOOKUP(C787,'Справочник соответствий'!A$2:D$2981,3,FALSE),IF(VALUE(C787)=0,"ЭТАЖ НЕ ОПРЕДЕЛЕН. ПРИНЯТ ПО ДОПУЩЕНИЮ 1",VLOOKUP(C787,'Справочник соответствий'!A$2:D$2981,3,FALSE)))</f>
        <v>ЭТАЖ ЗАДАН ЧИСЛОМ</v>
      </c>
      <c r="M787" s="13" t="b">
        <f t="shared" si="85"/>
        <v>0</v>
      </c>
      <c r="N787" s="13">
        <f t="shared" si="86"/>
        <v>1</v>
      </c>
      <c r="O787" s="13" t="str">
        <f t="shared" si="87"/>
        <v>ЭТАЖ ЗАДАН ЧИСЛОМ</v>
      </c>
      <c r="P787" s="13" t="str">
        <f t="shared" si="88"/>
        <v>ЭТАЖ ЗАДАН ЧИСЛОМ</v>
      </c>
      <c r="Q787" s="13" t="str">
        <f t="shared" si="89"/>
        <v>ГОТОВ_ИЗМЕНЕН</v>
      </c>
      <c r="R787" s="13">
        <f>IFERROR(VLOOKUP(P787,Лист1!A$1:B$20,2,FALSE),0)</f>
        <v>784</v>
      </c>
      <c r="S787" s="13">
        <f t="shared" si="90"/>
        <v>0</v>
      </c>
    </row>
    <row r="788" spans="1:19" x14ac:dyDescent="0.25">
      <c r="A788" s="24" t="s">
        <v>1901</v>
      </c>
      <c r="B788" s="4" t="s">
        <v>1063</v>
      </c>
      <c r="C788" s="25" t="s">
        <v>5</v>
      </c>
      <c r="G788" s="25" t="s">
        <v>1072</v>
      </c>
      <c r="H788" s="24" t="s">
        <v>1061</v>
      </c>
      <c r="I788" s="3" t="str">
        <f>IFERROR(VLOOKUP(C788,'Справочник соответствий'!A$2:D$2981,2,FALSE),IF(VALUE(C788)=0,1,VLOOKUP(C788,'Справочник соответствий'!A$2:D$2981,2,FALSE)))</f>
        <v>1</v>
      </c>
      <c r="J788" s="3">
        <f>IFERROR(VLOOKUP(D788,'Справочник соответствий'!A$2:D$2981,2,FALSE),IF(VALUE(D788)=0,0,VLOOKUP(D788,'Справочник соответствий'!A$2:D$2981,2,FALSE)))</f>
        <v>0</v>
      </c>
      <c r="K788" s="3" t="str">
        <f t="shared" si="84"/>
        <v>1</v>
      </c>
      <c r="L788" s="13" t="str">
        <f>IFERROR(VLOOKUP(C788,'Справочник соответствий'!A$2:D$2981,3,FALSE),IF(VALUE(C788)=0,"ЭТАЖ НЕ ОПРЕДЕЛЕН. ПРИНЯТ ПО ДОПУЩЕНИЮ 1",VLOOKUP(C788,'Справочник соответствий'!A$2:D$2981,3,FALSE)))</f>
        <v>ЭТАЖ ЗАДАН ЧИСЛОМ</v>
      </c>
      <c r="M788" s="13" t="b">
        <f t="shared" si="85"/>
        <v>0</v>
      </c>
      <c r="N788" s="13">
        <f t="shared" si="86"/>
        <v>1</v>
      </c>
      <c r="O788" s="13" t="str">
        <f t="shared" si="87"/>
        <v>ЭТАЖ ЗАДАН ЧИСЛОМ</v>
      </c>
      <c r="P788" s="13" t="str">
        <f t="shared" si="88"/>
        <v>ЭТАЖ ЗАДАН ЧИСЛОМ</v>
      </c>
      <c r="Q788" s="13" t="str">
        <f t="shared" si="89"/>
        <v>ГОТОВ_ИЗМЕНЕН</v>
      </c>
      <c r="R788" s="13">
        <f>IFERROR(VLOOKUP(P788,Лист1!A$1:B$20,2,FALSE),0)</f>
        <v>784</v>
      </c>
      <c r="S788" s="13">
        <f t="shared" si="90"/>
        <v>0</v>
      </c>
    </row>
    <row r="789" spans="1:19" x14ac:dyDescent="0.25">
      <c r="A789" s="24" t="s">
        <v>1902</v>
      </c>
      <c r="B789" s="4" t="s">
        <v>1059</v>
      </c>
      <c r="C789" s="25" t="s">
        <v>7</v>
      </c>
      <c r="G789" s="25" t="s">
        <v>1072</v>
      </c>
      <c r="H789" s="24" t="s">
        <v>1061</v>
      </c>
      <c r="I789" s="3" t="str">
        <f>IFERROR(VLOOKUP(C789,'Справочник соответствий'!A$2:D$2981,2,FALSE),IF(VALUE(C789)=0,1,VLOOKUP(C789,'Справочник соответствий'!A$2:D$2981,2,FALSE)))</f>
        <v>2</v>
      </c>
      <c r="J789" s="3">
        <f>IFERROR(VLOOKUP(D789,'Справочник соответствий'!A$2:D$2981,2,FALSE),IF(VALUE(D789)=0,0,VLOOKUP(D789,'Справочник соответствий'!A$2:D$2981,2,FALSE)))</f>
        <v>0</v>
      </c>
      <c r="K789" s="3" t="str">
        <f t="shared" si="84"/>
        <v>2</v>
      </c>
      <c r="L789" s="13" t="str">
        <f>IFERROR(VLOOKUP(C789,'Справочник соответствий'!A$2:D$2981,3,FALSE),IF(VALUE(C789)=0,"ЭТАЖ НЕ ОПРЕДЕЛЕН. ПРИНЯТ ПО ДОПУЩЕНИЮ 1",VLOOKUP(C789,'Справочник соответствий'!A$2:D$2981,3,FALSE)))</f>
        <v>ЭТАЖ ЗАДАН ЧИСЛОМ</v>
      </c>
      <c r="M789" s="13" t="b">
        <f t="shared" si="85"/>
        <v>0</v>
      </c>
      <c r="N789" s="13">
        <f t="shared" si="86"/>
        <v>2</v>
      </c>
      <c r="O789" s="13" t="str">
        <f t="shared" si="87"/>
        <v>ЭТАЖ ЗАДАН ЧИСЛОМ</v>
      </c>
      <c r="P789" s="13" t="str">
        <f t="shared" si="88"/>
        <v>ЭТАЖ ЗАДАН ЧИСЛОМ</v>
      </c>
      <c r="Q789" s="13" t="str">
        <f t="shared" si="89"/>
        <v>ГОТОВ_ИЗМЕНЕН</v>
      </c>
      <c r="R789" s="13">
        <f>IFERROR(VLOOKUP(P789,Лист1!A$1:B$20,2,FALSE),0)</f>
        <v>784</v>
      </c>
      <c r="S789" s="13">
        <f t="shared" si="90"/>
        <v>0</v>
      </c>
    </row>
    <row r="790" spans="1:19" x14ac:dyDescent="0.25">
      <c r="A790" s="24" t="s">
        <v>1903</v>
      </c>
      <c r="B790" s="4" t="s">
        <v>1059</v>
      </c>
      <c r="C790" s="25" t="s">
        <v>5</v>
      </c>
      <c r="G790" s="25" t="s">
        <v>1072</v>
      </c>
      <c r="H790" s="24" t="s">
        <v>1061</v>
      </c>
      <c r="I790" s="3" t="str">
        <f>IFERROR(VLOOKUP(C790,'Справочник соответствий'!A$2:D$2981,2,FALSE),IF(VALUE(C790)=0,1,VLOOKUP(C790,'Справочник соответствий'!A$2:D$2981,2,FALSE)))</f>
        <v>1</v>
      </c>
      <c r="J790" s="3">
        <f>IFERROR(VLOOKUP(D790,'Справочник соответствий'!A$2:D$2981,2,FALSE),IF(VALUE(D790)=0,0,VLOOKUP(D790,'Справочник соответствий'!A$2:D$2981,2,FALSE)))</f>
        <v>0</v>
      </c>
      <c r="K790" s="3" t="str">
        <f t="shared" si="84"/>
        <v>1</v>
      </c>
      <c r="L790" s="13" t="str">
        <f>IFERROR(VLOOKUP(C790,'Справочник соответствий'!A$2:D$2981,3,FALSE),IF(VALUE(C790)=0,"ЭТАЖ НЕ ОПРЕДЕЛЕН. ПРИНЯТ ПО ДОПУЩЕНИЮ 1",VLOOKUP(C790,'Справочник соответствий'!A$2:D$2981,3,FALSE)))</f>
        <v>ЭТАЖ ЗАДАН ЧИСЛОМ</v>
      </c>
      <c r="M790" s="13" t="b">
        <f t="shared" si="85"/>
        <v>0</v>
      </c>
      <c r="N790" s="13">
        <f t="shared" si="86"/>
        <v>1</v>
      </c>
      <c r="O790" s="13" t="str">
        <f t="shared" si="87"/>
        <v>ЭТАЖ ЗАДАН ЧИСЛОМ</v>
      </c>
      <c r="P790" s="13" t="str">
        <f t="shared" si="88"/>
        <v>ЭТАЖ ЗАДАН ЧИСЛОМ</v>
      </c>
      <c r="Q790" s="13" t="str">
        <f t="shared" si="89"/>
        <v>ГОТОВ_ИЗМЕНЕН</v>
      </c>
      <c r="R790" s="13">
        <f>IFERROR(VLOOKUP(P790,Лист1!A$1:B$20,2,FALSE),0)</f>
        <v>784</v>
      </c>
      <c r="S790" s="13">
        <f t="shared" si="90"/>
        <v>0</v>
      </c>
    </row>
    <row r="791" spans="1:19" x14ac:dyDescent="0.25">
      <c r="A791" s="24" t="s">
        <v>1904</v>
      </c>
      <c r="B791" s="4" t="s">
        <v>1059</v>
      </c>
      <c r="C791" s="25" t="s">
        <v>5</v>
      </c>
      <c r="G791" s="25" t="s">
        <v>1391</v>
      </c>
      <c r="H791" s="24" t="s">
        <v>1061</v>
      </c>
      <c r="I791" s="3" t="str">
        <f>IFERROR(VLOOKUP(C791,'Справочник соответствий'!A$2:D$2981,2,FALSE),IF(VALUE(C791)=0,1,VLOOKUP(C791,'Справочник соответствий'!A$2:D$2981,2,FALSE)))</f>
        <v>1</v>
      </c>
      <c r="J791" s="3">
        <f>IFERROR(VLOOKUP(D791,'Справочник соответствий'!A$2:D$2981,2,FALSE),IF(VALUE(D791)=0,0,VLOOKUP(D791,'Справочник соответствий'!A$2:D$2981,2,FALSE)))</f>
        <v>0</v>
      </c>
      <c r="K791" s="3" t="str">
        <f t="shared" si="84"/>
        <v>1</v>
      </c>
      <c r="L791" s="13" t="str">
        <f>IFERROR(VLOOKUP(C791,'Справочник соответствий'!A$2:D$2981,3,FALSE),IF(VALUE(C791)=0,"ЭТАЖ НЕ ОПРЕДЕЛЕН. ПРИНЯТ ПО ДОПУЩЕНИЮ 1",VLOOKUP(C791,'Справочник соответствий'!A$2:D$2981,3,FALSE)))</f>
        <v>ЭТАЖ ЗАДАН ЧИСЛОМ</v>
      </c>
      <c r="M791" s="13" t="b">
        <f t="shared" si="85"/>
        <v>0</v>
      </c>
      <c r="N791" s="13">
        <f t="shared" si="86"/>
        <v>1</v>
      </c>
      <c r="O791" s="13" t="str">
        <f t="shared" si="87"/>
        <v>ЭТАЖ ЗАДАН ЧИСЛОМ</v>
      </c>
      <c r="P791" s="13" t="str">
        <f t="shared" si="88"/>
        <v>ЭТАЖ ЗАДАН ЧИСЛОМ</v>
      </c>
      <c r="Q791" s="13" t="str">
        <f t="shared" si="89"/>
        <v>ГОТОВ_ИЗМЕНЕН</v>
      </c>
      <c r="R791" s="13">
        <f>IFERROR(VLOOKUP(P791,Лист1!A$1:B$20,2,FALSE),0)</f>
        <v>784</v>
      </c>
      <c r="S791" s="13">
        <f t="shared" si="90"/>
        <v>0</v>
      </c>
    </row>
    <row r="792" spans="1:19" x14ac:dyDescent="0.25">
      <c r="A792" s="24" t="s">
        <v>1905</v>
      </c>
      <c r="B792" s="4" t="s">
        <v>1059</v>
      </c>
      <c r="C792" s="25" t="s">
        <v>5</v>
      </c>
      <c r="G792" s="25" t="s">
        <v>1072</v>
      </c>
      <c r="H792" s="24" t="s">
        <v>1061</v>
      </c>
      <c r="I792" s="3" t="str">
        <f>IFERROR(VLOOKUP(C792,'Справочник соответствий'!A$2:D$2981,2,FALSE),IF(VALUE(C792)=0,1,VLOOKUP(C792,'Справочник соответствий'!A$2:D$2981,2,FALSE)))</f>
        <v>1</v>
      </c>
      <c r="J792" s="3">
        <f>IFERROR(VLOOKUP(D792,'Справочник соответствий'!A$2:D$2981,2,FALSE),IF(VALUE(D792)=0,0,VLOOKUP(D792,'Справочник соответствий'!A$2:D$2981,2,FALSE)))</f>
        <v>0</v>
      </c>
      <c r="K792" s="3" t="str">
        <f t="shared" si="84"/>
        <v>1</v>
      </c>
      <c r="L792" s="13" t="str">
        <f>IFERROR(VLOOKUP(C792,'Справочник соответствий'!A$2:D$2981,3,FALSE),IF(VALUE(C792)=0,"ЭТАЖ НЕ ОПРЕДЕЛЕН. ПРИНЯТ ПО ДОПУЩЕНИЮ 1",VLOOKUP(C792,'Справочник соответствий'!A$2:D$2981,3,FALSE)))</f>
        <v>ЭТАЖ ЗАДАН ЧИСЛОМ</v>
      </c>
      <c r="M792" s="13" t="b">
        <f t="shared" si="85"/>
        <v>0</v>
      </c>
      <c r="N792" s="13">
        <f t="shared" si="86"/>
        <v>1</v>
      </c>
      <c r="O792" s="13" t="str">
        <f t="shared" si="87"/>
        <v>ЭТАЖ ЗАДАН ЧИСЛОМ</v>
      </c>
      <c r="P792" s="13" t="str">
        <f t="shared" si="88"/>
        <v>ЭТАЖ ЗАДАН ЧИСЛОМ</v>
      </c>
      <c r="Q792" s="13" t="str">
        <f t="shared" si="89"/>
        <v>ГОТОВ_ИЗМЕНЕН</v>
      </c>
      <c r="R792" s="13">
        <f>IFERROR(VLOOKUP(P792,Лист1!A$1:B$20,2,FALSE),0)</f>
        <v>784</v>
      </c>
      <c r="S792" s="13">
        <f t="shared" si="90"/>
        <v>0</v>
      </c>
    </row>
    <row r="793" spans="1:19" x14ac:dyDescent="0.25">
      <c r="A793" s="24" t="s">
        <v>1906</v>
      </c>
      <c r="B793" s="4" t="s">
        <v>1063</v>
      </c>
      <c r="C793" s="25" t="s">
        <v>5</v>
      </c>
      <c r="G793" s="25" t="s">
        <v>1072</v>
      </c>
      <c r="H793" s="24" t="s">
        <v>1061</v>
      </c>
      <c r="I793" s="3" t="str">
        <f>IFERROR(VLOOKUP(C793,'Справочник соответствий'!A$2:D$2981,2,FALSE),IF(VALUE(C793)=0,1,VLOOKUP(C793,'Справочник соответствий'!A$2:D$2981,2,FALSE)))</f>
        <v>1</v>
      </c>
      <c r="J793" s="3">
        <f>IFERROR(VLOOKUP(D793,'Справочник соответствий'!A$2:D$2981,2,FALSE),IF(VALUE(D793)=0,0,VLOOKUP(D793,'Справочник соответствий'!A$2:D$2981,2,FALSE)))</f>
        <v>0</v>
      </c>
      <c r="K793" s="3" t="str">
        <f t="shared" si="84"/>
        <v>1</v>
      </c>
      <c r="L793" s="13" t="str">
        <f>IFERROR(VLOOKUP(C793,'Справочник соответствий'!A$2:D$2981,3,FALSE),IF(VALUE(C793)=0,"ЭТАЖ НЕ ОПРЕДЕЛЕН. ПРИНЯТ ПО ДОПУЩЕНИЮ 1",VLOOKUP(C793,'Справочник соответствий'!A$2:D$2981,3,FALSE)))</f>
        <v>ЭТАЖ ЗАДАН ЧИСЛОМ</v>
      </c>
      <c r="M793" s="13" t="b">
        <f t="shared" si="85"/>
        <v>0</v>
      </c>
      <c r="N793" s="13">
        <f t="shared" si="86"/>
        <v>1</v>
      </c>
      <c r="O793" s="13" t="str">
        <f t="shared" si="87"/>
        <v>ЭТАЖ ЗАДАН ЧИСЛОМ</v>
      </c>
      <c r="P793" s="13" t="str">
        <f t="shared" si="88"/>
        <v>ЭТАЖ ЗАДАН ЧИСЛОМ</v>
      </c>
      <c r="Q793" s="13" t="str">
        <f t="shared" si="89"/>
        <v>ГОТОВ_ИЗМЕНЕН</v>
      </c>
      <c r="R793" s="13">
        <f>IFERROR(VLOOKUP(P793,Лист1!A$1:B$20,2,FALSE),0)</f>
        <v>784</v>
      </c>
      <c r="S793" s="13">
        <f t="shared" si="90"/>
        <v>0</v>
      </c>
    </row>
    <row r="794" spans="1:19" x14ac:dyDescent="0.25">
      <c r="A794" s="24" t="s">
        <v>1907</v>
      </c>
      <c r="B794" s="4" t="s">
        <v>1063</v>
      </c>
      <c r="C794" s="25" t="s">
        <v>5</v>
      </c>
      <c r="G794" s="25" t="s">
        <v>1072</v>
      </c>
      <c r="H794" s="24" t="s">
        <v>1061</v>
      </c>
      <c r="I794" s="3" t="str">
        <f>IFERROR(VLOOKUP(C794,'Справочник соответствий'!A$2:D$2981,2,FALSE),IF(VALUE(C794)=0,1,VLOOKUP(C794,'Справочник соответствий'!A$2:D$2981,2,FALSE)))</f>
        <v>1</v>
      </c>
      <c r="J794" s="3">
        <f>IFERROR(VLOOKUP(D794,'Справочник соответствий'!A$2:D$2981,2,FALSE),IF(VALUE(D794)=0,0,VLOOKUP(D794,'Справочник соответствий'!A$2:D$2981,2,FALSE)))</f>
        <v>0</v>
      </c>
      <c r="K794" s="3" t="str">
        <f t="shared" si="84"/>
        <v>1</v>
      </c>
      <c r="L794" s="13" t="str">
        <f>IFERROR(VLOOKUP(C794,'Справочник соответствий'!A$2:D$2981,3,FALSE),IF(VALUE(C794)=0,"ЭТАЖ НЕ ОПРЕДЕЛЕН. ПРИНЯТ ПО ДОПУЩЕНИЮ 1",VLOOKUP(C794,'Справочник соответствий'!A$2:D$2981,3,FALSE)))</f>
        <v>ЭТАЖ ЗАДАН ЧИСЛОМ</v>
      </c>
      <c r="M794" s="13" t="b">
        <f t="shared" si="85"/>
        <v>0</v>
      </c>
      <c r="N794" s="13">
        <f t="shared" si="86"/>
        <v>1</v>
      </c>
      <c r="O794" s="13" t="str">
        <f t="shared" si="87"/>
        <v>ЭТАЖ ЗАДАН ЧИСЛОМ</v>
      </c>
      <c r="P794" s="13" t="str">
        <f t="shared" si="88"/>
        <v>ЭТАЖ ЗАДАН ЧИСЛОМ</v>
      </c>
      <c r="Q794" s="13" t="str">
        <f t="shared" si="89"/>
        <v>ГОТОВ_ИЗМЕНЕН</v>
      </c>
      <c r="R794" s="13">
        <f>IFERROR(VLOOKUP(P794,Лист1!A$1:B$20,2,FALSE),0)</f>
        <v>784</v>
      </c>
      <c r="S794" s="13">
        <f t="shared" si="90"/>
        <v>0</v>
      </c>
    </row>
    <row r="795" spans="1:19" x14ac:dyDescent="0.25">
      <c r="A795" s="24" t="s">
        <v>1908</v>
      </c>
      <c r="B795" s="4" t="s">
        <v>1059</v>
      </c>
      <c r="C795" s="25" t="s">
        <v>5</v>
      </c>
      <c r="G795" s="25" t="s">
        <v>1391</v>
      </c>
      <c r="H795" s="24" t="s">
        <v>1061</v>
      </c>
      <c r="I795" s="3" t="str">
        <f>IFERROR(VLOOKUP(C795,'Справочник соответствий'!A$2:D$2981,2,FALSE),IF(VALUE(C795)=0,1,VLOOKUP(C795,'Справочник соответствий'!A$2:D$2981,2,FALSE)))</f>
        <v>1</v>
      </c>
      <c r="J795" s="3">
        <f>IFERROR(VLOOKUP(D795,'Справочник соответствий'!A$2:D$2981,2,FALSE),IF(VALUE(D795)=0,0,VLOOKUP(D795,'Справочник соответствий'!A$2:D$2981,2,FALSE)))</f>
        <v>0</v>
      </c>
      <c r="K795" s="3" t="str">
        <f t="shared" si="84"/>
        <v>1</v>
      </c>
      <c r="L795" s="13" t="str">
        <f>IFERROR(VLOOKUP(C795,'Справочник соответствий'!A$2:D$2981,3,FALSE),IF(VALUE(C795)=0,"ЭТАЖ НЕ ОПРЕДЕЛЕН. ПРИНЯТ ПО ДОПУЩЕНИЮ 1",VLOOKUP(C795,'Справочник соответствий'!A$2:D$2981,3,FALSE)))</f>
        <v>ЭТАЖ ЗАДАН ЧИСЛОМ</v>
      </c>
      <c r="M795" s="13" t="b">
        <f t="shared" si="85"/>
        <v>0</v>
      </c>
      <c r="N795" s="13">
        <f t="shared" si="86"/>
        <v>1</v>
      </c>
      <c r="O795" s="13" t="str">
        <f t="shared" si="87"/>
        <v>ЭТАЖ ЗАДАН ЧИСЛОМ</v>
      </c>
      <c r="P795" s="13" t="str">
        <f t="shared" si="88"/>
        <v>ЭТАЖ ЗАДАН ЧИСЛОМ</v>
      </c>
      <c r="Q795" s="13" t="str">
        <f t="shared" si="89"/>
        <v>ГОТОВ_ИЗМЕНЕН</v>
      </c>
      <c r="R795" s="13">
        <f>IFERROR(VLOOKUP(P795,Лист1!A$1:B$20,2,FALSE),0)</f>
        <v>784</v>
      </c>
      <c r="S795" s="13">
        <f t="shared" si="90"/>
        <v>0</v>
      </c>
    </row>
    <row r="796" spans="1:19" x14ac:dyDescent="0.25">
      <c r="A796" s="24" t="s">
        <v>1909</v>
      </c>
      <c r="B796" s="4" t="s">
        <v>1063</v>
      </c>
      <c r="C796" s="25" t="s">
        <v>57</v>
      </c>
      <c r="D796" s="25" t="s">
        <v>5</v>
      </c>
      <c r="G796" s="25" t="s">
        <v>1072</v>
      </c>
      <c r="H796" s="24" t="s">
        <v>1061</v>
      </c>
      <c r="I796" s="3" t="str">
        <f>IFERROR(VLOOKUP(C796,'Справочник соответствий'!A$2:D$2981,2,FALSE),IF(VALUE(C796)=0,1,VLOOKUP(C796,'Справочник соответствий'!A$2:D$2981,2,FALSE)))</f>
        <v>4</v>
      </c>
      <c r="J796" s="3" t="str">
        <f>IFERROR(VLOOKUP(D796,'Справочник соответствий'!A$2:D$2981,2,FALSE),IF(VALUE(D796)=0,0,VLOOKUP(D796,'Справочник соответствий'!A$2:D$2981,2,FALSE)))</f>
        <v>1</v>
      </c>
      <c r="K796" s="3" t="str">
        <f t="shared" si="84"/>
        <v>4</v>
      </c>
      <c r="L796" s="13" t="str">
        <f>IFERROR(VLOOKUP(C796,'Справочник соответствий'!A$2:D$2981,3,FALSE),IF(VALUE(C796)=0,"ЭТАЖ НЕ ОПРЕДЕЛЕН. ПРИНЯТ ПО ДОПУЩЕНИЮ 1",VLOOKUP(C796,'Справочник соответствий'!A$2:D$2981,3,FALSE)))</f>
        <v>СПРАВОЧНИК ЭТАЖНОСТИ</v>
      </c>
      <c r="M796" s="13" t="b">
        <f t="shared" si="85"/>
        <v>0</v>
      </c>
      <c r="N796" s="13">
        <f t="shared" si="86"/>
        <v>4</v>
      </c>
      <c r="O796" s="13" t="str">
        <f t="shared" si="87"/>
        <v>СПРАВОЧНИК ЭТАЖНОСТИ</v>
      </c>
      <c r="P796" s="13" t="str">
        <f t="shared" si="88"/>
        <v>СПРАВОЧНИК ЭТАЖНОСТИ</v>
      </c>
      <c r="Q796" s="13" t="str">
        <f t="shared" si="89"/>
        <v>ГОТОВ_ИЗМЕНЕН</v>
      </c>
      <c r="R796" s="13">
        <f>IFERROR(VLOOKUP(P796,Лист1!A$1:B$20,2,FALSE),0)</f>
        <v>785</v>
      </c>
      <c r="S796" s="13">
        <f t="shared" si="90"/>
        <v>0</v>
      </c>
    </row>
    <row r="797" spans="1:19" x14ac:dyDescent="0.25">
      <c r="A797" s="24" t="s">
        <v>1910</v>
      </c>
      <c r="B797" s="4" t="s">
        <v>1063</v>
      </c>
      <c r="G797" s="25" t="s">
        <v>1072</v>
      </c>
      <c r="H797" s="24" t="s">
        <v>1061</v>
      </c>
      <c r="I797" s="3">
        <f>IFERROR(VLOOKUP(C797,'Справочник соответствий'!A$2:D$2981,2,FALSE),IF(VALUE(C797)=0,1,VLOOKUP(C797,'Справочник соответствий'!A$2:D$2981,2,FALSE)))</f>
        <v>1</v>
      </c>
      <c r="J797" s="3">
        <f>IFERROR(VLOOKUP(D797,'Справочник соответствий'!A$2:D$2981,2,FALSE),IF(VALUE(D797)=0,0,VLOOKUP(D797,'Справочник соответствий'!A$2:D$2981,2,FALSE)))</f>
        <v>0</v>
      </c>
      <c r="K797" s="3">
        <f t="shared" si="84"/>
        <v>1</v>
      </c>
      <c r="L797" s="13" t="str">
        <f>IFERROR(VLOOKUP(C797,'Справочник соответствий'!A$2:D$2981,3,FALSE),IF(VALUE(C797)=0,"ЭТАЖ НЕ ОПРЕДЕЛЕН. ПРИНЯТ ПО ДОПУЩЕНИЮ 1",VLOOKUP(C797,'Справочник соответствий'!A$2:D$2981,3,FALSE)))</f>
        <v>ЭТАЖ НЕ ОПРЕДЕЛЕН. ПРИНЯТ ПО ДОПУЩЕНИЮ 1</v>
      </c>
      <c r="M797" s="13" t="b">
        <f t="shared" si="85"/>
        <v>0</v>
      </c>
      <c r="N797" s="13">
        <f t="shared" si="86"/>
        <v>1</v>
      </c>
      <c r="O797" s="13" t="str">
        <f t="shared" si="87"/>
        <v>ЭТАЖ НЕ ОПРЕДЕЛЕН. ПРИНЯТ ПО ДОПУЩЕНИЮ 1</v>
      </c>
      <c r="P797" s="13" t="str">
        <f t="shared" si="88"/>
        <v>ЭТАЖ НЕ ОПРЕДЕЛЕН. ПРИНЯТ ПО ДОПУЩЕНИЮ 1</v>
      </c>
      <c r="Q797" s="13" t="str">
        <f t="shared" si="89"/>
        <v>ГОТОВ_ИЗМЕНЕН</v>
      </c>
      <c r="R797" s="13">
        <f>IFERROR(VLOOKUP(P797,Лист1!A$1:B$20,2,FALSE),0)</f>
        <v>788</v>
      </c>
      <c r="S797" s="13">
        <f t="shared" si="90"/>
        <v>0</v>
      </c>
    </row>
    <row r="798" spans="1:19" x14ac:dyDescent="0.25">
      <c r="A798" s="24" t="s">
        <v>1911</v>
      </c>
      <c r="B798" s="4" t="s">
        <v>1059</v>
      </c>
      <c r="C798" s="25" t="s">
        <v>7</v>
      </c>
      <c r="G798" s="25" t="s">
        <v>1072</v>
      </c>
      <c r="H798" s="24" t="s">
        <v>1061</v>
      </c>
      <c r="I798" s="3" t="str">
        <f>IFERROR(VLOOKUP(C798,'Справочник соответствий'!A$2:D$2981,2,FALSE),IF(VALUE(C798)=0,1,VLOOKUP(C798,'Справочник соответствий'!A$2:D$2981,2,FALSE)))</f>
        <v>2</v>
      </c>
      <c r="J798" s="3">
        <f>IFERROR(VLOOKUP(D798,'Справочник соответствий'!A$2:D$2981,2,FALSE),IF(VALUE(D798)=0,0,VLOOKUP(D798,'Справочник соответствий'!A$2:D$2981,2,FALSE)))</f>
        <v>0</v>
      </c>
      <c r="K798" s="3" t="str">
        <f t="shared" si="84"/>
        <v>2</v>
      </c>
      <c r="L798" s="13" t="str">
        <f>IFERROR(VLOOKUP(C798,'Справочник соответствий'!A$2:D$2981,3,FALSE),IF(VALUE(C798)=0,"ЭТАЖ НЕ ОПРЕДЕЛЕН. ПРИНЯТ ПО ДОПУЩЕНИЮ 1",VLOOKUP(C798,'Справочник соответствий'!A$2:D$2981,3,FALSE)))</f>
        <v>ЭТАЖ ЗАДАН ЧИСЛОМ</v>
      </c>
      <c r="M798" s="13" t="b">
        <f t="shared" si="85"/>
        <v>0</v>
      </c>
      <c r="N798" s="13">
        <f t="shared" si="86"/>
        <v>2</v>
      </c>
      <c r="O798" s="13" t="str">
        <f t="shared" si="87"/>
        <v>ЭТАЖ ЗАДАН ЧИСЛОМ</v>
      </c>
      <c r="P798" s="13" t="str">
        <f t="shared" si="88"/>
        <v>ЭТАЖ ЗАДАН ЧИСЛОМ</v>
      </c>
      <c r="Q798" s="13" t="str">
        <f t="shared" si="89"/>
        <v>ГОТОВ_ИЗМЕНЕН</v>
      </c>
      <c r="R798" s="13">
        <f>IFERROR(VLOOKUP(P798,Лист1!A$1:B$20,2,FALSE),0)</f>
        <v>784</v>
      </c>
      <c r="S798" s="13">
        <f t="shared" si="90"/>
        <v>0</v>
      </c>
    </row>
    <row r="799" spans="1:19" x14ac:dyDescent="0.25">
      <c r="A799" s="24" t="s">
        <v>1912</v>
      </c>
      <c r="B799" s="4" t="s">
        <v>1059</v>
      </c>
      <c r="C799" s="25" t="s">
        <v>5</v>
      </c>
      <c r="G799" s="25" t="s">
        <v>1072</v>
      </c>
      <c r="H799" s="24" t="s">
        <v>1061</v>
      </c>
      <c r="I799" s="3" t="str">
        <f>IFERROR(VLOOKUP(C799,'Справочник соответствий'!A$2:D$2981,2,FALSE),IF(VALUE(C799)=0,1,VLOOKUP(C799,'Справочник соответствий'!A$2:D$2981,2,FALSE)))</f>
        <v>1</v>
      </c>
      <c r="J799" s="3">
        <f>IFERROR(VLOOKUP(D799,'Справочник соответствий'!A$2:D$2981,2,FALSE),IF(VALUE(D799)=0,0,VLOOKUP(D799,'Справочник соответствий'!A$2:D$2981,2,FALSE)))</f>
        <v>0</v>
      </c>
      <c r="K799" s="3" t="str">
        <f t="shared" si="84"/>
        <v>1</v>
      </c>
      <c r="L799" s="13" t="str">
        <f>IFERROR(VLOOKUP(C799,'Справочник соответствий'!A$2:D$2981,3,FALSE),IF(VALUE(C799)=0,"ЭТАЖ НЕ ОПРЕДЕЛЕН. ПРИНЯТ ПО ДОПУЩЕНИЮ 1",VLOOKUP(C799,'Справочник соответствий'!A$2:D$2981,3,FALSE)))</f>
        <v>ЭТАЖ ЗАДАН ЧИСЛОМ</v>
      </c>
      <c r="M799" s="13" t="b">
        <f t="shared" si="85"/>
        <v>0</v>
      </c>
      <c r="N799" s="13">
        <f t="shared" si="86"/>
        <v>1</v>
      </c>
      <c r="O799" s="13" t="str">
        <f t="shared" si="87"/>
        <v>ЭТАЖ ЗАДАН ЧИСЛОМ</v>
      </c>
      <c r="P799" s="13" t="str">
        <f t="shared" si="88"/>
        <v>ЭТАЖ ЗАДАН ЧИСЛОМ</v>
      </c>
      <c r="Q799" s="13" t="str">
        <f t="shared" si="89"/>
        <v>ГОТОВ_ИЗМЕНЕН</v>
      </c>
      <c r="R799" s="13">
        <f>IFERROR(VLOOKUP(P799,Лист1!A$1:B$20,2,FALSE),0)</f>
        <v>784</v>
      </c>
      <c r="S799" s="13">
        <f t="shared" si="90"/>
        <v>0</v>
      </c>
    </row>
    <row r="800" spans="1:19" x14ac:dyDescent="0.25">
      <c r="A800" s="24" t="s">
        <v>1913</v>
      </c>
      <c r="B800" s="4" t="s">
        <v>1059</v>
      </c>
      <c r="C800" s="25" t="s">
        <v>5</v>
      </c>
      <c r="G800" s="25" t="s">
        <v>1106</v>
      </c>
      <c r="H800" s="24" t="s">
        <v>1061</v>
      </c>
      <c r="I800" s="3" t="str">
        <f>IFERROR(VLOOKUP(C800,'Справочник соответствий'!A$2:D$2981,2,FALSE),IF(VALUE(C800)=0,1,VLOOKUP(C800,'Справочник соответствий'!A$2:D$2981,2,FALSE)))</f>
        <v>1</v>
      </c>
      <c r="J800" s="3">
        <f>IFERROR(VLOOKUP(D800,'Справочник соответствий'!A$2:D$2981,2,FALSE),IF(VALUE(D800)=0,0,VLOOKUP(D800,'Справочник соответствий'!A$2:D$2981,2,FALSE)))</f>
        <v>0</v>
      </c>
      <c r="K800" s="3" t="str">
        <f t="shared" si="84"/>
        <v>1</v>
      </c>
      <c r="L800" s="13" t="str">
        <f>IFERROR(VLOOKUP(C800,'Справочник соответствий'!A$2:D$2981,3,FALSE),IF(VALUE(C800)=0,"ЭТАЖ НЕ ОПРЕДЕЛЕН. ПРИНЯТ ПО ДОПУЩЕНИЮ 1",VLOOKUP(C800,'Справочник соответствий'!A$2:D$2981,3,FALSE)))</f>
        <v>ЭТАЖ ЗАДАН ЧИСЛОМ</v>
      </c>
      <c r="M800" s="13" t="b">
        <f t="shared" si="85"/>
        <v>0</v>
      </c>
      <c r="N800" s="13">
        <f t="shared" si="86"/>
        <v>1</v>
      </c>
      <c r="O800" s="13" t="str">
        <f t="shared" si="87"/>
        <v>ЭТАЖ ЗАДАН ЧИСЛОМ</v>
      </c>
      <c r="P800" s="13" t="str">
        <f t="shared" si="88"/>
        <v>ЭТАЖ ЗАДАН ЧИСЛОМ</v>
      </c>
      <c r="Q800" s="13" t="str">
        <f t="shared" si="89"/>
        <v>ГОТОВ_ИЗМЕНЕН</v>
      </c>
      <c r="R800" s="13">
        <f>IFERROR(VLOOKUP(P800,Лист1!A$1:B$20,2,FALSE),0)</f>
        <v>784</v>
      </c>
      <c r="S800" s="13">
        <f t="shared" si="90"/>
        <v>0</v>
      </c>
    </row>
    <row r="801" spans="1:19" x14ac:dyDescent="0.25">
      <c r="A801" s="24" t="s">
        <v>1914</v>
      </c>
      <c r="B801" s="4" t="s">
        <v>1063</v>
      </c>
      <c r="C801" s="25" t="s">
        <v>5</v>
      </c>
      <c r="G801" s="25" t="s">
        <v>1106</v>
      </c>
      <c r="H801" s="24" t="s">
        <v>1061</v>
      </c>
      <c r="I801" s="3" t="str">
        <f>IFERROR(VLOOKUP(C801,'Справочник соответствий'!A$2:D$2981,2,FALSE),IF(VALUE(C801)=0,1,VLOOKUP(C801,'Справочник соответствий'!A$2:D$2981,2,FALSE)))</f>
        <v>1</v>
      </c>
      <c r="J801" s="3">
        <f>IFERROR(VLOOKUP(D801,'Справочник соответствий'!A$2:D$2981,2,FALSE),IF(VALUE(D801)=0,0,VLOOKUP(D801,'Справочник соответствий'!A$2:D$2981,2,FALSE)))</f>
        <v>0</v>
      </c>
      <c r="K801" s="3" t="str">
        <f t="shared" si="84"/>
        <v>1</v>
      </c>
      <c r="L801" s="13" t="str">
        <f>IFERROR(VLOOKUP(C801,'Справочник соответствий'!A$2:D$2981,3,FALSE),IF(VALUE(C801)=0,"ЭТАЖ НЕ ОПРЕДЕЛЕН. ПРИНЯТ ПО ДОПУЩЕНИЮ 1",VLOOKUP(C801,'Справочник соответствий'!A$2:D$2981,3,FALSE)))</f>
        <v>ЭТАЖ ЗАДАН ЧИСЛОМ</v>
      </c>
      <c r="M801" s="13" t="b">
        <f t="shared" si="85"/>
        <v>0</v>
      </c>
      <c r="N801" s="13">
        <f t="shared" si="86"/>
        <v>1</v>
      </c>
      <c r="O801" s="13" t="str">
        <f t="shared" si="87"/>
        <v>ЭТАЖ ЗАДАН ЧИСЛОМ</v>
      </c>
      <c r="P801" s="13" t="str">
        <f t="shared" si="88"/>
        <v>ЭТАЖ ЗАДАН ЧИСЛОМ</v>
      </c>
      <c r="Q801" s="13" t="str">
        <f t="shared" si="89"/>
        <v>ГОТОВ_ИЗМЕНЕН</v>
      </c>
      <c r="R801" s="13">
        <f>IFERROR(VLOOKUP(P801,Лист1!A$1:B$20,2,FALSE),0)</f>
        <v>784</v>
      </c>
      <c r="S801" s="13">
        <f t="shared" si="90"/>
        <v>0</v>
      </c>
    </row>
    <row r="802" spans="1:19" x14ac:dyDescent="0.25">
      <c r="A802" s="24" t="s">
        <v>1915</v>
      </c>
      <c r="B802" s="4" t="s">
        <v>1059</v>
      </c>
      <c r="C802" s="25" t="s">
        <v>5</v>
      </c>
      <c r="G802" s="25" t="s">
        <v>1106</v>
      </c>
      <c r="H802" s="24" t="s">
        <v>1061</v>
      </c>
      <c r="I802" s="3" t="str">
        <f>IFERROR(VLOOKUP(C802,'Справочник соответствий'!A$2:D$2981,2,FALSE),IF(VALUE(C802)=0,1,VLOOKUP(C802,'Справочник соответствий'!A$2:D$2981,2,FALSE)))</f>
        <v>1</v>
      </c>
      <c r="J802" s="3">
        <f>IFERROR(VLOOKUP(D802,'Справочник соответствий'!A$2:D$2981,2,FALSE),IF(VALUE(D802)=0,0,VLOOKUP(D802,'Справочник соответствий'!A$2:D$2981,2,FALSE)))</f>
        <v>0</v>
      </c>
      <c r="K802" s="3" t="str">
        <f t="shared" si="84"/>
        <v>1</v>
      </c>
      <c r="L802" s="13" t="str">
        <f>IFERROR(VLOOKUP(C802,'Справочник соответствий'!A$2:D$2981,3,FALSE),IF(VALUE(C802)=0,"ЭТАЖ НЕ ОПРЕДЕЛЕН. ПРИНЯТ ПО ДОПУЩЕНИЮ 1",VLOOKUP(C802,'Справочник соответствий'!A$2:D$2981,3,FALSE)))</f>
        <v>ЭТАЖ ЗАДАН ЧИСЛОМ</v>
      </c>
      <c r="M802" s="13" t="b">
        <f t="shared" si="85"/>
        <v>0</v>
      </c>
      <c r="N802" s="13">
        <f t="shared" si="86"/>
        <v>1</v>
      </c>
      <c r="O802" s="13" t="str">
        <f t="shared" si="87"/>
        <v>ЭТАЖ ЗАДАН ЧИСЛОМ</v>
      </c>
      <c r="P802" s="13" t="str">
        <f t="shared" si="88"/>
        <v>ЭТАЖ ЗАДАН ЧИСЛОМ</v>
      </c>
      <c r="Q802" s="13" t="str">
        <f t="shared" si="89"/>
        <v>ГОТОВ_ИЗМЕНЕН</v>
      </c>
      <c r="R802" s="13">
        <f>IFERROR(VLOOKUP(P802,Лист1!A$1:B$20,2,FALSE),0)</f>
        <v>784</v>
      </c>
      <c r="S802" s="13">
        <f t="shared" si="90"/>
        <v>0</v>
      </c>
    </row>
    <row r="803" spans="1:19" x14ac:dyDescent="0.25">
      <c r="A803" s="24" t="s">
        <v>1916</v>
      </c>
      <c r="B803" s="4" t="s">
        <v>1059</v>
      </c>
      <c r="C803" s="25" t="s">
        <v>5</v>
      </c>
      <c r="G803" s="25" t="s">
        <v>1106</v>
      </c>
      <c r="H803" s="24" t="s">
        <v>1061</v>
      </c>
      <c r="I803" s="3" t="str">
        <f>IFERROR(VLOOKUP(C803,'Справочник соответствий'!A$2:D$2981,2,FALSE),IF(VALUE(C803)=0,1,VLOOKUP(C803,'Справочник соответствий'!A$2:D$2981,2,FALSE)))</f>
        <v>1</v>
      </c>
      <c r="J803" s="3">
        <f>IFERROR(VLOOKUP(D803,'Справочник соответствий'!A$2:D$2981,2,FALSE),IF(VALUE(D803)=0,0,VLOOKUP(D803,'Справочник соответствий'!A$2:D$2981,2,FALSE)))</f>
        <v>0</v>
      </c>
      <c r="K803" s="3" t="str">
        <f t="shared" si="84"/>
        <v>1</v>
      </c>
      <c r="L803" s="13" t="str">
        <f>IFERROR(VLOOKUP(C803,'Справочник соответствий'!A$2:D$2981,3,FALSE),IF(VALUE(C803)=0,"ЭТАЖ НЕ ОПРЕДЕЛЕН. ПРИНЯТ ПО ДОПУЩЕНИЮ 1",VLOOKUP(C803,'Справочник соответствий'!A$2:D$2981,3,FALSE)))</f>
        <v>ЭТАЖ ЗАДАН ЧИСЛОМ</v>
      </c>
      <c r="M803" s="13" t="b">
        <f t="shared" si="85"/>
        <v>0</v>
      </c>
      <c r="N803" s="13">
        <f t="shared" si="86"/>
        <v>1</v>
      </c>
      <c r="O803" s="13" t="str">
        <f t="shared" si="87"/>
        <v>ЭТАЖ ЗАДАН ЧИСЛОМ</v>
      </c>
      <c r="P803" s="13" t="str">
        <f t="shared" si="88"/>
        <v>ЭТАЖ ЗАДАН ЧИСЛОМ</v>
      </c>
      <c r="Q803" s="13" t="str">
        <f t="shared" si="89"/>
        <v>ГОТОВ_ИЗМЕНЕН</v>
      </c>
      <c r="R803" s="13">
        <f>IFERROR(VLOOKUP(P803,Лист1!A$1:B$20,2,FALSE),0)</f>
        <v>784</v>
      </c>
      <c r="S803" s="13">
        <f t="shared" si="90"/>
        <v>0</v>
      </c>
    </row>
    <row r="804" spans="1:19" x14ac:dyDescent="0.25">
      <c r="A804" s="24" t="s">
        <v>1917</v>
      </c>
      <c r="B804" s="4" t="s">
        <v>1059</v>
      </c>
      <c r="C804" s="25" t="s">
        <v>7</v>
      </c>
      <c r="G804" s="25" t="s">
        <v>1106</v>
      </c>
      <c r="H804" s="24" t="s">
        <v>1061</v>
      </c>
      <c r="I804" s="3" t="str">
        <f>IFERROR(VLOOKUP(C804,'Справочник соответствий'!A$2:D$2981,2,FALSE),IF(VALUE(C804)=0,1,VLOOKUP(C804,'Справочник соответствий'!A$2:D$2981,2,FALSE)))</f>
        <v>2</v>
      </c>
      <c r="J804" s="3">
        <f>IFERROR(VLOOKUP(D804,'Справочник соответствий'!A$2:D$2981,2,FALSE),IF(VALUE(D804)=0,0,VLOOKUP(D804,'Справочник соответствий'!A$2:D$2981,2,FALSE)))</f>
        <v>0</v>
      </c>
      <c r="K804" s="3" t="str">
        <f t="shared" si="84"/>
        <v>2</v>
      </c>
      <c r="L804" s="13" t="str">
        <f>IFERROR(VLOOKUP(C804,'Справочник соответствий'!A$2:D$2981,3,FALSE),IF(VALUE(C804)=0,"ЭТАЖ НЕ ОПРЕДЕЛЕН. ПРИНЯТ ПО ДОПУЩЕНИЮ 1",VLOOKUP(C804,'Справочник соответствий'!A$2:D$2981,3,FALSE)))</f>
        <v>ЭТАЖ ЗАДАН ЧИСЛОМ</v>
      </c>
      <c r="M804" s="13" t="b">
        <f t="shared" si="85"/>
        <v>0</v>
      </c>
      <c r="N804" s="13">
        <f t="shared" si="86"/>
        <v>2</v>
      </c>
      <c r="O804" s="13" t="str">
        <f t="shared" si="87"/>
        <v>ЭТАЖ ЗАДАН ЧИСЛОМ</v>
      </c>
      <c r="P804" s="13" t="str">
        <f t="shared" si="88"/>
        <v>ЭТАЖ ЗАДАН ЧИСЛОМ</v>
      </c>
      <c r="Q804" s="13" t="str">
        <f t="shared" si="89"/>
        <v>ГОТОВ_ИЗМЕНЕН</v>
      </c>
      <c r="R804" s="13">
        <f>IFERROR(VLOOKUP(P804,Лист1!A$1:B$20,2,FALSE),0)</f>
        <v>784</v>
      </c>
      <c r="S804" s="13">
        <f t="shared" si="90"/>
        <v>0</v>
      </c>
    </row>
    <row r="805" spans="1:19" x14ac:dyDescent="0.25">
      <c r="A805" s="24" t="s">
        <v>1918</v>
      </c>
      <c r="B805" s="4" t="s">
        <v>1031</v>
      </c>
      <c r="C805" s="25" t="s">
        <v>15</v>
      </c>
      <c r="D805" s="25" t="s">
        <v>5</v>
      </c>
      <c r="G805" s="25" t="s">
        <v>1106</v>
      </c>
      <c r="H805" s="24" t="s">
        <v>1061</v>
      </c>
      <c r="I805" s="3" t="str">
        <f>IFERROR(VLOOKUP(C805,'Справочник соответствий'!A$2:D$2981,2,FALSE),IF(VALUE(C805)=0,1,VLOOKUP(C805,'Справочник соответствий'!A$2:D$2981,2,FALSE)))</f>
        <v>10</v>
      </c>
      <c r="J805" s="3" t="str">
        <f>IFERROR(VLOOKUP(D805,'Справочник соответствий'!A$2:D$2981,2,FALSE),IF(VALUE(D805)=0,0,VLOOKUP(D805,'Справочник соответствий'!A$2:D$2981,2,FALSE)))</f>
        <v>1</v>
      </c>
      <c r="K805" s="3">
        <f t="shared" si="84"/>
        <v>9</v>
      </c>
      <c r="L805" s="13" t="str">
        <f>IFERROR(VLOOKUP(C805,'Справочник соответствий'!A$2:D$2981,3,FALSE),IF(VALUE(C805)=0,"ЭТАЖ НЕ ОПРЕДЕЛЕН. ПРИНЯТ ПО ДОПУЩЕНИЮ 1",VLOOKUP(C805,'Справочник соответствий'!A$2:D$2981,3,FALSE)))</f>
        <v>ЭТАЖ ЗАДАН ЧИСЛОМ</v>
      </c>
      <c r="M805" s="13" t="b">
        <f t="shared" si="85"/>
        <v>0</v>
      </c>
      <c r="N805" s="13">
        <f t="shared" si="86"/>
        <v>9</v>
      </c>
      <c r="O805" s="13" t="str">
        <f t="shared" si="87"/>
        <v>ЭТАЖ ЗАДАН ЧИСЛОМ</v>
      </c>
      <c r="P805" s="13" t="str">
        <f t="shared" si="88"/>
        <v>МКД_ЭТАЖ ЗАДАН ЧИСЛОМ</v>
      </c>
      <c r="Q805" s="13" t="str">
        <f t="shared" si="89"/>
        <v>ГОТОВ_ИЗМЕНЕН</v>
      </c>
      <c r="R805" s="13">
        <f>IFERROR(VLOOKUP(P805,Лист1!A$1:B$20,2,FALSE),0)</f>
        <v>786</v>
      </c>
      <c r="S805" s="13">
        <f t="shared" si="90"/>
        <v>0</v>
      </c>
    </row>
    <row r="806" spans="1:19" x14ac:dyDescent="0.25">
      <c r="A806" s="24" t="s">
        <v>1919</v>
      </c>
      <c r="B806" s="4" t="s">
        <v>1059</v>
      </c>
      <c r="C806" s="25" t="s">
        <v>5</v>
      </c>
      <c r="G806" s="25" t="s">
        <v>1106</v>
      </c>
      <c r="H806" s="24" t="s">
        <v>1061</v>
      </c>
      <c r="I806" s="3" t="str">
        <f>IFERROR(VLOOKUP(C806,'Справочник соответствий'!A$2:D$2981,2,FALSE),IF(VALUE(C806)=0,1,VLOOKUP(C806,'Справочник соответствий'!A$2:D$2981,2,FALSE)))</f>
        <v>1</v>
      </c>
      <c r="J806" s="3">
        <f>IFERROR(VLOOKUP(D806,'Справочник соответствий'!A$2:D$2981,2,FALSE),IF(VALUE(D806)=0,0,VLOOKUP(D806,'Справочник соответствий'!A$2:D$2981,2,FALSE)))</f>
        <v>0</v>
      </c>
      <c r="K806" s="3" t="str">
        <f t="shared" si="84"/>
        <v>1</v>
      </c>
      <c r="L806" s="13" t="str">
        <f>IFERROR(VLOOKUP(C806,'Справочник соответствий'!A$2:D$2981,3,FALSE),IF(VALUE(C806)=0,"ЭТАЖ НЕ ОПРЕДЕЛЕН. ПРИНЯТ ПО ДОПУЩЕНИЮ 1",VLOOKUP(C806,'Справочник соответствий'!A$2:D$2981,3,FALSE)))</f>
        <v>ЭТАЖ ЗАДАН ЧИСЛОМ</v>
      </c>
      <c r="M806" s="13" t="b">
        <f t="shared" si="85"/>
        <v>0</v>
      </c>
      <c r="N806" s="13">
        <f t="shared" si="86"/>
        <v>1</v>
      </c>
      <c r="O806" s="13" t="str">
        <f t="shared" si="87"/>
        <v>ЭТАЖ ЗАДАН ЧИСЛОМ</v>
      </c>
      <c r="P806" s="13" t="str">
        <f t="shared" si="88"/>
        <v>ЭТАЖ ЗАДАН ЧИСЛОМ</v>
      </c>
      <c r="Q806" s="13" t="str">
        <f t="shared" si="89"/>
        <v>ГОТОВ_ИЗМЕНЕН</v>
      </c>
      <c r="R806" s="13">
        <f>IFERROR(VLOOKUP(P806,Лист1!A$1:B$20,2,FALSE),0)</f>
        <v>784</v>
      </c>
      <c r="S806" s="13">
        <f t="shared" si="90"/>
        <v>0</v>
      </c>
    </row>
    <row r="807" spans="1:19" x14ac:dyDescent="0.25">
      <c r="A807" s="24" t="s">
        <v>1920</v>
      </c>
      <c r="B807" s="4" t="s">
        <v>1063</v>
      </c>
      <c r="G807" s="25" t="s">
        <v>1106</v>
      </c>
      <c r="H807" s="24" t="s">
        <v>1061</v>
      </c>
      <c r="I807" s="3">
        <f>IFERROR(VLOOKUP(C807,'Справочник соответствий'!A$2:D$2981,2,FALSE),IF(VALUE(C807)=0,1,VLOOKUP(C807,'Справочник соответствий'!A$2:D$2981,2,FALSE)))</f>
        <v>1</v>
      </c>
      <c r="J807" s="3">
        <f>IFERROR(VLOOKUP(D807,'Справочник соответствий'!A$2:D$2981,2,FALSE),IF(VALUE(D807)=0,0,VLOOKUP(D807,'Справочник соответствий'!A$2:D$2981,2,FALSE)))</f>
        <v>0</v>
      </c>
      <c r="K807" s="3">
        <f t="shared" si="84"/>
        <v>1</v>
      </c>
      <c r="L807" s="13" t="str">
        <f>IFERROR(VLOOKUP(C807,'Справочник соответствий'!A$2:D$2981,3,FALSE),IF(VALUE(C807)=0,"ЭТАЖ НЕ ОПРЕДЕЛЕН. ПРИНЯТ ПО ДОПУЩЕНИЮ 1",VLOOKUP(C807,'Справочник соответствий'!A$2:D$2981,3,FALSE)))</f>
        <v>ЭТАЖ НЕ ОПРЕДЕЛЕН. ПРИНЯТ ПО ДОПУЩЕНИЮ 1</v>
      </c>
      <c r="M807" s="13" t="b">
        <f t="shared" si="85"/>
        <v>0</v>
      </c>
      <c r="N807" s="13">
        <f t="shared" si="86"/>
        <v>1</v>
      </c>
      <c r="O807" s="13" t="str">
        <f t="shared" si="87"/>
        <v>ЭТАЖ НЕ ОПРЕДЕЛЕН. ПРИНЯТ ПО ДОПУЩЕНИЮ 1</v>
      </c>
      <c r="P807" s="13" t="str">
        <f t="shared" si="88"/>
        <v>ЭТАЖ НЕ ОПРЕДЕЛЕН. ПРИНЯТ ПО ДОПУЩЕНИЮ 1</v>
      </c>
      <c r="Q807" s="13" t="str">
        <f t="shared" si="89"/>
        <v>ГОТОВ_ИЗМЕНЕН</v>
      </c>
      <c r="R807" s="13">
        <f>IFERROR(VLOOKUP(P807,Лист1!A$1:B$20,2,FALSE),0)</f>
        <v>788</v>
      </c>
      <c r="S807" s="13">
        <f t="shared" si="90"/>
        <v>0</v>
      </c>
    </row>
    <row r="808" spans="1:19" x14ac:dyDescent="0.25">
      <c r="A808" s="24" t="s">
        <v>1921</v>
      </c>
      <c r="B808" s="4" t="s">
        <v>1063</v>
      </c>
      <c r="C808" s="25" t="s">
        <v>7</v>
      </c>
      <c r="G808" s="25" t="s">
        <v>1347</v>
      </c>
      <c r="H808" s="24" t="s">
        <v>1061</v>
      </c>
      <c r="I808" s="3" t="str">
        <f>IFERROR(VLOOKUP(C808,'Справочник соответствий'!A$2:D$2981,2,FALSE),IF(VALUE(C808)=0,1,VLOOKUP(C808,'Справочник соответствий'!A$2:D$2981,2,FALSE)))</f>
        <v>2</v>
      </c>
      <c r="J808" s="3">
        <f>IFERROR(VLOOKUP(D808,'Справочник соответствий'!A$2:D$2981,2,FALSE),IF(VALUE(D808)=0,0,VLOOKUP(D808,'Справочник соответствий'!A$2:D$2981,2,FALSE)))</f>
        <v>0</v>
      </c>
      <c r="K808" s="3" t="str">
        <f t="shared" si="84"/>
        <v>2</v>
      </c>
      <c r="L808" s="13" t="str">
        <f>IFERROR(VLOOKUP(C808,'Справочник соответствий'!A$2:D$2981,3,FALSE),IF(VALUE(C808)=0,"ЭТАЖ НЕ ОПРЕДЕЛЕН. ПРИНЯТ ПО ДОПУЩЕНИЮ 1",VLOOKUP(C808,'Справочник соответствий'!A$2:D$2981,3,FALSE)))</f>
        <v>ЭТАЖ ЗАДАН ЧИСЛОМ</v>
      </c>
      <c r="M808" s="13" t="b">
        <f t="shared" si="85"/>
        <v>0</v>
      </c>
      <c r="N808" s="13">
        <f t="shared" si="86"/>
        <v>2</v>
      </c>
      <c r="O808" s="13" t="str">
        <f t="shared" si="87"/>
        <v>ЭТАЖ ЗАДАН ЧИСЛОМ</v>
      </c>
      <c r="P808" s="13" t="str">
        <f t="shared" si="88"/>
        <v>ЭТАЖ ЗАДАН ЧИСЛОМ</v>
      </c>
      <c r="Q808" s="13" t="str">
        <f t="shared" si="89"/>
        <v>ГОТОВ_ИЗМЕНЕН</v>
      </c>
      <c r="R808" s="13">
        <f>IFERROR(VLOOKUP(P808,Лист1!A$1:B$20,2,FALSE),0)</f>
        <v>784</v>
      </c>
      <c r="S808" s="13">
        <f t="shared" si="90"/>
        <v>0</v>
      </c>
    </row>
    <row r="809" spans="1:19" x14ac:dyDescent="0.25">
      <c r="A809" s="24" t="s">
        <v>1922</v>
      </c>
      <c r="B809" s="4" t="s">
        <v>1059</v>
      </c>
      <c r="C809" s="25" t="s">
        <v>8</v>
      </c>
      <c r="G809" s="25" t="s">
        <v>1106</v>
      </c>
      <c r="H809" s="24" t="s">
        <v>1061</v>
      </c>
      <c r="I809" s="3" t="str">
        <f>IFERROR(VLOOKUP(C809,'Справочник соответствий'!A$2:D$2981,2,FALSE),IF(VALUE(C809)=0,1,VLOOKUP(C809,'Справочник соответствий'!A$2:D$2981,2,FALSE)))</f>
        <v>3</v>
      </c>
      <c r="J809" s="3">
        <f>IFERROR(VLOOKUP(D809,'Справочник соответствий'!A$2:D$2981,2,FALSE),IF(VALUE(D809)=0,0,VLOOKUP(D809,'Справочник соответствий'!A$2:D$2981,2,FALSE)))</f>
        <v>0</v>
      </c>
      <c r="K809" s="3" t="str">
        <f t="shared" si="84"/>
        <v>3</v>
      </c>
      <c r="L809" s="13" t="str">
        <f>IFERROR(VLOOKUP(C809,'Справочник соответствий'!A$2:D$2981,3,FALSE),IF(VALUE(C809)=0,"ЭТАЖ НЕ ОПРЕДЕЛЕН. ПРИНЯТ ПО ДОПУЩЕНИЮ 1",VLOOKUP(C809,'Справочник соответствий'!A$2:D$2981,3,FALSE)))</f>
        <v>ЭТАЖ ЗАДАН ЧИСЛОМ</v>
      </c>
      <c r="M809" s="13" t="b">
        <f t="shared" si="85"/>
        <v>0</v>
      </c>
      <c r="N809" s="13">
        <f t="shared" si="86"/>
        <v>3</v>
      </c>
      <c r="O809" s="13" t="str">
        <f t="shared" si="87"/>
        <v>ЭТАЖ ЗАДАН ЧИСЛОМ</v>
      </c>
      <c r="P809" s="13" t="str">
        <f t="shared" si="88"/>
        <v>ЭТАЖ ЗАДАН ЧИСЛОМ</v>
      </c>
      <c r="Q809" s="13" t="str">
        <f t="shared" si="89"/>
        <v>ГОТОВ_ИЗМЕНЕН</v>
      </c>
      <c r="R809" s="13">
        <f>IFERROR(VLOOKUP(P809,Лист1!A$1:B$20,2,FALSE),0)</f>
        <v>784</v>
      </c>
      <c r="S809" s="13">
        <f t="shared" si="90"/>
        <v>0</v>
      </c>
    </row>
    <row r="810" spans="1:19" x14ac:dyDescent="0.25">
      <c r="A810" s="24" t="s">
        <v>1923</v>
      </c>
      <c r="B810" s="4" t="s">
        <v>1059</v>
      </c>
      <c r="C810" s="25" t="s">
        <v>7</v>
      </c>
      <c r="G810" s="25" t="s">
        <v>1106</v>
      </c>
      <c r="H810" s="24" t="s">
        <v>1061</v>
      </c>
      <c r="I810" s="3" t="str">
        <f>IFERROR(VLOOKUP(C810,'Справочник соответствий'!A$2:D$2981,2,FALSE),IF(VALUE(C810)=0,1,VLOOKUP(C810,'Справочник соответствий'!A$2:D$2981,2,FALSE)))</f>
        <v>2</v>
      </c>
      <c r="J810" s="3">
        <f>IFERROR(VLOOKUP(D810,'Справочник соответствий'!A$2:D$2981,2,FALSE),IF(VALUE(D810)=0,0,VLOOKUP(D810,'Справочник соответствий'!A$2:D$2981,2,FALSE)))</f>
        <v>0</v>
      </c>
      <c r="K810" s="3" t="str">
        <f t="shared" si="84"/>
        <v>2</v>
      </c>
      <c r="L810" s="13" t="str">
        <f>IFERROR(VLOOKUP(C810,'Справочник соответствий'!A$2:D$2981,3,FALSE),IF(VALUE(C810)=0,"ЭТАЖ НЕ ОПРЕДЕЛЕН. ПРИНЯТ ПО ДОПУЩЕНИЮ 1",VLOOKUP(C810,'Справочник соответствий'!A$2:D$2981,3,FALSE)))</f>
        <v>ЭТАЖ ЗАДАН ЧИСЛОМ</v>
      </c>
      <c r="M810" s="13" t="b">
        <f t="shared" si="85"/>
        <v>0</v>
      </c>
      <c r="N810" s="13">
        <f t="shared" si="86"/>
        <v>2</v>
      </c>
      <c r="O810" s="13" t="str">
        <f t="shared" si="87"/>
        <v>ЭТАЖ ЗАДАН ЧИСЛОМ</v>
      </c>
      <c r="P810" s="13" t="str">
        <f t="shared" si="88"/>
        <v>ЭТАЖ ЗАДАН ЧИСЛОМ</v>
      </c>
      <c r="Q810" s="13" t="str">
        <f t="shared" si="89"/>
        <v>ГОТОВ_ИЗМЕНЕН</v>
      </c>
      <c r="R810" s="13">
        <f>IFERROR(VLOOKUP(P810,Лист1!A$1:B$20,2,FALSE),0)</f>
        <v>784</v>
      </c>
      <c r="S810" s="13">
        <f t="shared" si="90"/>
        <v>0</v>
      </c>
    </row>
    <row r="811" spans="1:19" x14ac:dyDescent="0.25">
      <c r="A811" s="24" t="s">
        <v>1924</v>
      </c>
      <c r="B811" s="4" t="s">
        <v>1059</v>
      </c>
      <c r="C811" s="25" t="s">
        <v>5</v>
      </c>
      <c r="G811" s="25" t="s">
        <v>1083</v>
      </c>
      <c r="H811" s="24" t="s">
        <v>1061</v>
      </c>
      <c r="I811" s="3" t="str">
        <f>IFERROR(VLOOKUP(C811,'Справочник соответствий'!A$2:D$2981,2,FALSE),IF(VALUE(C811)=0,1,VLOOKUP(C811,'Справочник соответствий'!A$2:D$2981,2,FALSE)))</f>
        <v>1</v>
      </c>
      <c r="J811" s="3">
        <f>IFERROR(VLOOKUP(D811,'Справочник соответствий'!A$2:D$2981,2,FALSE),IF(VALUE(D811)=0,0,VLOOKUP(D811,'Справочник соответствий'!A$2:D$2981,2,FALSE)))</f>
        <v>0</v>
      </c>
      <c r="K811" s="3" t="str">
        <f t="shared" si="84"/>
        <v>1</v>
      </c>
      <c r="L811" s="13" t="str">
        <f>IFERROR(VLOOKUP(C811,'Справочник соответствий'!A$2:D$2981,3,FALSE),IF(VALUE(C811)=0,"ЭТАЖ НЕ ОПРЕДЕЛЕН. ПРИНЯТ ПО ДОПУЩЕНИЮ 1",VLOOKUP(C811,'Справочник соответствий'!A$2:D$2981,3,FALSE)))</f>
        <v>ЭТАЖ ЗАДАН ЧИСЛОМ</v>
      </c>
      <c r="M811" s="13" t="b">
        <f t="shared" si="85"/>
        <v>0</v>
      </c>
      <c r="N811" s="13">
        <f t="shared" si="86"/>
        <v>1</v>
      </c>
      <c r="O811" s="13" t="str">
        <f t="shared" si="87"/>
        <v>ЭТАЖ ЗАДАН ЧИСЛОМ</v>
      </c>
      <c r="P811" s="13" t="str">
        <f t="shared" si="88"/>
        <v>ЭТАЖ ЗАДАН ЧИСЛОМ</v>
      </c>
      <c r="Q811" s="13" t="str">
        <f t="shared" si="89"/>
        <v>ГОТОВ_ИЗМЕНЕН</v>
      </c>
      <c r="R811" s="13">
        <f>IFERROR(VLOOKUP(P811,Лист1!A$1:B$20,2,FALSE),0)</f>
        <v>784</v>
      </c>
      <c r="S811" s="13">
        <f t="shared" si="90"/>
        <v>0</v>
      </c>
    </row>
    <row r="812" spans="1:19" x14ac:dyDescent="0.25">
      <c r="A812" s="24" t="s">
        <v>1925</v>
      </c>
      <c r="B812" s="4" t="s">
        <v>1059</v>
      </c>
      <c r="C812" s="25" t="s">
        <v>7</v>
      </c>
      <c r="G812" s="25" t="s">
        <v>1083</v>
      </c>
      <c r="H812" s="24" t="s">
        <v>1061</v>
      </c>
      <c r="I812" s="3" t="str">
        <f>IFERROR(VLOOKUP(C812,'Справочник соответствий'!A$2:D$2981,2,FALSE),IF(VALUE(C812)=0,1,VLOOKUP(C812,'Справочник соответствий'!A$2:D$2981,2,FALSE)))</f>
        <v>2</v>
      </c>
      <c r="J812" s="3">
        <f>IFERROR(VLOOKUP(D812,'Справочник соответствий'!A$2:D$2981,2,FALSE),IF(VALUE(D812)=0,0,VLOOKUP(D812,'Справочник соответствий'!A$2:D$2981,2,FALSE)))</f>
        <v>0</v>
      </c>
      <c r="K812" s="3" t="str">
        <f t="shared" si="84"/>
        <v>2</v>
      </c>
      <c r="L812" s="13" t="str">
        <f>IFERROR(VLOOKUP(C812,'Справочник соответствий'!A$2:D$2981,3,FALSE),IF(VALUE(C812)=0,"ЭТАЖ НЕ ОПРЕДЕЛЕН. ПРИНЯТ ПО ДОПУЩЕНИЮ 1",VLOOKUP(C812,'Справочник соответствий'!A$2:D$2981,3,FALSE)))</f>
        <v>ЭТАЖ ЗАДАН ЧИСЛОМ</v>
      </c>
      <c r="M812" s="13" t="b">
        <f t="shared" si="85"/>
        <v>0</v>
      </c>
      <c r="N812" s="13">
        <f t="shared" si="86"/>
        <v>2</v>
      </c>
      <c r="O812" s="13" t="str">
        <f t="shared" si="87"/>
        <v>ЭТАЖ ЗАДАН ЧИСЛОМ</v>
      </c>
      <c r="P812" s="13" t="str">
        <f t="shared" si="88"/>
        <v>ЭТАЖ ЗАДАН ЧИСЛОМ</v>
      </c>
      <c r="Q812" s="13" t="str">
        <f t="shared" si="89"/>
        <v>ГОТОВ_ИЗМЕНЕН</v>
      </c>
      <c r="R812" s="13">
        <f>IFERROR(VLOOKUP(P812,Лист1!A$1:B$20,2,FALSE),0)</f>
        <v>784</v>
      </c>
      <c r="S812" s="13">
        <f t="shared" si="90"/>
        <v>0</v>
      </c>
    </row>
    <row r="813" spans="1:19" x14ac:dyDescent="0.25">
      <c r="A813" s="24" t="s">
        <v>1926</v>
      </c>
      <c r="B813" s="4" t="s">
        <v>1059</v>
      </c>
      <c r="C813" s="25" t="s">
        <v>5</v>
      </c>
      <c r="G813" s="25" t="s">
        <v>1289</v>
      </c>
      <c r="H813" s="24" t="s">
        <v>1061</v>
      </c>
      <c r="I813" s="3" t="str">
        <f>IFERROR(VLOOKUP(C813,'Справочник соответствий'!A$2:D$2981,2,FALSE),IF(VALUE(C813)=0,1,VLOOKUP(C813,'Справочник соответствий'!A$2:D$2981,2,FALSE)))</f>
        <v>1</v>
      </c>
      <c r="J813" s="3">
        <f>IFERROR(VLOOKUP(D813,'Справочник соответствий'!A$2:D$2981,2,FALSE),IF(VALUE(D813)=0,0,VLOOKUP(D813,'Справочник соответствий'!A$2:D$2981,2,FALSE)))</f>
        <v>0</v>
      </c>
      <c r="K813" s="3" t="str">
        <f t="shared" si="84"/>
        <v>1</v>
      </c>
      <c r="L813" s="13" t="str">
        <f>IFERROR(VLOOKUP(C813,'Справочник соответствий'!A$2:D$2981,3,FALSE),IF(VALUE(C813)=0,"ЭТАЖ НЕ ОПРЕДЕЛЕН. ПРИНЯТ ПО ДОПУЩЕНИЮ 1",VLOOKUP(C813,'Справочник соответствий'!A$2:D$2981,3,FALSE)))</f>
        <v>ЭТАЖ ЗАДАН ЧИСЛОМ</v>
      </c>
      <c r="M813" s="13" t="b">
        <f t="shared" si="85"/>
        <v>0</v>
      </c>
      <c r="N813" s="13">
        <f t="shared" si="86"/>
        <v>1</v>
      </c>
      <c r="O813" s="13" t="str">
        <f t="shared" si="87"/>
        <v>ЭТАЖ ЗАДАН ЧИСЛОМ</v>
      </c>
      <c r="P813" s="13" t="str">
        <f t="shared" si="88"/>
        <v>ЭТАЖ ЗАДАН ЧИСЛОМ</v>
      </c>
      <c r="Q813" s="13" t="str">
        <f t="shared" si="89"/>
        <v>ГОТОВ_ИЗМЕНЕН</v>
      </c>
      <c r="R813" s="13">
        <f>IFERROR(VLOOKUP(P813,Лист1!A$1:B$20,2,FALSE),0)</f>
        <v>784</v>
      </c>
      <c r="S813" s="13">
        <f t="shared" si="90"/>
        <v>0</v>
      </c>
    </row>
    <row r="814" spans="1:19" x14ac:dyDescent="0.25">
      <c r="A814" s="24" t="s">
        <v>1927</v>
      </c>
      <c r="B814" s="4" t="s">
        <v>1063</v>
      </c>
      <c r="C814" s="25" t="s">
        <v>5</v>
      </c>
      <c r="G814" s="25" t="s">
        <v>1083</v>
      </c>
      <c r="H814" s="24" t="s">
        <v>1061</v>
      </c>
      <c r="I814" s="3" t="str">
        <f>IFERROR(VLOOKUP(C814,'Справочник соответствий'!A$2:D$2981,2,FALSE),IF(VALUE(C814)=0,1,VLOOKUP(C814,'Справочник соответствий'!A$2:D$2981,2,FALSE)))</f>
        <v>1</v>
      </c>
      <c r="J814" s="3">
        <f>IFERROR(VLOOKUP(D814,'Справочник соответствий'!A$2:D$2981,2,FALSE),IF(VALUE(D814)=0,0,VLOOKUP(D814,'Справочник соответствий'!A$2:D$2981,2,FALSE)))</f>
        <v>0</v>
      </c>
      <c r="K814" s="3" t="str">
        <f t="shared" si="84"/>
        <v>1</v>
      </c>
      <c r="L814" s="13" t="str">
        <f>IFERROR(VLOOKUP(C814,'Справочник соответствий'!A$2:D$2981,3,FALSE),IF(VALUE(C814)=0,"ЭТАЖ НЕ ОПРЕДЕЛЕН. ПРИНЯТ ПО ДОПУЩЕНИЮ 1",VLOOKUP(C814,'Справочник соответствий'!A$2:D$2981,3,FALSE)))</f>
        <v>ЭТАЖ ЗАДАН ЧИСЛОМ</v>
      </c>
      <c r="M814" s="13" t="b">
        <f t="shared" si="85"/>
        <v>0</v>
      </c>
      <c r="N814" s="13">
        <f t="shared" si="86"/>
        <v>1</v>
      </c>
      <c r="O814" s="13" t="str">
        <f t="shared" si="87"/>
        <v>ЭТАЖ ЗАДАН ЧИСЛОМ</v>
      </c>
      <c r="P814" s="13" t="str">
        <f t="shared" si="88"/>
        <v>ЭТАЖ ЗАДАН ЧИСЛОМ</v>
      </c>
      <c r="Q814" s="13" t="str">
        <f t="shared" si="89"/>
        <v>ГОТОВ_ИЗМЕНЕН</v>
      </c>
      <c r="R814" s="13">
        <f>IFERROR(VLOOKUP(P814,Лист1!A$1:B$20,2,FALSE),0)</f>
        <v>784</v>
      </c>
      <c r="S814" s="13">
        <f t="shared" si="90"/>
        <v>0</v>
      </c>
    </row>
    <row r="815" spans="1:19" x14ac:dyDescent="0.25">
      <c r="A815" s="24" t="s">
        <v>1928</v>
      </c>
      <c r="B815" s="4" t="s">
        <v>1063</v>
      </c>
      <c r="C815" s="25" t="s">
        <v>5</v>
      </c>
      <c r="G815" s="25" t="s">
        <v>1083</v>
      </c>
      <c r="H815" s="24" t="s">
        <v>1061</v>
      </c>
      <c r="I815" s="3" t="str">
        <f>IFERROR(VLOOKUP(C815,'Справочник соответствий'!A$2:D$2981,2,FALSE),IF(VALUE(C815)=0,1,VLOOKUP(C815,'Справочник соответствий'!A$2:D$2981,2,FALSE)))</f>
        <v>1</v>
      </c>
      <c r="J815" s="3">
        <f>IFERROR(VLOOKUP(D815,'Справочник соответствий'!A$2:D$2981,2,FALSE),IF(VALUE(D815)=0,0,VLOOKUP(D815,'Справочник соответствий'!A$2:D$2981,2,FALSE)))</f>
        <v>0</v>
      </c>
      <c r="K815" s="3" t="str">
        <f t="shared" si="84"/>
        <v>1</v>
      </c>
      <c r="L815" s="13" t="str">
        <f>IFERROR(VLOOKUP(C815,'Справочник соответствий'!A$2:D$2981,3,FALSE),IF(VALUE(C815)=0,"ЭТАЖ НЕ ОПРЕДЕЛЕН. ПРИНЯТ ПО ДОПУЩЕНИЮ 1",VLOOKUP(C815,'Справочник соответствий'!A$2:D$2981,3,FALSE)))</f>
        <v>ЭТАЖ ЗАДАН ЧИСЛОМ</v>
      </c>
      <c r="M815" s="13" t="b">
        <f t="shared" si="85"/>
        <v>0</v>
      </c>
      <c r="N815" s="13">
        <f t="shared" si="86"/>
        <v>1</v>
      </c>
      <c r="O815" s="13" t="str">
        <f t="shared" si="87"/>
        <v>ЭТАЖ ЗАДАН ЧИСЛОМ</v>
      </c>
      <c r="P815" s="13" t="str">
        <f t="shared" si="88"/>
        <v>ЭТАЖ ЗАДАН ЧИСЛОМ</v>
      </c>
      <c r="Q815" s="13" t="str">
        <f t="shared" si="89"/>
        <v>ГОТОВ_ИЗМЕНЕН</v>
      </c>
      <c r="R815" s="13">
        <f>IFERROR(VLOOKUP(P815,Лист1!A$1:B$20,2,FALSE),0)</f>
        <v>784</v>
      </c>
      <c r="S815" s="13">
        <f t="shared" si="90"/>
        <v>0</v>
      </c>
    </row>
    <row r="816" spans="1:19" x14ac:dyDescent="0.25">
      <c r="A816" s="24" t="s">
        <v>1929</v>
      </c>
      <c r="B816" s="4" t="s">
        <v>1059</v>
      </c>
      <c r="C816" s="25" t="s">
        <v>7</v>
      </c>
      <c r="G816" s="25" t="s">
        <v>1083</v>
      </c>
      <c r="H816" s="24" t="s">
        <v>1061</v>
      </c>
      <c r="I816" s="3" t="str">
        <f>IFERROR(VLOOKUP(C816,'Справочник соответствий'!A$2:D$2981,2,FALSE),IF(VALUE(C816)=0,1,VLOOKUP(C816,'Справочник соответствий'!A$2:D$2981,2,FALSE)))</f>
        <v>2</v>
      </c>
      <c r="J816" s="3">
        <f>IFERROR(VLOOKUP(D816,'Справочник соответствий'!A$2:D$2981,2,FALSE),IF(VALUE(D816)=0,0,VLOOKUP(D816,'Справочник соответствий'!A$2:D$2981,2,FALSE)))</f>
        <v>0</v>
      </c>
      <c r="K816" s="3" t="str">
        <f t="shared" si="84"/>
        <v>2</v>
      </c>
      <c r="L816" s="13" t="str">
        <f>IFERROR(VLOOKUP(C816,'Справочник соответствий'!A$2:D$2981,3,FALSE),IF(VALUE(C816)=0,"ЭТАЖ НЕ ОПРЕДЕЛЕН. ПРИНЯТ ПО ДОПУЩЕНИЮ 1",VLOOKUP(C816,'Справочник соответствий'!A$2:D$2981,3,FALSE)))</f>
        <v>ЭТАЖ ЗАДАН ЧИСЛОМ</v>
      </c>
      <c r="M816" s="13" t="b">
        <f t="shared" si="85"/>
        <v>0</v>
      </c>
      <c r="N816" s="13">
        <f t="shared" si="86"/>
        <v>2</v>
      </c>
      <c r="O816" s="13" t="str">
        <f t="shared" si="87"/>
        <v>ЭТАЖ ЗАДАН ЧИСЛОМ</v>
      </c>
      <c r="P816" s="13" t="str">
        <f t="shared" si="88"/>
        <v>ЭТАЖ ЗАДАН ЧИСЛОМ</v>
      </c>
      <c r="Q816" s="13" t="str">
        <f t="shared" si="89"/>
        <v>ГОТОВ_ИЗМЕНЕН</v>
      </c>
      <c r="R816" s="13">
        <f>IFERROR(VLOOKUP(P816,Лист1!A$1:B$20,2,FALSE),0)</f>
        <v>784</v>
      </c>
      <c r="S816" s="13">
        <f t="shared" si="90"/>
        <v>0</v>
      </c>
    </row>
    <row r="817" spans="1:19" x14ac:dyDescent="0.25">
      <c r="A817" s="24" t="s">
        <v>1930</v>
      </c>
      <c r="B817" s="4" t="s">
        <v>1059</v>
      </c>
      <c r="C817" s="25" t="s">
        <v>5</v>
      </c>
      <c r="G817" s="25" t="s">
        <v>1083</v>
      </c>
      <c r="H817" s="24" t="s">
        <v>1061</v>
      </c>
      <c r="I817" s="3" t="str">
        <f>IFERROR(VLOOKUP(C817,'Справочник соответствий'!A$2:D$2981,2,FALSE),IF(VALUE(C817)=0,1,VLOOKUP(C817,'Справочник соответствий'!A$2:D$2981,2,FALSE)))</f>
        <v>1</v>
      </c>
      <c r="J817" s="3">
        <f>IFERROR(VLOOKUP(D817,'Справочник соответствий'!A$2:D$2981,2,FALSE),IF(VALUE(D817)=0,0,VLOOKUP(D817,'Справочник соответствий'!A$2:D$2981,2,FALSE)))</f>
        <v>0</v>
      </c>
      <c r="K817" s="3" t="str">
        <f t="shared" si="84"/>
        <v>1</v>
      </c>
      <c r="L817" s="13" t="str">
        <f>IFERROR(VLOOKUP(C817,'Справочник соответствий'!A$2:D$2981,3,FALSE),IF(VALUE(C817)=0,"ЭТАЖ НЕ ОПРЕДЕЛЕН. ПРИНЯТ ПО ДОПУЩЕНИЮ 1",VLOOKUP(C817,'Справочник соответствий'!A$2:D$2981,3,FALSE)))</f>
        <v>ЭТАЖ ЗАДАН ЧИСЛОМ</v>
      </c>
      <c r="M817" s="13" t="b">
        <f t="shared" si="85"/>
        <v>0</v>
      </c>
      <c r="N817" s="13">
        <f t="shared" si="86"/>
        <v>1</v>
      </c>
      <c r="O817" s="13" t="str">
        <f t="shared" si="87"/>
        <v>ЭТАЖ ЗАДАН ЧИСЛОМ</v>
      </c>
      <c r="P817" s="13" t="str">
        <f t="shared" si="88"/>
        <v>ЭТАЖ ЗАДАН ЧИСЛОМ</v>
      </c>
      <c r="Q817" s="13" t="str">
        <f t="shared" si="89"/>
        <v>ГОТОВ_ИЗМЕНЕН</v>
      </c>
      <c r="R817" s="13">
        <f>IFERROR(VLOOKUP(P817,Лист1!A$1:B$20,2,FALSE),0)</f>
        <v>784</v>
      </c>
      <c r="S817" s="13">
        <f t="shared" si="90"/>
        <v>0</v>
      </c>
    </row>
    <row r="818" spans="1:19" x14ac:dyDescent="0.25">
      <c r="A818" s="24" t="s">
        <v>1931</v>
      </c>
      <c r="B818" s="4" t="s">
        <v>1063</v>
      </c>
      <c r="C818" s="25" t="s">
        <v>5</v>
      </c>
      <c r="G818" s="25" t="s">
        <v>1083</v>
      </c>
      <c r="H818" s="24" t="s">
        <v>1061</v>
      </c>
      <c r="I818" s="3" t="str">
        <f>IFERROR(VLOOKUP(C818,'Справочник соответствий'!A$2:D$2981,2,FALSE),IF(VALUE(C818)=0,1,VLOOKUP(C818,'Справочник соответствий'!A$2:D$2981,2,FALSE)))</f>
        <v>1</v>
      </c>
      <c r="J818" s="3">
        <f>IFERROR(VLOOKUP(D818,'Справочник соответствий'!A$2:D$2981,2,FALSE),IF(VALUE(D818)=0,0,VLOOKUP(D818,'Справочник соответствий'!A$2:D$2981,2,FALSE)))</f>
        <v>0</v>
      </c>
      <c r="K818" s="3" t="str">
        <f t="shared" si="84"/>
        <v>1</v>
      </c>
      <c r="L818" s="13" t="str">
        <f>IFERROR(VLOOKUP(C818,'Справочник соответствий'!A$2:D$2981,3,FALSE),IF(VALUE(C818)=0,"ЭТАЖ НЕ ОПРЕДЕЛЕН. ПРИНЯТ ПО ДОПУЩЕНИЮ 1",VLOOKUP(C818,'Справочник соответствий'!A$2:D$2981,3,FALSE)))</f>
        <v>ЭТАЖ ЗАДАН ЧИСЛОМ</v>
      </c>
      <c r="M818" s="13" t="b">
        <f t="shared" si="85"/>
        <v>0</v>
      </c>
      <c r="N818" s="13">
        <f t="shared" si="86"/>
        <v>1</v>
      </c>
      <c r="O818" s="13" t="str">
        <f t="shared" si="87"/>
        <v>ЭТАЖ ЗАДАН ЧИСЛОМ</v>
      </c>
      <c r="P818" s="13" t="str">
        <f t="shared" si="88"/>
        <v>ЭТАЖ ЗАДАН ЧИСЛОМ</v>
      </c>
      <c r="Q818" s="13" t="str">
        <f t="shared" si="89"/>
        <v>ГОТОВ_ИЗМЕНЕН</v>
      </c>
      <c r="R818" s="13">
        <f>IFERROR(VLOOKUP(P818,Лист1!A$1:B$20,2,FALSE),0)</f>
        <v>784</v>
      </c>
      <c r="S818" s="13">
        <f t="shared" si="90"/>
        <v>0</v>
      </c>
    </row>
    <row r="819" spans="1:19" x14ac:dyDescent="0.25">
      <c r="A819" s="24" t="s">
        <v>1932</v>
      </c>
      <c r="B819" s="4" t="s">
        <v>1059</v>
      </c>
      <c r="C819" s="25" t="s">
        <v>5</v>
      </c>
      <c r="G819" s="25" t="s">
        <v>1083</v>
      </c>
      <c r="H819" s="24" t="s">
        <v>1061</v>
      </c>
      <c r="I819" s="3" t="str">
        <f>IFERROR(VLOOKUP(C819,'Справочник соответствий'!A$2:D$2981,2,FALSE),IF(VALUE(C819)=0,1,VLOOKUP(C819,'Справочник соответствий'!A$2:D$2981,2,FALSE)))</f>
        <v>1</v>
      </c>
      <c r="J819" s="3">
        <f>IFERROR(VLOOKUP(D819,'Справочник соответствий'!A$2:D$2981,2,FALSE),IF(VALUE(D819)=0,0,VLOOKUP(D819,'Справочник соответствий'!A$2:D$2981,2,FALSE)))</f>
        <v>0</v>
      </c>
      <c r="K819" s="3" t="str">
        <f t="shared" si="84"/>
        <v>1</v>
      </c>
      <c r="L819" s="13" t="str">
        <f>IFERROR(VLOOKUP(C819,'Справочник соответствий'!A$2:D$2981,3,FALSE),IF(VALUE(C819)=0,"ЭТАЖ НЕ ОПРЕДЕЛЕН. ПРИНЯТ ПО ДОПУЩЕНИЮ 1",VLOOKUP(C819,'Справочник соответствий'!A$2:D$2981,3,FALSE)))</f>
        <v>ЭТАЖ ЗАДАН ЧИСЛОМ</v>
      </c>
      <c r="M819" s="13" t="b">
        <f t="shared" si="85"/>
        <v>0</v>
      </c>
      <c r="N819" s="13">
        <f t="shared" si="86"/>
        <v>1</v>
      </c>
      <c r="O819" s="13" t="str">
        <f t="shared" si="87"/>
        <v>ЭТАЖ ЗАДАН ЧИСЛОМ</v>
      </c>
      <c r="P819" s="13" t="str">
        <f t="shared" si="88"/>
        <v>ЭТАЖ ЗАДАН ЧИСЛОМ</v>
      </c>
      <c r="Q819" s="13" t="str">
        <f t="shared" si="89"/>
        <v>ГОТОВ_ИЗМЕНЕН</v>
      </c>
      <c r="R819" s="13">
        <f>IFERROR(VLOOKUP(P819,Лист1!A$1:B$20,2,FALSE),0)</f>
        <v>784</v>
      </c>
      <c r="S819" s="13">
        <f t="shared" si="90"/>
        <v>0</v>
      </c>
    </row>
    <row r="820" spans="1:19" x14ac:dyDescent="0.25">
      <c r="A820" s="24" t="s">
        <v>1933</v>
      </c>
      <c r="B820" s="4" t="s">
        <v>1063</v>
      </c>
      <c r="C820" s="25" t="s">
        <v>5</v>
      </c>
      <c r="D820" s="25" t="s">
        <v>24</v>
      </c>
      <c r="E820" s="3">
        <v>1</v>
      </c>
      <c r="F820" s="24" t="s">
        <v>1045</v>
      </c>
      <c r="G820" s="25" t="s">
        <v>1276</v>
      </c>
      <c r="H820" s="24" t="s">
        <v>1061</v>
      </c>
      <c r="I820" s="3" t="str">
        <f>IFERROR(VLOOKUP(C820,'Справочник соответствий'!A$2:D$2981,2,FALSE),IF(VALUE(C820)=0,1,VLOOKUP(C820,'Справочник соответствий'!A$2:D$2981,2,FALSE)))</f>
        <v>1</v>
      </c>
      <c r="J820" s="3" t="str">
        <f>IFERROR(VLOOKUP(D820,'Справочник соответствий'!A$2:D$2981,2,FALSE),IF(VALUE(D820)=0,0,VLOOKUP(D820,'Справочник соответствий'!A$2:D$2981,2,FALSE)))</f>
        <v>1</v>
      </c>
      <c r="K820" s="3" t="str">
        <f t="shared" si="84"/>
        <v>1</v>
      </c>
      <c r="L820" s="13" t="str">
        <f>IFERROR(VLOOKUP(C820,'Справочник соответствий'!A$2:D$2981,3,FALSE),IF(VALUE(C820)=0,"ЭТАЖ НЕ ОПРЕДЕЛЕН. ПРИНЯТ ПО ДОПУЩЕНИЮ 1",VLOOKUP(C820,'Справочник соответствий'!A$2:D$2981,3,FALSE)))</f>
        <v>ЭТАЖ ЗАДАН ЧИСЛОМ</v>
      </c>
      <c r="M820" s="13" t="b">
        <f t="shared" si="85"/>
        <v>0</v>
      </c>
      <c r="N820" s="13">
        <f t="shared" si="86"/>
        <v>1</v>
      </c>
      <c r="O820" s="13" t="str">
        <f t="shared" si="87"/>
        <v>ЭТАЖ ЗАДАН ЧИСЛОМ</v>
      </c>
      <c r="P820" s="13" t="str">
        <f t="shared" si="88"/>
        <v>ЭТАЖ ЗАДАН ЧИСЛОМ</v>
      </c>
      <c r="Q820" s="13" t="str">
        <f t="shared" si="89"/>
        <v>ГОТОВ</v>
      </c>
      <c r="R820" s="13">
        <f>IFERROR(VLOOKUP(P820,Лист1!A$1:B$20,2,FALSE),0)</f>
        <v>784</v>
      </c>
      <c r="S820" s="13">
        <f t="shared" si="90"/>
        <v>1</v>
      </c>
    </row>
    <row r="821" spans="1:19" x14ac:dyDescent="0.25">
      <c r="A821" s="24" t="s">
        <v>1934</v>
      </c>
      <c r="B821" s="4" t="s">
        <v>1031</v>
      </c>
      <c r="C821" s="25" t="s">
        <v>7</v>
      </c>
      <c r="E821" s="3">
        <v>2</v>
      </c>
      <c r="F821" s="24" t="s">
        <v>1045</v>
      </c>
      <c r="G821" s="25" t="s">
        <v>1075</v>
      </c>
      <c r="H821" s="24" t="s">
        <v>1061</v>
      </c>
      <c r="I821" s="3" t="str">
        <f>IFERROR(VLOOKUP(C821,'Справочник соответствий'!A$2:D$2981,2,FALSE),IF(VALUE(C821)=0,1,VLOOKUP(C821,'Справочник соответствий'!A$2:D$2981,2,FALSE)))</f>
        <v>2</v>
      </c>
      <c r="J821" s="3">
        <f>IFERROR(VLOOKUP(D821,'Справочник соответствий'!A$2:D$2981,2,FALSE),IF(VALUE(D821)=0,0,VLOOKUP(D821,'Справочник соответствий'!A$2:D$2981,2,FALSE)))</f>
        <v>0</v>
      </c>
      <c r="K821" s="3">
        <f t="shared" si="84"/>
        <v>2</v>
      </c>
      <c r="L821" s="13" t="str">
        <f>IFERROR(VLOOKUP(C821,'Справочник соответствий'!A$2:D$2981,3,FALSE),IF(VALUE(C821)=0,"ЭТАЖ НЕ ОПРЕДЕЛЕН. ПРИНЯТ ПО ДОПУЩЕНИЮ 1",VLOOKUP(C821,'Справочник соответствий'!A$2:D$2981,3,FALSE)))</f>
        <v>ЭТАЖ ЗАДАН ЧИСЛОМ</v>
      </c>
      <c r="M821" s="13" t="b">
        <f t="shared" si="85"/>
        <v>0</v>
      </c>
      <c r="N821" s="13">
        <f t="shared" si="86"/>
        <v>2</v>
      </c>
      <c r="O821" s="13" t="str">
        <f t="shared" si="87"/>
        <v>ЭТАЖ ЗАДАН ЧИСЛОМ</v>
      </c>
      <c r="P821" s="13" t="str">
        <f t="shared" si="88"/>
        <v>МКД_ЭТАЖ ЗАДАН ЧИСЛОМ</v>
      </c>
      <c r="Q821" s="13" t="str">
        <f t="shared" si="89"/>
        <v>ГОТОВ</v>
      </c>
      <c r="R821" s="13">
        <f>IFERROR(VLOOKUP(P821,Лист1!A$1:B$20,2,FALSE),0)</f>
        <v>786</v>
      </c>
      <c r="S821" s="13">
        <f t="shared" si="90"/>
        <v>2</v>
      </c>
    </row>
    <row r="822" spans="1:19" x14ac:dyDescent="0.25">
      <c r="A822" s="24" t="s">
        <v>1935</v>
      </c>
      <c r="B822" s="4" t="s">
        <v>1059</v>
      </c>
      <c r="C822" s="25" t="s">
        <v>5</v>
      </c>
      <c r="E822" s="3">
        <v>1</v>
      </c>
      <c r="F822" s="24" t="s">
        <v>1045</v>
      </c>
      <c r="G822" s="25" t="s">
        <v>1080</v>
      </c>
      <c r="H822" s="24" t="s">
        <v>1061</v>
      </c>
      <c r="I822" s="3" t="str">
        <f>IFERROR(VLOOKUP(C822,'Справочник соответствий'!A$2:D$2981,2,FALSE),IF(VALUE(C822)=0,1,VLOOKUP(C822,'Справочник соответствий'!A$2:D$2981,2,FALSE)))</f>
        <v>1</v>
      </c>
      <c r="J822" s="3">
        <f>IFERROR(VLOOKUP(D822,'Справочник соответствий'!A$2:D$2981,2,FALSE),IF(VALUE(D822)=0,0,VLOOKUP(D822,'Справочник соответствий'!A$2:D$2981,2,FALSE)))</f>
        <v>0</v>
      </c>
      <c r="K822" s="3" t="str">
        <f t="shared" si="84"/>
        <v>1</v>
      </c>
      <c r="L822" s="13" t="str">
        <f>IFERROR(VLOOKUP(C822,'Справочник соответствий'!A$2:D$2981,3,FALSE),IF(VALUE(C822)=0,"ЭТАЖ НЕ ОПРЕДЕЛЕН. ПРИНЯТ ПО ДОПУЩЕНИЮ 1",VLOOKUP(C822,'Справочник соответствий'!A$2:D$2981,3,FALSE)))</f>
        <v>ЭТАЖ ЗАДАН ЧИСЛОМ</v>
      </c>
      <c r="M822" s="13" t="b">
        <f t="shared" si="85"/>
        <v>0</v>
      </c>
      <c r="N822" s="13">
        <f t="shared" si="86"/>
        <v>1</v>
      </c>
      <c r="O822" s="13" t="str">
        <f t="shared" si="87"/>
        <v>ЭТАЖ ЗАДАН ЧИСЛОМ</v>
      </c>
      <c r="P822" s="13" t="str">
        <f t="shared" si="88"/>
        <v>ЭТАЖ ЗАДАН ЧИСЛОМ</v>
      </c>
      <c r="Q822" s="13" t="str">
        <f t="shared" si="89"/>
        <v>ГОТОВ</v>
      </c>
      <c r="R822" s="13">
        <f>IFERROR(VLOOKUP(P822,Лист1!A$1:B$20,2,FALSE),0)</f>
        <v>784</v>
      </c>
      <c r="S822" s="13">
        <f t="shared" si="90"/>
        <v>1</v>
      </c>
    </row>
    <row r="823" spans="1:19" x14ac:dyDescent="0.25">
      <c r="A823" s="24" t="s">
        <v>1936</v>
      </c>
      <c r="B823" s="4" t="s">
        <v>1063</v>
      </c>
      <c r="C823" s="25" t="s">
        <v>7</v>
      </c>
      <c r="D823" s="25" t="s">
        <v>5</v>
      </c>
      <c r="E823" s="3">
        <v>2</v>
      </c>
      <c r="F823" s="24" t="s">
        <v>1045</v>
      </c>
      <c r="G823" s="25" t="s">
        <v>1205</v>
      </c>
      <c r="H823" s="24" t="s">
        <v>1061</v>
      </c>
      <c r="I823" s="3" t="str">
        <f>IFERROR(VLOOKUP(C823,'Справочник соответствий'!A$2:D$2981,2,FALSE),IF(VALUE(C823)=0,1,VLOOKUP(C823,'Справочник соответствий'!A$2:D$2981,2,FALSE)))</f>
        <v>2</v>
      </c>
      <c r="J823" s="3" t="str">
        <f>IFERROR(VLOOKUP(D823,'Справочник соответствий'!A$2:D$2981,2,FALSE),IF(VALUE(D823)=0,0,VLOOKUP(D823,'Справочник соответствий'!A$2:D$2981,2,FALSE)))</f>
        <v>1</v>
      </c>
      <c r="K823" s="3" t="str">
        <f t="shared" si="84"/>
        <v>2</v>
      </c>
      <c r="L823" s="13" t="str">
        <f>IFERROR(VLOOKUP(C823,'Справочник соответствий'!A$2:D$2981,3,FALSE),IF(VALUE(C823)=0,"ЭТАЖ НЕ ОПРЕДЕЛЕН. ПРИНЯТ ПО ДОПУЩЕНИЮ 1",VLOOKUP(C823,'Справочник соответствий'!A$2:D$2981,3,FALSE)))</f>
        <v>ЭТАЖ ЗАДАН ЧИСЛОМ</v>
      </c>
      <c r="M823" s="13" t="b">
        <f t="shared" si="85"/>
        <v>0</v>
      </c>
      <c r="N823" s="13">
        <f t="shared" si="86"/>
        <v>2</v>
      </c>
      <c r="O823" s="13" t="str">
        <f t="shared" si="87"/>
        <v>ЭТАЖ ЗАДАН ЧИСЛОМ</v>
      </c>
      <c r="P823" s="13" t="str">
        <f t="shared" si="88"/>
        <v>ЭТАЖ ЗАДАН ЧИСЛОМ</v>
      </c>
      <c r="Q823" s="13" t="str">
        <f t="shared" si="89"/>
        <v>ГОТОВ</v>
      </c>
      <c r="R823" s="13">
        <f>IFERROR(VLOOKUP(P823,Лист1!A$1:B$20,2,FALSE),0)</f>
        <v>784</v>
      </c>
      <c r="S823" s="13">
        <f t="shared" si="90"/>
        <v>2</v>
      </c>
    </row>
    <row r="824" spans="1:19" x14ac:dyDescent="0.25">
      <c r="A824" s="24" t="s">
        <v>1937</v>
      </c>
      <c r="B824" s="4" t="s">
        <v>1059</v>
      </c>
      <c r="C824" s="25" t="s">
        <v>7</v>
      </c>
      <c r="D824" s="25" t="s">
        <v>5</v>
      </c>
      <c r="E824" s="3">
        <v>2</v>
      </c>
      <c r="F824" s="24" t="s">
        <v>1045</v>
      </c>
      <c r="G824" s="25" t="s">
        <v>1083</v>
      </c>
      <c r="H824" s="24" t="s">
        <v>1061</v>
      </c>
      <c r="I824" s="3" t="str">
        <f>IFERROR(VLOOKUP(C824,'Справочник соответствий'!A$2:D$2981,2,FALSE),IF(VALUE(C824)=0,1,VLOOKUP(C824,'Справочник соответствий'!A$2:D$2981,2,FALSE)))</f>
        <v>2</v>
      </c>
      <c r="J824" s="3" t="str">
        <f>IFERROR(VLOOKUP(D824,'Справочник соответствий'!A$2:D$2981,2,FALSE),IF(VALUE(D824)=0,0,VLOOKUP(D824,'Справочник соответствий'!A$2:D$2981,2,FALSE)))</f>
        <v>1</v>
      </c>
      <c r="K824" s="3" t="str">
        <f t="shared" si="84"/>
        <v>2</v>
      </c>
      <c r="L824" s="13" t="str">
        <f>IFERROR(VLOOKUP(C824,'Справочник соответствий'!A$2:D$2981,3,FALSE),IF(VALUE(C824)=0,"ЭТАЖ НЕ ОПРЕДЕЛЕН. ПРИНЯТ ПО ДОПУЩЕНИЮ 1",VLOOKUP(C824,'Справочник соответствий'!A$2:D$2981,3,FALSE)))</f>
        <v>ЭТАЖ ЗАДАН ЧИСЛОМ</v>
      </c>
      <c r="M824" s="13" t="b">
        <f t="shared" si="85"/>
        <v>0</v>
      </c>
      <c r="N824" s="13">
        <f t="shared" si="86"/>
        <v>2</v>
      </c>
      <c r="O824" s="13" t="str">
        <f t="shared" si="87"/>
        <v>ЭТАЖ ЗАДАН ЧИСЛОМ</v>
      </c>
      <c r="P824" s="13" t="str">
        <f t="shared" si="88"/>
        <v>ЭТАЖ ЗАДАН ЧИСЛОМ</v>
      </c>
      <c r="Q824" s="13" t="str">
        <f t="shared" si="89"/>
        <v>ГОТОВ</v>
      </c>
      <c r="R824" s="13">
        <f>IFERROR(VLOOKUP(P824,Лист1!A$1:B$20,2,FALSE),0)</f>
        <v>784</v>
      </c>
      <c r="S824" s="13">
        <f t="shared" si="90"/>
        <v>2</v>
      </c>
    </row>
    <row r="825" spans="1:19" x14ac:dyDescent="0.25">
      <c r="A825" s="24" t="s">
        <v>1938</v>
      </c>
      <c r="B825" s="4" t="s">
        <v>1059</v>
      </c>
      <c r="E825" s="3">
        <v>1</v>
      </c>
      <c r="F825" s="24" t="s">
        <v>1045</v>
      </c>
      <c r="G825" s="25" t="s">
        <v>1104</v>
      </c>
      <c r="H825" s="24" t="s">
        <v>1061</v>
      </c>
      <c r="I825" s="3">
        <f>IFERROR(VLOOKUP(C825,'Справочник соответствий'!A$2:D$2981,2,FALSE),IF(VALUE(C825)=0,1,VLOOKUP(C825,'Справочник соответствий'!A$2:D$2981,2,FALSE)))</f>
        <v>1</v>
      </c>
      <c r="J825" s="3">
        <f>IFERROR(VLOOKUP(D825,'Справочник соответствий'!A$2:D$2981,2,FALSE),IF(VALUE(D825)=0,0,VLOOKUP(D825,'Справочник соответствий'!A$2:D$2981,2,FALSE)))</f>
        <v>0</v>
      </c>
      <c r="K825" s="3">
        <f t="shared" si="84"/>
        <v>1</v>
      </c>
      <c r="L825" s="13" t="str">
        <f>IFERROR(VLOOKUP(C825,'Справочник соответствий'!A$2:D$2981,3,FALSE),IF(VALUE(C825)=0,"ЭТАЖ НЕ ОПРЕДЕЛЕН. ПРИНЯТ ПО ДОПУЩЕНИЮ 1",VLOOKUP(C825,'Справочник соответствий'!A$2:D$2981,3,FALSE)))</f>
        <v>ЭТАЖ НЕ ОПРЕДЕЛЕН. ПРИНЯТ ПО ДОПУЩЕНИЮ 1</v>
      </c>
      <c r="M825" s="13" t="b">
        <f t="shared" si="85"/>
        <v>1</v>
      </c>
      <c r="N825" s="13">
        <f t="shared" si="86"/>
        <v>1</v>
      </c>
      <c r="O825" s="13" t="str">
        <f t="shared" si="87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825" s="13" t="str">
        <f t="shared" si="8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825" s="13" t="str">
        <f t="shared" si="89"/>
        <v>ГОТОВ</v>
      </c>
      <c r="R825" s="13">
        <f>IFERROR(VLOOKUP(P825,Лист1!A$1:B$20,2,FALSE),0)</f>
        <v>214</v>
      </c>
      <c r="S825" s="13">
        <f t="shared" si="90"/>
        <v>1</v>
      </c>
    </row>
    <row r="826" spans="1:19" x14ac:dyDescent="0.25">
      <c r="A826" s="24" t="s">
        <v>1939</v>
      </c>
      <c r="B826" s="4" t="s">
        <v>1059</v>
      </c>
      <c r="C826" s="25" t="s">
        <v>5</v>
      </c>
      <c r="E826" s="3">
        <v>1</v>
      </c>
      <c r="F826" s="24" t="s">
        <v>1045</v>
      </c>
      <c r="G826" s="25" t="s">
        <v>1104</v>
      </c>
      <c r="H826" s="24" t="s">
        <v>1061</v>
      </c>
      <c r="I826" s="3" t="str">
        <f>IFERROR(VLOOKUP(C826,'Справочник соответствий'!A$2:D$2981,2,FALSE),IF(VALUE(C826)=0,1,VLOOKUP(C826,'Справочник соответствий'!A$2:D$2981,2,FALSE)))</f>
        <v>1</v>
      </c>
      <c r="J826" s="3">
        <f>IFERROR(VLOOKUP(D826,'Справочник соответствий'!A$2:D$2981,2,FALSE),IF(VALUE(D826)=0,0,VLOOKUP(D826,'Справочник соответствий'!A$2:D$2981,2,FALSE)))</f>
        <v>0</v>
      </c>
      <c r="K826" s="3" t="str">
        <f t="shared" si="84"/>
        <v>1</v>
      </c>
      <c r="L826" s="13" t="str">
        <f>IFERROR(VLOOKUP(C826,'Справочник соответствий'!A$2:D$2981,3,FALSE),IF(VALUE(C826)=0,"ЭТАЖ НЕ ОПРЕДЕЛЕН. ПРИНЯТ ПО ДОПУЩЕНИЮ 1",VLOOKUP(C826,'Справочник соответствий'!A$2:D$2981,3,FALSE)))</f>
        <v>ЭТАЖ ЗАДАН ЧИСЛОМ</v>
      </c>
      <c r="M826" s="13" t="b">
        <f t="shared" si="85"/>
        <v>0</v>
      </c>
      <c r="N826" s="13">
        <f t="shared" si="86"/>
        <v>1</v>
      </c>
      <c r="O826" s="13" t="str">
        <f t="shared" si="87"/>
        <v>ЭТАЖ ЗАДАН ЧИСЛОМ</v>
      </c>
      <c r="P826" s="13" t="str">
        <f t="shared" si="88"/>
        <v>ЭТАЖ ЗАДАН ЧИСЛОМ</v>
      </c>
      <c r="Q826" s="13" t="str">
        <f t="shared" si="89"/>
        <v>ГОТОВ</v>
      </c>
      <c r="R826" s="13">
        <f>IFERROR(VLOOKUP(P826,Лист1!A$1:B$20,2,FALSE),0)</f>
        <v>784</v>
      </c>
      <c r="S826" s="13">
        <f t="shared" si="90"/>
        <v>1</v>
      </c>
    </row>
    <row r="827" spans="1:19" x14ac:dyDescent="0.25">
      <c r="A827" s="24" t="s">
        <v>1940</v>
      </c>
      <c r="B827" s="4" t="s">
        <v>1059</v>
      </c>
      <c r="C827" s="25" t="s">
        <v>7</v>
      </c>
      <c r="E827" s="3">
        <v>2</v>
      </c>
      <c r="F827" s="24" t="s">
        <v>1045</v>
      </c>
      <c r="G827" s="25" t="s">
        <v>1077</v>
      </c>
      <c r="H827" s="24" t="s">
        <v>1061</v>
      </c>
      <c r="I827" s="3" t="str">
        <f>IFERROR(VLOOKUP(C827,'Справочник соответствий'!A$2:D$2981,2,FALSE),IF(VALUE(C827)=0,1,VLOOKUP(C827,'Справочник соответствий'!A$2:D$2981,2,FALSE)))</f>
        <v>2</v>
      </c>
      <c r="J827" s="3">
        <f>IFERROR(VLOOKUP(D827,'Справочник соответствий'!A$2:D$2981,2,FALSE),IF(VALUE(D827)=0,0,VLOOKUP(D827,'Справочник соответствий'!A$2:D$2981,2,FALSE)))</f>
        <v>0</v>
      </c>
      <c r="K827" s="3" t="str">
        <f t="shared" si="84"/>
        <v>2</v>
      </c>
      <c r="L827" s="13" t="str">
        <f>IFERROR(VLOOKUP(C827,'Справочник соответствий'!A$2:D$2981,3,FALSE),IF(VALUE(C827)=0,"ЭТАЖ НЕ ОПРЕДЕЛЕН. ПРИНЯТ ПО ДОПУЩЕНИЮ 1",VLOOKUP(C827,'Справочник соответствий'!A$2:D$2981,3,FALSE)))</f>
        <v>ЭТАЖ ЗАДАН ЧИСЛОМ</v>
      </c>
      <c r="M827" s="13" t="b">
        <f t="shared" si="85"/>
        <v>0</v>
      </c>
      <c r="N827" s="13">
        <f t="shared" si="86"/>
        <v>2</v>
      </c>
      <c r="O827" s="13" t="str">
        <f t="shared" si="87"/>
        <v>ЭТАЖ ЗАДАН ЧИСЛОМ</v>
      </c>
      <c r="P827" s="13" t="str">
        <f t="shared" si="88"/>
        <v>ЭТАЖ ЗАДАН ЧИСЛОМ</v>
      </c>
      <c r="Q827" s="13" t="str">
        <f t="shared" si="89"/>
        <v>ГОТОВ</v>
      </c>
      <c r="R827" s="13">
        <f>IFERROR(VLOOKUP(P827,Лист1!A$1:B$20,2,FALSE),0)</f>
        <v>784</v>
      </c>
      <c r="S827" s="13">
        <f t="shared" si="90"/>
        <v>2</v>
      </c>
    </row>
    <row r="828" spans="1:19" x14ac:dyDescent="0.25">
      <c r="A828" s="24" t="s">
        <v>1941</v>
      </c>
      <c r="B828" s="4" t="s">
        <v>1059</v>
      </c>
      <c r="C828" s="25" t="s">
        <v>5</v>
      </c>
      <c r="E828" s="3">
        <v>1</v>
      </c>
      <c r="F828" s="24" t="s">
        <v>1045</v>
      </c>
      <c r="G828" s="25" t="s">
        <v>1289</v>
      </c>
      <c r="H828" s="24" t="s">
        <v>1061</v>
      </c>
      <c r="I828" s="3" t="str">
        <f>IFERROR(VLOOKUP(C828,'Справочник соответствий'!A$2:D$2981,2,FALSE),IF(VALUE(C828)=0,1,VLOOKUP(C828,'Справочник соответствий'!A$2:D$2981,2,FALSE)))</f>
        <v>1</v>
      </c>
      <c r="J828" s="3">
        <f>IFERROR(VLOOKUP(D828,'Справочник соответствий'!A$2:D$2981,2,FALSE),IF(VALUE(D828)=0,0,VLOOKUP(D828,'Справочник соответствий'!A$2:D$2981,2,FALSE)))</f>
        <v>0</v>
      </c>
      <c r="K828" s="3" t="str">
        <f t="shared" si="84"/>
        <v>1</v>
      </c>
      <c r="L828" s="13" t="str">
        <f>IFERROR(VLOOKUP(C828,'Справочник соответствий'!A$2:D$2981,3,FALSE),IF(VALUE(C828)=0,"ЭТАЖ НЕ ОПРЕДЕЛЕН. ПРИНЯТ ПО ДОПУЩЕНИЮ 1",VLOOKUP(C828,'Справочник соответствий'!A$2:D$2981,3,FALSE)))</f>
        <v>ЭТАЖ ЗАДАН ЧИСЛОМ</v>
      </c>
      <c r="M828" s="13" t="b">
        <f t="shared" si="85"/>
        <v>0</v>
      </c>
      <c r="N828" s="13">
        <f t="shared" si="86"/>
        <v>1</v>
      </c>
      <c r="O828" s="13" t="str">
        <f t="shared" si="87"/>
        <v>ЭТАЖ ЗАДАН ЧИСЛОМ</v>
      </c>
      <c r="P828" s="13" t="str">
        <f t="shared" si="88"/>
        <v>ЭТАЖ ЗАДАН ЧИСЛОМ</v>
      </c>
      <c r="Q828" s="13" t="str">
        <f t="shared" si="89"/>
        <v>ГОТОВ</v>
      </c>
      <c r="R828" s="13">
        <f>IFERROR(VLOOKUP(P828,Лист1!A$1:B$20,2,FALSE),0)</f>
        <v>784</v>
      </c>
      <c r="S828" s="13">
        <f t="shared" si="90"/>
        <v>1</v>
      </c>
    </row>
    <row r="829" spans="1:19" x14ac:dyDescent="0.25">
      <c r="A829" s="24" t="s">
        <v>1942</v>
      </c>
      <c r="B829" s="4" t="s">
        <v>1059</v>
      </c>
      <c r="C829" s="25" t="s">
        <v>5</v>
      </c>
      <c r="E829" s="3">
        <v>1</v>
      </c>
      <c r="F829" s="24" t="s">
        <v>1045</v>
      </c>
      <c r="G829" s="25" t="s">
        <v>1089</v>
      </c>
      <c r="H829" s="24" t="s">
        <v>1061</v>
      </c>
      <c r="I829" s="3" t="str">
        <f>IFERROR(VLOOKUP(C829,'Справочник соответствий'!A$2:D$2981,2,FALSE),IF(VALUE(C829)=0,1,VLOOKUP(C829,'Справочник соответствий'!A$2:D$2981,2,FALSE)))</f>
        <v>1</v>
      </c>
      <c r="J829" s="3">
        <f>IFERROR(VLOOKUP(D829,'Справочник соответствий'!A$2:D$2981,2,FALSE),IF(VALUE(D829)=0,0,VLOOKUP(D829,'Справочник соответствий'!A$2:D$2981,2,FALSE)))</f>
        <v>0</v>
      </c>
      <c r="K829" s="3" t="str">
        <f t="shared" si="84"/>
        <v>1</v>
      </c>
      <c r="L829" s="13" t="str">
        <f>IFERROR(VLOOKUP(C829,'Справочник соответствий'!A$2:D$2981,3,FALSE),IF(VALUE(C829)=0,"ЭТАЖ НЕ ОПРЕДЕЛЕН. ПРИНЯТ ПО ДОПУЩЕНИЮ 1",VLOOKUP(C829,'Справочник соответствий'!A$2:D$2981,3,FALSE)))</f>
        <v>ЭТАЖ ЗАДАН ЧИСЛОМ</v>
      </c>
      <c r="M829" s="13" t="b">
        <f t="shared" si="85"/>
        <v>0</v>
      </c>
      <c r="N829" s="13">
        <f t="shared" si="86"/>
        <v>1</v>
      </c>
      <c r="O829" s="13" t="str">
        <f t="shared" si="87"/>
        <v>ЭТАЖ ЗАДАН ЧИСЛОМ</v>
      </c>
      <c r="P829" s="13" t="str">
        <f t="shared" si="88"/>
        <v>ЭТАЖ ЗАДАН ЧИСЛОМ</v>
      </c>
      <c r="Q829" s="13" t="str">
        <f t="shared" si="89"/>
        <v>ГОТОВ</v>
      </c>
      <c r="R829" s="13">
        <f>IFERROR(VLOOKUP(P829,Лист1!A$1:B$20,2,FALSE),0)</f>
        <v>784</v>
      </c>
      <c r="S829" s="13">
        <f t="shared" si="90"/>
        <v>1</v>
      </c>
    </row>
    <row r="830" spans="1:19" x14ac:dyDescent="0.25">
      <c r="A830" s="24" t="s">
        <v>1943</v>
      </c>
      <c r="B830" s="4" t="s">
        <v>1059</v>
      </c>
      <c r="C830" s="25" t="s">
        <v>5</v>
      </c>
      <c r="E830" s="3">
        <v>1</v>
      </c>
      <c r="F830" s="24" t="s">
        <v>1045</v>
      </c>
      <c r="G830" s="25" t="s">
        <v>1077</v>
      </c>
      <c r="H830" s="24" t="s">
        <v>1061</v>
      </c>
      <c r="I830" s="3" t="str">
        <f>IFERROR(VLOOKUP(C830,'Справочник соответствий'!A$2:D$2981,2,FALSE),IF(VALUE(C830)=0,1,VLOOKUP(C830,'Справочник соответствий'!A$2:D$2981,2,FALSE)))</f>
        <v>1</v>
      </c>
      <c r="J830" s="3">
        <f>IFERROR(VLOOKUP(D830,'Справочник соответствий'!A$2:D$2981,2,FALSE),IF(VALUE(D830)=0,0,VLOOKUP(D830,'Справочник соответствий'!A$2:D$2981,2,FALSE)))</f>
        <v>0</v>
      </c>
      <c r="K830" s="3" t="str">
        <f t="shared" si="84"/>
        <v>1</v>
      </c>
      <c r="L830" s="13" t="str">
        <f>IFERROR(VLOOKUP(C830,'Справочник соответствий'!A$2:D$2981,3,FALSE),IF(VALUE(C830)=0,"ЭТАЖ НЕ ОПРЕДЕЛЕН. ПРИНЯТ ПО ДОПУЩЕНИЮ 1",VLOOKUP(C830,'Справочник соответствий'!A$2:D$2981,3,FALSE)))</f>
        <v>ЭТАЖ ЗАДАН ЧИСЛОМ</v>
      </c>
      <c r="M830" s="13" t="b">
        <f t="shared" si="85"/>
        <v>0</v>
      </c>
      <c r="N830" s="13">
        <f t="shared" si="86"/>
        <v>1</v>
      </c>
      <c r="O830" s="13" t="str">
        <f t="shared" si="87"/>
        <v>ЭТАЖ ЗАДАН ЧИСЛОМ</v>
      </c>
      <c r="P830" s="13" t="str">
        <f t="shared" si="88"/>
        <v>ЭТАЖ ЗАДАН ЧИСЛОМ</v>
      </c>
      <c r="Q830" s="13" t="str">
        <f t="shared" si="89"/>
        <v>ГОТОВ</v>
      </c>
      <c r="R830" s="13">
        <f>IFERROR(VLOOKUP(P830,Лист1!A$1:B$20,2,FALSE),0)</f>
        <v>784</v>
      </c>
      <c r="S830" s="13">
        <f t="shared" si="90"/>
        <v>1</v>
      </c>
    </row>
    <row r="831" spans="1:19" x14ac:dyDescent="0.25">
      <c r="A831" s="24" t="s">
        <v>1944</v>
      </c>
      <c r="B831" s="4" t="s">
        <v>1059</v>
      </c>
      <c r="C831" s="25" t="s">
        <v>5</v>
      </c>
      <c r="E831" s="3">
        <v>1</v>
      </c>
      <c r="F831" s="24" t="s">
        <v>1045</v>
      </c>
      <c r="G831" s="25" t="s">
        <v>1069</v>
      </c>
      <c r="H831" s="24" t="s">
        <v>1061</v>
      </c>
      <c r="I831" s="3" t="str">
        <f>IFERROR(VLOOKUP(C831,'Справочник соответствий'!A$2:D$2981,2,FALSE),IF(VALUE(C831)=0,1,VLOOKUP(C831,'Справочник соответствий'!A$2:D$2981,2,FALSE)))</f>
        <v>1</v>
      </c>
      <c r="J831" s="3">
        <f>IFERROR(VLOOKUP(D831,'Справочник соответствий'!A$2:D$2981,2,FALSE),IF(VALUE(D831)=0,0,VLOOKUP(D831,'Справочник соответствий'!A$2:D$2981,2,FALSE)))</f>
        <v>0</v>
      </c>
      <c r="K831" s="3" t="str">
        <f t="shared" si="84"/>
        <v>1</v>
      </c>
      <c r="L831" s="13" t="str">
        <f>IFERROR(VLOOKUP(C831,'Справочник соответствий'!A$2:D$2981,3,FALSE),IF(VALUE(C831)=0,"ЭТАЖ НЕ ОПРЕДЕЛЕН. ПРИНЯТ ПО ДОПУЩЕНИЮ 1",VLOOKUP(C831,'Справочник соответствий'!A$2:D$2981,3,FALSE)))</f>
        <v>ЭТАЖ ЗАДАН ЧИСЛОМ</v>
      </c>
      <c r="M831" s="13" t="b">
        <f t="shared" si="85"/>
        <v>0</v>
      </c>
      <c r="N831" s="13">
        <f t="shared" si="86"/>
        <v>1</v>
      </c>
      <c r="O831" s="13" t="str">
        <f t="shared" si="87"/>
        <v>ЭТАЖ ЗАДАН ЧИСЛОМ</v>
      </c>
      <c r="P831" s="13" t="str">
        <f t="shared" si="88"/>
        <v>ЭТАЖ ЗАДАН ЧИСЛОМ</v>
      </c>
      <c r="Q831" s="13" t="str">
        <f t="shared" si="89"/>
        <v>ГОТОВ</v>
      </c>
      <c r="R831" s="13">
        <f>IFERROR(VLOOKUP(P831,Лист1!A$1:B$20,2,FALSE),0)</f>
        <v>784</v>
      </c>
      <c r="S831" s="13">
        <f t="shared" si="90"/>
        <v>1</v>
      </c>
    </row>
    <row r="832" spans="1:19" x14ac:dyDescent="0.25">
      <c r="A832" s="24" t="s">
        <v>1945</v>
      </c>
      <c r="B832" s="4" t="s">
        <v>1063</v>
      </c>
      <c r="C832" s="25" t="s">
        <v>5</v>
      </c>
      <c r="E832" s="3">
        <v>1</v>
      </c>
      <c r="F832" s="24" t="s">
        <v>1045</v>
      </c>
      <c r="G832" s="25" t="s">
        <v>1067</v>
      </c>
      <c r="H832" s="24" t="s">
        <v>1061</v>
      </c>
      <c r="I832" s="3" t="str">
        <f>IFERROR(VLOOKUP(C832,'Справочник соответствий'!A$2:D$2981,2,FALSE),IF(VALUE(C832)=0,1,VLOOKUP(C832,'Справочник соответствий'!A$2:D$2981,2,FALSE)))</f>
        <v>1</v>
      </c>
      <c r="J832" s="3">
        <f>IFERROR(VLOOKUP(D832,'Справочник соответствий'!A$2:D$2981,2,FALSE),IF(VALUE(D832)=0,0,VLOOKUP(D832,'Справочник соответствий'!A$2:D$2981,2,FALSE)))</f>
        <v>0</v>
      </c>
      <c r="K832" s="3" t="str">
        <f t="shared" si="84"/>
        <v>1</v>
      </c>
      <c r="L832" s="13" t="str">
        <f>IFERROR(VLOOKUP(C832,'Справочник соответствий'!A$2:D$2981,3,FALSE),IF(VALUE(C832)=0,"ЭТАЖ НЕ ОПРЕДЕЛЕН. ПРИНЯТ ПО ДОПУЩЕНИЮ 1",VLOOKUP(C832,'Справочник соответствий'!A$2:D$2981,3,FALSE)))</f>
        <v>ЭТАЖ ЗАДАН ЧИСЛОМ</v>
      </c>
      <c r="M832" s="13" t="b">
        <f t="shared" si="85"/>
        <v>0</v>
      </c>
      <c r="N832" s="13">
        <f t="shared" si="86"/>
        <v>1</v>
      </c>
      <c r="O832" s="13" t="str">
        <f t="shared" si="87"/>
        <v>ЭТАЖ ЗАДАН ЧИСЛОМ</v>
      </c>
      <c r="P832" s="13" t="str">
        <f t="shared" si="88"/>
        <v>ЭТАЖ ЗАДАН ЧИСЛОМ</v>
      </c>
      <c r="Q832" s="13" t="str">
        <f t="shared" si="89"/>
        <v>ГОТОВ</v>
      </c>
      <c r="R832" s="13">
        <f>IFERROR(VLOOKUP(P832,Лист1!A$1:B$20,2,FALSE),0)</f>
        <v>784</v>
      </c>
      <c r="S832" s="13">
        <f t="shared" si="90"/>
        <v>1</v>
      </c>
    </row>
    <row r="833" spans="1:19" x14ac:dyDescent="0.25">
      <c r="A833" s="24" t="s">
        <v>1946</v>
      </c>
      <c r="B833" s="4" t="s">
        <v>1063</v>
      </c>
      <c r="C833" s="25" t="s">
        <v>5</v>
      </c>
      <c r="E833" s="3">
        <v>1</v>
      </c>
      <c r="F833" s="24" t="s">
        <v>1045</v>
      </c>
      <c r="G833" s="25" t="s">
        <v>1069</v>
      </c>
      <c r="H833" s="24" t="s">
        <v>1061</v>
      </c>
      <c r="I833" s="3" t="str">
        <f>IFERROR(VLOOKUP(C833,'Справочник соответствий'!A$2:D$2981,2,FALSE),IF(VALUE(C833)=0,1,VLOOKUP(C833,'Справочник соответствий'!A$2:D$2981,2,FALSE)))</f>
        <v>1</v>
      </c>
      <c r="J833" s="3">
        <f>IFERROR(VLOOKUP(D833,'Справочник соответствий'!A$2:D$2981,2,FALSE),IF(VALUE(D833)=0,0,VLOOKUP(D833,'Справочник соответствий'!A$2:D$2981,2,FALSE)))</f>
        <v>0</v>
      </c>
      <c r="K833" s="3" t="str">
        <f t="shared" si="84"/>
        <v>1</v>
      </c>
      <c r="L833" s="13" t="str">
        <f>IFERROR(VLOOKUP(C833,'Справочник соответствий'!A$2:D$2981,3,FALSE),IF(VALUE(C833)=0,"ЭТАЖ НЕ ОПРЕДЕЛЕН. ПРИНЯТ ПО ДОПУЩЕНИЮ 1",VLOOKUP(C833,'Справочник соответствий'!A$2:D$2981,3,FALSE)))</f>
        <v>ЭТАЖ ЗАДАН ЧИСЛОМ</v>
      </c>
      <c r="M833" s="13" t="b">
        <f t="shared" si="85"/>
        <v>0</v>
      </c>
      <c r="N833" s="13">
        <f t="shared" si="86"/>
        <v>1</v>
      </c>
      <c r="O833" s="13" t="str">
        <f t="shared" si="87"/>
        <v>ЭТАЖ ЗАДАН ЧИСЛОМ</v>
      </c>
      <c r="P833" s="13" t="str">
        <f t="shared" si="88"/>
        <v>ЭТАЖ ЗАДАН ЧИСЛОМ</v>
      </c>
      <c r="Q833" s="13" t="str">
        <f t="shared" si="89"/>
        <v>ГОТОВ</v>
      </c>
      <c r="R833" s="13">
        <f>IFERROR(VLOOKUP(P833,Лист1!A$1:B$20,2,FALSE),0)</f>
        <v>784</v>
      </c>
      <c r="S833" s="13">
        <f t="shared" si="90"/>
        <v>1</v>
      </c>
    </row>
    <row r="834" spans="1:19" x14ac:dyDescent="0.25">
      <c r="A834" s="24" t="s">
        <v>1947</v>
      </c>
      <c r="B834" s="4" t="s">
        <v>1063</v>
      </c>
      <c r="E834" s="3">
        <v>1</v>
      </c>
      <c r="F834" s="24" t="s">
        <v>1045</v>
      </c>
      <c r="G834" s="25" t="s">
        <v>1080</v>
      </c>
      <c r="H834" s="24" t="s">
        <v>1061</v>
      </c>
      <c r="I834" s="3">
        <f>IFERROR(VLOOKUP(C834,'Справочник соответствий'!A$2:D$2981,2,FALSE),IF(VALUE(C834)=0,1,VLOOKUP(C834,'Справочник соответствий'!A$2:D$2981,2,FALSE)))</f>
        <v>1</v>
      </c>
      <c r="J834" s="3">
        <f>IFERROR(VLOOKUP(D834,'Справочник соответствий'!A$2:D$2981,2,FALSE),IF(VALUE(D834)=0,0,VLOOKUP(D834,'Справочник соответствий'!A$2:D$2981,2,FALSE)))</f>
        <v>0</v>
      </c>
      <c r="K834" s="3">
        <f t="shared" si="84"/>
        <v>1</v>
      </c>
      <c r="L834" s="13" t="str">
        <f>IFERROR(VLOOKUP(C834,'Справочник соответствий'!A$2:D$2981,3,FALSE),IF(VALUE(C834)=0,"ЭТАЖ НЕ ОПРЕДЕЛЕН. ПРИНЯТ ПО ДОПУЩЕНИЮ 1",VLOOKUP(C834,'Справочник соответствий'!A$2:D$2981,3,FALSE)))</f>
        <v>ЭТАЖ НЕ ОПРЕДЕЛЕН. ПРИНЯТ ПО ДОПУЩЕНИЮ 1</v>
      </c>
      <c r="M834" s="13" t="b">
        <f t="shared" si="85"/>
        <v>1</v>
      </c>
      <c r="N834" s="13">
        <f t="shared" si="86"/>
        <v>1</v>
      </c>
      <c r="O834" s="13" t="str">
        <f t="shared" si="87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834" s="13" t="str">
        <f t="shared" si="8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834" s="13" t="str">
        <f t="shared" si="89"/>
        <v>ГОТОВ</v>
      </c>
      <c r="R834" s="13">
        <f>IFERROR(VLOOKUP(P834,Лист1!A$1:B$20,2,FALSE),0)</f>
        <v>214</v>
      </c>
      <c r="S834" s="13">
        <f t="shared" si="90"/>
        <v>1</v>
      </c>
    </row>
    <row r="835" spans="1:19" x14ac:dyDescent="0.25">
      <c r="A835" s="24" t="s">
        <v>1948</v>
      </c>
      <c r="B835" s="4" t="s">
        <v>1059</v>
      </c>
      <c r="C835" s="25" t="s">
        <v>5</v>
      </c>
      <c r="E835" s="3">
        <v>1</v>
      </c>
      <c r="F835" s="24" t="s">
        <v>1045</v>
      </c>
      <c r="G835" s="25" t="s">
        <v>1069</v>
      </c>
      <c r="H835" s="24" t="s">
        <v>1061</v>
      </c>
      <c r="I835" s="3" t="str">
        <f>IFERROR(VLOOKUP(C835,'Справочник соответствий'!A$2:D$2981,2,FALSE),IF(VALUE(C835)=0,1,VLOOKUP(C835,'Справочник соответствий'!A$2:D$2981,2,FALSE)))</f>
        <v>1</v>
      </c>
      <c r="J835" s="3">
        <f>IFERROR(VLOOKUP(D835,'Справочник соответствий'!A$2:D$2981,2,FALSE),IF(VALUE(D835)=0,0,VLOOKUP(D835,'Справочник соответствий'!A$2:D$2981,2,FALSE)))</f>
        <v>0</v>
      </c>
      <c r="K835" s="3" t="str">
        <f t="shared" si="84"/>
        <v>1</v>
      </c>
      <c r="L835" s="13" t="str">
        <f>IFERROR(VLOOKUP(C835,'Справочник соответствий'!A$2:D$2981,3,FALSE),IF(VALUE(C835)=0,"ЭТАЖ НЕ ОПРЕДЕЛЕН. ПРИНЯТ ПО ДОПУЩЕНИЮ 1",VLOOKUP(C835,'Справочник соответствий'!A$2:D$2981,3,FALSE)))</f>
        <v>ЭТАЖ ЗАДАН ЧИСЛОМ</v>
      </c>
      <c r="M835" s="13" t="b">
        <f t="shared" si="85"/>
        <v>0</v>
      </c>
      <c r="N835" s="13">
        <f t="shared" si="86"/>
        <v>1</v>
      </c>
      <c r="O835" s="13" t="str">
        <f t="shared" si="87"/>
        <v>ЭТАЖ ЗАДАН ЧИСЛОМ</v>
      </c>
      <c r="P835" s="13" t="str">
        <f t="shared" si="88"/>
        <v>ЭТАЖ ЗАДАН ЧИСЛОМ</v>
      </c>
      <c r="Q835" s="13" t="str">
        <f t="shared" si="89"/>
        <v>ГОТОВ</v>
      </c>
      <c r="R835" s="13">
        <f>IFERROR(VLOOKUP(P835,Лист1!A$1:B$20,2,FALSE),0)</f>
        <v>784</v>
      </c>
      <c r="S835" s="13">
        <f t="shared" si="90"/>
        <v>1</v>
      </c>
    </row>
    <row r="836" spans="1:19" x14ac:dyDescent="0.25">
      <c r="A836" s="24" t="s">
        <v>1949</v>
      </c>
      <c r="B836" s="4" t="s">
        <v>1031</v>
      </c>
      <c r="C836" s="25" t="s">
        <v>5</v>
      </c>
      <c r="E836" s="3">
        <v>1</v>
      </c>
      <c r="F836" s="24" t="s">
        <v>1045</v>
      </c>
      <c r="G836" s="25" t="s">
        <v>1060</v>
      </c>
      <c r="H836" s="24" t="s">
        <v>1061</v>
      </c>
      <c r="I836" s="3" t="str">
        <f>IFERROR(VLOOKUP(C836,'Справочник соответствий'!A$2:D$2981,2,FALSE),IF(VALUE(C836)=0,1,VLOOKUP(C836,'Справочник соответствий'!A$2:D$2981,2,FALSE)))</f>
        <v>1</v>
      </c>
      <c r="J836" s="3">
        <f>IFERROR(VLOOKUP(D836,'Справочник соответствий'!A$2:D$2981,2,FALSE),IF(VALUE(D836)=0,0,VLOOKUP(D836,'Справочник соответствий'!A$2:D$2981,2,FALSE)))</f>
        <v>0</v>
      </c>
      <c r="K836" s="3">
        <f t="shared" si="84"/>
        <v>1</v>
      </c>
      <c r="L836" s="13" t="str">
        <f>IFERROR(VLOOKUP(C836,'Справочник соответствий'!A$2:D$2981,3,FALSE),IF(VALUE(C836)=0,"ЭТАЖ НЕ ОПРЕДЕЛЕН. ПРИНЯТ ПО ДОПУЩЕНИЮ 1",VLOOKUP(C836,'Справочник соответствий'!A$2:D$2981,3,FALSE)))</f>
        <v>ЭТАЖ ЗАДАН ЧИСЛОМ</v>
      </c>
      <c r="M836" s="13" t="b">
        <f t="shared" si="85"/>
        <v>0</v>
      </c>
      <c r="N836" s="13">
        <f t="shared" si="86"/>
        <v>1</v>
      </c>
      <c r="O836" s="13" t="str">
        <f t="shared" si="87"/>
        <v>ЭТАЖ ЗАДАН ЧИСЛОМ</v>
      </c>
      <c r="P836" s="13" t="str">
        <f t="shared" si="88"/>
        <v>МКД_ЭТАЖ ЗАДАН ЧИСЛОМ</v>
      </c>
      <c r="Q836" s="13" t="str">
        <f t="shared" si="89"/>
        <v>ГОТОВ</v>
      </c>
      <c r="R836" s="13">
        <f>IFERROR(VLOOKUP(P836,Лист1!A$1:B$20,2,FALSE),0)</f>
        <v>786</v>
      </c>
      <c r="S836" s="13">
        <f t="shared" si="90"/>
        <v>1</v>
      </c>
    </row>
    <row r="837" spans="1:19" x14ac:dyDescent="0.25">
      <c r="A837" s="24" t="s">
        <v>1950</v>
      </c>
      <c r="B837" s="4" t="s">
        <v>1059</v>
      </c>
      <c r="C837" s="25" t="s">
        <v>5</v>
      </c>
      <c r="E837" s="3">
        <v>1</v>
      </c>
      <c r="F837" s="24" t="s">
        <v>1045</v>
      </c>
      <c r="G837" s="25" t="s">
        <v>1089</v>
      </c>
      <c r="H837" s="24" t="s">
        <v>1061</v>
      </c>
      <c r="I837" s="3" t="str">
        <f>IFERROR(VLOOKUP(C837,'Справочник соответствий'!A$2:D$2981,2,FALSE),IF(VALUE(C837)=0,1,VLOOKUP(C837,'Справочник соответствий'!A$2:D$2981,2,FALSE)))</f>
        <v>1</v>
      </c>
      <c r="J837" s="3">
        <f>IFERROR(VLOOKUP(D837,'Справочник соответствий'!A$2:D$2981,2,FALSE),IF(VALUE(D837)=0,0,VLOOKUP(D837,'Справочник соответствий'!A$2:D$2981,2,FALSE)))</f>
        <v>0</v>
      </c>
      <c r="K837" s="3" t="str">
        <f t="shared" ref="K837:K900" si="91">IF(B837="Многоквартирный дом",IF(I837-J837&gt;0,I837-J837,1),I837)</f>
        <v>1</v>
      </c>
      <c r="L837" s="13" t="str">
        <f>IFERROR(VLOOKUP(C837,'Справочник соответствий'!A$2:D$2981,3,FALSE),IF(VALUE(C837)=0,"ЭТАЖ НЕ ОПРЕДЕЛЕН. ПРИНЯТ ПО ДОПУЩЕНИЮ 1",VLOOKUP(C837,'Справочник соответствий'!A$2:D$2981,3,FALSE)))</f>
        <v>ЭТАЖ ЗАДАН ЧИСЛОМ</v>
      </c>
      <c r="M837" s="13" t="b">
        <f t="shared" ref="M837:M900" si="92">I837=E837</f>
        <v>0</v>
      </c>
      <c r="N837" s="13">
        <f t="shared" ref="N837:N900" si="93">IF(VALUE(E837)=0,VALUE(K837),IF(L837="ЭТАЖ НЕ ОПРЕДЕЛЕН. ПРИНЯТ ПО ДОПУЩЕНИЮ 1",VALUE(E837),VALUE(K837)))</f>
        <v>1</v>
      </c>
      <c r="O837" s="13" t="str">
        <f t="shared" ref="O837:O900" si="94">IF(VALUE(E837)=0,L837,IF(L837="ЭТАЖ НЕ ОПРЕДЕЛЕН. ПРИНЯТ ПО ДОПУЩЕНИЮ 1",F837,L837))</f>
        <v>ЭТАЖ ЗАДАН ЧИСЛОМ</v>
      </c>
      <c r="P837" s="13" t="str">
        <f t="shared" ref="P837:P900" si="95">IF(B837="Многоквартирный дом",CONCATENATE("МКД_",O837),O837)</f>
        <v>ЭТАЖ ЗАДАН ЧИСЛОМ</v>
      </c>
      <c r="Q837" s="13" t="str">
        <f t="shared" ref="Q837:Q900" si="96">IFERROR(IF(N837&gt;0,IF(N837=VALUE(E837),"ГОТОВ","ГОТОВ_ИЗМЕНЕН"),"НЕ ГОТОВ"),"НЕ ГОТОВ")</f>
        <v>ГОТОВ</v>
      </c>
      <c r="R837" s="13">
        <f>IFERROR(VLOOKUP(P837,Лист1!A$1:B$20,2,FALSE),0)</f>
        <v>784</v>
      </c>
      <c r="S837" s="13">
        <f t="shared" ref="S837:S900" si="97">VALUE(E837)</f>
        <v>1</v>
      </c>
    </row>
    <row r="838" spans="1:19" x14ac:dyDescent="0.25">
      <c r="A838" s="24" t="s">
        <v>1951</v>
      </c>
      <c r="B838" s="4" t="s">
        <v>1059</v>
      </c>
      <c r="E838" s="3">
        <v>1</v>
      </c>
      <c r="F838" s="24" t="s">
        <v>1045</v>
      </c>
      <c r="G838" s="25" t="s">
        <v>1230</v>
      </c>
      <c r="H838" s="24" t="s">
        <v>1061</v>
      </c>
      <c r="I838" s="3">
        <f>IFERROR(VLOOKUP(C838,'Справочник соответствий'!A$2:D$2981,2,FALSE),IF(VALUE(C838)=0,1,VLOOKUP(C838,'Справочник соответствий'!A$2:D$2981,2,FALSE)))</f>
        <v>1</v>
      </c>
      <c r="J838" s="3">
        <f>IFERROR(VLOOKUP(D838,'Справочник соответствий'!A$2:D$2981,2,FALSE),IF(VALUE(D838)=0,0,VLOOKUP(D838,'Справочник соответствий'!A$2:D$2981,2,FALSE)))</f>
        <v>0</v>
      </c>
      <c r="K838" s="3">
        <f t="shared" si="91"/>
        <v>1</v>
      </c>
      <c r="L838" s="13" t="str">
        <f>IFERROR(VLOOKUP(C838,'Справочник соответствий'!A$2:D$2981,3,FALSE),IF(VALUE(C838)=0,"ЭТАЖ НЕ ОПРЕДЕЛЕН. ПРИНЯТ ПО ДОПУЩЕНИЮ 1",VLOOKUP(C838,'Справочник соответствий'!A$2:D$2981,3,FALSE)))</f>
        <v>ЭТАЖ НЕ ОПРЕДЕЛЕН. ПРИНЯТ ПО ДОПУЩЕНИЮ 1</v>
      </c>
      <c r="M838" s="13" t="b">
        <f t="shared" si="92"/>
        <v>1</v>
      </c>
      <c r="N838" s="13">
        <f t="shared" si="93"/>
        <v>1</v>
      </c>
      <c r="O838" s="13" t="str">
        <f t="shared" si="94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838" s="13" t="str">
        <f t="shared" si="95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838" s="13" t="str">
        <f t="shared" si="96"/>
        <v>ГОТОВ</v>
      </c>
      <c r="R838" s="13">
        <f>IFERROR(VLOOKUP(P838,Лист1!A$1:B$20,2,FALSE),0)</f>
        <v>214</v>
      </c>
      <c r="S838" s="13">
        <f t="shared" si="97"/>
        <v>1</v>
      </c>
    </row>
    <row r="839" spans="1:19" x14ac:dyDescent="0.25">
      <c r="A839" s="24" t="s">
        <v>1952</v>
      </c>
      <c r="B839" s="4" t="s">
        <v>1063</v>
      </c>
      <c r="C839" s="25" t="s">
        <v>5</v>
      </c>
      <c r="E839" s="3">
        <v>1</v>
      </c>
      <c r="F839" s="24" t="s">
        <v>1045</v>
      </c>
      <c r="G839" s="25" t="s">
        <v>1114</v>
      </c>
      <c r="H839" s="24" t="s">
        <v>1061</v>
      </c>
      <c r="I839" s="3" t="str">
        <f>IFERROR(VLOOKUP(C839,'Справочник соответствий'!A$2:D$2981,2,FALSE),IF(VALUE(C839)=0,1,VLOOKUP(C839,'Справочник соответствий'!A$2:D$2981,2,FALSE)))</f>
        <v>1</v>
      </c>
      <c r="J839" s="3">
        <f>IFERROR(VLOOKUP(D839,'Справочник соответствий'!A$2:D$2981,2,FALSE),IF(VALUE(D839)=0,0,VLOOKUP(D839,'Справочник соответствий'!A$2:D$2981,2,FALSE)))</f>
        <v>0</v>
      </c>
      <c r="K839" s="3" t="str">
        <f t="shared" si="91"/>
        <v>1</v>
      </c>
      <c r="L839" s="13" t="str">
        <f>IFERROR(VLOOKUP(C839,'Справочник соответствий'!A$2:D$2981,3,FALSE),IF(VALUE(C839)=0,"ЭТАЖ НЕ ОПРЕДЕЛЕН. ПРИНЯТ ПО ДОПУЩЕНИЮ 1",VLOOKUP(C839,'Справочник соответствий'!A$2:D$2981,3,FALSE)))</f>
        <v>ЭТАЖ ЗАДАН ЧИСЛОМ</v>
      </c>
      <c r="M839" s="13" t="b">
        <f t="shared" si="92"/>
        <v>0</v>
      </c>
      <c r="N839" s="13">
        <f t="shared" si="93"/>
        <v>1</v>
      </c>
      <c r="O839" s="13" t="str">
        <f t="shared" si="94"/>
        <v>ЭТАЖ ЗАДАН ЧИСЛОМ</v>
      </c>
      <c r="P839" s="13" t="str">
        <f t="shared" si="95"/>
        <v>ЭТАЖ ЗАДАН ЧИСЛОМ</v>
      </c>
      <c r="Q839" s="13" t="str">
        <f t="shared" si="96"/>
        <v>ГОТОВ</v>
      </c>
      <c r="R839" s="13">
        <f>IFERROR(VLOOKUP(P839,Лист1!A$1:B$20,2,FALSE),0)</f>
        <v>784</v>
      </c>
      <c r="S839" s="13">
        <f t="shared" si="97"/>
        <v>1</v>
      </c>
    </row>
    <row r="840" spans="1:19" x14ac:dyDescent="0.25">
      <c r="A840" s="24" t="s">
        <v>1953</v>
      </c>
      <c r="B840" s="4" t="s">
        <v>1059</v>
      </c>
      <c r="C840" s="25" t="s">
        <v>5</v>
      </c>
      <c r="E840" s="3">
        <v>1</v>
      </c>
      <c r="F840" s="24" t="s">
        <v>1045</v>
      </c>
      <c r="G840" s="25" t="s">
        <v>1072</v>
      </c>
      <c r="H840" s="24" t="s">
        <v>1061</v>
      </c>
      <c r="I840" s="3" t="str">
        <f>IFERROR(VLOOKUP(C840,'Справочник соответствий'!A$2:D$2981,2,FALSE),IF(VALUE(C840)=0,1,VLOOKUP(C840,'Справочник соответствий'!A$2:D$2981,2,FALSE)))</f>
        <v>1</v>
      </c>
      <c r="J840" s="3">
        <f>IFERROR(VLOOKUP(D840,'Справочник соответствий'!A$2:D$2981,2,FALSE),IF(VALUE(D840)=0,0,VLOOKUP(D840,'Справочник соответствий'!A$2:D$2981,2,FALSE)))</f>
        <v>0</v>
      </c>
      <c r="K840" s="3" t="str">
        <f t="shared" si="91"/>
        <v>1</v>
      </c>
      <c r="L840" s="13" t="str">
        <f>IFERROR(VLOOKUP(C840,'Справочник соответствий'!A$2:D$2981,3,FALSE),IF(VALUE(C840)=0,"ЭТАЖ НЕ ОПРЕДЕЛЕН. ПРИНЯТ ПО ДОПУЩЕНИЮ 1",VLOOKUP(C840,'Справочник соответствий'!A$2:D$2981,3,FALSE)))</f>
        <v>ЭТАЖ ЗАДАН ЧИСЛОМ</v>
      </c>
      <c r="M840" s="13" t="b">
        <f t="shared" si="92"/>
        <v>0</v>
      </c>
      <c r="N840" s="13">
        <f t="shared" si="93"/>
        <v>1</v>
      </c>
      <c r="O840" s="13" t="str">
        <f t="shared" si="94"/>
        <v>ЭТАЖ ЗАДАН ЧИСЛОМ</v>
      </c>
      <c r="P840" s="13" t="str">
        <f t="shared" si="95"/>
        <v>ЭТАЖ ЗАДАН ЧИСЛОМ</v>
      </c>
      <c r="Q840" s="13" t="str">
        <f t="shared" si="96"/>
        <v>ГОТОВ</v>
      </c>
      <c r="R840" s="13">
        <f>IFERROR(VLOOKUP(P840,Лист1!A$1:B$20,2,FALSE),0)</f>
        <v>784</v>
      </c>
      <c r="S840" s="13">
        <f t="shared" si="97"/>
        <v>1</v>
      </c>
    </row>
    <row r="841" spans="1:19" x14ac:dyDescent="0.25">
      <c r="A841" s="24" t="s">
        <v>1954</v>
      </c>
      <c r="B841" s="4" t="s">
        <v>1059</v>
      </c>
      <c r="C841" s="25" t="s">
        <v>7</v>
      </c>
      <c r="E841" s="3">
        <v>1</v>
      </c>
      <c r="F841" s="24" t="s">
        <v>1045</v>
      </c>
      <c r="G841" s="25" t="s">
        <v>1104</v>
      </c>
      <c r="H841" s="24" t="s">
        <v>1061</v>
      </c>
      <c r="I841" s="3" t="str">
        <f>IFERROR(VLOOKUP(C841,'Справочник соответствий'!A$2:D$2981,2,FALSE),IF(VALUE(C841)=0,1,VLOOKUP(C841,'Справочник соответствий'!A$2:D$2981,2,FALSE)))</f>
        <v>2</v>
      </c>
      <c r="J841" s="3">
        <f>IFERROR(VLOOKUP(D841,'Справочник соответствий'!A$2:D$2981,2,FALSE),IF(VALUE(D841)=0,0,VLOOKUP(D841,'Справочник соответствий'!A$2:D$2981,2,FALSE)))</f>
        <v>0</v>
      </c>
      <c r="K841" s="3" t="str">
        <f t="shared" si="91"/>
        <v>2</v>
      </c>
      <c r="L841" s="13" t="str">
        <f>IFERROR(VLOOKUP(C841,'Справочник соответствий'!A$2:D$2981,3,FALSE),IF(VALUE(C841)=0,"ЭТАЖ НЕ ОПРЕДЕЛЕН. ПРИНЯТ ПО ДОПУЩЕНИЮ 1",VLOOKUP(C841,'Справочник соответствий'!A$2:D$2981,3,FALSE)))</f>
        <v>ЭТАЖ ЗАДАН ЧИСЛОМ</v>
      </c>
      <c r="M841" s="13" t="b">
        <f t="shared" si="92"/>
        <v>0</v>
      </c>
      <c r="N841" s="13">
        <f t="shared" si="93"/>
        <v>2</v>
      </c>
      <c r="O841" s="13" t="str">
        <f t="shared" si="94"/>
        <v>ЭТАЖ ЗАДАН ЧИСЛОМ</v>
      </c>
      <c r="P841" s="13" t="str">
        <f t="shared" si="95"/>
        <v>ЭТАЖ ЗАДАН ЧИСЛОМ</v>
      </c>
      <c r="Q841" s="13" t="str">
        <f t="shared" si="96"/>
        <v>ГОТОВ_ИЗМЕНЕН</v>
      </c>
      <c r="R841" s="13">
        <f>IFERROR(VLOOKUP(P841,Лист1!A$1:B$20,2,FALSE),0)</f>
        <v>784</v>
      </c>
      <c r="S841" s="13">
        <f t="shared" si="97"/>
        <v>1</v>
      </c>
    </row>
    <row r="842" spans="1:19" x14ac:dyDescent="0.25">
      <c r="A842" s="24" t="s">
        <v>1955</v>
      </c>
      <c r="B842" s="4" t="s">
        <v>1059</v>
      </c>
      <c r="C842" s="25" t="s">
        <v>5</v>
      </c>
      <c r="E842" s="3">
        <v>1</v>
      </c>
      <c r="F842" s="24" t="s">
        <v>1045</v>
      </c>
      <c r="G842" s="25" t="s">
        <v>1072</v>
      </c>
      <c r="H842" s="24" t="s">
        <v>1061</v>
      </c>
      <c r="I842" s="3" t="str">
        <f>IFERROR(VLOOKUP(C842,'Справочник соответствий'!A$2:D$2981,2,FALSE),IF(VALUE(C842)=0,1,VLOOKUP(C842,'Справочник соответствий'!A$2:D$2981,2,FALSE)))</f>
        <v>1</v>
      </c>
      <c r="J842" s="3">
        <f>IFERROR(VLOOKUP(D842,'Справочник соответствий'!A$2:D$2981,2,FALSE),IF(VALUE(D842)=0,0,VLOOKUP(D842,'Справочник соответствий'!A$2:D$2981,2,FALSE)))</f>
        <v>0</v>
      </c>
      <c r="K842" s="3" t="str">
        <f t="shared" si="91"/>
        <v>1</v>
      </c>
      <c r="L842" s="13" t="str">
        <f>IFERROR(VLOOKUP(C842,'Справочник соответствий'!A$2:D$2981,3,FALSE),IF(VALUE(C842)=0,"ЭТАЖ НЕ ОПРЕДЕЛЕН. ПРИНЯТ ПО ДОПУЩЕНИЮ 1",VLOOKUP(C842,'Справочник соответствий'!A$2:D$2981,3,FALSE)))</f>
        <v>ЭТАЖ ЗАДАН ЧИСЛОМ</v>
      </c>
      <c r="M842" s="13" t="b">
        <f t="shared" si="92"/>
        <v>0</v>
      </c>
      <c r="N842" s="13">
        <f t="shared" si="93"/>
        <v>1</v>
      </c>
      <c r="O842" s="13" t="str">
        <f t="shared" si="94"/>
        <v>ЭТАЖ ЗАДАН ЧИСЛОМ</v>
      </c>
      <c r="P842" s="13" t="str">
        <f t="shared" si="95"/>
        <v>ЭТАЖ ЗАДАН ЧИСЛОМ</v>
      </c>
      <c r="Q842" s="13" t="str">
        <f t="shared" si="96"/>
        <v>ГОТОВ</v>
      </c>
      <c r="R842" s="13">
        <f>IFERROR(VLOOKUP(P842,Лист1!A$1:B$20,2,FALSE),0)</f>
        <v>784</v>
      </c>
      <c r="S842" s="13">
        <f t="shared" si="97"/>
        <v>1</v>
      </c>
    </row>
    <row r="843" spans="1:19" x14ac:dyDescent="0.25">
      <c r="A843" s="24" t="s">
        <v>1956</v>
      </c>
      <c r="B843" s="4" t="s">
        <v>1063</v>
      </c>
      <c r="C843" s="25" t="s">
        <v>8</v>
      </c>
      <c r="D843" s="25" t="s">
        <v>5</v>
      </c>
      <c r="E843" s="3">
        <v>3</v>
      </c>
      <c r="F843" s="24" t="s">
        <v>1045</v>
      </c>
      <c r="G843" s="25" t="s">
        <v>1080</v>
      </c>
      <c r="H843" s="24" t="s">
        <v>1061</v>
      </c>
      <c r="I843" s="3" t="str">
        <f>IFERROR(VLOOKUP(C843,'Справочник соответствий'!A$2:D$2981,2,FALSE),IF(VALUE(C843)=0,1,VLOOKUP(C843,'Справочник соответствий'!A$2:D$2981,2,FALSE)))</f>
        <v>3</v>
      </c>
      <c r="J843" s="3" t="str">
        <f>IFERROR(VLOOKUP(D843,'Справочник соответствий'!A$2:D$2981,2,FALSE),IF(VALUE(D843)=0,0,VLOOKUP(D843,'Справочник соответствий'!A$2:D$2981,2,FALSE)))</f>
        <v>1</v>
      </c>
      <c r="K843" s="3" t="str">
        <f t="shared" si="91"/>
        <v>3</v>
      </c>
      <c r="L843" s="13" t="str">
        <f>IFERROR(VLOOKUP(C843,'Справочник соответствий'!A$2:D$2981,3,FALSE),IF(VALUE(C843)=0,"ЭТАЖ НЕ ОПРЕДЕЛЕН. ПРИНЯТ ПО ДОПУЩЕНИЮ 1",VLOOKUP(C843,'Справочник соответствий'!A$2:D$2981,3,FALSE)))</f>
        <v>ЭТАЖ ЗАДАН ЧИСЛОМ</v>
      </c>
      <c r="M843" s="13" t="b">
        <f t="shared" si="92"/>
        <v>0</v>
      </c>
      <c r="N843" s="13">
        <f t="shared" si="93"/>
        <v>3</v>
      </c>
      <c r="O843" s="13" t="str">
        <f t="shared" si="94"/>
        <v>ЭТАЖ ЗАДАН ЧИСЛОМ</v>
      </c>
      <c r="P843" s="13" t="str">
        <f t="shared" si="95"/>
        <v>ЭТАЖ ЗАДАН ЧИСЛОМ</v>
      </c>
      <c r="Q843" s="13" t="str">
        <f t="shared" si="96"/>
        <v>ГОТОВ</v>
      </c>
      <c r="R843" s="13">
        <f>IFERROR(VLOOKUP(P843,Лист1!A$1:B$20,2,FALSE),0)</f>
        <v>784</v>
      </c>
      <c r="S843" s="13">
        <f t="shared" si="97"/>
        <v>3</v>
      </c>
    </row>
    <row r="844" spans="1:19" x14ac:dyDescent="0.25">
      <c r="A844" s="24" t="s">
        <v>1957</v>
      </c>
      <c r="B844" s="4" t="s">
        <v>1031</v>
      </c>
      <c r="C844" s="25" t="s">
        <v>7</v>
      </c>
      <c r="E844" s="3">
        <v>2</v>
      </c>
      <c r="F844" s="24" t="s">
        <v>1074</v>
      </c>
      <c r="G844" s="25" t="s">
        <v>1075</v>
      </c>
      <c r="H844" s="24" t="s">
        <v>1061</v>
      </c>
      <c r="I844" s="3" t="str">
        <f>IFERROR(VLOOKUP(C844,'Справочник соответствий'!A$2:D$2981,2,FALSE),IF(VALUE(C844)=0,1,VLOOKUP(C844,'Справочник соответствий'!A$2:D$2981,2,FALSE)))</f>
        <v>2</v>
      </c>
      <c r="J844" s="3">
        <f>IFERROR(VLOOKUP(D844,'Справочник соответствий'!A$2:D$2981,2,FALSE),IF(VALUE(D844)=0,0,VLOOKUP(D844,'Справочник соответствий'!A$2:D$2981,2,FALSE)))</f>
        <v>0</v>
      </c>
      <c r="K844" s="3">
        <f t="shared" si="91"/>
        <v>2</v>
      </c>
      <c r="L844" s="13" t="str">
        <f>IFERROR(VLOOKUP(C844,'Справочник соответствий'!A$2:D$2981,3,FALSE),IF(VALUE(C844)=0,"ЭТАЖ НЕ ОПРЕДЕЛЕН. ПРИНЯТ ПО ДОПУЩЕНИЮ 1",VLOOKUP(C844,'Справочник соответствий'!A$2:D$2981,3,FALSE)))</f>
        <v>ЭТАЖ ЗАДАН ЧИСЛОМ</v>
      </c>
      <c r="M844" s="13" t="b">
        <f t="shared" si="92"/>
        <v>0</v>
      </c>
      <c r="N844" s="13">
        <f t="shared" si="93"/>
        <v>2</v>
      </c>
      <c r="O844" s="13" t="str">
        <f t="shared" si="94"/>
        <v>ЭТАЖ ЗАДАН ЧИСЛОМ</v>
      </c>
      <c r="P844" s="13" t="str">
        <f t="shared" si="95"/>
        <v>МКД_ЭТАЖ ЗАДАН ЧИСЛОМ</v>
      </c>
      <c r="Q844" s="13" t="str">
        <f t="shared" si="96"/>
        <v>ГОТОВ</v>
      </c>
      <c r="R844" s="13">
        <f>IFERROR(VLOOKUP(P844,Лист1!A$1:B$20,2,FALSE),0)</f>
        <v>786</v>
      </c>
      <c r="S844" s="13">
        <f t="shared" si="97"/>
        <v>2</v>
      </c>
    </row>
    <row r="845" spans="1:19" x14ac:dyDescent="0.25">
      <c r="A845" s="24" t="s">
        <v>1958</v>
      </c>
      <c r="B845" s="4" t="s">
        <v>1059</v>
      </c>
      <c r="C845" s="25" t="s">
        <v>5</v>
      </c>
      <c r="E845" s="3">
        <v>1</v>
      </c>
      <c r="F845" s="24" t="s">
        <v>1045</v>
      </c>
      <c r="G845" s="25" t="s">
        <v>1104</v>
      </c>
      <c r="H845" s="24" t="s">
        <v>1061</v>
      </c>
      <c r="I845" s="3" t="str">
        <f>IFERROR(VLOOKUP(C845,'Справочник соответствий'!A$2:D$2981,2,FALSE),IF(VALUE(C845)=0,1,VLOOKUP(C845,'Справочник соответствий'!A$2:D$2981,2,FALSE)))</f>
        <v>1</v>
      </c>
      <c r="J845" s="3">
        <f>IFERROR(VLOOKUP(D845,'Справочник соответствий'!A$2:D$2981,2,FALSE),IF(VALUE(D845)=0,0,VLOOKUP(D845,'Справочник соответствий'!A$2:D$2981,2,FALSE)))</f>
        <v>0</v>
      </c>
      <c r="K845" s="3" t="str">
        <f t="shared" si="91"/>
        <v>1</v>
      </c>
      <c r="L845" s="13" t="str">
        <f>IFERROR(VLOOKUP(C845,'Справочник соответствий'!A$2:D$2981,3,FALSE),IF(VALUE(C845)=0,"ЭТАЖ НЕ ОПРЕДЕЛЕН. ПРИНЯТ ПО ДОПУЩЕНИЮ 1",VLOOKUP(C845,'Справочник соответствий'!A$2:D$2981,3,FALSE)))</f>
        <v>ЭТАЖ ЗАДАН ЧИСЛОМ</v>
      </c>
      <c r="M845" s="13" t="b">
        <f t="shared" si="92"/>
        <v>0</v>
      </c>
      <c r="N845" s="13">
        <f t="shared" si="93"/>
        <v>1</v>
      </c>
      <c r="O845" s="13" t="str">
        <f t="shared" si="94"/>
        <v>ЭТАЖ ЗАДАН ЧИСЛОМ</v>
      </c>
      <c r="P845" s="13" t="str">
        <f t="shared" si="95"/>
        <v>ЭТАЖ ЗАДАН ЧИСЛОМ</v>
      </c>
      <c r="Q845" s="13" t="str">
        <f t="shared" si="96"/>
        <v>ГОТОВ</v>
      </c>
      <c r="R845" s="13">
        <f>IFERROR(VLOOKUP(P845,Лист1!A$1:B$20,2,FALSE),0)</f>
        <v>784</v>
      </c>
      <c r="S845" s="13">
        <f t="shared" si="97"/>
        <v>1</v>
      </c>
    </row>
    <row r="846" spans="1:19" x14ac:dyDescent="0.25">
      <c r="A846" s="24" t="s">
        <v>1959</v>
      </c>
      <c r="B846" s="4" t="s">
        <v>1059</v>
      </c>
      <c r="C846" s="25" t="s">
        <v>5</v>
      </c>
      <c r="D846" s="25" t="s">
        <v>24</v>
      </c>
      <c r="E846" s="3">
        <v>1</v>
      </c>
      <c r="F846" s="24" t="s">
        <v>1045</v>
      </c>
      <c r="G846" s="25" t="s">
        <v>1072</v>
      </c>
      <c r="H846" s="24" t="s">
        <v>1061</v>
      </c>
      <c r="I846" s="3" t="str">
        <f>IFERROR(VLOOKUP(C846,'Справочник соответствий'!A$2:D$2981,2,FALSE),IF(VALUE(C846)=0,1,VLOOKUP(C846,'Справочник соответствий'!A$2:D$2981,2,FALSE)))</f>
        <v>1</v>
      </c>
      <c r="J846" s="3" t="str">
        <f>IFERROR(VLOOKUP(D846,'Справочник соответствий'!A$2:D$2981,2,FALSE),IF(VALUE(D846)=0,0,VLOOKUP(D846,'Справочник соответствий'!A$2:D$2981,2,FALSE)))</f>
        <v>1</v>
      </c>
      <c r="K846" s="3" t="str">
        <f t="shared" si="91"/>
        <v>1</v>
      </c>
      <c r="L846" s="13" t="str">
        <f>IFERROR(VLOOKUP(C846,'Справочник соответствий'!A$2:D$2981,3,FALSE),IF(VALUE(C846)=0,"ЭТАЖ НЕ ОПРЕДЕЛЕН. ПРИНЯТ ПО ДОПУЩЕНИЮ 1",VLOOKUP(C846,'Справочник соответствий'!A$2:D$2981,3,FALSE)))</f>
        <v>ЭТАЖ ЗАДАН ЧИСЛОМ</v>
      </c>
      <c r="M846" s="13" t="b">
        <f t="shared" si="92"/>
        <v>0</v>
      </c>
      <c r="N846" s="13">
        <f t="shared" si="93"/>
        <v>1</v>
      </c>
      <c r="O846" s="13" t="str">
        <f t="shared" si="94"/>
        <v>ЭТАЖ ЗАДАН ЧИСЛОМ</v>
      </c>
      <c r="P846" s="13" t="str">
        <f t="shared" si="95"/>
        <v>ЭТАЖ ЗАДАН ЧИСЛОМ</v>
      </c>
      <c r="Q846" s="13" t="str">
        <f t="shared" si="96"/>
        <v>ГОТОВ</v>
      </c>
      <c r="R846" s="13">
        <f>IFERROR(VLOOKUP(P846,Лист1!A$1:B$20,2,FALSE),0)</f>
        <v>784</v>
      </c>
      <c r="S846" s="13">
        <f t="shared" si="97"/>
        <v>1</v>
      </c>
    </row>
    <row r="847" spans="1:19" x14ac:dyDescent="0.25">
      <c r="A847" s="24" t="s">
        <v>1960</v>
      </c>
      <c r="B847" s="4" t="s">
        <v>1031</v>
      </c>
      <c r="E847" s="3">
        <v>1</v>
      </c>
      <c r="F847" s="24" t="s">
        <v>1045</v>
      </c>
      <c r="G847" s="25" t="s">
        <v>1089</v>
      </c>
      <c r="H847" s="24" t="s">
        <v>1061</v>
      </c>
      <c r="I847" s="3">
        <f>IFERROR(VLOOKUP(C847,'Справочник соответствий'!A$2:D$2981,2,FALSE),IF(VALUE(C847)=0,1,VLOOKUP(C847,'Справочник соответствий'!A$2:D$2981,2,FALSE)))</f>
        <v>1</v>
      </c>
      <c r="J847" s="3">
        <f>IFERROR(VLOOKUP(D847,'Справочник соответствий'!A$2:D$2981,2,FALSE),IF(VALUE(D847)=0,0,VLOOKUP(D847,'Справочник соответствий'!A$2:D$2981,2,FALSE)))</f>
        <v>0</v>
      </c>
      <c r="K847" s="3">
        <f t="shared" si="91"/>
        <v>1</v>
      </c>
      <c r="L847" s="13" t="str">
        <f>IFERROR(VLOOKUP(C847,'Справочник соответствий'!A$2:D$2981,3,FALSE),IF(VALUE(C847)=0,"ЭТАЖ НЕ ОПРЕДЕЛЕН. ПРИНЯТ ПО ДОПУЩЕНИЮ 1",VLOOKUP(C847,'Справочник соответствий'!A$2:D$2981,3,FALSE)))</f>
        <v>ЭТАЖ НЕ ОПРЕДЕЛЕН. ПРИНЯТ ПО ДОПУЩЕНИЮ 1</v>
      </c>
      <c r="M847" s="13" t="b">
        <f t="shared" si="92"/>
        <v>1</v>
      </c>
      <c r="N847" s="13">
        <f t="shared" si="93"/>
        <v>1</v>
      </c>
      <c r="O847" s="13" t="str">
        <f t="shared" si="94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847" s="13" t="str">
        <f t="shared" si="95"/>
        <v>МКД_Значение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847" s="13" t="str">
        <f t="shared" si="96"/>
        <v>ГОТОВ</v>
      </c>
      <c r="R847" s="13">
        <f>IFERROR(VLOOKUP(P847,Лист1!A$1:B$20,2,FALSE),0)</f>
        <v>0</v>
      </c>
      <c r="S847" s="13">
        <f t="shared" si="97"/>
        <v>1</v>
      </c>
    </row>
    <row r="848" spans="1:19" x14ac:dyDescent="0.25">
      <c r="A848" s="24" t="s">
        <v>1961</v>
      </c>
      <c r="B848" s="4" t="s">
        <v>1063</v>
      </c>
      <c r="C848" s="25" t="s">
        <v>7</v>
      </c>
      <c r="E848" s="3">
        <v>2</v>
      </c>
      <c r="F848" s="24" t="s">
        <v>1045</v>
      </c>
      <c r="G848" s="25" t="s">
        <v>1089</v>
      </c>
      <c r="H848" s="24" t="s">
        <v>1061</v>
      </c>
      <c r="I848" s="3" t="str">
        <f>IFERROR(VLOOKUP(C848,'Справочник соответствий'!A$2:D$2981,2,FALSE),IF(VALUE(C848)=0,1,VLOOKUP(C848,'Справочник соответствий'!A$2:D$2981,2,FALSE)))</f>
        <v>2</v>
      </c>
      <c r="J848" s="3">
        <f>IFERROR(VLOOKUP(D848,'Справочник соответствий'!A$2:D$2981,2,FALSE),IF(VALUE(D848)=0,0,VLOOKUP(D848,'Справочник соответствий'!A$2:D$2981,2,FALSE)))</f>
        <v>0</v>
      </c>
      <c r="K848" s="3" t="str">
        <f t="shared" si="91"/>
        <v>2</v>
      </c>
      <c r="L848" s="13" t="str">
        <f>IFERROR(VLOOKUP(C848,'Справочник соответствий'!A$2:D$2981,3,FALSE),IF(VALUE(C848)=0,"ЭТАЖ НЕ ОПРЕДЕЛЕН. ПРИНЯТ ПО ДОПУЩЕНИЮ 1",VLOOKUP(C848,'Справочник соответствий'!A$2:D$2981,3,FALSE)))</f>
        <v>ЭТАЖ ЗАДАН ЧИСЛОМ</v>
      </c>
      <c r="M848" s="13" t="b">
        <f t="shared" si="92"/>
        <v>0</v>
      </c>
      <c r="N848" s="13">
        <f t="shared" si="93"/>
        <v>2</v>
      </c>
      <c r="O848" s="13" t="str">
        <f t="shared" si="94"/>
        <v>ЭТАЖ ЗАДАН ЧИСЛОМ</v>
      </c>
      <c r="P848" s="13" t="str">
        <f t="shared" si="95"/>
        <v>ЭТАЖ ЗАДАН ЧИСЛОМ</v>
      </c>
      <c r="Q848" s="13" t="str">
        <f t="shared" si="96"/>
        <v>ГОТОВ</v>
      </c>
      <c r="R848" s="13">
        <f>IFERROR(VLOOKUP(P848,Лист1!A$1:B$20,2,FALSE),0)</f>
        <v>784</v>
      </c>
      <c r="S848" s="13">
        <f t="shared" si="97"/>
        <v>2</v>
      </c>
    </row>
    <row r="849" spans="1:19" x14ac:dyDescent="0.25">
      <c r="A849" s="24" t="s">
        <v>1962</v>
      </c>
      <c r="B849" s="4" t="s">
        <v>1059</v>
      </c>
      <c r="C849" s="25" t="s">
        <v>5</v>
      </c>
      <c r="E849" s="3">
        <v>1</v>
      </c>
      <c r="F849" s="24" t="s">
        <v>1045</v>
      </c>
      <c r="G849" s="25" t="s">
        <v>1072</v>
      </c>
      <c r="H849" s="24" t="s">
        <v>1061</v>
      </c>
      <c r="I849" s="3" t="str">
        <f>IFERROR(VLOOKUP(C849,'Справочник соответствий'!A$2:D$2981,2,FALSE),IF(VALUE(C849)=0,1,VLOOKUP(C849,'Справочник соответствий'!A$2:D$2981,2,FALSE)))</f>
        <v>1</v>
      </c>
      <c r="J849" s="3">
        <f>IFERROR(VLOOKUP(D849,'Справочник соответствий'!A$2:D$2981,2,FALSE),IF(VALUE(D849)=0,0,VLOOKUP(D849,'Справочник соответствий'!A$2:D$2981,2,FALSE)))</f>
        <v>0</v>
      </c>
      <c r="K849" s="3" t="str">
        <f t="shared" si="91"/>
        <v>1</v>
      </c>
      <c r="L849" s="13" t="str">
        <f>IFERROR(VLOOKUP(C849,'Справочник соответствий'!A$2:D$2981,3,FALSE),IF(VALUE(C849)=0,"ЭТАЖ НЕ ОПРЕДЕЛЕН. ПРИНЯТ ПО ДОПУЩЕНИЮ 1",VLOOKUP(C849,'Справочник соответствий'!A$2:D$2981,3,FALSE)))</f>
        <v>ЭТАЖ ЗАДАН ЧИСЛОМ</v>
      </c>
      <c r="M849" s="13" t="b">
        <f t="shared" si="92"/>
        <v>0</v>
      </c>
      <c r="N849" s="13">
        <f t="shared" si="93"/>
        <v>1</v>
      </c>
      <c r="O849" s="13" t="str">
        <f t="shared" si="94"/>
        <v>ЭТАЖ ЗАДАН ЧИСЛОМ</v>
      </c>
      <c r="P849" s="13" t="str">
        <f t="shared" si="95"/>
        <v>ЭТАЖ ЗАДАН ЧИСЛОМ</v>
      </c>
      <c r="Q849" s="13" t="str">
        <f t="shared" si="96"/>
        <v>ГОТОВ</v>
      </c>
      <c r="R849" s="13">
        <f>IFERROR(VLOOKUP(P849,Лист1!A$1:B$20,2,FALSE),0)</f>
        <v>784</v>
      </c>
      <c r="S849" s="13">
        <f t="shared" si="97"/>
        <v>1</v>
      </c>
    </row>
    <row r="850" spans="1:19" x14ac:dyDescent="0.25">
      <c r="A850" s="24" t="s">
        <v>1963</v>
      </c>
      <c r="B850" s="4" t="s">
        <v>1059</v>
      </c>
      <c r="C850" s="25" t="s">
        <v>5</v>
      </c>
      <c r="E850" s="3">
        <v>1</v>
      </c>
      <c r="F850" s="24" t="s">
        <v>1045</v>
      </c>
      <c r="G850" s="25" t="s">
        <v>1104</v>
      </c>
      <c r="H850" s="24" t="s">
        <v>1061</v>
      </c>
      <c r="I850" s="3" t="str">
        <f>IFERROR(VLOOKUP(C850,'Справочник соответствий'!A$2:D$2981,2,FALSE),IF(VALUE(C850)=0,1,VLOOKUP(C850,'Справочник соответствий'!A$2:D$2981,2,FALSE)))</f>
        <v>1</v>
      </c>
      <c r="J850" s="3">
        <f>IFERROR(VLOOKUP(D850,'Справочник соответствий'!A$2:D$2981,2,FALSE),IF(VALUE(D850)=0,0,VLOOKUP(D850,'Справочник соответствий'!A$2:D$2981,2,FALSE)))</f>
        <v>0</v>
      </c>
      <c r="K850" s="3" t="str">
        <f t="shared" si="91"/>
        <v>1</v>
      </c>
      <c r="L850" s="13" t="str">
        <f>IFERROR(VLOOKUP(C850,'Справочник соответствий'!A$2:D$2981,3,FALSE),IF(VALUE(C850)=0,"ЭТАЖ НЕ ОПРЕДЕЛЕН. ПРИНЯТ ПО ДОПУЩЕНИЮ 1",VLOOKUP(C850,'Справочник соответствий'!A$2:D$2981,3,FALSE)))</f>
        <v>ЭТАЖ ЗАДАН ЧИСЛОМ</v>
      </c>
      <c r="M850" s="13" t="b">
        <f t="shared" si="92"/>
        <v>0</v>
      </c>
      <c r="N850" s="13">
        <f t="shared" si="93"/>
        <v>1</v>
      </c>
      <c r="O850" s="13" t="str">
        <f t="shared" si="94"/>
        <v>ЭТАЖ ЗАДАН ЧИСЛОМ</v>
      </c>
      <c r="P850" s="13" t="str">
        <f t="shared" si="95"/>
        <v>ЭТАЖ ЗАДАН ЧИСЛОМ</v>
      </c>
      <c r="Q850" s="13" t="str">
        <f t="shared" si="96"/>
        <v>ГОТОВ</v>
      </c>
      <c r="R850" s="13">
        <f>IFERROR(VLOOKUP(P850,Лист1!A$1:B$20,2,FALSE),0)</f>
        <v>784</v>
      </c>
      <c r="S850" s="13">
        <f t="shared" si="97"/>
        <v>1</v>
      </c>
    </row>
    <row r="851" spans="1:19" x14ac:dyDescent="0.25">
      <c r="A851" s="24" t="s">
        <v>1964</v>
      </c>
      <c r="B851" s="4" t="s">
        <v>1059</v>
      </c>
      <c r="C851" s="25" t="s">
        <v>5</v>
      </c>
      <c r="E851" s="3">
        <v>1</v>
      </c>
      <c r="F851" s="24" t="s">
        <v>1045</v>
      </c>
      <c r="G851" s="25" t="s">
        <v>1089</v>
      </c>
      <c r="H851" s="24" t="s">
        <v>1061</v>
      </c>
      <c r="I851" s="3" t="str">
        <f>IFERROR(VLOOKUP(C851,'Справочник соответствий'!A$2:D$2981,2,FALSE),IF(VALUE(C851)=0,1,VLOOKUP(C851,'Справочник соответствий'!A$2:D$2981,2,FALSE)))</f>
        <v>1</v>
      </c>
      <c r="J851" s="3">
        <f>IFERROR(VLOOKUP(D851,'Справочник соответствий'!A$2:D$2981,2,FALSE),IF(VALUE(D851)=0,0,VLOOKUP(D851,'Справочник соответствий'!A$2:D$2981,2,FALSE)))</f>
        <v>0</v>
      </c>
      <c r="K851" s="3" t="str">
        <f t="shared" si="91"/>
        <v>1</v>
      </c>
      <c r="L851" s="13" t="str">
        <f>IFERROR(VLOOKUP(C851,'Справочник соответствий'!A$2:D$2981,3,FALSE),IF(VALUE(C851)=0,"ЭТАЖ НЕ ОПРЕДЕЛЕН. ПРИНЯТ ПО ДОПУЩЕНИЮ 1",VLOOKUP(C851,'Справочник соответствий'!A$2:D$2981,3,FALSE)))</f>
        <v>ЭТАЖ ЗАДАН ЧИСЛОМ</v>
      </c>
      <c r="M851" s="13" t="b">
        <f t="shared" si="92"/>
        <v>0</v>
      </c>
      <c r="N851" s="13">
        <f t="shared" si="93"/>
        <v>1</v>
      </c>
      <c r="O851" s="13" t="str">
        <f t="shared" si="94"/>
        <v>ЭТАЖ ЗАДАН ЧИСЛОМ</v>
      </c>
      <c r="P851" s="13" t="str">
        <f t="shared" si="95"/>
        <v>ЭТАЖ ЗАДАН ЧИСЛОМ</v>
      </c>
      <c r="Q851" s="13" t="str">
        <f t="shared" si="96"/>
        <v>ГОТОВ</v>
      </c>
      <c r="R851" s="13">
        <f>IFERROR(VLOOKUP(P851,Лист1!A$1:B$20,2,FALSE),0)</f>
        <v>784</v>
      </c>
      <c r="S851" s="13">
        <f t="shared" si="97"/>
        <v>1</v>
      </c>
    </row>
    <row r="852" spans="1:19" x14ac:dyDescent="0.25">
      <c r="A852" s="24" t="s">
        <v>1965</v>
      </c>
      <c r="B852" s="4" t="s">
        <v>1063</v>
      </c>
      <c r="E852" s="3">
        <v>1</v>
      </c>
      <c r="F852" s="24" t="s">
        <v>1045</v>
      </c>
      <c r="G852" s="25" t="s">
        <v>1205</v>
      </c>
      <c r="H852" s="24" t="s">
        <v>1061</v>
      </c>
      <c r="I852" s="3">
        <f>IFERROR(VLOOKUP(C852,'Справочник соответствий'!A$2:D$2981,2,FALSE),IF(VALUE(C852)=0,1,VLOOKUP(C852,'Справочник соответствий'!A$2:D$2981,2,FALSE)))</f>
        <v>1</v>
      </c>
      <c r="J852" s="3">
        <f>IFERROR(VLOOKUP(D852,'Справочник соответствий'!A$2:D$2981,2,FALSE),IF(VALUE(D852)=0,0,VLOOKUP(D852,'Справочник соответствий'!A$2:D$2981,2,FALSE)))</f>
        <v>0</v>
      </c>
      <c r="K852" s="3">
        <f t="shared" si="91"/>
        <v>1</v>
      </c>
      <c r="L852" s="13" t="str">
        <f>IFERROR(VLOOKUP(C852,'Справочник соответствий'!A$2:D$2981,3,FALSE),IF(VALUE(C852)=0,"ЭТАЖ НЕ ОПРЕДЕЛЕН. ПРИНЯТ ПО ДОПУЩЕНИЮ 1",VLOOKUP(C852,'Справочник соответствий'!A$2:D$2981,3,FALSE)))</f>
        <v>ЭТАЖ НЕ ОПРЕДЕЛЕН. ПРИНЯТ ПО ДОПУЩЕНИЮ 1</v>
      </c>
      <c r="M852" s="13" t="b">
        <f t="shared" si="92"/>
        <v>1</v>
      </c>
      <c r="N852" s="13">
        <f t="shared" si="93"/>
        <v>1</v>
      </c>
      <c r="O852" s="13" t="str">
        <f t="shared" si="94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852" s="13" t="str">
        <f t="shared" si="95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852" s="13" t="str">
        <f t="shared" si="96"/>
        <v>ГОТОВ</v>
      </c>
      <c r="R852" s="13">
        <f>IFERROR(VLOOKUP(P852,Лист1!A$1:B$20,2,FALSE),0)</f>
        <v>214</v>
      </c>
      <c r="S852" s="13">
        <f t="shared" si="97"/>
        <v>1</v>
      </c>
    </row>
    <row r="853" spans="1:19" x14ac:dyDescent="0.25">
      <c r="A853" s="24" t="s">
        <v>1966</v>
      </c>
      <c r="B853" s="4" t="s">
        <v>1059</v>
      </c>
      <c r="C853" s="25" t="s">
        <v>5</v>
      </c>
      <c r="E853" s="3">
        <v>1</v>
      </c>
      <c r="F853" s="24" t="s">
        <v>1045</v>
      </c>
      <c r="G853" s="25" t="s">
        <v>1060</v>
      </c>
      <c r="H853" s="24" t="s">
        <v>1061</v>
      </c>
      <c r="I853" s="3" t="str">
        <f>IFERROR(VLOOKUP(C853,'Справочник соответствий'!A$2:D$2981,2,FALSE),IF(VALUE(C853)=0,1,VLOOKUP(C853,'Справочник соответствий'!A$2:D$2981,2,FALSE)))</f>
        <v>1</v>
      </c>
      <c r="J853" s="3">
        <f>IFERROR(VLOOKUP(D853,'Справочник соответствий'!A$2:D$2981,2,FALSE),IF(VALUE(D853)=0,0,VLOOKUP(D853,'Справочник соответствий'!A$2:D$2981,2,FALSE)))</f>
        <v>0</v>
      </c>
      <c r="K853" s="3" t="str">
        <f t="shared" si="91"/>
        <v>1</v>
      </c>
      <c r="L853" s="13" t="str">
        <f>IFERROR(VLOOKUP(C853,'Справочник соответствий'!A$2:D$2981,3,FALSE),IF(VALUE(C853)=0,"ЭТАЖ НЕ ОПРЕДЕЛЕН. ПРИНЯТ ПО ДОПУЩЕНИЮ 1",VLOOKUP(C853,'Справочник соответствий'!A$2:D$2981,3,FALSE)))</f>
        <v>ЭТАЖ ЗАДАН ЧИСЛОМ</v>
      </c>
      <c r="M853" s="13" t="b">
        <f t="shared" si="92"/>
        <v>0</v>
      </c>
      <c r="N853" s="13">
        <f t="shared" si="93"/>
        <v>1</v>
      </c>
      <c r="O853" s="13" t="str">
        <f t="shared" si="94"/>
        <v>ЭТАЖ ЗАДАН ЧИСЛОМ</v>
      </c>
      <c r="P853" s="13" t="str">
        <f t="shared" si="95"/>
        <v>ЭТАЖ ЗАДАН ЧИСЛОМ</v>
      </c>
      <c r="Q853" s="13" t="str">
        <f t="shared" si="96"/>
        <v>ГОТОВ</v>
      </c>
      <c r="R853" s="13">
        <f>IFERROR(VLOOKUP(P853,Лист1!A$1:B$20,2,FALSE),0)</f>
        <v>784</v>
      </c>
      <c r="S853" s="13">
        <f t="shared" si="97"/>
        <v>1</v>
      </c>
    </row>
    <row r="854" spans="1:19" x14ac:dyDescent="0.25">
      <c r="A854" s="24" t="s">
        <v>1967</v>
      </c>
      <c r="B854" s="4" t="s">
        <v>1059</v>
      </c>
      <c r="C854" s="25" t="s">
        <v>5</v>
      </c>
      <c r="E854" s="3">
        <v>1</v>
      </c>
      <c r="F854" s="24" t="s">
        <v>1045</v>
      </c>
      <c r="G854" s="25" t="s">
        <v>1069</v>
      </c>
      <c r="H854" s="24" t="s">
        <v>1061</v>
      </c>
      <c r="I854" s="3" t="str">
        <f>IFERROR(VLOOKUP(C854,'Справочник соответствий'!A$2:D$2981,2,FALSE),IF(VALUE(C854)=0,1,VLOOKUP(C854,'Справочник соответствий'!A$2:D$2981,2,FALSE)))</f>
        <v>1</v>
      </c>
      <c r="J854" s="3">
        <f>IFERROR(VLOOKUP(D854,'Справочник соответствий'!A$2:D$2981,2,FALSE),IF(VALUE(D854)=0,0,VLOOKUP(D854,'Справочник соответствий'!A$2:D$2981,2,FALSE)))</f>
        <v>0</v>
      </c>
      <c r="K854" s="3" t="str">
        <f t="shared" si="91"/>
        <v>1</v>
      </c>
      <c r="L854" s="13" t="str">
        <f>IFERROR(VLOOKUP(C854,'Справочник соответствий'!A$2:D$2981,3,FALSE),IF(VALUE(C854)=0,"ЭТАЖ НЕ ОПРЕДЕЛЕН. ПРИНЯТ ПО ДОПУЩЕНИЮ 1",VLOOKUP(C854,'Справочник соответствий'!A$2:D$2981,3,FALSE)))</f>
        <v>ЭТАЖ ЗАДАН ЧИСЛОМ</v>
      </c>
      <c r="M854" s="13" t="b">
        <f t="shared" si="92"/>
        <v>0</v>
      </c>
      <c r="N854" s="13">
        <f t="shared" si="93"/>
        <v>1</v>
      </c>
      <c r="O854" s="13" t="str">
        <f t="shared" si="94"/>
        <v>ЭТАЖ ЗАДАН ЧИСЛОМ</v>
      </c>
      <c r="P854" s="13" t="str">
        <f t="shared" si="95"/>
        <v>ЭТАЖ ЗАДАН ЧИСЛОМ</v>
      </c>
      <c r="Q854" s="13" t="str">
        <f t="shared" si="96"/>
        <v>ГОТОВ</v>
      </c>
      <c r="R854" s="13">
        <f>IFERROR(VLOOKUP(P854,Лист1!A$1:B$20,2,FALSE),0)</f>
        <v>784</v>
      </c>
      <c r="S854" s="13">
        <f t="shared" si="97"/>
        <v>1</v>
      </c>
    </row>
    <row r="855" spans="1:19" x14ac:dyDescent="0.25">
      <c r="A855" s="24" t="s">
        <v>1968</v>
      </c>
      <c r="B855" s="4" t="s">
        <v>1059</v>
      </c>
      <c r="C855" s="25" t="s">
        <v>5</v>
      </c>
      <c r="E855" s="3">
        <v>1</v>
      </c>
      <c r="F855" s="24" t="s">
        <v>1045</v>
      </c>
      <c r="G855" s="25" t="s">
        <v>1072</v>
      </c>
      <c r="H855" s="24" t="s">
        <v>1061</v>
      </c>
      <c r="I855" s="3" t="str">
        <f>IFERROR(VLOOKUP(C855,'Справочник соответствий'!A$2:D$2981,2,FALSE),IF(VALUE(C855)=0,1,VLOOKUP(C855,'Справочник соответствий'!A$2:D$2981,2,FALSE)))</f>
        <v>1</v>
      </c>
      <c r="J855" s="3">
        <f>IFERROR(VLOOKUP(D855,'Справочник соответствий'!A$2:D$2981,2,FALSE),IF(VALUE(D855)=0,0,VLOOKUP(D855,'Справочник соответствий'!A$2:D$2981,2,FALSE)))</f>
        <v>0</v>
      </c>
      <c r="K855" s="3" t="str">
        <f t="shared" si="91"/>
        <v>1</v>
      </c>
      <c r="L855" s="13" t="str">
        <f>IFERROR(VLOOKUP(C855,'Справочник соответствий'!A$2:D$2981,3,FALSE),IF(VALUE(C855)=0,"ЭТАЖ НЕ ОПРЕДЕЛЕН. ПРИНЯТ ПО ДОПУЩЕНИЮ 1",VLOOKUP(C855,'Справочник соответствий'!A$2:D$2981,3,FALSE)))</f>
        <v>ЭТАЖ ЗАДАН ЧИСЛОМ</v>
      </c>
      <c r="M855" s="13" t="b">
        <f t="shared" si="92"/>
        <v>0</v>
      </c>
      <c r="N855" s="13">
        <f t="shared" si="93"/>
        <v>1</v>
      </c>
      <c r="O855" s="13" t="str">
        <f t="shared" si="94"/>
        <v>ЭТАЖ ЗАДАН ЧИСЛОМ</v>
      </c>
      <c r="P855" s="13" t="str">
        <f t="shared" si="95"/>
        <v>ЭТАЖ ЗАДАН ЧИСЛОМ</v>
      </c>
      <c r="Q855" s="13" t="str">
        <f t="shared" si="96"/>
        <v>ГОТОВ</v>
      </c>
      <c r="R855" s="13">
        <f>IFERROR(VLOOKUP(P855,Лист1!A$1:B$20,2,FALSE),0)</f>
        <v>784</v>
      </c>
      <c r="S855" s="13">
        <f t="shared" si="97"/>
        <v>1</v>
      </c>
    </row>
    <row r="856" spans="1:19" x14ac:dyDescent="0.25">
      <c r="A856" s="24" t="s">
        <v>1969</v>
      </c>
      <c r="B856" s="4" t="s">
        <v>1063</v>
      </c>
      <c r="C856" s="25" t="s">
        <v>5</v>
      </c>
      <c r="E856" s="3">
        <v>1</v>
      </c>
      <c r="F856" s="24" t="s">
        <v>1082</v>
      </c>
      <c r="G856" s="25" t="s">
        <v>1089</v>
      </c>
      <c r="H856" s="24" t="s">
        <v>1061</v>
      </c>
      <c r="I856" s="3" t="str">
        <f>IFERROR(VLOOKUP(C856,'Справочник соответствий'!A$2:D$2981,2,FALSE),IF(VALUE(C856)=0,1,VLOOKUP(C856,'Справочник соответствий'!A$2:D$2981,2,FALSE)))</f>
        <v>1</v>
      </c>
      <c r="J856" s="3">
        <f>IFERROR(VLOOKUP(D856,'Справочник соответствий'!A$2:D$2981,2,FALSE),IF(VALUE(D856)=0,0,VLOOKUP(D856,'Справочник соответствий'!A$2:D$2981,2,FALSE)))</f>
        <v>0</v>
      </c>
      <c r="K856" s="3" t="str">
        <f t="shared" si="91"/>
        <v>1</v>
      </c>
      <c r="L856" s="13" t="str">
        <f>IFERROR(VLOOKUP(C856,'Справочник соответствий'!A$2:D$2981,3,FALSE),IF(VALUE(C856)=0,"ЭТАЖ НЕ ОПРЕДЕЛЕН. ПРИНЯТ ПО ДОПУЩЕНИЮ 1",VLOOKUP(C856,'Справочник соответствий'!A$2:D$2981,3,FALSE)))</f>
        <v>ЭТАЖ ЗАДАН ЧИСЛОМ</v>
      </c>
      <c r="M856" s="13" t="b">
        <f t="shared" si="92"/>
        <v>0</v>
      </c>
      <c r="N856" s="13">
        <f t="shared" si="93"/>
        <v>1</v>
      </c>
      <c r="O856" s="13" t="str">
        <f t="shared" si="94"/>
        <v>ЭТАЖ ЗАДАН ЧИСЛОМ</v>
      </c>
      <c r="P856" s="13" t="str">
        <f t="shared" si="95"/>
        <v>ЭТАЖ ЗАДАН ЧИСЛОМ</v>
      </c>
      <c r="Q856" s="13" t="str">
        <f t="shared" si="96"/>
        <v>ГОТОВ</v>
      </c>
      <c r="R856" s="13">
        <f>IFERROR(VLOOKUP(P856,Лист1!A$1:B$20,2,FALSE),0)</f>
        <v>784</v>
      </c>
      <c r="S856" s="13">
        <f t="shared" si="97"/>
        <v>1</v>
      </c>
    </row>
    <row r="857" spans="1:19" x14ac:dyDescent="0.25">
      <c r="A857" s="24" t="s">
        <v>1970</v>
      </c>
      <c r="B857" s="4" t="s">
        <v>1059</v>
      </c>
      <c r="C857" s="25" t="s">
        <v>7</v>
      </c>
      <c r="D857" s="25" t="s">
        <v>5</v>
      </c>
      <c r="G857" s="25" t="s">
        <v>1086</v>
      </c>
      <c r="H857" s="24" t="s">
        <v>1061</v>
      </c>
      <c r="I857" s="3" t="str">
        <f>IFERROR(VLOOKUP(C857,'Справочник соответствий'!A$2:D$2981,2,FALSE),IF(VALUE(C857)=0,1,VLOOKUP(C857,'Справочник соответствий'!A$2:D$2981,2,FALSE)))</f>
        <v>2</v>
      </c>
      <c r="J857" s="3" t="str">
        <f>IFERROR(VLOOKUP(D857,'Справочник соответствий'!A$2:D$2981,2,FALSE),IF(VALUE(D857)=0,0,VLOOKUP(D857,'Справочник соответствий'!A$2:D$2981,2,FALSE)))</f>
        <v>1</v>
      </c>
      <c r="K857" s="3" t="str">
        <f t="shared" si="91"/>
        <v>2</v>
      </c>
      <c r="L857" s="13" t="str">
        <f>IFERROR(VLOOKUP(C857,'Справочник соответствий'!A$2:D$2981,3,FALSE),IF(VALUE(C857)=0,"ЭТАЖ НЕ ОПРЕДЕЛЕН. ПРИНЯТ ПО ДОПУЩЕНИЮ 1",VLOOKUP(C857,'Справочник соответствий'!A$2:D$2981,3,FALSE)))</f>
        <v>ЭТАЖ ЗАДАН ЧИСЛОМ</v>
      </c>
      <c r="M857" s="13" t="b">
        <f t="shared" si="92"/>
        <v>0</v>
      </c>
      <c r="N857" s="13">
        <f t="shared" si="93"/>
        <v>2</v>
      </c>
      <c r="O857" s="13" t="str">
        <f t="shared" si="94"/>
        <v>ЭТАЖ ЗАДАН ЧИСЛОМ</v>
      </c>
      <c r="P857" s="13" t="str">
        <f t="shared" si="95"/>
        <v>ЭТАЖ ЗАДАН ЧИСЛОМ</v>
      </c>
      <c r="Q857" s="13" t="str">
        <f t="shared" si="96"/>
        <v>ГОТОВ_ИЗМЕНЕН</v>
      </c>
      <c r="R857" s="13">
        <f>IFERROR(VLOOKUP(P857,Лист1!A$1:B$20,2,FALSE),0)</f>
        <v>784</v>
      </c>
      <c r="S857" s="13">
        <f t="shared" si="97"/>
        <v>0</v>
      </c>
    </row>
    <row r="858" spans="1:19" x14ac:dyDescent="0.25">
      <c r="A858" s="24" t="s">
        <v>1971</v>
      </c>
      <c r="B858" s="4" t="s">
        <v>1059</v>
      </c>
      <c r="C858" s="25" t="s">
        <v>5</v>
      </c>
      <c r="G858" s="25" t="s">
        <v>1086</v>
      </c>
      <c r="H858" s="24" t="s">
        <v>1061</v>
      </c>
      <c r="I858" s="3" t="str">
        <f>IFERROR(VLOOKUP(C858,'Справочник соответствий'!A$2:D$2981,2,FALSE),IF(VALUE(C858)=0,1,VLOOKUP(C858,'Справочник соответствий'!A$2:D$2981,2,FALSE)))</f>
        <v>1</v>
      </c>
      <c r="J858" s="3">
        <f>IFERROR(VLOOKUP(D858,'Справочник соответствий'!A$2:D$2981,2,FALSE),IF(VALUE(D858)=0,0,VLOOKUP(D858,'Справочник соответствий'!A$2:D$2981,2,FALSE)))</f>
        <v>0</v>
      </c>
      <c r="K858" s="3" t="str">
        <f t="shared" si="91"/>
        <v>1</v>
      </c>
      <c r="L858" s="13" t="str">
        <f>IFERROR(VLOOKUP(C858,'Справочник соответствий'!A$2:D$2981,3,FALSE),IF(VALUE(C858)=0,"ЭТАЖ НЕ ОПРЕДЕЛЕН. ПРИНЯТ ПО ДОПУЩЕНИЮ 1",VLOOKUP(C858,'Справочник соответствий'!A$2:D$2981,3,FALSE)))</f>
        <v>ЭТАЖ ЗАДАН ЧИСЛОМ</v>
      </c>
      <c r="M858" s="13" t="b">
        <f t="shared" si="92"/>
        <v>0</v>
      </c>
      <c r="N858" s="13">
        <f t="shared" si="93"/>
        <v>1</v>
      </c>
      <c r="O858" s="13" t="str">
        <f t="shared" si="94"/>
        <v>ЭТАЖ ЗАДАН ЧИСЛОМ</v>
      </c>
      <c r="P858" s="13" t="str">
        <f t="shared" si="95"/>
        <v>ЭТАЖ ЗАДАН ЧИСЛОМ</v>
      </c>
      <c r="Q858" s="13" t="str">
        <f t="shared" si="96"/>
        <v>ГОТОВ_ИЗМЕНЕН</v>
      </c>
      <c r="R858" s="13">
        <f>IFERROR(VLOOKUP(P858,Лист1!A$1:B$20,2,FALSE),0)</f>
        <v>784</v>
      </c>
      <c r="S858" s="13">
        <f t="shared" si="97"/>
        <v>0</v>
      </c>
    </row>
    <row r="859" spans="1:19" x14ac:dyDescent="0.25">
      <c r="A859" s="24" t="s">
        <v>1972</v>
      </c>
      <c r="B859" s="4" t="s">
        <v>1059</v>
      </c>
      <c r="C859" s="25" t="s">
        <v>5</v>
      </c>
      <c r="G859" s="25" t="s">
        <v>1086</v>
      </c>
      <c r="H859" s="24" t="s">
        <v>1061</v>
      </c>
      <c r="I859" s="3" t="str">
        <f>IFERROR(VLOOKUP(C859,'Справочник соответствий'!A$2:D$2981,2,FALSE),IF(VALUE(C859)=0,1,VLOOKUP(C859,'Справочник соответствий'!A$2:D$2981,2,FALSE)))</f>
        <v>1</v>
      </c>
      <c r="J859" s="3">
        <f>IFERROR(VLOOKUP(D859,'Справочник соответствий'!A$2:D$2981,2,FALSE),IF(VALUE(D859)=0,0,VLOOKUP(D859,'Справочник соответствий'!A$2:D$2981,2,FALSE)))</f>
        <v>0</v>
      </c>
      <c r="K859" s="3" t="str">
        <f t="shared" si="91"/>
        <v>1</v>
      </c>
      <c r="L859" s="13" t="str">
        <f>IFERROR(VLOOKUP(C859,'Справочник соответствий'!A$2:D$2981,3,FALSE),IF(VALUE(C859)=0,"ЭТАЖ НЕ ОПРЕДЕЛЕН. ПРИНЯТ ПО ДОПУЩЕНИЮ 1",VLOOKUP(C859,'Справочник соответствий'!A$2:D$2981,3,FALSE)))</f>
        <v>ЭТАЖ ЗАДАН ЧИСЛОМ</v>
      </c>
      <c r="M859" s="13" t="b">
        <f t="shared" si="92"/>
        <v>0</v>
      </c>
      <c r="N859" s="13">
        <f t="shared" si="93"/>
        <v>1</v>
      </c>
      <c r="O859" s="13" t="str">
        <f t="shared" si="94"/>
        <v>ЭТАЖ ЗАДАН ЧИСЛОМ</v>
      </c>
      <c r="P859" s="13" t="str">
        <f t="shared" si="95"/>
        <v>ЭТАЖ ЗАДАН ЧИСЛОМ</v>
      </c>
      <c r="Q859" s="13" t="str">
        <f t="shared" si="96"/>
        <v>ГОТОВ_ИЗМЕНЕН</v>
      </c>
      <c r="R859" s="13">
        <f>IFERROR(VLOOKUP(P859,Лист1!A$1:B$20,2,FALSE),0)</f>
        <v>784</v>
      </c>
      <c r="S859" s="13">
        <f t="shared" si="97"/>
        <v>0</v>
      </c>
    </row>
    <row r="860" spans="1:19" x14ac:dyDescent="0.25">
      <c r="A860" s="24" t="s">
        <v>1973</v>
      </c>
      <c r="B860" s="4" t="s">
        <v>1063</v>
      </c>
      <c r="C860" s="25" t="s">
        <v>5</v>
      </c>
      <c r="G860" s="25" t="s">
        <v>1086</v>
      </c>
      <c r="H860" s="24" t="s">
        <v>1061</v>
      </c>
      <c r="I860" s="3" t="str">
        <f>IFERROR(VLOOKUP(C860,'Справочник соответствий'!A$2:D$2981,2,FALSE),IF(VALUE(C860)=0,1,VLOOKUP(C860,'Справочник соответствий'!A$2:D$2981,2,FALSE)))</f>
        <v>1</v>
      </c>
      <c r="J860" s="3">
        <f>IFERROR(VLOOKUP(D860,'Справочник соответствий'!A$2:D$2981,2,FALSE),IF(VALUE(D860)=0,0,VLOOKUP(D860,'Справочник соответствий'!A$2:D$2981,2,FALSE)))</f>
        <v>0</v>
      </c>
      <c r="K860" s="3" t="str">
        <f t="shared" si="91"/>
        <v>1</v>
      </c>
      <c r="L860" s="13" t="str">
        <f>IFERROR(VLOOKUP(C860,'Справочник соответствий'!A$2:D$2981,3,FALSE),IF(VALUE(C860)=0,"ЭТАЖ НЕ ОПРЕДЕЛЕН. ПРИНЯТ ПО ДОПУЩЕНИЮ 1",VLOOKUP(C860,'Справочник соответствий'!A$2:D$2981,3,FALSE)))</f>
        <v>ЭТАЖ ЗАДАН ЧИСЛОМ</v>
      </c>
      <c r="M860" s="13" t="b">
        <f t="shared" si="92"/>
        <v>0</v>
      </c>
      <c r="N860" s="13">
        <f t="shared" si="93"/>
        <v>1</v>
      </c>
      <c r="O860" s="13" t="str">
        <f t="shared" si="94"/>
        <v>ЭТАЖ ЗАДАН ЧИСЛОМ</v>
      </c>
      <c r="P860" s="13" t="str">
        <f t="shared" si="95"/>
        <v>ЭТАЖ ЗАДАН ЧИСЛОМ</v>
      </c>
      <c r="Q860" s="13" t="str">
        <f t="shared" si="96"/>
        <v>ГОТОВ_ИЗМЕНЕН</v>
      </c>
      <c r="R860" s="13">
        <f>IFERROR(VLOOKUP(P860,Лист1!A$1:B$20,2,FALSE),0)</f>
        <v>784</v>
      </c>
      <c r="S860" s="13">
        <f t="shared" si="97"/>
        <v>0</v>
      </c>
    </row>
    <row r="861" spans="1:19" x14ac:dyDescent="0.25">
      <c r="A861" s="24" t="s">
        <v>1974</v>
      </c>
      <c r="B861" s="4" t="s">
        <v>1059</v>
      </c>
      <c r="C861" s="25" t="s">
        <v>8</v>
      </c>
      <c r="D861" s="25" t="s">
        <v>5</v>
      </c>
      <c r="G861" s="25" t="s">
        <v>1077</v>
      </c>
      <c r="H861" s="24" t="s">
        <v>1061</v>
      </c>
      <c r="I861" s="3" t="str">
        <f>IFERROR(VLOOKUP(C861,'Справочник соответствий'!A$2:D$2981,2,FALSE),IF(VALUE(C861)=0,1,VLOOKUP(C861,'Справочник соответствий'!A$2:D$2981,2,FALSE)))</f>
        <v>3</v>
      </c>
      <c r="J861" s="3" t="str">
        <f>IFERROR(VLOOKUP(D861,'Справочник соответствий'!A$2:D$2981,2,FALSE),IF(VALUE(D861)=0,0,VLOOKUP(D861,'Справочник соответствий'!A$2:D$2981,2,FALSE)))</f>
        <v>1</v>
      </c>
      <c r="K861" s="3" t="str">
        <f t="shared" si="91"/>
        <v>3</v>
      </c>
      <c r="L861" s="13" t="str">
        <f>IFERROR(VLOOKUP(C861,'Справочник соответствий'!A$2:D$2981,3,FALSE),IF(VALUE(C861)=0,"ЭТАЖ НЕ ОПРЕДЕЛЕН. ПРИНЯТ ПО ДОПУЩЕНИЮ 1",VLOOKUP(C861,'Справочник соответствий'!A$2:D$2981,3,FALSE)))</f>
        <v>ЭТАЖ ЗАДАН ЧИСЛОМ</v>
      </c>
      <c r="M861" s="13" t="b">
        <f t="shared" si="92"/>
        <v>0</v>
      </c>
      <c r="N861" s="13">
        <f t="shared" si="93"/>
        <v>3</v>
      </c>
      <c r="O861" s="13" t="str">
        <f t="shared" si="94"/>
        <v>ЭТАЖ ЗАДАН ЧИСЛОМ</v>
      </c>
      <c r="P861" s="13" t="str">
        <f t="shared" si="95"/>
        <v>ЭТАЖ ЗАДАН ЧИСЛОМ</v>
      </c>
      <c r="Q861" s="13" t="str">
        <f t="shared" si="96"/>
        <v>ГОТОВ_ИЗМЕНЕН</v>
      </c>
      <c r="R861" s="13">
        <f>IFERROR(VLOOKUP(P861,Лист1!A$1:B$20,2,FALSE),0)</f>
        <v>784</v>
      </c>
      <c r="S861" s="13">
        <f t="shared" si="97"/>
        <v>0</v>
      </c>
    </row>
    <row r="862" spans="1:19" x14ac:dyDescent="0.25">
      <c r="A862" s="24" t="s">
        <v>1975</v>
      </c>
      <c r="B862" s="4" t="s">
        <v>1059</v>
      </c>
      <c r="C862" s="25" t="s">
        <v>5</v>
      </c>
      <c r="G862" s="25" t="s">
        <v>1086</v>
      </c>
      <c r="H862" s="24" t="s">
        <v>1061</v>
      </c>
      <c r="I862" s="3" t="str">
        <f>IFERROR(VLOOKUP(C862,'Справочник соответствий'!A$2:D$2981,2,FALSE),IF(VALUE(C862)=0,1,VLOOKUP(C862,'Справочник соответствий'!A$2:D$2981,2,FALSE)))</f>
        <v>1</v>
      </c>
      <c r="J862" s="3">
        <f>IFERROR(VLOOKUP(D862,'Справочник соответствий'!A$2:D$2981,2,FALSE),IF(VALUE(D862)=0,0,VLOOKUP(D862,'Справочник соответствий'!A$2:D$2981,2,FALSE)))</f>
        <v>0</v>
      </c>
      <c r="K862" s="3" t="str">
        <f t="shared" si="91"/>
        <v>1</v>
      </c>
      <c r="L862" s="13" t="str">
        <f>IFERROR(VLOOKUP(C862,'Справочник соответствий'!A$2:D$2981,3,FALSE),IF(VALUE(C862)=0,"ЭТАЖ НЕ ОПРЕДЕЛЕН. ПРИНЯТ ПО ДОПУЩЕНИЮ 1",VLOOKUP(C862,'Справочник соответствий'!A$2:D$2981,3,FALSE)))</f>
        <v>ЭТАЖ ЗАДАН ЧИСЛОМ</v>
      </c>
      <c r="M862" s="13" t="b">
        <f t="shared" si="92"/>
        <v>0</v>
      </c>
      <c r="N862" s="13">
        <f t="shared" si="93"/>
        <v>1</v>
      </c>
      <c r="O862" s="13" t="str">
        <f t="shared" si="94"/>
        <v>ЭТАЖ ЗАДАН ЧИСЛОМ</v>
      </c>
      <c r="P862" s="13" t="str">
        <f t="shared" si="95"/>
        <v>ЭТАЖ ЗАДАН ЧИСЛОМ</v>
      </c>
      <c r="Q862" s="13" t="str">
        <f t="shared" si="96"/>
        <v>ГОТОВ_ИЗМЕНЕН</v>
      </c>
      <c r="R862" s="13">
        <f>IFERROR(VLOOKUP(P862,Лист1!A$1:B$20,2,FALSE),0)</f>
        <v>784</v>
      </c>
      <c r="S862" s="13">
        <f t="shared" si="97"/>
        <v>0</v>
      </c>
    </row>
    <row r="863" spans="1:19" x14ac:dyDescent="0.25">
      <c r="A863" s="24" t="s">
        <v>1976</v>
      </c>
      <c r="B863" s="4" t="s">
        <v>1063</v>
      </c>
      <c r="C863" s="25" t="s">
        <v>45</v>
      </c>
      <c r="D863" s="25" t="s">
        <v>5</v>
      </c>
      <c r="G863" s="25" t="s">
        <v>1086</v>
      </c>
      <c r="H863" s="24" t="s">
        <v>1061</v>
      </c>
      <c r="I863" s="3" t="str">
        <f>IFERROR(VLOOKUP(C863,'Справочник соответствий'!A$2:D$2981,2,FALSE),IF(VALUE(C863)=0,1,VLOOKUP(C863,'Справочник соответствий'!A$2:D$2981,2,FALSE)))</f>
        <v>5</v>
      </c>
      <c r="J863" s="3" t="str">
        <f>IFERROR(VLOOKUP(D863,'Справочник соответствий'!A$2:D$2981,2,FALSE),IF(VALUE(D863)=0,0,VLOOKUP(D863,'Справочник соответствий'!A$2:D$2981,2,FALSE)))</f>
        <v>1</v>
      </c>
      <c r="K863" s="3" t="str">
        <f t="shared" si="91"/>
        <v>5</v>
      </c>
      <c r="L863" s="13" t="str">
        <f>IFERROR(VLOOKUP(C863,'Справочник соответствий'!A$2:D$2981,3,FALSE),IF(VALUE(C863)=0,"ЭТАЖ НЕ ОПРЕДЕЛЕН. ПРИНЯТ ПО ДОПУЩЕНИЮ 1",VLOOKUP(C863,'Справочник соответствий'!A$2:D$2981,3,FALSE)))</f>
        <v>СПРАВОЧНИК ЭТАЖНОСТИ</v>
      </c>
      <c r="M863" s="13" t="b">
        <f t="shared" si="92"/>
        <v>0</v>
      </c>
      <c r="N863" s="13">
        <f t="shared" si="93"/>
        <v>5</v>
      </c>
      <c r="O863" s="13" t="str">
        <f t="shared" si="94"/>
        <v>СПРАВОЧНИК ЭТАЖНОСТИ</v>
      </c>
      <c r="P863" s="13" t="str">
        <f t="shared" si="95"/>
        <v>СПРАВОЧНИК ЭТАЖНОСТИ</v>
      </c>
      <c r="Q863" s="13" t="str">
        <f t="shared" si="96"/>
        <v>ГОТОВ_ИЗМЕНЕН</v>
      </c>
      <c r="R863" s="13">
        <f>IFERROR(VLOOKUP(P863,Лист1!A$1:B$20,2,FALSE),0)</f>
        <v>785</v>
      </c>
      <c r="S863" s="13">
        <f t="shared" si="97"/>
        <v>0</v>
      </c>
    </row>
    <row r="864" spans="1:19" x14ac:dyDescent="0.25">
      <c r="A864" s="24" t="s">
        <v>1977</v>
      </c>
      <c r="B864" s="4" t="s">
        <v>1063</v>
      </c>
      <c r="C864" s="25" t="s">
        <v>5</v>
      </c>
      <c r="G864" s="25" t="s">
        <v>1086</v>
      </c>
      <c r="H864" s="24" t="s">
        <v>1061</v>
      </c>
      <c r="I864" s="3" t="str">
        <f>IFERROR(VLOOKUP(C864,'Справочник соответствий'!A$2:D$2981,2,FALSE),IF(VALUE(C864)=0,1,VLOOKUP(C864,'Справочник соответствий'!A$2:D$2981,2,FALSE)))</f>
        <v>1</v>
      </c>
      <c r="J864" s="3">
        <f>IFERROR(VLOOKUP(D864,'Справочник соответствий'!A$2:D$2981,2,FALSE),IF(VALUE(D864)=0,0,VLOOKUP(D864,'Справочник соответствий'!A$2:D$2981,2,FALSE)))</f>
        <v>0</v>
      </c>
      <c r="K864" s="3" t="str">
        <f t="shared" si="91"/>
        <v>1</v>
      </c>
      <c r="L864" s="13" t="str">
        <f>IFERROR(VLOOKUP(C864,'Справочник соответствий'!A$2:D$2981,3,FALSE),IF(VALUE(C864)=0,"ЭТАЖ НЕ ОПРЕДЕЛЕН. ПРИНЯТ ПО ДОПУЩЕНИЮ 1",VLOOKUP(C864,'Справочник соответствий'!A$2:D$2981,3,FALSE)))</f>
        <v>ЭТАЖ ЗАДАН ЧИСЛОМ</v>
      </c>
      <c r="M864" s="13" t="b">
        <f t="shared" si="92"/>
        <v>0</v>
      </c>
      <c r="N864" s="13">
        <f t="shared" si="93"/>
        <v>1</v>
      </c>
      <c r="O864" s="13" t="str">
        <f t="shared" si="94"/>
        <v>ЭТАЖ ЗАДАН ЧИСЛОМ</v>
      </c>
      <c r="P864" s="13" t="str">
        <f t="shared" si="95"/>
        <v>ЭТАЖ ЗАДАН ЧИСЛОМ</v>
      </c>
      <c r="Q864" s="13" t="str">
        <f t="shared" si="96"/>
        <v>ГОТОВ_ИЗМЕНЕН</v>
      </c>
      <c r="R864" s="13">
        <f>IFERROR(VLOOKUP(P864,Лист1!A$1:B$20,2,FALSE),0)</f>
        <v>784</v>
      </c>
      <c r="S864" s="13">
        <f t="shared" si="97"/>
        <v>0</v>
      </c>
    </row>
    <row r="865" spans="1:19" x14ac:dyDescent="0.25">
      <c r="A865" s="24" t="s">
        <v>1978</v>
      </c>
      <c r="B865" s="4" t="s">
        <v>1059</v>
      </c>
      <c r="C865" s="25" t="s">
        <v>5</v>
      </c>
      <c r="G865" s="25" t="s">
        <v>1077</v>
      </c>
      <c r="H865" s="24" t="s">
        <v>1061</v>
      </c>
      <c r="I865" s="3" t="str">
        <f>IFERROR(VLOOKUP(C865,'Справочник соответствий'!A$2:D$2981,2,FALSE),IF(VALUE(C865)=0,1,VLOOKUP(C865,'Справочник соответствий'!A$2:D$2981,2,FALSE)))</f>
        <v>1</v>
      </c>
      <c r="J865" s="3">
        <f>IFERROR(VLOOKUP(D865,'Справочник соответствий'!A$2:D$2981,2,FALSE),IF(VALUE(D865)=0,0,VLOOKUP(D865,'Справочник соответствий'!A$2:D$2981,2,FALSE)))</f>
        <v>0</v>
      </c>
      <c r="K865" s="3" t="str">
        <f t="shared" si="91"/>
        <v>1</v>
      </c>
      <c r="L865" s="13" t="str">
        <f>IFERROR(VLOOKUP(C865,'Справочник соответствий'!A$2:D$2981,3,FALSE),IF(VALUE(C865)=0,"ЭТАЖ НЕ ОПРЕДЕЛЕН. ПРИНЯТ ПО ДОПУЩЕНИЮ 1",VLOOKUP(C865,'Справочник соответствий'!A$2:D$2981,3,FALSE)))</f>
        <v>ЭТАЖ ЗАДАН ЧИСЛОМ</v>
      </c>
      <c r="M865" s="13" t="b">
        <f t="shared" si="92"/>
        <v>0</v>
      </c>
      <c r="N865" s="13">
        <f t="shared" si="93"/>
        <v>1</v>
      </c>
      <c r="O865" s="13" t="str">
        <f t="shared" si="94"/>
        <v>ЭТАЖ ЗАДАН ЧИСЛОМ</v>
      </c>
      <c r="P865" s="13" t="str">
        <f t="shared" si="95"/>
        <v>ЭТАЖ ЗАДАН ЧИСЛОМ</v>
      </c>
      <c r="Q865" s="13" t="str">
        <f t="shared" si="96"/>
        <v>ГОТОВ_ИЗМЕНЕН</v>
      </c>
      <c r="R865" s="13">
        <f>IFERROR(VLOOKUP(P865,Лист1!A$1:B$20,2,FALSE),0)</f>
        <v>784</v>
      </c>
      <c r="S865" s="13">
        <f t="shared" si="97"/>
        <v>0</v>
      </c>
    </row>
    <row r="866" spans="1:19" x14ac:dyDescent="0.25">
      <c r="A866" s="24" t="s">
        <v>1979</v>
      </c>
      <c r="B866" s="4" t="s">
        <v>1063</v>
      </c>
      <c r="C866" s="25" t="s">
        <v>5</v>
      </c>
      <c r="G866" s="25" t="s">
        <v>1089</v>
      </c>
      <c r="H866" s="24" t="s">
        <v>1061</v>
      </c>
      <c r="I866" s="3" t="str">
        <f>IFERROR(VLOOKUP(C866,'Справочник соответствий'!A$2:D$2981,2,FALSE),IF(VALUE(C866)=0,1,VLOOKUP(C866,'Справочник соответствий'!A$2:D$2981,2,FALSE)))</f>
        <v>1</v>
      </c>
      <c r="J866" s="3">
        <f>IFERROR(VLOOKUP(D866,'Справочник соответствий'!A$2:D$2981,2,FALSE),IF(VALUE(D866)=0,0,VLOOKUP(D866,'Справочник соответствий'!A$2:D$2981,2,FALSE)))</f>
        <v>0</v>
      </c>
      <c r="K866" s="3" t="str">
        <f t="shared" si="91"/>
        <v>1</v>
      </c>
      <c r="L866" s="13" t="str">
        <f>IFERROR(VLOOKUP(C866,'Справочник соответствий'!A$2:D$2981,3,FALSE),IF(VALUE(C866)=0,"ЭТАЖ НЕ ОПРЕДЕЛЕН. ПРИНЯТ ПО ДОПУЩЕНИЮ 1",VLOOKUP(C866,'Справочник соответствий'!A$2:D$2981,3,FALSE)))</f>
        <v>ЭТАЖ ЗАДАН ЧИСЛОМ</v>
      </c>
      <c r="M866" s="13" t="b">
        <f t="shared" si="92"/>
        <v>0</v>
      </c>
      <c r="N866" s="13">
        <f t="shared" si="93"/>
        <v>1</v>
      </c>
      <c r="O866" s="13" t="str">
        <f t="shared" si="94"/>
        <v>ЭТАЖ ЗАДАН ЧИСЛОМ</v>
      </c>
      <c r="P866" s="13" t="str">
        <f t="shared" si="95"/>
        <v>ЭТАЖ ЗАДАН ЧИСЛОМ</v>
      </c>
      <c r="Q866" s="13" t="str">
        <f t="shared" si="96"/>
        <v>ГОТОВ_ИЗМЕНЕН</v>
      </c>
      <c r="R866" s="13">
        <f>IFERROR(VLOOKUP(P866,Лист1!A$1:B$20,2,FALSE),0)</f>
        <v>784</v>
      </c>
      <c r="S866" s="13">
        <f t="shared" si="97"/>
        <v>0</v>
      </c>
    </row>
    <row r="867" spans="1:19" x14ac:dyDescent="0.25">
      <c r="A867" s="24" t="s">
        <v>1980</v>
      </c>
      <c r="B867" s="4" t="s">
        <v>1059</v>
      </c>
      <c r="C867" s="25" t="s">
        <v>8</v>
      </c>
      <c r="G867" s="25" t="s">
        <v>1080</v>
      </c>
      <c r="H867" s="24" t="s">
        <v>1061</v>
      </c>
      <c r="I867" s="3" t="str">
        <f>IFERROR(VLOOKUP(C867,'Справочник соответствий'!A$2:D$2981,2,FALSE),IF(VALUE(C867)=0,1,VLOOKUP(C867,'Справочник соответствий'!A$2:D$2981,2,FALSE)))</f>
        <v>3</v>
      </c>
      <c r="J867" s="3">
        <f>IFERROR(VLOOKUP(D867,'Справочник соответствий'!A$2:D$2981,2,FALSE),IF(VALUE(D867)=0,0,VLOOKUP(D867,'Справочник соответствий'!A$2:D$2981,2,FALSE)))</f>
        <v>0</v>
      </c>
      <c r="K867" s="3" t="str">
        <f t="shared" si="91"/>
        <v>3</v>
      </c>
      <c r="L867" s="13" t="str">
        <f>IFERROR(VLOOKUP(C867,'Справочник соответствий'!A$2:D$2981,3,FALSE),IF(VALUE(C867)=0,"ЭТАЖ НЕ ОПРЕДЕЛЕН. ПРИНЯТ ПО ДОПУЩЕНИЮ 1",VLOOKUP(C867,'Справочник соответствий'!A$2:D$2981,3,FALSE)))</f>
        <v>ЭТАЖ ЗАДАН ЧИСЛОМ</v>
      </c>
      <c r="M867" s="13" t="b">
        <f t="shared" si="92"/>
        <v>0</v>
      </c>
      <c r="N867" s="13">
        <f t="shared" si="93"/>
        <v>3</v>
      </c>
      <c r="O867" s="13" t="str">
        <f t="shared" si="94"/>
        <v>ЭТАЖ ЗАДАН ЧИСЛОМ</v>
      </c>
      <c r="P867" s="13" t="str">
        <f t="shared" si="95"/>
        <v>ЭТАЖ ЗАДАН ЧИСЛОМ</v>
      </c>
      <c r="Q867" s="13" t="str">
        <f t="shared" si="96"/>
        <v>ГОТОВ_ИЗМЕНЕН</v>
      </c>
      <c r="R867" s="13">
        <f>IFERROR(VLOOKUP(P867,Лист1!A$1:B$20,2,FALSE),0)</f>
        <v>784</v>
      </c>
      <c r="S867" s="13">
        <f t="shared" si="97"/>
        <v>0</v>
      </c>
    </row>
    <row r="868" spans="1:19" x14ac:dyDescent="0.25">
      <c r="A868" s="24" t="s">
        <v>1981</v>
      </c>
      <c r="B868" s="4" t="s">
        <v>1059</v>
      </c>
      <c r="C868" s="25" t="s">
        <v>5</v>
      </c>
      <c r="G868" s="25" t="s">
        <v>1080</v>
      </c>
      <c r="H868" s="24" t="s">
        <v>1061</v>
      </c>
      <c r="I868" s="3" t="str">
        <f>IFERROR(VLOOKUP(C868,'Справочник соответствий'!A$2:D$2981,2,FALSE),IF(VALUE(C868)=0,1,VLOOKUP(C868,'Справочник соответствий'!A$2:D$2981,2,FALSE)))</f>
        <v>1</v>
      </c>
      <c r="J868" s="3">
        <f>IFERROR(VLOOKUP(D868,'Справочник соответствий'!A$2:D$2981,2,FALSE),IF(VALUE(D868)=0,0,VLOOKUP(D868,'Справочник соответствий'!A$2:D$2981,2,FALSE)))</f>
        <v>0</v>
      </c>
      <c r="K868" s="3" t="str">
        <f t="shared" si="91"/>
        <v>1</v>
      </c>
      <c r="L868" s="13" t="str">
        <f>IFERROR(VLOOKUP(C868,'Справочник соответствий'!A$2:D$2981,3,FALSE),IF(VALUE(C868)=0,"ЭТАЖ НЕ ОПРЕДЕЛЕН. ПРИНЯТ ПО ДОПУЩЕНИЮ 1",VLOOKUP(C868,'Справочник соответствий'!A$2:D$2981,3,FALSE)))</f>
        <v>ЭТАЖ ЗАДАН ЧИСЛОМ</v>
      </c>
      <c r="M868" s="13" t="b">
        <f t="shared" si="92"/>
        <v>0</v>
      </c>
      <c r="N868" s="13">
        <f t="shared" si="93"/>
        <v>1</v>
      </c>
      <c r="O868" s="13" t="str">
        <f t="shared" si="94"/>
        <v>ЭТАЖ ЗАДАН ЧИСЛОМ</v>
      </c>
      <c r="P868" s="13" t="str">
        <f t="shared" si="95"/>
        <v>ЭТАЖ ЗАДАН ЧИСЛОМ</v>
      </c>
      <c r="Q868" s="13" t="str">
        <f t="shared" si="96"/>
        <v>ГОТОВ_ИЗМЕНЕН</v>
      </c>
      <c r="R868" s="13">
        <f>IFERROR(VLOOKUP(P868,Лист1!A$1:B$20,2,FALSE),0)</f>
        <v>784</v>
      </c>
      <c r="S868" s="13">
        <f t="shared" si="97"/>
        <v>0</v>
      </c>
    </row>
    <row r="869" spans="1:19" x14ac:dyDescent="0.25">
      <c r="A869" s="24" t="s">
        <v>1982</v>
      </c>
      <c r="B869" s="4" t="s">
        <v>1063</v>
      </c>
      <c r="C869" s="25" t="s">
        <v>5</v>
      </c>
      <c r="G869" s="25" t="s">
        <v>1086</v>
      </c>
      <c r="H869" s="24" t="s">
        <v>1061</v>
      </c>
      <c r="I869" s="3" t="str">
        <f>IFERROR(VLOOKUP(C869,'Справочник соответствий'!A$2:D$2981,2,FALSE),IF(VALUE(C869)=0,1,VLOOKUP(C869,'Справочник соответствий'!A$2:D$2981,2,FALSE)))</f>
        <v>1</v>
      </c>
      <c r="J869" s="3">
        <f>IFERROR(VLOOKUP(D869,'Справочник соответствий'!A$2:D$2981,2,FALSE),IF(VALUE(D869)=0,0,VLOOKUP(D869,'Справочник соответствий'!A$2:D$2981,2,FALSE)))</f>
        <v>0</v>
      </c>
      <c r="K869" s="3" t="str">
        <f t="shared" si="91"/>
        <v>1</v>
      </c>
      <c r="L869" s="13" t="str">
        <f>IFERROR(VLOOKUP(C869,'Справочник соответствий'!A$2:D$2981,3,FALSE),IF(VALUE(C869)=0,"ЭТАЖ НЕ ОПРЕДЕЛЕН. ПРИНЯТ ПО ДОПУЩЕНИЮ 1",VLOOKUP(C869,'Справочник соответствий'!A$2:D$2981,3,FALSE)))</f>
        <v>ЭТАЖ ЗАДАН ЧИСЛОМ</v>
      </c>
      <c r="M869" s="13" t="b">
        <f t="shared" si="92"/>
        <v>0</v>
      </c>
      <c r="N869" s="13">
        <f t="shared" si="93"/>
        <v>1</v>
      </c>
      <c r="O869" s="13" t="str">
        <f t="shared" si="94"/>
        <v>ЭТАЖ ЗАДАН ЧИСЛОМ</v>
      </c>
      <c r="P869" s="13" t="str">
        <f t="shared" si="95"/>
        <v>ЭТАЖ ЗАДАН ЧИСЛОМ</v>
      </c>
      <c r="Q869" s="13" t="str">
        <f t="shared" si="96"/>
        <v>ГОТОВ_ИЗМЕНЕН</v>
      </c>
      <c r="R869" s="13">
        <f>IFERROR(VLOOKUP(P869,Лист1!A$1:B$20,2,FALSE),0)</f>
        <v>784</v>
      </c>
      <c r="S869" s="13">
        <f t="shared" si="97"/>
        <v>0</v>
      </c>
    </row>
    <row r="870" spans="1:19" x14ac:dyDescent="0.25">
      <c r="A870" s="24" t="s">
        <v>1983</v>
      </c>
      <c r="B870" s="4" t="s">
        <v>1059</v>
      </c>
      <c r="C870" s="25" t="s">
        <v>5</v>
      </c>
      <c r="G870" s="25" t="s">
        <v>1077</v>
      </c>
      <c r="H870" s="24" t="s">
        <v>1061</v>
      </c>
      <c r="I870" s="3" t="str">
        <f>IFERROR(VLOOKUP(C870,'Справочник соответствий'!A$2:D$2981,2,FALSE),IF(VALUE(C870)=0,1,VLOOKUP(C870,'Справочник соответствий'!A$2:D$2981,2,FALSE)))</f>
        <v>1</v>
      </c>
      <c r="J870" s="3">
        <f>IFERROR(VLOOKUP(D870,'Справочник соответствий'!A$2:D$2981,2,FALSE),IF(VALUE(D870)=0,0,VLOOKUP(D870,'Справочник соответствий'!A$2:D$2981,2,FALSE)))</f>
        <v>0</v>
      </c>
      <c r="K870" s="3" t="str">
        <f t="shared" si="91"/>
        <v>1</v>
      </c>
      <c r="L870" s="13" t="str">
        <f>IFERROR(VLOOKUP(C870,'Справочник соответствий'!A$2:D$2981,3,FALSE),IF(VALUE(C870)=0,"ЭТАЖ НЕ ОПРЕДЕЛЕН. ПРИНЯТ ПО ДОПУЩЕНИЮ 1",VLOOKUP(C870,'Справочник соответствий'!A$2:D$2981,3,FALSE)))</f>
        <v>ЭТАЖ ЗАДАН ЧИСЛОМ</v>
      </c>
      <c r="M870" s="13" t="b">
        <f t="shared" si="92"/>
        <v>0</v>
      </c>
      <c r="N870" s="13">
        <f t="shared" si="93"/>
        <v>1</v>
      </c>
      <c r="O870" s="13" t="str">
        <f t="shared" si="94"/>
        <v>ЭТАЖ ЗАДАН ЧИСЛОМ</v>
      </c>
      <c r="P870" s="13" t="str">
        <f t="shared" si="95"/>
        <v>ЭТАЖ ЗАДАН ЧИСЛОМ</v>
      </c>
      <c r="Q870" s="13" t="str">
        <f t="shared" si="96"/>
        <v>ГОТОВ_ИЗМЕНЕН</v>
      </c>
      <c r="R870" s="13">
        <f>IFERROR(VLOOKUP(P870,Лист1!A$1:B$20,2,FALSE),0)</f>
        <v>784</v>
      </c>
      <c r="S870" s="13">
        <f t="shared" si="97"/>
        <v>0</v>
      </c>
    </row>
    <row r="871" spans="1:19" x14ac:dyDescent="0.25">
      <c r="A871" s="24" t="s">
        <v>1984</v>
      </c>
      <c r="B871" s="4" t="s">
        <v>1063</v>
      </c>
      <c r="C871" s="25" t="s">
        <v>5</v>
      </c>
      <c r="G871" s="25" t="s">
        <v>1077</v>
      </c>
      <c r="H871" s="24" t="s">
        <v>1061</v>
      </c>
      <c r="I871" s="3" t="str">
        <f>IFERROR(VLOOKUP(C871,'Справочник соответствий'!A$2:D$2981,2,FALSE),IF(VALUE(C871)=0,1,VLOOKUP(C871,'Справочник соответствий'!A$2:D$2981,2,FALSE)))</f>
        <v>1</v>
      </c>
      <c r="J871" s="3">
        <f>IFERROR(VLOOKUP(D871,'Справочник соответствий'!A$2:D$2981,2,FALSE),IF(VALUE(D871)=0,0,VLOOKUP(D871,'Справочник соответствий'!A$2:D$2981,2,FALSE)))</f>
        <v>0</v>
      </c>
      <c r="K871" s="3" t="str">
        <f t="shared" si="91"/>
        <v>1</v>
      </c>
      <c r="L871" s="13" t="str">
        <f>IFERROR(VLOOKUP(C871,'Справочник соответствий'!A$2:D$2981,3,FALSE),IF(VALUE(C871)=0,"ЭТАЖ НЕ ОПРЕДЕЛЕН. ПРИНЯТ ПО ДОПУЩЕНИЮ 1",VLOOKUP(C871,'Справочник соответствий'!A$2:D$2981,3,FALSE)))</f>
        <v>ЭТАЖ ЗАДАН ЧИСЛОМ</v>
      </c>
      <c r="M871" s="13" t="b">
        <f t="shared" si="92"/>
        <v>0</v>
      </c>
      <c r="N871" s="13">
        <f t="shared" si="93"/>
        <v>1</v>
      </c>
      <c r="O871" s="13" t="str">
        <f t="shared" si="94"/>
        <v>ЭТАЖ ЗАДАН ЧИСЛОМ</v>
      </c>
      <c r="P871" s="13" t="str">
        <f t="shared" si="95"/>
        <v>ЭТАЖ ЗАДАН ЧИСЛОМ</v>
      </c>
      <c r="Q871" s="13" t="str">
        <f t="shared" si="96"/>
        <v>ГОТОВ_ИЗМЕНЕН</v>
      </c>
      <c r="R871" s="13">
        <f>IFERROR(VLOOKUP(P871,Лист1!A$1:B$20,2,FALSE),0)</f>
        <v>784</v>
      </c>
      <c r="S871" s="13">
        <f t="shared" si="97"/>
        <v>0</v>
      </c>
    </row>
    <row r="872" spans="1:19" x14ac:dyDescent="0.25">
      <c r="A872" s="24" t="s">
        <v>1985</v>
      </c>
      <c r="B872" s="4" t="s">
        <v>1059</v>
      </c>
      <c r="C872" s="25" t="s">
        <v>7</v>
      </c>
      <c r="G872" s="25" t="s">
        <v>1077</v>
      </c>
      <c r="H872" s="24" t="s">
        <v>1061</v>
      </c>
      <c r="I872" s="3" t="str">
        <f>IFERROR(VLOOKUP(C872,'Справочник соответствий'!A$2:D$2981,2,FALSE),IF(VALUE(C872)=0,1,VLOOKUP(C872,'Справочник соответствий'!A$2:D$2981,2,FALSE)))</f>
        <v>2</v>
      </c>
      <c r="J872" s="3">
        <f>IFERROR(VLOOKUP(D872,'Справочник соответствий'!A$2:D$2981,2,FALSE),IF(VALUE(D872)=0,0,VLOOKUP(D872,'Справочник соответствий'!A$2:D$2981,2,FALSE)))</f>
        <v>0</v>
      </c>
      <c r="K872" s="3" t="str">
        <f t="shared" si="91"/>
        <v>2</v>
      </c>
      <c r="L872" s="13" t="str">
        <f>IFERROR(VLOOKUP(C872,'Справочник соответствий'!A$2:D$2981,3,FALSE),IF(VALUE(C872)=0,"ЭТАЖ НЕ ОПРЕДЕЛЕН. ПРИНЯТ ПО ДОПУЩЕНИЮ 1",VLOOKUP(C872,'Справочник соответствий'!A$2:D$2981,3,FALSE)))</f>
        <v>ЭТАЖ ЗАДАН ЧИСЛОМ</v>
      </c>
      <c r="M872" s="13" t="b">
        <f t="shared" si="92"/>
        <v>0</v>
      </c>
      <c r="N872" s="13">
        <f t="shared" si="93"/>
        <v>2</v>
      </c>
      <c r="O872" s="13" t="str">
        <f t="shared" si="94"/>
        <v>ЭТАЖ ЗАДАН ЧИСЛОМ</v>
      </c>
      <c r="P872" s="13" t="str">
        <f t="shared" si="95"/>
        <v>ЭТАЖ ЗАДАН ЧИСЛОМ</v>
      </c>
      <c r="Q872" s="13" t="str">
        <f t="shared" si="96"/>
        <v>ГОТОВ_ИЗМЕНЕН</v>
      </c>
      <c r="R872" s="13">
        <f>IFERROR(VLOOKUP(P872,Лист1!A$1:B$20,2,FALSE),0)</f>
        <v>784</v>
      </c>
      <c r="S872" s="13">
        <f t="shared" si="97"/>
        <v>0</v>
      </c>
    </row>
    <row r="873" spans="1:19" x14ac:dyDescent="0.25">
      <c r="A873" s="24" t="s">
        <v>1986</v>
      </c>
      <c r="B873" s="4" t="s">
        <v>1059</v>
      </c>
      <c r="C873" s="25" t="s">
        <v>7</v>
      </c>
      <c r="G873" s="25" t="s">
        <v>1077</v>
      </c>
      <c r="H873" s="24" t="s">
        <v>1061</v>
      </c>
      <c r="I873" s="3" t="str">
        <f>IFERROR(VLOOKUP(C873,'Справочник соответствий'!A$2:D$2981,2,FALSE),IF(VALUE(C873)=0,1,VLOOKUP(C873,'Справочник соответствий'!A$2:D$2981,2,FALSE)))</f>
        <v>2</v>
      </c>
      <c r="J873" s="3">
        <f>IFERROR(VLOOKUP(D873,'Справочник соответствий'!A$2:D$2981,2,FALSE),IF(VALUE(D873)=0,0,VLOOKUP(D873,'Справочник соответствий'!A$2:D$2981,2,FALSE)))</f>
        <v>0</v>
      </c>
      <c r="K873" s="3" t="str">
        <f t="shared" si="91"/>
        <v>2</v>
      </c>
      <c r="L873" s="13" t="str">
        <f>IFERROR(VLOOKUP(C873,'Справочник соответствий'!A$2:D$2981,3,FALSE),IF(VALUE(C873)=0,"ЭТАЖ НЕ ОПРЕДЕЛЕН. ПРИНЯТ ПО ДОПУЩЕНИЮ 1",VLOOKUP(C873,'Справочник соответствий'!A$2:D$2981,3,FALSE)))</f>
        <v>ЭТАЖ ЗАДАН ЧИСЛОМ</v>
      </c>
      <c r="M873" s="13" t="b">
        <f t="shared" si="92"/>
        <v>0</v>
      </c>
      <c r="N873" s="13">
        <f t="shared" si="93"/>
        <v>2</v>
      </c>
      <c r="O873" s="13" t="str">
        <f t="shared" si="94"/>
        <v>ЭТАЖ ЗАДАН ЧИСЛОМ</v>
      </c>
      <c r="P873" s="13" t="str">
        <f t="shared" si="95"/>
        <v>ЭТАЖ ЗАДАН ЧИСЛОМ</v>
      </c>
      <c r="Q873" s="13" t="str">
        <f t="shared" si="96"/>
        <v>ГОТОВ_ИЗМЕНЕН</v>
      </c>
      <c r="R873" s="13">
        <f>IFERROR(VLOOKUP(P873,Лист1!A$1:B$20,2,FALSE),0)</f>
        <v>784</v>
      </c>
      <c r="S873" s="13">
        <f t="shared" si="97"/>
        <v>0</v>
      </c>
    </row>
    <row r="874" spans="1:19" x14ac:dyDescent="0.25">
      <c r="A874" s="24" t="s">
        <v>1987</v>
      </c>
      <c r="B874" s="4" t="s">
        <v>1063</v>
      </c>
      <c r="C874" s="25" t="s">
        <v>5</v>
      </c>
      <c r="G874" s="25" t="s">
        <v>1080</v>
      </c>
      <c r="H874" s="24" t="s">
        <v>1061</v>
      </c>
      <c r="I874" s="3" t="str">
        <f>IFERROR(VLOOKUP(C874,'Справочник соответствий'!A$2:D$2981,2,FALSE),IF(VALUE(C874)=0,1,VLOOKUP(C874,'Справочник соответствий'!A$2:D$2981,2,FALSE)))</f>
        <v>1</v>
      </c>
      <c r="J874" s="3">
        <f>IFERROR(VLOOKUP(D874,'Справочник соответствий'!A$2:D$2981,2,FALSE),IF(VALUE(D874)=0,0,VLOOKUP(D874,'Справочник соответствий'!A$2:D$2981,2,FALSE)))</f>
        <v>0</v>
      </c>
      <c r="K874" s="3" t="str">
        <f t="shared" si="91"/>
        <v>1</v>
      </c>
      <c r="L874" s="13" t="str">
        <f>IFERROR(VLOOKUP(C874,'Справочник соответствий'!A$2:D$2981,3,FALSE),IF(VALUE(C874)=0,"ЭТАЖ НЕ ОПРЕДЕЛЕН. ПРИНЯТ ПО ДОПУЩЕНИЮ 1",VLOOKUP(C874,'Справочник соответствий'!A$2:D$2981,3,FALSE)))</f>
        <v>ЭТАЖ ЗАДАН ЧИСЛОМ</v>
      </c>
      <c r="M874" s="13" t="b">
        <f t="shared" si="92"/>
        <v>0</v>
      </c>
      <c r="N874" s="13">
        <f t="shared" si="93"/>
        <v>1</v>
      </c>
      <c r="O874" s="13" t="str">
        <f t="shared" si="94"/>
        <v>ЭТАЖ ЗАДАН ЧИСЛОМ</v>
      </c>
      <c r="P874" s="13" t="str">
        <f t="shared" si="95"/>
        <v>ЭТАЖ ЗАДАН ЧИСЛОМ</v>
      </c>
      <c r="Q874" s="13" t="str">
        <f t="shared" si="96"/>
        <v>ГОТОВ_ИЗМЕНЕН</v>
      </c>
      <c r="R874" s="13">
        <f>IFERROR(VLOOKUP(P874,Лист1!A$1:B$20,2,FALSE),0)</f>
        <v>784</v>
      </c>
      <c r="S874" s="13">
        <f t="shared" si="97"/>
        <v>0</v>
      </c>
    </row>
    <row r="875" spans="1:19" x14ac:dyDescent="0.25">
      <c r="A875" s="24" t="s">
        <v>1988</v>
      </c>
      <c r="B875" s="4" t="s">
        <v>1059</v>
      </c>
      <c r="C875" s="25" t="s">
        <v>5</v>
      </c>
      <c r="G875" s="25" t="s">
        <v>1080</v>
      </c>
      <c r="H875" s="24" t="s">
        <v>1061</v>
      </c>
      <c r="I875" s="3" t="str">
        <f>IFERROR(VLOOKUP(C875,'Справочник соответствий'!A$2:D$2981,2,FALSE),IF(VALUE(C875)=0,1,VLOOKUP(C875,'Справочник соответствий'!A$2:D$2981,2,FALSE)))</f>
        <v>1</v>
      </c>
      <c r="J875" s="3">
        <f>IFERROR(VLOOKUP(D875,'Справочник соответствий'!A$2:D$2981,2,FALSE),IF(VALUE(D875)=0,0,VLOOKUP(D875,'Справочник соответствий'!A$2:D$2981,2,FALSE)))</f>
        <v>0</v>
      </c>
      <c r="K875" s="3" t="str">
        <f t="shared" si="91"/>
        <v>1</v>
      </c>
      <c r="L875" s="13" t="str">
        <f>IFERROR(VLOOKUP(C875,'Справочник соответствий'!A$2:D$2981,3,FALSE),IF(VALUE(C875)=0,"ЭТАЖ НЕ ОПРЕДЕЛЕН. ПРИНЯТ ПО ДОПУЩЕНИЮ 1",VLOOKUP(C875,'Справочник соответствий'!A$2:D$2981,3,FALSE)))</f>
        <v>ЭТАЖ ЗАДАН ЧИСЛОМ</v>
      </c>
      <c r="M875" s="13" t="b">
        <f t="shared" si="92"/>
        <v>0</v>
      </c>
      <c r="N875" s="13">
        <f t="shared" si="93"/>
        <v>1</v>
      </c>
      <c r="O875" s="13" t="str">
        <f t="shared" si="94"/>
        <v>ЭТАЖ ЗАДАН ЧИСЛОМ</v>
      </c>
      <c r="P875" s="13" t="str">
        <f t="shared" si="95"/>
        <v>ЭТАЖ ЗАДАН ЧИСЛОМ</v>
      </c>
      <c r="Q875" s="13" t="str">
        <f t="shared" si="96"/>
        <v>ГОТОВ_ИЗМЕНЕН</v>
      </c>
      <c r="R875" s="13">
        <f>IFERROR(VLOOKUP(P875,Лист1!A$1:B$20,2,FALSE),0)</f>
        <v>784</v>
      </c>
      <c r="S875" s="13">
        <f t="shared" si="97"/>
        <v>0</v>
      </c>
    </row>
    <row r="876" spans="1:19" x14ac:dyDescent="0.25">
      <c r="A876" s="24" t="s">
        <v>1989</v>
      </c>
      <c r="B876" s="4" t="s">
        <v>1059</v>
      </c>
      <c r="C876" s="25" t="s">
        <v>7</v>
      </c>
      <c r="G876" s="25" t="s">
        <v>1080</v>
      </c>
      <c r="H876" s="24" t="s">
        <v>1061</v>
      </c>
      <c r="I876" s="3" t="str">
        <f>IFERROR(VLOOKUP(C876,'Справочник соответствий'!A$2:D$2981,2,FALSE),IF(VALUE(C876)=0,1,VLOOKUP(C876,'Справочник соответствий'!A$2:D$2981,2,FALSE)))</f>
        <v>2</v>
      </c>
      <c r="J876" s="3">
        <f>IFERROR(VLOOKUP(D876,'Справочник соответствий'!A$2:D$2981,2,FALSE),IF(VALUE(D876)=0,0,VLOOKUP(D876,'Справочник соответствий'!A$2:D$2981,2,FALSE)))</f>
        <v>0</v>
      </c>
      <c r="K876" s="3" t="str">
        <f t="shared" si="91"/>
        <v>2</v>
      </c>
      <c r="L876" s="13" t="str">
        <f>IFERROR(VLOOKUP(C876,'Справочник соответствий'!A$2:D$2981,3,FALSE),IF(VALUE(C876)=0,"ЭТАЖ НЕ ОПРЕДЕЛЕН. ПРИНЯТ ПО ДОПУЩЕНИЮ 1",VLOOKUP(C876,'Справочник соответствий'!A$2:D$2981,3,FALSE)))</f>
        <v>ЭТАЖ ЗАДАН ЧИСЛОМ</v>
      </c>
      <c r="M876" s="13" t="b">
        <f t="shared" si="92"/>
        <v>0</v>
      </c>
      <c r="N876" s="13">
        <f t="shared" si="93"/>
        <v>2</v>
      </c>
      <c r="O876" s="13" t="str">
        <f t="shared" si="94"/>
        <v>ЭТАЖ ЗАДАН ЧИСЛОМ</v>
      </c>
      <c r="P876" s="13" t="str">
        <f t="shared" si="95"/>
        <v>ЭТАЖ ЗАДАН ЧИСЛОМ</v>
      </c>
      <c r="Q876" s="13" t="str">
        <f t="shared" si="96"/>
        <v>ГОТОВ_ИЗМЕНЕН</v>
      </c>
      <c r="R876" s="13">
        <f>IFERROR(VLOOKUP(P876,Лист1!A$1:B$20,2,FALSE),0)</f>
        <v>784</v>
      </c>
      <c r="S876" s="13">
        <f t="shared" si="97"/>
        <v>0</v>
      </c>
    </row>
    <row r="877" spans="1:19" x14ac:dyDescent="0.25">
      <c r="A877" s="24" t="s">
        <v>1990</v>
      </c>
      <c r="B877" s="4" t="s">
        <v>1059</v>
      </c>
      <c r="C877" s="25" t="s">
        <v>7</v>
      </c>
      <c r="G877" s="25" t="s">
        <v>1080</v>
      </c>
      <c r="H877" s="24" t="s">
        <v>1061</v>
      </c>
      <c r="I877" s="3" t="str">
        <f>IFERROR(VLOOKUP(C877,'Справочник соответствий'!A$2:D$2981,2,FALSE),IF(VALUE(C877)=0,1,VLOOKUP(C877,'Справочник соответствий'!A$2:D$2981,2,FALSE)))</f>
        <v>2</v>
      </c>
      <c r="J877" s="3">
        <f>IFERROR(VLOOKUP(D877,'Справочник соответствий'!A$2:D$2981,2,FALSE),IF(VALUE(D877)=0,0,VLOOKUP(D877,'Справочник соответствий'!A$2:D$2981,2,FALSE)))</f>
        <v>0</v>
      </c>
      <c r="K877" s="3" t="str">
        <f t="shared" si="91"/>
        <v>2</v>
      </c>
      <c r="L877" s="13" t="str">
        <f>IFERROR(VLOOKUP(C877,'Справочник соответствий'!A$2:D$2981,3,FALSE),IF(VALUE(C877)=0,"ЭТАЖ НЕ ОПРЕДЕЛЕН. ПРИНЯТ ПО ДОПУЩЕНИЮ 1",VLOOKUP(C877,'Справочник соответствий'!A$2:D$2981,3,FALSE)))</f>
        <v>ЭТАЖ ЗАДАН ЧИСЛОМ</v>
      </c>
      <c r="M877" s="13" t="b">
        <f t="shared" si="92"/>
        <v>0</v>
      </c>
      <c r="N877" s="13">
        <f t="shared" si="93"/>
        <v>2</v>
      </c>
      <c r="O877" s="13" t="str">
        <f t="shared" si="94"/>
        <v>ЭТАЖ ЗАДАН ЧИСЛОМ</v>
      </c>
      <c r="P877" s="13" t="str">
        <f t="shared" si="95"/>
        <v>ЭТАЖ ЗАДАН ЧИСЛОМ</v>
      </c>
      <c r="Q877" s="13" t="str">
        <f t="shared" si="96"/>
        <v>ГОТОВ_ИЗМЕНЕН</v>
      </c>
      <c r="R877" s="13">
        <f>IFERROR(VLOOKUP(P877,Лист1!A$1:B$20,2,FALSE),0)</f>
        <v>784</v>
      </c>
      <c r="S877" s="13">
        <f t="shared" si="97"/>
        <v>0</v>
      </c>
    </row>
    <row r="878" spans="1:19" x14ac:dyDescent="0.25">
      <c r="A878" s="24" t="s">
        <v>1991</v>
      </c>
      <c r="B878" s="4" t="s">
        <v>1059</v>
      </c>
      <c r="C878" s="25" t="s">
        <v>8</v>
      </c>
      <c r="D878" s="25" t="s">
        <v>5</v>
      </c>
      <c r="G878" s="25" t="s">
        <v>1080</v>
      </c>
      <c r="H878" s="24" t="s">
        <v>1061</v>
      </c>
      <c r="I878" s="3" t="str">
        <f>IFERROR(VLOOKUP(C878,'Справочник соответствий'!A$2:D$2981,2,FALSE),IF(VALUE(C878)=0,1,VLOOKUP(C878,'Справочник соответствий'!A$2:D$2981,2,FALSE)))</f>
        <v>3</v>
      </c>
      <c r="J878" s="3" t="str">
        <f>IFERROR(VLOOKUP(D878,'Справочник соответствий'!A$2:D$2981,2,FALSE),IF(VALUE(D878)=0,0,VLOOKUP(D878,'Справочник соответствий'!A$2:D$2981,2,FALSE)))</f>
        <v>1</v>
      </c>
      <c r="K878" s="3" t="str">
        <f t="shared" si="91"/>
        <v>3</v>
      </c>
      <c r="L878" s="13" t="str">
        <f>IFERROR(VLOOKUP(C878,'Справочник соответствий'!A$2:D$2981,3,FALSE),IF(VALUE(C878)=0,"ЭТАЖ НЕ ОПРЕДЕЛЕН. ПРИНЯТ ПО ДОПУЩЕНИЮ 1",VLOOKUP(C878,'Справочник соответствий'!A$2:D$2981,3,FALSE)))</f>
        <v>ЭТАЖ ЗАДАН ЧИСЛОМ</v>
      </c>
      <c r="M878" s="13" t="b">
        <f t="shared" si="92"/>
        <v>0</v>
      </c>
      <c r="N878" s="13">
        <f t="shared" si="93"/>
        <v>3</v>
      </c>
      <c r="O878" s="13" t="str">
        <f t="shared" si="94"/>
        <v>ЭТАЖ ЗАДАН ЧИСЛОМ</v>
      </c>
      <c r="P878" s="13" t="str">
        <f t="shared" si="95"/>
        <v>ЭТАЖ ЗАДАН ЧИСЛОМ</v>
      </c>
      <c r="Q878" s="13" t="str">
        <f t="shared" si="96"/>
        <v>ГОТОВ_ИЗМЕНЕН</v>
      </c>
      <c r="R878" s="13">
        <f>IFERROR(VLOOKUP(P878,Лист1!A$1:B$20,2,FALSE),0)</f>
        <v>784</v>
      </c>
      <c r="S878" s="13">
        <f t="shared" si="97"/>
        <v>0</v>
      </c>
    </row>
    <row r="879" spans="1:19" x14ac:dyDescent="0.25">
      <c r="A879" s="24" t="s">
        <v>1992</v>
      </c>
      <c r="B879" s="4" t="s">
        <v>1059</v>
      </c>
      <c r="C879" s="25" t="s">
        <v>5</v>
      </c>
      <c r="G879" s="25" t="s">
        <v>1077</v>
      </c>
      <c r="H879" s="24" t="s">
        <v>1061</v>
      </c>
      <c r="I879" s="3" t="str">
        <f>IFERROR(VLOOKUP(C879,'Справочник соответствий'!A$2:D$2981,2,FALSE),IF(VALUE(C879)=0,1,VLOOKUP(C879,'Справочник соответствий'!A$2:D$2981,2,FALSE)))</f>
        <v>1</v>
      </c>
      <c r="J879" s="3">
        <f>IFERROR(VLOOKUP(D879,'Справочник соответствий'!A$2:D$2981,2,FALSE),IF(VALUE(D879)=0,0,VLOOKUP(D879,'Справочник соответствий'!A$2:D$2981,2,FALSE)))</f>
        <v>0</v>
      </c>
      <c r="K879" s="3" t="str">
        <f t="shared" si="91"/>
        <v>1</v>
      </c>
      <c r="L879" s="13" t="str">
        <f>IFERROR(VLOOKUP(C879,'Справочник соответствий'!A$2:D$2981,3,FALSE),IF(VALUE(C879)=0,"ЭТАЖ НЕ ОПРЕДЕЛЕН. ПРИНЯТ ПО ДОПУЩЕНИЮ 1",VLOOKUP(C879,'Справочник соответствий'!A$2:D$2981,3,FALSE)))</f>
        <v>ЭТАЖ ЗАДАН ЧИСЛОМ</v>
      </c>
      <c r="M879" s="13" t="b">
        <f t="shared" si="92"/>
        <v>0</v>
      </c>
      <c r="N879" s="13">
        <f t="shared" si="93"/>
        <v>1</v>
      </c>
      <c r="O879" s="13" t="str">
        <f t="shared" si="94"/>
        <v>ЭТАЖ ЗАДАН ЧИСЛОМ</v>
      </c>
      <c r="P879" s="13" t="str">
        <f t="shared" si="95"/>
        <v>ЭТАЖ ЗАДАН ЧИСЛОМ</v>
      </c>
      <c r="Q879" s="13" t="str">
        <f t="shared" si="96"/>
        <v>ГОТОВ_ИЗМЕНЕН</v>
      </c>
      <c r="R879" s="13">
        <f>IFERROR(VLOOKUP(P879,Лист1!A$1:B$20,2,FALSE),0)</f>
        <v>784</v>
      </c>
      <c r="S879" s="13">
        <f t="shared" si="97"/>
        <v>0</v>
      </c>
    </row>
    <row r="880" spans="1:19" x14ac:dyDescent="0.25">
      <c r="A880" s="24" t="s">
        <v>1993</v>
      </c>
      <c r="B880" s="4" t="s">
        <v>1059</v>
      </c>
      <c r="C880" s="25" t="s">
        <v>5</v>
      </c>
      <c r="G880" s="25" t="s">
        <v>1391</v>
      </c>
      <c r="H880" s="24" t="s">
        <v>1061</v>
      </c>
      <c r="I880" s="3" t="str">
        <f>IFERROR(VLOOKUP(C880,'Справочник соответствий'!A$2:D$2981,2,FALSE),IF(VALUE(C880)=0,1,VLOOKUP(C880,'Справочник соответствий'!A$2:D$2981,2,FALSE)))</f>
        <v>1</v>
      </c>
      <c r="J880" s="3">
        <f>IFERROR(VLOOKUP(D880,'Справочник соответствий'!A$2:D$2981,2,FALSE),IF(VALUE(D880)=0,0,VLOOKUP(D880,'Справочник соответствий'!A$2:D$2981,2,FALSE)))</f>
        <v>0</v>
      </c>
      <c r="K880" s="3" t="str">
        <f t="shared" si="91"/>
        <v>1</v>
      </c>
      <c r="L880" s="13" t="str">
        <f>IFERROR(VLOOKUP(C880,'Справочник соответствий'!A$2:D$2981,3,FALSE),IF(VALUE(C880)=0,"ЭТАЖ НЕ ОПРЕДЕЛЕН. ПРИНЯТ ПО ДОПУЩЕНИЮ 1",VLOOKUP(C880,'Справочник соответствий'!A$2:D$2981,3,FALSE)))</f>
        <v>ЭТАЖ ЗАДАН ЧИСЛОМ</v>
      </c>
      <c r="M880" s="13" t="b">
        <f t="shared" si="92"/>
        <v>0</v>
      </c>
      <c r="N880" s="13">
        <f t="shared" si="93"/>
        <v>1</v>
      </c>
      <c r="O880" s="13" t="str">
        <f t="shared" si="94"/>
        <v>ЭТАЖ ЗАДАН ЧИСЛОМ</v>
      </c>
      <c r="P880" s="13" t="str">
        <f t="shared" si="95"/>
        <v>ЭТАЖ ЗАДАН ЧИСЛОМ</v>
      </c>
      <c r="Q880" s="13" t="str">
        <f t="shared" si="96"/>
        <v>ГОТОВ_ИЗМЕНЕН</v>
      </c>
      <c r="R880" s="13">
        <f>IFERROR(VLOOKUP(P880,Лист1!A$1:B$20,2,FALSE),0)</f>
        <v>784</v>
      </c>
      <c r="S880" s="13">
        <f t="shared" si="97"/>
        <v>0</v>
      </c>
    </row>
    <row r="881" spans="1:19" x14ac:dyDescent="0.25">
      <c r="A881" s="24" t="s">
        <v>1994</v>
      </c>
      <c r="B881" s="4" t="s">
        <v>1063</v>
      </c>
      <c r="C881" s="25" t="s">
        <v>5</v>
      </c>
      <c r="G881" s="25" t="s">
        <v>1077</v>
      </c>
      <c r="H881" s="24" t="s">
        <v>1061</v>
      </c>
      <c r="I881" s="3" t="str">
        <f>IFERROR(VLOOKUP(C881,'Справочник соответствий'!A$2:D$2981,2,FALSE),IF(VALUE(C881)=0,1,VLOOKUP(C881,'Справочник соответствий'!A$2:D$2981,2,FALSE)))</f>
        <v>1</v>
      </c>
      <c r="J881" s="3">
        <f>IFERROR(VLOOKUP(D881,'Справочник соответствий'!A$2:D$2981,2,FALSE),IF(VALUE(D881)=0,0,VLOOKUP(D881,'Справочник соответствий'!A$2:D$2981,2,FALSE)))</f>
        <v>0</v>
      </c>
      <c r="K881" s="3" t="str">
        <f t="shared" si="91"/>
        <v>1</v>
      </c>
      <c r="L881" s="13" t="str">
        <f>IFERROR(VLOOKUP(C881,'Справочник соответствий'!A$2:D$2981,3,FALSE),IF(VALUE(C881)=0,"ЭТАЖ НЕ ОПРЕДЕЛЕН. ПРИНЯТ ПО ДОПУЩЕНИЮ 1",VLOOKUP(C881,'Справочник соответствий'!A$2:D$2981,3,FALSE)))</f>
        <v>ЭТАЖ ЗАДАН ЧИСЛОМ</v>
      </c>
      <c r="M881" s="13" t="b">
        <f t="shared" si="92"/>
        <v>0</v>
      </c>
      <c r="N881" s="13">
        <f t="shared" si="93"/>
        <v>1</v>
      </c>
      <c r="O881" s="13" t="str">
        <f t="shared" si="94"/>
        <v>ЭТАЖ ЗАДАН ЧИСЛОМ</v>
      </c>
      <c r="P881" s="13" t="str">
        <f t="shared" si="95"/>
        <v>ЭТАЖ ЗАДАН ЧИСЛОМ</v>
      </c>
      <c r="Q881" s="13" t="str">
        <f t="shared" si="96"/>
        <v>ГОТОВ_ИЗМЕНЕН</v>
      </c>
      <c r="R881" s="13">
        <f>IFERROR(VLOOKUP(P881,Лист1!A$1:B$20,2,FALSE),0)</f>
        <v>784</v>
      </c>
      <c r="S881" s="13">
        <f t="shared" si="97"/>
        <v>0</v>
      </c>
    </row>
    <row r="882" spans="1:19" x14ac:dyDescent="0.25">
      <c r="A882" s="24" t="s">
        <v>1995</v>
      </c>
      <c r="B882" s="4" t="s">
        <v>1996</v>
      </c>
      <c r="C882" s="25" t="s">
        <v>5</v>
      </c>
      <c r="G882" s="25" t="s">
        <v>1077</v>
      </c>
      <c r="H882" s="24" t="s">
        <v>1061</v>
      </c>
      <c r="I882" s="3" t="str">
        <f>IFERROR(VLOOKUP(C882,'Справочник соответствий'!A$2:D$2981,2,FALSE),IF(VALUE(C882)=0,1,VLOOKUP(C882,'Справочник соответствий'!A$2:D$2981,2,FALSE)))</f>
        <v>1</v>
      </c>
      <c r="J882" s="3">
        <f>IFERROR(VLOOKUP(D882,'Справочник соответствий'!A$2:D$2981,2,FALSE),IF(VALUE(D882)=0,0,VLOOKUP(D882,'Справочник соответствий'!A$2:D$2981,2,FALSE)))</f>
        <v>0</v>
      </c>
      <c r="K882" s="3" t="str">
        <f t="shared" si="91"/>
        <v>1</v>
      </c>
      <c r="L882" s="13" t="str">
        <f>IFERROR(VLOOKUP(C882,'Справочник соответствий'!A$2:D$2981,3,FALSE),IF(VALUE(C882)=0,"ЭТАЖ НЕ ОПРЕДЕЛЕН. ПРИНЯТ ПО ДОПУЩЕНИЮ 1",VLOOKUP(C882,'Справочник соответствий'!A$2:D$2981,3,FALSE)))</f>
        <v>ЭТАЖ ЗАДАН ЧИСЛОМ</v>
      </c>
      <c r="M882" s="13" t="b">
        <f t="shared" si="92"/>
        <v>0</v>
      </c>
      <c r="N882" s="13">
        <f t="shared" si="93"/>
        <v>1</v>
      </c>
      <c r="O882" s="13" t="str">
        <f t="shared" si="94"/>
        <v>ЭТАЖ ЗАДАН ЧИСЛОМ</v>
      </c>
      <c r="P882" s="13" t="str">
        <f t="shared" si="95"/>
        <v>ЭТАЖ ЗАДАН ЧИСЛОМ</v>
      </c>
      <c r="Q882" s="13" t="str">
        <f t="shared" si="96"/>
        <v>ГОТОВ_ИЗМЕНЕН</v>
      </c>
      <c r="R882" s="13">
        <f>IFERROR(VLOOKUP(P882,Лист1!A$1:B$20,2,FALSE),0)</f>
        <v>784</v>
      </c>
      <c r="S882" s="13">
        <f t="shared" si="97"/>
        <v>0</v>
      </c>
    </row>
    <row r="883" spans="1:19" x14ac:dyDescent="0.25">
      <c r="A883" s="24" t="s">
        <v>1997</v>
      </c>
      <c r="B883" s="4" t="s">
        <v>1059</v>
      </c>
      <c r="C883" s="25" t="s">
        <v>7</v>
      </c>
      <c r="G883" s="25" t="s">
        <v>1150</v>
      </c>
      <c r="H883" s="24" t="s">
        <v>1061</v>
      </c>
      <c r="I883" s="3" t="str">
        <f>IFERROR(VLOOKUP(C883,'Справочник соответствий'!A$2:D$2981,2,FALSE),IF(VALUE(C883)=0,1,VLOOKUP(C883,'Справочник соответствий'!A$2:D$2981,2,FALSE)))</f>
        <v>2</v>
      </c>
      <c r="J883" s="3">
        <f>IFERROR(VLOOKUP(D883,'Справочник соответствий'!A$2:D$2981,2,FALSE),IF(VALUE(D883)=0,0,VLOOKUP(D883,'Справочник соответствий'!A$2:D$2981,2,FALSE)))</f>
        <v>0</v>
      </c>
      <c r="K883" s="3" t="str">
        <f t="shared" si="91"/>
        <v>2</v>
      </c>
      <c r="L883" s="13" t="str">
        <f>IFERROR(VLOOKUP(C883,'Справочник соответствий'!A$2:D$2981,3,FALSE),IF(VALUE(C883)=0,"ЭТАЖ НЕ ОПРЕДЕЛЕН. ПРИНЯТ ПО ДОПУЩЕНИЮ 1",VLOOKUP(C883,'Справочник соответствий'!A$2:D$2981,3,FALSE)))</f>
        <v>ЭТАЖ ЗАДАН ЧИСЛОМ</v>
      </c>
      <c r="M883" s="13" t="b">
        <f t="shared" si="92"/>
        <v>0</v>
      </c>
      <c r="N883" s="13">
        <f t="shared" si="93"/>
        <v>2</v>
      </c>
      <c r="O883" s="13" t="str">
        <f t="shared" si="94"/>
        <v>ЭТАЖ ЗАДАН ЧИСЛОМ</v>
      </c>
      <c r="P883" s="13" t="str">
        <f t="shared" si="95"/>
        <v>ЭТАЖ ЗАДАН ЧИСЛОМ</v>
      </c>
      <c r="Q883" s="13" t="str">
        <f t="shared" si="96"/>
        <v>ГОТОВ_ИЗМЕНЕН</v>
      </c>
      <c r="R883" s="13">
        <f>IFERROR(VLOOKUP(P883,Лист1!A$1:B$20,2,FALSE),0)</f>
        <v>784</v>
      </c>
      <c r="S883" s="13">
        <f t="shared" si="97"/>
        <v>0</v>
      </c>
    </row>
    <row r="884" spans="1:19" x14ac:dyDescent="0.25">
      <c r="A884" s="24" t="s">
        <v>1998</v>
      </c>
      <c r="B884" s="4" t="s">
        <v>1063</v>
      </c>
      <c r="C884" s="25" t="s">
        <v>5</v>
      </c>
      <c r="G884" s="25" t="s">
        <v>1086</v>
      </c>
      <c r="H884" s="24" t="s">
        <v>1061</v>
      </c>
      <c r="I884" s="3" t="str">
        <f>IFERROR(VLOOKUP(C884,'Справочник соответствий'!A$2:D$2981,2,FALSE),IF(VALUE(C884)=0,1,VLOOKUP(C884,'Справочник соответствий'!A$2:D$2981,2,FALSE)))</f>
        <v>1</v>
      </c>
      <c r="J884" s="3">
        <f>IFERROR(VLOOKUP(D884,'Справочник соответствий'!A$2:D$2981,2,FALSE),IF(VALUE(D884)=0,0,VLOOKUP(D884,'Справочник соответствий'!A$2:D$2981,2,FALSE)))</f>
        <v>0</v>
      </c>
      <c r="K884" s="3" t="str">
        <f t="shared" si="91"/>
        <v>1</v>
      </c>
      <c r="L884" s="13" t="str">
        <f>IFERROR(VLOOKUP(C884,'Справочник соответствий'!A$2:D$2981,3,FALSE),IF(VALUE(C884)=0,"ЭТАЖ НЕ ОПРЕДЕЛЕН. ПРИНЯТ ПО ДОПУЩЕНИЮ 1",VLOOKUP(C884,'Справочник соответствий'!A$2:D$2981,3,FALSE)))</f>
        <v>ЭТАЖ ЗАДАН ЧИСЛОМ</v>
      </c>
      <c r="M884" s="13" t="b">
        <f t="shared" si="92"/>
        <v>0</v>
      </c>
      <c r="N884" s="13">
        <f t="shared" si="93"/>
        <v>1</v>
      </c>
      <c r="O884" s="13" t="str">
        <f t="shared" si="94"/>
        <v>ЭТАЖ ЗАДАН ЧИСЛОМ</v>
      </c>
      <c r="P884" s="13" t="str">
        <f t="shared" si="95"/>
        <v>ЭТАЖ ЗАДАН ЧИСЛОМ</v>
      </c>
      <c r="Q884" s="13" t="str">
        <f t="shared" si="96"/>
        <v>ГОТОВ_ИЗМЕНЕН</v>
      </c>
      <c r="R884" s="13">
        <f>IFERROR(VLOOKUP(P884,Лист1!A$1:B$20,2,FALSE),0)</f>
        <v>784</v>
      </c>
      <c r="S884" s="13">
        <f t="shared" si="97"/>
        <v>0</v>
      </c>
    </row>
    <row r="885" spans="1:19" x14ac:dyDescent="0.25">
      <c r="A885" s="24" t="s">
        <v>1999</v>
      </c>
      <c r="B885" s="4" t="s">
        <v>1059</v>
      </c>
      <c r="C885" s="25" t="s">
        <v>5</v>
      </c>
      <c r="G885" s="25" t="s">
        <v>1086</v>
      </c>
      <c r="H885" s="24" t="s">
        <v>1061</v>
      </c>
      <c r="I885" s="3" t="str">
        <f>IFERROR(VLOOKUP(C885,'Справочник соответствий'!A$2:D$2981,2,FALSE),IF(VALUE(C885)=0,1,VLOOKUP(C885,'Справочник соответствий'!A$2:D$2981,2,FALSE)))</f>
        <v>1</v>
      </c>
      <c r="J885" s="3">
        <f>IFERROR(VLOOKUP(D885,'Справочник соответствий'!A$2:D$2981,2,FALSE),IF(VALUE(D885)=0,0,VLOOKUP(D885,'Справочник соответствий'!A$2:D$2981,2,FALSE)))</f>
        <v>0</v>
      </c>
      <c r="K885" s="3" t="str">
        <f t="shared" si="91"/>
        <v>1</v>
      </c>
      <c r="L885" s="13" t="str">
        <f>IFERROR(VLOOKUP(C885,'Справочник соответствий'!A$2:D$2981,3,FALSE),IF(VALUE(C885)=0,"ЭТАЖ НЕ ОПРЕДЕЛЕН. ПРИНЯТ ПО ДОПУЩЕНИЮ 1",VLOOKUP(C885,'Справочник соответствий'!A$2:D$2981,3,FALSE)))</f>
        <v>ЭТАЖ ЗАДАН ЧИСЛОМ</v>
      </c>
      <c r="M885" s="13" t="b">
        <f t="shared" si="92"/>
        <v>0</v>
      </c>
      <c r="N885" s="13">
        <f t="shared" si="93"/>
        <v>1</v>
      </c>
      <c r="O885" s="13" t="str">
        <f t="shared" si="94"/>
        <v>ЭТАЖ ЗАДАН ЧИСЛОМ</v>
      </c>
      <c r="P885" s="13" t="str">
        <f t="shared" si="95"/>
        <v>ЭТАЖ ЗАДАН ЧИСЛОМ</v>
      </c>
      <c r="Q885" s="13" t="str">
        <f t="shared" si="96"/>
        <v>ГОТОВ_ИЗМЕНЕН</v>
      </c>
      <c r="R885" s="13">
        <f>IFERROR(VLOOKUP(P885,Лист1!A$1:B$20,2,FALSE),0)</f>
        <v>784</v>
      </c>
      <c r="S885" s="13">
        <f t="shared" si="97"/>
        <v>0</v>
      </c>
    </row>
    <row r="886" spans="1:19" x14ac:dyDescent="0.25">
      <c r="A886" s="24" t="s">
        <v>2000</v>
      </c>
      <c r="B886" s="4" t="s">
        <v>1063</v>
      </c>
      <c r="C886" s="25" t="s">
        <v>7</v>
      </c>
      <c r="G886" s="25" t="s">
        <v>1086</v>
      </c>
      <c r="H886" s="24" t="s">
        <v>1061</v>
      </c>
      <c r="I886" s="3" t="str">
        <f>IFERROR(VLOOKUP(C886,'Справочник соответствий'!A$2:D$2981,2,FALSE),IF(VALUE(C886)=0,1,VLOOKUP(C886,'Справочник соответствий'!A$2:D$2981,2,FALSE)))</f>
        <v>2</v>
      </c>
      <c r="J886" s="3">
        <f>IFERROR(VLOOKUP(D886,'Справочник соответствий'!A$2:D$2981,2,FALSE),IF(VALUE(D886)=0,0,VLOOKUP(D886,'Справочник соответствий'!A$2:D$2981,2,FALSE)))</f>
        <v>0</v>
      </c>
      <c r="K886" s="3" t="str">
        <f t="shared" si="91"/>
        <v>2</v>
      </c>
      <c r="L886" s="13" t="str">
        <f>IFERROR(VLOOKUP(C886,'Справочник соответствий'!A$2:D$2981,3,FALSE),IF(VALUE(C886)=0,"ЭТАЖ НЕ ОПРЕДЕЛЕН. ПРИНЯТ ПО ДОПУЩЕНИЮ 1",VLOOKUP(C886,'Справочник соответствий'!A$2:D$2981,3,FALSE)))</f>
        <v>ЭТАЖ ЗАДАН ЧИСЛОМ</v>
      </c>
      <c r="M886" s="13" t="b">
        <f t="shared" si="92"/>
        <v>0</v>
      </c>
      <c r="N886" s="13">
        <f t="shared" si="93"/>
        <v>2</v>
      </c>
      <c r="O886" s="13" t="str">
        <f t="shared" si="94"/>
        <v>ЭТАЖ ЗАДАН ЧИСЛОМ</v>
      </c>
      <c r="P886" s="13" t="str">
        <f t="shared" si="95"/>
        <v>ЭТАЖ ЗАДАН ЧИСЛОМ</v>
      </c>
      <c r="Q886" s="13" t="str">
        <f t="shared" si="96"/>
        <v>ГОТОВ_ИЗМЕНЕН</v>
      </c>
      <c r="R886" s="13">
        <f>IFERROR(VLOOKUP(P886,Лист1!A$1:B$20,2,FALSE),0)</f>
        <v>784</v>
      </c>
      <c r="S886" s="13">
        <f t="shared" si="97"/>
        <v>0</v>
      </c>
    </row>
    <row r="887" spans="1:19" x14ac:dyDescent="0.25">
      <c r="A887" s="24" t="s">
        <v>2001</v>
      </c>
      <c r="B887" s="4" t="s">
        <v>1059</v>
      </c>
      <c r="C887" s="25" t="s">
        <v>7</v>
      </c>
      <c r="G887" s="25" t="s">
        <v>1150</v>
      </c>
      <c r="H887" s="24" t="s">
        <v>1061</v>
      </c>
      <c r="I887" s="3" t="str">
        <f>IFERROR(VLOOKUP(C887,'Справочник соответствий'!A$2:D$2981,2,FALSE),IF(VALUE(C887)=0,1,VLOOKUP(C887,'Справочник соответствий'!A$2:D$2981,2,FALSE)))</f>
        <v>2</v>
      </c>
      <c r="J887" s="3">
        <f>IFERROR(VLOOKUP(D887,'Справочник соответствий'!A$2:D$2981,2,FALSE),IF(VALUE(D887)=0,0,VLOOKUP(D887,'Справочник соответствий'!A$2:D$2981,2,FALSE)))</f>
        <v>0</v>
      </c>
      <c r="K887" s="3" t="str">
        <f t="shared" si="91"/>
        <v>2</v>
      </c>
      <c r="L887" s="13" t="str">
        <f>IFERROR(VLOOKUP(C887,'Справочник соответствий'!A$2:D$2981,3,FALSE),IF(VALUE(C887)=0,"ЭТАЖ НЕ ОПРЕДЕЛЕН. ПРИНЯТ ПО ДОПУЩЕНИЮ 1",VLOOKUP(C887,'Справочник соответствий'!A$2:D$2981,3,FALSE)))</f>
        <v>ЭТАЖ ЗАДАН ЧИСЛОМ</v>
      </c>
      <c r="M887" s="13" t="b">
        <f t="shared" si="92"/>
        <v>0</v>
      </c>
      <c r="N887" s="13">
        <f t="shared" si="93"/>
        <v>2</v>
      </c>
      <c r="O887" s="13" t="str">
        <f t="shared" si="94"/>
        <v>ЭТАЖ ЗАДАН ЧИСЛОМ</v>
      </c>
      <c r="P887" s="13" t="str">
        <f t="shared" si="95"/>
        <v>ЭТАЖ ЗАДАН ЧИСЛОМ</v>
      </c>
      <c r="Q887" s="13" t="str">
        <f t="shared" si="96"/>
        <v>ГОТОВ_ИЗМЕНЕН</v>
      </c>
      <c r="R887" s="13">
        <f>IFERROR(VLOOKUP(P887,Лист1!A$1:B$20,2,FALSE),0)</f>
        <v>784</v>
      </c>
      <c r="S887" s="13">
        <f t="shared" si="97"/>
        <v>0</v>
      </c>
    </row>
    <row r="888" spans="1:19" x14ac:dyDescent="0.25">
      <c r="A888" s="24" t="s">
        <v>2002</v>
      </c>
      <c r="B888" s="4" t="s">
        <v>1063</v>
      </c>
      <c r="G888" s="25" t="s">
        <v>1086</v>
      </c>
      <c r="H888" s="24" t="s">
        <v>1061</v>
      </c>
      <c r="I888" s="3">
        <f>IFERROR(VLOOKUP(C888,'Справочник соответствий'!A$2:D$2981,2,FALSE),IF(VALUE(C888)=0,1,VLOOKUP(C888,'Справочник соответствий'!A$2:D$2981,2,FALSE)))</f>
        <v>1</v>
      </c>
      <c r="J888" s="3">
        <f>IFERROR(VLOOKUP(D888,'Справочник соответствий'!A$2:D$2981,2,FALSE),IF(VALUE(D888)=0,0,VLOOKUP(D888,'Справочник соответствий'!A$2:D$2981,2,FALSE)))</f>
        <v>0</v>
      </c>
      <c r="K888" s="3">
        <f t="shared" si="91"/>
        <v>1</v>
      </c>
      <c r="L888" s="13" t="str">
        <f>IFERROR(VLOOKUP(C888,'Справочник соответствий'!A$2:D$2981,3,FALSE),IF(VALUE(C888)=0,"ЭТАЖ НЕ ОПРЕДЕЛЕН. ПРИНЯТ ПО ДОПУЩЕНИЮ 1",VLOOKUP(C888,'Справочник соответствий'!A$2:D$2981,3,FALSE)))</f>
        <v>ЭТАЖ НЕ ОПРЕДЕЛЕН. ПРИНЯТ ПО ДОПУЩЕНИЮ 1</v>
      </c>
      <c r="M888" s="13" t="b">
        <f t="shared" si="92"/>
        <v>0</v>
      </c>
      <c r="N888" s="13">
        <f t="shared" si="93"/>
        <v>1</v>
      </c>
      <c r="O888" s="13" t="str">
        <f t="shared" si="94"/>
        <v>ЭТАЖ НЕ ОПРЕДЕЛЕН. ПРИНЯТ ПО ДОПУЩЕНИЮ 1</v>
      </c>
      <c r="P888" s="13" t="str">
        <f t="shared" si="95"/>
        <v>ЭТАЖ НЕ ОПРЕДЕЛЕН. ПРИНЯТ ПО ДОПУЩЕНИЮ 1</v>
      </c>
      <c r="Q888" s="13" t="str">
        <f t="shared" si="96"/>
        <v>ГОТОВ_ИЗМЕНЕН</v>
      </c>
      <c r="R888" s="13">
        <f>IFERROR(VLOOKUP(P888,Лист1!A$1:B$20,2,FALSE),0)</f>
        <v>788</v>
      </c>
      <c r="S888" s="13">
        <f t="shared" si="97"/>
        <v>0</v>
      </c>
    </row>
    <row r="889" spans="1:19" x14ac:dyDescent="0.25">
      <c r="A889" s="24" t="s">
        <v>2003</v>
      </c>
      <c r="B889" s="4" t="s">
        <v>1059</v>
      </c>
      <c r="C889" s="25" t="s">
        <v>5</v>
      </c>
      <c r="G889" s="25" t="s">
        <v>1086</v>
      </c>
      <c r="H889" s="24" t="s">
        <v>1061</v>
      </c>
      <c r="I889" s="3" t="str">
        <f>IFERROR(VLOOKUP(C889,'Справочник соответствий'!A$2:D$2981,2,FALSE),IF(VALUE(C889)=0,1,VLOOKUP(C889,'Справочник соответствий'!A$2:D$2981,2,FALSE)))</f>
        <v>1</v>
      </c>
      <c r="J889" s="3">
        <f>IFERROR(VLOOKUP(D889,'Справочник соответствий'!A$2:D$2981,2,FALSE),IF(VALUE(D889)=0,0,VLOOKUP(D889,'Справочник соответствий'!A$2:D$2981,2,FALSE)))</f>
        <v>0</v>
      </c>
      <c r="K889" s="3" t="str">
        <f t="shared" si="91"/>
        <v>1</v>
      </c>
      <c r="L889" s="13" t="str">
        <f>IFERROR(VLOOKUP(C889,'Справочник соответствий'!A$2:D$2981,3,FALSE),IF(VALUE(C889)=0,"ЭТАЖ НЕ ОПРЕДЕЛЕН. ПРИНЯТ ПО ДОПУЩЕНИЮ 1",VLOOKUP(C889,'Справочник соответствий'!A$2:D$2981,3,FALSE)))</f>
        <v>ЭТАЖ ЗАДАН ЧИСЛОМ</v>
      </c>
      <c r="M889" s="13" t="b">
        <f t="shared" si="92"/>
        <v>0</v>
      </c>
      <c r="N889" s="13">
        <f t="shared" si="93"/>
        <v>1</v>
      </c>
      <c r="O889" s="13" t="str">
        <f t="shared" si="94"/>
        <v>ЭТАЖ ЗАДАН ЧИСЛОМ</v>
      </c>
      <c r="P889" s="13" t="str">
        <f t="shared" si="95"/>
        <v>ЭТАЖ ЗАДАН ЧИСЛОМ</v>
      </c>
      <c r="Q889" s="13" t="str">
        <f t="shared" si="96"/>
        <v>ГОТОВ_ИЗМЕНЕН</v>
      </c>
      <c r="R889" s="13">
        <f>IFERROR(VLOOKUP(P889,Лист1!A$1:B$20,2,FALSE),0)</f>
        <v>784</v>
      </c>
      <c r="S889" s="13">
        <f t="shared" si="97"/>
        <v>0</v>
      </c>
    </row>
    <row r="890" spans="1:19" x14ac:dyDescent="0.25">
      <c r="A890" s="24" t="s">
        <v>2004</v>
      </c>
      <c r="B890" s="4" t="s">
        <v>1063</v>
      </c>
      <c r="C890" s="25" t="s">
        <v>5</v>
      </c>
      <c r="G890" s="25" t="s">
        <v>1086</v>
      </c>
      <c r="H890" s="24" t="s">
        <v>1061</v>
      </c>
      <c r="I890" s="3" t="str">
        <f>IFERROR(VLOOKUP(C890,'Справочник соответствий'!A$2:D$2981,2,FALSE),IF(VALUE(C890)=0,1,VLOOKUP(C890,'Справочник соответствий'!A$2:D$2981,2,FALSE)))</f>
        <v>1</v>
      </c>
      <c r="J890" s="3">
        <f>IFERROR(VLOOKUP(D890,'Справочник соответствий'!A$2:D$2981,2,FALSE),IF(VALUE(D890)=0,0,VLOOKUP(D890,'Справочник соответствий'!A$2:D$2981,2,FALSE)))</f>
        <v>0</v>
      </c>
      <c r="K890" s="3" t="str">
        <f t="shared" si="91"/>
        <v>1</v>
      </c>
      <c r="L890" s="13" t="str">
        <f>IFERROR(VLOOKUP(C890,'Справочник соответствий'!A$2:D$2981,3,FALSE),IF(VALUE(C890)=0,"ЭТАЖ НЕ ОПРЕДЕЛЕН. ПРИНЯТ ПО ДОПУЩЕНИЮ 1",VLOOKUP(C890,'Справочник соответствий'!A$2:D$2981,3,FALSE)))</f>
        <v>ЭТАЖ ЗАДАН ЧИСЛОМ</v>
      </c>
      <c r="M890" s="13" t="b">
        <f t="shared" si="92"/>
        <v>0</v>
      </c>
      <c r="N890" s="13">
        <f t="shared" si="93"/>
        <v>1</v>
      </c>
      <c r="O890" s="13" t="str">
        <f t="shared" si="94"/>
        <v>ЭТАЖ ЗАДАН ЧИСЛОМ</v>
      </c>
      <c r="P890" s="13" t="str">
        <f t="shared" si="95"/>
        <v>ЭТАЖ ЗАДАН ЧИСЛОМ</v>
      </c>
      <c r="Q890" s="13" t="str">
        <f t="shared" si="96"/>
        <v>ГОТОВ_ИЗМЕНЕН</v>
      </c>
      <c r="R890" s="13">
        <f>IFERROR(VLOOKUP(P890,Лист1!A$1:B$20,2,FALSE),0)</f>
        <v>784</v>
      </c>
      <c r="S890" s="13">
        <f t="shared" si="97"/>
        <v>0</v>
      </c>
    </row>
    <row r="891" spans="1:19" x14ac:dyDescent="0.25">
      <c r="A891" s="24" t="s">
        <v>2005</v>
      </c>
      <c r="B891" s="4" t="s">
        <v>1063</v>
      </c>
      <c r="C891" s="25" t="s">
        <v>5</v>
      </c>
      <c r="G891" s="25" t="s">
        <v>1086</v>
      </c>
      <c r="H891" s="24" t="s">
        <v>1061</v>
      </c>
      <c r="I891" s="3" t="str">
        <f>IFERROR(VLOOKUP(C891,'Справочник соответствий'!A$2:D$2981,2,FALSE),IF(VALUE(C891)=0,1,VLOOKUP(C891,'Справочник соответствий'!A$2:D$2981,2,FALSE)))</f>
        <v>1</v>
      </c>
      <c r="J891" s="3">
        <f>IFERROR(VLOOKUP(D891,'Справочник соответствий'!A$2:D$2981,2,FALSE),IF(VALUE(D891)=0,0,VLOOKUP(D891,'Справочник соответствий'!A$2:D$2981,2,FALSE)))</f>
        <v>0</v>
      </c>
      <c r="K891" s="3" t="str">
        <f t="shared" si="91"/>
        <v>1</v>
      </c>
      <c r="L891" s="13" t="str">
        <f>IFERROR(VLOOKUP(C891,'Справочник соответствий'!A$2:D$2981,3,FALSE),IF(VALUE(C891)=0,"ЭТАЖ НЕ ОПРЕДЕЛЕН. ПРИНЯТ ПО ДОПУЩЕНИЮ 1",VLOOKUP(C891,'Справочник соответствий'!A$2:D$2981,3,FALSE)))</f>
        <v>ЭТАЖ ЗАДАН ЧИСЛОМ</v>
      </c>
      <c r="M891" s="13" t="b">
        <f t="shared" si="92"/>
        <v>0</v>
      </c>
      <c r="N891" s="13">
        <f t="shared" si="93"/>
        <v>1</v>
      </c>
      <c r="O891" s="13" t="str">
        <f t="shared" si="94"/>
        <v>ЭТАЖ ЗАДАН ЧИСЛОМ</v>
      </c>
      <c r="P891" s="13" t="str">
        <f t="shared" si="95"/>
        <v>ЭТАЖ ЗАДАН ЧИСЛОМ</v>
      </c>
      <c r="Q891" s="13" t="str">
        <f t="shared" si="96"/>
        <v>ГОТОВ_ИЗМЕНЕН</v>
      </c>
      <c r="R891" s="13">
        <f>IFERROR(VLOOKUP(P891,Лист1!A$1:B$20,2,FALSE),0)</f>
        <v>784</v>
      </c>
      <c r="S891" s="13">
        <f t="shared" si="97"/>
        <v>0</v>
      </c>
    </row>
    <row r="892" spans="1:19" x14ac:dyDescent="0.25">
      <c r="A892" s="24" t="s">
        <v>2006</v>
      </c>
      <c r="B892" s="4" t="s">
        <v>1063</v>
      </c>
      <c r="C892" s="25" t="s">
        <v>5</v>
      </c>
      <c r="G892" s="25" t="s">
        <v>1382</v>
      </c>
      <c r="H892" s="24" t="s">
        <v>1061</v>
      </c>
      <c r="I892" s="3" t="str">
        <f>IFERROR(VLOOKUP(C892,'Справочник соответствий'!A$2:D$2981,2,FALSE),IF(VALUE(C892)=0,1,VLOOKUP(C892,'Справочник соответствий'!A$2:D$2981,2,FALSE)))</f>
        <v>1</v>
      </c>
      <c r="J892" s="3">
        <f>IFERROR(VLOOKUP(D892,'Справочник соответствий'!A$2:D$2981,2,FALSE),IF(VALUE(D892)=0,0,VLOOKUP(D892,'Справочник соответствий'!A$2:D$2981,2,FALSE)))</f>
        <v>0</v>
      </c>
      <c r="K892" s="3" t="str">
        <f t="shared" si="91"/>
        <v>1</v>
      </c>
      <c r="L892" s="13" t="str">
        <f>IFERROR(VLOOKUP(C892,'Справочник соответствий'!A$2:D$2981,3,FALSE),IF(VALUE(C892)=0,"ЭТАЖ НЕ ОПРЕДЕЛЕН. ПРИНЯТ ПО ДОПУЩЕНИЮ 1",VLOOKUP(C892,'Справочник соответствий'!A$2:D$2981,3,FALSE)))</f>
        <v>ЭТАЖ ЗАДАН ЧИСЛОМ</v>
      </c>
      <c r="M892" s="13" t="b">
        <f t="shared" si="92"/>
        <v>0</v>
      </c>
      <c r="N892" s="13">
        <f t="shared" si="93"/>
        <v>1</v>
      </c>
      <c r="O892" s="13" t="str">
        <f t="shared" si="94"/>
        <v>ЭТАЖ ЗАДАН ЧИСЛОМ</v>
      </c>
      <c r="P892" s="13" t="str">
        <f t="shared" si="95"/>
        <v>ЭТАЖ ЗАДАН ЧИСЛОМ</v>
      </c>
      <c r="Q892" s="13" t="str">
        <f t="shared" si="96"/>
        <v>ГОТОВ_ИЗМЕНЕН</v>
      </c>
      <c r="R892" s="13">
        <f>IFERROR(VLOOKUP(P892,Лист1!A$1:B$20,2,FALSE),0)</f>
        <v>784</v>
      </c>
      <c r="S892" s="13">
        <f t="shared" si="97"/>
        <v>0</v>
      </c>
    </row>
    <row r="893" spans="1:19" x14ac:dyDescent="0.25">
      <c r="A893" s="24" t="s">
        <v>2007</v>
      </c>
      <c r="B893" s="4" t="s">
        <v>1059</v>
      </c>
      <c r="C893" s="25" t="s">
        <v>5</v>
      </c>
      <c r="G893" s="25" t="s">
        <v>1382</v>
      </c>
      <c r="H893" s="24" t="s">
        <v>1061</v>
      </c>
      <c r="I893" s="3" t="str">
        <f>IFERROR(VLOOKUP(C893,'Справочник соответствий'!A$2:D$2981,2,FALSE),IF(VALUE(C893)=0,1,VLOOKUP(C893,'Справочник соответствий'!A$2:D$2981,2,FALSE)))</f>
        <v>1</v>
      </c>
      <c r="J893" s="3">
        <f>IFERROR(VLOOKUP(D893,'Справочник соответствий'!A$2:D$2981,2,FALSE),IF(VALUE(D893)=0,0,VLOOKUP(D893,'Справочник соответствий'!A$2:D$2981,2,FALSE)))</f>
        <v>0</v>
      </c>
      <c r="K893" s="3" t="str">
        <f t="shared" si="91"/>
        <v>1</v>
      </c>
      <c r="L893" s="13" t="str">
        <f>IFERROR(VLOOKUP(C893,'Справочник соответствий'!A$2:D$2981,3,FALSE),IF(VALUE(C893)=0,"ЭТАЖ НЕ ОПРЕДЕЛЕН. ПРИНЯТ ПО ДОПУЩЕНИЮ 1",VLOOKUP(C893,'Справочник соответствий'!A$2:D$2981,3,FALSE)))</f>
        <v>ЭТАЖ ЗАДАН ЧИСЛОМ</v>
      </c>
      <c r="M893" s="13" t="b">
        <f t="shared" si="92"/>
        <v>0</v>
      </c>
      <c r="N893" s="13">
        <f t="shared" si="93"/>
        <v>1</v>
      </c>
      <c r="O893" s="13" t="str">
        <f t="shared" si="94"/>
        <v>ЭТАЖ ЗАДАН ЧИСЛОМ</v>
      </c>
      <c r="P893" s="13" t="str">
        <f t="shared" si="95"/>
        <v>ЭТАЖ ЗАДАН ЧИСЛОМ</v>
      </c>
      <c r="Q893" s="13" t="str">
        <f t="shared" si="96"/>
        <v>ГОТОВ_ИЗМЕНЕН</v>
      </c>
      <c r="R893" s="13">
        <f>IFERROR(VLOOKUP(P893,Лист1!A$1:B$20,2,FALSE),0)</f>
        <v>784</v>
      </c>
      <c r="S893" s="13">
        <f t="shared" si="97"/>
        <v>0</v>
      </c>
    </row>
    <row r="894" spans="1:19" x14ac:dyDescent="0.25">
      <c r="A894" s="24" t="s">
        <v>2008</v>
      </c>
      <c r="B894" s="4" t="s">
        <v>1059</v>
      </c>
      <c r="C894" s="25" t="s">
        <v>5</v>
      </c>
      <c r="G894" s="25" t="s">
        <v>1382</v>
      </c>
      <c r="H894" s="24" t="s">
        <v>1061</v>
      </c>
      <c r="I894" s="3" t="str">
        <f>IFERROR(VLOOKUP(C894,'Справочник соответствий'!A$2:D$2981,2,FALSE),IF(VALUE(C894)=0,1,VLOOKUP(C894,'Справочник соответствий'!A$2:D$2981,2,FALSE)))</f>
        <v>1</v>
      </c>
      <c r="J894" s="3">
        <f>IFERROR(VLOOKUP(D894,'Справочник соответствий'!A$2:D$2981,2,FALSE),IF(VALUE(D894)=0,0,VLOOKUP(D894,'Справочник соответствий'!A$2:D$2981,2,FALSE)))</f>
        <v>0</v>
      </c>
      <c r="K894" s="3" t="str">
        <f t="shared" si="91"/>
        <v>1</v>
      </c>
      <c r="L894" s="13" t="str">
        <f>IFERROR(VLOOKUP(C894,'Справочник соответствий'!A$2:D$2981,3,FALSE),IF(VALUE(C894)=0,"ЭТАЖ НЕ ОПРЕДЕЛЕН. ПРИНЯТ ПО ДОПУЩЕНИЮ 1",VLOOKUP(C894,'Справочник соответствий'!A$2:D$2981,3,FALSE)))</f>
        <v>ЭТАЖ ЗАДАН ЧИСЛОМ</v>
      </c>
      <c r="M894" s="13" t="b">
        <f t="shared" si="92"/>
        <v>0</v>
      </c>
      <c r="N894" s="13">
        <f t="shared" si="93"/>
        <v>1</v>
      </c>
      <c r="O894" s="13" t="str">
        <f t="shared" si="94"/>
        <v>ЭТАЖ ЗАДАН ЧИСЛОМ</v>
      </c>
      <c r="P894" s="13" t="str">
        <f t="shared" si="95"/>
        <v>ЭТАЖ ЗАДАН ЧИСЛОМ</v>
      </c>
      <c r="Q894" s="13" t="str">
        <f t="shared" si="96"/>
        <v>ГОТОВ_ИЗМЕНЕН</v>
      </c>
      <c r="R894" s="13">
        <f>IFERROR(VLOOKUP(P894,Лист1!A$1:B$20,2,FALSE),0)</f>
        <v>784</v>
      </c>
      <c r="S894" s="13">
        <f t="shared" si="97"/>
        <v>0</v>
      </c>
    </row>
    <row r="895" spans="1:19" x14ac:dyDescent="0.25">
      <c r="A895" s="24" t="s">
        <v>2009</v>
      </c>
      <c r="B895" s="4" t="s">
        <v>1059</v>
      </c>
      <c r="C895" s="25" t="s">
        <v>5</v>
      </c>
      <c r="G895" s="25" t="s">
        <v>1072</v>
      </c>
      <c r="H895" s="24" t="s">
        <v>1061</v>
      </c>
      <c r="I895" s="3" t="str">
        <f>IFERROR(VLOOKUP(C895,'Справочник соответствий'!A$2:D$2981,2,FALSE),IF(VALUE(C895)=0,1,VLOOKUP(C895,'Справочник соответствий'!A$2:D$2981,2,FALSE)))</f>
        <v>1</v>
      </c>
      <c r="J895" s="3">
        <f>IFERROR(VLOOKUP(D895,'Справочник соответствий'!A$2:D$2981,2,FALSE),IF(VALUE(D895)=0,0,VLOOKUP(D895,'Справочник соответствий'!A$2:D$2981,2,FALSE)))</f>
        <v>0</v>
      </c>
      <c r="K895" s="3" t="str">
        <f t="shared" si="91"/>
        <v>1</v>
      </c>
      <c r="L895" s="13" t="str">
        <f>IFERROR(VLOOKUP(C895,'Справочник соответствий'!A$2:D$2981,3,FALSE),IF(VALUE(C895)=0,"ЭТАЖ НЕ ОПРЕДЕЛЕН. ПРИНЯТ ПО ДОПУЩЕНИЮ 1",VLOOKUP(C895,'Справочник соответствий'!A$2:D$2981,3,FALSE)))</f>
        <v>ЭТАЖ ЗАДАН ЧИСЛОМ</v>
      </c>
      <c r="M895" s="13" t="b">
        <f t="shared" si="92"/>
        <v>0</v>
      </c>
      <c r="N895" s="13">
        <f t="shared" si="93"/>
        <v>1</v>
      </c>
      <c r="O895" s="13" t="str">
        <f t="shared" si="94"/>
        <v>ЭТАЖ ЗАДАН ЧИСЛОМ</v>
      </c>
      <c r="P895" s="13" t="str">
        <f t="shared" si="95"/>
        <v>ЭТАЖ ЗАДАН ЧИСЛОМ</v>
      </c>
      <c r="Q895" s="13" t="str">
        <f t="shared" si="96"/>
        <v>ГОТОВ_ИЗМЕНЕН</v>
      </c>
      <c r="R895" s="13">
        <f>IFERROR(VLOOKUP(P895,Лист1!A$1:B$20,2,FALSE),0)</f>
        <v>784</v>
      </c>
      <c r="S895" s="13">
        <f t="shared" si="97"/>
        <v>0</v>
      </c>
    </row>
    <row r="896" spans="1:19" x14ac:dyDescent="0.25">
      <c r="A896" s="24" t="s">
        <v>2010</v>
      </c>
      <c r="B896" s="4" t="s">
        <v>1059</v>
      </c>
      <c r="G896" s="25" t="s">
        <v>1072</v>
      </c>
      <c r="H896" s="24" t="s">
        <v>1061</v>
      </c>
      <c r="I896" s="3">
        <f>IFERROR(VLOOKUP(C896,'Справочник соответствий'!A$2:D$2981,2,FALSE),IF(VALUE(C896)=0,1,VLOOKUP(C896,'Справочник соответствий'!A$2:D$2981,2,FALSE)))</f>
        <v>1</v>
      </c>
      <c r="J896" s="3">
        <f>IFERROR(VLOOKUP(D896,'Справочник соответствий'!A$2:D$2981,2,FALSE),IF(VALUE(D896)=0,0,VLOOKUP(D896,'Справочник соответствий'!A$2:D$2981,2,FALSE)))</f>
        <v>0</v>
      </c>
      <c r="K896" s="3">
        <f t="shared" si="91"/>
        <v>1</v>
      </c>
      <c r="L896" s="13" t="str">
        <f>IFERROR(VLOOKUP(C896,'Справочник соответствий'!A$2:D$2981,3,FALSE),IF(VALUE(C896)=0,"ЭТАЖ НЕ ОПРЕДЕЛЕН. ПРИНЯТ ПО ДОПУЩЕНИЮ 1",VLOOKUP(C896,'Справочник соответствий'!A$2:D$2981,3,FALSE)))</f>
        <v>ЭТАЖ НЕ ОПРЕДЕЛЕН. ПРИНЯТ ПО ДОПУЩЕНИЮ 1</v>
      </c>
      <c r="M896" s="13" t="b">
        <f t="shared" si="92"/>
        <v>0</v>
      </c>
      <c r="N896" s="13">
        <f t="shared" si="93"/>
        <v>1</v>
      </c>
      <c r="O896" s="13" t="str">
        <f t="shared" si="94"/>
        <v>ЭТАЖ НЕ ОПРЕДЕЛЕН. ПРИНЯТ ПО ДОПУЩЕНИЮ 1</v>
      </c>
      <c r="P896" s="13" t="str">
        <f t="shared" si="95"/>
        <v>ЭТАЖ НЕ ОПРЕДЕЛЕН. ПРИНЯТ ПО ДОПУЩЕНИЮ 1</v>
      </c>
      <c r="Q896" s="13" t="str">
        <f t="shared" si="96"/>
        <v>ГОТОВ_ИЗМЕНЕН</v>
      </c>
      <c r="R896" s="13">
        <f>IFERROR(VLOOKUP(P896,Лист1!A$1:B$20,2,FALSE),0)</f>
        <v>788</v>
      </c>
      <c r="S896" s="13">
        <f t="shared" si="97"/>
        <v>0</v>
      </c>
    </row>
    <row r="897" spans="1:19" x14ac:dyDescent="0.25">
      <c r="A897" s="24" t="s">
        <v>2011</v>
      </c>
      <c r="B897" s="4" t="s">
        <v>1059</v>
      </c>
      <c r="C897" s="25" t="s">
        <v>7</v>
      </c>
      <c r="G897" s="25" t="s">
        <v>1072</v>
      </c>
      <c r="H897" s="24" t="s">
        <v>1061</v>
      </c>
      <c r="I897" s="3" t="str">
        <f>IFERROR(VLOOKUP(C897,'Справочник соответствий'!A$2:D$2981,2,FALSE),IF(VALUE(C897)=0,1,VLOOKUP(C897,'Справочник соответствий'!A$2:D$2981,2,FALSE)))</f>
        <v>2</v>
      </c>
      <c r="J897" s="3">
        <f>IFERROR(VLOOKUP(D897,'Справочник соответствий'!A$2:D$2981,2,FALSE),IF(VALUE(D897)=0,0,VLOOKUP(D897,'Справочник соответствий'!A$2:D$2981,2,FALSE)))</f>
        <v>0</v>
      </c>
      <c r="K897" s="3" t="str">
        <f t="shared" si="91"/>
        <v>2</v>
      </c>
      <c r="L897" s="13" t="str">
        <f>IFERROR(VLOOKUP(C897,'Справочник соответствий'!A$2:D$2981,3,FALSE),IF(VALUE(C897)=0,"ЭТАЖ НЕ ОПРЕДЕЛЕН. ПРИНЯТ ПО ДОПУЩЕНИЮ 1",VLOOKUP(C897,'Справочник соответствий'!A$2:D$2981,3,FALSE)))</f>
        <v>ЭТАЖ ЗАДАН ЧИСЛОМ</v>
      </c>
      <c r="M897" s="13" t="b">
        <f t="shared" si="92"/>
        <v>0</v>
      </c>
      <c r="N897" s="13">
        <f t="shared" si="93"/>
        <v>2</v>
      </c>
      <c r="O897" s="13" t="str">
        <f t="shared" si="94"/>
        <v>ЭТАЖ ЗАДАН ЧИСЛОМ</v>
      </c>
      <c r="P897" s="13" t="str">
        <f t="shared" si="95"/>
        <v>ЭТАЖ ЗАДАН ЧИСЛОМ</v>
      </c>
      <c r="Q897" s="13" t="str">
        <f t="shared" si="96"/>
        <v>ГОТОВ_ИЗМЕНЕН</v>
      </c>
      <c r="R897" s="13">
        <f>IFERROR(VLOOKUP(P897,Лист1!A$1:B$20,2,FALSE),0)</f>
        <v>784</v>
      </c>
      <c r="S897" s="13">
        <f t="shared" si="97"/>
        <v>0</v>
      </c>
    </row>
    <row r="898" spans="1:19" x14ac:dyDescent="0.25">
      <c r="A898" s="24" t="s">
        <v>2012</v>
      </c>
      <c r="B898" s="4" t="s">
        <v>1063</v>
      </c>
      <c r="G898" s="25" t="s">
        <v>1388</v>
      </c>
      <c r="H898" s="24" t="s">
        <v>1061</v>
      </c>
      <c r="I898" s="3">
        <f>IFERROR(VLOOKUP(C898,'Справочник соответствий'!A$2:D$2981,2,FALSE),IF(VALUE(C898)=0,1,VLOOKUP(C898,'Справочник соответствий'!A$2:D$2981,2,FALSE)))</f>
        <v>1</v>
      </c>
      <c r="J898" s="3">
        <f>IFERROR(VLOOKUP(D898,'Справочник соответствий'!A$2:D$2981,2,FALSE),IF(VALUE(D898)=0,0,VLOOKUP(D898,'Справочник соответствий'!A$2:D$2981,2,FALSE)))</f>
        <v>0</v>
      </c>
      <c r="K898" s="3">
        <f t="shared" si="91"/>
        <v>1</v>
      </c>
      <c r="L898" s="13" t="str">
        <f>IFERROR(VLOOKUP(C898,'Справочник соответствий'!A$2:D$2981,3,FALSE),IF(VALUE(C898)=0,"ЭТАЖ НЕ ОПРЕДЕЛЕН. ПРИНЯТ ПО ДОПУЩЕНИЮ 1",VLOOKUP(C898,'Справочник соответствий'!A$2:D$2981,3,FALSE)))</f>
        <v>ЭТАЖ НЕ ОПРЕДЕЛЕН. ПРИНЯТ ПО ДОПУЩЕНИЮ 1</v>
      </c>
      <c r="M898" s="13" t="b">
        <f t="shared" si="92"/>
        <v>0</v>
      </c>
      <c r="N898" s="13">
        <f t="shared" si="93"/>
        <v>1</v>
      </c>
      <c r="O898" s="13" t="str">
        <f t="shared" si="94"/>
        <v>ЭТАЖ НЕ ОПРЕДЕЛЕН. ПРИНЯТ ПО ДОПУЩЕНИЮ 1</v>
      </c>
      <c r="P898" s="13" t="str">
        <f t="shared" si="95"/>
        <v>ЭТАЖ НЕ ОПРЕДЕЛЕН. ПРИНЯТ ПО ДОПУЩЕНИЮ 1</v>
      </c>
      <c r="Q898" s="13" t="str">
        <f t="shared" si="96"/>
        <v>ГОТОВ_ИЗМЕНЕН</v>
      </c>
      <c r="R898" s="13">
        <f>IFERROR(VLOOKUP(P898,Лист1!A$1:B$20,2,FALSE),0)</f>
        <v>788</v>
      </c>
      <c r="S898" s="13">
        <f t="shared" si="97"/>
        <v>0</v>
      </c>
    </row>
    <row r="899" spans="1:19" x14ac:dyDescent="0.25">
      <c r="A899" s="24" t="s">
        <v>2013</v>
      </c>
      <c r="B899" s="4" t="s">
        <v>1063</v>
      </c>
      <c r="C899" s="25" t="s">
        <v>5</v>
      </c>
      <c r="G899" s="25" t="s">
        <v>1072</v>
      </c>
      <c r="H899" s="24" t="s">
        <v>1061</v>
      </c>
      <c r="I899" s="3" t="str">
        <f>IFERROR(VLOOKUP(C899,'Справочник соответствий'!A$2:D$2981,2,FALSE),IF(VALUE(C899)=0,1,VLOOKUP(C899,'Справочник соответствий'!A$2:D$2981,2,FALSE)))</f>
        <v>1</v>
      </c>
      <c r="J899" s="3">
        <f>IFERROR(VLOOKUP(D899,'Справочник соответствий'!A$2:D$2981,2,FALSE),IF(VALUE(D899)=0,0,VLOOKUP(D899,'Справочник соответствий'!A$2:D$2981,2,FALSE)))</f>
        <v>0</v>
      </c>
      <c r="K899" s="3" t="str">
        <f t="shared" si="91"/>
        <v>1</v>
      </c>
      <c r="L899" s="13" t="str">
        <f>IFERROR(VLOOKUP(C899,'Справочник соответствий'!A$2:D$2981,3,FALSE),IF(VALUE(C899)=0,"ЭТАЖ НЕ ОПРЕДЕЛЕН. ПРИНЯТ ПО ДОПУЩЕНИЮ 1",VLOOKUP(C899,'Справочник соответствий'!A$2:D$2981,3,FALSE)))</f>
        <v>ЭТАЖ ЗАДАН ЧИСЛОМ</v>
      </c>
      <c r="M899" s="13" t="b">
        <f t="shared" si="92"/>
        <v>0</v>
      </c>
      <c r="N899" s="13">
        <f t="shared" si="93"/>
        <v>1</v>
      </c>
      <c r="O899" s="13" t="str">
        <f t="shared" si="94"/>
        <v>ЭТАЖ ЗАДАН ЧИСЛОМ</v>
      </c>
      <c r="P899" s="13" t="str">
        <f t="shared" si="95"/>
        <v>ЭТАЖ ЗАДАН ЧИСЛОМ</v>
      </c>
      <c r="Q899" s="13" t="str">
        <f t="shared" si="96"/>
        <v>ГОТОВ_ИЗМЕНЕН</v>
      </c>
      <c r="R899" s="13">
        <f>IFERROR(VLOOKUP(P899,Лист1!A$1:B$20,2,FALSE),0)</f>
        <v>784</v>
      </c>
      <c r="S899" s="13">
        <f t="shared" si="97"/>
        <v>0</v>
      </c>
    </row>
    <row r="900" spans="1:19" x14ac:dyDescent="0.25">
      <c r="A900" s="24" t="s">
        <v>2014</v>
      </c>
      <c r="B900" s="4" t="s">
        <v>1063</v>
      </c>
      <c r="C900" s="25" t="s">
        <v>5</v>
      </c>
      <c r="G900" s="25" t="s">
        <v>1072</v>
      </c>
      <c r="H900" s="24" t="s">
        <v>1061</v>
      </c>
      <c r="I900" s="3" t="str">
        <f>IFERROR(VLOOKUP(C900,'Справочник соответствий'!A$2:D$2981,2,FALSE),IF(VALUE(C900)=0,1,VLOOKUP(C900,'Справочник соответствий'!A$2:D$2981,2,FALSE)))</f>
        <v>1</v>
      </c>
      <c r="J900" s="3">
        <f>IFERROR(VLOOKUP(D900,'Справочник соответствий'!A$2:D$2981,2,FALSE),IF(VALUE(D900)=0,0,VLOOKUP(D900,'Справочник соответствий'!A$2:D$2981,2,FALSE)))</f>
        <v>0</v>
      </c>
      <c r="K900" s="3" t="str">
        <f t="shared" si="91"/>
        <v>1</v>
      </c>
      <c r="L900" s="13" t="str">
        <f>IFERROR(VLOOKUP(C900,'Справочник соответствий'!A$2:D$2981,3,FALSE),IF(VALUE(C900)=0,"ЭТАЖ НЕ ОПРЕДЕЛЕН. ПРИНЯТ ПО ДОПУЩЕНИЮ 1",VLOOKUP(C900,'Справочник соответствий'!A$2:D$2981,3,FALSE)))</f>
        <v>ЭТАЖ ЗАДАН ЧИСЛОМ</v>
      </c>
      <c r="M900" s="13" t="b">
        <f t="shared" si="92"/>
        <v>0</v>
      </c>
      <c r="N900" s="13">
        <f t="shared" si="93"/>
        <v>1</v>
      </c>
      <c r="O900" s="13" t="str">
        <f t="shared" si="94"/>
        <v>ЭТАЖ ЗАДАН ЧИСЛОМ</v>
      </c>
      <c r="P900" s="13" t="str">
        <f t="shared" si="95"/>
        <v>ЭТАЖ ЗАДАН ЧИСЛОМ</v>
      </c>
      <c r="Q900" s="13" t="str">
        <f t="shared" si="96"/>
        <v>ГОТОВ_ИЗМЕНЕН</v>
      </c>
      <c r="R900" s="13">
        <f>IFERROR(VLOOKUP(P900,Лист1!A$1:B$20,2,FALSE),0)</f>
        <v>784</v>
      </c>
      <c r="S900" s="13">
        <f t="shared" si="97"/>
        <v>0</v>
      </c>
    </row>
    <row r="901" spans="1:19" x14ac:dyDescent="0.25">
      <c r="A901" s="24" t="s">
        <v>2015</v>
      </c>
      <c r="B901" s="4" t="s">
        <v>1063</v>
      </c>
      <c r="C901" s="25" t="s">
        <v>5</v>
      </c>
      <c r="G901" s="25" t="s">
        <v>1167</v>
      </c>
      <c r="H901" s="24" t="s">
        <v>1061</v>
      </c>
      <c r="I901" s="3" t="str">
        <f>IFERROR(VLOOKUP(C901,'Справочник соответствий'!A$2:D$2981,2,FALSE),IF(VALUE(C901)=0,1,VLOOKUP(C901,'Справочник соответствий'!A$2:D$2981,2,FALSE)))</f>
        <v>1</v>
      </c>
      <c r="J901" s="3">
        <f>IFERROR(VLOOKUP(D901,'Справочник соответствий'!A$2:D$2981,2,FALSE),IF(VALUE(D901)=0,0,VLOOKUP(D901,'Справочник соответствий'!A$2:D$2981,2,FALSE)))</f>
        <v>0</v>
      </c>
      <c r="K901" s="3" t="str">
        <f t="shared" ref="K901:K964" si="98">IF(B901="Многоквартирный дом",IF(I901-J901&gt;0,I901-J901,1),I901)</f>
        <v>1</v>
      </c>
      <c r="L901" s="13" t="str">
        <f>IFERROR(VLOOKUP(C901,'Справочник соответствий'!A$2:D$2981,3,FALSE),IF(VALUE(C901)=0,"ЭТАЖ НЕ ОПРЕДЕЛЕН. ПРИНЯТ ПО ДОПУЩЕНИЮ 1",VLOOKUP(C901,'Справочник соответствий'!A$2:D$2981,3,FALSE)))</f>
        <v>ЭТАЖ ЗАДАН ЧИСЛОМ</v>
      </c>
      <c r="M901" s="13" t="b">
        <f t="shared" ref="M901:M964" si="99">I901=E901</f>
        <v>0</v>
      </c>
      <c r="N901" s="13">
        <f t="shared" ref="N901:N964" si="100">IF(VALUE(E901)=0,VALUE(K901),IF(L901="ЭТАЖ НЕ ОПРЕДЕЛЕН. ПРИНЯТ ПО ДОПУЩЕНИЮ 1",VALUE(E901),VALUE(K901)))</f>
        <v>1</v>
      </c>
      <c r="O901" s="13" t="str">
        <f t="shared" ref="O901:O964" si="101">IF(VALUE(E901)=0,L901,IF(L901="ЭТАЖ НЕ ОПРЕДЕЛЕН. ПРИНЯТ ПО ДОПУЩЕНИЮ 1",F901,L901))</f>
        <v>ЭТАЖ ЗАДАН ЧИСЛОМ</v>
      </c>
      <c r="P901" s="13" t="str">
        <f t="shared" ref="P901:P964" si="102">IF(B901="Многоквартирный дом",CONCATENATE("МКД_",O901),O901)</f>
        <v>ЭТАЖ ЗАДАН ЧИСЛОМ</v>
      </c>
      <c r="Q901" s="13" t="str">
        <f t="shared" ref="Q901:Q964" si="103">IFERROR(IF(N901&gt;0,IF(N901=VALUE(E901),"ГОТОВ","ГОТОВ_ИЗМЕНЕН"),"НЕ ГОТОВ"),"НЕ ГОТОВ")</f>
        <v>ГОТОВ_ИЗМЕНЕН</v>
      </c>
      <c r="R901" s="13">
        <f>IFERROR(VLOOKUP(P901,Лист1!A$1:B$20,2,FALSE),0)</f>
        <v>784</v>
      </c>
      <c r="S901" s="13">
        <f t="shared" ref="S901:S964" si="104">VALUE(E901)</f>
        <v>0</v>
      </c>
    </row>
    <row r="902" spans="1:19" x14ac:dyDescent="0.25">
      <c r="A902" s="24" t="s">
        <v>2016</v>
      </c>
      <c r="B902" s="4" t="s">
        <v>1059</v>
      </c>
      <c r="C902" s="25" t="s">
        <v>7</v>
      </c>
      <c r="G902" s="25" t="s">
        <v>1167</v>
      </c>
      <c r="H902" s="24" t="s">
        <v>1061</v>
      </c>
      <c r="I902" s="3" t="str">
        <f>IFERROR(VLOOKUP(C902,'Справочник соответствий'!A$2:D$2981,2,FALSE),IF(VALUE(C902)=0,1,VLOOKUP(C902,'Справочник соответствий'!A$2:D$2981,2,FALSE)))</f>
        <v>2</v>
      </c>
      <c r="J902" s="3">
        <f>IFERROR(VLOOKUP(D902,'Справочник соответствий'!A$2:D$2981,2,FALSE),IF(VALUE(D902)=0,0,VLOOKUP(D902,'Справочник соответствий'!A$2:D$2981,2,FALSE)))</f>
        <v>0</v>
      </c>
      <c r="K902" s="3" t="str">
        <f t="shared" si="98"/>
        <v>2</v>
      </c>
      <c r="L902" s="13" t="str">
        <f>IFERROR(VLOOKUP(C902,'Справочник соответствий'!A$2:D$2981,3,FALSE),IF(VALUE(C902)=0,"ЭТАЖ НЕ ОПРЕДЕЛЕН. ПРИНЯТ ПО ДОПУЩЕНИЮ 1",VLOOKUP(C902,'Справочник соответствий'!A$2:D$2981,3,FALSE)))</f>
        <v>ЭТАЖ ЗАДАН ЧИСЛОМ</v>
      </c>
      <c r="M902" s="13" t="b">
        <f t="shared" si="99"/>
        <v>0</v>
      </c>
      <c r="N902" s="13">
        <f t="shared" si="100"/>
        <v>2</v>
      </c>
      <c r="O902" s="13" t="str">
        <f t="shared" si="101"/>
        <v>ЭТАЖ ЗАДАН ЧИСЛОМ</v>
      </c>
      <c r="P902" s="13" t="str">
        <f t="shared" si="102"/>
        <v>ЭТАЖ ЗАДАН ЧИСЛОМ</v>
      </c>
      <c r="Q902" s="13" t="str">
        <f t="shared" si="103"/>
        <v>ГОТОВ_ИЗМЕНЕН</v>
      </c>
      <c r="R902" s="13">
        <f>IFERROR(VLOOKUP(P902,Лист1!A$1:B$20,2,FALSE),0)</f>
        <v>784</v>
      </c>
      <c r="S902" s="13">
        <f t="shared" si="104"/>
        <v>0</v>
      </c>
    </row>
    <row r="903" spans="1:19" x14ac:dyDescent="0.25">
      <c r="A903" s="24" t="s">
        <v>2017</v>
      </c>
      <c r="B903" s="4" t="s">
        <v>1031</v>
      </c>
      <c r="C903" s="25" t="s">
        <v>12</v>
      </c>
      <c r="D903" s="25" t="s">
        <v>5</v>
      </c>
      <c r="G903" s="25" t="s">
        <v>2018</v>
      </c>
      <c r="H903" s="24" t="s">
        <v>1061</v>
      </c>
      <c r="I903" s="3" t="str">
        <f>IFERROR(VLOOKUP(C903,'Справочник соответствий'!A$2:D$2981,2,FALSE),IF(VALUE(C903)=0,1,VLOOKUP(C903,'Справочник соответствий'!A$2:D$2981,2,FALSE)))</f>
        <v>4</v>
      </c>
      <c r="J903" s="3" t="str">
        <f>IFERROR(VLOOKUP(D903,'Справочник соответствий'!A$2:D$2981,2,FALSE),IF(VALUE(D903)=0,0,VLOOKUP(D903,'Справочник соответствий'!A$2:D$2981,2,FALSE)))</f>
        <v>1</v>
      </c>
      <c r="K903" s="3">
        <f t="shared" si="98"/>
        <v>3</v>
      </c>
      <c r="L903" s="13" t="str">
        <f>IFERROR(VLOOKUP(C903,'Справочник соответствий'!A$2:D$2981,3,FALSE),IF(VALUE(C903)=0,"ЭТАЖ НЕ ОПРЕДЕЛЕН. ПРИНЯТ ПО ДОПУЩЕНИЮ 1",VLOOKUP(C903,'Справочник соответствий'!A$2:D$2981,3,FALSE)))</f>
        <v>ЭТАЖ ЗАДАН ЧИСЛОМ</v>
      </c>
      <c r="M903" s="13" t="b">
        <f t="shared" si="99"/>
        <v>0</v>
      </c>
      <c r="N903" s="13">
        <f t="shared" si="100"/>
        <v>3</v>
      </c>
      <c r="O903" s="13" t="str">
        <f t="shared" si="101"/>
        <v>ЭТАЖ ЗАДАН ЧИСЛОМ</v>
      </c>
      <c r="P903" s="13" t="str">
        <f t="shared" si="102"/>
        <v>МКД_ЭТАЖ ЗАДАН ЧИСЛОМ</v>
      </c>
      <c r="Q903" s="13" t="str">
        <f t="shared" si="103"/>
        <v>ГОТОВ_ИЗМЕНЕН</v>
      </c>
      <c r="R903" s="13">
        <f>IFERROR(VLOOKUP(P903,Лист1!A$1:B$20,2,FALSE),0)</f>
        <v>786</v>
      </c>
      <c r="S903" s="13">
        <f t="shared" si="104"/>
        <v>0</v>
      </c>
    </row>
    <row r="904" spans="1:19" x14ac:dyDescent="0.25">
      <c r="A904" s="24" t="s">
        <v>2019</v>
      </c>
      <c r="B904" s="4" t="s">
        <v>1059</v>
      </c>
      <c r="C904" s="25" t="s">
        <v>5</v>
      </c>
      <c r="G904" s="25" t="s">
        <v>1069</v>
      </c>
      <c r="H904" s="24" t="s">
        <v>1061</v>
      </c>
      <c r="I904" s="3" t="str">
        <f>IFERROR(VLOOKUP(C904,'Справочник соответствий'!A$2:D$2981,2,FALSE),IF(VALUE(C904)=0,1,VLOOKUP(C904,'Справочник соответствий'!A$2:D$2981,2,FALSE)))</f>
        <v>1</v>
      </c>
      <c r="J904" s="3">
        <f>IFERROR(VLOOKUP(D904,'Справочник соответствий'!A$2:D$2981,2,FALSE),IF(VALUE(D904)=0,0,VLOOKUP(D904,'Справочник соответствий'!A$2:D$2981,2,FALSE)))</f>
        <v>0</v>
      </c>
      <c r="K904" s="3" t="str">
        <f t="shared" si="98"/>
        <v>1</v>
      </c>
      <c r="L904" s="13" t="str">
        <f>IFERROR(VLOOKUP(C904,'Справочник соответствий'!A$2:D$2981,3,FALSE),IF(VALUE(C904)=0,"ЭТАЖ НЕ ОПРЕДЕЛЕН. ПРИНЯТ ПО ДОПУЩЕНИЮ 1",VLOOKUP(C904,'Справочник соответствий'!A$2:D$2981,3,FALSE)))</f>
        <v>ЭТАЖ ЗАДАН ЧИСЛОМ</v>
      </c>
      <c r="M904" s="13" t="b">
        <f t="shared" si="99"/>
        <v>0</v>
      </c>
      <c r="N904" s="13">
        <f t="shared" si="100"/>
        <v>1</v>
      </c>
      <c r="O904" s="13" t="str">
        <f t="shared" si="101"/>
        <v>ЭТАЖ ЗАДАН ЧИСЛОМ</v>
      </c>
      <c r="P904" s="13" t="str">
        <f t="shared" si="102"/>
        <v>ЭТАЖ ЗАДАН ЧИСЛОМ</v>
      </c>
      <c r="Q904" s="13" t="str">
        <f t="shared" si="103"/>
        <v>ГОТОВ_ИЗМЕНЕН</v>
      </c>
      <c r="R904" s="13">
        <f>IFERROR(VLOOKUP(P904,Лист1!A$1:B$20,2,FALSE),0)</f>
        <v>784</v>
      </c>
      <c r="S904" s="13">
        <f t="shared" si="104"/>
        <v>0</v>
      </c>
    </row>
    <row r="905" spans="1:19" x14ac:dyDescent="0.25">
      <c r="A905" s="24" t="s">
        <v>2020</v>
      </c>
      <c r="B905" s="4" t="s">
        <v>1059</v>
      </c>
      <c r="C905" s="25" t="s">
        <v>5</v>
      </c>
      <c r="G905" s="25" t="s">
        <v>1072</v>
      </c>
      <c r="H905" s="24" t="s">
        <v>1061</v>
      </c>
      <c r="I905" s="3" t="str">
        <f>IFERROR(VLOOKUP(C905,'Справочник соответствий'!A$2:D$2981,2,FALSE),IF(VALUE(C905)=0,1,VLOOKUP(C905,'Справочник соответствий'!A$2:D$2981,2,FALSE)))</f>
        <v>1</v>
      </c>
      <c r="J905" s="3">
        <f>IFERROR(VLOOKUP(D905,'Справочник соответствий'!A$2:D$2981,2,FALSE),IF(VALUE(D905)=0,0,VLOOKUP(D905,'Справочник соответствий'!A$2:D$2981,2,FALSE)))</f>
        <v>0</v>
      </c>
      <c r="K905" s="3" t="str">
        <f t="shared" si="98"/>
        <v>1</v>
      </c>
      <c r="L905" s="13" t="str">
        <f>IFERROR(VLOOKUP(C905,'Справочник соответствий'!A$2:D$2981,3,FALSE),IF(VALUE(C905)=0,"ЭТАЖ НЕ ОПРЕДЕЛЕН. ПРИНЯТ ПО ДОПУЩЕНИЮ 1",VLOOKUP(C905,'Справочник соответствий'!A$2:D$2981,3,FALSE)))</f>
        <v>ЭТАЖ ЗАДАН ЧИСЛОМ</v>
      </c>
      <c r="M905" s="13" t="b">
        <f t="shared" si="99"/>
        <v>0</v>
      </c>
      <c r="N905" s="13">
        <f t="shared" si="100"/>
        <v>1</v>
      </c>
      <c r="O905" s="13" t="str">
        <f t="shared" si="101"/>
        <v>ЭТАЖ ЗАДАН ЧИСЛОМ</v>
      </c>
      <c r="P905" s="13" t="str">
        <f t="shared" si="102"/>
        <v>ЭТАЖ ЗАДАН ЧИСЛОМ</v>
      </c>
      <c r="Q905" s="13" t="str">
        <f t="shared" si="103"/>
        <v>ГОТОВ_ИЗМЕНЕН</v>
      </c>
      <c r="R905" s="13">
        <f>IFERROR(VLOOKUP(P905,Лист1!A$1:B$20,2,FALSE),0)</f>
        <v>784</v>
      </c>
      <c r="S905" s="13">
        <f t="shared" si="104"/>
        <v>0</v>
      </c>
    </row>
    <row r="906" spans="1:19" x14ac:dyDescent="0.25">
      <c r="A906" s="24" t="s">
        <v>2021</v>
      </c>
      <c r="B906" s="4" t="s">
        <v>1059</v>
      </c>
      <c r="C906" s="25" t="s">
        <v>7</v>
      </c>
      <c r="G906" s="25" t="s">
        <v>1174</v>
      </c>
      <c r="H906" s="24" t="s">
        <v>1061</v>
      </c>
      <c r="I906" s="3" t="str">
        <f>IFERROR(VLOOKUP(C906,'Справочник соответствий'!A$2:D$2981,2,FALSE),IF(VALUE(C906)=0,1,VLOOKUP(C906,'Справочник соответствий'!A$2:D$2981,2,FALSE)))</f>
        <v>2</v>
      </c>
      <c r="J906" s="3">
        <f>IFERROR(VLOOKUP(D906,'Справочник соответствий'!A$2:D$2981,2,FALSE),IF(VALUE(D906)=0,0,VLOOKUP(D906,'Справочник соответствий'!A$2:D$2981,2,FALSE)))</f>
        <v>0</v>
      </c>
      <c r="K906" s="3" t="str">
        <f t="shared" si="98"/>
        <v>2</v>
      </c>
      <c r="L906" s="13" t="str">
        <f>IFERROR(VLOOKUP(C906,'Справочник соответствий'!A$2:D$2981,3,FALSE),IF(VALUE(C906)=0,"ЭТАЖ НЕ ОПРЕДЕЛЕН. ПРИНЯТ ПО ДОПУЩЕНИЮ 1",VLOOKUP(C906,'Справочник соответствий'!A$2:D$2981,3,FALSE)))</f>
        <v>ЭТАЖ ЗАДАН ЧИСЛОМ</v>
      </c>
      <c r="M906" s="13" t="b">
        <f t="shared" si="99"/>
        <v>0</v>
      </c>
      <c r="N906" s="13">
        <f t="shared" si="100"/>
        <v>2</v>
      </c>
      <c r="O906" s="13" t="str">
        <f t="shared" si="101"/>
        <v>ЭТАЖ ЗАДАН ЧИСЛОМ</v>
      </c>
      <c r="P906" s="13" t="str">
        <f t="shared" si="102"/>
        <v>ЭТАЖ ЗАДАН ЧИСЛОМ</v>
      </c>
      <c r="Q906" s="13" t="str">
        <f t="shared" si="103"/>
        <v>ГОТОВ_ИЗМЕНЕН</v>
      </c>
      <c r="R906" s="13">
        <f>IFERROR(VLOOKUP(P906,Лист1!A$1:B$20,2,FALSE),0)</f>
        <v>784</v>
      </c>
      <c r="S906" s="13">
        <f t="shared" si="104"/>
        <v>0</v>
      </c>
    </row>
    <row r="907" spans="1:19" x14ac:dyDescent="0.25">
      <c r="A907" s="24" t="s">
        <v>2022</v>
      </c>
      <c r="B907" s="4" t="s">
        <v>1059</v>
      </c>
      <c r="C907" s="25" t="s">
        <v>5</v>
      </c>
      <c r="G907" s="25" t="s">
        <v>1174</v>
      </c>
      <c r="H907" s="24" t="s">
        <v>1061</v>
      </c>
      <c r="I907" s="3" t="str">
        <f>IFERROR(VLOOKUP(C907,'Справочник соответствий'!A$2:D$2981,2,FALSE),IF(VALUE(C907)=0,1,VLOOKUP(C907,'Справочник соответствий'!A$2:D$2981,2,FALSE)))</f>
        <v>1</v>
      </c>
      <c r="J907" s="3">
        <f>IFERROR(VLOOKUP(D907,'Справочник соответствий'!A$2:D$2981,2,FALSE),IF(VALUE(D907)=0,0,VLOOKUP(D907,'Справочник соответствий'!A$2:D$2981,2,FALSE)))</f>
        <v>0</v>
      </c>
      <c r="K907" s="3" t="str">
        <f t="shared" si="98"/>
        <v>1</v>
      </c>
      <c r="L907" s="13" t="str">
        <f>IFERROR(VLOOKUP(C907,'Справочник соответствий'!A$2:D$2981,3,FALSE),IF(VALUE(C907)=0,"ЭТАЖ НЕ ОПРЕДЕЛЕН. ПРИНЯТ ПО ДОПУЩЕНИЮ 1",VLOOKUP(C907,'Справочник соответствий'!A$2:D$2981,3,FALSE)))</f>
        <v>ЭТАЖ ЗАДАН ЧИСЛОМ</v>
      </c>
      <c r="M907" s="13" t="b">
        <f t="shared" si="99"/>
        <v>0</v>
      </c>
      <c r="N907" s="13">
        <f t="shared" si="100"/>
        <v>1</v>
      </c>
      <c r="O907" s="13" t="str">
        <f t="shared" si="101"/>
        <v>ЭТАЖ ЗАДАН ЧИСЛОМ</v>
      </c>
      <c r="P907" s="13" t="str">
        <f t="shared" si="102"/>
        <v>ЭТАЖ ЗАДАН ЧИСЛОМ</v>
      </c>
      <c r="Q907" s="13" t="str">
        <f t="shared" si="103"/>
        <v>ГОТОВ_ИЗМЕНЕН</v>
      </c>
      <c r="R907" s="13">
        <f>IFERROR(VLOOKUP(P907,Лист1!A$1:B$20,2,FALSE),0)</f>
        <v>784</v>
      </c>
      <c r="S907" s="13">
        <f t="shared" si="104"/>
        <v>0</v>
      </c>
    </row>
    <row r="908" spans="1:19" x14ac:dyDescent="0.25">
      <c r="A908" s="24" t="s">
        <v>2023</v>
      </c>
      <c r="B908" s="4" t="s">
        <v>1063</v>
      </c>
      <c r="C908" s="25" t="s">
        <v>5</v>
      </c>
      <c r="G908" s="25" t="s">
        <v>1072</v>
      </c>
      <c r="H908" s="24" t="s">
        <v>1061</v>
      </c>
      <c r="I908" s="3" t="str">
        <f>IFERROR(VLOOKUP(C908,'Справочник соответствий'!A$2:D$2981,2,FALSE),IF(VALUE(C908)=0,1,VLOOKUP(C908,'Справочник соответствий'!A$2:D$2981,2,FALSE)))</f>
        <v>1</v>
      </c>
      <c r="J908" s="3">
        <f>IFERROR(VLOOKUP(D908,'Справочник соответствий'!A$2:D$2981,2,FALSE),IF(VALUE(D908)=0,0,VLOOKUP(D908,'Справочник соответствий'!A$2:D$2981,2,FALSE)))</f>
        <v>0</v>
      </c>
      <c r="K908" s="3" t="str">
        <f t="shared" si="98"/>
        <v>1</v>
      </c>
      <c r="L908" s="13" t="str">
        <f>IFERROR(VLOOKUP(C908,'Справочник соответствий'!A$2:D$2981,3,FALSE),IF(VALUE(C908)=0,"ЭТАЖ НЕ ОПРЕДЕЛЕН. ПРИНЯТ ПО ДОПУЩЕНИЮ 1",VLOOKUP(C908,'Справочник соответствий'!A$2:D$2981,3,FALSE)))</f>
        <v>ЭТАЖ ЗАДАН ЧИСЛОМ</v>
      </c>
      <c r="M908" s="13" t="b">
        <f t="shared" si="99"/>
        <v>0</v>
      </c>
      <c r="N908" s="13">
        <f t="shared" si="100"/>
        <v>1</v>
      </c>
      <c r="O908" s="13" t="str">
        <f t="shared" si="101"/>
        <v>ЭТАЖ ЗАДАН ЧИСЛОМ</v>
      </c>
      <c r="P908" s="13" t="str">
        <f t="shared" si="102"/>
        <v>ЭТАЖ ЗАДАН ЧИСЛОМ</v>
      </c>
      <c r="Q908" s="13" t="str">
        <f t="shared" si="103"/>
        <v>ГОТОВ_ИЗМЕНЕН</v>
      </c>
      <c r="R908" s="13">
        <f>IFERROR(VLOOKUP(P908,Лист1!A$1:B$20,2,FALSE),0)</f>
        <v>784</v>
      </c>
      <c r="S908" s="13">
        <f t="shared" si="104"/>
        <v>0</v>
      </c>
    </row>
    <row r="909" spans="1:19" x14ac:dyDescent="0.25">
      <c r="A909" s="24" t="s">
        <v>2024</v>
      </c>
      <c r="B909" s="4" t="s">
        <v>1059</v>
      </c>
      <c r="C909" s="25" t="s">
        <v>5</v>
      </c>
      <c r="G909" s="25" t="s">
        <v>1072</v>
      </c>
      <c r="H909" s="24" t="s">
        <v>1061</v>
      </c>
      <c r="I909" s="3" t="str">
        <f>IFERROR(VLOOKUP(C909,'Справочник соответствий'!A$2:D$2981,2,FALSE),IF(VALUE(C909)=0,1,VLOOKUP(C909,'Справочник соответствий'!A$2:D$2981,2,FALSE)))</f>
        <v>1</v>
      </c>
      <c r="J909" s="3">
        <f>IFERROR(VLOOKUP(D909,'Справочник соответствий'!A$2:D$2981,2,FALSE),IF(VALUE(D909)=0,0,VLOOKUP(D909,'Справочник соответствий'!A$2:D$2981,2,FALSE)))</f>
        <v>0</v>
      </c>
      <c r="K909" s="3" t="str">
        <f t="shared" si="98"/>
        <v>1</v>
      </c>
      <c r="L909" s="13" t="str">
        <f>IFERROR(VLOOKUP(C909,'Справочник соответствий'!A$2:D$2981,3,FALSE),IF(VALUE(C909)=0,"ЭТАЖ НЕ ОПРЕДЕЛЕН. ПРИНЯТ ПО ДОПУЩЕНИЮ 1",VLOOKUP(C909,'Справочник соответствий'!A$2:D$2981,3,FALSE)))</f>
        <v>ЭТАЖ ЗАДАН ЧИСЛОМ</v>
      </c>
      <c r="M909" s="13" t="b">
        <f t="shared" si="99"/>
        <v>0</v>
      </c>
      <c r="N909" s="13">
        <f t="shared" si="100"/>
        <v>1</v>
      </c>
      <c r="O909" s="13" t="str">
        <f t="shared" si="101"/>
        <v>ЭТАЖ ЗАДАН ЧИСЛОМ</v>
      </c>
      <c r="P909" s="13" t="str">
        <f t="shared" si="102"/>
        <v>ЭТАЖ ЗАДАН ЧИСЛОМ</v>
      </c>
      <c r="Q909" s="13" t="str">
        <f t="shared" si="103"/>
        <v>ГОТОВ_ИЗМЕНЕН</v>
      </c>
      <c r="R909" s="13">
        <f>IFERROR(VLOOKUP(P909,Лист1!A$1:B$20,2,FALSE),0)</f>
        <v>784</v>
      </c>
      <c r="S909" s="13">
        <f t="shared" si="104"/>
        <v>0</v>
      </c>
    </row>
    <row r="910" spans="1:19" x14ac:dyDescent="0.25">
      <c r="A910" s="24" t="s">
        <v>2025</v>
      </c>
      <c r="B910" s="4" t="s">
        <v>1031</v>
      </c>
      <c r="C910" s="25" t="s">
        <v>162</v>
      </c>
      <c r="D910" s="25" t="s">
        <v>7</v>
      </c>
      <c r="G910" s="25" t="s">
        <v>1069</v>
      </c>
      <c r="H910" s="24" t="s">
        <v>1061</v>
      </c>
      <c r="I910" s="3" t="str">
        <f>IFERROR(VLOOKUP(C910,'Справочник соответствий'!A$2:D$2981,2,FALSE),IF(VALUE(C910)=0,1,VLOOKUP(C910,'Справочник соответствий'!A$2:D$2981,2,FALSE)))</f>
        <v>36</v>
      </c>
      <c r="J910" s="3" t="str">
        <f>IFERROR(VLOOKUP(D910,'Справочник соответствий'!A$2:D$2981,2,FALSE),IF(VALUE(D910)=0,0,VLOOKUP(D910,'Справочник соответствий'!A$2:D$2981,2,FALSE)))</f>
        <v>2</v>
      </c>
      <c r="K910" s="3">
        <f t="shared" si="98"/>
        <v>34</v>
      </c>
      <c r="L910" s="13" t="str">
        <f>IFERROR(VLOOKUP(C910,'Справочник соответствий'!A$2:D$2981,3,FALSE),IF(VALUE(C910)=0,"ЭТАЖ НЕ ОПРЕДЕЛЕН. ПРИНЯТ ПО ДОПУЩЕНИЮ 1",VLOOKUP(C910,'Справочник соответствий'!A$2:D$2981,3,FALSE)))</f>
        <v>ЭТАЖ ЗАДАН ЧИСЛОМ</v>
      </c>
      <c r="M910" s="13" t="b">
        <f t="shared" si="99"/>
        <v>0</v>
      </c>
      <c r="N910" s="13">
        <f t="shared" si="100"/>
        <v>34</v>
      </c>
      <c r="O910" s="13" t="str">
        <f t="shared" si="101"/>
        <v>ЭТАЖ ЗАДАН ЧИСЛОМ</v>
      </c>
      <c r="P910" s="13" t="str">
        <f t="shared" si="102"/>
        <v>МКД_ЭТАЖ ЗАДАН ЧИСЛОМ</v>
      </c>
      <c r="Q910" s="13" t="str">
        <f t="shared" si="103"/>
        <v>ГОТОВ_ИЗМЕНЕН</v>
      </c>
      <c r="R910" s="13">
        <f>IFERROR(VLOOKUP(P910,Лист1!A$1:B$20,2,FALSE),0)</f>
        <v>786</v>
      </c>
      <c r="S910" s="13">
        <f t="shared" si="104"/>
        <v>0</v>
      </c>
    </row>
    <row r="911" spans="1:19" x14ac:dyDescent="0.25">
      <c r="A911" s="24" t="s">
        <v>2026</v>
      </c>
      <c r="B911" s="4" t="s">
        <v>1063</v>
      </c>
      <c r="C911" s="25" t="s">
        <v>5</v>
      </c>
      <c r="G911" s="25" t="s">
        <v>1089</v>
      </c>
      <c r="H911" s="24" t="s">
        <v>1061</v>
      </c>
      <c r="I911" s="3" t="str">
        <f>IFERROR(VLOOKUP(C911,'Справочник соответствий'!A$2:D$2981,2,FALSE),IF(VALUE(C911)=0,1,VLOOKUP(C911,'Справочник соответствий'!A$2:D$2981,2,FALSE)))</f>
        <v>1</v>
      </c>
      <c r="J911" s="3">
        <f>IFERROR(VLOOKUP(D911,'Справочник соответствий'!A$2:D$2981,2,FALSE),IF(VALUE(D911)=0,0,VLOOKUP(D911,'Справочник соответствий'!A$2:D$2981,2,FALSE)))</f>
        <v>0</v>
      </c>
      <c r="K911" s="3" t="str">
        <f t="shared" si="98"/>
        <v>1</v>
      </c>
      <c r="L911" s="13" t="str">
        <f>IFERROR(VLOOKUP(C911,'Справочник соответствий'!A$2:D$2981,3,FALSE),IF(VALUE(C911)=0,"ЭТАЖ НЕ ОПРЕДЕЛЕН. ПРИНЯТ ПО ДОПУЩЕНИЮ 1",VLOOKUP(C911,'Справочник соответствий'!A$2:D$2981,3,FALSE)))</f>
        <v>ЭТАЖ ЗАДАН ЧИСЛОМ</v>
      </c>
      <c r="M911" s="13" t="b">
        <f t="shared" si="99"/>
        <v>0</v>
      </c>
      <c r="N911" s="13">
        <f t="shared" si="100"/>
        <v>1</v>
      </c>
      <c r="O911" s="13" t="str">
        <f t="shared" si="101"/>
        <v>ЭТАЖ ЗАДАН ЧИСЛОМ</v>
      </c>
      <c r="P911" s="13" t="str">
        <f t="shared" si="102"/>
        <v>ЭТАЖ ЗАДАН ЧИСЛОМ</v>
      </c>
      <c r="Q911" s="13" t="str">
        <f t="shared" si="103"/>
        <v>ГОТОВ_ИЗМЕНЕН</v>
      </c>
      <c r="R911" s="13">
        <f>IFERROR(VLOOKUP(P911,Лист1!A$1:B$20,2,FALSE),0)</f>
        <v>784</v>
      </c>
      <c r="S911" s="13">
        <f t="shared" si="104"/>
        <v>0</v>
      </c>
    </row>
    <row r="912" spans="1:19" x14ac:dyDescent="0.25">
      <c r="A912" s="24" t="s">
        <v>2027</v>
      </c>
      <c r="B912" s="4" t="s">
        <v>1059</v>
      </c>
      <c r="C912" s="25" t="s">
        <v>7</v>
      </c>
      <c r="G912" s="25" t="s">
        <v>1069</v>
      </c>
      <c r="H912" s="24" t="s">
        <v>1061</v>
      </c>
      <c r="I912" s="3" t="str">
        <f>IFERROR(VLOOKUP(C912,'Справочник соответствий'!A$2:D$2981,2,FALSE),IF(VALUE(C912)=0,1,VLOOKUP(C912,'Справочник соответствий'!A$2:D$2981,2,FALSE)))</f>
        <v>2</v>
      </c>
      <c r="J912" s="3">
        <f>IFERROR(VLOOKUP(D912,'Справочник соответствий'!A$2:D$2981,2,FALSE),IF(VALUE(D912)=0,0,VLOOKUP(D912,'Справочник соответствий'!A$2:D$2981,2,FALSE)))</f>
        <v>0</v>
      </c>
      <c r="K912" s="3" t="str">
        <f t="shared" si="98"/>
        <v>2</v>
      </c>
      <c r="L912" s="13" t="str">
        <f>IFERROR(VLOOKUP(C912,'Справочник соответствий'!A$2:D$2981,3,FALSE),IF(VALUE(C912)=0,"ЭТАЖ НЕ ОПРЕДЕЛЕН. ПРИНЯТ ПО ДОПУЩЕНИЮ 1",VLOOKUP(C912,'Справочник соответствий'!A$2:D$2981,3,FALSE)))</f>
        <v>ЭТАЖ ЗАДАН ЧИСЛОМ</v>
      </c>
      <c r="M912" s="13" t="b">
        <f t="shared" si="99"/>
        <v>0</v>
      </c>
      <c r="N912" s="13">
        <f t="shared" si="100"/>
        <v>2</v>
      </c>
      <c r="O912" s="13" t="str">
        <f t="shared" si="101"/>
        <v>ЭТАЖ ЗАДАН ЧИСЛОМ</v>
      </c>
      <c r="P912" s="13" t="str">
        <f t="shared" si="102"/>
        <v>ЭТАЖ ЗАДАН ЧИСЛОМ</v>
      </c>
      <c r="Q912" s="13" t="str">
        <f t="shared" si="103"/>
        <v>ГОТОВ_ИЗМЕНЕН</v>
      </c>
      <c r="R912" s="13">
        <f>IFERROR(VLOOKUP(P912,Лист1!A$1:B$20,2,FALSE),0)</f>
        <v>784</v>
      </c>
      <c r="S912" s="13">
        <f t="shared" si="104"/>
        <v>0</v>
      </c>
    </row>
    <row r="913" spans="1:19" x14ac:dyDescent="0.25">
      <c r="A913" s="24" t="s">
        <v>2028</v>
      </c>
      <c r="B913" s="4" t="s">
        <v>1059</v>
      </c>
      <c r="C913" s="25" t="s">
        <v>5</v>
      </c>
      <c r="G913" s="25" t="s">
        <v>1069</v>
      </c>
      <c r="H913" s="24" t="s">
        <v>1061</v>
      </c>
      <c r="I913" s="3" t="str">
        <f>IFERROR(VLOOKUP(C913,'Справочник соответствий'!A$2:D$2981,2,FALSE),IF(VALUE(C913)=0,1,VLOOKUP(C913,'Справочник соответствий'!A$2:D$2981,2,FALSE)))</f>
        <v>1</v>
      </c>
      <c r="J913" s="3">
        <f>IFERROR(VLOOKUP(D913,'Справочник соответствий'!A$2:D$2981,2,FALSE),IF(VALUE(D913)=0,0,VLOOKUP(D913,'Справочник соответствий'!A$2:D$2981,2,FALSE)))</f>
        <v>0</v>
      </c>
      <c r="K913" s="3" t="str">
        <f t="shared" si="98"/>
        <v>1</v>
      </c>
      <c r="L913" s="13" t="str">
        <f>IFERROR(VLOOKUP(C913,'Справочник соответствий'!A$2:D$2981,3,FALSE),IF(VALUE(C913)=0,"ЭТАЖ НЕ ОПРЕДЕЛЕН. ПРИНЯТ ПО ДОПУЩЕНИЮ 1",VLOOKUP(C913,'Справочник соответствий'!A$2:D$2981,3,FALSE)))</f>
        <v>ЭТАЖ ЗАДАН ЧИСЛОМ</v>
      </c>
      <c r="M913" s="13" t="b">
        <f t="shared" si="99"/>
        <v>0</v>
      </c>
      <c r="N913" s="13">
        <f t="shared" si="100"/>
        <v>1</v>
      </c>
      <c r="O913" s="13" t="str">
        <f t="shared" si="101"/>
        <v>ЭТАЖ ЗАДАН ЧИСЛОМ</v>
      </c>
      <c r="P913" s="13" t="str">
        <f t="shared" si="102"/>
        <v>ЭТАЖ ЗАДАН ЧИСЛОМ</v>
      </c>
      <c r="Q913" s="13" t="str">
        <f t="shared" si="103"/>
        <v>ГОТОВ_ИЗМЕНЕН</v>
      </c>
      <c r="R913" s="13">
        <f>IFERROR(VLOOKUP(P913,Лист1!A$1:B$20,2,FALSE),0)</f>
        <v>784</v>
      </c>
      <c r="S913" s="13">
        <f t="shared" si="104"/>
        <v>0</v>
      </c>
    </row>
    <row r="914" spans="1:19" x14ac:dyDescent="0.25">
      <c r="A914" s="24" t="s">
        <v>2029</v>
      </c>
      <c r="B914" s="4" t="s">
        <v>1059</v>
      </c>
      <c r="C914" s="25" t="s">
        <v>7</v>
      </c>
      <c r="G914" s="25" t="s">
        <v>1108</v>
      </c>
      <c r="H914" s="24" t="s">
        <v>1061</v>
      </c>
      <c r="I914" s="3" t="str">
        <f>IFERROR(VLOOKUP(C914,'Справочник соответствий'!A$2:D$2981,2,FALSE),IF(VALUE(C914)=0,1,VLOOKUP(C914,'Справочник соответствий'!A$2:D$2981,2,FALSE)))</f>
        <v>2</v>
      </c>
      <c r="J914" s="3">
        <f>IFERROR(VLOOKUP(D914,'Справочник соответствий'!A$2:D$2981,2,FALSE),IF(VALUE(D914)=0,0,VLOOKUP(D914,'Справочник соответствий'!A$2:D$2981,2,FALSE)))</f>
        <v>0</v>
      </c>
      <c r="K914" s="3" t="str">
        <f t="shared" si="98"/>
        <v>2</v>
      </c>
      <c r="L914" s="13" t="str">
        <f>IFERROR(VLOOKUP(C914,'Справочник соответствий'!A$2:D$2981,3,FALSE),IF(VALUE(C914)=0,"ЭТАЖ НЕ ОПРЕДЕЛЕН. ПРИНЯТ ПО ДОПУЩЕНИЮ 1",VLOOKUP(C914,'Справочник соответствий'!A$2:D$2981,3,FALSE)))</f>
        <v>ЭТАЖ ЗАДАН ЧИСЛОМ</v>
      </c>
      <c r="M914" s="13" t="b">
        <f t="shared" si="99"/>
        <v>0</v>
      </c>
      <c r="N914" s="13">
        <f t="shared" si="100"/>
        <v>2</v>
      </c>
      <c r="O914" s="13" t="str">
        <f t="shared" si="101"/>
        <v>ЭТАЖ ЗАДАН ЧИСЛОМ</v>
      </c>
      <c r="P914" s="13" t="str">
        <f t="shared" si="102"/>
        <v>ЭТАЖ ЗАДАН ЧИСЛОМ</v>
      </c>
      <c r="Q914" s="13" t="str">
        <f t="shared" si="103"/>
        <v>ГОТОВ_ИЗМЕНЕН</v>
      </c>
      <c r="R914" s="13">
        <f>IFERROR(VLOOKUP(P914,Лист1!A$1:B$20,2,FALSE),0)</f>
        <v>784</v>
      </c>
      <c r="S914" s="13">
        <f t="shared" si="104"/>
        <v>0</v>
      </c>
    </row>
    <row r="915" spans="1:19" x14ac:dyDescent="0.25">
      <c r="A915" s="24" t="s">
        <v>2030</v>
      </c>
      <c r="B915" s="4" t="s">
        <v>1059</v>
      </c>
      <c r="C915" s="25" t="s">
        <v>5</v>
      </c>
      <c r="G915" s="25" t="s">
        <v>1108</v>
      </c>
      <c r="H915" s="24" t="s">
        <v>1061</v>
      </c>
      <c r="I915" s="3" t="str">
        <f>IFERROR(VLOOKUP(C915,'Справочник соответствий'!A$2:D$2981,2,FALSE),IF(VALUE(C915)=0,1,VLOOKUP(C915,'Справочник соответствий'!A$2:D$2981,2,FALSE)))</f>
        <v>1</v>
      </c>
      <c r="J915" s="3">
        <f>IFERROR(VLOOKUP(D915,'Справочник соответствий'!A$2:D$2981,2,FALSE),IF(VALUE(D915)=0,0,VLOOKUP(D915,'Справочник соответствий'!A$2:D$2981,2,FALSE)))</f>
        <v>0</v>
      </c>
      <c r="K915" s="3" t="str">
        <f t="shared" si="98"/>
        <v>1</v>
      </c>
      <c r="L915" s="13" t="str">
        <f>IFERROR(VLOOKUP(C915,'Справочник соответствий'!A$2:D$2981,3,FALSE),IF(VALUE(C915)=0,"ЭТАЖ НЕ ОПРЕДЕЛЕН. ПРИНЯТ ПО ДОПУЩЕНИЮ 1",VLOOKUP(C915,'Справочник соответствий'!A$2:D$2981,3,FALSE)))</f>
        <v>ЭТАЖ ЗАДАН ЧИСЛОМ</v>
      </c>
      <c r="M915" s="13" t="b">
        <f t="shared" si="99"/>
        <v>0</v>
      </c>
      <c r="N915" s="13">
        <f t="shared" si="100"/>
        <v>1</v>
      </c>
      <c r="O915" s="13" t="str">
        <f t="shared" si="101"/>
        <v>ЭТАЖ ЗАДАН ЧИСЛОМ</v>
      </c>
      <c r="P915" s="13" t="str">
        <f t="shared" si="102"/>
        <v>ЭТАЖ ЗАДАН ЧИСЛОМ</v>
      </c>
      <c r="Q915" s="13" t="str">
        <f t="shared" si="103"/>
        <v>ГОТОВ_ИЗМЕНЕН</v>
      </c>
      <c r="R915" s="13">
        <f>IFERROR(VLOOKUP(P915,Лист1!A$1:B$20,2,FALSE),0)</f>
        <v>784</v>
      </c>
      <c r="S915" s="13">
        <f t="shared" si="104"/>
        <v>0</v>
      </c>
    </row>
    <row r="916" spans="1:19" x14ac:dyDescent="0.25">
      <c r="A916" s="24" t="s">
        <v>2031</v>
      </c>
      <c r="B916" s="4" t="s">
        <v>1059</v>
      </c>
      <c r="C916" s="25" t="s">
        <v>7</v>
      </c>
      <c r="G916" s="25" t="s">
        <v>1108</v>
      </c>
      <c r="H916" s="24" t="s">
        <v>1061</v>
      </c>
      <c r="I916" s="3" t="str">
        <f>IFERROR(VLOOKUP(C916,'Справочник соответствий'!A$2:D$2981,2,FALSE),IF(VALUE(C916)=0,1,VLOOKUP(C916,'Справочник соответствий'!A$2:D$2981,2,FALSE)))</f>
        <v>2</v>
      </c>
      <c r="J916" s="3">
        <f>IFERROR(VLOOKUP(D916,'Справочник соответствий'!A$2:D$2981,2,FALSE),IF(VALUE(D916)=0,0,VLOOKUP(D916,'Справочник соответствий'!A$2:D$2981,2,FALSE)))</f>
        <v>0</v>
      </c>
      <c r="K916" s="3" t="str">
        <f t="shared" si="98"/>
        <v>2</v>
      </c>
      <c r="L916" s="13" t="str">
        <f>IFERROR(VLOOKUP(C916,'Справочник соответствий'!A$2:D$2981,3,FALSE),IF(VALUE(C916)=0,"ЭТАЖ НЕ ОПРЕДЕЛЕН. ПРИНЯТ ПО ДОПУЩЕНИЮ 1",VLOOKUP(C916,'Справочник соответствий'!A$2:D$2981,3,FALSE)))</f>
        <v>ЭТАЖ ЗАДАН ЧИСЛОМ</v>
      </c>
      <c r="M916" s="13" t="b">
        <f t="shared" si="99"/>
        <v>0</v>
      </c>
      <c r="N916" s="13">
        <f t="shared" si="100"/>
        <v>2</v>
      </c>
      <c r="O916" s="13" t="str">
        <f t="shared" si="101"/>
        <v>ЭТАЖ ЗАДАН ЧИСЛОМ</v>
      </c>
      <c r="P916" s="13" t="str">
        <f t="shared" si="102"/>
        <v>ЭТАЖ ЗАДАН ЧИСЛОМ</v>
      </c>
      <c r="Q916" s="13" t="str">
        <f t="shared" si="103"/>
        <v>ГОТОВ_ИЗМЕНЕН</v>
      </c>
      <c r="R916" s="13">
        <f>IFERROR(VLOOKUP(P916,Лист1!A$1:B$20,2,FALSE),0)</f>
        <v>784</v>
      </c>
      <c r="S916" s="13">
        <f t="shared" si="104"/>
        <v>0</v>
      </c>
    </row>
    <row r="917" spans="1:19" x14ac:dyDescent="0.25">
      <c r="A917" s="24" t="s">
        <v>2032</v>
      </c>
      <c r="B917" s="4" t="s">
        <v>1059</v>
      </c>
      <c r="C917" s="25" t="s">
        <v>5</v>
      </c>
      <c r="G917" s="25" t="s">
        <v>1174</v>
      </c>
      <c r="H917" s="24" t="s">
        <v>1061</v>
      </c>
      <c r="I917" s="3" t="str">
        <f>IFERROR(VLOOKUP(C917,'Справочник соответствий'!A$2:D$2981,2,FALSE),IF(VALUE(C917)=0,1,VLOOKUP(C917,'Справочник соответствий'!A$2:D$2981,2,FALSE)))</f>
        <v>1</v>
      </c>
      <c r="J917" s="3">
        <f>IFERROR(VLOOKUP(D917,'Справочник соответствий'!A$2:D$2981,2,FALSE),IF(VALUE(D917)=0,0,VLOOKUP(D917,'Справочник соответствий'!A$2:D$2981,2,FALSE)))</f>
        <v>0</v>
      </c>
      <c r="K917" s="3" t="str">
        <f t="shared" si="98"/>
        <v>1</v>
      </c>
      <c r="L917" s="13" t="str">
        <f>IFERROR(VLOOKUP(C917,'Справочник соответствий'!A$2:D$2981,3,FALSE),IF(VALUE(C917)=0,"ЭТАЖ НЕ ОПРЕДЕЛЕН. ПРИНЯТ ПО ДОПУЩЕНИЮ 1",VLOOKUP(C917,'Справочник соответствий'!A$2:D$2981,3,FALSE)))</f>
        <v>ЭТАЖ ЗАДАН ЧИСЛОМ</v>
      </c>
      <c r="M917" s="13" t="b">
        <f t="shared" si="99"/>
        <v>0</v>
      </c>
      <c r="N917" s="13">
        <f t="shared" si="100"/>
        <v>1</v>
      </c>
      <c r="O917" s="13" t="str">
        <f t="shared" si="101"/>
        <v>ЭТАЖ ЗАДАН ЧИСЛОМ</v>
      </c>
      <c r="P917" s="13" t="str">
        <f t="shared" si="102"/>
        <v>ЭТАЖ ЗАДАН ЧИСЛОМ</v>
      </c>
      <c r="Q917" s="13" t="str">
        <f t="shared" si="103"/>
        <v>ГОТОВ_ИЗМЕНЕН</v>
      </c>
      <c r="R917" s="13">
        <f>IFERROR(VLOOKUP(P917,Лист1!A$1:B$20,2,FALSE),0)</f>
        <v>784</v>
      </c>
      <c r="S917" s="13">
        <f t="shared" si="104"/>
        <v>0</v>
      </c>
    </row>
    <row r="918" spans="1:19" x14ac:dyDescent="0.25">
      <c r="A918" s="24" t="s">
        <v>2033</v>
      </c>
      <c r="B918" s="4" t="s">
        <v>1063</v>
      </c>
      <c r="G918" s="25" t="s">
        <v>1089</v>
      </c>
      <c r="H918" s="24" t="s">
        <v>1061</v>
      </c>
      <c r="I918" s="3">
        <f>IFERROR(VLOOKUP(C918,'Справочник соответствий'!A$2:D$2981,2,FALSE),IF(VALUE(C918)=0,1,VLOOKUP(C918,'Справочник соответствий'!A$2:D$2981,2,FALSE)))</f>
        <v>1</v>
      </c>
      <c r="J918" s="3">
        <f>IFERROR(VLOOKUP(D918,'Справочник соответствий'!A$2:D$2981,2,FALSE),IF(VALUE(D918)=0,0,VLOOKUP(D918,'Справочник соответствий'!A$2:D$2981,2,FALSE)))</f>
        <v>0</v>
      </c>
      <c r="K918" s="3">
        <f t="shared" si="98"/>
        <v>1</v>
      </c>
      <c r="L918" s="13" t="str">
        <f>IFERROR(VLOOKUP(C918,'Справочник соответствий'!A$2:D$2981,3,FALSE),IF(VALUE(C918)=0,"ЭТАЖ НЕ ОПРЕДЕЛЕН. ПРИНЯТ ПО ДОПУЩЕНИЮ 1",VLOOKUP(C918,'Справочник соответствий'!A$2:D$2981,3,FALSE)))</f>
        <v>ЭТАЖ НЕ ОПРЕДЕЛЕН. ПРИНЯТ ПО ДОПУЩЕНИЮ 1</v>
      </c>
      <c r="M918" s="13" t="b">
        <f t="shared" si="99"/>
        <v>0</v>
      </c>
      <c r="N918" s="13">
        <f t="shared" si="100"/>
        <v>1</v>
      </c>
      <c r="O918" s="13" t="str">
        <f t="shared" si="101"/>
        <v>ЭТАЖ НЕ ОПРЕДЕЛЕН. ПРИНЯТ ПО ДОПУЩЕНИЮ 1</v>
      </c>
      <c r="P918" s="13" t="str">
        <f t="shared" si="102"/>
        <v>ЭТАЖ НЕ ОПРЕДЕЛЕН. ПРИНЯТ ПО ДОПУЩЕНИЮ 1</v>
      </c>
      <c r="Q918" s="13" t="str">
        <f t="shared" si="103"/>
        <v>ГОТОВ_ИЗМЕНЕН</v>
      </c>
      <c r="R918" s="13">
        <f>IFERROR(VLOOKUP(P918,Лист1!A$1:B$20,2,FALSE),0)</f>
        <v>788</v>
      </c>
      <c r="S918" s="13">
        <f t="shared" si="104"/>
        <v>0</v>
      </c>
    </row>
    <row r="919" spans="1:19" x14ac:dyDescent="0.25">
      <c r="A919" s="24" t="s">
        <v>2034</v>
      </c>
      <c r="B919" s="4" t="s">
        <v>1063</v>
      </c>
      <c r="C919" s="25" t="s">
        <v>8</v>
      </c>
      <c r="D919" s="25" t="s">
        <v>5</v>
      </c>
      <c r="G919" s="25" t="s">
        <v>1108</v>
      </c>
      <c r="H919" s="24" t="s">
        <v>1061</v>
      </c>
      <c r="I919" s="3" t="str">
        <f>IFERROR(VLOOKUP(C919,'Справочник соответствий'!A$2:D$2981,2,FALSE),IF(VALUE(C919)=0,1,VLOOKUP(C919,'Справочник соответствий'!A$2:D$2981,2,FALSE)))</f>
        <v>3</v>
      </c>
      <c r="J919" s="3" t="str">
        <f>IFERROR(VLOOKUP(D919,'Справочник соответствий'!A$2:D$2981,2,FALSE),IF(VALUE(D919)=0,0,VLOOKUP(D919,'Справочник соответствий'!A$2:D$2981,2,FALSE)))</f>
        <v>1</v>
      </c>
      <c r="K919" s="3" t="str">
        <f t="shared" si="98"/>
        <v>3</v>
      </c>
      <c r="L919" s="13" t="str">
        <f>IFERROR(VLOOKUP(C919,'Справочник соответствий'!A$2:D$2981,3,FALSE),IF(VALUE(C919)=0,"ЭТАЖ НЕ ОПРЕДЕЛЕН. ПРИНЯТ ПО ДОПУЩЕНИЮ 1",VLOOKUP(C919,'Справочник соответствий'!A$2:D$2981,3,FALSE)))</f>
        <v>ЭТАЖ ЗАДАН ЧИСЛОМ</v>
      </c>
      <c r="M919" s="13" t="b">
        <f t="shared" si="99"/>
        <v>0</v>
      </c>
      <c r="N919" s="13">
        <f t="shared" si="100"/>
        <v>3</v>
      </c>
      <c r="O919" s="13" t="str">
        <f t="shared" si="101"/>
        <v>ЭТАЖ ЗАДАН ЧИСЛОМ</v>
      </c>
      <c r="P919" s="13" t="str">
        <f t="shared" si="102"/>
        <v>ЭТАЖ ЗАДАН ЧИСЛОМ</v>
      </c>
      <c r="Q919" s="13" t="str">
        <f t="shared" si="103"/>
        <v>ГОТОВ_ИЗМЕНЕН</v>
      </c>
      <c r="R919" s="13">
        <f>IFERROR(VLOOKUP(P919,Лист1!A$1:B$20,2,FALSE),0)</f>
        <v>784</v>
      </c>
      <c r="S919" s="13">
        <f t="shared" si="104"/>
        <v>0</v>
      </c>
    </row>
    <row r="920" spans="1:19" x14ac:dyDescent="0.25">
      <c r="A920" s="24" t="s">
        <v>2035</v>
      </c>
      <c r="B920" s="4" t="s">
        <v>1059</v>
      </c>
      <c r="C920" s="25" t="s">
        <v>8</v>
      </c>
      <c r="G920" s="25" t="s">
        <v>1205</v>
      </c>
      <c r="H920" s="24" t="s">
        <v>1061</v>
      </c>
      <c r="I920" s="3" t="str">
        <f>IFERROR(VLOOKUP(C920,'Справочник соответствий'!A$2:D$2981,2,FALSE),IF(VALUE(C920)=0,1,VLOOKUP(C920,'Справочник соответствий'!A$2:D$2981,2,FALSE)))</f>
        <v>3</v>
      </c>
      <c r="J920" s="3">
        <f>IFERROR(VLOOKUP(D920,'Справочник соответствий'!A$2:D$2981,2,FALSE),IF(VALUE(D920)=0,0,VLOOKUP(D920,'Справочник соответствий'!A$2:D$2981,2,FALSE)))</f>
        <v>0</v>
      </c>
      <c r="K920" s="3" t="str">
        <f t="shared" si="98"/>
        <v>3</v>
      </c>
      <c r="L920" s="13" t="str">
        <f>IFERROR(VLOOKUP(C920,'Справочник соответствий'!A$2:D$2981,3,FALSE),IF(VALUE(C920)=0,"ЭТАЖ НЕ ОПРЕДЕЛЕН. ПРИНЯТ ПО ДОПУЩЕНИЮ 1",VLOOKUP(C920,'Справочник соответствий'!A$2:D$2981,3,FALSE)))</f>
        <v>ЭТАЖ ЗАДАН ЧИСЛОМ</v>
      </c>
      <c r="M920" s="13" t="b">
        <f t="shared" si="99"/>
        <v>0</v>
      </c>
      <c r="N920" s="13">
        <f t="shared" si="100"/>
        <v>3</v>
      </c>
      <c r="O920" s="13" t="str">
        <f t="shared" si="101"/>
        <v>ЭТАЖ ЗАДАН ЧИСЛОМ</v>
      </c>
      <c r="P920" s="13" t="str">
        <f t="shared" si="102"/>
        <v>ЭТАЖ ЗАДАН ЧИСЛОМ</v>
      </c>
      <c r="Q920" s="13" t="str">
        <f t="shared" si="103"/>
        <v>ГОТОВ_ИЗМЕНЕН</v>
      </c>
      <c r="R920" s="13">
        <f>IFERROR(VLOOKUP(P920,Лист1!A$1:B$20,2,FALSE),0)</f>
        <v>784</v>
      </c>
      <c r="S920" s="13">
        <f t="shared" si="104"/>
        <v>0</v>
      </c>
    </row>
    <row r="921" spans="1:19" x14ac:dyDescent="0.25">
      <c r="A921" s="24" t="s">
        <v>2036</v>
      </c>
      <c r="B921" s="4" t="s">
        <v>1059</v>
      </c>
      <c r="C921" s="25" t="s">
        <v>5</v>
      </c>
      <c r="G921" s="25" t="s">
        <v>1108</v>
      </c>
      <c r="H921" s="24" t="s">
        <v>1061</v>
      </c>
      <c r="I921" s="3" t="str">
        <f>IFERROR(VLOOKUP(C921,'Справочник соответствий'!A$2:D$2981,2,FALSE),IF(VALUE(C921)=0,1,VLOOKUP(C921,'Справочник соответствий'!A$2:D$2981,2,FALSE)))</f>
        <v>1</v>
      </c>
      <c r="J921" s="3">
        <f>IFERROR(VLOOKUP(D921,'Справочник соответствий'!A$2:D$2981,2,FALSE),IF(VALUE(D921)=0,0,VLOOKUP(D921,'Справочник соответствий'!A$2:D$2981,2,FALSE)))</f>
        <v>0</v>
      </c>
      <c r="K921" s="3" t="str">
        <f t="shared" si="98"/>
        <v>1</v>
      </c>
      <c r="L921" s="13" t="str">
        <f>IFERROR(VLOOKUP(C921,'Справочник соответствий'!A$2:D$2981,3,FALSE),IF(VALUE(C921)=0,"ЭТАЖ НЕ ОПРЕДЕЛЕН. ПРИНЯТ ПО ДОПУЩЕНИЮ 1",VLOOKUP(C921,'Справочник соответствий'!A$2:D$2981,3,FALSE)))</f>
        <v>ЭТАЖ ЗАДАН ЧИСЛОМ</v>
      </c>
      <c r="M921" s="13" t="b">
        <f t="shared" si="99"/>
        <v>0</v>
      </c>
      <c r="N921" s="13">
        <f t="shared" si="100"/>
        <v>1</v>
      </c>
      <c r="O921" s="13" t="str">
        <f t="shared" si="101"/>
        <v>ЭТАЖ ЗАДАН ЧИСЛОМ</v>
      </c>
      <c r="P921" s="13" t="str">
        <f t="shared" si="102"/>
        <v>ЭТАЖ ЗАДАН ЧИСЛОМ</v>
      </c>
      <c r="Q921" s="13" t="str">
        <f t="shared" si="103"/>
        <v>ГОТОВ_ИЗМЕНЕН</v>
      </c>
      <c r="R921" s="13">
        <f>IFERROR(VLOOKUP(P921,Лист1!A$1:B$20,2,FALSE),0)</f>
        <v>784</v>
      </c>
      <c r="S921" s="13">
        <f t="shared" si="104"/>
        <v>0</v>
      </c>
    </row>
    <row r="922" spans="1:19" x14ac:dyDescent="0.25">
      <c r="A922" s="24" t="s">
        <v>2037</v>
      </c>
      <c r="B922" s="4" t="s">
        <v>1063</v>
      </c>
      <c r="G922" s="25" t="s">
        <v>1108</v>
      </c>
      <c r="H922" s="24" t="s">
        <v>1061</v>
      </c>
      <c r="I922" s="3">
        <f>IFERROR(VLOOKUP(C922,'Справочник соответствий'!A$2:D$2981,2,FALSE),IF(VALUE(C922)=0,1,VLOOKUP(C922,'Справочник соответствий'!A$2:D$2981,2,FALSE)))</f>
        <v>1</v>
      </c>
      <c r="J922" s="3">
        <f>IFERROR(VLOOKUP(D922,'Справочник соответствий'!A$2:D$2981,2,FALSE),IF(VALUE(D922)=0,0,VLOOKUP(D922,'Справочник соответствий'!A$2:D$2981,2,FALSE)))</f>
        <v>0</v>
      </c>
      <c r="K922" s="3">
        <f t="shared" si="98"/>
        <v>1</v>
      </c>
      <c r="L922" s="13" t="str">
        <f>IFERROR(VLOOKUP(C922,'Справочник соответствий'!A$2:D$2981,3,FALSE),IF(VALUE(C922)=0,"ЭТАЖ НЕ ОПРЕДЕЛЕН. ПРИНЯТ ПО ДОПУЩЕНИЮ 1",VLOOKUP(C922,'Справочник соответствий'!A$2:D$2981,3,FALSE)))</f>
        <v>ЭТАЖ НЕ ОПРЕДЕЛЕН. ПРИНЯТ ПО ДОПУЩЕНИЮ 1</v>
      </c>
      <c r="M922" s="13" t="b">
        <f t="shared" si="99"/>
        <v>0</v>
      </c>
      <c r="N922" s="13">
        <f t="shared" si="100"/>
        <v>1</v>
      </c>
      <c r="O922" s="13" t="str">
        <f t="shared" si="101"/>
        <v>ЭТАЖ НЕ ОПРЕДЕЛЕН. ПРИНЯТ ПО ДОПУЩЕНИЮ 1</v>
      </c>
      <c r="P922" s="13" t="str">
        <f t="shared" si="102"/>
        <v>ЭТАЖ НЕ ОПРЕДЕЛЕН. ПРИНЯТ ПО ДОПУЩЕНИЮ 1</v>
      </c>
      <c r="Q922" s="13" t="str">
        <f t="shared" si="103"/>
        <v>ГОТОВ_ИЗМЕНЕН</v>
      </c>
      <c r="R922" s="13">
        <f>IFERROR(VLOOKUP(P922,Лист1!A$1:B$20,2,FALSE),0)</f>
        <v>788</v>
      </c>
      <c r="S922" s="13">
        <f t="shared" si="104"/>
        <v>0</v>
      </c>
    </row>
    <row r="923" spans="1:19" x14ac:dyDescent="0.25">
      <c r="A923" s="24" t="s">
        <v>2038</v>
      </c>
      <c r="B923" s="4" t="s">
        <v>1063</v>
      </c>
      <c r="C923" s="25" t="s">
        <v>5</v>
      </c>
      <c r="G923" s="25" t="s">
        <v>1108</v>
      </c>
      <c r="H923" s="24" t="s">
        <v>1061</v>
      </c>
      <c r="I923" s="3" t="str">
        <f>IFERROR(VLOOKUP(C923,'Справочник соответствий'!A$2:D$2981,2,FALSE),IF(VALUE(C923)=0,1,VLOOKUP(C923,'Справочник соответствий'!A$2:D$2981,2,FALSE)))</f>
        <v>1</v>
      </c>
      <c r="J923" s="3">
        <f>IFERROR(VLOOKUP(D923,'Справочник соответствий'!A$2:D$2981,2,FALSE),IF(VALUE(D923)=0,0,VLOOKUP(D923,'Справочник соответствий'!A$2:D$2981,2,FALSE)))</f>
        <v>0</v>
      </c>
      <c r="K923" s="3" t="str">
        <f t="shared" si="98"/>
        <v>1</v>
      </c>
      <c r="L923" s="13" t="str">
        <f>IFERROR(VLOOKUP(C923,'Справочник соответствий'!A$2:D$2981,3,FALSE),IF(VALUE(C923)=0,"ЭТАЖ НЕ ОПРЕДЕЛЕН. ПРИНЯТ ПО ДОПУЩЕНИЮ 1",VLOOKUP(C923,'Справочник соответствий'!A$2:D$2981,3,FALSE)))</f>
        <v>ЭТАЖ ЗАДАН ЧИСЛОМ</v>
      </c>
      <c r="M923" s="13" t="b">
        <f t="shared" si="99"/>
        <v>0</v>
      </c>
      <c r="N923" s="13">
        <f t="shared" si="100"/>
        <v>1</v>
      </c>
      <c r="O923" s="13" t="str">
        <f t="shared" si="101"/>
        <v>ЭТАЖ ЗАДАН ЧИСЛОМ</v>
      </c>
      <c r="P923" s="13" t="str">
        <f t="shared" si="102"/>
        <v>ЭТАЖ ЗАДАН ЧИСЛОМ</v>
      </c>
      <c r="Q923" s="13" t="str">
        <f t="shared" si="103"/>
        <v>ГОТОВ_ИЗМЕНЕН</v>
      </c>
      <c r="R923" s="13">
        <f>IFERROR(VLOOKUP(P923,Лист1!A$1:B$20,2,FALSE),0)</f>
        <v>784</v>
      </c>
      <c r="S923" s="13">
        <f t="shared" si="104"/>
        <v>0</v>
      </c>
    </row>
    <row r="924" spans="1:19" x14ac:dyDescent="0.25">
      <c r="A924" s="24" t="s">
        <v>2039</v>
      </c>
      <c r="B924" s="4" t="s">
        <v>1059</v>
      </c>
      <c r="G924" s="25" t="s">
        <v>1089</v>
      </c>
      <c r="H924" s="24" t="s">
        <v>1061</v>
      </c>
      <c r="I924" s="3">
        <f>IFERROR(VLOOKUP(C924,'Справочник соответствий'!A$2:D$2981,2,FALSE),IF(VALUE(C924)=0,1,VLOOKUP(C924,'Справочник соответствий'!A$2:D$2981,2,FALSE)))</f>
        <v>1</v>
      </c>
      <c r="J924" s="3">
        <f>IFERROR(VLOOKUP(D924,'Справочник соответствий'!A$2:D$2981,2,FALSE),IF(VALUE(D924)=0,0,VLOOKUP(D924,'Справочник соответствий'!A$2:D$2981,2,FALSE)))</f>
        <v>0</v>
      </c>
      <c r="K924" s="3">
        <f t="shared" si="98"/>
        <v>1</v>
      </c>
      <c r="L924" s="13" t="str">
        <f>IFERROR(VLOOKUP(C924,'Справочник соответствий'!A$2:D$2981,3,FALSE),IF(VALUE(C924)=0,"ЭТАЖ НЕ ОПРЕДЕЛЕН. ПРИНЯТ ПО ДОПУЩЕНИЮ 1",VLOOKUP(C924,'Справочник соответствий'!A$2:D$2981,3,FALSE)))</f>
        <v>ЭТАЖ НЕ ОПРЕДЕЛЕН. ПРИНЯТ ПО ДОПУЩЕНИЮ 1</v>
      </c>
      <c r="M924" s="13" t="b">
        <f t="shared" si="99"/>
        <v>0</v>
      </c>
      <c r="N924" s="13">
        <f t="shared" si="100"/>
        <v>1</v>
      </c>
      <c r="O924" s="13" t="str">
        <f t="shared" si="101"/>
        <v>ЭТАЖ НЕ ОПРЕДЕЛЕН. ПРИНЯТ ПО ДОПУЩЕНИЮ 1</v>
      </c>
      <c r="P924" s="13" t="str">
        <f t="shared" si="102"/>
        <v>ЭТАЖ НЕ ОПРЕДЕЛЕН. ПРИНЯТ ПО ДОПУЩЕНИЮ 1</v>
      </c>
      <c r="Q924" s="13" t="str">
        <f t="shared" si="103"/>
        <v>ГОТОВ_ИЗМЕНЕН</v>
      </c>
      <c r="R924" s="13">
        <f>IFERROR(VLOOKUP(P924,Лист1!A$1:B$20,2,FALSE),0)</f>
        <v>788</v>
      </c>
      <c r="S924" s="13">
        <f t="shared" si="104"/>
        <v>0</v>
      </c>
    </row>
    <row r="925" spans="1:19" x14ac:dyDescent="0.25">
      <c r="A925" s="24" t="s">
        <v>2040</v>
      </c>
      <c r="B925" s="4" t="s">
        <v>1059</v>
      </c>
      <c r="C925" s="25" t="s">
        <v>5</v>
      </c>
      <c r="G925" s="25" t="s">
        <v>1108</v>
      </c>
      <c r="H925" s="24" t="s">
        <v>1061</v>
      </c>
      <c r="I925" s="3" t="str">
        <f>IFERROR(VLOOKUP(C925,'Справочник соответствий'!A$2:D$2981,2,FALSE),IF(VALUE(C925)=0,1,VLOOKUP(C925,'Справочник соответствий'!A$2:D$2981,2,FALSE)))</f>
        <v>1</v>
      </c>
      <c r="J925" s="3">
        <f>IFERROR(VLOOKUP(D925,'Справочник соответствий'!A$2:D$2981,2,FALSE),IF(VALUE(D925)=0,0,VLOOKUP(D925,'Справочник соответствий'!A$2:D$2981,2,FALSE)))</f>
        <v>0</v>
      </c>
      <c r="K925" s="3" t="str">
        <f t="shared" si="98"/>
        <v>1</v>
      </c>
      <c r="L925" s="13" t="str">
        <f>IFERROR(VLOOKUP(C925,'Справочник соответствий'!A$2:D$2981,3,FALSE),IF(VALUE(C925)=0,"ЭТАЖ НЕ ОПРЕДЕЛЕН. ПРИНЯТ ПО ДОПУЩЕНИЮ 1",VLOOKUP(C925,'Справочник соответствий'!A$2:D$2981,3,FALSE)))</f>
        <v>ЭТАЖ ЗАДАН ЧИСЛОМ</v>
      </c>
      <c r="M925" s="13" t="b">
        <f t="shared" si="99"/>
        <v>0</v>
      </c>
      <c r="N925" s="13">
        <f t="shared" si="100"/>
        <v>1</v>
      </c>
      <c r="O925" s="13" t="str">
        <f t="shared" si="101"/>
        <v>ЭТАЖ ЗАДАН ЧИСЛОМ</v>
      </c>
      <c r="P925" s="13" t="str">
        <f t="shared" si="102"/>
        <v>ЭТАЖ ЗАДАН ЧИСЛОМ</v>
      </c>
      <c r="Q925" s="13" t="str">
        <f t="shared" si="103"/>
        <v>ГОТОВ_ИЗМЕНЕН</v>
      </c>
      <c r="R925" s="13">
        <f>IFERROR(VLOOKUP(P925,Лист1!A$1:B$20,2,FALSE),0)</f>
        <v>784</v>
      </c>
      <c r="S925" s="13">
        <f t="shared" si="104"/>
        <v>0</v>
      </c>
    </row>
    <row r="926" spans="1:19" x14ac:dyDescent="0.25">
      <c r="A926" s="24" t="s">
        <v>2041</v>
      </c>
      <c r="B926" s="4" t="s">
        <v>1059</v>
      </c>
      <c r="C926" s="25" t="s">
        <v>5</v>
      </c>
      <c r="G926" s="25" t="s">
        <v>1195</v>
      </c>
      <c r="H926" s="24" t="s">
        <v>1061</v>
      </c>
      <c r="I926" s="3" t="str">
        <f>IFERROR(VLOOKUP(C926,'Справочник соответствий'!A$2:D$2981,2,FALSE),IF(VALUE(C926)=0,1,VLOOKUP(C926,'Справочник соответствий'!A$2:D$2981,2,FALSE)))</f>
        <v>1</v>
      </c>
      <c r="J926" s="3">
        <f>IFERROR(VLOOKUP(D926,'Справочник соответствий'!A$2:D$2981,2,FALSE),IF(VALUE(D926)=0,0,VLOOKUP(D926,'Справочник соответствий'!A$2:D$2981,2,FALSE)))</f>
        <v>0</v>
      </c>
      <c r="K926" s="3" t="str">
        <f t="shared" si="98"/>
        <v>1</v>
      </c>
      <c r="L926" s="13" t="str">
        <f>IFERROR(VLOOKUP(C926,'Справочник соответствий'!A$2:D$2981,3,FALSE),IF(VALUE(C926)=0,"ЭТАЖ НЕ ОПРЕДЕЛЕН. ПРИНЯТ ПО ДОПУЩЕНИЮ 1",VLOOKUP(C926,'Справочник соответствий'!A$2:D$2981,3,FALSE)))</f>
        <v>ЭТАЖ ЗАДАН ЧИСЛОМ</v>
      </c>
      <c r="M926" s="13" t="b">
        <f t="shared" si="99"/>
        <v>0</v>
      </c>
      <c r="N926" s="13">
        <f t="shared" si="100"/>
        <v>1</v>
      </c>
      <c r="O926" s="13" t="str">
        <f t="shared" si="101"/>
        <v>ЭТАЖ ЗАДАН ЧИСЛОМ</v>
      </c>
      <c r="P926" s="13" t="str">
        <f t="shared" si="102"/>
        <v>ЭТАЖ ЗАДАН ЧИСЛОМ</v>
      </c>
      <c r="Q926" s="13" t="str">
        <f t="shared" si="103"/>
        <v>ГОТОВ_ИЗМЕНЕН</v>
      </c>
      <c r="R926" s="13">
        <f>IFERROR(VLOOKUP(P926,Лист1!A$1:B$20,2,FALSE),0)</f>
        <v>784</v>
      </c>
      <c r="S926" s="13">
        <f t="shared" si="104"/>
        <v>0</v>
      </c>
    </row>
    <row r="927" spans="1:19" x14ac:dyDescent="0.25">
      <c r="A927" s="24" t="s">
        <v>2042</v>
      </c>
      <c r="B927" s="4" t="s">
        <v>1059</v>
      </c>
      <c r="C927" s="25" t="s">
        <v>7</v>
      </c>
      <c r="G927" s="25" t="s">
        <v>1195</v>
      </c>
      <c r="H927" s="24" t="s">
        <v>1061</v>
      </c>
      <c r="I927" s="3" t="str">
        <f>IFERROR(VLOOKUP(C927,'Справочник соответствий'!A$2:D$2981,2,FALSE),IF(VALUE(C927)=0,1,VLOOKUP(C927,'Справочник соответствий'!A$2:D$2981,2,FALSE)))</f>
        <v>2</v>
      </c>
      <c r="J927" s="3">
        <f>IFERROR(VLOOKUP(D927,'Справочник соответствий'!A$2:D$2981,2,FALSE),IF(VALUE(D927)=0,0,VLOOKUP(D927,'Справочник соответствий'!A$2:D$2981,2,FALSE)))</f>
        <v>0</v>
      </c>
      <c r="K927" s="3" t="str">
        <f t="shared" si="98"/>
        <v>2</v>
      </c>
      <c r="L927" s="13" t="str">
        <f>IFERROR(VLOOKUP(C927,'Справочник соответствий'!A$2:D$2981,3,FALSE),IF(VALUE(C927)=0,"ЭТАЖ НЕ ОПРЕДЕЛЕН. ПРИНЯТ ПО ДОПУЩЕНИЮ 1",VLOOKUP(C927,'Справочник соответствий'!A$2:D$2981,3,FALSE)))</f>
        <v>ЭТАЖ ЗАДАН ЧИСЛОМ</v>
      </c>
      <c r="M927" s="13" t="b">
        <f t="shared" si="99"/>
        <v>0</v>
      </c>
      <c r="N927" s="13">
        <f t="shared" si="100"/>
        <v>2</v>
      </c>
      <c r="O927" s="13" t="str">
        <f t="shared" si="101"/>
        <v>ЭТАЖ ЗАДАН ЧИСЛОМ</v>
      </c>
      <c r="P927" s="13" t="str">
        <f t="shared" si="102"/>
        <v>ЭТАЖ ЗАДАН ЧИСЛОМ</v>
      </c>
      <c r="Q927" s="13" t="str">
        <f t="shared" si="103"/>
        <v>ГОТОВ_ИЗМЕНЕН</v>
      </c>
      <c r="R927" s="13">
        <f>IFERROR(VLOOKUP(P927,Лист1!A$1:B$20,2,FALSE),0)</f>
        <v>784</v>
      </c>
      <c r="S927" s="13">
        <f t="shared" si="104"/>
        <v>0</v>
      </c>
    </row>
    <row r="928" spans="1:19" x14ac:dyDescent="0.25">
      <c r="A928" s="24" t="s">
        <v>2043</v>
      </c>
      <c r="B928" s="4" t="s">
        <v>1059</v>
      </c>
      <c r="C928" s="25" t="s">
        <v>5</v>
      </c>
      <c r="G928" s="25" t="s">
        <v>1089</v>
      </c>
      <c r="H928" s="24" t="s">
        <v>1061</v>
      </c>
      <c r="I928" s="3" t="str">
        <f>IFERROR(VLOOKUP(C928,'Справочник соответствий'!A$2:D$2981,2,FALSE),IF(VALUE(C928)=0,1,VLOOKUP(C928,'Справочник соответствий'!A$2:D$2981,2,FALSE)))</f>
        <v>1</v>
      </c>
      <c r="J928" s="3">
        <f>IFERROR(VLOOKUP(D928,'Справочник соответствий'!A$2:D$2981,2,FALSE),IF(VALUE(D928)=0,0,VLOOKUP(D928,'Справочник соответствий'!A$2:D$2981,2,FALSE)))</f>
        <v>0</v>
      </c>
      <c r="K928" s="3" t="str">
        <f t="shared" si="98"/>
        <v>1</v>
      </c>
      <c r="L928" s="13" t="str">
        <f>IFERROR(VLOOKUP(C928,'Справочник соответствий'!A$2:D$2981,3,FALSE),IF(VALUE(C928)=0,"ЭТАЖ НЕ ОПРЕДЕЛЕН. ПРИНЯТ ПО ДОПУЩЕНИЮ 1",VLOOKUP(C928,'Справочник соответствий'!A$2:D$2981,3,FALSE)))</f>
        <v>ЭТАЖ ЗАДАН ЧИСЛОМ</v>
      </c>
      <c r="M928" s="13" t="b">
        <f t="shared" si="99"/>
        <v>0</v>
      </c>
      <c r="N928" s="13">
        <f t="shared" si="100"/>
        <v>1</v>
      </c>
      <c r="O928" s="13" t="str">
        <f t="shared" si="101"/>
        <v>ЭТАЖ ЗАДАН ЧИСЛОМ</v>
      </c>
      <c r="P928" s="13" t="str">
        <f t="shared" si="102"/>
        <v>ЭТАЖ ЗАДАН ЧИСЛОМ</v>
      </c>
      <c r="Q928" s="13" t="str">
        <f t="shared" si="103"/>
        <v>ГОТОВ_ИЗМЕНЕН</v>
      </c>
      <c r="R928" s="13">
        <f>IFERROR(VLOOKUP(P928,Лист1!A$1:B$20,2,FALSE),0)</f>
        <v>784</v>
      </c>
      <c r="S928" s="13">
        <f t="shared" si="104"/>
        <v>0</v>
      </c>
    </row>
    <row r="929" spans="1:19" x14ac:dyDescent="0.25">
      <c r="A929" s="24" t="s">
        <v>2044</v>
      </c>
      <c r="B929" s="4" t="s">
        <v>1059</v>
      </c>
      <c r="C929" s="25" t="s">
        <v>7</v>
      </c>
      <c r="G929" s="25" t="s">
        <v>1195</v>
      </c>
      <c r="H929" s="24" t="s">
        <v>1061</v>
      </c>
      <c r="I929" s="3" t="str">
        <f>IFERROR(VLOOKUP(C929,'Справочник соответствий'!A$2:D$2981,2,FALSE),IF(VALUE(C929)=0,1,VLOOKUP(C929,'Справочник соответствий'!A$2:D$2981,2,FALSE)))</f>
        <v>2</v>
      </c>
      <c r="J929" s="3">
        <f>IFERROR(VLOOKUP(D929,'Справочник соответствий'!A$2:D$2981,2,FALSE),IF(VALUE(D929)=0,0,VLOOKUP(D929,'Справочник соответствий'!A$2:D$2981,2,FALSE)))</f>
        <v>0</v>
      </c>
      <c r="K929" s="3" t="str">
        <f t="shared" si="98"/>
        <v>2</v>
      </c>
      <c r="L929" s="13" t="str">
        <f>IFERROR(VLOOKUP(C929,'Справочник соответствий'!A$2:D$2981,3,FALSE),IF(VALUE(C929)=0,"ЭТАЖ НЕ ОПРЕДЕЛЕН. ПРИНЯТ ПО ДОПУЩЕНИЮ 1",VLOOKUP(C929,'Справочник соответствий'!A$2:D$2981,3,FALSE)))</f>
        <v>ЭТАЖ ЗАДАН ЧИСЛОМ</v>
      </c>
      <c r="M929" s="13" t="b">
        <f t="shared" si="99"/>
        <v>0</v>
      </c>
      <c r="N929" s="13">
        <f t="shared" si="100"/>
        <v>2</v>
      </c>
      <c r="O929" s="13" t="str">
        <f t="shared" si="101"/>
        <v>ЭТАЖ ЗАДАН ЧИСЛОМ</v>
      </c>
      <c r="P929" s="13" t="str">
        <f t="shared" si="102"/>
        <v>ЭТАЖ ЗАДАН ЧИСЛОМ</v>
      </c>
      <c r="Q929" s="13" t="str">
        <f t="shared" si="103"/>
        <v>ГОТОВ_ИЗМЕНЕН</v>
      </c>
      <c r="R929" s="13">
        <f>IFERROR(VLOOKUP(P929,Лист1!A$1:B$20,2,FALSE),0)</f>
        <v>784</v>
      </c>
      <c r="S929" s="13">
        <f t="shared" si="104"/>
        <v>0</v>
      </c>
    </row>
    <row r="930" spans="1:19" x14ac:dyDescent="0.25">
      <c r="A930" s="24" t="s">
        <v>2045</v>
      </c>
      <c r="B930" s="4" t="s">
        <v>1059</v>
      </c>
      <c r="C930" s="25" t="s">
        <v>5</v>
      </c>
      <c r="G930" s="25" t="s">
        <v>1195</v>
      </c>
      <c r="H930" s="24" t="s">
        <v>1061</v>
      </c>
      <c r="I930" s="3" t="str">
        <f>IFERROR(VLOOKUP(C930,'Справочник соответствий'!A$2:D$2981,2,FALSE),IF(VALUE(C930)=0,1,VLOOKUP(C930,'Справочник соответствий'!A$2:D$2981,2,FALSE)))</f>
        <v>1</v>
      </c>
      <c r="J930" s="3">
        <f>IFERROR(VLOOKUP(D930,'Справочник соответствий'!A$2:D$2981,2,FALSE),IF(VALUE(D930)=0,0,VLOOKUP(D930,'Справочник соответствий'!A$2:D$2981,2,FALSE)))</f>
        <v>0</v>
      </c>
      <c r="K930" s="3" t="str">
        <f t="shared" si="98"/>
        <v>1</v>
      </c>
      <c r="L930" s="13" t="str">
        <f>IFERROR(VLOOKUP(C930,'Справочник соответствий'!A$2:D$2981,3,FALSE),IF(VALUE(C930)=0,"ЭТАЖ НЕ ОПРЕДЕЛЕН. ПРИНЯТ ПО ДОПУЩЕНИЮ 1",VLOOKUP(C930,'Справочник соответствий'!A$2:D$2981,3,FALSE)))</f>
        <v>ЭТАЖ ЗАДАН ЧИСЛОМ</v>
      </c>
      <c r="M930" s="13" t="b">
        <f t="shared" si="99"/>
        <v>0</v>
      </c>
      <c r="N930" s="13">
        <f t="shared" si="100"/>
        <v>1</v>
      </c>
      <c r="O930" s="13" t="str">
        <f t="shared" si="101"/>
        <v>ЭТАЖ ЗАДАН ЧИСЛОМ</v>
      </c>
      <c r="P930" s="13" t="str">
        <f t="shared" si="102"/>
        <v>ЭТАЖ ЗАДАН ЧИСЛОМ</v>
      </c>
      <c r="Q930" s="13" t="str">
        <f t="shared" si="103"/>
        <v>ГОТОВ_ИЗМЕНЕН</v>
      </c>
      <c r="R930" s="13">
        <f>IFERROR(VLOOKUP(P930,Лист1!A$1:B$20,2,FALSE),0)</f>
        <v>784</v>
      </c>
      <c r="S930" s="13">
        <f t="shared" si="104"/>
        <v>0</v>
      </c>
    </row>
    <row r="931" spans="1:19" x14ac:dyDescent="0.25">
      <c r="A931" s="24" t="s">
        <v>2046</v>
      </c>
      <c r="B931" s="4" t="s">
        <v>1063</v>
      </c>
      <c r="G931" s="25" t="s">
        <v>1195</v>
      </c>
      <c r="H931" s="24" t="s">
        <v>1061</v>
      </c>
      <c r="I931" s="3">
        <f>IFERROR(VLOOKUP(C931,'Справочник соответствий'!A$2:D$2981,2,FALSE),IF(VALUE(C931)=0,1,VLOOKUP(C931,'Справочник соответствий'!A$2:D$2981,2,FALSE)))</f>
        <v>1</v>
      </c>
      <c r="J931" s="3">
        <f>IFERROR(VLOOKUP(D931,'Справочник соответствий'!A$2:D$2981,2,FALSE),IF(VALUE(D931)=0,0,VLOOKUP(D931,'Справочник соответствий'!A$2:D$2981,2,FALSE)))</f>
        <v>0</v>
      </c>
      <c r="K931" s="3">
        <f t="shared" si="98"/>
        <v>1</v>
      </c>
      <c r="L931" s="13" t="str">
        <f>IFERROR(VLOOKUP(C931,'Справочник соответствий'!A$2:D$2981,3,FALSE),IF(VALUE(C931)=0,"ЭТАЖ НЕ ОПРЕДЕЛЕН. ПРИНЯТ ПО ДОПУЩЕНИЮ 1",VLOOKUP(C931,'Справочник соответствий'!A$2:D$2981,3,FALSE)))</f>
        <v>ЭТАЖ НЕ ОПРЕДЕЛЕН. ПРИНЯТ ПО ДОПУЩЕНИЮ 1</v>
      </c>
      <c r="M931" s="13" t="b">
        <f t="shared" si="99"/>
        <v>0</v>
      </c>
      <c r="N931" s="13">
        <f t="shared" si="100"/>
        <v>1</v>
      </c>
      <c r="O931" s="13" t="str">
        <f t="shared" si="101"/>
        <v>ЭТАЖ НЕ ОПРЕДЕЛЕН. ПРИНЯТ ПО ДОПУЩЕНИЮ 1</v>
      </c>
      <c r="P931" s="13" t="str">
        <f t="shared" si="102"/>
        <v>ЭТАЖ НЕ ОПРЕДЕЛЕН. ПРИНЯТ ПО ДОПУЩЕНИЮ 1</v>
      </c>
      <c r="Q931" s="13" t="str">
        <f t="shared" si="103"/>
        <v>ГОТОВ_ИЗМЕНЕН</v>
      </c>
      <c r="R931" s="13">
        <f>IFERROR(VLOOKUP(P931,Лист1!A$1:B$20,2,FALSE),0)</f>
        <v>788</v>
      </c>
      <c r="S931" s="13">
        <f t="shared" si="104"/>
        <v>0</v>
      </c>
    </row>
    <row r="932" spans="1:19" x14ac:dyDescent="0.25">
      <c r="A932" s="24" t="s">
        <v>2047</v>
      </c>
      <c r="B932" s="4" t="s">
        <v>1059</v>
      </c>
      <c r="C932" s="25" t="s">
        <v>5</v>
      </c>
      <c r="G932" s="25" t="s">
        <v>1195</v>
      </c>
      <c r="H932" s="24" t="s">
        <v>1061</v>
      </c>
      <c r="I932" s="3" t="str">
        <f>IFERROR(VLOOKUP(C932,'Справочник соответствий'!A$2:D$2981,2,FALSE),IF(VALUE(C932)=0,1,VLOOKUP(C932,'Справочник соответствий'!A$2:D$2981,2,FALSE)))</f>
        <v>1</v>
      </c>
      <c r="J932" s="3">
        <f>IFERROR(VLOOKUP(D932,'Справочник соответствий'!A$2:D$2981,2,FALSE),IF(VALUE(D932)=0,0,VLOOKUP(D932,'Справочник соответствий'!A$2:D$2981,2,FALSE)))</f>
        <v>0</v>
      </c>
      <c r="K932" s="3" t="str">
        <f t="shared" si="98"/>
        <v>1</v>
      </c>
      <c r="L932" s="13" t="str">
        <f>IFERROR(VLOOKUP(C932,'Справочник соответствий'!A$2:D$2981,3,FALSE),IF(VALUE(C932)=0,"ЭТАЖ НЕ ОПРЕДЕЛЕН. ПРИНЯТ ПО ДОПУЩЕНИЮ 1",VLOOKUP(C932,'Справочник соответствий'!A$2:D$2981,3,FALSE)))</f>
        <v>ЭТАЖ ЗАДАН ЧИСЛОМ</v>
      </c>
      <c r="M932" s="13" t="b">
        <f t="shared" si="99"/>
        <v>0</v>
      </c>
      <c r="N932" s="13">
        <f t="shared" si="100"/>
        <v>1</v>
      </c>
      <c r="O932" s="13" t="str">
        <f t="shared" si="101"/>
        <v>ЭТАЖ ЗАДАН ЧИСЛОМ</v>
      </c>
      <c r="P932" s="13" t="str">
        <f t="shared" si="102"/>
        <v>ЭТАЖ ЗАДАН ЧИСЛОМ</v>
      </c>
      <c r="Q932" s="13" t="str">
        <f t="shared" si="103"/>
        <v>ГОТОВ_ИЗМЕНЕН</v>
      </c>
      <c r="R932" s="13">
        <f>IFERROR(VLOOKUP(P932,Лист1!A$1:B$20,2,FALSE),0)</f>
        <v>784</v>
      </c>
      <c r="S932" s="13">
        <f t="shared" si="104"/>
        <v>0</v>
      </c>
    </row>
    <row r="933" spans="1:19" x14ac:dyDescent="0.25">
      <c r="A933" s="24" t="s">
        <v>2048</v>
      </c>
      <c r="B933" s="4" t="s">
        <v>1031</v>
      </c>
      <c r="C933" s="25" t="s">
        <v>85</v>
      </c>
      <c r="D933" s="25" t="s">
        <v>5</v>
      </c>
      <c r="G933" s="25" t="s">
        <v>1203</v>
      </c>
      <c r="H933" s="24" t="s">
        <v>1061</v>
      </c>
      <c r="I933" s="3" t="str">
        <f>IFERROR(VLOOKUP(C933,'Справочник соответствий'!A$2:D$2981,2,FALSE),IF(VALUE(C933)=0,1,VLOOKUP(C933,'Справочник соответствий'!A$2:D$2981,2,FALSE)))</f>
        <v>26</v>
      </c>
      <c r="J933" s="3" t="str">
        <f>IFERROR(VLOOKUP(D933,'Справочник соответствий'!A$2:D$2981,2,FALSE),IF(VALUE(D933)=0,0,VLOOKUP(D933,'Справочник соответствий'!A$2:D$2981,2,FALSE)))</f>
        <v>1</v>
      </c>
      <c r="K933" s="3">
        <f t="shared" si="98"/>
        <v>25</v>
      </c>
      <c r="L933" s="13" t="str">
        <f>IFERROR(VLOOKUP(C933,'Справочник соответствий'!A$2:D$2981,3,FALSE),IF(VALUE(C933)=0,"ЭТАЖ НЕ ОПРЕДЕЛЕН. ПРИНЯТ ПО ДОПУЩЕНИЮ 1",VLOOKUP(C933,'Справочник соответствий'!A$2:D$2981,3,FALSE)))</f>
        <v>ЭТАЖ ЗАДАН ЧИСЛОМ</v>
      </c>
      <c r="M933" s="13" t="b">
        <f t="shared" si="99"/>
        <v>0</v>
      </c>
      <c r="N933" s="13">
        <f t="shared" si="100"/>
        <v>25</v>
      </c>
      <c r="O933" s="13" t="str">
        <f t="shared" si="101"/>
        <v>ЭТАЖ ЗАДАН ЧИСЛОМ</v>
      </c>
      <c r="P933" s="13" t="str">
        <f t="shared" si="102"/>
        <v>МКД_ЭТАЖ ЗАДАН ЧИСЛОМ</v>
      </c>
      <c r="Q933" s="13" t="str">
        <f t="shared" si="103"/>
        <v>ГОТОВ_ИЗМЕНЕН</v>
      </c>
      <c r="R933" s="13">
        <f>IFERROR(VLOOKUP(P933,Лист1!A$1:B$20,2,FALSE),0)</f>
        <v>786</v>
      </c>
      <c r="S933" s="13">
        <f t="shared" si="104"/>
        <v>0</v>
      </c>
    </row>
    <row r="934" spans="1:19" x14ac:dyDescent="0.25">
      <c r="A934" s="24" t="s">
        <v>2049</v>
      </c>
      <c r="B934" s="4" t="s">
        <v>1059</v>
      </c>
      <c r="C934" s="25" t="s">
        <v>5</v>
      </c>
      <c r="G934" s="25" t="s">
        <v>1205</v>
      </c>
      <c r="H934" s="24" t="s">
        <v>1061</v>
      </c>
      <c r="I934" s="3" t="str">
        <f>IFERROR(VLOOKUP(C934,'Справочник соответствий'!A$2:D$2981,2,FALSE),IF(VALUE(C934)=0,1,VLOOKUP(C934,'Справочник соответствий'!A$2:D$2981,2,FALSE)))</f>
        <v>1</v>
      </c>
      <c r="J934" s="3">
        <f>IFERROR(VLOOKUP(D934,'Справочник соответствий'!A$2:D$2981,2,FALSE),IF(VALUE(D934)=0,0,VLOOKUP(D934,'Справочник соответствий'!A$2:D$2981,2,FALSE)))</f>
        <v>0</v>
      </c>
      <c r="K934" s="3" t="str">
        <f t="shared" si="98"/>
        <v>1</v>
      </c>
      <c r="L934" s="13" t="str">
        <f>IFERROR(VLOOKUP(C934,'Справочник соответствий'!A$2:D$2981,3,FALSE),IF(VALUE(C934)=0,"ЭТАЖ НЕ ОПРЕДЕЛЕН. ПРИНЯТ ПО ДОПУЩЕНИЮ 1",VLOOKUP(C934,'Справочник соответствий'!A$2:D$2981,3,FALSE)))</f>
        <v>ЭТАЖ ЗАДАН ЧИСЛОМ</v>
      </c>
      <c r="M934" s="13" t="b">
        <f t="shared" si="99"/>
        <v>0</v>
      </c>
      <c r="N934" s="13">
        <f t="shared" si="100"/>
        <v>1</v>
      </c>
      <c r="O934" s="13" t="str">
        <f t="shared" si="101"/>
        <v>ЭТАЖ ЗАДАН ЧИСЛОМ</v>
      </c>
      <c r="P934" s="13" t="str">
        <f t="shared" si="102"/>
        <v>ЭТАЖ ЗАДАН ЧИСЛОМ</v>
      </c>
      <c r="Q934" s="13" t="str">
        <f t="shared" si="103"/>
        <v>ГОТОВ_ИЗМЕНЕН</v>
      </c>
      <c r="R934" s="13">
        <f>IFERROR(VLOOKUP(P934,Лист1!A$1:B$20,2,FALSE),0)</f>
        <v>784</v>
      </c>
      <c r="S934" s="13">
        <f t="shared" si="104"/>
        <v>0</v>
      </c>
    </row>
    <row r="935" spans="1:19" x14ac:dyDescent="0.25">
      <c r="A935" s="24" t="s">
        <v>2050</v>
      </c>
      <c r="B935" s="4" t="s">
        <v>1059</v>
      </c>
      <c r="C935" s="25" t="s">
        <v>5</v>
      </c>
      <c r="G935" s="25" t="s">
        <v>1205</v>
      </c>
      <c r="H935" s="24" t="s">
        <v>1061</v>
      </c>
      <c r="I935" s="3" t="str">
        <f>IFERROR(VLOOKUP(C935,'Справочник соответствий'!A$2:D$2981,2,FALSE),IF(VALUE(C935)=0,1,VLOOKUP(C935,'Справочник соответствий'!A$2:D$2981,2,FALSE)))</f>
        <v>1</v>
      </c>
      <c r="J935" s="3">
        <f>IFERROR(VLOOKUP(D935,'Справочник соответствий'!A$2:D$2981,2,FALSE),IF(VALUE(D935)=0,0,VLOOKUP(D935,'Справочник соответствий'!A$2:D$2981,2,FALSE)))</f>
        <v>0</v>
      </c>
      <c r="K935" s="3" t="str">
        <f t="shared" si="98"/>
        <v>1</v>
      </c>
      <c r="L935" s="13" t="str">
        <f>IFERROR(VLOOKUP(C935,'Справочник соответствий'!A$2:D$2981,3,FALSE),IF(VALUE(C935)=0,"ЭТАЖ НЕ ОПРЕДЕЛЕН. ПРИНЯТ ПО ДОПУЩЕНИЮ 1",VLOOKUP(C935,'Справочник соответствий'!A$2:D$2981,3,FALSE)))</f>
        <v>ЭТАЖ ЗАДАН ЧИСЛОМ</v>
      </c>
      <c r="M935" s="13" t="b">
        <f t="shared" si="99"/>
        <v>0</v>
      </c>
      <c r="N935" s="13">
        <f t="shared" si="100"/>
        <v>1</v>
      </c>
      <c r="O935" s="13" t="str">
        <f t="shared" si="101"/>
        <v>ЭТАЖ ЗАДАН ЧИСЛОМ</v>
      </c>
      <c r="P935" s="13" t="str">
        <f t="shared" si="102"/>
        <v>ЭТАЖ ЗАДАН ЧИСЛОМ</v>
      </c>
      <c r="Q935" s="13" t="str">
        <f t="shared" si="103"/>
        <v>ГОТОВ_ИЗМЕНЕН</v>
      </c>
      <c r="R935" s="13">
        <f>IFERROR(VLOOKUP(P935,Лист1!A$1:B$20,2,FALSE),0)</f>
        <v>784</v>
      </c>
      <c r="S935" s="13">
        <f t="shared" si="104"/>
        <v>0</v>
      </c>
    </row>
    <row r="936" spans="1:19" x14ac:dyDescent="0.25">
      <c r="A936" s="24" t="s">
        <v>2051</v>
      </c>
      <c r="B936" s="4" t="s">
        <v>1059</v>
      </c>
      <c r="C936" s="25" t="s">
        <v>5</v>
      </c>
      <c r="G936" s="25" t="s">
        <v>1205</v>
      </c>
      <c r="H936" s="24" t="s">
        <v>1061</v>
      </c>
      <c r="I936" s="3" t="str">
        <f>IFERROR(VLOOKUP(C936,'Справочник соответствий'!A$2:D$2981,2,FALSE),IF(VALUE(C936)=0,1,VLOOKUP(C936,'Справочник соответствий'!A$2:D$2981,2,FALSE)))</f>
        <v>1</v>
      </c>
      <c r="J936" s="3">
        <f>IFERROR(VLOOKUP(D936,'Справочник соответствий'!A$2:D$2981,2,FALSE),IF(VALUE(D936)=0,0,VLOOKUP(D936,'Справочник соответствий'!A$2:D$2981,2,FALSE)))</f>
        <v>0</v>
      </c>
      <c r="K936" s="3" t="str">
        <f t="shared" si="98"/>
        <v>1</v>
      </c>
      <c r="L936" s="13" t="str">
        <f>IFERROR(VLOOKUP(C936,'Справочник соответствий'!A$2:D$2981,3,FALSE),IF(VALUE(C936)=0,"ЭТАЖ НЕ ОПРЕДЕЛЕН. ПРИНЯТ ПО ДОПУЩЕНИЮ 1",VLOOKUP(C936,'Справочник соответствий'!A$2:D$2981,3,FALSE)))</f>
        <v>ЭТАЖ ЗАДАН ЧИСЛОМ</v>
      </c>
      <c r="M936" s="13" t="b">
        <f t="shared" si="99"/>
        <v>0</v>
      </c>
      <c r="N936" s="13">
        <f t="shared" si="100"/>
        <v>1</v>
      </c>
      <c r="O936" s="13" t="str">
        <f t="shared" si="101"/>
        <v>ЭТАЖ ЗАДАН ЧИСЛОМ</v>
      </c>
      <c r="P936" s="13" t="str">
        <f t="shared" si="102"/>
        <v>ЭТАЖ ЗАДАН ЧИСЛОМ</v>
      </c>
      <c r="Q936" s="13" t="str">
        <f t="shared" si="103"/>
        <v>ГОТОВ_ИЗМЕНЕН</v>
      </c>
      <c r="R936" s="13">
        <f>IFERROR(VLOOKUP(P936,Лист1!A$1:B$20,2,FALSE),0)</f>
        <v>784</v>
      </c>
      <c r="S936" s="13">
        <f t="shared" si="104"/>
        <v>0</v>
      </c>
    </row>
    <row r="937" spans="1:19" x14ac:dyDescent="0.25">
      <c r="A937" s="24" t="s">
        <v>2052</v>
      </c>
      <c r="B937" s="4" t="s">
        <v>1059</v>
      </c>
      <c r="C937" s="25" t="s">
        <v>5</v>
      </c>
      <c r="G937" s="25" t="s">
        <v>1222</v>
      </c>
      <c r="H937" s="24" t="s">
        <v>1061</v>
      </c>
      <c r="I937" s="3" t="str">
        <f>IFERROR(VLOOKUP(C937,'Справочник соответствий'!A$2:D$2981,2,FALSE),IF(VALUE(C937)=0,1,VLOOKUP(C937,'Справочник соответствий'!A$2:D$2981,2,FALSE)))</f>
        <v>1</v>
      </c>
      <c r="J937" s="3">
        <f>IFERROR(VLOOKUP(D937,'Справочник соответствий'!A$2:D$2981,2,FALSE),IF(VALUE(D937)=0,0,VLOOKUP(D937,'Справочник соответствий'!A$2:D$2981,2,FALSE)))</f>
        <v>0</v>
      </c>
      <c r="K937" s="3" t="str">
        <f t="shared" si="98"/>
        <v>1</v>
      </c>
      <c r="L937" s="13" t="str">
        <f>IFERROR(VLOOKUP(C937,'Справочник соответствий'!A$2:D$2981,3,FALSE),IF(VALUE(C937)=0,"ЭТАЖ НЕ ОПРЕДЕЛЕН. ПРИНЯТ ПО ДОПУЩЕНИЮ 1",VLOOKUP(C937,'Справочник соответствий'!A$2:D$2981,3,FALSE)))</f>
        <v>ЭТАЖ ЗАДАН ЧИСЛОМ</v>
      </c>
      <c r="M937" s="13" t="b">
        <f t="shared" si="99"/>
        <v>0</v>
      </c>
      <c r="N937" s="13">
        <f t="shared" si="100"/>
        <v>1</v>
      </c>
      <c r="O937" s="13" t="str">
        <f t="shared" si="101"/>
        <v>ЭТАЖ ЗАДАН ЧИСЛОМ</v>
      </c>
      <c r="P937" s="13" t="str">
        <f t="shared" si="102"/>
        <v>ЭТАЖ ЗАДАН ЧИСЛОМ</v>
      </c>
      <c r="Q937" s="13" t="str">
        <f t="shared" si="103"/>
        <v>ГОТОВ_ИЗМЕНЕН</v>
      </c>
      <c r="R937" s="13">
        <f>IFERROR(VLOOKUP(P937,Лист1!A$1:B$20,2,FALSE),0)</f>
        <v>784</v>
      </c>
      <c r="S937" s="13">
        <f t="shared" si="104"/>
        <v>0</v>
      </c>
    </row>
    <row r="938" spans="1:19" x14ac:dyDescent="0.25">
      <c r="A938" s="24" t="s">
        <v>2053</v>
      </c>
      <c r="B938" s="4" t="s">
        <v>1059</v>
      </c>
      <c r="C938" s="25" t="s">
        <v>5</v>
      </c>
      <c r="G938" s="25" t="s">
        <v>1086</v>
      </c>
      <c r="H938" s="24" t="s">
        <v>1061</v>
      </c>
      <c r="I938" s="3" t="str">
        <f>IFERROR(VLOOKUP(C938,'Справочник соответствий'!A$2:D$2981,2,FALSE),IF(VALUE(C938)=0,1,VLOOKUP(C938,'Справочник соответствий'!A$2:D$2981,2,FALSE)))</f>
        <v>1</v>
      </c>
      <c r="J938" s="3">
        <f>IFERROR(VLOOKUP(D938,'Справочник соответствий'!A$2:D$2981,2,FALSE),IF(VALUE(D938)=0,0,VLOOKUP(D938,'Справочник соответствий'!A$2:D$2981,2,FALSE)))</f>
        <v>0</v>
      </c>
      <c r="K938" s="3" t="str">
        <f t="shared" si="98"/>
        <v>1</v>
      </c>
      <c r="L938" s="13" t="str">
        <f>IFERROR(VLOOKUP(C938,'Справочник соответствий'!A$2:D$2981,3,FALSE),IF(VALUE(C938)=0,"ЭТАЖ НЕ ОПРЕДЕЛЕН. ПРИНЯТ ПО ДОПУЩЕНИЮ 1",VLOOKUP(C938,'Справочник соответствий'!A$2:D$2981,3,FALSE)))</f>
        <v>ЭТАЖ ЗАДАН ЧИСЛОМ</v>
      </c>
      <c r="M938" s="13" t="b">
        <f t="shared" si="99"/>
        <v>0</v>
      </c>
      <c r="N938" s="13">
        <f t="shared" si="100"/>
        <v>1</v>
      </c>
      <c r="O938" s="13" t="str">
        <f t="shared" si="101"/>
        <v>ЭТАЖ ЗАДАН ЧИСЛОМ</v>
      </c>
      <c r="P938" s="13" t="str">
        <f t="shared" si="102"/>
        <v>ЭТАЖ ЗАДАН ЧИСЛОМ</v>
      </c>
      <c r="Q938" s="13" t="str">
        <f t="shared" si="103"/>
        <v>ГОТОВ_ИЗМЕНЕН</v>
      </c>
      <c r="R938" s="13">
        <f>IFERROR(VLOOKUP(P938,Лист1!A$1:B$20,2,FALSE),0)</f>
        <v>784</v>
      </c>
      <c r="S938" s="13">
        <f t="shared" si="104"/>
        <v>0</v>
      </c>
    </row>
    <row r="939" spans="1:19" x14ac:dyDescent="0.25">
      <c r="A939" s="24" t="s">
        <v>2054</v>
      </c>
      <c r="B939" s="4" t="s">
        <v>1059</v>
      </c>
      <c r="C939" s="25" t="s">
        <v>5</v>
      </c>
      <c r="G939" s="25" t="s">
        <v>1205</v>
      </c>
      <c r="H939" s="24" t="s">
        <v>1061</v>
      </c>
      <c r="I939" s="3" t="str">
        <f>IFERROR(VLOOKUP(C939,'Справочник соответствий'!A$2:D$2981,2,FALSE),IF(VALUE(C939)=0,1,VLOOKUP(C939,'Справочник соответствий'!A$2:D$2981,2,FALSE)))</f>
        <v>1</v>
      </c>
      <c r="J939" s="3">
        <f>IFERROR(VLOOKUP(D939,'Справочник соответствий'!A$2:D$2981,2,FALSE),IF(VALUE(D939)=0,0,VLOOKUP(D939,'Справочник соответствий'!A$2:D$2981,2,FALSE)))</f>
        <v>0</v>
      </c>
      <c r="K939" s="3" t="str">
        <f t="shared" si="98"/>
        <v>1</v>
      </c>
      <c r="L939" s="13" t="str">
        <f>IFERROR(VLOOKUP(C939,'Справочник соответствий'!A$2:D$2981,3,FALSE),IF(VALUE(C939)=0,"ЭТАЖ НЕ ОПРЕДЕЛЕН. ПРИНЯТ ПО ДОПУЩЕНИЮ 1",VLOOKUP(C939,'Справочник соответствий'!A$2:D$2981,3,FALSE)))</f>
        <v>ЭТАЖ ЗАДАН ЧИСЛОМ</v>
      </c>
      <c r="M939" s="13" t="b">
        <f t="shared" si="99"/>
        <v>0</v>
      </c>
      <c r="N939" s="13">
        <f t="shared" si="100"/>
        <v>1</v>
      </c>
      <c r="O939" s="13" t="str">
        <f t="shared" si="101"/>
        <v>ЭТАЖ ЗАДАН ЧИСЛОМ</v>
      </c>
      <c r="P939" s="13" t="str">
        <f t="shared" si="102"/>
        <v>ЭТАЖ ЗАДАН ЧИСЛОМ</v>
      </c>
      <c r="Q939" s="13" t="str">
        <f t="shared" si="103"/>
        <v>ГОТОВ_ИЗМЕНЕН</v>
      </c>
      <c r="R939" s="13">
        <f>IFERROR(VLOOKUP(P939,Лист1!A$1:B$20,2,FALSE),0)</f>
        <v>784</v>
      </c>
      <c r="S939" s="13">
        <f t="shared" si="104"/>
        <v>0</v>
      </c>
    </row>
    <row r="940" spans="1:19" x14ac:dyDescent="0.25">
      <c r="A940" s="24" t="s">
        <v>2055</v>
      </c>
      <c r="B940" s="4" t="s">
        <v>1063</v>
      </c>
      <c r="C940" s="25" t="s">
        <v>5</v>
      </c>
      <c r="G940" s="25" t="s">
        <v>1205</v>
      </c>
      <c r="H940" s="24" t="s">
        <v>1061</v>
      </c>
      <c r="I940" s="3" t="str">
        <f>IFERROR(VLOOKUP(C940,'Справочник соответствий'!A$2:D$2981,2,FALSE),IF(VALUE(C940)=0,1,VLOOKUP(C940,'Справочник соответствий'!A$2:D$2981,2,FALSE)))</f>
        <v>1</v>
      </c>
      <c r="J940" s="3">
        <f>IFERROR(VLOOKUP(D940,'Справочник соответствий'!A$2:D$2981,2,FALSE),IF(VALUE(D940)=0,0,VLOOKUP(D940,'Справочник соответствий'!A$2:D$2981,2,FALSE)))</f>
        <v>0</v>
      </c>
      <c r="K940" s="3" t="str">
        <f t="shared" si="98"/>
        <v>1</v>
      </c>
      <c r="L940" s="13" t="str">
        <f>IFERROR(VLOOKUP(C940,'Справочник соответствий'!A$2:D$2981,3,FALSE),IF(VALUE(C940)=0,"ЭТАЖ НЕ ОПРЕДЕЛЕН. ПРИНЯТ ПО ДОПУЩЕНИЮ 1",VLOOKUP(C940,'Справочник соответствий'!A$2:D$2981,3,FALSE)))</f>
        <v>ЭТАЖ ЗАДАН ЧИСЛОМ</v>
      </c>
      <c r="M940" s="13" t="b">
        <f t="shared" si="99"/>
        <v>0</v>
      </c>
      <c r="N940" s="13">
        <f t="shared" si="100"/>
        <v>1</v>
      </c>
      <c r="O940" s="13" t="str">
        <f t="shared" si="101"/>
        <v>ЭТАЖ ЗАДАН ЧИСЛОМ</v>
      </c>
      <c r="P940" s="13" t="str">
        <f t="shared" si="102"/>
        <v>ЭТАЖ ЗАДАН ЧИСЛОМ</v>
      </c>
      <c r="Q940" s="13" t="str">
        <f t="shared" si="103"/>
        <v>ГОТОВ_ИЗМЕНЕН</v>
      </c>
      <c r="R940" s="13">
        <f>IFERROR(VLOOKUP(P940,Лист1!A$1:B$20,2,FALSE),0)</f>
        <v>784</v>
      </c>
      <c r="S940" s="13">
        <f t="shared" si="104"/>
        <v>0</v>
      </c>
    </row>
    <row r="941" spans="1:19" x14ac:dyDescent="0.25">
      <c r="A941" s="24" t="s">
        <v>2056</v>
      </c>
      <c r="B941" s="4" t="s">
        <v>1059</v>
      </c>
      <c r="C941" s="25" t="s">
        <v>7</v>
      </c>
      <c r="G941" s="25" t="s">
        <v>1205</v>
      </c>
      <c r="H941" s="24" t="s">
        <v>1061</v>
      </c>
      <c r="I941" s="3" t="str">
        <f>IFERROR(VLOOKUP(C941,'Справочник соответствий'!A$2:D$2981,2,FALSE),IF(VALUE(C941)=0,1,VLOOKUP(C941,'Справочник соответствий'!A$2:D$2981,2,FALSE)))</f>
        <v>2</v>
      </c>
      <c r="J941" s="3">
        <f>IFERROR(VLOOKUP(D941,'Справочник соответствий'!A$2:D$2981,2,FALSE),IF(VALUE(D941)=0,0,VLOOKUP(D941,'Справочник соответствий'!A$2:D$2981,2,FALSE)))</f>
        <v>0</v>
      </c>
      <c r="K941" s="3" t="str">
        <f t="shared" si="98"/>
        <v>2</v>
      </c>
      <c r="L941" s="13" t="str">
        <f>IFERROR(VLOOKUP(C941,'Справочник соответствий'!A$2:D$2981,3,FALSE),IF(VALUE(C941)=0,"ЭТАЖ НЕ ОПРЕДЕЛЕН. ПРИНЯТ ПО ДОПУЩЕНИЮ 1",VLOOKUP(C941,'Справочник соответствий'!A$2:D$2981,3,FALSE)))</f>
        <v>ЭТАЖ ЗАДАН ЧИСЛОМ</v>
      </c>
      <c r="M941" s="13" t="b">
        <f t="shared" si="99"/>
        <v>0</v>
      </c>
      <c r="N941" s="13">
        <f t="shared" si="100"/>
        <v>2</v>
      </c>
      <c r="O941" s="13" t="str">
        <f t="shared" si="101"/>
        <v>ЭТАЖ ЗАДАН ЧИСЛОМ</v>
      </c>
      <c r="P941" s="13" t="str">
        <f t="shared" si="102"/>
        <v>ЭТАЖ ЗАДАН ЧИСЛОМ</v>
      </c>
      <c r="Q941" s="13" t="str">
        <f t="shared" si="103"/>
        <v>ГОТОВ_ИЗМЕНЕН</v>
      </c>
      <c r="R941" s="13">
        <f>IFERROR(VLOOKUP(P941,Лист1!A$1:B$20,2,FALSE),0)</f>
        <v>784</v>
      </c>
      <c r="S941" s="13">
        <f t="shared" si="104"/>
        <v>0</v>
      </c>
    </row>
    <row r="942" spans="1:19" x14ac:dyDescent="0.25">
      <c r="A942" s="24" t="s">
        <v>2057</v>
      </c>
      <c r="B942" s="4" t="s">
        <v>1059</v>
      </c>
      <c r="C942" s="25" t="s">
        <v>5</v>
      </c>
      <c r="G942" s="25" t="s">
        <v>1205</v>
      </c>
      <c r="H942" s="24" t="s">
        <v>1061</v>
      </c>
      <c r="I942" s="3" t="str">
        <f>IFERROR(VLOOKUP(C942,'Справочник соответствий'!A$2:D$2981,2,FALSE),IF(VALUE(C942)=0,1,VLOOKUP(C942,'Справочник соответствий'!A$2:D$2981,2,FALSE)))</f>
        <v>1</v>
      </c>
      <c r="J942" s="3">
        <f>IFERROR(VLOOKUP(D942,'Справочник соответствий'!A$2:D$2981,2,FALSE),IF(VALUE(D942)=0,0,VLOOKUP(D942,'Справочник соответствий'!A$2:D$2981,2,FALSE)))</f>
        <v>0</v>
      </c>
      <c r="K942" s="3" t="str">
        <f t="shared" si="98"/>
        <v>1</v>
      </c>
      <c r="L942" s="13" t="str">
        <f>IFERROR(VLOOKUP(C942,'Справочник соответствий'!A$2:D$2981,3,FALSE),IF(VALUE(C942)=0,"ЭТАЖ НЕ ОПРЕДЕЛЕН. ПРИНЯТ ПО ДОПУЩЕНИЮ 1",VLOOKUP(C942,'Справочник соответствий'!A$2:D$2981,3,FALSE)))</f>
        <v>ЭТАЖ ЗАДАН ЧИСЛОМ</v>
      </c>
      <c r="M942" s="13" t="b">
        <f t="shared" si="99"/>
        <v>0</v>
      </c>
      <c r="N942" s="13">
        <f t="shared" si="100"/>
        <v>1</v>
      </c>
      <c r="O942" s="13" t="str">
        <f t="shared" si="101"/>
        <v>ЭТАЖ ЗАДАН ЧИСЛОМ</v>
      </c>
      <c r="P942" s="13" t="str">
        <f t="shared" si="102"/>
        <v>ЭТАЖ ЗАДАН ЧИСЛОМ</v>
      </c>
      <c r="Q942" s="13" t="str">
        <f t="shared" si="103"/>
        <v>ГОТОВ_ИЗМЕНЕН</v>
      </c>
      <c r="R942" s="13">
        <f>IFERROR(VLOOKUP(P942,Лист1!A$1:B$20,2,FALSE),0)</f>
        <v>784</v>
      </c>
      <c r="S942" s="13">
        <f t="shared" si="104"/>
        <v>0</v>
      </c>
    </row>
    <row r="943" spans="1:19" x14ac:dyDescent="0.25">
      <c r="A943" s="24" t="s">
        <v>2058</v>
      </c>
      <c r="B943" s="4" t="s">
        <v>1063</v>
      </c>
      <c r="C943" s="25" t="s">
        <v>5</v>
      </c>
      <c r="G943" s="25" t="s">
        <v>1205</v>
      </c>
      <c r="H943" s="24" t="s">
        <v>1061</v>
      </c>
      <c r="I943" s="3" t="str">
        <f>IFERROR(VLOOKUP(C943,'Справочник соответствий'!A$2:D$2981,2,FALSE),IF(VALUE(C943)=0,1,VLOOKUP(C943,'Справочник соответствий'!A$2:D$2981,2,FALSE)))</f>
        <v>1</v>
      </c>
      <c r="J943" s="3">
        <f>IFERROR(VLOOKUP(D943,'Справочник соответствий'!A$2:D$2981,2,FALSE),IF(VALUE(D943)=0,0,VLOOKUP(D943,'Справочник соответствий'!A$2:D$2981,2,FALSE)))</f>
        <v>0</v>
      </c>
      <c r="K943" s="3" t="str">
        <f t="shared" si="98"/>
        <v>1</v>
      </c>
      <c r="L943" s="13" t="str">
        <f>IFERROR(VLOOKUP(C943,'Справочник соответствий'!A$2:D$2981,3,FALSE),IF(VALUE(C943)=0,"ЭТАЖ НЕ ОПРЕДЕЛЕН. ПРИНЯТ ПО ДОПУЩЕНИЮ 1",VLOOKUP(C943,'Справочник соответствий'!A$2:D$2981,3,FALSE)))</f>
        <v>ЭТАЖ ЗАДАН ЧИСЛОМ</v>
      </c>
      <c r="M943" s="13" t="b">
        <f t="shared" si="99"/>
        <v>0</v>
      </c>
      <c r="N943" s="13">
        <f t="shared" si="100"/>
        <v>1</v>
      </c>
      <c r="O943" s="13" t="str">
        <f t="shared" si="101"/>
        <v>ЭТАЖ ЗАДАН ЧИСЛОМ</v>
      </c>
      <c r="P943" s="13" t="str">
        <f t="shared" si="102"/>
        <v>ЭТАЖ ЗАДАН ЧИСЛОМ</v>
      </c>
      <c r="Q943" s="13" t="str">
        <f t="shared" si="103"/>
        <v>ГОТОВ_ИЗМЕНЕН</v>
      </c>
      <c r="R943" s="13">
        <f>IFERROR(VLOOKUP(P943,Лист1!A$1:B$20,2,FALSE),0)</f>
        <v>784</v>
      </c>
      <c r="S943" s="13">
        <f t="shared" si="104"/>
        <v>0</v>
      </c>
    </row>
    <row r="944" spans="1:19" x14ac:dyDescent="0.25">
      <c r="A944" s="24" t="s">
        <v>2059</v>
      </c>
      <c r="B944" s="4" t="s">
        <v>1059</v>
      </c>
      <c r="C944" s="25" t="s">
        <v>5</v>
      </c>
      <c r="G944" s="25" t="s">
        <v>1205</v>
      </c>
      <c r="H944" s="24" t="s">
        <v>1061</v>
      </c>
      <c r="I944" s="3" t="str">
        <f>IFERROR(VLOOKUP(C944,'Справочник соответствий'!A$2:D$2981,2,FALSE),IF(VALUE(C944)=0,1,VLOOKUP(C944,'Справочник соответствий'!A$2:D$2981,2,FALSE)))</f>
        <v>1</v>
      </c>
      <c r="J944" s="3">
        <f>IFERROR(VLOOKUP(D944,'Справочник соответствий'!A$2:D$2981,2,FALSE),IF(VALUE(D944)=0,0,VLOOKUP(D944,'Справочник соответствий'!A$2:D$2981,2,FALSE)))</f>
        <v>0</v>
      </c>
      <c r="K944" s="3" t="str">
        <f t="shared" si="98"/>
        <v>1</v>
      </c>
      <c r="L944" s="13" t="str">
        <f>IFERROR(VLOOKUP(C944,'Справочник соответствий'!A$2:D$2981,3,FALSE),IF(VALUE(C944)=0,"ЭТАЖ НЕ ОПРЕДЕЛЕН. ПРИНЯТ ПО ДОПУЩЕНИЮ 1",VLOOKUP(C944,'Справочник соответствий'!A$2:D$2981,3,FALSE)))</f>
        <v>ЭТАЖ ЗАДАН ЧИСЛОМ</v>
      </c>
      <c r="M944" s="13" t="b">
        <f t="shared" si="99"/>
        <v>0</v>
      </c>
      <c r="N944" s="13">
        <f t="shared" si="100"/>
        <v>1</v>
      </c>
      <c r="O944" s="13" t="str">
        <f t="shared" si="101"/>
        <v>ЭТАЖ ЗАДАН ЧИСЛОМ</v>
      </c>
      <c r="P944" s="13" t="str">
        <f t="shared" si="102"/>
        <v>ЭТАЖ ЗАДАН ЧИСЛОМ</v>
      </c>
      <c r="Q944" s="13" t="str">
        <f t="shared" si="103"/>
        <v>ГОТОВ_ИЗМЕНЕН</v>
      </c>
      <c r="R944" s="13">
        <f>IFERROR(VLOOKUP(P944,Лист1!A$1:B$20,2,FALSE),0)</f>
        <v>784</v>
      </c>
      <c r="S944" s="13">
        <f t="shared" si="104"/>
        <v>0</v>
      </c>
    </row>
    <row r="945" spans="1:19" x14ac:dyDescent="0.25">
      <c r="A945" s="24" t="s">
        <v>2060</v>
      </c>
      <c r="B945" s="4" t="s">
        <v>1059</v>
      </c>
      <c r="C945" s="25" t="s">
        <v>7</v>
      </c>
      <c r="G945" s="25" t="s">
        <v>1205</v>
      </c>
      <c r="H945" s="24" t="s">
        <v>1061</v>
      </c>
      <c r="I945" s="3" t="str">
        <f>IFERROR(VLOOKUP(C945,'Справочник соответствий'!A$2:D$2981,2,FALSE),IF(VALUE(C945)=0,1,VLOOKUP(C945,'Справочник соответствий'!A$2:D$2981,2,FALSE)))</f>
        <v>2</v>
      </c>
      <c r="J945" s="3">
        <f>IFERROR(VLOOKUP(D945,'Справочник соответствий'!A$2:D$2981,2,FALSE),IF(VALUE(D945)=0,0,VLOOKUP(D945,'Справочник соответствий'!A$2:D$2981,2,FALSE)))</f>
        <v>0</v>
      </c>
      <c r="K945" s="3" t="str">
        <f t="shared" si="98"/>
        <v>2</v>
      </c>
      <c r="L945" s="13" t="str">
        <f>IFERROR(VLOOKUP(C945,'Справочник соответствий'!A$2:D$2981,3,FALSE),IF(VALUE(C945)=0,"ЭТАЖ НЕ ОПРЕДЕЛЕН. ПРИНЯТ ПО ДОПУЩЕНИЮ 1",VLOOKUP(C945,'Справочник соответствий'!A$2:D$2981,3,FALSE)))</f>
        <v>ЭТАЖ ЗАДАН ЧИСЛОМ</v>
      </c>
      <c r="M945" s="13" t="b">
        <f t="shared" si="99"/>
        <v>0</v>
      </c>
      <c r="N945" s="13">
        <f t="shared" si="100"/>
        <v>2</v>
      </c>
      <c r="O945" s="13" t="str">
        <f t="shared" si="101"/>
        <v>ЭТАЖ ЗАДАН ЧИСЛОМ</v>
      </c>
      <c r="P945" s="13" t="str">
        <f t="shared" si="102"/>
        <v>ЭТАЖ ЗАДАН ЧИСЛОМ</v>
      </c>
      <c r="Q945" s="13" t="str">
        <f t="shared" si="103"/>
        <v>ГОТОВ_ИЗМЕНЕН</v>
      </c>
      <c r="R945" s="13">
        <f>IFERROR(VLOOKUP(P945,Лист1!A$1:B$20,2,FALSE),0)</f>
        <v>784</v>
      </c>
      <c r="S945" s="13">
        <f t="shared" si="104"/>
        <v>0</v>
      </c>
    </row>
    <row r="946" spans="1:19" x14ac:dyDescent="0.25">
      <c r="A946" s="24" t="s">
        <v>2061</v>
      </c>
      <c r="B946" s="4" t="s">
        <v>1063</v>
      </c>
      <c r="C946" s="25" t="s">
        <v>5</v>
      </c>
      <c r="G946" s="25" t="s">
        <v>1219</v>
      </c>
      <c r="H946" s="24" t="s">
        <v>1061</v>
      </c>
      <c r="I946" s="3" t="str">
        <f>IFERROR(VLOOKUP(C946,'Справочник соответствий'!A$2:D$2981,2,FALSE),IF(VALUE(C946)=0,1,VLOOKUP(C946,'Справочник соответствий'!A$2:D$2981,2,FALSE)))</f>
        <v>1</v>
      </c>
      <c r="J946" s="3">
        <f>IFERROR(VLOOKUP(D946,'Справочник соответствий'!A$2:D$2981,2,FALSE),IF(VALUE(D946)=0,0,VLOOKUP(D946,'Справочник соответствий'!A$2:D$2981,2,FALSE)))</f>
        <v>0</v>
      </c>
      <c r="K946" s="3" t="str">
        <f t="shared" si="98"/>
        <v>1</v>
      </c>
      <c r="L946" s="13" t="str">
        <f>IFERROR(VLOOKUP(C946,'Справочник соответствий'!A$2:D$2981,3,FALSE),IF(VALUE(C946)=0,"ЭТАЖ НЕ ОПРЕДЕЛЕН. ПРИНЯТ ПО ДОПУЩЕНИЮ 1",VLOOKUP(C946,'Справочник соответствий'!A$2:D$2981,3,FALSE)))</f>
        <v>ЭТАЖ ЗАДАН ЧИСЛОМ</v>
      </c>
      <c r="M946" s="13" t="b">
        <f t="shared" si="99"/>
        <v>0</v>
      </c>
      <c r="N946" s="13">
        <f t="shared" si="100"/>
        <v>1</v>
      </c>
      <c r="O946" s="13" t="str">
        <f t="shared" si="101"/>
        <v>ЭТАЖ ЗАДАН ЧИСЛОМ</v>
      </c>
      <c r="P946" s="13" t="str">
        <f t="shared" si="102"/>
        <v>ЭТАЖ ЗАДАН ЧИСЛОМ</v>
      </c>
      <c r="Q946" s="13" t="str">
        <f t="shared" si="103"/>
        <v>ГОТОВ_ИЗМЕНЕН</v>
      </c>
      <c r="R946" s="13">
        <f>IFERROR(VLOOKUP(P946,Лист1!A$1:B$20,2,FALSE),0)</f>
        <v>784</v>
      </c>
      <c r="S946" s="13">
        <f t="shared" si="104"/>
        <v>0</v>
      </c>
    </row>
    <row r="947" spans="1:19" x14ac:dyDescent="0.25">
      <c r="A947" s="24" t="s">
        <v>2062</v>
      </c>
      <c r="B947" s="4" t="s">
        <v>1059</v>
      </c>
      <c r="C947" s="25" t="s">
        <v>5</v>
      </c>
      <c r="G947" s="25" t="s">
        <v>1219</v>
      </c>
      <c r="H947" s="24" t="s">
        <v>1061</v>
      </c>
      <c r="I947" s="3" t="str">
        <f>IFERROR(VLOOKUP(C947,'Справочник соответствий'!A$2:D$2981,2,FALSE),IF(VALUE(C947)=0,1,VLOOKUP(C947,'Справочник соответствий'!A$2:D$2981,2,FALSE)))</f>
        <v>1</v>
      </c>
      <c r="J947" s="3">
        <f>IFERROR(VLOOKUP(D947,'Справочник соответствий'!A$2:D$2981,2,FALSE),IF(VALUE(D947)=0,0,VLOOKUP(D947,'Справочник соответствий'!A$2:D$2981,2,FALSE)))</f>
        <v>0</v>
      </c>
      <c r="K947" s="3" t="str">
        <f t="shared" si="98"/>
        <v>1</v>
      </c>
      <c r="L947" s="13" t="str">
        <f>IFERROR(VLOOKUP(C947,'Справочник соответствий'!A$2:D$2981,3,FALSE),IF(VALUE(C947)=0,"ЭТАЖ НЕ ОПРЕДЕЛЕН. ПРИНЯТ ПО ДОПУЩЕНИЮ 1",VLOOKUP(C947,'Справочник соответствий'!A$2:D$2981,3,FALSE)))</f>
        <v>ЭТАЖ ЗАДАН ЧИСЛОМ</v>
      </c>
      <c r="M947" s="13" t="b">
        <f t="shared" si="99"/>
        <v>0</v>
      </c>
      <c r="N947" s="13">
        <f t="shared" si="100"/>
        <v>1</v>
      </c>
      <c r="O947" s="13" t="str">
        <f t="shared" si="101"/>
        <v>ЭТАЖ ЗАДАН ЧИСЛОМ</v>
      </c>
      <c r="P947" s="13" t="str">
        <f t="shared" si="102"/>
        <v>ЭТАЖ ЗАДАН ЧИСЛОМ</v>
      </c>
      <c r="Q947" s="13" t="str">
        <f t="shared" si="103"/>
        <v>ГОТОВ_ИЗМЕНЕН</v>
      </c>
      <c r="R947" s="13">
        <f>IFERROR(VLOOKUP(P947,Лист1!A$1:B$20,2,FALSE),0)</f>
        <v>784</v>
      </c>
      <c r="S947" s="13">
        <f t="shared" si="104"/>
        <v>0</v>
      </c>
    </row>
    <row r="948" spans="1:19" x14ac:dyDescent="0.25">
      <c r="A948" s="24" t="s">
        <v>2063</v>
      </c>
      <c r="B948" s="4" t="s">
        <v>1059</v>
      </c>
      <c r="C948" s="25" t="s">
        <v>7</v>
      </c>
      <c r="D948" s="25" t="s">
        <v>5</v>
      </c>
      <c r="G948" s="25" t="s">
        <v>1174</v>
      </c>
      <c r="H948" s="24" t="s">
        <v>1061</v>
      </c>
      <c r="I948" s="3" t="str">
        <f>IFERROR(VLOOKUP(C948,'Справочник соответствий'!A$2:D$2981,2,FALSE),IF(VALUE(C948)=0,1,VLOOKUP(C948,'Справочник соответствий'!A$2:D$2981,2,FALSE)))</f>
        <v>2</v>
      </c>
      <c r="J948" s="3" t="str">
        <f>IFERROR(VLOOKUP(D948,'Справочник соответствий'!A$2:D$2981,2,FALSE),IF(VALUE(D948)=0,0,VLOOKUP(D948,'Справочник соответствий'!A$2:D$2981,2,FALSE)))</f>
        <v>1</v>
      </c>
      <c r="K948" s="3" t="str">
        <f t="shared" si="98"/>
        <v>2</v>
      </c>
      <c r="L948" s="13" t="str">
        <f>IFERROR(VLOOKUP(C948,'Справочник соответствий'!A$2:D$2981,3,FALSE),IF(VALUE(C948)=0,"ЭТАЖ НЕ ОПРЕДЕЛЕН. ПРИНЯТ ПО ДОПУЩЕНИЮ 1",VLOOKUP(C948,'Справочник соответствий'!A$2:D$2981,3,FALSE)))</f>
        <v>ЭТАЖ ЗАДАН ЧИСЛОМ</v>
      </c>
      <c r="M948" s="13" t="b">
        <f t="shared" si="99"/>
        <v>0</v>
      </c>
      <c r="N948" s="13">
        <f t="shared" si="100"/>
        <v>2</v>
      </c>
      <c r="O948" s="13" t="str">
        <f t="shared" si="101"/>
        <v>ЭТАЖ ЗАДАН ЧИСЛОМ</v>
      </c>
      <c r="P948" s="13" t="str">
        <f t="shared" si="102"/>
        <v>ЭТАЖ ЗАДАН ЧИСЛОМ</v>
      </c>
      <c r="Q948" s="13" t="str">
        <f t="shared" si="103"/>
        <v>ГОТОВ_ИЗМЕНЕН</v>
      </c>
      <c r="R948" s="13">
        <f>IFERROR(VLOOKUP(P948,Лист1!A$1:B$20,2,FALSE),0)</f>
        <v>784</v>
      </c>
      <c r="S948" s="13">
        <f t="shared" si="104"/>
        <v>0</v>
      </c>
    </row>
    <row r="949" spans="1:19" x14ac:dyDescent="0.25">
      <c r="A949" s="24" t="s">
        <v>2064</v>
      </c>
      <c r="B949" s="4" t="s">
        <v>1063</v>
      </c>
      <c r="C949" s="25" t="s">
        <v>5</v>
      </c>
      <c r="G949" s="25" t="s">
        <v>1174</v>
      </c>
      <c r="H949" s="24" t="s">
        <v>1061</v>
      </c>
      <c r="I949" s="3" t="str">
        <f>IFERROR(VLOOKUP(C949,'Справочник соответствий'!A$2:D$2981,2,FALSE),IF(VALUE(C949)=0,1,VLOOKUP(C949,'Справочник соответствий'!A$2:D$2981,2,FALSE)))</f>
        <v>1</v>
      </c>
      <c r="J949" s="3">
        <f>IFERROR(VLOOKUP(D949,'Справочник соответствий'!A$2:D$2981,2,FALSE),IF(VALUE(D949)=0,0,VLOOKUP(D949,'Справочник соответствий'!A$2:D$2981,2,FALSE)))</f>
        <v>0</v>
      </c>
      <c r="K949" s="3" t="str">
        <f t="shared" si="98"/>
        <v>1</v>
      </c>
      <c r="L949" s="13" t="str">
        <f>IFERROR(VLOOKUP(C949,'Справочник соответствий'!A$2:D$2981,3,FALSE),IF(VALUE(C949)=0,"ЭТАЖ НЕ ОПРЕДЕЛЕН. ПРИНЯТ ПО ДОПУЩЕНИЮ 1",VLOOKUP(C949,'Справочник соответствий'!A$2:D$2981,3,FALSE)))</f>
        <v>ЭТАЖ ЗАДАН ЧИСЛОМ</v>
      </c>
      <c r="M949" s="13" t="b">
        <f t="shared" si="99"/>
        <v>0</v>
      </c>
      <c r="N949" s="13">
        <f t="shared" si="100"/>
        <v>1</v>
      </c>
      <c r="O949" s="13" t="str">
        <f t="shared" si="101"/>
        <v>ЭТАЖ ЗАДАН ЧИСЛОМ</v>
      </c>
      <c r="P949" s="13" t="str">
        <f t="shared" si="102"/>
        <v>ЭТАЖ ЗАДАН ЧИСЛОМ</v>
      </c>
      <c r="Q949" s="13" t="str">
        <f t="shared" si="103"/>
        <v>ГОТОВ_ИЗМЕНЕН</v>
      </c>
      <c r="R949" s="13">
        <f>IFERROR(VLOOKUP(P949,Лист1!A$1:B$20,2,FALSE),0)</f>
        <v>784</v>
      </c>
      <c r="S949" s="13">
        <f t="shared" si="104"/>
        <v>0</v>
      </c>
    </row>
    <row r="950" spans="1:19" x14ac:dyDescent="0.25">
      <c r="A950" s="24" t="s">
        <v>2065</v>
      </c>
      <c r="B950" s="4" t="s">
        <v>1059</v>
      </c>
      <c r="C950" s="25" t="s">
        <v>5</v>
      </c>
      <c r="G950" s="25" t="s">
        <v>1224</v>
      </c>
      <c r="H950" s="24" t="s">
        <v>1061</v>
      </c>
      <c r="I950" s="3" t="str">
        <f>IFERROR(VLOOKUP(C950,'Справочник соответствий'!A$2:D$2981,2,FALSE),IF(VALUE(C950)=0,1,VLOOKUP(C950,'Справочник соответствий'!A$2:D$2981,2,FALSE)))</f>
        <v>1</v>
      </c>
      <c r="J950" s="3">
        <f>IFERROR(VLOOKUP(D950,'Справочник соответствий'!A$2:D$2981,2,FALSE),IF(VALUE(D950)=0,0,VLOOKUP(D950,'Справочник соответствий'!A$2:D$2981,2,FALSE)))</f>
        <v>0</v>
      </c>
      <c r="K950" s="3" t="str">
        <f t="shared" si="98"/>
        <v>1</v>
      </c>
      <c r="L950" s="13" t="str">
        <f>IFERROR(VLOOKUP(C950,'Справочник соответствий'!A$2:D$2981,3,FALSE),IF(VALUE(C950)=0,"ЭТАЖ НЕ ОПРЕДЕЛЕН. ПРИНЯТ ПО ДОПУЩЕНИЮ 1",VLOOKUP(C950,'Справочник соответствий'!A$2:D$2981,3,FALSE)))</f>
        <v>ЭТАЖ ЗАДАН ЧИСЛОМ</v>
      </c>
      <c r="M950" s="13" t="b">
        <f t="shared" si="99"/>
        <v>0</v>
      </c>
      <c r="N950" s="13">
        <f t="shared" si="100"/>
        <v>1</v>
      </c>
      <c r="O950" s="13" t="str">
        <f t="shared" si="101"/>
        <v>ЭТАЖ ЗАДАН ЧИСЛОМ</v>
      </c>
      <c r="P950" s="13" t="str">
        <f t="shared" si="102"/>
        <v>ЭТАЖ ЗАДАН ЧИСЛОМ</v>
      </c>
      <c r="Q950" s="13" t="str">
        <f t="shared" si="103"/>
        <v>ГОТОВ_ИЗМЕНЕН</v>
      </c>
      <c r="R950" s="13">
        <f>IFERROR(VLOOKUP(P950,Лист1!A$1:B$20,2,FALSE),0)</f>
        <v>784</v>
      </c>
      <c r="S950" s="13">
        <f t="shared" si="104"/>
        <v>0</v>
      </c>
    </row>
    <row r="951" spans="1:19" x14ac:dyDescent="0.25">
      <c r="A951" s="24" t="s">
        <v>2066</v>
      </c>
      <c r="B951" s="4" t="s">
        <v>1059</v>
      </c>
      <c r="C951" s="25" t="s">
        <v>5</v>
      </c>
      <c r="G951" s="25" t="s">
        <v>1224</v>
      </c>
      <c r="H951" s="24" t="s">
        <v>1061</v>
      </c>
      <c r="I951" s="3" t="str">
        <f>IFERROR(VLOOKUP(C951,'Справочник соответствий'!A$2:D$2981,2,FALSE),IF(VALUE(C951)=0,1,VLOOKUP(C951,'Справочник соответствий'!A$2:D$2981,2,FALSE)))</f>
        <v>1</v>
      </c>
      <c r="J951" s="3">
        <f>IFERROR(VLOOKUP(D951,'Справочник соответствий'!A$2:D$2981,2,FALSE),IF(VALUE(D951)=0,0,VLOOKUP(D951,'Справочник соответствий'!A$2:D$2981,2,FALSE)))</f>
        <v>0</v>
      </c>
      <c r="K951" s="3" t="str">
        <f t="shared" si="98"/>
        <v>1</v>
      </c>
      <c r="L951" s="13" t="str">
        <f>IFERROR(VLOOKUP(C951,'Справочник соответствий'!A$2:D$2981,3,FALSE),IF(VALUE(C951)=0,"ЭТАЖ НЕ ОПРЕДЕЛЕН. ПРИНЯТ ПО ДОПУЩЕНИЮ 1",VLOOKUP(C951,'Справочник соответствий'!A$2:D$2981,3,FALSE)))</f>
        <v>ЭТАЖ ЗАДАН ЧИСЛОМ</v>
      </c>
      <c r="M951" s="13" t="b">
        <f t="shared" si="99"/>
        <v>0</v>
      </c>
      <c r="N951" s="13">
        <f t="shared" si="100"/>
        <v>1</v>
      </c>
      <c r="O951" s="13" t="str">
        <f t="shared" si="101"/>
        <v>ЭТАЖ ЗАДАН ЧИСЛОМ</v>
      </c>
      <c r="P951" s="13" t="str">
        <f t="shared" si="102"/>
        <v>ЭТАЖ ЗАДАН ЧИСЛОМ</v>
      </c>
      <c r="Q951" s="13" t="str">
        <f t="shared" si="103"/>
        <v>ГОТОВ_ИЗМЕНЕН</v>
      </c>
      <c r="R951" s="13">
        <f>IFERROR(VLOOKUP(P951,Лист1!A$1:B$20,2,FALSE),0)</f>
        <v>784</v>
      </c>
      <c r="S951" s="13">
        <f t="shared" si="104"/>
        <v>0</v>
      </c>
    </row>
    <row r="952" spans="1:19" x14ac:dyDescent="0.25">
      <c r="A952" s="24" t="s">
        <v>2067</v>
      </c>
      <c r="B952" s="4" t="s">
        <v>1059</v>
      </c>
      <c r="C952" s="25" t="s">
        <v>5</v>
      </c>
      <c r="G952" s="25" t="s">
        <v>1230</v>
      </c>
      <c r="H952" s="24" t="s">
        <v>1061</v>
      </c>
      <c r="I952" s="3" t="str">
        <f>IFERROR(VLOOKUP(C952,'Справочник соответствий'!A$2:D$2981,2,FALSE),IF(VALUE(C952)=0,1,VLOOKUP(C952,'Справочник соответствий'!A$2:D$2981,2,FALSE)))</f>
        <v>1</v>
      </c>
      <c r="J952" s="3">
        <f>IFERROR(VLOOKUP(D952,'Справочник соответствий'!A$2:D$2981,2,FALSE),IF(VALUE(D952)=0,0,VLOOKUP(D952,'Справочник соответствий'!A$2:D$2981,2,FALSE)))</f>
        <v>0</v>
      </c>
      <c r="K952" s="3" t="str">
        <f t="shared" si="98"/>
        <v>1</v>
      </c>
      <c r="L952" s="13" t="str">
        <f>IFERROR(VLOOKUP(C952,'Справочник соответствий'!A$2:D$2981,3,FALSE),IF(VALUE(C952)=0,"ЭТАЖ НЕ ОПРЕДЕЛЕН. ПРИНЯТ ПО ДОПУЩЕНИЮ 1",VLOOKUP(C952,'Справочник соответствий'!A$2:D$2981,3,FALSE)))</f>
        <v>ЭТАЖ ЗАДАН ЧИСЛОМ</v>
      </c>
      <c r="M952" s="13" t="b">
        <f t="shared" si="99"/>
        <v>0</v>
      </c>
      <c r="N952" s="13">
        <f t="shared" si="100"/>
        <v>1</v>
      </c>
      <c r="O952" s="13" t="str">
        <f t="shared" si="101"/>
        <v>ЭТАЖ ЗАДАН ЧИСЛОМ</v>
      </c>
      <c r="P952" s="13" t="str">
        <f t="shared" si="102"/>
        <v>ЭТАЖ ЗАДАН ЧИСЛОМ</v>
      </c>
      <c r="Q952" s="13" t="str">
        <f t="shared" si="103"/>
        <v>ГОТОВ_ИЗМЕНЕН</v>
      </c>
      <c r="R952" s="13">
        <f>IFERROR(VLOOKUP(P952,Лист1!A$1:B$20,2,FALSE),0)</f>
        <v>784</v>
      </c>
      <c r="S952" s="13">
        <f t="shared" si="104"/>
        <v>0</v>
      </c>
    </row>
    <row r="953" spans="1:19" x14ac:dyDescent="0.25">
      <c r="A953" s="24" t="s">
        <v>2068</v>
      </c>
      <c r="B953" s="4" t="s">
        <v>1059</v>
      </c>
      <c r="C953" s="25" t="s">
        <v>5</v>
      </c>
      <c r="G953" s="25" t="s">
        <v>1174</v>
      </c>
      <c r="H953" s="24" t="s">
        <v>1061</v>
      </c>
      <c r="I953" s="3" t="str">
        <f>IFERROR(VLOOKUP(C953,'Справочник соответствий'!A$2:D$2981,2,FALSE),IF(VALUE(C953)=0,1,VLOOKUP(C953,'Справочник соответствий'!A$2:D$2981,2,FALSE)))</f>
        <v>1</v>
      </c>
      <c r="J953" s="3">
        <f>IFERROR(VLOOKUP(D953,'Справочник соответствий'!A$2:D$2981,2,FALSE),IF(VALUE(D953)=0,0,VLOOKUP(D953,'Справочник соответствий'!A$2:D$2981,2,FALSE)))</f>
        <v>0</v>
      </c>
      <c r="K953" s="3" t="str">
        <f t="shared" si="98"/>
        <v>1</v>
      </c>
      <c r="L953" s="13" t="str">
        <f>IFERROR(VLOOKUP(C953,'Справочник соответствий'!A$2:D$2981,3,FALSE),IF(VALUE(C953)=0,"ЭТАЖ НЕ ОПРЕДЕЛЕН. ПРИНЯТ ПО ДОПУЩЕНИЮ 1",VLOOKUP(C953,'Справочник соответствий'!A$2:D$2981,3,FALSE)))</f>
        <v>ЭТАЖ ЗАДАН ЧИСЛОМ</v>
      </c>
      <c r="M953" s="13" t="b">
        <f t="shared" si="99"/>
        <v>0</v>
      </c>
      <c r="N953" s="13">
        <f t="shared" si="100"/>
        <v>1</v>
      </c>
      <c r="O953" s="13" t="str">
        <f t="shared" si="101"/>
        <v>ЭТАЖ ЗАДАН ЧИСЛОМ</v>
      </c>
      <c r="P953" s="13" t="str">
        <f t="shared" si="102"/>
        <v>ЭТАЖ ЗАДАН ЧИСЛОМ</v>
      </c>
      <c r="Q953" s="13" t="str">
        <f t="shared" si="103"/>
        <v>ГОТОВ_ИЗМЕНЕН</v>
      </c>
      <c r="R953" s="13">
        <f>IFERROR(VLOOKUP(P953,Лист1!A$1:B$20,2,FALSE),0)</f>
        <v>784</v>
      </c>
      <c r="S953" s="13">
        <f t="shared" si="104"/>
        <v>0</v>
      </c>
    </row>
    <row r="954" spans="1:19" x14ac:dyDescent="0.25">
      <c r="A954" s="24" t="s">
        <v>2069</v>
      </c>
      <c r="B954" s="4" t="s">
        <v>1059</v>
      </c>
      <c r="C954" s="25" t="s">
        <v>5</v>
      </c>
      <c r="G954" s="25" t="s">
        <v>1230</v>
      </c>
      <c r="H954" s="24" t="s">
        <v>1061</v>
      </c>
      <c r="I954" s="3" t="str">
        <f>IFERROR(VLOOKUP(C954,'Справочник соответствий'!A$2:D$2981,2,FALSE),IF(VALUE(C954)=0,1,VLOOKUP(C954,'Справочник соответствий'!A$2:D$2981,2,FALSE)))</f>
        <v>1</v>
      </c>
      <c r="J954" s="3">
        <f>IFERROR(VLOOKUP(D954,'Справочник соответствий'!A$2:D$2981,2,FALSE),IF(VALUE(D954)=0,0,VLOOKUP(D954,'Справочник соответствий'!A$2:D$2981,2,FALSE)))</f>
        <v>0</v>
      </c>
      <c r="K954" s="3" t="str">
        <f t="shared" si="98"/>
        <v>1</v>
      </c>
      <c r="L954" s="13" t="str">
        <f>IFERROR(VLOOKUP(C954,'Справочник соответствий'!A$2:D$2981,3,FALSE),IF(VALUE(C954)=0,"ЭТАЖ НЕ ОПРЕДЕЛЕН. ПРИНЯТ ПО ДОПУЩЕНИЮ 1",VLOOKUP(C954,'Справочник соответствий'!A$2:D$2981,3,FALSE)))</f>
        <v>ЭТАЖ ЗАДАН ЧИСЛОМ</v>
      </c>
      <c r="M954" s="13" t="b">
        <f t="shared" si="99"/>
        <v>0</v>
      </c>
      <c r="N954" s="13">
        <f t="shared" si="100"/>
        <v>1</v>
      </c>
      <c r="O954" s="13" t="str">
        <f t="shared" si="101"/>
        <v>ЭТАЖ ЗАДАН ЧИСЛОМ</v>
      </c>
      <c r="P954" s="13" t="str">
        <f t="shared" si="102"/>
        <v>ЭТАЖ ЗАДАН ЧИСЛОМ</v>
      </c>
      <c r="Q954" s="13" t="str">
        <f t="shared" si="103"/>
        <v>ГОТОВ_ИЗМЕНЕН</v>
      </c>
      <c r="R954" s="13">
        <f>IFERROR(VLOOKUP(P954,Лист1!A$1:B$20,2,FALSE),0)</f>
        <v>784</v>
      </c>
      <c r="S954" s="13">
        <f t="shared" si="104"/>
        <v>0</v>
      </c>
    </row>
    <row r="955" spans="1:19" x14ac:dyDescent="0.25">
      <c r="A955" s="24" t="s">
        <v>2070</v>
      </c>
      <c r="B955" s="4" t="s">
        <v>1059</v>
      </c>
      <c r="C955" s="25" t="s">
        <v>5</v>
      </c>
      <c r="G955" s="25" t="s">
        <v>1230</v>
      </c>
      <c r="H955" s="24" t="s">
        <v>1061</v>
      </c>
      <c r="I955" s="3" t="str">
        <f>IFERROR(VLOOKUP(C955,'Справочник соответствий'!A$2:D$2981,2,FALSE),IF(VALUE(C955)=0,1,VLOOKUP(C955,'Справочник соответствий'!A$2:D$2981,2,FALSE)))</f>
        <v>1</v>
      </c>
      <c r="J955" s="3">
        <f>IFERROR(VLOOKUP(D955,'Справочник соответствий'!A$2:D$2981,2,FALSE),IF(VALUE(D955)=0,0,VLOOKUP(D955,'Справочник соответствий'!A$2:D$2981,2,FALSE)))</f>
        <v>0</v>
      </c>
      <c r="K955" s="3" t="str">
        <f t="shared" si="98"/>
        <v>1</v>
      </c>
      <c r="L955" s="13" t="str">
        <f>IFERROR(VLOOKUP(C955,'Справочник соответствий'!A$2:D$2981,3,FALSE),IF(VALUE(C955)=0,"ЭТАЖ НЕ ОПРЕДЕЛЕН. ПРИНЯТ ПО ДОПУЩЕНИЮ 1",VLOOKUP(C955,'Справочник соответствий'!A$2:D$2981,3,FALSE)))</f>
        <v>ЭТАЖ ЗАДАН ЧИСЛОМ</v>
      </c>
      <c r="M955" s="13" t="b">
        <f t="shared" si="99"/>
        <v>0</v>
      </c>
      <c r="N955" s="13">
        <f t="shared" si="100"/>
        <v>1</v>
      </c>
      <c r="O955" s="13" t="str">
        <f t="shared" si="101"/>
        <v>ЭТАЖ ЗАДАН ЧИСЛОМ</v>
      </c>
      <c r="P955" s="13" t="str">
        <f t="shared" si="102"/>
        <v>ЭТАЖ ЗАДАН ЧИСЛОМ</v>
      </c>
      <c r="Q955" s="13" t="str">
        <f t="shared" si="103"/>
        <v>ГОТОВ_ИЗМЕНЕН</v>
      </c>
      <c r="R955" s="13">
        <f>IFERROR(VLOOKUP(P955,Лист1!A$1:B$20,2,FALSE),0)</f>
        <v>784</v>
      </c>
      <c r="S955" s="13">
        <f t="shared" si="104"/>
        <v>0</v>
      </c>
    </row>
    <row r="956" spans="1:19" x14ac:dyDescent="0.25">
      <c r="A956" s="24" t="s">
        <v>2071</v>
      </c>
      <c r="B956" s="4" t="s">
        <v>1059</v>
      </c>
      <c r="C956" s="25" t="s">
        <v>5</v>
      </c>
      <c r="G956" s="25" t="s">
        <v>1230</v>
      </c>
      <c r="H956" s="24" t="s">
        <v>1061</v>
      </c>
      <c r="I956" s="3" t="str">
        <f>IFERROR(VLOOKUP(C956,'Справочник соответствий'!A$2:D$2981,2,FALSE),IF(VALUE(C956)=0,1,VLOOKUP(C956,'Справочник соответствий'!A$2:D$2981,2,FALSE)))</f>
        <v>1</v>
      </c>
      <c r="J956" s="3">
        <f>IFERROR(VLOOKUP(D956,'Справочник соответствий'!A$2:D$2981,2,FALSE),IF(VALUE(D956)=0,0,VLOOKUP(D956,'Справочник соответствий'!A$2:D$2981,2,FALSE)))</f>
        <v>0</v>
      </c>
      <c r="K956" s="3" t="str">
        <f t="shared" si="98"/>
        <v>1</v>
      </c>
      <c r="L956" s="13" t="str">
        <f>IFERROR(VLOOKUP(C956,'Справочник соответствий'!A$2:D$2981,3,FALSE),IF(VALUE(C956)=0,"ЭТАЖ НЕ ОПРЕДЕЛЕН. ПРИНЯТ ПО ДОПУЩЕНИЮ 1",VLOOKUP(C956,'Справочник соответствий'!A$2:D$2981,3,FALSE)))</f>
        <v>ЭТАЖ ЗАДАН ЧИСЛОМ</v>
      </c>
      <c r="M956" s="13" t="b">
        <f t="shared" si="99"/>
        <v>0</v>
      </c>
      <c r="N956" s="13">
        <f t="shared" si="100"/>
        <v>1</v>
      </c>
      <c r="O956" s="13" t="str">
        <f t="shared" si="101"/>
        <v>ЭТАЖ ЗАДАН ЧИСЛОМ</v>
      </c>
      <c r="P956" s="13" t="str">
        <f t="shared" si="102"/>
        <v>ЭТАЖ ЗАДАН ЧИСЛОМ</v>
      </c>
      <c r="Q956" s="13" t="str">
        <f t="shared" si="103"/>
        <v>ГОТОВ_ИЗМЕНЕН</v>
      </c>
      <c r="R956" s="13">
        <f>IFERROR(VLOOKUP(P956,Лист1!A$1:B$20,2,FALSE),0)</f>
        <v>784</v>
      </c>
      <c r="S956" s="13">
        <f t="shared" si="104"/>
        <v>0</v>
      </c>
    </row>
    <row r="957" spans="1:19" x14ac:dyDescent="0.25">
      <c r="A957" s="24" t="s">
        <v>2072</v>
      </c>
      <c r="B957" s="4" t="s">
        <v>1059</v>
      </c>
      <c r="C957" s="25" t="s">
        <v>7</v>
      </c>
      <c r="G957" s="25" t="s">
        <v>1219</v>
      </c>
      <c r="H957" s="24" t="s">
        <v>1061</v>
      </c>
      <c r="I957" s="3" t="str">
        <f>IFERROR(VLOOKUP(C957,'Справочник соответствий'!A$2:D$2981,2,FALSE),IF(VALUE(C957)=0,1,VLOOKUP(C957,'Справочник соответствий'!A$2:D$2981,2,FALSE)))</f>
        <v>2</v>
      </c>
      <c r="J957" s="3">
        <f>IFERROR(VLOOKUP(D957,'Справочник соответствий'!A$2:D$2981,2,FALSE),IF(VALUE(D957)=0,0,VLOOKUP(D957,'Справочник соответствий'!A$2:D$2981,2,FALSE)))</f>
        <v>0</v>
      </c>
      <c r="K957" s="3" t="str">
        <f t="shared" si="98"/>
        <v>2</v>
      </c>
      <c r="L957" s="13" t="str">
        <f>IFERROR(VLOOKUP(C957,'Справочник соответствий'!A$2:D$2981,3,FALSE),IF(VALUE(C957)=0,"ЭТАЖ НЕ ОПРЕДЕЛЕН. ПРИНЯТ ПО ДОПУЩЕНИЮ 1",VLOOKUP(C957,'Справочник соответствий'!A$2:D$2981,3,FALSE)))</f>
        <v>ЭТАЖ ЗАДАН ЧИСЛОМ</v>
      </c>
      <c r="M957" s="13" t="b">
        <f t="shared" si="99"/>
        <v>0</v>
      </c>
      <c r="N957" s="13">
        <f t="shared" si="100"/>
        <v>2</v>
      </c>
      <c r="O957" s="13" t="str">
        <f t="shared" si="101"/>
        <v>ЭТАЖ ЗАДАН ЧИСЛОМ</v>
      </c>
      <c r="P957" s="13" t="str">
        <f t="shared" si="102"/>
        <v>ЭТАЖ ЗАДАН ЧИСЛОМ</v>
      </c>
      <c r="Q957" s="13" t="str">
        <f t="shared" si="103"/>
        <v>ГОТОВ_ИЗМЕНЕН</v>
      </c>
      <c r="R957" s="13">
        <f>IFERROR(VLOOKUP(P957,Лист1!A$1:B$20,2,FALSE),0)</f>
        <v>784</v>
      </c>
      <c r="S957" s="13">
        <f t="shared" si="104"/>
        <v>0</v>
      </c>
    </row>
    <row r="958" spans="1:19" x14ac:dyDescent="0.25">
      <c r="A958" s="24" t="s">
        <v>2073</v>
      </c>
      <c r="B958" s="4" t="s">
        <v>1059</v>
      </c>
      <c r="C958" s="25" t="s">
        <v>5</v>
      </c>
      <c r="G958" s="25" t="s">
        <v>1230</v>
      </c>
      <c r="H958" s="24" t="s">
        <v>1061</v>
      </c>
      <c r="I958" s="3" t="str">
        <f>IFERROR(VLOOKUP(C958,'Справочник соответствий'!A$2:D$2981,2,FALSE),IF(VALUE(C958)=0,1,VLOOKUP(C958,'Справочник соответствий'!A$2:D$2981,2,FALSE)))</f>
        <v>1</v>
      </c>
      <c r="J958" s="3">
        <f>IFERROR(VLOOKUP(D958,'Справочник соответствий'!A$2:D$2981,2,FALSE),IF(VALUE(D958)=0,0,VLOOKUP(D958,'Справочник соответствий'!A$2:D$2981,2,FALSE)))</f>
        <v>0</v>
      </c>
      <c r="K958" s="3" t="str">
        <f t="shared" si="98"/>
        <v>1</v>
      </c>
      <c r="L958" s="13" t="str">
        <f>IFERROR(VLOOKUP(C958,'Справочник соответствий'!A$2:D$2981,3,FALSE),IF(VALUE(C958)=0,"ЭТАЖ НЕ ОПРЕДЕЛЕН. ПРИНЯТ ПО ДОПУЩЕНИЮ 1",VLOOKUP(C958,'Справочник соответствий'!A$2:D$2981,3,FALSE)))</f>
        <v>ЭТАЖ ЗАДАН ЧИСЛОМ</v>
      </c>
      <c r="M958" s="13" t="b">
        <f t="shared" si="99"/>
        <v>0</v>
      </c>
      <c r="N958" s="13">
        <f t="shared" si="100"/>
        <v>1</v>
      </c>
      <c r="O958" s="13" t="str">
        <f t="shared" si="101"/>
        <v>ЭТАЖ ЗАДАН ЧИСЛОМ</v>
      </c>
      <c r="P958" s="13" t="str">
        <f t="shared" si="102"/>
        <v>ЭТАЖ ЗАДАН ЧИСЛОМ</v>
      </c>
      <c r="Q958" s="13" t="str">
        <f t="shared" si="103"/>
        <v>ГОТОВ_ИЗМЕНЕН</v>
      </c>
      <c r="R958" s="13">
        <f>IFERROR(VLOOKUP(P958,Лист1!A$1:B$20,2,FALSE),0)</f>
        <v>784</v>
      </c>
      <c r="S958" s="13">
        <f t="shared" si="104"/>
        <v>0</v>
      </c>
    </row>
    <row r="959" spans="1:19" x14ac:dyDescent="0.25">
      <c r="A959" s="24" t="s">
        <v>2074</v>
      </c>
      <c r="B959" s="4" t="s">
        <v>1059</v>
      </c>
      <c r="C959" s="25" t="s">
        <v>5</v>
      </c>
      <c r="G959" s="25" t="s">
        <v>1230</v>
      </c>
      <c r="H959" s="24" t="s">
        <v>1061</v>
      </c>
      <c r="I959" s="3" t="str">
        <f>IFERROR(VLOOKUP(C959,'Справочник соответствий'!A$2:D$2981,2,FALSE),IF(VALUE(C959)=0,1,VLOOKUP(C959,'Справочник соответствий'!A$2:D$2981,2,FALSE)))</f>
        <v>1</v>
      </c>
      <c r="J959" s="3">
        <f>IFERROR(VLOOKUP(D959,'Справочник соответствий'!A$2:D$2981,2,FALSE),IF(VALUE(D959)=0,0,VLOOKUP(D959,'Справочник соответствий'!A$2:D$2981,2,FALSE)))</f>
        <v>0</v>
      </c>
      <c r="K959" s="3" t="str">
        <f t="shared" si="98"/>
        <v>1</v>
      </c>
      <c r="L959" s="13" t="str">
        <f>IFERROR(VLOOKUP(C959,'Справочник соответствий'!A$2:D$2981,3,FALSE),IF(VALUE(C959)=0,"ЭТАЖ НЕ ОПРЕДЕЛЕН. ПРИНЯТ ПО ДОПУЩЕНИЮ 1",VLOOKUP(C959,'Справочник соответствий'!A$2:D$2981,3,FALSE)))</f>
        <v>ЭТАЖ ЗАДАН ЧИСЛОМ</v>
      </c>
      <c r="M959" s="13" t="b">
        <f t="shared" si="99"/>
        <v>0</v>
      </c>
      <c r="N959" s="13">
        <f t="shared" si="100"/>
        <v>1</v>
      </c>
      <c r="O959" s="13" t="str">
        <f t="shared" si="101"/>
        <v>ЭТАЖ ЗАДАН ЧИСЛОМ</v>
      </c>
      <c r="P959" s="13" t="str">
        <f t="shared" si="102"/>
        <v>ЭТАЖ ЗАДАН ЧИСЛОМ</v>
      </c>
      <c r="Q959" s="13" t="str">
        <f t="shared" si="103"/>
        <v>ГОТОВ_ИЗМЕНЕН</v>
      </c>
      <c r="R959" s="13">
        <f>IFERROR(VLOOKUP(P959,Лист1!A$1:B$20,2,FALSE),0)</f>
        <v>784</v>
      </c>
      <c r="S959" s="13">
        <f t="shared" si="104"/>
        <v>0</v>
      </c>
    </row>
    <row r="960" spans="1:19" x14ac:dyDescent="0.25">
      <c r="A960" s="24" t="s">
        <v>2075</v>
      </c>
      <c r="B960" s="4" t="s">
        <v>1059</v>
      </c>
      <c r="C960" s="25" t="s">
        <v>7</v>
      </c>
      <c r="G960" s="25" t="s">
        <v>1230</v>
      </c>
      <c r="H960" s="24" t="s">
        <v>1061</v>
      </c>
      <c r="I960" s="3" t="str">
        <f>IFERROR(VLOOKUP(C960,'Справочник соответствий'!A$2:D$2981,2,FALSE),IF(VALUE(C960)=0,1,VLOOKUP(C960,'Справочник соответствий'!A$2:D$2981,2,FALSE)))</f>
        <v>2</v>
      </c>
      <c r="J960" s="3">
        <f>IFERROR(VLOOKUP(D960,'Справочник соответствий'!A$2:D$2981,2,FALSE),IF(VALUE(D960)=0,0,VLOOKUP(D960,'Справочник соответствий'!A$2:D$2981,2,FALSE)))</f>
        <v>0</v>
      </c>
      <c r="K960" s="3" t="str">
        <f t="shared" si="98"/>
        <v>2</v>
      </c>
      <c r="L960" s="13" t="str">
        <f>IFERROR(VLOOKUP(C960,'Справочник соответствий'!A$2:D$2981,3,FALSE),IF(VALUE(C960)=0,"ЭТАЖ НЕ ОПРЕДЕЛЕН. ПРИНЯТ ПО ДОПУЩЕНИЮ 1",VLOOKUP(C960,'Справочник соответствий'!A$2:D$2981,3,FALSE)))</f>
        <v>ЭТАЖ ЗАДАН ЧИСЛОМ</v>
      </c>
      <c r="M960" s="13" t="b">
        <f t="shared" si="99"/>
        <v>0</v>
      </c>
      <c r="N960" s="13">
        <f t="shared" si="100"/>
        <v>2</v>
      </c>
      <c r="O960" s="13" t="str">
        <f t="shared" si="101"/>
        <v>ЭТАЖ ЗАДАН ЧИСЛОМ</v>
      </c>
      <c r="P960" s="13" t="str">
        <f t="shared" si="102"/>
        <v>ЭТАЖ ЗАДАН ЧИСЛОМ</v>
      </c>
      <c r="Q960" s="13" t="str">
        <f t="shared" si="103"/>
        <v>ГОТОВ_ИЗМЕНЕН</v>
      </c>
      <c r="R960" s="13">
        <f>IFERROR(VLOOKUP(P960,Лист1!A$1:B$20,2,FALSE),0)</f>
        <v>784</v>
      </c>
      <c r="S960" s="13">
        <f t="shared" si="104"/>
        <v>0</v>
      </c>
    </row>
    <row r="961" spans="1:19" x14ac:dyDescent="0.25">
      <c r="A961" s="24" t="s">
        <v>2076</v>
      </c>
      <c r="B961" s="4" t="s">
        <v>1059</v>
      </c>
      <c r="C961" s="25" t="s">
        <v>5</v>
      </c>
      <c r="G961" s="25" t="s">
        <v>1230</v>
      </c>
      <c r="H961" s="24" t="s">
        <v>1061</v>
      </c>
      <c r="I961" s="3" t="str">
        <f>IFERROR(VLOOKUP(C961,'Справочник соответствий'!A$2:D$2981,2,FALSE),IF(VALUE(C961)=0,1,VLOOKUP(C961,'Справочник соответствий'!A$2:D$2981,2,FALSE)))</f>
        <v>1</v>
      </c>
      <c r="J961" s="3">
        <f>IFERROR(VLOOKUP(D961,'Справочник соответствий'!A$2:D$2981,2,FALSE),IF(VALUE(D961)=0,0,VLOOKUP(D961,'Справочник соответствий'!A$2:D$2981,2,FALSE)))</f>
        <v>0</v>
      </c>
      <c r="K961" s="3" t="str">
        <f t="shared" si="98"/>
        <v>1</v>
      </c>
      <c r="L961" s="13" t="str">
        <f>IFERROR(VLOOKUP(C961,'Справочник соответствий'!A$2:D$2981,3,FALSE),IF(VALUE(C961)=0,"ЭТАЖ НЕ ОПРЕДЕЛЕН. ПРИНЯТ ПО ДОПУЩЕНИЮ 1",VLOOKUP(C961,'Справочник соответствий'!A$2:D$2981,3,FALSE)))</f>
        <v>ЭТАЖ ЗАДАН ЧИСЛОМ</v>
      </c>
      <c r="M961" s="13" t="b">
        <f t="shared" si="99"/>
        <v>0</v>
      </c>
      <c r="N961" s="13">
        <f t="shared" si="100"/>
        <v>1</v>
      </c>
      <c r="O961" s="13" t="str">
        <f t="shared" si="101"/>
        <v>ЭТАЖ ЗАДАН ЧИСЛОМ</v>
      </c>
      <c r="P961" s="13" t="str">
        <f t="shared" si="102"/>
        <v>ЭТАЖ ЗАДАН ЧИСЛОМ</v>
      </c>
      <c r="Q961" s="13" t="str">
        <f t="shared" si="103"/>
        <v>ГОТОВ_ИЗМЕНЕН</v>
      </c>
      <c r="R961" s="13">
        <f>IFERROR(VLOOKUP(P961,Лист1!A$1:B$20,2,FALSE),0)</f>
        <v>784</v>
      </c>
      <c r="S961" s="13">
        <f t="shared" si="104"/>
        <v>0</v>
      </c>
    </row>
    <row r="962" spans="1:19" x14ac:dyDescent="0.25">
      <c r="A962" s="24" t="s">
        <v>2077</v>
      </c>
      <c r="B962" s="4" t="s">
        <v>1059</v>
      </c>
      <c r="G962" s="25" t="s">
        <v>1067</v>
      </c>
      <c r="H962" s="24" t="s">
        <v>1061</v>
      </c>
      <c r="I962" s="3">
        <f>IFERROR(VLOOKUP(C962,'Справочник соответствий'!A$2:D$2981,2,FALSE),IF(VALUE(C962)=0,1,VLOOKUP(C962,'Справочник соответствий'!A$2:D$2981,2,FALSE)))</f>
        <v>1</v>
      </c>
      <c r="J962" s="3">
        <f>IFERROR(VLOOKUP(D962,'Справочник соответствий'!A$2:D$2981,2,FALSE),IF(VALUE(D962)=0,0,VLOOKUP(D962,'Справочник соответствий'!A$2:D$2981,2,FALSE)))</f>
        <v>0</v>
      </c>
      <c r="K962" s="3">
        <f t="shared" si="98"/>
        <v>1</v>
      </c>
      <c r="L962" s="13" t="str">
        <f>IFERROR(VLOOKUP(C962,'Справочник соответствий'!A$2:D$2981,3,FALSE),IF(VALUE(C962)=0,"ЭТАЖ НЕ ОПРЕДЕЛЕН. ПРИНЯТ ПО ДОПУЩЕНИЮ 1",VLOOKUP(C962,'Справочник соответствий'!A$2:D$2981,3,FALSE)))</f>
        <v>ЭТАЖ НЕ ОПРЕДЕЛЕН. ПРИНЯТ ПО ДОПУЩЕНИЮ 1</v>
      </c>
      <c r="M962" s="13" t="b">
        <f t="shared" si="99"/>
        <v>0</v>
      </c>
      <c r="N962" s="13">
        <f t="shared" si="100"/>
        <v>1</v>
      </c>
      <c r="O962" s="13" t="str">
        <f t="shared" si="101"/>
        <v>ЭТАЖ НЕ ОПРЕДЕЛЕН. ПРИНЯТ ПО ДОПУЩЕНИЮ 1</v>
      </c>
      <c r="P962" s="13" t="str">
        <f t="shared" si="102"/>
        <v>ЭТАЖ НЕ ОПРЕДЕЛЕН. ПРИНЯТ ПО ДОПУЩЕНИЮ 1</v>
      </c>
      <c r="Q962" s="13" t="str">
        <f t="shared" si="103"/>
        <v>ГОТОВ_ИЗМЕНЕН</v>
      </c>
      <c r="R962" s="13">
        <f>IFERROR(VLOOKUP(P962,Лист1!A$1:B$20,2,FALSE),0)</f>
        <v>788</v>
      </c>
      <c r="S962" s="13">
        <f t="shared" si="104"/>
        <v>0</v>
      </c>
    </row>
    <row r="963" spans="1:19" x14ac:dyDescent="0.25">
      <c r="A963" s="24" t="s">
        <v>2078</v>
      </c>
      <c r="B963" s="4" t="s">
        <v>1063</v>
      </c>
      <c r="C963" s="25" t="s">
        <v>5</v>
      </c>
      <c r="G963" s="25" t="s">
        <v>1067</v>
      </c>
      <c r="H963" s="24" t="s">
        <v>1061</v>
      </c>
      <c r="I963" s="3" t="str">
        <f>IFERROR(VLOOKUP(C963,'Справочник соответствий'!A$2:D$2981,2,FALSE),IF(VALUE(C963)=0,1,VLOOKUP(C963,'Справочник соответствий'!A$2:D$2981,2,FALSE)))</f>
        <v>1</v>
      </c>
      <c r="J963" s="3">
        <f>IFERROR(VLOOKUP(D963,'Справочник соответствий'!A$2:D$2981,2,FALSE),IF(VALUE(D963)=0,0,VLOOKUP(D963,'Справочник соответствий'!A$2:D$2981,2,FALSE)))</f>
        <v>0</v>
      </c>
      <c r="K963" s="3" t="str">
        <f t="shared" si="98"/>
        <v>1</v>
      </c>
      <c r="L963" s="13" t="str">
        <f>IFERROR(VLOOKUP(C963,'Справочник соответствий'!A$2:D$2981,3,FALSE),IF(VALUE(C963)=0,"ЭТАЖ НЕ ОПРЕДЕЛЕН. ПРИНЯТ ПО ДОПУЩЕНИЮ 1",VLOOKUP(C963,'Справочник соответствий'!A$2:D$2981,3,FALSE)))</f>
        <v>ЭТАЖ ЗАДАН ЧИСЛОМ</v>
      </c>
      <c r="M963" s="13" t="b">
        <f t="shared" si="99"/>
        <v>0</v>
      </c>
      <c r="N963" s="13">
        <f t="shared" si="100"/>
        <v>1</v>
      </c>
      <c r="O963" s="13" t="str">
        <f t="shared" si="101"/>
        <v>ЭТАЖ ЗАДАН ЧИСЛОМ</v>
      </c>
      <c r="P963" s="13" t="str">
        <f t="shared" si="102"/>
        <v>ЭТАЖ ЗАДАН ЧИСЛОМ</v>
      </c>
      <c r="Q963" s="13" t="str">
        <f t="shared" si="103"/>
        <v>ГОТОВ_ИЗМЕНЕН</v>
      </c>
      <c r="R963" s="13">
        <f>IFERROR(VLOOKUP(P963,Лист1!A$1:B$20,2,FALSE),0)</f>
        <v>784</v>
      </c>
      <c r="S963" s="13">
        <f t="shared" si="104"/>
        <v>0</v>
      </c>
    </row>
    <row r="964" spans="1:19" x14ac:dyDescent="0.25">
      <c r="A964" s="24" t="s">
        <v>2079</v>
      </c>
      <c r="B964" s="4" t="s">
        <v>1059</v>
      </c>
      <c r="C964" s="25" t="s">
        <v>5</v>
      </c>
      <c r="G964" s="25" t="s">
        <v>1067</v>
      </c>
      <c r="H964" s="24" t="s">
        <v>1061</v>
      </c>
      <c r="I964" s="3" t="str">
        <f>IFERROR(VLOOKUP(C964,'Справочник соответствий'!A$2:D$2981,2,FALSE),IF(VALUE(C964)=0,1,VLOOKUP(C964,'Справочник соответствий'!A$2:D$2981,2,FALSE)))</f>
        <v>1</v>
      </c>
      <c r="J964" s="3">
        <f>IFERROR(VLOOKUP(D964,'Справочник соответствий'!A$2:D$2981,2,FALSE),IF(VALUE(D964)=0,0,VLOOKUP(D964,'Справочник соответствий'!A$2:D$2981,2,FALSE)))</f>
        <v>0</v>
      </c>
      <c r="K964" s="3" t="str">
        <f t="shared" si="98"/>
        <v>1</v>
      </c>
      <c r="L964" s="13" t="str">
        <f>IFERROR(VLOOKUP(C964,'Справочник соответствий'!A$2:D$2981,3,FALSE),IF(VALUE(C964)=0,"ЭТАЖ НЕ ОПРЕДЕЛЕН. ПРИНЯТ ПО ДОПУЩЕНИЮ 1",VLOOKUP(C964,'Справочник соответствий'!A$2:D$2981,3,FALSE)))</f>
        <v>ЭТАЖ ЗАДАН ЧИСЛОМ</v>
      </c>
      <c r="M964" s="13" t="b">
        <f t="shared" si="99"/>
        <v>0</v>
      </c>
      <c r="N964" s="13">
        <f t="shared" si="100"/>
        <v>1</v>
      </c>
      <c r="O964" s="13" t="str">
        <f t="shared" si="101"/>
        <v>ЭТАЖ ЗАДАН ЧИСЛОМ</v>
      </c>
      <c r="P964" s="13" t="str">
        <f t="shared" si="102"/>
        <v>ЭТАЖ ЗАДАН ЧИСЛОМ</v>
      </c>
      <c r="Q964" s="13" t="str">
        <f t="shared" si="103"/>
        <v>ГОТОВ_ИЗМЕНЕН</v>
      </c>
      <c r="R964" s="13">
        <f>IFERROR(VLOOKUP(P964,Лист1!A$1:B$20,2,FALSE),0)</f>
        <v>784</v>
      </c>
      <c r="S964" s="13">
        <f t="shared" si="104"/>
        <v>0</v>
      </c>
    </row>
    <row r="965" spans="1:19" x14ac:dyDescent="0.25">
      <c r="A965" s="24" t="s">
        <v>2080</v>
      </c>
      <c r="B965" s="4" t="s">
        <v>1059</v>
      </c>
      <c r="C965" s="25" t="s">
        <v>5</v>
      </c>
      <c r="G965" s="25" t="s">
        <v>1067</v>
      </c>
      <c r="H965" s="24" t="s">
        <v>1061</v>
      </c>
      <c r="I965" s="3" t="str">
        <f>IFERROR(VLOOKUP(C965,'Справочник соответствий'!A$2:D$2981,2,FALSE),IF(VALUE(C965)=0,1,VLOOKUP(C965,'Справочник соответствий'!A$2:D$2981,2,FALSE)))</f>
        <v>1</v>
      </c>
      <c r="J965" s="3">
        <f>IFERROR(VLOOKUP(D965,'Справочник соответствий'!A$2:D$2981,2,FALSE),IF(VALUE(D965)=0,0,VLOOKUP(D965,'Справочник соответствий'!A$2:D$2981,2,FALSE)))</f>
        <v>0</v>
      </c>
      <c r="K965" s="3" t="str">
        <f t="shared" ref="K965:K1028" si="105">IF(B965="Многоквартирный дом",IF(I965-J965&gt;0,I965-J965,1),I965)</f>
        <v>1</v>
      </c>
      <c r="L965" s="13" t="str">
        <f>IFERROR(VLOOKUP(C965,'Справочник соответствий'!A$2:D$2981,3,FALSE),IF(VALUE(C965)=0,"ЭТАЖ НЕ ОПРЕДЕЛЕН. ПРИНЯТ ПО ДОПУЩЕНИЮ 1",VLOOKUP(C965,'Справочник соответствий'!A$2:D$2981,3,FALSE)))</f>
        <v>ЭТАЖ ЗАДАН ЧИСЛОМ</v>
      </c>
      <c r="M965" s="13" t="b">
        <f t="shared" ref="M965:M1028" si="106">I965=E965</f>
        <v>0</v>
      </c>
      <c r="N965" s="13">
        <f t="shared" ref="N965:N1028" si="107">IF(VALUE(E965)=0,VALUE(K965),IF(L965="ЭТАЖ НЕ ОПРЕДЕЛЕН. ПРИНЯТ ПО ДОПУЩЕНИЮ 1",VALUE(E965),VALUE(K965)))</f>
        <v>1</v>
      </c>
      <c r="O965" s="13" t="str">
        <f t="shared" ref="O965:O1028" si="108">IF(VALUE(E965)=0,L965,IF(L965="ЭТАЖ НЕ ОПРЕДЕЛЕН. ПРИНЯТ ПО ДОПУЩЕНИЮ 1",F965,L965))</f>
        <v>ЭТАЖ ЗАДАН ЧИСЛОМ</v>
      </c>
      <c r="P965" s="13" t="str">
        <f t="shared" ref="P965:P1028" si="109">IF(B965="Многоквартирный дом",CONCATENATE("МКД_",O965),O965)</f>
        <v>ЭТАЖ ЗАДАН ЧИСЛОМ</v>
      </c>
      <c r="Q965" s="13" t="str">
        <f t="shared" ref="Q965:Q1028" si="110">IFERROR(IF(N965&gt;0,IF(N965=VALUE(E965),"ГОТОВ","ГОТОВ_ИЗМЕНЕН"),"НЕ ГОТОВ"),"НЕ ГОТОВ")</f>
        <v>ГОТОВ_ИЗМЕНЕН</v>
      </c>
      <c r="R965" s="13">
        <f>IFERROR(VLOOKUP(P965,Лист1!A$1:B$20,2,FALSE),0)</f>
        <v>784</v>
      </c>
      <c r="S965" s="13">
        <f t="shared" ref="S965:S1028" si="111">VALUE(E965)</f>
        <v>0</v>
      </c>
    </row>
    <row r="966" spans="1:19" x14ac:dyDescent="0.25">
      <c r="A966" s="24" t="s">
        <v>2081</v>
      </c>
      <c r="B966" s="4" t="s">
        <v>1059</v>
      </c>
      <c r="C966" s="25" t="s">
        <v>5</v>
      </c>
      <c r="G966" s="25" t="s">
        <v>1067</v>
      </c>
      <c r="H966" s="24" t="s">
        <v>1061</v>
      </c>
      <c r="I966" s="3" t="str">
        <f>IFERROR(VLOOKUP(C966,'Справочник соответствий'!A$2:D$2981,2,FALSE),IF(VALUE(C966)=0,1,VLOOKUP(C966,'Справочник соответствий'!A$2:D$2981,2,FALSE)))</f>
        <v>1</v>
      </c>
      <c r="J966" s="3">
        <f>IFERROR(VLOOKUP(D966,'Справочник соответствий'!A$2:D$2981,2,FALSE),IF(VALUE(D966)=0,0,VLOOKUP(D966,'Справочник соответствий'!A$2:D$2981,2,FALSE)))</f>
        <v>0</v>
      </c>
      <c r="K966" s="3" t="str">
        <f t="shared" si="105"/>
        <v>1</v>
      </c>
      <c r="L966" s="13" t="str">
        <f>IFERROR(VLOOKUP(C966,'Справочник соответствий'!A$2:D$2981,3,FALSE),IF(VALUE(C966)=0,"ЭТАЖ НЕ ОПРЕДЕЛЕН. ПРИНЯТ ПО ДОПУЩЕНИЮ 1",VLOOKUP(C966,'Справочник соответствий'!A$2:D$2981,3,FALSE)))</f>
        <v>ЭТАЖ ЗАДАН ЧИСЛОМ</v>
      </c>
      <c r="M966" s="13" t="b">
        <f t="shared" si="106"/>
        <v>0</v>
      </c>
      <c r="N966" s="13">
        <f t="shared" si="107"/>
        <v>1</v>
      </c>
      <c r="O966" s="13" t="str">
        <f t="shared" si="108"/>
        <v>ЭТАЖ ЗАДАН ЧИСЛОМ</v>
      </c>
      <c r="P966" s="13" t="str">
        <f t="shared" si="109"/>
        <v>ЭТАЖ ЗАДАН ЧИСЛОМ</v>
      </c>
      <c r="Q966" s="13" t="str">
        <f t="shared" si="110"/>
        <v>ГОТОВ_ИЗМЕНЕН</v>
      </c>
      <c r="R966" s="13">
        <f>IFERROR(VLOOKUP(P966,Лист1!A$1:B$20,2,FALSE),0)</f>
        <v>784</v>
      </c>
      <c r="S966" s="13">
        <f t="shared" si="111"/>
        <v>0</v>
      </c>
    </row>
    <row r="967" spans="1:19" x14ac:dyDescent="0.25">
      <c r="A967" s="24" t="s">
        <v>2082</v>
      </c>
      <c r="B967" s="4" t="s">
        <v>1059</v>
      </c>
      <c r="C967" s="25" t="s">
        <v>7</v>
      </c>
      <c r="G967" s="25" t="s">
        <v>1067</v>
      </c>
      <c r="H967" s="24" t="s">
        <v>1061</v>
      </c>
      <c r="I967" s="3" t="str">
        <f>IFERROR(VLOOKUP(C967,'Справочник соответствий'!A$2:D$2981,2,FALSE),IF(VALUE(C967)=0,1,VLOOKUP(C967,'Справочник соответствий'!A$2:D$2981,2,FALSE)))</f>
        <v>2</v>
      </c>
      <c r="J967" s="3">
        <f>IFERROR(VLOOKUP(D967,'Справочник соответствий'!A$2:D$2981,2,FALSE),IF(VALUE(D967)=0,0,VLOOKUP(D967,'Справочник соответствий'!A$2:D$2981,2,FALSE)))</f>
        <v>0</v>
      </c>
      <c r="K967" s="3" t="str">
        <f t="shared" si="105"/>
        <v>2</v>
      </c>
      <c r="L967" s="13" t="str">
        <f>IFERROR(VLOOKUP(C967,'Справочник соответствий'!A$2:D$2981,3,FALSE),IF(VALUE(C967)=0,"ЭТАЖ НЕ ОПРЕДЕЛЕН. ПРИНЯТ ПО ДОПУЩЕНИЮ 1",VLOOKUP(C967,'Справочник соответствий'!A$2:D$2981,3,FALSE)))</f>
        <v>ЭТАЖ ЗАДАН ЧИСЛОМ</v>
      </c>
      <c r="M967" s="13" t="b">
        <f t="shared" si="106"/>
        <v>0</v>
      </c>
      <c r="N967" s="13">
        <f t="shared" si="107"/>
        <v>2</v>
      </c>
      <c r="O967" s="13" t="str">
        <f t="shared" si="108"/>
        <v>ЭТАЖ ЗАДАН ЧИСЛОМ</v>
      </c>
      <c r="P967" s="13" t="str">
        <f t="shared" si="109"/>
        <v>ЭТАЖ ЗАДАН ЧИСЛОМ</v>
      </c>
      <c r="Q967" s="13" t="str">
        <f t="shared" si="110"/>
        <v>ГОТОВ_ИЗМЕНЕН</v>
      </c>
      <c r="R967" s="13">
        <f>IFERROR(VLOOKUP(P967,Лист1!A$1:B$20,2,FALSE),0)</f>
        <v>784</v>
      </c>
      <c r="S967" s="13">
        <f t="shared" si="111"/>
        <v>0</v>
      </c>
    </row>
    <row r="968" spans="1:19" x14ac:dyDescent="0.25">
      <c r="A968" s="24" t="s">
        <v>2083</v>
      </c>
      <c r="B968" s="4" t="s">
        <v>1063</v>
      </c>
      <c r="C968" s="25" t="s">
        <v>5</v>
      </c>
      <c r="G968" s="25" t="s">
        <v>1067</v>
      </c>
      <c r="H968" s="24" t="s">
        <v>1061</v>
      </c>
      <c r="I968" s="3" t="str">
        <f>IFERROR(VLOOKUP(C968,'Справочник соответствий'!A$2:D$2981,2,FALSE),IF(VALUE(C968)=0,1,VLOOKUP(C968,'Справочник соответствий'!A$2:D$2981,2,FALSE)))</f>
        <v>1</v>
      </c>
      <c r="J968" s="3">
        <f>IFERROR(VLOOKUP(D968,'Справочник соответствий'!A$2:D$2981,2,FALSE),IF(VALUE(D968)=0,0,VLOOKUP(D968,'Справочник соответствий'!A$2:D$2981,2,FALSE)))</f>
        <v>0</v>
      </c>
      <c r="K968" s="3" t="str">
        <f t="shared" si="105"/>
        <v>1</v>
      </c>
      <c r="L968" s="13" t="str">
        <f>IFERROR(VLOOKUP(C968,'Справочник соответствий'!A$2:D$2981,3,FALSE),IF(VALUE(C968)=0,"ЭТАЖ НЕ ОПРЕДЕЛЕН. ПРИНЯТ ПО ДОПУЩЕНИЮ 1",VLOOKUP(C968,'Справочник соответствий'!A$2:D$2981,3,FALSE)))</f>
        <v>ЭТАЖ ЗАДАН ЧИСЛОМ</v>
      </c>
      <c r="M968" s="13" t="b">
        <f t="shared" si="106"/>
        <v>0</v>
      </c>
      <c r="N968" s="13">
        <f t="shared" si="107"/>
        <v>1</v>
      </c>
      <c r="O968" s="13" t="str">
        <f t="shared" si="108"/>
        <v>ЭТАЖ ЗАДАН ЧИСЛОМ</v>
      </c>
      <c r="P968" s="13" t="str">
        <f t="shared" si="109"/>
        <v>ЭТАЖ ЗАДАН ЧИСЛОМ</v>
      </c>
      <c r="Q968" s="13" t="str">
        <f t="shared" si="110"/>
        <v>ГОТОВ_ИЗМЕНЕН</v>
      </c>
      <c r="R968" s="13">
        <f>IFERROR(VLOOKUP(P968,Лист1!A$1:B$20,2,FALSE),0)</f>
        <v>784</v>
      </c>
      <c r="S968" s="13">
        <f t="shared" si="111"/>
        <v>0</v>
      </c>
    </row>
    <row r="969" spans="1:19" x14ac:dyDescent="0.25">
      <c r="A969" s="24" t="s">
        <v>2084</v>
      </c>
      <c r="B969" s="4" t="s">
        <v>1059</v>
      </c>
      <c r="C969" s="25" t="s">
        <v>5</v>
      </c>
      <c r="G969" s="25" t="s">
        <v>1067</v>
      </c>
      <c r="H969" s="24" t="s">
        <v>1061</v>
      </c>
      <c r="I969" s="3" t="str">
        <f>IFERROR(VLOOKUP(C969,'Справочник соответствий'!A$2:D$2981,2,FALSE),IF(VALUE(C969)=0,1,VLOOKUP(C969,'Справочник соответствий'!A$2:D$2981,2,FALSE)))</f>
        <v>1</v>
      </c>
      <c r="J969" s="3">
        <f>IFERROR(VLOOKUP(D969,'Справочник соответствий'!A$2:D$2981,2,FALSE),IF(VALUE(D969)=0,0,VLOOKUP(D969,'Справочник соответствий'!A$2:D$2981,2,FALSE)))</f>
        <v>0</v>
      </c>
      <c r="K969" s="3" t="str">
        <f t="shared" si="105"/>
        <v>1</v>
      </c>
      <c r="L969" s="13" t="str">
        <f>IFERROR(VLOOKUP(C969,'Справочник соответствий'!A$2:D$2981,3,FALSE),IF(VALUE(C969)=0,"ЭТАЖ НЕ ОПРЕДЕЛЕН. ПРИНЯТ ПО ДОПУЩЕНИЮ 1",VLOOKUP(C969,'Справочник соответствий'!A$2:D$2981,3,FALSE)))</f>
        <v>ЭТАЖ ЗАДАН ЧИСЛОМ</v>
      </c>
      <c r="M969" s="13" t="b">
        <f t="shared" si="106"/>
        <v>0</v>
      </c>
      <c r="N969" s="13">
        <f t="shared" si="107"/>
        <v>1</v>
      </c>
      <c r="O969" s="13" t="str">
        <f t="shared" si="108"/>
        <v>ЭТАЖ ЗАДАН ЧИСЛОМ</v>
      </c>
      <c r="P969" s="13" t="str">
        <f t="shared" si="109"/>
        <v>ЭТАЖ ЗАДАН ЧИСЛОМ</v>
      </c>
      <c r="Q969" s="13" t="str">
        <f t="shared" si="110"/>
        <v>ГОТОВ_ИЗМЕНЕН</v>
      </c>
      <c r="R969" s="13">
        <f>IFERROR(VLOOKUP(P969,Лист1!A$1:B$20,2,FALSE),0)</f>
        <v>784</v>
      </c>
      <c r="S969" s="13">
        <f t="shared" si="111"/>
        <v>0</v>
      </c>
    </row>
    <row r="970" spans="1:19" x14ac:dyDescent="0.25">
      <c r="A970" s="24" t="s">
        <v>2085</v>
      </c>
      <c r="B970" s="4" t="s">
        <v>1063</v>
      </c>
      <c r="C970" s="25" t="s">
        <v>5</v>
      </c>
      <c r="G970" s="25" t="s">
        <v>1086</v>
      </c>
      <c r="H970" s="24" t="s">
        <v>1061</v>
      </c>
      <c r="I970" s="3" t="str">
        <f>IFERROR(VLOOKUP(C970,'Справочник соответствий'!A$2:D$2981,2,FALSE),IF(VALUE(C970)=0,1,VLOOKUP(C970,'Справочник соответствий'!A$2:D$2981,2,FALSE)))</f>
        <v>1</v>
      </c>
      <c r="J970" s="3">
        <f>IFERROR(VLOOKUP(D970,'Справочник соответствий'!A$2:D$2981,2,FALSE),IF(VALUE(D970)=0,0,VLOOKUP(D970,'Справочник соответствий'!A$2:D$2981,2,FALSE)))</f>
        <v>0</v>
      </c>
      <c r="K970" s="3" t="str">
        <f t="shared" si="105"/>
        <v>1</v>
      </c>
      <c r="L970" s="13" t="str">
        <f>IFERROR(VLOOKUP(C970,'Справочник соответствий'!A$2:D$2981,3,FALSE),IF(VALUE(C970)=0,"ЭТАЖ НЕ ОПРЕДЕЛЕН. ПРИНЯТ ПО ДОПУЩЕНИЮ 1",VLOOKUP(C970,'Справочник соответствий'!A$2:D$2981,3,FALSE)))</f>
        <v>ЭТАЖ ЗАДАН ЧИСЛОМ</v>
      </c>
      <c r="M970" s="13" t="b">
        <f t="shared" si="106"/>
        <v>0</v>
      </c>
      <c r="N970" s="13">
        <f t="shared" si="107"/>
        <v>1</v>
      </c>
      <c r="O970" s="13" t="str">
        <f t="shared" si="108"/>
        <v>ЭТАЖ ЗАДАН ЧИСЛОМ</v>
      </c>
      <c r="P970" s="13" t="str">
        <f t="shared" si="109"/>
        <v>ЭТАЖ ЗАДАН ЧИСЛОМ</v>
      </c>
      <c r="Q970" s="13" t="str">
        <f t="shared" si="110"/>
        <v>ГОТОВ_ИЗМЕНЕН</v>
      </c>
      <c r="R970" s="13">
        <f>IFERROR(VLOOKUP(P970,Лист1!A$1:B$20,2,FALSE),0)</f>
        <v>784</v>
      </c>
      <c r="S970" s="13">
        <f t="shared" si="111"/>
        <v>0</v>
      </c>
    </row>
    <row r="971" spans="1:19" x14ac:dyDescent="0.25">
      <c r="A971" s="24" t="s">
        <v>2086</v>
      </c>
      <c r="B971" s="4" t="s">
        <v>1063</v>
      </c>
      <c r="C971" s="25" t="s">
        <v>5</v>
      </c>
      <c r="G971" s="25" t="s">
        <v>1086</v>
      </c>
      <c r="H971" s="24" t="s">
        <v>1061</v>
      </c>
      <c r="I971" s="3" t="str">
        <f>IFERROR(VLOOKUP(C971,'Справочник соответствий'!A$2:D$2981,2,FALSE),IF(VALUE(C971)=0,1,VLOOKUP(C971,'Справочник соответствий'!A$2:D$2981,2,FALSE)))</f>
        <v>1</v>
      </c>
      <c r="J971" s="3">
        <f>IFERROR(VLOOKUP(D971,'Справочник соответствий'!A$2:D$2981,2,FALSE),IF(VALUE(D971)=0,0,VLOOKUP(D971,'Справочник соответствий'!A$2:D$2981,2,FALSE)))</f>
        <v>0</v>
      </c>
      <c r="K971" s="3" t="str">
        <f t="shared" si="105"/>
        <v>1</v>
      </c>
      <c r="L971" s="13" t="str">
        <f>IFERROR(VLOOKUP(C971,'Справочник соответствий'!A$2:D$2981,3,FALSE),IF(VALUE(C971)=0,"ЭТАЖ НЕ ОПРЕДЕЛЕН. ПРИНЯТ ПО ДОПУЩЕНИЮ 1",VLOOKUP(C971,'Справочник соответствий'!A$2:D$2981,3,FALSE)))</f>
        <v>ЭТАЖ ЗАДАН ЧИСЛОМ</v>
      </c>
      <c r="M971" s="13" t="b">
        <f t="shared" si="106"/>
        <v>0</v>
      </c>
      <c r="N971" s="13">
        <f t="shared" si="107"/>
        <v>1</v>
      </c>
      <c r="O971" s="13" t="str">
        <f t="shared" si="108"/>
        <v>ЭТАЖ ЗАДАН ЧИСЛОМ</v>
      </c>
      <c r="P971" s="13" t="str">
        <f t="shared" si="109"/>
        <v>ЭТАЖ ЗАДАН ЧИСЛОМ</v>
      </c>
      <c r="Q971" s="13" t="str">
        <f t="shared" si="110"/>
        <v>ГОТОВ_ИЗМЕНЕН</v>
      </c>
      <c r="R971" s="13">
        <f>IFERROR(VLOOKUP(P971,Лист1!A$1:B$20,2,FALSE),0)</f>
        <v>784</v>
      </c>
      <c r="S971" s="13">
        <f t="shared" si="111"/>
        <v>0</v>
      </c>
    </row>
    <row r="972" spans="1:19" x14ac:dyDescent="0.25">
      <c r="A972" s="24" t="s">
        <v>2087</v>
      </c>
      <c r="B972" s="4" t="s">
        <v>1059</v>
      </c>
      <c r="C972" s="25" t="s">
        <v>5</v>
      </c>
      <c r="G972" s="25" t="s">
        <v>1086</v>
      </c>
      <c r="H972" s="24" t="s">
        <v>1061</v>
      </c>
      <c r="I972" s="3" t="str">
        <f>IFERROR(VLOOKUP(C972,'Справочник соответствий'!A$2:D$2981,2,FALSE),IF(VALUE(C972)=0,1,VLOOKUP(C972,'Справочник соответствий'!A$2:D$2981,2,FALSE)))</f>
        <v>1</v>
      </c>
      <c r="J972" s="3">
        <f>IFERROR(VLOOKUP(D972,'Справочник соответствий'!A$2:D$2981,2,FALSE),IF(VALUE(D972)=0,0,VLOOKUP(D972,'Справочник соответствий'!A$2:D$2981,2,FALSE)))</f>
        <v>0</v>
      </c>
      <c r="K972" s="3" t="str">
        <f t="shared" si="105"/>
        <v>1</v>
      </c>
      <c r="L972" s="13" t="str">
        <f>IFERROR(VLOOKUP(C972,'Справочник соответствий'!A$2:D$2981,3,FALSE),IF(VALUE(C972)=0,"ЭТАЖ НЕ ОПРЕДЕЛЕН. ПРИНЯТ ПО ДОПУЩЕНИЮ 1",VLOOKUP(C972,'Справочник соответствий'!A$2:D$2981,3,FALSE)))</f>
        <v>ЭТАЖ ЗАДАН ЧИСЛОМ</v>
      </c>
      <c r="M972" s="13" t="b">
        <f t="shared" si="106"/>
        <v>0</v>
      </c>
      <c r="N972" s="13">
        <f t="shared" si="107"/>
        <v>1</v>
      </c>
      <c r="O972" s="13" t="str">
        <f t="shared" si="108"/>
        <v>ЭТАЖ ЗАДАН ЧИСЛОМ</v>
      </c>
      <c r="P972" s="13" t="str">
        <f t="shared" si="109"/>
        <v>ЭТАЖ ЗАДАН ЧИСЛОМ</v>
      </c>
      <c r="Q972" s="13" t="str">
        <f t="shared" si="110"/>
        <v>ГОТОВ_ИЗМЕНЕН</v>
      </c>
      <c r="R972" s="13">
        <f>IFERROR(VLOOKUP(P972,Лист1!A$1:B$20,2,FALSE),0)</f>
        <v>784</v>
      </c>
      <c r="S972" s="13">
        <f t="shared" si="111"/>
        <v>0</v>
      </c>
    </row>
    <row r="973" spans="1:19" x14ac:dyDescent="0.25">
      <c r="A973" s="24" t="s">
        <v>2088</v>
      </c>
      <c r="B973" s="4" t="s">
        <v>1059</v>
      </c>
      <c r="C973" s="25" t="s">
        <v>8</v>
      </c>
      <c r="G973" s="25" t="s">
        <v>1086</v>
      </c>
      <c r="H973" s="24" t="s">
        <v>1061</v>
      </c>
      <c r="I973" s="3" t="str">
        <f>IFERROR(VLOOKUP(C973,'Справочник соответствий'!A$2:D$2981,2,FALSE),IF(VALUE(C973)=0,1,VLOOKUP(C973,'Справочник соответствий'!A$2:D$2981,2,FALSE)))</f>
        <v>3</v>
      </c>
      <c r="J973" s="3">
        <f>IFERROR(VLOOKUP(D973,'Справочник соответствий'!A$2:D$2981,2,FALSE),IF(VALUE(D973)=0,0,VLOOKUP(D973,'Справочник соответствий'!A$2:D$2981,2,FALSE)))</f>
        <v>0</v>
      </c>
      <c r="K973" s="3" t="str">
        <f t="shared" si="105"/>
        <v>3</v>
      </c>
      <c r="L973" s="13" t="str">
        <f>IFERROR(VLOOKUP(C973,'Справочник соответствий'!A$2:D$2981,3,FALSE),IF(VALUE(C973)=0,"ЭТАЖ НЕ ОПРЕДЕЛЕН. ПРИНЯТ ПО ДОПУЩЕНИЮ 1",VLOOKUP(C973,'Справочник соответствий'!A$2:D$2981,3,FALSE)))</f>
        <v>ЭТАЖ ЗАДАН ЧИСЛОМ</v>
      </c>
      <c r="M973" s="13" t="b">
        <f t="shared" si="106"/>
        <v>0</v>
      </c>
      <c r="N973" s="13">
        <f t="shared" si="107"/>
        <v>3</v>
      </c>
      <c r="O973" s="13" t="str">
        <f t="shared" si="108"/>
        <v>ЭТАЖ ЗАДАН ЧИСЛОМ</v>
      </c>
      <c r="P973" s="13" t="str">
        <f t="shared" si="109"/>
        <v>ЭТАЖ ЗАДАН ЧИСЛОМ</v>
      </c>
      <c r="Q973" s="13" t="str">
        <f t="shared" si="110"/>
        <v>ГОТОВ_ИЗМЕНЕН</v>
      </c>
      <c r="R973" s="13">
        <f>IFERROR(VLOOKUP(P973,Лист1!A$1:B$20,2,FALSE),0)</f>
        <v>784</v>
      </c>
      <c r="S973" s="13">
        <f t="shared" si="111"/>
        <v>0</v>
      </c>
    </row>
    <row r="974" spans="1:19" x14ac:dyDescent="0.25">
      <c r="A974" s="24" t="s">
        <v>2089</v>
      </c>
      <c r="B974" s="4" t="s">
        <v>1059</v>
      </c>
      <c r="C974" s="25" t="s">
        <v>5</v>
      </c>
      <c r="G974" s="25" t="s">
        <v>1117</v>
      </c>
      <c r="H974" s="24" t="s">
        <v>1061</v>
      </c>
      <c r="I974" s="3" t="str">
        <f>IFERROR(VLOOKUP(C974,'Справочник соответствий'!A$2:D$2981,2,FALSE),IF(VALUE(C974)=0,1,VLOOKUP(C974,'Справочник соответствий'!A$2:D$2981,2,FALSE)))</f>
        <v>1</v>
      </c>
      <c r="J974" s="3">
        <f>IFERROR(VLOOKUP(D974,'Справочник соответствий'!A$2:D$2981,2,FALSE),IF(VALUE(D974)=0,0,VLOOKUP(D974,'Справочник соответствий'!A$2:D$2981,2,FALSE)))</f>
        <v>0</v>
      </c>
      <c r="K974" s="3" t="str">
        <f t="shared" si="105"/>
        <v>1</v>
      </c>
      <c r="L974" s="13" t="str">
        <f>IFERROR(VLOOKUP(C974,'Справочник соответствий'!A$2:D$2981,3,FALSE),IF(VALUE(C974)=0,"ЭТАЖ НЕ ОПРЕДЕЛЕН. ПРИНЯТ ПО ДОПУЩЕНИЮ 1",VLOOKUP(C974,'Справочник соответствий'!A$2:D$2981,3,FALSE)))</f>
        <v>ЭТАЖ ЗАДАН ЧИСЛОМ</v>
      </c>
      <c r="M974" s="13" t="b">
        <f t="shared" si="106"/>
        <v>0</v>
      </c>
      <c r="N974" s="13">
        <f t="shared" si="107"/>
        <v>1</v>
      </c>
      <c r="O974" s="13" t="str">
        <f t="shared" si="108"/>
        <v>ЭТАЖ ЗАДАН ЧИСЛОМ</v>
      </c>
      <c r="P974" s="13" t="str">
        <f t="shared" si="109"/>
        <v>ЭТАЖ ЗАДАН ЧИСЛОМ</v>
      </c>
      <c r="Q974" s="13" t="str">
        <f t="shared" si="110"/>
        <v>ГОТОВ_ИЗМЕНЕН</v>
      </c>
      <c r="R974" s="13">
        <f>IFERROR(VLOOKUP(P974,Лист1!A$1:B$20,2,FALSE),0)</f>
        <v>784</v>
      </c>
      <c r="S974" s="13">
        <f t="shared" si="111"/>
        <v>0</v>
      </c>
    </row>
    <row r="975" spans="1:19" x14ac:dyDescent="0.25">
      <c r="A975" s="24" t="s">
        <v>2090</v>
      </c>
      <c r="B975" s="4" t="s">
        <v>1059</v>
      </c>
      <c r="C975" s="25" t="s">
        <v>5</v>
      </c>
      <c r="G975" s="25" t="s">
        <v>1086</v>
      </c>
      <c r="H975" s="24" t="s">
        <v>1061</v>
      </c>
      <c r="I975" s="3" t="str">
        <f>IFERROR(VLOOKUP(C975,'Справочник соответствий'!A$2:D$2981,2,FALSE),IF(VALUE(C975)=0,1,VLOOKUP(C975,'Справочник соответствий'!A$2:D$2981,2,FALSE)))</f>
        <v>1</v>
      </c>
      <c r="J975" s="3">
        <f>IFERROR(VLOOKUP(D975,'Справочник соответствий'!A$2:D$2981,2,FALSE),IF(VALUE(D975)=0,0,VLOOKUP(D975,'Справочник соответствий'!A$2:D$2981,2,FALSE)))</f>
        <v>0</v>
      </c>
      <c r="K975" s="3" t="str">
        <f t="shared" si="105"/>
        <v>1</v>
      </c>
      <c r="L975" s="13" t="str">
        <f>IFERROR(VLOOKUP(C975,'Справочник соответствий'!A$2:D$2981,3,FALSE),IF(VALUE(C975)=0,"ЭТАЖ НЕ ОПРЕДЕЛЕН. ПРИНЯТ ПО ДОПУЩЕНИЮ 1",VLOOKUP(C975,'Справочник соответствий'!A$2:D$2981,3,FALSE)))</f>
        <v>ЭТАЖ ЗАДАН ЧИСЛОМ</v>
      </c>
      <c r="M975" s="13" t="b">
        <f t="shared" si="106"/>
        <v>0</v>
      </c>
      <c r="N975" s="13">
        <f t="shared" si="107"/>
        <v>1</v>
      </c>
      <c r="O975" s="13" t="str">
        <f t="shared" si="108"/>
        <v>ЭТАЖ ЗАДАН ЧИСЛОМ</v>
      </c>
      <c r="P975" s="13" t="str">
        <f t="shared" si="109"/>
        <v>ЭТАЖ ЗАДАН ЧИСЛОМ</v>
      </c>
      <c r="Q975" s="13" t="str">
        <f t="shared" si="110"/>
        <v>ГОТОВ_ИЗМЕНЕН</v>
      </c>
      <c r="R975" s="13">
        <f>IFERROR(VLOOKUP(P975,Лист1!A$1:B$20,2,FALSE),0)</f>
        <v>784</v>
      </c>
      <c r="S975" s="13">
        <f t="shared" si="111"/>
        <v>0</v>
      </c>
    </row>
    <row r="976" spans="1:19" x14ac:dyDescent="0.25">
      <c r="A976" s="24" t="s">
        <v>2091</v>
      </c>
      <c r="B976" s="4" t="s">
        <v>1059</v>
      </c>
      <c r="C976" s="25" t="s">
        <v>7</v>
      </c>
      <c r="G976" s="25" t="s">
        <v>1086</v>
      </c>
      <c r="H976" s="24" t="s">
        <v>1061</v>
      </c>
      <c r="I976" s="3" t="str">
        <f>IFERROR(VLOOKUP(C976,'Справочник соответствий'!A$2:D$2981,2,FALSE),IF(VALUE(C976)=0,1,VLOOKUP(C976,'Справочник соответствий'!A$2:D$2981,2,FALSE)))</f>
        <v>2</v>
      </c>
      <c r="J976" s="3">
        <f>IFERROR(VLOOKUP(D976,'Справочник соответствий'!A$2:D$2981,2,FALSE),IF(VALUE(D976)=0,0,VLOOKUP(D976,'Справочник соответствий'!A$2:D$2981,2,FALSE)))</f>
        <v>0</v>
      </c>
      <c r="K976" s="3" t="str">
        <f t="shared" si="105"/>
        <v>2</v>
      </c>
      <c r="L976" s="13" t="str">
        <f>IFERROR(VLOOKUP(C976,'Справочник соответствий'!A$2:D$2981,3,FALSE),IF(VALUE(C976)=0,"ЭТАЖ НЕ ОПРЕДЕЛЕН. ПРИНЯТ ПО ДОПУЩЕНИЮ 1",VLOOKUP(C976,'Справочник соответствий'!A$2:D$2981,3,FALSE)))</f>
        <v>ЭТАЖ ЗАДАН ЧИСЛОМ</v>
      </c>
      <c r="M976" s="13" t="b">
        <f t="shared" si="106"/>
        <v>0</v>
      </c>
      <c r="N976" s="13">
        <f t="shared" si="107"/>
        <v>2</v>
      </c>
      <c r="O976" s="13" t="str">
        <f t="shared" si="108"/>
        <v>ЭТАЖ ЗАДАН ЧИСЛОМ</v>
      </c>
      <c r="P976" s="13" t="str">
        <f t="shared" si="109"/>
        <v>ЭТАЖ ЗАДАН ЧИСЛОМ</v>
      </c>
      <c r="Q976" s="13" t="str">
        <f t="shared" si="110"/>
        <v>ГОТОВ_ИЗМЕНЕН</v>
      </c>
      <c r="R976" s="13">
        <f>IFERROR(VLOOKUP(P976,Лист1!A$1:B$20,2,FALSE),0)</f>
        <v>784</v>
      </c>
      <c r="S976" s="13">
        <f t="shared" si="111"/>
        <v>0</v>
      </c>
    </row>
    <row r="977" spans="1:19" x14ac:dyDescent="0.25">
      <c r="A977" s="24" t="s">
        <v>2092</v>
      </c>
      <c r="B977" s="4" t="s">
        <v>1059</v>
      </c>
      <c r="C977" s="25" t="s">
        <v>5</v>
      </c>
      <c r="G977" s="25" t="s">
        <v>1086</v>
      </c>
      <c r="H977" s="24" t="s">
        <v>1061</v>
      </c>
      <c r="I977" s="3" t="str">
        <f>IFERROR(VLOOKUP(C977,'Справочник соответствий'!A$2:D$2981,2,FALSE),IF(VALUE(C977)=0,1,VLOOKUP(C977,'Справочник соответствий'!A$2:D$2981,2,FALSE)))</f>
        <v>1</v>
      </c>
      <c r="J977" s="3">
        <f>IFERROR(VLOOKUP(D977,'Справочник соответствий'!A$2:D$2981,2,FALSE),IF(VALUE(D977)=0,0,VLOOKUP(D977,'Справочник соответствий'!A$2:D$2981,2,FALSE)))</f>
        <v>0</v>
      </c>
      <c r="K977" s="3" t="str">
        <f t="shared" si="105"/>
        <v>1</v>
      </c>
      <c r="L977" s="13" t="str">
        <f>IFERROR(VLOOKUP(C977,'Справочник соответствий'!A$2:D$2981,3,FALSE),IF(VALUE(C977)=0,"ЭТАЖ НЕ ОПРЕДЕЛЕН. ПРИНЯТ ПО ДОПУЩЕНИЮ 1",VLOOKUP(C977,'Справочник соответствий'!A$2:D$2981,3,FALSE)))</f>
        <v>ЭТАЖ ЗАДАН ЧИСЛОМ</v>
      </c>
      <c r="M977" s="13" t="b">
        <f t="shared" si="106"/>
        <v>0</v>
      </c>
      <c r="N977" s="13">
        <f t="shared" si="107"/>
        <v>1</v>
      </c>
      <c r="O977" s="13" t="str">
        <f t="shared" si="108"/>
        <v>ЭТАЖ ЗАДАН ЧИСЛОМ</v>
      </c>
      <c r="P977" s="13" t="str">
        <f t="shared" si="109"/>
        <v>ЭТАЖ ЗАДАН ЧИСЛОМ</v>
      </c>
      <c r="Q977" s="13" t="str">
        <f t="shared" si="110"/>
        <v>ГОТОВ_ИЗМЕНЕН</v>
      </c>
      <c r="R977" s="13">
        <f>IFERROR(VLOOKUP(P977,Лист1!A$1:B$20,2,FALSE),0)</f>
        <v>784</v>
      </c>
      <c r="S977" s="13">
        <f t="shared" si="111"/>
        <v>0</v>
      </c>
    </row>
    <row r="978" spans="1:19" x14ac:dyDescent="0.25">
      <c r="A978" s="24" t="s">
        <v>2093</v>
      </c>
      <c r="B978" s="4" t="s">
        <v>1063</v>
      </c>
      <c r="C978" s="25" t="s">
        <v>12</v>
      </c>
      <c r="D978" s="25" t="s">
        <v>5</v>
      </c>
      <c r="G978" s="25" t="s">
        <v>1080</v>
      </c>
      <c r="H978" s="24" t="s">
        <v>1061</v>
      </c>
      <c r="I978" s="3" t="str">
        <f>IFERROR(VLOOKUP(C978,'Справочник соответствий'!A$2:D$2981,2,FALSE),IF(VALUE(C978)=0,1,VLOOKUP(C978,'Справочник соответствий'!A$2:D$2981,2,FALSE)))</f>
        <v>4</v>
      </c>
      <c r="J978" s="3" t="str">
        <f>IFERROR(VLOOKUP(D978,'Справочник соответствий'!A$2:D$2981,2,FALSE),IF(VALUE(D978)=0,0,VLOOKUP(D978,'Справочник соответствий'!A$2:D$2981,2,FALSE)))</f>
        <v>1</v>
      </c>
      <c r="K978" s="3" t="str">
        <f t="shared" si="105"/>
        <v>4</v>
      </c>
      <c r="L978" s="13" t="str">
        <f>IFERROR(VLOOKUP(C978,'Справочник соответствий'!A$2:D$2981,3,FALSE),IF(VALUE(C978)=0,"ЭТАЖ НЕ ОПРЕДЕЛЕН. ПРИНЯТ ПО ДОПУЩЕНИЮ 1",VLOOKUP(C978,'Справочник соответствий'!A$2:D$2981,3,FALSE)))</f>
        <v>ЭТАЖ ЗАДАН ЧИСЛОМ</v>
      </c>
      <c r="M978" s="13" t="b">
        <f t="shared" si="106"/>
        <v>0</v>
      </c>
      <c r="N978" s="13">
        <f t="shared" si="107"/>
        <v>4</v>
      </c>
      <c r="O978" s="13" t="str">
        <f t="shared" si="108"/>
        <v>ЭТАЖ ЗАДАН ЧИСЛОМ</v>
      </c>
      <c r="P978" s="13" t="str">
        <f t="shared" si="109"/>
        <v>ЭТАЖ ЗАДАН ЧИСЛОМ</v>
      </c>
      <c r="Q978" s="13" t="str">
        <f t="shared" si="110"/>
        <v>ГОТОВ_ИЗМЕНЕН</v>
      </c>
      <c r="R978" s="13">
        <f>IFERROR(VLOOKUP(P978,Лист1!A$1:B$20,2,FALSE),0)</f>
        <v>784</v>
      </c>
      <c r="S978" s="13">
        <f t="shared" si="111"/>
        <v>0</v>
      </c>
    </row>
    <row r="979" spans="1:19" x14ac:dyDescent="0.25">
      <c r="A979" s="24" t="s">
        <v>2094</v>
      </c>
      <c r="B979" s="4" t="s">
        <v>1059</v>
      </c>
      <c r="C979" s="25" t="s">
        <v>7</v>
      </c>
      <c r="G979" s="25" t="s">
        <v>1080</v>
      </c>
      <c r="H979" s="24" t="s">
        <v>1061</v>
      </c>
      <c r="I979" s="3" t="str">
        <f>IFERROR(VLOOKUP(C979,'Справочник соответствий'!A$2:D$2981,2,FALSE),IF(VALUE(C979)=0,1,VLOOKUP(C979,'Справочник соответствий'!A$2:D$2981,2,FALSE)))</f>
        <v>2</v>
      </c>
      <c r="J979" s="3">
        <f>IFERROR(VLOOKUP(D979,'Справочник соответствий'!A$2:D$2981,2,FALSE),IF(VALUE(D979)=0,0,VLOOKUP(D979,'Справочник соответствий'!A$2:D$2981,2,FALSE)))</f>
        <v>0</v>
      </c>
      <c r="K979" s="3" t="str">
        <f t="shared" si="105"/>
        <v>2</v>
      </c>
      <c r="L979" s="13" t="str">
        <f>IFERROR(VLOOKUP(C979,'Справочник соответствий'!A$2:D$2981,3,FALSE),IF(VALUE(C979)=0,"ЭТАЖ НЕ ОПРЕДЕЛЕН. ПРИНЯТ ПО ДОПУЩЕНИЮ 1",VLOOKUP(C979,'Справочник соответствий'!A$2:D$2981,3,FALSE)))</f>
        <v>ЭТАЖ ЗАДАН ЧИСЛОМ</v>
      </c>
      <c r="M979" s="13" t="b">
        <f t="shared" si="106"/>
        <v>0</v>
      </c>
      <c r="N979" s="13">
        <f t="shared" si="107"/>
        <v>2</v>
      </c>
      <c r="O979" s="13" t="str">
        <f t="shared" si="108"/>
        <v>ЭТАЖ ЗАДАН ЧИСЛОМ</v>
      </c>
      <c r="P979" s="13" t="str">
        <f t="shared" si="109"/>
        <v>ЭТАЖ ЗАДАН ЧИСЛОМ</v>
      </c>
      <c r="Q979" s="13" t="str">
        <f t="shared" si="110"/>
        <v>ГОТОВ_ИЗМЕНЕН</v>
      </c>
      <c r="R979" s="13">
        <f>IFERROR(VLOOKUP(P979,Лист1!A$1:B$20,2,FALSE),0)</f>
        <v>784</v>
      </c>
      <c r="S979" s="13">
        <f t="shared" si="111"/>
        <v>0</v>
      </c>
    </row>
    <row r="980" spans="1:19" x14ac:dyDescent="0.25">
      <c r="A980" s="24" t="s">
        <v>2095</v>
      </c>
      <c r="B980" s="4" t="s">
        <v>1059</v>
      </c>
      <c r="C980" s="25" t="s">
        <v>7</v>
      </c>
      <c r="G980" s="25" t="s">
        <v>1080</v>
      </c>
      <c r="H980" s="24" t="s">
        <v>1061</v>
      </c>
      <c r="I980" s="3" t="str">
        <f>IFERROR(VLOOKUP(C980,'Справочник соответствий'!A$2:D$2981,2,FALSE),IF(VALUE(C980)=0,1,VLOOKUP(C980,'Справочник соответствий'!A$2:D$2981,2,FALSE)))</f>
        <v>2</v>
      </c>
      <c r="J980" s="3">
        <f>IFERROR(VLOOKUP(D980,'Справочник соответствий'!A$2:D$2981,2,FALSE),IF(VALUE(D980)=0,0,VLOOKUP(D980,'Справочник соответствий'!A$2:D$2981,2,FALSE)))</f>
        <v>0</v>
      </c>
      <c r="K980" s="3" t="str">
        <f t="shared" si="105"/>
        <v>2</v>
      </c>
      <c r="L980" s="13" t="str">
        <f>IFERROR(VLOOKUP(C980,'Справочник соответствий'!A$2:D$2981,3,FALSE),IF(VALUE(C980)=0,"ЭТАЖ НЕ ОПРЕДЕЛЕН. ПРИНЯТ ПО ДОПУЩЕНИЮ 1",VLOOKUP(C980,'Справочник соответствий'!A$2:D$2981,3,FALSE)))</f>
        <v>ЭТАЖ ЗАДАН ЧИСЛОМ</v>
      </c>
      <c r="M980" s="13" t="b">
        <f t="shared" si="106"/>
        <v>0</v>
      </c>
      <c r="N980" s="13">
        <f t="shared" si="107"/>
        <v>2</v>
      </c>
      <c r="O980" s="13" t="str">
        <f t="shared" si="108"/>
        <v>ЭТАЖ ЗАДАН ЧИСЛОМ</v>
      </c>
      <c r="P980" s="13" t="str">
        <f t="shared" si="109"/>
        <v>ЭТАЖ ЗАДАН ЧИСЛОМ</v>
      </c>
      <c r="Q980" s="13" t="str">
        <f t="shared" si="110"/>
        <v>ГОТОВ_ИЗМЕНЕН</v>
      </c>
      <c r="R980" s="13">
        <f>IFERROR(VLOOKUP(P980,Лист1!A$1:B$20,2,FALSE),0)</f>
        <v>784</v>
      </c>
      <c r="S980" s="13">
        <f t="shared" si="111"/>
        <v>0</v>
      </c>
    </row>
    <row r="981" spans="1:19" x14ac:dyDescent="0.25">
      <c r="A981" s="24" t="s">
        <v>2096</v>
      </c>
      <c r="B981" s="4" t="s">
        <v>1063</v>
      </c>
      <c r="C981" s="25" t="s">
        <v>7</v>
      </c>
      <c r="G981" s="25" t="s">
        <v>1080</v>
      </c>
      <c r="H981" s="24" t="s">
        <v>1061</v>
      </c>
      <c r="I981" s="3" t="str">
        <f>IFERROR(VLOOKUP(C981,'Справочник соответствий'!A$2:D$2981,2,FALSE),IF(VALUE(C981)=0,1,VLOOKUP(C981,'Справочник соответствий'!A$2:D$2981,2,FALSE)))</f>
        <v>2</v>
      </c>
      <c r="J981" s="3">
        <f>IFERROR(VLOOKUP(D981,'Справочник соответствий'!A$2:D$2981,2,FALSE),IF(VALUE(D981)=0,0,VLOOKUP(D981,'Справочник соответствий'!A$2:D$2981,2,FALSE)))</f>
        <v>0</v>
      </c>
      <c r="K981" s="3" t="str">
        <f t="shared" si="105"/>
        <v>2</v>
      </c>
      <c r="L981" s="13" t="str">
        <f>IFERROR(VLOOKUP(C981,'Справочник соответствий'!A$2:D$2981,3,FALSE),IF(VALUE(C981)=0,"ЭТАЖ НЕ ОПРЕДЕЛЕН. ПРИНЯТ ПО ДОПУЩЕНИЮ 1",VLOOKUP(C981,'Справочник соответствий'!A$2:D$2981,3,FALSE)))</f>
        <v>ЭТАЖ ЗАДАН ЧИСЛОМ</v>
      </c>
      <c r="M981" s="13" t="b">
        <f t="shared" si="106"/>
        <v>0</v>
      </c>
      <c r="N981" s="13">
        <f t="shared" si="107"/>
        <v>2</v>
      </c>
      <c r="O981" s="13" t="str">
        <f t="shared" si="108"/>
        <v>ЭТАЖ ЗАДАН ЧИСЛОМ</v>
      </c>
      <c r="P981" s="13" t="str">
        <f t="shared" si="109"/>
        <v>ЭТАЖ ЗАДАН ЧИСЛОМ</v>
      </c>
      <c r="Q981" s="13" t="str">
        <f t="shared" si="110"/>
        <v>ГОТОВ_ИЗМЕНЕН</v>
      </c>
      <c r="R981" s="13">
        <f>IFERROR(VLOOKUP(P981,Лист1!A$1:B$20,2,FALSE),0)</f>
        <v>784</v>
      </c>
      <c r="S981" s="13">
        <f t="shared" si="111"/>
        <v>0</v>
      </c>
    </row>
    <row r="982" spans="1:19" x14ac:dyDescent="0.25">
      <c r="A982" s="24" t="s">
        <v>2097</v>
      </c>
      <c r="B982" s="4" t="s">
        <v>1059</v>
      </c>
      <c r="C982" s="25" t="s">
        <v>5</v>
      </c>
      <c r="G982" s="25" t="s">
        <v>1222</v>
      </c>
      <c r="H982" s="24" t="s">
        <v>1061</v>
      </c>
      <c r="I982" s="3" t="str">
        <f>IFERROR(VLOOKUP(C982,'Справочник соответствий'!A$2:D$2981,2,FALSE),IF(VALUE(C982)=0,1,VLOOKUP(C982,'Справочник соответствий'!A$2:D$2981,2,FALSE)))</f>
        <v>1</v>
      </c>
      <c r="J982" s="3">
        <f>IFERROR(VLOOKUP(D982,'Справочник соответствий'!A$2:D$2981,2,FALSE),IF(VALUE(D982)=0,0,VLOOKUP(D982,'Справочник соответствий'!A$2:D$2981,2,FALSE)))</f>
        <v>0</v>
      </c>
      <c r="K982" s="3" t="str">
        <f t="shared" si="105"/>
        <v>1</v>
      </c>
      <c r="L982" s="13" t="str">
        <f>IFERROR(VLOOKUP(C982,'Справочник соответствий'!A$2:D$2981,3,FALSE),IF(VALUE(C982)=0,"ЭТАЖ НЕ ОПРЕДЕЛЕН. ПРИНЯТ ПО ДОПУЩЕНИЮ 1",VLOOKUP(C982,'Справочник соответствий'!A$2:D$2981,3,FALSE)))</f>
        <v>ЭТАЖ ЗАДАН ЧИСЛОМ</v>
      </c>
      <c r="M982" s="13" t="b">
        <f t="shared" si="106"/>
        <v>0</v>
      </c>
      <c r="N982" s="13">
        <f t="shared" si="107"/>
        <v>1</v>
      </c>
      <c r="O982" s="13" t="str">
        <f t="shared" si="108"/>
        <v>ЭТАЖ ЗАДАН ЧИСЛОМ</v>
      </c>
      <c r="P982" s="13" t="str">
        <f t="shared" si="109"/>
        <v>ЭТАЖ ЗАДАН ЧИСЛОМ</v>
      </c>
      <c r="Q982" s="13" t="str">
        <f t="shared" si="110"/>
        <v>ГОТОВ_ИЗМЕНЕН</v>
      </c>
      <c r="R982" s="13">
        <f>IFERROR(VLOOKUP(P982,Лист1!A$1:B$20,2,FALSE),0)</f>
        <v>784</v>
      </c>
      <c r="S982" s="13">
        <f t="shared" si="111"/>
        <v>0</v>
      </c>
    </row>
    <row r="983" spans="1:19" x14ac:dyDescent="0.25">
      <c r="A983" s="24" t="s">
        <v>2098</v>
      </c>
      <c r="B983" s="4" t="s">
        <v>1059</v>
      </c>
      <c r="C983" s="25" t="s">
        <v>5</v>
      </c>
      <c r="G983" s="25" t="s">
        <v>1080</v>
      </c>
      <c r="H983" s="24" t="s">
        <v>1061</v>
      </c>
      <c r="I983" s="3" t="str">
        <f>IFERROR(VLOOKUP(C983,'Справочник соответствий'!A$2:D$2981,2,FALSE),IF(VALUE(C983)=0,1,VLOOKUP(C983,'Справочник соответствий'!A$2:D$2981,2,FALSE)))</f>
        <v>1</v>
      </c>
      <c r="J983" s="3">
        <f>IFERROR(VLOOKUP(D983,'Справочник соответствий'!A$2:D$2981,2,FALSE),IF(VALUE(D983)=0,0,VLOOKUP(D983,'Справочник соответствий'!A$2:D$2981,2,FALSE)))</f>
        <v>0</v>
      </c>
      <c r="K983" s="3" t="str">
        <f t="shared" si="105"/>
        <v>1</v>
      </c>
      <c r="L983" s="13" t="str">
        <f>IFERROR(VLOOKUP(C983,'Справочник соответствий'!A$2:D$2981,3,FALSE),IF(VALUE(C983)=0,"ЭТАЖ НЕ ОПРЕДЕЛЕН. ПРИНЯТ ПО ДОПУЩЕНИЮ 1",VLOOKUP(C983,'Справочник соответствий'!A$2:D$2981,3,FALSE)))</f>
        <v>ЭТАЖ ЗАДАН ЧИСЛОМ</v>
      </c>
      <c r="M983" s="13" t="b">
        <f t="shared" si="106"/>
        <v>0</v>
      </c>
      <c r="N983" s="13">
        <f t="shared" si="107"/>
        <v>1</v>
      </c>
      <c r="O983" s="13" t="str">
        <f t="shared" si="108"/>
        <v>ЭТАЖ ЗАДАН ЧИСЛОМ</v>
      </c>
      <c r="P983" s="13" t="str">
        <f t="shared" si="109"/>
        <v>ЭТАЖ ЗАДАН ЧИСЛОМ</v>
      </c>
      <c r="Q983" s="13" t="str">
        <f t="shared" si="110"/>
        <v>ГОТОВ_ИЗМЕНЕН</v>
      </c>
      <c r="R983" s="13">
        <f>IFERROR(VLOOKUP(P983,Лист1!A$1:B$20,2,FALSE),0)</f>
        <v>784</v>
      </c>
      <c r="S983" s="13">
        <f t="shared" si="111"/>
        <v>0</v>
      </c>
    </row>
    <row r="984" spans="1:19" x14ac:dyDescent="0.25">
      <c r="A984" s="24" t="s">
        <v>2099</v>
      </c>
      <c r="B984" s="4" t="s">
        <v>1063</v>
      </c>
      <c r="C984" s="25" t="s">
        <v>5</v>
      </c>
      <c r="G984" s="25" t="s">
        <v>1080</v>
      </c>
      <c r="H984" s="24" t="s">
        <v>1061</v>
      </c>
      <c r="I984" s="3" t="str">
        <f>IFERROR(VLOOKUP(C984,'Справочник соответствий'!A$2:D$2981,2,FALSE),IF(VALUE(C984)=0,1,VLOOKUP(C984,'Справочник соответствий'!A$2:D$2981,2,FALSE)))</f>
        <v>1</v>
      </c>
      <c r="J984" s="3">
        <f>IFERROR(VLOOKUP(D984,'Справочник соответствий'!A$2:D$2981,2,FALSE),IF(VALUE(D984)=0,0,VLOOKUP(D984,'Справочник соответствий'!A$2:D$2981,2,FALSE)))</f>
        <v>0</v>
      </c>
      <c r="K984" s="3" t="str">
        <f t="shared" si="105"/>
        <v>1</v>
      </c>
      <c r="L984" s="13" t="str">
        <f>IFERROR(VLOOKUP(C984,'Справочник соответствий'!A$2:D$2981,3,FALSE),IF(VALUE(C984)=0,"ЭТАЖ НЕ ОПРЕДЕЛЕН. ПРИНЯТ ПО ДОПУЩЕНИЮ 1",VLOOKUP(C984,'Справочник соответствий'!A$2:D$2981,3,FALSE)))</f>
        <v>ЭТАЖ ЗАДАН ЧИСЛОМ</v>
      </c>
      <c r="M984" s="13" t="b">
        <f t="shared" si="106"/>
        <v>0</v>
      </c>
      <c r="N984" s="13">
        <f t="shared" si="107"/>
        <v>1</v>
      </c>
      <c r="O984" s="13" t="str">
        <f t="shared" si="108"/>
        <v>ЭТАЖ ЗАДАН ЧИСЛОМ</v>
      </c>
      <c r="P984" s="13" t="str">
        <f t="shared" si="109"/>
        <v>ЭТАЖ ЗАДАН ЧИСЛОМ</v>
      </c>
      <c r="Q984" s="13" t="str">
        <f t="shared" si="110"/>
        <v>ГОТОВ_ИЗМЕНЕН</v>
      </c>
      <c r="R984" s="13">
        <f>IFERROR(VLOOKUP(P984,Лист1!A$1:B$20,2,FALSE),0)</f>
        <v>784</v>
      </c>
      <c r="S984" s="13">
        <f t="shared" si="111"/>
        <v>0</v>
      </c>
    </row>
    <row r="985" spans="1:19" x14ac:dyDescent="0.25">
      <c r="A985" s="24" t="s">
        <v>2100</v>
      </c>
      <c r="B985" s="4" t="s">
        <v>1063</v>
      </c>
      <c r="C985" s="25" t="s">
        <v>5</v>
      </c>
      <c r="G985" s="25" t="s">
        <v>1080</v>
      </c>
      <c r="H985" s="24" t="s">
        <v>1061</v>
      </c>
      <c r="I985" s="3" t="str">
        <f>IFERROR(VLOOKUP(C985,'Справочник соответствий'!A$2:D$2981,2,FALSE),IF(VALUE(C985)=0,1,VLOOKUP(C985,'Справочник соответствий'!A$2:D$2981,2,FALSE)))</f>
        <v>1</v>
      </c>
      <c r="J985" s="3">
        <f>IFERROR(VLOOKUP(D985,'Справочник соответствий'!A$2:D$2981,2,FALSE),IF(VALUE(D985)=0,0,VLOOKUP(D985,'Справочник соответствий'!A$2:D$2981,2,FALSE)))</f>
        <v>0</v>
      </c>
      <c r="K985" s="3" t="str">
        <f t="shared" si="105"/>
        <v>1</v>
      </c>
      <c r="L985" s="13" t="str">
        <f>IFERROR(VLOOKUP(C985,'Справочник соответствий'!A$2:D$2981,3,FALSE),IF(VALUE(C985)=0,"ЭТАЖ НЕ ОПРЕДЕЛЕН. ПРИНЯТ ПО ДОПУЩЕНИЮ 1",VLOOKUP(C985,'Справочник соответствий'!A$2:D$2981,3,FALSE)))</f>
        <v>ЭТАЖ ЗАДАН ЧИСЛОМ</v>
      </c>
      <c r="M985" s="13" t="b">
        <f t="shared" si="106"/>
        <v>0</v>
      </c>
      <c r="N985" s="13">
        <f t="shared" si="107"/>
        <v>1</v>
      </c>
      <c r="O985" s="13" t="str">
        <f t="shared" si="108"/>
        <v>ЭТАЖ ЗАДАН ЧИСЛОМ</v>
      </c>
      <c r="P985" s="13" t="str">
        <f t="shared" si="109"/>
        <v>ЭТАЖ ЗАДАН ЧИСЛОМ</v>
      </c>
      <c r="Q985" s="13" t="str">
        <f t="shared" si="110"/>
        <v>ГОТОВ_ИЗМЕНЕН</v>
      </c>
      <c r="R985" s="13">
        <f>IFERROR(VLOOKUP(P985,Лист1!A$1:B$20,2,FALSE),0)</f>
        <v>784</v>
      </c>
      <c r="S985" s="13">
        <f t="shared" si="111"/>
        <v>0</v>
      </c>
    </row>
    <row r="986" spans="1:19" x14ac:dyDescent="0.25">
      <c r="A986" s="24" t="s">
        <v>2101</v>
      </c>
      <c r="B986" s="4" t="s">
        <v>1063</v>
      </c>
      <c r="C986" s="25" t="s">
        <v>5</v>
      </c>
      <c r="G986" s="25" t="s">
        <v>1080</v>
      </c>
      <c r="H986" s="24" t="s">
        <v>1061</v>
      </c>
      <c r="I986" s="3" t="str">
        <f>IFERROR(VLOOKUP(C986,'Справочник соответствий'!A$2:D$2981,2,FALSE),IF(VALUE(C986)=0,1,VLOOKUP(C986,'Справочник соответствий'!A$2:D$2981,2,FALSE)))</f>
        <v>1</v>
      </c>
      <c r="J986" s="3">
        <f>IFERROR(VLOOKUP(D986,'Справочник соответствий'!A$2:D$2981,2,FALSE),IF(VALUE(D986)=0,0,VLOOKUP(D986,'Справочник соответствий'!A$2:D$2981,2,FALSE)))</f>
        <v>0</v>
      </c>
      <c r="K986" s="3" t="str">
        <f t="shared" si="105"/>
        <v>1</v>
      </c>
      <c r="L986" s="13" t="str">
        <f>IFERROR(VLOOKUP(C986,'Справочник соответствий'!A$2:D$2981,3,FALSE),IF(VALUE(C986)=0,"ЭТАЖ НЕ ОПРЕДЕЛЕН. ПРИНЯТ ПО ДОПУЩЕНИЮ 1",VLOOKUP(C986,'Справочник соответствий'!A$2:D$2981,3,FALSE)))</f>
        <v>ЭТАЖ ЗАДАН ЧИСЛОМ</v>
      </c>
      <c r="M986" s="13" t="b">
        <f t="shared" si="106"/>
        <v>0</v>
      </c>
      <c r="N986" s="13">
        <f t="shared" si="107"/>
        <v>1</v>
      </c>
      <c r="O986" s="13" t="str">
        <f t="shared" si="108"/>
        <v>ЭТАЖ ЗАДАН ЧИСЛОМ</v>
      </c>
      <c r="P986" s="13" t="str">
        <f t="shared" si="109"/>
        <v>ЭТАЖ ЗАДАН ЧИСЛОМ</v>
      </c>
      <c r="Q986" s="13" t="str">
        <f t="shared" si="110"/>
        <v>ГОТОВ_ИЗМЕНЕН</v>
      </c>
      <c r="R986" s="13">
        <f>IFERROR(VLOOKUP(P986,Лист1!A$1:B$20,2,FALSE),0)</f>
        <v>784</v>
      </c>
      <c r="S986" s="13">
        <f t="shared" si="111"/>
        <v>0</v>
      </c>
    </row>
    <row r="987" spans="1:19" x14ac:dyDescent="0.25">
      <c r="A987" s="24" t="s">
        <v>2102</v>
      </c>
      <c r="B987" s="4" t="s">
        <v>1059</v>
      </c>
      <c r="C987" s="25" t="s">
        <v>7</v>
      </c>
      <c r="G987" s="25" t="s">
        <v>1328</v>
      </c>
      <c r="H987" s="24" t="s">
        <v>1061</v>
      </c>
      <c r="I987" s="3" t="str">
        <f>IFERROR(VLOOKUP(C987,'Справочник соответствий'!A$2:D$2981,2,FALSE),IF(VALUE(C987)=0,1,VLOOKUP(C987,'Справочник соответствий'!A$2:D$2981,2,FALSE)))</f>
        <v>2</v>
      </c>
      <c r="J987" s="3">
        <f>IFERROR(VLOOKUP(D987,'Справочник соответствий'!A$2:D$2981,2,FALSE),IF(VALUE(D987)=0,0,VLOOKUP(D987,'Справочник соответствий'!A$2:D$2981,2,FALSE)))</f>
        <v>0</v>
      </c>
      <c r="K987" s="3" t="str">
        <f t="shared" si="105"/>
        <v>2</v>
      </c>
      <c r="L987" s="13" t="str">
        <f>IFERROR(VLOOKUP(C987,'Справочник соответствий'!A$2:D$2981,3,FALSE),IF(VALUE(C987)=0,"ЭТАЖ НЕ ОПРЕДЕЛЕН. ПРИНЯТ ПО ДОПУЩЕНИЮ 1",VLOOKUP(C987,'Справочник соответствий'!A$2:D$2981,3,FALSE)))</f>
        <v>ЭТАЖ ЗАДАН ЧИСЛОМ</v>
      </c>
      <c r="M987" s="13" t="b">
        <f t="shared" si="106"/>
        <v>0</v>
      </c>
      <c r="N987" s="13">
        <f t="shared" si="107"/>
        <v>2</v>
      </c>
      <c r="O987" s="13" t="str">
        <f t="shared" si="108"/>
        <v>ЭТАЖ ЗАДАН ЧИСЛОМ</v>
      </c>
      <c r="P987" s="13" t="str">
        <f t="shared" si="109"/>
        <v>ЭТАЖ ЗАДАН ЧИСЛОМ</v>
      </c>
      <c r="Q987" s="13" t="str">
        <f t="shared" si="110"/>
        <v>ГОТОВ_ИЗМЕНЕН</v>
      </c>
      <c r="R987" s="13">
        <f>IFERROR(VLOOKUP(P987,Лист1!A$1:B$20,2,FALSE),0)</f>
        <v>784</v>
      </c>
      <c r="S987" s="13">
        <f t="shared" si="111"/>
        <v>0</v>
      </c>
    </row>
    <row r="988" spans="1:19" x14ac:dyDescent="0.25">
      <c r="A988" s="24" t="s">
        <v>2103</v>
      </c>
      <c r="B988" s="4" t="s">
        <v>1063</v>
      </c>
      <c r="C988" s="25" t="s">
        <v>5</v>
      </c>
      <c r="G988" s="25" t="s">
        <v>1072</v>
      </c>
      <c r="H988" s="24" t="s">
        <v>1061</v>
      </c>
      <c r="I988" s="3" t="str">
        <f>IFERROR(VLOOKUP(C988,'Справочник соответствий'!A$2:D$2981,2,FALSE),IF(VALUE(C988)=0,1,VLOOKUP(C988,'Справочник соответствий'!A$2:D$2981,2,FALSE)))</f>
        <v>1</v>
      </c>
      <c r="J988" s="3">
        <f>IFERROR(VLOOKUP(D988,'Справочник соответствий'!A$2:D$2981,2,FALSE),IF(VALUE(D988)=0,0,VLOOKUP(D988,'Справочник соответствий'!A$2:D$2981,2,FALSE)))</f>
        <v>0</v>
      </c>
      <c r="K988" s="3" t="str">
        <f t="shared" si="105"/>
        <v>1</v>
      </c>
      <c r="L988" s="13" t="str">
        <f>IFERROR(VLOOKUP(C988,'Справочник соответствий'!A$2:D$2981,3,FALSE),IF(VALUE(C988)=0,"ЭТАЖ НЕ ОПРЕДЕЛЕН. ПРИНЯТ ПО ДОПУЩЕНИЮ 1",VLOOKUP(C988,'Справочник соответствий'!A$2:D$2981,3,FALSE)))</f>
        <v>ЭТАЖ ЗАДАН ЧИСЛОМ</v>
      </c>
      <c r="M988" s="13" t="b">
        <f t="shared" si="106"/>
        <v>0</v>
      </c>
      <c r="N988" s="13">
        <f t="shared" si="107"/>
        <v>1</v>
      </c>
      <c r="O988" s="13" t="str">
        <f t="shared" si="108"/>
        <v>ЭТАЖ ЗАДАН ЧИСЛОМ</v>
      </c>
      <c r="P988" s="13" t="str">
        <f t="shared" si="109"/>
        <v>ЭТАЖ ЗАДАН ЧИСЛОМ</v>
      </c>
      <c r="Q988" s="13" t="str">
        <f t="shared" si="110"/>
        <v>ГОТОВ_ИЗМЕНЕН</v>
      </c>
      <c r="R988" s="13">
        <f>IFERROR(VLOOKUP(P988,Лист1!A$1:B$20,2,FALSE),0)</f>
        <v>784</v>
      </c>
      <c r="S988" s="13">
        <f t="shared" si="111"/>
        <v>0</v>
      </c>
    </row>
    <row r="989" spans="1:19" x14ac:dyDescent="0.25">
      <c r="A989" s="24" t="s">
        <v>2104</v>
      </c>
      <c r="B989" s="4" t="s">
        <v>1063</v>
      </c>
      <c r="C989" s="25" t="s">
        <v>5</v>
      </c>
      <c r="G989" s="25" t="s">
        <v>1072</v>
      </c>
      <c r="H989" s="24" t="s">
        <v>1061</v>
      </c>
      <c r="I989" s="3" t="str">
        <f>IFERROR(VLOOKUP(C989,'Справочник соответствий'!A$2:D$2981,2,FALSE),IF(VALUE(C989)=0,1,VLOOKUP(C989,'Справочник соответствий'!A$2:D$2981,2,FALSE)))</f>
        <v>1</v>
      </c>
      <c r="J989" s="3">
        <f>IFERROR(VLOOKUP(D989,'Справочник соответствий'!A$2:D$2981,2,FALSE),IF(VALUE(D989)=0,0,VLOOKUP(D989,'Справочник соответствий'!A$2:D$2981,2,FALSE)))</f>
        <v>0</v>
      </c>
      <c r="K989" s="3" t="str">
        <f t="shared" si="105"/>
        <v>1</v>
      </c>
      <c r="L989" s="13" t="str">
        <f>IFERROR(VLOOKUP(C989,'Справочник соответствий'!A$2:D$2981,3,FALSE),IF(VALUE(C989)=0,"ЭТАЖ НЕ ОПРЕДЕЛЕН. ПРИНЯТ ПО ДОПУЩЕНИЮ 1",VLOOKUP(C989,'Справочник соответствий'!A$2:D$2981,3,FALSE)))</f>
        <v>ЭТАЖ ЗАДАН ЧИСЛОМ</v>
      </c>
      <c r="M989" s="13" t="b">
        <f t="shared" si="106"/>
        <v>0</v>
      </c>
      <c r="N989" s="13">
        <f t="shared" si="107"/>
        <v>1</v>
      </c>
      <c r="O989" s="13" t="str">
        <f t="shared" si="108"/>
        <v>ЭТАЖ ЗАДАН ЧИСЛОМ</v>
      </c>
      <c r="P989" s="13" t="str">
        <f t="shared" si="109"/>
        <v>ЭТАЖ ЗАДАН ЧИСЛОМ</v>
      </c>
      <c r="Q989" s="13" t="str">
        <f t="shared" si="110"/>
        <v>ГОТОВ_ИЗМЕНЕН</v>
      </c>
      <c r="R989" s="13">
        <f>IFERROR(VLOOKUP(P989,Лист1!A$1:B$20,2,FALSE),0)</f>
        <v>784</v>
      </c>
      <c r="S989" s="13">
        <f t="shared" si="111"/>
        <v>0</v>
      </c>
    </row>
    <row r="990" spans="1:19" x14ac:dyDescent="0.25">
      <c r="A990" s="24" t="s">
        <v>2105</v>
      </c>
      <c r="B990" s="4" t="s">
        <v>1059</v>
      </c>
      <c r="C990" s="25" t="s">
        <v>7</v>
      </c>
      <c r="G990" s="25" t="s">
        <v>1072</v>
      </c>
      <c r="H990" s="24" t="s">
        <v>1061</v>
      </c>
      <c r="I990" s="3" t="str">
        <f>IFERROR(VLOOKUP(C990,'Справочник соответствий'!A$2:D$2981,2,FALSE),IF(VALUE(C990)=0,1,VLOOKUP(C990,'Справочник соответствий'!A$2:D$2981,2,FALSE)))</f>
        <v>2</v>
      </c>
      <c r="J990" s="3">
        <f>IFERROR(VLOOKUP(D990,'Справочник соответствий'!A$2:D$2981,2,FALSE),IF(VALUE(D990)=0,0,VLOOKUP(D990,'Справочник соответствий'!A$2:D$2981,2,FALSE)))</f>
        <v>0</v>
      </c>
      <c r="K990" s="3" t="str">
        <f t="shared" si="105"/>
        <v>2</v>
      </c>
      <c r="L990" s="13" t="str">
        <f>IFERROR(VLOOKUP(C990,'Справочник соответствий'!A$2:D$2981,3,FALSE),IF(VALUE(C990)=0,"ЭТАЖ НЕ ОПРЕДЕЛЕН. ПРИНЯТ ПО ДОПУЩЕНИЮ 1",VLOOKUP(C990,'Справочник соответствий'!A$2:D$2981,3,FALSE)))</f>
        <v>ЭТАЖ ЗАДАН ЧИСЛОМ</v>
      </c>
      <c r="M990" s="13" t="b">
        <f t="shared" si="106"/>
        <v>0</v>
      </c>
      <c r="N990" s="13">
        <f t="shared" si="107"/>
        <v>2</v>
      </c>
      <c r="O990" s="13" t="str">
        <f t="shared" si="108"/>
        <v>ЭТАЖ ЗАДАН ЧИСЛОМ</v>
      </c>
      <c r="P990" s="13" t="str">
        <f t="shared" si="109"/>
        <v>ЭТАЖ ЗАДАН ЧИСЛОМ</v>
      </c>
      <c r="Q990" s="13" t="str">
        <f t="shared" si="110"/>
        <v>ГОТОВ_ИЗМЕНЕН</v>
      </c>
      <c r="R990" s="13">
        <f>IFERROR(VLOOKUP(P990,Лист1!A$1:B$20,2,FALSE),0)</f>
        <v>784</v>
      </c>
      <c r="S990" s="13">
        <f t="shared" si="111"/>
        <v>0</v>
      </c>
    </row>
    <row r="991" spans="1:19" x14ac:dyDescent="0.25">
      <c r="A991" s="24" t="s">
        <v>2106</v>
      </c>
      <c r="B991" s="4" t="s">
        <v>1059</v>
      </c>
      <c r="C991" s="25" t="s">
        <v>5</v>
      </c>
      <c r="G991" s="25" t="s">
        <v>1072</v>
      </c>
      <c r="H991" s="24" t="s">
        <v>1061</v>
      </c>
      <c r="I991" s="3" t="str">
        <f>IFERROR(VLOOKUP(C991,'Справочник соответствий'!A$2:D$2981,2,FALSE),IF(VALUE(C991)=0,1,VLOOKUP(C991,'Справочник соответствий'!A$2:D$2981,2,FALSE)))</f>
        <v>1</v>
      </c>
      <c r="J991" s="3">
        <f>IFERROR(VLOOKUP(D991,'Справочник соответствий'!A$2:D$2981,2,FALSE),IF(VALUE(D991)=0,0,VLOOKUP(D991,'Справочник соответствий'!A$2:D$2981,2,FALSE)))</f>
        <v>0</v>
      </c>
      <c r="K991" s="3" t="str">
        <f t="shared" si="105"/>
        <v>1</v>
      </c>
      <c r="L991" s="13" t="str">
        <f>IFERROR(VLOOKUP(C991,'Справочник соответствий'!A$2:D$2981,3,FALSE),IF(VALUE(C991)=0,"ЭТАЖ НЕ ОПРЕДЕЛЕН. ПРИНЯТ ПО ДОПУЩЕНИЮ 1",VLOOKUP(C991,'Справочник соответствий'!A$2:D$2981,3,FALSE)))</f>
        <v>ЭТАЖ ЗАДАН ЧИСЛОМ</v>
      </c>
      <c r="M991" s="13" t="b">
        <f t="shared" si="106"/>
        <v>0</v>
      </c>
      <c r="N991" s="13">
        <f t="shared" si="107"/>
        <v>1</v>
      </c>
      <c r="O991" s="13" t="str">
        <f t="shared" si="108"/>
        <v>ЭТАЖ ЗАДАН ЧИСЛОМ</v>
      </c>
      <c r="P991" s="13" t="str">
        <f t="shared" si="109"/>
        <v>ЭТАЖ ЗАДАН ЧИСЛОМ</v>
      </c>
      <c r="Q991" s="13" t="str">
        <f t="shared" si="110"/>
        <v>ГОТОВ_ИЗМЕНЕН</v>
      </c>
      <c r="R991" s="13">
        <f>IFERROR(VLOOKUP(P991,Лист1!A$1:B$20,2,FALSE),0)</f>
        <v>784</v>
      </c>
      <c r="S991" s="13">
        <f t="shared" si="111"/>
        <v>0</v>
      </c>
    </row>
    <row r="992" spans="1:19" x14ac:dyDescent="0.25">
      <c r="A992" s="24" t="s">
        <v>2107</v>
      </c>
      <c r="B992" s="4" t="s">
        <v>1059</v>
      </c>
      <c r="C992" s="25" t="s">
        <v>5</v>
      </c>
      <c r="G992" s="25" t="s">
        <v>1072</v>
      </c>
      <c r="H992" s="24" t="s">
        <v>1061</v>
      </c>
      <c r="I992" s="3" t="str">
        <f>IFERROR(VLOOKUP(C992,'Справочник соответствий'!A$2:D$2981,2,FALSE),IF(VALUE(C992)=0,1,VLOOKUP(C992,'Справочник соответствий'!A$2:D$2981,2,FALSE)))</f>
        <v>1</v>
      </c>
      <c r="J992" s="3">
        <f>IFERROR(VLOOKUP(D992,'Справочник соответствий'!A$2:D$2981,2,FALSE),IF(VALUE(D992)=0,0,VLOOKUP(D992,'Справочник соответствий'!A$2:D$2981,2,FALSE)))</f>
        <v>0</v>
      </c>
      <c r="K992" s="3" t="str">
        <f t="shared" si="105"/>
        <v>1</v>
      </c>
      <c r="L992" s="13" t="str">
        <f>IFERROR(VLOOKUP(C992,'Справочник соответствий'!A$2:D$2981,3,FALSE),IF(VALUE(C992)=0,"ЭТАЖ НЕ ОПРЕДЕЛЕН. ПРИНЯТ ПО ДОПУЩЕНИЮ 1",VLOOKUP(C992,'Справочник соответствий'!A$2:D$2981,3,FALSE)))</f>
        <v>ЭТАЖ ЗАДАН ЧИСЛОМ</v>
      </c>
      <c r="M992" s="13" t="b">
        <f t="shared" si="106"/>
        <v>0</v>
      </c>
      <c r="N992" s="13">
        <f t="shared" si="107"/>
        <v>1</v>
      </c>
      <c r="O992" s="13" t="str">
        <f t="shared" si="108"/>
        <v>ЭТАЖ ЗАДАН ЧИСЛОМ</v>
      </c>
      <c r="P992" s="13" t="str">
        <f t="shared" si="109"/>
        <v>ЭТАЖ ЗАДАН ЧИСЛОМ</v>
      </c>
      <c r="Q992" s="13" t="str">
        <f t="shared" si="110"/>
        <v>ГОТОВ_ИЗМЕНЕН</v>
      </c>
      <c r="R992" s="13">
        <f>IFERROR(VLOOKUP(P992,Лист1!A$1:B$20,2,FALSE),0)</f>
        <v>784</v>
      </c>
      <c r="S992" s="13">
        <f t="shared" si="111"/>
        <v>0</v>
      </c>
    </row>
    <row r="993" spans="1:19" x14ac:dyDescent="0.25">
      <c r="A993" s="24" t="s">
        <v>2108</v>
      </c>
      <c r="B993" s="4" t="s">
        <v>1059</v>
      </c>
      <c r="C993" s="25" t="s">
        <v>5</v>
      </c>
      <c r="G993" s="25" t="s">
        <v>1321</v>
      </c>
      <c r="H993" s="24" t="s">
        <v>1061</v>
      </c>
      <c r="I993" s="3" t="str">
        <f>IFERROR(VLOOKUP(C993,'Справочник соответствий'!A$2:D$2981,2,FALSE),IF(VALUE(C993)=0,1,VLOOKUP(C993,'Справочник соответствий'!A$2:D$2981,2,FALSE)))</f>
        <v>1</v>
      </c>
      <c r="J993" s="3">
        <f>IFERROR(VLOOKUP(D993,'Справочник соответствий'!A$2:D$2981,2,FALSE),IF(VALUE(D993)=0,0,VLOOKUP(D993,'Справочник соответствий'!A$2:D$2981,2,FALSE)))</f>
        <v>0</v>
      </c>
      <c r="K993" s="3" t="str">
        <f t="shared" si="105"/>
        <v>1</v>
      </c>
      <c r="L993" s="13" t="str">
        <f>IFERROR(VLOOKUP(C993,'Справочник соответствий'!A$2:D$2981,3,FALSE),IF(VALUE(C993)=0,"ЭТАЖ НЕ ОПРЕДЕЛЕН. ПРИНЯТ ПО ДОПУЩЕНИЮ 1",VLOOKUP(C993,'Справочник соответствий'!A$2:D$2981,3,FALSE)))</f>
        <v>ЭТАЖ ЗАДАН ЧИСЛОМ</v>
      </c>
      <c r="M993" s="13" t="b">
        <f t="shared" si="106"/>
        <v>0</v>
      </c>
      <c r="N993" s="13">
        <f t="shared" si="107"/>
        <v>1</v>
      </c>
      <c r="O993" s="13" t="str">
        <f t="shared" si="108"/>
        <v>ЭТАЖ ЗАДАН ЧИСЛОМ</v>
      </c>
      <c r="P993" s="13" t="str">
        <f t="shared" si="109"/>
        <v>ЭТАЖ ЗАДАН ЧИСЛОМ</v>
      </c>
      <c r="Q993" s="13" t="str">
        <f t="shared" si="110"/>
        <v>ГОТОВ_ИЗМЕНЕН</v>
      </c>
      <c r="R993" s="13">
        <f>IFERROR(VLOOKUP(P993,Лист1!A$1:B$20,2,FALSE),0)</f>
        <v>784</v>
      </c>
      <c r="S993" s="13">
        <f t="shared" si="111"/>
        <v>0</v>
      </c>
    </row>
    <row r="994" spans="1:19" x14ac:dyDescent="0.25">
      <c r="A994" s="24" t="s">
        <v>2109</v>
      </c>
      <c r="B994" s="4" t="s">
        <v>1059</v>
      </c>
      <c r="C994" s="25" t="s">
        <v>7</v>
      </c>
      <c r="G994" s="25" t="s">
        <v>1276</v>
      </c>
      <c r="H994" s="24" t="s">
        <v>1061</v>
      </c>
      <c r="I994" s="3" t="str">
        <f>IFERROR(VLOOKUP(C994,'Справочник соответствий'!A$2:D$2981,2,FALSE),IF(VALUE(C994)=0,1,VLOOKUP(C994,'Справочник соответствий'!A$2:D$2981,2,FALSE)))</f>
        <v>2</v>
      </c>
      <c r="J994" s="3">
        <f>IFERROR(VLOOKUP(D994,'Справочник соответствий'!A$2:D$2981,2,FALSE),IF(VALUE(D994)=0,0,VLOOKUP(D994,'Справочник соответствий'!A$2:D$2981,2,FALSE)))</f>
        <v>0</v>
      </c>
      <c r="K994" s="3" t="str">
        <f t="shared" si="105"/>
        <v>2</v>
      </c>
      <c r="L994" s="13" t="str">
        <f>IFERROR(VLOOKUP(C994,'Справочник соответствий'!A$2:D$2981,3,FALSE),IF(VALUE(C994)=0,"ЭТАЖ НЕ ОПРЕДЕЛЕН. ПРИНЯТ ПО ДОПУЩЕНИЮ 1",VLOOKUP(C994,'Справочник соответствий'!A$2:D$2981,3,FALSE)))</f>
        <v>ЭТАЖ ЗАДАН ЧИСЛОМ</v>
      </c>
      <c r="M994" s="13" t="b">
        <f t="shared" si="106"/>
        <v>0</v>
      </c>
      <c r="N994" s="13">
        <f t="shared" si="107"/>
        <v>2</v>
      </c>
      <c r="O994" s="13" t="str">
        <f t="shared" si="108"/>
        <v>ЭТАЖ ЗАДАН ЧИСЛОМ</v>
      </c>
      <c r="P994" s="13" t="str">
        <f t="shared" si="109"/>
        <v>ЭТАЖ ЗАДАН ЧИСЛОМ</v>
      </c>
      <c r="Q994" s="13" t="str">
        <f t="shared" si="110"/>
        <v>ГОТОВ_ИЗМЕНЕН</v>
      </c>
      <c r="R994" s="13">
        <f>IFERROR(VLOOKUP(P994,Лист1!A$1:B$20,2,FALSE),0)</f>
        <v>784</v>
      </c>
      <c r="S994" s="13">
        <f t="shared" si="111"/>
        <v>0</v>
      </c>
    </row>
    <row r="995" spans="1:19" x14ac:dyDescent="0.25">
      <c r="A995" s="24" t="s">
        <v>2110</v>
      </c>
      <c r="B995" s="4" t="s">
        <v>1063</v>
      </c>
      <c r="C995" s="25" t="s">
        <v>5</v>
      </c>
      <c r="G995" s="25" t="s">
        <v>1328</v>
      </c>
      <c r="H995" s="24" t="s">
        <v>1061</v>
      </c>
      <c r="I995" s="3" t="str">
        <f>IFERROR(VLOOKUP(C995,'Справочник соответствий'!A$2:D$2981,2,FALSE),IF(VALUE(C995)=0,1,VLOOKUP(C995,'Справочник соответствий'!A$2:D$2981,2,FALSE)))</f>
        <v>1</v>
      </c>
      <c r="J995" s="3">
        <f>IFERROR(VLOOKUP(D995,'Справочник соответствий'!A$2:D$2981,2,FALSE),IF(VALUE(D995)=0,0,VLOOKUP(D995,'Справочник соответствий'!A$2:D$2981,2,FALSE)))</f>
        <v>0</v>
      </c>
      <c r="K995" s="3" t="str">
        <f t="shared" si="105"/>
        <v>1</v>
      </c>
      <c r="L995" s="13" t="str">
        <f>IFERROR(VLOOKUP(C995,'Справочник соответствий'!A$2:D$2981,3,FALSE),IF(VALUE(C995)=0,"ЭТАЖ НЕ ОПРЕДЕЛЕН. ПРИНЯТ ПО ДОПУЩЕНИЮ 1",VLOOKUP(C995,'Справочник соответствий'!A$2:D$2981,3,FALSE)))</f>
        <v>ЭТАЖ ЗАДАН ЧИСЛОМ</v>
      </c>
      <c r="M995" s="13" t="b">
        <f t="shared" si="106"/>
        <v>0</v>
      </c>
      <c r="N995" s="13">
        <f t="shared" si="107"/>
        <v>1</v>
      </c>
      <c r="O995" s="13" t="str">
        <f t="shared" si="108"/>
        <v>ЭТАЖ ЗАДАН ЧИСЛОМ</v>
      </c>
      <c r="P995" s="13" t="str">
        <f t="shared" si="109"/>
        <v>ЭТАЖ ЗАДАН ЧИСЛОМ</v>
      </c>
      <c r="Q995" s="13" t="str">
        <f t="shared" si="110"/>
        <v>ГОТОВ_ИЗМЕНЕН</v>
      </c>
      <c r="R995" s="13">
        <f>IFERROR(VLOOKUP(P995,Лист1!A$1:B$20,2,FALSE),0)</f>
        <v>784</v>
      </c>
      <c r="S995" s="13">
        <f t="shared" si="111"/>
        <v>0</v>
      </c>
    </row>
    <row r="996" spans="1:19" x14ac:dyDescent="0.25">
      <c r="A996" s="24" t="s">
        <v>2111</v>
      </c>
      <c r="B996" s="4" t="s">
        <v>1063</v>
      </c>
      <c r="C996" s="25" t="s">
        <v>5</v>
      </c>
      <c r="G996" s="25" t="s">
        <v>1072</v>
      </c>
      <c r="H996" s="24" t="s">
        <v>1061</v>
      </c>
      <c r="I996" s="3" t="str">
        <f>IFERROR(VLOOKUP(C996,'Справочник соответствий'!A$2:D$2981,2,FALSE),IF(VALUE(C996)=0,1,VLOOKUP(C996,'Справочник соответствий'!A$2:D$2981,2,FALSE)))</f>
        <v>1</v>
      </c>
      <c r="J996" s="3">
        <f>IFERROR(VLOOKUP(D996,'Справочник соответствий'!A$2:D$2981,2,FALSE),IF(VALUE(D996)=0,0,VLOOKUP(D996,'Справочник соответствий'!A$2:D$2981,2,FALSE)))</f>
        <v>0</v>
      </c>
      <c r="K996" s="3" t="str">
        <f t="shared" si="105"/>
        <v>1</v>
      </c>
      <c r="L996" s="13" t="str">
        <f>IFERROR(VLOOKUP(C996,'Справочник соответствий'!A$2:D$2981,3,FALSE),IF(VALUE(C996)=0,"ЭТАЖ НЕ ОПРЕДЕЛЕН. ПРИНЯТ ПО ДОПУЩЕНИЮ 1",VLOOKUP(C996,'Справочник соответствий'!A$2:D$2981,3,FALSE)))</f>
        <v>ЭТАЖ ЗАДАН ЧИСЛОМ</v>
      </c>
      <c r="M996" s="13" t="b">
        <f t="shared" si="106"/>
        <v>0</v>
      </c>
      <c r="N996" s="13">
        <f t="shared" si="107"/>
        <v>1</v>
      </c>
      <c r="O996" s="13" t="str">
        <f t="shared" si="108"/>
        <v>ЭТАЖ ЗАДАН ЧИСЛОМ</v>
      </c>
      <c r="P996" s="13" t="str">
        <f t="shared" si="109"/>
        <v>ЭТАЖ ЗАДАН ЧИСЛОМ</v>
      </c>
      <c r="Q996" s="13" t="str">
        <f t="shared" si="110"/>
        <v>ГОТОВ_ИЗМЕНЕН</v>
      </c>
      <c r="R996" s="13">
        <f>IFERROR(VLOOKUP(P996,Лист1!A$1:B$20,2,FALSE),0)</f>
        <v>784</v>
      </c>
      <c r="S996" s="13">
        <f t="shared" si="111"/>
        <v>0</v>
      </c>
    </row>
    <row r="997" spans="1:19" x14ac:dyDescent="0.25">
      <c r="A997" s="24" t="s">
        <v>2112</v>
      </c>
      <c r="B997" s="4" t="s">
        <v>1063</v>
      </c>
      <c r="C997" s="25" t="s">
        <v>5</v>
      </c>
      <c r="G997" s="25" t="s">
        <v>1072</v>
      </c>
      <c r="H997" s="24" t="s">
        <v>1061</v>
      </c>
      <c r="I997" s="3" t="str">
        <f>IFERROR(VLOOKUP(C997,'Справочник соответствий'!A$2:D$2981,2,FALSE),IF(VALUE(C997)=0,1,VLOOKUP(C997,'Справочник соответствий'!A$2:D$2981,2,FALSE)))</f>
        <v>1</v>
      </c>
      <c r="J997" s="3">
        <f>IFERROR(VLOOKUP(D997,'Справочник соответствий'!A$2:D$2981,2,FALSE),IF(VALUE(D997)=0,0,VLOOKUP(D997,'Справочник соответствий'!A$2:D$2981,2,FALSE)))</f>
        <v>0</v>
      </c>
      <c r="K997" s="3" t="str">
        <f t="shared" si="105"/>
        <v>1</v>
      </c>
      <c r="L997" s="13" t="str">
        <f>IFERROR(VLOOKUP(C997,'Справочник соответствий'!A$2:D$2981,3,FALSE),IF(VALUE(C997)=0,"ЭТАЖ НЕ ОПРЕДЕЛЕН. ПРИНЯТ ПО ДОПУЩЕНИЮ 1",VLOOKUP(C997,'Справочник соответствий'!A$2:D$2981,3,FALSE)))</f>
        <v>ЭТАЖ ЗАДАН ЧИСЛОМ</v>
      </c>
      <c r="M997" s="13" t="b">
        <f t="shared" si="106"/>
        <v>0</v>
      </c>
      <c r="N997" s="13">
        <f t="shared" si="107"/>
        <v>1</v>
      </c>
      <c r="O997" s="13" t="str">
        <f t="shared" si="108"/>
        <v>ЭТАЖ ЗАДАН ЧИСЛОМ</v>
      </c>
      <c r="P997" s="13" t="str">
        <f t="shared" si="109"/>
        <v>ЭТАЖ ЗАДАН ЧИСЛОМ</v>
      </c>
      <c r="Q997" s="13" t="str">
        <f t="shared" si="110"/>
        <v>ГОТОВ_ИЗМЕНЕН</v>
      </c>
      <c r="R997" s="13">
        <f>IFERROR(VLOOKUP(P997,Лист1!A$1:B$20,2,FALSE),0)</f>
        <v>784</v>
      </c>
      <c r="S997" s="13">
        <f t="shared" si="111"/>
        <v>0</v>
      </c>
    </row>
    <row r="998" spans="1:19" x14ac:dyDescent="0.25">
      <c r="A998" s="24" t="s">
        <v>2113</v>
      </c>
      <c r="B998" s="4" t="s">
        <v>1059</v>
      </c>
      <c r="C998" s="25" t="s">
        <v>8</v>
      </c>
      <c r="D998" s="25" t="s">
        <v>5</v>
      </c>
      <c r="G998" s="25" t="s">
        <v>1698</v>
      </c>
      <c r="H998" s="24" t="s">
        <v>1061</v>
      </c>
      <c r="I998" s="3" t="str">
        <f>IFERROR(VLOOKUP(C998,'Справочник соответствий'!A$2:D$2981,2,FALSE),IF(VALUE(C998)=0,1,VLOOKUP(C998,'Справочник соответствий'!A$2:D$2981,2,FALSE)))</f>
        <v>3</v>
      </c>
      <c r="J998" s="3" t="str">
        <f>IFERROR(VLOOKUP(D998,'Справочник соответствий'!A$2:D$2981,2,FALSE),IF(VALUE(D998)=0,0,VLOOKUP(D998,'Справочник соответствий'!A$2:D$2981,2,FALSE)))</f>
        <v>1</v>
      </c>
      <c r="K998" s="3" t="str">
        <f t="shared" si="105"/>
        <v>3</v>
      </c>
      <c r="L998" s="13" t="str">
        <f>IFERROR(VLOOKUP(C998,'Справочник соответствий'!A$2:D$2981,3,FALSE),IF(VALUE(C998)=0,"ЭТАЖ НЕ ОПРЕДЕЛЕН. ПРИНЯТ ПО ДОПУЩЕНИЮ 1",VLOOKUP(C998,'Справочник соответствий'!A$2:D$2981,3,FALSE)))</f>
        <v>ЭТАЖ ЗАДАН ЧИСЛОМ</v>
      </c>
      <c r="M998" s="13" t="b">
        <f t="shared" si="106"/>
        <v>0</v>
      </c>
      <c r="N998" s="13">
        <f t="shared" si="107"/>
        <v>3</v>
      </c>
      <c r="O998" s="13" t="str">
        <f t="shared" si="108"/>
        <v>ЭТАЖ ЗАДАН ЧИСЛОМ</v>
      </c>
      <c r="P998" s="13" t="str">
        <f t="shared" si="109"/>
        <v>ЭТАЖ ЗАДАН ЧИСЛОМ</v>
      </c>
      <c r="Q998" s="13" t="str">
        <f t="shared" si="110"/>
        <v>ГОТОВ_ИЗМЕНЕН</v>
      </c>
      <c r="R998" s="13">
        <f>IFERROR(VLOOKUP(P998,Лист1!A$1:B$20,2,FALSE),0)</f>
        <v>784</v>
      </c>
      <c r="S998" s="13">
        <f t="shared" si="111"/>
        <v>0</v>
      </c>
    </row>
    <row r="999" spans="1:19" x14ac:dyDescent="0.25">
      <c r="A999" s="24" t="s">
        <v>2114</v>
      </c>
      <c r="B999" s="4" t="s">
        <v>1059</v>
      </c>
      <c r="C999" s="25" t="s">
        <v>5</v>
      </c>
      <c r="G999" s="25" t="s">
        <v>1072</v>
      </c>
      <c r="H999" s="24" t="s">
        <v>1061</v>
      </c>
      <c r="I999" s="3" t="str">
        <f>IFERROR(VLOOKUP(C999,'Справочник соответствий'!A$2:D$2981,2,FALSE),IF(VALUE(C999)=0,1,VLOOKUP(C999,'Справочник соответствий'!A$2:D$2981,2,FALSE)))</f>
        <v>1</v>
      </c>
      <c r="J999" s="3">
        <f>IFERROR(VLOOKUP(D999,'Справочник соответствий'!A$2:D$2981,2,FALSE),IF(VALUE(D999)=0,0,VLOOKUP(D999,'Справочник соответствий'!A$2:D$2981,2,FALSE)))</f>
        <v>0</v>
      </c>
      <c r="K999" s="3" t="str">
        <f t="shared" si="105"/>
        <v>1</v>
      </c>
      <c r="L999" s="13" t="str">
        <f>IFERROR(VLOOKUP(C999,'Справочник соответствий'!A$2:D$2981,3,FALSE),IF(VALUE(C999)=0,"ЭТАЖ НЕ ОПРЕДЕЛЕН. ПРИНЯТ ПО ДОПУЩЕНИЮ 1",VLOOKUP(C999,'Справочник соответствий'!A$2:D$2981,3,FALSE)))</f>
        <v>ЭТАЖ ЗАДАН ЧИСЛОМ</v>
      </c>
      <c r="M999" s="13" t="b">
        <f t="shared" si="106"/>
        <v>0</v>
      </c>
      <c r="N999" s="13">
        <f t="shared" si="107"/>
        <v>1</v>
      </c>
      <c r="O999" s="13" t="str">
        <f t="shared" si="108"/>
        <v>ЭТАЖ ЗАДАН ЧИСЛОМ</v>
      </c>
      <c r="P999" s="13" t="str">
        <f t="shared" si="109"/>
        <v>ЭТАЖ ЗАДАН ЧИСЛОМ</v>
      </c>
      <c r="Q999" s="13" t="str">
        <f t="shared" si="110"/>
        <v>ГОТОВ_ИЗМЕНЕН</v>
      </c>
      <c r="R999" s="13">
        <f>IFERROR(VLOOKUP(P999,Лист1!A$1:B$20,2,FALSE),0)</f>
        <v>784</v>
      </c>
      <c r="S999" s="13">
        <f t="shared" si="111"/>
        <v>0</v>
      </c>
    </row>
    <row r="1000" spans="1:19" x14ac:dyDescent="0.25">
      <c r="A1000" s="24" t="s">
        <v>2115</v>
      </c>
      <c r="B1000" s="4" t="s">
        <v>1059</v>
      </c>
      <c r="C1000" s="25" t="s">
        <v>7</v>
      </c>
      <c r="G1000" s="25" t="s">
        <v>1072</v>
      </c>
      <c r="H1000" s="24" t="s">
        <v>1061</v>
      </c>
      <c r="I1000" s="3" t="str">
        <f>IFERROR(VLOOKUP(C1000,'Справочник соответствий'!A$2:D$2981,2,FALSE),IF(VALUE(C1000)=0,1,VLOOKUP(C1000,'Справочник соответствий'!A$2:D$2981,2,FALSE)))</f>
        <v>2</v>
      </c>
      <c r="J1000" s="3">
        <f>IFERROR(VLOOKUP(D1000,'Справочник соответствий'!A$2:D$2981,2,FALSE),IF(VALUE(D1000)=0,0,VLOOKUP(D1000,'Справочник соответствий'!A$2:D$2981,2,FALSE)))</f>
        <v>0</v>
      </c>
      <c r="K1000" s="3" t="str">
        <f t="shared" si="105"/>
        <v>2</v>
      </c>
      <c r="L1000" s="13" t="str">
        <f>IFERROR(VLOOKUP(C1000,'Справочник соответствий'!A$2:D$2981,3,FALSE),IF(VALUE(C1000)=0,"ЭТАЖ НЕ ОПРЕДЕЛЕН. ПРИНЯТ ПО ДОПУЩЕНИЮ 1",VLOOKUP(C1000,'Справочник соответствий'!A$2:D$2981,3,FALSE)))</f>
        <v>ЭТАЖ ЗАДАН ЧИСЛОМ</v>
      </c>
      <c r="M1000" s="13" t="b">
        <f t="shared" si="106"/>
        <v>0</v>
      </c>
      <c r="N1000" s="13">
        <f t="shared" si="107"/>
        <v>2</v>
      </c>
      <c r="O1000" s="13" t="str">
        <f t="shared" si="108"/>
        <v>ЭТАЖ ЗАДАН ЧИСЛОМ</v>
      </c>
      <c r="P1000" s="13" t="str">
        <f t="shared" si="109"/>
        <v>ЭТАЖ ЗАДАН ЧИСЛОМ</v>
      </c>
      <c r="Q1000" s="13" t="str">
        <f t="shared" si="110"/>
        <v>ГОТОВ_ИЗМЕНЕН</v>
      </c>
      <c r="R1000" s="13">
        <f>IFERROR(VLOOKUP(P1000,Лист1!A$1:B$20,2,FALSE),0)</f>
        <v>784</v>
      </c>
      <c r="S1000" s="13">
        <f t="shared" si="111"/>
        <v>0</v>
      </c>
    </row>
    <row r="1001" spans="1:19" x14ac:dyDescent="0.25">
      <c r="A1001" s="24" t="s">
        <v>2116</v>
      </c>
      <c r="B1001" s="4" t="s">
        <v>1063</v>
      </c>
      <c r="C1001" s="25" t="s">
        <v>5</v>
      </c>
      <c r="G1001" s="25" t="s">
        <v>1072</v>
      </c>
      <c r="H1001" s="24" t="s">
        <v>1061</v>
      </c>
      <c r="I1001" s="3" t="str">
        <f>IFERROR(VLOOKUP(C1001,'Справочник соответствий'!A$2:D$2981,2,FALSE),IF(VALUE(C1001)=0,1,VLOOKUP(C1001,'Справочник соответствий'!A$2:D$2981,2,FALSE)))</f>
        <v>1</v>
      </c>
      <c r="J1001" s="3">
        <f>IFERROR(VLOOKUP(D1001,'Справочник соответствий'!A$2:D$2981,2,FALSE),IF(VALUE(D1001)=0,0,VLOOKUP(D1001,'Справочник соответствий'!A$2:D$2981,2,FALSE)))</f>
        <v>0</v>
      </c>
      <c r="K1001" s="3" t="str">
        <f t="shared" si="105"/>
        <v>1</v>
      </c>
      <c r="L1001" s="13" t="str">
        <f>IFERROR(VLOOKUP(C1001,'Справочник соответствий'!A$2:D$2981,3,FALSE),IF(VALUE(C1001)=0,"ЭТАЖ НЕ ОПРЕДЕЛЕН. ПРИНЯТ ПО ДОПУЩЕНИЮ 1",VLOOKUP(C1001,'Справочник соответствий'!A$2:D$2981,3,FALSE)))</f>
        <v>ЭТАЖ ЗАДАН ЧИСЛОМ</v>
      </c>
      <c r="M1001" s="13" t="b">
        <f t="shared" si="106"/>
        <v>0</v>
      </c>
      <c r="N1001" s="13">
        <f t="shared" si="107"/>
        <v>1</v>
      </c>
      <c r="O1001" s="13" t="str">
        <f t="shared" si="108"/>
        <v>ЭТАЖ ЗАДАН ЧИСЛОМ</v>
      </c>
      <c r="P1001" s="13" t="str">
        <f t="shared" si="109"/>
        <v>ЭТАЖ ЗАДАН ЧИСЛОМ</v>
      </c>
      <c r="Q1001" s="13" t="str">
        <f t="shared" si="110"/>
        <v>ГОТОВ_ИЗМЕНЕН</v>
      </c>
      <c r="R1001" s="13">
        <f>IFERROR(VLOOKUP(P1001,Лист1!A$1:B$20,2,FALSE),0)</f>
        <v>784</v>
      </c>
      <c r="S1001" s="13">
        <f t="shared" si="111"/>
        <v>0</v>
      </c>
    </row>
    <row r="1002" spans="1:19" x14ac:dyDescent="0.25">
      <c r="A1002" s="24" t="s">
        <v>2117</v>
      </c>
      <c r="B1002" s="4" t="s">
        <v>1059</v>
      </c>
      <c r="C1002" s="25" t="s">
        <v>5</v>
      </c>
      <c r="G1002" s="25" t="s">
        <v>1106</v>
      </c>
      <c r="H1002" s="24" t="s">
        <v>1061</v>
      </c>
      <c r="I1002" s="3" t="str">
        <f>IFERROR(VLOOKUP(C1002,'Справочник соответствий'!A$2:D$2981,2,FALSE),IF(VALUE(C1002)=0,1,VLOOKUP(C1002,'Справочник соответствий'!A$2:D$2981,2,FALSE)))</f>
        <v>1</v>
      </c>
      <c r="J1002" s="3">
        <f>IFERROR(VLOOKUP(D1002,'Справочник соответствий'!A$2:D$2981,2,FALSE),IF(VALUE(D1002)=0,0,VLOOKUP(D1002,'Справочник соответствий'!A$2:D$2981,2,FALSE)))</f>
        <v>0</v>
      </c>
      <c r="K1002" s="3" t="str">
        <f t="shared" si="105"/>
        <v>1</v>
      </c>
      <c r="L1002" s="13" t="str">
        <f>IFERROR(VLOOKUP(C1002,'Справочник соответствий'!A$2:D$2981,3,FALSE),IF(VALUE(C1002)=0,"ЭТАЖ НЕ ОПРЕДЕЛЕН. ПРИНЯТ ПО ДОПУЩЕНИЮ 1",VLOOKUP(C1002,'Справочник соответствий'!A$2:D$2981,3,FALSE)))</f>
        <v>ЭТАЖ ЗАДАН ЧИСЛОМ</v>
      </c>
      <c r="M1002" s="13" t="b">
        <f t="shared" si="106"/>
        <v>0</v>
      </c>
      <c r="N1002" s="13">
        <f t="shared" si="107"/>
        <v>1</v>
      </c>
      <c r="O1002" s="13" t="str">
        <f t="shared" si="108"/>
        <v>ЭТАЖ ЗАДАН ЧИСЛОМ</v>
      </c>
      <c r="P1002" s="13" t="str">
        <f t="shared" si="109"/>
        <v>ЭТАЖ ЗАДАН ЧИСЛОМ</v>
      </c>
      <c r="Q1002" s="13" t="str">
        <f t="shared" si="110"/>
        <v>ГОТОВ_ИЗМЕНЕН</v>
      </c>
      <c r="R1002" s="13">
        <f>IFERROR(VLOOKUP(P1002,Лист1!A$1:B$20,2,FALSE),0)</f>
        <v>784</v>
      </c>
      <c r="S1002" s="13">
        <f t="shared" si="111"/>
        <v>0</v>
      </c>
    </row>
    <row r="1003" spans="1:19" x14ac:dyDescent="0.25">
      <c r="A1003" s="24" t="s">
        <v>2118</v>
      </c>
      <c r="B1003" s="4" t="s">
        <v>1059</v>
      </c>
      <c r="C1003" s="25" t="s">
        <v>5</v>
      </c>
      <c r="G1003" s="25" t="s">
        <v>1064</v>
      </c>
      <c r="H1003" s="24" t="s">
        <v>1061</v>
      </c>
      <c r="I1003" s="3" t="str">
        <f>IFERROR(VLOOKUP(C1003,'Справочник соответствий'!A$2:D$2981,2,FALSE),IF(VALUE(C1003)=0,1,VLOOKUP(C1003,'Справочник соответствий'!A$2:D$2981,2,FALSE)))</f>
        <v>1</v>
      </c>
      <c r="J1003" s="3">
        <f>IFERROR(VLOOKUP(D1003,'Справочник соответствий'!A$2:D$2981,2,FALSE),IF(VALUE(D1003)=0,0,VLOOKUP(D1003,'Справочник соответствий'!A$2:D$2981,2,FALSE)))</f>
        <v>0</v>
      </c>
      <c r="K1003" s="3" t="str">
        <f t="shared" si="105"/>
        <v>1</v>
      </c>
      <c r="L1003" s="13" t="str">
        <f>IFERROR(VLOOKUP(C1003,'Справочник соответствий'!A$2:D$2981,3,FALSE),IF(VALUE(C1003)=0,"ЭТАЖ НЕ ОПРЕДЕЛЕН. ПРИНЯТ ПО ДОПУЩЕНИЮ 1",VLOOKUP(C1003,'Справочник соответствий'!A$2:D$2981,3,FALSE)))</f>
        <v>ЭТАЖ ЗАДАН ЧИСЛОМ</v>
      </c>
      <c r="M1003" s="13" t="b">
        <f t="shared" si="106"/>
        <v>0</v>
      </c>
      <c r="N1003" s="13">
        <f t="shared" si="107"/>
        <v>1</v>
      </c>
      <c r="O1003" s="13" t="str">
        <f t="shared" si="108"/>
        <v>ЭТАЖ ЗАДАН ЧИСЛОМ</v>
      </c>
      <c r="P1003" s="13" t="str">
        <f t="shared" si="109"/>
        <v>ЭТАЖ ЗАДАН ЧИСЛОМ</v>
      </c>
      <c r="Q1003" s="13" t="str">
        <f t="shared" si="110"/>
        <v>ГОТОВ_ИЗМЕНЕН</v>
      </c>
      <c r="R1003" s="13">
        <f>IFERROR(VLOOKUP(P1003,Лист1!A$1:B$20,2,FALSE),0)</f>
        <v>784</v>
      </c>
      <c r="S1003" s="13">
        <f t="shared" si="111"/>
        <v>0</v>
      </c>
    </row>
    <row r="1004" spans="1:19" x14ac:dyDescent="0.25">
      <c r="A1004" s="24" t="s">
        <v>2119</v>
      </c>
      <c r="B1004" s="4" t="s">
        <v>1059</v>
      </c>
      <c r="C1004" s="25" t="s">
        <v>5</v>
      </c>
      <c r="G1004" s="25" t="s">
        <v>1106</v>
      </c>
      <c r="H1004" s="24" t="s">
        <v>1061</v>
      </c>
      <c r="I1004" s="3" t="str">
        <f>IFERROR(VLOOKUP(C1004,'Справочник соответствий'!A$2:D$2981,2,FALSE),IF(VALUE(C1004)=0,1,VLOOKUP(C1004,'Справочник соответствий'!A$2:D$2981,2,FALSE)))</f>
        <v>1</v>
      </c>
      <c r="J1004" s="3">
        <f>IFERROR(VLOOKUP(D1004,'Справочник соответствий'!A$2:D$2981,2,FALSE),IF(VALUE(D1004)=0,0,VLOOKUP(D1004,'Справочник соответствий'!A$2:D$2981,2,FALSE)))</f>
        <v>0</v>
      </c>
      <c r="K1004" s="3" t="str">
        <f t="shared" si="105"/>
        <v>1</v>
      </c>
      <c r="L1004" s="13" t="str">
        <f>IFERROR(VLOOKUP(C1004,'Справочник соответствий'!A$2:D$2981,3,FALSE),IF(VALUE(C1004)=0,"ЭТАЖ НЕ ОПРЕДЕЛЕН. ПРИНЯТ ПО ДОПУЩЕНИЮ 1",VLOOKUP(C1004,'Справочник соответствий'!A$2:D$2981,3,FALSE)))</f>
        <v>ЭТАЖ ЗАДАН ЧИСЛОМ</v>
      </c>
      <c r="M1004" s="13" t="b">
        <f t="shared" si="106"/>
        <v>0</v>
      </c>
      <c r="N1004" s="13">
        <f t="shared" si="107"/>
        <v>1</v>
      </c>
      <c r="O1004" s="13" t="str">
        <f t="shared" si="108"/>
        <v>ЭТАЖ ЗАДАН ЧИСЛОМ</v>
      </c>
      <c r="P1004" s="13" t="str">
        <f t="shared" si="109"/>
        <v>ЭТАЖ ЗАДАН ЧИСЛОМ</v>
      </c>
      <c r="Q1004" s="13" t="str">
        <f t="shared" si="110"/>
        <v>ГОТОВ_ИЗМЕНЕН</v>
      </c>
      <c r="R1004" s="13">
        <f>IFERROR(VLOOKUP(P1004,Лист1!A$1:B$20,2,FALSE),0)</f>
        <v>784</v>
      </c>
      <c r="S1004" s="13">
        <f t="shared" si="111"/>
        <v>0</v>
      </c>
    </row>
    <row r="1005" spans="1:19" x14ac:dyDescent="0.25">
      <c r="A1005" s="24" t="s">
        <v>2120</v>
      </c>
      <c r="B1005" s="4" t="s">
        <v>1059</v>
      </c>
      <c r="C1005" s="25" t="s">
        <v>5</v>
      </c>
      <c r="G1005" s="25" t="s">
        <v>1106</v>
      </c>
      <c r="H1005" s="24" t="s">
        <v>1061</v>
      </c>
      <c r="I1005" s="3" t="str">
        <f>IFERROR(VLOOKUP(C1005,'Справочник соответствий'!A$2:D$2981,2,FALSE),IF(VALUE(C1005)=0,1,VLOOKUP(C1005,'Справочник соответствий'!A$2:D$2981,2,FALSE)))</f>
        <v>1</v>
      </c>
      <c r="J1005" s="3">
        <f>IFERROR(VLOOKUP(D1005,'Справочник соответствий'!A$2:D$2981,2,FALSE),IF(VALUE(D1005)=0,0,VLOOKUP(D1005,'Справочник соответствий'!A$2:D$2981,2,FALSE)))</f>
        <v>0</v>
      </c>
      <c r="K1005" s="3" t="str">
        <f t="shared" si="105"/>
        <v>1</v>
      </c>
      <c r="L1005" s="13" t="str">
        <f>IFERROR(VLOOKUP(C1005,'Справочник соответствий'!A$2:D$2981,3,FALSE),IF(VALUE(C1005)=0,"ЭТАЖ НЕ ОПРЕДЕЛЕН. ПРИНЯТ ПО ДОПУЩЕНИЮ 1",VLOOKUP(C1005,'Справочник соответствий'!A$2:D$2981,3,FALSE)))</f>
        <v>ЭТАЖ ЗАДАН ЧИСЛОМ</v>
      </c>
      <c r="M1005" s="13" t="b">
        <f t="shared" si="106"/>
        <v>0</v>
      </c>
      <c r="N1005" s="13">
        <f t="shared" si="107"/>
        <v>1</v>
      </c>
      <c r="O1005" s="13" t="str">
        <f t="shared" si="108"/>
        <v>ЭТАЖ ЗАДАН ЧИСЛОМ</v>
      </c>
      <c r="P1005" s="13" t="str">
        <f t="shared" si="109"/>
        <v>ЭТАЖ ЗАДАН ЧИСЛОМ</v>
      </c>
      <c r="Q1005" s="13" t="str">
        <f t="shared" si="110"/>
        <v>ГОТОВ_ИЗМЕНЕН</v>
      </c>
      <c r="R1005" s="13">
        <f>IFERROR(VLOOKUP(P1005,Лист1!A$1:B$20,2,FALSE),0)</f>
        <v>784</v>
      </c>
      <c r="S1005" s="13">
        <f t="shared" si="111"/>
        <v>0</v>
      </c>
    </row>
    <row r="1006" spans="1:19" x14ac:dyDescent="0.25">
      <c r="A1006" s="24" t="s">
        <v>2121</v>
      </c>
      <c r="B1006" s="4" t="s">
        <v>1059</v>
      </c>
      <c r="C1006" s="25" t="s">
        <v>5</v>
      </c>
      <c r="G1006" s="25" t="s">
        <v>1106</v>
      </c>
      <c r="H1006" s="24" t="s">
        <v>1061</v>
      </c>
      <c r="I1006" s="3" t="str">
        <f>IFERROR(VLOOKUP(C1006,'Справочник соответствий'!A$2:D$2981,2,FALSE),IF(VALUE(C1006)=0,1,VLOOKUP(C1006,'Справочник соответствий'!A$2:D$2981,2,FALSE)))</f>
        <v>1</v>
      </c>
      <c r="J1006" s="3">
        <f>IFERROR(VLOOKUP(D1006,'Справочник соответствий'!A$2:D$2981,2,FALSE),IF(VALUE(D1006)=0,0,VLOOKUP(D1006,'Справочник соответствий'!A$2:D$2981,2,FALSE)))</f>
        <v>0</v>
      </c>
      <c r="K1006" s="3" t="str">
        <f t="shared" si="105"/>
        <v>1</v>
      </c>
      <c r="L1006" s="13" t="str">
        <f>IFERROR(VLOOKUP(C1006,'Справочник соответствий'!A$2:D$2981,3,FALSE),IF(VALUE(C1006)=0,"ЭТАЖ НЕ ОПРЕДЕЛЕН. ПРИНЯТ ПО ДОПУЩЕНИЮ 1",VLOOKUP(C1006,'Справочник соответствий'!A$2:D$2981,3,FALSE)))</f>
        <v>ЭТАЖ ЗАДАН ЧИСЛОМ</v>
      </c>
      <c r="M1006" s="13" t="b">
        <f t="shared" si="106"/>
        <v>0</v>
      </c>
      <c r="N1006" s="13">
        <f t="shared" si="107"/>
        <v>1</v>
      </c>
      <c r="O1006" s="13" t="str">
        <f t="shared" si="108"/>
        <v>ЭТАЖ ЗАДАН ЧИСЛОМ</v>
      </c>
      <c r="P1006" s="13" t="str">
        <f t="shared" si="109"/>
        <v>ЭТАЖ ЗАДАН ЧИСЛОМ</v>
      </c>
      <c r="Q1006" s="13" t="str">
        <f t="shared" si="110"/>
        <v>ГОТОВ_ИЗМЕНЕН</v>
      </c>
      <c r="R1006" s="13">
        <f>IFERROR(VLOOKUP(P1006,Лист1!A$1:B$20,2,FALSE),0)</f>
        <v>784</v>
      </c>
      <c r="S1006" s="13">
        <f t="shared" si="111"/>
        <v>0</v>
      </c>
    </row>
    <row r="1007" spans="1:19" x14ac:dyDescent="0.25">
      <c r="A1007" s="24" t="s">
        <v>2122</v>
      </c>
      <c r="B1007" s="4" t="s">
        <v>1063</v>
      </c>
      <c r="C1007" s="25" t="s">
        <v>12</v>
      </c>
      <c r="D1007" s="25" t="s">
        <v>5</v>
      </c>
      <c r="G1007" s="25" t="s">
        <v>1106</v>
      </c>
      <c r="H1007" s="24" t="s">
        <v>1061</v>
      </c>
      <c r="I1007" s="3" t="str">
        <f>IFERROR(VLOOKUP(C1007,'Справочник соответствий'!A$2:D$2981,2,FALSE),IF(VALUE(C1007)=0,1,VLOOKUP(C1007,'Справочник соответствий'!A$2:D$2981,2,FALSE)))</f>
        <v>4</v>
      </c>
      <c r="J1007" s="3" t="str">
        <f>IFERROR(VLOOKUP(D1007,'Справочник соответствий'!A$2:D$2981,2,FALSE),IF(VALUE(D1007)=0,0,VLOOKUP(D1007,'Справочник соответствий'!A$2:D$2981,2,FALSE)))</f>
        <v>1</v>
      </c>
      <c r="K1007" s="3" t="str">
        <f t="shared" si="105"/>
        <v>4</v>
      </c>
      <c r="L1007" s="13" t="str">
        <f>IFERROR(VLOOKUP(C1007,'Справочник соответствий'!A$2:D$2981,3,FALSE),IF(VALUE(C1007)=0,"ЭТАЖ НЕ ОПРЕДЕЛЕН. ПРИНЯТ ПО ДОПУЩЕНИЮ 1",VLOOKUP(C1007,'Справочник соответствий'!A$2:D$2981,3,FALSE)))</f>
        <v>ЭТАЖ ЗАДАН ЧИСЛОМ</v>
      </c>
      <c r="M1007" s="13" t="b">
        <f t="shared" si="106"/>
        <v>0</v>
      </c>
      <c r="N1007" s="13">
        <f t="shared" si="107"/>
        <v>4</v>
      </c>
      <c r="O1007" s="13" t="str">
        <f t="shared" si="108"/>
        <v>ЭТАЖ ЗАДАН ЧИСЛОМ</v>
      </c>
      <c r="P1007" s="13" t="str">
        <f t="shared" si="109"/>
        <v>ЭТАЖ ЗАДАН ЧИСЛОМ</v>
      </c>
      <c r="Q1007" s="13" t="str">
        <f t="shared" si="110"/>
        <v>ГОТОВ_ИЗМЕНЕН</v>
      </c>
      <c r="R1007" s="13">
        <f>IFERROR(VLOOKUP(P1007,Лист1!A$1:B$20,2,FALSE),0)</f>
        <v>784</v>
      </c>
      <c r="S1007" s="13">
        <f t="shared" si="111"/>
        <v>0</v>
      </c>
    </row>
    <row r="1008" spans="1:19" x14ac:dyDescent="0.25">
      <c r="A1008" s="24" t="s">
        <v>2123</v>
      </c>
      <c r="B1008" s="4" t="s">
        <v>1059</v>
      </c>
      <c r="C1008" s="25" t="s">
        <v>7</v>
      </c>
      <c r="G1008" s="25" t="s">
        <v>1106</v>
      </c>
      <c r="H1008" s="24" t="s">
        <v>1061</v>
      </c>
      <c r="I1008" s="3" t="str">
        <f>IFERROR(VLOOKUP(C1008,'Справочник соответствий'!A$2:D$2981,2,FALSE),IF(VALUE(C1008)=0,1,VLOOKUP(C1008,'Справочник соответствий'!A$2:D$2981,2,FALSE)))</f>
        <v>2</v>
      </c>
      <c r="J1008" s="3">
        <f>IFERROR(VLOOKUP(D1008,'Справочник соответствий'!A$2:D$2981,2,FALSE),IF(VALUE(D1008)=0,0,VLOOKUP(D1008,'Справочник соответствий'!A$2:D$2981,2,FALSE)))</f>
        <v>0</v>
      </c>
      <c r="K1008" s="3" t="str">
        <f t="shared" si="105"/>
        <v>2</v>
      </c>
      <c r="L1008" s="13" t="str">
        <f>IFERROR(VLOOKUP(C1008,'Справочник соответствий'!A$2:D$2981,3,FALSE),IF(VALUE(C1008)=0,"ЭТАЖ НЕ ОПРЕДЕЛЕН. ПРИНЯТ ПО ДОПУЩЕНИЮ 1",VLOOKUP(C1008,'Справочник соответствий'!A$2:D$2981,3,FALSE)))</f>
        <v>ЭТАЖ ЗАДАН ЧИСЛОМ</v>
      </c>
      <c r="M1008" s="13" t="b">
        <f t="shared" si="106"/>
        <v>0</v>
      </c>
      <c r="N1008" s="13">
        <f t="shared" si="107"/>
        <v>2</v>
      </c>
      <c r="O1008" s="13" t="str">
        <f t="shared" si="108"/>
        <v>ЭТАЖ ЗАДАН ЧИСЛОМ</v>
      </c>
      <c r="P1008" s="13" t="str">
        <f t="shared" si="109"/>
        <v>ЭТАЖ ЗАДАН ЧИСЛОМ</v>
      </c>
      <c r="Q1008" s="13" t="str">
        <f t="shared" si="110"/>
        <v>ГОТОВ_ИЗМЕНЕН</v>
      </c>
      <c r="R1008" s="13">
        <f>IFERROR(VLOOKUP(P1008,Лист1!A$1:B$20,2,FALSE),0)</f>
        <v>784</v>
      </c>
      <c r="S1008" s="13">
        <f t="shared" si="111"/>
        <v>0</v>
      </c>
    </row>
    <row r="1009" spans="1:19" x14ac:dyDescent="0.25">
      <c r="A1009" s="24" t="s">
        <v>2124</v>
      </c>
      <c r="B1009" s="4" t="s">
        <v>1063</v>
      </c>
      <c r="C1009" s="25" t="s">
        <v>5</v>
      </c>
      <c r="G1009" s="25" t="s">
        <v>1106</v>
      </c>
      <c r="H1009" s="24" t="s">
        <v>1061</v>
      </c>
      <c r="I1009" s="3" t="str">
        <f>IFERROR(VLOOKUP(C1009,'Справочник соответствий'!A$2:D$2981,2,FALSE),IF(VALUE(C1009)=0,1,VLOOKUP(C1009,'Справочник соответствий'!A$2:D$2981,2,FALSE)))</f>
        <v>1</v>
      </c>
      <c r="J1009" s="3">
        <f>IFERROR(VLOOKUP(D1009,'Справочник соответствий'!A$2:D$2981,2,FALSE),IF(VALUE(D1009)=0,0,VLOOKUP(D1009,'Справочник соответствий'!A$2:D$2981,2,FALSE)))</f>
        <v>0</v>
      </c>
      <c r="K1009" s="3" t="str">
        <f t="shared" si="105"/>
        <v>1</v>
      </c>
      <c r="L1009" s="13" t="str">
        <f>IFERROR(VLOOKUP(C1009,'Справочник соответствий'!A$2:D$2981,3,FALSE),IF(VALUE(C1009)=0,"ЭТАЖ НЕ ОПРЕДЕЛЕН. ПРИНЯТ ПО ДОПУЩЕНИЮ 1",VLOOKUP(C1009,'Справочник соответствий'!A$2:D$2981,3,FALSE)))</f>
        <v>ЭТАЖ ЗАДАН ЧИСЛОМ</v>
      </c>
      <c r="M1009" s="13" t="b">
        <f t="shared" si="106"/>
        <v>0</v>
      </c>
      <c r="N1009" s="13">
        <f t="shared" si="107"/>
        <v>1</v>
      </c>
      <c r="O1009" s="13" t="str">
        <f t="shared" si="108"/>
        <v>ЭТАЖ ЗАДАН ЧИСЛОМ</v>
      </c>
      <c r="P1009" s="13" t="str">
        <f t="shared" si="109"/>
        <v>ЭТАЖ ЗАДАН ЧИСЛОМ</v>
      </c>
      <c r="Q1009" s="13" t="str">
        <f t="shared" si="110"/>
        <v>ГОТОВ_ИЗМЕНЕН</v>
      </c>
      <c r="R1009" s="13">
        <f>IFERROR(VLOOKUP(P1009,Лист1!A$1:B$20,2,FALSE),0)</f>
        <v>784</v>
      </c>
      <c r="S1009" s="13">
        <f t="shared" si="111"/>
        <v>0</v>
      </c>
    </row>
    <row r="1010" spans="1:19" x14ac:dyDescent="0.25">
      <c r="A1010" s="24" t="s">
        <v>2125</v>
      </c>
      <c r="B1010" s="4" t="s">
        <v>1059</v>
      </c>
      <c r="C1010" s="25" t="s">
        <v>5</v>
      </c>
      <c r="G1010" s="25" t="s">
        <v>1106</v>
      </c>
      <c r="H1010" s="24" t="s">
        <v>1061</v>
      </c>
      <c r="I1010" s="3" t="str">
        <f>IFERROR(VLOOKUP(C1010,'Справочник соответствий'!A$2:D$2981,2,FALSE),IF(VALUE(C1010)=0,1,VLOOKUP(C1010,'Справочник соответствий'!A$2:D$2981,2,FALSE)))</f>
        <v>1</v>
      </c>
      <c r="J1010" s="3">
        <f>IFERROR(VLOOKUP(D1010,'Справочник соответствий'!A$2:D$2981,2,FALSE),IF(VALUE(D1010)=0,0,VLOOKUP(D1010,'Справочник соответствий'!A$2:D$2981,2,FALSE)))</f>
        <v>0</v>
      </c>
      <c r="K1010" s="3" t="str">
        <f t="shared" si="105"/>
        <v>1</v>
      </c>
      <c r="L1010" s="13" t="str">
        <f>IFERROR(VLOOKUP(C1010,'Справочник соответствий'!A$2:D$2981,3,FALSE),IF(VALUE(C1010)=0,"ЭТАЖ НЕ ОПРЕДЕЛЕН. ПРИНЯТ ПО ДОПУЩЕНИЮ 1",VLOOKUP(C1010,'Справочник соответствий'!A$2:D$2981,3,FALSE)))</f>
        <v>ЭТАЖ ЗАДАН ЧИСЛОМ</v>
      </c>
      <c r="M1010" s="13" t="b">
        <f t="shared" si="106"/>
        <v>0</v>
      </c>
      <c r="N1010" s="13">
        <f t="shared" si="107"/>
        <v>1</v>
      </c>
      <c r="O1010" s="13" t="str">
        <f t="shared" si="108"/>
        <v>ЭТАЖ ЗАДАН ЧИСЛОМ</v>
      </c>
      <c r="P1010" s="13" t="str">
        <f t="shared" si="109"/>
        <v>ЭТАЖ ЗАДАН ЧИСЛОМ</v>
      </c>
      <c r="Q1010" s="13" t="str">
        <f t="shared" si="110"/>
        <v>ГОТОВ_ИЗМЕНЕН</v>
      </c>
      <c r="R1010" s="13">
        <f>IFERROR(VLOOKUP(P1010,Лист1!A$1:B$20,2,FALSE),0)</f>
        <v>784</v>
      </c>
      <c r="S1010" s="13">
        <f t="shared" si="111"/>
        <v>0</v>
      </c>
    </row>
    <row r="1011" spans="1:19" x14ac:dyDescent="0.25">
      <c r="A1011" s="24" t="s">
        <v>2126</v>
      </c>
      <c r="B1011" s="4" t="s">
        <v>1059</v>
      </c>
      <c r="C1011" s="25" t="s">
        <v>7</v>
      </c>
      <c r="D1011" s="25" t="s">
        <v>5</v>
      </c>
      <c r="G1011" s="25" t="s">
        <v>1106</v>
      </c>
      <c r="H1011" s="24" t="s">
        <v>1061</v>
      </c>
      <c r="I1011" s="3" t="str">
        <f>IFERROR(VLOOKUP(C1011,'Справочник соответствий'!A$2:D$2981,2,FALSE),IF(VALUE(C1011)=0,1,VLOOKUP(C1011,'Справочник соответствий'!A$2:D$2981,2,FALSE)))</f>
        <v>2</v>
      </c>
      <c r="J1011" s="3" t="str">
        <f>IFERROR(VLOOKUP(D1011,'Справочник соответствий'!A$2:D$2981,2,FALSE),IF(VALUE(D1011)=0,0,VLOOKUP(D1011,'Справочник соответствий'!A$2:D$2981,2,FALSE)))</f>
        <v>1</v>
      </c>
      <c r="K1011" s="3" t="str">
        <f t="shared" si="105"/>
        <v>2</v>
      </c>
      <c r="L1011" s="13" t="str">
        <f>IFERROR(VLOOKUP(C1011,'Справочник соответствий'!A$2:D$2981,3,FALSE),IF(VALUE(C1011)=0,"ЭТАЖ НЕ ОПРЕДЕЛЕН. ПРИНЯТ ПО ДОПУЩЕНИЮ 1",VLOOKUP(C1011,'Справочник соответствий'!A$2:D$2981,3,FALSE)))</f>
        <v>ЭТАЖ ЗАДАН ЧИСЛОМ</v>
      </c>
      <c r="M1011" s="13" t="b">
        <f t="shared" si="106"/>
        <v>0</v>
      </c>
      <c r="N1011" s="13">
        <f t="shared" si="107"/>
        <v>2</v>
      </c>
      <c r="O1011" s="13" t="str">
        <f t="shared" si="108"/>
        <v>ЭТАЖ ЗАДАН ЧИСЛОМ</v>
      </c>
      <c r="P1011" s="13" t="str">
        <f t="shared" si="109"/>
        <v>ЭТАЖ ЗАДАН ЧИСЛОМ</v>
      </c>
      <c r="Q1011" s="13" t="str">
        <f t="shared" si="110"/>
        <v>ГОТОВ_ИЗМЕНЕН</v>
      </c>
      <c r="R1011" s="13">
        <f>IFERROR(VLOOKUP(P1011,Лист1!A$1:B$20,2,FALSE),0)</f>
        <v>784</v>
      </c>
      <c r="S1011" s="13">
        <f t="shared" si="111"/>
        <v>0</v>
      </c>
    </row>
    <row r="1012" spans="1:19" x14ac:dyDescent="0.25">
      <c r="A1012" s="24" t="s">
        <v>2127</v>
      </c>
      <c r="B1012" s="4" t="s">
        <v>1059</v>
      </c>
      <c r="C1012" s="25" t="s">
        <v>7</v>
      </c>
      <c r="G1012" s="25" t="s">
        <v>1083</v>
      </c>
      <c r="H1012" s="24" t="s">
        <v>1061</v>
      </c>
      <c r="I1012" s="3" t="str">
        <f>IFERROR(VLOOKUP(C1012,'Справочник соответствий'!A$2:D$2981,2,FALSE),IF(VALUE(C1012)=0,1,VLOOKUP(C1012,'Справочник соответствий'!A$2:D$2981,2,FALSE)))</f>
        <v>2</v>
      </c>
      <c r="J1012" s="3">
        <f>IFERROR(VLOOKUP(D1012,'Справочник соответствий'!A$2:D$2981,2,FALSE),IF(VALUE(D1012)=0,0,VLOOKUP(D1012,'Справочник соответствий'!A$2:D$2981,2,FALSE)))</f>
        <v>0</v>
      </c>
      <c r="K1012" s="3" t="str">
        <f t="shared" si="105"/>
        <v>2</v>
      </c>
      <c r="L1012" s="13" t="str">
        <f>IFERROR(VLOOKUP(C1012,'Справочник соответствий'!A$2:D$2981,3,FALSE),IF(VALUE(C1012)=0,"ЭТАЖ НЕ ОПРЕДЕЛЕН. ПРИНЯТ ПО ДОПУЩЕНИЮ 1",VLOOKUP(C1012,'Справочник соответствий'!A$2:D$2981,3,FALSE)))</f>
        <v>ЭТАЖ ЗАДАН ЧИСЛОМ</v>
      </c>
      <c r="M1012" s="13" t="b">
        <f t="shared" si="106"/>
        <v>0</v>
      </c>
      <c r="N1012" s="13">
        <f t="shared" si="107"/>
        <v>2</v>
      </c>
      <c r="O1012" s="13" t="str">
        <f t="shared" si="108"/>
        <v>ЭТАЖ ЗАДАН ЧИСЛОМ</v>
      </c>
      <c r="P1012" s="13" t="str">
        <f t="shared" si="109"/>
        <v>ЭТАЖ ЗАДАН ЧИСЛОМ</v>
      </c>
      <c r="Q1012" s="13" t="str">
        <f t="shared" si="110"/>
        <v>ГОТОВ_ИЗМЕНЕН</v>
      </c>
      <c r="R1012" s="13">
        <f>IFERROR(VLOOKUP(P1012,Лист1!A$1:B$20,2,FALSE),0)</f>
        <v>784</v>
      </c>
      <c r="S1012" s="13">
        <f t="shared" si="111"/>
        <v>0</v>
      </c>
    </row>
    <row r="1013" spans="1:19" x14ac:dyDescent="0.25">
      <c r="A1013" s="24" t="s">
        <v>2128</v>
      </c>
      <c r="B1013" s="4" t="s">
        <v>1063</v>
      </c>
      <c r="C1013" s="25" t="s">
        <v>7</v>
      </c>
      <c r="G1013" s="25" t="s">
        <v>1064</v>
      </c>
      <c r="H1013" s="24" t="s">
        <v>1061</v>
      </c>
      <c r="I1013" s="3" t="str">
        <f>IFERROR(VLOOKUP(C1013,'Справочник соответствий'!A$2:D$2981,2,FALSE),IF(VALUE(C1013)=0,1,VLOOKUP(C1013,'Справочник соответствий'!A$2:D$2981,2,FALSE)))</f>
        <v>2</v>
      </c>
      <c r="J1013" s="3">
        <f>IFERROR(VLOOKUP(D1013,'Справочник соответствий'!A$2:D$2981,2,FALSE),IF(VALUE(D1013)=0,0,VLOOKUP(D1013,'Справочник соответствий'!A$2:D$2981,2,FALSE)))</f>
        <v>0</v>
      </c>
      <c r="K1013" s="3" t="str">
        <f t="shared" si="105"/>
        <v>2</v>
      </c>
      <c r="L1013" s="13" t="str">
        <f>IFERROR(VLOOKUP(C1013,'Справочник соответствий'!A$2:D$2981,3,FALSE),IF(VALUE(C1013)=0,"ЭТАЖ НЕ ОПРЕДЕЛЕН. ПРИНЯТ ПО ДОПУЩЕНИЮ 1",VLOOKUP(C1013,'Справочник соответствий'!A$2:D$2981,3,FALSE)))</f>
        <v>ЭТАЖ ЗАДАН ЧИСЛОМ</v>
      </c>
      <c r="M1013" s="13" t="b">
        <f t="shared" si="106"/>
        <v>0</v>
      </c>
      <c r="N1013" s="13">
        <f t="shared" si="107"/>
        <v>2</v>
      </c>
      <c r="O1013" s="13" t="str">
        <f t="shared" si="108"/>
        <v>ЭТАЖ ЗАДАН ЧИСЛОМ</v>
      </c>
      <c r="P1013" s="13" t="str">
        <f t="shared" si="109"/>
        <v>ЭТАЖ ЗАДАН ЧИСЛОМ</v>
      </c>
      <c r="Q1013" s="13" t="str">
        <f t="shared" si="110"/>
        <v>ГОТОВ_ИЗМЕНЕН</v>
      </c>
      <c r="R1013" s="13">
        <f>IFERROR(VLOOKUP(P1013,Лист1!A$1:B$20,2,FALSE),0)</f>
        <v>784</v>
      </c>
      <c r="S1013" s="13">
        <f t="shared" si="111"/>
        <v>0</v>
      </c>
    </row>
    <row r="1014" spans="1:19" x14ac:dyDescent="0.25">
      <c r="A1014" s="24" t="s">
        <v>2129</v>
      </c>
      <c r="B1014" s="4" t="s">
        <v>1063</v>
      </c>
      <c r="C1014" s="25" t="s">
        <v>7</v>
      </c>
      <c r="G1014" s="25" t="s">
        <v>1083</v>
      </c>
      <c r="H1014" s="24" t="s">
        <v>1061</v>
      </c>
      <c r="I1014" s="3" t="str">
        <f>IFERROR(VLOOKUP(C1014,'Справочник соответствий'!A$2:D$2981,2,FALSE),IF(VALUE(C1014)=0,1,VLOOKUP(C1014,'Справочник соответствий'!A$2:D$2981,2,FALSE)))</f>
        <v>2</v>
      </c>
      <c r="J1014" s="3">
        <f>IFERROR(VLOOKUP(D1014,'Справочник соответствий'!A$2:D$2981,2,FALSE),IF(VALUE(D1014)=0,0,VLOOKUP(D1014,'Справочник соответствий'!A$2:D$2981,2,FALSE)))</f>
        <v>0</v>
      </c>
      <c r="K1014" s="3" t="str">
        <f t="shared" si="105"/>
        <v>2</v>
      </c>
      <c r="L1014" s="13" t="str">
        <f>IFERROR(VLOOKUP(C1014,'Справочник соответствий'!A$2:D$2981,3,FALSE),IF(VALUE(C1014)=0,"ЭТАЖ НЕ ОПРЕДЕЛЕН. ПРИНЯТ ПО ДОПУЩЕНИЮ 1",VLOOKUP(C1014,'Справочник соответствий'!A$2:D$2981,3,FALSE)))</f>
        <v>ЭТАЖ ЗАДАН ЧИСЛОМ</v>
      </c>
      <c r="M1014" s="13" t="b">
        <f t="shared" si="106"/>
        <v>0</v>
      </c>
      <c r="N1014" s="13">
        <f t="shared" si="107"/>
        <v>2</v>
      </c>
      <c r="O1014" s="13" t="str">
        <f t="shared" si="108"/>
        <v>ЭТАЖ ЗАДАН ЧИСЛОМ</v>
      </c>
      <c r="P1014" s="13" t="str">
        <f t="shared" si="109"/>
        <v>ЭТАЖ ЗАДАН ЧИСЛОМ</v>
      </c>
      <c r="Q1014" s="13" t="str">
        <f t="shared" si="110"/>
        <v>ГОТОВ_ИЗМЕНЕН</v>
      </c>
      <c r="R1014" s="13">
        <f>IFERROR(VLOOKUP(P1014,Лист1!A$1:B$20,2,FALSE),0)</f>
        <v>784</v>
      </c>
      <c r="S1014" s="13">
        <f t="shared" si="111"/>
        <v>0</v>
      </c>
    </row>
    <row r="1015" spans="1:19" x14ac:dyDescent="0.25">
      <c r="A1015" s="24" t="s">
        <v>2130</v>
      </c>
      <c r="B1015" s="4" t="s">
        <v>1059</v>
      </c>
      <c r="C1015" s="25" t="s">
        <v>5</v>
      </c>
      <c r="G1015" s="25" t="s">
        <v>1083</v>
      </c>
      <c r="H1015" s="24" t="s">
        <v>1061</v>
      </c>
      <c r="I1015" s="3" t="str">
        <f>IFERROR(VLOOKUP(C1015,'Справочник соответствий'!A$2:D$2981,2,FALSE),IF(VALUE(C1015)=0,1,VLOOKUP(C1015,'Справочник соответствий'!A$2:D$2981,2,FALSE)))</f>
        <v>1</v>
      </c>
      <c r="J1015" s="3">
        <f>IFERROR(VLOOKUP(D1015,'Справочник соответствий'!A$2:D$2981,2,FALSE),IF(VALUE(D1015)=0,0,VLOOKUP(D1015,'Справочник соответствий'!A$2:D$2981,2,FALSE)))</f>
        <v>0</v>
      </c>
      <c r="K1015" s="3" t="str">
        <f t="shared" si="105"/>
        <v>1</v>
      </c>
      <c r="L1015" s="13" t="str">
        <f>IFERROR(VLOOKUP(C1015,'Справочник соответствий'!A$2:D$2981,3,FALSE),IF(VALUE(C1015)=0,"ЭТАЖ НЕ ОПРЕДЕЛЕН. ПРИНЯТ ПО ДОПУЩЕНИЮ 1",VLOOKUP(C1015,'Справочник соответствий'!A$2:D$2981,3,FALSE)))</f>
        <v>ЭТАЖ ЗАДАН ЧИСЛОМ</v>
      </c>
      <c r="M1015" s="13" t="b">
        <f t="shared" si="106"/>
        <v>0</v>
      </c>
      <c r="N1015" s="13">
        <f t="shared" si="107"/>
        <v>1</v>
      </c>
      <c r="O1015" s="13" t="str">
        <f t="shared" si="108"/>
        <v>ЭТАЖ ЗАДАН ЧИСЛОМ</v>
      </c>
      <c r="P1015" s="13" t="str">
        <f t="shared" si="109"/>
        <v>ЭТАЖ ЗАДАН ЧИСЛОМ</v>
      </c>
      <c r="Q1015" s="13" t="str">
        <f t="shared" si="110"/>
        <v>ГОТОВ_ИЗМЕНЕН</v>
      </c>
      <c r="R1015" s="13">
        <f>IFERROR(VLOOKUP(P1015,Лист1!A$1:B$20,2,FALSE),0)</f>
        <v>784</v>
      </c>
      <c r="S1015" s="13">
        <f t="shared" si="111"/>
        <v>0</v>
      </c>
    </row>
    <row r="1016" spans="1:19" x14ac:dyDescent="0.25">
      <c r="A1016" s="24" t="s">
        <v>2131</v>
      </c>
      <c r="B1016" s="4" t="s">
        <v>1059</v>
      </c>
      <c r="C1016" s="25" t="s">
        <v>7</v>
      </c>
      <c r="G1016" s="25" t="s">
        <v>1083</v>
      </c>
      <c r="H1016" s="24" t="s">
        <v>1061</v>
      </c>
      <c r="I1016" s="3" t="str">
        <f>IFERROR(VLOOKUP(C1016,'Справочник соответствий'!A$2:D$2981,2,FALSE),IF(VALUE(C1016)=0,1,VLOOKUP(C1016,'Справочник соответствий'!A$2:D$2981,2,FALSE)))</f>
        <v>2</v>
      </c>
      <c r="J1016" s="3">
        <f>IFERROR(VLOOKUP(D1016,'Справочник соответствий'!A$2:D$2981,2,FALSE),IF(VALUE(D1016)=0,0,VLOOKUP(D1016,'Справочник соответствий'!A$2:D$2981,2,FALSE)))</f>
        <v>0</v>
      </c>
      <c r="K1016" s="3" t="str">
        <f t="shared" si="105"/>
        <v>2</v>
      </c>
      <c r="L1016" s="13" t="str">
        <f>IFERROR(VLOOKUP(C1016,'Справочник соответствий'!A$2:D$2981,3,FALSE),IF(VALUE(C1016)=0,"ЭТАЖ НЕ ОПРЕДЕЛЕН. ПРИНЯТ ПО ДОПУЩЕНИЮ 1",VLOOKUP(C1016,'Справочник соответствий'!A$2:D$2981,3,FALSE)))</f>
        <v>ЭТАЖ ЗАДАН ЧИСЛОМ</v>
      </c>
      <c r="M1016" s="13" t="b">
        <f t="shared" si="106"/>
        <v>0</v>
      </c>
      <c r="N1016" s="13">
        <f t="shared" si="107"/>
        <v>2</v>
      </c>
      <c r="O1016" s="13" t="str">
        <f t="shared" si="108"/>
        <v>ЭТАЖ ЗАДАН ЧИСЛОМ</v>
      </c>
      <c r="P1016" s="13" t="str">
        <f t="shared" si="109"/>
        <v>ЭТАЖ ЗАДАН ЧИСЛОМ</v>
      </c>
      <c r="Q1016" s="13" t="str">
        <f t="shared" si="110"/>
        <v>ГОТОВ_ИЗМЕНЕН</v>
      </c>
      <c r="R1016" s="13">
        <f>IFERROR(VLOOKUP(P1016,Лист1!A$1:B$20,2,FALSE),0)</f>
        <v>784</v>
      </c>
      <c r="S1016" s="13">
        <f t="shared" si="111"/>
        <v>0</v>
      </c>
    </row>
    <row r="1017" spans="1:19" x14ac:dyDescent="0.25">
      <c r="A1017" s="24" t="s">
        <v>2132</v>
      </c>
      <c r="B1017" s="4" t="s">
        <v>1059</v>
      </c>
      <c r="C1017" s="25" t="s">
        <v>7</v>
      </c>
      <c r="G1017" s="25" t="s">
        <v>1083</v>
      </c>
      <c r="H1017" s="24" t="s">
        <v>1061</v>
      </c>
      <c r="I1017" s="3" t="str">
        <f>IFERROR(VLOOKUP(C1017,'Справочник соответствий'!A$2:D$2981,2,FALSE),IF(VALUE(C1017)=0,1,VLOOKUP(C1017,'Справочник соответствий'!A$2:D$2981,2,FALSE)))</f>
        <v>2</v>
      </c>
      <c r="J1017" s="3">
        <f>IFERROR(VLOOKUP(D1017,'Справочник соответствий'!A$2:D$2981,2,FALSE),IF(VALUE(D1017)=0,0,VLOOKUP(D1017,'Справочник соответствий'!A$2:D$2981,2,FALSE)))</f>
        <v>0</v>
      </c>
      <c r="K1017" s="3" t="str">
        <f t="shared" si="105"/>
        <v>2</v>
      </c>
      <c r="L1017" s="13" t="str">
        <f>IFERROR(VLOOKUP(C1017,'Справочник соответствий'!A$2:D$2981,3,FALSE),IF(VALUE(C1017)=0,"ЭТАЖ НЕ ОПРЕДЕЛЕН. ПРИНЯТ ПО ДОПУЩЕНИЮ 1",VLOOKUP(C1017,'Справочник соответствий'!A$2:D$2981,3,FALSE)))</f>
        <v>ЭТАЖ ЗАДАН ЧИСЛОМ</v>
      </c>
      <c r="M1017" s="13" t="b">
        <f t="shared" si="106"/>
        <v>0</v>
      </c>
      <c r="N1017" s="13">
        <f t="shared" si="107"/>
        <v>2</v>
      </c>
      <c r="O1017" s="13" t="str">
        <f t="shared" si="108"/>
        <v>ЭТАЖ ЗАДАН ЧИСЛОМ</v>
      </c>
      <c r="P1017" s="13" t="str">
        <f t="shared" si="109"/>
        <v>ЭТАЖ ЗАДАН ЧИСЛОМ</v>
      </c>
      <c r="Q1017" s="13" t="str">
        <f t="shared" si="110"/>
        <v>ГОТОВ_ИЗМЕНЕН</v>
      </c>
      <c r="R1017" s="13">
        <f>IFERROR(VLOOKUP(P1017,Лист1!A$1:B$20,2,FALSE),0)</f>
        <v>784</v>
      </c>
      <c r="S1017" s="13">
        <f t="shared" si="111"/>
        <v>0</v>
      </c>
    </row>
    <row r="1018" spans="1:19" x14ac:dyDescent="0.25">
      <c r="A1018" s="24" t="s">
        <v>2133</v>
      </c>
      <c r="B1018" s="4" t="s">
        <v>1059</v>
      </c>
      <c r="C1018" s="25" t="s">
        <v>5</v>
      </c>
      <c r="G1018" s="25" t="s">
        <v>1083</v>
      </c>
      <c r="H1018" s="24" t="s">
        <v>1061</v>
      </c>
      <c r="I1018" s="3" t="str">
        <f>IFERROR(VLOOKUP(C1018,'Справочник соответствий'!A$2:D$2981,2,FALSE),IF(VALUE(C1018)=0,1,VLOOKUP(C1018,'Справочник соответствий'!A$2:D$2981,2,FALSE)))</f>
        <v>1</v>
      </c>
      <c r="J1018" s="3">
        <f>IFERROR(VLOOKUP(D1018,'Справочник соответствий'!A$2:D$2981,2,FALSE),IF(VALUE(D1018)=0,0,VLOOKUP(D1018,'Справочник соответствий'!A$2:D$2981,2,FALSE)))</f>
        <v>0</v>
      </c>
      <c r="K1018" s="3" t="str">
        <f t="shared" si="105"/>
        <v>1</v>
      </c>
      <c r="L1018" s="13" t="str">
        <f>IFERROR(VLOOKUP(C1018,'Справочник соответствий'!A$2:D$2981,3,FALSE),IF(VALUE(C1018)=0,"ЭТАЖ НЕ ОПРЕДЕЛЕН. ПРИНЯТ ПО ДОПУЩЕНИЮ 1",VLOOKUP(C1018,'Справочник соответствий'!A$2:D$2981,3,FALSE)))</f>
        <v>ЭТАЖ ЗАДАН ЧИСЛОМ</v>
      </c>
      <c r="M1018" s="13" t="b">
        <f t="shared" si="106"/>
        <v>0</v>
      </c>
      <c r="N1018" s="13">
        <f t="shared" si="107"/>
        <v>1</v>
      </c>
      <c r="O1018" s="13" t="str">
        <f t="shared" si="108"/>
        <v>ЭТАЖ ЗАДАН ЧИСЛОМ</v>
      </c>
      <c r="P1018" s="13" t="str">
        <f t="shared" si="109"/>
        <v>ЭТАЖ ЗАДАН ЧИСЛОМ</v>
      </c>
      <c r="Q1018" s="13" t="str">
        <f t="shared" si="110"/>
        <v>ГОТОВ_ИЗМЕНЕН</v>
      </c>
      <c r="R1018" s="13">
        <f>IFERROR(VLOOKUP(P1018,Лист1!A$1:B$20,2,FALSE),0)</f>
        <v>784</v>
      </c>
      <c r="S1018" s="13">
        <f t="shared" si="111"/>
        <v>0</v>
      </c>
    </row>
    <row r="1019" spans="1:19" x14ac:dyDescent="0.25">
      <c r="A1019" s="24" t="s">
        <v>2134</v>
      </c>
      <c r="B1019" s="4" t="s">
        <v>1059</v>
      </c>
      <c r="C1019" s="25" t="s">
        <v>7</v>
      </c>
      <c r="G1019" s="25" t="s">
        <v>1083</v>
      </c>
      <c r="H1019" s="24" t="s">
        <v>1061</v>
      </c>
      <c r="I1019" s="3" t="str">
        <f>IFERROR(VLOOKUP(C1019,'Справочник соответствий'!A$2:D$2981,2,FALSE),IF(VALUE(C1019)=0,1,VLOOKUP(C1019,'Справочник соответствий'!A$2:D$2981,2,FALSE)))</f>
        <v>2</v>
      </c>
      <c r="J1019" s="3">
        <f>IFERROR(VLOOKUP(D1019,'Справочник соответствий'!A$2:D$2981,2,FALSE),IF(VALUE(D1019)=0,0,VLOOKUP(D1019,'Справочник соответствий'!A$2:D$2981,2,FALSE)))</f>
        <v>0</v>
      </c>
      <c r="K1019" s="3" t="str">
        <f t="shared" si="105"/>
        <v>2</v>
      </c>
      <c r="L1019" s="13" t="str">
        <f>IFERROR(VLOOKUP(C1019,'Справочник соответствий'!A$2:D$2981,3,FALSE),IF(VALUE(C1019)=0,"ЭТАЖ НЕ ОПРЕДЕЛЕН. ПРИНЯТ ПО ДОПУЩЕНИЮ 1",VLOOKUP(C1019,'Справочник соответствий'!A$2:D$2981,3,FALSE)))</f>
        <v>ЭТАЖ ЗАДАН ЧИСЛОМ</v>
      </c>
      <c r="M1019" s="13" t="b">
        <f t="shared" si="106"/>
        <v>0</v>
      </c>
      <c r="N1019" s="13">
        <f t="shared" si="107"/>
        <v>2</v>
      </c>
      <c r="O1019" s="13" t="str">
        <f t="shared" si="108"/>
        <v>ЭТАЖ ЗАДАН ЧИСЛОМ</v>
      </c>
      <c r="P1019" s="13" t="str">
        <f t="shared" si="109"/>
        <v>ЭТАЖ ЗАДАН ЧИСЛОМ</v>
      </c>
      <c r="Q1019" s="13" t="str">
        <f t="shared" si="110"/>
        <v>ГОТОВ_ИЗМЕНЕН</v>
      </c>
      <c r="R1019" s="13">
        <f>IFERROR(VLOOKUP(P1019,Лист1!A$1:B$20,2,FALSE),0)</f>
        <v>784</v>
      </c>
      <c r="S1019" s="13">
        <f t="shared" si="111"/>
        <v>0</v>
      </c>
    </row>
    <row r="1020" spans="1:19" x14ac:dyDescent="0.25">
      <c r="A1020" s="24" t="s">
        <v>2135</v>
      </c>
      <c r="B1020" s="4" t="s">
        <v>1059</v>
      </c>
      <c r="C1020" s="25" t="s">
        <v>7</v>
      </c>
      <c r="G1020" s="25" t="s">
        <v>1083</v>
      </c>
      <c r="H1020" s="24" t="s">
        <v>1061</v>
      </c>
      <c r="I1020" s="3" t="str">
        <f>IFERROR(VLOOKUP(C1020,'Справочник соответствий'!A$2:D$2981,2,FALSE),IF(VALUE(C1020)=0,1,VLOOKUP(C1020,'Справочник соответствий'!A$2:D$2981,2,FALSE)))</f>
        <v>2</v>
      </c>
      <c r="J1020" s="3">
        <f>IFERROR(VLOOKUP(D1020,'Справочник соответствий'!A$2:D$2981,2,FALSE),IF(VALUE(D1020)=0,0,VLOOKUP(D1020,'Справочник соответствий'!A$2:D$2981,2,FALSE)))</f>
        <v>0</v>
      </c>
      <c r="K1020" s="3" t="str">
        <f t="shared" si="105"/>
        <v>2</v>
      </c>
      <c r="L1020" s="13" t="str">
        <f>IFERROR(VLOOKUP(C1020,'Справочник соответствий'!A$2:D$2981,3,FALSE),IF(VALUE(C1020)=0,"ЭТАЖ НЕ ОПРЕДЕЛЕН. ПРИНЯТ ПО ДОПУЩЕНИЮ 1",VLOOKUP(C1020,'Справочник соответствий'!A$2:D$2981,3,FALSE)))</f>
        <v>ЭТАЖ ЗАДАН ЧИСЛОМ</v>
      </c>
      <c r="M1020" s="13" t="b">
        <f t="shared" si="106"/>
        <v>0</v>
      </c>
      <c r="N1020" s="13">
        <f t="shared" si="107"/>
        <v>2</v>
      </c>
      <c r="O1020" s="13" t="str">
        <f t="shared" si="108"/>
        <v>ЭТАЖ ЗАДАН ЧИСЛОМ</v>
      </c>
      <c r="P1020" s="13" t="str">
        <f t="shared" si="109"/>
        <v>ЭТАЖ ЗАДАН ЧИСЛОМ</v>
      </c>
      <c r="Q1020" s="13" t="str">
        <f t="shared" si="110"/>
        <v>ГОТОВ_ИЗМЕНЕН</v>
      </c>
      <c r="R1020" s="13">
        <f>IFERROR(VLOOKUP(P1020,Лист1!A$1:B$20,2,FALSE),0)</f>
        <v>784</v>
      </c>
      <c r="S1020" s="13">
        <f t="shared" si="111"/>
        <v>0</v>
      </c>
    </row>
    <row r="1021" spans="1:19" x14ac:dyDescent="0.25">
      <c r="A1021" s="24" t="s">
        <v>2136</v>
      </c>
      <c r="B1021" s="4" t="s">
        <v>1063</v>
      </c>
      <c r="G1021" s="25" t="s">
        <v>1083</v>
      </c>
      <c r="H1021" s="24" t="s">
        <v>1061</v>
      </c>
      <c r="I1021" s="3">
        <f>IFERROR(VLOOKUP(C1021,'Справочник соответствий'!A$2:D$2981,2,FALSE),IF(VALUE(C1021)=0,1,VLOOKUP(C1021,'Справочник соответствий'!A$2:D$2981,2,FALSE)))</f>
        <v>1</v>
      </c>
      <c r="J1021" s="3">
        <f>IFERROR(VLOOKUP(D1021,'Справочник соответствий'!A$2:D$2981,2,FALSE),IF(VALUE(D1021)=0,0,VLOOKUP(D1021,'Справочник соответствий'!A$2:D$2981,2,FALSE)))</f>
        <v>0</v>
      </c>
      <c r="K1021" s="3">
        <f t="shared" si="105"/>
        <v>1</v>
      </c>
      <c r="L1021" s="13" t="str">
        <f>IFERROR(VLOOKUP(C1021,'Справочник соответствий'!A$2:D$2981,3,FALSE),IF(VALUE(C1021)=0,"ЭТАЖ НЕ ОПРЕДЕЛЕН. ПРИНЯТ ПО ДОПУЩЕНИЮ 1",VLOOKUP(C1021,'Справочник соответствий'!A$2:D$2981,3,FALSE)))</f>
        <v>ЭТАЖ НЕ ОПРЕДЕЛЕН. ПРИНЯТ ПО ДОПУЩЕНИЮ 1</v>
      </c>
      <c r="M1021" s="13" t="b">
        <f t="shared" si="106"/>
        <v>0</v>
      </c>
      <c r="N1021" s="13">
        <f t="shared" si="107"/>
        <v>1</v>
      </c>
      <c r="O1021" s="13" t="str">
        <f t="shared" si="108"/>
        <v>ЭТАЖ НЕ ОПРЕДЕЛЕН. ПРИНЯТ ПО ДОПУЩЕНИЮ 1</v>
      </c>
      <c r="P1021" s="13" t="str">
        <f t="shared" si="109"/>
        <v>ЭТАЖ НЕ ОПРЕДЕЛЕН. ПРИНЯТ ПО ДОПУЩЕНИЮ 1</v>
      </c>
      <c r="Q1021" s="13" t="str">
        <f t="shared" si="110"/>
        <v>ГОТОВ_ИЗМЕНЕН</v>
      </c>
      <c r="R1021" s="13">
        <f>IFERROR(VLOOKUP(P1021,Лист1!A$1:B$20,2,FALSE),0)</f>
        <v>788</v>
      </c>
      <c r="S1021" s="13">
        <f t="shared" si="111"/>
        <v>0</v>
      </c>
    </row>
    <row r="1022" spans="1:19" x14ac:dyDescent="0.25">
      <c r="A1022" s="24" t="s">
        <v>2137</v>
      </c>
      <c r="B1022" s="4" t="s">
        <v>1059</v>
      </c>
      <c r="C1022" s="25" t="s">
        <v>7</v>
      </c>
      <c r="G1022" s="25" t="s">
        <v>1083</v>
      </c>
      <c r="H1022" s="24" t="s">
        <v>1061</v>
      </c>
      <c r="I1022" s="3" t="str">
        <f>IFERROR(VLOOKUP(C1022,'Справочник соответствий'!A$2:D$2981,2,FALSE),IF(VALUE(C1022)=0,1,VLOOKUP(C1022,'Справочник соответствий'!A$2:D$2981,2,FALSE)))</f>
        <v>2</v>
      </c>
      <c r="J1022" s="3">
        <f>IFERROR(VLOOKUP(D1022,'Справочник соответствий'!A$2:D$2981,2,FALSE),IF(VALUE(D1022)=0,0,VLOOKUP(D1022,'Справочник соответствий'!A$2:D$2981,2,FALSE)))</f>
        <v>0</v>
      </c>
      <c r="K1022" s="3" t="str">
        <f t="shared" si="105"/>
        <v>2</v>
      </c>
      <c r="L1022" s="13" t="str">
        <f>IFERROR(VLOOKUP(C1022,'Справочник соответствий'!A$2:D$2981,3,FALSE),IF(VALUE(C1022)=0,"ЭТАЖ НЕ ОПРЕДЕЛЕН. ПРИНЯТ ПО ДОПУЩЕНИЮ 1",VLOOKUP(C1022,'Справочник соответствий'!A$2:D$2981,3,FALSE)))</f>
        <v>ЭТАЖ ЗАДАН ЧИСЛОМ</v>
      </c>
      <c r="M1022" s="13" t="b">
        <f t="shared" si="106"/>
        <v>0</v>
      </c>
      <c r="N1022" s="13">
        <f t="shared" si="107"/>
        <v>2</v>
      </c>
      <c r="O1022" s="13" t="str">
        <f t="shared" si="108"/>
        <v>ЭТАЖ ЗАДАН ЧИСЛОМ</v>
      </c>
      <c r="P1022" s="13" t="str">
        <f t="shared" si="109"/>
        <v>ЭТАЖ ЗАДАН ЧИСЛОМ</v>
      </c>
      <c r="Q1022" s="13" t="str">
        <f t="shared" si="110"/>
        <v>ГОТОВ_ИЗМЕНЕН</v>
      </c>
      <c r="R1022" s="13">
        <f>IFERROR(VLOOKUP(P1022,Лист1!A$1:B$20,2,FALSE),0)</f>
        <v>784</v>
      </c>
      <c r="S1022" s="13">
        <f t="shared" si="111"/>
        <v>0</v>
      </c>
    </row>
    <row r="1023" spans="1:19" x14ac:dyDescent="0.25">
      <c r="A1023" s="24" t="s">
        <v>2138</v>
      </c>
      <c r="B1023" s="4" t="s">
        <v>1059</v>
      </c>
      <c r="C1023" s="25" t="s">
        <v>7</v>
      </c>
      <c r="G1023" s="25" t="s">
        <v>1089</v>
      </c>
      <c r="H1023" s="24" t="s">
        <v>1061</v>
      </c>
      <c r="I1023" s="3" t="str">
        <f>IFERROR(VLOOKUP(C1023,'Справочник соответствий'!A$2:D$2981,2,FALSE),IF(VALUE(C1023)=0,1,VLOOKUP(C1023,'Справочник соответствий'!A$2:D$2981,2,FALSE)))</f>
        <v>2</v>
      </c>
      <c r="J1023" s="3">
        <f>IFERROR(VLOOKUP(D1023,'Справочник соответствий'!A$2:D$2981,2,FALSE),IF(VALUE(D1023)=0,0,VLOOKUP(D1023,'Справочник соответствий'!A$2:D$2981,2,FALSE)))</f>
        <v>0</v>
      </c>
      <c r="K1023" s="3" t="str">
        <f t="shared" si="105"/>
        <v>2</v>
      </c>
      <c r="L1023" s="13" t="str">
        <f>IFERROR(VLOOKUP(C1023,'Справочник соответствий'!A$2:D$2981,3,FALSE),IF(VALUE(C1023)=0,"ЭТАЖ НЕ ОПРЕДЕЛЕН. ПРИНЯТ ПО ДОПУЩЕНИЮ 1",VLOOKUP(C1023,'Справочник соответствий'!A$2:D$2981,3,FALSE)))</f>
        <v>ЭТАЖ ЗАДАН ЧИСЛОМ</v>
      </c>
      <c r="M1023" s="13" t="b">
        <f t="shared" si="106"/>
        <v>0</v>
      </c>
      <c r="N1023" s="13">
        <f t="shared" si="107"/>
        <v>2</v>
      </c>
      <c r="O1023" s="13" t="str">
        <f t="shared" si="108"/>
        <v>ЭТАЖ ЗАДАН ЧИСЛОМ</v>
      </c>
      <c r="P1023" s="13" t="str">
        <f t="shared" si="109"/>
        <v>ЭТАЖ ЗАДАН ЧИСЛОМ</v>
      </c>
      <c r="Q1023" s="13" t="str">
        <f t="shared" si="110"/>
        <v>ГОТОВ_ИЗМЕНЕН</v>
      </c>
      <c r="R1023" s="13">
        <f>IFERROR(VLOOKUP(P1023,Лист1!A$1:B$20,2,FALSE),0)</f>
        <v>784</v>
      </c>
      <c r="S1023" s="13">
        <f t="shared" si="111"/>
        <v>0</v>
      </c>
    </row>
    <row r="1024" spans="1:19" x14ac:dyDescent="0.25">
      <c r="A1024" s="24" t="s">
        <v>2139</v>
      </c>
      <c r="B1024" s="4" t="s">
        <v>1059</v>
      </c>
      <c r="C1024" s="25" t="s">
        <v>5</v>
      </c>
      <c r="E1024" s="3">
        <v>1</v>
      </c>
      <c r="F1024" s="24" t="s">
        <v>1045</v>
      </c>
      <c r="G1024" s="25" t="s">
        <v>1072</v>
      </c>
      <c r="H1024" s="24" t="s">
        <v>1061</v>
      </c>
      <c r="I1024" s="3" t="str">
        <f>IFERROR(VLOOKUP(C1024,'Справочник соответствий'!A$2:D$2981,2,FALSE),IF(VALUE(C1024)=0,1,VLOOKUP(C1024,'Справочник соответствий'!A$2:D$2981,2,FALSE)))</f>
        <v>1</v>
      </c>
      <c r="J1024" s="3">
        <f>IFERROR(VLOOKUP(D1024,'Справочник соответствий'!A$2:D$2981,2,FALSE),IF(VALUE(D1024)=0,0,VLOOKUP(D1024,'Справочник соответствий'!A$2:D$2981,2,FALSE)))</f>
        <v>0</v>
      </c>
      <c r="K1024" s="3" t="str">
        <f t="shared" si="105"/>
        <v>1</v>
      </c>
      <c r="L1024" s="13" t="str">
        <f>IFERROR(VLOOKUP(C1024,'Справочник соответствий'!A$2:D$2981,3,FALSE),IF(VALUE(C1024)=0,"ЭТАЖ НЕ ОПРЕДЕЛЕН. ПРИНЯТ ПО ДОПУЩЕНИЮ 1",VLOOKUP(C1024,'Справочник соответствий'!A$2:D$2981,3,FALSE)))</f>
        <v>ЭТАЖ ЗАДАН ЧИСЛОМ</v>
      </c>
      <c r="M1024" s="13" t="b">
        <f t="shared" si="106"/>
        <v>0</v>
      </c>
      <c r="N1024" s="13">
        <f t="shared" si="107"/>
        <v>1</v>
      </c>
      <c r="O1024" s="13" t="str">
        <f t="shared" si="108"/>
        <v>ЭТАЖ ЗАДАН ЧИСЛОМ</v>
      </c>
      <c r="P1024" s="13" t="str">
        <f t="shared" si="109"/>
        <v>ЭТАЖ ЗАДАН ЧИСЛОМ</v>
      </c>
      <c r="Q1024" s="13" t="str">
        <f t="shared" si="110"/>
        <v>ГОТОВ</v>
      </c>
      <c r="R1024" s="13">
        <f>IFERROR(VLOOKUP(P1024,Лист1!A$1:B$20,2,FALSE),0)</f>
        <v>784</v>
      </c>
      <c r="S1024" s="13">
        <f t="shared" si="111"/>
        <v>1</v>
      </c>
    </row>
    <row r="1025" spans="1:19" x14ac:dyDescent="0.25">
      <c r="A1025" s="24" t="s">
        <v>2140</v>
      </c>
      <c r="B1025" s="4" t="s">
        <v>1031</v>
      </c>
      <c r="C1025" s="25" t="s">
        <v>7</v>
      </c>
      <c r="E1025" s="3">
        <v>2</v>
      </c>
      <c r="F1025" s="24" t="s">
        <v>1045</v>
      </c>
      <c r="G1025" s="25" t="s">
        <v>1075</v>
      </c>
      <c r="H1025" s="24" t="s">
        <v>1061</v>
      </c>
      <c r="I1025" s="3" t="str">
        <f>IFERROR(VLOOKUP(C1025,'Справочник соответствий'!A$2:D$2981,2,FALSE),IF(VALUE(C1025)=0,1,VLOOKUP(C1025,'Справочник соответствий'!A$2:D$2981,2,FALSE)))</f>
        <v>2</v>
      </c>
      <c r="J1025" s="3">
        <f>IFERROR(VLOOKUP(D1025,'Справочник соответствий'!A$2:D$2981,2,FALSE),IF(VALUE(D1025)=0,0,VLOOKUP(D1025,'Справочник соответствий'!A$2:D$2981,2,FALSE)))</f>
        <v>0</v>
      </c>
      <c r="K1025" s="3">
        <f t="shared" si="105"/>
        <v>2</v>
      </c>
      <c r="L1025" s="13" t="str">
        <f>IFERROR(VLOOKUP(C1025,'Справочник соответствий'!A$2:D$2981,3,FALSE),IF(VALUE(C1025)=0,"ЭТАЖ НЕ ОПРЕДЕЛЕН. ПРИНЯТ ПО ДОПУЩЕНИЮ 1",VLOOKUP(C1025,'Справочник соответствий'!A$2:D$2981,3,FALSE)))</f>
        <v>ЭТАЖ ЗАДАН ЧИСЛОМ</v>
      </c>
      <c r="M1025" s="13" t="b">
        <f t="shared" si="106"/>
        <v>0</v>
      </c>
      <c r="N1025" s="13">
        <f t="shared" si="107"/>
        <v>2</v>
      </c>
      <c r="O1025" s="13" t="str">
        <f t="shared" si="108"/>
        <v>ЭТАЖ ЗАДАН ЧИСЛОМ</v>
      </c>
      <c r="P1025" s="13" t="str">
        <f t="shared" si="109"/>
        <v>МКД_ЭТАЖ ЗАДАН ЧИСЛОМ</v>
      </c>
      <c r="Q1025" s="13" t="str">
        <f t="shared" si="110"/>
        <v>ГОТОВ</v>
      </c>
      <c r="R1025" s="13">
        <f>IFERROR(VLOOKUP(P1025,Лист1!A$1:B$20,2,FALSE),0)</f>
        <v>786</v>
      </c>
      <c r="S1025" s="13">
        <f t="shared" si="111"/>
        <v>2</v>
      </c>
    </row>
    <row r="1026" spans="1:19" x14ac:dyDescent="0.25">
      <c r="A1026" s="24" t="s">
        <v>2141</v>
      </c>
      <c r="B1026" s="4" t="s">
        <v>1059</v>
      </c>
      <c r="C1026" s="25" t="s">
        <v>7</v>
      </c>
      <c r="D1026" s="25" t="s">
        <v>5</v>
      </c>
      <c r="E1026" s="3">
        <v>1</v>
      </c>
      <c r="F1026" s="24" t="s">
        <v>1045</v>
      </c>
      <c r="G1026" s="25" t="s">
        <v>1289</v>
      </c>
      <c r="H1026" s="24" t="s">
        <v>1061</v>
      </c>
      <c r="I1026" s="3" t="str">
        <f>IFERROR(VLOOKUP(C1026,'Справочник соответствий'!A$2:D$2981,2,FALSE),IF(VALUE(C1026)=0,1,VLOOKUP(C1026,'Справочник соответствий'!A$2:D$2981,2,FALSE)))</f>
        <v>2</v>
      </c>
      <c r="J1026" s="3" t="str">
        <f>IFERROR(VLOOKUP(D1026,'Справочник соответствий'!A$2:D$2981,2,FALSE),IF(VALUE(D1026)=0,0,VLOOKUP(D1026,'Справочник соответствий'!A$2:D$2981,2,FALSE)))</f>
        <v>1</v>
      </c>
      <c r="K1026" s="3" t="str">
        <f t="shared" si="105"/>
        <v>2</v>
      </c>
      <c r="L1026" s="13" t="str">
        <f>IFERROR(VLOOKUP(C1026,'Справочник соответствий'!A$2:D$2981,3,FALSE),IF(VALUE(C1026)=0,"ЭТАЖ НЕ ОПРЕДЕЛЕН. ПРИНЯТ ПО ДОПУЩЕНИЮ 1",VLOOKUP(C1026,'Справочник соответствий'!A$2:D$2981,3,FALSE)))</f>
        <v>ЭТАЖ ЗАДАН ЧИСЛОМ</v>
      </c>
      <c r="M1026" s="13" t="b">
        <f t="shared" si="106"/>
        <v>0</v>
      </c>
      <c r="N1026" s="13">
        <f t="shared" si="107"/>
        <v>2</v>
      </c>
      <c r="O1026" s="13" t="str">
        <f t="shared" si="108"/>
        <v>ЭТАЖ ЗАДАН ЧИСЛОМ</v>
      </c>
      <c r="P1026" s="13" t="str">
        <f t="shared" si="109"/>
        <v>ЭТАЖ ЗАДАН ЧИСЛОМ</v>
      </c>
      <c r="Q1026" s="13" t="str">
        <f t="shared" si="110"/>
        <v>ГОТОВ_ИЗМЕНЕН</v>
      </c>
      <c r="R1026" s="13">
        <f>IFERROR(VLOOKUP(P1026,Лист1!A$1:B$20,2,FALSE),0)</f>
        <v>784</v>
      </c>
      <c r="S1026" s="13">
        <f t="shared" si="111"/>
        <v>1</v>
      </c>
    </row>
    <row r="1027" spans="1:19" x14ac:dyDescent="0.25">
      <c r="A1027" s="24" t="s">
        <v>2142</v>
      </c>
      <c r="B1027" s="4" t="s">
        <v>1059</v>
      </c>
      <c r="C1027" s="25" t="s">
        <v>7</v>
      </c>
      <c r="E1027" s="3">
        <v>1</v>
      </c>
      <c r="F1027" s="24" t="s">
        <v>1045</v>
      </c>
      <c r="G1027" s="25" t="s">
        <v>1072</v>
      </c>
      <c r="H1027" s="24" t="s">
        <v>1061</v>
      </c>
      <c r="I1027" s="3" t="str">
        <f>IFERROR(VLOOKUP(C1027,'Справочник соответствий'!A$2:D$2981,2,FALSE),IF(VALUE(C1027)=0,1,VLOOKUP(C1027,'Справочник соответствий'!A$2:D$2981,2,FALSE)))</f>
        <v>2</v>
      </c>
      <c r="J1027" s="3">
        <f>IFERROR(VLOOKUP(D1027,'Справочник соответствий'!A$2:D$2981,2,FALSE),IF(VALUE(D1027)=0,0,VLOOKUP(D1027,'Справочник соответствий'!A$2:D$2981,2,FALSE)))</f>
        <v>0</v>
      </c>
      <c r="K1027" s="3" t="str">
        <f t="shared" si="105"/>
        <v>2</v>
      </c>
      <c r="L1027" s="13" t="str">
        <f>IFERROR(VLOOKUP(C1027,'Справочник соответствий'!A$2:D$2981,3,FALSE),IF(VALUE(C1027)=0,"ЭТАЖ НЕ ОПРЕДЕЛЕН. ПРИНЯТ ПО ДОПУЩЕНИЮ 1",VLOOKUP(C1027,'Справочник соответствий'!A$2:D$2981,3,FALSE)))</f>
        <v>ЭТАЖ ЗАДАН ЧИСЛОМ</v>
      </c>
      <c r="M1027" s="13" t="b">
        <f t="shared" si="106"/>
        <v>0</v>
      </c>
      <c r="N1027" s="13">
        <f t="shared" si="107"/>
        <v>2</v>
      </c>
      <c r="O1027" s="13" t="str">
        <f t="shared" si="108"/>
        <v>ЭТАЖ ЗАДАН ЧИСЛОМ</v>
      </c>
      <c r="P1027" s="13" t="str">
        <f t="shared" si="109"/>
        <v>ЭТАЖ ЗАДАН ЧИСЛОМ</v>
      </c>
      <c r="Q1027" s="13" t="str">
        <f t="shared" si="110"/>
        <v>ГОТОВ_ИЗМЕНЕН</v>
      </c>
      <c r="R1027" s="13">
        <f>IFERROR(VLOOKUP(P1027,Лист1!A$1:B$20,2,FALSE),0)</f>
        <v>784</v>
      </c>
      <c r="S1027" s="13">
        <f t="shared" si="111"/>
        <v>1</v>
      </c>
    </row>
    <row r="1028" spans="1:19" x14ac:dyDescent="0.25">
      <c r="A1028" s="24" t="s">
        <v>2143</v>
      </c>
      <c r="B1028" s="4" t="s">
        <v>1063</v>
      </c>
      <c r="C1028" s="25" t="s">
        <v>7</v>
      </c>
      <c r="E1028" s="3">
        <v>1</v>
      </c>
      <c r="F1028" s="24" t="s">
        <v>1045</v>
      </c>
      <c r="G1028" s="25" t="s">
        <v>1325</v>
      </c>
      <c r="H1028" s="24" t="s">
        <v>1061</v>
      </c>
      <c r="I1028" s="3" t="str">
        <f>IFERROR(VLOOKUP(C1028,'Справочник соответствий'!A$2:D$2981,2,FALSE),IF(VALUE(C1028)=0,1,VLOOKUP(C1028,'Справочник соответствий'!A$2:D$2981,2,FALSE)))</f>
        <v>2</v>
      </c>
      <c r="J1028" s="3">
        <f>IFERROR(VLOOKUP(D1028,'Справочник соответствий'!A$2:D$2981,2,FALSE),IF(VALUE(D1028)=0,0,VLOOKUP(D1028,'Справочник соответствий'!A$2:D$2981,2,FALSE)))</f>
        <v>0</v>
      </c>
      <c r="K1028" s="3" t="str">
        <f t="shared" si="105"/>
        <v>2</v>
      </c>
      <c r="L1028" s="13" t="str">
        <f>IFERROR(VLOOKUP(C1028,'Справочник соответствий'!A$2:D$2981,3,FALSE),IF(VALUE(C1028)=0,"ЭТАЖ НЕ ОПРЕДЕЛЕН. ПРИНЯТ ПО ДОПУЩЕНИЮ 1",VLOOKUP(C1028,'Справочник соответствий'!A$2:D$2981,3,FALSE)))</f>
        <v>ЭТАЖ ЗАДАН ЧИСЛОМ</v>
      </c>
      <c r="M1028" s="13" t="b">
        <f t="shared" si="106"/>
        <v>0</v>
      </c>
      <c r="N1028" s="13">
        <f t="shared" si="107"/>
        <v>2</v>
      </c>
      <c r="O1028" s="13" t="str">
        <f t="shared" si="108"/>
        <v>ЭТАЖ ЗАДАН ЧИСЛОМ</v>
      </c>
      <c r="P1028" s="13" t="str">
        <f t="shared" si="109"/>
        <v>ЭТАЖ ЗАДАН ЧИСЛОМ</v>
      </c>
      <c r="Q1028" s="13" t="str">
        <f t="shared" si="110"/>
        <v>ГОТОВ_ИЗМЕНЕН</v>
      </c>
      <c r="R1028" s="13">
        <f>IFERROR(VLOOKUP(P1028,Лист1!A$1:B$20,2,FALSE),0)</f>
        <v>784</v>
      </c>
      <c r="S1028" s="13">
        <f t="shared" si="111"/>
        <v>1</v>
      </c>
    </row>
    <row r="1029" spans="1:19" x14ac:dyDescent="0.25">
      <c r="A1029" s="24" t="s">
        <v>2144</v>
      </c>
      <c r="B1029" s="4" t="s">
        <v>1063</v>
      </c>
      <c r="C1029" s="25" t="s">
        <v>5</v>
      </c>
      <c r="D1029" s="25" t="s">
        <v>24</v>
      </c>
      <c r="E1029" s="3">
        <v>1</v>
      </c>
      <c r="F1029" s="24" t="s">
        <v>1045</v>
      </c>
      <c r="G1029" s="25" t="s">
        <v>1174</v>
      </c>
      <c r="H1029" s="24" t="s">
        <v>1061</v>
      </c>
      <c r="I1029" s="3" t="str">
        <f>IFERROR(VLOOKUP(C1029,'Справочник соответствий'!A$2:D$2981,2,FALSE),IF(VALUE(C1029)=0,1,VLOOKUP(C1029,'Справочник соответствий'!A$2:D$2981,2,FALSE)))</f>
        <v>1</v>
      </c>
      <c r="J1029" s="3" t="str">
        <f>IFERROR(VLOOKUP(D1029,'Справочник соответствий'!A$2:D$2981,2,FALSE),IF(VALUE(D1029)=0,0,VLOOKUP(D1029,'Справочник соответствий'!A$2:D$2981,2,FALSE)))</f>
        <v>1</v>
      </c>
      <c r="K1029" s="3" t="str">
        <f t="shared" ref="K1029:K1092" si="112">IF(B1029="Многоквартирный дом",IF(I1029-J1029&gt;0,I1029-J1029,1),I1029)</f>
        <v>1</v>
      </c>
      <c r="L1029" s="13" t="str">
        <f>IFERROR(VLOOKUP(C1029,'Справочник соответствий'!A$2:D$2981,3,FALSE),IF(VALUE(C1029)=0,"ЭТАЖ НЕ ОПРЕДЕЛЕН. ПРИНЯТ ПО ДОПУЩЕНИЮ 1",VLOOKUP(C1029,'Справочник соответствий'!A$2:D$2981,3,FALSE)))</f>
        <v>ЭТАЖ ЗАДАН ЧИСЛОМ</v>
      </c>
      <c r="M1029" s="13" t="b">
        <f t="shared" ref="M1029:M1092" si="113">I1029=E1029</f>
        <v>0</v>
      </c>
      <c r="N1029" s="13">
        <f t="shared" ref="N1029:N1092" si="114">IF(VALUE(E1029)=0,VALUE(K1029),IF(L1029="ЭТАЖ НЕ ОПРЕДЕЛЕН. ПРИНЯТ ПО ДОПУЩЕНИЮ 1",VALUE(E1029),VALUE(K1029)))</f>
        <v>1</v>
      </c>
      <c r="O1029" s="13" t="str">
        <f t="shared" ref="O1029:O1092" si="115">IF(VALUE(E1029)=0,L1029,IF(L1029="ЭТАЖ НЕ ОПРЕДЕЛЕН. ПРИНЯТ ПО ДОПУЩЕНИЮ 1",F1029,L1029))</f>
        <v>ЭТАЖ ЗАДАН ЧИСЛОМ</v>
      </c>
      <c r="P1029" s="13" t="str">
        <f t="shared" ref="P1029:P1092" si="116">IF(B1029="Многоквартирный дом",CONCATENATE("МКД_",O1029),O1029)</f>
        <v>ЭТАЖ ЗАДАН ЧИСЛОМ</v>
      </c>
      <c r="Q1029" s="13" t="str">
        <f t="shared" ref="Q1029:Q1092" si="117">IFERROR(IF(N1029&gt;0,IF(N1029=VALUE(E1029),"ГОТОВ","ГОТОВ_ИЗМЕНЕН"),"НЕ ГОТОВ"),"НЕ ГОТОВ")</f>
        <v>ГОТОВ</v>
      </c>
      <c r="R1029" s="13">
        <f>IFERROR(VLOOKUP(P1029,Лист1!A$1:B$20,2,FALSE),0)</f>
        <v>784</v>
      </c>
      <c r="S1029" s="13">
        <f t="shared" ref="S1029:S1092" si="118">VALUE(E1029)</f>
        <v>1</v>
      </c>
    </row>
    <row r="1030" spans="1:19" x14ac:dyDescent="0.25">
      <c r="A1030" s="24" t="s">
        <v>2145</v>
      </c>
      <c r="B1030" s="4" t="s">
        <v>1059</v>
      </c>
      <c r="C1030" s="25" t="s">
        <v>5</v>
      </c>
      <c r="D1030" s="25" t="s">
        <v>24</v>
      </c>
      <c r="E1030" s="3">
        <v>1</v>
      </c>
      <c r="F1030" s="24" t="s">
        <v>1045</v>
      </c>
      <c r="G1030" s="25" t="s">
        <v>1072</v>
      </c>
      <c r="H1030" s="24" t="s">
        <v>1061</v>
      </c>
      <c r="I1030" s="3" t="str">
        <f>IFERROR(VLOOKUP(C1030,'Справочник соответствий'!A$2:D$2981,2,FALSE),IF(VALUE(C1030)=0,1,VLOOKUP(C1030,'Справочник соответствий'!A$2:D$2981,2,FALSE)))</f>
        <v>1</v>
      </c>
      <c r="J1030" s="3" t="str">
        <f>IFERROR(VLOOKUP(D1030,'Справочник соответствий'!A$2:D$2981,2,FALSE),IF(VALUE(D1030)=0,0,VLOOKUP(D1030,'Справочник соответствий'!A$2:D$2981,2,FALSE)))</f>
        <v>1</v>
      </c>
      <c r="K1030" s="3" t="str">
        <f t="shared" si="112"/>
        <v>1</v>
      </c>
      <c r="L1030" s="13" t="str">
        <f>IFERROR(VLOOKUP(C1030,'Справочник соответствий'!A$2:D$2981,3,FALSE),IF(VALUE(C1030)=0,"ЭТАЖ НЕ ОПРЕДЕЛЕН. ПРИНЯТ ПО ДОПУЩЕНИЮ 1",VLOOKUP(C1030,'Справочник соответствий'!A$2:D$2981,3,FALSE)))</f>
        <v>ЭТАЖ ЗАДАН ЧИСЛОМ</v>
      </c>
      <c r="M1030" s="13" t="b">
        <f t="shared" si="113"/>
        <v>0</v>
      </c>
      <c r="N1030" s="13">
        <f t="shared" si="114"/>
        <v>1</v>
      </c>
      <c r="O1030" s="13" t="str">
        <f t="shared" si="115"/>
        <v>ЭТАЖ ЗАДАН ЧИСЛОМ</v>
      </c>
      <c r="P1030" s="13" t="str">
        <f t="shared" si="116"/>
        <v>ЭТАЖ ЗАДАН ЧИСЛОМ</v>
      </c>
      <c r="Q1030" s="13" t="str">
        <f t="shared" si="117"/>
        <v>ГОТОВ</v>
      </c>
      <c r="R1030" s="13">
        <f>IFERROR(VLOOKUP(P1030,Лист1!A$1:B$20,2,FALSE),0)</f>
        <v>784</v>
      </c>
      <c r="S1030" s="13">
        <f t="shared" si="118"/>
        <v>1</v>
      </c>
    </row>
    <row r="1031" spans="1:19" x14ac:dyDescent="0.25">
      <c r="A1031" s="24" t="s">
        <v>2146</v>
      </c>
      <c r="B1031" s="4" t="s">
        <v>1063</v>
      </c>
      <c r="C1031" s="25" t="s">
        <v>5</v>
      </c>
      <c r="E1031" s="3">
        <v>1</v>
      </c>
      <c r="F1031" s="24" t="s">
        <v>1045</v>
      </c>
      <c r="G1031" s="25" t="s">
        <v>1072</v>
      </c>
      <c r="H1031" s="24" t="s">
        <v>1061</v>
      </c>
      <c r="I1031" s="3" t="str">
        <f>IFERROR(VLOOKUP(C1031,'Справочник соответствий'!A$2:D$2981,2,FALSE),IF(VALUE(C1031)=0,1,VLOOKUP(C1031,'Справочник соответствий'!A$2:D$2981,2,FALSE)))</f>
        <v>1</v>
      </c>
      <c r="J1031" s="3">
        <f>IFERROR(VLOOKUP(D1031,'Справочник соответствий'!A$2:D$2981,2,FALSE),IF(VALUE(D1031)=0,0,VLOOKUP(D1031,'Справочник соответствий'!A$2:D$2981,2,FALSE)))</f>
        <v>0</v>
      </c>
      <c r="K1031" s="3" t="str">
        <f t="shared" si="112"/>
        <v>1</v>
      </c>
      <c r="L1031" s="13" t="str">
        <f>IFERROR(VLOOKUP(C1031,'Справочник соответствий'!A$2:D$2981,3,FALSE),IF(VALUE(C1031)=0,"ЭТАЖ НЕ ОПРЕДЕЛЕН. ПРИНЯТ ПО ДОПУЩЕНИЮ 1",VLOOKUP(C1031,'Справочник соответствий'!A$2:D$2981,3,FALSE)))</f>
        <v>ЭТАЖ ЗАДАН ЧИСЛОМ</v>
      </c>
      <c r="M1031" s="13" t="b">
        <f t="shared" si="113"/>
        <v>0</v>
      </c>
      <c r="N1031" s="13">
        <f t="shared" si="114"/>
        <v>1</v>
      </c>
      <c r="O1031" s="13" t="str">
        <f t="shared" si="115"/>
        <v>ЭТАЖ ЗАДАН ЧИСЛОМ</v>
      </c>
      <c r="P1031" s="13" t="str">
        <f t="shared" si="116"/>
        <v>ЭТАЖ ЗАДАН ЧИСЛОМ</v>
      </c>
      <c r="Q1031" s="13" t="str">
        <f t="shared" si="117"/>
        <v>ГОТОВ</v>
      </c>
      <c r="R1031" s="13">
        <f>IFERROR(VLOOKUP(P1031,Лист1!A$1:B$20,2,FALSE),0)</f>
        <v>784</v>
      </c>
      <c r="S1031" s="13">
        <f t="shared" si="118"/>
        <v>1</v>
      </c>
    </row>
    <row r="1032" spans="1:19" x14ac:dyDescent="0.25">
      <c r="A1032" s="24" t="s">
        <v>2147</v>
      </c>
      <c r="B1032" s="4" t="s">
        <v>1031</v>
      </c>
      <c r="C1032" s="25" t="s">
        <v>7</v>
      </c>
      <c r="E1032" s="3">
        <v>2</v>
      </c>
      <c r="F1032" s="24" t="s">
        <v>1074</v>
      </c>
      <c r="G1032" s="25" t="s">
        <v>1075</v>
      </c>
      <c r="H1032" s="24" t="s">
        <v>1061</v>
      </c>
      <c r="I1032" s="3" t="str">
        <f>IFERROR(VLOOKUP(C1032,'Справочник соответствий'!A$2:D$2981,2,FALSE),IF(VALUE(C1032)=0,1,VLOOKUP(C1032,'Справочник соответствий'!A$2:D$2981,2,FALSE)))</f>
        <v>2</v>
      </c>
      <c r="J1032" s="3">
        <f>IFERROR(VLOOKUP(D1032,'Справочник соответствий'!A$2:D$2981,2,FALSE),IF(VALUE(D1032)=0,0,VLOOKUP(D1032,'Справочник соответствий'!A$2:D$2981,2,FALSE)))</f>
        <v>0</v>
      </c>
      <c r="K1032" s="3">
        <f t="shared" si="112"/>
        <v>2</v>
      </c>
      <c r="L1032" s="13" t="str">
        <f>IFERROR(VLOOKUP(C1032,'Справочник соответствий'!A$2:D$2981,3,FALSE),IF(VALUE(C1032)=0,"ЭТАЖ НЕ ОПРЕДЕЛЕН. ПРИНЯТ ПО ДОПУЩЕНИЮ 1",VLOOKUP(C1032,'Справочник соответствий'!A$2:D$2981,3,FALSE)))</f>
        <v>ЭТАЖ ЗАДАН ЧИСЛОМ</v>
      </c>
      <c r="M1032" s="13" t="b">
        <f t="shared" si="113"/>
        <v>0</v>
      </c>
      <c r="N1032" s="13">
        <f t="shared" si="114"/>
        <v>2</v>
      </c>
      <c r="O1032" s="13" t="str">
        <f t="shared" si="115"/>
        <v>ЭТАЖ ЗАДАН ЧИСЛОМ</v>
      </c>
      <c r="P1032" s="13" t="str">
        <f t="shared" si="116"/>
        <v>МКД_ЭТАЖ ЗАДАН ЧИСЛОМ</v>
      </c>
      <c r="Q1032" s="13" t="str">
        <f t="shared" si="117"/>
        <v>ГОТОВ</v>
      </c>
      <c r="R1032" s="13">
        <f>IFERROR(VLOOKUP(P1032,Лист1!A$1:B$20,2,FALSE),0)</f>
        <v>786</v>
      </c>
      <c r="S1032" s="13">
        <f t="shared" si="118"/>
        <v>2</v>
      </c>
    </row>
    <row r="1033" spans="1:19" x14ac:dyDescent="0.25">
      <c r="A1033" s="24" t="s">
        <v>2148</v>
      </c>
      <c r="B1033" s="4" t="s">
        <v>1063</v>
      </c>
      <c r="C1033" s="25" t="s">
        <v>5</v>
      </c>
      <c r="E1033" s="3">
        <v>1</v>
      </c>
      <c r="F1033" s="24" t="s">
        <v>1045</v>
      </c>
      <c r="G1033" s="25" t="s">
        <v>1072</v>
      </c>
      <c r="H1033" s="24" t="s">
        <v>1061</v>
      </c>
      <c r="I1033" s="3" t="str">
        <f>IFERROR(VLOOKUP(C1033,'Справочник соответствий'!A$2:D$2981,2,FALSE),IF(VALUE(C1033)=0,1,VLOOKUP(C1033,'Справочник соответствий'!A$2:D$2981,2,FALSE)))</f>
        <v>1</v>
      </c>
      <c r="J1033" s="3">
        <f>IFERROR(VLOOKUP(D1033,'Справочник соответствий'!A$2:D$2981,2,FALSE),IF(VALUE(D1033)=0,0,VLOOKUP(D1033,'Справочник соответствий'!A$2:D$2981,2,FALSE)))</f>
        <v>0</v>
      </c>
      <c r="K1033" s="3" t="str">
        <f t="shared" si="112"/>
        <v>1</v>
      </c>
      <c r="L1033" s="13" t="str">
        <f>IFERROR(VLOOKUP(C1033,'Справочник соответствий'!A$2:D$2981,3,FALSE),IF(VALUE(C1033)=0,"ЭТАЖ НЕ ОПРЕДЕЛЕН. ПРИНЯТ ПО ДОПУЩЕНИЮ 1",VLOOKUP(C1033,'Справочник соответствий'!A$2:D$2981,3,FALSE)))</f>
        <v>ЭТАЖ ЗАДАН ЧИСЛОМ</v>
      </c>
      <c r="M1033" s="13" t="b">
        <f t="shared" si="113"/>
        <v>0</v>
      </c>
      <c r="N1033" s="13">
        <f t="shared" si="114"/>
        <v>1</v>
      </c>
      <c r="O1033" s="13" t="str">
        <f t="shared" si="115"/>
        <v>ЭТАЖ ЗАДАН ЧИСЛОМ</v>
      </c>
      <c r="P1033" s="13" t="str">
        <f t="shared" si="116"/>
        <v>ЭТАЖ ЗАДАН ЧИСЛОМ</v>
      </c>
      <c r="Q1033" s="13" t="str">
        <f t="shared" si="117"/>
        <v>ГОТОВ</v>
      </c>
      <c r="R1033" s="13">
        <f>IFERROR(VLOOKUP(P1033,Лист1!A$1:B$20,2,FALSE),0)</f>
        <v>784</v>
      </c>
      <c r="S1033" s="13">
        <f t="shared" si="118"/>
        <v>1</v>
      </c>
    </row>
    <row r="1034" spans="1:19" x14ac:dyDescent="0.25">
      <c r="A1034" s="24" t="s">
        <v>2149</v>
      </c>
      <c r="B1034" s="4" t="s">
        <v>1063</v>
      </c>
      <c r="C1034" s="25" t="s">
        <v>5</v>
      </c>
      <c r="E1034" s="3">
        <v>1</v>
      </c>
      <c r="F1034" s="24" t="s">
        <v>1045</v>
      </c>
      <c r="G1034" s="25" t="s">
        <v>1114</v>
      </c>
      <c r="H1034" s="24" t="s">
        <v>1061</v>
      </c>
      <c r="I1034" s="3" t="str">
        <f>IFERROR(VLOOKUP(C1034,'Справочник соответствий'!A$2:D$2981,2,FALSE),IF(VALUE(C1034)=0,1,VLOOKUP(C1034,'Справочник соответствий'!A$2:D$2981,2,FALSE)))</f>
        <v>1</v>
      </c>
      <c r="J1034" s="3">
        <f>IFERROR(VLOOKUP(D1034,'Справочник соответствий'!A$2:D$2981,2,FALSE),IF(VALUE(D1034)=0,0,VLOOKUP(D1034,'Справочник соответствий'!A$2:D$2981,2,FALSE)))</f>
        <v>0</v>
      </c>
      <c r="K1034" s="3" t="str">
        <f t="shared" si="112"/>
        <v>1</v>
      </c>
      <c r="L1034" s="13" t="str">
        <f>IFERROR(VLOOKUP(C1034,'Справочник соответствий'!A$2:D$2981,3,FALSE),IF(VALUE(C1034)=0,"ЭТАЖ НЕ ОПРЕДЕЛЕН. ПРИНЯТ ПО ДОПУЩЕНИЮ 1",VLOOKUP(C1034,'Справочник соответствий'!A$2:D$2981,3,FALSE)))</f>
        <v>ЭТАЖ ЗАДАН ЧИСЛОМ</v>
      </c>
      <c r="M1034" s="13" t="b">
        <f t="shared" si="113"/>
        <v>0</v>
      </c>
      <c r="N1034" s="13">
        <f t="shared" si="114"/>
        <v>1</v>
      </c>
      <c r="O1034" s="13" t="str">
        <f t="shared" si="115"/>
        <v>ЭТАЖ ЗАДАН ЧИСЛОМ</v>
      </c>
      <c r="P1034" s="13" t="str">
        <f t="shared" si="116"/>
        <v>ЭТАЖ ЗАДАН ЧИСЛОМ</v>
      </c>
      <c r="Q1034" s="13" t="str">
        <f t="shared" si="117"/>
        <v>ГОТОВ</v>
      </c>
      <c r="R1034" s="13">
        <f>IFERROR(VLOOKUP(P1034,Лист1!A$1:B$20,2,FALSE),0)</f>
        <v>784</v>
      </c>
      <c r="S1034" s="13">
        <f t="shared" si="118"/>
        <v>1</v>
      </c>
    </row>
    <row r="1035" spans="1:19" x14ac:dyDescent="0.25">
      <c r="A1035" s="24" t="s">
        <v>2150</v>
      </c>
      <c r="B1035" s="4" t="s">
        <v>1059</v>
      </c>
      <c r="C1035" s="25" t="s">
        <v>5</v>
      </c>
      <c r="E1035" s="3">
        <v>1</v>
      </c>
      <c r="F1035" s="24" t="s">
        <v>1045</v>
      </c>
      <c r="G1035" s="25" t="s">
        <v>1089</v>
      </c>
      <c r="H1035" s="24" t="s">
        <v>1061</v>
      </c>
      <c r="I1035" s="3" t="str">
        <f>IFERROR(VLOOKUP(C1035,'Справочник соответствий'!A$2:D$2981,2,FALSE),IF(VALUE(C1035)=0,1,VLOOKUP(C1035,'Справочник соответствий'!A$2:D$2981,2,FALSE)))</f>
        <v>1</v>
      </c>
      <c r="J1035" s="3">
        <f>IFERROR(VLOOKUP(D1035,'Справочник соответствий'!A$2:D$2981,2,FALSE),IF(VALUE(D1035)=0,0,VLOOKUP(D1035,'Справочник соответствий'!A$2:D$2981,2,FALSE)))</f>
        <v>0</v>
      </c>
      <c r="K1035" s="3" t="str">
        <f t="shared" si="112"/>
        <v>1</v>
      </c>
      <c r="L1035" s="13" t="str">
        <f>IFERROR(VLOOKUP(C1035,'Справочник соответствий'!A$2:D$2981,3,FALSE),IF(VALUE(C1035)=0,"ЭТАЖ НЕ ОПРЕДЕЛЕН. ПРИНЯТ ПО ДОПУЩЕНИЮ 1",VLOOKUP(C1035,'Справочник соответствий'!A$2:D$2981,3,FALSE)))</f>
        <v>ЭТАЖ ЗАДАН ЧИСЛОМ</v>
      </c>
      <c r="M1035" s="13" t="b">
        <f t="shared" si="113"/>
        <v>0</v>
      </c>
      <c r="N1035" s="13">
        <f t="shared" si="114"/>
        <v>1</v>
      </c>
      <c r="O1035" s="13" t="str">
        <f t="shared" si="115"/>
        <v>ЭТАЖ ЗАДАН ЧИСЛОМ</v>
      </c>
      <c r="P1035" s="13" t="str">
        <f t="shared" si="116"/>
        <v>ЭТАЖ ЗАДАН ЧИСЛОМ</v>
      </c>
      <c r="Q1035" s="13" t="str">
        <f t="shared" si="117"/>
        <v>ГОТОВ</v>
      </c>
      <c r="R1035" s="13">
        <f>IFERROR(VLOOKUP(P1035,Лист1!A$1:B$20,2,FALSE),0)</f>
        <v>784</v>
      </c>
      <c r="S1035" s="13">
        <f t="shared" si="118"/>
        <v>1</v>
      </c>
    </row>
    <row r="1036" spans="1:19" x14ac:dyDescent="0.25">
      <c r="A1036" s="24" t="s">
        <v>2151</v>
      </c>
      <c r="B1036" s="4" t="s">
        <v>1031</v>
      </c>
      <c r="C1036" s="25" t="s">
        <v>11</v>
      </c>
      <c r="D1036" s="25" t="s">
        <v>5</v>
      </c>
      <c r="E1036" s="3">
        <v>6</v>
      </c>
      <c r="F1036" s="24" t="s">
        <v>1074</v>
      </c>
      <c r="G1036" s="25" t="s">
        <v>1075</v>
      </c>
      <c r="H1036" s="24" t="s">
        <v>1061</v>
      </c>
      <c r="I1036" s="3" t="str">
        <f>IFERROR(VLOOKUP(C1036,'Справочник соответствий'!A$2:D$2981,2,FALSE),IF(VALUE(C1036)=0,1,VLOOKUP(C1036,'Справочник соответствий'!A$2:D$2981,2,FALSE)))</f>
        <v>6</v>
      </c>
      <c r="J1036" s="3" t="str">
        <f>IFERROR(VLOOKUP(D1036,'Справочник соответствий'!A$2:D$2981,2,FALSE),IF(VALUE(D1036)=0,0,VLOOKUP(D1036,'Справочник соответствий'!A$2:D$2981,2,FALSE)))</f>
        <v>1</v>
      </c>
      <c r="K1036" s="3">
        <f t="shared" si="112"/>
        <v>5</v>
      </c>
      <c r="L1036" s="13" t="str">
        <f>IFERROR(VLOOKUP(C1036,'Справочник соответствий'!A$2:D$2981,3,FALSE),IF(VALUE(C1036)=0,"ЭТАЖ НЕ ОПРЕДЕЛЕН. ПРИНЯТ ПО ДОПУЩЕНИЮ 1",VLOOKUP(C1036,'Справочник соответствий'!A$2:D$2981,3,FALSE)))</f>
        <v>ЭТАЖ ЗАДАН ЧИСЛОМ</v>
      </c>
      <c r="M1036" s="13" t="b">
        <f t="shared" si="113"/>
        <v>0</v>
      </c>
      <c r="N1036" s="13">
        <f t="shared" si="114"/>
        <v>5</v>
      </c>
      <c r="O1036" s="13" t="str">
        <f t="shared" si="115"/>
        <v>ЭТАЖ ЗАДАН ЧИСЛОМ</v>
      </c>
      <c r="P1036" s="13" t="str">
        <f t="shared" si="116"/>
        <v>МКД_ЭТАЖ ЗАДАН ЧИСЛОМ</v>
      </c>
      <c r="Q1036" s="13" t="str">
        <f t="shared" si="117"/>
        <v>ГОТОВ_ИЗМЕНЕН</v>
      </c>
      <c r="R1036" s="13">
        <f>IFERROR(VLOOKUP(P1036,Лист1!A$1:B$20,2,FALSE),0)</f>
        <v>786</v>
      </c>
      <c r="S1036" s="13">
        <f t="shared" si="118"/>
        <v>6</v>
      </c>
    </row>
    <row r="1037" spans="1:19" x14ac:dyDescent="0.25">
      <c r="A1037" s="24" t="s">
        <v>2152</v>
      </c>
      <c r="B1037" s="4" t="s">
        <v>1063</v>
      </c>
      <c r="C1037" s="25" t="s">
        <v>5</v>
      </c>
      <c r="E1037" s="3">
        <v>1</v>
      </c>
      <c r="F1037" s="24" t="s">
        <v>1045</v>
      </c>
      <c r="G1037" s="25" t="s">
        <v>1072</v>
      </c>
      <c r="H1037" s="24" t="s">
        <v>1061</v>
      </c>
      <c r="I1037" s="3" t="str">
        <f>IFERROR(VLOOKUP(C1037,'Справочник соответствий'!A$2:D$2981,2,FALSE),IF(VALUE(C1037)=0,1,VLOOKUP(C1037,'Справочник соответствий'!A$2:D$2981,2,FALSE)))</f>
        <v>1</v>
      </c>
      <c r="J1037" s="3">
        <f>IFERROR(VLOOKUP(D1037,'Справочник соответствий'!A$2:D$2981,2,FALSE),IF(VALUE(D1037)=0,0,VLOOKUP(D1037,'Справочник соответствий'!A$2:D$2981,2,FALSE)))</f>
        <v>0</v>
      </c>
      <c r="K1037" s="3" t="str">
        <f t="shared" si="112"/>
        <v>1</v>
      </c>
      <c r="L1037" s="13" t="str">
        <f>IFERROR(VLOOKUP(C1037,'Справочник соответствий'!A$2:D$2981,3,FALSE),IF(VALUE(C1037)=0,"ЭТАЖ НЕ ОПРЕДЕЛЕН. ПРИНЯТ ПО ДОПУЩЕНИЮ 1",VLOOKUP(C1037,'Справочник соответствий'!A$2:D$2981,3,FALSE)))</f>
        <v>ЭТАЖ ЗАДАН ЧИСЛОМ</v>
      </c>
      <c r="M1037" s="13" t="b">
        <f t="shared" si="113"/>
        <v>0</v>
      </c>
      <c r="N1037" s="13">
        <f t="shared" si="114"/>
        <v>1</v>
      </c>
      <c r="O1037" s="13" t="str">
        <f t="shared" si="115"/>
        <v>ЭТАЖ ЗАДАН ЧИСЛОМ</v>
      </c>
      <c r="P1037" s="13" t="str">
        <f t="shared" si="116"/>
        <v>ЭТАЖ ЗАДАН ЧИСЛОМ</v>
      </c>
      <c r="Q1037" s="13" t="str">
        <f t="shared" si="117"/>
        <v>ГОТОВ</v>
      </c>
      <c r="R1037" s="13">
        <f>IFERROR(VLOOKUP(P1037,Лист1!A$1:B$20,2,FALSE),0)</f>
        <v>784</v>
      </c>
      <c r="S1037" s="13">
        <f t="shared" si="118"/>
        <v>1</v>
      </c>
    </row>
    <row r="1038" spans="1:19" x14ac:dyDescent="0.25">
      <c r="A1038" s="24" t="s">
        <v>2153</v>
      </c>
      <c r="B1038" s="4" t="s">
        <v>1059</v>
      </c>
      <c r="C1038" s="25" t="s">
        <v>8</v>
      </c>
      <c r="E1038" s="3">
        <v>3</v>
      </c>
      <c r="F1038" s="24" t="s">
        <v>1045</v>
      </c>
      <c r="G1038" s="25" t="s">
        <v>1083</v>
      </c>
      <c r="H1038" s="24" t="s">
        <v>1061</v>
      </c>
      <c r="I1038" s="3" t="str">
        <f>IFERROR(VLOOKUP(C1038,'Справочник соответствий'!A$2:D$2981,2,FALSE),IF(VALUE(C1038)=0,1,VLOOKUP(C1038,'Справочник соответствий'!A$2:D$2981,2,FALSE)))</f>
        <v>3</v>
      </c>
      <c r="J1038" s="3">
        <f>IFERROR(VLOOKUP(D1038,'Справочник соответствий'!A$2:D$2981,2,FALSE),IF(VALUE(D1038)=0,0,VLOOKUP(D1038,'Справочник соответствий'!A$2:D$2981,2,FALSE)))</f>
        <v>0</v>
      </c>
      <c r="K1038" s="3" t="str">
        <f t="shared" si="112"/>
        <v>3</v>
      </c>
      <c r="L1038" s="13" t="str">
        <f>IFERROR(VLOOKUP(C1038,'Справочник соответствий'!A$2:D$2981,3,FALSE),IF(VALUE(C1038)=0,"ЭТАЖ НЕ ОПРЕДЕЛЕН. ПРИНЯТ ПО ДОПУЩЕНИЮ 1",VLOOKUP(C1038,'Справочник соответствий'!A$2:D$2981,3,FALSE)))</f>
        <v>ЭТАЖ ЗАДАН ЧИСЛОМ</v>
      </c>
      <c r="M1038" s="13" t="b">
        <f t="shared" si="113"/>
        <v>0</v>
      </c>
      <c r="N1038" s="13">
        <f t="shared" si="114"/>
        <v>3</v>
      </c>
      <c r="O1038" s="13" t="str">
        <f t="shared" si="115"/>
        <v>ЭТАЖ ЗАДАН ЧИСЛОМ</v>
      </c>
      <c r="P1038" s="13" t="str">
        <f t="shared" si="116"/>
        <v>ЭТАЖ ЗАДАН ЧИСЛОМ</v>
      </c>
      <c r="Q1038" s="13" t="str">
        <f t="shared" si="117"/>
        <v>ГОТОВ</v>
      </c>
      <c r="R1038" s="13">
        <f>IFERROR(VLOOKUP(P1038,Лист1!A$1:B$20,2,FALSE),0)</f>
        <v>784</v>
      </c>
      <c r="S1038" s="13">
        <f t="shared" si="118"/>
        <v>3</v>
      </c>
    </row>
    <row r="1039" spans="1:19" x14ac:dyDescent="0.25">
      <c r="A1039" s="24" t="s">
        <v>2154</v>
      </c>
      <c r="B1039" s="4" t="s">
        <v>1031</v>
      </c>
      <c r="C1039" s="25" t="s">
        <v>16</v>
      </c>
      <c r="E1039" s="3">
        <v>5</v>
      </c>
      <c r="F1039" s="24" t="s">
        <v>1727</v>
      </c>
      <c r="G1039" s="25" t="s">
        <v>1075</v>
      </c>
      <c r="H1039" s="24" t="s">
        <v>1061</v>
      </c>
      <c r="I1039" s="3" t="str">
        <f>IFERROR(VLOOKUP(C1039,'Справочник соответствий'!A$2:D$2981,2,FALSE),IF(VALUE(C1039)=0,1,VLOOKUP(C1039,'Справочник соответствий'!A$2:D$2981,2,FALSE)))</f>
        <v>5</v>
      </c>
      <c r="J1039" s="3">
        <f>IFERROR(VLOOKUP(D1039,'Справочник соответствий'!A$2:D$2981,2,FALSE),IF(VALUE(D1039)=0,0,VLOOKUP(D1039,'Справочник соответствий'!A$2:D$2981,2,FALSE)))</f>
        <v>0</v>
      </c>
      <c r="K1039" s="3">
        <f t="shared" si="112"/>
        <v>5</v>
      </c>
      <c r="L1039" s="13" t="str">
        <f>IFERROR(VLOOKUP(C1039,'Справочник соответствий'!A$2:D$2981,3,FALSE),IF(VALUE(C1039)=0,"ЭТАЖ НЕ ОПРЕДЕЛЕН. ПРИНЯТ ПО ДОПУЩЕНИЮ 1",VLOOKUP(C1039,'Справочник соответствий'!A$2:D$2981,3,FALSE)))</f>
        <v>ЭТАЖ ЗАДАН ЧИСЛОМ</v>
      </c>
      <c r="M1039" s="13" t="b">
        <f t="shared" si="113"/>
        <v>0</v>
      </c>
      <c r="N1039" s="13">
        <f t="shared" si="114"/>
        <v>5</v>
      </c>
      <c r="O1039" s="13" t="str">
        <f t="shared" si="115"/>
        <v>ЭТАЖ ЗАДАН ЧИСЛОМ</v>
      </c>
      <c r="P1039" s="13" t="str">
        <f t="shared" si="116"/>
        <v>МКД_ЭТАЖ ЗАДАН ЧИСЛОМ</v>
      </c>
      <c r="Q1039" s="13" t="str">
        <f t="shared" si="117"/>
        <v>ГОТОВ</v>
      </c>
      <c r="R1039" s="13">
        <f>IFERROR(VLOOKUP(P1039,Лист1!A$1:B$20,2,FALSE),0)</f>
        <v>786</v>
      </c>
      <c r="S1039" s="13">
        <f t="shared" si="118"/>
        <v>5</v>
      </c>
    </row>
    <row r="1040" spans="1:19" x14ac:dyDescent="0.25">
      <c r="A1040" s="24" t="s">
        <v>2155</v>
      </c>
      <c r="B1040" s="4" t="s">
        <v>1059</v>
      </c>
      <c r="C1040" s="25" t="s">
        <v>5</v>
      </c>
      <c r="E1040" s="3">
        <v>1</v>
      </c>
      <c r="F1040" s="24" t="s">
        <v>1045</v>
      </c>
      <c r="G1040" s="25" t="s">
        <v>1086</v>
      </c>
      <c r="H1040" s="24" t="s">
        <v>1061</v>
      </c>
      <c r="I1040" s="3" t="str">
        <f>IFERROR(VLOOKUP(C1040,'Справочник соответствий'!A$2:D$2981,2,FALSE),IF(VALUE(C1040)=0,1,VLOOKUP(C1040,'Справочник соответствий'!A$2:D$2981,2,FALSE)))</f>
        <v>1</v>
      </c>
      <c r="J1040" s="3">
        <f>IFERROR(VLOOKUP(D1040,'Справочник соответствий'!A$2:D$2981,2,FALSE),IF(VALUE(D1040)=0,0,VLOOKUP(D1040,'Справочник соответствий'!A$2:D$2981,2,FALSE)))</f>
        <v>0</v>
      </c>
      <c r="K1040" s="3" t="str">
        <f t="shared" si="112"/>
        <v>1</v>
      </c>
      <c r="L1040" s="13" t="str">
        <f>IFERROR(VLOOKUP(C1040,'Справочник соответствий'!A$2:D$2981,3,FALSE),IF(VALUE(C1040)=0,"ЭТАЖ НЕ ОПРЕДЕЛЕН. ПРИНЯТ ПО ДОПУЩЕНИЮ 1",VLOOKUP(C1040,'Справочник соответствий'!A$2:D$2981,3,FALSE)))</f>
        <v>ЭТАЖ ЗАДАН ЧИСЛОМ</v>
      </c>
      <c r="M1040" s="13" t="b">
        <f t="shared" si="113"/>
        <v>0</v>
      </c>
      <c r="N1040" s="13">
        <f t="shared" si="114"/>
        <v>1</v>
      </c>
      <c r="O1040" s="13" t="str">
        <f t="shared" si="115"/>
        <v>ЭТАЖ ЗАДАН ЧИСЛОМ</v>
      </c>
      <c r="P1040" s="13" t="str">
        <f t="shared" si="116"/>
        <v>ЭТАЖ ЗАДАН ЧИСЛОМ</v>
      </c>
      <c r="Q1040" s="13" t="str">
        <f t="shared" si="117"/>
        <v>ГОТОВ</v>
      </c>
      <c r="R1040" s="13">
        <f>IFERROR(VLOOKUP(P1040,Лист1!A$1:B$20,2,FALSE),0)</f>
        <v>784</v>
      </c>
      <c r="S1040" s="13">
        <f t="shared" si="118"/>
        <v>1</v>
      </c>
    </row>
    <row r="1041" spans="1:19" x14ac:dyDescent="0.25">
      <c r="A1041" s="24" t="s">
        <v>2156</v>
      </c>
      <c r="B1041" s="4" t="s">
        <v>1059</v>
      </c>
      <c r="C1041" s="25" t="s">
        <v>5</v>
      </c>
      <c r="E1041" s="3">
        <v>1</v>
      </c>
      <c r="F1041" s="24" t="s">
        <v>1320</v>
      </c>
      <c r="G1041" s="25" t="s">
        <v>1089</v>
      </c>
      <c r="H1041" s="24" t="s">
        <v>1061</v>
      </c>
      <c r="I1041" s="3" t="str">
        <f>IFERROR(VLOOKUP(C1041,'Справочник соответствий'!A$2:D$2981,2,FALSE),IF(VALUE(C1041)=0,1,VLOOKUP(C1041,'Справочник соответствий'!A$2:D$2981,2,FALSE)))</f>
        <v>1</v>
      </c>
      <c r="J1041" s="3">
        <f>IFERROR(VLOOKUP(D1041,'Справочник соответствий'!A$2:D$2981,2,FALSE),IF(VALUE(D1041)=0,0,VLOOKUP(D1041,'Справочник соответствий'!A$2:D$2981,2,FALSE)))</f>
        <v>0</v>
      </c>
      <c r="K1041" s="3" t="str">
        <f t="shared" si="112"/>
        <v>1</v>
      </c>
      <c r="L1041" s="13" t="str">
        <f>IFERROR(VLOOKUP(C1041,'Справочник соответствий'!A$2:D$2981,3,FALSE),IF(VALUE(C1041)=0,"ЭТАЖ НЕ ОПРЕДЕЛЕН. ПРИНЯТ ПО ДОПУЩЕНИЮ 1",VLOOKUP(C1041,'Справочник соответствий'!A$2:D$2981,3,FALSE)))</f>
        <v>ЭТАЖ ЗАДАН ЧИСЛОМ</v>
      </c>
      <c r="M1041" s="13" t="b">
        <f t="shared" si="113"/>
        <v>0</v>
      </c>
      <c r="N1041" s="13">
        <f t="shared" si="114"/>
        <v>1</v>
      </c>
      <c r="O1041" s="13" t="str">
        <f t="shared" si="115"/>
        <v>ЭТАЖ ЗАДАН ЧИСЛОМ</v>
      </c>
      <c r="P1041" s="13" t="str">
        <f t="shared" si="116"/>
        <v>ЭТАЖ ЗАДАН ЧИСЛОМ</v>
      </c>
      <c r="Q1041" s="13" t="str">
        <f t="shared" si="117"/>
        <v>ГОТОВ</v>
      </c>
      <c r="R1041" s="13">
        <f>IFERROR(VLOOKUP(P1041,Лист1!A$1:B$20,2,FALSE),0)</f>
        <v>784</v>
      </c>
      <c r="S1041" s="13">
        <f t="shared" si="118"/>
        <v>1</v>
      </c>
    </row>
    <row r="1042" spans="1:19" x14ac:dyDescent="0.25">
      <c r="A1042" s="24" t="s">
        <v>2157</v>
      </c>
      <c r="B1042" s="4" t="s">
        <v>1031</v>
      </c>
      <c r="C1042" s="25" t="s">
        <v>16</v>
      </c>
      <c r="E1042" s="3">
        <v>5</v>
      </c>
      <c r="F1042" s="24" t="s">
        <v>1045</v>
      </c>
      <c r="G1042" s="25" t="s">
        <v>1075</v>
      </c>
      <c r="H1042" s="24" t="s">
        <v>1061</v>
      </c>
      <c r="I1042" s="3" t="str">
        <f>IFERROR(VLOOKUP(C1042,'Справочник соответствий'!A$2:D$2981,2,FALSE),IF(VALUE(C1042)=0,1,VLOOKUP(C1042,'Справочник соответствий'!A$2:D$2981,2,FALSE)))</f>
        <v>5</v>
      </c>
      <c r="J1042" s="3">
        <f>IFERROR(VLOOKUP(D1042,'Справочник соответствий'!A$2:D$2981,2,FALSE),IF(VALUE(D1042)=0,0,VLOOKUP(D1042,'Справочник соответствий'!A$2:D$2981,2,FALSE)))</f>
        <v>0</v>
      </c>
      <c r="K1042" s="3">
        <f t="shared" si="112"/>
        <v>5</v>
      </c>
      <c r="L1042" s="13" t="str">
        <f>IFERROR(VLOOKUP(C1042,'Справочник соответствий'!A$2:D$2981,3,FALSE),IF(VALUE(C1042)=0,"ЭТАЖ НЕ ОПРЕДЕЛЕН. ПРИНЯТ ПО ДОПУЩЕНИЮ 1",VLOOKUP(C1042,'Справочник соответствий'!A$2:D$2981,3,FALSE)))</f>
        <v>ЭТАЖ ЗАДАН ЧИСЛОМ</v>
      </c>
      <c r="M1042" s="13" t="b">
        <f t="shared" si="113"/>
        <v>0</v>
      </c>
      <c r="N1042" s="13">
        <f t="shared" si="114"/>
        <v>5</v>
      </c>
      <c r="O1042" s="13" t="str">
        <f t="shared" si="115"/>
        <v>ЭТАЖ ЗАДАН ЧИСЛОМ</v>
      </c>
      <c r="P1042" s="13" t="str">
        <f t="shared" si="116"/>
        <v>МКД_ЭТАЖ ЗАДАН ЧИСЛОМ</v>
      </c>
      <c r="Q1042" s="13" t="str">
        <f t="shared" si="117"/>
        <v>ГОТОВ</v>
      </c>
      <c r="R1042" s="13">
        <f>IFERROR(VLOOKUP(P1042,Лист1!A$1:B$20,2,FALSE),0)</f>
        <v>786</v>
      </c>
      <c r="S1042" s="13">
        <f t="shared" si="118"/>
        <v>5</v>
      </c>
    </row>
    <row r="1043" spans="1:19" x14ac:dyDescent="0.25">
      <c r="A1043" s="24" t="s">
        <v>2158</v>
      </c>
      <c r="B1043" s="4" t="s">
        <v>1031</v>
      </c>
      <c r="C1043" s="25" t="s">
        <v>5</v>
      </c>
      <c r="E1043" s="3">
        <v>1</v>
      </c>
      <c r="F1043" s="24" t="s">
        <v>1045</v>
      </c>
      <c r="G1043" s="25" t="s">
        <v>1108</v>
      </c>
      <c r="H1043" s="24" t="s">
        <v>1061</v>
      </c>
      <c r="I1043" s="3" t="str">
        <f>IFERROR(VLOOKUP(C1043,'Справочник соответствий'!A$2:D$2981,2,FALSE),IF(VALUE(C1043)=0,1,VLOOKUP(C1043,'Справочник соответствий'!A$2:D$2981,2,FALSE)))</f>
        <v>1</v>
      </c>
      <c r="J1043" s="3">
        <f>IFERROR(VLOOKUP(D1043,'Справочник соответствий'!A$2:D$2981,2,FALSE),IF(VALUE(D1043)=0,0,VLOOKUP(D1043,'Справочник соответствий'!A$2:D$2981,2,FALSE)))</f>
        <v>0</v>
      </c>
      <c r="K1043" s="3">
        <f t="shared" si="112"/>
        <v>1</v>
      </c>
      <c r="L1043" s="13" t="str">
        <f>IFERROR(VLOOKUP(C1043,'Справочник соответствий'!A$2:D$2981,3,FALSE),IF(VALUE(C1043)=0,"ЭТАЖ НЕ ОПРЕДЕЛЕН. ПРИНЯТ ПО ДОПУЩЕНИЮ 1",VLOOKUP(C1043,'Справочник соответствий'!A$2:D$2981,3,FALSE)))</f>
        <v>ЭТАЖ ЗАДАН ЧИСЛОМ</v>
      </c>
      <c r="M1043" s="13" t="b">
        <f t="shared" si="113"/>
        <v>0</v>
      </c>
      <c r="N1043" s="13">
        <f t="shared" si="114"/>
        <v>1</v>
      </c>
      <c r="O1043" s="13" t="str">
        <f t="shared" si="115"/>
        <v>ЭТАЖ ЗАДАН ЧИСЛОМ</v>
      </c>
      <c r="P1043" s="13" t="str">
        <f t="shared" si="116"/>
        <v>МКД_ЭТАЖ ЗАДАН ЧИСЛОМ</v>
      </c>
      <c r="Q1043" s="13" t="str">
        <f t="shared" si="117"/>
        <v>ГОТОВ</v>
      </c>
      <c r="R1043" s="13">
        <f>IFERROR(VLOOKUP(P1043,Лист1!A$1:B$20,2,FALSE),0)</f>
        <v>786</v>
      </c>
      <c r="S1043" s="13">
        <f t="shared" si="118"/>
        <v>1</v>
      </c>
    </row>
    <row r="1044" spans="1:19" x14ac:dyDescent="0.25">
      <c r="A1044" s="24" t="s">
        <v>2159</v>
      </c>
      <c r="B1044" s="4" t="s">
        <v>1059</v>
      </c>
      <c r="C1044" s="25" t="s">
        <v>5</v>
      </c>
      <c r="E1044" s="3">
        <v>1</v>
      </c>
      <c r="F1044" s="24" t="s">
        <v>1045</v>
      </c>
      <c r="G1044" s="25" t="s">
        <v>1325</v>
      </c>
      <c r="H1044" s="24" t="s">
        <v>1061</v>
      </c>
      <c r="I1044" s="3" t="str">
        <f>IFERROR(VLOOKUP(C1044,'Справочник соответствий'!A$2:D$2981,2,FALSE),IF(VALUE(C1044)=0,1,VLOOKUP(C1044,'Справочник соответствий'!A$2:D$2981,2,FALSE)))</f>
        <v>1</v>
      </c>
      <c r="J1044" s="3">
        <f>IFERROR(VLOOKUP(D1044,'Справочник соответствий'!A$2:D$2981,2,FALSE),IF(VALUE(D1044)=0,0,VLOOKUP(D1044,'Справочник соответствий'!A$2:D$2981,2,FALSE)))</f>
        <v>0</v>
      </c>
      <c r="K1044" s="3" t="str">
        <f t="shared" si="112"/>
        <v>1</v>
      </c>
      <c r="L1044" s="13" t="str">
        <f>IFERROR(VLOOKUP(C1044,'Справочник соответствий'!A$2:D$2981,3,FALSE),IF(VALUE(C1044)=0,"ЭТАЖ НЕ ОПРЕДЕЛЕН. ПРИНЯТ ПО ДОПУЩЕНИЮ 1",VLOOKUP(C1044,'Справочник соответствий'!A$2:D$2981,3,FALSE)))</f>
        <v>ЭТАЖ ЗАДАН ЧИСЛОМ</v>
      </c>
      <c r="M1044" s="13" t="b">
        <f t="shared" si="113"/>
        <v>0</v>
      </c>
      <c r="N1044" s="13">
        <f t="shared" si="114"/>
        <v>1</v>
      </c>
      <c r="O1044" s="13" t="str">
        <f t="shared" si="115"/>
        <v>ЭТАЖ ЗАДАН ЧИСЛОМ</v>
      </c>
      <c r="P1044" s="13" t="str">
        <f t="shared" si="116"/>
        <v>ЭТАЖ ЗАДАН ЧИСЛОМ</v>
      </c>
      <c r="Q1044" s="13" t="str">
        <f t="shared" si="117"/>
        <v>ГОТОВ</v>
      </c>
      <c r="R1044" s="13">
        <f>IFERROR(VLOOKUP(P1044,Лист1!A$1:B$20,2,FALSE),0)</f>
        <v>784</v>
      </c>
      <c r="S1044" s="13">
        <f t="shared" si="118"/>
        <v>1</v>
      </c>
    </row>
    <row r="1045" spans="1:19" x14ac:dyDescent="0.25">
      <c r="A1045" s="24" t="s">
        <v>2160</v>
      </c>
      <c r="B1045" s="4" t="s">
        <v>1059</v>
      </c>
      <c r="C1045" s="25" t="s">
        <v>5</v>
      </c>
      <c r="D1045" s="25" t="s">
        <v>24</v>
      </c>
      <c r="E1045" s="3">
        <v>1</v>
      </c>
      <c r="F1045" s="24" t="s">
        <v>1045</v>
      </c>
      <c r="G1045" s="25" t="s">
        <v>1108</v>
      </c>
      <c r="H1045" s="24" t="s">
        <v>1061</v>
      </c>
      <c r="I1045" s="3" t="str">
        <f>IFERROR(VLOOKUP(C1045,'Справочник соответствий'!A$2:D$2981,2,FALSE),IF(VALUE(C1045)=0,1,VLOOKUP(C1045,'Справочник соответствий'!A$2:D$2981,2,FALSE)))</f>
        <v>1</v>
      </c>
      <c r="J1045" s="3" t="str">
        <f>IFERROR(VLOOKUP(D1045,'Справочник соответствий'!A$2:D$2981,2,FALSE),IF(VALUE(D1045)=0,0,VLOOKUP(D1045,'Справочник соответствий'!A$2:D$2981,2,FALSE)))</f>
        <v>1</v>
      </c>
      <c r="K1045" s="3" t="str">
        <f t="shared" si="112"/>
        <v>1</v>
      </c>
      <c r="L1045" s="13" t="str">
        <f>IFERROR(VLOOKUP(C1045,'Справочник соответствий'!A$2:D$2981,3,FALSE),IF(VALUE(C1045)=0,"ЭТАЖ НЕ ОПРЕДЕЛЕН. ПРИНЯТ ПО ДОПУЩЕНИЮ 1",VLOOKUP(C1045,'Справочник соответствий'!A$2:D$2981,3,FALSE)))</f>
        <v>ЭТАЖ ЗАДАН ЧИСЛОМ</v>
      </c>
      <c r="M1045" s="13" t="b">
        <f t="shared" si="113"/>
        <v>0</v>
      </c>
      <c r="N1045" s="13">
        <f t="shared" si="114"/>
        <v>1</v>
      </c>
      <c r="O1045" s="13" t="str">
        <f t="shared" si="115"/>
        <v>ЭТАЖ ЗАДАН ЧИСЛОМ</v>
      </c>
      <c r="P1045" s="13" t="str">
        <f t="shared" si="116"/>
        <v>ЭТАЖ ЗАДАН ЧИСЛОМ</v>
      </c>
      <c r="Q1045" s="13" t="str">
        <f t="shared" si="117"/>
        <v>ГОТОВ</v>
      </c>
      <c r="R1045" s="13">
        <f>IFERROR(VLOOKUP(P1045,Лист1!A$1:B$20,2,FALSE),0)</f>
        <v>784</v>
      </c>
      <c r="S1045" s="13">
        <f t="shared" si="118"/>
        <v>1</v>
      </c>
    </row>
    <row r="1046" spans="1:19" x14ac:dyDescent="0.25">
      <c r="A1046" s="24" t="s">
        <v>2161</v>
      </c>
      <c r="B1046" s="4" t="s">
        <v>1059</v>
      </c>
      <c r="C1046" s="25" t="s">
        <v>5</v>
      </c>
      <c r="E1046" s="3">
        <v>1</v>
      </c>
      <c r="F1046" s="24" t="s">
        <v>1082</v>
      </c>
      <c r="G1046" s="25" t="s">
        <v>1072</v>
      </c>
      <c r="H1046" s="24" t="s">
        <v>1061</v>
      </c>
      <c r="I1046" s="3" t="str">
        <f>IFERROR(VLOOKUP(C1046,'Справочник соответствий'!A$2:D$2981,2,FALSE),IF(VALUE(C1046)=0,1,VLOOKUP(C1046,'Справочник соответствий'!A$2:D$2981,2,FALSE)))</f>
        <v>1</v>
      </c>
      <c r="J1046" s="3">
        <f>IFERROR(VLOOKUP(D1046,'Справочник соответствий'!A$2:D$2981,2,FALSE),IF(VALUE(D1046)=0,0,VLOOKUP(D1046,'Справочник соответствий'!A$2:D$2981,2,FALSE)))</f>
        <v>0</v>
      </c>
      <c r="K1046" s="3" t="str">
        <f t="shared" si="112"/>
        <v>1</v>
      </c>
      <c r="L1046" s="13" t="str">
        <f>IFERROR(VLOOKUP(C1046,'Справочник соответствий'!A$2:D$2981,3,FALSE),IF(VALUE(C1046)=0,"ЭТАЖ НЕ ОПРЕДЕЛЕН. ПРИНЯТ ПО ДОПУЩЕНИЮ 1",VLOOKUP(C1046,'Справочник соответствий'!A$2:D$2981,3,FALSE)))</f>
        <v>ЭТАЖ ЗАДАН ЧИСЛОМ</v>
      </c>
      <c r="M1046" s="13" t="b">
        <f t="shared" si="113"/>
        <v>0</v>
      </c>
      <c r="N1046" s="13">
        <f t="shared" si="114"/>
        <v>1</v>
      </c>
      <c r="O1046" s="13" t="str">
        <f t="shared" si="115"/>
        <v>ЭТАЖ ЗАДАН ЧИСЛОМ</v>
      </c>
      <c r="P1046" s="13" t="str">
        <f t="shared" si="116"/>
        <v>ЭТАЖ ЗАДАН ЧИСЛОМ</v>
      </c>
      <c r="Q1046" s="13" t="str">
        <f t="shared" si="117"/>
        <v>ГОТОВ</v>
      </c>
      <c r="R1046" s="13">
        <f>IFERROR(VLOOKUP(P1046,Лист1!A$1:B$20,2,FALSE),0)</f>
        <v>784</v>
      </c>
      <c r="S1046" s="13">
        <f t="shared" si="118"/>
        <v>1</v>
      </c>
    </row>
    <row r="1047" spans="1:19" x14ac:dyDescent="0.25">
      <c r="A1047" s="24" t="s">
        <v>2162</v>
      </c>
      <c r="B1047" s="4" t="s">
        <v>1059</v>
      </c>
      <c r="C1047" s="25" t="s">
        <v>5</v>
      </c>
      <c r="E1047" s="3">
        <v>1</v>
      </c>
      <c r="F1047" s="24" t="s">
        <v>1045</v>
      </c>
      <c r="G1047" s="25" t="s">
        <v>1069</v>
      </c>
      <c r="H1047" s="24" t="s">
        <v>1061</v>
      </c>
      <c r="I1047" s="3" t="str">
        <f>IFERROR(VLOOKUP(C1047,'Справочник соответствий'!A$2:D$2981,2,FALSE),IF(VALUE(C1047)=0,1,VLOOKUP(C1047,'Справочник соответствий'!A$2:D$2981,2,FALSE)))</f>
        <v>1</v>
      </c>
      <c r="J1047" s="3">
        <f>IFERROR(VLOOKUP(D1047,'Справочник соответствий'!A$2:D$2981,2,FALSE),IF(VALUE(D1047)=0,0,VLOOKUP(D1047,'Справочник соответствий'!A$2:D$2981,2,FALSE)))</f>
        <v>0</v>
      </c>
      <c r="K1047" s="3" t="str">
        <f t="shared" si="112"/>
        <v>1</v>
      </c>
      <c r="L1047" s="13" t="str">
        <f>IFERROR(VLOOKUP(C1047,'Справочник соответствий'!A$2:D$2981,3,FALSE),IF(VALUE(C1047)=0,"ЭТАЖ НЕ ОПРЕДЕЛЕН. ПРИНЯТ ПО ДОПУЩЕНИЮ 1",VLOOKUP(C1047,'Справочник соответствий'!A$2:D$2981,3,FALSE)))</f>
        <v>ЭТАЖ ЗАДАН ЧИСЛОМ</v>
      </c>
      <c r="M1047" s="13" t="b">
        <f t="shared" si="113"/>
        <v>0</v>
      </c>
      <c r="N1047" s="13">
        <f t="shared" si="114"/>
        <v>1</v>
      </c>
      <c r="O1047" s="13" t="str">
        <f t="shared" si="115"/>
        <v>ЭТАЖ ЗАДАН ЧИСЛОМ</v>
      </c>
      <c r="P1047" s="13" t="str">
        <f t="shared" si="116"/>
        <v>ЭТАЖ ЗАДАН ЧИСЛОМ</v>
      </c>
      <c r="Q1047" s="13" t="str">
        <f t="shared" si="117"/>
        <v>ГОТОВ</v>
      </c>
      <c r="R1047" s="13">
        <f>IFERROR(VLOOKUP(P1047,Лист1!A$1:B$20,2,FALSE),0)</f>
        <v>784</v>
      </c>
      <c r="S1047" s="13">
        <f t="shared" si="118"/>
        <v>1</v>
      </c>
    </row>
    <row r="1048" spans="1:19" x14ac:dyDescent="0.25">
      <c r="A1048" s="24" t="s">
        <v>2163</v>
      </c>
      <c r="B1048" s="4" t="s">
        <v>1031</v>
      </c>
      <c r="C1048" s="25" t="s">
        <v>7</v>
      </c>
      <c r="E1048" s="3">
        <v>2</v>
      </c>
      <c r="F1048" s="24" t="s">
        <v>1074</v>
      </c>
      <c r="G1048" s="25" t="s">
        <v>1075</v>
      </c>
      <c r="H1048" s="24" t="s">
        <v>1061</v>
      </c>
      <c r="I1048" s="3" t="str">
        <f>IFERROR(VLOOKUP(C1048,'Справочник соответствий'!A$2:D$2981,2,FALSE),IF(VALUE(C1048)=0,1,VLOOKUP(C1048,'Справочник соответствий'!A$2:D$2981,2,FALSE)))</f>
        <v>2</v>
      </c>
      <c r="J1048" s="3">
        <f>IFERROR(VLOOKUP(D1048,'Справочник соответствий'!A$2:D$2981,2,FALSE),IF(VALUE(D1048)=0,0,VLOOKUP(D1048,'Справочник соответствий'!A$2:D$2981,2,FALSE)))</f>
        <v>0</v>
      </c>
      <c r="K1048" s="3">
        <f t="shared" si="112"/>
        <v>2</v>
      </c>
      <c r="L1048" s="13" t="str">
        <f>IFERROR(VLOOKUP(C1048,'Справочник соответствий'!A$2:D$2981,3,FALSE),IF(VALUE(C1048)=0,"ЭТАЖ НЕ ОПРЕДЕЛЕН. ПРИНЯТ ПО ДОПУЩЕНИЮ 1",VLOOKUP(C1048,'Справочник соответствий'!A$2:D$2981,3,FALSE)))</f>
        <v>ЭТАЖ ЗАДАН ЧИСЛОМ</v>
      </c>
      <c r="M1048" s="13" t="b">
        <f t="shared" si="113"/>
        <v>0</v>
      </c>
      <c r="N1048" s="13">
        <f t="shared" si="114"/>
        <v>2</v>
      </c>
      <c r="O1048" s="13" t="str">
        <f t="shared" si="115"/>
        <v>ЭТАЖ ЗАДАН ЧИСЛОМ</v>
      </c>
      <c r="P1048" s="13" t="str">
        <f t="shared" si="116"/>
        <v>МКД_ЭТАЖ ЗАДАН ЧИСЛОМ</v>
      </c>
      <c r="Q1048" s="13" t="str">
        <f t="shared" si="117"/>
        <v>ГОТОВ</v>
      </c>
      <c r="R1048" s="13">
        <f>IFERROR(VLOOKUP(P1048,Лист1!A$1:B$20,2,FALSE),0)</f>
        <v>786</v>
      </c>
      <c r="S1048" s="13">
        <f t="shared" si="118"/>
        <v>2</v>
      </c>
    </row>
    <row r="1049" spans="1:19" x14ac:dyDescent="0.25">
      <c r="A1049" s="24" t="s">
        <v>2164</v>
      </c>
      <c r="B1049" s="4" t="s">
        <v>1059</v>
      </c>
      <c r="C1049" s="25" t="s">
        <v>5</v>
      </c>
      <c r="E1049" s="3">
        <v>1</v>
      </c>
      <c r="F1049" s="24" t="s">
        <v>1045</v>
      </c>
      <c r="G1049" s="25" t="s">
        <v>1104</v>
      </c>
      <c r="H1049" s="24" t="s">
        <v>1061</v>
      </c>
      <c r="I1049" s="3" t="str">
        <f>IFERROR(VLOOKUP(C1049,'Справочник соответствий'!A$2:D$2981,2,FALSE),IF(VALUE(C1049)=0,1,VLOOKUP(C1049,'Справочник соответствий'!A$2:D$2981,2,FALSE)))</f>
        <v>1</v>
      </c>
      <c r="J1049" s="3">
        <f>IFERROR(VLOOKUP(D1049,'Справочник соответствий'!A$2:D$2981,2,FALSE),IF(VALUE(D1049)=0,0,VLOOKUP(D1049,'Справочник соответствий'!A$2:D$2981,2,FALSE)))</f>
        <v>0</v>
      </c>
      <c r="K1049" s="3" t="str">
        <f t="shared" si="112"/>
        <v>1</v>
      </c>
      <c r="L1049" s="13" t="str">
        <f>IFERROR(VLOOKUP(C1049,'Справочник соответствий'!A$2:D$2981,3,FALSE),IF(VALUE(C1049)=0,"ЭТАЖ НЕ ОПРЕДЕЛЕН. ПРИНЯТ ПО ДОПУЩЕНИЮ 1",VLOOKUP(C1049,'Справочник соответствий'!A$2:D$2981,3,FALSE)))</f>
        <v>ЭТАЖ ЗАДАН ЧИСЛОМ</v>
      </c>
      <c r="M1049" s="13" t="b">
        <f t="shared" si="113"/>
        <v>0</v>
      </c>
      <c r="N1049" s="13">
        <f t="shared" si="114"/>
        <v>1</v>
      </c>
      <c r="O1049" s="13" t="str">
        <f t="shared" si="115"/>
        <v>ЭТАЖ ЗАДАН ЧИСЛОМ</v>
      </c>
      <c r="P1049" s="13" t="str">
        <f t="shared" si="116"/>
        <v>ЭТАЖ ЗАДАН ЧИСЛОМ</v>
      </c>
      <c r="Q1049" s="13" t="str">
        <f t="shared" si="117"/>
        <v>ГОТОВ</v>
      </c>
      <c r="R1049" s="13">
        <f>IFERROR(VLOOKUP(P1049,Лист1!A$1:B$20,2,FALSE),0)</f>
        <v>784</v>
      </c>
      <c r="S1049" s="13">
        <f t="shared" si="118"/>
        <v>1</v>
      </c>
    </row>
    <row r="1050" spans="1:19" x14ac:dyDescent="0.25">
      <c r="A1050" s="24" t="s">
        <v>2165</v>
      </c>
      <c r="B1050" s="4" t="s">
        <v>1059</v>
      </c>
      <c r="C1050" s="25" t="s">
        <v>5</v>
      </c>
      <c r="E1050" s="3">
        <v>1</v>
      </c>
      <c r="F1050" s="24" t="s">
        <v>1045</v>
      </c>
      <c r="G1050" s="25" t="s">
        <v>1072</v>
      </c>
      <c r="H1050" s="24" t="s">
        <v>1061</v>
      </c>
      <c r="I1050" s="3" t="str">
        <f>IFERROR(VLOOKUP(C1050,'Справочник соответствий'!A$2:D$2981,2,FALSE),IF(VALUE(C1050)=0,1,VLOOKUP(C1050,'Справочник соответствий'!A$2:D$2981,2,FALSE)))</f>
        <v>1</v>
      </c>
      <c r="J1050" s="3">
        <f>IFERROR(VLOOKUP(D1050,'Справочник соответствий'!A$2:D$2981,2,FALSE),IF(VALUE(D1050)=0,0,VLOOKUP(D1050,'Справочник соответствий'!A$2:D$2981,2,FALSE)))</f>
        <v>0</v>
      </c>
      <c r="K1050" s="3" t="str">
        <f t="shared" si="112"/>
        <v>1</v>
      </c>
      <c r="L1050" s="13" t="str">
        <f>IFERROR(VLOOKUP(C1050,'Справочник соответствий'!A$2:D$2981,3,FALSE),IF(VALUE(C1050)=0,"ЭТАЖ НЕ ОПРЕДЕЛЕН. ПРИНЯТ ПО ДОПУЩЕНИЮ 1",VLOOKUP(C1050,'Справочник соответствий'!A$2:D$2981,3,FALSE)))</f>
        <v>ЭТАЖ ЗАДАН ЧИСЛОМ</v>
      </c>
      <c r="M1050" s="13" t="b">
        <f t="shared" si="113"/>
        <v>0</v>
      </c>
      <c r="N1050" s="13">
        <f t="shared" si="114"/>
        <v>1</v>
      </c>
      <c r="O1050" s="13" t="str">
        <f t="shared" si="115"/>
        <v>ЭТАЖ ЗАДАН ЧИСЛОМ</v>
      </c>
      <c r="P1050" s="13" t="str">
        <f t="shared" si="116"/>
        <v>ЭТАЖ ЗАДАН ЧИСЛОМ</v>
      </c>
      <c r="Q1050" s="13" t="str">
        <f t="shared" si="117"/>
        <v>ГОТОВ</v>
      </c>
      <c r="R1050" s="13">
        <f>IFERROR(VLOOKUP(P1050,Лист1!A$1:B$20,2,FALSE),0)</f>
        <v>784</v>
      </c>
      <c r="S1050" s="13">
        <f t="shared" si="118"/>
        <v>1</v>
      </c>
    </row>
    <row r="1051" spans="1:19" x14ac:dyDescent="0.25">
      <c r="A1051" s="24" t="s">
        <v>2166</v>
      </c>
      <c r="B1051" s="4" t="s">
        <v>1031</v>
      </c>
      <c r="E1051" s="3">
        <v>1</v>
      </c>
      <c r="F1051" s="24" t="s">
        <v>1045</v>
      </c>
      <c r="G1051" s="25" t="s">
        <v>1080</v>
      </c>
      <c r="H1051" s="24" t="s">
        <v>1061</v>
      </c>
      <c r="I1051" s="3">
        <f>IFERROR(VLOOKUP(C1051,'Справочник соответствий'!A$2:D$2981,2,FALSE),IF(VALUE(C1051)=0,1,VLOOKUP(C1051,'Справочник соответствий'!A$2:D$2981,2,FALSE)))</f>
        <v>1</v>
      </c>
      <c r="J1051" s="3">
        <f>IFERROR(VLOOKUP(D1051,'Справочник соответствий'!A$2:D$2981,2,FALSE),IF(VALUE(D1051)=0,0,VLOOKUP(D1051,'Справочник соответствий'!A$2:D$2981,2,FALSE)))</f>
        <v>0</v>
      </c>
      <c r="K1051" s="3">
        <f t="shared" si="112"/>
        <v>1</v>
      </c>
      <c r="L1051" s="13" t="str">
        <f>IFERROR(VLOOKUP(C1051,'Справочник соответствий'!A$2:D$2981,3,FALSE),IF(VALUE(C1051)=0,"ЭТАЖ НЕ ОПРЕДЕЛЕН. ПРИНЯТ ПО ДОПУЩЕНИЮ 1",VLOOKUP(C1051,'Справочник соответствий'!A$2:D$2981,3,FALSE)))</f>
        <v>ЭТАЖ НЕ ОПРЕДЕЛЕН. ПРИНЯТ ПО ДОПУЩЕНИЮ 1</v>
      </c>
      <c r="M1051" s="13" t="b">
        <f t="shared" si="113"/>
        <v>1</v>
      </c>
      <c r="N1051" s="13">
        <f t="shared" si="114"/>
        <v>1</v>
      </c>
      <c r="O1051" s="13" t="str">
        <f t="shared" si="115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051" s="13" t="str">
        <f t="shared" si="116"/>
        <v>МКД_Значение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051" s="13" t="str">
        <f t="shared" si="117"/>
        <v>ГОТОВ</v>
      </c>
      <c r="R1051" s="13">
        <f>IFERROR(VLOOKUP(P1051,Лист1!A$1:B$20,2,FALSE),0)</f>
        <v>0</v>
      </c>
      <c r="S1051" s="13">
        <f t="shared" si="118"/>
        <v>1</v>
      </c>
    </row>
    <row r="1052" spans="1:19" x14ac:dyDescent="0.25">
      <c r="A1052" s="24" t="s">
        <v>2167</v>
      </c>
      <c r="B1052" s="4" t="s">
        <v>1063</v>
      </c>
      <c r="C1052" s="25" t="s">
        <v>5</v>
      </c>
      <c r="E1052" s="3">
        <v>1</v>
      </c>
      <c r="F1052" s="24" t="s">
        <v>1045</v>
      </c>
      <c r="G1052" s="25" t="s">
        <v>1698</v>
      </c>
      <c r="H1052" s="24" t="s">
        <v>1061</v>
      </c>
      <c r="I1052" s="3" t="str">
        <f>IFERROR(VLOOKUP(C1052,'Справочник соответствий'!A$2:D$2981,2,FALSE),IF(VALUE(C1052)=0,1,VLOOKUP(C1052,'Справочник соответствий'!A$2:D$2981,2,FALSE)))</f>
        <v>1</v>
      </c>
      <c r="J1052" s="3">
        <f>IFERROR(VLOOKUP(D1052,'Справочник соответствий'!A$2:D$2981,2,FALSE),IF(VALUE(D1052)=0,0,VLOOKUP(D1052,'Справочник соответствий'!A$2:D$2981,2,FALSE)))</f>
        <v>0</v>
      </c>
      <c r="K1052" s="3" t="str">
        <f t="shared" si="112"/>
        <v>1</v>
      </c>
      <c r="L1052" s="13" t="str">
        <f>IFERROR(VLOOKUP(C1052,'Справочник соответствий'!A$2:D$2981,3,FALSE),IF(VALUE(C1052)=0,"ЭТАЖ НЕ ОПРЕДЕЛЕН. ПРИНЯТ ПО ДОПУЩЕНИЮ 1",VLOOKUP(C1052,'Справочник соответствий'!A$2:D$2981,3,FALSE)))</f>
        <v>ЭТАЖ ЗАДАН ЧИСЛОМ</v>
      </c>
      <c r="M1052" s="13" t="b">
        <f t="shared" si="113"/>
        <v>0</v>
      </c>
      <c r="N1052" s="13">
        <f t="shared" si="114"/>
        <v>1</v>
      </c>
      <c r="O1052" s="13" t="str">
        <f t="shared" si="115"/>
        <v>ЭТАЖ ЗАДАН ЧИСЛОМ</v>
      </c>
      <c r="P1052" s="13" t="str">
        <f t="shared" si="116"/>
        <v>ЭТАЖ ЗАДАН ЧИСЛОМ</v>
      </c>
      <c r="Q1052" s="13" t="str">
        <f t="shared" si="117"/>
        <v>ГОТОВ</v>
      </c>
      <c r="R1052" s="13">
        <f>IFERROR(VLOOKUP(P1052,Лист1!A$1:B$20,2,FALSE),0)</f>
        <v>784</v>
      </c>
      <c r="S1052" s="13">
        <f t="shared" si="118"/>
        <v>1</v>
      </c>
    </row>
    <row r="1053" spans="1:19" x14ac:dyDescent="0.25">
      <c r="A1053" s="24" t="s">
        <v>2168</v>
      </c>
      <c r="B1053" s="4" t="s">
        <v>1059</v>
      </c>
      <c r="C1053" s="25" t="s">
        <v>5</v>
      </c>
      <c r="E1053" s="3">
        <v>1</v>
      </c>
      <c r="F1053" s="24" t="s">
        <v>1045</v>
      </c>
      <c r="G1053" s="25" t="s">
        <v>1104</v>
      </c>
      <c r="H1053" s="24" t="s">
        <v>1061</v>
      </c>
      <c r="I1053" s="3" t="str">
        <f>IFERROR(VLOOKUP(C1053,'Справочник соответствий'!A$2:D$2981,2,FALSE),IF(VALUE(C1053)=0,1,VLOOKUP(C1053,'Справочник соответствий'!A$2:D$2981,2,FALSE)))</f>
        <v>1</v>
      </c>
      <c r="J1053" s="3">
        <f>IFERROR(VLOOKUP(D1053,'Справочник соответствий'!A$2:D$2981,2,FALSE),IF(VALUE(D1053)=0,0,VLOOKUP(D1053,'Справочник соответствий'!A$2:D$2981,2,FALSE)))</f>
        <v>0</v>
      </c>
      <c r="K1053" s="3" t="str">
        <f t="shared" si="112"/>
        <v>1</v>
      </c>
      <c r="L1053" s="13" t="str">
        <f>IFERROR(VLOOKUP(C1053,'Справочник соответствий'!A$2:D$2981,3,FALSE),IF(VALUE(C1053)=0,"ЭТАЖ НЕ ОПРЕДЕЛЕН. ПРИНЯТ ПО ДОПУЩЕНИЮ 1",VLOOKUP(C1053,'Справочник соответствий'!A$2:D$2981,3,FALSE)))</f>
        <v>ЭТАЖ ЗАДАН ЧИСЛОМ</v>
      </c>
      <c r="M1053" s="13" t="b">
        <f t="shared" si="113"/>
        <v>0</v>
      </c>
      <c r="N1053" s="13">
        <f t="shared" si="114"/>
        <v>1</v>
      </c>
      <c r="O1053" s="13" t="str">
        <f t="shared" si="115"/>
        <v>ЭТАЖ ЗАДАН ЧИСЛОМ</v>
      </c>
      <c r="P1053" s="13" t="str">
        <f t="shared" si="116"/>
        <v>ЭТАЖ ЗАДАН ЧИСЛОМ</v>
      </c>
      <c r="Q1053" s="13" t="str">
        <f t="shared" si="117"/>
        <v>ГОТОВ</v>
      </c>
      <c r="R1053" s="13">
        <f>IFERROR(VLOOKUP(P1053,Лист1!A$1:B$20,2,FALSE),0)</f>
        <v>784</v>
      </c>
      <c r="S1053" s="13">
        <f t="shared" si="118"/>
        <v>1</v>
      </c>
    </row>
    <row r="1054" spans="1:19" x14ac:dyDescent="0.25">
      <c r="A1054" s="24" t="s">
        <v>2169</v>
      </c>
      <c r="B1054" s="4" t="s">
        <v>1059</v>
      </c>
      <c r="C1054" s="25" t="s">
        <v>5</v>
      </c>
      <c r="E1054" s="3">
        <v>1</v>
      </c>
      <c r="F1054" s="24" t="s">
        <v>1045</v>
      </c>
      <c r="G1054" s="25" t="s">
        <v>1167</v>
      </c>
      <c r="H1054" s="24" t="s">
        <v>1061</v>
      </c>
      <c r="I1054" s="3" t="str">
        <f>IFERROR(VLOOKUP(C1054,'Справочник соответствий'!A$2:D$2981,2,FALSE),IF(VALUE(C1054)=0,1,VLOOKUP(C1054,'Справочник соответствий'!A$2:D$2981,2,FALSE)))</f>
        <v>1</v>
      </c>
      <c r="J1054" s="3">
        <f>IFERROR(VLOOKUP(D1054,'Справочник соответствий'!A$2:D$2981,2,FALSE),IF(VALUE(D1054)=0,0,VLOOKUP(D1054,'Справочник соответствий'!A$2:D$2981,2,FALSE)))</f>
        <v>0</v>
      </c>
      <c r="K1054" s="3" t="str">
        <f t="shared" si="112"/>
        <v>1</v>
      </c>
      <c r="L1054" s="13" t="str">
        <f>IFERROR(VLOOKUP(C1054,'Справочник соответствий'!A$2:D$2981,3,FALSE),IF(VALUE(C1054)=0,"ЭТАЖ НЕ ОПРЕДЕЛЕН. ПРИНЯТ ПО ДОПУЩЕНИЮ 1",VLOOKUP(C1054,'Справочник соответствий'!A$2:D$2981,3,FALSE)))</f>
        <v>ЭТАЖ ЗАДАН ЧИСЛОМ</v>
      </c>
      <c r="M1054" s="13" t="b">
        <f t="shared" si="113"/>
        <v>0</v>
      </c>
      <c r="N1054" s="13">
        <f t="shared" si="114"/>
        <v>1</v>
      </c>
      <c r="O1054" s="13" t="str">
        <f t="shared" si="115"/>
        <v>ЭТАЖ ЗАДАН ЧИСЛОМ</v>
      </c>
      <c r="P1054" s="13" t="str">
        <f t="shared" si="116"/>
        <v>ЭТАЖ ЗАДАН ЧИСЛОМ</v>
      </c>
      <c r="Q1054" s="13" t="str">
        <f t="shared" si="117"/>
        <v>ГОТОВ</v>
      </c>
      <c r="R1054" s="13">
        <f>IFERROR(VLOOKUP(P1054,Лист1!A$1:B$20,2,FALSE),0)</f>
        <v>784</v>
      </c>
      <c r="S1054" s="13">
        <f t="shared" si="118"/>
        <v>1</v>
      </c>
    </row>
    <row r="1055" spans="1:19" x14ac:dyDescent="0.25">
      <c r="A1055" s="24" t="s">
        <v>2170</v>
      </c>
      <c r="B1055" s="4" t="s">
        <v>1031</v>
      </c>
      <c r="C1055" s="25" t="s">
        <v>5</v>
      </c>
      <c r="E1055" s="3">
        <v>1</v>
      </c>
      <c r="F1055" s="24" t="s">
        <v>1045</v>
      </c>
      <c r="G1055" s="25" t="s">
        <v>1060</v>
      </c>
      <c r="H1055" s="24" t="s">
        <v>1061</v>
      </c>
      <c r="I1055" s="3" t="str">
        <f>IFERROR(VLOOKUP(C1055,'Справочник соответствий'!A$2:D$2981,2,FALSE),IF(VALUE(C1055)=0,1,VLOOKUP(C1055,'Справочник соответствий'!A$2:D$2981,2,FALSE)))</f>
        <v>1</v>
      </c>
      <c r="J1055" s="3">
        <f>IFERROR(VLOOKUP(D1055,'Справочник соответствий'!A$2:D$2981,2,FALSE),IF(VALUE(D1055)=0,0,VLOOKUP(D1055,'Справочник соответствий'!A$2:D$2981,2,FALSE)))</f>
        <v>0</v>
      </c>
      <c r="K1055" s="3">
        <f t="shared" si="112"/>
        <v>1</v>
      </c>
      <c r="L1055" s="13" t="str">
        <f>IFERROR(VLOOKUP(C1055,'Справочник соответствий'!A$2:D$2981,3,FALSE),IF(VALUE(C1055)=0,"ЭТАЖ НЕ ОПРЕДЕЛЕН. ПРИНЯТ ПО ДОПУЩЕНИЮ 1",VLOOKUP(C1055,'Справочник соответствий'!A$2:D$2981,3,FALSE)))</f>
        <v>ЭТАЖ ЗАДАН ЧИСЛОМ</v>
      </c>
      <c r="M1055" s="13" t="b">
        <f t="shared" si="113"/>
        <v>0</v>
      </c>
      <c r="N1055" s="13">
        <f t="shared" si="114"/>
        <v>1</v>
      </c>
      <c r="O1055" s="13" t="str">
        <f t="shared" si="115"/>
        <v>ЭТАЖ ЗАДАН ЧИСЛОМ</v>
      </c>
      <c r="P1055" s="13" t="str">
        <f t="shared" si="116"/>
        <v>МКД_ЭТАЖ ЗАДАН ЧИСЛОМ</v>
      </c>
      <c r="Q1055" s="13" t="str">
        <f t="shared" si="117"/>
        <v>ГОТОВ</v>
      </c>
      <c r="R1055" s="13">
        <f>IFERROR(VLOOKUP(P1055,Лист1!A$1:B$20,2,FALSE),0)</f>
        <v>786</v>
      </c>
      <c r="S1055" s="13">
        <f t="shared" si="118"/>
        <v>1</v>
      </c>
    </row>
    <row r="1056" spans="1:19" x14ac:dyDescent="0.25">
      <c r="A1056" s="24" t="s">
        <v>2171</v>
      </c>
      <c r="B1056" s="4" t="s">
        <v>1059</v>
      </c>
      <c r="C1056" s="25" t="s">
        <v>7</v>
      </c>
      <c r="E1056" s="3">
        <v>2</v>
      </c>
      <c r="F1056" s="24" t="s">
        <v>1038</v>
      </c>
      <c r="G1056" s="25" t="s">
        <v>1086</v>
      </c>
      <c r="H1056" s="24" t="s">
        <v>1061</v>
      </c>
      <c r="I1056" s="3" t="str">
        <f>IFERROR(VLOOKUP(C1056,'Справочник соответствий'!A$2:D$2981,2,FALSE),IF(VALUE(C1056)=0,1,VLOOKUP(C1056,'Справочник соответствий'!A$2:D$2981,2,FALSE)))</f>
        <v>2</v>
      </c>
      <c r="J1056" s="3">
        <f>IFERROR(VLOOKUP(D1056,'Справочник соответствий'!A$2:D$2981,2,FALSE),IF(VALUE(D1056)=0,0,VLOOKUP(D1056,'Справочник соответствий'!A$2:D$2981,2,FALSE)))</f>
        <v>0</v>
      </c>
      <c r="K1056" s="3" t="str">
        <f t="shared" si="112"/>
        <v>2</v>
      </c>
      <c r="L1056" s="13" t="str">
        <f>IFERROR(VLOOKUP(C1056,'Справочник соответствий'!A$2:D$2981,3,FALSE),IF(VALUE(C1056)=0,"ЭТАЖ НЕ ОПРЕДЕЛЕН. ПРИНЯТ ПО ДОПУЩЕНИЮ 1",VLOOKUP(C1056,'Справочник соответствий'!A$2:D$2981,3,FALSE)))</f>
        <v>ЭТАЖ ЗАДАН ЧИСЛОМ</v>
      </c>
      <c r="M1056" s="13" t="b">
        <f t="shared" si="113"/>
        <v>0</v>
      </c>
      <c r="N1056" s="13">
        <f t="shared" si="114"/>
        <v>2</v>
      </c>
      <c r="O1056" s="13" t="str">
        <f t="shared" si="115"/>
        <v>ЭТАЖ ЗАДАН ЧИСЛОМ</v>
      </c>
      <c r="P1056" s="13" t="str">
        <f t="shared" si="116"/>
        <v>ЭТАЖ ЗАДАН ЧИСЛОМ</v>
      </c>
      <c r="Q1056" s="13" t="str">
        <f t="shared" si="117"/>
        <v>ГОТОВ</v>
      </c>
      <c r="R1056" s="13">
        <f>IFERROR(VLOOKUP(P1056,Лист1!A$1:B$20,2,FALSE),0)</f>
        <v>784</v>
      </c>
      <c r="S1056" s="13">
        <f t="shared" si="118"/>
        <v>2</v>
      </c>
    </row>
    <row r="1057" spans="1:19" x14ac:dyDescent="0.25">
      <c r="A1057" s="24" t="s">
        <v>2172</v>
      </c>
      <c r="B1057" s="4" t="s">
        <v>1031</v>
      </c>
      <c r="C1057" s="25" t="s">
        <v>7</v>
      </c>
      <c r="E1057" s="3">
        <v>2</v>
      </c>
      <c r="F1057" s="24" t="s">
        <v>1045</v>
      </c>
      <c r="G1057" s="25" t="s">
        <v>1075</v>
      </c>
      <c r="H1057" s="24" t="s">
        <v>1061</v>
      </c>
      <c r="I1057" s="3" t="str">
        <f>IFERROR(VLOOKUP(C1057,'Справочник соответствий'!A$2:D$2981,2,FALSE),IF(VALUE(C1057)=0,1,VLOOKUP(C1057,'Справочник соответствий'!A$2:D$2981,2,FALSE)))</f>
        <v>2</v>
      </c>
      <c r="J1057" s="3">
        <f>IFERROR(VLOOKUP(D1057,'Справочник соответствий'!A$2:D$2981,2,FALSE),IF(VALUE(D1057)=0,0,VLOOKUP(D1057,'Справочник соответствий'!A$2:D$2981,2,FALSE)))</f>
        <v>0</v>
      </c>
      <c r="K1057" s="3">
        <f t="shared" si="112"/>
        <v>2</v>
      </c>
      <c r="L1057" s="13" t="str">
        <f>IFERROR(VLOOKUP(C1057,'Справочник соответствий'!A$2:D$2981,3,FALSE),IF(VALUE(C1057)=0,"ЭТАЖ НЕ ОПРЕДЕЛЕН. ПРИНЯТ ПО ДОПУЩЕНИЮ 1",VLOOKUP(C1057,'Справочник соответствий'!A$2:D$2981,3,FALSE)))</f>
        <v>ЭТАЖ ЗАДАН ЧИСЛОМ</v>
      </c>
      <c r="M1057" s="13" t="b">
        <f t="shared" si="113"/>
        <v>0</v>
      </c>
      <c r="N1057" s="13">
        <f t="shared" si="114"/>
        <v>2</v>
      </c>
      <c r="O1057" s="13" t="str">
        <f t="shared" si="115"/>
        <v>ЭТАЖ ЗАДАН ЧИСЛОМ</v>
      </c>
      <c r="P1057" s="13" t="str">
        <f t="shared" si="116"/>
        <v>МКД_ЭТАЖ ЗАДАН ЧИСЛОМ</v>
      </c>
      <c r="Q1057" s="13" t="str">
        <f t="shared" si="117"/>
        <v>ГОТОВ</v>
      </c>
      <c r="R1057" s="13">
        <f>IFERROR(VLOOKUP(P1057,Лист1!A$1:B$20,2,FALSE),0)</f>
        <v>786</v>
      </c>
      <c r="S1057" s="13">
        <f t="shared" si="118"/>
        <v>2</v>
      </c>
    </row>
    <row r="1058" spans="1:19" x14ac:dyDescent="0.25">
      <c r="A1058" s="24" t="s">
        <v>2173</v>
      </c>
      <c r="B1058" s="4" t="s">
        <v>1059</v>
      </c>
      <c r="C1058" s="25" t="s">
        <v>5</v>
      </c>
      <c r="E1058" s="3">
        <v>1</v>
      </c>
      <c r="F1058" s="24" t="s">
        <v>1082</v>
      </c>
      <c r="G1058" s="25" t="s">
        <v>1224</v>
      </c>
      <c r="H1058" s="24" t="s">
        <v>1061</v>
      </c>
      <c r="I1058" s="3" t="str">
        <f>IFERROR(VLOOKUP(C1058,'Справочник соответствий'!A$2:D$2981,2,FALSE),IF(VALUE(C1058)=0,1,VLOOKUP(C1058,'Справочник соответствий'!A$2:D$2981,2,FALSE)))</f>
        <v>1</v>
      </c>
      <c r="J1058" s="3">
        <f>IFERROR(VLOOKUP(D1058,'Справочник соответствий'!A$2:D$2981,2,FALSE),IF(VALUE(D1058)=0,0,VLOOKUP(D1058,'Справочник соответствий'!A$2:D$2981,2,FALSE)))</f>
        <v>0</v>
      </c>
      <c r="K1058" s="3" t="str">
        <f t="shared" si="112"/>
        <v>1</v>
      </c>
      <c r="L1058" s="13" t="str">
        <f>IFERROR(VLOOKUP(C1058,'Справочник соответствий'!A$2:D$2981,3,FALSE),IF(VALUE(C1058)=0,"ЭТАЖ НЕ ОПРЕДЕЛЕН. ПРИНЯТ ПО ДОПУЩЕНИЮ 1",VLOOKUP(C1058,'Справочник соответствий'!A$2:D$2981,3,FALSE)))</f>
        <v>ЭТАЖ ЗАДАН ЧИСЛОМ</v>
      </c>
      <c r="M1058" s="13" t="b">
        <f t="shared" si="113"/>
        <v>0</v>
      </c>
      <c r="N1058" s="13">
        <f t="shared" si="114"/>
        <v>1</v>
      </c>
      <c r="O1058" s="13" t="str">
        <f t="shared" si="115"/>
        <v>ЭТАЖ ЗАДАН ЧИСЛОМ</v>
      </c>
      <c r="P1058" s="13" t="str">
        <f t="shared" si="116"/>
        <v>ЭТАЖ ЗАДАН ЧИСЛОМ</v>
      </c>
      <c r="Q1058" s="13" t="str">
        <f t="shared" si="117"/>
        <v>ГОТОВ</v>
      </c>
      <c r="R1058" s="13">
        <f>IFERROR(VLOOKUP(P1058,Лист1!A$1:B$20,2,FALSE),0)</f>
        <v>784</v>
      </c>
      <c r="S1058" s="13">
        <f t="shared" si="118"/>
        <v>1</v>
      </c>
    </row>
    <row r="1059" spans="1:19" x14ac:dyDescent="0.25">
      <c r="A1059" s="24" t="s">
        <v>2174</v>
      </c>
      <c r="B1059" s="4" t="s">
        <v>1059</v>
      </c>
      <c r="C1059" s="25" t="s">
        <v>5</v>
      </c>
      <c r="E1059" s="3">
        <v>1</v>
      </c>
      <c r="F1059" s="24" t="s">
        <v>1045</v>
      </c>
      <c r="G1059" s="25" t="s">
        <v>1099</v>
      </c>
      <c r="H1059" s="24" t="s">
        <v>1061</v>
      </c>
      <c r="I1059" s="3" t="str">
        <f>IFERROR(VLOOKUP(C1059,'Справочник соответствий'!A$2:D$2981,2,FALSE),IF(VALUE(C1059)=0,1,VLOOKUP(C1059,'Справочник соответствий'!A$2:D$2981,2,FALSE)))</f>
        <v>1</v>
      </c>
      <c r="J1059" s="3">
        <f>IFERROR(VLOOKUP(D1059,'Справочник соответствий'!A$2:D$2981,2,FALSE),IF(VALUE(D1059)=0,0,VLOOKUP(D1059,'Справочник соответствий'!A$2:D$2981,2,FALSE)))</f>
        <v>0</v>
      </c>
      <c r="K1059" s="3" t="str">
        <f t="shared" si="112"/>
        <v>1</v>
      </c>
      <c r="L1059" s="13" t="str">
        <f>IFERROR(VLOOKUP(C1059,'Справочник соответствий'!A$2:D$2981,3,FALSE),IF(VALUE(C1059)=0,"ЭТАЖ НЕ ОПРЕДЕЛЕН. ПРИНЯТ ПО ДОПУЩЕНИЮ 1",VLOOKUP(C1059,'Справочник соответствий'!A$2:D$2981,3,FALSE)))</f>
        <v>ЭТАЖ ЗАДАН ЧИСЛОМ</v>
      </c>
      <c r="M1059" s="13" t="b">
        <f t="shared" si="113"/>
        <v>0</v>
      </c>
      <c r="N1059" s="13">
        <f t="shared" si="114"/>
        <v>1</v>
      </c>
      <c r="O1059" s="13" t="str">
        <f t="shared" si="115"/>
        <v>ЭТАЖ ЗАДАН ЧИСЛОМ</v>
      </c>
      <c r="P1059" s="13" t="str">
        <f t="shared" si="116"/>
        <v>ЭТАЖ ЗАДАН ЧИСЛОМ</v>
      </c>
      <c r="Q1059" s="13" t="str">
        <f t="shared" si="117"/>
        <v>ГОТОВ</v>
      </c>
      <c r="R1059" s="13">
        <f>IFERROR(VLOOKUP(P1059,Лист1!A$1:B$20,2,FALSE),0)</f>
        <v>784</v>
      </c>
      <c r="S1059" s="13">
        <f t="shared" si="118"/>
        <v>1</v>
      </c>
    </row>
    <row r="1060" spans="1:19" x14ac:dyDescent="0.25">
      <c r="A1060" s="24" t="s">
        <v>2175</v>
      </c>
      <c r="B1060" s="4" t="s">
        <v>1059</v>
      </c>
      <c r="C1060" s="25" t="s">
        <v>5</v>
      </c>
      <c r="E1060" s="3">
        <v>1</v>
      </c>
      <c r="F1060" s="24" t="s">
        <v>1307</v>
      </c>
      <c r="G1060" s="25" t="s">
        <v>1089</v>
      </c>
      <c r="H1060" s="24" t="s">
        <v>1061</v>
      </c>
      <c r="I1060" s="3" t="str">
        <f>IFERROR(VLOOKUP(C1060,'Справочник соответствий'!A$2:D$2981,2,FALSE),IF(VALUE(C1060)=0,1,VLOOKUP(C1060,'Справочник соответствий'!A$2:D$2981,2,FALSE)))</f>
        <v>1</v>
      </c>
      <c r="J1060" s="3">
        <f>IFERROR(VLOOKUP(D1060,'Справочник соответствий'!A$2:D$2981,2,FALSE),IF(VALUE(D1060)=0,0,VLOOKUP(D1060,'Справочник соответствий'!A$2:D$2981,2,FALSE)))</f>
        <v>0</v>
      </c>
      <c r="K1060" s="3" t="str">
        <f t="shared" si="112"/>
        <v>1</v>
      </c>
      <c r="L1060" s="13" t="str">
        <f>IFERROR(VLOOKUP(C1060,'Справочник соответствий'!A$2:D$2981,3,FALSE),IF(VALUE(C1060)=0,"ЭТАЖ НЕ ОПРЕДЕЛЕН. ПРИНЯТ ПО ДОПУЩЕНИЮ 1",VLOOKUP(C1060,'Справочник соответствий'!A$2:D$2981,3,FALSE)))</f>
        <v>ЭТАЖ ЗАДАН ЧИСЛОМ</v>
      </c>
      <c r="M1060" s="13" t="b">
        <f t="shared" si="113"/>
        <v>0</v>
      </c>
      <c r="N1060" s="13">
        <f t="shared" si="114"/>
        <v>1</v>
      </c>
      <c r="O1060" s="13" t="str">
        <f t="shared" si="115"/>
        <v>ЭТАЖ ЗАДАН ЧИСЛОМ</v>
      </c>
      <c r="P1060" s="13" t="str">
        <f t="shared" si="116"/>
        <v>ЭТАЖ ЗАДАН ЧИСЛОМ</v>
      </c>
      <c r="Q1060" s="13" t="str">
        <f t="shared" si="117"/>
        <v>ГОТОВ</v>
      </c>
      <c r="R1060" s="13">
        <f>IFERROR(VLOOKUP(P1060,Лист1!A$1:B$20,2,FALSE),0)</f>
        <v>784</v>
      </c>
      <c r="S1060" s="13">
        <f t="shared" si="118"/>
        <v>1</v>
      </c>
    </row>
    <row r="1061" spans="1:19" x14ac:dyDescent="0.25">
      <c r="A1061" s="24" t="s">
        <v>2176</v>
      </c>
      <c r="B1061" s="4" t="s">
        <v>1059</v>
      </c>
      <c r="C1061" s="25" t="s">
        <v>5</v>
      </c>
      <c r="D1061" s="25" t="s">
        <v>24</v>
      </c>
      <c r="E1061" s="3">
        <v>1</v>
      </c>
      <c r="F1061" s="24" t="s">
        <v>1045</v>
      </c>
      <c r="G1061" s="25" t="s">
        <v>1072</v>
      </c>
      <c r="H1061" s="24" t="s">
        <v>1061</v>
      </c>
      <c r="I1061" s="3" t="str">
        <f>IFERROR(VLOOKUP(C1061,'Справочник соответствий'!A$2:D$2981,2,FALSE),IF(VALUE(C1061)=0,1,VLOOKUP(C1061,'Справочник соответствий'!A$2:D$2981,2,FALSE)))</f>
        <v>1</v>
      </c>
      <c r="J1061" s="3" t="str">
        <f>IFERROR(VLOOKUP(D1061,'Справочник соответствий'!A$2:D$2981,2,FALSE),IF(VALUE(D1061)=0,0,VLOOKUP(D1061,'Справочник соответствий'!A$2:D$2981,2,FALSE)))</f>
        <v>1</v>
      </c>
      <c r="K1061" s="3" t="str">
        <f t="shared" si="112"/>
        <v>1</v>
      </c>
      <c r="L1061" s="13" t="str">
        <f>IFERROR(VLOOKUP(C1061,'Справочник соответствий'!A$2:D$2981,3,FALSE),IF(VALUE(C1061)=0,"ЭТАЖ НЕ ОПРЕДЕЛЕН. ПРИНЯТ ПО ДОПУЩЕНИЮ 1",VLOOKUP(C1061,'Справочник соответствий'!A$2:D$2981,3,FALSE)))</f>
        <v>ЭТАЖ ЗАДАН ЧИСЛОМ</v>
      </c>
      <c r="M1061" s="13" t="b">
        <f t="shared" si="113"/>
        <v>0</v>
      </c>
      <c r="N1061" s="13">
        <f t="shared" si="114"/>
        <v>1</v>
      </c>
      <c r="O1061" s="13" t="str">
        <f t="shared" si="115"/>
        <v>ЭТАЖ ЗАДАН ЧИСЛОМ</v>
      </c>
      <c r="P1061" s="13" t="str">
        <f t="shared" si="116"/>
        <v>ЭТАЖ ЗАДАН ЧИСЛОМ</v>
      </c>
      <c r="Q1061" s="13" t="str">
        <f t="shared" si="117"/>
        <v>ГОТОВ</v>
      </c>
      <c r="R1061" s="13">
        <f>IFERROR(VLOOKUP(P1061,Лист1!A$1:B$20,2,FALSE),0)</f>
        <v>784</v>
      </c>
      <c r="S1061" s="13">
        <f t="shared" si="118"/>
        <v>1</v>
      </c>
    </row>
    <row r="1062" spans="1:19" x14ac:dyDescent="0.25">
      <c r="A1062" s="24" t="s">
        <v>2177</v>
      </c>
      <c r="B1062" s="4" t="s">
        <v>1059</v>
      </c>
      <c r="C1062" s="25" t="s">
        <v>5</v>
      </c>
      <c r="D1062" s="25" t="s">
        <v>24</v>
      </c>
      <c r="E1062" s="3">
        <v>1</v>
      </c>
      <c r="F1062" s="24" t="s">
        <v>1045</v>
      </c>
      <c r="G1062" s="25" t="s">
        <v>1072</v>
      </c>
      <c r="H1062" s="24" t="s">
        <v>1061</v>
      </c>
      <c r="I1062" s="3" t="str">
        <f>IFERROR(VLOOKUP(C1062,'Справочник соответствий'!A$2:D$2981,2,FALSE),IF(VALUE(C1062)=0,1,VLOOKUP(C1062,'Справочник соответствий'!A$2:D$2981,2,FALSE)))</f>
        <v>1</v>
      </c>
      <c r="J1062" s="3" t="str">
        <f>IFERROR(VLOOKUP(D1062,'Справочник соответствий'!A$2:D$2981,2,FALSE),IF(VALUE(D1062)=0,0,VLOOKUP(D1062,'Справочник соответствий'!A$2:D$2981,2,FALSE)))</f>
        <v>1</v>
      </c>
      <c r="K1062" s="3" t="str">
        <f t="shared" si="112"/>
        <v>1</v>
      </c>
      <c r="L1062" s="13" t="str">
        <f>IFERROR(VLOOKUP(C1062,'Справочник соответствий'!A$2:D$2981,3,FALSE),IF(VALUE(C1062)=0,"ЭТАЖ НЕ ОПРЕДЕЛЕН. ПРИНЯТ ПО ДОПУЩЕНИЮ 1",VLOOKUP(C1062,'Справочник соответствий'!A$2:D$2981,3,FALSE)))</f>
        <v>ЭТАЖ ЗАДАН ЧИСЛОМ</v>
      </c>
      <c r="M1062" s="13" t="b">
        <f t="shared" si="113"/>
        <v>0</v>
      </c>
      <c r="N1062" s="13">
        <f t="shared" si="114"/>
        <v>1</v>
      </c>
      <c r="O1062" s="13" t="str">
        <f t="shared" si="115"/>
        <v>ЭТАЖ ЗАДАН ЧИСЛОМ</v>
      </c>
      <c r="P1062" s="13" t="str">
        <f t="shared" si="116"/>
        <v>ЭТАЖ ЗАДАН ЧИСЛОМ</v>
      </c>
      <c r="Q1062" s="13" t="str">
        <f t="shared" si="117"/>
        <v>ГОТОВ</v>
      </c>
      <c r="R1062" s="13">
        <f>IFERROR(VLOOKUP(P1062,Лист1!A$1:B$20,2,FALSE),0)</f>
        <v>784</v>
      </c>
      <c r="S1062" s="13">
        <f t="shared" si="118"/>
        <v>1</v>
      </c>
    </row>
    <row r="1063" spans="1:19" x14ac:dyDescent="0.25">
      <c r="A1063" s="24" t="s">
        <v>2178</v>
      </c>
      <c r="B1063" s="4" t="s">
        <v>1059</v>
      </c>
      <c r="C1063" s="25" t="s">
        <v>7</v>
      </c>
      <c r="G1063" s="25" t="s">
        <v>1106</v>
      </c>
      <c r="H1063" s="24" t="s">
        <v>1061</v>
      </c>
      <c r="I1063" s="3" t="str">
        <f>IFERROR(VLOOKUP(C1063,'Справочник соответствий'!A$2:D$2981,2,FALSE),IF(VALUE(C1063)=0,1,VLOOKUP(C1063,'Справочник соответствий'!A$2:D$2981,2,FALSE)))</f>
        <v>2</v>
      </c>
      <c r="J1063" s="3">
        <f>IFERROR(VLOOKUP(D1063,'Справочник соответствий'!A$2:D$2981,2,FALSE),IF(VALUE(D1063)=0,0,VLOOKUP(D1063,'Справочник соответствий'!A$2:D$2981,2,FALSE)))</f>
        <v>0</v>
      </c>
      <c r="K1063" s="3" t="str">
        <f t="shared" si="112"/>
        <v>2</v>
      </c>
      <c r="L1063" s="13" t="str">
        <f>IFERROR(VLOOKUP(C1063,'Справочник соответствий'!A$2:D$2981,3,FALSE),IF(VALUE(C1063)=0,"ЭТАЖ НЕ ОПРЕДЕЛЕН. ПРИНЯТ ПО ДОПУЩЕНИЮ 1",VLOOKUP(C1063,'Справочник соответствий'!A$2:D$2981,3,FALSE)))</f>
        <v>ЭТАЖ ЗАДАН ЧИСЛОМ</v>
      </c>
      <c r="M1063" s="13" t="b">
        <f t="shared" si="113"/>
        <v>0</v>
      </c>
      <c r="N1063" s="13">
        <f t="shared" si="114"/>
        <v>2</v>
      </c>
      <c r="O1063" s="13" t="str">
        <f t="shared" si="115"/>
        <v>ЭТАЖ ЗАДАН ЧИСЛОМ</v>
      </c>
      <c r="P1063" s="13" t="str">
        <f t="shared" si="116"/>
        <v>ЭТАЖ ЗАДАН ЧИСЛОМ</v>
      </c>
      <c r="Q1063" s="13" t="str">
        <f t="shared" si="117"/>
        <v>ГОТОВ_ИЗМЕНЕН</v>
      </c>
      <c r="R1063" s="13">
        <f>IFERROR(VLOOKUP(P1063,Лист1!A$1:B$20,2,FALSE),0)</f>
        <v>784</v>
      </c>
      <c r="S1063" s="13">
        <f t="shared" si="118"/>
        <v>0</v>
      </c>
    </row>
    <row r="1064" spans="1:19" x14ac:dyDescent="0.25">
      <c r="A1064" s="24" t="s">
        <v>2179</v>
      </c>
      <c r="B1064" s="4" t="s">
        <v>1059</v>
      </c>
      <c r="C1064" s="25" t="s">
        <v>7</v>
      </c>
      <c r="G1064" s="25" t="s">
        <v>1086</v>
      </c>
      <c r="H1064" s="24" t="s">
        <v>1061</v>
      </c>
      <c r="I1064" s="3" t="str">
        <f>IFERROR(VLOOKUP(C1064,'Справочник соответствий'!A$2:D$2981,2,FALSE),IF(VALUE(C1064)=0,1,VLOOKUP(C1064,'Справочник соответствий'!A$2:D$2981,2,FALSE)))</f>
        <v>2</v>
      </c>
      <c r="J1064" s="3">
        <f>IFERROR(VLOOKUP(D1064,'Справочник соответствий'!A$2:D$2981,2,FALSE),IF(VALUE(D1064)=0,0,VLOOKUP(D1064,'Справочник соответствий'!A$2:D$2981,2,FALSE)))</f>
        <v>0</v>
      </c>
      <c r="K1064" s="3" t="str">
        <f t="shared" si="112"/>
        <v>2</v>
      </c>
      <c r="L1064" s="13" t="str">
        <f>IFERROR(VLOOKUP(C1064,'Справочник соответствий'!A$2:D$2981,3,FALSE),IF(VALUE(C1064)=0,"ЭТАЖ НЕ ОПРЕДЕЛЕН. ПРИНЯТ ПО ДОПУЩЕНИЮ 1",VLOOKUP(C1064,'Справочник соответствий'!A$2:D$2981,3,FALSE)))</f>
        <v>ЭТАЖ ЗАДАН ЧИСЛОМ</v>
      </c>
      <c r="M1064" s="13" t="b">
        <f t="shared" si="113"/>
        <v>0</v>
      </c>
      <c r="N1064" s="13">
        <f t="shared" si="114"/>
        <v>2</v>
      </c>
      <c r="O1064" s="13" t="str">
        <f t="shared" si="115"/>
        <v>ЭТАЖ ЗАДАН ЧИСЛОМ</v>
      </c>
      <c r="P1064" s="13" t="str">
        <f t="shared" si="116"/>
        <v>ЭТАЖ ЗАДАН ЧИСЛОМ</v>
      </c>
      <c r="Q1064" s="13" t="str">
        <f t="shared" si="117"/>
        <v>ГОТОВ_ИЗМЕНЕН</v>
      </c>
      <c r="R1064" s="13">
        <f>IFERROR(VLOOKUP(P1064,Лист1!A$1:B$20,2,FALSE),0)</f>
        <v>784</v>
      </c>
      <c r="S1064" s="13">
        <f t="shared" si="118"/>
        <v>0</v>
      </c>
    </row>
    <row r="1065" spans="1:19" x14ac:dyDescent="0.25">
      <c r="A1065" s="24" t="s">
        <v>2180</v>
      </c>
      <c r="B1065" s="4" t="s">
        <v>1059</v>
      </c>
      <c r="C1065" s="25" t="s">
        <v>5</v>
      </c>
      <c r="G1065" s="25" t="s">
        <v>1086</v>
      </c>
      <c r="H1065" s="24" t="s">
        <v>1061</v>
      </c>
      <c r="I1065" s="3" t="str">
        <f>IFERROR(VLOOKUP(C1065,'Справочник соответствий'!A$2:D$2981,2,FALSE),IF(VALUE(C1065)=0,1,VLOOKUP(C1065,'Справочник соответствий'!A$2:D$2981,2,FALSE)))</f>
        <v>1</v>
      </c>
      <c r="J1065" s="3">
        <f>IFERROR(VLOOKUP(D1065,'Справочник соответствий'!A$2:D$2981,2,FALSE),IF(VALUE(D1065)=0,0,VLOOKUP(D1065,'Справочник соответствий'!A$2:D$2981,2,FALSE)))</f>
        <v>0</v>
      </c>
      <c r="K1065" s="3" t="str">
        <f t="shared" si="112"/>
        <v>1</v>
      </c>
      <c r="L1065" s="13" t="str">
        <f>IFERROR(VLOOKUP(C1065,'Справочник соответствий'!A$2:D$2981,3,FALSE),IF(VALUE(C1065)=0,"ЭТАЖ НЕ ОПРЕДЕЛЕН. ПРИНЯТ ПО ДОПУЩЕНИЮ 1",VLOOKUP(C1065,'Справочник соответствий'!A$2:D$2981,3,FALSE)))</f>
        <v>ЭТАЖ ЗАДАН ЧИСЛОМ</v>
      </c>
      <c r="M1065" s="13" t="b">
        <f t="shared" si="113"/>
        <v>0</v>
      </c>
      <c r="N1065" s="13">
        <f t="shared" si="114"/>
        <v>1</v>
      </c>
      <c r="O1065" s="13" t="str">
        <f t="shared" si="115"/>
        <v>ЭТАЖ ЗАДАН ЧИСЛОМ</v>
      </c>
      <c r="P1065" s="13" t="str">
        <f t="shared" si="116"/>
        <v>ЭТАЖ ЗАДАН ЧИСЛОМ</v>
      </c>
      <c r="Q1065" s="13" t="str">
        <f t="shared" si="117"/>
        <v>ГОТОВ_ИЗМЕНЕН</v>
      </c>
      <c r="R1065" s="13">
        <f>IFERROR(VLOOKUP(P1065,Лист1!A$1:B$20,2,FALSE),0)</f>
        <v>784</v>
      </c>
      <c r="S1065" s="13">
        <f t="shared" si="118"/>
        <v>0</v>
      </c>
    </row>
    <row r="1066" spans="1:19" x14ac:dyDescent="0.25">
      <c r="A1066" s="24" t="s">
        <v>2181</v>
      </c>
      <c r="B1066" s="4" t="s">
        <v>1063</v>
      </c>
      <c r="C1066" s="25" t="s">
        <v>5</v>
      </c>
      <c r="G1066" s="25" t="s">
        <v>1086</v>
      </c>
      <c r="H1066" s="24" t="s">
        <v>1061</v>
      </c>
      <c r="I1066" s="3" t="str">
        <f>IFERROR(VLOOKUP(C1066,'Справочник соответствий'!A$2:D$2981,2,FALSE),IF(VALUE(C1066)=0,1,VLOOKUP(C1066,'Справочник соответствий'!A$2:D$2981,2,FALSE)))</f>
        <v>1</v>
      </c>
      <c r="J1066" s="3">
        <f>IFERROR(VLOOKUP(D1066,'Справочник соответствий'!A$2:D$2981,2,FALSE),IF(VALUE(D1066)=0,0,VLOOKUP(D1066,'Справочник соответствий'!A$2:D$2981,2,FALSE)))</f>
        <v>0</v>
      </c>
      <c r="K1066" s="3" t="str">
        <f t="shared" si="112"/>
        <v>1</v>
      </c>
      <c r="L1066" s="13" t="str">
        <f>IFERROR(VLOOKUP(C1066,'Справочник соответствий'!A$2:D$2981,3,FALSE),IF(VALUE(C1066)=0,"ЭТАЖ НЕ ОПРЕДЕЛЕН. ПРИНЯТ ПО ДОПУЩЕНИЮ 1",VLOOKUP(C1066,'Справочник соответствий'!A$2:D$2981,3,FALSE)))</f>
        <v>ЭТАЖ ЗАДАН ЧИСЛОМ</v>
      </c>
      <c r="M1066" s="13" t="b">
        <f t="shared" si="113"/>
        <v>0</v>
      </c>
      <c r="N1066" s="13">
        <f t="shared" si="114"/>
        <v>1</v>
      </c>
      <c r="O1066" s="13" t="str">
        <f t="shared" si="115"/>
        <v>ЭТАЖ ЗАДАН ЧИСЛОМ</v>
      </c>
      <c r="P1066" s="13" t="str">
        <f t="shared" si="116"/>
        <v>ЭТАЖ ЗАДАН ЧИСЛОМ</v>
      </c>
      <c r="Q1066" s="13" t="str">
        <f t="shared" si="117"/>
        <v>ГОТОВ_ИЗМЕНЕН</v>
      </c>
      <c r="R1066" s="13">
        <f>IFERROR(VLOOKUP(P1066,Лист1!A$1:B$20,2,FALSE),0)</f>
        <v>784</v>
      </c>
      <c r="S1066" s="13">
        <f t="shared" si="118"/>
        <v>0</v>
      </c>
    </row>
    <row r="1067" spans="1:19" x14ac:dyDescent="0.25">
      <c r="A1067" s="24" t="s">
        <v>2182</v>
      </c>
      <c r="B1067" s="4" t="s">
        <v>1059</v>
      </c>
      <c r="C1067" s="25" t="s">
        <v>5</v>
      </c>
      <c r="G1067" s="25" t="s">
        <v>1086</v>
      </c>
      <c r="H1067" s="24" t="s">
        <v>1061</v>
      </c>
      <c r="I1067" s="3" t="str">
        <f>IFERROR(VLOOKUP(C1067,'Справочник соответствий'!A$2:D$2981,2,FALSE),IF(VALUE(C1067)=0,1,VLOOKUP(C1067,'Справочник соответствий'!A$2:D$2981,2,FALSE)))</f>
        <v>1</v>
      </c>
      <c r="J1067" s="3">
        <f>IFERROR(VLOOKUP(D1067,'Справочник соответствий'!A$2:D$2981,2,FALSE),IF(VALUE(D1067)=0,0,VLOOKUP(D1067,'Справочник соответствий'!A$2:D$2981,2,FALSE)))</f>
        <v>0</v>
      </c>
      <c r="K1067" s="3" t="str">
        <f t="shared" si="112"/>
        <v>1</v>
      </c>
      <c r="L1067" s="13" t="str">
        <f>IFERROR(VLOOKUP(C1067,'Справочник соответствий'!A$2:D$2981,3,FALSE),IF(VALUE(C1067)=0,"ЭТАЖ НЕ ОПРЕДЕЛЕН. ПРИНЯТ ПО ДОПУЩЕНИЮ 1",VLOOKUP(C1067,'Справочник соответствий'!A$2:D$2981,3,FALSE)))</f>
        <v>ЭТАЖ ЗАДАН ЧИСЛОМ</v>
      </c>
      <c r="M1067" s="13" t="b">
        <f t="shared" si="113"/>
        <v>0</v>
      </c>
      <c r="N1067" s="13">
        <f t="shared" si="114"/>
        <v>1</v>
      </c>
      <c r="O1067" s="13" t="str">
        <f t="shared" si="115"/>
        <v>ЭТАЖ ЗАДАН ЧИСЛОМ</v>
      </c>
      <c r="P1067" s="13" t="str">
        <f t="shared" si="116"/>
        <v>ЭТАЖ ЗАДАН ЧИСЛОМ</v>
      </c>
      <c r="Q1067" s="13" t="str">
        <f t="shared" si="117"/>
        <v>ГОТОВ_ИЗМЕНЕН</v>
      </c>
      <c r="R1067" s="13">
        <f>IFERROR(VLOOKUP(P1067,Лист1!A$1:B$20,2,FALSE),0)</f>
        <v>784</v>
      </c>
      <c r="S1067" s="13">
        <f t="shared" si="118"/>
        <v>0</v>
      </c>
    </row>
    <row r="1068" spans="1:19" x14ac:dyDescent="0.25">
      <c r="A1068" s="24" t="s">
        <v>2183</v>
      </c>
      <c r="B1068" s="4" t="s">
        <v>1059</v>
      </c>
      <c r="C1068" s="25" t="s">
        <v>5</v>
      </c>
      <c r="G1068" s="25" t="s">
        <v>1086</v>
      </c>
      <c r="H1068" s="24" t="s">
        <v>1061</v>
      </c>
      <c r="I1068" s="3" t="str">
        <f>IFERROR(VLOOKUP(C1068,'Справочник соответствий'!A$2:D$2981,2,FALSE),IF(VALUE(C1068)=0,1,VLOOKUP(C1068,'Справочник соответствий'!A$2:D$2981,2,FALSE)))</f>
        <v>1</v>
      </c>
      <c r="J1068" s="3">
        <f>IFERROR(VLOOKUP(D1068,'Справочник соответствий'!A$2:D$2981,2,FALSE),IF(VALUE(D1068)=0,0,VLOOKUP(D1068,'Справочник соответствий'!A$2:D$2981,2,FALSE)))</f>
        <v>0</v>
      </c>
      <c r="K1068" s="3" t="str">
        <f t="shared" si="112"/>
        <v>1</v>
      </c>
      <c r="L1068" s="13" t="str">
        <f>IFERROR(VLOOKUP(C1068,'Справочник соответствий'!A$2:D$2981,3,FALSE),IF(VALUE(C1068)=0,"ЭТАЖ НЕ ОПРЕДЕЛЕН. ПРИНЯТ ПО ДОПУЩЕНИЮ 1",VLOOKUP(C1068,'Справочник соответствий'!A$2:D$2981,3,FALSE)))</f>
        <v>ЭТАЖ ЗАДАН ЧИСЛОМ</v>
      </c>
      <c r="M1068" s="13" t="b">
        <f t="shared" si="113"/>
        <v>0</v>
      </c>
      <c r="N1068" s="13">
        <f t="shared" si="114"/>
        <v>1</v>
      </c>
      <c r="O1068" s="13" t="str">
        <f t="shared" si="115"/>
        <v>ЭТАЖ ЗАДАН ЧИСЛОМ</v>
      </c>
      <c r="P1068" s="13" t="str">
        <f t="shared" si="116"/>
        <v>ЭТАЖ ЗАДАН ЧИСЛОМ</v>
      </c>
      <c r="Q1068" s="13" t="str">
        <f t="shared" si="117"/>
        <v>ГОТОВ_ИЗМЕНЕН</v>
      </c>
      <c r="R1068" s="13">
        <f>IFERROR(VLOOKUP(P1068,Лист1!A$1:B$20,2,FALSE),0)</f>
        <v>784</v>
      </c>
      <c r="S1068" s="13">
        <f t="shared" si="118"/>
        <v>0</v>
      </c>
    </row>
    <row r="1069" spans="1:19" x14ac:dyDescent="0.25">
      <c r="A1069" s="24" t="s">
        <v>2184</v>
      </c>
      <c r="B1069" s="4" t="s">
        <v>1031</v>
      </c>
      <c r="C1069" s="25" t="s">
        <v>2185</v>
      </c>
      <c r="D1069" s="25" t="s">
        <v>5</v>
      </c>
      <c r="G1069" s="25" t="s">
        <v>1086</v>
      </c>
      <c r="H1069" s="24" t="s">
        <v>1061</v>
      </c>
      <c r="I1069" s="3" t="e">
        <f>IFERROR(VLOOKUP(C1069,'Справочник соответствий'!A$2:D$2981,2,FALSE),IF(VALUE(C1069)=0,1,VLOOKUP(C1069,'Справочник соответствий'!A$2:D$2981,2,FALSE)))</f>
        <v>#N/A</v>
      </c>
      <c r="J1069" s="3" t="str">
        <f>IFERROR(VLOOKUP(D1069,'Справочник соответствий'!A$2:D$2981,2,FALSE),IF(VALUE(D1069)=0,0,VLOOKUP(D1069,'Справочник соответствий'!A$2:D$2981,2,FALSE)))</f>
        <v>1</v>
      </c>
      <c r="K1069" s="3" t="e">
        <f t="shared" si="112"/>
        <v>#N/A</v>
      </c>
      <c r="L1069" s="13" t="e">
        <f>IFERROR(VLOOKUP(C1069,'Справочник соответствий'!A$2:D$2981,3,FALSE),IF(VALUE(C1069)=0,"ЭТАЖ НЕ ОПРЕДЕЛЕН. ПРИНЯТ ПО ДОПУЩЕНИЮ 1",VLOOKUP(C1069,'Справочник соответствий'!A$2:D$2981,3,FALSE)))</f>
        <v>#N/A</v>
      </c>
      <c r="M1069" s="13" t="e">
        <f t="shared" si="113"/>
        <v>#N/A</v>
      </c>
      <c r="N1069" s="13" t="e">
        <f t="shared" si="114"/>
        <v>#N/A</v>
      </c>
      <c r="O1069" s="13" t="e">
        <f t="shared" si="115"/>
        <v>#N/A</v>
      </c>
      <c r="P1069" s="13" t="e">
        <f t="shared" si="116"/>
        <v>#N/A</v>
      </c>
      <c r="Q1069" s="13" t="str">
        <f t="shared" si="117"/>
        <v>НЕ ГОТОВ</v>
      </c>
      <c r="R1069" s="13">
        <f>IFERROR(VLOOKUP(P1069,Лист1!A$1:B$20,2,FALSE),0)</f>
        <v>0</v>
      </c>
      <c r="S1069" s="13">
        <f t="shared" si="118"/>
        <v>0</v>
      </c>
    </row>
    <row r="1070" spans="1:19" x14ac:dyDescent="0.25">
      <c r="A1070" s="24" t="s">
        <v>2186</v>
      </c>
      <c r="B1070" s="4" t="s">
        <v>1063</v>
      </c>
      <c r="C1070" s="25" t="s">
        <v>5</v>
      </c>
      <c r="G1070" s="25" t="s">
        <v>1086</v>
      </c>
      <c r="H1070" s="24" t="s">
        <v>1061</v>
      </c>
      <c r="I1070" s="3" t="str">
        <f>IFERROR(VLOOKUP(C1070,'Справочник соответствий'!A$2:D$2981,2,FALSE),IF(VALUE(C1070)=0,1,VLOOKUP(C1070,'Справочник соответствий'!A$2:D$2981,2,FALSE)))</f>
        <v>1</v>
      </c>
      <c r="J1070" s="3">
        <f>IFERROR(VLOOKUP(D1070,'Справочник соответствий'!A$2:D$2981,2,FALSE),IF(VALUE(D1070)=0,0,VLOOKUP(D1070,'Справочник соответствий'!A$2:D$2981,2,FALSE)))</f>
        <v>0</v>
      </c>
      <c r="K1070" s="3" t="str">
        <f t="shared" si="112"/>
        <v>1</v>
      </c>
      <c r="L1070" s="13" t="str">
        <f>IFERROR(VLOOKUP(C1070,'Справочник соответствий'!A$2:D$2981,3,FALSE),IF(VALUE(C1070)=0,"ЭТАЖ НЕ ОПРЕДЕЛЕН. ПРИНЯТ ПО ДОПУЩЕНИЮ 1",VLOOKUP(C1070,'Справочник соответствий'!A$2:D$2981,3,FALSE)))</f>
        <v>ЭТАЖ ЗАДАН ЧИСЛОМ</v>
      </c>
      <c r="M1070" s="13" t="b">
        <f t="shared" si="113"/>
        <v>0</v>
      </c>
      <c r="N1070" s="13">
        <f t="shared" si="114"/>
        <v>1</v>
      </c>
      <c r="O1070" s="13" t="str">
        <f t="shared" si="115"/>
        <v>ЭТАЖ ЗАДАН ЧИСЛОМ</v>
      </c>
      <c r="P1070" s="13" t="str">
        <f t="shared" si="116"/>
        <v>ЭТАЖ ЗАДАН ЧИСЛОМ</v>
      </c>
      <c r="Q1070" s="13" t="str">
        <f t="shared" si="117"/>
        <v>ГОТОВ_ИЗМЕНЕН</v>
      </c>
      <c r="R1070" s="13">
        <f>IFERROR(VLOOKUP(P1070,Лист1!A$1:B$20,2,FALSE),0)</f>
        <v>784</v>
      </c>
      <c r="S1070" s="13">
        <f t="shared" si="118"/>
        <v>0</v>
      </c>
    </row>
    <row r="1071" spans="1:19" x14ac:dyDescent="0.25">
      <c r="A1071" s="24" t="s">
        <v>2187</v>
      </c>
      <c r="B1071" s="4" t="s">
        <v>1059</v>
      </c>
      <c r="C1071" s="25" t="s">
        <v>7</v>
      </c>
      <c r="G1071" s="25" t="s">
        <v>1219</v>
      </c>
      <c r="H1071" s="24" t="s">
        <v>1061</v>
      </c>
      <c r="I1071" s="3" t="str">
        <f>IFERROR(VLOOKUP(C1071,'Справочник соответствий'!A$2:D$2981,2,FALSE),IF(VALUE(C1071)=0,1,VLOOKUP(C1071,'Справочник соответствий'!A$2:D$2981,2,FALSE)))</f>
        <v>2</v>
      </c>
      <c r="J1071" s="3">
        <f>IFERROR(VLOOKUP(D1071,'Справочник соответствий'!A$2:D$2981,2,FALSE),IF(VALUE(D1071)=0,0,VLOOKUP(D1071,'Справочник соответствий'!A$2:D$2981,2,FALSE)))</f>
        <v>0</v>
      </c>
      <c r="K1071" s="3" t="str">
        <f t="shared" si="112"/>
        <v>2</v>
      </c>
      <c r="L1071" s="13" t="str">
        <f>IFERROR(VLOOKUP(C1071,'Справочник соответствий'!A$2:D$2981,3,FALSE),IF(VALUE(C1071)=0,"ЭТАЖ НЕ ОПРЕДЕЛЕН. ПРИНЯТ ПО ДОПУЩЕНИЮ 1",VLOOKUP(C1071,'Справочник соответствий'!A$2:D$2981,3,FALSE)))</f>
        <v>ЭТАЖ ЗАДАН ЧИСЛОМ</v>
      </c>
      <c r="M1071" s="13" t="b">
        <f t="shared" si="113"/>
        <v>0</v>
      </c>
      <c r="N1071" s="13">
        <f t="shared" si="114"/>
        <v>2</v>
      </c>
      <c r="O1071" s="13" t="str">
        <f t="shared" si="115"/>
        <v>ЭТАЖ ЗАДАН ЧИСЛОМ</v>
      </c>
      <c r="P1071" s="13" t="str">
        <f t="shared" si="116"/>
        <v>ЭТАЖ ЗАДАН ЧИСЛОМ</v>
      </c>
      <c r="Q1071" s="13" t="str">
        <f t="shared" si="117"/>
        <v>ГОТОВ_ИЗМЕНЕН</v>
      </c>
      <c r="R1071" s="13">
        <f>IFERROR(VLOOKUP(P1071,Лист1!A$1:B$20,2,FALSE),0)</f>
        <v>784</v>
      </c>
      <c r="S1071" s="13">
        <f t="shared" si="118"/>
        <v>0</v>
      </c>
    </row>
    <row r="1072" spans="1:19" x14ac:dyDescent="0.25">
      <c r="A1072" s="24" t="s">
        <v>2188</v>
      </c>
      <c r="B1072" s="4" t="s">
        <v>1063</v>
      </c>
      <c r="C1072" s="25" t="s">
        <v>5</v>
      </c>
      <c r="G1072" s="25" t="s">
        <v>1080</v>
      </c>
      <c r="H1072" s="24" t="s">
        <v>1061</v>
      </c>
      <c r="I1072" s="3" t="str">
        <f>IFERROR(VLOOKUP(C1072,'Справочник соответствий'!A$2:D$2981,2,FALSE),IF(VALUE(C1072)=0,1,VLOOKUP(C1072,'Справочник соответствий'!A$2:D$2981,2,FALSE)))</f>
        <v>1</v>
      </c>
      <c r="J1072" s="3">
        <f>IFERROR(VLOOKUP(D1072,'Справочник соответствий'!A$2:D$2981,2,FALSE),IF(VALUE(D1072)=0,0,VLOOKUP(D1072,'Справочник соответствий'!A$2:D$2981,2,FALSE)))</f>
        <v>0</v>
      </c>
      <c r="K1072" s="3" t="str">
        <f t="shared" si="112"/>
        <v>1</v>
      </c>
      <c r="L1072" s="13" t="str">
        <f>IFERROR(VLOOKUP(C1072,'Справочник соответствий'!A$2:D$2981,3,FALSE),IF(VALUE(C1072)=0,"ЭТАЖ НЕ ОПРЕДЕЛЕН. ПРИНЯТ ПО ДОПУЩЕНИЮ 1",VLOOKUP(C1072,'Справочник соответствий'!A$2:D$2981,3,FALSE)))</f>
        <v>ЭТАЖ ЗАДАН ЧИСЛОМ</v>
      </c>
      <c r="M1072" s="13" t="b">
        <f t="shared" si="113"/>
        <v>0</v>
      </c>
      <c r="N1072" s="13">
        <f t="shared" si="114"/>
        <v>1</v>
      </c>
      <c r="O1072" s="13" t="str">
        <f t="shared" si="115"/>
        <v>ЭТАЖ ЗАДАН ЧИСЛОМ</v>
      </c>
      <c r="P1072" s="13" t="str">
        <f t="shared" si="116"/>
        <v>ЭТАЖ ЗАДАН ЧИСЛОМ</v>
      </c>
      <c r="Q1072" s="13" t="str">
        <f t="shared" si="117"/>
        <v>ГОТОВ_ИЗМЕНЕН</v>
      </c>
      <c r="R1072" s="13">
        <f>IFERROR(VLOOKUP(P1072,Лист1!A$1:B$20,2,FALSE),0)</f>
        <v>784</v>
      </c>
      <c r="S1072" s="13">
        <f t="shared" si="118"/>
        <v>0</v>
      </c>
    </row>
    <row r="1073" spans="1:19" x14ac:dyDescent="0.25">
      <c r="A1073" s="24" t="s">
        <v>2189</v>
      </c>
      <c r="B1073" s="4" t="s">
        <v>1059</v>
      </c>
      <c r="C1073" s="25" t="s">
        <v>7</v>
      </c>
      <c r="G1073" s="25" t="s">
        <v>1080</v>
      </c>
      <c r="H1073" s="24" t="s">
        <v>1061</v>
      </c>
      <c r="I1073" s="3" t="str">
        <f>IFERROR(VLOOKUP(C1073,'Справочник соответствий'!A$2:D$2981,2,FALSE),IF(VALUE(C1073)=0,1,VLOOKUP(C1073,'Справочник соответствий'!A$2:D$2981,2,FALSE)))</f>
        <v>2</v>
      </c>
      <c r="J1073" s="3">
        <f>IFERROR(VLOOKUP(D1073,'Справочник соответствий'!A$2:D$2981,2,FALSE),IF(VALUE(D1073)=0,0,VLOOKUP(D1073,'Справочник соответствий'!A$2:D$2981,2,FALSE)))</f>
        <v>0</v>
      </c>
      <c r="K1073" s="3" t="str">
        <f t="shared" si="112"/>
        <v>2</v>
      </c>
      <c r="L1073" s="13" t="str">
        <f>IFERROR(VLOOKUP(C1073,'Справочник соответствий'!A$2:D$2981,3,FALSE),IF(VALUE(C1073)=0,"ЭТАЖ НЕ ОПРЕДЕЛЕН. ПРИНЯТ ПО ДОПУЩЕНИЮ 1",VLOOKUP(C1073,'Справочник соответствий'!A$2:D$2981,3,FALSE)))</f>
        <v>ЭТАЖ ЗАДАН ЧИСЛОМ</v>
      </c>
      <c r="M1073" s="13" t="b">
        <f t="shared" si="113"/>
        <v>0</v>
      </c>
      <c r="N1073" s="13">
        <f t="shared" si="114"/>
        <v>2</v>
      </c>
      <c r="O1073" s="13" t="str">
        <f t="shared" si="115"/>
        <v>ЭТАЖ ЗАДАН ЧИСЛОМ</v>
      </c>
      <c r="P1073" s="13" t="str">
        <f t="shared" si="116"/>
        <v>ЭТАЖ ЗАДАН ЧИСЛОМ</v>
      </c>
      <c r="Q1073" s="13" t="str">
        <f t="shared" si="117"/>
        <v>ГОТОВ_ИЗМЕНЕН</v>
      </c>
      <c r="R1073" s="13">
        <f>IFERROR(VLOOKUP(P1073,Лист1!A$1:B$20,2,FALSE),0)</f>
        <v>784</v>
      </c>
      <c r="S1073" s="13">
        <f t="shared" si="118"/>
        <v>0</v>
      </c>
    </row>
    <row r="1074" spans="1:19" x14ac:dyDescent="0.25">
      <c r="A1074" s="24" t="s">
        <v>2190</v>
      </c>
      <c r="B1074" s="4" t="s">
        <v>1059</v>
      </c>
      <c r="C1074" s="25" t="s">
        <v>5</v>
      </c>
      <c r="G1074" s="25" t="s">
        <v>1080</v>
      </c>
      <c r="H1074" s="24" t="s">
        <v>1061</v>
      </c>
      <c r="I1074" s="3" t="str">
        <f>IFERROR(VLOOKUP(C1074,'Справочник соответствий'!A$2:D$2981,2,FALSE),IF(VALUE(C1074)=0,1,VLOOKUP(C1074,'Справочник соответствий'!A$2:D$2981,2,FALSE)))</f>
        <v>1</v>
      </c>
      <c r="J1074" s="3">
        <f>IFERROR(VLOOKUP(D1074,'Справочник соответствий'!A$2:D$2981,2,FALSE),IF(VALUE(D1074)=0,0,VLOOKUP(D1074,'Справочник соответствий'!A$2:D$2981,2,FALSE)))</f>
        <v>0</v>
      </c>
      <c r="K1074" s="3" t="str">
        <f t="shared" si="112"/>
        <v>1</v>
      </c>
      <c r="L1074" s="13" t="str">
        <f>IFERROR(VLOOKUP(C1074,'Справочник соответствий'!A$2:D$2981,3,FALSE),IF(VALUE(C1074)=0,"ЭТАЖ НЕ ОПРЕДЕЛЕН. ПРИНЯТ ПО ДОПУЩЕНИЮ 1",VLOOKUP(C1074,'Справочник соответствий'!A$2:D$2981,3,FALSE)))</f>
        <v>ЭТАЖ ЗАДАН ЧИСЛОМ</v>
      </c>
      <c r="M1074" s="13" t="b">
        <f t="shared" si="113"/>
        <v>0</v>
      </c>
      <c r="N1074" s="13">
        <f t="shared" si="114"/>
        <v>1</v>
      </c>
      <c r="O1074" s="13" t="str">
        <f t="shared" si="115"/>
        <v>ЭТАЖ ЗАДАН ЧИСЛОМ</v>
      </c>
      <c r="P1074" s="13" t="str">
        <f t="shared" si="116"/>
        <v>ЭТАЖ ЗАДАН ЧИСЛОМ</v>
      </c>
      <c r="Q1074" s="13" t="str">
        <f t="shared" si="117"/>
        <v>ГОТОВ_ИЗМЕНЕН</v>
      </c>
      <c r="R1074" s="13">
        <f>IFERROR(VLOOKUP(P1074,Лист1!A$1:B$20,2,FALSE),0)</f>
        <v>784</v>
      </c>
      <c r="S1074" s="13">
        <f t="shared" si="118"/>
        <v>0</v>
      </c>
    </row>
    <row r="1075" spans="1:19" x14ac:dyDescent="0.25">
      <c r="A1075" s="24" t="s">
        <v>2191</v>
      </c>
      <c r="B1075" s="4" t="s">
        <v>1059</v>
      </c>
      <c r="C1075" s="25" t="s">
        <v>7</v>
      </c>
      <c r="G1075" s="25" t="s">
        <v>1086</v>
      </c>
      <c r="H1075" s="24" t="s">
        <v>1061</v>
      </c>
      <c r="I1075" s="3" t="str">
        <f>IFERROR(VLOOKUP(C1075,'Справочник соответствий'!A$2:D$2981,2,FALSE),IF(VALUE(C1075)=0,1,VLOOKUP(C1075,'Справочник соответствий'!A$2:D$2981,2,FALSE)))</f>
        <v>2</v>
      </c>
      <c r="J1075" s="3">
        <f>IFERROR(VLOOKUP(D1075,'Справочник соответствий'!A$2:D$2981,2,FALSE),IF(VALUE(D1075)=0,0,VLOOKUP(D1075,'Справочник соответствий'!A$2:D$2981,2,FALSE)))</f>
        <v>0</v>
      </c>
      <c r="K1075" s="3" t="str">
        <f t="shared" si="112"/>
        <v>2</v>
      </c>
      <c r="L1075" s="13" t="str">
        <f>IFERROR(VLOOKUP(C1075,'Справочник соответствий'!A$2:D$2981,3,FALSE),IF(VALUE(C1075)=0,"ЭТАЖ НЕ ОПРЕДЕЛЕН. ПРИНЯТ ПО ДОПУЩЕНИЮ 1",VLOOKUP(C1075,'Справочник соответствий'!A$2:D$2981,3,FALSE)))</f>
        <v>ЭТАЖ ЗАДАН ЧИСЛОМ</v>
      </c>
      <c r="M1075" s="13" t="b">
        <f t="shared" si="113"/>
        <v>0</v>
      </c>
      <c r="N1075" s="13">
        <f t="shared" si="114"/>
        <v>2</v>
      </c>
      <c r="O1075" s="13" t="str">
        <f t="shared" si="115"/>
        <v>ЭТАЖ ЗАДАН ЧИСЛОМ</v>
      </c>
      <c r="P1075" s="13" t="str">
        <f t="shared" si="116"/>
        <v>ЭТАЖ ЗАДАН ЧИСЛОМ</v>
      </c>
      <c r="Q1075" s="13" t="str">
        <f t="shared" si="117"/>
        <v>ГОТОВ_ИЗМЕНЕН</v>
      </c>
      <c r="R1075" s="13">
        <f>IFERROR(VLOOKUP(P1075,Лист1!A$1:B$20,2,FALSE),0)</f>
        <v>784</v>
      </c>
      <c r="S1075" s="13">
        <f t="shared" si="118"/>
        <v>0</v>
      </c>
    </row>
    <row r="1076" spans="1:19" x14ac:dyDescent="0.25">
      <c r="A1076" s="24" t="s">
        <v>2192</v>
      </c>
      <c r="B1076" s="4" t="s">
        <v>1059</v>
      </c>
      <c r="C1076" s="25" t="s">
        <v>5</v>
      </c>
      <c r="G1076" s="25" t="s">
        <v>1086</v>
      </c>
      <c r="H1076" s="24" t="s">
        <v>1061</v>
      </c>
      <c r="I1076" s="3" t="str">
        <f>IFERROR(VLOOKUP(C1076,'Справочник соответствий'!A$2:D$2981,2,FALSE),IF(VALUE(C1076)=0,1,VLOOKUP(C1076,'Справочник соответствий'!A$2:D$2981,2,FALSE)))</f>
        <v>1</v>
      </c>
      <c r="J1076" s="3">
        <f>IFERROR(VLOOKUP(D1076,'Справочник соответствий'!A$2:D$2981,2,FALSE),IF(VALUE(D1076)=0,0,VLOOKUP(D1076,'Справочник соответствий'!A$2:D$2981,2,FALSE)))</f>
        <v>0</v>
      </c>
      <c r="K1076" s="3" t="str">
        <f t="shared" si="112"/>
        <v>1</v>
      </c>
      <c r="L1076" s="13" t="str">
        <f>IFERROR(VLOOKUP(C1076,'Справочник соответствий'!A$2:D$2981,3,FALSE),IF(VALUE(C1076)=0,"ЭТАЖ НЕ ОПРЕДЕЛЕН. ПРИНЯТ ПО ДОПУЩЕНИЮ 1",VLOOKUP(C1076,'Справочник соответствий'!A$2:D$2981,3,FALSE)))</f>
        <v>ЭТАЖ ЗАДАН ЧИСЛОМ</v>
      </c>
      <c r="M1076" s="13" t="b">
        <f t="shared" si="113"/>
        <v>0</v>
      </c>
      <c r="N1076" s="13">
        <f t="shared" si="114"/>
        <v>1</v>
      </c>
      <c r="O1076" s="13" t="str">
        <f t="shared" si="115"/>
        <v>ЭТАЖ ЗАДАН ЧИСЛОМ</v>
      </c>
      <c r="P1076" s="13" t="str">
        <f t="shared" si="116"/>
        <v>ЭТАЖ ЗАДАН ЧИСЛОМ</v>
      </c>
      <c r="Q1076" s="13" t="str">
        <f t="shared" si="117"/>
        <v>ГОТОВ_ИЗМЕНЕН</v>
      </c>
      <c r="R1076" s="13">
        <f>IFERROR(VLOOKUP(P1076,Лист1!A$1:B$20,2,FALSE),0)</f>
        <v>784</v>
      </c>
      <c r="S1076" s="13">
        <f t="shared" si="118"/>
        <v>0</v>
      </c>
    </row>
    <row r="1077" spans="1:19" x14ac:dyDescent="0.25">
      <c r="A1077" s="24" t="s">
        <v>2193</v>
      </c>
      <c r="B1077" s="4" t="s">
        <v>1059</v>
      </c>
      <c r="C1077" s="25" t="s">
        <v>7</v>
      </c>
      <c r="G1077" s="25" t="s">
        <v>1077</v>
      </c>
      <c r="H1077" s="24" t="s">
        <v>1061</v>
      </c>
      <c r="I1077" s="3" t="str">
        <f>IFERROR(VLOOKUP(C1077,'Справочник соответствий'!A$2:D$2981,2,FALSE),IF(VALUE(C1077)=0,1,VLOOKUP(C1077,'Справочник соответствий'!A$2:D$2981,2,FALSE)))</f>
        <v>2</v>
      </c>
      <c r="J1077" s="3">
        <f>IFERROR(VLOOKUP(D1077,'Справочник соответствий'!A$2:D$2981,2,FALSE),IF(VALUE(D1077)=0,0,VLOOKUP(D1077,'Справочник соответствий'!A$2:D$2981,2,FALSE)))</f>
        <v>0</v>
      </c>
      <c r="K1077" s="3" t="str">
        <f t="shared" si="112"/>
        <v>2</v>
      </c>
      <c r="L1077" s="13" t="str">
        <f>IFERROR(VLOOKUP(C1077,'Справочник соответствий'!A$2:D$2981,3,FALSE),IF(VALUE(C1077)=0,"ЭТАЖ НЕ ОПРЕДЕЛЕН. ПРИНЯТ ПО ДОПУЩЕНИЮ 1",VLOOKUP(C1077,'Справочник соответствий'!A$2:D$2981,3,FALSE)))</f>
        <v>ЭТАЖ ЗАДАН ЧИСЛОМ</v>
      </c>
      <c r="M1077" s="13" t="b">
        <f t="shared" si="113"/>
        <v>0</v>
      </c>
      <c r="N1077" s="13">
        <f t="shared" si="114"/>
        <v>2</v>
      </c>
      <c r="O1077" s="13" t="str">
        <f t="shared" si="115"/>
        <v>ЭТАЖ ЗАДАН ЧИСЛОМ</v>
      </c>
      <c r="P1077" s="13" t="str">
        <f t="shared" si="116"/>
        <v>ЭТАЖ ЗАДАН ЧИСЛОМ</v>
      </c>
      <c r="Q1077" s="13" t="str">
        <f t="shared" si="117"/>
        <v>ГОТОВ_ИЗМЕНЕН</v>
      </c>
      <c r="R1077" s="13">
        <f>IFERROR(VLOOKUP(P1077,Лист1!A$1:B$20,2,FALSE),0)</f>
        <v>784</v>
      </c>
      <c r="S1077" s="13">
        <f t="shared" si="118"/>
        <v>0</v>
      </c>
    </row>
    <row r="1078" spans="1:19" x14ac:dyDescent="0.25">
      <c r="A1078" s="24" t="s">
        <v>2194</v>
      </c>
      <c r="B1078" s="4" t="s">
        <v>1063</v>
      </c>
      <c r="C1078" s="25" t="s">
        <v>5</v>
      </c>
      <c r="G1078" s="25" t="s">
        <v>1077</v>
      </c>
      <c r="H1078" s="24" t="s">
        <v>1061</v>
      </c>
      <c r="I1078" s="3" t="str">
        <f>IFERROR(VLOOKUP(C1078,'Справочник соответствий'!A$2:D$2981,2,FALSE),IF(VALUE(C1078)=0,1,VLOOKUP(C1078,'Справочник соответствий'!A$2:D$2981,2,FALSE)))</f>
        <v>1</v>
      </c>
      <c r="J1078" s="3">
        <f>IFERROR(VLOOKUP(D1078,'Справочник соответствий'!A$2:D$2981,2,FALSE),IF(VALUE(D1078)=0,0,VLOOKUP(D1078,'Справочник соответствий'!A$2:D$2981,2,FALSE)))</f>
        <v>0</v>
      </c>
      <c r="K1078" s="3" t="str">
        <f t="shared" si="112"/>
        <v>1</v>
      </c>
      <c r="L1078" s="13" t="str">
        <f>IFERROR(VLOOKUP(C1078,'Справочник соответствий'!A$2:D$2981,3,FALSE),IF(VALUE(C1078)=0,"ЭТАЖ НЕ ОПРЕДЕЛЕН. ПРИНЯТ ПО ДОПУЩЕНИЮ 1",VLOOKUP(C1078,'Справочник соответствий'!A$2:D$2981,3,FALSE)))</f>
        <v>ЭТАЖ ЗАДАН ЧИСЛОМ</v>
      </c>
      <c r="M1078" s="13" t="b">
        <f t="shared" si="113"/>
        <v>0</v>
      </c>
      <c r="N1078" s="13">
        <f t="shared" si="114"/>
        <v>1</v>
      </c>
      <c r="O1078" s="13" t="str">
        <f t="shared" si="115"/>
        <v>ЭТАЖ ЗАДАН ЧИСЛОМ</v>
      </c>
      <c r="P1078" s="13" t="str">
        <f t="shared" si="116"/>
        <v>ЭТАЖ ЗАДАН ЧИСЛОМ</v>
      </c>
      <c r="Q1078" s="13" t="str">
        <f t="shared" si="117"/>
        <v>ГОТОВ_ИЗМЕНЕН</v>
      </c>
      <c r="R1078" s="13">
        <f>IFERROR(VLOOKUP(P1078,Лист1!A$1:B$20,2,FALSE),0)</f>
        <v>784</v>
      </c>
      <c r="S1078" s="13">
        <f t="shared" si="118"/>
        <v>0</v>
      </c>
    </row>
    <row r="1079" spans="1:19" x14ac:dyDescent="0.25">
      <c r="A1079" s="24" t="s">
        <v>2195</v>
      </c>
      <c r="B1079" s="4" t="s">
        <v>1059</v>
      </c>
      <c r="C1079" s="25" t="s">
        <v>7</v>
      </c>
      <c r="G1079" s="25" t="s">
        <v>1077</v>
      </c>
      <c r="H1079" s="24" t="s">
        <v>1061</v>
      </c>
      <c r="I1079" s="3" t="str">
        <f>IFERROR(VLOOKUP(C1079,'Справочник соответствий'!A$2:D$2981,2,FALSE),IF(VALUE(C1079)=0,1,VLOOKUP(C1079,'Справочник соответствий'!A$2:D$2981,2,FALSE)))</f>
        <v>2</v>
      </c>
      <c r="J1079" s="3">
        <f>IFERROR(VLOOKUP(D1079,'Справочник соответствий'!A$2:D$2981,2,FALSE),IF(VALUE(D1079)=0,0,VLOOKUP(D1079,'Справочник соответствий'!A$2:D$2981,2,FALSE)))</f>
        <v>0</v>
      </c>
      <c r="K1079" s="3" t="str">
        <f t="shared" si="112"/>
        <v>2</v>
      </c>
      <c r="L1079" s="13" t="str">
        <f>IFERROR(VLOOKUP(C1079,'Справочник соответствий'!A$2:D$2981,3,FALSE),IF(VALUE(C1079)=0,"ЭТАЖ НЕ ОПРЕДЕЛЕН. ПРИНЯТ ПО ДОПУЩЕНИЮ 1",VLOOKUP(C1079,'Справочник соответствий'!A$2:D$2981,3,FALSE)))</f>
        <v>ЭТАЖ ЗАДАН ЧИСЛОМ</v>
      </c>
      <c r="M1079" s="13" t="b">
        <f t="shared" si="113"/>
        <v>0</v>
      </c>
      <c r="N1079" s="13">
        <f t="shared" si="114"/>
        <v>2</v>
      </c>
      <c r="O1079" s="13" t="str">
        <f t="shared" si="115"/>
        <v>ЭТАЖ ЗАДАН ЧИСЛОМ</v>
      </c>
      <c r="P1079" s="13" t="str">
        <f t="shared" si="116"/>
        <v>ЭТАЖ ЗАДАН ЧИСЛОМ</v>
      </c>
      <c r="Q1079" s="13" t="str">
        <f t="shared" si="117"/>
        <v>ГОТОВ_ИЗМЕНЕН</v>
      </c>
      <c r="R1079" s="13">
        <f>IFERROR(VLOOKUP(P1079,Лист1!A$1:B$20,2,FALSE),0)</f>
        <v>784</v>
      </c>
      <c r="S1079" s="13">
        <f t="shared" si="118"/>
        <v>0</v>
      </c>
    </row>
    <row r="1080" spans="1:19" x14ac:dyDescent="0.25">
      <c r="A1080" s="24" t="s">
        <v>2196</v>
      </c>
      <c r="B1080" s="4" t="s">
        <v>1059</v>
      </c>
      <c r="C1080" s="25" t="s">
        <v>5</v>
      </c>
      <c r="G1080" s="25" t="s">
        <v>1080</v>
      </c>
      <c r="H1080" s="24" t="s">
        <v>1061</v>
      </c>
      <c r="I1080" s="3" t="str">
        <f>IFERROR(VLOOKUP(C1080,'Справочник соответствий'!A$2:D$2981,2,FALSE),IF(VALUE(C1080)=0,1,VLOOKUP(C1080,'Справочник соответствий'!A$2:D$2981,2,FALSE)))</f>
        <v>1</v>
      </c>
      <c r="J1080" s="3">
        <f>IFERROR(VLOOKUP(D1080,'Справочник соответствий'!A$2:D$2981,2,FALSE),IF(VALUE(D1080)=0,0,VLOOKUP(D1080,'Справочник соответствий'!A$2:D$2981,2,FALSE)))</f>
        <v>0</v>
      </c>
      <c r="K1080" s="3" t="str">
        <f t="shared" si="112"/>
        <v>1</v>
      </c>
      <c r="L1080" s="13" t="str">
        <f>IFERROR(VLOOKUP(C1080,'Справочник соответствий'!A$2:D$2981,3,FALSE),IF(VALUE(C1080)=0,"ЭТАЖ НЕ ОПРЕДЕЛЕН. ПРИНЯТ ПО ДОПУЩЕНИЮ 1",VLOOKUP(C1080,'Справочник соответствий'!A$2:D$2981,3,FALSE)))</f>
        <v>ЭТАЖ ЗАДАН ЧИСЛОМ</v>
      </c>
      <c r="M1080" s="13" t="b">
        <f t="shared" si="113"/>
        <v>0</v>
      </c>
      <c r="N1080" s="13">
        <f t="shared" si="114"/>
        <v>1</v>
      </c>
      <c r="O1080" s="13" t="str">
        <f t="shared" si="115"/>
        <v>ЭТАЖ ЗАДАН ЧИСЛОМ</v>
      </c>
      <c r="P1080" s="13" t="str">
        <f t="shared" si="116"/>
        <v>ЭТАЖ ЗАДАН ЧИСЛОМ</v>
      </c>
      <c r="Q1080" s="13" t="str">
        <f t="shared" si="117"/>
        <v>ГОТОВ_ИЗМЕНЕН</v>
      </c>
      <c r="R1080" s="13">
        <f>IFERROR(VLOOKUP(P1080,Лист1!A$1:B$20,2,FALSE),0)</f>
        <v>784</v>
      </c>
      <c r="S1080" s="13">
        <f t="shared" si="118"/>
        <v>0</v>
      </c>
    </row>
    <row r="1081" spans="1:19" x14ac:dyDescent="0.25">
      <c r="A1081" s="24" t="s">
        <v>2197</v>
      </c>
      <c r="B1081" s="4" t="s">
        <v>1063</v>
      </c>
      <c r="C1081" s="25" t="s">
        <v>7</v>
      </c>
      <c r="G1081" s="25" t="s">
        <v>1080</v>
      </c>
      <c r="H1081" s="24" t="s">
        <v>1061</v>
      </c>
      <c r="I1081" s="3" t="str">
        <f>IFERROR(VLOOKUP(C1081,'Справочник соответствий'!A$2:D$2981,2,FALSE),IF(VALUE(C1081)=0,1,VLOOKUP(C1081,'Справочник соответствий'!A$2:D$2981,2,FALSE)))</f>
        <v>2</v>
      </c>
      <c r="J1081" s="3">
        <f>IFERROR(VLOOKUP(D1081,'Справочник соответствий'!A$2:D$2981,2,FALSE),IF(VALUE(D1081)=0,0,VLOOKUP(D1081,'Справочник соответствий'!A$2:D$2981,2,FALSE)))</f>
        <v>0</v>
      </c>
      <c r="K1081" s="3" t="str">
        <f t="shared" si="112"/>
        <v>2</v>
      </c>
      <c r="L1081" s="13" t="str">
        <f>IFERROR(VLOOKUP(C1081,'Справочник соответствий'!A$2:D$2981,3,FALSE),IF(VALUE(C1081)=0,"ЭТАЖ НЕ ОПРЕДЕЛЕН. ПРИНЯТ ПО ДОПУЩЕНИЮ 1",VLOOKUP(C1081,'Справочник соответствий'!A$2:D$2981,3,FALSE)))</f>
        <v>ЭТАЖ ЗАДАН ЧИСЛОМ</v>
      </c>
      <c r="M1081" s="13" t="b">
        <f t="shared" si="113"/>
        <v>0</v>
      </c>
      <c r="N1081" s="13">
        <f t="shared" si="114"/>
        <v>2</v>
      </c>
      <c r="O1081" s="13" t="str">
        <f t="shared" si="115"/>
        <v>ЭТАЖ ЗАДАН ЧИСЛОМ</v>
      </c>
      <c r="P1081" s="13" t="str">
        <f t="shared" si="116"/>
        <v>ЭТАЖ ЗАДАН ЧИСЛОМ</v>
      </c>
      <c r="Q1081" s="13" t="str">
        <f t="shared" si="117"/>
        <v>ГОТОВ_ИЗМЕНЕН</v>
      </c>
      <c r="R1081" s="13">
        <f>IFERROR(VLOOKUP(P1081,Лист1!A$1:B$20,2,FALSE),0)</f>
        <v>784</v>
      </c>
      <c r="S1081" s="13">
        <f t="shared" si="118"/>
        <v>0</v>
      </c>
    </row>
    <row r="1082" spans="1:19" x14ac:dyDescent="0.25">
      <c r="A1082" s="24" t="s">
        <v>2198</v>
      </c>
      <c r="B1082" s="4" t="s">
        <v>1059</v>
      </c>
      <c r="C1082" s="25" t="s">
        <v>5</v>
      </c>
      <c r="G1082" s="25" t="s">
        <v>1077</v>
      </c>
      <c r="H1082" s="24" t="s">
        <v>1061</v>
      </c>
      <c r="I1082" s="3" t="str">
        <f>IFERROR(VLOOKUP(C1082,'Справочник соответствий'!A$2:D$2981,2,FALSE),IF(VALUE(C1082)=0,1,VLOOKUP(C1082,'Справочник соответствий'!A$2:D$2981,2,FALSE)))</f>
        <v>1</v>
      </c>
      <c r="J1082" s="3">
        <f>IFERROR(VLOOKUP(D1082,'Справочник соответствий'!A$2:D$2981,2,FALSE),IF(VALUE(D1082)=0,0,VLOOKUP(D1082,'Справочник соответствий'!A$2:D$2981,2,FALSE)))</f>
        <v>0</v>
      </c>
      <c r="K1082" s="3" t="str">
        <f t="shared" si="112"/>
        <v>1</v>
      </c>
      <c r="L1082" s="13" t="str">
        <f>IFERROR(VLOOKUP(C1082,'Справочник соответствий'!A$2:D$2981,3,FALSE),IF(VALUE(C1082)=0,"ЭТАЖ НЕ ОПРЕДЕЛЕН. ПРИНЯТ ПО ДОПУЩЕНИЮ 1",VLOOKUP(C1082,'Справочник соответствий'!A$2:D$2981,3,FALSE)))</f>
        <v>ЭТАЖ ЗАДАН ЧИСЛОМ</v>
      </c>
      <c r="M1082" s="13" t="b">
        <f t="shared" si="113"/>
        <v>0</v>
      </c>
      <c r="N1082" s="13">
        <f t="shared" si="114"/>
        <v>1</v>
      </c>
      <c r="O1082" s="13" t="str">
        <f t="shared" si="115"/>
        <v>ЭТАЖ ЗАДАН ЧИСЛОМ</v>
      </c>
      <c r="P1082" s="13" t="str">
        <f t="shared" si="116"/>
        <v>ЭТАЖ ЗАДАН ЧИСЛОМ</v>
      </c>
      <c r="Q1082" s="13" t="str">
        <f t="shared" si="117"/>
        <v>ГОТОВ_ИЗМЕНЕН</v>
      </c>
      <c r="R1082" s="13">
        <f>IFERROR(VLOOKUP(P1082,Лист1!A$1:B$20,2,FALSE),0)</f>
        <v>784</v>
      </c>
      <c r="S1082" s="13">
        <f t="shared" si="118"/>
        <v>0</v>
      </c>
    </row>
    <row r="1083" spans="1:19" x14ac:dyDescent="0.25">
      <c r="A1083" s="24" t="s">
        <v>2199</v>
      </c>
      <c r="B1083" s="4" t="s">
        <v>1059</v>
      </c>
      <c r="C1083" s="25" t="s">
        <v>5</v>
      </c>
      <c r="G1083" s="25" t="s">
        <v>1080</v>
      </c>
      <c r="H1083" s="24" t="s">
        <v>1061</v>
      </c>
      <c r="I1083" s="3" t="str">
        <f>IFERROR(VLOOKUP(C1083,'Справочник соответствий'!A$2:D$2981,2,FALSE),IF(VALUE(C1083)=0,1,VLOOKUP(C1083,'Справочник соответствий'!A$2:D$2981,2,FALSE)))</f>
        <v>1</v>
      </c>
      <c r="J1083" s="3">
        <f>IFERROR(VLOOKUP(D1083,'Справочник соответствий'!A$2:D$2981,2,FALSE),IF(VALUE(D1083)=0,0,VLOOKUP(D1083,'Справочник соответствий'!A$2:D$2981,2,FALSE)))</f>
        <v>0</v>
      </c>
      <c r="K1083" s="3" t="str">
        <f t="shared" si="112"/>
        <v>1</v>
      </c>
      <c r="L1083" s="13" t="str">
        <f>IFERROR(VLOOKUP(C1083,'Справочник соответствий'!A$2:D$2981,3,FALSE),IF(VALUE(C1083)=0,"ЭТАЖ НЕ ОПРЕДЕЛЕН. ПРИНЯТ ПО ДОПУЩЕНИЮ 1",VLOOKUP(C1083,'Справочник соответствий'!A$2:D$2981,3,FALSE)))</f>
        <v>ЭТАЖ ЗАДАН ЧИСЛОМ</v>
      </c>
      <c r="M1083" s="13" t="b">
        <f t="shared" si="113"/>
        <v>0</v>
      </c>
      <c r="N1083" s="13">
        <f t="shared" si="114"/>
        <v>1</v>
      </c>
      <c r="O1083" s="13" t="str">
        <f t="shared" si="115"/>
        <v>ЭТАЖ ЗАДАН ЧИСЛОМ</v>
      </c>
      <c r="P1083" s="13" t="str">
        <f t="shared" si="116"/>
        <v>ЭТАЖ ЗАДАН ЧИСЛОМ</v>
      </c>
      <c r="Q1083" s="13" t="str">
        <f t="shared" si="117"/>
        <v>ГОТОВ_ИЗМЕНЕН</v>
      </c>
      <c r="R1083" s="13">
        <f>IFERROR(VLOOKUP(P1083,Лист1!A$1:B$20,2,FALSE),0)</f>
        <v>784</v>
      </c>
      <c r="S1083" s="13">
        <f t="shared" si="118"/>
        <v>0</v>
      </c>
    </row>
    <row r="1084" spans="1:19" x14ac:dyDescent="0.25">
      <c r="A1084" s="24" t="s">
        <v>2200</v>
      </c>
      <c r="B1084" s="4" t="s">
        <v>1059</v>
      </c>
      <c r="C1084" s="25" t="s">
        <v>5</v>
      </c>
      <c r="G1084" s="25" t="s">
        <v>1080</v>
      </c>
      <c r="H1084" s="24" t="s">
        <v>1061</v>
      </c>
      <c r="I1084" s="3" t="str">
        <f>IFERROR(VLOOKUP(C1084,'Справочник соответствий'!A$2:D$2981,2,FALSE),IF(VALUE(C1084)=0,1,VLOOKUP(C1084,'Справочник соответствий'!A$2:D$2981,2,FALSE)))</f>
        <v>1</v>
      </c>
      <c r="J1084" s="3">
        <f>IFERROR(VLOOKUP(D1084,'Справочник соответствий'!A$2:D$2981,2,FALSE),IF(VALUE(D1084)=0,0,VLOOKUP(D1084,'Справочник соответствий'!A$2:D$2981,2,FALSE)))</f>
        <v>0</v>
      </c>
      <c r="K1084" s="3" t="str">
        <f t="shared" si="112"/>
        <v>1</v>
      </c>
      <c r="L1084" s="13" t="str">
        <f>IFERROR(VLOOKUP(C1084,'Справочник соответствий'!A$2:D$2981,3,FALSE),IF(VALUE(C1084)=0,"ЭТАЖ НЕ ОПРЕДЕЛЕН. ПРИНЯТ ПО ДОПУЩЕНИЮ 1",VLOOKUP(C1084,'Справочник соответствий'!A$2:D$2981,3,FALSE)))</f>
        <v>ЭТАЖ ЗАДАН ЧИСЛОМ</v>
      </c>
      <c r="M1084" s="13" t="b">
        <f t="shared" si="113"/>
        <v>0</v>
      </c>
      <c r="N1084" s="13">
        <f t="shared" si="114"/>
        <v>1</v>
      </c>
      <c r="O1084" s="13" t="str">
        <f t="shared" si="115"/>
        <v>ЭТАЖ ЗАДАН ЧИСЛОМ</v>
      </c>
      <c r="P1084" s="13" t="str">
        <f t="shared" si="116"/>
        <v>ЭТАЖ ЗАДАН ЧИСЛОМ</v>
      </c>
      <c r="Q1084" s="13" t="str">
        <f t="shared" si="117"/>
        <v>ГОТОВ_ИЗМЕНЕН</v>
      </c>
      <c r="R1084" s="13">
        <f>IFERROR(VLOOKUP(P1084,Лист1!A$1:B$20,2,FALSE),0)</f>
        <v>784</v>
      </c>
      <c r="S1084" s="13">
        <f t="shared" si="118"/>
        <v>0</v>
      </c>
    </row>
    <row r="1085" spans="1:19" x14ac:dyDescent="0.25">
      <c r="A1085" s="24" t="s">
        <v>2201</v>
      </c>
      <c r="B1085" s="4" t="s">
        <v>1059</v>
      </c>
      <c r="C1085" s="25" t="s">
        <v>5</v>
      </c>
      <c r="G1085" s="25" t="s">
        <v>1077</v>
      </c>
      <c r="H1085" s="24" t="s">
        <v>1061</v>
      </c>
      <c r="I1085" s="3" t="str">
        <f>IFERROR(VLOOKUP(C1085,'Справочник соответствий'!A$2:D$2981,2,FALSE),IF(VALUE(C1085)=0,1,VLOOKUP(C1085,'Справочник соответствий'!A$2:D$2981,2,FALSE)))</f>
        <v>1</v>
      </c>
      <c r="J1085" s="3">
        <f>IFERROR(VLOOKUP(D1085,'Справочник соответствий'!A$2:D$2981,2,FALSE),IF(VALUE(D1085)=0,0,VLOOKUP(D1085,'Справочник соответствий'!A$2:D$2981,2,FALSE)))</f>
        <v>0</v>
      </c>
      <c r="K1085" s="3" t="str">
        <f t="shared" si="112"/>
        <v>1</v>
      </c>
      <c r="L1085" s="13" t="str">
        <f>IFERROR(VLOOKUP(C1085,'Справочник соответствий'!A$2:D$2981,3,FALSE),IF(VALUE(C1085)=0,"ЭТАЖ НЕ ОПРЕДЕЛЕН. ПРИНЯТ ПО ДОПУЩЕНИЮ 1",VLOOKUP(C1085,'Справочник соответствий'!A$2:D$2981,3,FALSE)))</f>
        <v>ЭТАЖ ЗАДАН ЧИСЛОМ</v>
      </c>
      <c r="M1085" s="13" t="b">
        <f t="shared" si="113"/>
        <v>0</v>
      </c>
      <c r="N1085" s="13">
        <f t="shared" si="114"/>
        <v>1</v>
      </c>
      <c r="O1085" s="13" t="str">
        <f t="shared" si="115"/>
        <v>ЭТАЖ ЗАДАН ЧИСЛОМ</v>
      </c>
      <c r="P1085" s="13" t="str">
        <f t="shared" si="116"/>
        <v>ЭТАЖ ЗАДАН ЧИСЛОМ</v>
      </c>
      <c r="Q1085" s="13" t="str">
        <f t="shared" si="117"/>
        <v>ГОТОВ_ИЗМЕНЕН</v>
      </c>
      <c r="R1085" s="13">
        <f>IFERROR(VLOOKUP(P1085,Лист1!A$1:B$20,2,FALSE),0)</f>
        <v>784</v>
      </c>
      <c r="S1085" s="13">
        <f t="shared" si="118"/>
        <v>0</v>
      </c>
    </row>
    <row r="1086" spans="1:19" x14ac:dyDescent="0.25">
      <c r="A1086" s="24" t="s">
        <v>2202</v>
      </c>
      <c r="B1086" s="4" t="s">
        <v>1063</v>
      </c>
      <c r="C1086" s="25" t="s">
        <v>5</v>
      </c>
      <c r="G1086" s="25" t="s">
        <v>1077</v>
      </c>
      <c r="H1086" s="24" t="s">
        <v>1061</v>
      </c>
      <c r="I1086" s="3" t="str">
        <f>IFERROR(VLOOKUP(C1086,'Справочник соответствий'!A$2:D$2981,2,FALSE),IF(VALUE(C1086)=0,1,VLOOKUP(C1086,'Справочник соответствий'!A$2:D$2981,2,FALSE)))</f>
        <v>1</v>
      </c>
      <c r="J1086" s="3">
        <f>IFERROR(VLOOKUP(D1086,'Справочник соответствий'!A$2:D$2981,2,FALSE),IF(VALUE(D1086)=0,0,VLOOKUP(D1086,'Справочник соответствий'!A$2:D$2981,2,FALSE)))</f>
        <v>0</v>
      </c>
      <c r="K1086" s="3" t="str">
        <f t="shared" si="112"/>
        <v>1</v>
      </c>
      <c r="L1086" s="13" t="str">
        <f>IFERROR(VLOOKUP(C1086,'Справочник соответствий'!A$2:D$2981,3,FALSE),IF(VALUE(C1086)=0,"ЭТАЖ НЕ ОПРЕДЕЛЕН. ПРИНЯТ ПО ДОПУЩЕНИЮ 1",VLOOKUP(C1086,'Справочник соответствий'!A$2:D$2981,3,FALSE)))</f>
        <v>ЭТАЖ ЗАДАН ЧИСЛОМ</v>
      </c>
      <c r="M1086" s="13" t="b">
        <f t="shared" si="113"/>
        <v>0</v>
      </c>
      <c r="N1086" s="13">
        <f t="shared" si="114"/>
        <v>1</v>
      </c>
      <c r="O1086" s="13" t="str">
        <f t="shared" si="115"/>
        <v>ЭТАЖ ЗАДАН ЧИСЛОМ</v>
      </c>
      <c r="P1086" s="13" t="str">
        <f t="shared" si="116"/>
        <v>ЭТАЖ ЗАДАН ЧИСЛОМ</v>
      </c>
      <c r="Q1086" s="13" t="str">
        <f t="shared" si="117"/>
        <v>ГОТОВ_ИЗМЕНЕН</v>
      </c>
      <c r="R1086" s="13">
        <f>IFERROR(VLOOKUP(P1086,Лист1!A$1:B$20,2,FALSE),0)</f>
        <v>784</v>
      </c>
      <c r="S1086" s="13">
        <f t="shared" si="118"/>
        <v>0</v>
      </c>
    </row>
    <row r="1087" spans="1:19" x14ac:dyDescent="0.25">
      <c r="A1087" s="24" t="s">
        <v>2203</v>
      </c>
      <c r="B1087" s="4" t="s">
        <v>1059</v>
      </c>
      <c r="C1087" s="25" t="s">
        <v>5</v>
      </c>
      <c r="G1087" s="25" t="s">
        <v>1077</v>
      </c>
      <c r="H1087" s="24" t="s">
        <v>1061</v>
      </c>
      <c r="I1087" s="3" t="str">
        <f>IFERROR(VLOOKUP(C1087,'Справочник соответствий'!A$2:D$2981,2,FALSE),IF(VALUE(C1087)=0,1,VLOOKUP(C1087,'Справочник соответствий'!A$2:D$2981,2,FALSE)))</f>
        <v>1</v>
      </c>
      <c r="J1087" s="3">
        <f>IFERROR(VLOOKUP(D1087,'Справочник соответствий'!A$2:D$2981,2,FALSE),IF(VALUE(D1087)=0,0,VLOOKUP(D1087,'Справочник соответствий'!A$2:D$2981,2,FALSE)))</f>
        <v>0</v>
      </c>
      <c r="K1087" s="3" t="str">
        <f t="shared" si="112"/>
        <v>1</v>
      </c>
      <c r="L1087" s="13" t="str">
        <f>IFERROR(VLOOKUP(C1087,'Справочник соответствий'!A$2:D$2981,3,FALSE),IF(VALUE(C1087)=0,"ЭТАЖ НЕ ОПРЕДЕЛЕН. ПРИНЯТ ПО ДОПУЩЕНИЮ 1",VLOOKUP(C1087,'Справочник соответствий'!A$2:D$2981,3,FALSE)))</f>
        <v>ЭТАЖ ЗАДАН ЧИСЛОМ</v>
      </c>
      <c r="M1087" s="13" t="b">
        <f t="shared" si="113"/>
        <v>0</v>
      </c>
      <c r="N1087" s="13">
        <f t="shared" si="114"/>
        <v>1</v>
      </c>
      <c r="O1087" s="13" t="str">
        <f t="shared" si="115"/>
        <v>ЭТАЖ ЗАДАН ЧИСЛОМ</v>
      </c>
      <c r="P1087" s="13" t="str">
        <f t="shared" si="116"/>
        <v>ЭТАЖ ЗАДАН ЧИСЛОМ</v>
      </c>
      <c r="Q1087" s="13" t="str">
        <f t="shared" si="117"/>
        <v>ГОТОВ_ИЗМЕНЕН</v>
      </c>
      <c r="R1087" s="13">
        <f>IFERROR(VLOOKUP(P1087,Лист1!A$1:B$20,2,FALSE),0)</f>
        <v>784</v>
      </c>
      <c r="S1087" s="13">
        <f t="shared" si="118"/>
        <v>0</v>
      </c>
    </row>
    <row r="1088" spans="1:19" x14ac:dyDescent="0.25">
      <c r="A1088" s="24" t="s">
        <v>2204</v>
      </c>
      <c r="B1088" s="4" t="s">
        <v>1063</v>
      </c>
      <c r="C1088" s="25" t="s">
        <v>5</v>
      </c>
      <c r="G1088" s="25" t="s">
        <v>1077</v>
      </c>
      <c r="H1088" s="24" t="s">
        <v>1061</v>
      </c>
      <c r="I1088" s="3" t="str">
        <f>IFERROR(VLOOKUP(C1088,'Справочник соответствий'!A$2:D$2981,2,FALSE),IF(VALUE(C1088)=0,1,VLOOKUP(C1088,'Справочник соответствий'!A$2:D$2981,2,FALSE)))</f>
        <v>1</v>
      </c>
      <c r="J1088" s="3">
        <f>IFERROR(VLOOKUP(D1088,'Справочник соответствий'!A$2:D$2981,2,FALSE),IF(VALUE(D1088)=0,0,VLOOKUP(D1088,'Справочник соответствий'!A$2:D$2981,2,FALSE)))</f>
        <v>0</v>
      </c>
      <c r="K1088" s="3" t="str">
        <f t="shared" si="112"/>
        <v>1</v>
      </c>
      <c r="L1088" s="13" t="str">
        <f>IFERROR(VLOOKUP(C1088,'Справочник соответствий'!A$2:D$2981,3,FALSE),IF(VALUE(C1088)=0,"ЭТАЖ НЕ ОПРЕДЕЛЕН. ПРИНЯТ ПО ДОПУЩЕНИЮ 1",VLOOKUP(C1088,'Справочник соответствий'!A$2:D$2981,3,FALSE)))</f>
        <v>ЭТАЖ ЗАДАН ЧИСЛОМ</v>
      </c>
      <c r="M1088" s="13" t="b">
        <f t="shared" si="113"/>
        <v>0</v>
      </c>
      <c r="N1088" s="13">
        <f t="shared" si="114"/>
        <v>1</v>
      </c>
      <c r="O1088" s="13" t="str">
        <f t="shared" si="115"/>
        <v>ЭТАЖ ЗАДАН ЧИСЛОМ</v>
      </c>
      <c r="P1088" s="13" t="str">
        <f t="shared" si="116"/>
        <v>ЭТАЖ ЗАДАН ЧИСЛОМ</v>
      </c>
      <c r="Q1088" s="13" t="str">
        <f t="shared" si="117"/>
        <v>ГОТОВ_ИЗМЕНЕН</v>
      </c>
      <c r="R1088" s="13">
        <f>IFERROR(VLOOKUP(P1088,Лист1!A$1:B$20,2,FALSE),0)</f>
        <v>784</v>
      </c>
      <c r="S1088" s="13">
        <f t="shared" si="118"/>
        <v>0</v>
      </c>
    </row>
    <row r="1089" spans="1:19" x14ac:dyDescent="0.25">
      <c r="A1089" s="24" t="s">
        <v>2205</v>
      </c>
      <c r="B1089" s="4" t="s">
        <v>1059</v>
      </c>
      <c r="C1089" s="25" t="s">
        <v>5</v>
      </c>
      <c r="G1089" s="25" t="s">
        <v>1150</v>
      </c>
      <c r="H1089" s="24" t="s">
        <v>1061</v>
      </c>
      <c r="I1089" s="3" t="str">
        <f>IFERROR(VLOOKUP(C1089,'Справочник соответствий'!A$2:D$2981,2,FALSE),IF(VALUE(C1089)=0,1,VLOOKUP(C1089,'Справочник соответствий'!A$2:D$2981,2,FALSE)))</f>
        <v>1</v>
      </c>
      <c r="J1089" s="3">
        <f>IFERROR(VLOOKUP(D1089,'Справочник соответствий'!A$2:D$2981,2,FALSE),IF(VALUE(D1089)=0,0,VLOOKUP(D1089,'Справочник соответствий'!A$2:D$2981,2,FALSE)))</f>
        <v>0</v>
      </c>
      <c r="K1089" s="3" t="str">
        <f t="shared" si="112"/>
        <v>1</v>
      </c>
      <c r="L1089" s="13" t="str">
        <f>IFERROR(VLOOKUP(C1089,'Справочник соответствий'!A$2:D$2981,3,FALSE),IF(VALUE(C1089)=0,"ЭТАЖ НЕ ОПРЕДЕЛЕН. ПРИНЯТ ПО ДОПУЩЕНИЮ 1",VLOOKUP(C1089,'Справочник соответствий'!A$2:D$2981,3,FALSE)))</f>
        <v>ЭТАЖ ЗАДАН ЧИСЛОМ</v>
      </c>
      <c r="M1089" s="13" t="b">
        <f t="shared" si="113"/>
        <v>0</v>
      </c>
      <c r="N1089" s="13">
        <f t="shared" si="114"/>
        <v>1</v>
      </c>
      <c r="O1089" s="13" t="str">
        <f t="shared" si="115"/>
        <v>ЭТАЖ ЗАДАН ЧИСЛОМ</v>
      </c>
      <c r="P1089" s="13" t="str">
        <f t="shared" si="116"/>
        <v>ЭТАЖ ЗАДАН ЧИСЛОМ</v>
      </c>
      <c r="Q1089" s="13" t="str">
        <f t="shared" si="117"/>
        <v>ГОТОВ_ИЗМЕНЕН</v>
      </c>
      <c r="R1089" s="13">
        <f>IFERROR(VLOOKUP(P1089,Лист1!A$1:B$20,2,FALSE),0)</f>
        <v>784</v>
      </c>
      <c r="S1089" s="13">
        <f t="shared" si="118"/>
        <v>0</v>
      </c>
    </row>
    <row r="1090" spans="1:19" x14ac:dyDescent="0.25">
      <c r="A1090" s="24" t="s">
        <v>2206</v>
      </c>
      <c r="B1090" s="4" t="s">
        <v>1059</v>
      </c>
      <c r="C1090" s="25" t="s">
        <v>5</v>
      </c>
      <c r="G1090" s="25" t="s">
        <v>1086</v>
      </c>
      <c r="H1090" s="24" t="s">
        <v>1061</v>
      </c>
      <c r="I1090" s="3" t="str">
        <f>IFERROR(VLOOKUP(C1090,'Справочник соответствий'!A$2:D$2981,2,FALSE),IF(VALUE(C1090)=0,1,VLOOKUP(C1090,'Справочник соответствий'!A$2:D$2981,2,FALSE)))</f>
        <v>1</v>
      </c>
      <c r="J1090" s="3">
        <f>IFERROR(VLOOKUP(D1090,'Справочник соответствий'!A$2:D$2981,2,FALSE),IF(VALUE(D1090)=0,0,VLOOKUP(D1090,'Справочник соответствий'!A$2:D$2981,2,FALSE)))</f>
        <v>0</v>
      </c>
      <c r="K1090" s="3" t="str">
        <f t="shared" si="112"/>
        <v>1</v>
      </c>
      <c r="L1090" s="13" t="str">
        <f>IFERROR(VLOOKUP(C1090,'Справочник соответствий'!A$2:D$2981,3,FALSE),IF(VALUE(C1090)=0,"ЭТАЖ НЕ ОПРЕДЕЛЕН. ПРИНЯТ ПО ДОПУЩЕНИЮ 1",VLOOKUP(C1090,'Справочник соответствий'!A$2:D$2981,3,FALSE)))</f>
        <v>ЭТАЖ ЗАДАН ЧИСЛОМ</v>
      </c>
      <c r="M1090" s="13" t="b">
        <f t="shared" si="113"/>
        <v>0</v>
      </c>
      <c r="N1090" s="13">
        <f t="shared" si="114"/>
        <v>1</v>
      </c>
      <c r="O1090" s="13" t="str">
        <f t="shared" si="115"/>
        <v>ЭТАЖ ЗАДАН ЧИСЛОМ</v>
      </c>
      <c r="P1090" s="13" t="str">
        <f t="shared" si="116"/>
        <v>ЭТАЖ ЗАДАН ЧИСЛОМ</v>
      </c>
      <c r="Q1090" s="13" t="str">
        <f t="shared" si="117"/>
        <v>ГОТОВ_ИЗМЕНЕН</v>
      </c>
      <c r="R1090" s="13">
        <f>IFERROR(VLOOKUP(P1090,Лист1!A$1:B$20,2,FALSE),0)</f>
        <v>784</v>
      </c>
      <c r="S1090" s="13">
        <f t="shared" si="118"/>
        <v>0</v>
      </c>
    </row>
    <row r="1091" spans="1:19" x14ac:dyDescent="0.25">
      <c r="A1091" s="24" t="s">
        <v>2207</v>
      </c>
      <c r="B1091" s="4" t="s">
        <v>1059</v>
      </c>
      <c r="C1091" s="25" t="s">
        <v>7</v>
      </c>
      <c r="G1091" s="25" t="s">
        <v>1086</v>
      </c>
      <c r="H1091" s="24" t="s">
        <v>1061</v>
      </c>
      <c r="I1091" s="3" t="str">
        <f>IFERROR(VLOOKUP(C1091,'Справочник соответствий'!A$2:D$2981,2,FALSE),IF(VALUE(C1091)=0,1,VLOOKUP(C1091,'Справочник соответствий'!A$2:D$2981,2,FALSE)))</f>
        <v>2</v>
      </c>
      <c r="J1091" s="3">
        <f>IFERROR(VLOOKUP(D1091,'Справочник соответствий'!A$2:D$2981,2,FALSE),IF(VALUE(D1091)=0,0,VLOOKUP(D1091,'Справочник соответствий'!A$2:D$2981,2,FALSE)))</f>
        <v>0</v>
      </c>
      <c r="K1091" s="3" t="str">
        <f t="shared" si="112"/>
        <v>2</v>
      </c>
      <c r="L1091" s="13" t="str">
        <f>IFERROR(VLOOKUP(C1091,'Справочник соответствий'!A$2:D$2981,3,FALSE),IF(VALUE(C1091)=0,"ЭТАЖ НЕ ОПРЕДЕЛЕН. ПРИНЯТ ПО ДОПУЩЕНИЮ 1",VLOOKUP(C1091,'Справочник соответствий'!A$2:D$2981,3,FALSE)))</f>
        <v>ЭТАЖ ЗАДАН ЧИСЛОМ</v>
      </c>
      <c r="M1091" s="13" t="b">
        <f t="shared" si="113"/>
        <v>0</v>
      </c>
      <c r="N1091" s="13">
        <f t="shared" si="114"/>
        <v>2</v>
      </c>
      <c r="O1091" s="13" t="str">
        <f t="shared" si="115"/>
        <v>ЭТАЖ ЗАДАН ЧИСЛОМ</v>
      </c>
      <c r="P1091" s="13" t="str">
        <f t="shared" si="116"/>
        <v>ЭТАЖ ЗАДАН ЧИСЛОМ</v>
      </c>
      <c r="Q1091" s="13" t="str">
        <f t="shared" si="117"/>
        <v>ГОТОВ_ИЗМЕНЕН</v>
      </c>
      <c r="R1091" s="13">
        <f>IFERROR(VLOOKUP(P1091,Лист1!A$1:B$20,2,FALSE),0)</f>
        <v>784</v>
      </c>
      <c r="S1091" s="13">
        <f t="shared" si="118"/>
        <v>0</v>
      </c>
    </row>
    <row r="1092" spans="1:19" x14ac:dyDescent="0.25">
      <c r="A1092" s="24" t="s">
        <v>2208</v>
      </c>
      <c r="B1092" s="4" t="s">
        <v>1059</v>
      </c>
      <c r="C1092" s="25" t="s">
        <v>7</v>
      </c>
      <c r="G1092" s="25" t="s">
        <v>1086</v>
      </c>
      <c r="H1092" s="24" t="s">
        <v>1061</v>
      </c>
      <c r="I1092" s="3" t="str">
        <f>IFERROR(VLOOKUP(C1092,'Справочник соответствий'!A$2:D$2981,2,FALSE),IF(VALUE(C1092)=0,1,VLOOKUP(C1092,'Справочник соответствий'!A$2:D$2981,2,FALSE)))</f>
        <v>2</v>
      </c>
      <c r="J1092" s="3">
        <f>IFERROR(VLOOKUP(D1092,'Справочник соответствий'!A$2:D$2981,2,FALSE),IF(VALUE(D1092)=0,0,VLOOKUP(D1092,'Справочник соответствий'!A$2:D$2981,2,FALSE)))</f>
        <v>0</v>
      </c>
      <c r="K1092" s="3" t="str">
        <f t="shared" si="112"/>
        <v>2</v>
      </c>
      <c r="L1092" s="13" t="str">
        <f>IFERROR(VLOOKUP(C1092,'Справочник соответствий'!A$2:D$2981,3,FALSE),IF(VALUE(C1092)=0,"ЭТАЖ НЕ ОПРЕДЕЛЕН. ПРИНЯТ ПО ДОПУЩЕНИЮ 1",VLOOKUP(C1092,'Справочник соответствий'!A$2:D$2981,3,FALSE)))</f>
        <v>ЭТАЖ ЗАДАН ЧИСЛОМ</v>
      </c>
      <c r="M1092" s="13" t="b">
        <f t="shared" si="113"/>
        <v>0</v>
      </c>
      <c r="N1092" s="13">
        <f t="shared" si="114"/>
        <v>2</v>
      </c>
      <c r="O1092" s="13" t="str">
        <f t="shared" si="115"/>
        <v>ЭТАЖ ЗАДАН ЧИСЛОМ</v>
      </c>
      <c r="P1092" s="13" t="str">
        <f t="shared" si="116"/>
        <v>ЭТАЖ ЗАДАН ЧИСЛОМ</v>
      </c>
      <c r="Q1092" s="13" t="str">
        <f t="shared" si="117"/>
        <v>ГОТОВ_ИЗМЕНЕН</v>
      </c>
      <c r="R1092" s="13">
        <f>IFERROR(VLOOKUP(P1092,Лист1!A$1:B$20,2,FALSE),0)</f>
        <v>784</v>
      </c>
      <c r="S1092" s="13">
        <f t="shared" si="118"/>
        <v>0</v>
      </c>
    </row>
    <row r="1093" spans="1:19" x14ac:dyDescent="0.25">
      <c r="A1093" s="24" t="s">
        <v>2209</v>
      </c>
      <c r="B1093" s="4" t="s">
        <v>1059</v>
      </c>
      <c r="C1093" s="25" t="s">
        <v>8</v>
      </c>
      <c r="D1093" s="25" t="s">
        <v>5</v>
      </c>
      <c r="G1093" s="25" t="s">
        <v>1086</v>
      </c>
      <c r="H1093" s="24" t="s">
        <v>1061</v>
      </c>
      <c r="I1093" s="3" t="str">
        <f>IFERROR(VLOOKUP(C1093,'Справочник соответствий'!A$2:D$2981,2,FALSE),IF(VALUE(C1093)=0,1,VLOOKUP(C1093,'Справочник соответствий'!A$2:D$2981,2,FALSE)))</f>
        <v>3</v>
      </c>
      <c r="J1093" s="3" t="str">
        <f>IFERROR(VLOOKUP(D1093,'Справочник соответствий'!A$2:D$2981,2,FALSE),IF(VALUE(D1093)=0,0,VLOOKUP(D1093,'Справочник соответствий'!A$2:D$2981,2,FALSE)))</f>
        <v>1</v>
      </c>
      <c r="K1093" s="3" t="str">
        <f t="shared" ref="K1093:K1156" si="119">IF(B1093="Многоквартирный дом",IF(I1093-J1093&gt;0,I1093-J1093,1),I1093)</f>
        <v>3</v>
      </c>
      <c r="L1093" s="13" t="str">
        <f>IFERROR(VLOOKUP(C1093,'Справочник соответствий'!A$2:D$2981,3,FALSE),IF(VALUE(C1093)=0,"ЭТАЖ НЕ ОПРЕДЕЛЕН. ПРИНЯТ ПО ДОПУЩЕНИЮ 1",VLOOKUP(C1093,'Справочник соответствий'!A$2:D$2981,3,FALSE)))</f>
        <v>ЭТАЖ ЗАДАН ЧИСЛОМ</v>
      </c>
      <c r="M1093" s="13" t="b">
        <f t="shared" ref="M1093:M1156" si="120">I1093=E1093</f>
        <v>0</v>
      </c>
      <c r="N1093" s="13">
        <f t="shared" ref="N1093:N1156" si="121">IF(VALUE(E1093)=0,VALUE(K1093),IF(L1093="ЭТАЖ НЕ ОПРЕДЕЛЕН. ПРИНЯТ ПО ДОПУЩЕНИЮ 1",VALUE(E1093),VALUE(K1093)))</f>
        <v>3</v>
      </c>
      <c r="O1093" s="13" t="str">
        <f t="shared" ref="O1093:O1156" si="122">IF(VALUE(E1093)=0,L1093,IF(L1093="ЭТАЖ НЕ ОПРЕДЕЛЕН. ПРИНЯТ ПО ДОПУЩЕНИЮ 1",F1093,L1093))</f>
        <v>ЭТАЖ ЗАДАН ЧИСЛОМ</v>
      </c>
      <c r="P1093" s="13" t="str">
        <f t="shared" ref="P1093:P1156" si="123">IF(B1093="Многоквартирный дом",CONCATENATE("МКД_",O1093),O1093)</f>
        <v>ЭТАЖ ЗАДАН ЧИСЛОМ</v>
      </c>
      <c r="Q1093" s="13" t="str">
        <f t="shared" ref="Q1093:Q1156" si="124">IFERROR(IF(N1093&gt;0,IF(N1093=VALUE(E1093),"ГОТОВ","ГОТОВ_ИЗМЕНЕН"),"НЕ ГОТОВ"),"НЕ ГОТОВ")</f>
        <v>ГОТОВ_ИЗМЕНЕН</v>
      </c>
      <c r="R1093" s="13">
        <f>IFERROR(VLOOKUP(P1093,Лист1!A$1:B$20,2,FALSE),0)</f>
        <v>784</v>
      </c>
      <c r="S1093" s="13">
        <f t="shared" ref="S1093:S1156" si="125">VALUE(E1093)</f>
        <v>0</v>
      </c>
    </row>
    <row r="1094" spans="1:19" x14ac:dyDescent="0.25">
      <c r="A1094" s="24" t="s">
        <v>2210</v>
      </c>
      <c r="B1094" s="4" t="s">
        <v>1059</v>
      </c>
      <c r="C1094" s="25" t="s">
        <v>7</v>
      </c>
      <c r="G1094" s="25" t="s">
        <v>1086</v>
      </c>
      <c r="H1094" s="24" t="s">
        <v>1061</v>
      </c>
      <c r="I1094" s="3" t="str">
        <f>IFERROR(VLOOKUP(C1094,'Справочник соответствий'!A$2:D$2981,2,FALSE),IF(VALUE(C1094)=0,1,VLOOKUP(C1094,'Справочник соответствий'!A$2:D$2981,2,FALSE)))</f>
        <v>2</v>
      </c>
      <c r="J1094" s="3">
        <f>IFERROR(VLOOKUP(D1094,'Справочник соответствий'!A$2:D$2981,2,FALSE),IF(VALUE(D1094)=0,0,VLOOKUP(D1094,'Справочник соответствий'!A$2:D$2981,2,FALSE)))</f>
        <v>0</v>
      </c>
      <c r="K1094" s="3" t="str">
        <f t="shared" si="119"/>
        <v>2</v>
      </c>
      <c r="L1094" s="13" t="str">
        <f>IFERROR(VLOOKUP(C1094,'Справочник соответствий'!A$2:D$2981,3,FALSE),IF(VALUE(C1094)=0,"ЭТАЖ НЕ ОПРЕДЕЛЕН. ПРИНЯТ ПО ДОПУЩЕНИЮ 1",VLOOKUP(C1094,'Справочник соответствий'!A$2:D$2981,3,FALSE)))</f>
        <v>ЭТАЖ ЗАДАН ЧИСЛОМ</v>
      </c>
      <c r="M1094" s="13" t="b">
        <f t="shared" si="120"/>
        <v>0</v>
      </c>
      <c r="N1094" s="13">
        <f t="shared" si="121"/>
        <v>2</v>
      </c>
      <c r="O1094" s="13" t="str">
        <f t="shared" si="122"/>
        <v>ЭТАЖ ЗАДАН ЧИСЛОМ</v>
      </c>
      <c r="P1094" s="13" t="str">
        <f t="shared" si="123"/>
        <v>ЭТАЖ ЗАДАН ЧИСЛОМ</v>
      </c>
      <c r="Q1094" s="13" t="str">
        <f t="shared" si="124"/>
        <v>ГОТОВ_ИЗМЕНЕН</v>
      </c>
      <c r="R1094" s="13">
        <f>IFERROR(VLOOKUP(P1094,Лист1!A$1:B$20,2,FALSE),0)</f>
        <v>784</v>
      </c>
      <c r="S1094" s="13">
        <f t="shared" si="125"/>
        <v>0</v>
      </c>
    </row>
    <row r="1095" spans="1:19" x14ac:dyDescent="0.25">
      <c r="A1095" s="24" t="s">
        <v>2211</v>
      </c>
      <c r="B1095" s="4" t="s">
        <v>1059</v>
      </c>
      <c r="C1095" s="25" t="s">
        <v>5</v>
      </c>
      <c r="G1095" s="25" t="s">
        <v>1086</v>
      </c>
      <c r="H1095" s="24" t="s">
        <v>1061</v>
      </c>
      <c r="I1095" s="3" t="str">
        <f>IFERROR(VLOOKUP(C1095,'Справочник соответствий'!A$2:D$2981,2,FALSE),IF(VALUE(C1095)=0,1,VLOOKUP(C1095,'Справочник соответствий'!A$2:D$2981,2,FALSE)))</f>
        <v>1</v>
      </c>
      <c r="J1095" s="3">
        <f>IFERROR(VLOOKUP(D1095,'Справочник соответствий'!A$2:D$2981,2,FALSE),IF(VALUE(D1095)=0,0,VLOOKUP(D1095,'Справочник соответствий'!A$2:D$2981,2,FALSE)))</f>
        <v>0</v>
      </c>
      <c r="K1095" s="3" t="str">
        <f t="shared" si="119"/>
        <v>1</v>
      </c>
      <c r="L1095" s="13" t="str">
        <f>IFERROR(VLOOKUP(C1095,'Справочник соответствий'!A$2:D$2981,3,FALSE),IF(VALUE(C1095)=0,"ЭТАЖ НЕ ОПРЕДЕЛЕН. ПРИНЯТ ПО ДОПУЩЕНИЮ 1",VLOOKUP(C1095,'Справочник соответствий'!A$2:D$2981,3,FALSE)))</f>
        <v>ЭТАЖ ЗАДАН ЧИСЛОМ</v>
      </c>
      <c r="M1095" s="13" t="b">
        <f t="shared" si="120"/>
        <v>0</v>
      </c>
      <c r="N1095" s="13">
        <f t="shared" si="121"/>
        <v>1</v>
      </c>
      <c r="O1095" s="13" t="str">
        <f t="shared" si="122"/>
        <v>ЭТАЖ ЗАДАН ЧИСЛОМ</v>
      </c>
      <c r="P1095" s="13" t="str">
        <f t="shared" si="123"/>
        <v>ЭТАЖ ЗАДАН ЧИСЛОМ</v>
      </c>
      <c r="Q1095" s="13" t="str">
        <f t="shared" si="124"/>
        <v>ГОТОВ_ИЗМЕНЕН</v>
      </c>
      <c r="R1095" s="13">
        <f>IFERROR(VLOOKUP(P1095,Лист1!A$1:B$20,2,FALSE),0)</f>
        <v>784</v>
      </c>
      <c r="S1095" s="13">
        <f t="shared" si="125"/>
        <v>0</v>
      </c>
    </row>
    <row r="1096" spans="1:19" x14ac:dyDescent="0.25">
      <c r="A1096" s="24" t="s">
        <v>2212</v>
      </c>
      <c r="B1096" s="4" t="s">
        <v>1059</v>
      </c>
      <c r="C1096" s="25" t="s">
        <v>5</v>
      </c>
      <c r="G1096" s="25" t="s">
        <v>1086</v>
      </c>
      <c r="H1096" s="24" t="s">
        <v>1061</v>
      </c>
      <c r="I1096" s="3" t="str">
        <f>IFERROR(VLOOKUP(C1096,'Справочник соответствий'!A$2:D$2981,2,FALSE),IF(VALUE(C1096)=0,1,VLOOKUP(C1096,'Справочник соответствий'!A$2:D$2981,2,FALSE)))</f>
        <v>1</v>
      </c>
      <c r="J1096" s="3">
        <f>IFERROR(VLOOKUP(D1096,'Справочник соответствий'!A$2:D$2981,2,FALSE),IF(VALUE(D1096)=0,0,VLOOKUP(D1096,'Справочник соответствий'!A$2:D$2981,2,FALSE)))</f>
        <v>0</v>
      </c>
      <c r="K1096" s="3" t="str">
        <f t="shared" si="119"/>
        <v>1</v>
      </c>
      <c r="L1096" s="13" t="str">
        <f>IFERROR(VLOOKUP(C1096,'Справочник соответствий'!A$2:D$2981,3,FALSE),IF(VALUE(C1096)=0,"ЭТАЖ НЕ ОПРЕДЕЛЕН. ПРИНЯТ ПО ДОПУЩЕНИЮ 1",VLOOKUP(C1096,'Справочник соответствий'!A$2:D$2981,3,FALSE)))</f>
        <v>ЭТАЖ ЗАДАН ЧИСЛОМ</v>
      </c>
      <c r="M1096" s="13" t="b">
        <f t="shared" si="120"/>
        <v>0</v>
      </c>
      <c r="N1096" s="13">
        <f t="shared" si="121"/>
        <v>1</v>
      </c>
      <c r="O1096" s="13" t="str">
        <f t="shared" si="122"/>
        <v>ЭТАЖ ЗАДАН ЧИСЛОМ</v>
      </c>
      <c r="P1096" s="13" t="str">
        <f t="shared" si="123"/>
        <v>ЭТАЖ ЗАДАН ЧИСЛОМ</v>
      </c>
      <c r="Q1096" s="13" t="str">
        <f t="shared" si="124"/>
        <v>ГОТОВ_ИЗМЕНЕН</v>
      </c>
      <c r="R1096" s="13">
        <f>IFERROR(VLOOKUP(P1096,Лист1!A$1:B$20,2,FALSE),0)</f>
        <v>784</v>
      </c>
      <c r="S1096" s="13">
        <f t="shared" si="125"/>
        <v>0</v>
      </c>
    </row>
    <row r="1097" spans="1:19" x14ac:dyDescent="0.25">
      <c r="A1097" s="24" t="s">
        <v>2213</v>
      </c>
      <c r="B1097" s="4" t="s">
        <v>1059</v>
      </c>
      <c r="C1097" s="25" t="s">
        <v>5</v>
      </c>
      <c r="G1097" s="25" t="s">
        <v>1086</v>
      </c>
      <c r="H1097" s="24" t="s">
        <v>1061</v>
      </c>
      <c r="I1097" s="3" t="str">
        <f>IFERROR(VLOOKUP(C1097,'Справочник соответствий'!A$2:D$2981,2,FALSE),IF(VALUE(C1097)=0,1,VLOOKUP(C1097,'Справочник соответствий'!A$2:D$2981,2,FALSE)))</f>
        <v>1</v>
      </c>
      <c r="J1097" s="3">
        <f>IFERROR(VLOOKUP(D1097,'Справочник соответствий'!A$2:D$2981,2,FALSE),IF(VALUE(D1097)=0,0,VLOOKUP(D1097,'Справочник соответствий'!A$2:D$2981,2,FALSE)))</f>
        <v>0</v>
      </c>
      <c r="K1097" s="3" t="str">
        <f t="shared" si="119"/>
        <v>1</v>
      </c>
      <c r="L1097" s="13" t="str">
        <f>IFERROR(VLOOKUP(C1097,'Справочник соответствий'!A$2:D$2981,3,FALSE),IF(VALUE(C1097)=0,"ЭТАЖ НЕ ОПРЕДЕЛЕН. ПРИНЯТ ПО ДОПУЩЕНИЮ 1",VLOOKUP(C1097,'Справочник соответствий'!A$2:D$2981,3,FALSE)))</f>
        <v>ЭТАЖ ЗАДАН ЧИСЛОМ</v>
      </c>
      <c r="M1097" s="13" t="b">
        <f t="shared" si="120"/>
        <v>0</v>
      </c>
      <c r="N1097" s="13">
        <f t="shared" si="121"/>
        <v>1</v>
      </c>
      <c r="O1097" s="13" t="str">
        <f t="shared" si="122"/>
        <v>ЭТАЖ ЗАДАН ЧИСЛОМ</v>
      </c>
      <c r="P1097" s="13" t="str">
        <f t="shared" si="123"/>
        <v>ЭТАЖ ЗАДАН ЧИСЛОМ</v>
      </c>
      <c r="Q1097" s="13" t="str">
        <f t="shared" si="124"/>
        <v>ГОТОВ_ИЗМЕНЕН</v>
      </c>
      <c r="R1097" s="13">
        <f>IFERROR(VLOOKUP(P1097,Лист1!A$1:B$20,2,FALSE),0)</f>
        <v>784</v>
      </c>
      <c r="S1097" s="13">
        <f t="shared" si="125"/>
        <v>0</v>
      </c>
    </row>
    <row r="1098" spans="1:19" x14ac:dyDescent="0.25">
      <c r="A1098" s="24" t="s">
        <v>2214</v>
      </c>
      <c r="B1098" s="4" t="s">
        <v>1059</v>
      </c>
      <c r="C1098" s="25" t="s">
        <v>7</v>
      </c>
      <c r="G1098" s="25" t="s">
        <v>1382</v>
      </c>
      <c r="H1098" s="24" t="s">
        <v>1061</v>
      </c>
      <c r="I1098" s="3" t="str">
        <f>IFERROR(VLOOKUP(C1098,'Справочник соответствий'!A$2:D$2981,2,FALSE),IF(VALUE(C1098)=0,1,VLOOKUP(C1098,'Справочник соответствий'!A$2:D$2981,2,FALSE)))</f>
        <v>2</v>
      </c>
      <c r="J1098" s="3">
        <f>IFERROR(VLOOKUP(D1098,'Справочник соответствий'!A$2:D$2981,2,FALSE),IF(VALUE(D1098)=0,0,VLOOKUP(D1098,'Справочник соответствий'!A$2:D$2981,2,FALSE)))</f>
        <v>0</v>
      </c>
      <c r="K1098" s="3" t="str">
        <f t="shared" si="119"/>
        <v>2</v>
      </c>
      <c r="L1098" s="13" t="str">
        <f>IFERROR(VLOOKUP(C1098,'Справочник соответствий'!A$2:D$2981,3,FALSE),IF(VALUE(C1098)=0,"ЭТАЖ НЕ ОПРЕДЕЛЕН. ПРИНЯТ ПО ДОПУЩЕНИЮ 1",VLOOKUP(C1098,'Справочник соответствий'!A$2:D$2981,3,FALSE)))</f>
        <v>ЭТАЖ ЗАДАН ЧИСЛОМ</v>
      </c>
      <c r="M1098" s="13" t="b">
        <f t="shared" si="120"/>
        <v>0</v>
      </c>
      <c r="N1098" s="13">
        <f t="shared" si="121"/>
        <v>2</v>
      </c>
      <c r="O1098" s="13" t="str">
        <f t="shared" si="122"/>
        <v>ЭТАЖ ЗАДАН ЧИСЛОМ</v>
      </c>
      <c r="P1098" s="13" t="str">
        <f t="shared" si="123"/>
        <v>ЭТАЖ ЗАДАН ЧИСЛОМ</v>
      </c>
      <c r="Q1098" s="13" t="str">
        <f t="shared" si="124"/>
        <v>ГОТОВ_ИЗМЕНЕН</v>
      </c>
      <c r="R1098" s="13">
        <f>IFERROR(VLOOKUP(P1098,Лист1!A$1:B$20,2,FALSE),0)</f>
        <v>784</v>
      </c>
      <c r="S1098" s="13">
        <f t="shared" si="125"/>
        <v>0</v>
      </c>
    </row>
    <row r="1099" spans="1:19" x14ac:dyDescent="0.25">
      <c r="A1099" s="24" t="s">
        <v>2215</v>
      </c>
      <c r="B1099" s="4" t="s">
        <v>1063</v>
      </c>
      <c r="C1099" s="25" t="s">
        <v>7</v>
      </c>
      <c r="G1099" s="25" t="s">
        <v>1382</v>
      </c>
      <c r="H1099" s="24" t="s">
        <v>1061</v>
      </c>
      <c r="I1099" s="3" t="str">
        <f>IFERROR(VLOOKUP(C1099,'Справочник соответствий'!A$2:D$2981,2,FALSE),IF(VALUE(C1099)=0,1,VLOOKUP(C1099,'Справочник соответствий'!A$2:D$2981,2,FALSE)))</f>
        <v>2</v>
      </c>
      <c r="J1099" s="3">
        <f>IFERROR(VLOOKUP(D1099,'Справочник соответствий'!A$2:D$2981,2,FALSE),IF(VALUE(D1099)=0,0,VLOOKUP(D1099,'Справочник соответствий'!A$2:D$2981,2,FALSE)))</f>
        <v>0</v>
      </c>
      <c r="K1099" s="3" t="str">
        <f t="shared" si="119"/>
        <v>2</v>
      </c>
      <c r="L1099" s="13" t="str">
        <f>IFERROR(VLOOKUP(C1099,'Справочник соответствий'!A$2:D$2981,3,FALSE),IF(VALUE(C1099)=0,"ЭТАЖ НЕ ОПРЕДЕЛЕН. ПРИНЯТ ПО ДОПУЩЕНИЮ 1",VLOOKUP(C1099,'Справочник соответствий'!A$2:D$2981,3,FALSE)))</f>
        <v>ЭТАЖ ЗАДАН ЧИСЛОМ</v>
      </c>
      <c r="M1099" s="13" t="b">
        <f t="shared" si="120"/>
        <v>0</v>
      </c>
      <c r="N1099" s="13">
        <f t="shared" si="121"/>
        <v>2</v>
      </c>
      <c r="O1099" s="13" t="str">
        <f t="shared" si="122"/>
        <v>ЭТАЖ ЗАДАН ЧИСЛОМ</v>
      </c>
      <c r="P1099" s="13" t="str">
        <f t="shared" si="123"/>
        <v>ЭТАЖ ЗАДАН ЧИСЛОМ</v>
      </c>
      <c r="Q1099" s="13" t="str">
        <f t="shared" si="124"/>
        <v>ГОТОВ_ИЗМЕНЕН</v>
      </c>
      <c r="R1099" s="13">
        <f>IFERROR(VLOOKUP(P1099,Лист1!A$1:B$20,2,FALSE),0)</f>
        <v>784</v>
      </c>
      <c r="S1099" s="13">
        <f t="shared" si="125"/>
        <v>0</v>
      </c>
    </row>
    <row r="1100" spans="1:19" x14ac:dyDescent="0.25">
      <c r="A1100" s="24" t="s">
        <v>2216</v>
      </c>
      <c r="B1100" s="4" t="s">
        <v>1063</v>
      </c>
      <c r="C1100" s="25" t="s">
        <v>7</v>
      </c>
      <c r="G1100" s="25" t="s">
        <v>1382</v>
      </c>
      <c r="H1100" s="24" t="s">
        <v>1061</v>
      </c>
      <c r="I1100" s="3" t="str">
        <f>IFERROR(VLOOKUP(C1100,'Справочник соответствий'!A$2:D$2981,2,FALSE),IF(VALUE(C1100)=0,1,VLOOKUP(C1100,'Справочник соответствий'!A$2:D$2981,2,FALSE)))</f>
        <v>2</v>
      </c>
      <c r="J1100" s="3">
        <f>IFERROR(VLOOKUP(D1100,'Справочник соответствий'!A$2:D$2981,2,FALSE),IF(VALUE(D1100)=0,0,VLOOKUP(D1100,'Справочник соответствий'!A$2:D$2981,2,FALSE)))</f>
        <v>0</v>
      </c>
      <c r="K1100" s="3" t="str">
        <f t="shared" si="119"/>
        <v>2</v>
      </c>
      <c r="L1100" s="13" t="str">
        <f>IFERROR(VLOOKUP(C1100,'Справочник соответствий'!A$2:D$2981,3,FALSE),IF(VALUE(C1100)=0,"ЭТАЖ НЕ ОПРЕДЕЛЕН. ПРИНЯТ ПО ДОПУЩЕНИЮ 1",VLOOKUP(C1100,'Справочник соответствий'!A$2:D$2981,3,FALSE)))</f>
        <v>ЭТАЖ ЗАДАН ЧИСЛОМ</v>
      </c>
      <c r="M1100" s="13" t="b">
        <f t="shared" si="120"/>
        <v>0</v>
      </c>
      <c r="N1100" s="13">
        <f t="shared" si="121"/>
        <v>2</v>
      </c>
      <c r="O1100" s="13" t="str">
        <f t="shared" si="122"/>
        <v>ЭТАЖ ЗАДАН ЧИСЛОМ</v>
      </c>
      <c r="P1100" s="13" t="str">
        <f t="shared" si="123"/>
        <v>ЭТАЖ ЗАДАН ЧИСЛОМ</v>
      </c>
      <c r="Q1100" s="13" t="str">
        <f t="shared" si="124"/>
        <v>ГОТОВ_ИЗМЕНЕН</v>
      </c>
      <c r="R1100" s="13">
        <f>IFERROR(VLOOKUP(P1100,Лист1!A$1:B$20,2,FALSE),0)</f>
        <v>784</v>
      </c>
      <c r="S1100" s="13">
        <f t="shared" si="125"/>
        <v>0</v>
      </c>
    </row>
    <row r="1101" spans="1:19" x14ac:dyDescent="0.25">
      <c r="A1101" s="24" t="s">
        <v>2217</v>
      </c>
      <c r="B1101" s="4" t="s">
        <v>1059</v>
      </c>
      <c r="C1101" s="25" t="s">
        <v>5</v>
      </c>
      <c r="G1101" s="25" t="s">
        <v>1072</v>
      </c>
      <c r="H1101" s="24" t="s">
        <v>1061</v>
      </c>
      <c r="I1101" s="3" t="str">
        <f>IFERROR(VLOOKUP(C1101,'Справочник соответствий'!A$2:D$2981,2,FALSE),IF(VALUE(C1101)=0,1,VLOOKUP(C1101,'Справочник соответствий'!A$2:D$2981,2,FALSE)))</f>
        <v>1</v>
      </c>
      <c r="J1101" s="3">
        <f>IFERROR(VLOOKUP(D1101,'Справочник соответствий'!A$2:D$2981,2,FALSE),IF(VALUE(D1101)=0,0,VLOOKUP(D1101,'Справочник соответствий'!A$2:D$2981,2,FALSE)))</f>
        <v>0</v>
      </c>
      <c r="K1101" s="3" t="str">
        <f t="shared" si="119"/>
        <v>1</v>
      </c>
      <c r="L1101" s="13" t="str">
        <f>IFERROR(VLOOKUP(C1101,'Справочник соответствий'!A$2:D$2981,3,FALSE),IF(VALUE(C1101)=0,"ЭТАЖ НЕ ОПРЕДЕЛЕН. ПРИНЯТ ПО ДОПУЩЕНИЮ 1",VLOOKUP(C1101,'Справочник соответствий'!A$2:D$2981,3,FALSE)))</f>
        <v>ЭТАЖ ЗАДАН ЧИСЛОМ</v>
      </c>
      <c r="M1101" s="13" t="b">
        <f t="shared" si="120"/>
        <v>0</v>
      </c>
      <c r="N1101" s="13">
        <f t="shared" si="121"/>
        <v>1</v>
      </c>
      <c r="O1101" s="13" t="str">
        <f t="shared" si="122"/>
        <v>ЭТАЖ ЗАДАН ЧИСЛОМ</v>
      </c>
      <c r="P1101" s="13" t="str">
        <f t="shared" si="123"/>
        <v>ЭТАЖ ЗАДАН ЧИСЛОМ</v>
      </c>
      <c r="Q1101" s="13" t="str">
        <f t="shared" si="124"/>
        <v>ГОТОВ_ИЗМЕНЕН</v>
      </c>
      <c r="R1101" s="13">
        <f>IFERROR(VLOOKUP(P1101,Лист1!A$1:B$20,2,FALSE),0)</f>
        <v>784</v>
      </c>
      <c r="S1101" s="13">
        <f t="shared" si="125"/>
        <v>0</v>
      </c>
    </row>
    <row r="1102" spans="1:19" x14ac:dyDescent="0.25">
      <c r="A1102" s="24" t="s">
        <v>2218</v>
      </c>
      <c r="B1102" s="4" t="s">
        <v>1063</v>
      </c>
      <c r="C1102" s="25" t="s">
        <v>5</v>
      </c>
      <c r="G1102" s="25" t="s">
        <v>1072</v>
      </c>
      <c r="H1102" s="24" t="s">
        <v>1061</v>
      </c>
      <c r="I1102" s="3" t="str">
        <f>IFERROR(VLOOKUP(C1102,'Справочник соответствий'!A$2:D$2981,2,FALSE),IF(VALUE(C1102)=0,1,VLOOKUP(C1102,'Справочник соответствий'!A$2:D$2981,2,FALSE)))</f>
        <v>1</v>
      </c>
      <c r="J1102" s="3">
        <f>IFERROR(VLOOKUP(D1102,'Справочник соответствий'!A$2:D$2981,2,FALSE),IF(VALUE(D1102)=0,0,VLOOKUP(D1102,'Справочник соответствий'!A$2:D$2981,2,FALSE)))</f>
        <v>0</v>
      </c>
      <c r="K1102" s="3" t="str">
        <f t="shared" si="119"/>
        <v>1</v>
      </c>
      <c r="L1102" s="13" t="str">
        <f>IFERROR(VLOOKUP(C1102,'Справочник соответствий'!A$2:D$2981,3,FALSE),IF(VALUE(C1102)=0,"ЭТАЖ НЕ ОПРЕДЕЛЕН. ПРИНЯТ ПО ДОПУЩЕНИЮ 1",VLOOKUP(C1102,'Справочник соответствий'!A$2:D$2981,3,FALSE)))</f>
        <v>ЭТАЖ ЗАДАН ЧИСЛОМ</v>
      </c>
      <c r="M1102" s="13" t="b">
        <f t="shared" si="120"/>
        <v>0</v>
      </c>
      <c r="N1102" s="13">
        <f t="shared" si="121"/>
        <v>1</v>
      </c>
      <c r="O1102" s="13" t="str">
        <f t="shared" si="122"/>
        <v>ЭТАЖ ЗАДАН ЧИСЛОМ</v>
      </c>
      <c r="P1102" s="13" t="str">
        <f t="shared" si="123"/>
        <v>ЭТАЖ ЗАДАН ЧИСЛОМ</v>
      </c>
      <c r="Q1102" s="13" t="str">
        <f t="shared" si="124"/>
        <v>ГОТОВ_ИЗМЕНЕН</v>
      </c>
      <c r="R1102" s="13">
        <f>IFERROR(VLOOKUP(P1102,Лист1!A$1:B$20,2,FALSE),0)</f>
        <v>784</v>
      </c>
      <c r="S1102" s="13">
        <f t="shared" si="125"/>
        <v>0</v>
      </c>
    </row>
    <row r="1103" spans="1:19" x14ac:dyDescent="0.25">
      <c r="A1103" s="24" t="s">
        <v>2219</v>
      </c>
      <c r="B1103" s="4" t="s">
        <v>1059</v>
      </c>
      <c r="C1103" s="25" t="s">
        <v>5</v>
      </c>
      <c r="G1103" s="25" t="s">
        <v>1072</v>
      </c>
      <c r="H1103" s="24" t="s">
        <v>1061</v>
      </c>
      <c r="I1103" s="3" t="str">
        <f>IFERROR(VLOOKUP(C1103,'Справочник соответствий'!A$2:D$2981,2,FALSE),IF(VALUE(C1103)=0,1,VLOOKUP(C1103,'Справочник соответствий'!A$2:D$2981,2,FALSE)))</f>
        <v>1</v>
      </c>
      <c r="J1103" s="3">
        <f>IFERROR(VLOOKUP(D1103,'Справочник соответствий'!A$2:D$2981,2,FALSE),IF(VALUE(D1103)=0,0,VLOOKUP(D1103,'Справочник соответствий'!A$2:D$2981,2,FALSE)))</f>
        <v>0</v>
      </c>
      <c r="K1103" s="3" t="str">
        <f t="shared" si="119"/>
        <v>1</v>
      </c>
      <c r="L1103" s="13" t="str">
        <f>IFERROR(VLOOKUP(C1103,'Справочник соответствий'!A$2:D$2981,3,FALSE),IF(VALUE(C1103)=0,"ЭТАЖ НЕ ОПРЕДЕЛЕН. ПРИНЯТ ПО ДОПУЩЕНИЮ 1",VLOOKUP(C1103,'Справочник соответствий'!A$2:D$2981,3,FALSE)))</f>
        <v>ЭТАЖ ЗАДАН ЧИСЛОМ</v>
      </c>
      <c r="M1103" s="13" t="b">
        <f t="shared" si="120"/>
        <v>0</v>
      </c>
      <c r="N1103" s="13">
        <f t="shared" si="121"/>
        <v>1</v>
      </c>
      <c r="O1103" s="13" t="str">
        <f t="shared" si="122"/>
        <v>ЭТАЖ ЗАДАН ЧИСЛОМ</v>
      </c>
      <c r="P1103" s="13" t="str">
        <f t="shared" si="123"/>
        <v>ЭТАЖ ЗАДАН ЧИСЛОМ</v>
      </c>
      <c r="Q1103" s="13" t="str">
        <f t="shared" si="124"/>
        <v>ГОТОВ_ИЗМЕНЕН</v>
      </c>
      <c r="R1103" s="13">
        <f>IFERROR(VLOOKUP(P1103,Лист1!A$1:B$20,2,FALSE),0)</f>
        <v>784</v>
      </c>
      <c r="S1103" s="13">
        <f t="shared" si="125"/>
        <v>0</v>
      </c>
    </row>
    <row r="1104" spans="1:19" x14ac:dyDescent="0.25">
      <c r="A1104" s="24" t="s">
        <v>2220</v>
      </c>
      <c r="B1104" s="4" t="s">
        <v>1059</v>
      </c>
      <c r="C1104" s="25" t="s">
        <v>7</v>
      </c>
      <c r="G1104" s="25" t="s">
        <v>1388</v>
      </c>
      <c r="H1104" s="24" t="s">
        <v>1061</v>
      </c>
      <c r="I1104" s="3" t="str">
        <f>IFERROR(VLOOKUP(C1104,'Справочник соответствий'!A$2:D$2981,2,FALSE),IF(VALUE(C1104)=0,1,VLOOKUP(C1104,'Справочник соответствий'!A$2:D$2981,2,FALSE)))</f>
        <v>2</v>
      </c>
      <c r="J1104" s="3">
        <f>IFERROR(VLOOKUP(D1104,'Справочник соответствий'!A$2:D$2981,2,FALSE),IF(VALUE(D1104)=0,0,VLOOKUP(D1104,'Справочник соответствий'!A$2:D$2981,2,FALSE)))</f>
        <v>0</v>
      </c>
      <c r="K1104" s="3" t="str">
        <f t="shared" si="119"/>
        <v>2</v>
      </c>
      <c r="L1104" s="13" t="str">
        <f>IFERROR(VLOOKUP(C1104,'Справочник соответствий'!A$2:D$2981,3,FALSE),IF(VALUE(C1104)=0,"ЭТАЖ НЕ ОПРЕДЕЛЕН. ПРИНЯТ ПО ДОПУЩЕНИЮ 1",VLOOKUP(C1104,'Справочник соответствий'!A$2:D$2981,3,FALSE)))</f>
        <v>ЭТАЖ ЗАДАН ЧИСЛОМ</v>
      </c>
      <c r="M1104" s="13" t="b">
        <f t="shared" si="120"/>
        <v>0</v>
      </c>
      <c r="N1104" s="13">
        <f t="shared" si="121"/>
        <v>2</v>
      </c>
      <c r="O1104" s="13" t="str">
        <f t="shared" si="122"/>
        <v>ЭТАЖ ЗАДАН ЧИСЛОМ</v>
      </c>
      <c r="P1104" s="13" t="str">
        <f t="shared" si="123"/>
        <v>ЭТАЖ ЗАДАН ЧИСЛОМ</v>
      </c>
      <c r="Q1104" s="13" t="str">
        <f t="shared" si="124"/>
        <v>ГОТОВ_ИЗМЕНЕН</v>
      </c>
      <c r="R1104" s="13">
        <f>IFERROR(VLOOKUP(P1104,Лист1!A$1:B$20,2,FALSE),0)</f>
        <v>784</v>
      </c>
      <c r="S1104" s="13">
        <f t="shared" si="125"/>
        <v>0</v>
      </c>
    </row>
    <row r="1105" spans="1:19" x14ac:dyDescent="0.25">
      <c r="A1105" s="24" t="s">
        <v>2221</v>
      </c>
      <c r="B1105" s="4" t="s">
        <v>1063</v>
      </c>
      <c r="C1105" s="25" t="s">
        <v>5</v>
      </c>
      <c r="G1105" s="25" t="s">
        <v>1072</v>
      </c>
      <c r="H1105" s="24" t="s">
        <v>1061</v>
      </c>
      <c r="I1105" s="3" t="str">
        <f>IFERROR(VLOOKUP(C1105,'Справочник соответствий'!A$2:D$2981,2,FALSE),IF(VALUE(C1105)=0,1,VLOOKUP(C1105,'Справочник соответствий'!A$2:D$2981,2,FALSE)))</f>
        <v>1</v>
      </c>
      <c r="J1105" s="3">
        <f>IFERROR(VLOOKUP(D1105,'Справочник соответствий'!A$2:D$2981,2,FALSE),IF(VALUE(D1105)=0,0,VLOOKUP(D1105,'Справочник соответствий'!A$2:D$2981,2,FALSE)))</f>
        <v>0</v>
      </c>
      <c r="K1105" s="3" t="str">
        <f t="shared" si="119"/>
        <v>1</v>
      </c>
      <c r="L1105" s="13" t="str">
        <f>IFERROR(VLOOKUP(C1105,'Справочник соответствий'!A$2:D$2981,3,FALSE),IF(VALUE(C1105)=0,"ЭТАЖ НЕ ОПРЕДЕЛЕН. ПРИНЯТ ПО ДОПУЩЕНИЮ 1",VLOOKUP(C1105,'Справочник соответствий'!A$2:D$2981,3,FALSE)))</f>
        <v>ЭТАЖ ЗАДАН ЧИСЛОМ</v>
      </c>
      <c r="M1105" s="13" t="b">
        <f t="shared" si="120"/>
        <v>0</v>
      </c>
      <c r="N1105" s="13">
        <f t="shared" si="121"/>
        <v>1</v>
      </c>
      <c r="O1105" s="13" t="str">
        <f t="shared" si="122"/>
        <v>ЭТАЖ ЗАДАН ЧИСЛОМ</v>
      </c>
      <c r="P1105" s="13" t="str">
        <f t="shared" si="123"/>
        <v>ЭТАЖ ЗАДАН ЧИСЛОМ</v>
      </c>
      <c r="Q1105" s="13" t="str">
        <f t="shared" si="124"/>
        <v>ГОТОВ_ИЗМЕНЕН</v>
      </c>
      <c r="R1105" s="13">
        <f>IFERROR(VLOOKUP(P1105,Лист1!A$1:B$20,2,FALSE),0)</f>
        <v>784</v>
      </c>
      <c r="S1105" s="13">
        <f t="shared" si="125"/>
        <v>0</v>
      </c>
    </row>
    <row r="1106" spans="1:19" x14ac:dyDescent="0.25">
      <c r="A1106" s="24" t="s">
        <v>2222</v>
      </c>
      <c r="B1106" s="4" t="s">
        <v>1063</v>
      </c>
      <c r="G1106" s="25" t="s">
        <v>1072</v>
      </c>
      <c r="H1106" s="24" t="s">
        <v>1061</v>
      </c>
      <c r="I1106" s="3">
        <f>IFERROR(VLOOKUP(C1106,'Справочник соответствий'!A$2:D$2981,2,FALSE),IF(VALUE(C1106)=0,1,VLOOKUP(C1106,'Справочник соответствий'!A$2:D$2981,2,FALSE)))</f>
        <v>1</v>
      </c>
      <c r="J1106" s="3">
        <f>IFERROR(VLOOKUP(D1106,'Справочник соответствий'!A$2:D$2981,2,FALSE),IF(VALUE(D1106)=0,0,VLOOKUP(D1106,'Справочник соответствий'!A$2:D$2981,2,FALSE)))</f>
        <v>0</v>
      </c>
      <c r="K1106" s="3">
        <f t="shared" si="119"/>
        <v>1</v>
      </c>
      <c r="L1106" s="13" t="str">
        <f>IFERROR(VLOOKUP(C1106,'Справочник соответствий'!A$2:D$2981,3,FALSE),IF(VALUE(C1106)=0,"ЭТАЖ НЕ ОПРЕДЕЛЕН. ПРИНЯТ ПО ДОПУЩЕНИЮ 1",VLOOKUP(C1106,'Справочник соответствий'!A$2:D$2981,3,FALSE)))</f>
        <v>ЭТАЖ НЕ ОПРЕДЕЛЕН. ПРИНЯТ ПО ДОПУЩЕНИЮ 1</v>
      </c>
      <c r="M1106" s="13" t="b">
        <f t="shared" si="120"/>
        <v>0</v>
      </c>
      <c r="N1106" s="13">
        <f t="shared" si="121"/>
        <v>1</v>
      </c>
      <c r="O1106" s="13" t="str">
        <f t="shared" si="122"/>
        <v>ЭТАЖ НЕ ОПРЕДЕЛЕН. ПРИНЯТ ПО ДОПУЩЕНИЮ 1</v>
      </c>
      <c r="P1106" s="13" t="str">
        <f t="shared" si="123"/>
        <v>ЭТАЖ НЕ ОПРЕДЕЛЕН. ПРИНЯТ ПО ДОПУЩЕНИЮ 1</v>
      </c>
      <c r="Q1106" s="13" t="str">
        <f t="shared" si="124"/>
        <v>ГОТОВ_ИЗМЕНЕН</v>
      </c>
      <c r="R1106" s="13">
        <f>IFERROR(VLOOKUP(P1106,Лист1!A$1:B$20,2,FALSE),0)</f>
        <v>788</v>
      </c>
      <c r="S1106" s="13">
        <f t="shared" si="125"/>
        <v>0</v>
      </c>
    </row>
    <row r="1107" spans="1:19" x14ac:dyDescent="0.25">
      <c r="A1107" s="24" t="s">
        <v>2223</v>
      </c>
      <c r="B1107" s="4" t="s">
        <v>1063</v>
      </c>
      <c r="C1107" s="25" t="s">
        <v>5</v>
      </c>
      <c r="G1107" s="25" t="s">
        <v>1072</v>
      </c>
      <c r="H1107" s="24" t="s">
        <v>1061</v>
      </c>
      <c r="I1107" s="3" t="str">
        <f>IFERROR(VLOOKUP(C1107,'Справочник соответствий'!A$2:D$2981,2,FALSE),IF(VALUE(C1107)=0,1,VLOOKUP(C1107,'Справочник соответствий'!A$2:D$2981,2,FALSE)))</f>
        <v>1</v>
      </c>
      <c r="J1107" s="3">
        <f>IFERROR(VLOOKUP(D1107,'Справочник соответствий'!A$2:D$2981,2,FALSE),IF(VALUE(D1107)=0,0,VLOOKUP(D1107,'Справочник соответствий'!A$2:D$2981,2,FALSE)))</f>
        <v>0</v>
      </c>
      <c r="K1107" s="3" t="str">
        <f t="shared" si="119"/>
        <v>1</v>
      </c>
      <c r="L1107" s="13" t="str">
        <f>IFERROR(VLOOKUP(C1107,'Справочник соответствий'!A$2:D$2981,3,FALSE),IF(VALUE(C1107)=0,"ЭТАЖ НЕ ОПРЕДЕЛЕН. ПРИНЯТ ПО ДОПУЩЕНИЮ 1",VLOOKUP(C1107,'Справочник соответствий'!A$2:D$2981,3,FALSE)))</f>
        <v>ЭТАЖ ЗАДАН ЧИСЛОМ</v>
      </c>
      <c r="M1107" s="13" t="b">
        <f t="shared" si="120"/>
        <v>0</v>
      </c>
      <c r="N1107" s="13">
        <f t="shared" si="121"/>
        <v>1</v>
      </c>
      <c r="O1107" s="13" t="str">
        <f t="shared" si="122"/>
        <v>ЭТАЖ ЗАДАН ЧИСЛОМ</v>
      </c>
      <c r="P1107" s="13" t="str">
        <f t="shared" si="123"/>
        <v>ЭТАЖ ЗАДАН ЧИСЛОМ</v>
      </c>
      <c r="Q1107" s="13" t="str">
        <f t="shared" si="124"/>
        <v>ГОТОВ_ИЗМЕНЕН</v>
      </c>
      <c r="R1107" s="13">
        <f>IFERROR(VLOOKUP(P1107,Лист1!A$1:B$20,2,FALSE),0)</f>
        <v>784</v>
      </c>
      <c r="S1107" s="13">
        <f t="shared" si="125"/>
        <v>0</v>
      </c>
    </row>
    <row r="1108" spans="1:19" x14ac:dyDescent="0.25">
      <c r="A1108" s="24" t="s">
        <v>2224</v>
      </c>
      <c r="B1108" s="4" t="s">
        <v>1059</v>
      </c>
      <c r="C1108" s="25" t="s">
        <v>5</v>
      </c>
      <c r="G1108" s="25" t="s">
        <v>1167</v>
      </c>
      <c r="H1108" s="24" t="s">
        <v>1061</v>
      </c>
      <c r="I1108" s="3" t="str">
        <f>IFERROR(VLOOKUP(C1108,'Справочник соответствий'!A$2:D$2981,2,FALSE),IF(VALUE(C1108)=0,1,VLOOKUP(C1108,'Справочник соответствий'!A$2:D$2981,2,FALSE)))</f>
        <v>1</v>
      </c>
      <c r="J1108" s="3">
        <f>IFERROR(VLOOKUP(D1108,'Справочник соответствий'!A$2:D$2981,2,FALSE),IF(VALUE(D1108)=0,0,VLOOKUP(D1108,'Справочник соответствий'!A$2:D$2981,2,FALSE)))</f>
        <v>0</v>
      </c>
      <c r="K1108" s="3" t="str">
        <f t="shared" si="119"/>
        <v>1</v>
      </c>
      <c r="L1108" s="13" t="str">
        <f>IFERROR(VLOOKUP(C1108,'Справочник соответствий'!A$2:D$2981,3,FALSE),IF(VALUE(C1108)=0,"ЭТАЖ НЕ ОПРЕДЕЛЕН. ПРИНЯТ ПО ДОПУЩЕНИЮ 1",VLOOKUP(C1108,'Справочник соответствий'!A$2:D$2981,3,FALSE)))</f>
        <v>ЭТАЖ ЗАДАН ЧИСЛОМ</v>
      </c>
      <c r="M1108" s="13" t="b">
        <f t="shared" si="120"/>
        <v>0</v>
      </c>
      <c r="N1108" s="13">
        <f t="shared" si="121"/>
        <v>1</v>
      </c>
      <c r="O1108" s="13" t="str">
        <f t="shared" si="122"/>
        <v>ЭТАЖ ЗАДАН ЧИСЛОМ</v>
      </c>
      <c r="P1108" s="13" t="str">
        <f t="shared" si="123"/>
        <v>ЭТАЖ ЗАДАН ЧИСЛОМ</v>
      </c>
      <c r="Q1108" s="13" t="str">
        <f t="shared" si="124"/>
        <v>ГОТОВ_ИЗМЕНЕН</v>
      </c>
      <c r="R1108" s="13">
        <f>IFERROR(VLOOKUP(P1108,Лист1!A$1:B$20,2,FALSE),0)</f>
        <v>784</v>
      </c>
      <c r="S1108" s="13">
        <f t="shared" si="125"/>
        <v>0</v>
      </c>
    </row>
    <row r="1109" spans="1:19" x14ac:dyDescent="0.25">
      <c r="A1109" s="24" t="s">
        <v>2225</v>
      </c>
      <c r="B1109" s="4" t="s">
        <v>1059</v>
      </c>
      <c r="C1109" s="25" t="s">
        <v>7</v>
      </c>
      <c r="G1109" s="25" t="s">
        <v>1072</v>
      </c>
      <c r="H1109" s="24" t="s">
        <v>1061</v>
      </c>
      <c r="I1109" s="3" t="str">
        <f>IFERROR(VLOOKUP(C1109,'Справочник соответствий'!A$2:D$2981,2,FALSE),IF(VALUE(C1109)=0,1,VLOOKUP(C1109,'Справочник соответствий'!A$2:D$2981,2,FALSE)))</f>
        <v>2</v>
      </c>
      <c r="J1109" s="3">
        <f>IFERROR(VLOOKUP(D1109,'Справочник соответствий'!A$2:D$2981,2,FALSE),IF(VALUE(D1109)=0,0,VLOOKUP(D1109,'Справочник соответствий'!A$2:D$2981,2,FALSE)))</f>
        <v>0</v>
      </c>
      <c r="K1109" s="3" t="str">
        <f t="shared" si="119"/>
        <v>2</v>
      </c>
      <c r="L1109" s="13" t="str">
        <f>IFERROR(VLOOKUP(C1109,'Справочник соответствий'!A$2:D$2981,3,FALSE),IF(VALUE(C1109)=0,"ЭТАЖ НЕ ОПРЕДЕЛЕН. ПРИНЯТ ПО ДОПУЩЕНИЮ 1",VLOOKUP(C1109,'Справочник соответствий'!A$2:D$2981,3,FALSE)))</f>
        <v>ЭТАЖ ЗАДАН ЧИСЛОМ</v>
      </c>
      <c r="M1109" s="13" t="b">
        <f t="shared" si="120"/>
        <v>0</v>
      </c>
      <c r="N1109" s="13">
        <f t="shared" si="121"/>
        <v>2</v>
      </c>
      <c r="O1109" s="13" t="str">
        <f t="shared" si="122"/>
        <v>ЭТАЖ ЗАДАН ЧИСЛОМ</v>
      </c>
      <c r="P1109" s="13" t="str">
        <f t="shared" si="123"/>
        <v>ЭТАЖ ЗАДАН ЧИСЛОМ</v>
      </c>
      <c r="Q1109" s="13" t="str">
        <f t="shared" si="124"/>
        <v>ГОТОВ_ИЗМЕНЕН</v>
      </c>
      <c r="R1109" s="13">
        <f>IFERROR(VLOOKUP(P1109,Лист1!A$1:B$20,2,FALSE),0)</f>
        <v>784</v>
      </c>
      <c r="S1109" s="13">
        <f t="shared" si="125"/>
        <v>0</v>
      </c>
    </row>
    <row r="1110" spans="1:19" x14ac:dyDescent="0.25">
      <c r="A1110" s="24" t="s">
        <v>2226</v>
      </c>
      <c r="B1110" s="4" t="s">
        <v>1059</v>
      </c>
      <c r="C1110" s="25" t="s">
        <v>5</v>
      </c>
      <c r="G1110" s="25" t="s">
        <v>1069</v>
      </c>
      <c r="H1110" s="24" t="s">
        <v>1061</v>
      </c>
      <c r="I1110" s="3" t="str">
        <f>IFERROR(VLOOKUP(C1110,'Справочник соответствий'!A$2:D$2981,2,FALSE),IF(VALUE(C1110)=0,1,VLOOKUP(C1110,'Справочник соответствий'!A$2:D$2981,2,FALSE)))</f>
        <v>1</v>
      </c>
      <c r="J1110" s="3">
        <f>IFERROR(VLOOKUP(D1110,'Справочник соответствий'!A$2:D$2981,2,FALSE),IF(VALUE(D1110)=0,0,VLOOKUP(D1110,'Справочник соответствий'!A$2:D$2981,2,FALSE)))</f>
        <v>0</v>
      </c>
      <c r="K1110" s="3" t="str">
        <f t="shared" si="119"/>
        <v>1</v>
      </c>
      <c r="L1110" s="13" t="str">
        <f>IFERROR(VLOOKUP(C1110,'Справочник соответствий'!A$2:D$2981,3,FALSE),IF(VALUE(C1110)=0,"ЭТАЖ НЕ ОПРЕДЕЛЕН. ПРИНЯТ ПО ДОПУЩЕНИЮ 1",VLOOKUP(C1110,'Справочник соответствий'!A$2:D$2981,3,FALSE)))</f>
        <v>ЭТАЖ ЗАДАН ЧИСЛОМ</v>
      </c>
      <c r="M1110" s="13" t="b">
        <f t="shared" si="120"/>
        <v>0</v>
      </c>
      <c r="N1110" s="13">
        <f t="shared" si="121"/>
        <v>1</v>
      </c>
      <c r="O1110" s="13" t="str">
        <f t="shared" si="122"/>
        <v>ЭТАЖ ЗАДАН ЧИСЛОМ</v>
      </c>
      <c r="P1110" s="13" t="str">
        <f t="shared" si="123"/>
        <v>ЭТАЖ ЗАДАН ЧИСЛОМ</v>
      </c>
      <c r="Q1110" s="13" t="str">
        <f t="shared" si="124"/>
        <v>ГОТОВ_ИЗМЕНЕН</v>
      </c>
      <c r="R1110" s="13">
        <f>IFERROR(VLOOKUP(P1110,Лист1!A$1:B$20,2,FALSE),0)</f>
        <v>784</v>
      </c>
      <c r="S1110" s="13">
        <f t="shared" si="125"/>
        <v>0</v>
      </c>
    </row>
    <row r="1111" spans="1:19" x14ac:dyDescent="0.25">
      <c r="A1111" s="24" t="s">
        <v>2227</v>
      </c>
      <c r="B1111" s="4" t="s">
        <v>1059</v>
      </c>
      <c r="C1111" s="25" t="s">
        <v>5</v>
      </c>
      <c r="G1111" s="25" t="s">
        <v>1069</v>
      </c>
      <c r="H1111" s="24" t="s">
        <v>1061</v>
      </c>
      <c r="I1111" s="3" t="str">
        <f>IFERROR(VLOOKUP(C1111,'Справочник соответствий'!A$2:D$2981,2,FALSE),IF(VALUE(C1111)=0,1,VLOOKUP(C1111,'Справочник соответствий'!A$2:D$2981,2,FALSE)))</f>
        <v>1</v>
      </c>
      <c r="J1111" s="3">
        <f>IFERROR(VLOOKUP(D1111,'Справочник соответствий'!A$2:D$2981,2,FALSE),IF(VALUE(D1111)=0,0,VLOOKUP(D1111,'Справочник соответствий'!A$2:D$2981,2,FALSE)))</f>
        <v>0</v>
      </c>
      <c r="K1111" s="3" t="str">
        <f t="shared" si="119"/>
        <v>1</v>
      </c>
      <c r="L1111" s="13" t="str">
        <f>IFERROR(VLOOKUP(C1111,'Справочник соответствий'!A$2:D$2981,3,FALSE),IF(VALUE(C1111)=0,"ЭТАЖ НЕ ОПРЕДЕЛЕН. ПРИНЯТ ПО ДОПУЩЕНИЮ 1",VLOOKUP(C1111,'Справочник соответствий'!A$2:D$2981,3,FALSE)))</f>
        <v>ЭТАЖ ЗАДАН ЧИСЛОМ</v>
      </c>
      <c r="M1111" s="13" t="b">
        <f t="shared" si="120"/>
        <v>0</v>
      </c>
      <c r="N1111" s="13">
        <f t="shared" si="121"/>
        <v>1</v>
      </c>
      <c r="O1111" s="13" t="str">
        <f t="shared" si="122"/>
        <v>ЭТАЖ ЗАДАН ЧИСЛОМ</v>
      </c>
      <c r="P1111" s="13" t="str">
        <f t="shared" si="123"/>
        <v>ЭТАЖ ЗАДАН ЧИСЛОМ</v>
      </c>
      <c r="Q1111" s="13" t="str">
        <f t="shared" si="124"/>
        <v>ГОТОВ_ИЗМЕНЕН</v>
      </c>
      <c r="R1111" s="13">
        <f>IFERROR(VLOOKUP(P1111,Лист1!A$1:B$20,2,FALSE),0)</f>
        <v>784</v>
      </c>
      <c r="S1111" s="13">
        <f t="shared" si="125"/>
        <v>0</v>
      </c>
    </row>
    <row r="1112" spans="1:19" x14ac:dyDescent="0.25">
      <c r="A1112" s="24" t="s">
        <v>2228</v>
      </c>
      <c r="B1112" s="4" t="s">
        <v>1063</v>
      </c>
      <c r="C1112" s="25" t="s">
        <v>5</v>
      </c>
      <c r="G1112" s="25" t="s">
        <v>1069</v>
      </c>
      <c r="H1112" s="24" t="s">
        <v>1061</v>
      </c>
      <c r="I1112" s="3" t="str">
        <f>IFERROR(VLOOKUP(C1112,'Справочник соответствий'!A$2:D$2981,2,FALSE),IF(VALUE(C1112)=0,1,VLOOKUP(C1112,'Справочник соответствий'!A$2:D$2981,2,FALSE)))</f>
        <v>1</v>
      </c>
      <c r="J1112" s="3">
        <f>IFERROR(VLOOKUP(D1112,'Справочник соответствий'!A$2:D$2981,2,FALSE),IF(VALUE(D1112)=0,0,VLOOKUP(D1112,'Справочник соответствий'!A$2:D$2981,2,FALSE)))</f>
        <v>0</v>
      </c>
      <c r="K1112" s="3" t="str">
        <f t="shared" si="119"/>
        <v>1</v>
      </c>
      <c r="L1112" s="13" t="str">
        <f>IFERROR(VLOOKUP(C1112,'Справочник соответствий'!A$2:D$2981,3,FALSE),IF(VALUE(C1112)=0,"ЭТАЖ НЕ ОПРЕДЕЛЕН. ПРИНЯТ ПО ДОПУЩЕНИЮ 1",VLOOKUP(C1112,'Справочник соответствий'!A$2:D$2981,3,FALSE)))</f>
        <v>ЭТАЖ ЗАДАН ЧИСЛОМ</v>
      </c>
      <c r="M1112" s="13" t="b">
        <f t="shared" si="120"/>
        <v>0</v>
      </c>
      <c r="N1112" s="13">
        <f t="shared" si="121"/>
        <v>1</v>
      </c>
      <c r="O1112" s="13" t="str">
        <f t="shared" si="122"/>
        <v>ЭТАЖ ЗАДАН ЧИСЛОМ</v>
      </c>
      <c r="P1112" s="13" t="str">
        <f t="shared" si="123"/>
        <v>ЭТАЖ ЗАДАН ЧИСЛОМ</v>
      </c>
      <c r="Q1112" s="13" t="str">
        <f t="shared" si="124"/>
        <v>ГОТОВ_ИЗМЕНЕН</v>
      </c>
      <c r="R1112" s="13">
        <f>IFERROR(VLOOKUP(P1112,Лист1!A$1:B$20,2,FALSE),0)</f>
        <v>784</v>
      </c>
      <c r="S1112" s="13">
        <f t="shared" si="125"/>
        <v>0</v>
      </c>
    </row>
    <row r="1113" spans="1:19" x14ac:dyDescent="0.25">
      <c r="A1113" s="24" t="s">
        <v>2229</v>
      </c>
      <c r="B1113" s="4" t="s">
        <v>1059</v>
      </c>
      <c r="C1113" s="25" t="s">
        <v>7</v>
      </c>
      <c r="G1113" s="25" t="s">
        <v>1069</v>
      </c>
      <c r="H1113" s="24" t="s">
        <v>1061</v>
      </c>
      <c r="I1113" s="3" t="str">
        <f>IFERROR(VLOOKUP(C1113,'Справочник соответствий'!A$2:D$2981,2,FALSE),IF(VALUE(C1113)=0,1,VLOOKUP(C1113,'Справочник соответствий'!A$2:D$2981,2,FALSE)))</f>
        <v>2</v>
      </c>
      <c r="J1113" s="3">
        <f>IFERROR(VLOOKUP(D1113,'Справочник соответствий'!A$2:D$2981,2,FALSE),IF(VALUE(D1113)=0,0,VLOOKUP(D1113,'Справочник соответствий'!A$2:D$2981,2,FALSE)))</f>
        <v>0</v>
      </c>
      <c r="K1113" s="3" t="str">
        <f t="shared" si="119"/>
        <v>2</v>
      </c>
      <c r="L1113" s="13" t="str">
        <f>IFERROR(VLOOKUP(C1113,'Справочник соответствий'!A$2:D$2981,3,FALSE),IF(VALUE(C1113)=0,"ЭТАЖ НЕ ОПРЕДЕЛЕН. ПРИНЯТ ПО ДОПУЩЕНИЮ 1",VLOOKUP(C1113,'Справочник соответствий'!A$2:D$2981,3,FALSE)))</f>
        <v>ЭТАЖ ЗАДАН ЧИСЛОМ</v>
      </c>
      <c r="M1113" s="13" t="b">
        <f t="shared" si="120"/>
        <v>0</v>
      </c>
      <c r="N1113" s="13">
        <f t="shared" si="121"/>
        <v>2</v>
      </c>
      <c r="O1113" s="13" t="str">
        <f t="shared" si="122"/>
        <v>ЭТАЖ ЗАДАН ЧИСЛОМ</v>
      </c>
      <c r="P1113" s="13" t="str">
        <f t="shared" si="123"/>
        <v>ЭТАЖ ЗАДАН ЧИСЛОМ</v>
      </c>
      <c r="Q1113" s="13" t="str">
        <f t="shared" si="124"/>
        <v>ГОТОВ_ИЗМЕНЕН</v>
      </c>
      <c r="R1113" s="13">
        <f>IFERROR(VLOOKUP(P1113,Лист1!A$1:B$20,2,FALSE),0)</f>
        <v>784</v>
      </c>
      <c r="S1113" s="13">
        <f t="shared" si="125"/>
        <v>0</v>
      </c>
    </row>
    <row r="1114" spans="1:19" x14ac:dyDescent="0.25">
      <c r="A1114" s="24" t="s">
        <v>2230</v>
      </c>
      <c r="B1114" s="4" t="s">
        <v>1059</v>
      </c>
      <c r="C1114" s="25" t="s">
        <v>7</v>
      </c>
      <c r="G1114" s="25" t="s">
        <v>1089</v>
      </c>
      <c r="H1114" s="24" t="s">
        <v>1061</v>
      </c>
      <c r="I1114" s="3" t="str">
        <f>IFERROR(VLOOKUP(C1114,'Справочник соответствий'!A$2:D$2981,2,FALSE),IF(VALUE(C1114)=0,1,VLOOKUP(C1114,'Справочник соответствий'!A$2:D$2981,2,FALSE)))</f>
        <v>2</v>
      </c>
      <c r="J1114" s="3">
        <f>IFERROR(VLOOKUP(D1114,'Справочник соответствий'!A$2:D$2981,2,FALSE),IF(VALUE(D1114)=0,0,VLOOKUP(D1114,'Справочник соответствий'!A$2:D$2981,2,FALSE)))</f>
        <v>0</v>
      </c>
      <c r="K1114" s="3" t="str">
        <f t="shared" si="119"/>
        <v>2</v>
      </c>
      <c r="L1114" s="13" t="str">
        <f>IFERROR(VLOOKUP(C1114,'Справочник соответствий'!A$2:D$2981,3,FALSE),IF(VALUE(C1114)=0,"ЭТАЖ НЕ ОПРЕДЕЛЕН. ПРИНЯТ ПО ДОПУЩЕНИЮ 1",VLOOKUP(C1114,'Справочник соответствий'!A$2:D$2981,3,FALSE)))</f>
        <v>ЭТАЖ ЗАДАН ЧИСЛОМ</v>
      </c>
      <c r="M1114" s="13" t="b">
        <f t="shared" si="120"/>
        <v>0</v>
      </c>
      <c r="N1114" s="13">
        <f t="shared" si="121"/>
        <v>2</v>
      </c>
      <c r="O1114" s="13" t="str">
        <f t="shared" si="122"/>
        <v>ЭТАЖ ЗАДАН ЧИСЛОМ</v>
      </c>
      <c r="P1114" s="13" t="str">
        <f t="shared" si="123"/>
        <v>ЭТАЖ ЗАДАН ЧИСЛОМ</v>
      </c>
      <c r="Q1114" s="13" t="str">
        <f t="shared" si="124"/>
        <v>ГОТОВ_ИЗМЕНЕН</v>
      </c>
      <c r="R1114" s="13">
        <f>IFERROR(VLOOKUP(P1114,Лист1!A$1:B$20,2,FALSE),0)</f>
        <v>784</v>
      </c>
      <c r="S1114" s="13">
        <f t="shared" si="125"/>
        <v>0</v>
      </c>
    </row>
    <row r="1115" spans="1:19" x14ac:dyDescent="0.25">
      <c r="A1115" s="24" t="s">
        <v>2231</v>
      </c>
      <c r="B1115" s="4" t="s">
        <v>1063</v>
      </c>
      <c r="C1115" s="25" t="s">
        <v>5</v>
      </c>
      <c r="G1115" s="25" t="s">
        <v>1069</v>
      </c>
      <c r="H1115" s="24" t="s">
        <v>1061</v>
      </c>
      <c r="I1115" s="3" t="str">
        <f>IFERROR(VLOOKUP(C1115,'Справочник соответствий'!A$2:D$2981,2,FALSE),IF(VALUE(C1115)=0,1,VLOOKUP(C1115,'Справочник соответствий'!A$2:D$2981,2,FALSE)))</f>
        <v>1</v>
      </c>
      <c r="J1115" s="3">
        <f>IFERROR(VLOOKUP(D1115,'Справочник соответствий'!A$2:D$2981,2,FALSE),IF(VALUE(D1115)=0,0,VLOOKUP(D1115,'Справочник соответствий'!A$2:D$2981,2,FALSE)))</f>
        <v>0</v>
      </c>
      <c r="K1115" s="3" t="str">
        <f t="shared" si="119"/>
        <v>1</v>
      </c>
      <c r="L1115" s="13" t="str">
        <f>IFERROR(VLOOKUP(C1115,'Справочник соответствий'!A$2:D$2981,3,FALSE),IF(VALUE(C1115)=0,"ЭТАЖ НЕ ОПРЕДЕЛЕН. ПРИНЯТ ПО ДОПУЩЕНИЮ 1",VLOOKUP(C1115,'Справочник соответствий'!A$2:D$2981,3,FALSE)))</f>
        <v>ЭТАЖ ЗАДАН ЧИСЛОМ</v>
      </c>
      <c r="M1115" s="13" t="b">
        <f t="shared" si="120"/>
        <v>0</v>
      </c>
      <c r="N1115" s="13">
        <f t="shared" si="121"/>
        <v>1</v>
      </c>
      <c r="O1115" s="13" t="str">
        <f t="shared" si="122"/>
        <v>ЭТАЖ ЗАДАН ЧИСЛОМ</v>
      </c>
      <c r="P1115" s="13" t="str">
        <f t="shared" si="123"/>
        <v>ЭТАЖ ЗАДАН ЧИСЛОМ</v>
      </c>
      <c r="Q1115" s="13" t="str">
        <f t="shared" si="124"/>
        <v>ГОТОВ_ИЗМЕНЕН</v>
      </c>
      <c r="R1115" s="13">
        <f>IFERROR(VLOOKUP(P1115,Лист1!A$1:B$20,2,FALSE),0)</f>
        <v>784</v>
      </c>
      <c r="S1115" s="13">
        <f t="shared" si="125"/>
        <v>0</v>
      </c>
    </row>
    <row r="1116" spans="1:19" x14ac:dyDescent="0.25">
      <c r="A1116" s="24" t="s">
        <v>2232</v>
      </c>
      <c r="B1116" s="4" t="s">
        <v>1031</v>
      </c>
      <c r="C1116" s="25" t="s">
        <v>102</v>
      </c>
      <c r="D1116" s="25" t="s">
        <v>5</v>
      </c>
      <c r="G1116" s="25" t="s">
        <v>1069</v>
      </c>
      <c r="H1116" s="24" t="s">
        <v>1061</v>
      </c>
      <c r="I1116" s="3" t="str">
        <f>IFERROR(VLOOKUP(C1116,'Справочник соответствий'!A$2:D$2981,2,FALSE),IF(VALUE(C1116)=0,1,VLOOKUP(C1116,'Справочник соответствий'!A$2:D$2981,2,FALSE)))</f>
        <v>19</v>
      </c>
      <c r="J1116" s="3" t="str">
        <f>IFERROR(VLOOKUP(D1116,'Справочник соответствий'!A$2:D$2981,2,FALSE),IF(VALUE(D1116)=0,0,VLOOKUP(D1116,'Справочник соответствий'!A$2:D$2981,2,FALSE)))</f>
        <v>1</v>
      </c>
      <c r="K1116" s="3">
        <f t="shared" si="119"/>
        <v>18</v>
      </c>
      <c r="L1116" s="13" t="str">
        <f>IFERROR(VLOOKUP(C1116,'Справочник соответствий'!A$2:D$2981,3,FALSE),IF(VALUE(C1116)=0,"ЭТАЖ НЕ ОПРЕДЕЛЕН. ПРИНЯТ ПО ДОПУЩЕНИЮ 1",VLOOKUP(C1116,'Справочник соответствий'!A$2:D$2981,3,FALSE)))</f>
        <v>ЭТАЖ ЗАДАН ЧИСЛОМ</v>
      </c>
      <c r="M1116" s="13" t="b">
        <f t="shared" si="120"/>
        <v>0</v>
      </c>
      <c r="N1116" s="13">
        <f t="shared" si="121"/>
        <v>18</v>
      </c>
      <c r="O1116" s="13" t="str">
        <f t="shared" si="122"/>
        <v>ЭТАЖ ЗАДАН ЧИСЛОМ</v>
      </c>
      <c r="P1116" s="13" t="str">
        <f t="shared" si="123"/>
        <v>МКД_ЭТАЖ ЗАДАН ЧИСЛОМ</v>
      </c>
      <c r="Q1116" s="13" t="str">
        <f t="shared" si="124"/>
        <v>ГОТОВ_ИЗМЕНЕН</v>
      </c>
      <c r="R1116" s="13">
        <f>IFERROR(VLOOKUP(P1116,Лист1!A$1:B$20,2,FALSE),0)</f>
        <v>786</v>
      </c>
      <c r="S1116" s="13">
        <f t="shared" si="125"/>
        <v>0</v>
      </c>
    </row>
    <row r="1117" spans="1:19" x14ac:dyDescent="0.25">
      <c r="A1117" s="24" t="s">
        <v>2233</v>
      </c>
      <c r="B1117" s="4" t="s">
        <v>1063</v>
      </c>
      <c r="C1117" s="25" t="s">
        <v>5</v>
      </c>
      <c r="G1117" s="25" t="s">
        <v>1069</v>
      </c>
      <c r="H1117" s="24" t="s">
        <v>1061</v>
      </c>
      <c r="I1117" s="3" t="str">
        <f>IFERROR(VLOOKUP(C1117,'Справочник соответствий'!A$2:D$2981,2,FALSE),IF(VALUE(C1117)=0,1,VLOOKUP(C1117,'Справочник соответствий'!A$2:D$2981,2,FALSE)))</f>
        <v>1</v>
      </c>
      <c r="J1117" s="3">
        <f>IFERROR(VLOOKUP(D1117,'Справочник соответствий'!A$2:D$2981,2,FALSE),IF(VALUE(D1117)=0,0,VLOOKUP(D1117,'Справочник соответствий'!A$2:D$2981,2,FALSE)))</f>
        <v>0</v>
      </c>
      <c r="K1117" s="3" t="str">
        <f t="shared" si="119"/>
        <v>1</v>
      </c>
      <c r="L1117" s="13" t="str">
        <f>IFERROR(VLOOKUP(C1117,'Справочник соответствий'!A$2:D$2981,3,FALSE),IF(VALUE(C1117)=0,"ЭТАЖ НЕ ОПРЕДЕЛЕН. ПРИНЯТ ПО ДОПУЩЕНИЮ 1",VLOOKUP(C1117,'Справочник соответствий'!A$2:D$2981,3,FALSE)))</f>
        <v>ЭТАЖ ЗАДАН ЧИСЛОМ</v>
      </c>
      <c r="M1117" s="13" t="b">
        <f t="shared" si="120"/>
        <v>0</v>
      </c>
      <c r="N1117" s="13">
        <f t="shared" si="121"/>
        <v>1</v>
      </c>
      <c r="O1117" s="13" t="str">
        <f t="shared" si="122"/>
        <v>ЭТАЖ ЗАДАН ЧИСЛОМ</v>
      </c>
      <c r="P1117" s="13" t="str">
        <f t="shared" si="123"/>
        <v>ЭТАЖ ЗАДАН ЧИСЛОМ</v>
      </c>
      <c r="Q1117" s="13" t="str">
        <f t="shared" si="124"/>
        <v>ГОТОВ_ИЗМЕНЕН</v>
      </c>
      <c r="R1117" s="13">
        <f>IFERROR(VLOOKUP(P1117,Лист1!A$1:B$20,2,FALSE),0)</f>
        <v>784</v>
      </c>
      <c r="S1117" s="13">
        <f t="shared" si="125"/>
        <v>0</v>
      </c>
    </row>
    <row r="1118" spans="1:19" x14ac:dyDescent="0.25">
      <c r="A1118" s="24" t="s">
        <v>2234</v>
      </c>
      <c r="B1118" s="4" t="s">
        <v>1059</v>
      </c>
      <c r="C1118" s="25" t="s">
        <v>5</v>
      </c>
      <c r="G1118" s="25" t="s">
        <v>1174</v>
      </c>
      <c r="H1118" s="24" t="s">
        <v>1061</v>
      </c>
      <c r="I1118" s="3" t="str">
        <f>IFERROR(VLOOKUP(C1118,'Справочник соответствий'!A$2:D$2981,2,FALSE),IF(VALUE(C1118)=0,1,VLOOKUP(C1118,'Справочник соответствий'!A$2:D$2981,2,FALSE)))</f>
        <v>1</v>
      </c>
      <c r="J1118" s="3">
        <f>IFERROR(VLOOKUP(D1118,'Справочник соответствий'!A$2:D$2981,2,FALSE),IF(VALUE(D1118)=0,0,VLOOKUP(D1118,'Справочник соответствий'!A$2:D$2981,2,FALSE)))</f>
        <v>0</v>
      </c>
      <c r="K1118" s="3" t="str">
        <f t="shared" si="119"/>
        <v>1</v>
      </c>
      <c r="L1118" s="13" t="str">
        <f>IFERROR(VLOOKUP(C1118,'Справочник соответствий'!A$2:D$2981,3,FALSE),IF(VALUE(C1118)=0,"ЭТАЖ НЕ ОПРЕДЕЛЕН. ПРИНЯТ ПО ДОПУЩЕНИЮ 1",VLOOKUP(C1118,'Справочник соответствий'!A$2:D$2981,3,FALSE)))</f>
        <v>ЭТАЖ ЗАДАН ЧИСЛОМ</v>
      </c>
      <c r="M1118" s="13" t="b">
        <f t="shared" si="120"/>
        <v>0</v>
      </c>
      <c r="N1118" s="13">
        <f t="shared" si="121"/>
        <v>1</v>
      </c>
      <c r="O1118" s="13" t="str">
        <f t="shared" si="122"/>
        <v>ЭТАЖ ЗАДАН ЧИСЛОМ</v>
      </c>
      <c r="P1118" s="13" t="str">
        <f t="shared" si="123"/>
        <v>ЭТАЖ ЗАДАН ЧИСЛОМ</v>
      </c>
      <c r="Q1118" s="13" t="str">
        <f t="shared" si="124"/>
        <v>ГОТОВ_ИЗМЕНЕН</v>
      </c>
      <c r="R1118" s="13">
        <f>IFERROR(VLOOKUP(P1118,Лист1!A$1:B$20,2,FALSE),0)</f>
        <v>784</v>
      </c>
      <c r="S1118" s="13">
        <f t="shared" si="125"/>
        <v>0</v>
      </c>
    </row>
    <row r="1119" spans="1:19" x14ac:dyDescent="0.25">
      <c r="A1119" s="24" t="s">
        <v>2235</v>
      </c>
      <c r="B1119" s="4" t="s">
        <v>1063</v>
      </c>
      <c r="C1119" s="25" t="s">
        <v>5</v>
      </c>
      <c r="G1119" s="25" t="s">
        <v>1089</v>
      </c>
      <c r="H1119" s="24" t="s">
        <v>1061</v>
      </c>
      <c r="I1119" s="3" t="str">
        <f>IFERROR(VLOOKUP(C1119,'Справочник соответствий'!A$2:D$2981,2,FALSE),IF(VALUE(C1119)=0,1,VLOOKUP(C1119,'Справочник соответствий'!A$2:D$2981,2,FALSE)))</f>
        <v>1</v>
      </c>
      <c r="J1119" s="3">
        <f>IFERROR(VLOOKUP(D1119,'Справочник соответствий'!A$2:D$2981,2,FALSE),IF(VALUE(D1119)=0,0,VLOOKUP(D1119,'Справочник соответствий'!A$2:D$2981,2,FALSE)))</f>
        <v>0</v>
      </c>
      <c r="K1119" s="3" t="str">
        <f t="shared" si="119"/>
        <v>1</v>
      </c>
      <c r="L1119" s="13" t="str">
        <f>IFERROR(VLOOKUP(C1119,'Справочник соответствий'!A$2:D$2981,3,FALSE),IF(VALUE(C1119)=0,"ЭТАЖ НЕ ОПРЕДЕЛЕН. ПРИНЯТ ПО ДОПУЩЕНИЮ 1",VLOOKUP(C1119,'Справочник соответствий'!A$2:D$2981,3,FALSE)))</f>
        <v>ЭТАЖ ЗАДАН ЧИСЛОМ</v>
      </c>
      <c r="M1119" s="13" t="b">
        <f t="shared" si="120"/>
        <v>0</v>
      </c>
      <c r="N1119" s="13">
        <f t="shared" si="121"/>
        <v>1</v>
      </c>
      <c r="O1119" s="13" t="str">
        <f t="shared" si="122"/>
        <v>ЭТАЖ ЗАДАН ЧИСЛОМ</v>
      </c>
      <c r="P1119" s="13" t="str">
        <f t="shared" si="123"/>
        <v>ЭТАЖ ЗАДАН ЧИСЛОМ</v>
      </c>
      <c r="Q1119" s="13" t="str">
        <f t="shared" si="124"/>
        <v>ГОТОВ_ИЗМЕНЕН</v>
      </c>
      <c r="R1119" s="13">
        <f>IFERROR(VLOOKUP(P1119,Лист1!A$1:B$20,2,FALSE),0)</f>
        <v>784</v>
      </c>
      <c r="S1119" s="13">
        <f t="shared" si="125"/>
        <v>0</v>
      </c>
    </row>
    <row r="1120" spans="1:19" x14ac:dyDescent="0.25">
      <c r="A1120" s="24" t="s">
        <v>2236</v>
      </c>
      <c r="B1120" s="4" t="s">
        <v>1059</v>
      </c>
      <c r="C1120" s="25" t="s">
        <v>8</v>
      </c>
      <c r="D1120" s="25" t="s">
        <v>5</v>
      </c>
      <c r="G1120" s="25" t="s">
        <v>1108</v>
      </c>
      <c r="H1120" s="24" t="s">
        <v>1061</v>
      </c>
      <c r="I1120" s="3" t="str">
        <f>IFERROR(VLOOKUP(C1120,'Справочник соответствий'!A$2:D$2981,2,FALSE),IF(VALUE(C1120)=0,1,VLOOKUP(C1120,'Справочник соответствий'!A$2:D$2981,2,FALSE)))</f>
        <v>3</v>
      </c>
      <c r="J1120" s="3" t="str">
        <f>IFERROR(VLOOKUP(D1120,'Справочник соответствий'!A$2:D$2981,2,FALSE),IF(VALUE(D1120)=0,0,VLOOKUP(D1120,'Справочник соответствий'!A$2:D$2981,2,FALSE)))</f>
        <v>1</v>
      </c>
      <c r="K1120" s="3" t="str">
        <f t="shared" si="119"/>
        <v>3</v>
      </c>
      <c r="L1120" s="13" t="str">
        <f>IFERROR(VLOOKUP(C1120,'Справочник соответствий'!A$2:D$2981,3,FALSE),IF(VALUE(C1120)=0,"ЭТАЖ НЕ ОПРЕДЕЛЕН. ПРИНЯТ ПО ДОПУЩЕНИЮ 1",VLOOKUP(C1120,'Справочник соответствий'!A$2:D$2981,3,FALSE)))</f>
        <v>ЭТАЖ ЗАДАН ЧИСЛОМ</v>
      </c>
      <c r="M1120" s="13" t="b">
        <f t="shared" si="120"/>
        <v>0</v>
      </c>
      <c r="N1120" s="13">
        <f t="shared" si="121"/>
        <v>3</v>
      </c>
      <c r="O1120" s="13" t="str">
        <f t="shared" si="122"/>
        <v>ЭТАЖ ЗАДАН ЧИСЛОМ</v>
      </c>
      <c r="P1120" s="13" t="str">
        <f t="shared" si="123"/>
        <v>ЭТАЖ ЗАДАН ЧИСЛОМ</v>
      </c>
      <c r="Q1120" s="13" t="str">
        <f t="shared" si="124"/>
        <v>ГОТОВ_ИЗМЕНЕН</v>
      </c>
      <c r="R1120" s="13">
        <f>IFERROR(VLOOKUP(P1120,Лист1!A$1:B$20,2,FALSE),0)</f>
        <v>784</v>
      </c>
      <c r="S1120" s="13">
        <f t="shared" si="125"/>
        <v>0</v>
      </c>
    </row>
    <row r="1121" spans="1:19" x14ac:dyDescent="0.25">
      <c r="A1121" s="24" t="s">
        <v>2237</v>
      </c>
      <c r="B1121" s="4" t="s">
        <v>1059</v>
      </c>
      <c r="C1121" s="25" t="s">
        <v>12</v>
      </c>
      <c r="D1121" s="25" t="s">
        <v>5</v>
      </c>
      <c r="G1121" s="25" t="s">
        <v>1174</v>
      </c>
      <c r="H1121" s="24" t="s">
        <v>1061</v>
      </c>
      <c r="I1121" s="3" t="str">
        <f>IFERROR(VLOOKUP(C1121,'Справочник соответствий'!A$2:D$2981,2,FALSE),IF(VALUE(C1121)=0,1,VLOOKUP(C1121,'Справочник соответствий'!A$2:D$2981,2,FALSE)))</f>
        <v>4</v>
      </c>
      <c r="J1121" s="3" t="str">
        <f>IFERROR(VLOOKUP(D1121,'Справочник соответствий'!A$2:D$2981,2,FALSE),IF(VALUE(D1121)=0,0,VLOOKUP(D1121,'Справочник соответствий'!A$2:D$2981,2,FALSE)))</f>
        <v>1</v>
      </c>
      <c r="K1121" s="3" t="str">
        <f t="shared" si="119"/>
        <v>4</v>
      </c>
      <c r="L1121" s="13" t="str">
        <f>IFERROR(VLOOKUP(C1121,'Справочник соответствий'!A$2:D$2981,3,FALSE),IF(VALUE(C1121)=0,"ЭТАЖ НЕ ОПРЕДЕЛЕН. ПРИНЯТ ПО ДОПУЩЕНИЮ 1",VLOOKUP(C1121,'Справочник соответствий'!A$2:D$2981,3,FALSE)))</f>
        <v>ЭТАЖ ЗАДАН ЧИСЛОМ</v>
      </c>
      <c r="M1121" s="13" t="b">
        <f t="shared" si="120"/>
        <v>0</v>
      </c>
      <c r="N1121" s="13">
        <f t="shared" si="121"/>
        <v>4</v>
      </c>
      <c r="O1121" s="13" t="str">
        <f t="shared" si="122"/>
        <v>ЭТАЖ ЗАДАН ЧИСЛОМ</v>
      </c>
      <c r="P1121" s="13" t="str">
        <f t="shared" si="123"/>
        <v>ЭТАЖ ЗАДАН ЧИСЛОМ</v>
      </c>
      <c r="Q1121" s="13" t="str">
        <f t="shared" si="124"/>
        <v>ГОТОВ_ИЗМЕНЕН</v>
      </c>
      <c r="R1121" s="13">
        <f>IFERROR(VLOOKUP(P1121,Лист1!A$1:B$20,2,FALSE),0)</f>
        <v>784</v>
      </c>
      <c r="S1121" s="13">
        <f t="shared" si="125"/>
        <v>0</v>
      </c>
    </row>
    <row r="1122" spans="1:19" x14ac:dyDescent="0.25">
      <c r="A1122" s="24" t="s">
        <v>2238</v>
      </c>
      <c r="B1122" s="4" t="s">
        <v>1063</v>
      </c>
      <c r="C1122" s="25" t="s">
        <v>5</v>
      </c>
      <c r="G1122" s="25" t="s">
        <v>1108</v>
      </c>
      <c r="H1122" s="24" t="s">
        <v>1061</v>
      </c>
      <c r="I1122" s="3" t="str">
        <f>IFERROR(VLOOKUP(C1122,'Справочник соответствий'!A$2:D$2981,2,FALSE),IF(VALUE(C1122)=0,1,VLOOKUP(C1122,'Справочник соответствий'!A$2:D$2981,2,FALSE)))</f>
        <v>1</v>
      </c>
      <c r="J1122" s="3">
        <f>IFERROR(VLOOKUP(D1122,'Справочник соответствий'!A$2:D$2981,2,FALSE),IF(VALUE(D1122)=0,0,VLOOKUP(D1122,'Справочник соответствий'!A$2:D$2981,2,FALSE)))</f>
        <v>0</v>
      </c>
      <c r="K1122" s="3" t="str">
        <f t="shared" si="119"/>
        <v>1</v>
      </c>
      <c r="L1122" s="13" t="str">
        <f>IFERROR(VLOOKUP(C1122,'Справочник соответствий'!A$2:D$2981,3,FALSE),IF(VALUE(C1122)=0,"ЭТАЖ НЕ ОПРЕДЕЛЕН. ПРИНЯТ ПО ДОПУЩЕНИЮ 1",VLOOKUP(C1122,'Справочник соответствий'!A$2:D$2981,3,FALSE)))</f>
        <v>ЭТАЖ ЗАДАН ЧИСЛОМ</v>
      </c>
      <c r="M1122" s="13" t="b">
        <f t="shared" si="120"/>
        <v>0</v>
      </c>
      <c r="N1122" s="13">
        <f t="shared" si="121"/>
        <v>1</v>
      </c>
      <c r="O1122" s="13" t="str">
        <f t="shared" si="122"/>
        <v>ЭТАЖ ЗАДАН ЧИСЛОМ</v>
      </c>
      <c r="P1122" s="13" t="str">
        <f t="shared" si="123"/>
        <v>ЭТАЖ ЗАДАН ЧИСЛОМ</v>
      </c>
      <c r="Q1122" s="13" t="str">
        <f t="shared" si="124"/>
        <v>ГОТОВ_ИЗМЕНЕН</v>
      </c>
      <c r="R1122" s="13">
        <f>IFERROR(VLOOKUP(P1122,Лист1!A$1:B$20,2,FALSE),0)</f>
        <v>784</v>
      </c>
      <c r="S1122" s="13">
        <f t="shared" si="125"/>
        <v>0</v>
      </c>
    </row>
    <row r="1123" spans="1:19" x14ac:dyDescent="0.25">
      <c r="A1123" s="24" t="s">
        <v>2239</v>
      </c>
      <c r="B1123" s="4" t="s">
        <v>1059</v>
      </c>
      <c r="C1123" s="25" t="s">
        <v>7</v>
      </c>
      <c r="G1123" s="25" t="s">
        <v>1108</v>
      </c>
      <c r="H1123" s="24" t="s">
        <v>1061</v>
      </c>
      <c r="I1123" s="3" t="str">
        <f>IFERROR(VLOOKUP(C1123,'Справочник соответствий'!A$2:D$2981,2,FALSE),IF(VALUE(C1123)=0,1,VLOOKUP(C1123,'Справочник соответствий'!A$2:D$2981,2,FALSE)))</f>
        <v>2</v>
      </c>
      <c r="J1123" s="3">
        <f>IFERROR(VLOOKUP(D1123,'Справочник соответствий'!A$2:D$2981,2,FALSE),IF(VALUE(D1123)=0,0,VLOOKUP(D1123,'Справочник соответствий'!A$2:D$2981,2,FALSE)))</f>
        <v>0</v>
      </c>
      <c r="K1123" s="3" t="str">
        <f t="shared" si="119"/>
        <v>2</v>
      </c>
      <c r="L1123" s="13" t="str">
        <f>IFERROR(VLOOKUP(C1123,'Справочник соответствий'!A$2:D$2981,3,FALSE),IF(VALUE(C1123)=0,"ЭТАЖ НЕ ОПРЕДЕЛЕН. ПРИНЯТ ПО ДОПУЩЕНИЮ 1",VLOOKUP(C1123,'Справочник соответствий'!A$2:D$2981,3,FALSE)))</f>
        <v>ЭТАЖ ЗАДАН ЧИСЛОМ</v>
      </c>
      <c r="M1123" s="13" t="b">
        <f t="shared" si="120"/>
        <v>0</v>
      </c>
      <c r="N1123" s="13">
        <f t="shared" si="121"/>
        <v>2</v>
      </c>
      <c r="O1123" s="13" t="str">
        <f t="shared" si="122"/>
        <v>ЭТАЖ ЗАДАН ЧИСЛОМ</v>
      </c>
      <c r="P1123" s="13" t="str">
        <f t="shared" si="123"/>
        <v>ЭТАЖ ЗАДАН ЧИСЛОМ</v>
      </c>
      <c r="Q1123" s="13" t="str">
        <f t="shared" si="124"/>
        <v>ГОТОВ_ИЗМЕНЕН</v>
      </c>
      <c r="R1123" s="13">
        <f>IFERROR(VLOOKUP(P1123,Лист1!A$1:B$20,2,FALSE),0)</f>
        <v>784</v>
      </c>
      <c r="S1123" s="13">
        <f t="shared" si="125"/>
        <v>0</v>
      </c>
    </row>
    <row r="1124" spans="1:19" x14ac:dyDescent="0.25">
      <c r="A1124" s="24" t="s">
        <v>2240</v>
      </c>
      <c r="B1124" s="4" t="s">
        <v>1063</v>
      </c>
      <c r="C1124" s="25" t="s">
        <v>5</v>
      </c>
      <c r="G1124" s="25" t="s">
        <v>1108</v>
      </c>
      <c r="H1124" s="24" t="s">
        <v>1061</v>
      </c>
      <c r="I1124" s="3" t="str">
        <f>IFERROR(VLOOKUP(C1124,'Справочник соответствий'!A$2:D$2981,2,FALSE),IF(VALUE(C1124)=0,1,VLOOKUP(C1124,'Справочник соответствий'!A$2:D$2981,2,FALSE)))</f>
        <v>1</v>
      </c>
      <c r="J1124" s="3">
        <f>IFERROR(VLOOKUP(D1124,'Справочник соответствий'!A$2:D$2981,2,FALSE),IF(VALUE(D1124)=0,0,VLOOKUP(D1124,'Справочник соответствий'!A$2:D$2981,2,FALSE)))</f>
        <v>0</v>
      </c>
      <c r="K1124" s="3" t="str">
        <f t="shared" si="119"/>
        <v>1</v>
      </c>
      <c r="L1124" s="13" t="str">
        <f>IFERROR(VLOOKUP(C1124,'Справочник соответствий'!A$2:D$2981,3,FALSE),IF(VALUE(C1124)=0,"ЭТАЖ НЕ ОПРЕДЕЛЕН. ПРИНЯТ ПО ДОПУЩЕНИЮ 1",VLOOKUP(C1124,'Справочник соответствий'!A$2:D$2981,3,FALSE)))</f>
        <v>ЭТАЖ ЗАДАН ЧИСЛОМ</v>
      </c>
      <c r="M1124" s="13" t="b">
        <f t="shared" si="120"/>
        <v>0</v>
      </c>
      <c r="N1124" s="13">
        <f t="shared" si="121"/>
        <v>1</v>
      </c>
      <c r="O1124" s="13" t="str">
        <f t="shared" si="122"/>
        <v>ЭТАЖ ЗАДАН ЧИСЛОМ</v>
      </c>
      <c r="P1124" s="13" t="str">
        <f t="shared" si="123"/>
        <v>ЭТАЖ ЗАДАН ЧИСЛОМ</v>
      </c>
      <c r="Q1124" s="13" t="str">
        <f t="shared" si="124"/>
        <v>ГОТОВ_ИЗМЕНЕН</v>
      </c>
      <c r="R1124" s="13">
        <f>IFERROR(VLOOKUP(P1124,Лист1!A$1:B$20,2,FALSE),0)</f>
        <v>784</v>
      </c>
      <c r="S1124" s="13">
        <f t="shared" si="125"/>
        <v>0</v>
      </c>
    </row>
    <row r="1125" spans="1:19" x14ac:dyDescent="0.25">
      <c r="A1125" s="24" t="s">
        <v>2241</v>
      </c>
      <c r="B1125" s="4" t="s">
        <v>1059</v>
      </c>
      <c r="C1125" s="25" t="s">
        <v>5</v>
      </c>
      <c r="G1125" s="25" t="s">
        <v>1108</v>
      </c>
      <c r="H1125" s="24" t="s">
        <v>1061</v>
      </c>
      <c r="I1125" s="3" t="str">
        <f>IFERROR(VLOOKUP(C1125,'Справочник соответствий'!A$2:D$2981,2,FALSE),IF(VALUE(C1125)=0,1,VLOOKUP(C1125,'Справочник соответствий'!A$2:D$2981,2,FALSE)))</f>
        <v>1</v>
      </c>
      <c r="J1125" s="3">
        <f>IFERROR(VLOOKUP(D1125,'Справочник соответствий'!A$2:D$2981,2,FALSE),IF(VALUE(D1125)=0,0,VLOOKUP(D1125,'Справочник соответствий'!A$2:D$2981,2,FALSE)))</f>
        <v>0</v>
      </c>
      <c r="K1125" s="3" t="str">
        <f t="shared" si="119"/>
        <v>1</v>
      </c>
      <c r="L1125" s="13" t="str">
        <f>IFERROR(VLOOKUP(C1125,'Справочник соответствий'!A$2:D$2981,3,FALSE),IF(VALUE(C1125)=0,"ЭТАЖ НЕ ОПРЕДЕЛЕН. ПРИНЯТ ПО ДОПУЩЕНИЮ 1",VLOOKUP(C1125,'Справочник соответствий'!A$2:D$2981,3,FALSE)))</f>
        <v>ЭТАЖ ЗАДАН ЧИСЛОМ</v>
      </c>
      <c r="M1125" s="13" t="b">
        <f t="shared" si="120"/>
        <v>0</v>
      </c>
      <c r="N1125" s="13">
        <f t="shared" si="121"/>
        <v>1</v>
      </c>
      <c r="O1125" s="13" t="str">
        <f t="shared" si="122"/>
        <v>ЭТАЖ ЗАДАН ЧИСЛОМ</v>
      </c>
      <c r="P1125" s="13" t="str">
        <f t="shared" si="123"/>
        <v>ЭТАЖ ЗАДАН ЧИСЛОМ</v>
      </c>
      <c r="Q1125" s="13" t="str">
        <f t="shared" si="124"/>
        <v>ГОТОВ_ИЗМЕНЕН</v>
      </c>
      <c r="R1125" s="13">
        <f>IFERROR(VLOOKUP(P1125,Лист1!A$1:B$20,2,FALSE),0)</f>
        <v>784</v>
      </c>
      <c r="S1125" s="13">
        <f t="shared" si="125"/>
        <v>0</v>
      </c>
    </row>
    <row r="1126" spans="1:19" x14ac:dyDescent="0.25">
      <c r="A1126" s="24" t="s">
        <v>2242</v>
      </c>
      <c r="B1126" s="4" t="s">
        <v>1059</v>
      </c>
      <c r="C1126" s="25" t="s">
        <v>5</v>
      </c>
      <c r="G1126" s="25" t="s">
        <v>1108</v>
      </c>
      <c r="H1126" s="24" t="s">
        <v>1061</v>
      </c>
      <c r="I1126" s="3" t="str">
        <f>IFERROR(VLOOKUP(C1126,'Справочник соответствий'!A$2:D$2981,2,FALSE),IF(VALUE(C1126)=0,1,VLOOKUP(C1126,'Справочник соответствий'!A$2:D$2981,2,FALSE)))</f>
        <v>1</v>
      </c>
      <c r="J1126" s="3">
        <f>IFERROR(VLOOKUP(D1126,'Справочник соответствий'!A$2:D$2981,2,FALSE),IF(VALUE(D1126)=0,0,VLOOKUP(D1126,'Справочник соответствий'!A$2:D$2981,2,FALSE)))</f>
        <v>0</v>
      </c>
      <c r="K1126" s="3" t="str">
        <f t="shared" si="119"/>
        <v>1</v>
      </c>
      <c r="L1126" s="13" t="str">
        <f>IFERROR(VLOOKUP(C1126,'Справочник соответствий'!A$2:D$2981,3,FALSE),IF(VALUE(C1126)=0,"ЭТАЖ НЕ ОПРЕДЕЛЕН. ПРИНЯТ ПО ДОПУЩЕНИЮ 1",VLOOKUP(C1126,'Справочник соответствий'!A$2:D$2981,3,FALSE)))</f>
        <v>ЭТАЖ ЗАДАН ЧИСЛОМ</v>
      </c>
      <c r="M1126" s="13" t="b">
        <f t="shared" si="120"/>
        <v>0</v>
      </c>
      <c r="N1126" s="13">
        <f t="shared" si="121"/>
        <v>1</v>
      </c>
      <c r="O1126" s="13" t="str">
        <f t="shared" si="122"/>
        <v>ЭТАЖ ЗАДАН ЧИСЛОМ</v>
      </c>
      <c r="P1126" s="13" t="str">
        <f t="shared" si="123"/>
        <v>ЭТАЖ ЗАДАН ЧИСЛОМ</v>
      </c>
      <c r="Q1126" s="13" t="str">
        <f t="shared" si="124"/>
        <v>ГОТОВ_ИЗМЕНЕН</v>
      </c>
      <c r="R1126" s="13">
        <f>IFERROR(VLOOKUP(P1126,Лист1!A$1:B$20,2,FALSE),0)</f>
        <v>784</v>
      </c>
      <c r="S1126" s="13">
        <f t="shared" si="125"/>
        <v>0</v>
      </c>
    </row>
    <row r="1127" spans="1:19" x14ac:dyDescent="0.25">
      <c r="A1127" s="24" t="s">
        <v>2243</v>
      </c>
      <c r="B1127" s="4" t="s">
        <v>1031</v>
      </c>
      <c r="C1127" s="25" t="s">
        <v>39</v>
      </c>
      <c r="D1127" s="25" t="s">
        <v>5</v>
      </c>
      <c r="G1127" s="25" t="s">
        <v>1108</v>
      </c>
      <c r="H1127" s="24" t="s">
        <v>1061</v>
      </c>
      <c r="I1127" s="3" t="str">
        <f>IFERROR(VLOOKUP(C1127,'Справочник соответствий'!A$2:D$2981,2,FALSE),IF(VALUE(C1127)=0,1,VLOOKUP(C1127,'Справочник соответствий'!A$2:D$2981,2,FALSE)))</f>
        <v>11</v>
      </c>
      <c r="J1127" s="3" t="str">
        <f>IFERROR(VLOOKUP(D1127,'Справочник соответствий'!A$2:D$2981,2,FALSE),IF(VALUE(D1127)=0,0,VLOOKUP(D1127,'Справочник соответствий'!A$2:D$2981,2,FALSE)))</f>
        <v>1</v>
      </c>
      <c r="K1127" s="3">
        <f t="shared" si="119"/>
        <v>10</v>
      </c>
      <c r="L1127" s="13" t="str">
        <f>IFERROR(VLOOKUP(C1127,'Справочник соответствий'!A$2:D$2981,3,FALSE),IF(VALUE(C1127)=0,"ЭТАЖ НЕ ОПРЕДЕЛЕН. ПРИНЯТ ПО ДОПУЩЕНИЮ 1",VLOOKUP(C1127,'Справочник соответствий'!A$2:D$2981,3,FALSE)))</f>
        <v>ЭТАЖ ЗАДАН ЧИСЛОМ</v>
      </c>
      <c r="M1127" s="13" t="b">
        <f t="shared" si="120"/>
        <v>0</v>
      </c>
      <c r="N1127" s="13">
        <f t="shared" si="121"/>
        <v>10</v>
      </c>
      <c r="O1127" s="13" t="str">
        <f t="shared" si="122"/>
        <v>ЭТАЖ ЗАДАН ЧИСЛОМ</v>
      </c>
      <c r="P1127" s="13" t="str">
        <f t="shared" si="123"/>
        <v>МКД_ЭТАЖ ЗАДАН ЧИСЛОМ</v>
      </c>
      <c r="Q1127" s="13" t="str">
        <f t="shared" si="124"/>
        <v>ГОТОВ_ИЗМЕНЕН</v>
      </c>
      <c r="R1127" s="13">
        <f>IFERROR(VLOOKUP(P1127,Лист1!A$1:B$20,2,FALSE),0)</f>
        <v>786</v>
      </c>
      <c r="S1127" s="13">
        <f t="shared" si="125"/>
        <v>0</v>
      </c>
    </row>
    <row r="1128" spans="1:19" x14ac:dyDescent="0.25">
      <c r="A1128" s="24" t="s">
        <v>2244</v>
      </c>
      <c r="B1128" s="4" t="s">
        <v>1063</v>
      </c>
      <c r="C1128" s="25" t="s">
        <v>5</v>
      </c>
      <c r="G1128" s="25" t="s">
        <v>1698</v>
      </c>
      <c r="H1128" s="24" t="s">
        <v>1061</v>
      </c>
      <c r="I1128" s="3" t="str">
        <f>IFERROR(VLOOKUP(C1128,'Справочник соответствий'!A$2:D$2981,2,FALSE),IF(VALUE(C1128)=0,1,VLOOKUP(C1128,'Справочник соответствий'!A$2:D$2981,2,FALSE)))</f>
        <v>1</v>
      </c>
      <c r="J1128" s="3">
        <f>IFERROR(VLOOKUP(D1128,'Справочник соответствий'!A$2:D$2981,2,FALSE),IF(VALUE(D1128)=0,0,VLOOKUP(D1128,'Справочник соответствий'!A$2:D$2981,2,FALSE)))</f>
        <v>0</v>
      </c>
      <c r="K1128" s="3" t="str">
        <f t="shared" si="119"/>
        <v>1</v>
      </c>
      <c r="L1128" s="13" t="str">
        <f>IFERROR(VLOOKUP(C1128,'Справочник соответствий'!A$2:D$2981,3,FALSE),IF(VALUE(C1128)=0,"ЭТАЖ НЕ ОПРЕДЕЛЕН. ПРИНЯТ ПО ДОПУЩЕНИЮ 1",VLOOKUP(C1128,'Справочник соответствий'!A$2:D$2981,3,FALSE)))</f>
        <v>ЭТАЖ ЗАДАН ЧИСЛОМ</v>
      </c>
      <c r="M1128" s="13" t="b">
        <f t="shared" si="120"/>
        <v>0</v>
      </c>
      <c r="N1128" s="13">
        <f t="shared" si="121"/>
        <v>1</v>
      </c>
      <c r="O1128" s="13" t="str">
        <f t="shared" si="122"/>
        <v>ЭТАЖ ЗАДАН ЧИСЛОМ</v>
      </c>
      <c r="P1128" s="13" t="str">
        <f t="shared" si="123"/>
        <v>ЭТАЖ ЗАДАН ЧИСЛОМ</v>
      </c>
      <c r="Q1128" s="13" t="str">
        <f t="shared" si="124"/>
        <v>ГОТОВ_ИЗМЕНЕН</v>
      </c>
      <c r="R1128" s="13">
        <f>IFERROR(VLOOKUP(P1128,Лист1!A$1:B$20,2,FALSE),0)</f>
        <v>784</v>
      </c>
      <c r="S1128" s="13">
        <f t="shared" si="125"/>
        <v>0</v>
      </c>
    </row>
    <row r="1129" spans="1:19" x14ac:dyDescent="0.25">
      <c r="A1129" s="24" t="s">
        <v>2245</v>
      </c>
      <c r="B1129" s="4" t="s">
        <v>1063</v>
      </c>
      <c r="G1129" s="25" t="s">
        <v>1108</v>
      </c>
      <c r="H1129" s="24" t="s">
        <v>1061</v>
      </c>
      <c r="I1129" s="3">
        <f>IFERROR(VLOOKUP(C1129,'Справочник соответствий'!A$2:D$2981,2,FALSE),IF(VALUE(C1129)=0,1,VLOOKUP(C1129,'Справочник соответствий'!A$2:D$2981,2,FALSE)))</f>
        <v>1</v>
      </c>
      <c r="J1129" s="3">
        <f>IFERROR(VLOOKUP(D1129,'Справочник соответствий'!A$2:D$2981,2,FALSE),IF(VALUE(D1129)=0,0,VLOOKUP(D1129,'Справочник соответствий'!A$2:D$2981,2,FALSE)))</f>
        <v>0</v>
      </c>
      <c r="K1129" s="3">
        <f t="shared" si="119"/>
        <v>1</v>
      </c>
      <c r="L1129" s="13" t="str">
        <f>IFERROR(VLOOKUP(C1129,'Справочник соответствий'!A$2:D$2981,3,FALSE),IF(VALUE(C1129)=0,"ЭТАЖ НЕ ОПРЕДЕЛЕН. ПРИНЯТ ПО ДОПУЩЕНИЮ 1",VLOOKUP(C1129,'Справочник соответствий'!A$2:D$2981,3,FALSE)))</f>
        <v>ЭТАЖ НЕ ОПРЕДЕЛЕН. ПРИНЯТ ПО ДОПУЩЕНИЮ 1</v>
      </c>
      <c r="M1129" s="13" t="b">
        <f t="shared" si="120"/>
        <v>0</v>
      </c>
      <c r="N1129" s="13">
        <f t="shared" si="121"/>
        <v>1</v>
      </c>
      <c r="O1129" s="13" t="str">
        <f t="shared" si="122"/>
        <v>ЭТАЖ НЕ ОПРЕДЕЛЕН. ПРИНЯТ ПО ДОПУЩЕНИЮ 1</v>
      </c>
      <c r="P1129" s="13" t="str">
        <f t="shared" si="123"/>
        <v>ЭТАЖ НЕ ОПРЕДЕЛЕН. ПРИНЯТ ПО ДОПУЩЕНИЮ 1</v>
      </c>
      <c r="Q1129" s="13" t="str">
        <f t="shared" si="124"/>
        <v>ГОТОВ_ИЗМЕНЕН</v>
      </c>
      <c r="R1129" s="13">
        <f>IFERROR(VLOOKUP(P1129,Лист1!A$1:B$20,2,FALSE),0)</f>
        <v>788</v>
      </c>
      <c r="S1129" s="13">
        <f t="shared" si="125"/>
        <v>0</v>
      </c>
    </row>
    <row r="1130" spans="1:19" x14ac:dyDescent="0.25">
      <c r="A1130" s="24" t="s">
        <v>2246</v>
      </c>
      <c r="B1130" s="4" t="s">
        <v>1063</v>
      </c>
      <c r="C1130" s="25" t="s">
        <v>5</v>
      </c>
      <c r="G1130" s="25" t="s">
        <v>1108</v>
      </c>
      <c r="H1130" s="24" t="s">
        <v>1061</v>
      </c>
      <c r="I1130" s="3" t="str">
        <f>IFERROR(VLOOKUP(C1130,'Справочник соответствий'!A$2:D$2981,2,FALSE),IF(VALUE(C1130)=0,1,VLOOKUP(C1130,'Справочник соответствий'!A$2:D$2981,2,FALSE)))</f>
        <v>1</v>
      </c>
      <c r="J1130" s="3">
        <f>IFERROR(VLOOKUP(D1130,'Справочник соответствий'!A$2:D$2981,2,FALSE),IF(VALUE(D1130)=0,0,VLOOKUP(D1130,'Справочник соответствий'!A$2:D$2981,2,FALSE)))</f>
        <v>0</v>
      </c>
      <c r="K1130" s="3" t="str">
        <f t="shared" si="119"/>
        <v>1</v>
      </c>
      <c r="L1130" s="13" t="str">
        <f>IFERROR(VLOOKUP(C1130,'Справочник соответствий'!A$2:D$2981,3,FALSE),IF(VALUE(C1130)=0,"ЭТАЖ НЕ ОПРЕДЕЛЕН. ПРИНЯТ ПО ДОПУЩЕНИЮ 1",VLOOKUP(C1130,'Справочник соответствий'!A$2:D$2981,3,FALSE)))</f>
        <v>ЭТАЖ ЗАДАН ЧИСЛОМ</v>
      </c>
      <c r="M1130" s="13" t="b">
        <f t="shared" si="120"/>
        <v>0</v>
      </c>
      <c r="N1130" s="13">
        <f t="shared" si="121"/>
        <v>1</v>
      </c>
      <c r="O1130" s="13" t="str">
        <f t="shared" si="122"/>
        <v>ЭТАЖ ЗАДАН ЧИСЛОМ</v>
      </c>
      <c r="P1130" s="13" t="str">
        <f t="shared" si="123"/>
        <v>ЭТАЖ ЗАДАН ЧИСЛОМ</v>
      </c>
      <c r="Q1130" s="13" t="str">
        <f t="shared" si="124"/>
        <v>ГОТОВ_ИЗМЕНЕН</v>
      </c>
      <c r="R1130" s="13">
        <f>IFERROR(VLOOKUP(P1130,Лист1!A$1:B$20,2,FALSE),0)</f>
        <v>784</v>
      </c>
      <c r="S1130" s="13">
        <f t="shared" si="125"/>
        <v>0</v>
      </c>
    </row>
    <row r="1131" spans="1:19" x14ac:dyDescent="0.25">
      <c r="A1131" s="24" t="s">
        <v>2247</v>
      </c>
      <c r="B1131" s="4" t="s">
        <v>1063</v>
      </c>
      <c r="C1131" s="25" t="s">
        <v>5</v>
      </c>
      <c r="G1131" s="25" t="s">
        <v>1108</v>
      </c>
      <c r="H1131" s="24" t="s">
        <v>1061</v>
      </c>
      <c r="I1131" s="3" t="str">
        <f>IFERROR(VLOOKUP(C1131,'Справочник соответствий'!A$2:D$2981,2,FALSE),IF(VALUE(C1131)=0,1,VLOOKUP(C1131,'Справочник соответствий'!A$2:D$2981,2,FALSE)))</f>
        <v>1</v>
      </c>
      <c r="J1131" s="3">
        <f>IFERROR(VLOOKUP(D1131,'Справочник соответствий'!A$2:D$2981,2,FALSE),IF(VALUE(D1131)=0,0,VLOOKUP(D1131,'Справочник соответствий'!A$2:D$2981,2,FALSE)))</f>
        <v>0</v>
      </c>
      <c r="K1131" s="3" t="str">
        <f t="shared" si="119"/>
        <v>1</v>
      </c>
      <c r="L1131" s="13" t="str">
        <f>IFERROR(VLOOKUP(C1131,'Справочник соответствий'!A$2:D$2981,3,FALSE),IF(VALUE(C1131)=0,"ЭТАЖ НЕ ОПРЕДЕЛЕН. ПРИНЯТ ПО ДОПУЩЕНИЮ 1",VLOOKUP(C1131,'Справочник соответствий'!A$2:D$2981,3,FALSE)))</f>
        <v>ЭТАЖ ЗАДАН ЧИСЛОМ</v>
      </c>
      <c r="M1131" s="13" t="b">
        <f t="shared" si="120"/>
        <v>0</v>
      </c>
      <c r="N1131" s="13">
        <f t="shared" si="121"/>
        <v>1</v>
      </c>
      <c r="O1131" s="13" t="str">
        <f t="shared" si="122"/>
        <v>ЭТАЖ ЗАДАН ЧИСЛОМ</v>
      </c>
      <c r="P1131" s="13" t="str">
        <f t="shared" si="123"/>
        <v>ЭТАЖ ЗАДАН ЧИСЛОМ</v>
      </c>
      <c r="Q1131" s="13" t="str">
        <f t="shared" si="124"/>
        <v>ГОТОВ_ИЗМЕНЕН</v>
      </c>
      <c r="R1131" s="13">
        <f>IFERROR(VLOOKUP(P1131,Лист1!A$1:B$20,2,FALSE),0)</f>
        <v>784</v>
      </c>
      <c r="S1131" s="13">
        <f t="shared" si="125"/>
        <v>0</v>
      </c>
    </row>
    <row r="1132" spans="1:19" x14ac:dyDescent="0.25">
      <c r="A1132" s="24" t="s">
        <v>2248</v>
      </c>
      <c r="B1132" s="4" t="s">
        <v>1059</v>
      </c>
      <c r="C1132" s="25" t="s">
        <v>5</v>
      </c>
      <c r="G1132" s="25" t="s">
        <v>1195</v>
      </c>
      <c r="H1132" s="24" t="s">
        <v>1061</v>
      </c>
      <c r="I1132" s="3" t="str">
        <f>IFERROR(VLOOKUP(C1132,'Справочник соответствий'!A$2:D$2981,2,FALSE),IF(VALUE(C1132)=0,1,VLOOKUP(C1132,'Справочник соответствий'!A$2:D$2981,2,FALSE)))</f>
        <v>1</v>
      </c>
      <c r="J1132" s="3">
        <f>IFERROR(VLOOKUP(D1132,'Справочник соответствий'!A$2:D$2981,2,FALSE),IF(VALUE(D1132)=0,0,VLOOKUP(D1132,'Справочник соответствий'!A$2:D$2981,2,FALSE)))</f>
        <v>0</v>
      </c>
      <c r="K1132" s="3" t="str">
        <f t="shared" si="119"/>
        <v>1</v>
      </c>
      <c r="L1132" s="13" t="str">
        <f>IFERROR(VLOOKUP(C1132,'Справочник соответствий'!A$2:D$2981,3,FALSE),IF(VALUE(C1132)=0,"ЭТАЖ НЕ ОПРЕДЕЛЕН. ПРИНЯТ ПО ДОПУЩЕНИЮ 1",VLOOKUP(C1132,'Справочник соответствий'!A$2:D$2981,3,FALSE)))</f>
        <v>ЭТАЖ ЗАДАН ЧИСЛОМ</v>
      </c>
      <c r="M1132" s="13" t="b">
        <f t="shared" si="120"/>
        <v>0</v>
      </c>
      <c r="N1132" s="13">
        <f t="shared" si="121"/>
        <v>1</v>
      </c>
      <c r="O1132" s="13" t="str">
        <f t="shared" si="122"/>
        <v>ЭТАЖ ЗАДАН ЧИСЛОМ</v>
      </c>
      <c r="P1132" s="13" t="str">
        <f t="shared" si="123"/>
        <v>ЭТАЖ ЗАДАН ЧИСЛОМ</v>
      </c>
      <c r="Q1132" s="13" t="str">
        <f t="shared" si="124"/>
        <v>ГОТОВ_ИЗМЕНЕН</v>
      </c>
      <c r="R1132" s="13">
        <f>IFERROR(VLOOKUP(P1132,Лист1!A$1:B$20,2,FALSE),0)</f>
        <v>784</v>
      </c>
      <c r="S1132" s="13">
        <f t="shared" si="125"/>
        <v>0</v>
      </c>
    </row>
    <row r="1133" spans="1:19" x14ac:dyDescent="0.25">
      <c r="A1133" s="24" t="s">
        <v>2249</v>
      </c>
      <c r="B1133" s="4" t="s">
        <v>1059</v>
      </c>
      <c r="C1133" s="25" t="s">
        <v>5</v>
      </c>
      <c r="D1133" s="25" t="s">
        <v>69</v>
      </c>
      <c r="G1133" s="25" t="s">
        <v>1195</v>
      </c>
      <c r="H1133" s="24" t="s">
        <v>1061</v>
      </c>
      <c r="I1133" s="3" t="str">
        <f>IFERROR(VLOOKUP(C1133,'Справочник соответствий'!A$2:D$2981,2,FALSE),IF(VALUE(C1133)=0,1,VLOOKUP(C1133,'Справочник соответствий'!A$2:D$2981,2,FALSE)))</f>
        <v>1</v>
      </c>
      <c r="J1133" s="3" t="str">
        <f>IFERROR(VLOOKUP(D1133,'Справочник соответствий'!A$2:D$2981,2,FALSE),IF(VALUE(D1133)=0,0,VLOOKUP(D1133,'Справочник соответствий'!A$2:D$2981,2,FALSE)))</f>
        <v>1</v>
      </c>
      <c r="K1133" s="3" t="str">
        <f t="shared" si="119"/>
        <v>1</v>
      </c>
      <c r="L1133" s="13" t="str">
        <f>IFERROR(VLOOKUP(C1133,'Справочник соответствий'!A$2:D$2981,3,FALSE),IF(VALUE(C1133)=0,"ЭТАЖ НЕ ОПРЕДЕЛЕН. ПРИНЯТ ПО ДОПУЩЕНИЮ 1",VLOOKUP(C1133,'Справочник соответствий'!A$2:D$2981,3,FALSE)))</f>
        <v>ЭТАЖ ЗАДАН ЧИСЛОМ</v>
      </c>
      <c r="M1133" s="13" t="b">
        <f t="shared" si="120"/>
        <v>0</v>
      </c>
      <c r="N1133" s="13">
        <f t="shared" si="121"/>
        <v>1</v>
      </c>
      <c r="O1133" s="13" t="str">
        <f t="shared" si="122"/>
        <v>ЭТАЖ ЗАДАН ЧИСЛОМ</v>
      </c>
      <c r="P1133" s="13" t="str">
        <f t="shared" si="123"/>
        <v>ЭТАЖ ЗАДАН ЧИСЛОМ</v>
      </c>
      <c r="Q1133" s="13" t="str">
        <f t="shared" si="124"/>
        <v>ГОТОВ_ИЗМЕНЕН</v>
      </c>
      <c r="R1133" s="13">
        <f>IFERROR(VLOOKUP(P1133,Лист1!A$1:B$20,2,FALSE),0)</f>
        <v>784</v>
      </c>
      <c r="S1133" s="13">
        <f t="shared" si="125"/>
        <v>0</v>
      </c>
    </row>
    <row r="1134" spans="1:19" x14ac:dyDescent="0.25">
      <c r="A1134" s="24" t="s">
        <v>2250</v>
      </c>
      <c r="B1134" s="4" t="s">
        <v>1059</v>
      </c>
      <c r="C1134" s="25" t="s">
        <v>7</v>
      </c>
      <c r="G1134" s="25" t="s">
        <v>1195</v>
      </c>
      <c r="H1134" s="24" t="s">
        <v>1061</v>
      </c>
      <c r="I1134" s="3" t="str">
        <f>IFERROR(VLOOKUP(C1134,'Справочник соответствий'!A$2:D$2981,2,FALSE),IF(VALUE(C1134)=0,1,VLOOKUP(C1134,'Справочник соответствий'!A$2:D$2981,2,FALSE)))</f>
        <v>2</v>
      </c>
      <c r="J1134" s="3">
        <f>IFERROR(VLOOKUP(D1134,'Справочник соответствий'!A$2:D$2981,2,FALSE),IF(VALUE(D1134)=0,0,VLOOKUP(D1134,'Справочник соответствий'!A$2:D$2981,2,FALSE)))</f>
        <v>0</v>
      </c>
      <c r="K1134" s="3" t="str">
        <f t="shared" si="119"/>
        <v>2</v>
      </c>
      <c r="L1134" s="13" t="str">
        <f>IFERROR(VLOOKUP(C1134,'Справочник соответствий'!A$2:D$2981,3,FALSE),IF(VALUE(C1134)=0,"ЭТАЖ НЕ ОПРЕДЕЛЕН. ПРИНЯТ ПО ДОПУЩЕНИЮ 1",VLOOKUP(C1134,'Справочник соответствий'!A$2:D$2981,3,FALSE)))</f>
        <v>ЭТАЖ ЗАДАН ЧИСЛОМ</v>
      </c>
      <c r="M1134" s="13" t="b">
        <f t="shared" si="120"/>
        <v>0</v>
      </c>
      <c r="N1134" s="13">
        <f t="shared" si="121"/>
        <v>2</v>
      </c>
      <c r="O1134" s="13" t="str">
        <f t="shared" si="122"/>
        <v>ЭТАЖ ЗАДАН ЧИСЛОМ</v>
      </c>
      <c r="P1134" s="13" t="str">
        <f t="shared" si="123"/>
        <v>ЭТАЖ ЗАДАН ЧИСЛОМ</v>
      </c>
      <c r="Q1134" s="13" t="str">
        <f t="shared" si="124"/>
        <v>ГОТОВ_ИЗМЕНЕН</v>
      </c>
      <c r="R1134" s="13">
        <f>IFERROR(VLOOKUP(P1134,Лист1!A$1:B$20,2,FALSE),0)</f>
        <v>784</v>
      </c>
      <c r="S1134" s="13">
        <f t="shared" si="125"/>
        <v>0</v>
      </c>
    </row>
    <row r="1135" spans="1:19" x14ac:dyDescent="0.25">
      <c r="A1135" s="24" t="s">
        <v>2251</v>
      </c>
      <c r="B1135" s="4" t="s">
        <v>1031</v>
      </c>
      <c r="C1135" s="25" t="s">
        <v>2252</v>
      </c>
      <c r="D1135" s="25" t="s">
        <v>7</v>
      </c>
      <c r="G1135" s="25" t="s">
        <v>1219</v>
      </c>
      <c r="H1135" s="24" t="s">
        <v>1061</v>
      </c>
      <c r="I1135" s="3" t="e">
        <f>IFERROR(VLOOKUP(C1135,'Справочник соответствий'!A$2:D$2981,2,FALSE),IF(VALUE(C1135)=0,1,VLOOKUP(C1135,'Справочник соответствий'!A$2:D$2981,2,FALSE)))</f>
        <v>#N/A</v>
      </c>
      <c r="J1135" s="3" t="str">
        <f>IFERROR(VLOOKUP(D1135,'Справочник соответствий'!A$2:D$2981,2,FALSE),IF(VALUE(D1135)=0,0,VLOOKUP(D1135,'Справочник соответствий'!A$2:D$2981,2,FALSE)))</f>
        <v>2</v>
      </c>
      <c r="K1135" s="3" t="e">
        <f t="shared" si="119"/>
        <v>#N/A</v>
      </c>
      <c r="L1135" s="13" t="e">
        <f>IFERROR(VLOOKUP(C1135,'Справочник соответствий'!A$2:D$2981,3,FALSE),IF(VALUE(C1135)=0,"ЭТАЖ НЕ ОПРЕДЕЛЕН. ПРИНЯТ ПО ДОПУЩЕНИЮ 1",VLOOKUP(C1135,'Справочник соответствий'!A$2:D$2981,3,FALSE)))</f>
        <v>#N/A</v>
      </c>
      <c r="M1135" s="13" t="e">
        <f t="shared" si="120"/>
        <v>#N/A</v>
      </c>
      <c r="N1135" s="13" t="e">
        <f t="shared" si="121"/>
        <v>#N/A</v>
      </c>
      <c r="O1135" s="13" t="e">
        <f t="shared" si="122"/>
        <v>#N/A</v>
      </c>
      <c r="P1135" s="13" t="e">
        <f t="shared" si="123"/>
        <v>#N/A</v>
      </c>
      <c r="Q1135" s="13" t="str">
        <f t="shared" si="124"/>
        <v>НЕ ГОТОВ</v>
      </c>
      <c r="R1135" s="13">
        <f>IFERROR(VLOOKUP(P1135,Лист1!A$1:B$20,2,FALSE),0)</f>
        <v>0</v>
      </c>
      <c r="S1135" s="13">
        <f t="shared" si="125"/>
        <v>0</v>
      </c>
    </row>
    <row r="1136" spans="1:19" x14ac:dyDescent="0.25">
      <c r="A1136" s="24" t="s">
        <v>2253</v>
      </c>
      <c r="B1136" s="4" t="s">
        <v>1063</v>
      </c>
      <c r="C1136" s="25" t="s">
        <v>7</v>
      </c>
      <c r="G1136" s="25" t="s">
        <v>1195</v>
      </c>
      <c r="H1136" s="24" t="s">
        <v>1061</v>
      </c>
      <c r="I1136" s="3" t="str">
        <f>IFERROR(VLOOKUP(C1136,'Справочник соответствий'!A$2:D$2981,2,FALSE),IF(VALUE(C1136)=0,1,VLOOKUP(C1136,'Справочник соответствий'!A$2:D$2981,2,FALSE)))</f>
        <v>2</v>
      </c>
      <c r="J1136" s="3">
        <f>IFERROR(VLOOKUP(D1136,'Справочник соответствий'!A$2:D$2981,2,FALSE),IF(VALUE(D1136)=0,0,VLOOKUP(D1136,'Справочник соответствий'!A$2:D$2981,2,FALSE)))</f>
        <v>0</v>
      </c>
      <c r="K1136" s="3" t="str">
        <f t="shared" si="119"/>
        <v>2</v>
      </c>
      <c r="L1136" s="13" t="str">
        <f>IFERROR(VLOOKUP(C1136,'Справочник соответствий'!A$2:D$2981,3,FALSE),IF(VALUE(C1136)=0,"ЭТАЖ НЕ ОПРЕДЕЛЕН. ПРИНЯТ ПО ДОПУЩЕНИЮ 1",VLOOKUP(C1136,'Справочник соответствий'!A$2:D$2981,3,FALSE)))</f>
        <v>ЭТАЖ ЗАДАН ЧИСЛОМ</v>
      </c>
      <c r="M1136" s="13" t="b">
        <f t="shared" si="120"/>
        <v>0</v>
      </c>
      <c r="N1136" s="13">
        <f t="shared" si="121"/>
        <v>2</v>
      </c>
      <c r="O1136" s="13" t="str">
        <f t="shared" si="122"/>
        <v>ЭТАЖ ЗАДАН ЧИСЛОМ</v>
      </c>
      <c r="P1136" s="13" t="str">
        <f t="shared" si="123"/>
        <v>ЭТАЖ ЗАДАН ЧИСЛОМ</v>
      </c>
      <c r="Q1136" s="13" t="str">
        <f t="shared" si="124"/>
        <v>ГОТОВ_ИЗМЕНЕН</v>
      </c>
      <c r="R1136" s="13">
        <f>IFERROR(VLOOKUP(P1136,Лист1!A$1:B$20,2,FALSE),0)</f>
        <v>784</v>
      </c>
      <c r="S1136" s="13">
        <f t="shared" si="125"/>
        <v>0</v>
      </c>
    </row>
    <row r="1137" spans="1:19" x14ac:dyDescent="0.25">
      <c r="A1137" s="24" t="s">
        <v>2254</v>
      </c>
      <c r="B1137" s="4" t="s">
        <v>1063</v>
      </c>
      <c r="G1137" s="25" t="s">
        <v>1195</v>
      </c>
      <c r="H1137" s="24" t="s">
        <v>1061</v>
      </c>
      <c r="I1137" s="3">
        <f>IFERROR(VLOOKUP(C1137,'Справочник соответствий'!A$2:D$2981,2,FALSE),IF(VALUE(C1137)=0,1,VLOOKUP(C1137,'Справочник соответствий'!A$2:D$2981,2,FALSE)))</f>
        <v>1</v>
      </c>
      <c r="J1137" s="3">
        <f>IFERROR(VLOOKUP(D1137,'Справочник соответствий'!A$2:D$2981,2,FALSE),IF(VALUE(D1137)=0,0,VLOOKUP(D1137,'Справочник соответствий'!A$2:D$2981,2,FALSE)))</f>
        <v>0</v>
      </c>
      <c r="K1137" s="3">
        <f t="shared" si="119"/>
        <v>1</v>
      </c>
      <c r="L1137" s="13" t="str">
        <f>IFERROR(VLOOKUP(C1137,'Справочник соответствий'!A$2:D$2981,3,FALSE),IF(VALUE(C1137)=0,"ЭТАЖ НЕ ОПРЕДЕЛЕН. ПРИНЯТ ПО ДОПУЩЕНИЮ 1",VLOOKUP(C1137,'Справочник соответствий'!A$2:D$2981,3,FALSE)))</f>
        <v>ЭТАЖ НЕ ОПРЕДЕЛЕН. ПРИНЯТ ПО ДОПУЩЕНИЮ 1</v>
      </c>
      <c r="M1137" s="13" t="b">
        <f t="shared" si="120"/>
        <v>0</v>
      </c>
      <c r="N1137" s="13">
        <f t="shared" si="121"/>
        <v>1</v>
      </c>
      <c r="O1137" s="13" t="str">
        <f t="shared" si="122"/>
        <v>ЭТАЖ НЕ ОПРЕДЕЛЕН. ПРИНЯТ ПО ДОПУЩЕНИЮ 1</v>
      </c>
      <c r="P1137" s="13" t="str">
        <f t="shared" si="123"/>
        <v>ЭТАЖ НЕ ОПРЕДЕЛЕН. ПРИНЯТ ПО ДОПУЩЕНИЮ 1</v>
      </c>
      <c r="Q1137" s="13" t="str">
        <f t="shared" si="124"/>
        <v>ГОТОВ_ИЗМЕНЕН</v>
      </c>
      <c r="R1137" s="13">
        <f>IFERROR(VLOOKUP(P1137,Лист1!A$1:B$20,2,FALSE),0)</f>
        <v>788</v>
      </c>
      <c r="S1137" s="13">
        <f t="shared" si="125"/>
        <v>0</v>
      </c>
    </row>
    <row r="1138" spans="1:19" x14ac:dyDescent="0.25">
      <c r="A1138" s="24" t="s">
        <v>2255</v>
      </c>
      <c r="B1138" s="4" t="s">
        <v>1059</v>
      </c>
      <c r="C1138" s="25" t="s">
        <v>5</v>
      </c>
      <c r="G1138" s="25" t="s">
        <v>1195</v>
      </c>
      <c r="H1138" s="24" t="s">
        <v>1061</v>
      </c>
      <c r="I1138" s="3" t="str">
        <f>IFERROR(VLOOKUP(C1138,'Справочник соответствий'!A$2:D$2981,2,FALSE),IF(VALUE(C1138)=0,1,VLOOKUP(C1138,'Справочник соответствий'!A$2:D$2981,2,FALSE)))</f>
        <v>1</v>
      </c>
      <c r="J1138" s="3">
        <f>IFERROR(VLOOKUP(D1138,'Справочник соответствий'!A$2:D$2981,2,FALSE),IF(VALUE(D1138)=0,0,VLOOKUP(D1138,'Справочник соответствий'!A$2:D$2981,2,FALSE)))</f>
        <v>0</v>
      </c>
      <c r="K1138" s="3" t="str">
        <f t="shared" si="119"/>
        <v>1</v>
      </c>
      <c r="L1138" s="13" t="str">
        <f>IFERROR(VLOOKUP(C1138,'Справочник соответствий'!A$2:D$2981,3,FALSE),IF(VALUE(C1138)=0,"ЭТАЖ НЕ ОПРЕДЕЛЕН. ПРИНЯТ ПО ДОПУЩЕНИЮ 1",VLOOKUP(C1138,'Справочник соответствий'!A$2:D$2981,3,FALSE)))</f>
        <v>ЭТАЖ ЗАДАН ЧИСЛОМ</v>
      </c>
      <c r="M1138" s="13" t="b">
        <f t="shared" si="120"/>
        <v>0</v>
      </c>
      <c r="N1138" s="13">
        <f t="shared" si="121"/>
        <v>1</v>
      </c>
      <c r="O1138" s="13" t="str">
        <f t="shared" si="122"/>
        <v>ЭТАЖ ЗАДАН ЧИСЛОМ</v>
      </c>
      <c r="P1138" s="13" t="str">
        <f t="shared" si="123"/>
        <v>ЭТАЖ ЗАДАН ЧИСЛОМ</v>
      </c>
      <c r="Q1138" s="13" t="str">
        <f t="shared" si="124"/>
        <v>ГОТОВ_ИЗМЕНЕН</v>
      </c>
      <c r="R1138" s="13">
        <f>IFERROR(VLOOKUP(P1138,Лист1!A$1:B$20,2,FALSE),0)</f>
        <v>784</v>
      </c>
      <c r="S1138" s="13">
        <f t="shared" si="125"/>
        <v>0</v>
      </c>
    </row>
    <row r="1139" spans="1:19" x14ac:dyDescent="0.25">
      <c r="A1139" s="24" t="s">
        <v>2256</v>
      </c>
      <c r="B1139" s="4" t="s">
        <v>1059</v>
      </c>
      <c r="C1139" s="25" t="s">
        <v>5</v>
      </c>
      <c r="G1139" s="25" t="s">
        <v>1203</v>
      </c>
      <c r="H1139" s="24" t="s">
        <v>1061</v>
      </c>
      <c r="I1139" s="3" t="str">
        <f>IFERROR(VLOOKUP(C1139,'Справочник соответствий'!A$2:D$2981,2,FALSE),IF(VALUE(C1139)=0,1,VLOOKUP(C1139,'Справочник соответствий'!A$2:D$2981,2,FALSE)))</f>
        <v>1</v>
      </c>
      <c r="J1139" s="3">
        <f>IFERROR(VLOOKUP(D1139,'Справочник соответствий'!A$2:D$2981,2,FALSE),IF(VALUE(D1139)=0,0,VLOOKUP(D1139,'Справочник соответствий'!A$2:D$2981,2,FALSE)))</f>
        <v>0</v>
      </c>
      <c r="K1139" s="3" t="str">
        <f t="shared" si="119"/>
        <v>1</v>
      </c>
      <c r="L1139" s="13" t="str">
        <f>IFERROR(VLOOKUP(C1139,'Справочник соответствий'!A$2:D$2981,3,FALSE),IF(VALUE(C1139)=0,"ЭТАЖ НЕ ОПРЕДЕЛЕН. ПРИНЯТ ПО ДОПУЩЕНИЮ 1",VLOOKUP(C1139,'Справочник соответствий'!A$2:D$2981,3,FALSE)))</f>
        <v>ЭТАЖ ЗАДАН ЧИСЛОМ</v>
      </c>
      <c r="M1139" s="13" t="b">
        <f t="shared" si="120"/>
        <v>0</v>
      </c>
      <c r="N1139" s="13">
        <f t="shared" si="121"/>
        <v>1</v>
      </c>
      <c r="O1139" s="13" t="str">
        <f t="shared" si="122"/>
        <v>ЭТАЖ ЗАДАН ЧИСЛОМ</v>
      </c>
      <c r="P1139" s="13" t="str">
        <f t="shared" si="123"/>
        <v>ЭТАЖ ЗАДАН ЧИСЛОМ</v>
      </c>
      <c r="Q1139" s="13" t="str">
        <f t="shared" si="124"/>
        <v>ГОТОВ_ИЗМЕНЕН</v>
      </c>
      <c r="R1139" s="13">
        <f>IFERROR(VLOOKUP(P1139,Лист1!A$1:B$20,2,FALSE),0)</f>
        <v>784</v>
      </c>
      <c r="S1139" s="13">
        <f t="shared" si="125"/>
        <v>0</v>
      </c>
    </row>
    <row r="1140" spans="1:19" x14ac:dyDescent="0.25">
      <c r="A1140" s="24" t="s">
        <v>2257</v>
      </c>
      <c r="B1140" s="4" t="s">
        <v>1063</v>
      </c>
      <c r="C1140" s="25" t="s">
        <v>5</v>
      </c>
      <c r="G1140" s="25" t="s">
        <v>1205</v>
      </c>
      <c r="H1140" s="24" t="s">
        <v>1061</v>
      </c>
      <c r="I1140" s="3" t="str">
        <f>IFERROR(VLOOKUP(C1140,'Справочник соответствий'!A$2:D$2981,2,FALSE),IF(VALUE(C1140)=0,1,VLOOKUP(C1140,'Справочник соответствий'!A$2:D$2981,2,FALSE)))</f>
        <v>1</v>
      </c>
      <c r="J1140" s="3">
        <f>IFERROR(VLOOKUP(D1140,'Справочник соответствий'!A$2:D$2981,2,FALSE),IF(VALUE(D1140)=0,0,VLOOKUP(D1140,'Справочник соответствий'!A$2:D$2981,2,FALSE)))</f>
        <v>0</v>
      </c>
      <c r="K1140" s="3" t="str">
        <f t="shared" si="119"/>
        <v>1</v>
      </c>
      <c r="L1140" s="13" t="str">
        <f>IFERROR(VLOOKUP(C1140,'Справочник соответствий'!A$2:D$2981,3,FALSE),IF(VALUE(C1140)=0,"ЭТАЖ НЕ ОПРЕДЕЛЕН. ПРИНЯТ ПО ДОПУЩЕНИЮ 1",VLOOKUP(C1140,'Справочник соответствий'!A$2:D$2981,3,FALSE)))</f>
        <v>ЭТАЖ ЗАДАН ЧИСЛОМ</v>
      </c>
      <c r="M1140" s="13" t="b">
        <f t="shared" si="120"/>
        <v>0</v>
      </c>
      <c r="N1140" s="13">
        <f t="shared" si="121"/>
        <v>1</v>
      </c>
      <c r="O1140" s="13" t="str">
        <f t="shared" si="122"/>
        <v>ЭТАЖ ЗАДАН ЧИСЛОМ</v>
      </c>
      <c r="P1140" s="13" t="str">
        <f t="shared" si="123"/>
        <v>ЭТАЖ ЗАДАН ЧИСЛОМ</v>
      </c>
      <c r="Q1140" s="13" t="str">
        <f t="shared" si="124"/>
        <v>ГОТОВ_ИЗМЕНЕН</v>
      </c>
      <c r="R1140" s="13">
        <f>IFERROR(VLOOKUP(P1140,Лист1!A$1:B$20,2,FALSE),0)</f>
        <v>784</v>
      </c>
      <c r="S1140" s="13">
        <f t="shared" si="125"/>
        <v>0</v>
      </c>
    </row>
    <row r="1141" spans="1:19" x14ac:dyDescent="0.25">
      <c r="A1141" s="24" t="s">
        <v>2258</v>
      </c>
      <c r="B1141" s="4" t="s">
        <v>1063</v>
      </c>
      <c r="G1141" s="25" t="s">
        <v>1174</v>
      </c>
      <c r="H1141" s="24" t="s">
        <v>1061</v>
      </c>
      <c r="I1141" s="3">
        <f>IFERROR(VLOOKUP(C1141,'Справочник соответствий'!A$2:D$2981,2,FALSE),IF(VALUE(C1141)=0,1,VLOOKUP(C1141,'Справочник соответствий'!A$2:D$2981,2,FALSE)))</f>
        <v>1</v>
      </c>
      <c r="J1141" s="3">
        <f>IFERROR(VLOOKUP(D1141,'Справочник соответствий'!A$2:D$2981,2,FALSE),IF(VALUE(D1141)=0,0,VLOOKUP(D1141,'Справочник соответствий'!A$2:D$2981,2,FALSE)))</f>
        <v>0</v>
      </c>
      <c r="K1141" s="3">
        <f t="shared" si="119"/>
        <v>1</v>
      </c>
      <c r="L1141" s="13" t="str">
        <f>IFERROR(VLOOKUP(C1141,'Справочник соответствий'!A$2:D$2981,3,FALSE),IF(VALUE(C1141)=0,"ЭТАЖ НЕ ОПРЕДЕЛЕН. ПРИНЯТ ПО ДОПУЩЕНИЮ 1",VLOOKUP(C1141,'Справочник соответствий'!A$2:D$2981,3,FALSE)))</f>
        <v>ЭТАЖ НЕ ОПРЕДЕЛЕН. ПРИНЯТ ПО ДОПУЩЕНИЮ 1</v>
      </c>
      <c r="M1141" s="13" t="b">
        <f t="shared" si="120"/>
        <v>0</v>
      </c>
      <c r="N1141" s="13">
        <f t="shared" si="121"/>
        <v>1</v>
      </c>
      <c r="O1141" s="13" t="str">
        <f t="shared" si="122"/>
        <v>ЭТАЖ НЕ ОПРЕДЕЛЕН. ПРИНЯТ ПО ДОПУЩЕНИЮ 1</v>
      </c>
      <c r="P1141" s="13" t="str">
        <f t="shared" si="123"/>
        <v>ЭТАЖ НЕ ОПРЕДЕЛЕН. ПРИНЯТ ПО ДОПУЩЕНИЮ 1</v>
      </c>
      <c r="Q1141" s="13" t="str">
        <f t="shared" si="124"/>
        <v>ГОТОВ_ИЗМЕНЕН</v>
      </c>
      <c r="R1141" s="13">
        <f>IFERROR(VLOOKUP(P1141,Лист1!A$1:B$20,2,FALSE),0)</f>
        <v>788</v>
      </c>
      <c r="S1141" s="13">
        <f t="shared" si="125"/>
        <v>0</v>
      </c>
    </row>
    <row r="1142" spans="1:19" x14ac:dyDescent="0.25">
      <c r="A1142" s="24" t="s">
        <v>2259</v>
      </c>
      <c r="B1142" s="4" t="s">
        <v>1063</v>
      </c>
      <c r="C1142" s="25" t="s">
        <v>5</v>
      </c>
      <c r="G1142" s="25" t="s">
        <v>1205</v>
      </c>
      <c r="H1142" s="24" t="s">
        <v>1061</v>
      </c>
      <c r="I1142" s="3" t="str">
        <f>IFERROR(VLOOKUP(C1142,'Справочник соответствий'!A$2:D$2981,2,FALSE),IF(VALUE(C1142)=0,1,VLOOKUP(C1142,'Справочник соответствий'!A$2:D$2981,2,FALSE)))</f>
        <v>1</v>
      </c>
      <c r="J1142" s="3">
        <f>IFERROR(VLOOKUP(D1142,'Справочник соответствий'!A$2:D$2981,2,FALSE),IF(VALUE(D1142)=0,0,VLOOKUP(D1142,'Справочник соответствий'!A$2:D$2981,2,FALSE)))</f>
        <v>0</v>
      </c>
      <c r="K1142" s="3" t="str">
        <f t="shared" si="119"/>
        <v>1</v>
      </c>
      <c r="L1142" s="13" t="str">
        <f>IFERROR(VLOOKUP(C1142,'Справочник соответствий'!A$2:D$2981,3,FALSE),IF(VALUE(C1142)=0,"ЭТАЖ НЕ ОПРЕДЕЛЕН. ПРИНЯТ ПО ДОПУЩЕНИЮ 1",VLOOKUP(C1142,'Справочник соответствий'!A$2:D$2981,3,FALSE)))</f>
        <v>ЭТАЖ ЗАДАН ЧИСЛОМ</v>
      </c>
      <c r="M1142" s="13" t="b">
        <f t="shared" si="120"/>
        <v>0</v>
      </c>
      <c r="N1142" s="13">
        <f t="shared" si="121"/>
        <v>1</v>
      </c>
      <c r="O1142" s="13" t="str">
        <f t="shared" si="122"/>
        <v>ЭТАЖ ЗАДАН ЧИСЛОМ</v>
      </c>
      <c r="P1142" s="13" t="str">
        <f t="shared" si="123"/>
        <v>ЭТАЖ ЗАДАН ЧИСЛОМ</v>
      </c>
      <c r="Q1142" s="13" t="str">
        <f t="shared" si="124"/>
        <v>ГОТОВ_ИЗМЕНЕН</v>
      </c>
      <c r="R1142" s="13">
        <f>IFERROR(VLOOKUP(P1142,Лист1!A$1:B$20,2,FALSE),0)</f>
        <v>784</v>
      </c>
      <c r="S1142" s="13">
        <f t="shared" si="125"/>
        <v>0</v>
      </c>
    </row>
    <row r="1143" spans="1:19" x14ac:dyDescent="0.25">
      <c r="A1143" s="24" t="s">
        <v>2260</v>
      </c>
      <c r="B1143" s="4" t="s">
        <v>1059</v>
      </c>
      <c r="C1143" s="25" t="s">
        <v>5</v>
      </c>
      <c r="G1143" s="25" t="s">
        <v>1205</v>
      </c>
      <c r="H1143" s="24" t="s">
        <v>1061</v>
      </c>
      <c r="I1143" s="3" t="str">
        <f>IFERROR(VLOOKUP(C1143,'Справочник соответствий'!A$2:D$2981,2,FALSE),IF(VALUE(C1143)=0,1,VLOOKUP(C1143,'Справочник соответствий'!A$2:D$2981,2,FALSE)))</f>
        <v>1</v>
      </c>
      <c r="J1143" s="3">
        <f>IFERROR(VLOOKUP(D1143,'Справочник соответствий'!A$2:D$2981,2,FALSE),IF(VALUE(D1143)=0,0,VLOOKUP(D1143,'Справочник соответствий'!A$2:D$2981,2,FALSE)))</f>
        <v>0</v>
      </c>
      <c r="K1143" s="3" t="str">
        <f t="shared" si="119"/>
        <v>1</v>
      </c>
      <c r="L1143" s="13" t="str">
        <f>IFERROR(VLOOKUP(C1143,'Справочник соответствий'!A$2:D$2981,3,FALSE),IF(VALUE(C1143)=0,"ЭТАЖ НЕ ОПРЕДЕЛЕН. ПРИНЯТ ПО ДОПУЩЕНИЮ 1",VLOOKUP(C1143,'Справочник соответствий'!A$2:D$2981,3,FALSE)))</f>
        <v>ЭТАЖ ЗАДАН ЧИСЛОМ</v>
      </c>
      <c r="M1143" s="13" t="b">
        <f t="shared" si="120"/>
        <v>0</v>
      </c>
      <c r="N1143" s="13">
        <f t="shared" si="121"/>
        <v>1</v>
      </c>
      <c r="O1143" s="13" t="str">
        <f t="shared" si="122"/>
        <v>ЭТАЖ ЗАДАН ЧИСЛОМ</v>
      </c>
      <c r="P1143" s="13" t="str">
        <f t="shared" si="123"/>
        <v>ЭТАЖ ЗАДАН ЧИСЛОМ</v>
      </c>
      <c r="Q1143" s="13" t="str">
        <f t="shared" si="124"/>
        <v>ГОТОВ_ИЗМЕНЕН</v>
      </c>
      <c r="R1143" s="13">
        <f>IFERROR(VLOOKUP(P1143,Лист1!A$1:B$20,2,FALSE),0)</f>
        <v>784</v>
      </c>
      <c r="S1143" s="13">
        <f t="shared" si="125"/>
        <v>0</v>
      </c>
    </row>
    <row r="1144" spans="1:19" x14ac:dyDescent="0.25">
      <c r="A1144" s="24" t="s">
        <v>2261</v>
      </c>
      <c r="B1144" s="4" t="s">
        <v>1059</v>
      </c>
      <c r="C1144" s="25" t="s">
        <v>5</v>
      </c>
      <c r="G1144" s="25" t="s">
        <v>1205</v>
      </c>
      <c r="H1144" s="24" t="s">
        <v>1061</v>
      </c>
      <c r="I1144" s="3" t="str">
        <f>IFERROR(VLOOKUP(C1144,'Справочник соответствий'!A$2:D$2981,2,FALSE),IF(VALUE(C1144)=0,1,VLOOKUP(C1144,'Справочник соответствий'!A$2:D$2981,2,FALSE)))</f>
        <v>1</v>
      </c>
      <c r="J1144" s="3">
        <f>IFERROR(VLOOKUP(D1144,'Справочник соответствий'!A$2:D$2981,2,FALSE),IF(VALUE(D1144)=0,0,VLOOKUP(D1144,'Справочник соответствий'!A$2:D$2981,2,FALSE)))</f>
        <v>0</v>
      </c>
      <c r="K1144" s="3" t="str">
        <f t="shared" si="119"/>
        <v>1</v>
      </c>
      <c r="L1144" s="13" t="str">
        <f>IFERROR(VLOOKUP(C1144,'Справочник соответствий'!A$2:D$2981,3,FALSE),IF(VALUE(C1144)=0,"ЭТАЖ НЕ ОПРЕДЕЛЕН. ПРИНЯТ ПО ДОПУЩЕНИЮ 1",VLOOKUP(C1144,'Справочник соответствий'!A$2:D$2981,3,FALSE)))</f>
        <v>ЭТАЖ ЗАДАН ЧИСЛОМ</v>
      </c>
      <c r="M1144" s="13" t="b">
        <f t="shared" si="120"/>
        <v>0</v>
      </c>
      <c r="N1144" s="13">
        <f t="shared" si="121"/>
        <v>1</v>
      </c>
      <c r="O1144" s="13" t="str">
        <f t="shared" si="122"/>
        <v>ЭТАЖ ЗАДАН ЧИСЛОМ</v>
      </c>
      <c r="P1144" s="13" t="str">
        <f t="shared" si="123"/>
        <v>ЭТАЖ ЗАДАН ЧИСЛОМ</v>
      </c>
      <c r="Q1144" s="13" t="str">
        <f t="shared" si="124"/>
        <v>ГОТОВ_ИЗМЕНЕН</v>
      </c>
      <c r="R1144" s="13">
        <f>IFERROR(VLOOKUP(P1144,Лист1!A$1:B$20,2,FALSE),0)</f>
        <v>784</v>
      </c>
      <c r="S1144" s="13">
        <f t="shared" si="125"/>
        <v>0</v>
      </c>
    </row>
    <row r="1145" spans="1:19" x14ac:dyDescent="0.25">
      <c r="A1145" s="24" t="s">
        <v>2262</v>
      </c>
      <c r="B1145" s="4" t="s">
        <v>1063</v>
      </c>
      <c r="C1145" s="25" t="s">
        <v>5</v>
      </c>
      <c r="G1145" s="25" t="s">
        <v>1205</v>
      </c>
      <c r="H1145" s="24" t="s">
        <v>1061</v>
      </c>
      <c r="I1145" s="3" t="str">
        <f>IFERROR(VLOOKUP(C1145,'Справочник соответствий'!A$2:D$2981,2,FALSE),IF(VALUE(C1145)=0,1,VLOOKUP(C1145,'Справочник соответствий'!A$2:D$2981,2,FALSE)))</f>
        <v>1</v>
      </c>
      <c r="J1145" s="3">
        <f>IFERROR(VLOOKUP(D1145,'Справочник соответствий'!A$2:D$2981,2,FALSE),IF(VALUE(D1145)=0,0,VLOOKUP(D1145,'Справочник соответствий'!A$2:D$2981,2,FALSE)))</f>
        <v>0</v>
      </c>
      <c r="K1145" s="3" t="str">
        <f t="shared" si="119"/>
        <v>1</v>
      </c>
      <c r="L1145" s="13" t="str">
        <f>IFERROR(VLOOKUP(C1145,'Справочник соответствий'!A$2:D$2981,3,FALSE),IF(VALUE(C1145)=0,"ЭТАЖ НЕ ОПРЕДЕЛЕН. ПРИНЯТ ПО ДОПУЩЕНИЮ 1",VLOOKUP(C1145,'Справочник соответствий'!A$2:D$2981,3,FALSE)))</f>
        <v>ЭТАЖ ЗАДАН ЧИСЛОМ</v>
      </c>
      <c r="M1145" s="13" t="b">
        <f t="shared" si="120"/>
        <v>0</v>
      </c>
      <c r="N1145" s="13">
        <f t="shared" si="121"/>
        <v>1</v>
      </c>
      <c r="O1145" s="13" t="str">
        <f t="shared" si="122"/>
        <v>ЭТАЖ ЗАДАН ЧИСЛОМ</v>
      </c>
      <c r="P1145" s="13" t="str">
        <f t="shared" si="123"/>
        <v>ЭТАЖ ЗАДАН ЧИСЛОМ</v>
      </c>
      <c r="Q1145" s="13" t="str">
        <f t="shared" si="124"/>
        <v>ГОТОВ_ИЗМЕНЕН</v>
      </c>
      <c r="R1145" s="13">
        <f>IFERROR(VLOOKUP(P1145,Лист1!A$1:B$20,2,FALSE),0)</f>
        <v>784</v>
      </c>
      <c r="S1145" s="13">
        <f t="shared" si="125"/>
        <v>0</v>
      </c>
    </row>
    <row r="1146" spans="1:19" x14ac:dyDescent="0.25">
      <c r="A1146" s="24" t="s">
        <v>2263</v>
      </c>
      <c r="B1146" s="4" t="s">
        <v>1059</v>
      </c>
      <c r="C1146" s="25" t="s">
        <v>7</v>
      </c>
      <c r="G1146" s="25" t="s">
        <v>1205</v>
      </c>
      <c r="H1146" s="24" t="s">
        <v>1061</v>
      </c>
      <c r="I1146" s="3" t="str">
        <f>IFERROR(VLOOKUP(C1146,'Справочник соответствий'!A$2:D$2981,2,FALSE),IF(VALUE(C1146)=0,1,VLOOKUP(C1146,'Справочник соответствий'!A$2:D$2981,2,FALSE)))</f>
        <v>2</v>
      </c>
      <c r="J1146" s="3">
        <f>IFERROR(VLOOKUP(D1146,'Справочник соответствий'!A$2:D$2981,2,FALSE),IF(VALUE(D1146)=0,0,VLOOKUP(D1146,'Справочник соответствий'!A$2:D$2981,2,FALSE)))</f>
        <v>0</v>
      </c>
      <c r="K1146" s="3" t="str">
        <f t="shared" si="119"/>
        <v>2</v>
      </c>
      <c r="L1146" s="13" t="str">
        <f>IFERROR(VLOOKUP(C1146,'Справочник соответствий'!A$2:D$2981,3,FALSE),IF(VALUE(C1146)=0,"ЭТАЖ НЕ ОПРЕДЕЛЕН. ПРИНЯТ ПО ДОПУЩЕНИЮ 1",VLOOKUP(C1146,'Справочник соответствий'!A$2:D$2981,3,FALSE)))</f>
        <v>ЭТАЖ ЗАДАН ЧИСЛОМ</v>
      </c>
      <c r="M1146" s="13" t="b">
        <f t="shared" si="120"/>
        <v>0</v>
      </c>
      <c r="N1146" s="13">
        <f t="shared" si="121"/>
        <v>2</v>
      </c>
      <c r="O1146" s="13" t="str">
        <f t="shared" si="122"/>
        <v>ЭТАЖ ЗАДАН ЧИСЛОМ</v>
      </c>
      <c r="P1146" s="13" t="str">
        <f t="shared" si="123"/>
        <v>ЭТАЖ ЗАДАН ЧИСЛОМ</v>
      </c>
      <c r="Q1146" s="13" t="str">
        <f t="shared" si="124"/>
        <v>ГОТОВ_ИЗМЕНЕН</v>
      </c>
      <c r="R1146" s="13">
        <f>IFERROR(VLOOKUP(P1146,Лист1!A$1:B$20,2,FALSE),0)</f>
        <v>784</v>
      </c>
      <c r="S1146" s="13">
        <f t="shared" si="125"/>
        <v>0</v>
      </c>
    </row>
    <row r="1147" spans="1:19" x14ac:dyDescent="0.25">
      <c r="A1147" s="24" t="s">
        <v>2264</v>
      </c>
      <c r="B1147" s="4" t="s">
        <v>1063</v>
      </c>
      <c r="C1147" s="25" t="s">
        <v>5</v>
      </c>
      <c r="G1147" s="25" t="s">
        <v>1205</v>
      </c>
      <c r="H1147" s="24" t="s">
        <v>1061</v>
      </c>
      <c r="I1147" s="3" t="str">
        <f>IFERROR(VLOOKUP(C1147,'Справочник соответствий'!A$2:D$2981,2,FALSE),IF(VALUE(C1147)=0,1,VLOOKUP(C1147,'Справочник соответствий'!A$2:D$2981,2,FALSE)))</f>
        <v>1</v>
      </c>
      <c r="J1147" s="3">
        <f>IFERROR(VLOOKUP(D1147,'Справочник соответствий'!A$2:D$2981,2,FALSE),IF(VALUE(D1147)=0,0,VLOOKUP(D1147,'Справочник соответствий'!A$2:D$2981,2,FALSE)))</f>
        <v>0</v>
      </c>
      <c r="K1147" s="3" t="str">
        <f t="shared" si="119"/>
        <v>1</v>
      </c>
      <c r="L1147" s="13" t="str">
        <f>IFERROR(VLOOKUP(C1147,'Справочник соответствий'!A$2:D$2981,3,FALSE),IF(VALUE(C1147)=0,"ЭТАЖ НЕ ОПРЕДЕЛЕН. ПРИНЯТ ПО ДОПУЩЕНИЮ 1",VLOOKUP(C1147,'Справочник соответствий'!A$2:D$2981,3,FALSE)))</f>
        <v>ЭТАЖ ЗАДАН ЧИСЛОМ</v>
      </c>
      <c r="M1147" s="13" t="b">
        <f t="shared" si="120"/>
        <v>0</v>
      </c>
      <c r="N1147" s="13">
        <f t="shared" si="121"/>
        <v>1</v>
      </c>
      <c r="O1147" s="13" t="str">
        <f t="shared" si="122"/>
        <v>ЭТАЖ ЗАДАН ЧИСЛОМ</v>
      </c>
      <c r="P1147" s="13" t="str">
        <f t="shared" si="123"/>
        <v>ЭТАЖ ЗАДАН ЧИСЛОМ</v>
      </c>
      <c r="Q1147" s="13" t="str">
        <f t="shared" si="124"/>
        <v>ГОТОВ_ИЗМЕНЕН</v>
      </c>
      <c r="R1147" s="13">
        <f>IFERROR(VLOOKUP(P1147,Лист1!A$1:B$20,2,FALSE),0)</f>
        <v>784</v>
      </c>
      <c r="S1147" s="13">
        <f t="shared" si="125"/>
        <v>0</v>
      </c>
    </row>
    <row r="1148" spans="1:19" x14ac:dyDescent="0.25">
      <c r="A1148" s="24" t="s">
        <v>2265</v>
      </c>
      <c r="B1148" s="4" t="s">
        <v>1059</v>
      </c>
      <c r="C1148" s="25" t="s">
        <v>7</v>
      </c>
      <c r="G1148" s="25" t="s">
        <v>1067</v>
      </c>
      <c r="H1148" s="24" t="s">
        <v>1061</v>
      </c>
      <c r="I1148" s="3" t="str">
        <f>IFERROR(VLOOKUP(C1148,'Справочник соответствий'!A$2:D$2981,2,FALSE),IF(VALUE(C1148)=0,1,VLOOKUP(C1148,'Справочник соответствий'!A$2:D$2981,2,FALSE)))</f>
        <v>2</v>
      </c>
      <c r="J1148" s="3">
        <f>IFERROR(VLOOKUP(D1148,'Справочник соответствий'!A$2:D$2981,2,FALSE),IF(VALUE(D1148)=0,0,VLOOKUP(D1148,'Справочник соответствий'!A$2:D$2981,2,FALSE)))</f>
        <v>0</v>
      </c>
      <c r="K1148" s="3" t="str">
        <f t="shared" si="119"/>
        <v>2</v>
      </c>
      <c r="L1148" s="13" t="str">
        <f>IFERROR(VLOOKUP(C1148,'Справочник соответствий'!A$2:D$2981,3,FALSE),IF(VALUE(C1148)=0,"ЭТАЖ НЕ ОПРЕДЕЛЕН. ПРИНЯТ ПО ДОПУЩЕНИЮ 1",VLOOKUP(C1148,'Справочник соответствий'!A$2:D$2981,3,FALSE)))</f>
        <v>ЭТАЖ ЗАДАН ЧИСЛОМ</v>
      </c>
      <c r="M1148" s="13" t="b">
        <f t="shared" si="120"/>
        <v>0</v>
      </c>
      <c r="N1148" s="13">
        <f t="shared" si="121"/>
        <v>2</v>
      </c>
      <c r="O1148" s="13" t="str">
        <f t="shared" si="122"/>
        <v>ЭТАЖ ЗАДАН ЧИСЛОМ</v>
      </c>
      <c r="P1148" s="13" t="str">
        <f t="shared" si="123"/>
        <v>ЭТАЖ ЗАДАН ЧИСЛОМ</v>
      </c>
      <c r="Q1148" s="13" t="str">
        <f t="shared" si="124"/>
        <v>ГОТОВ_ИЗМЕНЕН</v>
      </c>
      <c r="R1148" s="13">
        <f>IFERROR(VLOOKUP(P1148,Лист1!A$1:B$20,2,FALSE),0)</f>
        <v>784</v>
      </c>
      <c r="S1148" s="13">
        <f t="shared" si="125"/>
        <v>0</v>
      </c>
    </row>
    <row r="1149" spans="1:19" x14ac:dyDescent="0.25">
      <c r="A1149" s="24" t="s">
        <v>2266</v>
      </c>
      <c r="B1149" s="4" t="s">
        <v>1059</v>
      </c>
      <c r="C1149" s="25" t="s">
        <v>5</v>
      </c>
      <c r="G1149" s="25" t="s">
        <v>1205</v>
      </c>
      <c r="H1149" s="24" t="s">
        <v>1061</v>
      </c>
      <c r="I1149" s="3" t="str">
        <f>IFERROR(VLOOKUP(C1149,'Справочник соответствий'!A$2:D$2981,2,FALSE),IF(VALUE(C1149)=0,1,VLOOKUP(C1149,'Справочник соответствий'!A$2:D$2981,2,FALSE)))</f>
        <v>1</v>
      </c>
      <c r="J1149" s="3">
        <f>IFERROR(VLOOKUP(D1149,'Справочник соответствий'!A$2:D$2981,2,FALSE),IF(VALUE(D1149)=0,0,VLOOKUP(D1149,'Справочник соответствий'!A$2:D$2981,2,FALSE)))</f>
        <v>0</v>
      </c>
      <c r="K1149" s="3" t="str">
        <f t="shared" si="119"/>
        <v>1</v>
      </c>
      <c r="L1149" s="13" t="str">
        <f>IFERROR(VLOOKUP(C1149,'Справочник соответствий'!A$2:D$2981,3,FALSE),IF(VALUE(C1149)=0,"ЭТАЖ НЕ ОПРЕДЕЛЕН. ПРИНЯТ ПО ДОПУЩЕНИЮ 1",VLOOKUP(C1149,'Справочник соответствий'!A$2:D$2981,3,FALSE)))</f>
        <v>ЭТАЖ ЗАДАН ЧИСЛОМ</v>
      </c>
      <c r="M1149" s="13" t="b">
        <f t="shared" si="120"/>
        <v>0</v>
      </c>
      <c r="N1149" s="13">
        <f t="shared" si="121"/>
        <v>1</v>
      </c>
      <c r="O1149" s="13" t="str">
        <f t="shared" si="122"/>
        <v>ЭТАЖ ЗАДАН ЧИСЛОМ</v>
      </c>
      <c r="P1149" s="13" t="str">
        <f t="shared" si="123"/>
        <v>ЭТАЖ ЗАДАН ЧИСЛОМ</v>
      </c>
      <c r="Q1149" s="13" t="str">
        <f t="shared" si="124"/>
        <v>ГОТОВ_ИЗМЕНЕН</v>
      </c>
      <c r="R1149" s="13">
        <f>IFERROR(VLOOKUP(P1149,Лист1!A$1:B$20,2,FALSE),0)</f>
        <v>784</v>
      </c>
      <c r="S1149" s="13">
        <f t="shared" si="125"/>
        <v>0</v>
      </c>
    </row>
    <row r="1150" spans="1:19" x14ac:dyDescent="0.25">
      <c r="A1150" s="24" t="s">
        <v>2267</v>
      </c>
      <c r="B1150" s="4" t="s">
        <v>1063</v>
      </c>
      <c r="C1150" s="25" t="s">
        <v>5</v>
      </c>
      <c r="G1150" s="25" t="s">
        <v>1205</v>
      </c>
      <c r="H1150" s="24" t="s">
        <v>1061</v>
      </c>
      <c r="I1150" s="3" t="str">
        <f>IFERROR(VLOOKUP(C1150,'Справочник соответствий'!A$2:D$2981,2,FALSE),IF(VALUE(C1150)=0,1,VLOOKUP(C1150,'Справочник соответствий'!A$2:D$2981,2,FALSE)))</f>
        <v>1</v>
      </c>
      <c r="J1150" s="3">
        <f>IFERROR(VLOOKUP(D1150,'Справочник соответствий'!A$2:D$2981,2,FALSE),IF(VALUE(D1150)=0,0,VLOOKUP(D1150,'Справочник соответствий'!A$2:D$2981,2,FALSE)))</f>
        <v>0</v>
      </c>
      <c r="K1150" s="3" t="str">
        <f t="shared" si="119"/>
        <v>1</v>
      </c>
      <c r="L1150" s="13" t="str">
        <f>IFERROR(VLOOKUP(C1150,'Справочник соответствий'!A$2:D$2981,3,FALSE),IF(VALUE(C1150)=0,"ЭТАЖ НЕ ОПРЕДЕЛЕН. ПРИНЯТ ПО ДОПУЩЕНИЮ 1",VLOOKUP(C1150,'Справочник соответствий'!A$2:D$2981,3,FALSE)))</f>
        <v>ЭТАЖ ЗАДАН ЧИСЛОМ</v>
      </c>
      <c r="M1150" s="13" t="b">
        <f t="shared" si="120"/>
        <v>0</v>
      </c>
      <c r="N1150" s="13">
        <f t="shared" si="121"/>
        <v>1</v>
      </c>
      <c r="O1150" s="13" t="str">
        <f t="shared" si="122"/>
        <v>ЭТАЖ ЗАДАН ЧИСЛОМ</v>
      </c>
      <c r="P1150" s="13" t="str">
        <f t="shared" si="123"/>
        <v>ЭТАЖ ЗАДАН ЧИСЛОМ</v>
      </c>
      <c r="Q1150" s="13" t="str">
        <f t="shared" si="124"/>
        <v>ГОТОВ_ИЗМЕНЕН</v>
      </c>
      <c r="R1150" s="13">
        <f>IFERROR(VLOOKUP(P1150,Лист1!A$1:B$20,2,FALSE),0)</f>
        <v>784</v>
      </c>
      <c r="S1150" s="13">
        <f t="shared" si="125"/>
        <v>0</v>
      </c>
    </row>
    <row r="1151" spans="1:19" x14ac:dyDescent="0.25">
      <c r="A1151" s="24" t="s">
        <v>2268</v>
      </c>
      <c r="B1151" s="4" t="s">
        <v>1059</v>
      </c>
      <c r="C1151" s="25" t="s">
        <v>5</v>
      </c>
      <c r="G1151" s="25" t="s">
        <v>1205</v>
      </c>
      <c r="H1151" s="24" t="s">
        <v>1061</v>
      </c>
      <c r="I1151" s="3" t="str">
        <f>IFERROR(VLOOKUP(C1151,'Справочник соответствий'!A$2:D$2981,2,FALSE),IF(VALUE(C1151)=0,1,VLOOKUP(C1151,'Справочник соответствий'!A$2:D$2981,2,FALSE)))</f>
        <v>1</v>
      </c>
      <c r="J1151" s="3">
        <f>IFERROR(VLOOKUP(D1151,'Справочник соответствий'!A$2:D$2981,2,FALSE),IF(VALUE(D1151)=0,0,VLOOKUP(D1151,'Справочник соответствий'!A$2:D$2981,2,FALSE)))</f>
        <v>0</v>
      </c>
      <c r="K1151" s="3" t="str">
        <f t="shared" si="119"/>
        <v>1</v>
      </c>
      <c r="L1151" s="13" t="str">
        <f>IFERROR(VLOOKUP(C1151,'Справочник соответствий'!A$2:D$2981,3,FALSE),IF(VALUE(C1151)=0,"ЭТАЖ НЕ ОПРЕДЕЛЕН. ПРИНЯТ ПО ДОПУЩЕНИЮ 1",VLOOKUP(C1151,'Справочник соответствий'!A$2:D$2981,3,FALSE)))</f>
        <v>ЭТАЖ ЗАДАН ЧИСЛОМ</v>
      </c>
      <c r="M1151" s="13" t="b">
        <f t="shared" si="120"/>
        <v>0</v>
      </c>
      <c r="N1151" s="13">
        <f t="shared" si="121"/>
        <v>1</v>
      </c>
      <c r="O1151" s="13" t="str">
        <f t="shared" si="122"/>
        <v>ЭТАЖ ЗАДАН ЧИСЛОМ</v>
      </c>
      <c r="P1151" s="13" t="str">
        <f t="shared" si="123"/>
        <v>ЭТАЖ ЗАДАН ЧИСЛОМ</v>
      </c>
      <c r="Q1151" s="13" t="str">
        <f t="shared" si="124"/>
        <v>ГОТОВ_ИЗМЕНЕН</v>
      </c>
      <c r="R1151" s="13">
        <f>IFERROR(VLOOKUP(P1151,Лист1!A$1:B$20,2,FALSE),0)</f>
        <v>784</v>
      </c>
      <c r="S1151" s="13">
        <f t="shared" si="125"/>
        <v>0</v>
      </c>
    </row>
    <row r="1152" spans="1:19" x14ac:dyDescent="0.25">
      <c r="A1152" s="24" t="s">
        <v>2269</v>
      </c>
      <c r="B1152" s="4" t="s">
        <v>1063</v>
      </c>
      <c r="C1152" s="25" t="s">
        <v>5</v>
      </c>
      <c r="G1152" s="25" t="s">
        <v>1219</v>
      </c>
      <c r="H1152" s="24" t="s">
        <v>1061</v>
      </c>
      <c r="I1152" s="3" t="str">
        <f>IFERROR(VLOOKUP(C1152,'Справочник соответствий'!A$2:D$2981,2,FALSE),IF(VALUE(C1152)=0,1,VLOOKUP(C1152,'Справочник соответствий'!A$2:D$2981,2,FALSE)))</f>
        <v>1</v>
      </c>
      <c r="J1152" s="3">
        <f>IFERROR(VLOOKUP(D1152,'Справочник соответствий'!A$2:D$2981,2,FALSE),IF(VALUE(D1152)=0,0,VLOOKUP(D1152,'Справочник соответствий'!A$2:D$2981,2,FALSE)))</f>
        <v>0</v>
      </c>
      <c r="K1152" s="3" t="str">
        <f t="shared" si="119"/>
        <v>1</v>
      </c>
      <c r="L1152" s="13" t="str">
        <f>IFERROR(VLOOKUP(C1152,'Справочник соответствий'!A$2:D$2981,3,FALSE),IF(VALUE(C1152)=0,"ЭТАЖ НЕ ОПРЕДЕЛЕН. ПРИНЯТ ПО ДОПУЩЕНИЮ 1",VLOOKUP(C1152,'Справочник соответствий'!A$2:D$2981,3,FALSE)))</f>
        <v>ЭТАЖ ЗАДАН ЧИСЛОМ</v>
      </c>
      <c r="M1152" s="13" t="b">
        <f t="shared" si="120"/>
        <v>0</v>
      </c>
      <c r="N1152" s="13">
        <f t="shared" si="121"/>
        <v>1</v>
      </c>
      <c r="O1152" s="13" t="str">
        <f t="shared" si="122"/>
        <v>ЭТАЖ ЗАДАН ЧИСЛОМ</v>
      </c>
      <c r="P1152" s="13" t="str">
        <f t="shared" si="123"/>
        <v>ЭТАЖ ЗАДАН ЧИСЛОМ</v>
      </c>
      <c r="Q1152" s="13" t="str">
        <f t="shared" si="124"/>
        <v>ГОТОВ_ИЗМЕНЕН</v>
      </c>
      <c r="R1152" s="13">
        <f>IFERROR(VLOOKUP(P1152,Лист1!A$1:B$20,2,FALSE),0)</f>
        <v>784</v>
      </c>
      <c r="S1152" s="13">
        <f t="shared" si="125"/>
        <v>0</v>
      </c>
    </row>
    <row r="1153" spans="1:19" x14ac:dyDescent="0.25">
      <c r="A1153" s="24" t="s">
        <v>2270</v>
      </c>
      <c r="B1153" s="4" t="s">
        <v>1059</v>
      </c>
      <c r="C1153" s="25" t="s">
        <v>5</v>
      </c>
      <c r="G1153" s="25" t="s">
        <v>1219</v>
      </c>
      <c r="H1153" s="24" t="s">
        <v>1061</v>
      </c>
      <c r="I1153" s="3" t="str">
        <f>IFERROR(VLOOKUP(C1153,'Справочник соответствий'!A$2:D$2981,2,FALSE),IF(VALUE(C1153)=0,1,VLOOKUP(C1153,'Справочник соответствий'!A$2:D$2981,2,FALSE)))</f>
        <v>1</v>
      </c>
      <c r="J1153" s="3">
        <f>IFERROR(VLOOKUP(D1153,'Справочник соответствий'!A$2:D$2981,2,FALSE),IF(VALUE(D1153)=0,0,VLOOKUP(D1153,'Справочник соответствий'!A$2:D$2981,2,FALSE)))</f>
        <v>0</v>
      </c>
      <c r="K1153" s="3" t="str">
        <f t="shared" si="119"/>
        <v>1</v>
      </c>
      <c r="L1153" s="13" t="str">
        <f>IFERROR(VLOOKUP(C1153,'Справочник соответствий'!A$2:D$2981,3,FALSE),IF(VALUE(C1153)=0,"ЭТАЖ НЕ ОПРЕДЕЛЕН. ПРИНЯТ ПО ДОПУЩЕНИЮ 1",VLOOKUP(C1153,'Справочник соответствий'!A$2:D$2981,3,FALSE)))</f>
        <v>ЭТАЖ ЗАДАН ЧИСЛОМ</v>
      </c>
      <c r="M1153" s="13" t="b">
        <f t="shared" si="120"/>
        <v>0</v>
      </c>
      <c r="N1153" s="13">
        <f t="shared" si="121"/>
        <v>1</v>
      </c>
      <c r="O1153" s="13" t="str">
        <f t="shared" si="122"/>
        <v>ЭТАЖ ЗАДАН ЧИСЛОМ</v>
      </c>
      <c r="P1153" s="13" t="str">
        <f t="shared" si="123"/>
        <v>ЭТАЖ ЗАДАН ЧИСЛОМ</v>
      </c>
      <c r="Q1153" s="13" t="str">
        <f t="shared" si="124"/>
        <v>ГОТОВ_ИЗМЕНЕН</v>
      </c>
      <c r="R1153" s="13">
        <f>IFERROR(VLOOKUP(P1153,Лист1!A$1:B$20,2,FALSE),0)</f>
        <v>784</v>
      </c>
      <c r="S1153" s="13">
        <f t="shared" si="125"/>
        <v>0</v>
      </c>
    </row>
    <row r="1154" spans="1:19" x14ac:dyDescent="0.25">
      <c r="A1154" s="24" t="s">
        <v>2271</v>
      </c>
      <c r="B1154" s="4" t="s">
        <v>1059</v>
      </c>
      <c r="C1154" s="25" t="s">
        <v>5</v>
      </c>
      <c r="G1154" s="25" t="s">
        <v>1224</v>
      </c>
      <c r="H1154" s="24" t="s">
        <v>1061</v>
      </c>
      <c r="I1154" s="3" t="str">
        <f>IFERROR(VLOOKUP(C1154,'Справочник соответствий'!A$2:D$2981,2,FALSE),IF(VALUE(C1154)=0,1,VLOOKUP(C1154,'Справочник соответствий'!A$2:D$2981,2,FALSE)))</f>
        <v>1</v>
      </c>
      <c r="J1154" s="3">
        <f>IFERROR(VLOOKUP(D1154,'Справочник соответствий'!A$2:D$2981,2,FALSE),IF(VALUE(D1154)=0,0,VLOOKUP(D1154,'Справочник соответствий'!A$2:D$2981,2,FALSE)))</f>
        <v>0</v>
      </c>
      <c r="K1154" s="3" t="str">
        <f t="shared" si="119"/>
        <v>1</v>
      </c>
      <c r="L1154" s="13" t="str">
        <f>IFERROR(VLOOKUP(C1154,'Справочник соответствий'!A$2:D$2981,3,FALSE),IF(VALUE(C1154)=0,"ЭТАЖ НЕ ОПРЕДЕЛЕН. ПРИНЯТ ПО ДОПУЩЕНИЮ 1",VLOOKUP(C1154,'Справочник соответствий'!A$2:D$2981,3,FALSE)))</f>
        <v>ЭТАЖ ЗАДАН ЧИСЛОМ</v>
      </c>
      <c r="M1154" s="13" t="b">
        <f t="shared" si="120"/>
        <v>0</v>
      </c>
      <c r="N1154" s="13">
        <f t="shared" si="121"/>
        <v>1</v>
      </c>
      <c r="O1154" s="13" t="str">
        <f t="shared" si="122"/>
        <v>ЭТАЖ ЗАДАН ЧИСЛОМ</v>
      </c>
      <c r="P1154" s="13" t="str">
        <f t="shared" si="123"/>
        <v>ЭТАЖ ЗАДАН ЧИСЛОМ</v>
      </c>
      <c r="Q1154" s="13" t="str">
        <f t="shared" si="124"/>
        <v>ГОТОВ_ИЗМЕНЕН</v>
      </c>
      <c r="R1154" s="13">
        <f>IFERROR(VLOOKUP(P1154,Лист1!A$1:B$20,2,FALSE),0)</f>
        <v>784</v>
      </c>
      <c r="S1154" s="13">
        <f t="shared" si="125"/>
        <v>0</v>
      </c>
    </row>
    <row r="1155" spans="1:19" x14ac:dyDescent="0.25">
      <c r="A1155" s="24" t="s">
        <v>2272</v>
      </c>
      <c r="B1155" s="4" t="s">
        <v>1063</v>
      </c>
      <c r="C1155" s="25" t="s">
        <v>5</v>
      </c>
      <c r="G1155" s="25" t="s">
        <v>1224</v>
      </c>
      <c r="H1155" s="24" t="s">
        <v>1061</v>
      </c>
      <c r="I1155" s="3" t="str">
        <f>IFERROR(VLOOKUP(C1155,'Справочник соответствий'!A$2:D$2981,2,FALSE),IF(VALUE(C1155)=0,1,VLOOKUP(C1155,'Справочник соответствий'!A$2:D$2981,2,FALSE)))</f>
        <v>1</v>
      </c>
      <c r="J1155" s="3">
        <f>IFERROR(VLOOKUP(D1155,'Справочник соответствий'!A$2:D$2981,2,FALSE),IF(VALUE(D1155)=0,0,VLOOKUP(D1155,'Справочник соответствий'!A$2:D$2981,2,FALSE)))</f>
        <v>0</v>
      </c>
      <c r="K1155" s="3" t="str">
        <f t="shared" si="119"/>
        <v>1</v>
      </c>
      <c r="L1155" s="13" t="str">
        <f>IFERROR(VLOOKUP(C1155,'Справочник соответствий'!A$2:D$2981,3,FALSE),IF(VALUE(C1155)=0,"ЭТАЖ НЕ ОПРЕДЕЛЕН. ПРИНЯТ ПО ДОПУЩЕНИЮ 1",VLOOKUP(C1155,'Справочник соответствий'!A$2:D$2981,3,FALSE)))</f>
        <v>ЭТАЖ ЗАДАН ЧИСЛОМ</v>
      </c>
      <c r="M1155" s="13" t="b">
        <f t="shared" si="120"/>
        <v>0</v>
      </c>
      <c r="N1155" s="13">
        <f t="shared" si="121"/>
        <v>1</v>
      </c>
      <c r="O1155" s="13" t="str">
        <f t="shared" si="122"/>
        <v>ЭТАЖ ЗАДАН ЧИСЛОМ</v>
      </c>
      <c r="P1155" s="13" t="str">
        <f t="shared" si="123"/>
        <v>ЭТАЖ ЗАДАН ЧИСЛОМ</v>
      </c>
      <c r="Q1155" s="13" t="str">
        <f t="shared" si="124"/>
        <v>ГОТОВ_ИЗМЕНЕН</v>
      </c>
      <c r="R1155" s="13">
        <f>IFERROR(VLOOKUP(P1155,Лист1!A$1:B$20,2,FALSE),0)</f>
        <v>784</v>
      </c>
      <c r="S1155" s="13">
        <f t="shared" si="125"/>
        <v>0</v>
      </c>
    </row>
    <row r="1156" spans="1:19" x14ac:dyDescent="0.25">
      <c r="A1156" s="24" t="s">
        <v>2273</v>
      </c>
      <c r="B1156" s="4" t="s">
        <v>1063</v>
      </c>
      <c r="C1156" s="25" t="s">
        <v>7</v>
      </c>
      <c r="G1156" s="25" t="s">
        <v>1224</v>
      </c>
      <c r="H1156" s="24" t="s">
        <v>1061</v>
      </c>
      <c r="I1156" s="3" t="str">
        <f>IFERROR(VLOOKUP(C1156,'Справочник соответствий'!A$2:D$2981,2,FALSE),IF(VALUE(C1156)=0,1,VLOOKUP(C1156,'Справочник соответствий'!A$2:D$2981,2,FALSE)))</f>
        <v>2</v>
      </c>
      <c r="J1156" s="3">
        <f>IFERROR(VLOOKUP(D1156,'Справочник соответствий'!A$2:D$2981,2,FALSE),IF(VALUE(D1156)=0,0,VLOOKUP(D1156,'Справочник соответствий'!A$2:D$2981,2,FALSE)))</f>
        <v>0</v>
      </c>
      <c r="K1156" s="3" t="str">
        <f t="shared" si="119"/>
        <v>2</v>
      </c>
      <c r="L1156" s="13" t="str">
        <f>IFERROR(VLOOKUP(C1156,'Справочник соответствий'!A$2:D$2981,3,FALSE),IF(VALUE(C1156)=0,"ЭТАЖ НЕ ОПРЕДЕЛЕН. ПРИНЯТ ПО ДОПУЩЕНИЮ 1",VLOOKUP(C1156,'Справочник соответствий'!A$2:D$2981,3,FALSE)))</f>
        <v>ЭТАЖ ЗАДАН ЧИСЛОМ</v>
      </c>
      <c r="M1156" s="13" t="b">
        <f t="shared" si="120"/>
        <v>0</v>
      </c>
      <c r="N1156" s="13">
        <f t="shared" si="121"/>
        <v>2</v>
      </c>
      <c r="O1156" s="13" t="str">
        <f t="shared" si="122"/>
        <v>ЭТАЖ ЗАДАН ЧИСЛОМ</v>
      </c>
      <c r="P1156" s="13" t="str">
        <f t="shared" si="123"/>
        <v>ЭТАЖ ЗАДАН ЧИСЛОМ</v>
      </c>
      <c r="Q1156" s="13" t="str">
        <f t="shared" si="124"/>
        <v>ГОТОВ_ИЗМЕНЕН</v>
      </c>
      <c r="R1156" s="13">
        <f>IFERROR(VLOOKUP(P1156,Лист1!A$1:B$20,2,FALSE),0)</f>
        <v>784</v>
      </c>
      <c r="S1156" s="13">
        <f t="shared" si="125"/>
        <v>0</v>
      </c>
    </row>
    <row r="1157" spans="1:19" x14ac:dyDescent="0.25">
      <c r="A1157" s="24" t="s">
        <v>2274</v>
      </c>
      <c r="B1157" s="4" t="s">
        <v>1059</v>
      </c>
      <c r="C1157" s="25" t="s">
        <v>7</v>
      </c>
      <c r="G1157" s="25" t="s">
        <v>1219</v>
      </c>
      <c r="H1157" s="24" t="s">
        <v>1061</v>
      </c>
      <c r="I1157" s="3" t="str">
        <f>IFERROR(VLOOKUP(C1157,'Справочник соответствий'!A$2:D$2981,2,FALSE),IF(VALUE(C1157)=0,1,VLOOKUP(C1157,'Справочник соответствий'!A$2:D$2981,2,FALSE)))</f>
        <v>2</v>
      </c>
      <c r="J1157" s="3">
        <f>IFERROR(VLOOKUP(D1157,'Справочник соответствий'!A$2:D$2981,2,FALSE),IF(VALUE(D1157)=0,0,VLOOKUP(D1157,'Справочник соответствий'!A$2:D$2981,2,FALSE)))</f>
        <v>0</v>
      </c>
      <c r="K1157" s="3" t="str">
        <f t="shared" ref="K1157:K1220" si="126">IF(B1157="Многоквартирный дом",IF(I1157-J1157&gt;0,I1157-J1157,1),I1157)</f>
        <v>2</v>
      </c>
      <c r="L1157" s="13" t="str">
        <f>IFERROR(VLOOKUP(C1157,'Справочник соответствий'!A$2:D$2981,3,FALSE),IF(VALUE(C1157)=0,"ЭТАЖ НЕ ОПРЕДЕЛЕН. ПРИНЯТ ПО ДОПУЩЕНИЮ 1",VLOOKUP(C1157,'Справочник соответствий'!A$2:D$2981,3,FALSE)))</f>
        <v>ЭТАЖ ЗАДАН ЧИСЛОМ</v>
      </c>
      <c r="M1157" s="13" t="b">
        <f t="shared" ref="M1157:M1220" si="127">I1157=E1157</f>
        <v>0</v>
      </c>
      <c r="N1157" s="13">
        <f t="shared" ref="N1157:N1220" si="128">IF(VALUE(E1157)=0,VALUE(K1157),IF(L1157="ЭТАЖ НЕ ОПРЕДЕЛЕН. ПРИНЯТ ПО ДОПУЩЕНИЮ 1",VALUE(E1157),VALUE(K1157)))</f>
        <v>2</v>
      </c>
      <c r="O1157" s="13" t="str">
        <f t="shared" ref="O1157:O1220" si="129">IF(VALUE(E1157)=0,L1157,IF(L1157="ЭТАЖ НЕ ОПРЕДЕЛЕН. ПРИНЯТ ПО ДОПУЩЕНИЮ 1",F1157,L1157))</f>
        <v>ЭТАЖ ЗАДАН ЧИСЛОМ</v>
      </c>
      <c r="P1157" s="13" t="str">
        <f t="shared" ref="P1157:P1220" si="130">IF(B1157="Многоквартирный дом",CONCATENATE("МКД_",O1157),O1157)</f>
        <v>ЭТАЖ ЗАДАН ЧИСЛОМ</v>
      </c>
      <c r="Q1157" s="13" t="str">
        <f t="shared" ref="Q1157:Q1220" si="131">IFERROR(IF(N1157&gt;0,IF(N1157=VALUE(E1157),"ГОТОВ","ГОТОВ_ИЗМЕНЕН"),"НЕ ГОТОВ"),"НЕ ГОТОВ")</f>
        <v>ГОТОВ_ИЗМЕНЕН</v>
      </c>
      <c r="R1157" s="13">
        <f>IFERROR(VLOOKUP(P1157,Лист1!A$1:B$20,2,FALSE),0)</f>
        <v>784</v>
      </c>
      <c r="S1157" s="13">
        <f t="shared" ref="S1157:S1220" si="132">VALUE(E1157)</f>
        <v>0</v>
      </c>
    </row>
    <row r="1158" spans="1:19" x14ac:dyDescent="0.25">
      <c r="A1158" s="24" t="s">
        <v>2275</v>
      </c>
      <c r="B1158" s="4" t="s">
        <v>1063</v>
      </c>
      <c r="C1158" s="25" t="s">
        <v>5</v>
      </c>
      <c r="G1158" s="25" t="s">
        <v>1174</v>
      </c>
      <c r="H1158" s="24" t="s">
        <v>1061</v>
      </c>
      <c r="I1158" s="3" t="str">
        <f>IFERROR(VLOOKUP(C1158,'Справочник соответствий'!A$2:D$2981,2,FALSE),IF(VALUE(C1158)=0,1,VLOOKUP(C1158,'Справочник соответствий'!A$2:D$2981,2,FALSE)))</f>
        <v>1</v>
      </c>
      <c r="J1158" s="3">
        <f>IFERROR(VLOOKUP(D1158,'Справочник соответствий'!A$2:D$2981,2,FALSE),IF(VALUE(D1158)=0,0,VLOOKUP(D1158,'Справочник соответствий'!A$2:D$2981,2,FALSE)))</f>
        <v>0</v>
      </c>
      <c r="K1158" s="3" t="str">
        <f t="shared" si="126"/>
        <v>1</v>
      </c>
      <c r="L1158" s="13" t="str">
        <f>IFERROR(VLOOKUP(C1158,'Справочник соответствий'!A$2:D$2981,3,FALSE),IF(VALUE(C1158)=0,"ЭТАЖ НЕ ОПРЕДЕЛЕН. ПРИНЯТ ПО ДОПУЩЕНИЮ 1",VLOOKUP(C1158,'Справочник соответствий'!A$2:D$2981,3,FALSE)))</f>
        <v>ЭТАЖ ЗАДАН ЧИСЛОМ</v>
      </c>
      <c r="M1158" s="13" t="b">
        <f t="shared" si="127"/>
        <v>0</v>
      </c>
      <c r="N1158" s="13">
        <f t="shared" si="128"/>
        <v>1</v>
      </c>
      <c r="O1158" s="13" t="str">
        <f t="shared" si="129"/>
        <v>ЭТАЖ ЗАДАН ЧИСЛОМ</v>
      </c>
      <c r="P1158" s="13" t="str">
        <f t="shared" si="130"/>
        <v>ЭТАЖ ЗАДАН ЧИСЛОМ</v>
      </c>
      <c r="Q1158" s="13" t="str">
        <f t="shared" si="131"/>
        <v>ГОТОВ_ИЗМЕНЕН</v>
      </c>
      <c r="R1158" s="13">
        <f>IFERROR(VLOOKUP(P1158,Лист1!A$1:B$20,2,FALSE),0)</f>
        <v>784</v>
      </c>
      <c r="S1158" s="13">
        <f t="shared" si="132"/>
        <v>0</v>
      </c>
    </row>
    <row r="1159" spans="1:19" x14ac:dyDescent="0.25">
      <c r="A1159" s="24" t="s">
        <v>2276</v>
      </c>
      <c r="B1159" s="4" t="s">
        <v>1063</v>
      </c>
      <c r="C1159" s="25" t="s">
        <v>5</v>
      </c>
      <c r="G1159" s="25" t="s">
        <v>1174</v>
      </c>
      <c r="H1159" s="24" t="s">
        <v>1061</v>
      </c>
      <c r="I1159" s="3" t="str">
        <f>IFERROR(VLOOKUP(C1159,'Справочник соответствий'!A$2:D$2981,2,FALSE),IF(VALUE(C1159)=0,1,VLOOKUP(C1159,'Справочник соответствий'!A$2:D$2981,2,FALSE)))</f>
        <v>1</v>
      </c>
      <c r="J1159" s="3">
        <f>IFERROR(VLOOKUP(D1159,'Справочник соответствий'!A$2:D$2981,2,FALSE),IF(VALUE(D1159)=0,0,VLOOKUP(D1159,'Справочник соответствий'!A$2:D$2981,2,FALSE)))</f>
        <v>0</v>
      </c>
      <c r="K1159" s="3" t="str">
        <f t="shared" si="126"/>
        <v>1</v>
      </c>
      <c r="L1159" s="13" t="str">
        <f>IFERROR(VLOOKUP(C1159,'Справочник соответствий'!A$2:D$2981,3,FALSE),IF(VALUE(C1159)=0,"ЭТАЖ НЕ ОПРЕДЕЛЕН. ПРИНЯТ ПО ДОПУЩЕНИЮ 1",VLOOKUP(C1159,'Справочник соответствий'!A$2:D$2981,3,FALSE)))</f>
        <v>ЭТАЖ ЗАДАН ЧИСЛОМ</v>
      </c>
      <c r="M1159" s="13" t="b">
        <f t="shared" si="127"/>
        <v>0</v>
      </c>
      <c r="N1159" s="13">
        <f t="shared" si="128"/>
        <v>1</v>
      </c>
      <c r="O1159" s="13" t="str">
        <f t="shared" si="129"/>
        <v>ЭТАЖ ЗАДАН ЧИСЛОМ</v>
      </c>
      <c r="P1159" s="13" t="str">
        <f t="shared" si="130"/>
        <v>ЭТАЖ ЗАДАН ЧИСЛОМ</v>
      </c>
      <c r="Q1159" s="13" t="str">
        <f t="shared" si="131"/>
        <v>ГОТОВ_ИЗМЕНЕН</v>
      </c>
      <c r="R1159" s="13">
        <f>IFERROR(VLOOKUP(P1159,Лист1!A$1:B$20,2,FALSE),0)</f>
        <v>784</v>
      </c>
      <c r="S1159" s="13">
        <f t="shared" si="132"/>
        <v>0</v>
      </c>
    </row>
    <row r="1160" spans="1:19" x14ac:dyDescent="0.25">
      <c r="A1160" s="24" t="s">
        <v>2277</v>
      </c>
      <c r="B1160" s="4" t="s">
        <v>1059</v>
      </c>
      <c r="C1160" s="25" t="s">
        <v>7</v>
      </c>
      <c r="G1160" s="25" t="s">
        <v>1230</v>
      </c>
      <c r="H1160" s="24" t="s">
        <v>1061</v>
      </c>
      <c r="I1160" s="3" t="str">
        <f>IFERROR(VLOOKUP(C1160,'Справочник соответствий'!A$2:D$2981,2,FALSE),IF(VALUE(C1160)=0,1,VLOOKUP(C1160,'Справочник соответствий'!A$2:D$2981,2,FALSE)))</f>
        <v>2</v>
      </c>
      <c r="J1160" s="3">
        <f>IFERROR(VLOOKUP(D1160,'Справочник соответствий'!A$2:D$2981,2,FALSE),IF(VALUE(D1160)=0,0,VLOOKUP(D1160,'Справочник соответствий'!A$2:D$2981,2,FALSE)))</f>
        <v>0</v>
      </c>
      <c r="K1160" s="3" t="str">
        <f t="shared" si="126"/>
        <v>2</v>
      </c>
      <c r="L1160" s="13" t="str">
        <f>IFERROR(VLOOKUP(C1160,'Справочник соответствий'!A$2:D$2981,3,FALSE),IF(VALUE(C1160)=0,"ЭТАЖ НЕ ОПРЕДЕЛЕН. ПРИНЯТ ПО ДОПУЩЕНИЮ 1",VLOOKUP(C1160,'Справочник соответствий'!A$2:D$2981,3,FALSE)))</f>
        <v>ЭТАЖ ЗАДАН ЧИСЛОМ</v>
      </c>
      <c r="M1160" s="13" t="b">
        <f t="shared" si="127"/>
        <v>0</v>
      </c>
      <c r="N1160" s="13">
        <f t="shared" si="128"/>
        <v>2</v>
      </c>
      <c r="O1160" s="13" t="str">
        <f t="shared" si="129"/>
        <v>ЭТАЖ ЗАДАН ЧИСЛОМ</v>
      </c>
      <c r="P1160" s="13" t="str">
        <f t="shared" si="130"/>
        <v>ЭТАЖ ЗАДАН ЧИСЛОМ</v>
      </c>
      <c r="Q1160" s="13" t="str">
        <f t="shared" si="131"/>
        <v>ГОТОВ_ИЗМЕНЕН</v>
      </c>
      <c r="R1160" s="13">
        <f>IFERROR(VLOOKUP(P1160,Лист1!A$1:B$20,2,FALSE),0)</f>
        <v>784</v>
      </c>
      <c r="S1160" s="13">
        <f t="shared" si="132"/>
        <v>0</v>
      </c>
    </row>
    <row r="1161" spans="1:19" x14ac:dyDescent="0.25">
      <c r="A1161" s="24" t="s">
        <v>2278</v>
      </c>
      <c r="B1161" s="4" t="s">
        <v>1059</v>
      </c>
      <c r="C1161" s="25" t="s">
        <v>5</v>
      </c>
      <c r="G1161" s="25" t="s">
        <v>1219</v>
      </c>
      <c r="H1161" s="24" t="s">
        <v>1061</v>
      </c>
      <c r="I1161" s="3" t="str">
        <f>IFERROR(VLOOKUP(C1161,'Справочник соответствий'!A$2:D$2981,2,FALSE),IF(VALUE(C1161)=0,1,VLOOKUP(C1161,'Справочник соответствий'!A$2:D$2981,2,FALSE)))</f>
        <v>1</v>
      </c>
      <c r="J1161" s="3">
        <f>IFERROR(VLOOKUP(D1161,'Справочник соответствий'!A$2:D$2981,2,FALSE),IF(VALUE(D1161)=0,0,VLOOKUP(D1161,'Справочник соответствий'!A$2:D$2981,2,FALSE)))</f>
        <v>0</v>
      </c>
      <c r="K1161" s="3" t="str">
        <f t="shared" si="126"/>
        <v>1</v>
      </c>
      <c r="L1161" s="13" t="str">
        <f>IFERROR(VLOOKUP(C1161,'Справочник соответствий'!A$2:D$2981,3,FALSE),IF(VALUE(C1161)=0,"ЭТАЖ НЕ ОПРЕДЕЛЕН. ПРИНЯТ ПО ДОПУЩЕНИЮ 1",VLOOKUP(C1161,'Справочник соответствий'!A$2:D$2981,3,FALSE)))</f>
        <v>ЭТАЖ ЗАДАН ЧИСЛОМ</v>
      </c>
      <c r="M1161" s="13" t="b">
        <f t="shared" si="127"/>
        <v>0</v>
      </c>
      <c r="N1161" s="13">
        <f t="shared" si="128"/>
        <v>1</v>
      </c>
      <c r="O1161" s="13" t="str">
        <f t="shared" si="129"/>
        <v>ЭТАЖ ЗАДАН ЧИСЛОМ</v>
      </c>
      <c r="P1161" s="13" t="str">
        <f t="shared" si="130"/>
        <v>ЭТАЖ ЗАДАН ЧИСЛОМ</v>
      </c>
      <c r="Q1161" s="13" t="str">
        <f t="shared" si="131"/>
        <v>ГОТОВ_ИЗМЕНЕН</v>
      </c>
      <c r="R1161" s="13">
        <f>IFERROR(VLOOKUP(P1161,Лист1!A$1:B$20,2,FALSE),0)</f>
        <v>784</v>
      </c>
      <c r="S1161" s="13">
        <f t="shared" si="132"/>
        <v>0</v>
      </c>
    </row>
    <row r="1162" spans="1:19" x14ac:dyDescent="0.25">
      <c r="A1162" s="24" t="s">
        <v>2279</v>
      </c>
      <c r="B1162" s="4" t="s">
        <v>1059</v>
      </c>
      <c r="C1162" s="25" t="s">
        <v>5</v>
      </c>
      <c r="G1162" s="25" t="s">
        <v>1230</v>
      </c>
      <c r="H1162" s="24" t="s">
        <v>1061</v>
      </c>
      <c r="I1162" s="3" t="str">
        <f>IFERROR(VLOOKUP(C1162,'Справочник соответствий'!A$2:D$2981,2,FALSE),IF(VALUE(C1162)=0,1,VLOOKUP(C1162,'Справочник соответствий'!A$2:D$2981,2,FALSE)))</f>
        <v>1</v>
      </c>
      <c r="J1162" s="3">
        <f>IFERROR(VLOOKUP(D1162,'Справочник соответствий'!A$2:D$2981,2,FALSE),IF(VALUE(D1162)=0,0,VLOOKUP(D1162,'Справочник соответствий'!A$2:D$2981,2,FALSE)))</f>
        <v>0</v>
      </c>
      <c r="K1162" s="3" t="str">
        <f t="shared" si="126"/>
        <v>1</v>
      </c>
      <c r="L1162" s="13" t="str">
        <f>IFERROR(VLOOKUP(C1162,'Справочник соответствий'!A$2:D$2981,3,FALSE),IF(VALUE(C1162)=0,"ЭТАЖ НЕ ОПРЕДЕЛЕН. ПРИНЯТ ПО ДОПУЩЕНИЮ 1",VLOOKUP(C1162,'Справочник соответствий'!A$2:D$2981,3,FALSE)))</f>
        <v>ЭТАЖ ЗАДАН ЧИСЛОМ</v>
      </c>
      <c r="M1162" s="13" t="b">
        <f t="shared" si="127"/>
        <v>0</v>
      </c>
      <c r="N1162" s="13">
        <f t="shared" si="128"/>
        <v>1</v>
      </c>
      <c r="O1162" s="13" t="str">
        <f t="shared" si="129"/>
        <v>ЭТАЖ ЗАДАН ЧИСЛОМ</v>
      </c>
      <c r="P1162" s="13" t="str">
        <f t="shared" si="130"/>
        <v>ЭТАЖ ЗАДАН ЧИСЛОМ</v>
      </c>
      <c r="Q1162" s="13" t="str">
        <f t="shared" si="131"/>
        <v>ГОТОВ_ИЗМЕНЕН</v>
      </c>
      <c r="R1162" s="13">
        <f>IFERROR(VLOOKUP(P1162,Лист1!A$1:B$20,2,FALSE),0)</f>
        <v>784</v>
      </c>
      <c r="S1162" s="13">
        <f t="shared" si="132"/>
        <v>0</v>
      </c>
    </row>
    <row r="1163" spans="1:19" x14ac:dyDescent="0.25">
      <c r="A1163" s="24" t="s">
        <v>2280</v>
      </c>
      <c r="B1163" s="4" t="s">
        <v>1063</v>
      </c>
      <c r="C1163" s="25" t="s">
        <v>7</v>
      </c>
      <c r="G1163" s="25" t="s">
        <v>1230</v>
      </c>
      <c r="H1163" s="24" t="s">
        <v>1061</v>
      </c>
      <c r="I1163" s="3" t="str">
        <f>IFERROR(VLOOKUP(C1163,'Справочник соответствий'!A$2:D$2981,2,FALSE),IF(VALUE(C1163)=0,1,VLOOKUP(C1163,'Справочник соответствий'!A$2:D$2981,2,FALSE)))</f>
        <v>2</v>
      </c>
      <c r="J1163" s="3">
        <f>IFERROR(VLOOKUP(D1163,'Справочник соответствий'!A$2:D$2981,2,FALSE),IF(VALUE(D1163)=0,0,VLOOKUP(D1163,'Справочник соответствий'!A$2:D$2981,2,FALSE)))</f>
        <v>0</v>
      </c>
      <c r="K1163" s="3" t="str">
        <f t="shared" si="126"/>
        <v>2</v>
      </c>
      <c r="L1163" s="13" t="str">
        <f>IFERROR(VLOOKUP(C1163,'Справочник соответствий'!A$2:D$2981,3,FALSE),IF(VALUE(C1163)=0,"ЭТАЖ НЕ ОПРЕДЕЛЕН. ПРИНЯТ ПО ДОПУЩЕНИЮ 1",VLOOKUP(C1163,'Справочник соответствий'!A$2:D$2981,3,FALSE)))</f>
        <v>ЭТАЖ ЗАДАН ЧИСЛОМ</v>
      </c>
      <c r="M1163" s="13" t="b">
        <f t="shared" si="127"/>
        <v>0</v>
      </c>
      <c r="N1163" s="13">
        <f t="shared" si="128"/>
        <v>2</v>
      </c>
      <c r="O1163" s="13" t="str">
        <f t="shared" si="129"/>
        <v>ЭТАЖ ЗАДАН ЧИСЛОМ</v>
      </c>
      <c r="P1163" s="13" t="str">
        <f t="shared" si="130"/>
        <v>ЭТАЖ ЗАДАН ЧИСЛОМ</v>
      </c>
      <c r="Q1163" s="13" t="str">
        <f t="shared" si="131"/>
        <v>ГОТОВ_ИЗМЕНЕН</v>
      </c>
      <c r="R1163" s="13">
        <f>IFERROR(VLOOKUP(P1163,Лист1!A$1:B$20,2,FALSE),0)</f>
        <v>784</v>
      </c>
      <c r="S1163" s="13">
        <f t="shared" si="132"/>
        <v>0</v>
      </c>
    </row>
    <row r="1164" spans="1:19" x14ac:dyDescent="0.25">
      <c r="A1164" s="24" t="s">
        <v>2281</v>
      </c>
      <c r="B1164" s="4" t="s">
        <v>1059</v>
      </c>
      <c r="C1164" s="25" t="s">
        <v>7</v>
      </c>
      <c r="G1164" s="25" t="s">
        <v>1230</v>
      </c>
      <c r="H1164" s="24" t="s">
        <v>1061</v>
      </c>
      <c r="I1164" s="3" t="str">
        <f>IFERROR(VLOOKUP(C1164,'Справочник соответствий'!A$2:D$2981,2,FALSE),IF(VALUE(C1164)=0,1,VLOOKUP(C1164,'Справочник соответствий'!A$2:D$2981,2,FALSE)))</f>
        <v>2</v>
      </c>
      <c r="J1164" s="3">
        <f>IFERROR(VLOOKUP(D1164,'Справочник соответствий'!A$2:D$2981,2,FALSE),IF(VALUE(D1164)=0,0,VLOOKUP(D1164,'Справочник соответствий'!A$2:D$2981,2,FALSE)))</f>
        <v>0</v>
      </c>
      <c r="K1164" s="3" t="str">
        <f t="shared" si="126"/>
        <v>2</v>
      </c>
      <c r="L1164" s="13" t="str">
        <f>IFERROR(VLOOKUP(C1164,'Справочник соответствий'!A$2:D$2981,3,FALSE),IF(VALUE(C1164)=0,"ЭТАЖ НЕ ОПРЕДЕЛЕН. ПРИНЯТ ПО ДОПУЩЕНИЮ 1",VLOOKUP(C1164,'Справочник соответствий'!A$2:D$2981,3,FALSE)))</f>
        <v>ЭТАЖ ЗАДАН ЧИСЛОМ</v>
      </c>
      <c r="M1164" s="13" t="b">
        <f t="shared" si="127"/>
        <v>0</v>
      </c>
      <c r="N1164" s="13">
        <f t="shared" si="128"/>
        <v>2</v>
      </c>
      <c r="O1164" s="13" t="str">
        <f t="shared" si="129"/>
        <v>ЭТАЖ ЗАДАН ЧИСЛОМ</v>
      </c>
      <c r="P1164" s="13" t="str">
        <f t="shared" si="130"/>
        <v>ЭТАЖ ЗАДАН ЧИСЛОМ</v>
      </c>
      <c r="Q1164" s="13" t="str">
        <f t="shared" si="131"/>
        <v>ГОТОВ_ИЗМЕНЕН</v>
      </c>
      <c r="R1164" s="13">
        <f>IFERROR(VLOOKUP(P1164,Лист1!A$1:B$20,2,FALSE),0)</f>
        <v>784</v>
      </c>
      <c r="S1164" s="13">
        <f t="shared" si="132"/>
        <v>0</v>
      </c>
    </row>
    <row r="1165" spans="1:19" x14ac:dyDescent="0.25">
      <c r="A1165" s="24" t="s">
        <v>2282</v>
      </c>
      <c r="B1165" s="4" t="s">
        <v>1059</v>
      </c>
      <c r="C1165" s="25" t="s">
        <v>5</v>
      </c>
      <c r="G1165" s="25" t="s">
        <v>1230</v>
      </c>
      <c r="H1165" s="24" t="s">
        <v>1061</v>
      </c>
      <c r="I1165" s="3" t="str">
        <f>IFERROR(VLOOKUP(C1165,'Справочник соответствий'!A$2:D$2981,2,FALSE),IF(VALUE(C1165)=0,1,VLOOKUP(C1165,'Справочник соответствий'!A$2:D$2981,2,FALSE)))</f>
        <v>1</v>
      </c>
      <c r="J1165" s="3">
        <f>IFERROR(VLOOKUP(D1165,'Справочник соответствий'!A$2:D$2981,2,FALSE),IF(VALUE(D1165)=0,0,VLOOKUP(D1165,'Справочник соответствий'!A$2:D$2981,2,FALSE)))</f>
        <v>0</v>
      </c>
      <c r="K1165" s="3" t="str">
        <f t="shared" si="126"/>
        <v>1</v>
      </c>
      <c r="L1165" s="13" t="str">
        <f>IFERROR(VLOOKUP(C1165,'Справочник соответствий'!A$2:D$2981,3,FALSE),IF(VALUE(C1165)=0,"ЭТАЖ НЕ ОПРЕДЕЛЕН. ПРИНЯТ ПО ДОПУЩЕНИЮ 1",VLOOKUP(C1165,'Справочник соответствий'!A$2:D$2981,3,FALSE)))</f>
        <v>ЭТАЖ ЗАДАН ЧИСЛОМ</v>
      </c>
      <c r="M1165" s="13" t="b">
        <f t="shared" si="127"/>
        <v>0</v>
      </c>
      <c r="N1165" s="13">
        <f t="shared" si="128"/>
        <v>1</v>
      </c>
      <c r="O1165" s="13" t="str">
        <f t="shared" si="129"/>
        <v>ЭТАЖ ЗАДАН ЧИСЛОМ</v>
      </c>
      <c r="P1165" s="13" t="str">
        <f t="shared" si="130"/>
        <v>ЭТАЖ ЗАДАН ЧИСЛОМ</v>
      </c>
      <c r="Q1165" s="13" t="str">
        <f t="shared" si="131"/>
        <v>ГОТОВ_ИЗМЕНЕН</v>
      </c>
      <c r="R1165" s="13">
        <f>IFERROR(VLOOKUP(P1165,Лист1!A$1:B$20,2,FALSE),0)</f>
        <v>784</v>
      </c>
      <c r="S1165" s="13">
        <f t="shared" si="132"/>
        <v>0</v>
      </c>
    </row>
    <row r="1166" spans="1:19" x14ac:dyDescent="0.25">
      <c r="A1166" s="24" t="s">
        <v>2283</v>
      </c>
      <c r="B1166" s="4" t="s">
        <v>1063</v>
      </c>
      <c r="C1166" s="25" t="s">
        <v>5</v>
      </c>
      <c r="G1166" s="25" t="s">
        <v>1230</v>
      </c>
      <c r="H1166" s="24" t="s">
        <v>1061</v>
      </c>
      <c r="I1166" s="3" t="str">
        <f>IFERROR(VLOOKUP(C1166,'Справочник соответствий'!A$2:D$2981,2,FALSE),IF(VALUE(C1166)=0,1,VLOOKUP(C1166,'Справочник соответствий'!A$2:D$2981,2,FALSE)))</f>
        <v>1</v>
      </c>
      <c r="J1166" s="3">
        <f>IFERROR(VLOOKUP(D1166,'Справочник соответствий'!A$2:D$2981,2,FALSE),IF(VALUE(D1166)=0,0,VLOOKUP(D1166,'Справочник соответствий'!A$2:D$2981,2,FALSE)))</f>
        <v>0</v>
      </c>
      <c r="K1166" s="3" t="str">
        <f t="shared" si="126"/>
        <v>1</v>
      </c>
      <c r="L1166" s="13" t="str">
        <f>IFERROR(VLOOKUP(C1166,'Справочник соответствий'!A$2:D$2981,3,FALSE),IF(VALUE(C1166)=0,"ЭТАЖ НЕ ОПРЕДЕЛЕН. ПРИНЯТ ПО ДОПУЩЕНИЮ 1",VLOOKUP(C1166,'Справочник соответствий'!A$2:D$2981,3,FALSE)))</f>
        <v>ЭТАЖ ЗАДАН ЧИСЛОМ</v>
      </c>
      <c r="M1166" s="13" t="b">
        <f t="shared" si="127"/>
        <v>0</v>
      </c>
      <c r="N1166" s="13">
        <f t="shared" si="128"/>
        <v>1</v>
      </c>
      <c r="O1166" s="13" t="str">
        <f t="shared" si="129"/>
        <v>ЭТАЖ ЗАДАН ЧИСЛОМ</v>
      </c>
      <c r="P1166" s="13" t="str">
        <f t="shared" si="130"/>
        <v>ЭТАЖ ЗАДАН ЧИСЛОМ</v>
      </c>
      <c r="Q1166" s="13" t="str">
        <f t="shared" si="131"/>
        <v>ГОТОВ_ИЗМЕНЕН</v>
      </c>
      <c r="R1166" s="13">
        <f>IFERROR(VLOOKUP(P1166,Лист1!A$1:B$20,2,FALSE),0)</f>
        <v>784</v>
      </c>
      <c r="S1166" s="13">
        <f t="shared" si="132"/>
        <v>0</v>
      </c>
    </row>
    <row r="1167" spans="1:19" x14ac:dyDescent="0.25">
      <c r="A1167" s="24" t="s">
        <v>2284</v>
      </c>
      <c r="B1167" s="4" t="s">
        <v>1059</v>
      </c>
      <c r="C1167" s="25" t="s">
        <v>7</v>
      </c>
      <c r="G1167" s="25" t="s">
        <v>1230</v>
      </c>
      <c r="H1167" s="24" t="s">
        <v>1061</v>
      </c>
      <c r="I1167" s="3" t="str">
        <f>IFERROR(VLOOKUP(C1167,'Справочник соответствий'!A$2:D$2981,2,FALSE),IF(VALUE(C1167)=0,1,VLOOKUP(C1167,'Справочник соответствий'!A$2:D$2981,2,FALSE)))</f>
        <v>2</v>
      </c>
      <c r="J1167" s="3">
        <f>IFERROR(VLOOKUP(D1167,'Справочник соответствий'!A$2:D$2981,2,FALSE),IF(VALUE(D1167)=0,0,VLOOKUP(D1167,'Справочник соответствий'!A$2:D$2981,2,FALSE)))</f>
        <v>0</v>
      </c>
      <c r="K1167" s="3" t="str">
        <f t="shared" si="126"/>
        <v>2</v>
      </c>
      <c r="L1167" s="13" t="str">
        <f>IFERROR(VLOOKUP(C1167,'Справочник соответствий'!A$2:D$2981,3,FALSE),IF(VALUE(C1167)=0,"ЭТАЖ НЕ ОПРЕДЕЛЕН. ПРИНЯТ ПО ДОПУЩЕНИЮ 1",VLOOKUP(C1167,'Справочник соответствий'!A$2:D$2981,3,FALSE)))</f>
        <v>ЭТАЖ ЗАДАН ЧИСЛОМ</v>
      </c>
      <c r="M1167" s="13" t="b">
        <f t="shared" si="127"/>
        <v>0</v>
      </c>
      <c r="N1167" s="13">
        <f t="shared" si="128"/>
        <v>2</v>
      </c>
      <c r="O1167" s="13" t="str">
        <f t="shared" si="129"/>
        <v>ЭТАЖ ЗАДАН ЧИСЛОМ</v>
      </c>
      <c r="P1167" s="13" t="str">
        <f t="shared" si="130"/>
        <v>ЭТАЖ ЗАДАН ЧИСЛОМ</v>
      </c>
      <c r="Q1167" s="13" t="str">
        <f t="shared" si="131"/>
        <v>ГОТОВ_ИЗМЕНЕН</v>
      </c>
      <c r="R1167" s="13">
        <f>IFERROR(VLOOKUP(P1167,Лист1!A$1:B$20,2,FALSE),0)</f>
        <v>784</v>
      </c>
      <c r="S1167" s="13">
        <f t="shared" si="132"/>
        <v>0</v>
      </c>
    </row>
    <row r="1168" spans="1:19" x14ac:dyDescent="0.25">
      <c r="A1168" s="24" t="s">
        <v>2285</v>
      </c>
      <c r="B1168" s="4" t="s">
        <v>1059</v>
      </c>
      <c r="C1168" s="25" t="s">
        <v>8</v>
      </c>
      <c r="D1168" s="25" t="s">
        <v>5</v>
      </c>
      <c r="G1168" s="25" t="s">
        <v>1067</v>
      </c>
      <c r="H1168" s="24" t="s">
        <v>1061</v>
      </c>
      <c r="I1168" s="3" t="str">
        <f>IFERROR(VLOOKUP(C1168,'Справочник соответствий'!A$2:D$2981,2,FALSE),IF(VALUE(C1168)=0,1,VLOOKUP(C1168,'Справочник соответствий'!A$2:D$2981,2,FALSE)))</f>
        <v>3</v>
      </c>
      <c r="J1168" s="3" t="str">
        <f>IFERROR(VLOOKUP(D1168,'Справочник соответствий'!A$2:D$2981,2,FALSE),IF(VALUE(D1168)=0,0,VLOOKUP(D1168,'Справочник соответствий'!A$2:D$2981,2,FALSE)))</f>
        <v>1</v>
      </c>
      <c r="K1168" s="3" t="str">
        <f t="shared" si="126"/>
        <v>3</v>
      </c>
      <c r="L1168" s="13" t="str">
        <f>IFERROR(VLOOKUP(C1168,'Справочник соответствий'!A$2:D$2981,3,FALSE),IF(VALUE(C1168)=0,"ЭТАЖ НЕ ОПРЕДЕЛЕН. ПРИНЯТ ПО ДОПУЩЕНИЮ 1",VLOOKUP(C1168,'Справочник соответствий'!A$2:D$2981,3,FALSE)))</f>
        <v>ЭТАЖ ЗАДАН ЧИСЛОМ</v>
      </c>
      <c r="M1168" s="13" t="b">
        <f t="shared" si="127"/>
        <v>0</v>
      </c>
      <c r="N1168" s="13">
        <f t="shared" si="128"/>
        <v>3</v>
      </c>
      <c r="O1168" s="13" t="str">
        <f t="shared" si="129"/>
        <v>ЭТАЖ ЗАДАН ЧИСЛОМ</v>
      </c>
      <c r="P1168" s="13" t="str">
        <f t="shared" si="130"/>
        <v>ЭТАЖ ЗАДАН ЧИСЛОМ</v>
      </c>
      <c r="Q1168" s="13" t="str">
        <f t="shared" si="131"/>
        <v>ГОТОВ_ИЗМЕНЕН</v>
      </c>
      <c r="R1168" s="13">
        <f>IFERROR(VLOOKUP(P1168,Лист1!A$1:B$20,2,FALSE),0)</f>
        <v>784</v>
      </c>
      <c r="S1168" s="13">
        <f t="shared" si="132"/>
        <v>0</v>
      </c>
    </row>
    <row r="1169" spans="1:19" x14ac:dyDescent="0.25">
      <c r="A1169" s="24" t="s">
        <v>2286</v>
      </c>
      <c r="B1169" s="4" t="s">
        <v>1063</v>
      </c>
      <c r="C1169" s="25" t="s">
        <v>5</v>
      </c>
      <c r="G1169" s="25" t="s">
        <v>1067</v>
      </c>
      <c r="H1169" s="24" t="s">
        <v>1061</v>
      </c>
      <c r="I1169" s="3" t="str">
        <f>IFERROR(VLOOKUP(C1169,'Справочник соответствий'!A$2:D$2981,2,FALSE),IF(VALUE(C1169)=0,1,VLOOKUP(C1169,'Справочник соответствий'!A$2:D$2981,2,FALSE)))</f>
        <v>1</v>
      </c>
      <c r="J1169" s="3">
        <f>IFERROR(VLOOKUP(D1169,'Справочник соответствий'!A$2:D$2981,2,FALSE),IF(VALUE(D1169)=0,0,VLOOKUP(D1169,'Справочник соответствий'!A$2:D$2981,2,FALSE)))</f>
        <v>0</v>
      </c>
      <c r="K1169" s="3" t="str">
        <f t="shared" si="126"/>
        <v>1</v>
      </c>
      <c r="L1169" s="13" t="str">
        <f>IFERROR(VLOOKUP(C1169,'Справочник соответствий'!A$2:D$2981,3,FALSE),IF(VALUE(C1169)=0,"ЭТАЖ НЕ ОПРЕДЕЛЕН. ПРИНЯТ ПО ДОПУЩЕНИЮ 1",VLOOKUP(C1169,'Справочник соответствий'!A$2:D$2981,3,FALSE)))</f>
        <v>ЭТАЖ ЗАДАН ЧИСЛОМ</v>
      </c>
      <c r="M1169" s="13" t="b">
        <f t="shared" si="127"/>
        <v>0</v>
      </c>
      <c r="N1169" s="13">
        <f t="shared" si="128"/>
        <v>1</v>
      </c>
      <c r="O1169" s="13" t="str">
        <f t="shared" si="129"/>
        <v>ЭТАЖ ЗАДАН ЧИСЛОМ</v>
      </c>
      <c r="P1169" s="13" t="str">
        <f t="shared" si="130"/>
        <v>ЭТАЖ ЗАДАН ЧИСЛОМ</v>
      </c>
      <c r="Q1169" s="13" t="str">
        <f t="shared" si="131"/>
        <v>ГОТОВ_ИЗМЕНЕН</v>
      </c>
      <c r="R1169" s="13">
        <f>IFERROR(VLOOKUP(P1169,Лист1!A$1:B$20,2,FALSE),0)</f>
        <v>784</v>
      </c>
      <c r="S1169" s="13">
        <f t="shared" si="132"/>
        <v>0</v>
      </c>
    </row>
    <row r="1170" spans="1:19" x14ac:dyDescent="0.25">
      <c r="A1170" s="24" t="s">
        <v>2287</v>
      </c>
      <c r="B1170" s="4" t="s">
        <v>1063</v>
      </c>
      <c r="C1170" s="25" t="s">
        <v>5</v>
      </c>
      <c r="G1170" s="25" t="s">
        <v>1067</v>
      </c>
      <c r="H1170" s="24" t="s">
        <v>1061</v>
      </c>
      <c r="I1170" s="3" t="str">
        <f>IFERROR(VLOOKUP(C1170,'Справочник соответствий'!A$2:D$2981,2,FALSE),IF(VALUE(C1170)=0,1,VLOOKUP(C1170,'Справочник соответствий'!A$2:D$2981,2,FALSE)))</f>
        <v>1</v>
      </c>
      <c r="J1170" s="3">
        <f>IFERROR(VLOOKUP(D1170,'Справочник соответствий'!A$2:D$2981,2,FALSE),IF(VALUE(D1170)=0,0,VLOOKUP(D1170,'Справочник соответствий'!A$2:D$2981,2,FALSE)))</f>
        <v>0</v>
      </c>
      <c r="K1170" s="3" t="str">
        <f t="shared" si="126"/>
        <v>1</v>
      </c>
      <c r="L1170" s="13" t="str">
        <f>IFERROR(VLOOKUP(C1170,'Справочник соответствий'!A$2:D$2981,3,FALSE),IF(VALUE(C1170)=0,"ЭТАЖ НЕ ОПРЕДЕЛЕН. ПРИНЯТ ПО ДОПУЩЕНИЮ 1",VLOOKUP(C1170,'Справочник соответствий'!A$2:D$2981,3,FALSE)))</f>
        <v>ЭТАЖ ЗАДАН ЧИСЛОМ</v>
      </c>
      <c r="M1170" s="13" t="b">
        <f t="shared" si="127"/>
        <v>0</v>
      </c>
      <c r="N1170" s="13">
        <f t="shared" si="128"/>
        <v>1</v>
      </c>
      <c r="O1170" s="13" t="str">
        <f t="shared" si="129"/>
        <v>ЭТАЖ ЗАДАН ЧИСЛОМ</v>
      </c>
      <c r="P1170" s="13" t="str">
        <f t="shared" si="130"/>
        <v>ЭТАЖ ЗАДАН ЧИСЛОМ</v>
      </c>
      <c r="Q1170" s="13" t="str">
        <f t="shared" si="131"/>
        <v>ГОТОВ_ИЗМЕНЕН</v>
      </c>
      <c r="R1170" s="13">
        <f>IFERROR(VLOOKUP(P1170,Лист1!A$1:B$20,2,FALSE),0)</f>
        <v>784</v>
      </c>
      <c r="S1170" s="13">
        <f t="shared" si="132"/>
        <v>0</v>
      </c>
    </row>
    <row r="1171" spans="1:19" x14ac:dyDescent="0.25">
      <c r="A1171" s="24" t="s">
        <v>2288</v>
      </c>
      <c r="B1171" s="4" t="s">
        <v>1063</v>
      </c>
      <c r="C1171" s="25" t="s">
        <v>5</v>
      </c>
      <c r="G1171" s="25" t="s">
        <v>1067</v>
      </c>
      <c r="H1171" s="24" t="s">
        <v>1061</v>
      </c>
      <c r="I1171" s="3" t="str">
        <f>IFERROR(VLOOKUP(C1171,'Справочник соответствий'!A$2:D$2981,2,FALSE),IF(VALUE(C1171)=0,1,VLOOKUP(C1171,'Справочник соответствий'!A$2:D$2981,2,FALSE)))</f>
        <v>1</v>
      </c>
      <c r="J1171" s="3">
        <f>IFERROR(VLOOKUP(D1171,'Справочник соответствий'!A$2:D$2981,2,FALSE),IF(VALUE(D1171)=0,0,VLOOKUP(D1171,'Справочник соответствий'!A$2:D$2981,2,FALSE)))</f>
        <v>0</v>
      </c>
      <c r="K1171" s="3" t="str">
        <f t="shared" si="126"/>
        <v>1</v>
      </c>
      <c r="L1171" s="13" t="str">
        <f>IFERROR(VLOOKUP(C1171,'Справочник соответствий'!A$2:D$2981,3,FALSE),IF(VALUE(C1171)=0,"ЭТАЖ НЕ ОПРЕДЕЛЕН. ПРИНЯТ ПО ДОПУЩЕНИЮ 1",VLOOKUP(C1171,'Справочник соответствий'!A$2:D$2981,3,FALSE)))</f>
        <v>ЭТАЖ ЗАДАН ЧИСЛОМ</v>
      </c>
      <c r="M1171" s="13" t="b">
        <f t="shared" si="127"/>
        <v>0</v>
      </c>
      <c r="N1171" s="13">
        <f t="shared" si="128"/>
        <v>1</v>
      </c>
      <c r="O1171" s="13" t="str">
        <f t="shared" si="129"/>
        <v>ЭТАЖ ЗАДАН ЧИСЛОМ</v>
      </c>
      <c r="P1171" s="13" t="str">
        <f t="shared" si="130"/>
        <v>ЭТАЖ ЗАДАН ЧИСЛОМ</v>
      </c>
      <c r="Q1171" s="13" t="str">
        <f t="shared" si="131"/>
        <v>ГОТОВ_ИЗМЕНЕН</v>
      </c>
      <c r="R1171" s="13">
        <f>IFERROR(VLOOKUP(P1171,Лист1!A$1:B$20,2,FALSE),0)</f>
        <v>784</v>
      </c>
      <c r="S1171" s="13">
        <f t="shared" si="132"/>
        <v>0</v>
      </c>
    </row>
    <row r="1172" spans="1:19" x14ac:dyDescent="0.25">
      <c r="A1172" s="24" t="s">
        <v>2289</v>
      </c>
      <c r="B1172" s="4" t="s">
        <v>1059</v>
      </c>
      <c r="C1172" s="25" t="s">
        <v>5</v>
      </c>
      <c r="G1172" s="25" t="s">
        <v>1067</v>
      </c>
      <c r="H1172" s="24" t="s">
        <v>1061</v>
      </c>
      <c r="I1172" s="3" t="str">
        <f>IFERROR(VLOOKUP(C1172,'Справочник соответствий'!A$2:D$2981,2,FALSE),IF(VALUE(C1172)=0,1,VLOOKUP(C1172,'Справочник соответствий'!A$2:D$2981,2,FALSE)))</f>
        <v>1</v>
      </c>
      <c r="J1172" s="3">
        <f>IFERROR(VLOOKUP(D1172,'Справочник соответствий'!A$2:D$2981,2,FALSE),IF(VALUE(D1172)=0,0,VLOOKUP(D1172,'Справочник соответствий'!A$2:D$2981,2,FALSE)))</f>
        <v>0</v>
      </c>
      <c r="K1172" s="3" t="str">
        <f t="shared" si="126"/>
        <v>1</v>
      </c>
      <c r="L1172" s="13" t="str">
        <f>IFERROR(VLOOKUP(C1172,'Справочник соответствий'!A$2:D$2981,3,FALSE),IF(VALUE(C1172)=0,"ЭТАЖ НЕ ОПРЕДЕЛЕН. ПРИНЯТ ПО ДОПУЩЕНИЮ 1",VLOOKUP(C1172,'Справочник соответствий'!A$2:D$2981,3,FALSE)))</f>
        <v>ЭТАЖ ЗАДАН ЧИСЛОМ</v>
      </c>
      <c r="M1172" s="13" t="b">
        <f t="shared" si="127"/>
        <v>0</v>
      </c>
      <c r="N1172" s="13">
        <f t="shared" si="128"/>
        <v>1</v>
      </c>
      <c r="O1172" s="13" t="str">
        <f t="shared" si="129"/>
        <v>ЭТАЖ ЗАДАН ЧИСЛОМ</v>
      </c>
      <c r="P1172" s="13" t="str">
        <f t="shared" si="130"/>
        <v>ЭТАЖ ЗАДАН ЧИСЛОМ</v>
      </c>
      <c r="Q1172" s="13" t="str">
        <f t="shared" si="131"/>
        <v>ГОТОВ_ИЗМЕНЕН</v>
      </c>
      <c r="R1172" s="13">
        <f>IFERROR(VLOOKUP(P1172,Лист1!A$1:B$20,2,FALSE),0)</f>
        <v>784</v>
      </c>
      <c r="S1172" s="13">
        <f t="shared" si="132"/>
        <v>0</v>
      </c>
    </row>
    <row r="1173" spans="1:19" x14ac:dyDescent="0.25">
      <c r="A1173" s="24" t="s">
        <v>2290</v>
      </c>
      <c r="B1173" s="4" t="s">
        <v>1059</v>
      </c>
      <c r="C1173" s="25" t="s">
        <v>5</v>
      </c>
      <c r="G1173" s="25" t="s">
        <v>1276</v>
      </c>
      <c r="H1173" s="24" t="s">
        <v>1061</v>
      </c>
      <c r="I1173" s="3" t="str">
        <f>IFERROR(VLOOKUP(C1173,'Справочник соответствий'!A$2:D$2981,2,FALSE),IF(VALUE(C1173)=0,1,VLOOKUP(C1173,'Справочник соответствий'!A$2:D$2981,2,FALSE)))</f>
        <v>1</v>
      </c>
      <c r="J1173" s="3">
        <f>IFERROR(VLOOKUP(D1173,'Справочник соответствий'!A$2:D$2981,2,FALSE),IF(VALUE(D1173)=0,0,VLOOKUP(D1173,'Справочник соответствий'!A$2:D$2981,2,FALSE)))</f>
        <v>0</v>
      </c>
      <c r="K1173" s="3" t="str">
        <f t="shared" si="126"/>
        <v>1</v>
      </c>
      <c r="L1173" s="13" t="str">
        <f>IFERROR(VLOOKUP(C1173,'Справочник соответствий'!A$2:D$2981,3,FALSE),IF(VALUE(C1173)=0,"ЭТАЖ НЕ ОПРЕДЕЛЕН. ПРИНЯТ ПО ДОПУЩЕНИЮ 1",VLOOKUP(C1173,'Справочник соответствий'!A$2:D$2981,3,FALSE)))</f>
        <v>ЭТАЖ ЗАДАН ЧИСЛОМ</v>
      </c>
      <c r="M1173" s="13" t="b">
        <f t="shared" si="127"/>
        <v>0</v>
      </c>
      <c r="N1173" s="13">
        <f t="shared" si="128"/>
        <v>1</v>
      </c>
      <c r="O1173" s="13" t="str">
        <f t="shared" si="129"/>
        <v>ЭТАЖ ЗАДАН ЧИСЛОМ</v>
      </c>
      <c r="P1173" s="13" t="str">
        <f t="shared" si="130"/>
        <v>ЭТАЖ ЗАДАН ЧИСЛОМ</v>
      </c>
      <c r="Q1173" s="13" t="str">
        <f t="shared" si="131"/>
        <v>ГОТОВ_ИЗМЕНЕН</v>
      </c>
      <c r="R1173" s="13">
        <f>IFERROR(VLOOKUP(P1173,Лист1!A$1:B$20,2,FALSE),0)</f>
        <v>784</v>
      </c>
      <c r="S1173" s="13">
        <f t="shared" si="132"/>
        <v>0</v>
      </c>
    </row>
    <row r="1174" spans="1:19" x14ac:dyDescent="0.25">
      <c r="A1174" s="24" t="s">
        <v>2291</v>
      </c>
      <c r="B1174" s="4" t="s">
        <v>1063</v>
      </c>
      <c r="C1174" s="25" t="s">
        <v>5</v>
      </c>
      <c r="G1174" s="25" t="s">
        <v>1276</v>
      </c>
      <c r="H1174" s="24" t="s">
        <v>1061</v>
      </c>
      <c r="I1174" s="3" t="str">
        <f>IFERROR(VLOOKUP(C1174,'Справочник соответствий'!A$2:D$2981,2,FALSE),IF(VALUE(C1174)=0,1,VLOOKUP(C1174,'Справочник соответствий'!A$2:D$2981,2,FALSE)))</f>
        <v>1</v>
      </c>
      <c r="J1174" s="3">
        <f>IFERROR(VLOOKUP(D1174,'Справочник соответствий'!A$2:D$2981,2,FALSE),IF(VALUE(D1174)=0,0,VLOOKUP(D1174,'Справочник соответствий'!A$2:D$2981,2,FALSE)))</f>
        <v>0</v>
      </c>
      <c r="K1174" s="3" t="str">
        <f t="shared" si="126"/>
        <v>1</v>
      </c>
      <c r="L1174" s="13" t="str">
        <f>IFERROR(VLOOKUP(C1174,'Справочник соответствий'!A$2:D$2981,3,FALSE),IF(VALUE(C1174)=0,"ЭТАЖ НЕ ОПРЕДЕЛЕН. ПРИНЯТ ПО ДОПУЩЕНИЮ 1",VLOOKUP(C1174,'Справочник соответствий'!A$2:D$2981,3,FALSE)))</f>
        <v>ЭТАЖ ЗАДАН ЧИСЛОМ</v>
      </c>
      <c r="M1174" s="13" t="b">
        <f t="shared" si="127"/>
        <v>0</v>
      </c>
      <c r="N1174" s="13">
        <f t="shared" si="128"/>
        <v>1</v>
      </c>
      <c r="O1174" s="13" t="str">
        <f t="shared" si="129"/>
        <v>ЭТАЖ ЗАДАН ЧИСЛОМ</v>
      </c>
      <c r="P1174" s="13" t="str">
        <f t="shared" si="130"/>
        <v>ЭТАЖ ЗАДАН ЧИСЛОМ</v>
      </c>
      <c r="Q1174" s="13" t="str">
        <f t="shared" si="131"/>
        <v>ГОТОВ_ИЗМЕНЕН</v>
      </c>
      <c r="R1174" s="13">
        <f>IFERROR(VLOOKUP(P1174,Лист1!A$1:B$20,2,FALSE),0)</f>
        <v>784</v>
      </c>
      <c r="S1174" s="13">
        <f t="shared" si="132"/>
        <v>0</v>
      </c>
    </row>
    <row r="1175" spans="1:19" x14ac:dyDescent="0.25">
      <c r="A1175" s="24" t="s">
        <v>2292</v>
      </c>
      <c r="B1175" s="4" t="s">
        <v>1059</v>
      </c>
      <c r="C1175" s="25" t="s">
        <v>7</v>
      </c>
      <c r="G1175" s="25" t="s">
        <v>1067</v>
      </c>
      <c r="H1175" s="24" t="s">
        <v>1061</v>
      </c>
      <c r="I1175" s="3" t="str">
        <f>IFERROR(VLOOKUP(C1175,'Справочник соответствий'!A$2:D$2981,2,FALSE),IF(VALUE(C1175)=0,1,VLOOKUP(C1175,'Справочник соответствий'!A$2:D$2981,2,FALSE)))</f>
        <v>2</v>
      </c>
      <c r="J1175" s="3">
        <f>IFERROR(VLOOKUP(D1175,'Справочник соответствий'!A$2:D$2981,2,FALSE),IF(VALUE(D1175)=0,0,VLOOKUP(D1175,'Справочник соответствий'!A$2:D$2981,2,FALSE)))</f>
        <v>0</v>
      </c>
      <c r="K1175" s="3" t="str">
        <f t="shared" si="126"/>
        <v>2</v>
      </c>
      <c r="L1175" s="13" t="str">
        <f>IFERROR(VLOOKUP(C1175,'Справочник соответствий'!A$2:D$2981,3,FALSE),IF(VALUE(C1175)=0,"ЭТАЖ НЕ ОПРЕДЕЛЕН. ПРИНЯТ ПО ДОПУЩЕНИЮ 1",VLOOKUP(C1175,'Справочник соответствий'!A$2:D$2981,3,FALSE)))</f>
        <v>ЭТАЖ ЗАДАН ЧИСЛОМ</v>
      </c>
      <c r="M1175" s="13" t="b">
        <f t="shared" si="127"/>
        <v>0</v>
      </c>
      <c r="N1175" s="13">
        <f t="shared" si="128"/>
        <v>2</v>
      </c>
      <c r="O1175" s="13" t="str">
        <f t="shared" si="129"/>
        <v>ЭТАЖ ЗАДАН ЧИСЛОМ</v>
      </c>
      <c r="P1175" s="13" t="str">
        <f t="shared" si="130"/>
        <v>ЭТАЖ ЗАДАН ЧИСЛОМ</v>
      </c>
      <c r="Q1175" s="13" t="str">
        <f t="shared" si="131"/>
        <v>ГОТОВ_ИЗМЕНЕН</v>
      </c>
      <c r="R1175" s="13">
        <f>IFERROR(VLOOKUP(P1175,Лист1!A$1:B$20,2,FALSE),0)</f>
        <v>784</v>
      </c>
      <c r="S1175" s="13">
        <f t="shared" si="132"/>
        <v>0</v>
      </c>
    </row>
    <row r="1176" spans="1:19" x14ac:dyDescent="0.25">
      <c r="A1176" s="24" t="s">
        <v>2293</v>
      </c>
      <c r="B1176" s="4" t="s">
        <v>1063</v>
      </c>
      <c r="C1176" s="25" t="s">
        <v>5</v>
      </c>
      <c r="G1176" s="25" t="s">
        <v>1086</v>
      </c>
      <c r="H1176" s="24" t="s">
        <v>1061</v>
      </c>
      <c r="I1176" s="3" t="str">
        <f>IFERROR(VLOOKUP(C1176,'Справочник соответствий'!A$2:D$2981,2,FALSE),IF(VALUE(C1176)=0,1,VLOOKUP(C1176,'Справочник соответствий'!A$2:D$2981,2,FALSE)))</f>
        <v>1</v>
      </c>
      <c r="J1176" s="3">
        <f>IFERROR(VLOOKUP(D1176,'Справочник соответствий'!A$2:D$2981,2,FALSE),IF(VALUE(D1176)=0,0,VLOOKUP(D1176,'Справочник соответствий'!A$2:D$2981,2,FALSE)))</f>
        <v>0</v>
      </c>
      <c r="K1176" s="3" t="str">
        <f t="shared" si="126"/>
        <v>1</v>
      </c>
      <c r="L1176" s="13" t="str">
        <f>IFERROR(VLOOKUP(C1176,'Справочник соответствий'!A$2:D$2981,3,FALSE),IF(VALUE(C1176)=0,"ЭТАЖ НЕ ОПРЕДЕЛЕН. ПРИНЯТ ПО ДОПУЩЕНИЮ 1",VLOOKUP(C1176,'Справочник соответствий'!A$2:D$2981,3,FALSE)))</f>
        <v>ЭТАЖ ЗАДАН ЧИСЛОМ</v>
      </c>
      <c r="M1176" s="13" t="b">
        <f t="shared" si="127"/>
        <v>0</v>
      </c>
      <c r="N1176" s="13">
        <f t="shared" si="128"/>
        <v>1</v>
      </c>
      <c r="O1176" s="13" t="str">
        <f t="shared" si="129"/>
        <v>ЭТАЖ ЗАДАН ЧИСЛОМ</v>
      </c>
      <c r="P1176" s="13" t="str">
        <f t="shared" si="130"/>
        <v>ЭТАЖ ЗАДАН ЧИСЛОМ</v>
      </c>
      <c r="Q1176" s="13" t="str">
        <f t="shared" si="131"/>
        <v>ГОТОВ_ИЗМЕНЕН</v>
      </c>
      <c r="R1176" s="13">
        <f>IFERROR(VLOOKUP(P1176,Лист1!A$1:B$20,2,FALSE),0)</f>
        <v>784</v>
      </c>
      <c r="S1176" s="13">
        <f t="shared" si="132"/>
        <v>0</v>
      </c>
    </row>
    <row r="1177" spans="1:19" x14ac:dyDescent="0.25">
      <c r="A1177" s="24" t="s">
        <v>2294</v>
      </c>
      <c r="B1177" s="4" t="s">
        <v>1059</v>
      </c>
      <c r="C1177" s="25" t="s">
        <v>7</v>
      </c>
      <c r="G1177" s="25" t="s">
        <v>1086</v>
      </c>
      <c r="H1177" s="24" t="s">
        <v>1061</v>
      </c>
      <c r="I1177" s="3" t="str">
        <f>IFERROR(VLOOKUP(C1177,'Справочник соответствий'!A$2:D$2981,2,FALSE),IF(VALUE(C1177)=0,1,VLOOKUP(C1177,'Справочник соответствий'!A$2:D$2981,2,FALSE)))</f>
        <v>2</v>
      </c>
      <c r="J1177" s="3">
        <f>IFERROR(VLOOKUP(D1177,'Справочник соответствий'!A$2:D$2981,2,FALSE),IF(VALUE(D1177)=0,0,VLOOKUP(D1177,'Справочник соответствий'!A$2:D$2981,2,FALSE)))</f>
        <v>0</v>
      </c>
      <c r="K1177" s="3" t="str">
        <f t="shared" si="126"/>
        <v>2</v>
      </c>
      <c r="L1177" s="13" t="str">
        <f>IFERROR(VLOOKUP(C1177,'Справочник соответствий'!A$2:D$2981,3,FALSE),IF(VALUE(C1177)=0,"ЭТАЖ НЕ ОПРЕДЕЛЕН. ПРИНЯТ ПО ДОПУЩЕНИЮ 1",VLOOKUP(C1177,'Справочник соответствий'!A$2:D$2981,3,FALSE)))</f>
        <v>ЭТАЖ ЗАДАН ЧИСЛОМ</v>
      </c>
      <c r="M1177" s="13" t="b">
        <f t="shared" si="127"/>
        <v>0</v>
      </c>
      <c r="N1177" s="13">
        <f t="shared" si="128"/>
        <v>2</v>
      </c>
      <c r="O1177" s="13" t="str">
        <f t="shared" si="129"/>
        <v>ЭТАЖ ЗАДАН ЧИСЛОМ</v>
      </c>
      <c r="P1177" s="13" t="str">
        <f t="shared" si="130"/>
        <v>ЭТАЖ ЗАДАН ЧИСЛОМ</v>
      </c>
      <c r="Q1177" s="13" t="str">
        <f t="shared" si="131"/>
        <v>ГОТОВ_ИЗМЕНЕН</v>
      </c>
      <c r="R1177" s="13">
        <f>IFERROR(VLOOKUP(P1177,Лист1!A$1:B$20,2,FALSE),0)</f>
        <v>784</v>
      </c>
      <c r="S1177" s="13">
        <f t="shared" si="132"/>
        <v>0</v>
      </c>
    </row>
    <row r="1178" spans="1:19" x14ac:dyDescent="0.25">
      <c r="A1178" s="24" t="s">
        <v>2295</v>
      </c>
      <c r="B1178" s="4" t="s">
        <v>1059</v>
      </c>
      <c r="C1178" s="25" t="s">
        <v>5</v>
      </c>
      <c r="G1178" s="25" t="s">
        <v>1086</v>
      </c>
      <c r="H1178" s="24" t="s">
        <v>1061</v>
      </c>
      <c r="I1178" s="3" t="str">
        <f>IFERROR(VLOOKUP(C1178,'Справочник соответствий'!A$2:D$2981,2,FALSE),IF(VALUE(C1178)=0,1,VLOOKUP(C1178,'Справочник соответствий'!A$2:D$2981,2,FALSE)))</f>
        <v>1</v>
      </c>
      <c r="J1178" s="3">
        <f>IFERROR(VLOOKUP(D1178,'Справочник соответствий'!A$2:D$2981,2,FALSE),IF(VALUE(D1178)=0,0,VLOOKUP(D1178,'Справочник соответствий'!A$2:D$2981,2,FALSE)))</f>
        <v>0</v>
      </c>
      <c r="K1178" s="3" t="str">
        <f t="shared" si="126"/>
        <v>1</v>
      </c>
      <c r="L1178" s="13" t="str">
        <f>IFERROR(VLOOKUP(C1178,'Справочник соответствий'!A$2:D$2981,3,FALSE),IF(VALUE(C1178)=0,"ЭТАЖ НЕ ОПРЕДЕЛЕН. ПРИНЯТ ПО ДОПУЩЕНИЮ 1",VLOOKUP(C1178,'Справочник соответствий'!A$2:D$2981,3,FALSE)))</f>
        <v>ЭТАЖ ЗАДАН ЧИСЛОМ</v>
      </c>
      <c r="M1178" s="13" t="b">
        <f t="shared" si="127"/>
        <v>0</v>
      </c>
      <c r="N1178" s="13">
        <f t="shared" si="128"/>
        <v>1</v>
      </c>
      <c r="O1178" s="13" t="str">
        <f t="shared" si="129"/>
        <v>ЭТАЖ ЗАДАН ЧИСЛОМ</v>
      </c>
      <c r="P1178" s="13" t="str">
        <f t="shared" si="130"/>
        <v>ЭТАЖ ЗАДАН ЧИСЛОМ</v>
      </c>
      <c r="Q1178" s="13" t="str">
        <f t="shared" si="131"/>
        <v>ГОТОВ_ИЗМЕНЕН</v>
      </c>
      <c r="R1178" s="13">
        <f>IFERROR(VLOOKUP(P1178,Лист1!A$1:B$20,2,FALSE),0)</f>
        <v>784</v>
      </c>
      <c r="S1178" s="13">
        <f t="shared" si="132"/>
        <v>0</v>
      </c>
    </row>
    <row r="1179" spans="1:19" x14ac:dyDescent="0.25">
      <c r="A1179" s="24" t="s">
        <v>2296</v>
      </c>
      <c r="B1179" s="4" t="s">
        <v>1063</v>
      </c>
      <c r="C1179" s="25" t="s">
        <v>7</v>
      </c>
      <c r="G1179" s="25" t="s">
        <v>1086</v>
      </c>
      <c r="H1179" s="24" t="s">
        <v>1061</v>
      </c>
      <c r="I1179" s="3" t="str">
        <f>IFERROR(VLOOKUP(C1179,'Справочник соответствий'!A$2:D$2981,2,FALSE),IF(VALUE(C1179)=0,1,VLOOKUP(C1179,'Справочник соответствий'!A$2:D$2981,2,FALSE)))</f>
        <v>2</v>
      </c>
      <c r="J1179" s="3">
        <f>IFERROR(VLOOKUP(D1179,'Справочник соответствий'!A$2:D$2981,2,FALSE),IF(VALUE(D1179)=0,0,VLOOKUP(D1179,'Справочник соответствий'!A$2:D$2981,2,FALSE)))</f>
        <v>0</v>
      </c>
      <c r="K1179" s="3" t="str">
        <f t="shared" si="126"/>
        <v>2</v>
      </c>
      <c r="L1179" s="13" t="str">
        <f>IFERROR(VLOOKUP(C1179,'Справочник соответствий'!A$2:D$2981,3,FALSE),IF(VALUE(C1179)=0,"ЭТАЖ НЕ ОПРЕДЕЛЕН. ПРИНЯТ ПО ДОПУЩЕНИЮ 1",VLOOKUP(C1179,'Справочник соответствий'!A$2:D$2981,3,FALSE)))</f>
        <v>ЭТАЖ ЗАДАН ЧИСЛОМ</v>
      </c>
      <c r="M1179" s="13" t="b">
        <f t="shared" si="127"/>
        <v>0</v>
      </c>
      <c r="N1179" s="13">
        <f t="shared" si="128"/>
        <v>2</v>
      </c>
      <c r="O1179" s="13" t="str">
        <f t="shared" si="129"/>
        <v>ЭТАЖ ЗАДАН ЧИСЛОМ</v>
      </c>
      <c r="P1179" s="13" t="str">
        <f t="shared" si="130"/>
        <v>ЭТАЖ ЗАДАН ЧИСЛОМ</v>
      </c>
      <c r="Q1179" s="13" t="str">
        <f t="shared" si="131"/>
        <v>ГОТОВ_ИЗМЕНЕН</v>
      </c>
      <c r="R1179" s="13">
        <f>IFERROR(VLOOKUP(P1179,Лист1!A$1:B$20,2,FALSE),0)</f>
        <v>784</v>
      </c>
      <c r="S1179" s="13">
        <f t="shared" si="132"/>
        <v>0</v>
      </c>
    </row>
    <row r="1180" spans="1:19" x14ac:dyDescent="0.25">
      <c r="A1180" s="24" t="s">
        <v>2297</v>
      </c>
      <c r="B1180" s="4" t="s">
        <v>1063</v>
      </c>
      <c r="C1180" s="25" t="s">
        <v>5</v>
      </c>
      <c r="G1180" s="25" t="s">
        <v>1086</v>
      </c>
      <c r="H1180" s="24" t="s">
        <v>1061</v>
      </c>
      <c r="I1180" s="3" t="str">
        <f>IFERROR(VLOOKUP(C1180,'Справочник соответствий'!A$2:D$2981,2,FALSE),IF(VALUE(C1180)=0,1,VLOOKUP(C1180,'Справочник соответствий'!A$2:D$2981,2,FALSE)))</f>
        <v>1</v>
      </c>
      <c r="J1180" s="3">
        <f>IFERROR(VLOOKUP(D1180,'Справочник соответствий'!A$2:D$2981,2,FALSE),IF(VALUE(D1180)=0,0,VLOOKUP(D1180,'Справочник соответствий'!A$2:D$2981,2,FALSE)))</f>
        <v>0</v>
      </c>
      <c r="K1180" s="3" t="str">
        <f t="shared" si="126"/>
        <v>1</v>
      </c>
      <c r="L1180" s="13" t="str">
        <f>IFERROR(VLOOKUP(C1180,'Справочник соответствий'!A$2:D$2981,3,FALSE),IF(VALUE(C1180)=0,"ЭТАЖ НЕ ОПРЕДЕЛЕН. ПРИНЯТ ПО ДОПУЩЕНИЮ 1",VLOOKUP(C1180,'Справочник соответствий'!A$2:D$2981,3,FALSE)))</f>
        <v>ЭТАЖ ЗАДАН ЧИСЛОМ</v>
      </c>
      <c r="M1180" s="13" t="b">
        <f t="shared" si="127"/>
        <v>0</v>
      </c>
      <c r="N1180" s="13">
        <f t="shared" si="128"/>
        <v>1</v>
      </c>
      <c r="O1180" s="13" t="str">
        <f t="shared" si="129"/>
        <v>ЭТАЖ ЗАДАН ЧИСЛОМ</v>
      </c>
      <c r="P1180" s="13" t="str">
        <f t="shared" si="130"/>
        <v>ЭТАЖ ЗАДАН ЧИСЛОМ</v>
      </c>
      <c r="Q1180" s="13" t="str">
        <f t="shared" si="131"/>
        <v>ГОТОВ_ИЗМЕНЕН</v>
      </c>
      <c r="R1180" s="13">
        <f>IFERROR(VLOOKUP(P1180,Лист1!A$1:B$20,2,FALSE),0)</f>
        <v>784</v>
      </c>
      <c r="S1180" s="13">
        <f t="shared" si="132"/>
        <v>0</v>
      </c>
    </row>
    <row r="1181" spans="1:19" x14ac:dyDescent="0.25">
      <c r="A1181" s="24" t="s">
        <v>2298</v>
      </c>
      <c r="B1181" s="4" t="s">
        <v>1063</v>
      </c>
      <c r="C1181" s="25" t="s">
        <v>5</v>
      </c>
      <c r="G1181" s="25" t="s">
        <v>1086</v>
      </c>
      <c r="H1181" s="24" t="s">
        <v>1061</v>
      </c>
      <c r="I1181" s="3" t="str">
        <f>IFERROR(VLOOKUP(C1181,'Справочник соответствий'!A$2:D$2981,2,FALSE),IF(VALUE(C1181)=0,1,VLOOKUP(C1181,'Справочник соответствий'!A$2:D$2981,2,FALSE)))</f>
        <v>1</v>
      </c>
      <c r="J1181" s="3">
        <f>IFERROR(VLOOKUP(D1181,'Справочник соответствий'!A$2:D$2981,2,FALSE),IF(VALUE(D1181)=0,0,VLOOKUP(D1181,'Справочник соответствий'!A$2:D$2981,2,FALSE)))</f>
        <v>0</v>
      </c>
      <c r="K1181" s="3" t="str">
        <f t="shared" si="126"/>
        <v>1</v>
      </c>
      <c r="L1181" s="13" t="str">
        <f>IFERROR(VLOOKUP(C1181,'Справочник соответствий'!A$2:D$2981,3,FALSE),IF(VALUE(C1181)=0,"ЭТАЖ НЕ ОПРЕДЕЛЕН. ПРИНЯТ ПО ДОПУЩЕНИЮ 1",VLOOKUP(C1181,'Справочник соответствий'!A$2:D$2981,3,FALSE)))</f>
        <v>ЭТАЖ ЗАДАН ЧИСЛОМ</v>
      </c>
      <c r="M1181" s="13" t="b">
        <f t="shared" si="127"/>
        <v>0</v>
      </c>
      <c r="N1181" s="13">
        <f t="shared" si="128"/>
        <v>1</v>
      </c>
      <c r="O1181" s="13" t="str">
        <f t="shared" si="129"/>
        <v>ЭТАЖ ЗАДАН ЧИСЛОМ</v>
      </c>
      <c r="P1181" s="13" t="str">
        <f t="shared" si="130"/>
        <v>ЭТАЖ ЗАДАН ЧИСЛОМ</v>
      </c>
      <c r="Q1181" s="13" t="str">
        <f t="shared" si="131"/>
        <v>ГОТОВ_ИЗМЕНЕН</v>
      </c>
      <c r="R1181" s="13">
        <f>IFERROR(VLOOKUP(P1181,Лист1!A$1:B$20,2,FALSE),0)</f>
        <v>784</v>
      </c>
      <c r="S1181" s="13">
        <f t="shared" si="132"/>
        <v>0</v>
      </c>
    </row>
    <row r="1182" spans="1:19" x14ac:dyDescent="0.25">
      <c r="A1182" s="24" t="s">
        <v>2299</v>
      </c>
      <c r="B1182" s="4" t="s">
        <v>1063</v>
      </c>
      <c r="C1182" s="25" t="s">
        <v>5</v>
      </c>
      <c r="G1182" s="25" t="s">
        <v>1086</v>
      </c>
      <c r="H1182" s="24" t="s">
        <v>1061</v>
      </c>
      <c r="I1182" s="3" t="str">
        <f>IFERROR(VLOOKUP(C1182,'Справочник соответствий'!A$2:D$2981,2,FALSE),IF(VALUE(C1182)=0,1,VLOOKUP(C1182,'Справочник соответствий'!A$2:D$2981,2,FALSE)))</f>
        <v>1</v>
      </c>
      <c r="J1182" s="3">
        <f>IFERROR(VLOOKUP(D1182,'Справочник соответствий'!A$2:D$2981,2,FALSE),IF(VALUE(D1182)=0,0,VLOOKUP(D1182,'Справочник соответствий'!A$2:D$2981,2,FALSE)))</f>
        <v>0</v>
      </c>
      <c r="K1182" s="3" t="str">
        <f t="shared" si="126"/>
        <v>1</v>
      </c>
      <c r="L1182" s="13" t="str">
        <f>IFERROR(VLOOKUP(C1182,'Справочник соответствий'!A$2:D$2981,3,FALSE),IF(VALUE(C1182)=0,"ЭТАЖ НЕ ОПРЕДЕЛЕН. ПРИНЯТ ПО ДОПУЩЕНИЮ 1",VLOOKUP(C1182,'Справочник соответствий'!A$2:D$2981,3,FALSE)))</f>
        <v>ЭТАЖ ЗАДАН ЧИСЛОМ</v>
      </c>
      <c r="M1182" s="13" t="b">
        <f t="shared" si="127"/>
        <v>0</v>
      </c>
      <c r="N1182" s="13">
        <f t="shared" si="128"/>
        <v>1</v>
      </c>
      <c r="O1182" s="13" t="str">
        <f t="shared" si="129"/>
        <v>ЭТАЖ ЗАДАН ЧИСЛОМ</v>
      </c>
      <c r="P1182" s="13" t="str">
        <f t="shared" si="130"/>
        <v>ЭТАЖ ЗАДАН ЧИСЛОМ</v>
      </c>
      <c r="Q1182" s="13" t="str">
        <f t="shared" si="131"/>
        <v>ГОТОВ_ИЗМЕНЕН</v>
      </c>
      <c r="R1182" s="13">
        <f>IFERROR(VLOOKUP(P1182,Лист1!A$1:B$20,2,FALSE),0)</f>
        <v>784</v>
      </c>
      <c r="S1182" s="13">
        <f t="shared" si="132"/>
        <v>0</v>
      </c>
    </row>
    <row r="1183" spans="1:19" x14ac:dyDescent="0.25">
      <c r="A1183" s="24" t="s">
        <v>2300</v>
      </c>
      <c r="B1183" s="4" t="s">
        <v>1059</v>
      </c>
      <c r="C1183" s="25" t="s">
        <v>5</v>
      </c>
      <c r="G1183" s="25" t="s">
        <v>1117</v>
      </c>
      <c r="H1183" s="24" t="s">
        <v>1061</v>
      </c>
      <c r="I1183" s="3" t="str">
        <f>IFERROR(VLOOKUP(C1183,'Справочник соответствий'!A$2:D$2981,2,FALSE),IF(VALUE(C1183)=0,1,VLOOKUP(C1183,'Справочник соответствий'!A$2:D$2981,2,FALSE)))</f>
        <v>1</v>
      </c>
      <c r="J1183" s="3">
        <f>IFERROR(VLOOKUP(D1183,'Справочник соответствий'!A$2:D$2981,2,FALSE),IF(VALUE(D1183)=0,0,VLOOKUP(D1183,'Справочник соответствий'!A$2:D$2981,2,FALSE)))</f>
        <v>0</v>
      </c>
      <c r="K1183" s="3" t="str">
        <f t="shared" si="126"/>
        <v>1</v>
      </c>
      <c r="L1183" s="13" t="str">
        <f>IFERROR(VLOOKUP(C1183,'Справочник соответствий'!A$2:D$2981,3,FALSE),IF(VALUE(C1183)=0,"ЭТАЖ НЕ ОПРЕДЕЛЕН. ПРИНЯТ ПО ДОПУЩЕНИЮ 1",VLOOKUP(C1183,'Справочник соответствий'!A$2:D$2981,3,FALSE)))</f>
        <v>ЭТАЖ ЗАДАН ЧИСЛОМ</v>
      </c>
      <c r="M1183" s="13" t="b">
        <f t="shared" si="127"/>
        <v>0</v>
      </c>
      <c r="N1183" s="13">
        <f t="shared" si="128"/>
        <v>1</v>
      </c>
      <c r="O1183" s="13" t="str">
        <f t="shared" si="129"/>
        <v>ЭТАЖ ЗАДАН ЧИСЛОМ</v>
      </c>
      <c r="P1183" s="13" t="str">
        <f t="shared" si="130"/>
        <v>ЭТАЖ ЗАДАН ЧИСЛОМ</v>
      </c>
      <c r="Q1183" s="13" t="str">
        <f t="shared" si="131"/>
        <v>ГОТОВ_ИЗМЕНЕН</v>
      </c>
      <c r="R1183" s="13">
        <f>IFERROR(VLOOKUP(P1183,Лист1!A$1:B$20,2,FALSE),0)</f>
        <v>784</v>
      </c>
      <c r="S1183" s="13">
        <f t="shared" si="132"/>
        <v>0</v>
      </c>
    </row>
    <row r="1184" spans="1:19" x14ac:dyDescent="0.25">
      <c r="A1184" s="24" t="s">
        <v>2301</v>
      </c>
      <c r="B1184" s="4" t="s">
        <v>1059</v>
      </c>
      <c r="C1184" s="25" t="s">
        <v>7</v>
      </c>
      <c r="G1184" s="25" t="s">
        <v>1680</v>
      </c>
      <c r="H1184" s="24" t="s">
        <v>1061</v>
      </c>
      <c r="I1184" s="3" t="str">
        <f>IFERROR(VLOOKUP(C1184,'Справочник соответствий'!A$2:D$2981,2,FALSE),IF(VALUE(C1184)=0,1,VLOOKUP(C1184,'Справочник соответствий'!A$2:D$2981,2,FALSE)))</f>
        <v>2</v>
      </c>
      <c r="J1184" s="3">
        <f>IFERROR(VLOOKUP(D1184,'Справочник соответствий'!A$2:D$2981,2,FALSE),IF(VALUE(D1184)=0,0,VLOOKUP(D1184,'Справочник соответствий'!A$2:D$2981,2,FALSE)))</f>
        <v>0</v>
      </c>
      <c r="K1184" s="3" t="str">
        <f t="shared" si="126"/>
        <v>2</v>
      </c>
      <c r="L1184" s="13" t="str">
        <f>IFERROR(VLOOKUP(C1184,'Справочник соответствий'!A$2:D$2981,3,FALSE),IF(VALUE(C1184)=0,"ЭТАЖ НЕ ОПРЕДЕЛЕН. ПРИНЯТ ПО ДОПУЩЕНИЮ 1",VLOOKUP(C1184,'Справочник соответствий'!A$2:D$2981,3,FALSE)))</f>
        <v>ЭТАЖ ЗАДАН ЧИСЛОМ</v>
      </c>
      <c r="M1184" s="13" t="b">
        <f t="shared" si="127"/>
        <v>0</v>
      </c>
      <c r="N1184" s="13">
        <f t="shared" si="128"/>
        <v>2</v>
      </c>
      <c r="O1184" s="13" t="str">
        <f t="shared" si="129"/>
        <v>ЭТАЖ ЗАДАН ЧИСЛОМ</v>
      </c>
      <c r="P1184" s="13" t="str">
        <f t="shared" si="130"/>
        <v>ЭТАЖ ЗАДАН ЧИСЛОМ</v>
      </c>
      <c r="Q1184" s="13" t="str">
        <f t="shared" si="131"/>
        <v>ГОТОВ_ИЗМЕНЕН</v>
      </c>
      <c r="R1184" s="13">
        <f>IFERROR(VLOOKUP(P1184,Лист1!A$1:B$20,2,FALSE),0)</f>
        <v>784</v>
      </c>
      <c r="S1184" s="13">
        <f t="shared" si="132"/>
        <v>0</v>
      </c>
    </row>
    <row r="1185" spans="1:19" x14ac:dyDescent="0.25">
      <c r="A1185" s="24" t="s">
        <v>2302</v>
      </c>
      <c r="B1185" s="4" t="s">
        <v>1059</v>
      </c>
      <c r="C1185" s="25" t="s">
        <v>5</v>
      </c>
      <c r="G1185" s="25" t="s">
        <v>1080</v>
      </c>
      <c r="H1185" s="24" t="s">
        <v>1061</v>
      </c>
      <c r="I1185" s="3" t="str">
        <f>IFERROR(VLOOKUP(C1185,'Справочник соответствий'!A$2:D$2981,2,FALSE),IF(VALUE(C1185)=0,1,VLOOKUP(C1185,'Справочник соответствий'!A$2:D$2981,2,FALSE)))</f>
        <v>1</v>
      </c>
      <c r="J1185" s="3">
        <f>IFERROR(VLOOKUP(D1185,'Справочник соответствий'!A$2:D$2981,2,FALSE),IF(VALUE(D1185)=0,0,VLOOKUP(D1185,'Справочник соответствий'!A$2:D$2981,2,FALSE)))</f>
        <v>0</v>
      </c>
      <c r="K1185" s="3" t="str">
        <f t="shared" si="126"/>
        <v>1</v>
      </c>
      <c r="L1185" s="13" t="str">
        <f>IFERROR(VLOOKUP(C1185,'Справочник соответствий'!A$2:D$2981,3,FALSE),IF(VALUE(C1185)=0,"ЭТАЖ НЕ ОПРЕДЕЛЕН. ПРИНЯТ ПО ДОПУЩЕНИЮ 1",VLOOKUP(C1185,'Справочник соответствий'!A$2:D$2981,3,FALSE)))</f>
        <v>ЭТАЖ ЗАДАН ЧИСЛОМ</v>
      </c>
      <c r="M1185" s="13" t="b">
        <f t="shared" si="127"/>
        <v>0</v>
      </c>
      <c r="N1185" s="13">
        <f t="shared" si="128"/>
        <v>1</v>
      </c>
      <c r="O1185" s="13" t="str">
        <f t="shared" si="129"/>
        <v>ЭТАЖ ЗАДАН ЧИСЛОМ</v>
      </c>
      <c r="P1185" s="13" t="str">
        <f t="shared" si="130"/>
        <v>ЭТАЖ ЗАДАН ЧИСЛОМ</v>
      </c>
      <c r="Q1185" s="13" t="str">
        <f t="shared" si="131"/>
        <v>ГОТОВ_ИЗМЕНЕН</v>
      </c>
      <c r="R1185" s="13">
        <f>IFERROR(VLOOKUP(P1185,Лист1!A$1:B$20,2,FALSE),0)</f>
        <v>784</v>
      </c>
      <c r="S1185" s="13">
        <f t="shared" si="132"/>
        <v>0</v>
      </c>
    </row>
    <row r="1186" spans="1:19" x14ac:dyDescent="0.25">
      <c r="A1186" s="24" t="s">
        <v>2303</v>
      </c>
      <c r="B1186" s="4" t="s">
        <v>1059</v>
      </c>
      <c r="C1186" s="25" t="s">
        <v>5</v>
      </c>
      <c r="G1186" s="25" t="s">
        <v>1080</v>
      </c>
      <c r="H1186" s="24" t="s">
        <v>1061</v>
      </c>
      <c r="I1186" s="3" t="str">
        <f>IFERROR(VLOOKUP(C1186,'Справочник соответствий'!A$2:D$2981,2,FALSE),IF(VALUE(C1186)=0,1,VLOOKUP(C1186,'Справочник соответствий'!A$2:D$2981,2,FALSE)))</f>
        <v>1</v>
      </c>
      <c r="J1186" s="3">
        <f>IFERROR(VLOOKUP(D1186,'Справочник соответствий'!A$2:D$2981,2,FALSE),IF(VALUE(D1186)=0,0,VLOOKUP(D1186,'Справочник соответствий'!A$2:D$2981,2,FALSE)))</f>
        <v>0</v>
      </c>
      <c r="K1186" s="3" t="str">
        <f t="shared" si="126"/>
        <v>1</v>
      </c>
      <c r="L1186" s="13" t="str">
        <f>IFERROR(VLOOKUP(C1186,'Справочник соответствий'!A$2:D$2981,3,FALSE),IF(VALUE(C1186)=0,"ЭТАЖ НЕ ОПРЕДЕЛЕН. ПРИНЯТ ПО ДОПУЩЕНИЮ 1",VLOOKUP(C1186,'Справочник соответствий'!A$2:D$2981,3,FALSE)))</f>
        <v>ЭТАЖ ЗАДАН ЧИСЛОМ</v>
      </c>
      <c r="M1186" s="13" t="b">
        <f t="shared" si="127"/>
        <v>0</v>
      </c>
      <c r="N1186" s="13">
        <f t="shared" si="128"/>
        <v>1</v>
      </c>
      <c r="O1186" s="13" t="str">
        <f t="shared" si="129"/>
        <v>ЭТАЖ ЗАДАН ЧИСЛОМ</v>
      </c>
      <c r="P1186" s="13" t="str">
        <f t="shared" si="130"/>
        <v>ЭТАЖ ЗАДАН ЧИСЛОМ</v>
      </c>
      <c r="Q1186" s="13" t="str">
        <f t="shared" si="131"/>
        <v>ГОТОВ_ИЗМЕНЕН</v>
      </c>
      <c r="R1186" s="13">
        <f>IFERROR(VLOOKUP(P1186,Лист1!A$1:B$20,2,FALSE),0)</f>
        <v>784</v>
      </c>
      <c r="S1186" s="13">
        <f t="shared" si="132"/>
        <v>0</v>
      </c>
    </row>
    <row r="1187" spans="1:19" x14ac:dyDescent="0.25">
      <c r="A1187" s="24" t="s">
        <v>2304</v>
      </c>
      <c r="B1187" s="4" t="s">
        <v>1059</v>
      </c>
      <c r="C1187" s="25" t="s">
        <v>5</v>
      </c>
      <c r="G1187" s="25" t="s">
        <v>1080</v>
      </c>
      <c r="H1187" s="24" t="s">
        <v>1061</v>
      </c>
      <c r="I1187" s="3" t="str">
        <f>IFERROR(VLOOKUP(C1187,'Справочник соответствий'!A$2:D$2981,2,FALSE),IF(VALUE(C1187)=0,1,VLOOKUP(C1187,'Справочник соответствий'!A$2:D$2981,2,FALSE)))</f>
        <v>1</v>
      </c>
      <c r="J1187" s="3">
        <f>IFERROR(VLOOKUP(D1187,'Справочник соответствий'!A$2:D$2981,2,FALSE),IF(VALUE(D1187)=0,0,VLOOKUP(D1187,'Справочник соответствий'!A$2:D$2981,2,FALSE)))</f>
        <v>0</v>
      </c>
      <c r="K1187" s="3" t="str">
        <f t="shared" si="126"/>
        <v>1</v>
      </c>
      <c r="L1187" s="13" t="str">
        <f>IFERROR(VLOOKUP(C1187,'Справочник соответствий'!A$2:D$2981,3,FALSE),IF(VALUE(C1187)=0,"ЭТАЖ НЕ ОПРЕДЕЛЕН. ПРИНЯТ ПО ДОПУЩЕНИЮ 1",VLOOKUP(C1187,'Справочник соответствий'!A$2:D$2981,3,FALSE)))</f>
        <v>ЭТАЖ ЗАДАН ЧИСЛОМ</v>
      </c>
      <c r="M1187" s="13" t="b">
        <f t="shared" si="127"/>
        <v>0</v>
      </c>
      <c r="N1187" s="13">
        <f t="shared" si="128"/>
        <v>1</v>
      </c>
      <c r="O1187" s="13" t="str">
        <f t="shared" si="129"/>
        <v>ЭТАЖ ЗАДАН ЧИСЛОМ</v>
      </c>
      <c r="P1187" s="13" t="str">
        <f t="shared" si="130"/>
        <v>ЭТАЖ ЗАДАН ЧИСЛОМ</v>
      </c>
      <c r="Q1187" s="13" t="str">
        <f t="shared" si="131"/>
        <v>ГОТОВ_ИЗМЕНЕН</v>
      </c>
      <c r="R1187" s="13">
        <f>IFERROR(VLOOKUP(P1187,Лист1!A$1:B$20,2,FALSE),0)</f>
        <v>784</v>
      </c>
      <c r="S1187" s="13">
        <f t="shared" si="132"/>
        <v>0</v>
      </c>
    </row>
    <row r="1188" spans="1:19" x14ac:dyDescent="0.25">
      <c r="A1188" s="24" t="s">
        <v>2305</v>
      </c>
      <c r="B1188" s="4" t="s">
        <v>1059</v>
      </c>
      <c r="C1188" s="25" t="s">
        <v>5</v>
      </c>
      <c r="G1188" s="25" t="s">
        <v>1080</v>
      </c>
      <c r="H1188" s="24" t="s">
        <v>1061</v>
      </c>
      <c r="I1188" s="3" t="str">
        <f>IFERROR(VLOOKUP(C1188,'Справочник соответствий'!A$2:D$2981,2,FALSE),IF(VALUE(C1188)=0,1,VLOOKUP(C1188,'Справочник соответствий'!A$2:D$2981,2,FALSE)))</f>
        <v>1</v>
      </c>
      <c r="J1188" s="3">
        <f>IFERROR(VLOOKUP(D1188,'Справочник соответствий'!A$2:D$2981,2,FALSE),IF(VALUE(D1188)=0,0,VLOOKUP(D1188,'Справочник соответствий'!A$2:D$2981,2,FALSE)))</f>
        <v>0</v>
      </c>
      <c r="K1188" s="3" t="str">
        <f t="shared" si="126"/>
        <v>1</v>
      </c>
      <c r="L1188" s="13" t="str">
        <f>IFERROR(VLOOKUP(C1188,'Справочник соответствий'!A$2:D$2981,3,FALSE),IF(VALUE(C1188)=0,"ЭТАЖ НЕ ОПРЕДЕЛЕН. ПРИНЯТ ПО ДОПУЩЕНИЮ 1",VLOOKUP(C1188,'Справочник соответствий'!A$2:D$2981,3,FALSE)))</f>
        <v>ЭТАЖ ЗАДАН ЧИСЛОМ</v>
      </c>
      <c r="M1188" s="13" t="b">
        <f t="shared" si="127"/>
        <v>0</v>
      </c>
      <c r="N1188" s="13">
        <f t="shared" si="128"/>
        <v>1</v>
      </c>
      <c r="O1188" s="13" t="str">
        <f t="shared" si="129"/>
        <v>ЭТАЖ ЗАДАН ЧИСЛОМ</v>
      </c>
      <c r="P1188" s="13" t="str">
        <f t="shared" si="130"/>
        <v>ЭТАЖ ЗАДАН ЧИСЛОМ</v>
      </c>
      <c r="Q1188" s="13" t="str">
        <f t="shared" si="131"/>
        <v>ГОТОВ_ИЗМЕНЕН</v>
      </c>
      <c r="R1188" s="13">
        <f>IFERROR(VLOOKUP(P1188,Лист1!A$1:B$20,2,FALSE),0)</f>
        <v>784</v>
      </c>
      <c r="S1188" s="13">
        <f t="shared" si="132"/>
        <v>0</v>
      </c>
    </row>
    <row r="1189" spans="1:19" x14ac:dyDescent="0.25">
      <c r="A1189" s="24" t="s">
        <v>2306</v>
      </c>
      <c r="B1189" s="4" t="s">
        <v>1063</v>
      </c>
      <c r="C1189" s="25" t="s">
        <v>5</v>
      </c>
      <c r="G1189" s="25" t="s">
        <v>1080</v>
      </c>
      <c r="H1189" s="24" t="s">
        <v>1061</v>
      </c>
      <c r="I1189" s="3" t="str">
        <f>IFERROR(VLOOKUP(C1189,'Справочник соответствий'!A$2:D$2981,2,FALSE),IF(VALUE(C1189)=0,1,VLOOKUP(C1189,'Справочник соответствий'!A$2:D$2981,2,FALSE)))</f>
        <v>1</v>
      </c>
      <c r="J1189" s="3">
        <f>IFERROR(VLOOKUP(D1189,'Справочник соответствий'!A$2:D$2981,2,FALSE),IF(VALUE(D1189)=0,0,VLOOKUP(D1189,'Справочник соответствий'!A$2:D$2981,2,FALSE)))</f>
        <v>0</v>
      </c>
      <c r="K1189" s="3" t="str">
        <f t="shared" si="126"/>
        <v>1</v>
      </c>
      <c r="L1189" s="13" t="str">
        <f>IFERROR(VLOOKUP(C1189,'Справочник соответствий'!A$2:D$2981,3,FALSE),IF(VALUE(C1189)=0,"ЭТАЖ НЕ ОПРЕДЕЛЕН. ПРИНЯТ ПО ДОПУЩЕНИЮ 1",VLOOKUP(C1189,'Справочник соответствий'!A$2:D$2981,3,FALSE)))</f>
        <v>ЭТАЖ ЗАДАН ЧИСЛОМ</v>
      </c>
      <c r="M1189" s="13" t="b">
        <f t="shared" si="127"/>
        <v>0</v>
      </c>
      <c r="N1189" s="13">
        <f t="shared" si="128"/>
        <v>1</v>
      </c>
      <c r="O1189" s="13" t="str">
        <f t="shared" si="129"/>
        <v>ЭТАЖ ЗАДАН ЧИСЛОМ</v>
      </c>
      <c r="P1189" s="13" t="str">
        <f t="shared" si="130"/>
        <v>ЭТАЖ ЗАДАН ЧИСЛОМ</v>
      </c>
      <c r="Q1189" s="13" t="str">
        <f t="shared" si="131"/>
        <v>ГОТОВ_ИЗМЕНЕН</v>
      </c>
      <c r="R1189" s="13">
        <f>IFERROR(VLOOKUP(P1189,Лист1!A$1:B$20,2,FALSE),0)</f>
        <v>784</v>
      </c>
      <c r="S1189" s="13">
        <f t="shared" si="132"/>
        <v>0</v>
      </c>
    </row>
    <row r="1190" spans="1:19" x14ac:dyDescent="0.25">
      <c r="A1190" s="24" t="s">
        <v>2307</v>
      </c>
      <c r="B1190" s="4" t="s">
        <v>1063</v>
      </c>
      <c r="C1190" s="25" t="s">
        <v>5</v>
      </c>
      <c r="G1190" s="25" t="s">
        <v>1080</v>
      </c>
      <c r="H1190" s="24" t="s">
        <v>1061</v>
      </c>
      <c r="I1190" s="3" t="str">
        <f>IFERROR(VLOOKUP(C1190,'Справочник соответствий'!A$2:D$2981,2,FALSE),IF(VALUE(C1190)=0,1,VLOOKUP(C1190,'Справочник соответствий'!A$2:D$2981,2,FALSE)))</f>
        <v>1</v>
      </c>
      <c r="J1190" s="3">
        <f>IFERROR(VLOOKUP(D1190,'Справочник соответствий'!A$2:D$2981,2,FALSE),IF(VALUE(D1190)=0,0,VLOOKUP(D1190,'Справочник соответствий'!A$2:D$2981,2,FALSE)))</f>
        <v>0</v>
      </c>
      <c r="K1190" s="3" t="str">
        <f t="shared" si="126"/>
        <v>1</v>
      </c>
      <c r="L1190" s="13" t="str">
        <f>IFERROR(VLOOKUP(C1190,'Справочник соответствий'!A$2:D$2981,3,FALSE),IF(VALUE(C1190)=0,"ЭТАЖ НЕ ОПРЕДЕЛЕН. ПРИНЯТ ПО ДОПУЩЕНИЮ 1",VLOOKUP(C1190,'Справочник соответствий'!A$2:D$2981,3,FALSE)))</f>
        <v>ЭТАЖ ЗАДАН ЧИСЛОМ</v>
      </c>
      <c r="M1190" s="13" t="b">
        <f t="shared" si="127"/>
        <v>0</v>
      </c>
      <c r="N1190" s="13">
        <f t="shared" si="128"/>
        <v>1</v>
      </c>
      <c r="O1190" s="13" t="str">
        <f t="shared" si="129"/>
        <v>ЭТАЖ ЗАДАН ЧИСЛОМ</v>
      </c>
      <c r="P1190" s="13" t="str">
        <f t="shared" si="130"/>
        <v>ЭТАЖ ЗАДАН ЧИСЛОМ</v>
      </c>
      <c r="Q1190" s="13" t="str">
        <f t="shared" si="131"/>
        <v>ГОТОВ_ИЗМЕНЕН</v>
      </c>
      <c r="R1190" s="13">
        <f>IFERROR(VLOOKUP(P1190,Лист1!A$1:B$20,2,FALSE),0)</f>
        <v>784</v>
      </c>
      <c r="S1190" s="13">
        <f t="shared" si="132"/>
        <v>0</v>
      </c>
    </row>
    <row r="1191" spans="1:19" x14ac:dyDescent="0.25">
      <c r="A1191" s="24" t="s">
        <v>2308</v>
      </c>
      <c r="B1191" s="4" t="s">
        <v>1059</v>
      </c>
      <c r="C1191" s="25" t="s">
        <v>7</v>
      </c>
      <c r="G1191" s="25" t="s">
        <v>1080</v>
      </c>
      <c r="H1191" s="24" t="s">
        <v>1061</v>
      </c>
      <c r="I1191" s="3" t="str">
        <f>IFERROR(VLOOKUP(C1191,'Справочник соответствий'!A$2:D$2981,2,FALSE),IF(VALUE(C1191)=0,1,VLOOKUP(C1191,'Справочник соответствий'!A$2:D$2981,2,FALSE)))</f>
        <v>2</v>
      </c>
      <c r="J1191" s="3">
        <f>IFERROR(VLOOKUP(D1191,'Справочник соответствий'!A$2:D$2981,2,FALSE),IF(VALUE(D1191)=0,0,VLOOKUP(D1191,'Справочник соответствий'!A$2:D$2981,2,FALSE)))</f>
        <v>0</v>
      </c>
      <c r="K1191" s="3" t="str">
        <f t="shared" si="126"/>
        <v>2</v>
      </c>
      <c r="L1191" s="13" t="str">
        <f>IFERROR(VLOOKUP(C1191,'Справочник соответствий'!A$2:D$2981,3,FALSE),IF(VALUE(C1191)=0,"ЭТАЖ НЕ ОПРЕДЕЛЕН. ПРИНЯТ ПО ДОПУЩЕНИЮ 1",VLOOKUP(C1191,'Справочник соответствий'!A$2:D$2981,3,FALSE)))</f>
        <v>ЭТАЖ ЗАДАН ЧИСЛОМ</v>
      </c>
      <c r="M1191" s="13" t="b">
        <f t="shared" si="127"/>
        <v>0</v>
      </c>
      <c r="N1191" s="13">
        <f t="shared" si="128"/>
        <v>2</v>
      </c>
      <c r="O1191" s="13" t="str">
        <f t="shared" si="129"/>
        <v>ЭТАЖ ЗАДАН ЧИСЛОМ</v>
      </c>
      <c r="P1191" s="13" t="str">
        <f t="shared" si="130"/>
        <v>ЭТАЖ ЗАДАН ЧИСЛОМ</v>
      </c>
      <c r="Q1191" s="13" t="str">
        <f t="shared" si="131"/>
        <v>ГОТОВ_ИЗМЕНЕН</v>
      </c>
      <c r="R1191" s="13">
        <f>IFERROR(VLOOKUP(P1191,Лист1!A$1:B$20,2,FALSE),0)</f>
        <v>784</v>
      </c>
      <c r="S1191" s="13">
        <f t="shared" si="132"/>
        <v>0</v>
      </c>
    </row>
    <row r="1192" spans="1:19" x14ac:dyDescent="0.25">
      <c r="A1192" s="24" t="s">
        <v>2309</v>
      </c>
      <c r="B1192" s="4" t="s">
        <v>1063</v>
      </c>
      <c r="C1192" s="25" t="s">
        <v>5</v>
      </c>
      <c r="G1192" s="25" t="s">
        <v>1080</v>
      </c>
      <c r="H1192" s="24" t="s">
        <v>1061</v>
      </c>
      <c r="I1192" s="3" t="str">
        <f>IFERROR(VLOOKUP(C1192,'Справочник соответствий'!A$2:D$2981,2,FALSE),IF(VALUE(C1192)=0,1,VLOOKUP(C1192,'Справочник соответствий'!A$2:D$2981,2,FALSE)))</f>
        <v>1</v>
      </c>
      <c r="J1192" s="3">
        <f>IFERROR(VLOOKUP(D1192,'Справочник соответствий'!A$2:D$2981,2,FALSE),IF(VALUE(D1192)=0,0,VLOOKUP(D1192,'Справочник соответствий'!A$2:D$2981,2,FALSE)))</f>
        <v>0</v>
      </c>
      <c r="K1192" s="3" t="str">
        <f t="shared" si="126"/>
        <v>1</v>
      </c>
      <c r="L1192" s="13" t="str">
        <f>IFERROR(VLOOKUP(C1192,'Справочник соответствий'!A$2:D$2981,3,FALSE),IF(VALUE(C1192)=0,"ЭТАЖ НЕ ОПРЕДЕЛЕН. ПРИНЯТ ПО ДОПУЩЕНИЮ 1",VLOOKUP(C1192,'Справочник соответствий'!A$2:D$2981,3,FALSE)))</f>
        <v>ЭТАЖ ЗАДАН ЧИСЛОМ</v>
      </c>
      <c r="M1192" s="13" t="b">
        <f t="shared" si="127"/>
        <v>0</v>
      </c>
      <c r="N1192" s="13">
        <f t="shared" si="128"/>
        <v>1</v>
      </c>
      <c r="O1192" s="13" t="str">
        <f t="shared" si="129"/>
        <v>ЭТАЖ ЗАДАН ЧИСЛОМ</v>
      </c>
      <c r="P1192" s="13" t="str">
        <f t="shared" si="130"/>
        <v>ЭТАЖ ЗАДАН ЧИСЛОМ</v>
      </c>
      <c r="Q1192" s="13" t="str">
        <f t="shared" si="131"/>
        <v>ГОТОВ_ИЗМЕНЕН</v>
      </c>
      <c r="R1192" s="13">
        <f>IFERROR(VLOOKUP(P1192,Лист1!A$1:B$20,2,FALSE),0)</f>
        <v>784</v>
      </c>
      <c r="S1192" s="13">
        <f t="shared" si="132"/>
        <v>0</v>
      </c>
    </row>
    <row r="1193" spans="1:19" x14ac:dyDescent="0.25">
      <c r="A1193" s="24" t="s">
        <v>2310</v>
      </c>
      <c r="B1193" s="4" t="s">
        <v>1059</v>
      </c>
      <c r="C1193" s="25" t="s">
        <v>8</v>
      </c>
      <c r="G1193" s="25" t="s">
        <v>1080</v>
      </c>
      <c r="H1193" s="24" t="s">
        <v>1061</v>
      </c>
      <c r="I1193" s="3" t="str">
        <f>IFERROR(VLOOKUP(C1193,'Справочник соответствий'!A$2:D$2981,2,FALSE),IF(VALUE(C1193)=0,1,VLOOKUP(C1193,'Справочник соответствий'!A$2:D$2981,2,FALSE)))</f>
        <v>3</v>
      </c>
      <c r="J1193" s="3">
        <f>IFERROR(VLOOKUP(D1193,'Справочник соответствий'!A$2:D$2981,2,FALSE),IF(VALUE(D1193)=0,0,VLOOKUP(D1193,'Справочник соответствий'!A$2:D$2981,2,FALSE)))</f>
        <v>0</v>
      </c>
      <c r="K1193" s="3" t="str">
        <f t="shared" si="126"/>
        <v>3</v>
      </c>
      <c r="L1193" s="13" t="str">
        <f>IFERROR(VLOOKUP(C1193,'Справочник соответствий'!A$2:D$2981,3,FALSE),IF(VALUE(C1193)=0,"ЭТАЖ НЕ ОПРЕДЕЛЕН. ПРИНЯТ ПО ДОПУЩЕНИЮ 1",VLOOKUP(C1193,'Справочник соответствий'!A$2:D$2981,3,FALSE)))</f>
        <v>ЭТАЖ ЗАДАН ЧИСЛОМ</v>
      </c>
      <c r="M1193" s="13" t="b">
        <f t="shared" si="127"/>
        <v>0</v>
      </c>
      <c r="N1193" s="13">
        <f t="shared" si="128"/>
        <v>3</v>
      </c>
      <c r="O1193" s="13" t="str">
        <f t="shared" si="129"/>
        <v>ЭТАЖ ЗАДАН ЧИСЛОМ</v>
      </c>
      <c r="P1193" s="13" t="str">
        <f t="shared" si="130"/>
        <v>ЭТАЖ ЗАДАН ЧИСЛОМ</v>
      </c>
      <c r="Q1193" s="13" t="str">
        <f t="shared" si="131"/>
        <v>ГОТОВ_ИЗМЕНЕН</v>
      </c>
      <c r="R1193" s="13">
        <f>IFERROR(VLOOKUP(P1193,Лист1!A$1:B$20,2,FALSE),0)</f>
        <v>784</v>
      </c>
      <c r="S1193" s="13">
        <f t="shared" si="132"/>
        <v>0</v>
      </c>
    </row>
    <row r="1194" spans="1:19" x14ac:dyDescent="0.25">
      <c r="A1194" s="24" t="s">
        <v>2311</v>
      </c>
      <c r="B1194" s="4" t="s">
        <v>1063</v>
      </c>
      <c r="C1194" s="25" t="s">
        <v>5</v>
      </c>
      <c r="G1194" s="25" t="s">
        <v>1072</v>
      </c>
      <c r="H1194" s="24" t="s">
        <v>1061</v>
      </c>
      <c r="I1194" s="3" t="str">
        <f>IFERROR(VLOOKUP(C1194,'Справочник соответствий'!A$2:D$2981,2,FALSE),IF(VALUE(C1194)=0,1,VLOOKUP(C1194,'Справочник соответствий'!A$2:D$2981,2,FALSE)))</f>
        <v>1</v>
      </c>
      <c r="J1194" s="3">
        <f>IFERROR(VLOOKUP(D1194,'Справочник соответствий'!A$2:D$2981,2,FALSE),IF(VALUE(D1194)=0,0,VLOOKUP(D1194,'Справочник соответствий'!A$2:D$2981,2,FALSE)))</f>
        <v>0</v>
      </c>
      <c r="K1194" s="3" t="str">
        <f t="shared" si="126"/>
        <v>1</v>
      </c>
      <c r="L1194" s="13" t="str">
        <f>IFERROR(VLOOKUP(C1194,'Справочник соответствий'!A$2:D$2981,3,FALSE),IF(VALUE(C1194)=0,"ЭТАЖ НЕ ОПРЕДЕЛЕН. ПРИНЯТ ПО ДОПУЩЕНИЮ 1",VLOOKUP(C1194,'Справочник соответствий'!A$2:D$2981,3,FALSE)))</f>
        <v>ЭТАЖ ЗАДАН ЧИСЛОМ</v>
      </c>
      <c r="M1194" s="13" t="b">
        <f t="shared" si="127"/>
        <v>0</v>
      </c>
      <c r="N1194" s="13">
        <f t="shared" si="128"/>
        <v>1</v>
      </c>
      <c r="O1194" s="13" t="str">
        <f t="shared" si="129"/>
        <v>ЭТАЖ ЗАДАН ЧИСЛОМ</v>
      </c>
      <c r="P1194" s="13" t="str">
        <f t="shared" si="130"/>
        <v>ЭТАЖ ЗАДАН ЧИСЛОМ</v>
      </c>
      <c r="Q1194" s="13" t="str">
        <f t="shared" si="131"/>
        <v>ГОТОВ_ИЗМЕНЕН</v>
      </c>
      <c r="R1194" s="13">
        <f>IFERROR(VLOOKUP(P1194,Лист1!A$1:B$20,2,FALSE),0)</f>
        <v>784</v>
      </c>
      <c r="S1194" s="13">
        <f t="shared" si="132"/>
        <v>0</v>
      </c>
    </row>
    <row r="1195" spans="1:19" x14ac:dyDescent="0.25">
      <c r="A1195" s="24" t="s">
        <v>2312</v>
      </c>
      <c r="B1195" s="4" t="s">
        <v>1063</v>
      </c>
      <c r="C1195" s="25" t="s">
        <v>5</v>
      </c>
      <c r="G1195" s="25" t="s">
        <v>1072</v>
      </c>
      <c r="H1195" s="24" t="s">
        <v>1061</v>
      </c>
      <c r="I1195" s="3" t="str">
        <f>IFERROR(VLOOKUP(C1195,'Справочник соответствий'!A$2:D$2981,2,FALSE),IF(VALUE(C1195)=0,1,VLOOKUP(C1195,'Справочник соответствий'!A$2:D$2981,2,FALSE)))</f>
        <v>1</v>
      </c>
      <c r="J1195" s="3">
        <f>IFERROR(VLOOKUP(D1195,'Справочник соответствий'!A$2:D$2981,2,FALSE),IF(VALUE(D1195)=0,0,VLOOKUP(D1195,'Справочник соответствий'!A$2:D$2981,2,FALSE)))</f>
        <v>0</v>
      </c>
      <c r="K1195" s="3" t="str">
        <f t="shared" si="126"/>
        <v>1</v>
      </c>
      <c r="L1195" s="13" t="str">
        <f>IFERROR(VLOOKUP(C1195,'Справочник соответствий'!A$2:D$2981,3,FALSE),IF(VALUE(C1195)=0,"ЭТАЖ НЕ ОПРЕДЕЛЕН. ПРИНЯТ ПО ДОПУЩЕНИЮ 1",VLOOKUP(C1195,'Справочник соответствий'!A$2:D$2981,3,FALSE)))</f>
        <v>ЭТАЖ ЗАДАН ЧИСЛОМ</v>
      </c>
      <c r="M1195" s="13" t="b">
        <f t="shared" si="127"/>
        <v>0</v>
      </c>
      <c r="N1195" s="13">
        <f t="shared" si="128"/>
        <v>1</v>
      </c>
      <c r="O1195" s="13" t="str">
        <f t="shared" si="129"/>
        <v>ЭТАЖ ЗАДАН ЧИСЛОМ</v>
      </c>
      <c r="P1195" s="13" t="str">
        <f t="shared" si="130"/>
        <v>ЭТАЖ ЗАДАН ЧИСЛОМ</v>
      </c>
      <c r="Q1195" s="13" t="str">
        <f t="shared" si="131"/>
        <v>ГОТОВ_ИЗМЕНЕН</v>
      </c>
      <c r="R1195" s="13">
        <f>IFERROR(VLOOKUP(P1195,Лист1!A$1:B$20,2,FALSE),0)</f>
        <v>784</v>
      </c>
      <c r="S1195" s="13">
        <f t="shared" si="132"/>
        <v>0</v>
      </c>
    </row>
    <row r="1196" spans="1:19" x14ac:dyDescent="0.25">
      <c r="A1196" s="24" t="s">
        <v>2313</v>
      </c>
      <c r="B1196" s="4" t="s">
        <v>1059</v>
      </c>
      <c r="C1196" s="25" t="s">
        <v>5</v>
      </c>
      <c r="G1196" s="25" t="s">
        <v>1072</v>
      </c>
      <c r="H1196" s="24" t="s">
        <v>1061</v>
      </c>
      <c r="I1196" s="3" t="str">
        <f>IFERROR(VLOOKUP(C1196,'Справочник соответствий'!A$2:D$2981,2,FALSE),IF(VALUE(C1196)=0,1,VLOOKUP(C1196,'Справочник соответствий'!A$2:D$2981,2,FALSE)))</f>
        <v>1</v>
      </c>
      <c r="J1196" s="3">
        <f>IFERROR(VLOOKUP(D1196,'Справочник соответствий'!A$2:D$2981,2,FALSE),IF(VALUE(D1196)=0,0,VLOOKUP(D1196,'Справочник соответствий'!A$2:D$2981,2,FALSE)))</f>
        <v>0</v>
      </c>
      <c r="K1196" s="3" t="str">
        <f t="shared" si="126"/>
        <v>1</v>
      </c>
      <c r="L1196" s="13" t="str">
        <f>IFERROR(VLOOKUP(C1196,'Справочник соответствий'!A$2:D$2981,3,FALSE),IF(VALUE(C1196)=0,"ЭТАЖ НЕ ОПРЕДЕЛЕН. ПРИНЯТ ПО ДОПУЩЕНИЮ 1",VLOOKUP(C1196,'Справочник соответствий'!A$2:D$2981,3,FALSE)))</f>
        <v>ЭТАЖ ЗАДАН ЧИСЛОМ</v>
      </c>
      <c r="M1196" s="13" t="b">
        <f t="shared" si="127"/>
        <v>0</v>
      </c>
      <c r="N1196" s="13">
        <f t="shared" si="128"/>
        <v>1</v>
      </c>
      <c r="O1196" s="13" t="str">
        <f t="shared" si="129"/>
        <v>ЭТАЖ ЗАДАН ЧИСЛОМ</v>
      </c>
      <c r="P1196" s="13" t="str">
        <f t="shared" si="130"/>
        <v>ЭТАЖ ЗАДАН ЧИСЛОМ</v>
      </c>
      <c r="Q1196" s="13" t="str">
        <f t="shared" si="131"/>
        <v>ГОТОВ_ИЗМЕНЕН</v>
      </c>
      <c r="R1196" s="13">
        <f>IFERROR(VLOOKUP(P1196,Лист1!A$1:B$20,2,FALSE),0)</f>
        <v>784</v>
      </c>
      <c r="S1196" s="13">
        <f t="shared" si="132"/>
        <v>0</v>
      </c>
    </row>
    <row r="1197" spans="1:19" x14ac:dyDescent="0.25">
      <c r="A1197" s="24" t="s">
        <v>2314</v>
      </c>
      <c r="B1197" s="4" t="s">
        <v>1059</v>
      </c>
      <c r="C1197" s="25" t="s">
        <v>5</v>
      </c>
      <c r="G1197" s="25" t="s">
        <v>1072</v>
      </c>
      <c r="H1197" s="24" t="s">
        <v>1061</v>
      </c>
      <c r="I1197" s="3" t="str">
        <f>IFERROR(VLOOKUP(C1197,'Справочник соответствий'!A$2:D$2981,2,FALSE),IF(VALUE(C1197)=0,1,VLOOKUP(C1197,'Справочник соответствий'!A$2:D$2981,2,FALSE)))</f>
        <v>1</v>
      </c>
      <c r="J1197" s="3">
        <f>IFERROR(VLOOKUP(D1197,'Справочник соответствий'!A$2:D$2981,2,FALSE),IF(VALUE(D1197)=0,0,VLOOKUP(D1197,'Справочник соответствий'!A$2:D$2981,2,FALSE)))</f>
        <v>0</v>
      </c>
      <c r="K1197" s="3" t="str">
        <f t="shared" si="126"/>
        <v>1</v>
      </c>
      <c r="L1197" s="13" t="str">
        <f>IFERROR(VLOOKUP(C1197,'Справочник соответствий'!A$2:D$2981,3,FALSE),IF(VALUE(C1197)=0,"ЭТАЖ НЕ ОПРЕДЕЛЕН. ПРИНЯТ ПО ДОПУЩЕНИЮ 1",VLOOKUP(C1197,'Справочник соответствий'!A$2:D$2981,3,FALSE)))</f>
        <v>ЭТАЖ ЗАДАН ЧИСЛОМ</v>
      </c>
      <c r="M1197" s="13" t="b">
        <f t="shared" si="127"/>
        <v>0</v>
      </c>
      <c r="N1197" s="13">
        <f t="shared" si="128"/>
        <v>1</v>
      </c>
      <c r="O1197" s="13" t="str">
        <f t="shared" si="129"/>
        <v>ЭТАЖ ЗАДАН ЧИСЛОМ</v>
      </c>
      <c r="P1197" s="13" t="str">
        <f t="shared" si="130"/>
        <v>ЭТАЖ ЗАДАН ЧИСЛОМ</v>
      </c>
      <c r="Q1197" s="13" t="str">
        <f t="shared" si="131"/>
        <v>ГОТОВ_ИЗМЕНЕН</v>
      </c>
      <c r="R1197" s="13">
        <f>IFERROR(VLOOKUP(P1197,Лист1!A$1:B$20,2,FALSE),0)</f>
        <v>784</v>
      </c>
      <c r="S1197" s="13">
        <f t="shared" si="132"/>
        <v>0</v>
      </c>
    </row>
    <row r="1198" spans="1:19" x14ac:dyDescent="0.25">
      <c r="A1198" s="24" t="s">
        <v>2315</v>
      </c>
      <c r="B1198" s="4" t="s">
        <v>1063</v>
      </c>
      <c r="C1198" s="25" t="s">
        <v>5</v>
      </c>
      <c r="G1198" s="25" t="s">
        <v>1276</v>
      </c>
      <c r="H1198" s="24" t="s">
        <v>1061</v>
      </c>
      <c r="I1198" s="3" t="str">
        <f>IFERROR(VLOOKUP(C1198,'Справочник соответствий'!A$2:D$2981,2,FALSE),IF(VALUE(C1198)=0,1,VLOOKUP(C1198,'Справочник соответствий'!A$2:D$2981,2,FALSE)))</f>
        <v>1</v>
      </c>
      <c r="J1198" s="3">
        <f>IFERROR(VLOOKUP(D1198,'Справочник соответствий'!A$2:D$2981,2,FALSE),IF(VALUE(D1198)=0,0,VLOOKUP(D1198,'Справочник соответствий'!A$2:D$2981,2,FALSE)))</f>
        <v>0</v>
      </c>
      <c r="K1198" s="3" t="str">
        <f t="shared" si="126"/>
        <v>1</v>
      </c>
      <c r="L1198" s="13" t="str">
        <f>IFERROR(VLOOKUP(C1198,'Справочник соответствий'!A$2:D$2981,3,FALSE),IF(VALUE(C1198)=0,"ЭТАЖ НЕ ОПРЕДЕЛЕН. ПРИНЯТ ПО ДОПУЩЕНИЮ 1",VLOOKUP(C1198,'Справочник соответствий'!A$2:D$2981,3,FALSE)))</f>
        <v>ЭТАЖ ЗАДАН ЧИСЛОМ</v>
      </c>
      <c r="M1198" s="13" t="b">
        <f t="shared" si="127"/>
        <v>0</v>
      </c>
      <c r="N1198" s="13">
        <f t="shared" si="128"/>
        <v>1</v>
      </c>
      <c r="O1198" s="13" t="str">
        <f t="shared" si="129"/>
        <v>ЭТАЖ ЗАДАН ЧИСЛОМ</v>
      </c>
      <c r="P1198" s="13" t="str">
        <f t="shared" si="130"/>
        <v>ЭТАЖ ЗАДАН ЧИСЛОМ</v>
      </c>
      <c r="Q1198" s="13" t="str">
        <f t="shared" si="131"/>
        <v>ГОТОВ_ИЗМЕНЕН</v>
      </c>
      <c r="R1198" s="13">
        <f>IFERROR(VLOOKUP(P1198,Лист1!A$1:B$20,2,FALSE),0)</f>
        <v>784</v>
      </c>
      <c r="S1198" s="13">
        <f t="shared" si="132"/>
        <v>0</v>
      </c>
    </row>
    <row r="1199" spans="1:19" x14ac:dyDescent="0.25">
      <c r="A1199" s="24" t="s">
        <v>2316</v>
      </c>
      <c r="B1199" s="4" t="s">
        <v>1059</v>
      </c>
      <c r="C1199" s="25" t="s">
        <v>7</v>
      </c>
      <c r="G1199" s="25" t="s">
        <v>1347</v>
      </c>
      <c r="H1199" s="24" t="s">
        <v>1061</v>
      </c>
      <c r="I1199" s="3" t="str">
        <f>IFERROR(VLOOKUP(C1199,'Справочник соответствий'!A$2:D$2981,2,FALSE),IF(VALUE(C1199)=0,1,VLOOKUP(C1199,'Справочник соответствий'!A$2:D$2981,2,FALSE)))</f>
        <v>2</v>
      </c>
      <c r="J1199" s="3">
        <f>IFERROR(VLOOKUP(D1199,'Справочник соответствий'!A$2:D$2981,2,FALSE),IF(VALUE(D1199)=0,0,VLOOKUP(D1199,'Справочник соответствий'!A$2:D$2981,2,FALSE)))</f>
        <v>0</v>
      </c>
      <c r="K1199" s="3" t="str">
        <f t="shared" si="126"/>
        <v>2</v>
      </c>
      <c r="L1199" s="13" t="str">
        <f>IFERROR(VLOOKUP(C1199,'Справочник соответствий'!A$2:D$2981,3,FALSE),IF(VALUE(C1199)=0,"ЭТАЖ НЕ ОПРЕДЕЛЕН. ПРИНЯТ ПО ДОПУЩЕНИЮ 1",VLOOKUP(C1199,'Справочник соответствий'!A$2:D$2981,3,FALSE)))</f>
        <v>ЭТАЖ ЗАДАН ЧИСЛОМ</v>
      </c>
      <c r="M1199" s="13" t="b">
        <f t="shared" si="127"/>
        <v>0</v>
      </c>
      <c r="N1199" s="13">
        <f t="shared" si="128"/>
        <v>2</v>
      </c>
      <c r="O1199" s="13" t="str">
        <f t="shared" si="129"/>
        <v>ЭТАЖ ЗАДАН ЧИСЛОМ</v>
      </c>
      <c r="P1199" s="13" t="str">
        <f t="shared" si="130"/>
        <v>ЭТАЖ ЗАДАН ЧИСЛОМ</v>
      </c>
      <c r="Q1199" s="13" t="str">
        <f t="shared" si="131"/>
        <v>ГОТОВ_ИЗМЕНЕН</v>
      </c>
      <c r="R1199" s="13">
        <f>IFERROR(VLOOKUP(P1199,Лист1!A$1:B$20,2,FALSE),0)</f>
        <v>784</v>
      </c>
      <c r="S1199" s="13">
        <f t="shared" si="132"/>
        <v>0</v>
      </c>
    </row>
    <row r="1200" spans="1:19" x14ac:dyDescent="0.25">
      <c r="A1200" s="24" t="s">
        <v>2317</v>
      </c>
      <c r="B1200" s="4" t="s">
        <v>1059</v>
      </c>
      <c r="C1200" s="25" t="s">
        <v>5</v>
      </c>
      <c r="G1200" s="25" t="s">
        <v>1072</v>
      </c>
      <c r="H1200" s="24" t="s">
        <v>1061</v>
      </c>
      <c r="I1200" s="3" t="str">
        <f>IFERROR(VLOOKUP(C1200,'Справочник соответствий'!A$2:D$2981,2,FALSE),IF(VALUE(C1200)=0,1,VLOOKUP(C1200,'Справочник соответствий'!A$2:D$2981,2,FALSE)))</f>
        <v>1</v>
      </c>
      <c r="J1200" s="3">
        <f>IFERROR(VLOOKUP(D1200,'Справочник соответствий'!A$2:D$2981,2,FALSE),IF(VALUE(D1200)=0,0,VLOOKUP(D1200,'Справочник соответствий'!A$2:D$2981,2,FALSE)))</f>
        <v>0</v>
      </c>
      <c r="K1200" s="3" t="str">
        <f t="shared" si="126"/>
        <v>1</v>
      </c>
      <c r="L1200" s="13" t="str">
        <f>IFERROR(VLOOKUP(C1200,'Справочник соответствий'!A$2:D$2981,3,FALSE),IF(VALUE(C1200)=0,"ЭТАЖ НЕ ОПРЕДЕЛЕН. ПРИНЯТ ПО ДОПУЩЕНИЮ 1",VLOOKUP(C1200,'Справочник соответствий'!A$2:D$2981,3,FALSE)))</f>
        <v>ЭТАЖ ЗАДАН ЧИСЛОМ</v>
      </c>
      <c r="M1200" s="13" t="b">
        <f t="shared" si="127"/>
        <v>0</v>
      </c>
      <c r="N1200" s="13">
        <f t="shared" si="128"/>
        <v>1</v>
      </c>
      <c r="O1200" s="13" t="str">
        <f t="shared" si="129"/>
        <v>ЭТАЖ ЗАДАН ЧИСЛОМ</v>
      </c>
      <c r="P1200" s="13" t="str">
        <f t="shared" si="130"/>
        <v>ЭТАЖ ЗАДАН ЧИСЛОМ</v>
      </c>
      <c r="Q1200" s="13" t="str">
        <f t="shared" si="131"/>
        <v>ГОТОВ_ИЗМЕНЕН</v>
      </c>
      <c r="R1200" s="13">
        <f>IFERROR(VLOOKUP(P1200,Лист1!A$1:B$20,2,FALSE),0)</f>
        <v>784</v>
      </c>
      <c r="S1200" s="13">
        <f t="shared" si="132"/>
        <v>0</v>
      </c>
    </row>
    <row r="1201" spans="1:19" x14ac:dyDescent="0.25">
      <c r="A1201" s="24" t="s">
        <v>2318</v>
      </c>
      <c r="B1201" s="4" t="s">
        <v>1063</v>
      </c>
      <c r="C1201" s="25" t="s">
        <v>5</v>
      </c>
      <c r="G1201" s="25" t="s">
        <v>1072</v>
      </c>
      <c r="H1201" s="24" t="s">
        <v>1061</v>
      </c>
      <c r="I1201" s="3" t="str">
        <f>IFERROR(VLOOKUP(C1201,'Справочник соответствий'!A$2:D$2981,2,FALSE),IF(VALUE(C1201)=0,1,VLOOKUP(C1201,'Справочник соответствий'!A$2:D$2981,2,FALSE)))</f>
        <v>1</v>
      </c>
      <c r="J1201" s="3">
        <f>IFERROR(VLOOKUP(D1201,'Справочник соответствий'!A$2:D$2981,2,FALSE),IF(VALUE(D1201)=0,0,VLOOKUP(D1201,'Справочник соответствий'!A$2:D$2981,2,FALSE)))</f>
        <v>0</v>
      </c>
      <c r="K1201" s="3" t="str">
        <f t="shared" si="126"/>
        <v>1</v>
      </c>
      <c r="L1201" s="13" t="str">
        <f>IFERROR(VLOOKUP(C1201,'Справочник соответствий'!A$2:D$2981,3,FALSE),IF(VALUE(C1201)=0,"ЭТАЖ НЕ ОПРЕДЕЛЕН. ПРИНЯТ ПО ДОПУЩЕНИЮ 1",VLOOKUP(C1201,'Справочник соответствий'!A$2:D$2981,3,FALSE)))</f>
        <v>ЭТАЖ ЗАДАН ЧИСЛОМ</v>
      </c>
      <c r="M1201" s="13" t="b">
        <f t="shared" si="127"/>
        <v>0</v>
      </c>
      <c r="N1201" s="13">
        <f t="shared" si="128"/>
        <v>1</v>
      </c>
      <c r="O1201" s="13" t="str">
        <f t="shared" si="129"/>
        <v>ЭТАЖ ЗАДАН ЧИСЛОМ</v>
      </c>
      <c r="P1201" s="13" t="str">
        <f t="shared" si="130"/>
        <v>ЭТАЖ ЗАДАН ЧИСЛОМ</v>
      </c>
      <c r="Q1201" s="13" t="str">
        <f t="shared" si="131"/>
        <v>ГОТОВ_ИЗМЕНЕН</v>
      </c>
      <c r="R1201" s="13">
        <f>IFERROR(VLOOKUP(P1201,Лист1!A$1:B$20,2,FALSE),0)</f>
        <v>784</v>
      </c>
      <c r="S1201" s="13">
        <f t="shared" si="132"/>
        <v>0</v>
      </c>
    </row>
    <row r="1202" spans="1:19" x14ac:dyDescent="0.25">
      <c r="A1202" s="24" t="s">
        <v>2319</v>
      </c>
      <c r="B1202" s="4" t="s">
        <v>1063</v>
      </c>
      <c r="C1202" s="25" t="s">
        <v>5</v>
      </c>
      <c r="G1202" s="25" t="s">
        <v>1072</v>
      </c>
      <c r="H1202" s="24" t="s">
        <v>1061</v>
      </c>
      <c r="I1202" s="3" t="str">
        <f>IFERROR(VLOOKUP(C1202,'Справочник соответствий'!A$2:D$2981,2,FALSE),IF(VALUE(C1202)=0,1,VLOOKUP(C1202,'Справочник соответствий'!A$2:D$2981,2,FALSE)))</f>
        <v>1</v>
      </c>
      <c r="J1202" s="3">
        <f>IFERROR(VLOOKUP(D1202,'Справочник соответствий'!A$2:D$2981,2,FALSE),IF(VALUE(D1202)=0,0,VLOOKUP(D1202,'Справочник соответствий'!A$2:D$2981,2,FALSE)))</f>
        <v>0</v>
      </c>
      <c r="K1202" s="3" t="str">
        <f t="shared" si="126"/>
        <v>1</v>
      </c>
      <c r="L1202" s="13" t="str">
        <f>IFERROR(VLOOKUP(C1202,'Справочник соответствий'!A$2:D$2981,3,FALSE),IF(VALUE(C1202)=0,"ЭТАЖ НЕ ОПРЕДЕЛЕН. ПРИНЯТ ПО ДОПУЩЕНИЮ 1",VLOOKUP(C1202,'Справочник соответствий'!A$2:D$2981,3,FALSE)))</f>
        <v>ЭТАЖ ЗАДАН ЧИСЛОМ</v>
      </c>
      <c r="M1202" s="13" t="b">
        <f t="shared" si="127"/>
        <v>0</v>
      </c>
      <c r="N1202" s="13">
        <f t="shared" si="128"/>
        <v>1</v>
      </c>
      <c r="O1202" s="13" t="str">
        <f t="shared" si="129"/>
        <v>ЭТАЖ ЗАДАН ЧИСЛОМ</v>
      </c>
      <c r="P1202" s="13" t="str">
        <f t="shared" si="130"/>
        <v>ЭТАЖ ЗАДАН ЧИСЛОМ</v>
      </c>
      <c r="Q1202" s="13" t="str">
        <f t="shared" si="131"/>
        <v>ГОТОВ_ИЗМЕНЕН</v>
      </c>
      <c r="R1202" s="13">
        <f>IFERROR(VLOOKUP(P1202,Лист1!A$1:B$20,2,FALSE),0)</f>
        <v>784</v>
      </c>
      <c r="S1202" s="13">
        <f t="shared" si="132"/>
        <v>0</v>
      </c>
    </row>
    <row r="1203" spans="1:19" x14ac:dyDescent="0.25">
      <c r="A1203" s="24" t="s">
        <v>2320</v>
      </c>
      <c r="B1203" s="4" t="s">
        <v>1059</v>
      </c>
      <c r="C1203" s="25" t="s">
        <v>7</v>
      </c>
      <c r="G1203" s="25" t="s">
        <v>1072</v>
      </c>
      <c r="H1203" s="24" t="s">
        <v>1061</v>
      </c>
      <c r="I1203" s="3" t="str">
        <f>IFERROR(VLOOKUP(C1203,'Справочник соответствий'!A$2:D$2981,2,FALSE),IF(VALUE(C1203)=0,1,VLOOKUP(C1203,'Справочник соответствий'!A$2:D$2981,2,FALSE)))</f>
        <v>2</v>
      </c>
      <c r="J1203" s="3">
        <f>IFERROR(VLOOKUP(D1203,'Справочник соответствий'!A$2:D$2981,2,FALSE),IF(VALUE(D1203)=0,0,VLOOKUP(D1203,'Справочник соответствий'!A$2:D$2981,2,FALSE)))</f>
        <v>0</v>
      </c>
      <c r="K1203" s="3" t="str">
        <f t="shared" si="126"/>
        <v>2</v>
      </c>
      <c r="L1203" s="13" t="str">
        <f>IFERROR(VLOOKUP(C1203,'Справочник соответствий'!A$2:D$2981,3,FALSE),IF(VALUE(C1203)=0,"ЭТАЖ НЕ ОПРЕДЕЛЕН. ПРИНЯТ ПО ДОПУЩЕНИЮ 1",VLOOKUP(C1203,'Справочник соответствий'!A$2:D$2981,3,FALSE)))</f>
        <v>ЭТАЖ ЗАДАН ЧИСЛОМ</v>
      </c>
      <c r="M1203" s="13" t="b">
        <f t="shared" si="127"/>
        <v>0</v>
      </c>
      <c r="N1203" s="13">
        <f t="shared" si="128"/>
        <v>2</v>
      </c>
      <c r="O1203" s="13" t="str">
        <f t="shared" si="129"/>
        <v>ЭТАЖ ЗАДАН ЧИСЛОМ</v>
      </c>
      <c r="P1203" s="13" t="str">
        <f t="shared" si="130"/>
        <v>ЭТАЖ ЗАДАН ЧИСЛОМ</v>
      </c>
      <c r="Q1203" s="13" t="str">
        <f t="shared" si="131"/>
        <v>ГОТОВ_ИЗМЕНЕН</v>
      </c>
      <c r="R1203" s="13">
        <f>IFERROR(VLOOKUP(P1203,Лист1!A$1:B$20,2,FALSE),0)</f>
        <v>784</v>
      </c>
      <c r="S1203" s="13">
        <f t="shared" si="132"/>
        <v>0</v>
      </c>
    </row>
    <row r="1204" spans="1:19" x14ac:dyDescent="0.25">
      <c r="A1204" s="24" t="s">
        <v>2321</v>
      </c>
      <c r="B1204" s="4" t="s">
        <v>1059</v>
      </c>
      <c r="C1204" s="25" t="s">
        <v>5</v>
      </c>
      <c r="G1204" s="25" t="s">
        <v>1328</v>
      </c>
      <c r="H1204" s="24" t="s">
        <v>1061</v>
      </c>
      <c r="I1204" s="3" t="str">
        <f>IFERROR(VLOOKUP(C1204,'Справочник соответствий'!A$2:D$2981,2,FALSE),IF(VALUE(C1204)=0,1,VLOOKUP(C1204,'Справочник соответствий'!A$2:D$2981,2,FALSE)))</f>
        <v>1</v>
      </c>
      <c r="J1204" s="3">
        <f>IFERROR(VLOOKUP(D1204,'Справочник соответствий'!A$2:D$2981,2,FALSE),IF(VALUE(D1204)=0,0,VLOOKUP(D1204,'Справочник соответствий'!A$2:D$2981,2,FALSE)))</f>
        <v>0</v>
      </c>
      <c r="K1204" s="3" t="str">
        <f t="shared" si="126"/>
        <v>1</v>
      </c>
      <c r="L1204" s="13" t="str">
        <f>IFERROR(VLOOKUP(C1204,'Справочник соответствий'!A$2:D$2981,3,FALSE),IF(VALUE(C1204)=0,"ЭТАЖ НЕ ОПРЕДЕЛЕН. ПРИНЯТ ПО ДОПУЩЕНИЮ 1",VLOOKUP(C1204,'Справочник соответствий'!A$2:D$2981,3,FALSE)))</f>
        <v>ЭТАЖ ЗАДАН ЧИСЛОМ</v>
      </c>
      <c r="M1204" s="13" t="b">
        <f t="shared" si="127"/>
        <v>0</v>
      </c>
      <c r="N1204" s="13">
        <f t="shared" si="128"/>
        <v>1</v>
      </c>
      <c r="O1204" s="13" t="str">
        <f t="shared" si="129"/>
        <v>ЭТАЖ ЗАДАН ЧИСЛОМ</v>
      </c>
      <c r="P1204" s="13" t="str">
        <f t="shared" si="130"/>
        <v>ЭТАЖ ЗАДАН ЧИСЛОМ</v>
      </c>
      <c r="Q1204" s="13" t="str">
        <f t="shared" si="131"/>
        <v>ГОТОВ_ИЗМЕНЕН</v>
      </c>
      <c r="R1204" s="13">
        <f>IFERROR(VLOOKUP(P1204,Лист1!A$1:B$20,2,FALSE),0)</f>
        <v>784</v>
      </c>
      <c r="S1204" s="13">
        <f t="shared" si="132"/>
        <v>0</v>
      </c>
    </row>
    <row r="1205" spans="1:19" x14ac:dyDescent="0.25">
      <c r="A1205" s="24" t="s">
        <v>2322</v>
      </c>
      <c r="B1205" s="4" t="s">
        <v>1063</v>
      </c>
      <c r="C1205" s="25" t="s">
        <v>5</v>
      </c>
      <c r="G1205" s="25" t="s">
        <v>1072</v>
      </c>
      <c r="H1205" s="24" t="s">
        <v>1061</v>
      </c>
      <c r="I1205" s="3" t="str">
        <f>IFERROR(VLOOKUP(C1205,'Справочник соответствий'!A$2:D$2981,2,FALSE),IF(VALUE(C1205)=0,1,VLOOKUP(C1205,'Справочник соответствий'!A$2:D$2981,2,FALSE)))</f>
        <v>1</v>
      </c>
      <c r="J1205" s="3">
        <f>IFERROR(VLOOKUP(D1205,'Справочник соответствий'!A$2:D$2981,2,FALSE),IF(VALUE(D1205)=0,0,VLOOKUP(D1205,'Справочник соответствий'!A$2:D$2981,2,FALSE)))</f>
        <v>0</v>
      </c>
      <c r="K1205" s="3" t="str">
        <f t="shared" si="126"/>
        <v>1</v>
      </c>
      <c r="L1205" s="13" t="str">
        <f>IFERROR(VLOOKUP(C1205,'Справочник соответствий'!A$2:D$2981,3,FALSE),IF(VALUE(C1205)=0,"ЭТАЖ НЕ ОПРЕДЕЛЕН. ПРИНЯТ ПО ДОПУЩЕНИЮ 1",VLOOKUP(C1205,'Справочник соответствий'!A$2:D$2981,3,FALSE)))</f>
        <v>ЭТАЖ ЗАДАН ЧИСЛОМ</v>
      </c>
      <c r="M1205" s="13" t="b">
        <f t="shared" si="127"/>
        <v>0</v>
      </c>
      <c r="N1205" s="13">
        <f t="shared" si="128"/>
        <v>1</v>
      </c>
      <c r="O1205" s="13" t="str">
        <f t="shared" si="129"/>
        <v>ЭТАЖ ЗАДАН ЧИСЛОМ</v>
      </c>
      <c r="P1205" s="13" t="str">
        <f t="shared" si="130"/>
        <v>ЭТАЖ ЗАДАН ЧИСЛОМ</v>
      </c>
      <c r="Q1205" s="13" t="str">
        <f t="shared" si="131"/>
        <v>ГОТОВ_ИЗМЕНЕН</v>
      </c>
      <c r="R1205" s="13">
        <f>IFERROR(VLOOKUP(P1205,Лист1!A$1:B$20,2,FALSE),0)</f>
        <v>784</v>
      </c>
      <c r="S1205" s="13">
        <f t="shared" si="132"/>
        <v>0</v>
      </c>
    </row>
    <row r="1206" spans="1:19" x14ac:dyDescent="0.25">
      <c r="A1206" s="24" t="s">
        <v>2323</v>
      </c>
      <c r="B1206" s="4" t="s">
        <v>1063</v>
      </c>
      <c r="C1206" s="25" t="s">
        <v>5</v>
      </c>
      <c r="G1206" s="25" t="s">
        <v>1072</v>
      </c>
      <c r="H1206" s="24" t="s">
        <v>1061</v>
      </c>
      <c r="I1206" s="3" t="str">
        <f>IFERROR(VLOOKUP(C1206,'Справочник соответствий'!A$2:D$2981,2,FALSE),IF(VALUE(C1206)=0,1,VLOOKUP(C1206,'Справочник соответствий'!A$2:D$2981,2,FALSE)))</f>
        <v>1</v>
      </c>
      <c r="J1206" s="3">
        <f>IFERROR(VLOOKUP(D1206,'Справочник соответствий'!A$2:D$2981,2,FALSE),IF(VALUE(D1206)=0,0,VLOOKUP(D1206,'Справочник соответствий'!A$2:D$2981,2,FALSE)))</f>
        <v>0</v>
      </c>
      <c r="K1206" s="3" t="str">
        <f t="shared" si="126"/>
        <v>1</v>
      </c>
      <c r="L1206" s="13" t="str">
        <f>IFERROR(VLOOKUP(C1206,'Справочник соответствий'!A$2:D$2981,3,FALSE),IF(VALUE(C1206)=0,"ЭТАЖ НЕ ОПРЕДЕЛЕН. ПРИНЯТ ПО ДОПУЩЕНИЮ 1",VLOOKUP(C1206,'Справочник соответствий'!A$2:D$2981,3,FALSE)))</f>
        <v>ЭТАЖ ЗАДАН ЧИСЛОМ</v>
      </c>
      <c r="M1206" s="13" t="b">
        <f t="shared" si="127"/>
        <v>0</v>
      </c>
      <c r="N1206" s="13">
        <f t="shared" si="128"/>
        <v>1</v>
      </c>
      <c r="O1206" s="13" t="str">
        <f t="shared" si="129"/>
        <v>ЭТАЖ ЗАДАН ЧИСЛОМ</v>
      </c>
      <c r="P1206" s="13" t="str">
        <f t="shared" si="130"/>
        <v>ЭТАЖ ЗАДАН ЧИСЛОМ</v>
      </c>
      <c r="Q1206" s="13" t="str">
        <f t="shared" si="131"/>
        <v>ГОТОВ_ИЗМЕНЕН</v>
      </c>
      <c r="R1206" s="13">
        <f>IFERROR(VLOOKUP(P1206,Лист1!A$1:B$20,2,FALSE),0)</f>
        <v>784</v>
      </c>
      <c r="S1206" s="13">
        <f t="shared" si="132"/>
        <v>0</v>
      </c>
    </row>
    <row r="1207" spans="1:19" x14ac:dyDescent="0.25">
      <c r="A1207" s="24" t="s">
        <v>2324</v>
      </c>
      <c r="B1207" s="4" t="s">
        <v>1059</v>
      </c>
      <c r="C1207" s="25" t="s">
        <v>5</v>
      </c>
      <c r="G1207" s="25" t="s">
        <v>1391</v>
      </c>
      <c r="H1207" s="24" t="s">
        <v>1061</v>
      </c>
      <c r="I1207" s="3" t="str">
        <f>IFERROR(VLOOKUP(C1207,'Справочник соответствий'!A$2:D$2981,2,FALSE),IF(VALUE(C1207)=0,1,VLOOKUP(C1207,'Справочник соответствий'!A$2:D$2981,2,FALSE)))</f>
        <v>1</v>
      </c>
      <c r="J1207" s="3">
        <f>IFERROR(VLOOKUP(D1207,'Справочник соответствий'!A$2:D$2981,2,FALSE),IF(VALUE(D1207)=0,0,VLOOKUP(D1207,'Справочник соответствий'!A$2:D$2981,2,FALSE)))</f>
        <v>0</v>
      </c>
      <c r="K1207" s="3" t="str">
        <f t="shared" si="126"/>
        <v>1</v>
      </c>
      <c r="L1207" s="13" t="str">
        <f>IFERROR(VLOOKUP(C1207,'Справочник соответствий'!A$2:D$2981,3,FALSE),IF(VALUE(C1207)=0,"ЭТАЖ НЕ ОПРЕДЕЛЕН. ПРИНЯТ ПО ДОПУЩЕНИЮ 1",VLOOKUP(C1207,'Справочник соответствий'!A$2:D$2981,3,FALSE)))</f>
        <v>ЭТАЖ ЗАДАН ЧИСЛОМ</v>
      </c>
      <c r="M1207" s="13" t="b">
        <f t="shared" si="127"/>
        <v>0</v>
      </c>
      <c r="N1207" s="13">
        <f t="shared" si="128"/>
        <v>1</v>
      </c>
      <c r="O1207" s="13" t="str">
        <f t="shared" si="129"/>
        <v>ЭТАЖ ЗАДАН ЧИСЛОМ</v>
      </c>
      <c r="P1207" s="13" t="str">
        <f t="shared" si="130"/>
        <v>ЭТАЖ ЗАДАН ЧИСЛОМ</v>
      </c>
      <c r="Q1207" s="13" t="str">
        <f t="shared" si="131"/>
        <v>ГОТОВ_ИЗМЕНЕН</v>
      </c>
      <c r="R1207" s="13">
        <f>IFERROR(VLOOKUP(P1207,Лист1!A$1:B$20,2,FALSE),0)</f>
        <v>784</v>
      </c>
      <c r="S1207" s="13">
        <f t="shared" si="132"/>
        <v>0</v>
      </c>
    </row>
    <row r="1208" spans="1:19" x14ac:dyDescent="0.25">
      <c r="A1208" s="24" t="s">
        <v>2325</v>
      </c>
      <c r="B1208" s="4" t="s">
        <v>1059</v>
      </c>
      <c r="C1208" s="25" t="s">
        <v>7</v>
      </c>
      <c r="G1208" s="25" t="s">
        <v>1106</v>
      </c>
      <c r="H1208" s="24" t="s">
        <v>1061</v>
      </c>
      <c r="I1208" s="3" t="str">
        <f>IFERROR(VLOOKUP(C1208,'Справочник соответствий'!A$2:D$2981,2,FALSE),IF(VALUE(C1208)=0,1,VLOOKUP(C1208,'Справочник соответствий'!A$2:D$2981,2,FALSE)))</f>
        <v>2</v>
      </c>
      <c r="J1208" s="3">
        <f>IFERROR(VLOOKUP(D1208,'Справочник соответствий'!A$2:D$2981,2,FALSE),IF(VALUE(D1208)=0,0,VLOOKUP(D1208,'Справочник соответствий'!A$2:D$2981,2,FALSE)))</f>
        <v>0</v>
      </c>
      <c r="K1208" s="3" t="str">
        <f t="shared" si="126"/>
        <v>2</v>
      </c>
      <c r="L1208" s="13" t="str">
        <f>IFERROR(VLOOKUP(C1208,'Справочник соответствий'!A$2:D$2981,3,FALSE),IF(VALUE(C1208)=0,"ЭТАЖ НЕ ОПРЕДЕЛЕН. ПРИНЯТ ПО ДОПУЩЕНИЮ 1",VLOOKUP(C1208,'Справочник соответствий'!A$2:D$2981,3,FALSE)))</f>
        <v>ЭТАЖ ЗАДАН ЧИСЛОМ</v>
      </c>
      <c r="M1208" s="13" t="b">
        <f t="shared" si="127"/>
        <v>0</v>
      </c>
      <c r="N1208" s="13">
        <f t="shared" si="128"/>
        <v>2</v>
      </c>
      <c r="O1208" s="13" t="str">
        <f t="shared" si="129"/>
        <v>ЭТАЖ ЗАДАН ЧИСЛОМ</v>
      </c>
      <c r="P1208" s="13" t="str">
        <f t="shared" si="130"/>
        <v>ЭТАЖ ЗАДАН ЧИСЛОМ</v>
      </c>
      <c r="Q1208" s="13" t="str">
        <f t="shared" si="131"/>
        <v>ГОТОВ_ИЗМЕНЕН</v>
      </c>
      <c r="R1208" s="13">
        <f>IFERROR(VLOOKUP(P1208,Лист1!A$1:B$20,2,FALSE),0)</f>
        <v>784</v>
      </c>
      <c r="S1208" s="13">
        <f t="shared" si="132"/>
        <v>0</v>
      </c>
    </row>
    <row r="1209" spans="1:19" x14ac:dyDescent="0.25">
      <c r="A1209" s="24" t="s">
        <v>2326</v>
      </c>
      <c r="B1209" s="4" t="s">
        <v>1063</v>
      </c>
      <c r="C1209" s="25" t="s">
        <v>5</v>
      </c>
      <c r="G1209" s="25" t="s">
        <v>1106</v>
      </c>
      <c r="H1209" s="24" t="s">
        <v>1061</v>
      </c>
      <c r="I1209" s="3" t="str">
        <f>IFERROR(VLOOKUP(C1209,'Справочник соответствий'!A$2:D$2981,2,FALSE),IF(VALUE(C1209)=0,1,VLOOKUP(C1209,'Справочник соответствий'!A$2:D$2981,2,FALSE)))</f>
        <v>1</v>
      </c>
      <c r="J1209" s="3">
        <f>IFERROR(VLOOKUP(D1209,'Справочник соответствий'!A$2:D$2981,2,FALSE),IF(VALUE(D1209)=0,0,VLOOKUP(D1209,'Справочник соответствий'!A$2:D$2981,2,FALSE)))</f>
        <v>0</v>
      </c>
      <c r="K1209" s="3" t="str">
        <f t="shared" si="126"/>
        <v>1</v>
      </c>
      <c r="L1209" s="13" t="str">
        <f>IFERROR(VLOOKUP(C1209,'Справочник соответствий'!A$2:D$2981,3,FALSE),IF(VALUE(C1209)=0,"ЭТАЖ НЕ ОПРЕДЕЛЕН. ПРИНЯТ ПО ДОПУЩЕНИЮ 1",VLOOKUP(C1209,'Справочник соответствий'!A$2:D$2981,3,FALSE)))</f>
        <v>ЭТАЖ ЗАДАН ЧИСЛОМ</v>
      </c>
      <c r="M1209" s="13" t="b">
        <f t="shared" si="127"/>
        <v>0</v>
      </c>
      <c r="N1209" s="13">
        <f t="shared" si="128"/>
        <v>1</v>
      </c>
      <c r="O1209" s="13" t="str">
        <f t="shared" si="129"/>
        <v>ЭТАЖ ЗАДАН ЧИСЛОМ</v>
      </c>
      <c r="P1209" s="13" t="str">
        <f t="shared" si="130"/>
        <v>ЭТАЖ ЗАДАН ЧИСЛОМ</v>
      </c>
      <c r="Q1209" s="13" t="str">
        <f t="shared" si="131"/>
        <v>ГОТОВ_ИЗМЕНЕН</v>
      </c>
      <c r="R1209" s="13">
        <f>IFERROR(VLOOKUP(P1209,Лист1!A$1:B$20,2,FALSE),0)</f>
        <v>784</v>
      </c>
      <c r="S1209" s="13">
        <f t="shared" si="132"/>
        <v>0</v>
      </c>
    </row>
    <row r="1210" spans="1:19" x14ac:dyDescent="0.25">
      <c r="A1210" s="24" t="s">
        <v>2327</v>
      </c>
      <c r="B1210" s="4" t="s">
        <v>1059</v>
      </c>
      <c r="C1210" s="25" t="s">
        <v>5</v>
      </c>
      <c r="G1210" s="25" t="s">
        <v>1106</v>
      </c>
      <c r="H1210" s="24" t="s">
        <v>1061</v>
      </c>
      <c r="I1210" s="3" t="str">
        <f>IFERROR(VLOOKUP(C1210,'Справочник соответствий'!A$2:D$2981,2,FALSE),IF(VALUE(C1210)=0,1,VLOOKUP(C1210,'Справочник соответствий'!A$2:D$2981,2,FALSE)))</f>
        <v>1</v>
      </c>
      <c r="J1210" s="3">
        <f>IFERROR(VLOOKUP(D1210,'Справочник соответствий'!A$2:D$2981,2,FALSE),IF(VALUE(D1210)=0,0,VLOOKUP(D1210,'Справочник соответствий'!A$2:D$2981,2,FALSE)))</f>
        <v>0</v>
      </c>
      <c r="K1210" s="3" t="str">
        <f t="shared" si="126"/>
        <v>1</v>
      </c>
      <c r="L1210" s="13" t="str">
        <f>IFERROR(VLOOKUP(C1210,'Справочник соответствий'!A$2:D$2981,3,FALSE),IF(VALUE(C1210)=0,"ЭТАЖ НЕ ОПРЕДЕЛЕН. ПРИНЯТ ПО ДОПУЩЕНИЮ 1",VLOOKUP(C1210,'Справочник соответствий'!A$2:D$2981,3,FALSE)))</f>
        <v>ЭТАЖ ЗАДАН ЧИСЛОМ</v>
      </c>
      <c r="M1210" s="13" t="b">
        <f t="shared" si="127"/>
        <v>0</v>
      </c>
      <c r="N1210" s="13">
        <f t="shared" si="128"/>
        <v>1</v>
      </c>
      <c r="O1210" s="13" t="str">
        <f t="shared" si="129"/>
        <v>ЭТАЖ ЗАДАН ЧИСЛОМ</v>
      </c>
      <c r="P1210" s="13" t="str">
        <f t="shared" si="130"/>
        <v>ЭТАЖ ЗАДАН ЧИСЛОМ</v>
      </c>
      <c r="Q1210" s="13" t="str">
        <f t="shared" si="131"/>
        <v>ГОТОВ_ИЗМЕНЕН</v>
      </c>
      <c r="R1210" s="13">
        <f>IFERROR(VLOOKUP(P1210,Лист1!A$1:B$20,2,FALSE),0)</f>
        <v>784</v>
      </c>
      <c r="S1210" s="13">
        <f t="shared" si="132"/>
        <v>0</v>
      </c>
    </row>
    <row r="1211" spans="1:19" x14ac:dyDescent="0.25">
      <c r="A1211" s="24" t="s">
        <v>2328</v>
      </c>
      <c r="B1211" s="4" t="s">
        <v>1059</v>
      </c>
      <c r="C1211" s="25" t="s">
        <v>7</v>
      </c>
      <c r="G1211" s="25" t="s">
        <v>1106</v>
      </c>
      <c r="H1211" s="24" t="s">
        <v>1061</v>
      </c>
      <c r="I1211" s="3" t="str">
        <f>IFERROR(VLOOKUP(C1211,'Справочник соответствий'!A$2:D$2981,2,FALSE),IF(VALUE(C1211)=0,1,VLOOKUP(C1211,'Справочник соответствий'!A$2:D$2981,2,FALSE)))</f>
        <v>2</v>
      </c>
      <c r="J1211" s="3">
        <f>IFERROR(VLOOKUP(D1211,'Справочник соответствий'!A$2:D$2981,2,FALSE),IF(VALUE(D1211)=0,0,VLOOKUP(D1211,'Справочник соответствий'!A$2:D$2981,2,FALSE)))</f>
        <v>0</v>
      </c>
      <c r="K1211" s="3" t="str">
        <f t="shared" si="126"/>
        <v>2</v>
      </c>
      <c r="L1211" s="13" t="str">
        <f>IFERROR(VLOOKUP(C1211,'Справочник соответствий'!A$2:D$2981,3,FALSE),IF(VALUE(C1211)=0,"ЭТАЖ НЕ ОПРЕДЕЛЕН. ПРИНЯТ ПО ДОПУЩЕНИЮ 1",VLOOKUP(C1211,'Справочник соответствий'!A$2:D$2981,3,FALSE)))</f>
        <v>ЭТАЖ ЗАДАН ЧИСЛОМ</v>
      </c>
      <c r="M1211" s="13" t="b">
        <f t="shared" si="127"/>
        <v>0</v>
      </c>
      <c r="N1211" s="13">
        <f t="shared" si="128"/>
        <v>2</v>
      </c>
      <c r="O1211" s="13" t="str">
        <f t="shared" si="129"/>
        <v>ЭТАЖ ЗАДАН ЧИСЛОМ</v>
      </c>
      <c r="P1211" s="13" t="str">
        <f t="shared" si="130"/>
        <v>ЭТАЖ ЗАДАН ЧИСЛОМ</v>
      </c>
      <c r="Q1211" s="13" t="str">
        <f t="shared" si="131"/>
        <v>ГОТОВ_ИЗМЕНЕН</v>
      </c>
      <c r="R1211" s="13">
        <f>IFERROR(VLOOKUP(P1211,Лист1!A$1:B$20,2,FALSE),0)</f>
        <v>784</v>
      </c>
      <c r="S1211" s="13">
        <f t="shared" si="132"/>
        <v>0</v>
      </c>
    </row>
    <row r="1212" spans="1:19" x14ac:dyDescent="0.25">
      <c r="A1212" s="24" t="s">
        <v>2329</v>
      </c>
      <c r="B1212" s="4" t="s">
        <v>1063</v>
      </c>
      <c r="C1212" s="25" t="s">
        <v>7</v>
      </c>
      <c r="G1212" s="25" t="s">
        <v>1106</v>
      </c>
      <c r="H1212" s="24" t="s">
        <v>1061</v>
      </c>
      <c r="I1212" s="3" t="str">
        <f>IFERROR(VLOOKUP(C1212,'Справочник соответствий'!A$2:D$2981,2,FALSE),IF(VALUE(C1212)=0,1,VLOOKUP(C1212,'Справочник соответствий'!A$2:D$2981,2,FALSE)))</f>
        <v>2</v>
      </c>
      <c r="J1212" s="3">
        <f>IFERROR(VLOOKUP(D1212,'Справочник соответствий'!A$2:D$2981,2,FALSE),IF(VALUE(D1212)=0,0,VLOOKUP(D1212,'Справочник соответствий'!A$2:D$2981,2,FALSE)))</f>
        <v>0</v>
      </c>
      <c r="K1212" s="3" t="str">
        <f t="shared" si="126"/>
        <v>2</v>
      </c>
      <c r="L1212" s="13" t="str">
        <f>IFERROR(VLOOKUP(C1212,'Справочник соответствий'!A$2:D$2981,3,FALSE),IF(VALUE(C1212)=0,"ЭТАЖ НЕ ОПРЕДЕЛЕН. ПРИНЯТ ПО ДОПУЩЕНИЮ 1",VLOOKUP(C1212,'Справочник соответствий'!A$2:D$2981,3,FALSE)))</f>
        <v>ЭТАЖ ЗАДАН ЧИСЛОМ</v>
      </c>
      <c r="M1212" s="13" t="b">
        <f t="shared" si="127"/>
        <v>0</v>
      </c>
      <c r="N1212" s="13">
        <f t="shared" si="128"/>
        <v>2</v>
      </c>
      <c r="O1212" s="13" t="str">
        <f t="shared" si="129"/>
        <v>ЭТАЖ ЗАДАН ЧИСЛОМ</v>
      </c>
      <c r="P1212" s="13" t="str">
        <f t="shared" si="130"/>
        <v>ЭТАЖ ЗАДАН ЧИСЛОМ</v>
      </c>
      <c r="Q1212" s="13" t="str">
        <f t="shared" si="131"/>
        <v>ГОТОВ_ИЗМЕНЕН</v>
      </c>
      <c r="R1212" s="13">
        <f>IFERROR(VLOOKUP(P1212,Лист1!A$1:B$20,2,FALSE),0)</f>
        <v>784</v>
      </c>
      <c r="S1212" s="13">
        <f t="shared" si="132"/>
        <v>0</v>
      </c>
    </row>
    <row r="1213" spans="1:19" x14ac:dyDescent="0.25">
      <c r="A1213" s="24" t="s">
        <v>2330</v>
      </c>
      <c r="B1213" s="4" t="s">
        <v>1063</v>
      </c>
      <c r="C1213" s="25" t="s">
        <v>5</v>
      </c>
      <c r="G1213" s="25" t="s">
        <v>1106</v>
      </c>
      <c r="H1213" s="24" t="s">
        <v>1061</v>
      </c>
      <c r="I1213" s="3" t="str">
        <f>IFERROR(VLOOKUP(C1213,'Справочник соответствий'!A$2:D$2981,2,FALSE),IF(VALUE(C1213)=0,1,VLOOKUP(C1213,'Справочник соответствий'!A$2:D$2981,2,FALSE)))</f>
        <v>1</v>
      </c>
      <c r="J1213" s="3">
        <f>IFERROR(VLOOKUP(D1213,'Справочник соответствий'!A$2:D$2981,2,FALSE),IF(VALUE(D1213)=0,0,VLOOKUP(D1213,'Справочник соответствий'!A$2:D$2981,2,FALSE)))</f>
        <v>0</v>
      </c>
      <c r="K1213" s="3" t="str">
        <f t="shared" si="126"/>
        <v>1</v>
      </c>
      <c r="L1213" s="13" t="str">
        <f>IFERROR(VLOOKUP(C1213,'Справочник соответствий'!A$2:D$2981,3,FALSE),IF(VALUE(C1213)=0,"ЭТАЖ НЕ ОПРЕДЕЛЕН. ПРИНЯТ ПО ДОПУЩЕНИЮ 1",VLOOKUP(C1213,'Справочник соответствий'!A$2:D$2981,3,FALSE)))</f>
        <v>ЭТАЖ ЗАДАН ЧИСЛОМ</v>
      </c>
      <c r="M1213" s="13" t="b">
        <f t="shared" si="127"/>
        <v>0</v>
      </c>
      <c r="N1213" s="13">
        <f t="shared" si="128"/>
        <v>1</v>
      </c>
      <c r="O1213" s="13" t="str">
        <f t="shared" si="129"/>
        <v>ЭТАЖ ЗАДАН ЧИСЛОМ</v>
      </c>
      <c r="P1213" s="13" t="str">
        <f t="shared" si="130"/>
        <v>ЭТАЖ ЗАДАН ЧИСЛОМ</v>
      </c>
      <c r="Q1213" s="13" t="str">
        <f t="shared" si="131"/>
        <v>ГОТОВ_ИЗМЕНЕН</v>
      </c>
      <c r="R1213" s="13">
        <f>IFERROR(VLOOKUP(P1213,Лист1!A$1:B$20,2,FALSE),0)</f>
        <v>784</v>
      </c>
      <c r="S1213" s="13">
        <f t="shared" si="132"/>
        <v>0</v>
      </c>
    </row>
    <row r="1214" spans="1:19" x14ac:dyDescent="0.25">
      <c r="A1214" s="24" t="s">
        <v>2331</v>
      </c>
      <c r="B1214" s="4" t="s">
        <v>1063</v>
      </c>
      <c r="C1214" s="25" t="s">
        <v>5</v>
      </c>
      <c r="G1214" s="25" t="s">
        <v>1289</v>
      </c>
      <c r="H1214" s="24" t="s">
        <v>1061</v>
      </c>
      <c r="I1214" s="3" t="str">
        <f>IFERROR(VLOOKUP(C1214,'Справочник соответствий'!A$2:D$2981,2,FALSE),IF(VALUE(C1214)=0,1,VLOOKUP(C1214,'Справочник соответствий'!A$2:D$2981,2,FALSE)))</f>
        <v>1</v>
      </c>
      <c r="J1214" s="3">
        <f>IFERROR(VLOOKUP(D1214,'Справочник соответствий'!A$2:D$2981,2,FALSE),IF(VALUE(D1214)=0,0,VLOOKUP(D1214,'Справочник соответствий'!A$2:D$2981,2,FALSE)))</f>
        <v>0</v>
      </c>
      <c r="K1214" s="3" t="str">
        <f t="shared" si="126"/>
        <v>1</v>
      </c>
      <c r="L1214" s="13" t="str">
        <f>IFERROR(VLOOKUP(C1214,'Справочник соответствий'!A$2:D$2981,3,FALSE),IF(VALUE(C1214)=0,"ЭТАЖ НЕ ОПРЕДЕЛЕН. ПРИНЯТ ПО ДОПУЩЕНИЮ 1",VLOOKUP(C1214,'Справочник соответствий'!A$2:D$2981,3,FALSE)))</f>
        <v>ЭТАЖ ЗАДАН ЧИСЛОМ</v>
      </c>
      <c r="M1214" s="13" t="b">
        <f t="shared" si="127"/>
        <v>0</v>
      </c>
      <c r="N1214" s="13">
        <f t="shared" si="128"/>
        <v>1</v>
      </c>
      <c r="O1214" s="13" t="str">
        <f t="shared" si="129"/>
        <v>ЭТАЖ ЗАДАН ЧИСЛОМ</v>
      </c>
      <c r="P1214" s="13" t="str">
        <f t="shared" si="130"/>
        <v>ЭТАЖ ЗАДАН ЧИСЛОМ</v>
      </c>
      <c r="Q1214" s="13" t="str">
        <f t="shared" si="131"/>
        <v>ГОТОВ_ИЗМЕНЕН</v>
      </c>
      <c r="R1214" s="13">
        <f>IFERROR(VLOOKUP(P1214,Лист1!A$1:B$20,2,FALSE),0)</f>
        <v>784</v>
      </c>
      <c r="S1214" s="13">
        <f t="shared" si="132"/>
        <v>0</v>
      </c>
    </row>
    <row r="1215" spans="1:19" x14ac:dyDescent="0.25">
      <c r="A1215" s="24" t="s">
        <v>2332</v>
      </c>
      <c r="B1215" s="4" t="s">
        <v>1059</v>
      </c>
      <c r="C1215" s="25" t="s">
        <v>7</v>
      </c>
      <c r="G1215" s="25" t="s">
        <v>1106</v>
      </c>
      <c r="H1215" s="24" t="s">
        <v>1061</v>
      </c>
      <c r="I1215" s="3" t="str">
        <f>IFERROR(VLOOKUP(C1215,'Справочник соответствий'!A$2:D$2981,2,FALSE),IF(VALUE(C1215)=0,1,VLOOKUP(C1215,'Справочник соответствий'!A$2:D$2981,2,FALSE)))</f>
        <v>2</v>
      </c>
      <c r="J1215" s="3">
        <f>IFERROR(VLOOKUP(D1215,'Справочник соответствий'!A$2:D$2981,2,FALSE),IF(VALUE(D1215)=0,0,VLOOKUP(D1215,'Справочник соответствий'!A$2:D$2981,2,FALSE)))</f>
        <v>0</v>
      </c>
      <c r="K1215" s="3" t="str">
        <f t="shared" si="126"/>
        <v>2</v>
      </c>
      <c r="L1215" s="13" t="str">
        <f>IFERROR(VLOOKUP(C1215,'Справочник соответствий'!A$2:D$2981,3,FALSE),IF(VALUE(C1215)=0,"ЭТАЖ НЕ ОПРЕДЕЛЕН. ПРИНЯТ ПО ДОПУЩЕНИЮ 1",VLOOKUP(C1215,'Справочник соответствий'!A$2:D$2981,3,FALSE)))</f>
        <v>ЭТАЖ ЗАДАН ЧИСЛОМ</v>
      </c>
      <c r="M1215" s="13" t="b">
        <f t="shared" si="127"/>
        <v>0</v>
      </c>
      <c r="N1215" s="13">
        <f t="shared" si="128"/>
        <v>2</v>
      </c>
      <c r="O1215" s="13" t="str">
        <f t="shared" si="129"/>
        <v>ЭТАЖ ЗАДАН ЧИСЛОМ</v>
      </c>
      <c r="P1215" s="13" t="str">
        <f t="shared" si="130"/>
        <v>ЭТАЖ ЗАДАН ЧИСЛОМ</v>
      </c>
      <c r="Q1215" s="13" t="str">
        <f t="shared" si="131"/>
        <v>ГОТОВ_ИЗМЕНЕН</v>
      </c>
      <c r="R1215" s="13">
        <f>IFERROR(VLOOKUP(P1215,Лист1!A$1:B$20,2,FALSE),0)</f>
        <v>784</v>
      </c>
      <c r="S1215" s="13">
        <f t="shared" si="132"/>
        <v>0</v>
      </c>
    </row>
    <row r="1216" spans="1:19" x14ac:dyDescent="0.25">
      <c r="A1216" s="24" t="s">
        <v>2333</v>
      </c>
      <c r="B1216" s="4" t="s">
        <v>1059</v>
      </c>
      <c r="C1216" s="25" t="s">
        <v>7</v>
      </c>
      <c r="G1216" s="25" t="s">
        <v>1106</v>
      </c>
      <c r="H1216" s="24" t="s">
        <v>1061</v>
      </c>
      <c r="I1216" s="3" t="str">
        <f>IFERROR(VLOOKUP(C1216,'Справочник соответствий'!A$2:D$2981,2,FALSE),IF(VALUE(C1216)=0,1,VLOOKUP(C1216,'Справочник соответствий'!A$2:D$2981,2,FALSE)))</f>
        <v>2</v>
      </c>
      <c r="J1216" s="3">
        <f>IFERROR(VLOOKUP(D1216,'Справочник соответствий'!A$2:D$2981,2,FALSE),IF(VALUE(D1216)=0,0,VLOOKUP(D1216,'Справочник соответствий'!A$2:D$2981,2,FALSE)))</f>
        <v>0</v>
      </c>
      <c r="K1216" s="3" t="str">
        <f t="shared" si="126"/>
        <v>2</v>
      </c>
      <c r="L1216" s="13" t="str">
        <f>IFERROR(VLOOKUP(C1216,'Справочник соответствий'!A$2:D$2981,3,FALSE),IF(VALUE(C1216)=0,"ЭТАЖ НЕ ОПРЕДЕЛЕН. ПРИНЯТ ПО ДОПУЩЕНИЮ 1",VLOOKUP(C1216,'Справочник соответствий'!A$2:D$2981,3,FALSE)))</f>
        <v>ЭТАЖ ЗАДАН ЧИСЛОМ</v>
      </c>
      <c r="M1216" s="13" t="b">
        <f t="shared" si="127"/>
        <v>0</v>
      </c>
      <c r="N1216" s="13">
        <f t="shared" si="128"/>
        <v>2</v>
      </c>
      <c r="O1216" s="13" t="str">
        <f t="shared" si="129"/>
        <v>ЭТАЖ ЗАДАН ЧИСЛОМ</v>
      </c>
      <c r="P1216" s="13" t="str">
        <f t="shared" si="130"/>
        <v>ЭТАЖ ЗАДАН ЧИСЛОМ</v>
      </c>
      <c r="Q1216" s="13" t="str">
        <f t="shared" si="131"/>
        <v>ГОТОВ_ИЗМЕНЕН</v>
      </c>
      <c r="R1216" s="13">
        <f>IFERROR(VLOOKUP(P1216,Лист1!A$1:B$20,2,FALSE),0)</f>
        <v>784</v>
      </c>
      <c r="S1216" s="13">
        <f t="shared" si="132"/>
        <v>0</v>
      </c>
    </row>
    <row r="1217" spans="1:19" x14ac:dyDescent="0.25">
      <c r="A1217" s="24" t="s">
        <v>2334</v>
      </c>
      <c r="B1217" s="4" t="s">
        <v>1059</v>
      </c>
      <c r="C1217" s="25" t="s">
        <v>5</v>
      </c>
      <c r="G1217" s="25" t="s">
        <v>1289</v>
      </c>
      <c r="H1217" s="24" t="s">
        <v>1061</v>
      </c>
      <c r="I1217" s="3" t="str">
        <f>IFERROR(VLOOKUP(C1217,'Справочник соответствий'!A$2:D$2981,2,FALSE),IF(VALUE(C1217)=0,1,VLOOKUP(C1217,'Справочник соответствий'!A$2:D$2981,2,FALSE)))</f>
        <v>1</v>
      </c>
      <c r="J1217" s="3">
        <f>IFERROR(VLOOKUP(D1217,'Справочник соответствий'!A$2:D$2981,2,FALSE),IF(VALUE(D1217)=0,0,VLOOKUP(D1217,'Справочник соответствий'!A$2:D$2981,2,FALSE)))</f>
        <v>0</v>
      </c>
      <c r="K1217" s="3" t="str">
        <f t="shared" si="126"/>
        <v>1</v>
      </c>
      <c r="L1217" s="13" t="str">
        <f>IFERROR(VLOOKUP(C1217,'Справочник соответствий'!A$2:D$2981,3,FALSE),IF(VALUE(C1217)=0,"ЭТАЖ НЕ ОПРЕДЕЛЕН. ПРИНЯТ ПО ДОПУЩЕНИЮ 1",VLOOKUP(C1217,'Справочник соответствий'!A$2:D$2981,3,FALSE)))</f>
        <v>ЭТАЖ ЗАДАН ЧИСЛОМ</v>
      </c>
      <c r="M1217" s="13" t="b">
        <f t="shared" si="127"/>
        <v>0</v>
      </c>
      <c r="N1217" s="13">
        <f t="shared" si="128"/>
        <v>1</v>
      </c>
      <c r="O1217" s="13" t="str">
        <f t="shared" si="129"/>
        <v>ЭТАЖ ЗАДАН ЧИСЛОМ</v>
      </c>
      <c r="P1217" s="13" t="str">
        <f t="shared" si="130"/>
        <v>ЭТАЖ ЗАДАН ЧИСЛОМ</v>
      </c>
      <c r="Q1217" s="13" t="str">
        <f t="shared" si="131"/>
        <v>ГОТОВ_ИЗМЕНЕН</v>
      </c>
      <c r="R1217" s="13">
        <f>IFERROR(VLOOKUP(P1217,Лист1!A$1:B$20,2,FALSE),0)</f>
        <v>784</v>
      </c>
      <c r="S1217" s="13">
        <f t="shared" si="132"/>
        <v>0</v>
      </c>
    </row>
    <row r="1218" spans="1:19" x14ac:dyDescent="0.25">
      <c r="A1218" s="24" t="s">
        <v>2335</v>
      </c>
      <c r="B1218" s="4" t="s">
        <v>1063</v>
      </c>
      <c r="C1218" s="25" t="s">
        <v>5</v>
      </c>
      <c r="G1218" s="25" t="s">
        <v>1083</v>
      </c>
      <c r="H1218" s="24" t="s">
        <v>1061</v>
      </c>
      <c r="I1218" s="3" t="str">
        <f>IFERROR(VLOOKUP(C1218,'Справочник соответствий'!A$2:D$2981,2,FALSE),IF(VALUE(C1218)=0,1,VLOOKUP(C1218,'Справочник соответствий'!A$2:D$2981,2,FALSE)))</f>
        <v>1</v>
      </c>
      <c r="J1218" s="3">
        <f>IFERROR(VLOOKUP(D1218,'Справочник соответствий'!A$2:D$2981,2,FALSE),IF(VALUE(D1218)=0,0,VLOOKUP(D1218,'Справочник соответствий'!A$2:D$2981,2,FALSE)))</f>
        <v>0</v>
      </c>
      <c r="K1218" s="3" t="str">
        <f t="shared" si="126"/>
        <v>1</v>
      </c>
      <c r="L1218" s="13" t="str">
        <f>IFERROR(VLOOKUP(C1218,'Справочник соответствий'!A$2:D$2981,3,FALSE),IF(VALUE(C1218)=0,"ЭТАЖ НЕ ОПРЕДЕЛЕН. ПРИНЯТ ПО ДОПУЩЕНИЮ 1",VLOOKUP(C1218,'Справочник соответствий'!A$2:D$2981,3,FALSE)))</f>
        <v>ЭТАЖ ЗАДАН ЧИСЛОМ</v>
      </c>
      <c r="M1218" s="13" t="b">
        <f t="shared" si="127"/>
        <v>0</v>
      </c>
      <c r="N1218" s="13">
        <f t="shared" si="128"/>
        <v>1</v>
      </c>
      <c r="O1218" s="13" t="str">
        <f t="shared" si="129"/>
        <v>ЭТАЖ ЗАДАН ЧИСЛОМ</v>
      </c>
      <c r="P1218" s="13" t="str">
        <f t="shared" si="130"/>
        <v>ЭТАЖ ЗАДАН ЧИСЛОМ</v>
      </c>
      <c r="Q1218" s="13" t="str">
        <f t="shared" si="131"/>
        <v>ГОТОВ_ИЗМЕНЕН</v>
      </c>
      <c r="R1218" s="13">
        <f>IFERROR(VLOOKUP(P1218,Лист1!A$1:B$20,2,FALSE),0)</f>
        <v>784</v>
      </c>
      <c r="S1218" s="13">
        <f t="shared" si="132"/>
        <v>0</v>
      </c>
    </row>
    <row r="1219" spans="1:19" x14ac:dyDescent="0.25">
      <c r="A1219" s="24" t="s">
        <v>2336</v>
      </c>
      <c r="B1219" s="4" t="s">
        <v>1059</v>
      </c>
      <c r="C1219" s="25" t="s">
        <v>7</v>
      </c>
      <c r="D1219" s="25" t="s">
        <v>5</v>
      </c>
      <c r="G1219" s="25" t="s">
        <v>1083</v>
      </c>
      <c r="H1219" s="24" t="s">
        <v>1061</v>
      </c>
      <c r="I1219" s="3" t="str">
        <f>IFERROR(VLOOKUP(C1219,'Справочник соответствий'!A$2:D$2981,2,FALSE),IF(VALUE(C1219)=0,1,VLOOKUP(C1219,'Справочник соответствий'!A$2:D$2981,2,FALSE)))</f>
        <v>2</v>
      </c>
      <c r="J1219" s="3" t="str">
        <f>IFERROR(VLOOKUP(D1219,'Справочник соответствий'!A$2:D$2981,2,FALSE),IF(VALUE(D1219)=0,0,VLOOKUP(D1219,'Справочник соответствий'!A$2:D$2981,2,FALSE)))</f>
        <v>1</v>
      </c>
      <c r="K1219" s="3" t="str">
        <f t="shared" si="126"/>
        <v>2</v>
      </c>
      <c r="L1219" s="13" t="str">
        <f>IFERROR(VLOOKUP(C1219,'Справочник соответствий'!A$2:D$2981,3,FALSE),IF(VALUE(C1219)=0,"ЭТАЖ НЕ ОПРЕДЕЛЕН. ПРИНЯТ ПО ДОПУЩЕНИЮ 1",VLOOKUP(C1219,'Справочник соответствий'!A$2:D$2981,3,FALSE)))</f>
        <v>ЭТАЖ ЗАДАН ЧИСЛОМ</v>
      </c>
      <c r="M1219" s="13" t="b">
        <f t="shared" si="127"/>
        <v>0</v>
      </c>
      <c r="N1219" s="13">
        <f t="shared" si="128"/>
        <v>2</v>
      </c>
      <c r="O1219" s="13" t="str">
        <f t="shared" si="129"/>
        <v>ЭТАЖ ЗАДАН ЧИСЛОМ</v>
      </c>
      <c r="P1219" s="13" t="str">
        <f t="shared" si="130"/>
        <v>ЭТАЖ ЗАДАН ЧИСЛОМ</v>
      </c>
      <c r="Q1219" s="13" t="str">
        <f t="shared" si="131"/>
        <v>ГОТОВ_ИЗМЕНЕН</v>
      </c>
      <c r="R1219" s="13">
        <f>IFERROR(VLOOKUP(P1219,Лист1!A$1:B$20,2,FALSE),0)</f>
        <v>784</v>
      </c>
      <c r="S1219" s="13">
        <f t="shared" si="132"/>
        <v>0</v>
      </c>
    </row>
    <row r="1220" spans="1:19" x14ac:dyDescent="0.25">
      <c r="A1220" s="24" t="s">
        <v>2337</v>
      </c>
      <c r="B1220" s="4" t="s">
        <v>1059</v>
      </c>
      <c r="C1220" s="25" t="s">
        <v>7</v>
      </c>
      <c r="G1220" s="25" t="s">
        <v>1083</v>
      </c>
      <c r="H1220" s="24" t="s">
        <v>1061</v>
      </c>
      <c r="I1220" s="3" t="str">
        <f>IFERROR(VLOOKUP(C1220,'Справочник соответствий'!A$2:D$2981,2,FALSE),IF(VALUE(C1220)=0,1,VLOOKUP(C1220,'Справочник соответствий'!A$2:D$2981,2,FALSE)))</f>
        <v>2</v>
      </c>
      <c r="J1220" s="3">
        <f>IFERROR(VLOOKUP(D1220,'Справочник соответствий'!A$2:D$2981,2,FALSE),IF(VALUE(D1220)=0,0,VLOOKUP(D1220,'Справочник соответствий'!A$2:D$2981,2,FALSE)))</f>
        <v>0</v>
      </c>
      <c r="K1220" s="3" t="str">
        <f t="shared" si="126"/>
        <v>2</v>
      </c>
      <c r="L1220" s="13" t="str">
        <f>IFERROR(VLOOKUP(C1220,'Справочник соответствий'!A$2:D$2981,3,FALSE),IF(VALUE(C1220)=0,"ЭТАЖ НЕ ОПРЕДЕЛЕН. ПРИНЯТ ПО ДОПУЩЕНИЮ 1",VLOOKUP(C1220,'Справочник соответствий'!A$2:D$2981,3,FALSE)))</f>
        <v>ЭТАЖ ЗАДАН ЧИСЛОМ</v>
      </c>
      <c r="M1220" s="13" t="b">
        <f t="shared" si="127"/>
        <v>0</v>
      </c>
      <c r="N1220" s="13">
        <f t="shared" si="128"/>
        <v>2</v>
      </c>
      <c r="O1220" s="13" t="str">
        <f t="shared" si="129"/>
        <v>ЭТАЖ ЗАДАН ЧИСЛОМ</v>
      </c>
      <c r="P1220" s="13" t="str">
        <f t="shared" si="130"/>
        <v>ЭТАЖ ЗАДАН ЧИСЛОМ</v>
      </c>
      <c r="Q1220" s="13" t="str">
        <f t="shared" si="131"/>
        <v>ГОТОВ_ИЗМЕНЕН</v>
      </c>
      <c r="R1220" s="13">
        <f>IFERROR(VLOOKUP(P1220,Лист1!A$1:B$20,2,FALSE),0)</f>
        <v>784</v>
      </c>
      <c r="S1220" s="13">
        <f t="shared" si="132"/>
        <v>0</v>
      </c>
    </row>
    <row r="1221" spans="1:19" x14ac:dyDescent="0.25">
      <c r="A1221" s="24" t="s">
        <v>2338</v>
      </c>
      <c r="B1221" s="4" t="s">
        <v>1063</v>
      </c>
      <c r="C1221" s="25" t="s">
        <v>5</v>
      </c>
      <c r="G1221" s="25" t="s">
        <v>1083</v>
      </c>
      <c r="H1221" s="24" t="s">
        <v>1061</v>
      </c>
      <c r="I1221" s="3" t="str">
        <f>IFERROR(VLOOKUP(C1221,'Справочник соответствий'!A$2:D$2981,2,FALSE),IF(VALUE(C1221)=0,1,VLOOKUP(C1221,'Справочник соответствий'!A$2:D$2981,2,FALSE)))</f>
        <v>1</v>
      </c>
      <c r="J1221" s="3">
        <f>IFERROR(VLOOKUP(D1221,'Справочник соответствий'!A$2:D$2981,2,FALSE),IF(VALUE(D1221)=0,0,VLOOKUP(D1221,'Справочник соответствий'!A$2:D$2981,2,FALSE)))</f>
        <v>0</v>
      </c>
      <c r="K1221" s="3" t="str">
        <f t="shared" ref="K1221:K1284" si="133">IF(B1221="Многоквартирный дом",IF(I1221-J1221&gt;0,I1221-J1221,1),I1221)</f>
        <v>1</v>
      </c>
      <c r="L1221" s="13" t="str">
        <f>IFERROR(VLOOKUP(C1221,'Справочник соответствий'!A$2:D$2981,3,FALSE),IF(VALUE(C1221)=0,"ЭТАЖ НЕ ОПРЕДЕЛЕН. ПРИНЯТ ПО ДОПУЩЕНИЮ 1",VLOOKUP(C1221,'Справочник соответствий'!A$2:D$2981,3,FALSE)))</f>
        <v>ЭТАЖ ЗАДАН ЧИСЛОМ</v>
      </c>
      <c r="M1221" s="13" t="b">
        <f t="shared" ref="M1221:M1284" si="134">I1221=E1221</f>
        <v>0</v>
      </c>
      <c r="N1221" s="13">
        <f t="shared" ref="N1221:N1284" si="135">IF(VALUE(E1221)=0,VALUE(K1221),IF(L1221="ЭТАЖ НЕ ОПРЕДЕЛЕН. ПРИНЯТ ПО ДОПУЩЕНИЮ 1",VALUE(E1221),VALUE(K1221)))</f>
        <v>1</v>
      </c>
      <c r="O1221" s="13" t="str">
        <f t="shared" ref="O1221:O1284" si="136">IF(VALUE(E1221)=0,L1221,IF(L1221="ЭТАЖ НЕ ОПРЕДЕЛЕН. ПРИНЯТ ПО ДОПУЩЕНИЮ 1",F1221,L1221))</f>
        <v>ЭТАЖ ЗАДАН ЧИСЛОМ</v>
      </c>
      <c r="P1221" s="13" t="str">
        <f t="shared" ref="P1221:P1284" si="137">IF(B1221="Многоквартирный дом",CONCATENATE("МКД_",O1221),O1221)</f>
        <v>ЭТАЖ ЗАДАН ЧИСЛОМ</v>
      </c>
      <c r="Q1221" s="13" t="str">
        <f t="shared" ref="Q1221:Q1284" si="138">IFERROR(IF(N1221&gt;0,IF(N1221=VALUE(E1221),"ГОТОВ","ГОТОВ_ИЗМЕНЕН"),"НЕ ГОТОВ"),"НЕ ГОТОВ")</f>
        <v>ГОТОВ_ИЗМЕНЕН</v>
      </c>
      <c r="R1221" s="13">
        <f>IFERROR(VLOOKUP(P1221,Лист1!A$1:B$20,2,FALSE),0)</f>
        <v>784</v>
      </c>
      <c r="S1221" s="13">
        <f t="shared" ref="S1221:S1284" si="139">VALUE(E1221)</f>
        <v>0</v>
      </c>
    </row>
    <row r="1222" spans="1:19" x14ac:dyDescent="0.25">
      <c r="A1222" s="24" t="s">
        <v>2339</v>
      </c>
      <c r="B1222" s="4" t="s">
        <v>1059</v>
      </c>
      <c r="C1222" s="25" t="s">
        <v>5</v>
      </c>
      <c r="G1222" s="25" t="s">
        <v>1083</v>
      </c>
      <c r="H1222" s="24" t="s">
        <v>1061</v>
      </c>
      <c r="I1222" s="3" t="str">
        <f>IFERROR(VLOOKUP(C1222,'Справочник соответствий'!A$2:D$2981,2,FALSE),IF(VALUE(C1222)=0,1,VLOOKUP(C1222,'Справочник соответствий'!A$2:D$2981,2,FALSE)))</f>
        <v>1</v>
      </c>
      <c r="J1222" s="3">
        <f>IFERROR(VLOOKUP(D1222,'Справочник соответствий'!A$2:D$2981,2,FALSE),IF(VALUE(D1222)=0,0,VLOOKUP(D1222,'Справочник соответствий'!A$2:D$2981,2,FALSE)))</f>
        <v>0</v>
      </c>
      <c r="K1222" s="3" t="str">
        <f t="shared" si="133"/>
        <v>1</v>
      </c>
      <c r="L1222" s="13" t="str">
        <f>IFERROR(VLOOKUP(C1222,'Справочник соответствий'!A$2:D$2981,3,FALSE),IF(VALUE(C1222)=0,"ЭТАЖ НЕ ОПРЕДЕЛЕН. ПРИНЯТ ПО ДОПУЩЕНИЮ 1",VLOOKUP(C1222,'Справочник соответствий'!A$2:D$2981,3,FALSE)))</f>
        <v>ЭТАЖ ЗАДАН ЧИСЛОМ</v>
      </c>
      <c r="M1222" s="13" t="b">
        <f t="shared" si="134"/>
        <v>0</v>
      </c>
      <c r="N1222" s="13">
        <f t="shared" si="135"/>
        <v>1</v>
      </c>
      <c r="O1222" s="13" t="str">
        <f t="shared" si="136"/>
        <v>ЭТАЖ ЗАДАН ЧИСЛОМ</v>
      </c>
      <c r="P1222" s="13" t="str">
        <f t="shared" si="137"/>
        <v>ЭТАЖ ЗАДАН ЧИСЛОМ</v>
      </c>
      <c r="Q1222" s="13" t="str">
        <f t="shared" si="138"/>
        <v>ГОТОВ_ИЗМЕНЕН</v>
      </c>
      <c r="R1222" s="13">
        <f>IFERROR(VLOOKUP(P1222,Лист1!A$1:B$20,2,FALSE),0)</f>
        <v>784</v>
      </c>
      <c r="S1222" s="13">
        <f t="shared" si="139"/>
        <v>0</v>
      </c>
    </row>
    <row r="1223" spans="1:19" x14ac:dyDescent="0.25">
      <c r="A1223" s="24" t="s">
        <v>2340</v>
      </c>
      <c r="B1223" s="4" t="s">
        <v>1059</v>
      </c>
      <c r="C1223" s="25" t="s">
        <v>7</v>
      </c>
      <c r="G1223" s="25" t="s">
        <v>1083</v>
      </c>
      <c r="H1223" s="24" t="s">
        <v>1061</v>
      </c>
      <c r="I1223" s="3" t="str">
        <f>IFERROR(VLOOKUP(C1223,'Справочник соответствий'!A$2:D$2981,2,FALSE),IF(VALUE(C1223)=0,1,VLOOKUP(C1223,'Справочник соответствий'!A$2:D$2981,2,FALSE)))</f>
        <v>2</v>
      </c>
      <c r="J1223" s="3">
        <f>IFERROR(VLOOKUP(D1223,'Справочник соответствий'!A$2:D$2981,2,FALSE),IF(VALUE(D1223)=0,0,VLOOKUP(D1223,'Справочник соответствий'!A$2:D$2981,2,FALSE)))</f>
        <v>0</v>
      </c>
      <c r="K1223" s="3" t="str">
        <f t="shared" si="133"/>
        <v>2</v>
      </c>
      <c r="L1223" s="13" t="str">
        <f>IFERROR(VLOOKUP(C1223,'Справочник соответствий'!A$2:D$2981,3,FALSE),IF(VALUE(C1223)=0,"ЭТАЖ НЕ ОПРЕДЕЛЕН. ПРИНЯТ ПО ДОПУЩЕНИЮ 1",VLOOKUP(C1223,'Справочник соответствий'!A$2:D$2981,3,FALSE)))</f>
        <v>ЭТАЖ ЗАДАН ЧИСЛОМ</v>
      </c>
      <c r="M1223" s="13" t="b">
        <f t="shared" si="134"/>
        <v>0</v>
      </c>
      <c r="N1223" s="13">
        <f t="shared" si="135"/>
        <v>2</v>
      </c>
      <c r="O1223" s="13" t="str">
        <f t="shared" si="136"/>
        <v>ЭТАЖ ЗАДАН ЧИСЛОМ</v>
      </c>
      <c r="P1223" s="13" t="str">
        <f t="shared" si="137"/>
        <v>ЭТАЖ ЗАДАН ЧИСЛОМ</v>
      </c>
      <c r="Q1223" s="13" t="str">
        <f t="shared" si="138"/>
        <v>ГОТОВ_ИЗМЕНЕН</v>
      </c>
      <c r="R1223" s="13">
        <f>IFERROR(VLOOKUP(P1223,Лист1!A$1:B$20,2,FALSE),0)</f>
        <v>784</v>
      </c>
      <c r="S1223" s="13">
        <f t="shared" si="139"/>
        <v>0</v>
      </c>
    </row>
    <row r="1224" spans="1:19" x14ac:dyDescent="0.25">
      <c r="A1224" s="24" t="s">
        <v>2341</v>
      </c>
      <c r="B1224" s="4" t="s">
        <v>1059</v>
      </c>
      <c r="C1224" s="25" t="s">
        <v>7</v>
      </c>
      <c r="G1224" s="25" t="s">
        <v>1083</v>
      </c>
      <c r="H1224" s="24" t="s">
        <v>1061</v>
      </c>
      <c r="I1224" s="3" t="str">
        <f>IFERROR(VLOOKUP(C1224,'Справочник соответствий'!A$2:D$2981,2,FALSE),IF(VALUE(C1224)=0,1,VLOOKUP(C1224,'Справочник соответствий'!A$2:D$2981,2,FALSE)))</f>
        <v>2</v>
      </c>
      <c r="J1224" s="3">
        <f>IFERROR(VLOOKUP(D1224,'Справочник соответствий'!A$2:D$2981,2,FALSE),IF(VALUE(D1224)=0,0,VLOOKUP(D1224,'Справочник соответствий'!A$2:D$2981,2,FALSE)))</f>
        <v>0</v>
      </c>
      <c r="K1224" s="3" t="str">
        <f t="shared" si="133"/>
        <v>2</v>
      </c>
      <c r="L1224" s="13" t="str">
        <f>IFERROR(VLOOKUP(C1224,'Справочник соответствий'!A$2:D$2981,3,FALSE),IF(VALUE(C1224)=0,"ЭТАЖ НЕ ОПРЕДЕЛЕН. ПРИНЯТ ПО ДОПУЩЕНИЮ 1",VLOOKUP(C1224,'Справочник соответствий'!A$2:D$2981,3,FALSE)))</f>
        <v>ЭТАЖ ЗАДАН ЧИСЛОМ</v>
      </c>
      <c r="M1224" s="13" t="b">
        <f t="shared" si="134"/>
        <v>0</v>
      </c>
      <c r="N1224" s="13">
        <f t="shared" si="135"/>
        <v>2</v>
      </c>
      <c r="O1224" s="13" t="str">
        <f t="shared" si="136"/>
        <v>ЭТАЖ ЗАДАН ЧИСЛОМ</v>
      </c>
      <c r="P1224" s="13" t="str">
        <f t="shared" si="137"/>
        <v>ЭТАЖ ЗАДАН ЧИСЛОМ</v>
      </c>
      <c r="Q1224" s="13" t="str">
        <f t="shared" si="138"/>
        <v>ГОТОВ_ИЗМЕНЕН</v>
      </c>
      <c r="R1224" s="13">
        <f>IFERROR(VLOOKUP(P1224,Лист1!A$1:B$20,2,FALSE),0)</f>
        <v>784</v>
      </c>
      <c r="S1224" s="13">
        <f t="shared" si="139"/>
        <v>0</v>
      </c>
    </row>
    <row r="1225" spans="1:19" x14ac:dyDescent="0.25">
      <c r="A1225" s="24" t="s">
        <v>2342</v>
      </c>
      <c r="B1225" s="4" t="s">
        <v>1063</v>
      </c>
      <c r="C1225" s="25" t="s">
        <v>5</v>
      </c>
      <c r="G1225" s="25" t="s">
        <v>1083</v>
      </c>
      <c r="H1225" s="24" t="s">
        <v>1061</v>
      </c>
      <c r="I1225" s="3" t="str">
        <f>IFERROR(VLOOKUP(C1225,'Справочник соответствий'!A$2:D$2981,2,FALSE),IF(VALUE(C1225)=0,1,VLOOKUP(C1225,'Справочник соответствий'!A$2:D$2981,2,FALSE)))</f>
        <v>1</v>
      </c>
      <c r="J1225" s="3">
        <f>IFERROR(VLOOKUP(D1225,'Справочник соответствий'!A$2:D$2981,2,FALSE),IF(VALUE(D1225)=0,0,VLOOKUP(D1225,'Справочник соответствий'!A$2:D$2981,2,FALSE)))</f>
        <v>0</v>
      </c>
      <c r="K1225" s="3" t="str">
        <f t="shared" si="133"/>
        <v>1</v>
      </c>
      <c r="L1225" s="13" t="str">
        <f>IFERROR(VLOOKUP(C1225,'Справочник соответствий'!A$2:D$2981,3,FALSE),IF(VALUE(C1225)=0,"ЭТАЖ НЕ ОПРЕДЕЛЕН. ПРИНЯТ ПО ДОПУЩЕНИЮ 1",VLOOKUP(C1225,'Справочник соответствий'!A$2:D$2981,3,FALSE)))</f>
        <v>ЭТАЖ ЗАДАН ЧИСЛОМ</v>
      </c>
      <c r="M1225" s="13" t="b">
        <f t="shared" si="134"/>
        <v>0</v>
      </c>
      <c r="N1225" s="13">
        <f t="shared" si="135"/>
        <v>1</v>
      </c>
      <c r="O1225" s="13" t="str">
        <f t="shared" si="136"/>
        <v>ЭТАЖ ЗАДАН ЧИСЛОМ</v>
      </c>
      <c r="P1225" s="13" t="str">
        <f t="shared" si="137"/>
        <v>ЭТАЖ ЗАДАН ЧИСЛОМ</v>
      </c>
      <c r="Q1225" s="13" t="str">
        <f t="shared" si="138"/>
        <v>ГОТОВ_ИЗМЕНЕН</v>
      </c>
      <c r="R1225" s="13">
        <f>IFERROR(VLOOKUP(P1225,Лист1!A$1:B$20,2,FALSE),0)</f>
        <v>784</v>
      </c>
      <c r="S1225" s="13">
        <f t="shared" si="139"/>
        <v>0</v>
      </c>
    </row>
    <row r="1226" spans="1:19" x14ac:dyDescent="0.25">
      <c r="A1226" s="24" t="s">
        <v>2343</v>
      </c>
      <c r="B1226" s="4" t="s">
        <v>1063</v>
      </c>
      <c r="C1226" s="25" t="s">
        <v>5</v>
      </c>
      <c r="G1226" s="25" t="s">
        <v>1083</v>
      </c>
      <c r="H1226" s="24" t="s">
        <v>1061</v>
      </c>
      <c r="I1226" s="3" t="str">
        <f>IFERROR(VLOOKUP(C1226,'Справочник соответствий'!A$2:D$2981,2,FALSE),IF(VALUE(C1226)=0,1,VLOOKUP(C1226,'Справочник соответствий'!A$2:D$2981,2,FALSE)))</f>
        <v>1</v>
      </c>
      <c r="J1226" s="3">
        <f>IFERROR(VLOOKUP(D1226,'Справочник соответствий'!A$2:D$2981,2,FALSE),IF(VALUE(D1226)=0,0,VLOOKUP(D1226,'Справочник соответствий'!A$2:D$2981,2,FALSE)))</f>
        <v>0</v>
      </c>
      <c r="K1226" s="3" t="str">
        <f t="shared" si="133"/>
        <v>1</v>
      </c>
      <c r="L1226" s="13" t="str">
        <f>IFERROR(VLOOKUP(C1226,'Справочник соответствий'!A$2:D$2981,3,FALSE),IF(VALUE(C1226)=0,"ЭТАЖ НЕ ОПРЕДЕЛЕН. ПРИНЯТ ПО ДОПУЩЕНИЮ 1",VLOOKUP(C1226,'Справочник соответствий'!A$2:D$2981,3,FALSE)))</f>
        <v>ЭТАЖ ЗАДАН ЧИСЛОМ</v>
      </c>
      <c r="M1226" s="13" t="b">
        <f t="shared" si="134"/>
        <v>0</v>
      </c>
      <c r="N1226" s="13">
        <f t="shared" si="135"/>
        <v>1</v>
      </c>
      <c r="O1226" s="13" t="str">
        <f t="shared" si="136"/>
        <v>ЭТАЖ ЗАДАН ЧИСЛОМ</v>
      </c>
      <c r="P1226" s="13" t="str">
        <f t="shared" si="137"/>
        <v>ЭТАЖ ЗАДАН ЧИСЛОМ</v>
      </c>
      <c r="Q1226" s="13" t="str">
        <f t="shared" si="138"/>
        <v>ГОТОВ_ИЗМЕНЕН</v>
      </c>
      <c r="R1226" s="13">
        <f>IFERROR(VLOOKUP(P1226,Лист1!A$1:B$20,2,FALSE),0)</f>
        <v>784</v>
      </c>
      <c r="S1226" s="13">
        <f t="shared" si="139"/>
        <v>0</v>
      </c>
    </row>
    <row r="1227" spans="1:19" x14ac:dyDescent="0.25">
      <c r="A1227" s="24" t="s">
        <v>2344</v>
      </c>
      <c r="B1227" s="4" t="s">
        <v>1063</v>
      </c>
      <c r="C1227" s="25" t="s">
        <v>5</v>
      </c>
      <c r="G1227" s="25" t="s">
        <v>1064</v>
      </c>
      <c r="H1227" s="24" t="s">
        <v>1061</v>
      </c>
      <c r="I1227" s="3" t="str">
        <f>IFERROR(VLOOKUP(C1227,'Справочник соответствий'!A$2:D$2981,2,FALSE),IF(VALUE(C1227)=0,1,VLOOKUP(C1227,'Справочник соответствий'!A$2:D$2981,2,FALSE)))</f>
        <v>1</v>
      </c>
      <c r="J1227" s="3">
        <f>IFERROR(VLOOKUP(D1227,'Справочник соответствий'!A$2:D$2981,2,FALSE),IF(VALUE(D1227)=0,0,VLOOKUP(D1227,'Справочник соответствий'!A$2:D$2981,2,FALSE)))</f>
        <v>0</v>
      </c>
      <c r="K1227" s="3" t="str">
        <f t="shared" si="133"/>
        <v>1</v>
      </c>
      <c r="L1227" s="13" t="str">
        <f>IFERROR(VLOOKUP(C1227,'Справочник соответствий'!A$2:D$2981,3,FALSE),IF(VALUE(C1227)=0,"ЭТАЖ НЕ ОПРЕДЕЛЕН. ПРИНЯТ ПО ДОПУЩЕНИЮ 1",VLOOKUP(C1227,'Справочник соответствий'!A$2:D$2981,3,FALSE)))</f>
        <v>ЭТАЖ ЗАДАН ЧИСЛОМ</v>
      </c>
      <c r="M1227" s="13" t="b">
        <f t="shared" si="134"/>
        <v>0</v>
      </c>
      <c r="N1227" s="13">
        <f t="shared" si="135"/>
        <v>1</v>
      </c>
      <c r="O1227" s="13" t="str">
        <f t="shared" si="136"/>
        <v>ЭТАЖ ЗАДАН ЧИСЛОМ</v>
      </c>
      <c r="P1227" s="13" t="str">
        <f t="shared" si="137"/>
        <v>ЭТАЖ ЗАДАН ЧИСЛОМ</v>
      </c>
      <c r="Q1227" s="13" t="str">
        <f t="shared" si="138"/>
        <v>ГОТОВ_ИЗМЕНЕН</v>
      </c>
      <c r="R1227" s="13">
        <f>IFERROR(VLOOKUP(P1227,Лист1!A$1:B$20,2,FALSE),0)</f>
        <v>784</v>
      </c>
      <c r="S1227" s="13">
        <f t="shared" si="139"/>
        <v>0</v>
      </c>
    </row>
    <row r="1228" spans="1:19" x14ac:dyDescent="0.25">
      <c r="A1228" s="24" t="s">
        <v>2345</v>
      </c>
      <c r="B1228" s="4" t="s">
        <v>1063</v>
      </c>
      <c r="C1228" s="25" t="s">
        <v>5</v>
      </c>
      <c r="E1228" s="3">
        <v>1</v>
      </c>
      <c r="F1228" s="24" t="s">
        <v>1045</v>
      </c>
      <c r="G1228" s="25" t="s">
        <v>1698</v>
      </c>
      <c r="H1228" s="24" t="s">
        <v>1061</v>
      </c>
      <c r="I1228" s="3" t="str">
        <f>IFERROR(VLOOKUP(C1228,'Справочник соответствий'!A$2:D$2981,2,FALSE),IF(VALUE(C1228)=0,1,VLOOKUP(C1228,'Справочник соответствий'!A$2:D$2981,2,FALSE)))</f>
        <v>1</v>
      </c>
      <c r="J1228" s="3">
        <f>IFERROR(VLOOKUP(D1228,'Справочник соответствий'!A$2:D$2981,2,FALSE),IF(VALUE(D1228)=0,0,VLOOKUP(D1228,'Справочник соответствий'!A$2:D$2981,2,FALSE)))</f>
        <v>0</v>
      </c>
      <c r="K1228" s="3" t="str">
        <f t="shared" si="133"/>
        <v>1</v>
      </c>
      <c r="L1228" s="13" t="str">
        <f>IFERROR(VLOOKUP(C1228,'Справочник соответствий'!A$2:D$2981,3,FALSE),IF(VALUE(C1228)=0,"ЭТАЖ НЕ ОПРЕДЕЛЕН. ПРИНЯТ ПО ДОПУЩЕНИЮ 1",VLOOKUP(C1228,'Справочник соответствий'!A$2:D$2981,3,FALSE)))</f>
        <v>ЭТАЖ ЗАДАН ЧИСЛОМ</v>
      </c>
      <c r="M1228" s="13" t="b">
        <f t="shared" si="134"/>
        <v>0</v>
      </c>
      <c r="N1228" s="13">
        <f t="shared" si="135"/>
        <v>1</v>
      </c>
      <c r="O1228" s="13" t="str">
        <f t="shared" si="136"/>
        <v>ЭТАЖ ЗАДАН ЧИСЛОМ</v>
      </c>
      <c r="P1228" s="13" t="str">
        <f t="shared" si="137"/>
        <v>ЭТАЖ ЗАДАН ЧИСЛОМ</v>
      </c>
      <c r="Q1228" s="13" t="str">
        <f t="shared" si="138"/>
        <v>ГОТОВ</v>
      </c>
      <c r="R1228" s="13">
        <f>IFERROR(VLOOKUP(P1228,Лист1!A$1:B$20,2,FALSE),0)</f>
        <v>784</v>
      </c>
      <c r="S1228" s="13">
        <f t="shared" si="139"/>
        <v>1</v>
      </c>
    </row>
    <row r="1229" spans="1:19" x14ac:dyDescent="0.25">
      <c r="A1229" s="24" t="s">
        <v>2346</v>
      </c>
      <c r="B1229" s="4" t="s">
        <v>1031</v>
      </c>
      <c r="C1229" s="25" t="s">
        <v>7</v>
      </c>
      <c r="E1229" s="3">
        <v>2</v>
      </c>
      <c r="F1229" s="24" t="s">
        <v>1045</v>
      </c>
      <c r="G1229" s="25" t="s">
        <v>1075</v>
      </c>
      <c r="H1229" s="24" t="s">
        <v>1061</v>
      </c>
      <c r="I1229" s="3" t="str">
        <f>IFERROR(VLOOKUP(C1229,'Справочник соответствий'!A$2:D$2981,2,FALSE),IF(VALUE(C1229)=0,1,VLOOKUP(C1229,'Справочник соответствий'!A$2:D$2981,2,FALSE)))</f>
        <v>2</v>
      </c>
      <c r="J1229" s="3">
        <f>IFERROR(VLOOKUP(D1229,'Справочник соответствий'!A$2:D$2981,2,FALSE),IF(VALUE(D1229)=0,0,VLOOKUP(D1229,'Справочник соответствий'!A$2:D$2981,2,FALSE)))</f>
        <v>0</v>
      </c>
      <c r="K1229" s="3">
        <f t="shared" si="133"/>
        <v>2</v>
      </c>
      <c r="L1229" s="13" t="str">
        <f>IFERROR(VLOOKUP(C1229,'Справочник соответствий'!A$2:D$2981,3,FALSE),IF(VALUE(C1229)=0,"ЭТАЖ НЕ ОПРЕДЕЛЕН. ПРИНЯТ ПО ДОПУЩЕНИЮ 1",VLOOKUP(C1229,'Справочник соответствий'!A$2:D$2981,3,FALSE)))</f>
        <v>ЭТАЖ ЗАДАН ЧИСЛОМ</v>
      </c>
      <c r="M1229" s="13" t="b">
        <f t="shared" si="134"/>
        <v>0</v>
      </c>
      <c r="N1229" s="13">
        <f t="shared" si="135"/>
        <v>2</v>
      </c>
      <c r="O1229" s="13" t="str">
        <f t="shared" si="136"/>
        <v>ЭТАЖ ЗАДАН ЧИСЛОМ</v>
      </c>
      <c r="P1229" s="13" t="str">
        <f t="shared" si="137"/>
        <v>МКД_ЭТАЖ ЗАДАН ЧИСЛОМ</v>
      </c>
      <c r="Q1229" s="13" t="str">
        <f t="shared" si="138"/>
        <v>ГОТОВ</v>
      </c>
      <c r="R1229" s="13">
        <f>IFERROR(VLOOKUP(P1229,Лист1!A$1:B$20,2,FALSE),0)</f>
        <v>786</v>
      </c>
      <c r="S1229" s="13">
        <f t="shared" si="139"/>
        <v>2</v>
      </c>
    </row>
    <row r="1230" spans="1:19" x14ac:dyDescent="0.25">
      <c r="A1230" s="24" t="s">
        <v>2347</v>
      </c>
      <c r="B1230" s="4" t="s">
        <v>1059</v>
      </c>
      <c r="C1230" s="25" t="s">
        <v>5</v>
      </c>
      <c r="E1230" s="3">
        <v>1</v>
      </c>
      <c r="F1230" s="24" t="s">
        <v>1045</v>
      </c>
      <c r="G1230" s="25" t="s">
        <v>1193</v>
      </c>
      <c r="H1230" s="24" t="s">
        <v>1061</v>
      </c>
      <c r="I1230" s="3" t="str">
        <f>IFERROR(VLOOKUP(C1230,'Справочник соответствий'!A$2:D$2981,2,FALSE),IF(VALUE(C1230)=0,1,VLOOKUP(C1230,'Справочник соответствий'!A$2:D$2981,2,FALSE)))</f>
        <v>1</v>
      </c>
      <c r="J1230" s="3">
        <f>IFERROR(VLOOKUP(D1230,'Справочник соответствий'!A$2:D$2981,2,FALSE),IF(VALUE(D1230)=0,0,VLOOKUP(D1230,'Справочник соответствий'!A$2:D$2981,2,FALSE)))</f>
        <v>0</v>
      </c>
      <c r="K1230" s="3" t="str">
        <f t="shared" si="133"/>
        <v>1</v>
      </c>
      <c r="L1230" s="13" t="str">
        <f>IFERROR(VLOOKUP(C1230,'Справочник соответствий'!A$2:D$2981,3,FALSE),IF(VALUE(C1230)=0,"ЭТАЖ НЕ ОПРЕДЕЛЕН. ПРИНЯТ ПО ДОПУЩЕНИЮ 1",VLOOKUP(C1230,'Справочник соответствий'!A$2:D$2981,3,FALSE)))</f>
        <v>ЭТАЖ ЗАДАН ЧИСЛОМ</v>
      </c>
      <c r="M1230" s="13" t="b">
        <f t="shared" si="134"/>
        <v>0</v>
      </c>
      <c r="N1230" s="13">
        <f t="shared" si="135"/>
        <v>1</v>
      </c>
      <c r="O1230" s="13" t="str">
        <f t="shared" si="136"/>
        <v>ЭТАЖ ЗАДАН ЧИСЛОМ</v>
      </c>
      <c r="P1230" s="13" t="str">
        <f t="shared" si="137"/>
        <v>ЭТАЖ ЗАДАН ЧИСЛОМ</v>
      </c>
      <c r="Q1230" s="13" t="str">
        <f t="shared" si="138"/>
        <v>ГОТОВ</v>
      </c>
      <c r="R1230" s="13">
        <f>IFERROR(VLOOKUP(P1230,Лист1!A$1:B$20,2,FALSE),0)</f>
        <v>784</v>
      </c>
      <c r="S1230" s="13">
        <f t="shared" si="139"/>
        <v>1</v>
      </c>
    </row>
    <row r="1231" spans="1:19" x14ac:dyDescent="0.25">
      <c r="A1231" s="24" t="s">
        <v>2348</v>
      </c>
      <c r="B1231" s="4" t="s">
        <v>1063</v>
      </c>
      <c r="C1231" s="25" t="s">
        <v>8</v>
      </c>
      <c r="D1231" s="25" t="s">
        <v>5</v>
      </c>
      <c r="E1231" s="3">
        <v>3</v>
      </c>
      <c r="F1231" s="24" t="s">
        <v>1304</v>
      </c>
      <c r="G1231" s="25" t="s">
        <v>1108</v>
      </c>
      <c r="H1231" s="24" t="s">
        <v>1061</v>
      </c>
      <c r="I1231" s="3" t="str">
        <f>IFERROR(VLOOKUP(C1231,'Справочник соответствий'!A$2:D$2981,2,FALSE),IF(VALUE(C1231)=0,1,VLOOKUP(C1231,'Справочник соответствий'!A$2:D$2981,2,FALSE)))</f>
        <v>3</v>
      </c>
      <c r="J1231" s="3" t="str">
        <f>IFERROR(VLOOKUP(D1231,'Справочник соответствий'!A$2:D$2981,2,FALSE),IF(VALUE(D1231)=0,0,VLOOKUP(D1231,'Справочник соответствий'!A$2:D$2981,2,FALSE)))</f>
        <v>1</v>
      </c>
      <c r="K1231" s="3" t="str">
        <f t="shared" si="133"/>
        <v>3</v>
      </c>
      <c r="L1231" s="13" t="str">
        <f>IFERROR(VLOOKUP(C1231,'Справочник соответствий'!A$2:D$2981,3,FALSE),IF(VALUE(C1231)=0,"ЭТАЖ НЕ ОПРЕДЕЛЕН. ПРИНЯТ ПО ДОПУЩЕНИЮ 1",VLOOKUP(C1231,'Справочник соответствий'!A$2:D$2981,3,FALSE)))</f>
        <v>ЭТАЖ ЗАДАН ЧИСЛОМ</v>
      </c>
      <c r="M1231" s="13" t="b">
        <f t="shared" si="134"/>
        <v>0</v>
      </c>
      <c r="N1231" s="13">
        <f t="shared" si="135"/>
        <v>3</v>
      </c>
      <c r="O1231" s="13" t="str">
        <f t="shared" si="136"/>
        <v>ЭТАЖ ЗАДАН ЧИСЛОМ</v>
      </c>
      <c r="P1231" s="13" t="str">
        <f t="shared" si="137"/>
        <v>ЭТАЖ ЗАДАН ЧИСЛОМ</v>
      </c>
      <c r="Q1231" s="13" t="str">
        <f t="shared" si="138"/>
        <v>ГОТОВ</v>
      </c>
      <c r="R1231" s="13">
        <f>IFERROR(VLOOKUP(P1231,Лист1!A$1:B$20,2,FALSE),0)</f>
        <v>784</v>
      </c>
      <c r="S1231" s="13">
        <f t="shared" si="139"/>
        <v>3</v>
      </c>
    </row>
    <row r="1232" spans="1:19" x14ac:dyDescent="0.25">
      <c r="A1232" s="24" t="s">
        <v>2349</v>
      </c>
      <c r="B1232" s="4" t="s">
        <v>1059</v>
      </c>
      <c r="C1232" s="25" t="s">
        <v>5</v>
      </c>
      <c r="E1232" s="3">
        <v>1</v>
      </c>
      <c r="F1232" s="24" t="s">
        <v>1045</v>
      </c>
      <c r="G1232" s="25" t="s">
        <v>1104</v>
      </c>
      <c r="H1232" s="24" t="s">
        <v>1061</v>
      </c>
      <c r="I1232" s="3" t="str">
        <f>IFERROR(VLOOKUP(C1232,'Справочник соответствий'!A$2:D$2981,2,FALSE),IF(VALUE(C1232)=0,1,VLOOKUP(C1232,'Справочник соответствий'!A$2:D$2981,2,FALSE)))</f>
        <v>1</v>
      </c>
      <c r="J1232" s="3">
        <f>IFERROR(VLOOKUP(D1232,'Справочник соответствий'!A$2:D$2981,2,FALSE),IF(VALUE(D1232)=0,0,VLOOKUP(D1232,'Справочник соответствий'!A$2:D$2981,2,FALSE)))</f>
        <v>0</v>
      </c>
      <c r="K1232" s="3" t="str">
        <f t="shared" si="133"/>
        <v>1</v>
      </c>
      <c r="L1232" s="13" t="str">
        <f>IFERROR(VLOOKUP(C1232,'Справочник соответствий'!A$2:D$2981,3,FALSE),IF(VALUE(C1232)=0,"ЭТАЖ НЕ ОПРЕДЕЛЕН. ПРИНЯТ ПО ДОПУЩЕНИЮ 1",VLOOKUP(C1232,'Справочник соответствий'!A$2:D$2981,3,FALSE)))</f>
        <v>ЭТАЖ ЗАДАН ЧИСЛОМ</v>
      </c>
      <c r="M1232" s="13" t="b">
        <f t="shared" si="134"/>
        <v>0</v>
      </c>
      <c r="N1232" s="13">
        <f t="shared" si="135"/>
        <v>1</v>
      </c>
      <c r="O1232" s="13" t="str">
        <f t="shared" si="136"/>
        <v>ЭТАЖ ЗАДАН ЧИСЛОМ</v>
      </c>
      <c r="P1232" s="13" t="str">
        <f t="shared" si="137"/>
        <v>ЭТАЖ ЗАДАН ЧИСЛОМ</v>
      </c>
      <c r="Q1232" s="13" t="str">
        <f t="shared" si="138"/>
        <v>ГОТОВ</v>
      </c>
      <c r="R1232" s="13">
        <f>IFERROR(VLOOKUP(P1232,Лист1!A$1:B$20,2,FALSE),0)</f>
        <v>784</v>
      </c>
      <c r="S1232" s="13">
        <f t="shared" si="139"/>
        <v>1</v>
      </c>
    </row>
    <row r="1233" spans="1:19" x14ac:dyDescent="0.25">
      <c r="A1233" s="24" t="s">
        <v>2350</v>
      </c>
      <c r="B1233" s="4" t="s">
        <v>1031</v>
      </c>
      <c r="C1233" s="25" t="s">
        <v>5</v>
      </c>
      <c r="E1233" s="3">
        <v>1</v>
      </c>
      <c r="F1233" s="24" t="s">
        <v>1045</v>
      </c>
      <c r="G1233" s="25" t="s">
        <v>1075</v>
      </c>
      <c r="H1233" s="24" t="s">
        <v>1061</v>
      </c>
      <c r="I1233" s="3" t="str">
        <f>IFERROR(VLOOKUP(C1233,'Справочник соответствий'!A$2:D$2981,2,FALSE),IF(VALUE(C1233)=0,1,VLOOKUP(C1233,'Справочник соответствий'!A$2:D$2981,2,FALSE)))</f>
        <v>1</v>
      </c>
      <c r="J1233" s="3">
        <f>IFERROR(VLOOKUP(D1233,'Справочник соответствий'!A$2:D$2981,2,FALSE),IF(VALUE(D1233)=0,0,VLOOKUP(D1233,'Справочник соответствий'!A$2:D$2981,2,FALSE)))</f>
        <v>0</v>
      </c>
      <c r="K1233" s="3">
        <f t="shared" si="133"/>
        <v>1</v>
      </c>
      <c r="L1233" s="13" t="str">
        <f>IFERROR(VLOOKUP(C1233,'Справочник соответствий'!A$2:D$2981,3,FALSE),IF(VALUE(C1233)=0,"ЭТАЖ НЕ ОПРЕДЕЛЕН. ПРИНЯТ ПО ДОПУЩЕНИЮ 1",VLOOKUP(C1233,'Справочник соответствий'!A$2:D$2981,3,FALSE)))</f>
        <v>ЭТАЖ ЗАДАН ЧИСЛОМ</v>
      </c>
      <c r="M1233" s="13" t="b">
        <f t="shared" si="134"/>
        <v>0</v>
      </c>
      <c r="N1233" s="13">
        <f t="shared" si="135"/>
        <v>1</v>
      </c>
      <c r="O1233" s="13" t="str">
        <f t="shared" si="136"/>
        <v>ЭТАЖ ЗАДАН ЧИСЛОМ</v>
      </c>
      <c r="P1233" s="13" t="str">
        <f t="shared" si="137"/>
        <v>МКД_ЭТАЖ ЗАДАН ЧИСЛОМ</v>
      </c>
      <c r="Q1233" s="13" t="str">
        <f t="shared" si="138"/>
        <v>ГОТОВ</v>
      </c>
      <c r="R1233" s="13">
        <f>IFERROR(VLOOKUP(P1233,Лист1!A$1:B$20,2,FALSE),0)</f>
        <v>786</v>
      </c>
      <c r="S1233" s="13">
        <f t="shared" si="139"/>
        <v>1</v>
      </c>
    </row>
    <row r="1234" spans="1:19" x14ac:dyDescent="0.25">
      <c r="A1234" s="24" t="s">
        <v>2351</v>
      </c>
      <c r="B1234" s="4" t="s">
        <v>1031</v>
      </c>
      <c r="C1234" s="25" t="s">
        <v>5</v>
      </c>
      <c r="E1234" s="3">
        <v>1</v>
      </c>
      <c r="F1234" s="24" t="s">
        <v>2352</v>
      </c>
      <c r="G1234" s="25" t="s">
        <v>1075</v>
      </c>
      <c r="H1234" s="24" t="s">
        <v>1061</v>
      </c>
      <c r="I1234" s="3" t="str">
        <f>IFERROR(VLOOKUP(C1234,'Справочник соответствий'!A$2:D$2981,2,FALSE),IF(VALUE(C1234)=0,1,VLOOKUP(C1234,'Справочник соответствий'!A$2:D$2981,2,FALSE)))</f>
        <v>1</v>
      </c>
      <c r="J1234" s="3">
        <f>IFERROR(VLOOKUP(D1234,'Справочник соответствий'!A$2:D$2981,2,FALSE),IF(VALUE(D1234)=0,0,VLOOKUP(D1234,'Справочник соответствий'!A$2:D$2981,2,FALSE)))</f>
        <v>0</v>
      </c>
      <c r="K1234" s="3">
        <f t="shared" si="133"/>
        <v>1</v>
      </c>
      <c r="L1234" s="13" t="str">
        <f>IFERROR(VLOOKUP(C1234,'Справочник соответствий'!A$2:D$2981,3,FALSE),IF(VALUE(C1234)=0,"ЭТАЖ НЕ ОПРЕДЕЛЕН. ПРИНЯТ ПО ДОПУЩЕНИЮ 1",VLOOKUP(C1234,'Справочник соответствий'!A$2:D$2981,3,FALSE)))</f>
        <v>ЭТАЖ ЗАДАН ЧИСЛОМ</v>
      </c>
      <c r="M1234" s="13" t="b">
        <f t="shared" si="134"/>
        <v>0</v>
      </c>
      <c r="N1234" s="13">
        <f t="shared" si="135"/>
        <v>1</v>
      </c>
      <c r="O1234" s="13" t="str">
        <f t="shared" si="136"/>
        <v>ЭТАЖ ЗАДАН ЧИСЛОМ</v>
      </c>
      <c r="P1234" s="13" t="str">
        <f t="shared" si="137"/>
        <v>МКД_ЭТАЖ ЗАДАН ЧИСЛОМ</v>
      </c>
      <c r="Q1234" s="13" t="str">
        <f t="shared" si="138"/>
        <v>ГОТОВ</v>
      </c>
      <c r="R1234" s="13">
        <f>IFERROR(VLOOKUP(P1234,Лист1!A$1:B$20,2,FALSE),0)</f>
        <v>786</v>
      </c>
      <c r="S1234" s="13">
        <f t="shared" si="139"/>
        <v>1</v>
      </c>
    </row>
    <row r="1235" spans="1:19" x14ac:dyDescent="0.25">
      <c r="A1235" s="24" t="s">
        <v>2353</v>
      </c>
      <c r="B1235" s="4" t="s">
        <v>1031</v>
      </c>
      <c r="C1235" s="25" t="s">
        <v>7</v>
      </c>
      <c r="E1235" s="3">
        <v>2</v>
      </c>
      <c r="F1235" s="24" t="s">
        <v>1074</v>
      </c>
      <c r="G1235" s="25" t="s">
        <v>1075</v>
      </c>
      <c r="H1235" s="24" t="s">
        <v>1061</v>
      </c>
      <c r="I1235" s="3" t="str">
        <f>IFERROR(VLOOKUP(C1235,'Справочник соответствий'!A$2:D$2981,2,FALSE),IF(VALUE(C1235)=0,1,VLOOKUP(C1235,'Справочник соответствий'!A$2:D$2981,2,FALSE)))</f>
        <v>2</v>
      </c>
      <c r="J1235" s="3">
        <f>IFERROR(VLOOKUP(D1235,'Справочник соответствий'!A$2:D$2981,2,FALSE),IF(VALUE(D1235)=0,0,VLOOKUP(D1235,'Справочник соответствий'!A$2:D$2981,2,FALSE)))</f>
        <v>0</v>
      </c>
      <c r="K1235" s="3">
        <f t="shared" si="133"/>
        <v>2</v>
      </c>
      <c r="L1235" s="13" t="str">
        <f>IFERROR(VLOOKUP(C1235,'Справочник соответствий'!A$2:D$2981,3,FALSE),IF(VALUE(C1235)=0,"ЭТАЖ НЕ ОПРЕДЕЛЕН. ПРИНЯТ ПО ДОПУЩЕНИЮ 1",VLOOKUP(C1235,'Справочник соответствий'!A$2:D$2981,3,FALSE)))</f>
        <v>ЭТАЖ ЗАДАН ЧИСЛОМ</v>
      </c>
      <c r="M1235" s="13" t="b">
        <f t="shared" si="134"/>
        <v>0</v>
      </c>
      <c r="N1235" s="13">
        <f t="shared" si="135"/>
        <v>2</v>
      </c>
      <c r="O1235" s="13" t="str">
        <f t="shared" si="136"/>
        <v>ЭТАЖ ЗАДАН ЧИСЛОМ</v>
      </c>
      <c r="P1235" s="13" t="str">
        <f t="shared" si="137"/>
        <v>МКД_ЭТАЖ ЗАДАН ЧИСЛОМ</v>
      </c>
      <c r="Q1235" s="13" t="str">
        <f t="shared" si="138"/>
        <v>ГОТОВ</v>
      </c>
      <c r="R1235" s="13">
        <f>IFERROR(VLOOKUP(P1235,Лист1!A$1:B$20,2,FALSE),0)</f>
        <v>786</v>
      </c>
      <c r="S1235" s="13">
        <f t="shared" si="139"/>
        <v>2</v>
      </c>
    </row>
    <row r="1236" spans="1:19" x14ac:dyDescent="0.25">
      <c r="A1236" s="24" t="s">
        <v>2354</v>
      </c>
      <c r="B1236" s="4" t="s">
        <v>1059</v>
      </c>
      <c r="C1236" s="25" t="s">
        <v>5</v>
      </c>
      <c r="E1236" s="3">
        <v>1</v>
      </c>
      <c r="F1236" s="24" t="s">
        <v>1038</v>
      </c>
      <c r="G1236" s="25" t="s">
        <v>1089</v>
      </c>
      <c r="H1236" s="24" t="s">
        <v>1061</v>
      </c>
      <c r="I1236" s="3" t="str">
        <f>IFERROR(VLOOKUP(C1236,'Справочник соответствий'!A$2:D$2981,2,FALSE),IF(VALUE(C1236)=0,1,VLOOKUP(C1236,'Справочник соответствий'!A$2:D$2981,2,FALSE)))</f>
        <v>1</v>
      </c>
      <c r="J1236" s="3">
        <f>IFERROR(VLOOKUP(D1236,'Справочник соответствий'!A$2:D$2981,2,FALSE),IF(VALUE(D1236)=0,0,VLOOKUP(D1236,'Справочник соответствий'!A$2:D$2981,2,FALSE)))</f>
        <v>0</v>
      </c>
      <c r="K1236" s="3" t="str">
        <f t="shared" si="133"/>
        <v>1</v>
      </c>
      <c r="L1236" s="13" t="str">
        <f>IFERROR(VLOOKUP(C1236,'Справочник соответствий'!A$2:D$2981,3,FALSE),IF(VALUE(C1236)=0,"ЭТАЖ НЕ ОПРЕДЕЛЕН. ПРИНЯТ ПО ДОПУЩЕНИЮ 1",VLOOKUP(C1236,'Справочник соответствий'!A$2:D$2981,3,FALSE)))</f>
        <v>ЭТАЖ ЗАДАН ЧИСЛОМ</v>
      </c>
      <c r="M1236" s="13" t="b">
        <f t="shared" si="134"/>
        <v>0</v>
      </c>
      <c r="N1236" s="13">
        <f t="shared" si="135"/>
        <v>1</v>
      </c>
      <c r="O1236" s="13" t="str">
        <f t="shared" si="136"/>
        <v>ЭТАЖ ЗАДАН ЧИСЛОМ</v>
      </c>
      <c r="P1236" s="13" t="str">
        <f t="shared" si="137"/>
        <v>ЭТАЖ ЗАДАН ЧИСЛОМ</v>
      </c>
      <c r="Q1236" s="13" t="str">
        <f t="shared" si="138"/>
        <v>ГОТОВ</v>
      </c>
      <c r="R1236" s="13">
        <f>IFERROR(VLOOKUP(P1236,Лист1!A$1:B$20,2,FALSE),0)</f>
        <v>784</v>
      </c>
      <c r="S1236" s="13">
        <f t="shared" si="139"/>
        <v>1</v>
      </c>
    </row>
    <row r="1237" spans="1:19" x14ac:dyDescent="0.25">
      <c r="A1237" s="24" t="s">
        <v>2355</v>
      </c>
      <c r="B1237" s="4" t="s">
        <v>1031</v>
      </c>
      <c r="C1237" s="25" t="s">
        <v>5</v>
      </c>
      <c r="E1237" s="3">
        <v>1</v>
      </c>
      <c r="F1237" s="24" t="s">
        <v>1045</v>
      </c>
      <c r="G1237" s="25" t="s">
        <v>1075</v>
      </c>
      <c r="H1237" s="24" t="s">
        <v>1061</v>
      </c>
      <c r="I1237" s="3" t="str">
        <f>IFERROR(VLOOKUP(C1237,'Справочник соответствий'!A$2:D$2981,2,FALSE),IF(VALUE(C1237)=0,1,VLOOKUP(C1237,'Справочник соответствий'!A$2:D$2981,2,FALSE)))</f>
        <v>1</v>
      </c>
      <c r="J1237" s="3">
        <f>IFERROR(VLOOKUP(D1237,'Справочник соответствий'!A$2:D$2981,2,FALSE),IF(VALUE(D1237)=0,0,VLOOKUP(D1237,'Справочник соответствий'!A$2:D$2981,2,FALSE)))</f>
        <v>0</v>
      </c>
      <c r="K1237" s="3">
        <f t="shared" si="133"/>
        <v>1</v>
      </c>
      <c r="L1237" s="13" t="str">
        <f>IFERROR(VLOOKUP(C1237,'Справочник соответствий'!A$2:D$2981,3,FALSE),IF(VALUE(C1237)=0,"ЭТАЖ НЕ ОПРЕДЕЛЕН. ПРИНЯТ ПО ДОПУЩЕНИЮ 1",VLOOKUP(C1237,'Справочник соответствий'!A$2:D$2981,3,FALSE)))</f>
        <v>ЭТАЖ ЗАДАН ЧИСЛОМ</v>
      </c>
      <c r="M1237" s="13" t="b">
        <f t="shared" si="134"/>
        <v>0</v>
      </c>
      <c r="N1237" s="13">
        <f t="shared" si="135"/>
        <v>1</v>
      </c>
      <c r="O1237" s="13" t="str">
        <f t="shared" si="136"/>
        <v>ЭТАЖ ЗАДАН ЧИСЛОМ</v>
      </c>
      <c r="P1237" s="13" t="str">
        <f t="shared" si="137"/>
        <v>МКД_ЭТАЖ ЗАДАН ЧИСЛОМ</v>
      </c>
      <c r="Q1237" s="13" t="str">
        <f t="shared" si="138"/>
        <v>ГОТОВ</v>
      </c>
      <c r="R1237" s="13">
        <f>IFERROR(VLOOKUP(P1237,Лист1!A$1:B$20,2,FALSE),0)</f>
        <v>786</v>
      </c>
      <c r="S1237" s="13">
        <f t="shared" si="139"/>
        <v>1</v>
      </c>
    </row>
    <row r="1238" spans="1:19" x14ac:dyDescent="0.25">
      <c r="A1238" s="24" t="s">
        <v>2356</v>
      </c>
      <c r="B1238" s="4" t="s">
        <v>1031</v>
      </c>
      <c r="C1238" s="25" t="s">
        <v>5</v>
      </c>
      <c r="E1238" s="3">
        <v>1</v>
      </c>
      <c r="F1238" s="24" t="s">
        <v>2357</v>
      </c>
      <c r="G1238" s="25" t="s">
        <v>1075</v>
      </c>
      <c r="H1238" s="24" t="s">
        <v>1061</v>
      </c>
      <c r="I1238" s="3" t="str">
        <f>IFERROR(VLOOKUP(C1238,'Справочник соответствий'!A$2:D$2981,2,FALSE),IF(VALUE(C1238)=0,1,VLOOKUP(C1238,'Справочник соответствий'!A$2:D$2981,2,FALSE)))</f>
        <v>1</v>
      </c>
      <c r="J1238" s="3">
        <f>IFERROR(VLOOKUP(D1238,'Справочник соответствий'!A$2:D$2981,2,FALSE),IF(VALUE(D1238)=0,0,VLOOKUP(D1238,'Справочник соответствий'!A$2:D$2981,2,FALSE)))</f>
        <v>0</v>
      </c>
      <c r="K1238" s="3">
        <f t="shared" si="133"/>
        <v>1</v>
      </c>
      <c r="L1238" s="13" t="str">
        <f>IFERROR(VLOOKUP(C1238,'Справочник соответствий'!A$2:D$2981,3,FALSE),IF(VALUE(C1238)=0,"ЭТАЖ НЕ ОПРЕДЕЛЕН. ПРИНЯТ ПО ДОПУЩЕНИЮ 1",VLOOKUP(C1238,'Справочник соответствий'!A$2:D$2981,3,FALSE)))</f>
        <v>ЭТАЖ ЗАДАН ЧИСЛОМ</v>
      </c>
      <c r="M1238" s="13" t="b">
        <f t="shared" si="134"/>
        <v>0</v>
      </c>
      <c r="N1238" s="13">
        <f t="shared" si="135"/>
        <v>1</v>
      </c>
      <c r="O1238" s="13" t="str">
        <f t="shared" si="136"/>
        <v>ЭТАЖ ЗАДАН ЧИСЛОМ</v>
      </c>
      <c r="P1238" s="13" t="str">
        <f t="shared" si="137"/>
        <v>МКД_ЭТАЖ ЗАДАН ЧИСЛОМ</v>
      </c>
      <c r="Q1238" s="13" t="str">
        <f t="shared" si="138"/>
        <v>ГОТОВ</v>
      </c>
      <c r="R1238" s="13">
        <f>IFERROR(VLOOKUP(P1238,Лист1!A$1:B$20,2,FALSE),0)</f>
        <v>786</v>
      </c>
      <c r="S1238" s="13">
        <f t="shared" si="139"/>
        <v>1</v>
      </c>
    </row>
    <row r="1239" spans="1:19" x14ac:dyDescent="0.25">
      <c r="A1239" s="24" t="s">
        <v>2358</v>
      </c>
      <c r="B1239" s="4" t="s">
        <v>1063</v>
      </c>
      <c r="C1239" s="25" t="s">
        <v>5</v>
      </c>
      <c r="E1239" s="3">
        <v>1</v>
      </c>
      <c r="F1239" s="24" t="s">
        <v>1045</v>
      </c>
      <c r="G1239" s="25" t="s">
        <v>1069</v>
      </c>
      <c r="H1239" s="24" t="s">
        <v>1061</v>
      </c>
      <c r="I1239" s="3" t="str">
        <f>IFERROR(VLOOKUP(C1239,'Справочник соответствий'!A$2:D$2981,2,FALSE),IF(VALUE(C1239)=0,1,VLOOKUP(C1239,'Справочник соответствий'!A$2:D$2981,2,FALSE)))</f>
        <v>1</v>
      </c>
      <c r="J1239" s="3">
        <f>IFERROR(VLOOKUP(D1239,'Справочник соответствий'!A$2:D$2981,2,FALSE),IF(VALUE(D1239)=0,0,VLOOKUP(D1239,'Справочник соответствий'!A$2:D$2981,2,FALSE)))</f>
        <v>0</v>
      </c>
      <c r="K1239" s="3" t="str">
        <f t="shared" si="133"/>
        <v>1</v>
      </c>
      <c r="L1239" s="13" t="str">
        <f>IFERROR(VLOOKUP(C1239,'Справочник соответствий'!A$2:D$2981,3,FALSE),IF(VALUE(C1239)=0,"ЭТАЖ НЕ ОПРЕДЕЛЕН. ПРИНЯТ ПО ДОПУЩЕНИЮ 1",VLOOKUP(C1239,'Справочник соответствий'!A$2:D$2981,3,FALSE)))</f>
        <v>ЭТАЖ ЗАДАН ЧИСЛОМ</v>
      </c>
      <c r="M1239" s="13" t="b">
        <f t="shared" si="134"/>
        <v>0</v>
      </c>
      <c r="N1239" s="13">
        <f t="shared" si="135"/>
        <v>1</v>
      </c>
      <c r="O1239" s="13" t="str">
        <f t="shared" si="136"/>
        <v>ЭТАЖ ЗАДАН ЧИСЛОМ</v>
      </c>
      <c r="P1239" s="13" t="str">
        <f t="shared" si="137"/>
        <v>ЭТАЖ ЗАДАН ЧИСЛОМ</v>
      </c>
      <c r="Q1239" s="13" t="str">
        <f t="shared" si="138"/>
        <v>ГОТОВ</v>
      </c>
      <c r="R1239" s="13">
        <f>IFERROR(VLOOKUP(P1239,Лист1!A$1:B$20,2,FALSE),0)</f>
        <v>784</v>
      </c>
      <c r="S1239" s="13">
        <f t="shared" si="139"/>
        <v>1</v>
      </c>
    </row>
    <row r="1240" spans="1:19" x14ac:dyDescent="0.25">
      <c r="A1240" s="24" t="s">
        <v>2359</v>
      </c>
      <c r="B1240" s="4" t="s">
        <v>1031</v>
      </c>
      <c r="C1240" s="25" t="s">
        <v>12</v>
      </c>
      <c r="D1240" s="25" t="s">
        <v>5</v>
      </c>
      <c r="E1240" s="3">
        <v>4</v>
      </c>
      <c r="F1240" s="24" t="s">
        <v>1074</v>
      </c>
      <c r="G1240" s="25" t="s">
        <v>1075</v>
      </c>
      <c r="H1240" s="24" t="s">
        <v>1061</v>
      </c>
      <c r="I1240" s="3" t="str">
        <f>IFERROR(VLOOKUP(C1240,'Справочник соответствий'!A$2:D$2981,2,FALSE),IF(VALUE(C1240)=0,1,VLOOKUP(C1240,'Справочник соответствий'!A$2:D$2981,2,FALSE)))</f>
        <v>4</v>
      </c>
      <c r="J1240" s="3" t="str">
        <f>IFERROR(VLOOKUP(D1240,'Справочник соответствий'!A$2:D$2981,2,FALSE),IF(VALUE(D1240)=0,0,VLOOKUP(D1240,'Справочник соответствий'!A$2:D$2981,2,FALSE)))</f>
        <v>1</v>
      </c>
      <c r="K1240" s="3">
        <f t="shared" si="133"/>
        <v>3</v>
      </c>
      <c r="L1240" s="13" t="str">
        <f>IFERROR(VLOOKUP(C1240,'Справочник соответствий'!A$2:D$2981,3,FALSE),IF(VALUE(C1240)=0,"ЭТАЖ НЕ ОПРЕДЕЛЕН. ПРИНЯТ ПО ДОПУЩЕНИЮ 1",VLOOKUP(C1240,'Справочник соответствий'!A$2:D$2981,3,FALSE)))</f>
        <v>ЭТАЖ ЗАДАН ЧИСЛОМ</v>
      </c>
      <c r="M1240" s="13" t="b">
        <f t="shared" si="134"/>
        <v>0</v>
      </c>
      <c r="N1240" s="13">
        <f t="shared" si="135"/>
        <v>3</v>
      </c>
      <c r="O1240" s="13" t="str">
        <f t="shared" si="136"/>
        <v>ЭТАЖ ЗАДАН ЧИСЛОМ</v>
      </c>
      <c r="P1240" s="13" t="str">
        <f t="shared" si="137"/>
        <v>МКД_ЭТАЖ ЗАДАН ЧИСЛОМ</v>
      </c>
      <c r="Q1240" s="13" t="str">
        <f t="shared" si="138"/>
        <v>ГОТОВ_ИЗМЕНЕН</v>
      </c>
      <c r="R1240" s="13">
        <f>IFERROR(VLOOKUP(P1240,Лист1!A$1:B$20,2,FALSE),0)</f>
        <v>786</v>
      </c>
      <c r="S1240" s="13">
        <f t="shared" si="139"/>
        <v>4</v>
      </c>
    </row>
    <row r="1241" spans="1:19" x14ac:dyDescent="0.25">
      <c r="A1241" s="24" t="s">
        <v>2360</v>
      </c>
      <c r="B1241" s="4" t="s">
        <v>1059</v>
      </c>
      <c r="C1241" s="25" t="s">
        <v>5</v>
      </c>
      <c r="E1241" s="3">
        <v>1</v>
      </c>
      <c r="F1241" s="24" t="s">
        <v>1307</v>
      </c>
      <c r="G1241" s="25" t="s">
        <v>1195</v>
      </c>
      <c r="H1241" s="24" t="s">
        <v>1061</v>
      </c>
      <c r="I1241" s="3" t="str">
        <f>IFERROR(VLOOKUP(C1241,'Справочник соответствий'!A$2:D$2981,2,FALSE),IF(VALUE(C1241)=0,1,VLOOKUP(C1241,'Справочник соответствий'!A$2:D$2981,2,FALSE)))</f>
        <v>1</v>
      </c>
      <c r="J1241" s="3">
        <f>IFERROR(VLOOKUP(D1241,'Справочник соответствий'!A$2:D$2981,2,FALSE),IF(VALUE(D1241)=0,0,VLOOKUP(D1241,'Справочник соответствий'!A$2:D$2981,2,FALSE)))</f>
        <v>0</v>
      </c>
      <c r="K1241" s="3" t="str">
        <f t="shared" si="133"/>
        <v>1</v>
      </c>
      <c r="L1241" s="13" t="str">
        <f>IFERROR(VLOOKUP(C1241,'Справочник соответствий'!A$2:D$2981,3,FALSE),IF(VALUE(C1241)=0,"ЭТАЖ НЕ ОПРЕДЕЛЕН. ПРИНЯТ ПО ДОПУЩЕНИЮ 1",VLOOKUP(C1241,'Справочник соответствий'!A$2:D$2981,3,FALSE)))</f>
        <v>ЭТАЖ ЗАДАН ЧИСЛОМ</v>
      </c>
      <c r="M1241" s="13" t="b">
        <f t="shared" si="134"/>
        <v>0</v>
      </c>
      <c r="N1241" s="13">
        <f t="shared" si="135"/>
        <v>1</v>
      </c>
      <c r="O1241" s="13" t="str">
        <f t="shared" si="136"/>
        <v>ЭТАЖ ЗАДАН ЧИСЛОМ</v>
      </c>
      <c r="P1241" s="13" t="str">
        <f t="shared" si="137"/>
        <v>ЭТАЖ ЗАДАН ЧИСЛОМ</v>
      </c>
      <c r="Q1241" s="13" t="str">
        <f t="shared" si="138"/>
        <v>ГОТОВ</v>
      </c>
      <c r="R1241" s="13">
        <f>IFERROR(VLOOKUP(P1241,Лист1!A$1:B$20,2,FALSE),0)</f>
        <v>784</v>
      </c>
      <c r="S1241" s="13">
        <f t="shared" si="139"/>
        <v>1</v>
      </c>
    </row>
    <row r="1242" spans="1:19" x14ac:dyDescent="0.25">
      <c r="A1242" s="24" t="s">
        <v>2361</v>
      </c>
      <c r="B1242" s="4" t="s">
        <v>1063</v>
      </c>
      <c r="C1242" s="25" t="s">
        <v>5</v>
      </c>
      <c r="E1242" s="3">
        <v>1</v>
      </c>
      <c r="F1242" s="24" t="s">
        <v>1045</v>
      </c>
      <c r="G1242" s="25" t="s">
        <v>1086</v>
      </c>
      <c r="H1242" s="24" t="s">
        <v>1061</v>
      </c>
      <c r="I1242" s="3" t="str">
        <f>IFERROR(VLOOKUP(C1242,'Справочник соответствий'!A$2:D$2981,2,FALSE),IF(VALUE(C1242)=0,1,VLOOKUP(C1242,'Справочник соответствий'!A$2:D$2981,2,FALSE)))</f>
        <v>1</v>
      </c>
      <c r="J1242" s="3">
        <f>IFERROR(VLOOKUP(D1242,'Справочник соответствий'!A$2:D$2981,2,FALSE),IF(VALUE(D1242)=0,0,VLOOKUP(D1242,'Справочник соответствий'!A$2:D$2981,2,FALSE)))</f>
        <v>0</v>
      </c>
      <c r="K1242" s="3" t="str">
        <f t="shared" si="133"/>
        <v>1</v>
      </c>
      <c r="L1242" s="13" t="str">
        <f>IFERROR(VLOOKUP(C1242,'Справочник соответствий'!A$2:D$2981,3,FALSE),IF(VALUE(C1242)=0,"ЭТАЖ НЕ ОПРЕДЕЛЕН. ПРИНЯТ ПО ДОПУЩЕНИЮ 1",VLOOKUP(C1242,'Справочник соответствий'!A$2:D$2981,3,FALSE)))</f>
        <v>ЭТАЖ ЗАДАН ЧИСЛОМ</v>
      </c>
      <c r="M1242" s="13" t="b">
        <f t="shared" si="134"/>
        <v>0</v>
      </c>
      <c r="N1242" s="13">
        <f t="shared" si="135"/>
        <v>1</v>
      </c>
      <c r="O1242" s="13" t="str">
        <f t="shared" si="136"/>
        <v>ЭТАЖ ЗАДАН ЧИСЛОМ</v>
      </c>
      <c r="P1242" s="13" t="str">
        <f t="shared" si="137"/>
        <v>ЭТАЖ ЗАДАН ЧИСЛОМ</v>
      </c>
      <c r="Q1242" s="13" t="str">
        <f t="shared" si="138"/>
        <v>ГОТОВ</v>
      </c>
      <c r="R1242" s="13">
        <f>IFERROR(VLOOKUP(P1242,Лист1!A$1:B$20,2,FALSE),0)</f>
        <v>784</v>
      </c>
      <c r="S1242" s="13">
        <f t="shared" si="139"/>
        <v>1</v>
      </c>
    </row>
    <row r="1243" spans="1:19" x14ac:dyDescent="0.25">
      <c r="A1243" s="24" t="s">
        <v>2362</v>
      </c>
      <c r="B1243" s="4" t="s">
        <v>1059</v>
      </c>
      <c r="C1243" s="25" t="s">
        <v>5</v>
      </c>
      <c r="E1243" s="3">
        <v>1</v>
      </c>
      <c r="F1243" s="24" t="s">
        <v>1307</v>
      </c>
      <c r="G1243" s="25" t="s">
        <v>1072</v>
      </c>
      <c r="H1243" s="24" t="s">
        <v>1061</v>
      </c>
      <c r="I1243" s="3" t="str">
        <f>IFERROR(VLOOKUP(C1243,'Справочник соответствий'!A$2:D$2981,2,FALSE),IF(VALUE(C1243)=0,1,VLOOKUP(C1243,'Справочник соответствий'!A$2:D$2981,2,FALSE)))</f>
        <v>1</v>
      </c>
      <c r="J1243" s="3">
        <f>IFERROR(VLOOKUP(D1243,'Справочник соответствий'!A$2:D$2981,2,FALSE),IF(VALUE(D1243)=0,0,VLOOKUP(D1243,'Справочник соответствий'!A$2:D$2981,2,FALSE)))</f>
        <v>0</v>
      </c>
      <c r="K1243" s="3" t="str">
        <f t="shared" si="133"/>
        <v>1</v>
      </c>
      <c r="L1243" s="13" t="str">
        <f>IFERROR(VLOOKUP(C1243,'Справочник соответствий'!A$2:D$2981,3,FALSE),IF(VALUE(C1243)=0,"ЭТАЖ НЕ ОПРЕДЕЛЕН. ПРИНЯТ ПО ДОПУЩЕНИЮ 1",VLOOKUP(C1243,'Справочник соответствий'!A$2:D$2981,3,FALSE)))</f>
        <v>ЭТАЖ ЗАДАН ЧИСЛОМ</v>
      </c>
      <c r="M1243" s="13" t="b">
        <f t="shared" si="134"/>
        <v>0</v>
      </c>
      <c r="N1243" s="13">
        <f t="shared" si="135"/>
        <v>1</v>
      </c>
      <c r="O1243" s="13" t="str">
        <f t="shared" si="136"/>
        <v>ЭТАЖ ЗАДАН ЧИСЛОМ</v>
      </c>
      <c r="P1243" s="13" t="str">
        <f t="shared" si="137"/>
        <v>ЭТАЖ ЗАДАН ЧИСЛОМ</v>
      </c>
      <c r="Q1243" s="13" t="str">
        <f t="shared" si="138"/>
        <v>ГОТОВ</v>
      </c>
      <c r="R1243" s="13">
        <f>IFERROR(VLOOKUP(P1243,Лист1!A$1:B$20,2,FALSE),0)</f>
        <v>784</v>
      </c>
      <c r="S1243" s="13">
        <f t="shared" si="139"/>
        <v>1</v>
      </c>
    </row>
    <row r="1244" spans="1:19" x14ac:dyDescent="0.25">
      <c r="A1244" s="24" t="s">
        <v>2363</v>
      </c>
      <c r="B1244" s="4" t="s">
        <v>1031</v>
      </c>
      <c r="C1244" s="25" t="s">
        <v>7</v>
      </c>
      <c r="E1244" s="3">
        <v>2</v>
      </c>
      <c r="F1244" s="24" t="s">
        <v>1074</v>
      </c>
      <c r="G1244" s="25" t="s">
        <v>1075</v>
      </c>
      <c r="H1244" s="24" t="s">
        <v>1061</v>
      </c>
      <c r="I1244" s="3" t="str">
        <f>IFERROR(VLOOKUP(C1244,'Справочник соответствий'!A$2:D$2981,2,FALSE),IF(VALUE(C1244)=0,1,VLOOKUP(C1244,'Справочник соответствий'!A$2:D$2981,2,FALSE)))</f>
        <v>2</v>
      </c>
      <c r="J1244" s="3">
        <f>IFERROR(VLOOKUP(D1244,'Справочник соответствий'!A$2:D$2981,2,FALSE),IF(VALUE(D1244)=0,0,VLOOKUP(D1244,'Справочник соответствий'!A$2:D$2981,2,FALSE)))</f>
        <v>0</v>
      </c>
      <c r="K1244" s="3">
        <f t="shared" si="133"/>
        <v>2</v>
      </c>
      <c r="L1244" s="13" t="str">
        <f>IFERROR(VLOOKUP(C1244,'Справочник соответствий'!A$2:D$2981,3,FALSE),IF(VALUE(C1244)=0,"ЭТАЖ НЕ ОПРЕДЕЛЕН. ПРИНЯТ ПО ДОПУЩЕНИЮ 1",VLOOKUP(C1244,'Справочник соответствий'!A$2:D$2981,3,FALSE)))</f>
        <v>ЭТАЖ ЗАДАН ЧИСЛОМ</v>
      </c>
      <c r="M1244" s="13" t="b">
        <f t="shared" si="134"/>
        <v>0</v>
      </c>
      <c r="N1244" s="13">
        <f t="shared" si="135"/>
        <v>2</v>
      </c>
      <c r="O1244" s="13" t="str">
        <f t="shared" si="136"/>
        <v>ЭТАЖ ЗАДАН ЧИСЛОМ</v>
      </c>
      <c r="P1244" s="13" t="str">
        <f t="shared" si="137"/>
        <v>МКД_ЭТАЖ ЗАДАН ЧИСЛОМ</v>
      </c>
      <c r="Q1244" s="13" t="str">
        <f t="shared" si="138"/>
        <v>ГОТОВ</v>
      </c>
      <c r="R1244" s="13">
        <f>IFERROR(VLOOKUP(P1244,Лист1!A$1:B$20,2,FALSE),0)</f>
        <v>786</v>
      </c>
      <c r="S1244" s="13">
        <f t="shared" si="139"/>
        <v>2</v>
      </c>
    </row>
    <row r="1245" spans="1:19" x14ac:dyDescent="0.25">
      <c r="A1245" s="24" t="s">
        <v>2364</v>
      </c>
      <c r="B1245" s="4" t="s">
        <v>1059</v>
      </c>
      <c r="C1245" s="25" t="s">
        <v>7</v>
      </c>
      <c r="E1245" s="3">
        <v>2</v>
      </c>
      <c r="F1245" s="24" t="s">
        <v>1045</v>
      </c>
      <c r="G1245" s="25" t="s">
        <v>1083</v>
      </c>
      <c r="H1245" s="24" t="s">
        <v>1061</v>
      </c>
      <c r="I1245" s="3" t="str">
        <f>IFERROR(VLOOKUP(C1245,'Справочник соответствий'!A$2:D$2981,2,FALSE),IF(VALUE(C1245)=0,1,VLOOKUP(C1245,'Справочник соответствий'!A$2:D$2981,2,FALSE)))</f>
        <v>2</v>
      </c>
      <c r="J1245" s="3">
        <f>IFERROR(VLOOKUP(D1245,'Справочник соответствий'!A$2:D$2981,2,FALSE),IF(VALUE(D1245)=0,0,VLOOKUP(D1245,'Справочник соответствий'!A$2:D$2981,2,FALSE)))</f>
        <v>0</v>
      </c>
      <c r="K1245" s="3" t="str">
        <f t="shared" si="133"/>
        <v>2</v>
      </c>
      <c r="L1245" s="13" t="str">
        <f>IFERROR(VLOOKUP(C1245,'Справочник соответствий'!A$2:D$2981,3,FALSE),IF(VALUE(C1245)=0,"ЭТАЖ НЕ ОПРЕДЕЛЕН. ПРИНЯТ ПО ДОПУЩЕНИЮ 1",VLOOKUP(C1245,'Справочник соответствий'!A$2:D$2981,3,FALSE)))</f>
        <v>ЭТАЖ ЗАДАН ЧИСЛОМ</v>
      </c>
      <c r="M1245" s="13" t="b">
        <f t="shared" si="134"/>
        <v>0</v>
      </c>
      <c r="N1245" s="13">
        <f t="shared" si="135"/>
        <v>2</v>
      </c>
      <c r="O1245" s="13" t="str">
        <f t="shared" si="136"/>
        <v>ЭТАЖ ЗАДАН ЧИСЛОМ</v>
      </c>
      <c r="P1245" s="13" t="str">
        <f t="shared" si="137"/>
        <v>ЭТАЖ ЗАДАН ЧИСЛОМ</v>
      </c>
      <c r="Q1245" s="13" t="str">
        <f t="shared" si="138"/>
        <v>ГОТОВ</v>
      </c>
      <c r="R1245" s="13">
        <f>IFERROR(VLOOKUP(P1245,Лист1!A$1:B$20,2,FALSE),0)</f>
        <v>784</v>
      </c>
      <c r="S1245" s="13">
        <f t="shared" si="139"/>
        <v>2</v>
      </c>
    </row>
    <row r="1246" spans="1:19" x14ac:dyDescent="0.25">
      <c r="A1246" s="24" t="s">
        <v>2365</v>
      </c>
      <c r="B1246" s="4" t="s">
        <v>1031</v>
      </c>
      <c r="C1246" s="25" t="s">
        <v>5</v>
      </c>
      <c r="E1246" s="3">
        <v>1</v>
      </c>
      <c r="F1246" s="24" t="s">
        <v>1082</v>
      </c>
      <c r="G1246" s="25" t="s">
        <v>1060</v>
      </c>
      <c r="H1246" s="24" t="s">
        <v>1061</v>
      </c>
      <c r="I1246" s="3" t="str">
        <f>IFERROR(VLOOKUP(C1246,'Справочник соответствий'!A$2:D$2981,2,FALSE),IF(VALUE(C1246)=0,1,VLOOKUP(C1246,'Справочник соответствий'!A$2:D$2981,2,FALSE)))</f>
        <v>1</v>
      </c>
      <c r="J1246" s="3">
        <f>IFERROR(VLOOKUP(D1246,'Справочник соответствий'!A$2:D$2981,2,FALSE),IF(VALUE(D1246)=0,0,VLOOKUP(D1246,'Справочник соответствий'!A$2:D$2981,2,FALSE)))</f>
        <v>0</v>
      </c>
      <c r="K1246" s="3">
        <f t="shared" si="133"/>
        <v>1</v>
      </c>
      <c r="L1246" s="13" t="str">
        <f>IFERROR(VLOOKUP(C1246,'Справочник соответствий'!A$2:D$2981,3,FALSE),IF(VALUE(C1246)=0,"ЭТАЖ НЕ ОПРЕДЕЛЕН. ПРИНЯТ ПО ДОПУЩЕНИЮ 1",VLOOKUP(C1246,'Справочник соответствий'!A$2:D$2981,3,FALSE)))</f>
        <v>ЭТАЖ ЗАДАН ЧИСЛОМ</v>
      </c>
      <c r="M1246" s="13" t="b">
        <f t="shared" si="134"/>
        <v>0</v>
      </c>
      <c r="N1246" s="13">
        <f t="shared" si="135"/>
        <v>1</v>
      </c>
      <c r="O1246" s="13" t="str">
        <f t="shared" si="136"/>
        <v>ЭТАЖ ЗАДАН ЧИСЛОМ</v>
      </c>
      <c r="P1246" s="13" t="str">
        <f t="shared" si="137"/>
        <v>МКД_ЭТАЖ ЗАДАН ЧИСЛОМ</v>
      </c>
      <c r="Q1246" s="13" t="str">
        <f t="shared" si="138"/>
        <v>ГОТОВ</v>
      </c>
      <c r="R1246" s="13">
        <f>IFERROR(VLOOKUP(P1246,Лист1!A$1:B$20,2,FALSE),0)</f>
        <v>786</v>
      </c>
      <c r="S1246" s="13">
        <f t="shared" si="139"/>
        <v>1</v>
      </c>
    </row>
    <row r="1247" spans="1:19" x14ac:dyDescent="0.25">
      <c r="A1247" s="24" t="s">
        <v>2366</v>
      </c>
      <c r="B1247" s="4" t="s">
        <v>1063</v>
      </c>
      <c r="C1247" s="25" t="s">
        <v>7</v>
      </c>
      <c r="E1247" s="3">
        <v>2</v>
      </c>
      <c r="F1247" s="24" t="s">
        <v>1045</v>
      </c>
      <c r="G1247" s="25" t="s">
        <v>1086</v>
      </c>
      <c r="H1247" s="24" t="s">
        <v>1061</v>
      </c>
      <c r="I1247" s="3" t="str">
        <f>IFERROR(VLOOKUP(C1247,'Справочник соответствий'!A$2:D$2981,2,FALSE),IF(VALUE(C1247)=0,1,VLOOKUP(C1247,'Справочник соответствий'!A$2:D$2981,2,FALSE)))</f>
        <v>2</v>
      </c>
      <c r="J1247" s="3">
        <f>IFERROR(VLOOKUP(D1247,'Справочник соответствий'!A$2:D$2981,2,FALSE),IF(VALUE(D1247)=0,0,VLOOKUP(D1247,'Справочник соответствий'!A$2:D$2981,2,FALSE)))</f>
        <v>0</v>
      </c>
      <c r="K1247" s="3" t="str">
        <f t="shared" si="133"/>
        <v>2</v>
      </c>
      <c r="L1247" s="13" t="str">
        <f>IFERROR(VLOOKUP(C1247,'Справочник соответствий'!A$2:D$2981,3,FALSE),IF(VALUE(C1247)=0,"ЭТАЖ НЕ ОПРЕДЕЛЕН. ПРИНЯТ ПО ДОПУЩЕНИЮ 1",VLOOKUP(C1247,'Справочник соответствий'!A$2:D$2981,3,FALSE)))</f>
        <v>ЭТАЖ ЗАДАН ЧИСЛОМ</v>
      </c>
      <c r="M1247" s="13" t="b">
        <f t="shared" si="134"/>
        <v>0</v>
      </c>
      <c r="N1247" s="13">
        <f t="shared" si="135"/>
        <v>2</v>
      </c>
      <c r="O1247" s="13" t="str">
        <f t="shared" si="136"/>
        <v>ЭТАЖ ЗАДАН ЧИСЛОМ</v>
      </c>
      <c r="P1247" s="13" t="str">
        <f t="shared" si="137"/>
        <v>ЭТАЖ ЗАДАН ЧИСЛОМ</v>
      </c>
      <c r="Q1247" s="13" t="str">
        <f t="shared" si="138"/>
        <v>ГОТОВ</v>
      </c>
      <c r="R1247" s="13">
        <f>IFERROR(VLOOKUP(P1247,Лист1!A$1:B$20,2,FALSE),0)</f>
        <v>784</v>
      </c>
      <c r="S1247" s="13">
        <f t="shared" si="139"/>
        <v>2</v>
      </c>
    </row>
    <row r="1248" spans="1:19" x14ac:dyDescent="0.25">
      <c r="A1248" s="24" t="s">
        <v>2367</v>
      </c>
      <c r="B1248" s="4" t="s">
        <v>1059</v>
      </c>
      <c r="C1248" s="25" t="s">
        <v>5</v>
      </c>
      <c r="E1248" s="3">
        <v>1</v>
      </c>
      <c r="F1248" s="24" t="s">
        <v>1045</v>
      </c>
      <c r="G1248" s="25" t="s">
        <v>1072</v>
      </c>
      <c r="H1248" s="24" t="s">
        <v>1061</v>
      </c>
      <c r="I1248" s="3" t="str">
        <f>IFERROR(VLOOKUP(C1248,'Справочник соответствий'!A$2:D$2981,2,FALSE),IF(VALUE(C1248)=0,1,VLOOKUP(C1248,'Справочник соответствий'!A$2:D$2981,2,FALSE)))</f>
        <v>1</v>
      </c>
      <c r="J1248" s="3">
        <f>IFERROR(VLOOKUP(D1248,'Справочник соответствий'!A$2:D$2981,2,FALSE),IF(VALUE(D1248)=0,0,VLOOKUP(D1248,'Справочник соответствий'!A$2:D$2981,2,FALSE)))</f>
        <v>0</v>
      </c>
      <c r="K1248" s="3" t="str">
        <f t="shared" si="133"/>
        <v>1</v>
      </c>
      <c r="L1248" s="13" t="str">
        <f>IFERROR(VLOOKUP(C1248,'Справочник соответствий'!A$2:D$2981,3,FALSE),IF(VALUE(C1248)=0,"ЭТАЖ НЕ ОПРЕДЕЛЕН. ПРИНЯТ ПО ДОПУЩЕНИЮ 1",VLOOKUP(C1248,'Справочник соответствий'!A$2:D$2981,3,FALSE)))</f>
        <v>ЭТАЖ ЗАДАН ЧИСЛОМ</v>
      </c>
      <c r="M1248" s="13" t="b">
        <f t="shared" si="134"/>
        <v>0</v>
      </c>
      <c r="N1248" s="13">
        <f t="shared" si="135"/>
        <v>1</v>
      </c>
      <c r="O1248" s="13" t="str">
        <f t="shared" si="136"/>
        <v>ЭТАЖ ЗАДАН ЧИСЛОМ</v>
      </c>
      <c r="P1248" s="13" t="str">
        <f t="shared" si="137"/>
        <v>ЭТАЖ ЗАДАН ЧИСЛОМ</v>
      </c>
      <c r="Q1248" s="13" t="str">
        <f t="shared" si="138"/>
        <v>ГОТОВ</v>
      </c>
      <c r="R1248" s="13">
        <f>IFERROR(VLOOKUP(P1248,Лист1!A$1:B$20,2,FALSE),0)</f>
        <v>784</v>
      </c>
      <c r="S1248" s="13">
        <f t="shared" si="139"/>
        <v>1</v>
      </c>
    </row>
    <row r="1249" spans="1:19" x14ac:dyDescent="0.25">
      <c r="A1249" s="24" t="s">
        <v>2368</v>
      </c>
      <c r="B1249" s="4" t="s">
        <v>1059</v>
      </c>
      <c r="C1249" s="25" t="s">
        <v>5</v>
      </c>
      <c r="E1249" s="3">
        <v>1</v>
      </c>
      <c r="F1249" s="24" t="s">
        <v>1045</v>
      </c>
      <c r="G1249" s="25" t="s">
        <v>1104</v>
      </c>
      <c r="H1249" s="24" t="s">
        <v>1061</v>
      </c>
      <c r="I1249" s="3" t="str">
        <f>IFERROR(VLOOKUP(C1249,'Справочник соответствий'!A$2:D$2981,2,FALSE),IF(VALUE(C1249)=0,1,VLOOKUP(C1249,'Справочник соответствий'!A$2:D$2981,2,FALSE)))</f>
        <v>1</v>
      </c>
      <c r="J1249" s="3">
        <f>IFERROR(VLOOKUP(D1249,'Справочник соответствий'!A$2:D$2981,2,FALSE),IF(VALUE(D1249)=0,0,VLOOKUP(D1249,'Справочник соответствий'!A$2:D$2981,2,FALSE)))</f>
        <v>0</v>
      </c>
      <c r="K1249" s="3" t="str">
        <f t="shared" si="133"/>
        <v>1</v>
      </c>
      <c r="L1249" s="13" t="str">
        <f>IFERROR(VLOOKUP(C1249,'Справочник соответствий'!A$2:D$2981,3,FALSE),IF(VALUE(C1249)=0,"ЭТАЖ НЕ ОПРЕДЕЛЕН. ПРИНЯТ ПО ДОПУЩЕНИЮ 1",VLOOKUP(C1249,'Справочник соответствий'!A$2:D$2981,3,FALSE)))</f>
        <v>ЭТАЖ ЗАДАН ЧИСЛОМ</v>
      </c>
      <c r="M1249" s="13" t="b">
        <f t="shared" si="134"/>
        <v>0</v>
      </c>
      <c r="N1249" s="13">
        <f t="shared" si="135"/>
        <v>1</v>
      </c>
      <c r="O1249" s="13" t="str">
        <f t="shared" si="136"/>
        <v>ЭТАЖ ЗАДАН ЧИСЛОМ</v>
      </c>
      <c r="P1249" s="13" t="str">
        <f t="shared" si="137"/>
        <v>ЭТАЖ ЗАДАН ЧИСЛОМ</v>
      </c>
      <c r="Q1249" s="13" t="str">
        <f t="shared" si="138"/>
        <v>ГОТОВ</v>
      </c>
      <c r="R1249" s="13">
        <f>IFERROR(VLOOKUP(P1249,Лист1!A$1:B$20,2,FALSE),0)</f>
        <v>784</v>
      </c>
      <c r="S1249" s="13">
        <f t="shared" si="139"/>
        <v>1</v>
      </c>
    </row>
    <row r="1250" spans="1:19" x14ac:dyDescent="0.25">
      <c r="A1250" s="24" t="s">
        <v>2369</v>
      </c>
      <c r="B1250" s="4" t="s">
        <v>1059</v>
      </c>
      <c r="C1250" s="25" t="s">
        <v>5</v>
      </c>
      <c r="E1250" s="3">
        <v>1</v>
      </c>
      <c r="F1250" s="24" t="s">
        <v>1045</v>
      </c>
      <c r="G1250" s="25" t="s">
        <v>1347</v>
      </c>
      <c r="H1250" s="24" t="s">
        <v>1061</v>
      </c>
      <c r="I1250" s="3" t="str">
        <f>IFERROR(VLOOKUP(C1250,'Справочник соответствий'!A$2:D$2981,2,FALSE),IF(VALUE(C1250)=0,1,VLOOKUP(C1250,'Справочник соответствий'!A$2:D$2981,2,FALSE)))</f>
        <v>1</v>
      </c>
      <c r="J1250" s="3">
        <f>IFERROR(VLOOKUP(D1250,'Справочник соответствий'!A$2:D$2981,2,FALSE),IF(VALUE(D1250)=0,0,VLOOKUP(D1250,'Справочник соответствий'!A$2:D$2981,2,FALSE)))</f>
        <v>0</v>
      </c>
      <c r="K1250" s="3" t="str">
        <f t="shared" si="133"/>
        <v>1</v>
      </c>
      <c r="L1250" s="13" t="str">
        <f>IFERROR(VLOOKUP(C1250,'Справочник соответствий'!A$2:D$2981,3,FALSE),IF(VALUE(C1250)=0,"ЭТАЖ НЕ ОПРЕДЕЛЕН. ПРИНЯТ ПО ДОПУЩЕНИЮ 1",VLOOKUP(C1250,'Справочник соответствий'!A$2:D$2981,3,FALSE)))</f>
        <v>ЭТАЖ ЗАДАН ЧИСЛОМ</v>
      </c>
      <c r="M1250" s="13" t="b">
        <f t="shared" si="134"/>
        <v>0</v>
      </c>
      <c r="N1250" s="13">
        <f t="shared" si="135"/>
        <v>1</v>
      </c>
      <c r="O1250" s="13" t="str">
        <f t="shared" si="136"/>
        <v>ЭТАЖ ЗАДАН ЧИСЛОМ</v>
      </c>
      <c r="P1250" s="13" t="str">
        <f t="shared" si="137"/>
        <v>ЭТАЖ ЗАДАН ЧИСЛОМ</v>
      </c>
      <c r="Q1250" s="13" t="str">
        <f t="shared" si="138"/>
        <v>ГОТОВ</v>
      </c>
      <c r="R1250" s="13">
        <f>IFERROR(VLOOKUP(P1250,Лист1!A$1:B$20,2,FALSE),0)</f>
        <v>784</v>
      </c>
      <c r="S1250" s="13">
        <f t="shared" si="139"/>
        <v>1</v>
      </c>
    </row>
    <row r="1251" spans="1:19" x14ac:dyDescent="0.25">
      <c r="A1251" s="24" t="s">
        <v>2370</v>
      </c>
      <c r="B1251" s="4" t="s">
        <v>1059</v>
      </c>
      <c r="C1251" s="25" t="s">
        <v>5</v>
      </c>
      <c r="E1251" s="3">
        <v>1</v>
      </c>
      <c r="F1251" s="24" t="s">
        <v>1045</v>
      </c>
      <c r="G1251" s="25" t="s">
        <v>1089</v>
      </c>
      <c r="H1251" s="24" t="s">
        <v>1061</v>
      </c>
      <c r="I1251" s="3" t="str">
        <f>IFERROR(VLOOKUP(C1251,'Справочник соответствий'!A$2:D$2981,2,FALSE),IF(VALUE(C1251)=0,1,VLOOKUP(C1251,'Справочник соответствий'!A$2:D$2981,2,FALSE)))</f>
        <v>1</v>
      </c>
      <c r="J1251" s="3">
        <f>IFERROR(VLOOKUP(D1251,'Справочник соответствий'!A$2:D$2981,2,FALSE),IF(VALUE(D1251)=0,0,VLOOKUP(D1251,'Справочник соответствий'!A$2:D$2981,2,FALSE)))</f>
        <v>0</v>
      </c>
      <c r="K1251" s="3" t="str">
        <f t="shared" si="133"/>
        <v>1</v>
      </c>
      <c r="L1251" s="13" t="str">
        <f>IFERROR(VLOOKUP(C1251,'Справочник соответствий'!A$2:D$2981,3,FALSE),IF(VALUE(C1251)=0,"ЭТАЖ НЕ ОПРЕДЕЛЕН. ПРИНЯТ ПО ДОПУЩЕНИЮ 1",VLOOKUP(C1251,'Справочник соответствий'!A$2:D$2981,3,FALSE)))</f>
        <v>ЭТАЖ ЗАДАН ЧИСЛОМ</v>
      </c>
      <c r="M1251" s="13" t="b">
        <f t="shared" si="134"/>
        <v>0</v>
      </c>
      <c r="N1251" s="13">
        <f t="shared" si="135"/>
        <v>1</v>
      </c>
      <c r="O1251" s="13" t="str">
        <f t="shared" si="136"/>
        <v>ЭТАЖ ЗАДАН ЧИСЛОМ</v>
      </c>
      <c r="P1251" s="13" t="str">
        <f t="shared" si="137"/>
        <v>ЭТАЖ ЗАДАН ЧИСЛОМ</v>
      </c>
      <c r="Q1251" s="13" t="str">
        <f t="shared" si="138"/>
        <v>ГОТОВ</v>
      </c>
      <c r="R1251" s="13">
        <f>IFERROR(VLOOKUP(P1251,Лист1!A$1:B$20,2,FALSE),0)</f>
        <v>784</v>
      </c>
      <c r="S1251" s="13">
        <f t="shared" si="139"/>
        <v>1</v>
      </c>
    </row>
    <row r="1252" spans="1:19" x14ac:dyDescent="0.25">
      <c r="A1252" s="24" t="s">
        <v>2371</v>
      </c>
      <c r="B1252" s="4" t="s">
        <v>1031</v>
      </c>
      <c r="C1252" s="25" t="s">
        <v>7</v>
      </c>
      <c r="E1252" s="3">
        <v>2</v>
      </c>
      <c r="F1252" s="24" t="s">
        <v>1045</v>
      </c>
      <c r="G1252" s="25" t="s">
        <v>1075</v>
      </c>
      <c r="H1252" s="24" t="s">
        <v>1061</v>
      </c>
      <c r="I1252" s="3" t="str">
        <f>IFERROR(VLOOKUP(C1252,'Справочник соответствий'!A$2:D$2981,2,FALSE),IF(VALUE(C1252)=0,1,VLOOKUP(C1252,'Справочник соответствий'!A$2:D$2981,2,FALSE)))</f>
        <v>2</v>
      </c>
      <c r="J1252" s="3">
        <f>IFERROR(VLOOKUP(D1252,'Справочник соответствий'!A$2:D$2981,2,FALSE),IF(VALUE(D1252)=0,0,VLOOKUP(D1252,'Справочник соответствий'!A$2:D$2981,2,FALSE)))</f>
        <v>0</v>
      </c>
      <c r="K1252" s="3">
        <f t="shared" si="133"/>
        <v>2</v>
      </c>
      <c r="L1252" s="13" t="str">
        <f>IFERROR(VLOOKUP(C1252,'Справочник соответствий'!A$2:D$2981,3,FALSE),IF(VALUE(C1252)=0,"ЭТАЖ НЕ ОПРЕДЕЛЕН. ПРИНЯТ ПО ДОПУЩЕНИЮ 1",VLOOKUP(C1252,'Справочник соответствий'!A$2:D$2981,3,FALSE)))</f>
        <v>ЭТАЖ ЗАДАН ЧИСЛОМ</v>
      </c>
      <c r="M1252" s="13" t="b">
        <f t="shared" si="134"/>
        <v>0</v>
      </c>
      <c r="N1252" s="13">
        <f t="shared" si="135"/>
        <v>2</v>
      </c>
      <c r="O1252" s="13" t="str">
        <f t="shared" si="136"/>
        <v>ЭТАЖ ЗАДАН ЧИСЛОМ</v>
      </c>
      <c r="P1252" s="13" t="str">
        <f t="shared" si="137"/>
        <v>МКД_ЭТАЖ ЗАДАН ЧИСЛОМ</v>
      </c>
      <c r="Q1252" s="13" t="str">
        <f t="shared" si="138"/>
        <v>ГОТОВ</v>
      </c>
      <c r="R1252" s="13">
        <f>IFERROR(VLOOKUP(P1252,Лист1!A$1:B$20,2,FALSE),0)</f>
        <v>786</v>
      </c>
      <c r="S1252" s="13">
        <f t="shared" si="139"/>
        <v>2</v>
      </c>
    </row>
    <row r="1253" spans="1:19" x14ac:dyDescent="0.25">
      <c r="A1253" s="24" t="s">
        <v>2372</v>
      </c>
      <c r="B1253" s="4" t="s">
        <v>1059</v>
      </c>
      <c r="C1253" s="25" t="s">
        <v>5</v>
      </c>
      <c r="E1253" s="3">
        <v>1</v>
      </c>
      <c r="F1253" s="24" t="s">
        <v>1045</v>
      </c>
      <c r="G1253" s="25" t="s">
        <v>1072</v>
      </c>
      <c r="H1253" s="24" t="s">
        <v>1061</v>
      </c>
      <c r="I1253" s="3" t="str">
        <f>IFERROR(VLOOKUP(C1253,'Справочник соответствий'!A$2:D$2981,2,FALSE),IF(VALUE(C1253)=0,1,VLOOKUP(C1253,'Справочник соответствий'!A$2:D$2981,2,FALSE)))</f>
        <v>1</v>
      </c>
      <c r="J1253" s="3">
        <f>IFERROR(VLOOKUP(D1253,'Справочник соответствий'!A$2:D$2981,2,FALSE),IF(VALUE(D1253)=0,0,VLOOKUP(D1253,'Справочник соответствий'!A$2:D$2981,2,FALSE)))</f>
        <v>0</v>
      </c>
      <c r="K1253" s="3" t="str">
        <f t="shared" si="133"/>
        <v>1</v>
      </c>
      <c r="L1253" s="13" t="str">
        <f>IFERROR(VLOOKUP(C1253,'Справочник соответствий'!A$2:D$2981,3,FALSE),IF(VALUE(C1253)=0,"ЭТАЖ НЕ ОПРЕДЕЛЕН. ПРИНЯТ ПО ДОПУЩЕНИЮ 1",VLOOKUP(C1253,'Справочник соответствий'!A$2:D$2981,3,FALSE)))</f>
        <v>ЭТАЖ ЗАДАН ЧИСЛОМ</v>
      </c>
      <c r="M1253" s="13" t="b">
        <f t="shared" si="134"/>
        <v>0</v>
      </c>
      <c r="N1253" s="13">
        <f t="shared" si="135"/>
        <v>1</v>
      </c>
      <c r="O1253" s="13" t="str">
        <f t="shared" si="136"/>
        <v>ЭТАЖ ЗАДАН ЧИСЛОМ</v>
      </c>
      <c r="P1253" s="13" t="str">
        <f t="shared" si="137"/>
        <v>ЭТАЖ ЗАДАН ЧИСЛОМ</v>
      </c>
      <c r="Q1253" s="13" t="str">
        <f t="shared" si="138"/>
        <v>ГОТОВ</v>
      </c>
      <c r="R1253" s="13">
        <f>IFERROR(VLOOKUP(P1253,Лист1!A$1:B$20,2,FALSE),0)</f>
        <v>784</v>
      </c>
      <c r="S1253" s="13">
        <f t="shared" si="139"/>
        <v>1</v>
      </c>
    </row>
    <row r="1254" spans="1:19" x14ac:dyDescent="0.25">
      <c r="A1254" s="24" t="s">
        <v>2373</v>
      </c>
      <c r="B1254" s="4" t="s">
        <v>1059</v>
      </c>
      <c r="C1254" s="25" t="s">
        <v>5</v>
      </c>
      <c r="E1254" s="3">
        <v>1</v>
      </c>
      <c r="F1254" s="24" t="s">
        <v>1045</v>
      </c>
      <c r="G1254" s="25" t="s">
        <v>1104</v>
      </c>
      <c r="H1254" s="24" t="s">
        <v>1061</v>
      </c>
      <c r="I1254" s="3" t="str">
        <f>IFERROR(VLOOKUP(C1254,'Справочник соответствий'!A$2:D$2981,2,FALSE),IF(VALUE(C1254)=0,1,VLOOKUP(C1254,'Справочник соответствий'!A$2:D$2981,2,FALSE)))</f>
        <v>1</v>
      </c>
      <c r="J1254" s="3">
        <f>IFERROR(VLOOKUP(D1254,'Справочник соответствий'!A$2:D$2981,2,FALSE),IF(VALUE(D1254)=0,0,VLOOKUP(D1254,'Справочник соответствий'!A$2:D$2981,2,FALSE)))</f>
        <v>0</v>
      </c>
      <c r="K1254" s="3" t="str">
        <f t="shared" si="133"/>
        <v>1</v>
      </c>
      <c r="L1254" s="13" t="str">
        <f>IFERROR(VLOOKUP(C1254,'Справочник соответствий'!A$2:D$2981,3,FALSE),IF(VALUE(C1254)=0,"ЭТАЖ НЕ ОПРЕДЕЛЕН. ПРИНЯТ ПО ДОПУЩЕНИЮ 1",VLOOKUP(C1254,'Справочник соответствий'!A$2:D$2981,3,FALSE)))</f>
        <v>ЭТАЖ ЗАДАН ЧИСЛОМ</v>
      </c>
      <c r="M1254" s="13" t="b">
        <f t="shared" si="134"/>
        <v>0</v>
      </c>
      <c r="N1254" s="13">
        <f t="shared" si="135"/>
        <v>1</v>
      </c>
      <c r="O1254" s="13" t="str">
        <f t="shared" si="136"/>
        <v>ЭТАЖ ЗАДАН ЧИСЛОМ</v>
      </c>
      <c r="P1254" s="13" t="str">
        <f t="shared" si="137"/>
        <v>ЭТАЖ ЗАДАН ЧИСЛОМ</v>
      </c>
      <c r="Q1254" s="13" t="str">
        <f t="shared" si="138"/>
        <v>ГОТОВ</v>
      </c>
      <c r="R1254" s="13">
        <f>IFERROR(VLOOKUP(P1254,Лист1!A$1:B$20,2,FALSE),0)</f>
        <v>784</v>
      </c>
      <c r="S1254" s="13">
        <f t="shared" si="139"/>
        <v>1</v>
      </c>
    </row>
    <row r="1255" spans="1:19" x14ac:dyDescent="0.25">
      <c r="A1255" s="24" t="s">
        <v>2374</v>
      </c>
      <c r="B1255" s="4" t="s">
        <v>1063</v>
      </c>
      <c r="C1255" s="25" t="s">
        <v>5</v>
      </c>
      <c r="E1255" s="3">
        <v>1</v>
      </c>
      <c r="F1255" s="24" t="s">
        <v>1045</v>
      </c>
      <c r="G1255" s="25" t="s">
        <v>1080</v>
      </c>
      <c r="H1255" s="24" t="s">
        <v>1061</v>
      </c>
      <c r="I1255" s="3" t="str">
        <f>IFERROR(VLOOKUP(C1255,'Справочник соответствий'!A$2:D$2981,2,FALSE),IF(VALUE(C1255)=0,1,VLOOKUP(C1255,'Справочник соответствий'!A$2:D$2981,2,FALSE)))</f>
        <v>1</v>
      </c>
      <c r="J1255" s="3">
        <f>IFERROR(VLOOKUP(D1255,'Справочник соответствий'!A$2:D$2981,2,FALSE),IF(VALUE(D1255)=0,0,VLOOKUP(D1255,'Справочник соответствий'!A$2:D$2981,2,FALSE)))</f>
        <v>0</v>
      </c>
      <c r="K1255" s="3" t="str">
        <f t="shared" si="133"/>
        <v>1</v>
      </c>
      <c r="L1255" s="13" t="str">
        <f>IFERROR(VLOOKUP(C1255,'Справочник соответствий'!A$2:D$2981,3,FALSE),IF(VALUE(C1255)=0,"ЭТАЖ НЕ ОПРЕДЕЛЕН. ПРИНЯТ ПО ДОПУЩЕНИЮ 1",VLOOKUP(C1255,'Справочник соответствий'!A$2:D$2981,3,FALSE)))</f>
        <v>ЭТАЖ ЗАДАН ЧИСЛОМ</v>
      </c>
      <c r="M1255" s="13" t="b">
        <f t="shared" si="134"/>
        <v>0</v>
      </c>
      <c r="N1255" s="13">
        <f t="shared" si="135"/>
        <v>1</v>
      </c>
      <c r="O1255" s="13" t="str">
        <f t="shared" si="136"/>
        <v>ЭТАЖ ЗАДАН ЧИСЛОМ</v>
      </c>
      <c r="P1255" s="13" t="str">
        <f t="shared" si="137"/>
        <v>ЭТАЖ ЗАДАН ЧИСЛОМ</v>
      </c>
      <c r="Q1255" s="13" t="str">
        <f t="shared" si="138"/>
        <v>ГОТОВ</v>
      </c>
      <c r="R1255" s="13">
        <f>IFERROR(VLOOKUP(P1255,Лист1!A$1:B$20,2,FALSE),0)</f>
        <v>784</v>
      </c>
      <c r="S1255" s="13">
        <f t="shared" si="139"/>
        <v>1</v>
      </c>
    </row>
    <row r="1256" spans="1:19" x14ac:dyDescent="0.25">
      <c r="A1256" s="24" t="s">
        <v>2375</v>
      </c>
      <c r="B1256" s="4" t="s">
        <v>1059</v>
      </c>
      <c r="C1256" s="25" t="s">
        <v>7</v>
      </c>
      <c r="D1256" s="25" t="s">
        <v>24</v>
      </c>
      <c r="E1256" s="3">
        <v>2</v>
      </c>
      <c r="F1256" s="24" t="s">
        <v>1045</v>
      </c>
      <c r="G1256" s="25" t="s">
        <v>1108</v>
      </c>
      <c r="H1256" s="24" t="s">
        <v>1061</v>
      </c>
      <c r="I1256" s="3" t="str">
        <f>IFERROR(VLOOKUP(C1256,'Справочник соответствий'!A$2:D$2981,2,FALSE),IF(VALUE(C1256)=0,1,VLOOKUP(C1256,'Справочник соответствий'!A$2:D$2981,2,FALSE)))</f>
        <v>2</v>
      </c>
      <c r="J1256" s="3" t="str">
        <f>IFERROR(VLOOKUP(D1256,'Справочник соответствий'!A$2:D$2981,2,FALSE),IF(VALUE(D1256)=0,0,VLOOKUP(D1256,'Справочник соответствий'!A$2:D$2981,2,FALSE)))</f>
        <v>1</v>
      </c>
      <c r="K1256" s="3" t="str">
        <f t="shared" si="133"/>
        <v>2</v>
      </c>
      <c r="L1256" s="13" t="str">
        <f>IFERROR(VLOOKUP(C1256,'Справочник соответствий'!A$2:D$2981,3,FALSE),IF(VALUE(C1256)=0,"ЭТАЖ НЕ ОПРЕДЕЛЕН. ПРИНЯТ ПО ДОПУЩЕНИЮ 1",VLOOKUP(C1256,'Справочник соответствий'!A$2:D$2981,3,FALSE)))</f>
        <v>ЭТАЖ ЗАДАН ЧИСЛОМ</v>
      </c>
      <c r="M1256" s="13" t="b">
        <f t="shared" si="134"/>
        <v>0</v>
      </c>
      <c r="N1256" s="13">
        <f t="shared" si="135"/>
        <v>2</v>
      </c>
      <c r="O1256" s="13" t="str">
        <f t="shared" si="136"/>
        <v>ЭТАЖ ЗАДАН ЧИСЛОМ</v>
      </c>
      <c r="P1256" s="13" t="str">
        <f t="shared" si="137"/>
        <v>ЭТАЖ ЗАДАН ЧИСЛОМ</v>
      </c>
      <c r="Q1256" s="13" t="str">
        <f t="shared" si="138"/>
        <v>ГОТОВ</v>
      </c>
      <c r="R1256" s="13">
        <f>IFERROR(VLOOKUP(P1256,Лист1!A$1:B$20,2,FALSE),0)</f>
        <v>784</v>
      </c>
      <c r="S1256" s="13">
        <f t="shared" si="139"/>
        <v>2</v>
      </c>
    </row>
    <row r="1257" spans="1:19" x14ac:dyDescent="0.25">
      <c r="A1257" s="24" t="s">
        <v>2376</v>
      </c>
      <c r="B1257" s="4" t="s">
        <v>1059</v>
      </c>
      <c r="C1257" s="25" t="s">
        <v>5</v>
      </c>
      <c r="E1257" s="3">
        <v>1</v>
      </c>
      <c r="F1257" s="24" t="s">
        <v>1045</v>
      </c>
      <c r="G1257" s="25" t="s">
        <v>1167</v>
      </c>
      <c r="H1257" s="24" t="s">
        <v>1061</v>
      </c>
      <c r="I1257" s="3" t="str">
        <f>IFERROR(VLOOKUP(C1257,'Справочник соответствий'!A$2:D$2981,2,FALSE),IF(VALUE(C1257)=0,1,VLOOKUP(C1257,'Справочник соответствий'!A$2:D$2981,2,FALSE)))</f>
        <v>1</v>
      </c>
      <c r="J1257" s="3">
        <f>IFERROR(VLOOKUP(D1257,'Справочник соответствий'!A$2:D$2981,2,FALSE),IF(VALUE(D1257)=0,0,VLOOKUP(D1257,'Справочник соответствий'!A$2:D$2981,2,FALSE)))</f>
        <v>0</v>
      </c>
      <c r="K1257" s="3" t="str">
        <f t="shared" si="133"/>
        <v>1</v>
      </c>
      <c r="L1257" s="13" t="str">
        <f>IFERROR(VLOOKUP(C1257,'Справочник соответствий'!A$2:D$2981,3,FALSE),IF(VALUE(C1257)=0,"ЭТАЖ НЕ ОПРЕДЕЛЕН. ПРИНЯТ ПО ДОПУЩЕНИЮ 1",VLOOKUP(C1257,'Справочник соответствий'!A$2:D$2981,3,FALSE)))</f>
        <v>ЭТАЖ ЗАДАН ЧИСЛОМ</v>
      </c>
      <c r="M1257" s="13" t="b">
        <f t="shared" si="134"/>
        <v>0</v>
      </c>
      <c r="N1257" s="13">
        <f t="shared" si="135"/>
        <v>1</v>
      </c>
      <c r="O1257" s="13" t="str">
        <f t="shared" si="136"/>
        <v>ЭТАЖ ЗАДАН ЧИСЛОМ</v>
      </c>
      <c r="P1257" s="13" t="str">
        <f t="shared" si="137"/>
        <v>ЭТАЖ ЗАДАН ЧИСЛОМ</v>
      </c>
      <c r="Q1257" s="13" t="str">
        <f t="shared" si="138"/>
        <v>ГОТОВ</v>
      </c>
      <c r="R1257" s="13">
        <f>IFERROR(VLOOKUP(P1257,Лист1!A$1:B$20,2,FALSE),0)</f>
        <v>784</v>
      </c>
      <c r="S1257" s="13">
        <f t="shared" si="139"/>
        <v>1</v>
      </c>
    </row>
    <row r="1258" spans="1:19" x14ac:dyDescent="0.25">
      <c r="A1258" s="24" t="s">
        <v>2377</v>
      </c>
      <c r="B1258" s="4" t="s">
        <v>1059</v>
      </c>
      <c r="C1258" s="25" t="s">
        <v>5</v>
      </c>
      <c r="E1258" s="3">
        <v>1</v>
      </c>
      <c r="F1258" s="24" t="s">
        <v>1045</v>
      </c>
      <c r="G1258" s="25" t="s">
        <v>1072</v>
      </c>
      <c r="H1258" s="24" t="s">
        <v>1061</v>
      </c>
      <c r="I1258" s="3" t="str">
        <f>IFERROR(VLOOKUP(C1258,'Справочник соответствий'!A$2:D$2981,2,FALSE),IF(VALUE(C1258)=0,1,VLOOKUP(C1258,'Справочник соответствий'!A$2:D$2981,2,FALSE)))</f>
        <v>1</v>
      </c>
      <c r="J1258" s="3">
        <f>IFERROR(VLOOKUP(D1258,'Справочник соответствий'!A$2:D$2981,2,FALSE),IF(VALUE(D1258)=0,0,VLOOKUP(D1258,'Справочник соответствий'!A$2:D$2981,2,FALSE)))</f>
        <v>0</v>
      </c>
      <c r="K1258" s="3" t="str">
        <f t="shared" si="133"/>
        <v>1</v>
      </c>
      <c r="L1258" s="13" t="str">
        <f>IFERROR(VLOOKUP(C1258,'Справочник соответствий'!A$2:D$2981,3,FALSE),IF(VALUE(C1258)=0,"ЭТАЖ НЕ ОПРЕДЕЛЕН. ПРИНЯТ ПО ДОПУЩЕНИЮ 1",VLOOKUP(C1258,'Справочник соответствий'!A$2:D$2981,3,FALSE)))</f>
        <v>ЭТАЖ ЗАДАН ЧИСЛОМ</v>
      </c>
      <c r="M1258" s="13" t="b">
        <f t="shared" si="134"/>
        <v>0</v>
      </c>
      <c r="N1258" s="13">
        <f t="shared" si="135"/>
        <v>1</v>
      </c>
      <c r="O1258" s="13" t="str">
        <f t="shared" si="136"/>
        <v>ЭТАЖ ЗАДАН ЧИСЛОМ</v>
      </c>
      <c r="P1258" s="13" t="str">
        <f t="shared" si="137"/>
        <v>ЭТАЖ ЗАДАН ЧИСЛОМ</v>
      </c>
      <c r="Q1258" s="13" t="str">
        <f t="shared" si="138"/>
        <v>ГОТОВ</v>
      </c>
      <c r="R1258" s="13">
        <f>IFERROR(VLOOKUP(P1258,Лист1!A$1:B$20,2,FALSE),0)</f>
        <v>784</v>
      </c>
      <c r="S1258" s="13">
        <f t="shared" si="139"/>
        <v>1</v>
      </c>
    </row>
    <row r="1259" spans="1:19" x14ac:dyDescent="0.25">
      <c r="A1259" s="24" t="s">
        <v>2378</v>
      </c>
      <c r="B1259" s="4" t="s">
        <v>1031</v>
      </c>
      <c r="C1259" s="25" t="s">
        <v>16</v>
      </c>
      <c r="D1259" s="25" t="s">
        <v>5</v>
      </c>
      <c r="E1259" s="3">
        <v>5</v>
      </c>
      <c r="F1259" s="24" t="s">
        <v>1074</v>
      </c>
      <c r="G1259" s="25" t="s">
        <v>1075</v>
      </c>
      <c r="H1259" s="24" t="s">
        <v>1061</v>
      </c>
      <c r="I1259" s="3" t="str">
        <f>IFERROR(VLOOKUP(C1259,'Справочник соответствий'!A$2:D$2981,2,FALSE),IF(VALUE(C1259)=0,1,VLOOKUP(C1259,'Справочник соответствий'!A$2:D$2981,2,FALSE)))</f>
        <v>5</v>
      </c>
      <c r="J1259" s="3" t="str">
        <f>IFERROR(VLOOKUP(D1259,'Справочник соответствий'!A$2:D$2981,2,FALSE),IF(VALUE(D1259)=0,0,VLOOKUP(D1259,'Справочник соответствий'!A$2:D$2981,2,FALSE)))</f>
        <v>1</v>
      </c>
      <c r="K1259" s="3">
        <f t="shared" si="133"/>
        <v>4</v>
      </c>
      <c r="L1259" s="13" t="str">
        <f>IFERROR(VLOOKUP(C1259,'Справочник соответствий'!A$2:D$2981,3,FALSE),IF(VALUE(C1259)=0,"ЭТАЖ НЕ ОПРЕДЕЛЕН. ПРИНЯТ ПО ДОПУЩЕНИЮ 1",VLOOKUP(C1259,'Справочник соответствий'!A$2:D$2981,3,FALSE)))</f>
        <v>ЭТАЖ ЗАДАН ЧИСЛОМ</v>
      </c>
      <c r="M1259" s="13" t="b">
        <f t="shared" si="134"/>
        <v>0</v>
      </c>
      <c r="N1259" s="13">
        <f t="shared" si="135"/>
        <v>4</v>
      </c>
      <c r="O1259" s="13" t="str">
        <f t="shared" si="136"/>
        <v>ЭТАЖ ЗАДАН ЧИСЛОМ</v>
      </c>
      <c r="P1259" s="13" t="str">
        <f t="shared" si="137"/>
        <v>МКД_ЭТАЖ ЗАДАН ЧИСЛОМ</v>
      </c>
      <c r="Q1259" s="13" t="str">
        <f t="shared" si="138"/>
        <v>ГОТОВ_ИЗМЕНЕН</v>
      </c>
      <c r="R1259" s="13">
        <f>IFERROR(VLOOKUP(P1259,Лист1!A$1:B$20,2,FALSE),0)</f>
        <v>786</v>
      </c>
      <c r="S1259" s="13">
        <f t="shared" si="139"/>
        <v>5</v>
      </c>
    </row>
    <row r="1260" spans="1:19" x14ac:dyDescent="0.25">
      <c r="A1260" s="24" t="s">
        <v>2379</v>
      </c>
      <c r="B1260" s="4" t="s">
        <v>1059</v>
      </c>
      <c r="C1260" s="25" t="s">
        <v>5</v>
      </c>
      <c r="E1260" s="3">
        <v>1</v>
      </c>
      <c r="F1260" s="24" t="s">
        <v>1045</v>
      </c>
      <c r="G1260" s="25" t="s">
        <v>1069</v>
      </c>
      <c r="H1260" s="24" t="s">
        <v>1061</v>
      </c>
      <c r="I1260" s="3" t="str">
        <f>IFERROR(VLOOKUP(C1260,'Справочник соответствий'!A$2:D$2981,2,FALSE),IF(VALUE(C1260)=0,1,VLOOKUP(C1260,'Справочник соответствий'!A$2:D$2981,2,FALSE)))</f>
        <v>1</v>
      </c>
      <c r="J1260" s="3">
        <f>IFERROR(VLOOKUP(D1260,'Справочник соответствий'!A$2:D$2981,2,FALSE),IF(VALUE(D1260)=0,0,VLOOKUP(D1260,'Справочник соответствий'!A$2:D$2981,2,FALSE)))</f>
        <v>0</v>
      </c>
      <c r="K1260" s="3" t="str">
        <f t="shared" si="133"/>
        <v>1</v>
      </c>
      <c r="L1260" s="13" t="str">
        <f>IFERROR(VLOOKUP(C1260,'Справочник соответствий'!A$2:D$2981,3,FALSE),IF(VALUE(C1260)=0,"ЭТАЖ НЕ ОПРЕДЕЛЕН. ПРИНЯТ ПО ДОПУЩЕНИЮ 1",VLOOKUP(C1260,'Справочник соответствий'!A$2:D$2981,3,FALSE)))</f>
        <v>ЭТАЖ ЗАДАН ЧИСЛОМ</v>
      </c>
      <c r="M1260" s="13" t="b">
        <f t="shared" si="134"/>
        <v>0</v>
      </c>
      <c r="N1260" s="13">
        <f t="shared" si="135"/>
        <v>1</v>
      </c>
      <c r="O1260" s="13" t="str">
        <f t="shared" si="136"/>
        <v>ЭТАЖ ЗАДАН ЧИСЛОМ</v>
      </c>
      <c r="P1260" s="13" t="str">
        <f t="shared" si="137"/>
        <v>ЭТАЖ ЗАДАН ЧИСЛОМ</v>
      </c>
      <c r="Q1260" s="13" t="str">
        <f t="shared" si="138"/>
        <v>ГОТОВ</v>
      </c>
      <c r="R1260" s="13">
        <f>IFERROR(VLOOKUP(P1260,Лист1!A$1:B$20,2,FALSE),0)</f>
        <v>784</v>
      </c>
      <c r="S1260" s="13">
        <f t="shared" si="139"/>
        <v>1</v>
      </c>
    </row>
    <row r="1261" spans="1:19" x14ac:dyDescent="0.25">
      <c r="A1261" s="24" t="s">
        <v>2380</v>
      </c>
      <c r="B1261" s="4" t="s">
        <v>1059</v>
      </c>
      <c r="C1261" s="25" t="s">
        <v>5</v>
      </c>
      <c r="E1261" s="3">
        <v>1</v>
      </c>
      <c r="F1261" s="24" t="s">
        <v>1045</v>
      </c>
      <c r="G1261" s="25" t="s">
        <v>1075</v>
      </c>
      <c r="H1261" s="24" t="s">
        <v>1061</v>
      </c>
      <c r="I1261" s="3" t="str">
        <f>IFERROR(VLOOKUP(C1261,'Справочник соответствий'!A$2:D$2981,2,FALSE),IF(VALUE(C1261)=0,1,VLOOKUP(C1261,'Справочник соответствий'!A$2:D$2981,2,FALSE)))</f>
        <v>1</v>
      </c>
      <c r="J1261" s="3">
        <f>IFERROR(VLOOKUP(D1261,'Справочник соответствий'!A$2:D$2981,2,FALSE),IF(VALUE(D1261)=0,0,VLOOKUP(D1261,'Справочник соответствий'!A$2:D$2981,2,FALSE)))</f>
        <v>0</v>
      </c>
      <c r="K1261" s="3" t="str">
        <f t="shared" si="133"/>
        <v>1</v>
      </c>
      <c r="L1261" s="13" t="str">
        <f>IFERROR(VLOOKUP(C1261,'Справочник соответствий'!A$2:D$2981,3,FALSE),IF(VALUE(C1261)=0,"ЭТАЖ НЕ ОПРЕДЕЛЕН. ПРИНЯТ ПО ДОПУЩЕНИЮ 1",VLOOKUP(C1261,'Справочник соответствий'!A$2:D$2981,3,FALSE)))</f>
        <v>ЭТАЖ ЗАДАН ЧИСЛОМ</v>
      </c>
      <c r="M1261" s="13" t="b">
        <f t="shared" si="134"/>
        <v>0</v>
      </c>
      <c r="N1261" s="13">
        <f t="shared" si="135"/>
        <v>1</v>
      </c>
      <c r="O1261" s="13" t="str">
        <f t="shared" si="136"/>
        <v>ЭТАЖ ЗАДАН ЧИСЛОМ</v>
      </c>
      <c r="P1261" s="13" t="str">
        <f t="shared" si="137"/>
        <v>ЭТАЖ ЗАДАН ЧИСЛОМ</v>
      </c>
      <c r="Q1261" s="13" t="str">
        <f t="shared" si="138"/>
        <v>ГОТОВ</v>
      </c>
      <c r="R1261" s="13">
        <f>IFERROR(VLOOKUP(P1261,Лист1!A$1:B$20,2,FALSE),0)</f>
        <v>784</v>
      </c>
      <c r="S1261" s="13">
        <f t="shared" si="139"/>
        <v>1</v>
      </c>
    </row>
    <row r="1262" spans="1:19" x14ac:dyDescent="0.25">
      <c r="A1262" s="24" t="s">
        <v>2381</v>
      </c>
      <c r="B1262" s="4" t="s">
        <v>1059</v>
      </c>
      <c r="C1262" s="25" t="s">
        <v>7</v>
      </c>
      <c r="D1262" s="25" t="s">
        <v>5</v>
      </c>
      <c r="E1262" s="3">
        <v>1</v>
      </c>
      <c r="F1262" s="24" t="s">
        <v>1045</v>
      </c>
      <c r="G1262" s="25" t="s">
        <v>1089</v>
      </c>
      <c r="H1262" s="24" t="s">
        <v>1061</v>
      </c>
      <c r="I1262" s="3" t="str">
        <f>IFERROR(VLOOKUP(C1262,'Справочник соответствий'!A$2:D$2981,2,FALSE),IF(VALUE(C1262)=0,1,VLOOKUP(C1262,'Справочник соответствий'!A$2:D$2981,2,FALSE)))</f>
        <v>2</v>
      </c>
      <c r="J1262" s="3" t="str">
        <f>IFERROR(VLOOKUP(D1262,'Справочник соответствий'!A$2:D$2981,2,FALSE),IF(VALUE(D1262)=0,0,VLOOKUP(D1262,'Справочник соответствий'!A$2:D$2981,2,FALSE)))</f>
        <v>1</v>
      </c>
      <c r="K1262" s="3" t="str">
        <f t="shared" si="133"/>
        <v>2</v>
      </c>
      <c r="L1262" s="13" t="str">
        <f>IFERROR(VLOOKUP(C1262,'Справочник соответствий'!A$2:D$2981,3,FALSE),IF(VALUE(C1262)=0,"ЭТАЖ НЕ ОПРЕДЕЛЕН. ПРИНЯТ ПО ДОПУЩЕНИЮ 1",VLOOKUP(C1262,'Справочник соответствий'!A$2:D$2981,3,FALSE)))</f>
        <v>ЭТАЖ ЗАДАН ЧИСЛОМ</v>
      </c>
      <c r="M1262" s="13" t="b">
        <f t="shared" si="134"/>
        <v>0</v>
      </c>
      <c r="N1262" s="13">
        <f t="shared" si="135"/>
        <v>2</v>
      </c>
      <c r="O1262" s="13" t="str">
        <f t="shared" si="136"/>
        <v>ЭТАЖ ЗАДАН ЧИСЛОМ</v>
      </c>
      <c r="P1262" s="13" t="str">
        <f t="shared" si="137"/>
        <v>ЭТАЖ ЗАДАН ЧИСЛОМ</v>
      </c>
      <c r="Q1262" s="13" t="str">
        <f t="shared" si="138"/>
        <v>ГОТОВ_ИЗМЕНЕН</v>
      </c>
      <c r="R1262" s="13">
        <f>IFERROR(VLOOKUP(P1262,Лист1!A$1:B$20,2,FALSE),0)</f>
        <v>784</v>
      </c>
      <c r="S1262" s="13">
        <f t="shared" si="139"/>
        <v>1</v>
      </c>
    </row>
    <row r="1263" spans="1:19" x14ac:dyDescent="0.25">
      <c r="A1263" s="24" t="s">
        <v>2382</v>
      </c>
      <c r="B1263" s="4" t="s">
        <v>1059</v>
      </c>
      <c r="C1263" s="25" t="s">
        <v>5</v>
      </c>
      <c r="E1263" s="3">
        <v>1</v>
      </c>
      <c r="F1263" s="24" t="s">
        <v>1045</v>
      </c>
      <c r="G1263" s="25" t="s">
        <v>1228</v>
      </c>
      <c r="H1263" s="24" t="s">
        <v>1061</v>
      </c>
      <c r="I1263" s="3" t="str">
        <f>IFERROR(VLOOKUP(C1263,'Справочник соответствий'!A$2:D$2981,2,FALSE),IF(VALUE(C1263)=0,1,VLOOKUP(C1263,'Справочник соответствий'!A$2:D$2981,2,FALSE)))</f>
        <v>1</v>
      </c>
      <c r="J1263" s="3">
        <f>IFERROR(VLOOKUP(D1263,'Справочник соответствий'!A$2:D$2981,2,FALSE),IF(VALUE(D1263)=0,0,VLOOKUP(D1263,'Справочник соответствий'!A$2:D$2981,2,FALSE)))</f>
        <v>0</v>
      </c>
      <c r="K1263" s="3" t="str">
        <f t="shared" si="133"/>
        <v>1</v>
      </c>
      <c r="L1263" s="13" t="str">
        <f>IFERROR(VLOOKUP(C1263,'Справочник соответствий'!A$2:D$2981,3,FALSE),IF(VALUE(C1263)=0,"ЭТАЖ НЕ ОПРЕДЕЛЕН. ПРИНЯТ ПО ДОПУЩЕНИЮ 1",VLOOKUP(C1263,'Справочник соответствий'!A$2:D$2981,3,FALSE)))</f>
        <v>ЭТАЖ ЗАДАН ЧИСЛОМ</v>
      </c>
      <c r="M1263" s="13" t="b">
        <f t="shared" si="134"/>
        <v>0</v>
      </c>
      <c r="N1263" s="13">
        <f t="shared" si="135"/>
        <v>1</v>
      </c>
      <c r="O1263" s="13" t="str">
        <f t="shared" si="136"/>
        <v>ЭТАЖ ЗАДАН ЧИСЛОМ</v>
      </c>
      <c r="P1263" s="13" t="str">
        <f t="shared" si="137"/>
        <v>ЭТАЖ ЗАДАН ЧИСЛОМ</v>
      </c>
      <c r="Q1263" s="13" t="str">
        <f t="shared" si="138"/>
        <v>ГОТОВ</v>
      </c>
      <c r="R1263" s="13">
        <f>IFERROR(VLOOKUP(P1263,Лист1!A$1:B$20,2,FALSE),0)</f>
        <v>784</v>
      </c>
      <c r="S1263" s="13">
        <f t="shared" si="139"/>
        <v>1</v>
      </c>
    </row>
    <row r="1264" spans="1:19" x14ac:dyDescent="0.25">
      <c r="A1264" s="24" t="s">
        <v>2383</v>
      </c>
      <c r="B1264" s="4" t="s">
        <v>1059</v>
      </c>
      <c r="C1264" s="25" t="s">
        <v>7</v>
      </c>
      <c r="G1264" s="25" t="s">
        <v>1193</v>
      </c>
      <c r="H1264" s="24" t="s">
        <v>1061</v>
      </c>
      <c r="I1264" s="3" t="str">
        <f>IFERROR(VLOOKUP(C1264,'Справочник соответствий'!A$2:D$2981,2,FALSE),IF(VALUE(C1264)=0,1,VLOOKUP(C1264,'Справочник соответствий'!A$2:D$2981,2,FALSE)))</f>
        <v>2</v>
      </c>
      <c r="J1264" s="3">
        <f>IFERROR(VLOOKUP(D1264,'Справочник соответствий'!A$2:D$2981,2,FALSE),IF(VALUE(D1264)=0,0,VLOOKUP(D1264,'Справочник соответствий'!A$2:D$2981,2,FALSE)))</f>
        <v>0</v>
      </c>
      <c r="K1264" s="3" t="str">
        <f t="shared" si="133"/>
        <v>2</v>
      </c>
      <c r="L1264" s="13" t="str">
        <f>IFERROR(VLOOKUP(C1264,'Справочник соответствий'!A$2:D$2981,3,FALSE),IF(VALUE(C1264)=0,"ЭТАЖ НЕ ОПРЕДЕЛЕН. ПРИНЯТ ПО ДОПУЩЕНИЮ 1",VLOOKUP(C1264,'Справочник соответствий'!A$2:D$2981,3,FALSE)))</f>
        <v>ЭТАЖ ЗАДАН ЧИСЛОМ</v>
      </c>
      <c r="M1264" s="13" t="b">
        <f t="shared" si="134"/>
        <v>0</v>
      </c>
      <c r="N1264" s="13">
        <f t="shared" si="135"/>
        <v>2</v>
      </c>
      <c r="O1264" s="13" t="str">
        <f t="shared" si="136"/>
        <v>ЭТАЖ ЗАДАН ЧИСЛОМ</v>
      </c>
      <c r="P1264" s="13" t="str">
        <f t="shared" si="137"/>
        <v>ЭТАЖ ЗАДАН ЧИСЛОМ</v>
      </c>
      <c r="Q1264" s="13" t="str">
        <f t="shared" si="138"/>
        <v>ГОТОВ_ИЗМЕНЕН</v>
      </c>
      <c r="R1264" s="13">
        <f>IFERROR(VLOOKUP(P1264,Лист1!A$1:B$20,2,FALSE),0)</f>
        <v>784</v>
      </c>
      <c r="S1264" s="13">
        <f t="shared" si="139"/>
        <v>0</v>
      </c>
    </row>
    <row r="1265" spans="1:19" x14ac:dyDescent="0.25">
      <c r="A1265" s="24" t="s">
        <v>2384</v>
      </c>
      <c r="B1265" s="4" t="s">
        <v>1059</v>
      </c>
      <c r="C1265" s="25" t="s">
        <v>7</v>
      </c>
      <c r="D1265" s="25" t="s">
        <v>24</v>
      </c>
      <c r="G1265" s="25" t="s">
        <v>1086</v>
      </c>
      <c r="H1265" s="24" t="s">
        <v>1061</v>
      </c>
      <c r="I1265" s="3" t="str">
        <f>IFERROR(VLOOKUP(C1265,'Справочник соответствий'!A$2:D$2981,2,FALSE),IF(VALUE(C1265)=0,1,VLOOKUP(C1265,'Справочник соответствий'!A$2:D$2981,2,FALSE)))</f>
        <v>2</v>
      </c>
      <c r="J1265" s="3" t="str">
        <f>IFERROR(VLOOKUP(D1265,'Справочник соответствий'!A$2:D$2981,2,FALSE),IF(VALUE(D1265)=0,0,VLOOKUP(D1265,'Справочник соответствий'!A$2:D$2981,2,FALSE)))</f>
        <v>1</v>
      </c>
      <c r="K1265" s="3" t="str">
        <f t="shared" si="133"/>
        <v>2</v>
      </c>
      <c r="L1265" s="13" t="str">
        <f>IFERROR(VLOOKUP(C1265,'Справочник соответствий'!A$2:D$2981,3,FALSE),IF(VALUE(C1265)=0,"ЭТАЖ НЕ ОПРЕДЕЛЕН. ПРИНЯТ ПО ДОПУЩЕНИЮ 1",VLOOKUP(C1265,'Справочник соответствий'!A$2:D$2981,3,FALSE)))</f>
        <v>ЭТАЖ ЗАДАН ЧИСЛОМ</v>
      </c>
      <c r="M1265" s="13" t="b">
        <f t="shared" si="134"/>
        <v>0</v>
      </c>
      <c r="N1265" s="13">
        <f t="shared" si="135"/>
        <v>2</v>
      </c>
      <c r="O1265" s="13" t="str">
        <f t="shared" si="136"/>
        <v>ЭТАЖ ЗАДАН ЧИСЛОМ</v>
      </c>
      <c r="P1265" s="13" t="str">
        <f t="shared" si="137"/>
        <v>ЭТАЖ ЗАДАН ЧИСЛОМ</v>
      </c>
      <c r="Q1265" s="13" t="str">
        <f t="shared" si="138"/>
        <v>ГОТОВ_ИЗМЕНЕН</v>
      </c>
      <c r="R1265" s="13">
        <f>IFERROR(VLOOKUP(P1265,Лист1!A$1:B$20,2,FALSE),0)</f>
        <v>784</v>
      </c>
      <c r="S1265" s="13">
        <f t="shared" si="139"/>
        <v>0</v>
      </c>
    </row>
    <row r="1266" spans="1:19" x14ac:dyDescent="0.25">
      <c r="A1266" s="24" t="s">
        <v>2385</v>
      </c>
      <c r="B1266" s="4" t="s">
        <v>1059</v>
      </c>
      <c r="G1266" s="25" t="s">
        <v>1086</v>
      </c>
      <c r="H1266" s="24" t="s">
        <v>1061</v>
      </c>
      <c r="I1266" s="3">
        <f>IFERROR(VLOOKUP(C1266,'Справочник соответствий'!A$2:D$2981,2,FALSE),IF(VALUE(C1266)=0,1,VLOOKUP(C1266,'Справочник соответствий'!A$2:D$2981,2,FALSE)))</f>
        <v>1</v>
      </c>
      <c r="J1266" s="3">
        <f>IFERROR(VLOOKUP(D1266,'Справочник соответствий'!A$2:D$2981,2,FALSE),IF(VALUE(D1266)=0,0,VLOOKUP(D1266,'Справочник соответствий'!A$2:D$2981,2,FALSE)))</f>
        <v>0</v>
      </c>
      <c r="K1266" s="3">
        <f t="shared" si="133"/>
        <v>1</v>
      </c>
      <c r="L1266" s="13" t="str">
        <f>IFERROR(VLOOKUP(C1266,'Справочник соответствий'!A$2:D$2981,3,FALSE),IF(VALUE(C1266)=0,"ЭТАЖ НЕ ОПРЕДЕЛЕН. ПРИНЯТ ПО ДОПУЩЕНИЮ 1",VLOOKUP(C1266,'Справочник соответствий'!A$2:D$2981,3,FALSE)))</f>
        <v>ЭТАЖ НЕ ОПРЕДЕЛЕН. ПРИНЯТ ПО ДОПУЩЕНИЮ 1</v>
      </c>
      <c r="M1266" s="13" t="b">
        <f t="shared" si="134"/>
        <v>0</v>
      </c>
      <c r="N1266" s="13">
        <f t="shared" si="135"/>
        <v>1</v>
      </c>
      <c r="O1266" s="13" t="str">
        <f t="shared" si="136"/>
        <v>ЭТАЖ НЕ ОПРЕДЕЛЕН. ПРИНЯТ ПО ДОПУЩЕНИЮ 1</v>
      </c>
      <c r="P1266" s="13" t="str">
        <f t="shared" si="137"/>
        <v>ЭТАЖ НЕ ОПРЕДЕЛЕН. ПРИНЯТ ПО ДОПУЩЕНИЮ 1</v>
      </c>
      <c r="Q1266" s="13" t="str">
        <f t="shared" si="138"/>
        <v>ГОТОВ_ИЗМЕНЕН</v>
      </c>
      <c r="R1266" s="13">
        <f>IFERROR(VLOOKUP(P1266,Лист1!A$1:B$20,2,FALSE),0)</f>
        <v>788</v>
      </c>
      <c r="S1266" s="13">
        <f t="shared" si="139"/>
        <v>0</v>
      </c>
    </row>
    <row r="1267" spans="1:19" x14ac:dyDescent="0.25">
      <c r="A1267" s="24" t="s">
        <v>2386</v>
      </c>
      <c r="B1267" s="4" t="s">
        <v>1059</v>
      </c>
      <c r="C1267" s="25" t="s">
        <v>7</v>
      </c>
      <c r="G1267" s="25" t="s">
        <v>1086</v>
      </c>
      <c r="H1267" s="24" t="s">
        <v>1061</v>
      </c>
      <c r="I1267" s="3" t="str">
        <f>IFERROR(VLOOKUP(C1267,'Справочник соответствий'!A$2:D$2981,2,FALSE),IF(VALUE(C1267)=0,1,VLOOKUP(C1267,'Справочник соответствий'!A$2:D$2981,2,FALSE)))</f>
        <v>2</v>
      </c>
      <c r="J1267" s="3">
        <f>IFERROR(VLOOKUP(D1267,'Справочник соответствий'!A$2:D$2981,2,FALSE),IF(VALUE(D1267)=0,0,VLOOKUP(D1267,'Справочник соответствий'!A$2:D$2981,2,FALSE)))</f>
        <v>0</v>
      </c>
      <c r="K1267" s="3" t="str">
        <f t="shared" si="133"/>
        <v>2</v>
      </c>
      <c r="L1267" s="13" t="str">
        <f>IFERROR(VLOOKUP(C1267,'Справочник соответствий'!A$2:D$2981,3,FALSE),IF(VALUE(C1267)=0,"ЭТАЖ НЕ ОПРЕДЕЛЕН. ПРИНЯТ ПО ДОПУЩЕНИЮ 1",VLOOKUP(C1267,'Справочник соответствий'!A$2:D$2981,3,FALSE)))</f>
        <v>ЭТАЖ ЗАДАН ЧИСЛОМ</v>
      </c>
      <c r="M1267" s="13" t="b">
        <f t="shared" si="134"/>
        <v>0</v>
      </c>
      <c r="N1267" s="13">
        <f t="shared" si="135"/>
        <v>2</v>
      </c>
      <c r="O1267" s="13" t="str">
        <f t="shared" si="136"/>
        <v>ЭТАЖ ЗАДАН ЧИСЛОМ</v>
      </c>
      <c r="P1267" s="13" t="str">
        <f t="shared" si="137"/>
        <v>ЭТАЖ ЗАДАН ЧИСЛОМ</v>
      </c>
      <c r="Q1267" s="13" t="str">
        <f t="shared" si="138"/>
        <v>ГОТОВ_ИЗМЕНЕН</v>
      </c>
      <c r="R1267" s="13">
        <f>IFERROR(VLOOKUP(P1267,Лист1!A$1:B$20,2,FALSE),0)</f>
        <v>784</v>
      </c>
      <c r="S1267" s="13">
        <f t="shared" si="139"/>
        <v>0</v>
      </c>
    </row>
    <row r="1268" spans="1:19" x14ac:dyDescent="0.25">
      <c r="A1268" s="24" t="s">
        <v>2387</v>
      </c>
      <c r="B1268" s="4" t="s">
        <v>1059</v>
      </c>
      <c r="C1268" s="25" t="s">
        <v>7</v>
      </c>
      <c r="G1268" s="25" t="s">
        <v>1077</v>
      </c>
      <c r="H1268" s="24" t="s">
        <v>1061</v>
      </c>
      <c r="I1268" s="3" t="str">
        <f>IFERROR(VLOOKUP(C1268,'Справочник соответствий'!A$2:D$2981,2,FALSE),IF(VALUE(C1268)=0,1,VLOOKUP(C1268,'Справочник соответствий'!A$2:D$2981,2,FALSE)))</f>
        <v>2</v>
      </c>
      <c r="J1268" s="3">
        <f>IFERROR(VLOOKUP(D1268,'Справочник соответствий'!A$2:D$2981,2,FALSE),IF(VALUE(D1268)=0,0,VLOOKUP(D1268,'Справочник соответствий'!A$2:D$2981,2,FALSE)))</f>
        <v>0</v>
      </c>
      <c r="K1268" s="3" t="str">
        <f t="shared" si="133"/>
        <v>2</v>
      </c>
      <c r="L1268" s="13" t="str">
        <f>IFERROR(VLOOKUP(C1268,'Справочник соответствий'!A$2:D$2981,3,FALSE),IF(VALUE(C1268)=0,"ЭТАЖ НЕ ОПРЕДЕЛЕН. ПРИНЯТ ПО ДОПУЩЕНИЮ 1",VLOOKUP(C1268,'Справочник соответствий'!A$2:D$2981,3,FALSE)))</f>
        <v>ЭТАЖ ЗАДАН ЧИСЛОМ</v>
      </c>
      <c r="M1268" s="13" t="b">
        <f t="shared" si="134"/>
        <v>0</v>
      </c>
      <c r="N1268" s="13">
        <f t="shared" si="135"/>
        <v>2</v>
      </c>
      <c r="O1268" s="13" t="str">
        <f t="shared" si="136"/>
        <v>ЭТАЖ ЗАДАН ЧИСЛОМ</v>
      </c>
      <c r="P1268" s="13" t="str">
        <f t="shared" si="137"/>
        <v>ЭТАЖ ЗАДАН ЧИСЛОМ</v>
      </c>
      <c r="Q1268" s="13" t="str">
        <f t="shared" si="138"/>
        <v>ГОТОВ_ИЗМЕНЕН</v>
      </c>
      <c r="R1268" s="13">
        <f>IFERROR(VLOOKUP(P1268,Лист1!A$1:B$20,2,FALSE),0)</f>
        <v>784</v>
      </c>
      <c r="S1268" s="13">
        <f t="shared" si="139"/>
        <v>0</v>
      </c>
    </row>
    <row r="1269" spans="1:19" x14ac:dyDescent="0.25">
      <c r="A1269" s="24" t="s">
        <v>2388</v>
      </c>
      <c r="B1269" s="4" t="s">
        <v>1063</v>
      </c>
      <c r="C1269" s="25" t="s">
        <v>5</v>
      </c>
      <c r="G1269" s="25" t="s">
        <v>1089</v>
      </c>
      <c r="H1269" s="24" t="s">
        <v>1061</v>
      </c>
      <c r="I1269" s="3" t="str">
        <f>IFERROR(VLOOKUP(C1269,'Справочник соответствий'!A$2:D$2981,2,FALSE),IF(VALUE(C1269)=0,1,VLOOKUP(C1269,'Справочник соответствий'!A$2:D$2981,2,FALSE)))</f>
        <v>1</v>
      </c>
      <c r="J1269" s="3">
        <f>IFERROR(VLOOKUP(D1269,'Справочник соответствий'!A$2:D$2981,2,FALSE),IF(VALUE(D1269)=0,0,VLOOKUP(D1269,'Справочник соответствий'!A$2:D$2981,2,FALSE)))</f>
        <v>0</v>
      </c>
      <c r="K1269" s="3" t="str">
        <f t="shared" si="133"/>
        <v>1</v>
      </c>
      <c r="L1269" s="13" t="str">
        <f>IFERROR(VLOOKUP(C1269,'Справочник соответствий'!A$2:D$2981,3,FALSE),IF(VALUE(C1269)=0,"ЭТАЖ НЕ ОПРЕДЕЛЕН. ПРИНЯТ ПО ДОПУЩЕНИЮ 1",VLOOKUP(C1269,'Справочник соответствий'!A$2:D$2981,3,FALSE)))</f>
        <v>ЭТАЖ ЗАДАН ЧИСЛОМ</v>
      </c>
      <c r="M1269" s="13" t="b">
        <f t="shared" si="134"/>
        <v>0</v>
      </c>
      <c r="N1269" s="13">
        <f t="shared" si="135"/>
        <v>1</v>
      </c>
      <c r="O1269" s="13" t="str">
        <f t="shared" si="136"/>
        <v>ЭТАЖ ЗАДАН ЧИСЛОМ</v>
      </c>
      <c r="P1269" s="13" t="str">
        <f t="shared" si="137"/>
        <v>ЭТАЖ ЗАДАН ЧИСЛОМ</v>
      </c>
      <c r="Q1269" s="13" t="str">
        <f t="shared" si="138"/>
        <v>ГОТОВ_ИЗМЕНЕН</v>
      </c>
      <c r="R1269" s="13">
        <f>IFERROR(VLOOKUP(P1269,Лист1!A$1:B$20,2,FALSE),0)</f>
        <v>784</v>
      </c>
      <c r="S1269" s="13">
        <f t="shared" si="139"/>
        <v>0</v>
      </c>
    </row>
    <row r="1270" spans="1:19" x14ac:dyDescent="0.25">
      <c r="A1270" s="24" t="s">
        <v>2389</v>
      </c>
      <c r="B1270" s="4" t="s">
        <v>1059</v>
      </c>
      <c r="C1270" s="25" t="s">
        <v>8</v>
      </c>
      <c r="G1270" s="25" t="s">
        <v>1086</v>
      </c>
      <c r="H1270" s="24" t="s">
        <v>1061</v>
      </c>
      <c r="I1270" s="3" t="str">
        <f>IFERROR(VLOOKUP(C1270,'Справочник соответствий'!A$2:D$2981,2,FALSE),IF(VALUE(C1270)=0,1,VLOOKUP(C1270,'Справочник соответствий'!A$2:D$2981,2,FALSE)))</f>
        <v>3</v>
      </c>
      <c r="J1270" s="3">
        <f>IFERROR(VLOOKUP(D1270,'Справочник соответствий'!A$2:D$2981,2,FALSE),IF(VALUE(D1270)=0,0,VLOOKUP(D1270,'Справочник соответствий'!A$2:D$2981,2,FALSE)))</f>
        <v>0</v>
      </c>
      <c r="K1270" s="3" t="str">
        <f t="shared" si="133"/>
        <v>3</v>
      </c>
      <c r="L1270" s="13" t="str">
        <f>IFERROR(VLOOKUP(C1270,'Справочник соответствий'!A$2:D$2981,3,FALSE),IF(VALUE(C1270)=0,"ЭТАЖ НЕ ОПРЕДЕЛЕН. ПРИНЯТ ПО ДОПУЩЕНИЮ 1",VLOOKUP(C1270,'Справочник соответствий'!A$2:D$2981,3,FALSE)))</f>
        <v>ЭТАЖ ЗАДАН ЧИСЛОМ</v>
      </c>
      <c r="M1270" s="13" t="b">
        <f t="shared" si="134"/>
        <v>0</v>
      </c>
      <c r="N1270" s="13">
        <f t="shared" si="135"/>
        <v>3</v>
      </c>
      <c r="O1270" s="13" t="str">
        <f t="shared" si="136"/>
        <v>ЭТАЖ ЗАДАН ЧИСЛОМ</v>
      </c>
      <c r="P1270" s="13" t="str">
        <f t="shared" si="137"/>
        <v>ЭТАЖ ЗАДАН ЧИСЛОМ</v>
      </c>
      <c r="Q1270" s="13" t="str">
        <f t="shared" si="138"/>
        <v>ГОТОВ_ИЗМЕНЕН</v>
      </c>
      <c r="R1270" s="13">
        <f>IFERROR(VLOOKUP(P1270,Лист1!A$1:B$20,2,FALSE),0)</f>
        <v>784</v>
      </c>
      <c r="S1270" s="13">
        <f t="shared" si="139"/>
        <v>0</v>
      </c>
    </row>
    <row r="1271" spans="1:19" x14ac:dyDescent="0.25">
      <c r="A1271" s="24" t="s">
        <v>2390</v>
      </c>
      <c r="B1271" s="4" t="s">
        <v>1063</v>
      </c>
      <c r="C1271" s="25" t="s">
        <v>19</v>
      </c>
      <c r="D1271" s="25" t="s">
        <v>5</v>
      </c>
      <c r="G1271" s="25" t="s">
        <v>1086</v>
      </c>
      <c r="H1271" s="24" t="s">
        <v>1061</v>
      </c>
      <c r="I1271" s="3" t="str">
        <f>IFERROR(VLOOKUP(C1271,'Справочник соответствий'!A$2:D$2981,2,FALSE),IF(VALUE(C1271)=0,1,VLOOKUP(C1271,'Справочник соответствий'!A$2:D$2981,2,FALSE)))</f>
        <v>5</v>
      </c>
      <c r="J1271" s="3" t="str">
        <f>IFERROR(VLOOKUP(D1271,'Справочник соответствий'!A$2:D$2981,2,FALSE),IF(VALUE(D1271)=0,0,VLOOKUP(D1271,'Справочник соответствий'!A$2:D$2981,2,FALSE)))</f>
        <v>1</v>
      </c>
      <c r="K1271" s="3" t="str">
        <f t="shared" si="133"/>
        <v>5</v>
      </c>
      <c r="L1271" s="13" t="str">
        <f>IFERROR(VLOOKUP(C1271,'Справочник соответствий'!A$2:D$2981,3,FALSE),IF(VALUE(C1271)=0,"ЭТАЖ НЕ ОПРЕДЕЛЕН. ПРИНЯТ ПО ДОПУЩЕНИЮ 1",VLOOKUP(C1271,'Справочник соответствий'!A$2:D$2981,3,FALSE)))</f>
        <v>СПРАВОЧНИК ЭТАЖНОСТИ</v>
      </c>
      <c r="M1271" s="13" t="b">
        <f t="shared" si="134"/>
        <v>0</v>
      </c>
      <c r="N1271" s="13">
        <f t="shared" si="135"/>
        <v>5</v>
      </c>
      <c r="O1271" s="13" t="str">
        <f t="shared" si="136"/>
        <v>СПРАВОЧНИК ЭТАЖНОСТИ</v>
      </c>
      <c r="P1271" s="13" t="str">
        <f t="shared" si="137"/>
        <v>СПРАВОЧНИК ЭТАЖНОСТИ</v>
      </c>
      <c r="Q1271" s="13" t="str">
        <f t="shared" si="138"/>
        <v>ГОТОВ_ИЗМЕНЕН</v>
      </c>
      <c r="R1271" s="13">
        <f>IFERROR(VLOOKUP(P1271,Лист1!A$1:B$20,2,FALSE),0)</f>
        <v>785</v>
      </c>
      <c r="S1271" s="13">
        <f t="shared" si="139"/>
        <v>0</v>
      </c>
    </row>
    <row r="1272" spans="1:19" x14ac:dyDescent="0.25">
      <c r="A1272" s="24" t="s">
        <v>2391</v>
      </c>
      <c r="B1272" s="4" t="s">
        <v>1031</v>
      </c>
      <c r="C1272" s="25" t="s">
        <v>5</v>
      </c>
      <c r="G1272" s="25" t="s">
        <v>1077</v>
      </c>
      <c r="H1272" s="24" t="s">
        <v>1061</v>
      </c>
      <c r="I1272" s="3" t="str">
        <f>IFERROR(VLOOKUP(C1272,'Справочник соответствий'!A$2:D$2981,2,FALSE),IF(VALUE(C1272)=0,1,VLOOKUP(C1272,'Справочник соответствий'!A$2:D$2981,2,FALSE)))</f>
        <v>1</v>
      </c>
      <c r="J1272" s="3">
        <f>IFERROR(VLOOKUP(D1272,'Справочник соответствий'!A$2:D$2981,2,FALSE),IF(VALUE(D1272)=0,0,VLOOKUP(D1272,'Справочник соответствий'!A$2:D$2981,2,FALSE)))</f>
        <v>0</v>
      </c>
      <c r="K1272" s="3">
        <f t="shared" si="133"/>
        <v>1</v>
      </c>
      <c r="L1272" s="13" t="str">
        <f>IFERROR(VLOOKUP(C1272,'Справочник соответствий'!A$2:D$2981,3,FALSE),IF(VALUE(C1272)=0,"ЭТАЖ НЕ ОПРЕДЕЛЕН. ПРИНЯТ ПО ДОПУЩЕНИЮ 1",VLOOKUP(C1272,'Справочник соответствий'!A$2:D$2981,3,FALSE)))</f>
        <v>ЭТАЖ ЗАДАН ЧИСЛОМ</v>
      </c>
      <c r="M1272" s="13" t="b">
        <f t="shared" si="134"/>
        <v>0</v>
      </c>
      <c r="N1272" s="13">
        <f t="shared" si="135"/>
        <v>1</v>
      </c>
      <c r="O1272" s="13" t="str">
        <f t="shared" si="136"/>
        <v>ЭТАЖ ЗАДАН ЧИСЛОМ</v>
      </c>
      <c r="P1272" s="13" t="str">
        <f t="shared" si="137"/>
        <v>МКД_ЭТАЖ ЗАДАН ЧИСЛОМ</v>
      </c>
      <c r="Q1272" s="13" t="str">
        <f t="shared" si="138"/>
        <v>ГОТОВ_ИЗМЕНЕН</v>
      </c>
      <c r="R1272" s="13">
        <f>IFERROR(VLOOKUP(P1272,Лист1!A$1:B$20,2,FALSE),0)</f>
        <v>786</v>
      </c>
      <c r="S1272" s="13">
        <f t="shared" si="139"/>
        <v>0</v>
      </c>
    </row>
    <row r="1273" spans="1:19" x14ac:dyDescent="0.25">
      <c r="A1273" s="24" t="s">
        <v>2392</v>
      </c>
      <c r="B1273" s="4" t="s">
        <v>1059</v>
      </c>
      <c r="C1273" s="25" t="s">
        <v>7</v>
      </c>
      <c r="G1273" s="25" t="s">
        <v>1080</v>
      </c>
      <c r="H1273" s="24" t="s">
        <v>1061</v>
      </c>
      <c r="I1273" s="3" t="str">
        <f>IFERROR(VLOOKUP(C1273,'Справочник соответствий'!A$2:D$2981,2,FALSE),IF(VALUE(C1273)=0,1,VLOOKUP(C1273,'Справочник соответствий'!A$2:D$2981,2,FALSE)))</f>
        <v>2</v>
      </c>
      <c r="J1273" s="3">
        <f>IFERROR(VLOOKUP(D1273,'Справочник соответствий'!A$2:D$2981,2,FALSE),IF(VALUE(D1273)=0,0,VLOOKUP(D1273,'Справочник соответствий'!A$2:D$2981,2,FALSE)))</f>
        <v>0</v>
      </c>
      <c r="K1273" s="3" t="str">
        <f t="shared" si="133"/>
        <v>2</v>
      </c>
      <c r="L1273" s="13" t="str">
        <f>IFERROR(VLOOKUP(C1273,'Справочник соответствий'!A$2:D$2981,3,FALSE),IF(VALUE(C1273)=0,"ЭТАЖ НЕ ОПРЕДЕЛЕН. ПРИНЯТ ПО ДОПУЩЕНИЮ 1",VLOOKUP(C1273,'Справочник соответствий'!A$2:D$2981,3,FALSE)))</f>
        <v>ЭТАЖ ЗАДАН ЧИСЛОМ</v>
      </c>
      <c r="M1273" s="13" t="b">
        <f t="shared" si="134"/>
        <v>0</v>
      </c>
      <c r="N1273" s="13">
        <f t="shared" si="135"/>
        <v>2</v>
      </c>
      <c r="O1273" s="13" t="str">
        <f t="shared" si="136"/>
        <v>ЭТАЖ ЗАДАН ЧИСЛОМ</v>
      </c>
      <c r="P1273" s="13" t="str">
        <f t="shared" si="137"/>
        <v>ЭТАЖ ЗАДАН ЧИСЛОМ</v>
      </c>
      <c r="Q1273" s="13" t="str">
        <f t="shared" si="138"/>
        <v>ГОТОВ_ИЗМЕНЕН</v>
      </c>
      <c r="R1273" s="13">
        <f>IFERROR(VLOOKUP(P1273,Лист1!A$1:B$20,2,FALSE),0)</f>
        <v>784</v>
      </c>
      <c r="S1273" s="13">
        <f t="shared" si="139"/>
        <v>0</v>
      </c>
    </row>
    <row r="1274" spans="1:19" x14ac:dyDescent="0.25">
      <c r="A1274" s="24" t="s">
        <v>2393</v>
      </c>
      <c r="B1274" s="4" t="s">
        <v>1063</v>
      </c>
      <c r="C1274" s="25" t="s">
        <v>5</v>
      </c>
      <c r="G1274" s="25" t="s">
        <v>1382</v>
      </c>
      <c r="H1274" s="24" t="s">
        <v>1061</v>
      </c>
      <c r="I1274" s="3" t="str">
        <f>IFERROR(VLOOKUP(C1274,'Справочник соответствий'!A$2:D$2981,2,FALSE),IF(VALUE(C1274)=0,1,VLOOKUP(C1274,'Справочник соответствий'!A$2:D$2981,2,FALSE)))</f>
        <v>1</v>
      </c>
      <c r="J1274" s="3">
        <f>IFERROR(VLOOKUP(D1274,'Справочник соответствий'!A$2:D$2981,2,FALSE),IF(VALUE(D1274)=0,0,VLOOKUP(D1274,'Справочник соответствий'!A$2:D$2981,2,FALSE)))</f>
        <v>0</v>
      </c>
      <c r="K1274" s="3" t="str">
        <f t="shared" si="133"/>
        <v>1</v>
      </c>
      <c r="L1274" s="13" t="str">
        <f>IFERROR(VLOOKUP(C1274,'Справочник соответствий'!A$2:D$2981,3,FALSE),IF(VALUE(C1274)=0,"ЭТАЖ НЕ ОПРЕДЕЛЕН. ПРИНЯТ ПО ДОПУЩЕНИЮ 1",VLOOKUP(C1274,'Справочник соответствий'!A$2:D$2981,3,FALSE)))</f>
        <v>ЭТАЖ ЗАДАН ЧИСЛОМ</v>
      </c>
      <c r="M1274" s="13" t="b">
        <f t="shared" si="134"/>
        <v>0</v>
      </c>
      <c r="N1274" s="13">
        <f t="shared" si="135"/>
        <v>1</v>
      </c>
      <c r="O1274" s="13" t="str">
        <f t="shared" si="136"/>
        <v>ЭТАЖ ЗАДАН ЧИСЛОМ</v>
      </c>
      <c r="P1274" s="13" t="str">
        <f t="shared" si="137"/>
        <v>ЭТАЖ ЗАДАН ЧИСЛОМ</v>
      </c>
      <c r="Q1274" s="13" t="str">
        <f t="shared" si="138"/>
        <v>ГОТОВ_ИЗМЕНЕН</v>
      </c>
      <c r="R1274" s="13">
        <f>IFERROR(VLOOKUP(P1274,Лист1!A$1:B$20,2,FALSE),0)</f>
        <v>784</v>
      </c>
      <c r="S1274" s="13">
        <f t="shared" si="139"/>
        <v>0</v>
      </c>
    </row>
    <row r="1275" spans="1:19" x14ac:dyDescent="0.25">
      <c r="A1275" s="24" t="s">
        <v>2394</v>
      </c>
      <c r="B1275" s="4" t="s">
        <v>1059</v>
      </c>
      <c r="C1275" s="25" t="s">
        <v>7</v>
      </c>
      <c r="G1275" s="25" t="s">
        <v>1080</v>
      </c>
      <c r="H1275" s="24" t="s">
        <v>1061</v>
      </c>
      <c r="I1275" s="3" t="str">
        <f>IFERROR(VLOOKUP(C1275,'Справочник соответствий'!A$2:D$2981,2,FALSE),IF(VALUE(C1275)=0,1,VLOOKUP(C1275,'Справочник соответствий'!A$2:D$2981,2,FALSE)))</f>
        <v>2</v>
      </c>
      <c r="J1275" s="3">
        <f>IFERROR(VLOOKUP(D1275,'Справочник соответствий'!A$2:D$2981,2,FALSE),IF(VALUE(D1275)=0,0,VLOOKUP(D1275,'Справочник соответствий'!A$2:D$2981,2,FALSE)))</f>
        <v>0</v>
      </c>
      <c r="K1275" s="3" t="str">
        <f t="shared" si="133"/>
        <v>2</v>
      </c>
      <c r="L1275" s="13" t="str">
        <f>IFERROR(VLOOKUP(C1275,'Справочник соответствий'!A$2:D$2981,3,FALSE),IF(VALUE(C1275)=0,"ЭТАЖ НЕ ОПРЕДЕЛЕН. ПРИНЯТ ПО ДОПУЩЕНИЮ 1",VLOOKUP(C1275,'Справочник соответствий'!A$2:D$2981,3,FALSE)))</f>
        <v>ЭТАЖ ЗАДАН ЧИСЛОМ</v>
      </c>
      <c r="M1275" s="13" t="b">
        <f t="shared" si="134"/>
        <v>0</v>
      </c>
      <c r="N1275" s="13">
        <f t="shared" si="135"/>
        <v>2</v>
      </c>
      <c r="O1275" s="13" t="str">
        <f t="shared" si="136"/>
        <v>ЭТАЖ ЗАДАН ЧИСЛОМ</v>
      </c>
      <c r="P1275" s="13" t="str">
        <f t="shared" si="137"/>
        <v>ЭТАЖ ЗАДАН ЧИСЛОМ</v>
      </c>
      <c r="Q1275" s="13" t="str">
        <f t="shared" si="138"/>
        <v>ГОТОВ_ИЗМЕНЕН</v>
      </c>
      <c r="R1275" s="13">
        <f>IFERROR(VLOOKUP(P1275,Лист1!A$1:B$20,2,FALSE),0)</f>
        <v>784</v>
      </c>
      <c r="S1275" s="13">
        <f t="shared" si="139"/>
        <v>0</v>
      </c>
    </row>
    <row r="1276" spans="1:19" x14ac:dyDescent="0.25">
      <c r="A1276" s="24" t="s">
        <v>2395</v>
      </c>
      <c r="B1276" s="4" t="s">
        <v>1059</v>
      </c>
      <c r="C1276" s="25" t="s">
        <v>7</v>
      </c>
      <c r="G1276" s="25" t="s">
        <v>1080</v>
      </c>
      <c r="H1276" s="24" t="s">
        <v>1061</v>
      </c>
      <c r="I1276" s="3" t="str">
        <f>IFERROR(VLOOKUP(C1276,'Справочник соответствий'!A$2:D$2981,2,FALSE),IF(VALUE(C1276)=0,1,VLOOKUP(C1276,'Справочник соответствий'!A$2:D$2981,2,FALSE)))</f>
        <v>2</v>
      </c>
      <c r="J1276" s="3">
        <f>IFERROR(VLOOKUP(D1276,'Справочник соответствий'!A$2:D$2981,2,FALSE),IF(VALUE(D1276)=0,0,VLOOKUP(D1276,'Справочник соответствий'!A$2:D$2981,2,FALSE)))</f>
        <v>0</v>
      </c>
      <c r="K1276" s="3" t="str">
        <f t="shared" si="133"/>
        <v>2</v>
      </c>
      <c r="L1276" s="13" t="str">
        <f>IFERROR(VLOOKUP(C1276,'Справочник соответствий'!A$2:D$2981,3,FALSE),IF(VALUE(C1276)=0,"ЭТАЖ НЕ ОПРЕДЕЛЕН. ПРИНЯТ ПО ДОПУЩЕНИЮ 1",VLOOKUP(C1276,'Справочник соответствий'!A$2:D$2981,3,FALSE)))</f>
        <v>ЭТАЖ ЗАДАН ЧИСЛОМ</v>
      </c>
      <c r="M1276" s="13" t="b">
        <f t="shared" si="134"/>
        <v>0</v>
      </c>
      <c r="N1276" s="13">
        <f t="shared" si="135"/>
        <v>2</v>
      </c>
      <c r="O1276" s="13" t="str">
        <f t="shared" si="136"/>
        <v>ЭТАЖ ЗАДАН ЧИСЛОМ</v>
      </c>
      <c r="P1276" s="13" t="str">
        <f t="shared" si="137"/>
        <v>ЭТАЖ ЗАДАН ЧИСЛОМ</v>
      </c>
      <c r="Q1276" s="13" t="str">
        <f t="shared" si="138"/>
        <v>ГОТОВ_ИЗМЕНЕН</v>
      </c>
      <c r="R1276" s="13">
        <f>IFERROR(VLOOKUP(P1276,Лист1!A$1:B$20,2,FALSE),0)</f>
        <v>784</v>
      </c>
      <c r="S1276" s="13">
        <f t="shared" si="139"/>
        <v>0</v>
      </c>
    </row>
    <row r="1277" spans="1:19" x14ac:dyDescent="0.25">
      <c r="A1277" s="24" t="s">
        <v>2396</v>
      </c>
      <c r="B1277" s="4" t="s">
        <v>1059</v>
      </c>
      <c r="C1277" s="25" t="s">
        <v>5</v>
      </c>
      <c r="G1277" s="25" t="s">
        <v>1080</v>
      </c>
      <c r="H1277" s="24" t="s">
        <v>1061</v>
      </c>
      <c r="I1277" s="3" t="str">
        <f>IFERROR(VLOOKUP(C1277,'Справочник соответствий'!A$2:D$2981,2,FALSE),IF(VALUE(C1277)=0,1,VLOOKUP(C1277,'Справочник соответствий'!A$2:D$2981,2,FALSE)))</f>
        <v>1</v>
      </c>
      <c r="J1277" s="3">
        <f>IFERROR(VLOOKUP(D1277,'Справочник соответствий'!A$2:D$2981,2,FALSE),IF(VALUE(D1277)=0,0,VLOOKUP(D1277,'Справочник соответствий'!A$2:D$2981,2,FALSE)))</f>
        <v>0</v>
      </c>
      <c r="K1277" s="3" t="str">
        <f t="shared" si="133"/>
        <v>1</v>
      </c>
      <c r="L1277" s="13" t="str">
        <f>IFERROR(VLOOKUP(C1277,'Справочник соответствий'!A$2:D$2981,3,FALSE),IF(VALUE(C1277)=0,"ЭТАЖ НЕ ОПРЕДЕЛЕН. ПРИНЯТ ПО ДОПУЩЕНИЮ 1",VLOOKUP(C1277,'Справочник соответствий'!A$2:D$2981,3,FALSE)))</f>
        <v>ЭТАЖ ЗАДАН ЧИСЛОМ</v>
      </c>
      <c r="M1277" s="13" t="b">
        <f t="shared" si="134"/>
        <v>0</v>
      </c>
      <c r="N1277" s="13">
        <f t="shared" si="135"/>
        <v>1</v>
      </c>
      <c r="O1277" s="13" t="str">
        <f t="shared" si="136"/>
        <v>ЭТАЖ ЗАДАН ЧИСЛОМ</v>
      </c>
      <c r="P1277" s="13" t="str">
        <f t="shared" si="137"/>
        <v>ЭТАЖ ЗАДАН ЧИСЛОМ</v>
      </c>
      <c r="Q1277" s="13" t="str">
        <f t="shared" si="138"/>
        <v>ГОТОВ_ИЗМЕНЕН</v>
      </c>
      <c r="R1277" s="13">
        <f>IFERROR(VLOOKUP(P1277,Лист1!A$1:B$20,2,FALSE),0)</f>
        <v>784</v>
      </c>
      <c r="S1277" s="13">
        <f t="shared" si="139"/>
        <v>0</v>
      </c>
    </row>
    <row r="1278" spans="1:19" x14ac:dyDescent="0.25">
      <c r="A1278" s="24" t="s">
        <v>2397</v>
      </c>
      <c r="B1278" s="4" t="s">
        <v>1059</v>
      </c>
      <c r="C1278" s="25" t="s">
        <v>5</v>
      </c>
      <c r="G1278" s="25" t="s">
        <v>1080</v>
      </c>
      <c r="H1278" s="24" t="s">
        <v>1061</v>
      </c>
      <c r="I1278" s="3" t="str">
        <f>IFERROR(VLOOKUP(C1278,'Справочник соответствий'!A$2:D$2981,2,FALSE),IF(VALUE(C1278)=0,1,VLOOKUP(C1278,'Справочник соответствий'!A$2:D$2981,2,FALSE)))</f>
        <v>1</v>
      </c>
      <c r="J1278" s="3">
        <f>IFERROR(VLOOKUP(D1278,'Справочник соответствий'!A$2:D$2981,2,FALSE),IF(VALUE(D1278)=0,0,VLOOKUP(D1278,'Справочник соответствий'!A$2:D$2981,2,FALSE)))</f>
        <v>0</v>
      </c>
      <c r="K1278" s="3" t="str">
        <f t="shared" si="133"/>
        <v>1</v>
      </c>
      <c r="L1278" s="13" t="str">
        <f>IFERROR(VLOOKUP(C1278,'Справочник соответствий'!A$2:D$2981,3,FALSE),IF(VALUE(C1278)=0,"ЭТАЖ НЕ ОПРЕДЕЛЕН. ПРИНЯТ ПО ДОПУЩЕНИЮ 1",VLOOKUP(C1278,'Справочник соответствий'!A$2:D$2981,3,FALSE)))</f>
        <v>ЭТАЖ ЗАДАН ЧИСЛОМ</v>
      </c>
      <c r="M1278" s="13" t="b">
        <f t="shared" si="134"/>
        <v>0</v>
      </c>
      <c r="N1278" s="13">
        <f t="shared" si="135"/>
        <v>1</v>
      </c>
      <c r="O1278" s="13" t="str">
        <f t="shared" si="136"/>
        <v>ЭТАЖ ЗАДАН ЧИСЛОМ</v>
      </c>
      <c r="P1278" s="13" t="str">
        <f t="shared" si="137"/>
        <v>ЭТАЖ ЗАДАН ЧИСЛОМ</v>
      </c>
      <c r="Q1278" s="13" t="str">
        <f t="shared" si="138"/>
        <v>ГОТОВ_ИЗМЕНЕН</v>
      </c>
      <c r="R1278" s="13">
        <f>IFERROR(VLOOKUP(P1278,Лист1!A$1:B$20,2,FALSE),0)</f>
        <v>784</v>
      </c>
      <c r="S1278" s="13">
        <f t="shared" si="139"/>
        <v>0</v>
      </c>
    </row>
    <row r="1279" spans="1:19" x14ac:dyDescent="0.25">
      <c r="A1279" s="24" t="s">
        <v>2398</v>
      </c>
      <c r="B1279" s="4" t="s">
        <v>1059</v>
      </c>
      <c r="C1279" s="25" t="s">
        <v>5</v>
      </c>
      <c r="G1279" s="25" t="s">
        <v>1104</v>
      </c>
      <c r="H1279" s="24" t="s">
        <v>1061</v>
      </c>
      <c r="I1279" s="3" t="str">
        <f>IFERROR(VLOOKUP(C1279,'Справочник соответствий'!A$2:D$2981,2,FALSE),IF(VALUE(C1279)=0,1,VLOOKUP(C1279,'Справочник соответствий'!A$2:D$2981,2,FALSE)))</f>
        <v>1</v>
      </c>
      <c r="J1279" s="3">
        <f>IFERROR(VLOOKUP(D1279,'Справочник соответствий'!A$2:D$2981,2,FALSE),IF(VALUE(D1279)=0,0,VLOOKUP(D1279,'Справочник соответствий'!A$2:D$2981,2,FALSE)))</f>
        <v>0</v>
      </c>
      <c r="K1279" s="3" t="str">
        <f t="shared" si="133"/>
        <v>1</v>
      </c>
      <c r="L1279" s="13" t="str">
        <f>IFERROR(VLOOKUP(C1279,'Справочник соответствий'!A$2:D$2981,3,FALSE),IF(VALUE(C1279)=0,"ЭТАЖ НЕ ОПРЕДЕЛЕН. ПРИНЯТ ПО ДОПУЩЕНИЮ 1",VLOOKUP(C1279,'Справочник соответствий'!A$2:D$2981,3,FALSE)))</f>
        <v>ЭТАЖ ЗАДАН ЧИСЛОМ</v>
      </c>
      <c r="M1279" s="13" t="b">
        <f t="shared" si="134"/>
        <v>0</v>
      </c>
      <c r="N1279" s="13">
        <f t="shared" si="135"/>
        <v>1</v>
      </c>
      <c r="O1279" s="13" t="str">
        <f t="shared" si="136"/>
        <v>ЭТАЖ ЗАДАН ЧИСЛОМ</v>
      </c>
      <c r="P1279" s="13" t="str">
        <f t="shared" si="137"/>
        <v>ЭТАЖ ЗАДАН ЧИСЛОМ</v>
      </c>
      <c r="Q1279" s="13" t="str">
        <f t="shared" si="138"/>
        <v>ГОТОВ_ИЗМЕНЕН</v>
      </c>
      <c r="R1279" s="13">
        <f>IFERROR(VLOOKUP(P1279,Лист1!A$1:B$20,2,FALSE),0)</f>
        <v>784</v>
      </c>
      <c r="S1279" s="13">
        <f t="shared" si="139"/>
        <v>0</v>
      </c>
    </row>
    <row r="1280" spans="1:19" x14ac:dyDescent="0.25">
      <c r="A1280" s="24" t="s">
        <v>2399</v>
      </c>
      <c r="B1280" s="4" t="s">
        <v>1059</v>
      </c>
      <c r="C1280" s="25" t="s">
        <v>7</v>
      </c>
      <c r="G1280" s="25" t="s">
        <v>1077</v>
      </c>
      <c r="H1280" s="24" t="s">
        <v>1061</v>
      </c>
      <c r="I1280" s="3" t="str">
        <f>IFERROR(VLOOKUP(C1280,'Справочник соответствий'!A$2:D$2981,2,FALSE),IF(VALUE(C1280)=0,1,VLOOKUP(C1280,'Справочник соответствий'!A$2:D$2981,2,FALSE)))</f>
        <v>2</v>
      </c>
      <c r="J1280" s="3">
        <f>IFERROR(VLOOKUP(D1280,'Справочник соответствий'!A$2:D$2981,2,FALSE),IF(VALUE(D1280)=0,0,VLOOKUP(D1280,'Справочник соответствий'!A$2:D$2981,2,FALSE)))</f>
        <v>0</v>
      </c>
      <c r="K1280" s="3" t="str">
        <f t="shared" si="133"/>
        <v>2</v>
      </c>
      <c r="L1280" s="13" t="str">
        <f>IFERROR(VLOOKUP(C1280,'Справочник соответствий'!A$2:D$2981,3,FALSE),IF(VALUE(C1280)=0,"ЭТАЖ НЕ ОПРЕДЕЛЕН. ПРИНЯТ ПО ДОПУЩЕНИЮ 1",VLOOKUP(C1280,'Справочник соответствий'!A$2:D$2981,3,FALSE)))</f>
        <v>ЭТАЖ ЗАДАН ЧИСЛОМ</v>
      </c>
      <c r="M1280" s="13" t="b">
        <f t="shared" si="134"/>
        <v>0</v>
      </c>
      <c r="N1280" s="13">
        <f t="shared" si="135"/>
        <v>2</v>
      </c>
      <c r="O1280" s="13" t="str">
        <f t="shared" si="136"/>
        <v>ЭТАЖ ЗАДАН ЧИСЛОМ</v>
      </c>
      <c r="P1280" s="13" t="str">
        <f t="shared" si="137"/>
        <v>ЭТАЖ ЗАДАН ЧИСЛОМ</v>
      </c>
      <c r="Q1280" s="13" t="str">
        <f t="shared" si="138"/>
        <v>ГОТОВ_ИЗМЕНЕН</v>
      </c>
      <c r="R1280" s="13">
        <f>IFERROR(VLOOKUP(P1280,Лист1!A$1:B$20,2,FALSE),0)</f>
        <v>784</v>
      </c>
      <c r="S1280" s="13">
        <f t="shared" si="139"/>
        <v>0</v>
      </c>
    </row>
    <row r="1281" spans="1:19" x14ac:dyDescent="0.25">
      <c r="A1281" s="24" t="s">
        <v>2400</v>
      </c>
      <c r="B1281" s="4" t="s">
        <v>1063</v>
      </c>
      <c r="C1281" s="25" t="s">
        <v>5</v>
      </c>
      <c r="G1281" s="25" t="s">
        <v>1083</v>
      </c>
      <c r="H1281" s="24" t="s">
        <v>1061</v>
      </c>
      <c r="I1281" s="3" t="str">
        <f>IFERROR(VLOOKUP(C1281,'Справочник соответствий'!A$2:D$2981,2,FALSE),IF(VALUE(C1281)=0,1,VLOOKUP(C1281,'Справочник соответствий'!A$2:D$2981,2,FALSE)))</f>
        <v>1</v>
      </c>
      <c r="J1281" s="3">
        <f>IFERROR(VLOOKUP(D1281,'Справочник соответствий'!A$2:D$2981,2,FALSE),IF(VALUE(D1281)=0,0,VLOOKUP(D1281,'Справочник соответствий'!A$2:D$2981,2,FALSE)))</f>
        <v>0</v>
      </c>
      <c r="K1281" s="3" t="str">
        <f t="shared" si="133"/>
        <v>1</v>
      </c>
      <c r="L1281" s="13" t="str">
        <f>IFERROR(VLOOKUP(C1281,'Справочник соответствий'!A$2:D$2981,3,FALSE),IF(VALUE(C1281)=0,"ЭТАЖ НЕ ОПРЕДЕЛЕН. ПРИНЯТ ПО ДОПУЩЕНИЮ 1",VLOOKUP(C1281,'Справочник соответствий'!A$2:D$2981,3,FALSE)))</f>
        <v>ЭТАЖ ЗАДАН ЧИСЛОМ</v>
      </c>
      <c r="M1281" s="13" t="b">
        <f t="shared" si="134"/>
        <v>0</v>
      </c>
      <c r="N1281" s="13">
        <f t="shared" si="135"/>
        <v>1</v>
      </c>
      <c r="O1281" s="13" t="str">
        <f t="shared" si="136"/>
        <v>ЭТАЖ ЗАДАН ЧИСЛОМ</v>
      </c>
      <c r="P1281" s="13" t="str">
        <f t="shared" si="137"/>
        <v>ЭТАЖ ЗАДАН ЧИСЛОМ</v>
      </c>
      <c r="Q1281" s="13" t="str">
        <f t="shared" si="138"/>
        <v>ГОТОВ_ИЗМЕНЕН</v>
      </c>
      <c r="R1281" s="13">
        <f>IFERROR(VLOOKUP(P1281,Лист1!A$1:B$20,2,FALSE),0)</f>
        <v>784</v>
      </c>
      <c r="S1281" s="13">
        <f t="shared" si="139"/>
        <v>0</v>
      </c>
    </row>
    <row r="1282" spans="1:19" x14ac:dyDescent="0.25">
      <c r="A1282" s="24" t="s">
        <v>2401</v>
      </c>
      <c r="B1282" s="4" t="s">
        <v>1063</v>
      </c>
      <c r="C1282" s="25" t="s">
        <v>5</v>
      </c>
      <c r="G1282" s="25" t="s">
        <v>1077</v>
      </c>
      <c r="H1282" s="24" t="s">
        <v>1061</v>
      </c>
      <c r="I1282" s="3" t="str">
        <f>IFERROR(VLOOKUP(C1282,'Справочник соответствий'!A$2:D$2981,2,FALSE),IF(VALUE(C1282)=0,1,VLOOKUP(C1282,'Справочник соответствий'!A$2:D$2981,2,FALSE)))</f>
        <v>1</v>
      </c>
      <c r="J1282" s="3">
        <f>IFERROR(VLOOKUP(D1282,'Справочник соответствий'!A$2:D$2981,2,FALSE),IF(VALUE(D1282)=0,0,VLOOKUP(D1282,'Справочник соответствий'!A$2:D$2981,2,FALSE)))</f>
        <v>0</v>
      </c>
      <c r="K1282" s="3" t="str">
        <f t="shared" si="133"/>
        <v>1</v>
      </c>
      <c r="L1282" s="13" t="str">
        <f>IFERROR(VLOOKUP(C1282,'Справочник соответствий'!A$2:D$2981,3,FALSE),IF(VALUE(C1282)=0,"ЭТАЖ НЕ ОПРЕДЕЛЕН. ПРИНЯТ ПО ДОПУЩЕНИЮ 1",VLOOKUP(C1282,'Справочник соответствий'!A$2:D$2981,3,FALSE)))</f>
        <v>ЭТАЖ ЗАДАН ЧИСЛОМ</v>
      </c>
      <c r="M1282" s="13" t="b">
        <f t="shared" si="134"/>
        <v>0</v>
      </c>
      <c r="N1282" s="13">
        <f t="shared" si="135"/>
        <v>1</v>
      </c>
      <c r="O1282" s="13" t="str">
        <f t="shared" si="136"/>
        <v>ЭТАЖ ЗАДАН ЧИСЛОМ</v>
      </c>
      <c r="P1282" s="13" t="str">
        <f t="shared" si="137"/>
        <v>ЭТАЖ ЗАДАН ЧИСЛОМ</v>
      </c>
      <c r="Q1282" s="13" t="str">
        <f t="shared" si="138"/>
        <v>ГОТОВ_ИЗМЕНЕН</v>
      </c>
      <c r="R1282" s="13">
        <f>IFERROR(VLOOKUP(P1282,Лист1!A$1:B$20,2,FALSE),0)</f>
        <v>784</v>
      </c>
      <c r="S1282" s="13">
        <f t="shared" si="139"/>
        <v>0</v>
      </c>
    </row>
    <row r="1283" spans="1:19" x14ac:dyDescent="0.25">
      <c r="A1283" s="24" t="s">
        <v>2402</v>
      </c>
      <c r="B1283" s="4" t="s">
        <v>1059</v>
      </c>
      <c r="C1283" s="25" t="s">
        <v>5</v>
      </c>
      <c r="G1283" s="25" t="s">
        <v>1080</v>
      </c>
      <c r="H1283" s="24" t="s">
        <v>1061</v>
      </c>
      <c r="I1283" s="3" t="str">
        <f>IFERROR(VLOOKUP(C1283,'Справочник соответствий'!A$2:D$2981,2,FALSE),IF(VALUE(C1283)=0,1,VLOOKUP(C1283,'Справочник соответствий'!A$2:D$2981,2,FALSE)))</f>
        <v>1</v>
      </c>
      <c r="J1283" s="3">
        <f>IFERROR(VLOOKUP(D1283,'Справочник соответствий'!A$2:D$2981,2,FALSE),IF(VALUE(D1283)=0,0,VLOOKUP(D1283,'Справочник соответствий'!A$2:D$2981,2,FALSE)))</f>
        <v>0</v>
      </c>
      <c r="K1283" s="3" t="str">
        <f t="shared" si="133"/>
        <v>1</v>
      </c>
      <c r="L1283" s="13" t="str">
        <f>IFERROR(VLOOKUP(C1283,'Справочник соответствий'!A$2:D$2981,3,FALSE),IF(VALUE(C1283)=0,"ЭТАЖ НЕ ОПРЕДЕЛЕН. ПРИНЯТ ПО ДОПУЩЕНИЮ 1",VLOOKUP(C1283,'Справочник соответствий'!A$2:D$2981,3,FALSE)))</f>
        <v>ЭТАЖ ЗАДАН ЧИСЛОМ</v>
      </c>
      <c r="M1283" s="13" t="b">
        <f t="shared" si="134"/>
        <v>0</v>
      </c>
      <c r="N1283" s="13">
        <f t="shared" si="135"/>
        <v>1</v>
      </c>
      <c r="O1283" s="13" t="str">
        <f t="shared" si="136"/>
        <v>ЭТАЖ ЗАДАН ЧИСЛОМ</v>
      </c>
      <c r="P1283" s="13" t="str">
        <f t="shared" si="137"/>
        <v>ЭТАЖ ЗАДАН ЧИСЛОМ</v>
      </c>
      <c r="Q1283" s="13" t="str">
        <f t="shared" si="138"/>
        <v>ГОТОВ_ИЗМЕНЕН</v>
      </c>
      <c r="R1283" s="13">
        <f>IFERROR(VLOOKUP(P1283,Лист1!A$1:B$20,2,FALSE),0)</f>
        <v>784</v>
      </c>
      <c r="S1283" s="13">
        <f t="shared" si="139"/>
        <v>0</v>
      </c>
    </row>
    <row r="1284" spans="1:19" x14ac:dyDescent="0.25">
      <c r="A1284" s="24" t="s">
        <v>2403</v>
      </c>
      <c r="B1284" s="4" t="s">
        <v>1063</v>
      </c>
      <c r="C1284" s="25" t="s">
        <v>7</v>
      </c>
      <c r="G1284" s="25" t="s">
        <v>1080</v>
      </c>
      <c r="H1284" s="24" t="s">
        <v>1061</v>
      </c>
      <c r="I1284" s="3" t="str">
        <f>IFERROR(VLOOKUP(C1284,'Справочник соответствий'!A$2:D$2981,2,FALSE),IF(VALUE(C1284)=0,1,VLOOKUP(C1284,'Справочник соответствий'!A$2:D$2981,2,FALSE)))</f>
        <v>2</v>
      </c>
      <c r="J1284" s="3">
        <f>IFERROR(VLOOKUP(D1284,'Справочник соответствий'!A$2:D$2981,2,FALSE),IF(VALUE(D1284)=0,0,VLOOKUP(D1284,'Справочник соответствий'!A$2:D$2981,2,FALSE)))</f>
        <v>0</v>
      </c>
      <c r="K1284" s="3" t="str">
        <f t="shared" si="133"/>
        <v>2</v>
      </c>
      <c r="L1284" s="13" t="str">
        <f>IFERROR(VLOOKUP(C1284,'Справочник соответствий'!A$2:D$2981,3,FALSE),IF(VALUE(C1284)=0,"ЭТАЖ НЕ ОПРЕДЕЛЕН. ПРИНЯТ ПО ДОПУЩЕНИЮ 1",VLOOKUP(C1284,'Справочник соответствий'!A$2:D$2981,3,FALSE)))</f>
        <v>ЭТАЖ ЗАДАН ЧИСЛОМ</v>
      </c>
      <c r="M1284" s="13" t="b">
        <f t="shared" si="134"/>
        <v>0</v>
      </c>
      <c r="N1284" s="13">
        <f t="shared" si="135"/>
        <v>2</v>
      </c>
      <c r="O1284" s="13" t="str">
        <f t="shared" si="136"/>
        <v>ЭТАЖ ЗАДАН ЧИСЛОМ</v>
      </c>
      <c r="P1284" s="13" t="str">
        <f t="shared" si="137"/>
        <v>ЭТАЖ ЗАДАН ЧИСЛОМ</v>
      </c>
      <c r="Q1284" s="13" t="str">
        <f t="shared" si="138"/>
        <v>ГОТОВ_ИЗМЕНЕН</v>
      </c>
      <c r="R1284" s="13">
        <f>IFERROR(VLOOKUP(P1284,Лист1!A$1:B$20,2,FALSE),0)</f>
        <v>784</v>
      </c>
      <c r="S1284" s="13">
        <f t="shared" si="139"/>
        <v>0</v>
      </c>
    </row>
    <row r="1285" spans="1:19" x14ac:dyDescent="0.25">
      <c r="A1285" s="24" t="s">
        <v>2404</v>
      </c>
      <c r="B1285" s="4" t="s">
        <v>1063</v>
      </c>
      <c r="C1285" s="25" t="s">
        <v>5</v>
      </c>
      <c r="G1285" s="25" t="s">
        <v>1077</v>
      </c>
      <c r="H1285" s="24" t="s">
        <v>1061</v>
      </c>
      <c r="I1285" s="3" t="str">
        <f>IFERROR(VLOOKUP(C1285,'Справочник соответствий'!A$2:D$2981,2,FALSE),IF(VALUE(C1285)=0,1,VLOOKUP(C1285,'Справочник соответствий'!A$2:D$2981,2,FALSE)))</f>
        <v>1</v>
      </c>
      <c r="J1285" s="3">
        <f>IFERROR(VLOOKUP(D1285,'Справочник соответствий'!A$2:D$2981,2,FALSE),IF(VALUE(D1285)=0,0,VLOOKUP(D1285,'Справочник соответствий'!A$2:D$2981,2,FALSE)))</f>
        <v>0</v>
      </c>
      <c r="K1285" s="3" t="str">
        <f t="shared" ref="K1285:K1348" si="140">IF(B1285="Многоквартирный дом",IF(I1285-J1285&gt;0,I1285-J1285,1),I1285)</f>
        <v>1</v>
      </c>
      <c r="L1285" s="13" t="str">
        <f>IFERROR(VLOOKUP(C1285,'Справочник соответствий'!A$2:D$2981,3,FALSE),IF(VALUE(C1285)=0,"ЭТАЖ НЕ ОПРЕДЕЛЕН. ПРИНЯТ ПО ДОПУЩЕНИЮ 1",VLOOKUP(C1285,'Справочник соответствий'!A$2:D$2981,3,FALSE)))</f>
        <v>ЭТАЖ ЗАДАН ЧИСЛОМ</v>
      </c>
      <c r="M1285" s="13" t="b">
        <f t="shared" ref="M1285:M1348" si="141">I1285=E1285</f>
        <v>0</v>
      </c>
      <c r="N1285" s="13">
        <f t="shared" ref="N1285:N1348" si="142">IF(VALUE(E1285)=0,VALUE(K1285),IF(L1285="ЭТАЖ НЕ ОПРЕДЕЛЕН. ПРИНЯТ ПО ДОПУЩЕНИЮ 1",VALUE(E1285),VALUE(K1285)))</f>
        <v>1</v>
      </c>
      <c r="O1285" s="13" t="str">
        <f t="shared" ref="O1285:O1348" si="143">IF(VALUE(E1285)=0,L1285,IF(L1285="ЭТАЖ НЕ ОПРЕДЕЛЕН. ПРИНЯТ ПО ДОПУЩЕНИЮ 1",F1285,L1285))</f>
        <v>ЭТАЖ ЗАДАН ЧИСЛОМ</v>
      </c>
      <c r="P1285" s="13" t="str">
        <f t="shared" ref="P1285:P1348" si="144">IF(B1285="Многоквартирный дом",CONCATENATE("МКД_",O1285),O1285)</f>
        <v>ЭТАЖ ЗАДАН ЧИСЛОМ</v>
      </c>
      <c r="Q1285" s="13" t="str">
        <f t="shared" ref="Q1285:Q1348" si="145">IFERROR(IF(N1285&gt;0,IF(N1285=VALUE(E1285),"ГОТОВ","ГОТОВ_ИЗМЕНЕН"),"НЕ ГОТОВ"),"НЕ ГОТОВ")</f>
        <v>ГОТОВ_ИЗМЕНЕН</v>
      </c>
      <c r="R1285" s="13">
        <f>IFERROR(VLOOKUP(P1285,Лист1!A$1:B$20,2,FALSE),0)</f>
        <v>784</v>
      </c>
      <c r="S1285" s="13">
        <f t="shared" ref="S1285:S1348" si="146">VALUE(E1285)</f>
        <v>0</v>
      </c>
    </row>
    <row r="1286" spans="1:19" x14ac:dyDescent="0.25">
      <c r="A1286" s="24" t="s">
        <v>2405</v>
      </c>
      <c r="B1286" s="4" t="s">
        <v>1059</v>
      </c>
      <c r="C1286" s="25" t="s">
        <v>8</v>
      </c>
      <c r="D1286" s="25" t="s">
        <v>5</v>
      </c>
      <c r="G1286" s="25" t="s">
        <v>1077</v>
      </c>
      <c r="H1286" s="24" t="s">
        <v>1061</v>
      </c>
      <c r="I1286" s="3" t="str">
        <f>IFERROR(VLOOKUP(C1286,'Справочник соответствий'!A$2:D$2981,2,FALSE),IF(VALUE(C1286)=0,1,VLOOKUP(C1286,'Справочник соответствий'!A$2:D$2981,2,FALSE)))</f>
        <v>3</v>
      </c>
      <c r="J1286" s="3" t="str">
        <f>IFERROR(VLOOKUP(D1286,'Справочник соответствий'!A$2:D$2981,2,FALSE),IF(VALUE(D1286)=0,0,VLOOKUP(D1286,'Справочник соответствий'!A$2:D$2981,2,FALSE)))</f>
        <v>1</v>
      </c>
      <c r="K1286" s="3" t="str">
        <f t="shared" si="140"/>
        <v>3</v>
      </c>
      <c r="L1286" s="13" t="str">
        <f>IFERROR(VLOOKUP(C1286,'Справочник соответствий'!A$2:D$2981,3,FALSE),IF(VALUE(C1286)=0,"ЭТАЖ НЕ ОПРЕДЕЛЕН. ПРИНЯТ ПО ДОПУЩЕНИЮ 1",VLOOKUP(C1286,'Справочник соответствий'!A$2:D$2981,3,FALSE)))</f>
        <v>ЭТАЖ ЗАДАН ЧИСЛОМ</v>
      </c>
      <c r="M1286" s="13" t="b">
        <f t="shared" si="141"/>
        <v>0</v>
      </c>
      <c r="N1286" s="13">
        <f t="shared" si="142"/>
        <v>3</v>
      </c>
      <c r="O1286" s="13" t="str">
        <f t="shared" si="143"/>
        <v>ЭТАЖ ЗАДАН ЧИСЛОМ</v>
      </c>
      <c r="P1286" s="13" t="str">
        <f t="shared" si="144"/>
        <v>ЭТАЖ ЗАДАН ЧИСЛОМ</v>
      </c>
      <c r="Q1286" s="13" t="str">
        <f t="shared" si="145"/>
        <v>ГОТОВ_ИЗМЕНЕН</v>
      </c>
      <c r="R1286" s="13">
        <f>IFERROR(VLOOKUP(P1286,Лист1!A$1:B$20,2,FALSE),0)</f>
        <v>784</v>
      </c>
      <c r="S1286" s="13">
        <f t="shared" si="146"/>
        <v>0</v>
      </c>
    </row>
    <row r="1287" spans="1:19" x14ac:dyDescent="0.25">
      <c r="A1287" s="24" t="s">
        <v>2406</v>
      </c>
      <c r="B1287" s="4" t="s">
        <v>1063</v>
      </c>
      <c r="C1287" s="25" t="s">
        <v>5</v>
      </c>
      <c r="G1287" s="25" t="s">
        <v>1077</v>
      </c>
      <c r="H1287" s="24" t="s">
        <v>1061</v>
      </c>
      <c r="I1287" s="3" t="str">
        <f>IFERROR(VLOOKUP(C1287,'Справочник соответствий'!A$2:D$2981,2,FALSE),IF(VALUE(C1287)=0,1,VLOOKUP(C1287,'Справочник соответствий'!A$2:D$2981,2,FALSE)))</f>
        <v>1</v>
      </c>
      <c r="J1287" s="3">
        <f>IFERROR(VLOOKUP(D1287,'Справочник соответствий'!A$2:D$2981,2,FALSE),IF(VALUE(D1287)=0,0,VLOOKUP(D1287,'Справочник соответствий'!A$2:D$2981,2,FALSE)))</f>
        <v>0</v>
      </c>
      <c r="K1287" s="3" t="str">
        <f t="shared" si="140"/>
        <v>1</v>
      </c>
      <c r="L1287" s="13" t="str">
        <f>IFERROR(VLOOKUP(C1287,'Справочник соответствий'!A$2:D$2981,3,FALSE),IF(VALUE(C1287)=0,"ЭТАЖ НЕ ОПРЕДЕЛЕН. ПРИНЯТ ПО ДОПУЩЕНИЮ 1",VLOOKUP(C1287,'Справочник соответствий'!A$2:D$2981,3,FALSE)))</f>
        <v>ЭТАЖ ЗАДАН ЧИСЛОМ</v>
      </c>
      <c r="M1287" s="13" t="b">
        <f t="shared" si="141"/>
        <v>0</v>
      </c>
      <c r="N1287" s="13">
        <f t="shared" si="142"/>
        <v>1</v>
      </c>
      <c r="O1287" s="13" t="str">
        <f t="shared" si="143"/>
        <v>ЭТАЖ ЗАДАН ЧИСЛОМ</v>
      </c>
      <c r="P1287" s="13" t="str">
        <f t="shared" si="144"/>
        <v>ЭТАЖ ЗАДАН ЧИСЛОМ</v>
      </c>
      <c r="Q1287" s="13" t="str">
        <f t="shared" si="145"/>
        <v>ГОТОВ_ИЗМЕНЕН</v>
      </c>
      <c r="R1287" s="13">
        <f>IFERROR(VLOOKUP(P1287,Лист1!A$1:B$20,2,FALSE),0)</f>
        <v>784</v>
      </c>
      <c r="S1287" s="13">
        <f t="shared" si="146"/>
        <v>0</v>
      </c>
    </row>
    <row r="1288" spans="1:19" x14ac:dyDescent="0.25">
      <c r="A1288" s="24" t="s">
        <v>2407</v>
      </c>
      <c r="B1288" s="4" t="s">
        <v>1059</v>
      </c>
      <c r="C1288" s="25" t="s">
        <v>5</v>
      </c>
      <c r="G1288" s="25" t="s">
        <v>1077</v>
      </c>
      <c r="H1288" s="24" t="s">
        <v>1061</v>
      </c>
      <c r="I1288" s="3" t="str">
        <f>IFERROR(VLOOKUP(C1288,'Справочник соответствий'!A$2:D$2981,2,FALSE),IF(VALUE(C1288)=0,1,VLOOKUP(C1288,'Справочник соответствий'!A$2:D$2981,2,FALSE)))</f>
        <v>1</v>
      </c>
      <c r="J1288" s="3">
        <f>IFERROR(VLOOKUP(D1288,'Справочник соответствий'!A$2:D$2981,2,FALSE),IF(VALUE(D1288)=0,0,VLOOKUP(D1288,'Справочник соответствий'!A$2:D$2981,2,FALSE)))</f>
        <v>0</v>
      </c>
      <c r="K1288" s="3" t="str">
        <f t="shared" si="140"/>
        <v>1</v>
      </c>
      <c r="L1288" s="13" t="str">
        <f>IFERROR(VLOOKUP(C1288,'Справочник соответствий'!A$2:D$2981,3,FALSE),IF(VALUE(C1288)=0,"ЭТАЖ НЕ ОПРЕДЕЛЕН. ПРИНЯТ ПО ДОПУЩЕНИЮ 1",VLOOKUP(C1288,'Справочник соответствий'!A$2:D$2981,3,FALSE)))</f>
        <v>ЭТАЖ ЗАДАН ЧИСЛОМ</v>
      </c>
      <c r="M1288" s="13" t="b">
        <f t="shared" si="141"/>
        <v>0</v>
      </c>
      <c r="N1288" s="13">
        <f t="shared" si="142"/>
        <v>1</v>
      </c>
      <c r="O1288" s="13" t="str">
        <f t="shared" si="143"/>
        <v>ЭТАЖ ЗАДАН ЧИСЛОМ</v>
      </c>
      <c r="P1288" s="13" t="str">
        <f t="shared" si="144"/>
        <v>ЭТАЖ ЗАДАН ЧИСЛОМ</v>
      </c>
      <c r="Q1288" s="13" t="str">
        <f t="shared" si="145"/>
        <v>ГОТОВ_ИЗМЕНЕН</v>
      </c>
      <c r="R1288" s="13">
        <f>IFERROR(VLOOKUP(P1288,Лист1!A$1:B$20,2,FALSE),0)</f>
        <v>784</v>
      </c>
      <c r="S1288" s="13">
        <f t="shared" si="146"/>
        <v>0</v>
      </c>
    </row>
    <row r="1289" spans="1:19" x14ac:dyDescent="0.25">
      <c r="A1289" s="24" t="s">
        <v>2408</v>
      </c>
      <c r="B1289" s="4" t="s">
        <v>1063</v>
      </c>
      <c r="C1289" s="25" t="s">
        <v>7</v>
      </c>
      <c r="G1289" s="25" t="s">
        <v>1077</v>
      </c>
      <c r="H1289" s="24" t="s">
        <v>1061</v>
      </c>
      <c r="I1289" s="3" t="str">
        <f>IFERROR(VLOOKUP(C1289,'Справочник соответствий'!A$2:D$2981,2,FALSE),IF(VALUE(C1289)=0,1,VLOOKUP(C1289,'Справочник соответствий'!A$2:D$2981,2,FALSE)))</f>
        <v>2</v>
      </c>
      <c r="J1289" s="3">
        <f>IFERROR(VLOOKUP(D1289,'Справочник соответствий'!A$2:D$2981,2,FALSE),IF(VALUE(D1289)=0,0,VLOOKUP(D1289,'Справочник соответствий'!A$2:D$2981,2,FALSE)))</f>
        <v>0</v>
      </c>
      <c r="K1289" s="3" t="str">
        <f t="shared" si="140"/>
        <v>2</v>
      </c>
      <c r="L1289" s="13" t="str">
        <f>IFERROR(VLOOKUP(C1289,'Справочник соответствий'!A$2:D$2981,3,FALSE),IF(VALUE(C1289)=0,"ЭТАЖ НЕ ОПРЕДЕЛЕН. ПРИНЯТ ПО ДОПУЩЕНИЮ 1",VLOOKUP(C1289,'Справочник соответствий'!A$2:D$2981,3,FALSE)))</f>
        <v>ЭТАЖ ЗАДАН ЧИСЛОМ</v>
      </c>
      <c r="M1289" s="13" t="b">
        <f t="shared" si="141"/>
        <v>0</v>
      </c>
      <c r="N1289" s="13">
        <f t="shared" si="142"/>
        <v>2</v>
      </c>
      <c r="O1289" s="13" t="str">
        <f t="shared" si="143"/>
        <v>ЭТАЖ ЗАДАН ЧИСЛОМ</v>
      </c>
      <c r="P1289" s="13" t="str">
        <f t="shared" si="144"/>
        <v>ЭТАЖ ЗАДАН ЧИСЛОМ</v>
      </c>
      <c r="Q1289" s="13" t="str">
        <f t="shared" si="145"/>
        <v>ГОТОВ_ИЗМЕНЕН</v>
      </c>
      <c r="R1289" s="13">
        <f>IFERROR(VLOOKUP(P1289,Лист1!A$1:B$20,2,FALSE),0)</f>
        <v>784</v>
      </c>
      <c r="S1289" s="13">
        <f t="shared" si="146"/>
        <v>0</v>
      </c>
    </row>
    <row r="1290" spans="1:19" x14ac:dyDescent="0.25">
      <c r="A1290" s="24" t="s">
        <v>2409</v>
      </c>
      <c r="B1290" s="4" t="s">
        <v>1059</v>
      </c>
      <c r="G1290" s="25" t="s">
        <v>1086</v>
      </c>
      <c r="H1290" s="24" t="s">
        <v>1061</v>
      </c>
      <c r="I1290" s="3">
        <f>IFERROR(VLOOKUP(C1290,'Справочник соответствий'!A$2:D$2981,2,FALSE),IF(VALUE(C1290)=0,1,VLOOKUP(C1290,'Справочник соответствий'!A$2:D$2981,2,FALSE)))</f>
        <v>1</v>
      </c>
      <c r="J1290" s="3">
        <f>IFERROR(VLOOKUP(D1290,'Справочник соответствий'!A$2:D$2981,2,FALSE),IF(VALUE(D1290)=0,0,VLOOKUP(D1290,'Справочник соответствий'!A$2:D$2981,2,FALSE)))</f>
        <v>0</v>
      </c>
      <c r="K1290" s="3">
        <f t="shared" si="140"/>
        <v>1</v>
      </c>
      <c r="L1290" s="13" t="str">
        <f>IFERROR(VLOOKUP(C1290,'Справочник соответствий'!A$2:D$2981,3,FALSE),IF(VALUE(C1290)=0,"ЭТАЖ НЕ ОПРЕДЕЛЕН. ПРИНЯТ ПО ДОПУЩЕНИЮ 1",VLOOKUP(C1290,'Справочник соответствий'!A$2:D$2981,3,FALSE)))</f>
        <v>ЭТАЖ НЕ ОПРЕДЕЛЕН. ПРИНЯТ ПО ДОПУЩЕНИЮ 1</v>
      </c>
      <c r="M1290" s="13" t="b">
        <f t="shared" si="141"/>
        <v>0</v>
      </c>
      <c r="N1290" s="13">
        <f t="shared" si="142"/>
        <v>1</v>
      </c>
      <c r="O1290" s="13" t="str">
        <f t="shared" si="143"/>
        <v>ЭТАЖ НЕ ОПРЕДЕЛЕН. ПРИНЯТ ПО ДОПУЩЕНИЮ 1</v>
      </c>
      <c r="P1290" s="13" t="str">
        <f t="shared" si="144"/>
        <v>ЭТАЖ НЕ ОПРЕДЕЛЕН. ПРИНЯТ ПО ДОПУЩЕНИЮ 1</v>
      </c>
      <c r="Q1290" s="13" t="str">
        <f t="shared" si="145"/>
        <v>ГОТОВ_ИЗМЕНЕН</v>
      </c>
      <c r="R1290" s="13">
        <f>IFERROR(VLOOKUP(P1290,Лист1!A$1:B$20,2,FALSE),0)</f>
        <v>788</v>
      </c>
      <c r="S1290" s="13">
        <f t="shared" si="146"/>
        <v>0</v>
      </c>
    </row>
    <row r="1291" spans="1:19" x14ac:dyDescent="0.25">
      <c r="A1291" s="24" t="s">
        <v>2410</v>
      </c>
      <c r="B1291" s="4" t="s">
        <v>1063</v>
      </c>
      <c r="C1291" s="25" t="s">
        <v>7</v>
      </c>
      <c r="G1291" s="25" t="s">
        <v>1150</v>
      </c>
      <c r="H1291" s="24" t="s">
        <v>1061</v>
      </c>
      <c r="I1291" s="3" t="str">
        <f>IFERROR(VLOOKUP(C1291,'Справочник соответствий'!A$2:D$2981,2,FALSE),IF(VALUE(C1291)=0,1,VLOOKUP(C1291,'Справочник соответствий'!A$2:D$2981,2,FALSE)))</f>
        <v>2</v>
      </c>
      <c r="J1291" s="3">
        <f>IFERROR(VLOOKUP(D1291,'Справочник соответствий'!A$2:D$2981,2,FALSE),IF(VALUE(D1291)=0,0,VLOOKUP(D1291,'Справочник соответствий'!A$2:D$2981,2,FALSE)))</f>
        <v>0</v>
      </c>
      <c r="K1291" s="3" t="str">
        <f t="shared" si="140"/>
        <v>2</v>
      </c>
      <c r="L1291" s="13" t="str">
        <f>IFERROR(VLOOKUP(C1291,'Справочник соответствий'!A$2:D$2981,3,FALSE),IF(VALUE(C1291)=0,"ЭТАЖ НЕ ОПРЕДЕЛЕН. ПРИНЯТ ПО ДОПУЩЕНИЮ 1",VLOOKUP(C1291,'Справочник соответствий'!A$2:D$2981,3,FALSE)))</f>
        <v>ЭТАЖ ЗАДАН ЧИСЛОМ</v>
      </c>
      <c r="M1291" s="13" t="b">
        <f t="shared" si="141"/>
        <v>0</v>
      </c>
      <c r="N1291" s="13">
        <f t="shared" si="142"/>
        <v>2</v>
      </c>
      <c r="O1291" s="13" t="str">
        <f t="shared" si="143"/>
        <v>ЭТАЖ ЗАДАН ЧИСЛОМ</v>
      </c>
      <c r="P1291" s="13" t="str">
        <f t="shared" si="144"/>
        <v>ЭТАЖ ЗАДАН ЧИСЛОМ</v>
      </c>
      <c r="Q1291" s="13" t="str">
        <f t="shared" si="145"/>
        <v>ГОТОВ_ИЗМЕНЕН</v>
      </c>
      <c r="R1291" s="13">
        <f>IFERROR(VLOOKUP(P1291,Лист1!A$1:B$20,2,FALSE),0)</f>
        <v>784</v>
      </c>
      <c r="S1291" s="13">
        <f t="shared" si="146"/>
        <v>0</v>
      </c>
    </row>
    <row r="1292" spans="1:19" x14ac:dyDescent="0.25">
      <c r="A1292" s="24" t="s">
        <v>2411</v>
      </c>
      <c r="B1292" s="4" t="s">
        <v>1059</v>
      </c>
      <c r="C1292" s="25" t="s">
        <v>7</v>
      </c>
      <c r="G1292" s="25" t="s">
        <v>1150</v>
      </c>
      <c r="H1292" s="24" t="s">
        <v>1061</v>
      </c>
      <c r="I1292" s="3" t="str">
        <f>IFERROR(VLOOKUP(C1292,'Справочник соответствий'!A$2:D$2981,2,FALSE),IF(VALUE(C1292)=0,1,VLOOKUP(C1292,'Справочник соответствий'!A$2:D$2981,2,FALSE)))</f>
        <v>2</v>
      </c>
      <c r="J1292" s="3">
        <f>IFERROR(VLOOKUP(D1292,'Справочник соответствий'!A$2:D$2981,2,FALSE),IF(VALUE(D1292)=0,0,VLOOKUP(D1292,'Справочник соответствий'!A$2:D$2981,2,FALSE)))</f>
        <v>0</v>
      </c>
      <c r="K1292" s="3" t="str">
        <f t="shared" si="140"/>
        <v>2</v>
      </c>
      <c r="L1292" s="13" t="str">
        <f>IFERROR(VLOOKUP(C1292,'Справочник соответствий'!A$2:D$2981,3,FALSE),IF(VALUE(C1292)=0,"ЭТАЖ НЕ ОПРЕДЕЛЕН. ПРИНЯТ ПО ДОПУЩЕНИЮ 1",VLOOKUP(C1292,'Справочник соответствий'!A$2:D$2981,3,FALSE)))</f>
        <v>ЭТАЖ ЗАДАН ЧИСЛОМ</v>
      </c>
      <c r="M1292" s="13" t="b">
        <f t="shared" si="141"/>
        <v>0</v>
      </c>
      <c r="N1292" s="13">
        <f t="shared" si="142"/>
        <v>2</v>
      </c>
      <c r="O1292" s="13" t="str">
        <f t="shared" si="143"/>
        <v>ЭТАЖ ЗАДАН ЧИСЛОМ</v>
      </c>
      <c r="P1292" s="13" t="str">
        <f t="shared" si="144"/>
        <v>ЭТАЖ ЗАДАН ЧИСЛОМ</v>
      </c>
      <c r="Q1292" s="13" t="str">
        <f t="shared" si="145"/>
        <v>ГОТОВ_ИЗМЕНЕН</v>
      </c>
      <c r="R1292" s="13">
        <f>IFERROR(VLOOKUP(P1292,Лист1!A$1:B$20,2,FALSE),0)</f>
        <v>784</v>
      </c>
      <c r="S1292" s="13">
        <f t="shared" si="146"/>
        <v>0</v>
      </c>
    </row>
    <row r="1293" spans="1:19" x14ac:dyDescent="0.25">
      <c r="A1293" s="24" t="s">
        <v>2412</v>
      </c>
      <c r="B1293" s="4" t="s">
        <v>1059</v>
      </c>
      <c r="C1293" s="25" t="s">
        <v>5</v>
      </c>
      <c r="G1293" s="25" t="s">
        <v>1086</v>
      </c>
      <c r="H1293" s="24" t="s">
        <v>1061</v>
      </c>
      <c r="I1293" s="3" t="str">
        <f>IFERROR(VLOOKUP(C1293,'Справочник соответствий'!A$2:D$2981,2,FALSE),IF(VALUE(C1293)=0,1,VLOOKUP(C1293,'Справочник соответствий'!A$2:D$2981,2,FALSE)))</f>
        <v>1</v>
      </c>
      <c r="J1293" s="3">
        <f>IFERROR(VLOOKUP(D1293,'Справочник соответствий'!A$2:D$2981,2,FALSE),IF(VALUE(D1293)=0,0,VLOOKUP(D1293,'Справочник соответствий'!A$2:D$2981,2,FALSE)))</f>
        <v>0</v>
      </c>
      <c r="K1293" s="3" t="str">
        <f t="shared" si="140"/>
        <v>1</v>
      </c>
      <c r="L1293" s="13" t="str">
        <f>IFERROR(VLOOKUP(C1293,'Справочник соответствий'!A$2:D$2981,3,FALSE),IF(VALUE(C1293)=0,"ЭТАЖ НЕ ОПРЕДЕЛЕН. ПРИНЯТ ПО ДОПУЩЕНИЮ 1",VLOOKUP(C1293,'Справочник соответствий'!A$2:D$2981,3,FALSE)))</f>
        <v>ЭТАЖ ЗАДАН ЧИСЛОМ</v>
      </c>
      <c r="M1293" s="13" t="b">
        <f t="shared" si="141"/>
        <v>0</v>
      </c>
      <c r="N1293" s="13">
        <f t="shared" si="142"/>
        <v>1</v>
      </c>
      <c r="O1293" s="13" t="str">
        <f t="shared" si="143"/>
        <v>ЭТАЖ ЗАДАН ЧИСЛОМ</v>
      </c>
      <c r="P1293" s="13" t="str">
        <f t="shared" si="144"/>
        <v>ЭТАЖ ЗАДАН ЧИСЛОМ</v>
      </c>
      <c r="Q1293" s="13" t="str">
        <f t="shared" si="145"/>
        <v>ГОТОВ_ИЗМЕНЕН</v>
      </c>
      <c r="R1293" s="13">
        <f>IFERROR(VLOOKUP(P1293,Лист1!A$1:B$20,2,FALSE),0)</f>
        <v>784</v>
      </c>
      <c r="S1293" s="13">
        <f t="shared" si="146"/>
        <v>0</v>
      </c>
    </row>
    <row r="1294" spans="1:19" x14ac:dyDescent="0.25">
      <c r="A1294" s="24" t="s">
        <v>2413</v>
      </c>
      <c r="B1294" s="4" t="s">
        <v>1059</v>
      </c>
      <c r="C1294" s="25" t="s">
        <v>7</v>
      </c>
      <c r="G1294" s="25" t="s">
        <v>1086</v>
      </c>
      <c r="H1294" s="24" t="s">
        <v>1061</v>
      </c>
      <c r="I1294" s="3" t="str">
        <f>IFERROR(VLOOKUP(C1294,'Справочник соответствий'!A$2:D$2981,2,FALSE),IF(VALUE(C1294)=0,1,VLOOKUP(C1294,'Справочник соответствий'!A$2:D$2981,2,FALSE)))</f>
        <v>2</v>
      </c>
      <c r="J1294" s="3">
        <f>IFERROR(VLOOKUP(D1294,'Справочник соответствий'!A$2:D$2981,2,FALSE),IF(VALUE(D1294)=0,0,VLOOKUP(D1294,'Справочник соответствий'!A$2:D$2981,2,FALSE)))</f>
        <v>0</v>
      </c>
      <c r="K1294" s="3" t="str">
        <f t="shared" si="140"/>
        <v>2</v>
      </c>
      <c r="L1294" s="13" t="str">
        <f>IFERROR(VLOOKUP(C1294,'Справочник соответствий'!A$2:D$2981,3,FALSE),IF(VALUE(C1294)=0,"ЭТАЖ НЕ ОПРЕДЕЛЕН. ПРИНЯТ ПО ДОПУЩЕНИЮ 1",VLOOKUP(C1294,'Справочник соответствий'!A$2:D$2981,3,FALSE)))</f>
        <v>ЭТАЖ ЗАДАН ЧИСЛОМ</v>
      </c>
      <c r="M1294" s="13" t="b">
        <f t="shared" si="141"/>
        <v>0</v>
      </c>
      <c r="N1294" s="13">
        <f t="shared" si="142"/>
        <v>2</v>
      </c>
      <c r="O1294" s="13" t="str">
        <f t="shared" si="143"/>
        <v>ЭТАЖ ЗАДАН ЧИСЛОМ</v>
      </c>
      <c r="P1294" s="13" t="str">
        <f t="shared" si="144"/>
        <v>ЭТАЖ ЗАДАН ЧИСЛОМ</v>
      </c>
      <c r="Q1294" s="13" t="str">
        <f t="shared" si="145"/>
        <v>ГОТОВ_ИЗМЕНЕН</v>
      </c>
      <c r="R1294" s="13">
        <f>IFERROR(VLOOKUP(P1294,Лист1!A$1:B$20,2,FALSE),0)</f>
        <v>784</v>
      </c>
      <c r="S1294" s="13">
        <f t="shared" si="146"/>
        <v>0</v>
      </c>
    </row>
    <row r="1295" spans="1:19" x14ac:dyDescent="0.25">
      <c r="A1295" s="24" t="s">
        <v>2414</v>
      </c>
      <c r="B1295" s="4" t="s">
        <v>1031</v>
      </c>
      <c r="C1295" s="25" t="s">
        <v>16</v>
      </c>
      <c r="G1295" s="25" t="s">
        <v>1086</v>
      </c>
      <c r="H1295" s="24" t="s">
        <v>1061</v>
      </c>
      <c r="I1295" s="3" t="str">
        <f>IFERROR(VLOOKUP(C1295,'Справочник соответствий'!A$2:D$2981,2,FALSE),IF(VALUE(C1295)=0,1,VLOOKUP(C1295,'Справочник соответствий'!A$2:D$2981,2,FALSE)))</f>
        <v>5</v>
      </c>
      <c r="J1295" s="3">
        <f>IFERROR(VLOOKUP(D1295,'Справочник соответствий'!A$2:D$2981,2,FALSE),IF(VALUE(D1295)=0,0,VLOOKUP(D1295,'Справочник соответствий'!A$2:D$2981,2,FALSE)))</f>
        <v>0</v>
      </c>
      <c r="K1295" s="3">
        <f t="shared" si="140"/>
        <v>5</v>
      </c>
      <c r="L1295" s="13" t="str">
        <f>IFERROR(VLOOKUP(C1295,'Справочник соответствий'!A$2:D$2981,3,FALSE),IF(VALUE(C1295)=0,"ЭТАЖ НЕ ОПРЕДЕЛЕН. ПРИНЯТ ПО ДОПУЩЕНИЮ 1",VLOOKUP(C1295,'Справочник соответствий'!A$2:D$2981,3,FALSE)))</f>
        <v>ЭТАЖ ЗАДАН ЧИСЛОМ</v>
      </c>
      <c r="M1295" s="13" t="b">
        <f t="shared" si="141"/>
        <v>0</v>
      </c>
      <c r="N1295" s="13">
        <f t="shared" si="142"/>
        <v>5</v>
      </c>
      <c r="O1295" s="13" t="str">
        <f t="shared" si="143"/>
        <v>ЭТАЖ ЗАДАН ЧИСЛОМ</v>
      </c>
      <c r="P1295" s="13" t="str">
        <f t="shared" si="144"/>
        <v>МКД_ЭТАЖ ЗАДАН ЧИСЛОМ</v>
      </c>
      <c r="Q1295" s="13" t="str">
        <f t="shared" si="145"/>
        <v>ГОТОВ_ИЗМЕНЕН</v>
      </c>
      <c r="R1295" s="13">
        <f>IFERROR(VLOOKUP(P1295,Лист1!A$1:B$20,2,FALSE),0)</f>
        <v>786</v>
      </c>
      <c r="S1295" s="13">
        <f t="shared" si="146"/>
        <v>0</v>
      </c>
    </row>
    <row r="1296" spans="1:19" x14ac:dyDescent="0.25">
      <c r="A1296" s="24" t="s">
        <v>2415</v>
      </c>
      <c r="B1296" s="4" t="s">
        <v>1059</v>
      </c>
      <c r="C1296" s="25" t="s">
        <v>5</v>
      </c>
      <c r="G1296" s="25" t="s">
        <v>1086</v>
      </c>
      <c r="H1296" s="24" t="s">
        <v>1061</v>
      </c>
      <c r="I1296" s="3" t="str">
        <f>IFERROR(VLOOKUP(C1296,'Справочник соответствий'!A$2:D$2981,2,FALSE),IF(VALUE(C1296)=0,1,VLOOKUP(C1296,'Справочник соответствий'!A$2:D$2981,2,FALSE)))</f>
        <v>1</v>
      </c>
      <c r="J1296" s="3">
        <f>IFERROR(VLOOKUP(D1296,'Справочник соответствий'!A$2:D$2981,2,FALSE),IF(VALUE(D1296)=0,0,VLOOKUP(D1296,'Справочник соответствий'!A$2:D$2981,2,FALSE)))</f>
        <v>0</v>
      </c>
      <c r="K1296" s="3" t="str">
        <f t="shared" si="140"/>
        <v>1</v>
      </c>
      <c r="L1296" s="13" t="str">
        <f>IFERROR(VLOOKUP(C1296,'Справочник соответствий'!A$2:D$2981,3,FALSE),IF(VALUE(C1296)=0,"ЭТАЖ НЕ ОПРЕДЕЛЕН. ПРИНЯТ ПО ДОПУЩЕНИЮ 1",VLOOKUP(C1296,'Справочник соответствий'!A$2:D$2981,3,FALSE)))</f>
        <v>ЭТАЖ ЗАДАН ЧИСЛОМ</v>
      </c>
      <c r="M1296" s="13" t="b">
        <f t="shared" si="141"/>
        <v>0</v>
      </c>
      <c r="N1296" s="13">
        <f t="shared" si="142"/>
        <v>1</v>
      </c>
      <c r="O1296" s="13" t="str">
        <f t="shared" si="143"/>
        <v>ЭТАЖ ЗАДАН ЧИСЛОМ</v>
      </c>
      <c r="P1296" s="13" t="str">
        <f t="shared" si="144"/>
        <v>ЭТАЖ ЗАДАН ЧИСЛОМ</v>
      </c>
      <c r="Q1296" s="13" t="str">
        <f t="shared" si="145"/>
        <v>ГОТОВ_ИЗМЕНЕН</v>
      </c>
      <c r="R1296" s="13">
        <f>IFERROR(VLOOKUP(P1296,Лист1!A$1:B$20,2,FALSE),0)</f>
        <v>784</v>
      </c>
      <c r="S1296" s="13">
        <f t="shared" si="146"/>
        <v>0</v>
      </c>
    </row>
    <row r="1297" spans="1:19" x14ac:dyDescent="0.25">
      <c r="A1297" s="24" t="s">
        <v>2416</v>
      </c>
      <c r="B1297" s="4" t="s">
        <v>1059</v>
      </c>
      <c r="C1297" s="25" t="s">
        <v>7</v>
      </c>
      <c r="G1297" s="25" t="s">
        <v>1086</v>
      </c>
      <c r="H1297" s="24" t="s">
        <v>1061</v>
      </c>
      <c r="I1297" s="3" t="str">
        <f>IFERROR(VLOOKUP(C1297,'Справочник соответствий'!A$2:D$2981,2,FALSE),IF(VALUE(C1297)=0,1,VLOOKUP(C1297,'Справочник соответствий'!A$2:D$2981,2,FALSE)))</f>
        <v>2</v>
      </c>
      <c r="J1297" s="3">
        <f>IFERROR(VLOOKUP(D1297,'Справочник соответствий'!A$2:D$2981,2,FALSE),IF(VALUE(D1297)=0,0,VLOOKUP(D1297,'Справочник соответствий'!A$2:D$2981,2,FALSE)))</f>
        <v>0</v>
      </c>
      <c r="K1297" s="3" t="str">
        <f t="shared" si="140"/>
        <v>2</v>
      </c>
      <c r="L1297" s="13" t="str">
        <f>IFERROR(VLOOKUP(C1297,'Справочник соответствий'!A$2:D$2981,3,FALSE),IF(VALUE(C1297)=0,"ЭТАЖ НЕ ОПРЕДЕЛЕН. ПРИНЯТ ПО ДОПУЩЕНИЮ 1",VLOOKUP(C1297,'Справочник соответствий'!A$2:D$2981,3,FALSE)))</f>
        <v>ЭТАЖ ЗАДАН ЧИСЛОМ</v>
      </c>
      <c r="M1297" s="13" t="b">
        <f t="shared" si="141"/>
        <v>0</v>
      </c>
      <c r="N1297" s="13">
        <f t="shared" si="142"/>
        <v>2</v>
      </c>
      <c r="O1297" s="13" t="str">
        <f t="shared" si="143"/>
        <v>ЭТАЖ ЗАДАН ЧИСЛОМ</v>
      </c>
      <c r="P1297" s="13" t="str">
        <f t="shared" si="144"/>
        <v>ЭТАЖ ЗАДАН ЧИСЛОМ</v>
      </c>
      <c r="Q1297" s="13" t="str">
        <f t="shared" si="145"/>
        <v>ГОТОВ_ИЗМЕНЕН</v>
      </c>
      <c r="R1297" s="13">
        <f>IFERROR(VLOOKUP(P1297,Лист1!A$1:B$20,2,FALSE),0)</f>
        <v>784</v>
      </c>
      <c r="S1297" s="13">
        <f t="shared" si="146"/>
        <v>0</v>
      </c>
    </row>
    <row r="1298" spans="1:19" x14ac:dyDescent="0.25">
      <c r="A1298" s="24" t="s">
        <v>2417</v>
      </c>
      <c r="B1298" s="4" t="s">
        <v>1059</v>
      </c>
      <c r="C1298" s="25" t="s">
        <v>5</v>
      </c>
      <c r="G1298" s="25" t="s">
        <v>1086</v>
      </c>
      <c r="H1298" s="24" t="s">
        <v>1061</v>
      </c>
      <c r="I1298" s="3" t="str">
        <f>IFERROR(VLOOKUP(C1298,'Справочник соответствий'!A$2:D$2981,2,FALSE),IF(VALUE(C1298)=0,1,VLOOKUP(C1298,'Справочник соответствий'!A$2:D$2981,2,FALSE)))</f>
        <v>1</v>
      </c>
      <c r="J1298" s="3">
        <f>IFERROR(VLOOKUP(D1298,'Справочник соответствий'!A$2:D$2981,2,FALSE),IF(VALUE(D1298)=0,0,VLOOKUP(D1298,'Справочник соответствий'!A$2:D$2981,2,FALSE)))</f>
        <v>0</v>
      </c>
      <c r="K1298" s="3" t="str">
        <f t="shared" si="140"/>
        <v>1</v>
      </c>
      <c r="L1298" s="13" t="str">
        <f>IFERROR(VLOOKUP(C1298,'Справочник соответствий'!A$2:D$2981,3,FALSE),IF(VALUE(C1298)=0,"ЭТАЖ НЕ ОПРЕДЕЛЕН. ПРИНЯТ ПО ДОПУЩЕНИЮ 1",VLOOKUP(C1298,'Справочник соответствий'!A$2:D$2981,3,FALSE)))</f>
        <v>ЭТАЖ ЗАДАН ЧИСЛОМ</v>
      </c>
      <c r="M1298" s="13" t="b">
        <f t="shared" si="141"/>
        <v>0</v>
      </c>
      <c r="N1298" s="13">
        <f t="shared" si="142"/>
        <v>1</v>
      </c>
      <c r="O1298" s="13" t="str">
        <f t="shared" si="143"/>
        <v>ЭТАЖ ЗАДАН ЧИСЛОМ</v>
      </c>
      <c r="P1298" s="13" t="str">
        <f t="shared" si="144"/>
        <v>ЭТАЖ ЗАДАН ЧИСЛОМ</v>
      </c>
      <c r="Q1298" s="13" t="str">
        <f t="shared" si="145"/>
        <v>ГОТОВ_ИЗМЕНЕН</v>
      </c>
      <c r="R1298" s="13">
        <f>IFERROR(VLOOKUP(P1298,Лист1!A$1:B$20,2,FALSE),0)</f>
        <v>784</v>
      </c>
      <c r="S1298" s="13">
        <f t="shared" si="146"/>
        <v>0</v>
      </c>
    </row>
    <row r="1299" spans="1:19" x14ac:dyDescent="0.25">
      <c r="A1299" s="24" t="s">
        <v>2418</v>
      </c>
      <c r="B1299" s="4" t="s">
        <v>1063</v>
      </c>
      <c r="C1299" s="25" t="s">
        <v>5</v>
      </c>
      <c r="G1299" s="25" t="s">
        <v>1086</v>
      </c>
      <c r="H1299" s="24" t="s">
        <v>1061</v>
      </c>
      <c r="I1299" s="3" t="str">
        <f>IFERROR(VLOOKUP(C1299,'Справочник соответствий'!A$2:D$2981,2,FALSE),IF(VALUE(C1299)=0,1,VLOOKUP(C1299,'Справочник соответствий'!A$2:D$2981,2,FALSE)))</f>
        <v>1</v>
      </c>
      <c r="J1299" s="3">
        <f>IFERROR(VLOOKUP(D1299,'Справочник соответствий'!A$2:D$2981,2,FALSE),IF(VALUE(D1299)=0,0,VLOOKUP(D1299,'Справочник соответствий'!A$2:D$2981,2,FALSE)))</f>
        <v>0</v>
      </c>
      <c r="K1299" s="3" t="str">
        <f t="shared" si="140"/>
        <v>1</v>
      </c>
      <c r="L1299" s="13" t="str">
        <f>IFERROR(VLOOKUP(C1299,'Справочник соответствий'!A$2:D$2981,3,FALSE),IF(VALUE(C1299)=0,"ЭТАЖ НЕ ОПРЕДЕЛЕН. ПРИНЯТ ПО ДОПУЩЕНИЮ 1",VLOOKUP(C1299,'Справочник соответствий'!A$2:D$2981,3,FALSE)))</f>
        <v>ЭТАЖ ЗАДАН ЧИСЛОМ</v>
      </c>
      <c r="M1299" s="13" t="b">
        <f t="shared" si="141"/>
        <v>0</v>
      </c>
      <c r="N1299" s="13">
        <f t="shared" si="142"/>
        <v>1</v>
      </c>
      <c r="O1299" s="13" t="str">
        <f t="shared" si="143"/>
        <v>ЭТАЖ ЗАДАН ЧИСЛОМ</v>
      </c>
      <c r="P1299" s="13" t="str">
        <f t="shared" si="144"/>
        <v>ЭТАЖ ЗАДАН ЧИСЛОМ</v>
      </c>
      <c r="Q1299" s="13" t="str">
        <f t="shared" si="145"/>
        <v>ГОТОВ_ИЗМЕНЕН</v>
      </c>
      <c r="R1299" s="13">
        <f>IFERROR(VLOOKUP(P1299,Лист1!A$1:B$20,2,FALSE),0)</f>
        <v>784</v>
      </c>
      <c r="S1299" s="13">
        <f t="shared" si="146"/>
        <v>0</v>
      </c>
    </row>
    <row r="1300" spans="1:19" x14ac:dyDescent="0.25">
      <c r="A1300" s="24" t="s">
        <v>2419</v>
      </c>
      <c r="B1300" s="4" t="s">
        <v>1059</v>
      </c>
      <c r="C1300" s="25" t="s">
        <v>7</v>
      </c>
      <c r="G1300" s="25" t="s">
        <v>1382</v>
      </c>
      <c r="H1300" s="24" t="s">
        <v>1061</v>
      </c>
      <c r="I1300" s="3" t="str">
        <f>IFERROR(VLOOKUP(C1300,'Справочник соответствий'!A$2:D$2981,2,FALSE),IF(VALUE(C1300)=0,1,VLOOKUP(C1300,'Справочник соответствий'!A$2:D$2981,2,FALSE)))</f>
        <v>2</v>
      </c>
      <c r="J1300" s="3">
        <f>IFERROR(VLOOKUP(D1300,'Справочник соответствий'!A$2:D$2981,2,FALSE),IF(VALUE(D1300)=0,0,VLOOKUP(D1300,'Справочник соответствий'!A$2:D$2981,2,FALSE)))</f>
        <v>0</v>
      </c>
      <c r="K1300" s="3" t="str">
        <f t="shared" si="140"/>
        <v>2</v>
      </c>
      <c r="L1300" s="13" t="str">
        <f>IFERROR(VLOOKUP(C1300,'Справочник соответствий'!A$2:D$2981,3,FALSE),IF(VALUE(C1300)=0,"ЭТАЖ НЕ ОПРЕДЕЛЕН. ПРИНЯТ ПО ДОПУЩЕНИЮ 1",VLOOKUP(C1300,'Справочник соответствий'!A$2:D$2981,3,FALSE)))</f>
        <v>ЭТАЖ ЗАДАН ЧИСЛОМ</v>
      </c>
      <c r="M1300" s="13" t="b">
        <f t="shared" si="141"/>
        <v>0</v>
      </c>
      <c r="N1300" s="13">
        <f t="shared" si="142"/>
        <v>2</v>
      </c>
      <c r="O1300" s="13" t="str">
        <f t="shared" si="143"/>
        <v>ЭТАЖ ЗАДАН ЧИСЛОМ</v>
      </c>
      <c r="P1300" s="13" t="str">
        <f t="shared" si="144"/>
        <v>ЭТАЖ ЗАДАН ЧИСЛОМ</v>
      </c>
      <c r="Q1300" s="13" t="str">
        <f t="shared" si="145"/>
        <v>ГОТОВ_ИЗМЕНЕН</v>
      </c>
      <c r="R1300" s="13">
        <f>IFERROR(VLOOKUP(P1300,Лист1!A$1:B$20,2,FALSE),0)</f>
        <v>784</v>
      </c>
      <c r="S1300" s="13">
        <f t="shared" si="146"/>
        <v>0</v>
      </c>
    </row>
    <row r="1301" spans="1:19" x14ac:dyDescent="0.25">
      <c r="A1301" s="24" t="s">
        <v>2420</v>
      </c>
      <c r="B1301" s="4" t="s">
        <v>1063</v>
      </c>
      <c r="C1301" s="25" t="s">
        <v>5</v>
      </c>
      <c r="G1301" s="25" t="s">
        <v>1382</v>
      </c>
      <c r="H1301" s="24" t="s">
        <v>1061</v>
      </c>
      <c r="I1301" s="3" t="str">
        <f>IFERROR(VLOOKUP(C1301,'Справочник соответствий'!A$2:D$2981,2,FALSE),IF(VALUE(C1301)=0,1,VLOOKUP(C1301,'Справочник соответствий'!A$2:D$2981,2,FALSE)))</f>
        <v>1</v>
      </c>
      <c r="J1301" s="3">
        <f>IFERROR(VLOOKUP(D1301,'Справочник соответствий'!A$2:D$2981,2,FALSE),IF(VALUE(D1301)=0,0,VLOOKUP(D1301,'Справочник соответствий'!A$2:D$2981,2,FALSE)))</f>
        <v>0</v>
      </c>
      <c r="K1301" s="3" t="str">
        <f t="shared" si="140"/>
        <v>1</v>
      </c>
      <c r="L1301" s="13" t="str">
        <f>IFERROR(VLOOKUP(C1301,'Справочник соответствий'!A$2:D$2981,3,FALSE),IF(VALUE(C1301)=0,"ЭТАЖ НЕ ОПРЕДЕЛЕН. ПРИНЯТ ПО ДОПУЩЕНИЮ 1",VLOOKUP(C1301,'Справочник соответствий'!A$2:D$2981,3,FALSE)))</f>
        <v>ЭТАЖ ЗАДАН ЧИСЛОМ</v>
      </c>
      <c r="M1301" s="13" t="b">
        <f t="shared" si="141"/>
        <v>0</v>
      </c>
      <c r="N1301" s="13">
        <f t="shared" si="142"/>
        <v>1</v>
      </c>
      <c r="O1301" s="13" t="str">
        <f t="shared" si="143"/>
        <v>ЭТАЖ ЗАДАН ЧИСЛОМ</v>
      </c>
      <c r="P1301" s="13" t="str">
        <f t="shared" si="144"/>
        <v>ЭТАЖ ЗАДАН ЧИСЛОМ</v>
      </c>
      <c r="Q1301" s="13" t="str">
        <f t="shared" si="145"/>
        <v>ГОТОВ_ИЗМЕНЕН</v>
      </c>
      <c r="R1301" s="13">
        <f>IFERROR(VLOOKUP(P1301,Лист1!A$1:B$20,2,FALSE),0)</f>
        <v>784</v>
      </c>
      <c r="S1301" s="13">
        <f t="shared" si="146"/>
        <v>0</v>
      </c>
    </row>
    <row r="1302" spans="1:19" x14ac:dyDescent="0.25">
      <c r="A1302" s="24" t="s">
        <v>2421</v>
      </c>
      <c r="B1302" s="4" t="s">
        <v>1059</v>
      </c>
      <c r="C1302" s="25" t="s">
        <v>7</v>
      </c>
      <c r="G1302" s="25" t="s">
        <v>1382</v>
      </c>
      <c r="H1302" s="24" t="s">
        <v>1061</v>
      </c>
      <c r="I1302" s="3" t="str">
        <f>IFERROR(VLOOKUP(C1302,'Справочник соответствий'!A$2:D$2981,2,FALSE),IF(VALUE(C1302)=0,1,VLOOKUP(C1302,'Справочник соответствий'!A$2:D$2981,2,FALSE)))</f>
        <v>2</v>
      </c>
      <c r="J1302" s="3">
        <f>IFERROR(VLOOKUP(D1302,'Справочник соответствий'!A$2:D$2981,2,FALSE),IF(VALUE(D1302)=0,0,VLOOKUP(D1302,'Справочник соответствий'!A$2:D$2981,2,FALSE)))</f>
        <v>0</v>
      </c>
      <c r="K1302" s="3" t="str">
        <f t="shared" si="140"/>
        <v>2</v>
      </c>
      <c r="L1302" s="13" t="str">
        <f>IFERROR(VLOOKUP(C1302,'Справочник соответствий'!A$2:D$2981,3,FALSE),IF(VALUE(C1302)=0,"ЭТАЖ НЕ ОПРЕДЕЛЕН. ПРИНЯТ ПО ДОПУЩЕНИЮ 1",VLOOKUP(C1302,'Справочник соответствий'!A$2:D$2981,3,FALSE)))</f>
        <v>ЭТАЖ ЗАДАН ЧИСЛОМ</v>
      </c>
      <c r="M1302" s="13" t="b">
        <f t="shared" si="141"/>
        <v>0</v>
      </c>
      <c r="N1302" s="13">
        <f t="shared" si="142"/>
        <v>2</v>
      </c>
      <c r="O1302" s="13" t="str">
        <f t="shared" si="143"/>
        <v>ЭТАЖ ЗАДАН ЧИСЛОМ</v>
      </c>
      <c r="P1302" s="13" t="str">
        <f t="shared" si="144"/>
        <v>ЭТАЖ ЗАДАН ЧИСЛОМ</v>
      </c>
      <c r="Q1302" s="13" t="str">
        <f t="shared" si="145"/>
        <v>ГОТОВ_ИЗМЕНЕН</v>
      </c>
      <c r="R1302" s="13">
        <f>IFERROR(VLOOKUP(P1302,Лист1!A$1:B$20,2,FALSE),0)</f>
        <v>784</v>
      </c>
      <c r="S1302" s="13">
        <f t="shared" si="146"/>
        <v>0</v>
      </c>
    </row>
    <row r="1303" spans="1:19" x14ac:dyDescent="0.25">
      <c r="A1303" s="24" t="s">
        <v>2422</v>
      </c>
      <c r="B1303" s="4" t="s">
        <v>1063</v>
      </c>
      <c r="C1303" s="25" t="s">
        <v>5</v>
      </c>
      <c r="G1303" s="25" t="s">
        <v>1072</v>
      </c>
      <c r="H1303" s="24" t="s">
        <v>1061</v>
      </c>
      <c r="I1303" s="3" t="str">
        <f>IFERROR(VLOOKUP(C1303,'Справочник соответствий'!A$2:D$2981,2,FALSE),IF(VALUE(C1303)=0,1,VLOOKUP(C1303,'Справочник соответствий'!A$2:D$2981,2,FALSE)))</f>
        <v>1</v>
      </c>
      <c r="J1303" s="3">
        <f>IFERROR(VLOOKUP(D1303,'Справочник соответствий'!A$2:D$2981,2,FALSE),IF(VALUE(D1303)=0,0,VLOOKUP(D1303,'Справочник соответствий'!A$2:D$2981,2,FALSE)))</f>
        <v>0</v>
      </c>
      <c r="K1303" s="3" t="str">
        <f t="shared" si="140"/>
        <v>1</v>
      </c>
      <c r="L1303" s="13" t="str">
        <f>IFERROR(VLOOKUP(C1303,'Справочник соответствий'!A$2:D$2981,3,FALSE),IF(VALUE(C1303)=0,"ЭТАЖ НЕ ОПРЕДЕЛЕН. ПРИНЯТ ПО ДОПУЩЕНИЮ 1",VLOOKUP(C1303,'Справочник соответствий'!A$2:D$2981,3,FALSE)))</f>
        <v>ЭТАЖ ЗАДАН ЧИСЛОМ</v>
      </c>
      <c r="M1303" s="13" t="b">
        <f t="shared" si="141"/>
        <v>0</v>
      </c>
      <c r="N1303" s="13">
        <f t="shared" si="142"/>
        <v>1</v>
      </c>
      <c r="O1303" s="13" t="str">
        <f t="shared" si="143"/>
        <v>ЭТАЖ ЗАДАН ЧИСЛОМ</v>
      </c>
      <c r="P1303" s="13" t="str">
        <f t="shared" si="144"/>
        <v>ЭТАЖ ЗАДАН ЧИСЛОМ</v>
      </c>
      <c r="Q1303" s="13" t="str">
        <f t="shared" si="145"/>
        <v>ГОТОВ_ИЗМЕНЕН</v>
      </c>
      <c r="R1303" s="13">
        <f>IFERROR(VLOOKUP(P1303,Лист1!A$1:B$20,2,FALSE),0)</f>
        <v>784</v>
      </c>
      <c r="S1303" s="13">
        <f t="shared" si="146"/>
        <v>0</v>
      </c>
    </row>
    <row r="1304" spans="1:19" x14ac:dyDescent="0.25">
      <c r="A1304" s="24" t="s">
        <v>2423</v>
      </c>
      <c r="B1304" s="4" t="s">
        <v>1059</v>
      </c>
      <c r="C1304" s="25" t="s">
        <v>7</v>
      </c>
      <c r="G1304" s="25" t="s">
        <v>1072</v>
      </c>
      <c r="H1304" s="24" t="s">
        <v>1061</v>
      </c>
      <c r="I1304" s="3" t="str">
        <f>IFERROR(VLOOKUP(C1304,'Справочник соответствий'!A$2:D$2981,2,FALSE),IF(VALUE(C1304)=0,1,VLOOKUP(C1304,'Справочник соответствий'!A$2:D$2981,2,FALSE)))</f>
        <v>2</v>
      </c>
      <c r="J1304" s="3">
        <f>IFERROR(VLOOKUP(D1304,'Справочник соответствий'!A$2:D$2981,2,FALSE),IF(VALUE(D1304)=0,0,VLOOKUP(D1304,'Справочник соответствий'!A$2:D$2981,2,FALSE)))</f>
        <v>0</v>
      </c>
      <c r="K1304" s="3" t="str">
        <f t="shared" si="140"/>
        <v>2</v>
      </c>
      <c r="L1304" s="13" t="str">
        <f>IFERROR(VLOOKUP(C1304,'Справочник соответствий'!A$2:D$2981,3,FALSE),IF(VALUE(C1304)=0,"ЭТАЖ НЕ ОПРЕДЕЛЕН. ПРИНЯТ ПО ДОПУЩЕНИЮ 1",VLOOKUP(C1304,'Справочник соответствий'!A$2:D$2981,3,FALSE)))</f>
        <v>ЭТАЖ ЗАДАН ЧИСЛОМ</v>
      </c>
      <c r="M1304" s="13" t="b">
        <f t="shared" si="141"/>
        <v>0</v>
      </c>
      <c r="N1304" s="13">
        <f t="shared" si="142"/>
        <v>2</v>
      </c>
      <c r="O1304" s="13" t="str">
        <f t="shared" si="143"/>
        <v>ЭТАЖ ЗАДАН ЧИСЛОМ</v>
      </c>
      <c r="P1304" s="13" t="str">
        <f t="shared" si="144"/>
        <v>ЭТАЖ ЗАДАН ЧИСЛОМ</v>
      </c>
      <c r="Q1304" s="13" t="str">
        <f t="shared" si="145"/>
        <v>ГОТОВ_ИЗМЕНЕН</v>
      </c>
      <c r="R1304" s="13">
        <f>IFERROR(VLOOKUP(P1304,Лист1!A$1:B$20,2,FALSE),0)</f>
        <v>784</v>
      </c>
      <c r="S1304" s="13">
        <f t="shared" si="146"/>
        <v>0</v>
      </c>
    </row>
    <row r="1305" spans="1:19" x14ac:dyDescent="0.25">
      <c r="A1305" s="24" t="s">
        <v>2424</v>
      </c>
      <c r="B1305" s="4" t="s">
        <v>1059</v>
      </c>
      <c r="C1305" s="25" t="s">
        <v>7</v>
      </c>
      <c r="G1305" s="25" t="s">
        <v>1069</v>
      </c>
      <c r="H1305" s="24" t="s">
        <v>1061</v>
      </c>
      <c r="I1305" s="3" t="str">
        <f>IFERROR(VLOOKUP(C1305,'Справочник соответствий'!A$2:D$2981,2,FALSE),IF(VALUE(C1305)=0,1,VLOOKUP(C1305,'Справочник соответствий'!A$2:D$2981,2,FALSE)))</f>
        <v>2</v>
      </c>
      <c r="J1305" s="3">
        <f>IFERROR(VLOOKUP(D1305,'Справочник соответствий'!A$2:D$2981,2,FALSE),IF(VALUE(D1305)=0,0,VLOOKUP(D1305,'Справочник соответствий'!A$2:D$2981,2,FALSE)))</f>
        <v>0</v>
      </c>
      <c r="K1305" s="3" t="str">
        <f t="shared" si="140"/>
        <v>2</v>
      </c>
      <c r="L1305" s="13" t="str">
        <f>IFERROR(VLOOKUP(C1305,'Справочник соответствий'!A$2:D$2981,3,FALSE),IF(VALUE(C1305)=0,"ЭТАЖ НЕ ОПРЕДЕЛЕН. ПРИНЯТ ПО ДОПУЩЕНИЮ 1",VLOOKUP(C1305,'Справочник соответствий'!A$2:D$2981,3,FALSE)))</f>
        <v>ЭТАЖ ЗАДАН ЧИСЛОМ</v>
      </c>
      <c r="M1305" s="13" t="b">
        <f t="shared" si="141"/>
        <v>0</v>
      </c>
      <c r="N1305" s="13">
        <f t="shared" si="142"/>
        <v>2</v>
      </c>
      <c r="O1305" s="13" t="str">
        <f t="shared" si="143"/>
        <v>ЭТАЖ ЗАДАН ЧИСЛОМ</v>
      </c>
      <c r="P1305" s="13" t="str">
        <f t="shared" si="144"/>
        <v>ЭТАЖ ЗАДАН ЧИСЛОМ</v>
      </c>
      <c r="Q1305" s="13" t="str">
        <f t="shared" si="145"/>
        <v>ГОТОВ_ИЗМЕНЕН</v>
      </c>
      <c r="R1305" s="13">
        <f>IFERROR(VLOOKUP(P1305,Лист1!A$1:B$20,2,FALSE),0)</f>
        <v>784</v>
      </c>
      <c r="S1305" s="13">
        <f t="shared" si="146"/>
        <v>0</v>
      </c>
    </row>
    <row r="1306" spans="1:19" x14ac:dyDescent="0.25">
      <c r="A1306" s="24" t="s">
        <v>2425</v>
      </c>
      <c r="B1306" s="4" t="s">
        <v>1063</v>
      </c>
      <c r="C1306" s="25" t="s">
        <v>5</v>
      </c>
      <c r="G1306" s="25" t="s">
        <v>1072</v>
      </c>
      <c r="H1306" s="24" t="s">
        <v>1061</v>
      </c>
      <c r="I1306" s="3" t="str">
        <f>IFERROR(VLOOKUP(C1306,'Справочник соответствий'!A$2:D$2981,2,FALSE),IF(VALUE(C1306)=0,1,VLOOKUP(C1306,'Справочник соответствий'!A$2:D$2981,2,FALSE)))</f>
        <v>1</v>
      </c>
      <c r="J1306" s="3">
        <f>IFERROR(VLOOKUP(D1306,'Справочник соответствий'!A$2:D$2981,2,FALSE),IF(VALUE(D1306)=0,0,VLOOKUP(D1306,'Справочник соответствий'!A$2:D$2981,2,FALSE)))</f>
        <v>0</v>
      </c>
      <c r="K1306" s="3" t="str">
        <f t="shared" si="140"/>
        <v>1</v>
      </c>
      <c r="L1306" s="13" t="str">
        <f>IFERROR(VLOOKUP(C1306,'Справочник соответствий'!A$2:D$2981,3,FALSE),IF(VALUE(C1306)=0,"ЭТАЖ НЕ ОПРЕДЕЛЕН. ПРИНЯТ ПО ДОПУЩЕНИЮ 1",VLOOKUP(C1306,'Справочник соответствий'!A$2:D$2981,3,FALSE)))</f>
        <v>ЭТАЖ ЗАДАН ЧИСЛОМ</v>
      </c>
      <c r="M1306" s="13" t="b">
        <f t="shared" si="141"/>
        <v>0</v>
      </c>
      <c r="N1306" s="13">
        <f t="shared" si="142"/>
        <v>1</v>
      </c>
      <c r="O1306" s="13" t="str">
        <f t="shared" si="143"/>
        <v>ЭТАЖ ЗАДАН ЧИСЛОМ</v>
      </c>
      <c r="P1306" s="13" t="str">
        <f t="shared" si="144"/>
        <v>ЭТАЖ ЗАДАН ЧИСЛОМ</v>
      </c>
      <c r="Q1306" s="13" t="str">
        <f t="shared" si="145"/>
        <v>ГОТОВ_ИЗМЕНЕН</v>
      </c>
      <c r="R1306" s="13">
        <f>IFERROR(VLOOKUP(P1306,Лист1!A$1:B$20,2,FALSE),0)</f>
        <v>784</v>
      </c>
      <c r="S1306" s="13">
        <f t="shared" si="146"/>
        <v>0</v>
      </c>
    </row>
    <row r="1307" spans="1:19" x14ac:dyDescent="0.25">
      <c r="A1307" s="24" t="s">
        <v>2426</v>
      </c>
      <c r="B1307" s="4" t="s">
        <v>1059</v>
      </c>
      <c r="C1307" s="25" t="s">
        <v>7</v>
      </c>
      <c r="G1307" s="25" t="s">
        <v>1072</v>
      </c>
      <c r="H1307" s="24" t="s">
        <v>1061</v>
      </c>
      <c r="I1307" s="3" t="str">
        <f>IFERROR(VLOOKUP(C1307,'Справочник соответствий'!A$2:D$2981,2,FALSE),IF(VALUE(C1307)=0,1,VLOOKUP(C1307,'Справочник соответствий'!A$2:D$2981,2,FALSE)))</f>
        <v>2</v>
      </c>
      <c r="J1307" s="3">
        <f>IFERROR(VLOOKUP(D1307,'Справочник соответствий'!A$2:D$2981,2,FALSE),IF(VALUE(D1307)=0,0,VLOOKUP(D1307,'Справочник соответствий'!A$2:D$2981,2,FALSE)))</f>
        <v>0</v>
      </c>
      <c r="K1307" s="3" t="str">
        <f t="shared" si="140"/>
        <v>2</v>
      </c>
      <c r="L1307" s="13" t="str">
        <f>IFERROR(VLOOKUP(C1307,'Справочник соответствий'!A$2:D$2981,3,FALSE),IF(VALUE(C1307)=0,"ЭТАЖ НЕ ОПРЕДЕЛЕН. ПРИНЯТ ПО ДОПУЩЕНИЮ 1",VLOOKUP(C1307,'Справочник соответствий'!A$2:D$2981,3,FALSE)))</f>
        <v>ЭТАЖ ЗАДАН ЧИСЛОМ</v>
      </c>
      <c r="M1307" s="13" t="b">
        <f t="shared" si="141"/>
        <v>0</v>
      </c>
      <c r="N1307" s="13">
        <f t="shared" si="142"/>
        <v>2</v>
      </c>
      <c r="O1307" s="13" t="str">
        <f t="shared" si="143"/>
        <v>ЭТАЖ ЗАДАН ЧИСЛОМ</v>
      </c>
      <c r="P1307" s="13" t="str">
        <f t="shared" si="144"/>
        <v>ЭТАЖ ЗАДАН ЧИСЛОМ</v>
      </c>
      <c r="Q1307" s="13" t="str">
        <f t="shared" si="145"/>
        <v>ГОТОВ_ИЗМЕНЕН</v>
      </c>
      <c r="R1307" s="13">
        <f>IFERROR(VLOOKUP(P1307,Лист1!A$1:B$20,2,FALSE),0)</f>
        <v>784</v>
      </c>
      <c r="S1307" s="13">
        <f t="shared" si="146"/>
        <v>0</v>
      </c>
    </row>
    <row r="1308" spans="1:19" x14ac:dyDescent="0.25">
      <c r="A1308" s="24" t="s">
        <v>2427</v>
      </c>
      <c r="B1308" s="4" t="s">
        <v>1063</v>
      </c>
      <c r="C1308" s="25" t="s">
        <v>5</v>
      </c>
      <c r="G1308" s="25" t="s">
        <v>1072</v>
      </c>
      <c r="H1308" s="24" t="s">
        <v>1061</v>
      </c>
      <c r="I1308" s="3" t="str">
        <f>IFERROR(VLOOKUP(C1308,'Справочник соответствий'!A$2:D$2981,2,FALSE),IF(VALUE(C1308)=0,1,VLOOKUP(C1308,'Справочник соответствий'!A$2:D$2981,2,FALSE)))</f>
        <v>1</v>
      </c>
      <c r="J1308" s="3">
        <f>IFERROR(VLOOKUP(D1308,'Справочник соответствий'!A$2:D$2981,2,FALSE),IF(VALUE(D1308)=0,0,VLOOKUP(D1308,'Справочник соответствий'!A$2:D$2981,2,FALSE)))</f>
        <v>0</v>
      </c>
      <c r="K1308" s="3" t="str">
        <f t="shared" si="140"/>
        <v>1</v>
      </c>
      <c r="L1308" s="13" t="str">
        <f>IFERROR(VLOOKUP(C1308,'Справочник соответствий'!A$2:D$2981,3,FALSE),IF(VALUE(C1308)=0,"ЭТАЖ НЕ ОПРЕДЕЛЕН. ПРИНЯТ ПО ДОПУЩЕНИЮ 1",VLOOKUP(C1308,'Справочник соответствий'!A$2:D$2981,3,FALSE)))</f>
        <v>ЭТАЖ ЗАДАН ЧИСЛОМ</v>
      </c>
      <c r="M1308" s="13" t="b">
        <f t="shared" si="141"/>
        <v>0</v>
      </c>
      <c r="N1308" s="13">
        <f t="shared" si="142"/>
        <v>1</v>
      </c>
      <c r="O1308" s="13" t="str">
        <f t="shared" si="143"/>
        <v>ЭТАЖ ЗАДАН ЧИСЛОМ</v>
      </c>
      <c r="P1308" s="13" t="str">
        <f t="shared" si="144"/>
        <v>ЭТАЖ ЗАДАН ЧИСЛОМ</v>
      </c>
      <c r="Q1308" s="13" t="str">
        <f t="shared" si="145"/>
        <v>ГОТОВ_ИЗМЕНЕН</v>
      </c>
      <c r="R1308" s="13">
        <f>IFERROR(VLOOKUP(P1308,Лист1!A$1:B$20,2,FALSE),0)</f>
        <v>784</v>
      </c>
      <c r="S1308" s="13">
        <f t="shared" si="146"/>
        <v>0</v>
      </c>
    </row>
    <row r="1309" spans="1:19" x14ac:dyDescent="0.25">
      <c r="A1309" s="24" t="s">
        <v>2428</v>
      </c>
      <c r="B1309" s="4" t="s">
        <v>1059</v>
      </c>
      <c r="C1309" s="25" t="s">
        <v>5</v>
      </c>
      <c r="G1309" s="25" t="s">
        <v>1174</v>
      </c>
      <c r="H1309" s="24" t="s">
        <v>1061</v>
      </c>
      <c r="I1309" s="3" t="str">
        <f>IFERROR(VLOOKUP(C1309,'Справочник соответствий'!A$2:D$2981,2,FALSE),IF(VALUE(C1309)=0,1,VLOOKUP(C1309,'Справочник соответствий'!A$2:D$2981,2,FALSE)))</f>
        <v>1</v>
      </c>
      <c r="J1309" s="3">
        <f>IFERROR(VLOOKUP(D1309,'Справочник соответствий'!A$2:D$2981,2,FALSE),IF(VALUE(D1309)=0,0,VLOOKUP(D1309,'Справочник соответствий'!A$2:D$2981,2,FALSE)))</f>
        <v>0</v>
      </c>
      <c r="K1309" s="3" t="str">
        <f t="shared" si="140"/>
        <v>1</v>
      </c>
      <c r="L1309" s="13" t="str">
        <f>IFERROR(VLOOKUP(C1309,'Справочник соответствий'!A$2:D$2981,3,FALSE),IF(VALUE(C1309)=0,"ЭТАЖ НЕ ОПРЕДЕЛЕН. ПРИНЯТ ПО ДОПУЩЕНИЮ 1",VLOOKUP(C1309,'Справочник соответствий'!A$2:D$2981,3,FALSE)))</f>
        <v>ЭТАЖ ЗАДАН ЧИСЛОМ</v>
      </c>
      <c r="M1309" s="13" t="b">
        <f t="shared" si="141"/>
        <v>0</v>
      </c>
      <c r="N1309" s="13">
        <f t="shared" si="142"/>
        <v>1</v>
      </c>
      <c r="O1309" s="13" t="str">
        <f t="shared" si="143"/>
        <v>ЭТАЖ ЗАДАН ЧИСЛОМ</v>
      </c>
      <c r="P1309" s="13" t="str">
        <f t="shared" si="144"/>
        <v>ЭТАЖ ЗАДАН ЧИСЛОМ</v>
      </c>
      <c r="Q1309" s="13" t="str">
        <f t="shared" si="145"/>
        <v>ГОТОВ_ИЗМЕНЕН</v>
      </c>
      <c r="R1309" s="13">
        <f>IFERROR(VLOOKUP(P1309,Лист1!A$1:B$20,2,FALSE),0)</f>
        <v>784</v>
      </c>
      <c r="S1309" s="13">
        <f t="shared" si="146"/>
        <v>0</v>
      </c>
    </row>
    <row r="1310" spans="1:19" x14ac:dyDescent="0.25">
      <c r="A1310" s="24" t="s">
        <v>2429</v>
      </c>
      <c r="B1310" s="4" t="s">
        <v>1059</v>
      </c>
      <c r="C1310" s="25" t="s">
        <v>7</v>
      </c>
      <c r="G1310" s="25" t="s">
        <v>1072</v>
      </c>
      <c r="H1310" s="24" t="s">
        <v>1061</v>
      </c>
      <c r="I1310" s="3" t="str">
        <f>IFERROR(VLOOKUP(C1310,'Справочник соответствий'!A$2:D$2981,2,FALSE),IF(VALUE(C1310)=0,1,VLOOKUP(C1310,'Справочник соответствий'!A$2:D$2981,2,FALSE)))</f>
        <v>2</v>
      </c>
      <c r="J1310" s="3">
        <f>IFERROR(VLOOKUP(D1310,'Справочник соответствий'!A$2:D$2981,2,FALSE),IF(VALUE(D1310)=0,0,VLOOKUP(D1310,'Справочник соответствий'!A$2:D$2981,2,FALSE)))</f>
        <v>0</v>
      </c>
      <c r="K1310" s="3" t="str">
        <f t="shared" si="140"/>
        <v>2</v>
      </c>
      <c r="L1310" s="13" t="str">
        <f>IFERROR(VLOOKUP(C1310,'Справочник соответствий'!A$2:D$2981,3,FALSE),IF(VALUE(C1310)=0,"ЭТАЖ НЕ ОПРЕДЕЛЕН. ПРИНЯТ ПО ДОПУЩЕНИЮ 1",VLOOKUP(C1310,'Справочник соответствий'!A$2:D$2981,3,FALSE)))</f>
        <v>ЭТАЖ ЗАДАН ЧИСЛОМ</v>
      </c>
      <c r="M1310" s="13" t="b">
        <f t="shared" si="141"/>
        <v>0</v>
      </c>
      <c r="N1310" s="13">
        <f t="shared" si="142"/>
        <v>2</v>
      </c>
      <c r="O1310" s="13" t="str">
        <f t="shared" si="143"/>
        <v>ЭТАЖ ЗАДАН ЧИСЛОМ</v>
      </c>
      <c r="P1310" s="13" t="str">
        <f t="shared" si="144"/>
        <v>ЭТАЖ ЗАДАН ЧИСЛОМ</v>
      </c>
      <c r="Q1310" s="13" t="str">
        <f t="shared" si="145"/>
        <v>ГОТОВ_ИЗМЕНЕН</v>
      </c>
      <c r="R1310" s="13">
        <f>IFERROR(VLOOKUP(P1310,Лист1!A$1:B$20,2,FALSE),0)</f>
        <v>784</v>
      </c>
      <c r="S1310" s="13">
        <f t="shared" si="146"/>
        <v>0</v>
      </c>
    </row>
    <row r="1311" spans="1:19" x14ac:dyDescent="0.25">
      <c r="A1311" s="24" t="s">
        <v>2430</v>
      </c>
      <c r="B1311" s="4" t="s">
        <v>1031</v>
      </c>
      <c r="C1311" s="25" t="s">
        <v>129</v>
      </c>
      <c r="D1311" s="25" t="s">
        <v>5</v>
      </c>
      <c r="G1311" s="25" t="s">
        <v>2431</v>
      </c>
      <c r="H1311" s="24" t="s">
        <v>1061</v>
      </c>
      <c r="I1311" s="3" t="str">
        <f>IFERROR(VLOOKUP(C1311,'Справочник соответствий'!A$2:D$2981,2,FALSE),IF(VALUE(C1311)=0,1,VLOOKUP(C1311,'Справочник соответствий'!A$2:D$2981,2,FALSE)))</f>
        <v>34</v>
      </c>
      <c r="J1311" s="3" t="str">
        <f>IFERROR(VLOOKUP(D1311,'Справочник соответствий'!A$2:D$2981,2,FALSE),IF(VALUE(D1311)=0,0,VLOOKUP(D1311,'Справочник соответствий'!A$2:D$2981,2,FALSE)))</f>
        <v>1</v>
      </c>
      <c r="K1311" s="3">
        <f t="shared" si="140"/>
        <v>33</v>
      </c>
      <c r="L1311" s="13" t="str">
        <f>IFERROR(VLOOKUP(C1311,'Справочник соответствий'!A$2:D$2981,3,FALSE),IF(VALUE(C1311)=0,"ЭТАЖ НЕ ОПРЕДЕЛЕН. ПРИНЯТ ПО ДОПУЩЕНИЮ 1",VLOOKUP(C1311,'Справочник соответствий'!A$2:D$2981,3,FALSE)))</f>
        <v>ЭТАЖ ЗАДАН ЧИСЛОМ</v>
      </c>
      <c r="M1311" s="13" t="b">
        <f t="shared" si="141"/>
        <v>0</v>
      </c>
      <c r="N1311" s="13">
        <f t="shared" si="142"/>
        <v>33</v>
      </c>
      <c r="O1311" s="13" t="str">
        <f t="shared" si="143"/>
        <v>ЭТАЖ ЗАДАН ЧИСЛОМ</v>
      </c>
      <c r="P1311" s="13" t="str">
        <f t="shared" si="144"/>
        <v>МКД_ЭТАЖ ЗАДАН ЧИСЛОМ</v>
      </c>
      <c r="Q1311" s="13" t="str">
        <f t="shared" si="145"/>
        <v>ГОТОВ_ИЗМЕНЕН</v>
      </c>
      <c r="R1311" s="13">
        <f>IFERROR(VLOOKUP(P1311,Лист1!A$1:B$20,2,FALSE),0)</f>
        <v>786</v>
      </c>
      <c r="S1311" s="13">
        <f t="shared" si="146"/>
        <v>0</v>
      </c>
    </row>
    <row r="1312" spans="1:19" x14ac:dyDescent="0.25">
      <c r="A1312" s="24" t="s">
        <v>2432</v>
      </c>
      <c r="B1312" s="4" t="s">
        <v>1059</v>
      </c>
      <c r="C1312" s="25" t="s">
        <v>5</v>
      </c>
      <c r="G1312" s="25" t="s">
        <v>1069</v>
      </c>
      <c r="H1312" s="24" t="s">
        <v>1061</v>
      </c>
      <c r="I1312" s="3" t="str">
        <f>IFERROR(VLOOKUP(C1312,'Справочник соответствий'!A$2:D$2981,2,FALSE),IF(VALUE(C1312)=0,1,VLOOKUP(C1312,'Справочник соответствий'!A$2:D$2981,2,FALSE)))</f>
        <v>1</v>
      </c>
      <c r="J1312" s="3">
        <f>IFERROR(VLOOKUP(D1312,'Справочник соответствий'!A$2:D$2981,2,FALSE),IF(VALUE(D1312)=0,0,VLOOKUP(D1312,'Справочник соответствий'!A$2:D$2981,2,FALSE)))</f>
        <v>0</v>
      </c>
      <c r="K1312" s="3" t="str">
        <f t="shared" si="140"/>
        <v>1</v>
      </c>
      <c r="L1312" s="13" t="str">
        <f>IFERROR(VLOOKUP(C1312,'Справочник соответствий'!A$2:D$2981,3,FALSE),IF(VALUE(C1312)=0,"ЭТАЖ НЕ ОПРЕДЕЛЕН. ПРИНЯТ ПО ДОПУЩЕНИЮ 1",VLOOKUP(C1312,'Справочник соответствий'!A$2:D$2981,3,FALSE)))</f>
        <v>ЭТАЖ ЗАДАН ЧИСЛОМ</v>
      </c>
      <c r="M1312" s="13" t="b">
        <f t="shared" si="141"/>
        <v>0</v>
      </c>
      <c r="N1312" s="13">
        <f t="shared" si="142"/>
        <v>1</v>
      </c>
      <c r="O1312" s="13" t="str">
        <f t="shared" si="143"/>
        <v>ЭТАЖ ЗАДАН ЧИСЛОМ</v>
      </c>
      <c r="P1312" s="13" t="str">
        <f t="shared" si="144"/>
        <v>ЭТАЖ ЗАДАН ЧИСЛОМ</v>
      </c>
      <c r="Q1312" s="13" t="str">
        <f t="shared" si="145"/>
        <v>ГОТОВ_ИЗМЕНЕН</v>
      </c>
      <c r="R1312" s="13">
        <f>IFERROR(VLOOKUP(P1312,Лист1!A$1:B$20,2,FALSE),0)</f>
        <v>784</v>
      </c>
      <c r="S1312" s="13">
        <f t="shared" si="146"/>
        <v>0</v>
      </c>
    </row>
    <row r="1313" spans="1:19" x14ac:dyDescent="0.25">
      <c r="A1313" s="24" t="s">
        <v>2433</v>
      </c>
      <c r="B1313" s="4" t="s">
        <v>1059</v>
      </c>
      <c r="C1313" s="25" t="s">
        <v>8</v>
      </c>
      <c r="D1313" s="25" t="s">
        <v>5</v>
      </c>
      <c r="G1313" s="25" t="s">
        <v>1089</v>
      </c>
      <c r="H1313" s="24" t="s">
        <v>1061</v>
      </c>
      <c r="I1313" s="3" t="str">
        <f>IFERROR(VLOOKUP(C1313,'Справочник соответствий'!A$2:D$2981,2,FALSE),IF(VALUE(C1313)=0,1,VLOOKUP(C1313,'Справочник соответствий'!A$2:D$2981,2,FALSE)))</f>
        <v>3</v>
      </c>
      <c r="J1313" s="3" t="str">
        <f>IFERROR(VLOOKUP(D1313,'Справочник соответствий'!A$2:D$2981,2,FALSE),IF(VALUE(D1313)=0,0,VLOOKUP(D1313,'Справочник соответствий'!A$2:D$2981,2,FALSE)))</f>
        <v>1</v>
      </c>
      <c r="K1313" s="3" t="str">
        <f t="shared" si="140"/>
        <v>3</v>
      </c>
      <c r="L1313" s="13" t="str">
        <f>IFERROR(VLOOKUP(C1313,'Справочник соответствий'!A$2:D$2981,3,FALSE),IF(VALUE(C1313)=0,"ЭТАЖ НЕ ОПРЕДЕЛЕН. ПРИНЯТ ПО ДОПУЩЕНИЮ 1",VLOOKUP(C1313,'Справочник соответствий'!A$2:D$2981,3,FALSE)))</f>
        <v>ЭТАЖ ЗАДАН ЧИСЛОМ</v>
      </c>
      <c r="M1313" s="13" t="b">
        <f t="shared" si="141"/>
        <v>0</v>
      </c>
      <c r="N1313" s="13">
        <f t="shared" si="142"/>
        <v>3</v>
      </c>
      <c r="O1313" s="13" t="str">
        <f t="shared" si="143"/>
        <v>ЭТАЖ ЗАДАН ЧИСЛОМ</v>
      </c>
      <c r="P1313" s="13" t="str">
        <f t="shared" si="144"/>
        <v>ЭТАЖ ЗАДАН ЧИСЛОМ</v>
      </c>
      <c r="Q1313" s="13" t="str">
        <f t="shared" si="145"/>
        <v>ГОТОВ_ИЗМЕНЕН</v>
      </c>
      <c r="R1313" s="13">
        <f>IFERROR(VLOOKUP(P1313,Лист1!A$1:B$20,2,FALSE),0)</f>
        <v>784</v>
      </c>
      <c r="S1313" s="13">
        <f t="shared" si="146"/>
        <v>0</v>
      </c>
    </row>
    <row r="1314" spans="1:19" x14ac:dyDescent="0.25">
      <c r="A1314" s="24" t="s">
        <v>2434</v>
      </c>
      <c r="B1314" s="4" t="s">
        <v>1059</v>
      </c>
      <c r="C1314" s="25" t="s">
        <v>7</v>
      </c>
      <c r="G1314" s="25" t="s">
        <v>1069</v>
      </c>
      <c r="H1314" s="24" t="s">
        <v>1061</v>
      </c>
      <c r="I1314" s="3" t="str">
        <f>IFERROR(VLOOKUP(C1314,'Справочник соответствий'!A$2:D$2981,2,FALSE),IF(VALUE(C1314)=0,1,VLOOKUP(C1314,'Справочник соответствий'!A$2:D$2981,2,FALSE)))</f>
        <v>2</v>
      </c>
      <c r="J1314" s="3">
        <f>IFERROR(VLOOKUP(D1314,'Справочник соответствий'!A$2:D$2981,2,FALSE),IF(VALUE(D1314)=0,0,VLOOKUP(D1314,'Справочник соответствий'!A$2:D$2981,2,FALSE)))</f>
        <v>0</v>
      </c>
      <c r="K1314" s="3" t="str">
        <f t="shared" si="140"/>
        <v>2</v>
      </c>
      <c r="L1314" s="13" t="str">
        <f>IFERROR(VLOOKUP(C1314,'Справочник соответствий'!A$2:D$2981,3,FALSE),IF(VALUE(C1314)=0,"ЭТАЖ НЕ ОПРЕДЕЛЕН. ПРИНЯТ ПО ДОПУЩЕНИЮ 1",VLOOKUP(C1314,'Справочник соответствий'!A$2:D$2981,3,FALSE)))</f>
        <v>ЭТАЖ ЗАДАН ЧИСЛОМ</v>
      </c>
      <c r="M1314" s="13" t="b">
        <f t="shared" si="141"/>
        <v>0</v>
      </c>
      <c r="N1314" s="13">
        <f t="shared" si="142"/>
        <v>2</v>
      </c>
      <c r="O1314" s="13" t="str">
        <f t="shared" si="143"/>
        <v>ЭТАЖ ЗАДАН ЧИСЛОМ</v>
      </c>
      <c r="P1314" s="13" t="str">
        <f t="shared" si="144"/>
        <v>ЭТАЖ ЗАДАН ЧИСЛОМ</v>
      </c>
      <c r="Q1314" s="13" t="str">
        <f t="shared" si="145"/>
        <v>ГОТОВ_ИЗМЕНЕН</v>
      </c>
      <c r="R1314" s="13">
        <f>IFERROR(VLOOKUP(P1314,Лист1!A$1:B$20,2,FALSE),0)</f>
        <v>784</v>
      </c>
      <c r="S1314" s="13">
        <f t="shared" si="146"/>
        <v>0</v>
      </c>
    </row>
    <row r="1315" spans="1:19" x14ac:dyDescent="0.25">
      <c r="A1315" s="24" t="s">
        <v>2435</v>
      </c>
      <c r="B1315" s="4" t="s">
        <v>1059</v>
      </c>
      <c r="C1315" s="25" t="s">
        <v>5</v>
      </c>
      <c r="G1315" s="25" t="s">
        <v>1089</v>
      </c>
      <c r="H1315" s="24" t="s">
        <v>1061</v>
      </c>
      <c r="I1315" s="3" t="str">
        <f>IFERROR(VLOOKUP(C1315,'Справочник соответствий'!A$2:D$2981,2,FALSE),IF(VALUE(C1315)=0,1,VLOOKUP(C1315,'Справочник соответствий'!A$2:D$2981,2,FALSE)))</f>
        <v>1</v>
      </c>
      <c r="J1315" s="3">
        <f>IFERROR(VLOOKUP(D1315,'Справочник соответствий'!A$2:D$2981,2,FALSE),IF(VALUE(D1315)=0,0,VLOOKUP(D1315,'Справочник соответствий'!A$2:D$2981,2,FALSE)))</f>
        <v>0</v>
      </c>
      <c r="K1315" s="3" t="str">
        <f t="shared" si="140"/>
        <v>1</v>
      </c>
      <c r="L1315" s="13" t="str">
        <f>IFERROR(VLOOKUP(C1315,'Справочник соответствий'!A$2:D$2981,3,FALSE),IF(VALUE(C1315)=0,"ЭТАЖ НЕ ОПРЕДЕЛЕН. ПРИНЯТ ПО ДОПУЩЕНИЮ 1",VLOOKUP(C1315,'Справочник соответствий'!A$2:D$2981,3,FALSE)))</f>
        <v>ЭТАЖ ЗАДАН ЧИСЛОМ</v>
      </c>
      <c r="M1315" s="13" t="b">
        <f t="shared" si="141"/>
        <v>0</v>
      </c>
      <c r="N1315" s="13">
        <f t="shared" si="142"/>
        <v>1</v>
      </c>
      <c r="O1315" s="13" t="str">
        <f t="shared" si="143"/>
        <v>ЭТАЖ ЗАДАН ЧИСЛОМ</v>
      </c>
      <c r="P1315" s="13" t="str">
        <f t="shared" si="144"/>
        <v>ЭТАЖ ЗАДАН ЧИСЛОМ</v>
      </c>
      <c r="Q1315" s="13" t="str">
        <f t="shared" si="145"/>
        <v>ГОТОВ_ИЗМЕНЕН</v>
      </c>
      <c r="R1315" s="13">
        <f>IFERROR(VLOOKUP(P1315,Лист1!A$1:B$20,2,FALSE),0)</f>
        <v>784</v>
      </c>
      <c r="S1315" s="13">
        <f t="shared" si="146"/>
        <v>0</v>
      </c>
    </row>
    <row r="1316" spans="1:19" x14ac:dyDescent="0.25">
      <c r="A1316" s="24" t="s">
        <v>2436</v>
      </c>
      <c r="B1316" s="4" t="s">
        <v>1059</v>
      </c>
      <c r="C1316" s="25" t="s">
        <v>5</v>
      </c>
      <c r="G1316" s="25" t="s">
        <v>1069</v>
      </c>
      <c r="H1316" s="24" t="s">
        <v>1061</v>
      </c>
      <c r="I1316" s="3" t="str">
        <f>IFERROR(VLOOKUP(C1316,'Справочник соответствий'!A$2:D$2981,2,FALSE),IF(VALUE(C1316)=0,1,VLOOKUP(C1316,'Справочник соответствий'!A$2:D$2981,2,FALSE)))</f>
        <v>1</v>
      </c>
      <c r="J1316" s="3">
        <f>IFERROR(VLOOKUP(D1316,'Справочник соответствий'!A$2:D$2981,2,FALSE),IF(VALUE(D1316)=0,0,VLOOKUP(D1316,'Справочник соответствий'!A$2:D$2981,2,FALSE)))</f>
        <v>0</v>
      </c>
      <c r="K1316" s="3" t="str">
        <f t="shared" si="140"/>
        <v>1</v>
      </c>
      <c r="L1316" s="13" t="str">
        <f>IFERROR(VLOOKUP(C1316,'Справочник соответствий'!A$2:D$2981,3,FALSE),IF(VALUE(C1316)=0,"ЭТАЖ НЕ ОПРЕДЕЛЕН. ПРИНЯТ ПО ДОПУЩЕНИЮ 1",VLOOKUP(C1316,'Справочник соответствий'!A$2:D$2981,3,FALSE)))</f>
        <v>ЭТАЖ ЗАДАН ЧИСЛОМ</v>
      </c>
      <c r="M1316" s="13" t="b">
        <f t="shared" si="141"/>
        <v>0</v>
      </c>
      <c r="N1316" s="13">
        <f t="shared" si="142"/>
        <v>1</v>
      </c>
      <c r="O1316" s="13" t="str">
        <f t="shared" si="143"/>
        <v>ЭТАЖ ЗАДАН ЧИСЛОМ</v>
      </c>
      <c r="P1316" s="13" t="str">
        <f t="shared" si="144"/>
        <v>ЭТАЖ ЗАДАН ЧИСЛОМ</v>
      </c>
      <c r="Q1316" s="13" t="str">
        <f t="shared" si="145"/>
        <v>ГОТОВ_ИЗМЕНЕН</v>
      </c>
      <c r="R1316" s="13">
        <f>IFERROR(VLOOKUP(P1316,Лист1!A$1:B$20,2,FALSE),0)</f>
        <v>784</v>
      </c>
      <c r="S1316" s="13">
        <f t="shared" si="146"/>
        <v>0</v>
      </c>
    </row>
    <row r="1317" spans="1:19" x14ac:dyDescent="0.25">
      <c r="A1317" s="24" t="s">
        <v>2437</v>
      </c>
      <c r="B1317" s="4" t="s">
        <v>1059</v>
      </c>
      <c r="C1317" s="25" t="s">
        <v>8</v>
      </c>
      <c r="G1317" s="25" t="s">
        <v>1069</v>
      </c>
      <c r="H1317" s="24" t="s">
        <v>1061</v>
      </c>
      <c r="I1317" s="3" t="str">
        <f>IFERROR(VLOOKUP(C1317,'Справочник соответствий'!A$2:D$2981,2,FALSE),IF(VALUE(C1317)=0,1,VLOOKUP(C1317,'Справочник соответствий'!A$2:D$2981,2,FALSE)))</f>
        <v>3</v>
      </c>
      <c r="J1317" s="3">
        <f>IFERROR(VLOOKUP(D1317,'Справочник соответствий'!A$2:D$2981,2,FALSE),IF(VALUE(D1317)=0,0,VLOOKUP(D1317,'Справочник соответствий'!A$2:D$2981,2,FALSE)))</f>
        <v>0</v>
      </c>
      <c r="K1317" s="3" t="str">
        <f t="shared" si="140"/>
        <v>3</v>
      </c>
      <c r="L1317" s="13" t="str">
        <f>IFERROR(VLOOKUP(C1317,'Справочник соответствий'!A$2:D$2981,3,FALSE),IF(VALUE(C1317)=0,"ЭТАЖ НЕ ОПРЕДЕЛЕН. ПРИНЯТ ПО ДОПУЩЕНИЮ 1",VLOOKUP(C1317,'Справочник соответствий'!A$2:D$2981,3,FALSE)))</f>
        <v>ЭТАЖ ЗАДАН ЧИСЛОМ</v>
      </c>
      <c r="M1317" s="13" t="b">
        <f t="shared" si="141"/>
        <v>0</v>
      </c>
      <c r="N1317" s="13">
        <f t="shared" si="142"/>
        <v>3</v>
      </c>
      <c r="O1317" s="13" t="str">
        <f t="shared" si="143"/>
        <v>ЭТАЖ ЗАДАН ЧИСЛОМ</v>
      </c>
      <c r="P1317" s="13" t="str">
        <f t="shared" si="144"/>
        <v>ЭТАЖ ЗАДАН ЧИСЛОМ</v>
      </c>
      <c r="Q1317" s="13" t="str">
        <f t="shared" si="145"/>
        <v>ГОТОВ_ИЗМЕНЕН</v>
      </c>
      <c r="R1317" s="13">
        <f>IFERROR(VLOOKUP(P1317,Лист1!A$1:B$20,2,FALSE),0)</f>
        <v>784</v>
      </c>
      <c r="S1317" s="13">
        <f t="shared" si="146"/>
        <v>0</v>
      </c>
    </row>
    <row r="1318" spans="1:19" x14ac:dyDescent="0.25">
      <c r="A1318" s="24" t="s">
        <v>2438</v>
      </c>
      <c r="B1318" s="4" t="s">
        <v>1059</v>
      </c>
      <c r="C1318" s="25" t="s">
        <v>5</v>
      </c>
      <c r="G1318" s="25" t="s">
        <v>1069</v>
      </c>
      <c r="H1318" s="24" t="s">
        <v>1061</v>
      </c>
      <c r="I1318" s="3" t="str">
        <f>IFERROR(VLOOKUP(C1318,'Справочник соответствий'!A$2:D$2981,2,FALSE),IF(VALUE(C1318)=0,1,VLOOKUP(C1318,'Справочник соответствий'!A$2:D$2981,2,FALSE)))</f>
        <v>1</v>
      </c>
      <c r="J1318" s="3">
        <f>IFERROR(VLOOKUP(D1318,'Справочник соответствий'!A$2:D$2981,2,FALSE),IF(VALUE(D1318)=0,0,VLOOKUP(D1318,'Справочник соответствий'!A$2:D$2981,2,FALSE)))</f>
        <v>0</v>
      </c>
      <c r="K1318" s="3" t="str">
        <f t="shared" si="140"/>
        <v>1</v>
      </c>
      <c r="L1318" s="13" t="str">
        <f>IFERROR(VLOOKUP(C1318,'Справочник соответствий'!A$2:D$2981,3,FALSE),IF(VALUE(C1318)=0,"ЭТАЖ НЕ ОПРЕДЕЛЕН. ПРИНЯТ ПО ДОПУЩЕНИЮ 1",VLOOKUP(C1318,'Справочник соответствий'!A$2:D$2981,3,FALSE)))</f>
        <v>ЭТАЖ ЗАДАН ЧИСЛОМ</v>
      </c>
      <c r="M1318" s="13" t="b">
        <f t="shared" si="141"/>
        <v>0</v>
      </c>
      <c r="N1318" s="13">
        <f t="shared" si="142"/>
        <v>1</v>
      </c>
      <c r="O1318" s="13" t="str">
        <f t="shared" si="143"/>
        <v>ЭТАЖ ЗАДАН ЧИСЛОМ</v>
      </c>
      <c r="P1318" s="13" t="str">
        <f t="shared" si="144"/>
        <v>ЭТАЖ ЗАДАН ЧИСЛОМ</v>
      </c>
      <c r="Q1318" s="13" t="str">
        <f t="shared" si="145"/>
        <v>ГОТОВ_ИЗМЕНЕН</v>
      </c>
      <c r="R1318" s="13">
        <f>IFERROR(VLOOKUP(P1318,Лист1!A$1:B$20,2,FALSE),0)</f>
        <v>784</v>
      </c>
      <c r="S1318" s="13">
        <f t="shared" si="146"/>
        <v>0</v>
      </c>
    </row>
    <row r="1319" spans="1:19" x14ac:dyDescent="0.25">
      <c r="A1319" s="24" t="s">
        <v>2439</v>
      </c>
      <c r="B1319" s="4" t="s">
        <v>1063</v>
      </c>
      <c r="G1319" s="25" t="s">
        <v>1174</v>
      </c>
      <c r="H1319" s="24" t="s">
        <v>1061</v>
      </c>
      <c r="I1319" s="3">
        <f>IFERROR(VLOOKUP(C1319,'Справочник соответствий'!A$2:D$2981,2,FALSE),IF(VALUE(C1319)=0,1,VLOOKUP(C1319,'Справочник соответствий'!A$2:D$2981,2,FALSE)))</f>
        <v>1</v>
      </c>
      <c r="J1319" s="3">
        <f>IFERROR(VLOOKUP(D1319,'Справочник соответствий'!A$2:D$2981,2,FALSE),IF(VALUE(D1319)=0,0,VLOOKUP(D1319,'Справочник соответствий'!A$2:D$2981,2,FALSE)))</f>
        <v>0</v>
      </c>
      <c r="K1319" s="3">
        <f t="shared" si="140"/>
        <v>1</v>
      </c>
      <c r="L1319" s="13" t="str">
        <f>IFERROR(VLOOKUP(C1319,'Справочник соответствий'!A$2:D$2981,3,FALSE),IF(VALUE(C1319)=0,"ЭТАЖ НЕ ОПРЕДЕЛЕН. ПРИНЯТ ПО ДОПУЩЕНИЮ 1",VLOOKUP(C1319,'Справочник соответствий'!A$2:D$2981,3,FALSE)))</f>
        <v>ЭТАЖ НЕ ОПРЕДЕЛЕН. ПРИНЯТ ПО ДОПУЩЕНИЮ 1</v>
      </c>
      <c r="M1319" s="13" t="b">
        <f t="shared" si="141"/>
        <v>0</v>
      </c>
      <c r="N1319" s="13">
        <f t="shared" si="142"/>
        <v>1</v>
      </c>
      <c r="O1319" s="13" t="str">
        <f t="shared" si="143"/>
        <v>ЭТАЖ НЕ ОПРЕДЕЛЕН. ПРИНЯТ ПО ДОПУЩЕНИЮ 1</v>
      </c>
      <c r="P1319" s="13" t="str">
        <f t="shared" si="144"/>
        <v>ЭТАЖ НЕ ОПРЕДЕЛЕН. ПРИНЯТ ПО ДОПУЩЕНИЮ 1</v>
      </c>
      <c r="Q1319" s="13" t="str">
        <f t="shared" si="145"/>
        <v>ГОТОВ_ИЗМЕНЕН</v>
      </c>
      <c r="R1319" s="13">
        <f>IFERROR(VLOOKUP(P1319,Лист1!A$1:B$20,2,FALSE),0)</f>
        <v>788</v>
      </c>
      <c r="S1319" s="13">
        <f t="shared" si="146"/>
        <v>0</v>
      </c>
    </row>
    <row r="1320" spans="1:19" x14ac:dyDescent="0.25">
      <c r="A1320" s="24" t="s">
        <v>2440</v>
      </c>
      <c r="B1320" s="4" t="s">
        <v>1063</v>
      </c>
      <c r="C1320" s="25" t="s">
        <v>5</v>
      </c>
      <c r="G1320" s="25" t="s">
        <v>1069</v>
      </c>
      <c r="H1320" s="24" t="s">
        <v>1061</v>
      </c>
      <c r="I1320" s="3" t="str">
        <f>IFERROR(VLOOKUP(C1320,'Справочник соответствий'!A$2:D$2981,2,FALSE),IF(VALUE(C1320)=0,1,VLOOKUP(C1320,'Справочник соответствий'!A$2:D$2981,2,FALSE)))</f>
        <v>1</v>
      </c>
      <c r="J1320" s="3">
        <f>IFERROR(VLOOKUP(D1320,'Справочник соответствий'!A$2:D$2981,2,FALSE),IF(VALUE(D1320)=0,0,VLOOKUP(D1320,'Справочник соответствий'!A$2:D$2981,2,FALSE)))</f>
        <v>0</v>
      </c>
      <c r="K1320" s="3" t="str">
        <f t="shared" si="140"/>
        <v>1</v>
      </c>
      <c r="L1320" s="13" t="str">
        <f>IFERROR(VLOOKUP(C1320,'Справочник соответствий'!A$2:D$2981,3,FALSE),IF(VALUE(C1320)=0,"ЭТАЖ НЕ ОПРЕДЕЛЕН. ПРИНЯТ ПО ДОПУЩЕНИЮ 1",VLOOKUP(C1320,'Справочник соответствий'!A$2:D$2981,3,FALSE)))</f>
        <v>ЭТАЖ ЗАДАН ЧИСЛОМ</v>
      </c>
      <c r="M1320" s="13" t="b">
        <f t="shared" si="141"/>
        <v>0</v>
      </c>
      <c r="N1320" s="13">
        <f t="shared" si="142"/>
        <v>1</v>
      </c>
      <c r="O1320" s="13" t="str">
        <f t="shared" si="143"/>
        <v>ЭТАЖ ЗАДАН ЧИСЛОМ</v>
      </c>
      <c r="P1320" s="13" t="str">
        <f t="shared" si="144"/>
        <v>ЭТАЖ ЗАДАН ЧИСЛОМ</v>
      </c>
      <c r="Q1320" s="13" t="str">
        <f t="shared" si="145"/>
        <v>ГОТОВ_ИЗМЕНЕН</v>
      </c>
      <c r="R1320" s="13">
        <f>IFERROR(VLOOKUP(P1320,Лист1!A$1:B$20,2,FALSE),0)</f>
        <v>784</v>
      </c>
      <c r="S1320" s="13">
        <f t="shared" si="146"/>
        <v>0</v>
      </c>
    </row>
    <row r="1321" spans="1:19" x14ac:dyDescent="0.25">
      <c r="A1321" s="24" t="s">
        <v>2441</v>
      </c>
      <c r="B1321" s="4" t="s">
        <v>1063</v>
      </c>
      <c r="G1321" s="25" t="s">
        <v>1072</v>
      </c>
      <c r="H1321" s="24" t="s">
        <v>1061</v>
      </c>
      <c r="I1321" s="3">
        <f>IFERROR(VLOOKUP(C1321,'Справочник соответствий'!A$2:D$2981,2,FALSE),IF(VALUE(C1321)=0,1,VLOOKUP(C1321,'Справочник соответствий'!A$2:D$2981,2,FALSE)))</f>
        <v>1</v>
      </c>
      <c r="J1321" s="3">
        <f>IFERROR(VLOOKUP(D1321,'Справочник соответствий'!A$2:D$2981,2,FALSE),IF(VALUE(D1321)=0,0,VLOOKUP(D1321,'Справочник соответствий'!A$2:D$2981,2,FALSE)))</f>
        <v>0</v>
      </c>
      <c r="K1321" s="3">
        <f t="shared" si="140"/>
        <v>1</v>
      </c>
      <c r="L1321" s="13" t="str">
        <f>IFERROR(VLOOKUP(C1321,'Справочник соответствий'!A$2:D$2981,3,FALSE),IF(VALUE(C1321)=0,"ЭТАЖ НЕ ОПРЕДЕЛЕН. ПРИНЯТ ПО ДОПУЩЕНИЮ 1",VLOOKUP(C1321,'Справочник соответствий'!A$2:D$2981,3,FALSE)))</f>
        <v>ЭТАЖ НЕ ОПРЕДЕЛЕН. ПРИНЯТ ПО ДОПУЩЕНИЮ 1</v>
      </c>
      <c r="M1321" s="13" t="b">
        <f t="shared" si="141"/>
        <v>0</v>
      </c>
      <c r="N1321" s="13">
        <f t="shared" si="142"/>
        <v>1</v>
      </c>
      <c r="O1321" s="13" t="str">
        <f t="shared" si="143"/>
        <v>ЭТАЖ НЕ ОПРЕДЕЛЕН. ПРИНЯТ ПО ДОПУЩЕНИЮ 1</v>
      </c>
      <c r="P1321" s="13" t="str">
        <f t="shared" si="144"/>
        <v>ЭТАЖ НЕ ОПРЕДЕЛЕН. ПРИНЯТ ПО ДОПУЩЕНИЮ 1</v>
      </c>
      <c r="Q1321" s="13" t="str">
        <f t="shared" si="145"/>
        <v>ГОТОВ_ИЗМЕНЕН</v>
      </c>
      <c r="R1321" s="13">
        <f>IFERROR(VLOOKUP(P1321,Лист1!A$1:B$20,2,FALSE),0)</f>
        <v>788</v>
      </c>
      <c r="S1321" s="13">
        <f t="shared" si="146"/>
        <v>0</v>
      </c>
    </row>
    <row r="1322" spans="1:19" x14ac:dyDescent="0.25">
      <c r="A1322" s="24" t="s">
        <v>2442</v>
      </c>
      <c r="B1322" s="4" t="s">
        <v>1059</v>
      </c>
      <c r="C1322" s="25" t="s">
        <v>5</v>
      </c>
      <c r="G1322" s="25" t="s">
        <v>1108</v>
      </c>
      <c r="H1322" s="24" t="s">
        <v>1061</v>
      </c>
      <c r="I1322" s="3" t="str">
        <f>IFERROR(VLOOKUP(C1322,'Справочник соответствий'!A$2:D$2981,2,FALSE),IF(VALUE(C1322)=0,1,VLOOKUP(C1322,'Справочник соответствий'!A$2:D$2981,2,FALSE)))</f>
        <v>1</v>
      </c>
      <c r="J1322" s="3">
        <f>IFERROR(VLOOKUP(D1322,'Справочник соответствий'!A$2:D$2981,2,FALSE),IF(VALUE(D1322)=0,0,VLOOKUP(D1322,'Справочник соответствий'!A$2:D$2981,2,FALSE)))</f>
        <v>0</v>
      </c>
      <c r="K1322" s="3" t="str">
        <f t="shared" si="140"/>
        <v>1</v>
      </c>
      <c r="L1322" s="13" t="str">
        <f>IFERROR(VLOOKUP(C1322,'Справочник соответствий'!A$2:D$2981,3,FALSE),IF(VALUE(C1322)=0,"ЭТАЖ НЕ ОПРЕДЕЛЕН. ПРИНЯТ ПО ДОПУЩЕНИЮ 1",VLOOKUP(C1322,'Справочник соответствий'!A$2:D$2981,3,FALSE)))</f>
        <v>ЭТАЖ ЗАДАН ЧИСЛОМ</v>
      </c>
      <c r="M1322" s="13" t="b">
        <f t="shared" si="141"/>
        <v>0</v>
      </c>
      <c r="N1322" s="13">
        <f t="shared" si="142"/>
        <v>1</v>
      </c>
      <c r="O1322" s="13" t="str">
        <f t="shared" si="143"/>
        <v>ЭТАЖ ЗАДАН ЧИСЛОМ</v>
      </c>
      <c r="P1322" s="13" t="str">
        <f t="shared" si="144"/>
        <v>ЭТАЖ ЗАДАН ЧИСЛОМ</v>
      </c>
      <c r="Q1322" s="13" t="str">
        <f t="shared" si="145"/>
        <v>ГОТОВ_ИЗМЕНЕН</v>
      </c>
      <c r="R1322" s="13">
        <f>IFERROR(VLOOKUP(P1322,Лист1!A$1:B$20,2,FALSE),0)</f>
        <v>784</v>
      </c>
      <c r="S1322" s="13">
        <f t="shared" si="146"/>
        <v>0</v>
      </c>
    </row>
    <row r="1323" spans="1:19" x14ac:dyDescent="0.25">
      <c r="A1323" s="24" t="s">
        <v>2443</v>
      </c>
      <c r="B1323" s="4" t="s">
        <v>1059</v>
      </c>
      <c r="C1323" s="25" t="s">
        <v>7</v>
      </c>
      <c r="G1323" s="25" t="s">
        <v>1108</v>
      </c>
      <c r="H1323" s="24" t="s">
        <v>1061</v>
      </c>
      <c r="I1323" s="3" t="str">
        <f>IFERROR(VLOOKUP(C1323,'Справочник соответствий'!A$2:D$2981,2,FALSE),IF(VALUE(C1323)=0,1,VLOOKUP(C1323,'Справочник соответствий'!A$2:D$2981,2,FALSE)))</f>
        <v>2</v>
      </c>
      <c r="J1323" s="3">
        <f>IFERROR(VLOOKUP(D1323,'Справочник соответствий'!A$2:D$2981,2,FALSE),IF(VALUE(D1323)=0,0,VLOOKUP(D1323,'Справочник соответствий'!A$2:D$2981,2,FALSE)))</f>
        <v>0</v>
      </c>
      <c r="K1323" s="3" t="str">
        <f t="shared" si="140"/>
        <v>2</v>
      </c>
      <c r="L1323" s="13" t="str">
        <f>IFERROR(VLOOKUP(C1323,'Справочник соответствий'!A$2:D$2981,3,FALSE),IF(VALUE(C1323)=0,"ЭТАЖ НЕ ОПРЕДЕЛЕН. ПРИНЯТ ПО ДОПУЩЕНИЮ 1",VLOOKUP(C1323,'Справочник соответствий'!A$2:D$2981,3,FALSE)))</f>
        <v>ЭТАЖ ЗАДАН ЧИСЛОМ</v>
      </c>
      <c r="M1323" s="13" t="b">
        <f t="shared" si="141"/>
        <v>0</v>
      </c>
      <c r="N1323" s="13">
        <f t="shared" si="142"/>
        <v>2</v>
      </c>
      <c r="O1323" s="13" t="str">
        <f t="shared" si="143"/>
        <v>ЭТАЖ ЗАДАН ЧИСЛОМ</v>
      </c>
      <c r="P1323" s="13" t="str">
        <f t="shared" si="144"/>
        <v>ЭТАЖ ЗАДАН ЧИСЛОМ</v>
      </c>
      <c r="Q1323" s="13" t="str">
        <f t="shared" si="145"/>
        <v>ГОТОВ_ИЗМЕНЕН</v>
      </c>
      <c r="R1323" s="13">
        <f>IFERROR(VLOOKUP(P1323,Лист1!A$1:B$20,2,FALSE),0)</f>
        <v>784</v>
      </c>
      <c r="S1323" s="13">
        <f t="shared" si="146"/>
        <v>0</v>
      </c>
    </row>
    <row r="1324" spans="1:19" x14ac:dyDescent="0.25">
      <c r="A1324" s="24" t="s">
        <v>2444</v>
      </c>
      <c r="B1324" s="4" t="s">
        <v>1063</v>
      </c>
      <c r="G1324" s="25" t="s">
        <v>1080</v>
      </c>
      <c r="H1324" s="24" t="s">
        <v>1061</v>
      </c>
      <c r="I1324" s="3">
        <f>IFERROR(VLOOKUP(C1324,'Справочник соответствий'!A$2:D$2981,2,FALSE),IF(VALUE(C1324)=0,1,VLOOKUP(C1324,'Справочник соответствий'!A$2:D$2981,2,FALSE)))</f>
        <v>1</v>
      </c>
      <c r="J1324" s="3">
        <f>IFERROR(VLOOKUP(D1324,'Справочник соответствий'!A$2:D$2981,2,FALSE),IF(VALUE(D1324)=0,0,VLOOKUP(D1324,'Справочник соответствий'!A$2:D$2981,2,FALSE)))</f>
        <v>0</v>
      </c>
      <c r="K1324" s="3">
        <f t="shared" si="140"/>
        <v>1</v>
      </c>
      <c r="L1324" s="13" t="str">
        <f>IFERROR(VLOOKUP(C1324,'Справочник соответствий'!A$2:D$2981,3,FALSE),IF(VALUE(C1324)=0,"ЭТАЖ НЕ ОПРЕДЕЛЕН. ПРИНЯТ ПО ДОПУЩЕНИЮ 1",VLOOKUP(C1324,'Справочник соответствий'!A$2:D$2981,3,FALSE)))</f>
        <v>ЭТАЖ НЕ ОПРЕДЕЛЕН. ПРИНЯТ ПО ДОПУЩЕНИЮ 1</v>
      </c>
      <c r="M1324" s="13" t="b">
        <f t="shared" si="141"/>
        <v>0</v>
      </c>
      <c r="N1324" s="13">
        <f t="shared" si="142"/>
        <v>1</v>
      </c>
      <c r="O1324" s="13" t="str">
        <f t="shared" si="143"/>
        <v>ЭТАЖ НЕ ОПРЕДЕЛЕН. ПРИНЯТ ПО ДОПУЩЕНИЮ 1</v>
      </c>
      <c r="P1324" s="13" t="str">
        <f t="shared" si="144"/>
        <v>ЭТАЖ НЕ ОПРЕДЕЛЕН. ПРИНЯТ ПО ДОПУЩЕНИЮ 1</v>
      </c>
      <c r="Q1324" s="13" t="str">
        <f t="shared" si="145"/>
        <v>ГОТОВ_ИЗМЕНЕН</v>
      </c>
      <c r="R1324" s="13">
        <f>IFERROR(VLOOKUP(P1324,Лист1!A$1:B$20,2,FALSE),0)</f>
        <v>788</v>
      </c>
      <c r="S1324" s="13">
        <f t="shared" si="146"/>
        <v>0</v>
      </c>
    </row>
    <row r="1325" spans="1:19" x14ac:dyDescent="0.25">
      <c r="A1325" s="24" t="s">
        <v>2445</v>
      </c>
      <c r="B1325" s="4" t="s">
        <v>1059</v>
      </c>
      <c r="G1325" s="25" t="s">
        <v>1108</v>
      </c>
      <c r="H1325" s="24" t="s">
        <v>1061</v>
      </c>
      <c r="I1325" s="3">
        <f>IFERROR(VLOOKUP(C1325,'Справочник соответствий'!A$2:D$2981,2,FALSE),IF(VALUE(C1325)=0,1,VLOOKUP(C1325,'Справочник соответствий'!A$2:D$2981,2,FALSE)))</f>
        <v>1</v>
      </c>
      <c r="J1325" s="3">
        <f>IFERROR(VLOOKUP(D1325,'Справочник соответствий'!A$2:D$2981,2,FALSE),IF(VALUE(D1325)=0,0,VLOOKUP(D1325,'Справочник соответствий'!A$2:D$2981,2,FALSE)))</f>
        <v>0</v>
      </c>
      <c r="K1325" s="3">
        <f t="shared" si="140"/>
        <v>1</v>
      </c>
      <c r="L1325" s="13" t="str">
        <f>IFERROR(VLOOKUP(C1325,'Справочник соответствий'!A$2:D$2981,3,FALSE),IF(VALUE(C1325)=0,"ЭТАЖ НЕ ОПРЕДЕЛЕН. ПРИНЯТ ПО ДОПУЩЕНИЮ 1",VLOOKUP(C1325,'Справочник соответствий'!A$2:D$2981,3,FALSE)))</f>
        <v>ЭТАЖ НЕ ОПРЕДЕЛЕН. ПРИНЯТ ПО ДОПУЩЕНИЮ 1</v>
      </c>
      <c r="M1325" s="13" t="b">
        <f t="shared" si="141"/>
        <v>0</v>
      </c>
      <c r="N1325" s="13">
        <f t="shared" si="142"/>
        <v>1</v>
      </c>
      <c r="O1325" s="13" t="str">
        <f t="shared" si="143"/>
        <v>ЭТАЖ НЕ ОПРЕДЕЛЕН. ПРИНЯТ ПО ДОПУЩЕНИЮ 1</v>
      </c>
      <c r="P1325" s="13" t="str">
        <f t="shared" si="144"/>
        <v>ЭТАЖ НЕ ОПРЕДЕЛЕН. ПРИНЯТ ПО ДОПУЩЕНИЮ 1</v>
      </c>
      <c r="Q1325" s="13" t="str">
        <f t="shared" si="145"/>
        <v>ГОТОВ_ИЗМЕНЕН</v>
      </c>
      <c r="R1325" s="13">
        <f>IFERROR(VLOOKUP(P1325,Лист1!A$1:B$20,2,FALSE),0)</f>
        <v>788</v>
      </c>
      <c r="S1325" s="13">
        <f t="shared" si="146"/>
        <v>0</v>
      </c>
    </row>
    <row r="1326" spans="1:19" x14ac:dyDescent="0.25">
      <c r="A1326" s="24" t="s">
        <v>2446</v>
      </c>
      <c r="B1326" s="4" t="s">
        <v>1063</v>
      </c>
      <c r="C1326" s="25" t="s">
        <v>5</v>
      </c>
      <c r="G1326" s="25" t="s">
        <v>1108</v>
      </c>
      <c r="H1326" s="24" t="s">
        <v>1061</v>
      </c>
      <c r="I1326" s="3" t="str">
        <f>IFERROR(VLOOKUP(C1326,'Справочник соответствий'!A$2:D$2981,2,FALSE),IF(VALUE(C1326)=0,1,VLOOKUP(C1326,'Справочник соответствий'!A$2:D$2981,2,FALSE)))</f>
        <v>1</v>
      </c>
      <c r="J1326" s="3">
        <f>IFERROR(VLOOKUP(D1326,'Справочник соответствий'!A$2:D$2981,2,FALSE),IF(VALUE(D1326)=0,0,VLOOKUP(D1326,'Справочник соответствий'!A$2:D$2981,2,FALSE)))</f>
        <v>0</v>
      </c>
      <c r="K1326" s="3" t="str">
        <f t="shared" si="140"/>
        <v>1</v>
      </c>
      <c r="L1326" s="13" t="str">
        <f>IFERROR(VLOOKUP(C1326,'Справочник соответствий'!A$2:D$2981,3,FALSE),IF(VALUE(C1326)=0,"ЭТАЖ НЕ ОПРЕДЕЛЕН. ПРИНЯТ ПО ДОПУЩЕНИЮ 1",VLOOKUP(C1326,'Справочник соответствий'!A$2:D$2981,3,FALSE)))</f>
        <v>ЭТАЖ ЗАДАН ЧИСЛОМ</v>
      </c>
      <c r="M1326" s="13" t="b">
        <f t="shared" si="141"/>
        <v>0</v>
      </c>
      <c r="N1326" s="13">
        <f t="shared" si="142"/>
        <v>1</v>
      </c>
      <c r="O1326" s="13" t="str">
        <f t="shared" si="143"/>
        <v>ЭТАЖ ЗАДАН ЧИСЛОМ</v>
      </c>
      <c r="P1326" s="13" t="str">
        <f t="shared" si="144"/>
        <v>ЭТАЖ ЗАДАН ЧИСЛОМ</v>
      </c>
      <c r="Q1326" s="13" t="str">
        <f t="shared" si="145"/>
        <v>ГОТОВ_ИЗМЕНЕН</v>
      </c>
      <c r="R1326" s="13">
        <f>IFERROR(VLOOKUP(P1326,Лист1!A$1:B$20,2,FALSE),0)</f>
        <v>784</v>
      </c>
      <c r="S1326" s="13">
        <f t="shared" si="146"/>
        <v>0</v>
      </c>
    </row>
    <row r="1327" spans="1:19" x14ac:dyDescent="0.25">
      <c r="A1327" s="24" t="s">
        <v>2447</v>
      </c>
      <c r="B1327" s="4" t="s">
        <v>1063</v>
      </c>
      <c r="C1327" s="25" t="s">
        <v>5</v>
      </c>
      <c r="G1327" s="25" t="s">
        <v>1174</v>
      </c>
      <c r="H1327" s="24" t="s">
        <v>1061</v>
      </c>
      <c r="I1327" s="3" t="str">
        <f>IFERROR(VLOOKUP(C1327,'Справочник соответствий'!A$2:D$2981,2,FALSE),IF(VALUE(C1327)=0,1,VLOOKUP(C1327,'Справочник соответствий'!A$2:D$2981,2,FALSE)))</f>
        <v>1</v>
      </c>
      <c r="J1327" s="3">
        <f>IFERROR(VLOOKUP(D1327,'Справочник соответствий'!A$2:D$2981,2,FALSE),IF(VALUE(D1327)=0,0,VLOOKUP(D1327,'Справочник соответствий'!A$2:D$2981,2,FALSE)))</f>
        <v>0</v>
      </c>
      <c r="K1327" s="3" t="str">
        <f t="shared" si="140"/>
        <v>1</v>
      </c>
      <c r="L1327" s="13" t="str">
        <f>IFERROR(VLOOKUP(C1327,'Справочник соответствий'!A$2:D$2981,3,FALSE),IF(VALUE(C1327)=0,"ЭТАЖ НЕ ОПРЕДЕЛЕН. ПРИНЯТ ПО ДОПУЩЕНИЮ 1",VLOOKUP(C1327,'Справочник соответствий'!A$2:D$2981,3,FALSE)))</f>
        <v>ЭТАЖ ЗАДАН ЧИСЛОМ</v>
      </c>
      <c r="M1327" s="13" t="b">
        <f t="shared" si="141"/>
        <v>0</v>
      </c>
      <c r="N1327" s="13">
        <f t="shared" si="142"/>
        <v>1</v>
      </c>
      <c r="O1327" s="13" t="str">
        <f t="shared" si="143"/>
        <v>ЭТАЖ ЗАДАН ЧИСЛОМ</v>
      </c>
      <c r="P1327" s="13" t="str">
        <f t="shared" si="144"/>
        <v>ЭТАЖ ЗАДАН ЧИСЛОМ</v>
      </c>
      <c r="Q1327" s="13" t="str">
        <f t="shared" si="145"/>
        <v>ГОТОВ_ИЗМЕНЕН</v>
      </c>
      <c r="R1327" s="13">
        <f>IFERROR(VLOOKUP(P1327,Лист1!A$1:B$20,2,FALSE),0)</f>
        <v>784</v>
      </c>
      <c r="S1327" s="13">
        <f t="shared" si="146"/>
        <v>0</v>
      </c>
    </row>
    <row r="1328" spans="1:19" x14ac:dyDescent="0.25">
      <c r="A1328" s="24" t="s">
        <v>2448</v>
      </c>
      <c r="B1328" s="4" t="s">
        <v>1059</v>
      </c>
      <c r="C1328" s="25" t="s">
        <v>7</v>
      </c>
      <c r="G1328" s="25" t="s">
        <v>1174</v>
      </c>
      <c r="H1328" s="24" t="s">
        <v>1061</v>
      </c>
      <c r="I1328" s="3" t="str">
        <f>IFERROR(VLOOKUP(C1328,'Справочник соответствий'!A$2:D$2981,2,FALSE),IF(VALUE(C1328)=0,1,VLOOKUP(C1328,'Справочник соответствий'!A$2:D$2981,2,FALSE)))</f>
        <v>2</v>
      </c>
      <c r="J1328" s="3">
        <f>IFERROR(VLOOKUP(D1328,'Справочник соответствий'!A$2:D$2981,2,FALSE),IF(VALUE(D1328)=0,0,VLOOKUP(D1328,'Справочник соответствий'!A$2:D$2981,2,FALSE)))</f>
        <v>0</v>
      </c>
      <c r="K1328" s="3" t="str">
        <f t="shared" si="140"/>
        <v>2</v>
      </c>
      <c r="L1328" s="13" t="str">
        <f>IFERROR(VLOOKUP(C1328,'Справочник соответствий'!A$2:D$2981,3,FALSE),IF(VALUE(C1328)=0,"ЭТАЖ НЕ ОПРЕДЕЛЕН. ПРИНЯТ ПО ДОПУЩЕНИЮ 1",VLOOKUP(C1328,'Справочник соответствий'!A$2:D$2981,3,FALSE)))</f>
        <v>ЭТАЖ ЗАДАН ЧИСЛОМ</v>
      </c>
      <c r="M1328" s="13" t="b">
        <f t="shared" si="141"/>
        <v>0</v>
      </c>
      <c r="N1328" s="13">
        <f t="shared" si="142"/>
        <v>2</v>
      </c>
      <c r="O1328" s="13" t="str">
        <f t="shared" si="143"/>
        <v>ЭТАЖ ЗАДАН ЧИСЛОМ</v>
      </c>
      <c r="P1328" s="13" t="str">
        <f t="shared" si="144"/>
        <v>ЭТАЖ ЗАДАН ЧИСЛОМ</v>
      </c>
      <c r="Q1328" s="13" t="str">
        <f t="shared" si="145"/>
        <v>ГОТОВ_ИЗМЕНЕН</v>
      </c>
      <c r="R1328" s="13">
        <f>IFERROR(VLOOKUP(P1328,Лист1!A$1:B$20,2,FALSE),0)</f>
        <v>784</v>
      </c>
      <c r="S1328" s="13">
        <f t="shared" si="146"/>
        <v>0</v>
      </c>
    </row>
    <row r="1329" spans="1:19" x14ac:dyDescent="0.25">
      <c r="A1329" s="24" t="s">
        <v>2449</v>
      </c>
      <c r="B1329" s="4" t="s">
        <v>1063</v>
      </c>
      <c r="C1329" s="25" t="s">
        <v>5</v>
      </c>
      <c r="G1329" s="25" t="s">
        <v>1108</v>
      </c>
      <c r="H1329" s="24" t="s">
        <v>1061</v>
      </c>
      <c r="I1329" s="3" t="str">
        <f>IFERROR(VLOOKUP(C1329,'Справочник соответствий'!A$2:D$2981,2,FALSE),IF(VALUE(C1329)=0,1,VLOOKUP(C1329,'Справочник соответствий'!A$2:D$2981,2,FALSE)))</f>
        <v>1</v>
      </c>
      <c r="J1329" s="3">
        <f>IFERROR(VLOOKUP(D1329,'Справочник соответствий'!A$2:D$2981,2,FALSE),IF(VALUE(D1329)=0,0,VLOOKUP(D1329,'Справочник соответствий'!A$2:D$2981,2,FALSE)))</f>
        <v>0</v>
      </c>
      <c r="K1329" s="3" t="str">
        <f t="shared" si="140"/>
        <v>1</v>
      </c>
      <c r="L1329" s="13" t="str">
        <f>IFERROR(VLOOKUP(C1329,'Справочник соответствий'!A$2:D$2981,3,FALSE),IF(VALUE(C1329)=0,"ЭТАЖ НЕ ОПРЕДЕЛЕН. ПРИНЯТ ПО ДОПУЩЕНИЮ 1",VLOOKUP(C1329,'Справочник соответствий'!A$2:D$2981,3,FALSE)))</f>
        <v>ЭТАЖ ЗАДАН ЧИСЛОМ</v>
      </c>
      <c r="M1329" s="13" t="b">
        <f t="shared" si="141"/>
        <v>0</v>
      </c>
      <c r="N1329" s="13">
        <f t="shared" si="142"/>
        <v>1</v>
      </c>
      <c r="O1329" s="13" t="str">
        <f t="shared" si="143"/>
        <v>ЭТАЖ ЗАДАН ЧИСЛОМ</v>
      </c>
      <c r="P1329" s="13" t="str">
        <f t="shared" si="144"/>
        <v>ЭТАЖ ЗАДАН ЧИСЛОМ</v>
      </c>
      <c r="Q1329" s="13" t="str">
        <f t="shared" si="145"/>
        <v>ГОТОВ_ИЗМЕНЕН</v>
      </c>
      <c r="R1329" s="13">
        <f>IFERROR(VLOOKUP(P1329,Лист1!A$1:B$20,2,FALSE),0)</f>
        <v>784</v>
      </c>
      <c r="S1329" s="13">
        <f t="shared" si="146"/>
        <v>0</v>
      </c>
    </row>
    <row r="1330" spans="1:19" x14ac:dyDescent="0.25">
      <c r="A1330" s="24" t="s">
        <v>2450</v>
      </c>
      <c r="B1330" s="4" t="s">
        <v>1063</v>
      </c>
      <c r="G1330" s="25" t="s">
        <v>1089</v>
      </c>
      <c r="H1330" s="24" t="s">
        <v>1061</v>
      </c>
      <c r="I1330" s="3">
        <f>IFERROR(VLOOKUP(C1330,'Справочник соответствий'!A$2:D$2981,2,FALSE),IF(VALUE(C1330)=0,1,VLOOKUP(C1330,'Справочник соответствий'!A$2:D$2981,2,FALSE)))</f>
        <v>1</v>
      </c>
      <c r="J1330" s="3">
        <f>IFERROR(VLOOKUP(D1330,'Справочник соответствий'!A$2:D$2981,2,FALSE),IF(VALUE(D1330)=0,0,VLOOKUP(D1330,'Справочник соответствий'!A$2:D$2981,2,FALSE)))</f>
        <v>0</v>
      </c>
      <c r="K1330" s="3">
        <f t="shared" si="140"/>
        <v>1</v>
      </c>
      <c r="L1330" s="13" t="str">
        <f>IFERROR(VLOOKUP(C1330,'Справочник соответствий'!A$2:D$2981,3,FALSE),IF(VALUE(C1330)=0,"ЭТАЖ НЕ ОПРЕДЕЛЕН. ПРИНЯТ ПО ДОПУЩЕНИЮ 1",VLOOKUP(C1330,'Справочник соответствий'!A$2:D$2981,3,FALSE)))</f>
        <v>ЭТАЖ НЕ ОПРЕДЕЛЕН. ПРИНЯТ ПО ДОПУЩЕНИЮ 1</v>
      </c>
      <c r="M1330" s="13" t="b">
        <f t="shared" si="141"/>
        <v>0</v>
      </c>
      <c r="N1330" s="13">
        <f t="shared" si="142"/>
        <v>1</v>
      </c>
      <c r="O1330" s="13" t="str">
        <f t="shared" si="143"/>
        <v>ЭТАЖ НЕ ОПРЕДЕЛЕН. ПРИНЯТ ПО ДОПУЩЕНИЮ 1</v>
      </c>
      <c r="P1330" s="13" t="str">
        <f t="shared" si="144"/>
        <v>ЭТАЖ НЕ ОПРЕДЕЛЕН. ПРИНЯТ ПО ДОПУЩЕНИЮ 1</v>
      </c>
      <c r="Q1330" s="13" t="str">
        <f t="shared" si="145"/>
        <v>ГОТОВ_ИЗМЕНЕН</v>
      </c>
      <c r="R1330" s="13">
        <f>IFERROR(VLOOKUP(P1330,Лист1!A$1:B$20,2,FALSE),0)</f>
        <v>788</v>
      </c>
      <c r="S1330" s="13">
        <f t="shared" si="146"/>
        <v>0</v>
      </c>
    </row>
    <row r="1331" spans="1:19" x14ac:dyDescent="0.25">
      <c r="A1331" s="24" t="s">
        <v>2451</v>
      </c>
      <c r="B1331" s="4" t="s">
        <v>1063</v>
      </c>
      <c r="G1331" s="25" t="s">
        <v>1108</v>
      </c>
      <c r="H1331" s="24" t="s">
        <v>1061</v>
      </c>
      <c r="I1331" s="3">
        <f>IFERROR(VLOOKUP(C1331,'Справочник соответствий'!A$2:D$2981,2,FALSE),IF(VALUE(C1331)=0,1,VLOOKUP(C1331,'Справочник соответствий'!A$2:D$2981,2,FALSE)))</f>
        <v>1</v>
      </c>
      <c r="J1331" s="3">
        <f>IFERROR(VLOOKUP(D1331,'Справочник соответствий'!A$2:D$2981,2,FALSE),IF(VALUE(D1331)=0,0,VLOOKUP(D1331,'Справочник соответствий'!A$2:D$2981,2,FALSE)))</f>
        <v>0</v>
      </c>
      <c r="K1331" s="3">
        <f t="shared" si="140"/>
        <v>1</v>
      </c>
      <c r="L1331" s="13" t="str">
        <f>IFERROR(VLOOKUP(C1331,'Справочник соответствий'!A$2:D$2981,3,FALSE),IF(VALUE(C1331)=0,"ЭТАЖ НЕ ОПРЕДЕЛЕН. ПРИНЯТ ПО ДОПУЩЕНИЮ 1",VLOOKUP(C1331,'Справочник соответствий'!A$2:D$2981,3,FALSE)))</f>
        <v>ЭТАЖ НЕ ОПРЕДЕЛЕН. ПРИНЯТ ПО ДОПУЩЕНИЮ 1</v>
      </c>
      <c r="M1331" s="13" t="b">
        <f t="shared" si="141"/>
        <v>0</v>
      </c>
      <c r="N1331" s="13">
        <f t="shared" si="142"/>
        <v>1</v>
      </c>
      <c r="O1331" s="13" t="str">
        <f t="shared" si="143"/>
        <v>ЭТАЖ НЕ ОПРЕДЕЛЕН. ПРИНЯТ ПО ДОПУЩЕНИЮ 1</v>
      </c>
      <c r="P1331" s="13" t="str">
        <f t="shared" si="144"/>
        <v>ЭТАЖ НЕ ОПРЕДЕЛЕН. ПРИНЯТ ПО ДОПУЩЕНИЮ 1</v>
      </c>
      <c r="Q1331" s="13" t="str">
        <f t="shared" si="145"/>
        <v>ГОТОВ_ИЗМЕНЕН</v>
      </c>
      <c r="R1331" s="13">
        <f>IFERROR(VLOOKUP(P1331,Лист1!A$1:B$20,2,FALSE),0)</f>
        <v>788</v>
      </c>
      <c r="S1331" s="13">
        <f t="shared" si="146"/>
        <v>0</v>
      </c>
    </row>
    <row r="1332" spans="1:19" x14ac:dyDescent="0.25">
      <c r="A1332" s="24" t="s">
        <v>2452</v>
      </c>
      <c r="B1332" s="4" t="s">
        <v>1063</v>
      </c>
      <c r="G1332" s="25" t="s">
        <v>1108</v>
      </c>
      <c r="H1332" s="24" t="s">
        <v>1061</v>
      </c>
      <c r="I1332" s="3">
        <f>IFERROR(VLOOKUP(C1332,'Справочник соответствий'!A$2:D$2981,2,FALSE),IF(VALUE(C1332)=0,1,VLOOKUP(C1332,'Справочник соответствий'!A$2:D$2981,2,FALSE)))</f>
        <v>1</v>
      </c>
      <c r="J1332" s="3">
        <f>IFERROR(VLOOKUP(D1332,'Справочник соответствий'!A$2:D$2981,2,FALSE),IF(VALUE(D1332)=0,0,VLOOKUP(D1332,'Справочник соответствий'!A$2:D$2981,2,FALSE)))</f>
        <v>0</v>
      </c>
      <c r="K1332" s="3">
        <f t="shared" si="140"/>
        <v>1</v>
      </c>
      <c r="L1332" s="13" t="str">
        <f>IFERROR(VLOOKUP(C1332,'Справочник соответствий'!A$2:D$2981,3,FALSE),IF(VALUE(C1332)=0,"ЭТАЖ НЕ ОПРЕДЕЛЕН. ПРИНЯТ ПО ДОПУЩЕНИЮ 1",VLOOKUP(C1332,'Справочник соответствий'!A$2:D$2981,3,FALSE)))</f>
        <v>ЭТАЖ НЕ ОПРЕДЕЛЕН. ПРИНЯТ ПО ДОПУЩЕНИЮ 1</v>
      </c>
      <c r="M1332" s="13" t="b">
        <f t="shared" si="141"/>
        <v>0</v>
      </c>
      <c r="N1332" s="13">
        <f t="shared" si="142"/>
        <v>1</v>
      </c>
      <c r="O1332" s="13" t="str">
        <f t="shared" si="143"/>
        <v>ЭТАЖ НЕ ОПРЕДЕЛЕН. ПРИНЯТ ПО ДОПУЩЕНИЮ 1</v>
      </c>
      <c r="P1332" s="13" t="str">
        <f t="shared" si="144"/>
        <v>ЭТАЖ НЕ ОПРЕДЕЛЕН. ПРИНЯТ ПО ДОПУЩЕНИЮ 1</v>
      </c>
      <c r="Q1332" s="13" t="str">
        <f t="shared" si="145"/>
        <v>ГОТОВ_ИЗМЕНЕН</v>
      </c>
      <c r="R1332" s="13">
        <f>IFERROR(VLOOKUP(P1332,Лист1!A$1:B$20,2,FALSE),0)</f>
        <v>788</v>
      </c>
      <c r="S1332" s="13">
        <f t="shared" si="146"/>
        <v>0</v>
      </c>
    </row>
    <row r="1333" spans="1:19" x14ac:dyDescent="0.25">
      <c r="A1333" s="24" t="s">
        <v>2453</v>
      </c>
      <c r="B1333" s="4" t="s">
        <v>1059</v>
      </c>
      <c r="G1333" s="25" t="s">
        <v>1193</v>
      </c>
      <c r="H1333" s="24" t="s">
        <v>1061</v>
      </c>
      <c r="I1333" s="3">
        <f>IFERROR(VLOOKUP(C1333,'Справочник соответствий'!A$2:D$2981,2,FALSE),IF(VALUE(C1333)=0,1,VLOOKUP(C1333,'Справочник соответствий'!A$2:D$2981,2,FALSE)))</f>
        <v>1</v>
      </c>
      <c r="J1333" s="3">
        <f>IFERROR(VLOOKUP(D1333,'Справочник соответствий'!A$2:D$2981,2,FALSE),IF(VALUE(D1333)=0,0,VLOOKUP(D1333,'Справочник соответствий'!A$2:D$2981,2,FALSE)))</f>
        <v>0</v>
      </c>
      <c r="K1333" s="3">
        <f t="shared" si="140"/>
        <v>1</v>
      </c>
      <c r="L1333" s="13" t="str">
        <f>IFERROR(VLOOKUP(C1333,'Справочник соответствий'!A$2:D$2981,3,FALSE),IF(VALUE(C1333)=0,"ЭТАЖ НЕ ОПРЕДЕЛЕН. ПРИНЯТ ПО ДОПУЩЕНИЮ 1",VLOOKUP(C1333,'Справочник соответствий'!A$2:D$2981,3,FALSE)))</f>
        <v>ЭТАЖ НЕ ОПРЕДЕЛЕН. ПРИНЯТ ПО ДОПУЩЕНИЮ 1</v>
      </c>
      <c r="M1333" s="13" t="b">
        <f t="shared" si="141"/>
        <v>0</v>
      </c>
      <c r="N1333" s="13">
        <f t="shared" si="142"/>
        <v>1</v>
      </c>
      <c r="O1333" s="13" t="str">
        <f t="shared" si="143"/>
        <v>ЭТАЖ НЕ ОПРЕДЕЛЕН. ПРИНЯТ ПО ДОПУЩЕНИЮ 1</v>
      </c>
      <c r="P1333" s="13" t="str">
        <f t="shared" si="144"/>
        <v>ЭТАЖ НЕ ОПРЕДЕЛЕН. ПРИНЯТ ПО ДОПУЩЕНИЮ 1</v>
      </c>
      <c r="Q1333" s="13" t="str">
        <f t="shared" si="145"/>
        <v>ГОТОВ_ИЗМЕНЕН</v>
      </c>
      <c r="R1333" s="13">
        <f>IFERROR(VLOOKUP(P1333,Лист1!A$1:B$20,2,FALSE),0)</f>
        <v>788</v>
      </c>
      <c r="S1333" s="13">
        <f t="shared" si="146"/>
        <v>0</v>
      </c>
    </row>
    <row r="1334" spans="1:19" x14ac:dyDescent="0.25">
      <c r="A1334" s="24" t="s">
        <v>2454</v>
      </c>
      <c r="B1334" s="4" t="s">
        <v>1059</v>
      </c>
      <c r="C1334" s="25" t="s">
        <v>5</v>
      </c>
      <c r="G1334" s="25" t="s">
        <v>1195</v>
      </c>
      <c r="H1334" s="24" t="s">
        <v>1061</v>
      </c>
      <c r="I1334" s="3" t="str">
        <f>IFERROR(VLOOKUP(C1334,'Справочник соответствий'!A$2:D$2981,2,FALSE),IF(VALUE(C1334)=0,1,VLOOKUP(C1334,'Справочник соответствий'!A$2:D$2981,2,FALSE)))</f>
        <v>1</v>
      </c>
      <c r="J1334" s="3">
        <f>IFERROR(VLOOKUP(D1334,'Справочник соответствий'!A$2:D$2981,2,FALSE),IF(VALUE(D1334)=0,0,VLOOKUP(D1334,'Справочник соответствий'!A$2:D$2981,2,FALSE)))</f>
        <v>0</v>
      </c>
      <c r="K1334" s="3" t="str">
        <f t="shared" si="140"/>
        <v>1</v>
      </c>
      <c r="L1334" s="13" t="str">
        <f>IFERROR(VLOOKUP(C1334,'Справочник соответствий'!A$2:D$2981,3,FALSE),IF(VALUE(C1334)=0,"ЭТАЖ НЕ ОПРЕДЕЛЕН. ПРИНЯТ ПО ДОПУЩЕНИЮ 1",VLOOKUP(C1334,'Справочник соответствий'!A$2:D$2981,3,FALSE)))</f>
        <v>ЭТАЖ ЗАДАН ЧИСЛОМ</v>
      </c>
      <c r="M1334" s="13" t="b">
        <f t="shared" si="141"/>
        <v>0</v>
      </c>
      <c r="N1334" s="13">
        <f t="shared" si="142"/>
        <v>1</v>
      </c>
      <c r="O1334" s="13" t="str">
        <f t="shared" si="143"/>
        <v>ЭТАЖ ЗАДАН ЧИСЛОМ</v>
      </c>
      <c r="P1334" s="13" t="str">
        <f t="shared" si="144"/>
        <v>ЭТАЖ ЗАДАН ЧИСЛОМ</v>
      </c>
      <c r="Q1334" s="13" t="str">
        <f t="shared" si="145"/>
        <v>ГОТОВ_ИЗМЕНЕН</v>
      </c>
      <c r="R1334" s="13">
        <f>IFERROR(VLOOKUP(P1334,Лист1!A$1:B$20,2,FALSE),0)</f>
        <v>784</v>
      </c>
      <c r="S1334" s="13">
        <f t="shared" si="146"/>
        <v>0</v>
      </c>
    </row>
    <row r="1335" spans="1:19" x14ac:dyDescent="0.25">
      <c r="A1335" s="24" t="s">
        <v>2455</v>
      </c>
      <c r="B1335" s="4" t="s">
        <v>1059</v>
      </c>
      <c r="C1335" s="25" t="s">
        <v>7</v>
      </c>
      <c r="G1335" s="25" t="s">
        <v>1195</v>
      </c>
      <c r="H1335" s="24" t="s">
        <v>1061</v>
      </c>
      <c r="I1335" s="3" t="str">
        <f>IFERROR(VLOOKUP(C1335,'Справочник соответствий'!A$2:D$2981,2,FALSE),IF(VALUE(C1335)=0,1,VLOOKUP(C1335,'Справочник соответствий'!A$2:D$2981,2,FALSE)))</f>
        <v>2</v>
      </c>
      <c r="J1335" s="3">
        <f>IFERROR(VLOOKUP(D1335,'Справочник соответствий'!A$2:D$2981,2,FALSE),IF(VALUE(D1335)=0,0,VLOOKUP(D1335,'Справочник соответствий'!A$2:D$2981,2,FALSE)))</f>
        <v>0</v>
      </c>
      <c r="K1335" s="3" t="str">
        <f t="shared" si="140"/>
        <v>2</v>
      </c>
      <c r="L1335" s="13" t="str">
        <f>IFERROR(VLOOKUP(C1335,'Справочник соответствий'!A$2:D$2981,3,FALSE),IF(VALUE(C1335)=0,"ЭТАЖ НЕ ОПРЕДЕЛЕН. ПРИНЯТ ПО ДОПУЩЕНИЮ 1",VLOOKUP(C1335,'Справочник соответствий'!A$2:D$2981,3,FALSE)))</f>
        <v>ЭТАЖ ЗАДАН ЧИСЛОМ</v>
      </c>
      <c r="M1335" s="13" t="b">
        <f t="shared" si="141"/>
        <v>0</v>
      </c>
      <c r="N1335" s="13">
        <f t="shared" si="142"/>
        <v>2</v>
      </c>
      <c r="O1335" s="13" t="str">
        <f t="shared" si="143"/>
        <v>ЭТАЖ ЗАДАН ЧИСЛОМ</v>
      </c>
      <c r="P1335" s="13" t="str">
        <f t="shared" si="144"/>
        <v>ЭТАЖ ЗАДАН ЧИСЛОМ</v>
      </c>
      <c r="Q1335" s="13" t="str">
        <f t="shared" si="145"/>
        <v>ГОТОВ_ИЗМЕНЕН</v>
      </c>
      <c r="R1335" s="13">
        <f>IFERROR(VLOOKUP(P1335,Лист1!A$1:B$20,2,FALSE),0)</f>
        <v>784</v>
      </c>
      <c r="S1335" s="13">
        <f t="shared" si="146"/>
        <v>0</v>
      </c>
    </row>
    <row r="1336" spans="1:19" x14ac:dyDescent="0.25">
      <c r="A1336" s="24" t="s">
        <v>2456</v>
      </c>
      <c r="B1336" s="4" t="s">
        <v>1063</v>
      </c>
      <c r="C1336" s="25" t="s">
        <v>7</v>
      </c>
      <c r="G1336" s="25" t="s">
        <v>1195</v>
      </c>
      <c r="H1336" s="24" t="s">
        <v>1061</v>
      </c>
      <c r="I1336" s="3" t="str">
        <f>IFERROR(VLOOKUP(C1336,'Справочник соответствий'!A$2:D$2981,2,FALSE),IF(VALUE(C1336)=0,1,VLOOKUP(C1336,'Справочник соответствий'!A$2:D$2981,2,FALSE)))</f>
        <v>2</v>
      </c>
      <c r="J1336" s="3">
        <f>IFERROR(VLOOKUP(D1336,'Справочник соответствий'!A$2:D$2981,2,FALSE),IF(VALUE(D1336)=0,0,VLOOKUP(D1336,'Справочник соответствий'!A$2:D$2981,2,FALSE)))</f>
        <v>0</v>
      </c>
      <c r="K1336" s="3" t="str">
        <f t="shared" si="140"/>
        <v>2</v>
      </c>
      <c r="L1336" s="13" t="str">
        <f>IFERROR(VLOOKUP(C1336,'Справочник соответствий'!A$2:D$2981,3,FALSE),IF(VALUE(C1336)=0,"ЭТАЖ НЕ ОПРЕДЕЛЕН. ПРИНЯТ ПО ДОПУЩЕНИЮ 1",VLOOKUP(C1336,'Справочник соответствий'!A$2:D$2981,3,FALSE)))</f>
        <v>ЭТАЖ ЗАДАН ЧИСЛОМ</v>
      </c>
      <c r="M1336" s="13" t="b">
        <f t="shared" si="141"/>
        <v>0</v>
      </c>
      <c r="N1336" s="13">
        <f t="shared" si="142"/>
        <v>2</v>
      </c>
      <c r="O1336" s="13" t="str">
        <f t="shared" si="143"/>
        <v>ЭТАЖ ЗАДАН ЧИСЛОМ</v>
      </c>
      <c r="P1336" s="13" t="str">
        <f t="shared" si="144"/>
        <v>ЭТАЖ ЗАДАН ЧИСЛОМ</v>
      </c>
      <c r="Q1336" s="13" t="str">
        <f t="shared" si="145"/>
        <v>ГОТОВ_ИЗМЕНЕН</v>
      </c>
      <c r="R1336" s="13">
        <f>IFERROR(VLOOKUP(P1336,Лист1!A$1:B$20,2,FALSE),0)</f>
        <v>784</v>
      </c>
      <c r="S1336" s="13">
        <f t="shared" si="146"/>
        <v>0</v>
      </c>
    </row>
    <row r="1337" spans="1:19" x14ac:dyDescent="0.25">
      <c r="A1337" s="24" t="s">
        <v>2457</v>
      </c>
      <c r="B1337" s="4" t="s">
        <v>1063</v>
      </c>
      <c r="C1337" s="25" t="s">
        <v>5</v>
      </c>
      <c r="G1337" s="25" t="s">
        <v>1195</v>
      </c>
      <c r="H1337" s="24" t="s">
        <v>1061</v>
      </c>
      <c r="I1337" s="3" t="str">
        <f>IFERROR(VLOOKUP(C1337,'Справочник соответствий'!A$2:D$2981,2,FALSE),IF(VALUE(C1337)=0,1,VLOOKUP(C1337,'Справочник соответствий'!A$2:D$2981,2,FALSE)))</f>
        <v>1</v>
      </c>
      <c r="J1337" s="3">
        <f>IFERROR(VLOOKUP(D1337,'Справочник соответствий'!A$2:D$2981,2,FALSE),IF(VALUE(D1337)=0,0,VLOOKUP(D1337,'Справочник соответствий'!A$2:D$2981,2,FALSE)))</f>
        <v>0</v>
      </c>
      <c r="K1337" s="3" t="str">
        <f t="shared" si="140"/>
        <v>1</v>
      </c>
      <c r="L1337" s="13" t="str">
        <f>IFERROR(VLOOKUP(C1337,'Справочник соответствий'!A$2:D$2981,3,FALSE),IF(VALUE(C1337)=0,"ЭТАЖ НЕ ОПРЕДЕЛЕН. ПРИНЯТ ПО ДОПУЩЕНИЮ 1",VLOOKUP(C1337,'Справочник соответствий'!A$2:D$2981,3,FALSE)))</f>
        <v>ЭТАЖ ЗАДАН ЧИСЛОМ</v>
      </c>
      <c r="M1337" s="13" t="b">
        <f t="shared" si="141"/>
        <v>0</v>
      </c>
      <c r="N1337" s="13">
        <f t="shared" si="142"/>
        <v>1</v>
      </c>
      <c r="O1337" s="13" t="str">
        <f t="shared" si="143"/>
        <v>ЭТАЖ ЗАДАН ЧИСЛОМ</v>
      </c>
      <c r="P1337" s="13" t="str">
        <f t="shared" si="144"/>
        <v>ЭТАЖ ЗАДАН ЧИСЛОМ</v>
      </c>
      <c r="Q1337" s="13" t="str">
        <f t="shared" si="145"/>
        <v>ГОТОВ_ИЗМЕНЕН</v>
      </c>
      <c r="R1337" s="13">
        <f>IFERROR(VLOOKUP(P1337,Лист1!A$1:B$20,2,FALSE),0)</f>
        <v>784</v>
      </c>
      <c r="S1337" s="13">
        <f t="shared" si="146"/>
        <v>0</v>
      </c>
    </row>
    <row r="1338" spans="1:19" x14ac:dyDescent="0.25">
      <c r="A1338" s="24" t="s">
        <v>2458</v>
      </c>
      <c r="B1338" s="4" t="s">
        <v>1063</v>
      </c>
      <c r="G1338" s="25" t="s">
        <v>1089</v>
      </c>
      <c r="H1338" s="24" t="s">
        <v>1061</v>
      </c>
      <c r="I1338" s="3">
        <f>IFERROR(VLOOKUP(C1338,'Справочник соответствий'!A$2:D$2981,2,FALSE),IF(VALUE(C1338)=0,1,VLOOKUP(C1338,'Справочник соответствий'!A$2:D$2981,2,FALSE)))</f>
        <v>1</v>
      </c>
      <c r="J1338" s="3">
        <f>IFERROR(VLOOKUP(D1338,'Справочник соответствий'!A$2:D$2981,2,FALSE),IF(VALUE(D1338)=0,0,VLOOKUP(D1338,'Справочник соответствий'!A$2:D$2981,2,FALSE)))</f>
        <v>0</v>
      </c>
      <c r="K1338" s="3">
        <f t="shared" si="140"/>
        <v>1</v>
      </c>
      <c r="L1338" s="13" t="str">
        <f>IFERROR(VLOOKUP(C1338,'Справочник соответствий'!A$2:D$2981,3,FALSE),IF(VALUE(C1338)=0,"ЭТАЖ НЕ ОПРЕДЕЛЕН. ПРИНЯТ ПО ДОПУЩЕНИЮ 1",VLOOKUP(C1338,'Справочник соответствий'!A$2:D$2981,3,FALSE)))</f>
        <v>ЭТАЖ НЕ ОПРЕДЕЛЕН. ПРИНЯТ ПО ДОПУЩЕНИЮ 1</v>
      </c>
      <c r="M1338" s="13" t="b">
        <f t="shared" si="141"/>
        <v>0</v>
      </c>
      <c r="N1338" s="13">
        <f t="shared" si="142"/>
        <v>1</v>
      </c>
      <c r="O1338" s="13" t="str">
        <f t="shared" si="143"/>
        <v>ЭТАЖ НЕ ОПРЕДЕЛЕН. ПРИНЯТ ПО ДОПУЩЕНИЮ 1</v>
      </c>
      <c r="P1338" s="13" t="str">
        <f t="shared" si="144"/>
        <v>ЭТАЖ НЕ ОПРЕДЕЛЕН. ПРИНЯТ ПО ДОПУЩЕНИЮ 1</v>
      </c>
      <c r="Q1338" s="13" t="str">
        <f t="shared" si="145"/>
        <v>ГОТОВ_ИЗМЕНЕН</v>
      </c>
      <c r="R1338" s="13">
        <f>IFERROR(VLOOKUP(P1338,Лист1!A$1:B$20,2,FALSE),0)</f>
        <v>788</v>
      </c>
      <c r="S1338" s="13">
        <f t="shared" si="146"/>
        <v>0</v>
      </c>
    </row>
    <row r="1339" spans="1:19" x14ac:dyDescent="0.25">
      <c r="A1339" s="24" t="s">
        <v>2459</v>
      </c>
      <c r="B1339" s="4" t="s">
        <v>1063</v>
      </c>
      <c r="C1339" s="25" t="s">
        <v>5</v>
      </c>
      <c r="G1339" s="25" t="s">
        <v>1089</v>
      </c>
      <c r="H1339" s="24" t="s">
        <v>1061</v>
      </c>
      <c r="I1339" s="3" t="str">
        <f>IFERROR(VLOOKUP(C1339,'Справочник соответствий'!A$2:D$2981,2,FALSE),IF(VALUE(C1339)=0,1,VLOOKUP(C1339,'Справочник соответствий'!A$2:D$2981,2,FALSE)))</f>
        <v>1</v>
      </c>
      <c r="J1339" s="3">
        <f>IFERROR(VLOOKUP(D1339,'Справочник соответствий'!A$2:D$2981,2,FALSE),IF(VALUE(D1339)=0,0,VLOOKUP(D1339,'Справочник соответствий'!A$2:D$2981,2,FALSE)))</f>
        <v>0</v>
      </c>
      <c r="K1339" s="3" t="str">
        <f t="shared" si="140"/>
        <v>1</v>
      </c>
      <c r="L1339" s="13" t="str">
        <f>IFERROR(VLOOKUP(C1339,'Справочник соответствий'!A$2:D$2981,3,FALSE),IF(VALUE(C1339)=0,"ЭТАЖ НЕ ОПРЕДЕЛЕН. ПРИНЯТ ПО ДОПУЩЕНИЮ 1",VLOOKUP(C1339,'Справочник соответствий'!A$2:D$2981,3,FALSE)))</f>
        <v>ЭТАЖ ЗАДАН ЧИСЛОМ</v>
      </c>
      <c r="M1339" s="13" t="b">
        <f t="shared" si="141"/>
        <v>0</v>
      </c>
      <c r="N1339" s="13">
        <f t="shared" si="142"/>
        <v>1</v>
      </c>
      <c r="O1339" s="13" t="str">
        <f t="shared" si="143"/>
        <v>ЭТАЖ ЗАДАН ЧИСЛОМ</v>
      </c>
      <c r="P1339" s="13" t="str">
        <f t="shared" si="144"/>
        <v>ЭТАЖ ЗАДАН ЧИСЛОМ</v>
      </c>
      <c r="Q1339" s="13" t="str">
        <f t="shared" si="145"/>
        <v>ГОТОВ_ИЗМЕНЕН</v>
      </c>
      <c r="R1339" s="13">
        <f>IFERROR(VLOOKUP(P1339,Лист1!A$1:B$20,2,FALSE),0)</f>
        <v>784</v>
      </c>
      <c r="S1339" s="13">
        <f t="shared" si="146"/>
        <v>0</v>
      </c>
    </row>
    <row r="1340" spans="1:19" x14ac:dyDescent="0.25">
      <c r="A1340" s="24" t="s">
        <v>2460</v>
      </c>
      <c r="B1340" s="4" t="s">
        <v>1059</v>
      </c>
      <c r="C1340" s="25" t="s">
        <v>7</v>
      </c>
      <c r="G1340" s="25" t="s">
        <v>1203</v>
      </c>
      <c r="H1340" s="24" t="s">
        <v>1061</v>
      </c>
      <c r="I1340" s="3" t="str">
        <f>IFERROR(VLOOKUP(C1340,'Справочник соответствий'!A$2:D$2981,2,FALSE),IF(VALUE(C1340)=0,1,VLOOKUP(C1340,'Справочник соответствий'!A$2:D$2981,2,FALSE)))</f>
        <v>2</v>
      </c>
      <c r="J1340" s="3">
        <f>IFERROR(VLOOKUP(D1340,'Справочник соответствий'!A$2:D$2981,2,FALSE),IF(VALUE(D1340)=0,0,VLOOKUP(D1340,'Справочник соответствий'!A$2:D$2981,2,FALSE)))</f>
        <v>0</v>
      </c>
      <c r="K1340" s="3" t="str">
        <f t="shared" si="140"/>
        <v>2</v>
      </c>
      <c r="L1340" s="13" t="str">
        <f>IFERROR(VLOOKUP(C1340,'Справочник соответствий'!A$2:D$2981,3,FALSE),IF(VALUE(C1340)=0,"ЭТАЖ НЕ ОПРЕДЕЛЕН. ПРИНЯТ ПО ДОПУЩЕНИЮ 1",VLOOKUP(C1340,'Справочник соответствий'!A$2:D$2981,3,FALSE)))</f>
        <v>ЭТАЖ ЗАДАН ЧИСЛОМ</v>
      </c>
      <c r="M1340" s="13" t="b">
        <f t="shared" si="141"/>
        <v>0</v>
      </c>
      <c r="N1340" s="13">
        <f t="shared" si="142"/>
        <v>2</v>
      </c>
      <c r="O1340" s="13" t="str">
        <f t="shared" si="143"/>
        <v>ЭТАЖ ЗАДАН ЧИСЛОМ</v>
      </c>
      <c r="P1340" s="13" t="str">
        <f t="shared" si="144"/>
        <v>ЭТАЖ ЗАДАН ЧИСЛОМ</v>
      </c>
      <c r="Q1340" s="13" t="str">
        <f t="shared" si="145"/>
        <v>ГОТОВ_ИЗМЕНЕН</v>
      </c>
      <c r="R1340" s="13">
        <f>IFERROR(VLOOKUP(P1340,Лист1!A$1:B$20,2,FALSE),0)</f>
        <v>784</v>
      </c>
      <c r="S1340" s="13">
        <f t="shared" si="146"/>
        <v>0</v>
      </c>
    </row>
    <row r="1341" spans="1:19" x14ac:dyDescent="0.25">
      <c r="A1341" s="24" t="s">
        <v>2461</v>
      </c>
      <c r="B1341" s="4" t="s">
        <v>1059</v>
      </c>
      <c r="C1341" s="25" t="s">
        <v>7</v>
      </c>
      <c r="G1341" s="25" t="s">
        <v>1203</v>
      </c>
      <c r="H1341" s="24" t="s">
        <v>1061</v>
      </c>
      <c r="I1341" s="3" t="str">
        <f>IFERROR(VLOOKUP(C1341,'Справочник соответствий'!A$2:D$2981,2,FALSE),IF(VALUE(C1341)=0,1,VLOOKUP(C1341,'Справочник соответствий'!A$2:D$2981,2,FALSE)))</f>
        <v>2</v>
      </c>
      <c r="J1341" s="3">
        <f>IFERROR(VLOOKUP(D1341,'Справочник соответствий'!A$2:D$2981,2,FALSE),IF(VALUE(D1341)=0,0,VLOOKUP(D1341,'Справочник соответствий'!A$2:D$2981,2,FALSE)))</f>
        <v>0</v>
      </c>
      <c r="K1341" s="3" t="str">
        <f t="shared" si="140"/>
        <v>2</v>
      </c>
      <c r="L1341" s="13" t="str">
        <f>IFERROR(VLOOKUP(C1341,'Справочник соответствий'!A$2:D$2981,3,FALSE),IF(VALUE(C1341)=0,"ЭТАЖ НЕ ОПРЕДЕЛЕН. ПРИНЯТ ПО ДОПУЩЕНИЮ 1",VLOOKUP(C1341,'Справочник соответствий'!A$2:D$2981,3,FALSE)))</f>
        <v>ЭТАЖ ЗАДАН ЧИСЛОМ</v>
      </c>
      <c r="M1341" s="13" t="b">
        <f t="shared" si="141"/>
        <v>0</v>
      </c>
      <c r="N1341" s="13">
        <f t="shared" si="142"/>
        <v>2</v>
      </c>
      <c r="O1341" s="13" t="str">
        <f t="shared" si="143"/>
        <v>ЭТАЖ ЗАДАН ЧИСЛОМ</v>
      </c>
      <c r="P1341" s="13" t="str">
        <f t="shared" si="144"/>
        <v>ЭТАЖ ЗАДАН ЧИСЛОМ</v>
      </c>
      <c r="Q1341" s="13" t="str">
        <f t="shared" si="145"/>
        <v>ГОТОВ_ИЗМЕНЕН</v>
      </c>
      <c r="R1341" s="13">
        <f>IFERROR(VLOOKUP(P1341,Лист1!A$1:B$20,2,FALSE),0)</f>
        <v>784</v>
      </c>
      <c r="S1341" s="13">
        <f t="shared" si="146"/>
        <v>0</v>
      </c>
    </row>
    <row r="1342" spans="1:19" x14ac:dyDescent="0.25">
      <c r="A1342" s="24" t="s">
        <v>2462</v>
      </c>
      <c r="B1342" s="4" t="s">
        <v>1059</v>
      </c>
      <c r="C1342" s="25" t="s">
        <v>7</v>
      </c>
      <c r="G1342" s="25" t="s">
        <v>1205</v>
      </c>
      <c r="H1342" s="24" t="s">
        <v>1061</v>
      </c>
      <c r="I1342" s="3" t="str">
        <f>IFERROR(VLOOKUP(C1342,'Справочник соответствий'!A$2:D$2981,2,FALSE),IF(VALUE(C1342)=0,1,VLOOKUP(C1342,'Справочник соответствий'!A$2:D$2981,2,FALSE)))</f>
        <v>2</v>
      </c>
      <c r="J1342" s="3">
        <f>IFERROR(VLOOKUP(D1342,'Справочник соответствий'!A$2:D$2981,2,FALSE),IF(VALUE(D1342)=0,0,VLOOKUP(D1342,'Справочник соответствий'!A$2:D$2981,2,FALSE)))</f>
        <v>0</v>
      </c>
      <c r="K1342" s="3" t="str">
        <f t="shared" si="140"/>
        <v>2</v>
      </c>
      <c r="L1342" s="13" t="str">
        <f>IFERROR(VLOOKUP(C1342,'Справочник соответствий'!A$2:D$2981,3,FALSE),IF(VALUE(C1342)=0,"ЭТАЖ НЕ ОПРЕДЕЛЕН. ПРИНЯТ ПО ДОПУЩЕНИЮ 1",VLOOKUP(C1342,'Справочник соответствий'!A$2:D$2981,3,FALSE)))</f>
        <v>ЭТАЖ ЗАДАН ЧИСЛОМ</v>
      </c>
      <c r="M1342" s="13" t="b">
        <f t="shared" si="141"/>
        <v>0</v>
      </c>
      <c r="N1342" s="13">
        <f t="shared" si="142"/>
        <v>2</v>
      </c>
      <c r="O1342" s="13" t="str">
        <f t="shared" si="143"/>
        <v>ЭТАЖ ЗАДАН ЧИСЛОМ</v>
      </c>
      <c r="P1342" s="13" t="str">
        <f t="shared" si="144"/>
        <v>ЭТАЖ ЗАДАН ЧИСЛОМ</v>
      </c>
      <c r="Q1342" s="13" t="str">
        <f t="shared" si="145"/>
        <v>ГОТОВ_ИЗМЕНЕН</v>
      </c>
      <c r="R1342" s="13">
        <f>IFERROR(VLOOKUP(P1342,Лист1!A$1:B$20,2,FALSE),0)</f>
        <v>784</v>
      </c>
      <c r="S1342" s="13">
        <f t="shared" si="146"/>
        <v>0</v>
      </c>
    </row>
    <row r="1343" spans="1:19" x14ac:dyDescent="0.25">
      <c r="A1343" s="24" t="s">
        <v>2463</v>
      </c>
      <c r="B1343" s="4" t="s">
        <v>1059</v>
      </c>
      <c r="C1343" s="25" t="s">
        <v>5</v>
      </c>
      <c r="G1343" s="25" t="s">
        <v>1205</v>
      </c>
      <c r="H1343" s="24" t="s">
        <v>1061</v>
      </c>
      <c r="I1343" s="3" t="str">
        <f>IFERROR(VLOOKUP(C1343,'Справочник соответствий'!A$2:D$2981,2,FALSE),IF(VALUE(C1343)=0,1,VLOOKUP(C1343,'Справочник соответствий'!A$2:D$2981,2,FALSE)))</f>
        <v>1</v>
      </c>
      <c r="J1343" s="3">
        <f>IFERROR(VLOOKUP(D1343,'Справочник соответствий'!A$2:D$2981,2,FALSE),IF(VALUE(D1343)=0,0,VLOOKUP(D1343,'Справочник соответствий'!A$2:D$2981,2,FALSE)))</f>
        <v>0</v>
      </c>
      <c r="K1343" s="3" t="str">
        <f t="shared" si="140"/>
        <v>1</v>
      </c>
      <c r="L1343" s="13" t="str">
        <f>IFERROR(VLOOKUP(C1343,'Справочник соответствий'!A$2:D$2981,3,FALSE),IF(VALUE(C1343)=0,"ЭТАЖ НЕ ОПРЕДЕЛЕН. ПРИНЯТ ПО ДОПУЩЕНИЮ 1",VLOOKUP(C1343,'Справочник соответствий'!A$2:D$2981,3,FALSE)))</f>
        <v>ЭТАЖ ЗАДАН ЧИСЛОМ</v>
      </c>
      <c r="M1343" s="13" t="b">
        <f t="shared" si="141"/>
        <v>0</v>
      </c>
      <c r="N1343" s="13">
        <f t="shared" si="142"/>
        <v>1</v>
      </c>
      <c r="O1343" s="13" t="str">
        <f t="shared" si="143"/>
        <v>ЭТАЖ ЗАДАН ЧИСЛОМ</v>
      </c>
      <c r="P1343" s="13" t="str">
        <f t="shared" si="144"/>
        <v>ЭТАЖ ЗАДАН ЧИСЛОМ</v>
      </c>
      <c r="Q1343" s="13" t="str">
        <f t="shared" si="145"/>
        <v>ГОТОВ_ИЗМЕНЕН</v>
      </c>
      <c r="R1343" s="13">
        <f>IFERROR(VLOOKUP(P1343,Лист1!A$1:B$20,2,FALSE),0)</f>
        <v>784</v>
      </c>
      <c r="S1343" s="13">
        <f t="shared" si="146"/>
        <v>0</v>
      </c>
    </row>
    <row r="1344" spans="1:19" x14ac:dyDescent="0.25">
      <c r="A1344" s="24" t="s">
        <v>2464</v>
      </c>
      <c r="B1344" s="4" t="s">
        <v>1059</v>
      </c>
      <c r="C1344" s="25" t="s">
        <v>5</v>
      </c>
      <c r="G1344" s="25" t="s">
        <v>1205</v>
      </c>
      <c r="H1344" s="24" t="s">
        <v>1061</v>
      </c>
      <c r="I1344" s="3" t="str">
        <f>IFERROR(VLOOKUP(C1344,'Справочник соответствий'!A$2:D$2981,2,FALSE),IF(VALUE(C1344)=0,1,VLOOKUP(C1344,'Справочник соответствий'!A$2:D$2981,2,FALSE)))</f>
        <v>1</v>
      </c>
      <c r="J1344" s="3">
        <f>IFERROR(VLOOKUP(D1344,'Справочник соответствий'!A$2:D$2981,2,FALSE),IF(VALUE(D1344)=0,0,VLOOKUP(D1344,'Справочник соответствий'!A$2:D$2981,2,FALSE)))</f>
        <v>0</v>
      </c>
      <c r="K1344" s="3" t="str">
        <f t="shared" si="140"/>
        <v>1</v>
      </c>
      <c r="L1344" s="13" t="str">
        <f>IFERROR(VLOOKUP(C1344,'Справочник соответствий'!A$2:D$2981,3,FALSE),IF(VALUE(C1344)=0,"ЭТАЖ НЕ ОПРЕДЕЛЕН. ПРИНЯТ ПО ДОПУЩЕНИЮ 1",VLOOKUP(C1344,'Справочник соответствий'!A$2:D$2981,3,FALSE)))</f>
        <v>ЭТАЖ ЗАДАН ЧИСЛОМ</v>
      </c>
      <c r="M1344" s="13" t="b">
        <f t="shared" si="141"/>
        <v>0</v>
      </c>
      <c r="N1344" s="13">
        <f t="shared" si="142"/>
        <v>1</v>
      </c>
      <c r="O1344" s="13" t="str">
        <f t="shared" si="143"/>
        <v>ЭТАЖ ЗАДАН ЧИСЛОМ</v>
      </c>
      <c r="P1344" s="13" t="str">
        <f t="shared" si="144"/>
        <v>ЭТАЖ ЗАДАН ЧИСЛОМ</v>
      </c>
      <c r="Q1344" s="13" t="str">
        <f t="shared" si="145"/>
        <v>ГОТОВ_ИЗМЕНЕН</v>
      </c>
      <c r="R1344" s="13">
        <f>IFERROR(VLOOKUP(P1344,Лист1!A$1:B$20,2,FALSE),0)</f>
        <v>784</v>
      </c>
      <c r="S1344" s="13">
        <f t="shared" si="146"/>
        <v>0</v>
      </c>
    </row>
    <row r="1345" spans="1:19" x14ac:dyDescent="0.25">
      <c r="A1345" s="24" t="s">
        <v>2465</v>
      </c>
      <c r="B1345" s="4" t="s">
        <v>1059</v>
      </c>
      <c r="C1345" s="25" t="s">
        <v>7</v>
      </c>
      <c r="D1345" s="25" t="s">
        <v>24</v>
      </c>
      <c r="G1345" s="25" t="s">
        <v>1205</v>
      </c>
      <c r="H1345" s="24" t="s">
        <v>1061</v>
      </c>
      <c r="I1345" s="3" t="str">
        <f>IFERROR(VLOOKUP(C1345,'Справочник соответствий'!A$2:D$2981,2,FALSE),IF(VALUE(C1345)=0,1,VLOOKUP(C1345,'Справочник соответствий'!A$2:D$2981,2,FALSE)))</f>
        <v>2</v>
      </c>
      <c r="J1345" s="3" t="str">
        <f>IFERROR(VLOOKUP(D1345,'Справочник соответствий'!A$2:D$2981,2,FALSE),IF(VALUE(D1345)=0,0,VLOOKUP(D1345,'Справочник соответствий'!A$2:D$2981,2,FALSE)))</f>
        <v>1</v>
      </c>
      <c r="K1345" s="3" t="str">
        <f t="shared" si="140"/>
        <v>2</v>
      </c>
      <c r="L1345" s="13" t="str">
        <f>IFERROR(VLOOKUP(C1345,'Справочник соответствий'!A$2:D$2981,3,FALSE),IF(VALUE(C1345)=0,"ЭТАЖ НЕ ОПРЕДЕЛЕН. ПРИНЯТ ПО ДОПУЩЕНИЮ 1",VLOOKUP(C1345,'Справочник соответствий'!A$2:D$2981,3,FALSE)))</f>
        <v>ЭТАЖ ЗАДАН ЧИСЛОМ</v>
      </c>
      <c r="M1345" s="13" t="b">
        <f t="shared" si="141"/>
        <v>0</v>
      </c>
      <c r="N1345" s="13">
        <f t="shared" si="142"/>
        <v>2</v>
      </c>
      <c r="O1345" s="13" t="str">
        <f t="shared" si="143"/>
        <v>ЭТАЖ ЗАДАН ЧИСЛОМ</v>
      </c>
      <c r="P1345" s="13" t="str">
        <f t="shared" si="144"/>
        <v>ЭТАЖ ЗАДАН ЧИСЛОМ</v>
      </c>
      <c r="Q1345" s="13" t="str">
        <f t="shared" si="145"/>
        <v>ГОТОВ_ИЗМЕНЕН</v>
      </c>
      <c r="R1345" s="13">
        <f>IFERROR(VLOOKUP(P1345,Лист1!A$1:B$20,2,FALSE),0)</f>
        <v>784</v>
      </c>
      <c r="S1345" s="13">
        <f t="shared" si="146"/>
        <v>0</v>
      </c>
    </row>
    <row r="1346" spans="1:19" x14ac:dyDescent="0.25">
      <c r="A1346" s="24" t="s">
        <v>2466</v>
      </c>
      <c r="B1346" s="4" t="s">
        <v>1063</v>
      </c>
      <c r="C1346" s="25" t="s">
        <v>5</v>
      </c>
      <c r="G1346" s="25" t="s">
        <v>1205</v>
      </c>
      <c r="H1346" s="24" t="s">
        <v>1061</v>
      </c>
      <c r="I1346" s="3" t="str">
        <f>IFERROR(VLOOKUP(C1346,'Справочник соответствий'!A$2:D$2981,2,FALSE),IF(VALUE(C1346)=0,1,VLOOKUP(C1346,'Справочник соответствий'!A$2:D$2981,2,FALSE)))</f>
        <v>1</v>
      </c>
      <c r="J1346" s="3">
        <f>IFERROR(VLOOKUP(D1346,'Справочник соответствий'!A$2:D$2981,2,FALSE),IF(VALUE(D1346)=0,0,VLOOKUP(D1346,'Справочник соответствий'!A$2:D$2981,2,FALSE)))</f>
        <v>0</v>
      </c>
      <c r="K1346" s="3" t="str">
        <f t="shared" si="140"/>
        <v>1</v>
      </c>
      <c r="L1346" s="13" t="str">
        <f>IFERROR(VLOOKUP(C1346,'Справочник соответствий'!A$2:D$2981,3,FALSE),IF(VALUE(C1346)=0,"ЭТАЖ НЕ ОПРЕДЕЛЕН. ПРИНЯТ ПО ДОПУЩЕНИЮ 1",VLOOKUP(C1346,'Справочник соответствий'!A$2:D$2981,3,FALSE)))</f>
        <v>ЭТАЖ ЗАДАН ЧИСЛОМ</v>
      </c>
      <c r="M1346" s="13" t="b">
        <f t="shared" si="141"/>
        <v>0</v>
      </c>
      <c r="N1346" s="13">
        <f t="shared" si="142"/>
        <v>1</v>
      </c>
      <c r="O1346" s="13" t="str">
        <f t="shared" si="143"/>
        <v>ЭТАЖ ЗАДАН ЧИСЛОМ</v>
      </c>
      <c r="P1346" s="13" t="str">
        <f t="shared" si="144"/>
        <v>ЭТАЖ ЗАДАН ЧИСЛОМ</v>
      </c>
      <c r="Q1346" s="13" t="str">
        <f t="shared" si="145"/>
        <v>ГОТОВ_ИЗМЕНЕН</v>
      </c>
      <c r="R1346" s="13">
        <f>IFERROR(VLOOKUP(P1346,Лист1!A$1:B$20,2,FALSE),0)</f>
        <v>784</v>
      </c>
      <c r="S1346" s="13">
        <f t="shared" si="146"/>
        <v>0</v>
      </c>
    </row>
    <row r="1347" spans="1:19" x14ac:dyDescent="0.25">
      <c r="A1347" s="24" t="s">
        <v>2467</v>
      </c>
      <c r="B1347" s="4" t="s">
        <v>1063</v>
      </c>
      <c r="C1347" s="25" t="s">
        <v>5</v>
      </c>
      <c r="G1347" s="25" t="s">
        <v>1205</v>
      </c>
      <c r="H1347" s="24" t="s">
        <v>1061</v>
      </c>
      <c r="I1347" s="3" t="str">
        <f>IFERROR(VLOOKUP(C1347,'Справочник соответствий'!A$2:D$2981,2,FALSE),IF(VALUE(C1347)=0,1,VLOOKUP(C1347,'Справочник соответствий'!A$2:D$2981,2,FALSE)))</f>
        <v>1</v>
      </c>
      <c r="J1347" s="3">
        <f>IFERROR(VLOOKUP(D1347,'Справочник соответствий'!A$2:D$2981,2,FALSE),IF(VALUE(D1347)=0,0,VLOOKUP(D1347,'Справочник соответствий'!A$2:D$2981,2,FALSE)))</f>
        <v>0</v>
      </c>
      <c r="K1347" s="3" t="str">
        <f t="shared" si="140"/>
        <v>1</v>
      </c>
      <c r="L1347" s="13" t="str">
        <f>IFERROR(VLOOKUP(C1347,'Справочник соответствий'!A$2:D$2981,3,FALSE),IF(VALUE(C1347)=0,"ЭТАЖ НЕ ОПРЕДЕЛЕН. ПРИНЯТ ПО ДОПУЩЕНИЮ 1",VLOOKUP(C1347,'Справочник соответствий'!A$2:D$2981,3,FALSE)))</f>
        <v>ЭТАЖ ЗАДАН ЧИСЛОМ</v>
      </c>
      <c r="M1347" s="13" t="b">
        <f t="shared" si="141"/>
        <v>0</v>
      </c>
      <c r="N1347" s="13">
        <f t="shared" si="142"/>
        <v>1</v>
      </c>
      <c r="O1347" s="13" t="str">
        <f t="shared" si="143"/>
        <v>ЭТАЖ ЗАДАН ЧИСЛОМ</v>
      </c>
      <c r="P1347" s="13" t="str">
        <f t="shared" si="144"/>
        <v>ЭТАЖ ЗАДАН ЧИСЛОМ</v>
      </c>
      <c r="Q1347" s="13" t="str">
        <f t="shared" si="145"/>
        <v>ГОТОВ_ИЗМЕНЕН</v>
      </c>
      <c r="R1347" s="13">
        <f>IFERROR(VLOOKUP(P1347,Лист1!A$1:B$20,2,FALSE),0)</f>
        <v>784</v>
      </c>
      <c r="S1347" s="13">
        <f t="shared" si="146"/>
        <v>0</v>
      </c>
    </row>
    <row r="1348" spans="1:19" x14ac:dyDescent="0.25">
      <c r="A1348" s="24" t="s">
        <v>2468</v>
      </c>
      <c r="B1348" s="4" t="s">
        <v>1059</v>
      </c>
      <c r="C1348" s="25" t="s">
        <v>7</v>
      </c>
      <c r="G1348" s="25" t="s">
        <v>1205</v>
      </c>
      <c r="H1348" s="24" t="s">
        <v>1061</v>
      </c>
      <c r="I1348" s="3" t="str">
        <f>IFERROR(VLOOKUP(C1348,'Справочник соответствий'!A$2:D$2981,2,FALSE),IF(VALUE(C1348)=0,1,VLOOKUP(C1348,'Справочник соответствий'!A$2:D$2981,2,FALSE)))</f>
        <v>2</v>
      </c>
      <c r="J1348" s="3">
        <f>IFERROR(VLOOKUP(D1348,'Справочник соответствий'!A$2:D$2981,2,FALSE),IF(VALUE(D1348)=0,0,VLOOKUP(D1348,'Справочник соответствий'!A$2:D$2981,2,FALSE)))</f>
        <v>0</v>
      </c>
      <c r="K1348" s="3" t="str">
        <f t="shared" si="140"/>
        <v>2</v>
      </c>
      <c r="L1348" s="13" t="str">
        <f>IFERROR(VLOOKUP(C1348,'Справочник соответствий'!A$2:D$2981,3,FALSE),IF(VALUE(C1348)=0,"ЭТАЖ НЕ ОПРЕДЕЛЕН. ПРИНЯТ ПО ДОПУЩЕНИЮ 1",VLOOKUP(C1348,'Справочник соответствий'!A$2:D$2981,3,FALSE)))</f>
        <v>ЭТАЖ ЗАДАН ЧИСЛОМ</v>
      </c>
      <c r="M1348" s="13" t="b">
        <f t="shared" si="141"/>
        <v>0</v>
      </c>
      <c r="N1348" s="13">
        <f t="shared" si="142"/>
        <v>2</v>
      </c>
      <c r="O1348" s="13" t="str">
        <f t="shared" si="143"/>
        <v>ЭТАЖ ЗАДАН ЧИСЛОМ</v>
      </c>
      <c r="P1348" s="13" t="str">
        <f t="shared" si="144"/>
        <v>ЭТАЖ ЗАДАН ЧИСЛОМ</v>
      </c>
      <c r="Q1348" s="13" t="str">
        <f t="shared" si="145"/>
        <v>ГОТОВ_ИЗМЕНЕН</v>
      </c>
      <c r="R1348" s="13">
        <f>IFERROR(VLOOKUP(P1348,Лист1!A$1:B$20,2,FALSE),0)</f>
        <v>784</v>
      </c>
      <c r="S1348" s="13">
        <f t="shared" si="146"/>
        <v>0</v>
      </c>
    </row>
    <row r="1349" spans="1:19" x14ac:dyDescent="0.25">
      <c r="A1349" s="24" t="s">
        <v>2469</v>
      </c>
      <c r="B1349" s="4" t="s">
        <v>1059</v>
      </c>
      <c r="C1349" s="25" t="s">
        <v>8</v>
      </c>
      <c r="G1349" s="25" t="s">
        <v>1205</v>
      </c>
      <c r="H1349" s="24" t="s">
        <v>1061</v>
      </c>
      <c r="I1349" s="3" t="str">
        <f>IFERROR(VLOOKUP(C1349,'Справочник соответствий'!A$2:D$2981,2,FALSE),IF(VALUE(C1349)=0,1,VLOOKUP(C1349,'Справочник соответствий'!A$2:D$2981,2,FALSE)))</f>
        <v>3</v>
      </c>
      <c r="J1349" s="3">
        <f>IFERROR(VLOOKUP(D1349,'Справочник соответствий'!A$2:D$2981,2,FALSE),IF(VALUE(D1349)=0,0,VLOOKUP(D1349,'Справочник соответствий'!A$2:D$2981,2,FALSE)))</f>
        <v>0</v>
      </c>
      <c r="K1349" s="3" t="str">
        <f t="shared" ref="K1349:K1412" si="147">IF(B1349="Многоквартирный дом",IF(I1349-J1349&gt;0,I1349-J1349,1),I1349)</f>
        <v>3</v>
      </c>
      <c r="L1349" s="13" t="str">
        <f>IFERROR(VLOOKUP(C1349,'Справочник соответствий'!A$2:D$2981,3,FALSE),IF(VALUE(C1349)=0,"ЭТАЖ НЕ ОПРЕДЕЛЕН. ПРИНЯТ ПО ДОПУЩЕНИЮ 1",VLOOKUP(C1349,'Справочник соответствий'!A$2:D$2981,3,FALSE)))</f>
        <v>ЭТАЖ ЗАДАН ЧИСЛОМ</v>
      </c>
      <c r="M1349" s="13" t="b">
        <f t="shared" ref="M1349:M1412" si="148">I1349=E1349</f>
        <v>0</v>
      </c>
      <c r="N1349" s="13">
        <f t="shared" ref="N1349:N1412" si="149">IF(VALUE(E1349)=0,VALUE(K1349),IF(L1349="ЭТАЖ НЕ ОПРЕДЕЛЕН. ПРИНЯТ ПО ДОПУЩЕНИЮ 1",VALUE(E1349),VALUE(K1349)))</f>
        <v>3</v>
      </c>
      <c r="O1349" s="13" t="str">
        <f t="shared" ref="O1349:O1412" si="150">IF(VALUE(E1349)=0,L1349,IF(L1349="ЭТАЖ НЕ ОПРЕДЕЛЕН. ПРИНЯТ ПО ДОПУЩЕНИЮ 1",F1349,L1349))</f>
        <v>ЭТАЖ ЗАДАН ЧИСЛОМ</v>
      </c>
      <c r="P1349" s="13" t="str">
        <f t="shared" ref="P1349:P1412" si="151">IF(B1349="Многоквартирный дом",CONCATENATE("МКД_",O1349),O1349)</f>
        <v>ЭТАЖ ЗАДАН ЧИСЛОМ</v>
      </c>
      <c r="Q1349" s="13" t="str">
        <f t="shared" ref="Q1349:Q1412" si="152">IFERROR(IF(N1349&gt;0,IF(N1349=VALUE(E1349),"ГОТОВ","ГОТОВ_ИЗМЕНЕН"),"НЕ ГОТОВ"),"НЕ ГОТОВ")</f>
        <v>ГОТОВ_ИЗМЕНЕН</v>
      </c>
      <c r="R1349" s="13">
        <f>IFERROR(VLOOKUP(P1349,Лист1!A$1:B$20,2,FALSE),0)</f>
        <v>784</v>
      </c>
      <c r="S1349" s="13">
        <f t="shared" ref="S1349:S1412" si="153">VALUE(E1349)</f>
        <v>0</v>
      </c>
    </row>
    <row r="1350" spans="1:19" x14ac:dyDescent="0.25">
      <c r="A1350" s="24" t="s">
        <v>2470</v>
      </c>
      <c r="B1350" s="4" t="s">
        <v>1063</v>
      </c>
      <c r="C1350" s="25" t="s">
        <v>5</v>
      </c>
      <c r="G1350" s="25" t="s">
        <v>1205</v>
      </c>
      <c r="H1350" s="24" t="s">
        <v>1061</v>
      </c>
      <c r="I1350" s="3" t="str">
        <f>IFERROR(VLOOKUP(C1350,'Справочник соответствий'!A$2:D$2981,2,FALSE),IF(VALUE(C1350)=0,1,VLOOKUP(C1350,'Справочник соответствий'!A$2:D$2981,2,FALSE)))</f>
        <v>1</v>
      </c>
      <c r="J1350" s="3">
        <f>IFERROR(VLOOKUP(D1350,'Справочник соответствий'!A$2:D$2981,2,FALSE),IF(VALUE(D1350)=0,0,VLOOKUP(D1350,'Справочник соответствий'!A$2:D$2981,2,FALSE)))</f>
        <v>0</v>
      </c>
      <c r="K1350" s="3" t="str">
        <f t="shared" si="147"/>
        <v>1</v>
      </c>
      <c r="L1350" s="13" t="str">
        <f>IFERROR(VLOOKUP(C1350,'Справочник соответствий'!A$2:D$2981,3,FALSE),IF(VALUE(C1350)=0,"ЭТАЖ НЕ ОПРЕДЕЛЕН. ПРИНЯТ ПО ДОПУЩЕНИЮ 1",VLOOKUP(C1350,'Справочник соответствий'!A$2:D$2981,3,FALSE)))</f>
        <v>ЭТАЖ ЗАДАН ЧИСЛОМ</v>
      </c>
      <c r="M1350" s="13" t="b">
        <f t="shared" si="148"/>
        <v>0</v>
      </c>
      <c r="N1350" s="13">
        <f t="shared" si="149"/>
        <v>1</v>
      </c>
      <c r="O1350" s="13" t="str">
        <f t="shared" si="150"/>
        <v>ЭТАЖ ЗАДАН ЧИСЛОМ</v>
      </c>
      <c r="P1350" s="13" t="str">
        <f t="shared" si="151"/>
        <v>ЭТАЖ ЗАДАН ЧИСЛОМ</v>
      </c>
      <c r="Q1350" s="13" t="str">
        <f t="shared" si="152"/>
        <v>ГОТОВ_ИЗМЕНЕН</v>
      </c>
      <c r="R1350" s="13">
        <f>IFERROR(VLOOKUP(P1350,Лист1!A$1:B$20,2,FALSE),0)</f>
        <v>784</v>
      </c>
      <c r="S1350" s="13">
        <f t="shared" si="153"/>
        <v>0</v>
      </c>
    </row>
    <row r="1351" spans="1:19" x14ac:dyDescent="0.25">
      <c r="A1351" s="24" t="s">
        <v>2471</v>
      </c>
      <c r="B1351" s="4" t="s">
        <v>1063</v>
      </c>
      <c r="C1351" s="25" t="s">
        <v>5</v>
      </c>
      <c r="G1351" s="25" t="s">
        <v>1205</v>
      </c>
      <c r="H1351" s="24" t="s">
        <v>1061</v>
      </c>
      <c r="I1351" s="3" t="str">
        <f>IFERROR(VLOOKUP(C1351,'Справочник соответствий'!A$2:D$2981,2,FALSE),IF(VALUE(C1351)=0,1,VLOOKUP(C1351,'Справочник соответствий'!A$2:D$2981,2,FALSE)))</f>
        <v>1</v>
      </c>
      <c r="J1351" s="3">
        <f>IFERROR(VLOOKUP(D1351,'Справочник соответствий'!A$2:D$2981,2,FALSE),IF(VALUE(D1351)=0,0,VLOOKUP(D1351,'Справочник соответствий'!A$2:D$2981,2,FALSE)))</f>
        <v>0</v>
      </c>
      <c r="K1351" s="3" t="str">
        <f t="shared" si="147"/>
        <v>1</v>
      </c>
      <c r="L1351" s="13" t="str">
        <f>IFERROR(VLOOKUP(C1351,'Справочник соответствий'!A$2:D$2981,3,FALSE),IF(VALUE(C1351)=0,"ЭТАЖ НЕ ОПРЕДЕЛЕН. ПРИНЯТ ПО ДОПУЩЕНИЮ 1",VLOOKUP(C1351,'Справочник соответствий'!A$2:D$2981,3,FALSE)))</f>
        <v>ЭТАЖ ЗАДАН ЧИСЛОМ</v>
      </c>
      <c r="M1351" s="13" t="b">
        <f t="shared" si="148"/>
        <v>0</v>
      </c>
      <c r="N1351" s="13">
        <f t="shared" si="149"/>
        <v>1</v>
      </c>
      <c r="O1351" s="13" t="str">
        <f t="shared" si="150"/>
        <v>ЭТАЖ ЗАДАН ЧИСЛОМ</v>
      </c>
      <c r="P1351" s="13" t="str">
        <f t="shared" si="151"/>
        <v>ЭТАЖ ЗАДАН ЧИСЛОМ</v>
      </c>
      <c r="Q1351" s="13" t="str">
        <f t="shared" si="152"/>
        <v>ГОТОВ_ИЗМЕНЕН</v>
      </c>
      <c r="R1351" s="13">
        <f>IFERROR(VLOOKUP(P1351,Лист1!A$1:B$20,2,FALSE),0)</f>
        <v>784</v>
      </c>
      <c r="S1351" s="13">
        <f t="shared" si="153"/>
        <v>0</v>
      </c>
    </row>
    <row r="1352" spans="1:19" x14ac:dyDescent="0.25">
      <c r="A1352" s="24" t="s">
        <v>2472</v>
      </c>
      <c r="B1352" s="4" t="s">
        <v>1059</v>
      </c>
      <c r="C1352" s="25" t="s">
        <v>5</v>
      </c>
      <c r="G1352" s="25" t="s">
        <v>1205</v>
      </c>
      <c r="H1352" s="24" t="s">
        <v>1061</v>
      </c>
      <c r="I1352" s="3" t="str">
        <f>IFERROR(VLOOKUP(C1352,'Справочник соответствий'!A$2:D$2981,2,FALSE),IF(VALUE(C1352)=0,1,VLOOKUP(C1352,'Справочник соответствий'!A$2:D$2981,2,FALSE)))</f>
        <v>1</v>
      </c>
      <c r="J1352" s="3">
        <f>IFERROR(VLOOKUP(D1352,'Справочник соответствий'!A$2:D$2981,2,FALSE),IF(VALUE(D1352)=0,0,VLOOKUP(D1352,'Справочник соответствий'!A$2:D$2981,2,FALSE)))</f>
        <v>0</v>
      </c>
      <c r="K1352" s="3" t="str">
        <f t="shared" si="147"/>
        <v>1</v>
      </c>
      <c r="L1352" s="13" t="str">
        <f>IFERROR(VLOOKUP(C1352,'Справочник соответствий'!A$2:D$2981,3,FALSE),IF(VALUE(C1352)=0,"ЭТАЖ НЕ ОПРЕДЕЛЕН. ПРИНЯТ ПО ДОПУЩЕНИЮ 1",VLOOKUP(C1352,'Справочник соответствий'!A$2:D$2981,3,FALSE)))</f>
        <v>ЭТАЖ ЗАДАН ЧИСЛОМ</v>
      </c>
      <c r="M1352" s="13" t="b">
        <f t="shared" si="148"/>
        <v>0</v>
      </c>
      <c r="N1352" s="13">
        <f t="shared" si="149"/>
        <v>1</v>
      </c>
      <c r="O1352" s="13" t="str">
        <f t="shared" si="150"/>
        <v>ЭТАЖ ЗАДАН ЧИСЛОМ</v>
      </c>
      <c r="P1352" s="13" t="str">
        <f t="shared" si="151"/>
        <v>ЭТАЖ ЗАДАН ЧИСЛОМ</v>
      </c>
      <c r="Q1352" s="13" t="str">
        <f t="shared" si="152"/>
        <v>ГОТОВ_ИЗМЕНЕН</v>
      </c>
      <c r="R1352" s="13">
        <f>IFERROR(VLOOKUP(P1352,Лист1!A$1:B$20,2,FALSE),0)</f>
        <v>784</v>
      </c>
      <c r="S1352" s="13">
        <f t="shared" si="153"/>
        <v>0</v>
      </c>
    </row>
    <row r="1353" spans="1:19" x14ac:dyDescent="0.25">
      <c r="A1353" s="24" t="s">
        <v>2473</v>
      </c>
      <c r="B1353" s="4" t="s">
        <v>1059</v>
      </c>
      <c r="C1353" s="25" t="s">
        <v>7</v>
      </c>
      <c r="G1353" s="25" t="s">
        <v>1205</v>
      </c>
      <c r="H1353" s="24" t="s">
        <v>1061</v>
      </c>
      <c r="I1353" s="3" t="str">
        <f>IFERROR(VLOOKUP(C1353,'Справочник соответствий'!A$2:D$2981,2,FALSE),IF(VALUE(C1353)=0,1,VLOOKUP(C1353,'Справочник соответствий'!A$2:D$2981,2,FALSE)))</f>
        <v>2</v>
      </c>
      <c r="J1353" s="3">
        <f>IFERROR(VLOOKUP(D1353,'Справочник соответствий'!A$2:D$2981,2,FALSE),IF(VALUE(D1353)=0,0,VLOOKUP(D1353,'Справочник соответствий'!A$2:D$2981,2,FALSE)))</f>
        <v>0</v>
      </c>
      <c r="K1353" s="3" t="str">
        <f t="shared" si="147"/>
        <v>2</v>
      </c>
      <c r="L1353" s="13" t="str">
        <f>IFERROR(VLOOKUP(C1353,'Справочник соответствий'!A$2:D$2981,3,FALSE),IF(VALUE(C1353)=0,"ЭТАЖ НЕ ОПРЕДЕЛЕН. ПРИНЯТ ПО ДОПУЩЕНИЮ 1",VLOOKUP(C1353,'Справочник соответствий'!A$2:D$2981,3,FALSE)))</f>
        <v>ЭТАЖ ЗАДАН ЧИСЛОМ</v>
      </c>
      <c r="M1353" s="13" t="b">
        <f t="shared" si="148"/>
        <v>0</v>
      </c>
      <c r="N1353" s="13">
        <f t="shared" si="149"/>
        <v>2</v>
      </c>
      <c r="O1353" s="13" t="str">
        <f t="shared" si="150"/>
        <v>ЭТАЖ ЗАДАН ЧИСЛОМ</v>
      </c>
      <c r="P1353" s="13" t="str">
        <f t="shared" si="151"/>
        <v>ЭТАЖ ЗАДАН ЧИСЛОМ</v>
      </c>
      <c r="Q1353" s="13" t="str">
        <f t="shared" si="152"/>
        <v>ГОТОВ_ИЗМЕНЕН</v>
      </c>
      <c r="R1353" s="13">
        <f>IFERROR(VLOOKUP(P1353,Лист1!A$1:B$20,2,FALSE),0)</f>
        <v>784</v>
      </c>
      <c r="S1353" s="13">
        <f t="shared" si="153"/>
        <v>0</v>
      </c>
    </row>
    <row r="1354" spans="1:19" x14ac:dyDescent="0.25">
      <c r="A1354" s="24" t="s">
        <v>2474</v>
      </c>
      <c r="B1354" s="4" t="s">
        <v>1059</v>
      </c>
      <c r="C1354" s="25" t="s">
        <v>5</v>
      </c>
      <c r="G1354" s="25" t="s">
        <v>1321</v>
      </c>
      <c r="H1354" s="24" t="s">
        <v>1061</v>
      </c>
      <c r="I1354" s="3" t="str">
        <f>IFERROR(VLOOKUP(C1354,'Справочник соответствий'!A$2:D$2981,2,FALSE),IF(VALUE(C1354)=0,1,VLOOKUP(C1354,'Справочник соответствий'!A$2:D$2981,2,FALSE)))</f>
        <v>1</v>
      </c>
      <c r="J1354" s="3">
        <f>IFERROR(VLOOKUP(D1354,'Справочник соответствий'!A$2:D$2981,2,FALSE),IF(VALUE(D1354)=0,0,VLOOKUP(D1354,'Справочник соответствий'!A$2:D$2981,2,FALSE)))</f>
        <v>0</v>
      </c>
      <c r="K1354" s="3" t="str">
        <f t="shared" si="147"/>
        <v>1</v>
      </c>
      <c r="L1354" s="13" t="str">
        <f>IFERROR(VLOOKUP(C1354,'Справочник соответствий'!A$2:D$2981,3,FALSE),IF(VALUE(C1354)=0,"ЭТАЖ НЕ ОПРЕДЕЛЕН. ПРИНЯТ ПО ДОПУЩЕНИЮ 1",VLOOKUP(C1354,'Справочник соответствий'!A$2:D$2981,3,FALSE)))</f>
        <v>ЭТАЖ ЗАДАН ЧИСЛОМ</v>
      </c>
      <c r="M1354" s="13" t="b">
        <f t="shared" si="148"/>
        <v>0</v>
      </c>
      <c r="N1354" s="13">
        <f t="shared" si="149"/>
        <v>1</v>
      </c>
      <c r="O1354" s="13" t="str">
        <f t="shared" si="150"/>
        <v>ЭТАЖ ЗАДАН ЧИСЛОМ</v>
      </c>
      <c r="P1354" s="13" t="str">
        <f t="shared" si="151"/>
        <v>ЭТАЖ ЗАДАН ЧИСЛОМ</v>
      </c>
      <c r="Q1354" s="13" t="str">
        <f t="shared" si="152"/>
        <v>ГОТОВ_ИЗМЕНЕН</v>
      </c>
      <c r="R1354" s="13">
        <f>IFERROR(VLOOKUP(P1354,Лист1!A$1:B$20,2,FALSE),0)</f>
        <v>784</v>
      </c>
      <c r="S1354" s="13">
        <f t="shared" si="153"/>
        <v>0</v>
      </c>
    </row>
    <row r="1355" spans="1:19" x14ac:dyDescent="0.25">
      <c r="A1355" s="24" t="s">
        <v>2475</v>
      </c>
      <c r="B1355" s="4" t="s">
        <v>1059</v>
      </c>
      <c r="C1355" s="25" t="s">
        <v>7</v>
      </c>
      <c r="G1355" s="25" t="s">
        <v>1072</v>
      </c>
      <c r="H1355" s="24" t="s">
        <v>1061</v>
      </c>
      <c r="I1355" s="3" t="str">
        <f>IFERROR(VLOOKUP(C1355,'Справочник соответствий'!A$2:D$2981,2,FALSE),IF(VALUE(C1355)=0,1,VLOOKUP(C1355,'Справочник соответствий'!A$2:D$2981,2,FALSE)))</f>
        <v>2</v>
      </c>
      <c r="J1355" s="3">
        <f>IFERROR(VLOOKUP(D1355,'Справочник соответствий'!A$2:D$2981,2,FALSE),IF(VALUE(D1355)=0,0,VLOOKUP(D1355,'Справочник соответствий'!A$2:D$2981,2,FALSE)))</f>
        <v>0</v>
      </c>
      <c r="K1355" s="3" t="str">
        <f t="shared" si="147"/>
        <v>2</v>
      </c>
      <c r="L1355" s="13" t="str">
        <f>IFERROR(VLOOKUP(C1355,'Справочник соответствий'!A$2:D$2981,3,FALSE),IF(VALUE(C1355)=0,"ЭТАЖ НЕ ОПРЕДЕЛЕН. ПРИНЯТ ПО ДОПУЩЕНИЮ 1",VLOOKUP(C1355,'Справочник соответствий'!A$2:D$2981,3,FALSE)))</f>
        <v>ЭТАЖ ЗАДАН ЧИСЛОМ</v>
      </c>
      <c r="M1355" s="13" t="b">
        <f t="shared" si="148"/>
        <v>0</v>
      </c>
      <c r="N1355" s="13">
        <f t="shared" si="149"/>
        <v>2</v>
      </c>
      <c r="O1355" s="13" t="str">
        <f t="shared" si="150"/>
        <v>ЭТАЖ ЗАДАН ЧИСЛОМ</v>
      </c>
      <c r="P1355" s="13" t="str">
        <f t="shared" si="151"/>
        <v>ЭТАЖ ЗАДАН ЧИСЛОМ</v>
      </c>
      <c r="Q1355" s="13" t="str">
        <f t="shared" si="152"/>
        <v>ГОТОВ_ИЗМЕНЕН</v>
      </c>
      <c r="R1355" s="13">
        <f>IFERROR(VLOOKUP(P1355,Лист1!A$1:B$20,2,FALSE),0)</f>
        <v>784</v>
      </c>
      <c r="S1355" s="13">
        <f t="shared" si="153"/>
        <v>0</v>
      </c>
    </row>
    <row r="1356" spans="1:19" x14ac:dyDescent="0.25">
      <c r="A1356" s="24" t="s">
        <v>2476</v>
      </c>
      <c r="B1356" s="4" t="s">
        <v>1063</v>
      </c>
      <c r="C1356" s="25" t="s">
        <v>5</v>
      </c>
      <c r="G1356" s="25" t="s">
        <v>1224</v>
      </c>
      <c r="H1356" s="24" t="s">
        <v>1061</v>
      </c>
      <c r="I1356" s="3" t="str">
        <f>IFERROR(VLOOKUP(C1356,'Справочник соответствий'!A$2:D$2981,2,FALSE),IF(VALUE(C1356)=0,1,VLOOKUP(C1356,'Справочник соответствий'!A$2:D$2981,2,FALSE)))</f>
        <v>1</v>
      </c>
      <c r="J1356" s="3">
        <f>IFERROR(VLOOKUP(D1356,'Справочник соответствий'!A$2:D$2981,2,FALSE),IF(VALUE(D1356)=0,0,VLOOKUP(D1356,'Справочник соответствий'!A$2:D$2981,2,FALSE)))</f>
        <v>0</v>
      </c>
      <c r="K1356" s="3" t="str">
        <f t="shared" si="147"/>
        <v>1</v>
      </c>
      <c r="L1356" s="13" t="str">
        <f>IFERROR(VLOOKUP(C1356,'Справочник соответствий'!A$2:D$2981,3,FALSE),IF(VALUE(C1356)=0,"ЭТАЖ НЕ ОПРЕДЕЛЕН. ПРИНЯТ ПО ДОПУЩЕНИЮ 1",VLOOKUP(C1356,'Справочник соответствий'!A$2:D$2981,3,FALSE)))</f>
        <v>ЭТАЖ ЗАДАН ЧИСЛОМ</v>
      </c>
      <c r="M1356" s="13" t="b">
        <f t="shared" si="148"/>
        <v>0</v>
      </c>
      <c r="N1356" s="13">
        <f t="shared" si="149"/>
        <v>1</v>
      </c>
      <c r="O1356" s="13" t="str">
        <f t="shared" si="150"/>
        <v>ЭТАЖ ЗАДАН ЧИСЛОМ</v>
      </c>
      <c r="P1356" s="13" t="str">
        <f t="shared" si="151"/>
        <v>ЭТАЖ ЗАДАН ЧИСЛОМ</v>
      </c>
      <c r="Q1356" s="13" t="str">
        <f t="shared" si="152"/>
        <v>ГОТОВ_ИЗМЕНЕН</v>
      </c>
      <c r="R1356" s="13">
        <f>IFERROR(VLOOKUP(P1356,Лист1!A$1:B$20,2,FALSE),0)</f>
        <v>784</v>
      </c>
      <c r="S1356" s="13">
        <f t="shared" si="153"/>
        <v>0</v>
      </c>
    </row>
    <row r="1357" spans="1:19" x14ac:dyDescent="0.25">
      <c r="A1357" s="24" t="s">
        <v>2477</v>
      </c>
      <c r="B1357" s="4" t="s">
        <v>1059</v>
      </c>
      <c r="C1357" s="25" t="s">
        <v>7</v>
      </c>
      <c r="G1357" s="25" t="s">
        <v>1174</v>
      </c>
      <c r="H1357" s="24" t="s">
        <v>1061</v>
      </c>
      <c r="I1357" s="3" t="str">
        <f>IFERROR(VLOOKUP(C1357,'Справочник соответствий'!A$2:D$2981,2,FALSE),IF(VALUE(C1357)=0,1,VLOOKUP(C1357,'Справочник соответствий'!A$2:D$2981,2,FALSE)))</f>
        <v>2</v>
      </c>
      <c r="J1357" s="3">
        <f>IFERROR(VLOOKUP(D1357,'Справочник соответствий'!A$2:D$2981,2,FALSE),IF(VALUE(D1357)=0,0,VLOOKUP(D1357,'Справочник соответствий'!A$2:D$2981,2,FALSE)))</f>
        <v>0</v>
      </c>
      <c r="K1357" s="3" t="str">
        <f t="shared" si="147"/>
        <v>2</v>
      </c>
      <c r="L1357" s="13" t="str">
        <f>IFERROR(VLOOKUP(C1357,'Справочник соответствий'!A$2:D$2981,3,FALSE),IF(VALUE(C1357)=0,"ЭТАЖ НЕ ОПРЕДЕЛЕН. ПРИНЯТ ПО ДОПУЩЕНИЮ 1",VLOOKUP(C1357,'Справочник соответствий'!A$2:D$2981,3,FALSE)))</f>
        <v>ЭТАЖ ЗАДАН ЧИСЛОМ</v>
      </c>
      <c r="M1357" s="13" t="b">
        <f t="shared" si="148"/>
        <v>0</v>
      </c>
      <c r="N1357" s="13">
        <f t="shared" si="149"/>
        <v>2</v>
      </c>
      <c r="O1357" s="13" t="str">
        <f t="shared" si="150"/>
        <v>ЭТАЖ ЗАДАН ЧИСЛОМ</v>
      </c>
      <c r="P1357" s="13" t="str">
        <f t="shared" si="151"/>
        <v>ЭТАЖ ЗАДАН ЧИСЛОМ</v>
      </c>
      <c r="Q1357" s="13" t="str">
        <f t="shared" si="152"/>
        <v>ГОТОВ_ИЗМЕНЕН</v>
      </c>
      <c r="R1357" s="13">
        <f>IFERROR(VLOOKUP(P1357,Лист1!A$1:B$20,2,FALSE),0)</f>
        <v>784</v>
      </c>
      <c r="S1357" s="13">
        <f t="shared" si="153"/>
        <v>0</v>
      </c>
    </row>
    <row r="1358" spans="1:19" x14ac:dyDescent="0.25">
      <c r="A1358" s="24" t="s">
        <v>2478</v>
      </c>
      <c r="B1358" s="4" t="s">
        <v>1059</v>
      </c>
      <c r="C1358" s="25" t="s">
        <v>7</v>
      </c>
      <c r="D1358" s="25" t="s">
        <v>24</v>
      </c>
      <c r="G1358" s="25" t="s">
        <v>1222</v>
      </c>
      <c r="H1358" s="24" t="s">
        <v>1061</v>
      </c>
      <c r="I1358" s="3" t="str">
        <f>IFERROR(VLOOKUP(C1358,'Справочник соответствий'!A$2:D$2981,2,FALSE),IF(VALUE(C1358)=0,1,VLOOKUP(C1358,'Справочник соответствий'!A$2:D$2981,2,FALSE)))</f>
        <v>2</v>
      </c>
      <c r="J1358" s="3" t="str">
        <f>IFERROR(VLOOKUP(D1358,'Справочник соответствий'!A$2:D$2981,2,FALSE),IF(VALUE(D1358)=0,0,VLOOKUP(D1358,'Справочник соответствий'!A$2:D$2981,2,FALSE)))</f>
        <v>1</v>
      </c>
      <c r="K1358" s="3" t="str">
        <f t="shared" si="147"/>
        <v>2</v>
      </c>
      <c r="L1358" s="13" t="str">
        <f>IFERROR(VLOOKUP(C1358,'Справочник соответствий'!A$2:D$2981,3,FALSE),IF(VALUE(C1358)=0,"ЭТАЖ НЕ ОПРЕДЕЛЕН. ПРИНЯТ ПО ДОПУЩЕНИЮ 1",VLOOKUP(C1358,'Справочник соответствий'!A$2:D$2981,3,FALSE)))</f>
        <v>ЭТАЖ ЗАДАН ЧИСЛОМ</v>
      </c>
      <c r="M1358" s="13" t="b">
        <f t="shared" si="148"/>
        <v>0</v>
      </c>
      <c r="N1358" s="13">
        <f t="shared" si="149"/>
        <v>2</v>
      </c>
      <c r="O1358" s="13" t="str">
        <f t="shared" si="150"/>
        <v>ЭТАЖ ЗАДАН ЧИСЛОМ</v>
      </c>
      <c r="P1358" s="13" t="str">
        <f t="shared" si="151"/>
        <v>ЭТАЖ ЗАДАН ЧИСЛОМ</v>
      </c>
      <c r="Q1358" s="13" t="str">
        <f t="shared" si="152"/>
        <v>ГОТОВ_ИЗМЕНЕН</v>
      </c>
      <c r="R1358" s="13">
        <f>IFERROR(VLOOKUP(P1358,Лист1!A$1:B$20,2,FALSE),0)</f>
        <v>784</v>
      </c>
      <c r="S1358" s="13">
        <f t="shared" si="153"/>
        <v>0</v>
      </c>
    </row>
    <row r="1359" spans="1:19" x14ac:dyDescent="0.25">
      <c r="A1359" s="24" t="s">
        <v>2479</v>
      </c>
      <c r="B1359" s="4" t="s">
        <v>1059</v>
      </c>
      <c r="C1359" s="25" t="s">
        <v>7</v>
      </c>
      <c r="G1359" s="25" t="s">
        <v>1222</v>
      </c>
      <c r="H1359" s="24" t="s">
        <v>1061</v>
      </c>
      <c r="I1359" s="3" t="str">
        <f>IFERROR(VLOOKUP(C1359,'Справочник соответствий'!A$2:D$2981,2,FALSE),IF(VALUE(C1359)=0,1,VLOOKUP(C1359,'Справочник соответствий'!A$2:D$2981,2,FALSE)))</f>
        <v>2</v>
      </c>
      <c r="J1359" s="3">
        <f>IFERROR(VLOOKUP(D1359,'Справочник соответствий'!A$2:D$2981,2,FALSE),IF(VALUE(D1359)=0,0,VLOOKUP(D1359,'Справочник соответствий'!A$2:D$2981,2,FALSE)))</f>
        <v>0</v>
      </c>
      <c r="K1359" s="3" t="str">
        <f t="shared" si="147"/>
        <v>2</v>
      </c>
      <c r="L1359" s="13" t="str">
        <f>IFERROR(VLOOKUP(C1359,'Справочник соответствий'!A$2:D$2981,3,FALSE),IF(VALUE(C1359)=0,"ЭТАЖ НЕ ОПРЕДЕЛЕН. ПРИНЯТ ПО ДОПУЩЕНИЮ 1",VLOOKUP(C1359,'Справочник соответствий'!A$2:D$2981,3,FALSE)))</f>
        <v>ЭТАЖ ЗАДАН ЧИСЛОМ</v>
      </c>
      <c r="M1359" s="13" t="b">
        <f t="shared" si="148"/>
        <v>0</v>
      </c>
      <c r="N1359" s="13">
        <f t="shared" si="149"/>
        <v>2</v>
      </c>
      <c r="O1359" s="13" t="str">
        <f t="shared" si="150"/>
        <v>ЭТАЖ ЗАДАН ЧИСЛОМ</v>
      </c>
      <c r="P1359" s="13" t="str">
        <f t="shared" si="151"/>
        <v>ЭТАЖ ЗАДАН ЧИСЛОМ</v>
      </c>
      <c r="Q1359" s="13" t="str">
        <f t="shared" si="152"/>
        <v>ГОТОВ_ИЗМЕНЕН</v>
      </c>
      <c r="R1359" s="13">
        <f>IFERROR(VLOOKUP(P1359,Лист1!A$1:B$20,2,FALSE),0)</f>
        <v>784</v>
      </c>
      <c r="S1359" s="13">
        <f t="shared" si="153"/>
        <v>0</v>
      </c>
    </row>
    <row r="1360" spans="1:19" x14ac:dyDescent="0.25">
      <c r="A1360" s="24" t="s">
        <v>2480</v>
      </c>
      <c r="B1360" s="4" t="s">
        <v>1063</v>
      </c>
      <c r="C1360" s="25" t="s">
        <v>7</v>
      </c>
      <c r="G1360" s="25" t="s">
        <v>1174</v>
      </c>
      <c r="H1360" s="24" t="s">
        <v>1061</v>
      </c>
      <c r="I1360" s="3" t="str">
        <f>IFERROR(VLOOKUP(C1360,'Справочник соответствий'!A$2:D$2981,2,FALSE),IF(VALUE(C1360)=0,1,VLOOKUP(C1360,'Справочник соответствий'!A$2:D$2981,2,FALSE)))</f>
        <v>2</v>
      </c>
      <c r="J1360" s="3">
        <f>IFERROR(VLOOKUP(D1360,'Справочник соответствий'!A$2:D$2981,2,FALSE),IF(VALUE(D1360)=0,0,VLOOKUP(D1360,'Справочник соответствий'!A$2:D$2981,2,FALSE)))</f>
        <v>0</v>
      </c>
      <c r="K1360" s="3" t="str">
        <f t="shared" si="147"/>
        <v>2</v>
      </c>
      <c r="L1360" s="13" t="str">
        <f>IFERROR(VLOOKUP(C1360,'Справочник соответствий'!A$2:D$2981,3,FALSE),IF(VALUE(C1360)=0,"ЭТАЖ НЕ ОПРЕДЕЛЕН. ПРИНЯТ ПО ДОПУЩЕНИЮ 1",VLOOKUP(C1360,'Справочник соответствий'!A$2:D$2981,3,FALSE)))</f>
        <v>ЭТАЖ ЗАДАН ЧИСЛОМ</v>
      </c>
      <c r="M1360" s="13" t="b">
        <f t="shared" si="148"/>
        <v>0</v>
      </c>
      <c r="N1360" s="13">
        <f t="shared" si="149"/>
        <v>2</v>
      </c>
      <c r="O1360" s="13" t="str">
        <f t="shared" si="150"/>
        <v>ЭТАЖ ЗАДАН ЧИСЛОМ</v>
      </c>
      <c r="P1360" s="13" t="str">
        <f t="shared" si="151"/>
        <v>ЭТАЖ ЗАДАН ЧИСЛОМ</v>
      </c>
      <c r="Q1360" s="13" t="str">
        <f t="shared" si="152"/>
        <v>ГОТОВ_ИЗМЕНЕН</v>
      </c>
      <c r="R1360" s="13">
        <f>IFERROR(VLOOKUP(P1360,Лист1!A$1:B$20,2,FALSE),0)</f>
        <v>784</v>
      </c>
      <c r="S1360" s="13">
        <f t="shared" si="153"/>
        <v>0</v>
      </c>
    </row>
    <row r="1361" spans="1:19" x14ac:dyDescent="0.25">
      <c r="A1361" s="24" t="s">
        <v>2481</v>
      </c>
      <c r="B1361" s="4" t="s">
        <v>1063</v>
      </c>
      <c r="C1361" s="25" t="s">
        <v>5</v>
      </c>
      <c r="G1361" s="25" t="s">
        <v>1174</v>
      </c>
      <c r="H1361" s="24" t="s">
        <v>1061</v>
      </c>
      <c r="I1361" s="3" t="str">
        <f>IFERROR(VLOOKUP(C1361,'Справочник соответствий'!A$2:D$2981,2,FALSE),IF(VALUE(C1361)=0,1,VLOOKUP(C1361,'Справочник соответствий'!A$2:D$2981,2,FALSE)))</f>
        <v>1</v>
      </c>
      <c r="J1361" s="3">
        <f>IFERROR(VLOOKUP(D1361,'Справочник соответствий'!A$2:D$2981,2,FALSE),IF(VALUE(D1361)=0,0,VLOOKUP(D1361,'Справочник соответствий'!A$2:D$2981,2,FALSE)))</f>
        <v>0</v>
      </c>
      <c r="K1361" s="3" t="str">
        <f t="shared" si="147"/>
        <v>1</v>
      </c>
      <c r="L1361" s="13" t="str">
        <f>IFERROR(VLOOKUP(C1361,'Справочник соответствий'!A$2:D$2981,3,FALSE),IF(VALUE(C1361)=0,"ЭТАЖ НЕ ОПРЕДЕЛЕН. ПРИНЯТ ПО ДОПУЩЕНИЮ 1",VLOOKUP(C1361,'Справочник соответствий'!A$2:D$2981,3,FALSE)))</f>
        <v>ЭТАЖ ЗАДАН ЧИСЛОМ</v>
      </c>
      <c r="M1361" s="13" t="b">
        <f t="shared" si="148"/>
        <v>0</v>
      </c>
      <c r="N1361" s="13">
        <f t="shared" si="149"/>
        <v>1</v>
      </c>
      <c r="O1361" s="13" t="str">
        <f t="shared" si="150"/>
        <v>ЭТАЖ ЗАДАН ЧИСЛОМ</v>
      </c>
      <c r="P1361" s="13" t="str">
        <f t="shared" si="151"/>
        <v>ЭТАЖ ЗАДАН ЧИСЛОМ</v>
      </c>
      <c r="Q1361" s="13" t="str">
        <f t="shared" si="152"/>
        <v>ГОТОВ_ИЗМЕНЕН</v>
      </c>
      <c r="R1361" s="13">
        <f>IFERROR(VLOOKUP(P1361,Лист1!A$1:B$20,2,FALSE),0)</f>
        <v>784</v>
      </c>
      <c r="S1361" s="13">
        <f t="shared" si="153"/>
        <v>0</v>
      </c>
    </row>
    <row r="1362" spans="1:19" x14ac:dyDescent="0.25">
      <c r="A1362" s="24" t="s">
        <v>2482</v>
      </c>
      <c r="B1362" s="4" t="s">
        <v>1059</v>
      </c>
      <c r="C1362" s="25" t="s">
        <v>7</v>
      </c>
      <c r="G1362" s="25" t="s">
        <v>1230</v>
      </c>
      <c r="H1362" s="24" t="s">
        <v>1061</v>
      </c>
      <c r="I1362" s="3" t="str">
        <f>IFERROR(VLOOKUP(C1362,'Справочник соответствий'!A$2:D$2981,2,FALSE),IF(VALUE(C1362)=0,1,VLOOKUP(C1362,'Справочник соответствий'!A$2:D$2981,2,FALSE)))</f>
        <v>2</v>
      </c>
      <c r="J1362" s="3">
        <f>IFERROR(VLOOKUP(D1362,'Справочник соответствий'!A$2:D$2981,2,FALSE),IF(VALUE(D1362)=0,0,VLOOKUP(D1362,'Справочник соответствий'!A$2:D$2981,2,FALSE)))</f>
        <v>0</v>
      </c>
      <c r="K1362" s="3" t="str">
        <f t="shared" si="147"/>
        <v>2</v>
      </c>
      <c r="L1362" s="13" t="str">
        <f>IFERROR(VLOOKUP(C1362,'Справочник соответствий'!A$2:D$2981,3,FALSE),IF(VALUE(C1362)=0,"ЭТАЖ НЕ ОПРЕДЕЛЕН. ПРИНЯТ ПО ДОПУЩЕНИЮ 1",VLOOKUP(C1362,'Справочник соответствий'!A$2:D$2981,3,FALSE)))</f>
        <v>ЭТАЖ ЗАДАН ЧИСЛОМ</v>
      </c>
      <c r="M1362" s="13" t="b">
        <f t="shared" si="148"/>
        <v>0</v>
      </c>
      <c r="N1362" s="13">
        <f t="shared" si="149"/>
        <v>2</v>
      </c>
      <c r="O1362" s="13" t="str">
        <f t="shared" si="150"/>
        <v>ЭТАЖ ЗАДАН ЧИСЛОМ</v>
      </c>
      <c r="P1362" s="13" t="str">
        <f t="shared" si="151"/>
        <v>ЭТАЖ ЗАДАН ЧИСЛОМ</v>
      </c>
      <c r="Q1362" s="13" t="str">
        <f t="shared" si="152"/>
        <v>ГОТОВ_ИЗМЕНЕН</v>
      </c>
      <c r="R1362" s="13">
        <f>IFERROR(VLOOKUP(P1362,Лист1!A$1:B$20,2,FALSE),0)</f>
        <v>784</v>
      </c>
      <c r="S1362" s="13">
        <f t="shared" si="153"/>
        <v>0</v>
      </c>
    </row>
    <row r="1363" spans="1:19" x14ac:dyDescent="0.25">
      <c r="A1363" s="24" t="s">
        <v>2483</v>
      </c>
      <c r="B1363" s="4" t="s">
        <v>1059</v>
      </c>
      <c r="C1363" s="25" t="s">
        <v>7</v>
      </c>
      <c r="G1363" s="25" t="s">
        <v>1230</v>
      </c>
      <c r="H1363" s="24" t="s">
        <v>1061</v>
      </c>
      <c r="I1363" s="3" t="str">
        <f>IFERROR(VLOOKUP(C1363,'Справочник соответствий'!A$2:D$2981,2,FALSE),IF(VALUE(C1363)=0,1,VLOOKUP(C1363,'Справочник соответствий'!A$2:D$2981,2,FALSE)))</f>
        <v>2</v>
      </c>
      <c r="J1363" s="3">
        <f>IFERROR(VLOOKUP(D1363,'Справочник соответствий'!A$2:D$2981,2,FALSE),IF(VALUE(D1363)=0,0,VLOOKUP(D1363,'Справочник соответствий'!A$2:D$2981,2,FALSE)))</f>
        <v>0</v>
      </c>
      <c r="K1363" s="3" t="str">
        <f t="shared" si="147"/>
        <v>2</v>
      </c>
      <c r="L1363" s="13" t="str">
        <f>IFERROR(VLOOKUP(C1363,'Справочник соответствий'!A$2:D$2981,3,FALSE),IF(VALUE(C1363)=0,"ЭТАЖ НЕ ОПРЕДЕЛЕН. ПРИНЯТ ПО ДОПУЩЕНИЮ 1",VLOOKUP(C1363,'Справочник соответствий'!A$2:D$2981,3,FALSE)))</f>
        <v>ЭТАЖ ЗАДАН ЧИСЛОМ</v>
      </c>
      <c r="M1363" s="13" t="b">
        <f t="shared" si="148"/>
        <v>0</v>
      </c>
      <c r="N1363" s="13">
        <f t="shared" si="149"/>
        <v>2</v>
      </c>
      <c r="O1363" s="13" t="str">
        <f t="shared" si="150"/>
        <v>ЭТАЖ ЗАДАН ЧИСЛОМ</v>
      </c>
      <c r="P1363" s="13" t="str">
        <f t="shared" si="151"/>
        <v>ЭТАЖ ЗАДАН ЧИСЛОМ</v>
      </c>
      <c r="Q1363" s="13" t="str">
        <f t="shared" si="152"/>
        <v>ГОТОВ_ИЗМЕНЕН</v>
      </c>
      <c r="R1363" s="13">
        <f>IFERROR(VLOOKUP(P1363,Лист1!A$1:B$20,2,FALSE),0)</f>
        <v>784</v>
      </c>
      <c r="S1363" s="13">
        <f t="shared" si="153"/>
        <v>0</v>
      </c>
    </row>
    <row r="1364" spans="1:19" x14ac:dyDescent="0.25">
      <c r="A1364" s="24" t="s">
        <v>2484</v>
      </c>
      <c r="B1364" s="4" t="s">
        <v>1063</v>
      </c>
      <c r="C1364" s="25" t="s">
        <v>5</v>
      </c>
      <c r="G1364" s="25" t="s">
        <v>1230</v>
      </c>
      <c r="H1364" s="24" t="s">
        <v>1061</v>
      </c>
      <c r="I1364" s="3" t="str">
        <f>IFERROR(VLOOKUP(C1364,'Справочник соответствий'!A$2:D$2981,2,FALSE),IF(VALUE(C1364)=0,1,VLOOKUP(C1364,'Справочник соответствий'!A$2:D$2981,2,FALSE)))</f>
        <v>1</v>
      </c>
      <c r="J1364" s="3">
        <f>IFERROR(VLOOKUP(D1364,'Справочник соответствий'!A$2:D$2981,2,FALSE),IF(VALUE(D1364)=0,0,VLOOKUP(D1364,'Справочник соответствий'!A$2:D$2981,2,FALSE)))</f>
        <v>0</v>
      </c>
      <c r="K1364" s="3" t="str">
        <f t="shared" si="147"/>
        <v>1</v>
      </c>
      <c r="L1364" s="13" t="str">
        <f>IFERROR(VLOOKUP(C1364,'Справочник соответствий'!A$2:D$2981,3,FALSE),IF(VALUE(C1364)=0,"ЭТАЖ НЕ ОПРЕДЕЛЕН. ПРИНЯТ ПО ДОПУЩЕНИЮ 1",VLOOKUP(C1364,'Справочник соответствий'!A$2:D$2981,3,FALSE)))</f>
        <v>ЭТАЖ ЗАДАН ЧИСЛОМ</v>
      </c>
      <c r="M1364" s="13" t="b">
        <f t="shared" si="148"/>
        <v>0</v>
      </c>
      <c r="N1364" s="13">
        <f t="shared" si="149"/>
        <v>1</v>
      </c>
      <c r="O1364" s="13" t="str">
        <f t="shared" si="150"/>
        <v>ЭТАЖ ЗАДАН ЧИСЛОМ</v>
      </c>
      <c r="P1364" s="13" t="str">
        <f t="shared" si="151"/>
        <v>ЭТАЖ ЗАДАН ЧИСЛОМ</v>
      </c>
      <c r="Q1364" s="13" t="str">
        <f t="shared" si="152"/>
        <v>ГОТОВ_ИЗМЕНЕН</v>
      </c>
      <c r="R1364" s="13">
        <f>IFERROR(VLOOKUP(P1364,Лист1!A$1:B$20,2,FALSE),0)</f>
        <v>784</v>
      </c>
      <c r="S1364" s="13">
        <f t="shared" si="153"/>
        <v>0</v>
      </c>
    </row>
    <row r="1365" spans="1:19" x14ac:dyDescent="0.25">
      <c r="A1365" s="24" t="s">
        <v>2485</v>
      </c>
      <c r="B1365" s="4" t="s">
        <v>1063</v>
      </c>
      <c r="C1365" s="25" t="s">
        <v>5</v>
      </c>
      <c r="G1365" s="25" t="s">
        <v>1193</v>
      </c>
      <c r="H1365" s="24" t="s">
        <v>1061</v>
      </c>
      <c r="I1365" s="3" t="str">
        <f>IFERROR(VLOOKUP(C1365,'Справочник соответствий'!A$2:D$2981,2,FALSE),IF(VALUE(C1365)=0,1,VLOOKUP(C1365,'Справочник соответствий'!A$2:D$2981,2,FALSE)))</f>
        <v>1</v>
      </c>
      <c r="J1365" s="3">
        <f>IFERROR(VLOOKUP(D1365,'Справочник соответствий'!A$2:D$2981,2,FALSE),IF(VALUE(D1365)=0,0,VLOOKUP(D1365,'Справочник соответствий'!A$2:D$2981,2,FALSE)))</f>
        <v>0</v>
      </c>
      <c r="K1365" s="3" t="str">
        <f t="shared" si="147"/>
        <v>1</v>
      </c>
      <c r="L1365" s="13" t="str">
        <f>IFERROR(VLOOKUP(C1365,'Справочник соответствий'!A$2:D$2981,3,FALSE),IF(VALUE(C1365)=0,"ЭТАЖ НЕ ОПРЕДЕЛЕН. ПРИНЯТ ПО ДОПУЩЕНИЮ 1",VLOOKUP(C1365,'Справочник соответствий'!A$2:D$2981,3,FALSE)))</f>
        <v>ЭТАЖ ЗАДАН ЧИСЛОМ</v>
      </c>
      <c r="M1365" s="13" t="b">
        <f t="shared" si="148"/>
        <v>0</v>
      </c>
      <c r="N1365" s="13">
        <f t="shared" si="149"/>
        <v>1</v>
      </c>
      <c r="O1365" s="13" t="str">
        <f t="shared" si="150"/>
        <v>ЭТАЖ ЗАДАН ЧИСЛОМ</v>
      </c>
      <c r="P1365" s="13" t="str">
        <f t="shared" si="151"/>
        <v>ЭТАЖ ЗАДАН ЧИСЛОМ</v>
      </c>
      <c r="Q1365" s="13" t="str">
        <f t="shared" si="152"/>
        <v>ГОТОВ_ИЗМЕНЕН</v>
      </c>
      <c r="R1365" s="13">
        <f>IFERROR(VLOOKUP(P1365,Лист1!A$1:B$20,2,FALSE),0)</f>
        <v>784</v>
      </c>
      <c r="S1365" s="13">
        <f t="shared" si="153"/>
        <v>0</v>
      </c>
    </row>
    <row r="1366" spans="1:19" x14ac:dyDescent="0.25">
      <c r="A1366" s="24" t="s">
        <v>2486</v>
      </c>
      <c r="B1366" s="4" t="s">
        <v>1059</v>
      </c>
      <c r="C1366" s="25" t="s">
        <v>5</v>
      </c>
      <c r="G1366" s="25" t="s">
        <v>1219</v>
      </c>
      <c r="H1366" s="24" t="s">
        <v>1061</v>
      </c>
      <c r="I1366" s="3" t="str">
        <f>IFERROR(VLOOKUP(C1366,'Справочник соответствий'!A$2:D$2981,2,FALSE),IF(VALUE(C1366)=0,1,VLOOKUP(C1366,'Справочник соответствий'!A$2:D$2981,2,FALSE)))</f>
        <v>1</v>
      </c>
      <c r="J1366" s="3">
        <f>IFERROR(VLOOKUP(D1366,'Справочник соответствий'!A$2:D$2981,2,FALSE),IF(VALUE(D1366)=0,0,VLOOKUP(D1366,'Справочник соответствий'!A$2:D$2981,2,FALSE)))</f>
        <v>0</v>
      </c>
      <c r="K1366" s="3" t="str">
        <f t="shared" si="147"/>
        <v>1</v>
      </c>
      <c r="L1366" s="13" t="str">
        <f>IFERROR(VLOOKUP(C1366,'Справочник соответствий'!A$2:D$2981,3,FALSE),IF(VALUE(C1366)=0,"ЭТАЖ НЕ ОПРЕДЕЛЕН. ПРИНЯТ ПО ДОПУЩЕНИЮ 1",VLOOKUP(C1366,'Справочник соответствий'!A$2:D$2981,3,FALSE)))</f>
        <v>ЭТАЖ ЗАДАН ЧИСЛОМ</v>
      </c>
      <c r="M1366" s="13" t="b">
        <f t="shared" si="148"/>
        <v>0</v>
      </c>
      <c r="N1366" s="13">
        <f t="shared" si="149"/>
        <v>1</v>
      </c>
      <c r="O1366" s="13" t="str">
        <f t="shared" si="150"/>
        <v>ЭТАЖ ЗАДАН ЧИСЛОМ</v>
      </c>
      <c r="P1366" s="13" t="str">
        <f t="shared" si="151"/>
        <v>ЭТАЖ ЗАДАН ЧИСЛОМ</v>
      </c>
      <c r="Q1366" s="13" t="str">
        <f t="shared" si="152"/>
        <v>ГОТОВ_ИЗМЕНЕН</v>
      </c>
      <c r="R1366" s="13">
        <f>IFERROR(VLOOKUP(P1366,Лист1!A$1:B$20,2,FALSE),0)</f>
        <v>784</v>
      </c>
      <c r="S1366" s="13">
        <f t="shared" si="153"/>
        <v>0</v>
      </c>
    </row>
    <row r="1367" spans="1:19" x14ac:dyDescent="0.25">
      <c r="A1367" s="24" t="s">
        <v>2487</v>
      </c>
      <c r="B1367" s="4" t="s">
        <v>1059</v>
      </c>
      <c r="C1367" s="25" t="s">
        <v>7</v>
      </c>
      <c r="G1367" s="25" t="s">
        <v>1219</v>
      </c>
      <c r="H1367" s="24" t="s">
        <v>1061</v>
      </c>
      <c r="I1367" s="3" t="str">
        <f>IFERROR(VLOOKUP(C1367,'Справочник соответствий'!A$2:D$2981,2,FALSE),IF(VALUE(C1367)=0,1,VLOOKUP(C1367,'Справочник соответствий'!A$2:D$2981,2,FALSE)))</f>
        <v>2</v>
      </c>
      <c r="J1367" s="3">
        <f>IFERROR(VLOOKUP(D1367,'Справочник соответствий'!A$2:D$2981,2,FALSE),IF(VALUE(D1367)=0,0,VLOOKUP(D1367,'Справочник соответствий'!A$2:D$2981,2,FALSE)))</f>
        <v>0</v>
      </c>
      <c r="K1367" s="3" t="str">
        <f t="shared" si="147"/>
        <v>2</v>
      </c>
      <c r="L1367" s="13" t="str">
        <f>IFERROR(VLOOKUP(C1367,'Справочник соответствий'!A$2:D$2981,3,FALSE),IF(VALUE(C1367)=0,"ЭТАЖ НЕ ОПРЕДЕЛЕН. ПРИНЯТ ПО ДОПУЩЕНИЮ 1",VLOOKUP(C1367,'Справочник соответствий'!A$2:D$2981,3,FALSE)))</f>
        <v>ЭТАЖ ЗАДАН ЧИСЛОМ</v>
      </c>
      <c r="M1367" s="13" t="b">
        <f t="shared" si="148"/>
        <v>0</v>
      </c>
      <c r="N1367" s="13">
        <f t="shared" si="149"/>
        <v>2</v>
      </c>
      <c r="O1367" s="13" t="str">
        <f t="shared" si="150"/>
        <v>ЭТАЖ ЗАДАН ЧИСЛОМ</v>
      </c>
      <c r="P1367" s="13" t="str">
        <f t="shared" si="151"/>
        <v>ЭТАЖ ЗАДАН ЧИСЛОМ</v>
      </c>
      <c r="Q1367" s="13" t="str">
        <f t="shared" si="152"/>
        <v>ГОТОВ_ИЗМЕНЕН</v>
      </c>
      <c r="R1367" s="13">
        <f>IFERROR(VLOOKUP(P1367,Лист1!A$1:B$20,2,FALSE),0)</f>
        <v>784</v>
      </c>
      <c r="S1367" s="13">
        <f t="shared" si="153"/>
        <v>0</v>
      </c>
    </row>
    <row r="1368" spans="1:19" x14ac:dyDescent="0.25">
      <c r="A1368" s="24" t="s">
        <v>2488</v>
      </c>
      <c r="B1368" s="4" t="s">
        <v>1059</v>
      </c>
      <c r="C1368" s="25" t="s">
        <v>7</v>
      </c>
      <c r="G1368" s="25" t="s">
        <v>1230</v>
      </c>
      <c r="H1368" s="24" t="s">
        <v>1061</v>
      </c>
      <c r="I1368" s="3" t="str">
        <f>IFERROR(VLOOKUP(C1368,'Справочник соответствий'!A$2:D$2981,2,FALSE),IF(VALUE(C1368)=0,1,VLOOKUP(C1368,'Справочник соответствий'!A$2:D$2981,2,FALSE)))</f>
        <v>2</v>
      </c>
      <c r="J1368" s="3">
        <f>IFERROR(VLOOKUP(D1368,'Справочник соответствий'!A$2:D$2981,2,FALSE),IF(VALUE(D1368)=0,0,VLOOKUP(D1368,'Справочник соответствий'!A$2:D$2981,2,FALSE)))</f>
        <v>0</v>
      </c>
      <c r="K1368" s="3" t="str">
        <f t="shared" si="147"/>
        <v>2</v>
      </c>
      <c r="L1368" s="13" t="str">
        <f>IFERROR(VLOOKUP(C1368,'Справочник соответствий'!A$2:D$2981,3,FALSE),IF(VALUE(C1368)=0,"ЭТАЖ НЕ ОПРЕДЕЛЕН. ПРИНЯТ ПО ДОПУЩЕНИЮ 1",VLOOKUP(C1368,'Справочник соответствий'!A$2:D$2981,3,FALSE)))</f>
        <v>ЭТАЖ ЗАДАН ЧИСЛОМ</v>
      </c>
      <c r="M1368" s="13" t="b">
        <f t="shared" si="148"/>
        <v>0</v>
      </c>
      <c r="N1368" s="13">
        <f t="shared" si="149"/>
        <v>2</v>
      </c>
      <c r="O1368" s="13" t="str">
        <f t="shared" si="150"/>
        <v>ЭТАЖ ЗАДАН ЧИСЛОМ</v>
      </c>
      <c r="P1368" s="13" t="str">
        <f t="shared" si="151"/>
        <v>ЭТАЖ ЗАДАН ЧИСЛОМ</v>
      </c>
      <c r="Q1368" s="13" t="str">
        <f t="shared" si="152"/>
        <v>ГОТОВ_ИЗМЕНЕН</v>
      </c>
      <c r="R1368" s="13">
        <f>IFERROR(VLOOKUP(P1368,Лист1!A$1:B$20,2,FALSE),0)</f>
        <v>784</v>
      </c>
      <c r="S1368" s="13">
        <f t="shared" si="153"/>
        <v>0</v>
      </c>
    </row>
    <row r="1369" spans="1:19" x14ac:dyDescent="0.25">
      <c r="A1369" s="24" t="s">
        <v>2489</v>
      </c>
      <c r="B1369" s="4" t="s">
        <v>1059</v>
      </c>
      <c r="C1369" s="25" t="s">
        <v>5</v>
      </c>
      <c r="G1369" s="25" t="s">
        <v>1193</v>
      </c>
      <c r="H1369" s="24" t="s">
        <v>1061</v>
      </c>
      <c r="I1369" s="3" t="str">
        <f>IFERROR(VLOOKUP(C1369,'Справочник соответствий'!A$2:D$2981,2,FALSE),IF(VALUE(C1369)=0,1,VLOOKUP(C1369,'Справочник соответствий'!A$2:D$2981,2,FALSE)))</f>
        <v>1</v>
      </c>
      <c r="J1369" s="3">
        <f>IFERROR(VLOOKUP(D1369,'Справочник соответствий'!A$2:D$2981,2,FALSE),IF(VALUE(D1369)=0,0,VLOOKUP(D1369,'Справочник соответствий'!A$2:D$2981,2,FALSE)))</f>
        <v>0</v>
      </c>
      <c r="K1369" s="3" t="str">
        <f t="shared" si="147"/>
        <v>1</v>
      </c>
      <c r="L1369" s="13" t="str">
        <f>IFERROR(VLOOKUP(C1369,'Справочник соответствий'!A$2:D$2981,3,FALSE),IF(VALUE(C1369)=0,"ЭТАЖ НЕ ОПРЕДЕЛЕН. ПРИНЯТ ПО ДОПУЩЕНИЮ 1",VLOOKUP(C1369,'Справочник соответствий'!A$2:D$2981,3,FALSE)))</f>
        <v>ЭТАЖ ЗАДАН ЧИСЛОМ</v>
      </c>
      <c r="M1369" s="13" t="b">
        <f t="shared" si="148"/>
        <v>0</v>
      </c>
      <c r="N1369" s="13">
        <f t="shared" si="149"/>
        <v>1</v>
      </c>
      <c r="O1369" s="13" t="str">
        <f t="shared" si="150"/>
        <v>ЭТАЖ ЗАДАН ЧИСЛОМ</v>
      </c>
      <c r="P1369" s="13" t="str">
        <f t="shared" si="151"/>
        <v>ЭТАЖ ЗАДАН ЧИСЛОМ</v>
      </c>
      <c r="Q1369" s="13" t="str">
        <f t="shared" si="152"/>
        <v>ГОТОВ_ИЗМЕНЕН</v>
      </c>
      <c r="R1369" s="13">
        <f>IFERROR(VLOOKUP(P1369,Лист1!A$1:B$20,2,FALSE),0)</f>
        <v>784</v>
      </c>
      <c r="S1369" s="13">
        <f t="shared" si="153"/>
        <v>0</v>
      </c>
    </row>
    <row r="1370" spans="1:19" x14ac:dyDescent="0.25">
      <c r="A1370" s="24" t="s">
        <v>2490</v>
      </c>
      <c r="B1370" s="4" t="s">
        <v>1063</v>
      </c>
      <c r="C1370" s="25" t="s">
        <v>5</v>
      </c>
      <c r="G1370" s="25" t="s">
        <v>1067</v>
      </c>
      <c r="H1370" s="24" t="s">
        <v>1061</v>
      </c>
      <c r="I1370" s="3" t="str">
        <f>IFERROR(VLOOKUP(C1370,'Справочник соответствий'!A$2:D$2981,2,FALSE),IF(VALUE(C1370)=0,1,VLOOKUP(C1370,'Справочник соответствий'!A$2:D$2981,2,FALSE)))</f>
        <v>1</v>
      </c>
      <c r="J1370" s="3">
        <f>IFERROR(VLOOKUP(D1370,'Справочник соответствий'!A$2:D$2981,2,FALSE),IF(VALUE(D1370)=0,0,VLOOKUP(D1370,'Справочник соответствий'!A$2:D$2981,2,FALSE)))</f>
        <v>0</v>
      </c>
      <c r="K1370" s="3" t="str">
        <f t="shared" si="147"/>
        <v>1</v>
      </c>
      <c r="L1370" s="13" t="str">
        <f>IFERROR(VLOOKUP(C1370,'Справочник соответствий'!A$2:D$2981,3,FALSE),IF(VALUE(C1370)=0,"ЭТАЖ НЕ ОПРЕДЕЛЕН. ПРИНЯТ ПО ДОПУЩЕНИЮ 1",VLOOKUP(C1370,'Справочник соответствий'!A$2:D$2981,3,FALSE)))</f>
        <v>ЭТАЖ ЗАДАН ЧИСЛОМ</v>
      </c>
      <c r="M1370" s="13" t="b">
        <f t="shared" si="148"/>
        <v>0</v>
      </c>
      <c r="N1370" s="13">
        <f t="shared" si="149"/>
        <v>1</v>
      </c>
      <c r="O1370" s="13" t="str">
        <f t="shared" si="150"/>
        <v>ЭТАЖ ЗАДАН ЧИСЛОМ</v>
      </c>
      <c r="P1370" s="13" t="str">
        <f t="shared" si="151"/>
        <v>ЭТАЖ ЗАДАН ЧИСЛОМ</v>
      </c>
      <c r="Q1370" s="13" t="str">
        <f t="shared" si="152"/>
        <v>ГОТОВ_ИЗМЕНЕН</v>
      </c>
      <c r="R1370" s="13">
        <f>IFERROR(VLOOKUP(P1370,Лист1!A$1:B$20,2,FALSE),0)</f>
        <v>784</v>
      </c>
      <c r="S1370" s="13">
        <f t="shared" si="153"/>
        <v>0</v>
      </c>
    </row>
    <row r="1371" spans="1:19" x14ac:dyDescent="0.25">
      <c r="A1371" s="24" t="s">
        <v>2491</v>
      </c>
      <c r="B1371" s="4" t="s">
        <v>1059</v>
      </c>
      <c r="G1371" s="25" t="s">
        <v>1067</v>
      </c>
      <c r="H1371" s="24" t="s">
        <v>1061</v>
      </c>
      <c r="I1371" s="3">
        <f>IFERROR(VLOOKUP(C1371,'Справочник соответствий'!A$2:D$2981,2,FALSE),IF(VALUE(C1371)=0,1,VLOOKUP(C1371,'Справочник соответствий'!A$2:D$2981,2,FALSE)))</f>
        <v>1</v>
      </c>
      <c r="J1371" s="3">
        <f>IFERROR(VLOOKUP(D1371,'Справочник соответствий'!A$2:D$2981,2,FALSE),IF(VALUE(D1371)=0,0,VLOOKUP(D1371,'Справочник соответствий'!A$2:D$2981,2,FALSE)))</f>
        <v>0</v>
      </c>
      <c r="K1371" s="3">
        <f t="shared" si="147"/>
        <v>1</v>
      </c>
      <c r="L1371" s="13" t="str">
        <f>IFERROR(VLOOKUP(C1371,'Справочник соответствий'!A$2:D$2981,3,FALSE),IF(VALUE(C1371)=0,"ЭТАЖ НЕ ОПРЕДЕЛЕН. ПРИНЯТ ПО ДОПУЩЕНИЮ 1",VLOOKUP(C1371,'Справочник соответствий'!A$2:D$2981,3,FALSE)))</f>
        <v>ЭТАЖ НЕ ОПРЕДЕЛЕН. ПРИНЯТ ПО ДОПУЩЕНИЮ 1</v>
      </c>
      <c r="M1371" s="13" t="b">
        <f t="shared" si="148"/>
        <v>0</v>
      </c>
      <c r="N1371" s="13">
        <f t="shared" si="149"/>
        <v>1</v>
      </c>
      <c r="O1371" s="13" t="str">
        <f t="shared" si="150"/>
        <v>ЭТАЖ НЕ ОПРЕДЕЛЕН. ПРИНЯТ ПО ДОПУЩЕНИЮ 1</v>
      </c>
      <c r="P1371" s="13" t="str">
        <f t="shared" si="151"/>
        <v>ЭТАЖ НЕ ОПРЕДЕЛЕН. ПРИНЯТ ПО ДОПУЩЕНИЮ 1</v>
      </c>
      <c r="Q1371" s="13" t="str">
        <f t="shared" si="152"/>
        <v>ГОТОВ_ИЗМЕНЕН</v>
      </c>
      <c r="R1371" s="13">
        <f>IFERROR(VLOOKUP(P1371,Лист1!A$1:B$20,2,FALSE),0)</f>
        <v>788</v>
      </c>
      <c r="S1371" s="13">
        <f t="shared" si="153"/>
        <v>0</v>
      </c>
    </row>
    <row r="1372" spans="1:19" x14ac:dyDescent="0.25">
      <c r="A1372" s="24" t="s">
        <v>2492</v>
      </c>
      <c r="B1372" s="4" t="s">
        <v>1059</v>
      </c>
      <c r="C1372" s="25" t="s">
        <v>5</v>
      </c>
      <c r="G1372" s="25" t="s">
        <v>1067</v>
      </c>
      <c r="H1372" s="24" t="s">
        <v>1061</v>
      </c>
      <c r="I1372" s="3" t="str">
        <f>IFERROR(VLOOKUP(C1372,'Справочник соответствий'!A$2:D$2981,2,FALSE),IF(VALUE(C1372)=0,1,VLOOKUP(C1372,'Справочник соответствий'!A$2:D$2981,2,FALSE)))</f>
        <v>1</v>
      </c>
      <c r="J1372" s="3">
        <f>IFERROR(VLOOKUP(D1372,'Справочник соответствий'!A$2:D$2981,2,FALSE),IF(VALUE(D1372)=0,0,VLOOKUP(D1372,'Справочник соответствий'!A$2:D$2981,2,FALSE)))</f>
        <v>0</v>
      </c>
      <c r="K1372" s="3" t="str">
        <f t="shared" si="147"/>
        <v>1</v>
      </c>
      <c r="L1372" s="13" t="str">
        <f>IFERROR(VLOOKUP(C1372,'Справочник соответствий'!A$2:D$2981,3,FALSE),IF(VALUE(C1372)=0,"ЭТАЖ НЕ ОПРЕДЕЛЕН. ПРИНЯТ ПО ДОПУЩЕНИЮ 1",VLOOKUP(C1372,'Справочник соответствий'!A$2:D$2981,3,FALSE)))</f>
        <v>ЭТАЖ ЗАДАН ЧИСЛОМ</v>
      </c>
      <c r="M1372" s="13" t="b">
        <f t="shared" si="148"/>
        <v>0</v>
      </c>
      <c r="N1372" s="13">
        <f t="shared" si="149"/>
        <v>1</v>
      </c>
      <c r="O1372" s="13" t="str">
        <f t="shared" si="150"/>
        <v>ЭТАЖ ЗАДАН ЧИСЛОМ</v>
      </c>
      <c r="P1372" s="13" t="str">
        <f t="shared" si="151"/>
        <v>ЭТАЖ ЗАДАН ЧИСЛОМ</v>
      </c>
      <c r="Q1372" s="13" t="str">
        <f t="shared" si="152"/>
        <v>ГОТОВ_ИЗМЕНЕН</v>
      </c>
      <c r="R1372" s="13">
        <f>IFERROR(VLOOKUP(P1372,Лист1!A$1:B$20,2,FALSE),0)</f>
        <v>784</v>
      </c>
      <c r="S1372" s="13">
        <f t="shared" si="153"/>
        <v>0</v>
      </c>
    </row>
    <row r="1373" spans="1:19" x14ac:dyDescent="0.25">
      <c r="A1373" s="24" t="s">
        <v>2493</v>
      </c>
      <c r="B1373" s="4" t="s">
        <v>1063</v>
      </c>
      <c r="C1373" s="25" t="s">
        <v>5</v>
      </c>
      <c r="G1373" s="25" t="s">
        <v>1067</v>
      </c>
      <c r="H1373" s="24" t="s">
        <v>1061</v>
      </c>
      <c r="I1373" s="3" t="str">
        <f>IFERROR(VLOOKUP(C1373,'Справочник соответствий'!A$2:D$2981,2,FALSE),IF(VALUE(C1373)=0,1,VLOOKUP(C1373,'Справочник соответствий'!A$2:D$2981,2,FALSE)))</f>
        <v>1</v>
      </c>
      <c r="J1373" s="3">
        <f>IFERROR(VLOOKUP(D1373,'Справочник соответствий'!A$2:D$2981,2,FALSE),IF(VALUE(D1373)=0,0,VLOOKUP(D1373,'Справочник соответствий'!A$2:D$2981,2,FALSE)))</f>
        <v>0</v>
      </c>
      <c r="K1373" s="3" t="str">
        <f t="shared" si="147"/>
        <v>1</v>
      </c>
      <c r="L1373" s="13" t="str">
        <f>IFERROR(VLOOKUP(C1373,'Справочник соответствий'!A$2:D$2981,3,FALSE),IF(VALUE(C1373)=0,"ЭТАЖ НЕ ОПРЕДЕЛЕН. ПРИНЯТ ПО ДОПУЩЕНИЮ 1",VLOOKUP(C1373,'Справочник соответствий'!A$2:D$2981,3,FALSE)))</f>
        <v>ЭТАЖ ЗАДАН ЧИСЛОМ</v>
      </c>
      <c r="M1373" s="13" t="b">
        <f t="shared" si="148"/>
        <v>0</v>
      </c>
      <c r="N1373" s="13">
        <f t="shared" si="149"/>
        <v>1</v>
      </c>
      <c r="O1373" s="13" t="str">
        <f t="shared" si="150"/>
        <v>ЭТАЖ ЗАДАН ЧИСЛОМ</v>
      </c>
      <c r="P1373" s="13" t="str">
        <f t="shared" si="151"/>
        <v>ЭТАЖ ЗАДАН ЧИСЛОМ</v>
      </c>
      <c r="Q1373" s="13" t="str">
        <f t="shared" si="152"/>
        <v>ГОТОВ_ИЗМЕНЕН</v>
      </c>
      <c r="R1373" s="13">
        <f>IFERROR(VLOOKUP(P1373,Лист1!A$1:B$20,2,FALSE),0)</f>
        <v>784</v>
      </c>
      <c r="S1373" s="13">
        <f t="shared" si="153"/>
        <v>0</v>
      </c>
    </row>
    <row r="1374" spans="1:19" x14ac:dyDescent="0.25">
      <c r="A1374" s="24" t="s">
        <v>2494</v>
      </c>
      <c r="B1374" s="4" t="s">
        <v>1063</v>
      </c>
      <c r="C1374" s="25" t="s">
        <v>7</v>
      </c>
      <c r="G1374" s="25" t="s">
        <v>1067</v>
      </c>
      <c r="H1374" s="24" t="s">
        <v>1061</v>
      </c>
      <c r="I1374" s="3" t="str">
        <f>IFERROR(VLOOKUP(C1374,'Справочник соответствий'!A$2:D$2981,2,FALSE),IF(VALUE(C1374)=0,1,VLOOKUP(C1374,'Справочник соответствий'!A$2:D$2981,2,FALSE)))</f>
        <v>2</v>
      </c>
      <c r="J1374" s="3">
        <f>IFERROR(VLOOKUP(D1374,'Справочник соответствий'!A$2:D$2981,2,FALSE),IF(VALUE(D1374)=0,0,VLOOKUP(D1374,'Справочник соответствий'!A$2:D$2981,2,FALSE)))</f>
        <v>0</v>
      </c>
      <c r="K1374" s="3" t="str">
        <f t="shared" si="147"/>
        <v>2</v>
      </c>
      <c r="L1374" s="13" t="str">
        <f>IFERROR(VLOOKUP(C1374,'Справочник соответствий'!A$2:D$2981,3,FALSE),IF(VALUE(C1374)=0,"ЭТАЖ НЕ ОПРЕДЕЛЕН. ПРИНЯТ ПО ДОПУЩЕНИЮ 1",VLOOKUP(C1374,'Справочник соответствий'!A$2:D$2981,3,FALSE)))</f>
        <v>ЭТАЖ ЗАДАН ЧИСЛОМ</v>
      </c>
      <c r="M1374" s="13" t="b">
        <f t="shared" si="148"/>
        <v>0</v>
      </c>
      <c r="N1374" s="13">
        <f t="shared" si="149"/>
        <v>2</v>
      </c>
      <c r="O1374" s="13" t="str">
        <f t="shared" si="150"/>
        <v>ЭТАЖ ЗАДАН ЧИСЛОМ</v>
      </c>
      <c r="P1374" s="13" t="str">
        <f t="shared" si="151"/>
        <v>ЭТАЖ ЗАДАН ЧИСЛОМ</v>
      </c>
      <c r="Q1374" s="13" t="str">
        <f t="shared" si="152"/>
        <v>ГОТОВ_ИЗМЕНЕН</v>
      </c>
      <c r="R1374" s="13">
        <f>IFERROR(VLOOKUP(P1374,Лист1!A$1:B$20,2,FALSE),0)</f>
        <v>784</v>
      </c>
      <c r="S1374" s="13">
        <f t="shared" si="153"/>
        <v>0</v>
      </c>
    </row>
    <row r="1375" spans="1:19" x14ac:dyDescent="0.25">
      <c r="A1375" s="24" t="s">
        <v>2495</v>
      </c>
      <c r="B1375" s="4" t="s">
        <v>1063</v>
      </c>
      <c r="C1375" s="25" t="s">
        <v>5</v>
      </c>
      <c r="G1375" s="25" t="s">
        <v>1067</v>
      </c>
      <c r="H1375" s="24" t="s">
        <v>1061</v>
      </c>
      <c r="I1375" s="3" t="str">
        <f>IFERROR(VLOOKUP(C1375,'Справочник соответствий'!A$2:D$2981,2,FALSE),IF(VALUE(C1375)=0,1,VLOOKUP(C1375,'Справочник соответствий'!A$2:D$2981,2,FALSE)))</f>
        <v>1</v>
      </c>
      <c r="J1375" s="3">
        <f>IFERROR(VLOOKUP(D1375,'Справочник соответствий'!A$2:D$2981,2,FALSE),IF(VALUE(D1375)=0,0,VLOOKUP(D1375,'Справочник соответствий'!A$2:D$2981,2,FALSE)))</f>
        <v>0</v>
      </c>
      <c r="K1375" s="3" t="str">
        <f t="shared" si="147"/>
        <v>1</v>
      </c>
      <c r="L1375" s="13" t="str">
        <f>IFERROR(VLOOKUP(C1375,'Справочник соответствий'!A$2:D$2981,3,FALSE),IF(VALUE(C1375)=0,"ЭТАЖ НЕ ОПРЕДЕЛЕН. ПРИНЯТ ПО ДОПУЩЕНИЮ 1",VLOOKUP(C1375,'Справочник соответствий'!A$2:D$2981,3,FALSE)))</f>
        <v>ЭТАЖ ЗАДАН ЧИСЛОМ</v>
      </c>
      <c r="M1375" s="13" t="b">
        <f t="shared" si="148"/>
        <v>0</v>
      </c>
      <c r="N1375" s="13">
        <f t="shared" si="149"/>
        <v>1</v>
      </c>
      <c r="O1375" s="13" t="str">
        <f t="shared" si="150"/>
        <v>ЭТАЖ ЗАДАН ЧИСЛОМ</v>
      </c>
      <c r="P1375" s="13" t="str">
        <f t="shared" si="151"/>
        <v>ЭТАЖ ЗАДАН ЧИСЛОМ</v>
      </c>
      <c r="Q1375" s="13" t="str">
        <f t="shared" si="152"/>
        <v>ГОТОВ_ИЗМЕНЕН</v>
      </c>
      <c r="R1375" s="13">
        <f>IFERROR(VLOOKUP(P1375,Лист1!A$1:B$20,2,FALSE),0)</f>
        <v>784</v>
      </c>
      <c r="S1375" s="13">
        <f t="shared" si="153"/>
        <v>0</v>
      </c>
    </row>
    <row r="1376" spans="1:19" x14ac:dyDescent="0.25">
      <c r="A1376" s="24" t="s">
        <v>2496</v>
      </c>
      <c r="B1376" s="4" t="s">
        <v>1059</v>
      </c>
      <c r="C1376" s="25" t="s">
        <v>5</v>
      </c>
      <c r="G1376" s="25" t="s">
        <v>1328</v>
      </c>
      <c r="H1376" s="24" t="s">
        <v>1061</v>
      </c>
      <c r="I1376" s="3" t="str">
        <f>IFERROR(VLOOKUP(C1376,'Справочник соответствий'!A$2:D$2981,2,FALSE),IF(VALUE(C1376)=0,1,VLOOKUP(C1376,'Справочник соответствий'!A$2:D$2981,2,FALSE)))</f>
        <v>1</v>
      </c>
      <c r="J1376" s="3">
        <f>IFERROR(VLOOKUP(D1376,'Справочник соответствий'!A$2:D$2981,2,FALSE),IF(VALUE(D1376)=0,0,VLOOKUP(D1376,'Справочник соответствий'!A$2:D$2981,2,FALSE)))</f>
        <v>0</v>
      </c>
      <c r="K1376" s="3" t="str">
        <f t="shared" si="147"/>
        <v>1</v>
      </c>
      <c r="L1376" s="13" t="str">
        <f>IFERROR(VLOOKUP(C1376,'Справочник соответствий'!A$2:D$2981,3,FALSE),IF(VALUE(C1376)=0,"ЭТАЖ НЕ ОПРЕДЕЛЕН. ПРИНЯТ ПО ДОПУЩЕНИЮ 1",VLOOKUP(C1376,'Справочник соответствий'!A$2:D$2981,3,FALSE)))</f>
        <v>ЭТАЖ ЗАДАН ЧИСЛОМ</v>
      </c>
      <c r="M1376" s="13" t="b">
        <f t="shared" si="148"/>
        <v>0</v>
      </c>
      <c r="N1376" s="13">
        <f t="shared" si="149"/>
        <v>1</v>
      </c>
      <c r="O1376" s="13" t="str">
        <f t="shared" si="150"/>
        <v>ЭТАЖ ЗАДАН ЧИСЛОМ</v>
      </c>
      <c r="P1376" s="13" t="str">
        <f t="shared" si="151"/>
        <v>ЭТАЖ ЗАДАН ЧИСЛОМ</v>
      </c>
      <c r="Q1376" s="13" t="str">
        <f t="shared" si="152"/>
        <v>ГОТОВ_ИЗМЕНЕН</v>
      </c>
      <c r="R1376" s="13">
        <f>IFERROR(VLOOKUP(P1376,Лист1!A$1:B$20,2,FALSE),0)</f>
        <v>784</v>
      </c>
      <c r="S1376" s="13">
        <f t="shared" si="153"/>
        <v>0</v>
      </c>
    </row>
    <row r="1377" spans="1:19" x14ac:dyDescent="0.25">
      <c r="A1377" s="24" t="s">
        <v>2497</v>
      </c>
      <c r="B1377" s="4" t="s">
        <v>1059</v>
      </c>
      <c r="C1377" s="25" t="s">
        <v>7</v>
      </c>
      <c r="G1377" s="25" t="s">
        <v>1067</v>
      </c>
      <c r="H1377" s="24" t="s">
        <v>1061</v>
      </c>
      <c r="I1377" s="3" t="str">
        <f>IFERROR(VLOOKUP(C1377,'Справочник соответствий'!A$2:D$2981,2,FALSE),IF(VALUE(C1377)=0,1,VLOOKUP(C1377,'Справочник соответствий'!A$2:D$2981,2,FALSE)))</f>
        <v>2</v>
      </c>
      <c r="J1377" s="3">
        <f>IFERROR(VLOOKUP(D1377,'Справочник соответствий'!A$2:D$2981,2,FALSE),IF(VALUE(D1377)=0,0,VLOOKUP(D1377,'Справочник соответствий'!A$2:D$2981,2,FALSE)))</f>
        <v>0</v>
      </c>
      <c r="K1377" s="3" t="str">
        <f t="shared" si="147"/>
        <v>2</v>
      </c>
      <c r="L1377" s="13" t="str">
        <f>IFERROR(VLOOKUP(C1377,'Справочник соответствий'!A$2:D$2981,3,FALSE),IF(VALUE(C1377)=0,"ЭТАЖ НЕ ОПРЕДЕЛЕН. ПРИНЯТ ПО ДОПУЩЕНИЮ 1",VLOOKUP(C1377,'Справочник соответствий'!A$2:D$2981,3,FALSE)))</f>
        <v>ЭТАЖ ЗАДАН ЧИСЛОМ</v>
      </c>
      <c r="M1377" s="13" t="b">
        <f t="shared" si="148"/>
        <v>0</v>
      </c>
      <c r="N1377" s="13">
        <f t="shared" si="149"/>
        <v>2</v>
      </c>
      <c r="O1377" s="13" t="str">
        <f t="shared" si="150"/>
        <v>ЭТАЖ ЗАДАН ЧИСЛОМ</v>
      </c>
      <c r="P1377" s="13" t="str">
        <f t="shared" si="151"/>
        <v>ЭТАЖ ЗАДАН ЧИСЛОМ</v>
      </c>
      <c r="Q1377" s="13" t="str">
        <f t="shared" si="152"/>
        <v>ГОТОВ_ИЗМЕНЕН</v>
      </c>
      <c r="R1377" s="13">
        <f>IFERROR(VLOOKUP(P1377,Лист1!A$1:B$20,2,FALSE),0)</f>
        <v>784</v>
      </c>
      <c r="S1377" s="13">
        <f t="shared" si="153"/>
        <v>0</v>
      </c>
    </row>
    <row r="1378" spans="1:19" x14ac:dyDescent="0.25">
      <c r="A1378" s="24" t="s">
        <v>2498</v>
      </c>
      <c r="B1378" s="4" t="s">
        <v>1059</v>
      </c>
      <c r="C1378" s="25" t="s">
        <v>7</v>
      </c>
      <c r="G1378" s="25" t="s">
        <v>1086</v>
      </c>
      <c r="H1378" s="24" t="s">
        <v>1061</v>
      </c>
      <c r="I1378" s="3" t="str">
        <f>IFERROR(VLOOKUP(C1378,'Справочник соответствий'!A$2:D$2981,2,FALSE),IF(VALUE(C1378)=0,1,VLOOKUP(C1378,'Справочник соответствий'!A$2:D$2981,2,FALSE)))</f>
        <v>2</v>
      </c>
      <c r="J1378" s="3">
        <f>IFERROR(VLOOKUP(D1378,'Справочник соответствий'!A$2:D$2981,2,FALSE),IF(VALUE(D1378)=0,0,VLOOKUP(D1378,'Справочник соответствий'!A$2:D$2981,2,FALSE)))</f>
        <v>0</v>
      </c>
      <c r="K1378" s="3" t="str">
        <f t="shared" si="147"/>
        <v>2</v>
      </c>
      <c r="L1378" s="13" t="str">
        <f>IFERROR(VLOOKUP(C1378,'Справочник соответствий'!A$2:D$2981,3,FALSE),IF(VALUE(C1378)=0,"ЭТАЖ НЕ ОПРЕДЕЛЕН. ПРИНЯТ ПО ДОПУЩЕНИЮ 1",VLOOKUP(C1378,'Справочник соответствий'!A$2:D$2981,3,FALSE)))</f>
        <v>ЭТАЖ ЗАДАН ЧИСЛОМ</v>
      </c>
      <c r="M1378" s="13" t="b">
        <f t="shared" si="148"/>
        <v>0</v>
      </c>
      <c r="N1378" s="13">
        <f t="shared" si="149"/>
        <v>2</v>
      </c>
      <c r="O1378" s="13" t="str">
        <f t="shared" si="150"/>
        <v>ЭТАЖ ЗАДАН ЧИСЛОМ</v>
      </c>
      <c r="P1378" s="13" t="str">
        <f t="shared" si="151"/>
        <v>ЭТАЖ ЗАДАН ЧИСЛОМ</v>
      </c>
      <c r="Q1378" s="13" t="str">
        <f t="shared" si="152"/>
        <v>ГОТОВ_ИЗМЕНЕН</v>
      </c>
      <c r="R1378" s="13">
        <f>IFERROR(VLOOKUP(P1378,Лист1!A$1:B$20,2,FALSE),0)</f>
        <v>784</v>
      </c>
      <c r="S1378" s="13">
        <f t="shared" si="153"/>
        <v>0</v>
      </c>
    </row>
    <row r="1379" spans="1:19" x14ac:dyDescent="0.25">
      <c r="A1379" s="24" t="s">
        <v>2499</v>
      </c>
      <c r="B1379" s="4" t="s">
        <v>1063</v>
      </c>
      <c r="C1379" s="25" t="s">
        <v>5</v>
      </c>
      <c r="G1379" s="25" t="s">
        <v>1086</v>
      </c>
      <c r="H1379" s="24" t="s">
        <v>1061</v>
      </c>
      <c r="I1379" s="3" t="str">
        <f>IFERROR(VLOOKUP(C1379,'Справочник соответствий'!A$2:D$2981,2,FALSE),IF(VALUE(C1379)=0,1,VLOOKUP(C1379,'Справочник соответствий'!A$2:D$2981,2,FALSE)))</f>
        <v>1</v>
      </c>
      <c r="J1379" s="3">
        <f>IFERROR(VLOOKUP(D1379,'Справочник соответствий'!A$2:D$2981,2,FALSE),IF(VALUE(D1379)=0,0,VLOOKUP(D1379,'Справочник соответствий'!A$2:D$2981,2,FALSE)))</f>
        <v>0</v>
      </c>
      <c r="K1379" s="3" t="str">
        <f t="shared" si="147"/>
        <v>1</v>
      </c>
      <c r="L1379" s="13" t="str">
        <f>IFERROR(VLOOKUP(C1379,'Справочник соответствий'!A$2:D$2981,3,FALSE),IF(VALUE(C1379)=0,"ЭТАЖ НЕ ОПРЕДЕЛЕН. ПРИНЯТ ПО ДОПУЩЕНИЮ 1",VLOOKUP(C1379,'Справочник соответствий'!A$2:D$2981,3,FALSE)))</f>
        <v>ЭТАЖ ЗАДАН ЧИСЛОМ</v>
      </c>
      <c r="M1379" s="13" t="b">
        <f t="shared" si="148"/>
        <v>0</v>
      </c>
      <c r="N1379" s="13">
        <f t="shared" si="149"/>
        <v>1</v>
      </c>
      <c r="O1379" s="13" t="str">
        <f t="shared" si="150"/>
        <v>ЭТАЖ ЗАДАН ЧИСЛОМ</v>
      </c>
      <c r="P1379" s="13" t="str">
        <f t="shared" si="151"/>
        <v>ЭТАЖ ЗАДАН ЧИСЛОМ</v>
      </c>
      <c r="Q1379" s="13" t="str">
        <f t="shared" si="152"/>
        <v>ГОТОВ_ИЗМЕНЕН</v>
      </c>
      <c r="R1379" s="13">
        <f>IFERROR(VLOOKUP(P1379,Лист1!A$1:B$20,2,FALSE),0)</f>
        <v>784</v>
      </c>
      <c r="S1379" s="13">
        <f t="shared" si="153"/>
        <v>0</v>
      </c>
    </row>
    <row r="1380" spans="1:19" x14ac:dyDescent="0.25">
      <c r="A1380" s="24" t="s">
        <v>2500</v>
      </c>
      <c r="B1380" s="4" t="s">
        <v>1059</v>
      </c>
      <c r="C1380" s="25" t="s">
        <v>7</v>
      </c>
      <c r="G1380" s="25" t="s">
        <v>1117</v>
      </c>
      <c r="H1380" s="24" t="s">
        <v>1061</v>
      </c>
      <c r="I1380" s="3" t="str">
        <f>IFERROR(VLOOKUP(C1380,'Справочник соответствий'!A$2:D$2981,2,FALSE),IF(VALUE(C1380)=0,1,VLOOKUP(C1380,'Справочник соответствий'!A$2:D$2981,2,FALSE)))</f>
        <v>2</v>
      </c>
      <c r="J1380" s="3">
        <f>IFERROR(VLOOKUP(D1380,'Справочник соответствий'!A$2:D$2981,2,FALSE),IF(VALUE(D1380)=0,0,VLOOKUP(D1380,'Справочник соответствий'!A$2:D$2981,2,FALSE)))</f>
        <v>0</v>
      </c>
      <c r="K1380" s="3" t="str">
        <f t="shared" si="147"/>
        <v>2</v>
      </c>
      <c r="L1380" s="13" t="str">
        <f>IFERROR(VLOOKUP(C1380,'Справочник соответствий'!A$2:D$2981,3,FALSE),IF(VALUE(C1380)=0,"ЭТАЖ НЕ ОПРЕДЕЛЕН. ПРИНЯТ ПО ДОПУЩЕНИЮ 1",VLOOKUP(C1380,'Справочник соответствий'!A$2:D$2981,3,FALSE)))</f>
        <v>ЭТАЖ ЗАДАН ЧИСЛОМ</v>
      </c>
      <c r="M1380" s="13" t="b">
        <f t="shared" si="148"/>
        <v>0</v>
      </c>
      <c r="N1380" s="13">
        <f t="shared" si="149"/>
        <v>2</v>
      </c>
      <c r="O1380" s="13" t="str">
        <f t="shared" si="150"/>
        <v>ЭТАЖ ЗАДАН ЧИСЛОМ</v>
      </c>
      <c r="P1380" s="13" t="str">
        <f t="shared" si="151"/>
        <v>ЭТАЖ ЗАДАН ЧИСЛОМ</v>
      </c>
      <c r="Q1380" s="13" t="str">
        <f t="shared" si="152"/>
        <v>ГОТОВ_ИЗМЕНЕН</v>
      </c>
      <c r="R1380" s="13">
        <f>IFERROR(VLOOKUP(P1380,Лист1!A$1:B$20,2,FALSE),0)</f>
        <v>784</v>
      </c>
      <c r="S1380" s="13">
        <f t="shared" si="153"/>
        <v>0</v>
      </c>
    </row>
    <row r="1381" spans="1:19" x14ac:dyDescent="0.25">
      <c r="A1381" s="24" t="s">
        <v>2501</v>
      </c>
      <c r="B1381" s="4" t="s">
        <v>1059</v>
      </c>
      <c r="C1381" s="25" t="s">
        <v>5</v>
      </c>
      <c r="G1381" s="25" t="s">
        <v>1289</v>
      </c>
      <c r="H1381" s="24" t="s">
        <v>1061</v>
      </c>
      <c r="I1381" s="3" t="str">
        <f>IFERROR(VLOOKUP(C1381,'Справочник соответствий'!A$2:D$2981,2,FALSE),IF(VALUE(C1381)=0,1,VLOOKUP(C1381,'Справочник соответствий'!A$2:D$2981,2,FALSE)))</f>
        <v>1</v>
      </c>
      <c r="J1381" s="3">
        <f>IFERROR(VLOOKUP(D1381,'Справочник соответствий'!A$2:D$2981,2,FALSE),IF(VALUE(D1381)=0,0,VLOOKUP(D1381,'Справочник соответствий'!A$2:D$2981,2,FALSE)))</f>
        <v>0</v>
      </c>
      <c r="K1381" s="3" t="str">
        <f t="shared" si="147"/>
        <v>1</v>
      </c>
      <c r="L1381" s="13" t="str">
        <f>IFERROR(VLOOKUP(C1381,'Справочник соответствий'!A$2:D$2981,3,FALSE),IF(VALUE(C1381)=0,"ЭТАЖ НЕ ОПРЕДЕЛЕН. ПРИНЯТ ПО ДОПУЩЕНИЮ 1",VLOOKUP(C1381,'Справочник соответствий'!A$2:D$2981,3,FALSE)))</f>
        <v>ЭТАЖ ЗАДАН ЧИСЛОМ</v>
      </c>
      <c r="M1381" s="13" t="b">
        <f t="shared" si="148"/>
        <v>0</v>
      </c>
      <c r="N1381" s="13">
        <f t="shared" si="149"/>
        <v>1</v>
      </c>
      <c r="O1381" s="13" t="str">
        <f t="shared" si="150"/>
        <v>ЭТАЖ ЗАДАН ЧИСЛОМ</v>
      </c>
      <c r="P1381" s="13" t="str">
        <f t="shared" si="151"/>
        <v>ЭТАЖ ЗАДАН ЧИСЛОМ</v>
      </c>
      <c r="Q1381" s="13" t="str">
        <f t="shared" si="152"/>
        <v>ГОТОВ_ИЗМЕНЕН</v>
      </c>
      <c r="R1381" s="13">
        <f>IFERROR(VLOOKUP(P1381,Лист1!A$1:B$20,2,FALSE),0)</f>
        <v>784</v>
      </c>
      <c r="S1381" s="13">
        <f t="shared" si="153"/>
        <v>0</v>
      </c>
    </row>
    <row r="1382" spans="1:19" x14ac:dyDescent="0.25">
      <c r="A1382" s="24" t="s">
        <v>2502</v>
      </c>
      <c r="B1382" s="4" t="s">
        <v>1063</v>
      </c>
      <c r="C1382" s="25" t="s">
        <v>5</v>
      </c>
      <c r="G1382" s="25" t="s">
        <v>1086</v>
      </c>
      <c r="H1382" s="24" t="s">
        <v>1061</v>
      </c>
      <c r="I1382" s="3" t="str">
        <f>IFERROR(VLOOKUP(C1382,'Справочник соответствий'!A$2:D$2981,2,FALSE),IF(VALUE(C1382)=0,1,VLOOKUP(C1382,'Справочник соответствий'!A$2:D$2981,2,FALSE)))</f>
        <v>1</v>
      </c>
      <c r="J1382" s="3">
        <f>IFERROR(VLOOKUP(D1382,'Справочник соответствий'!A$2:D$2981,2,FALSE),IF(VALUE(D1382)=0,0,VLOOKUP(D1382,'Справочник соответствий'!A$2:D$2981,2,FALSE)))</f>
        <v>0</v>
      </c>
      <c r="K1382" s="3" t="str">
        <f t="shared" si="147"/>
        <v>1</v>
      </c>
      <c r="L1382" s="13" t="str">
        <f>IFERROR(VLOOKUP(C1382,'Справочник соответствий'!A$2:D$2981,3,FALSE),IF(VALUE(C1382)=0,"ЭТАЖ НЕ ОПРЕДЕЛЕН. ПРИНЯТ ПО ДОПУЩЕНИЮ 1",VLOOKUP(C1382,'Справочник соответствий'!A$2:D$2981,3,FALSE)))</f>
        <v>ЭТАЖ ЗАДАН ЧИСЛОМ</v>
      </c>
      <c r="M1382" s="13" t="b">
        <f t="shared" si="148"/>
        <v>0</v>
      </c>
      <c r="N1382" s="13">
        <f t="shared" si="149"/>
        <v>1</v>
      </c>
      <c r="O1382" s="13" t="str">
        <f t="shared" si="150"/>
        <v>ЭТАЖ ЗАДАН ЧИСЛОМ</v>
      </c>
      <c r="P1382" s="13" t="str">
        <f t="shared" si="151"/>
        <v>ЭТАЖ ЗАДАН ЧИСЛОМ</v>
      </c>
      <c r="Q1382" s="13" t="str">
        <f t="shared" si="152"/>
        <v>ГОТОВ_ИЗМЕНЕН</v>
      </c>
      <c r="R1382" s="13">
        <f>IFERROR(VLOOKUP(P1382,Лист1!A$1:B$20,2,FALSE),0)</f>
        <v>784</v>
      </c>
      <c r="S1382" s="13">
        <f t="shared" si="153"/>
        <v>0</v>
      </c>
    </row>
    <row r="1383" spans="1:19" x14ac:dyDescent="0.25">
      <c r="A1383" s="24" t="s">
        <v>2503</v>
      </c>
      <c r="B1383" s="4" t="s">
        <v>1063</v>
      </c>
      <c r="C1383" s="25" t="s">
        <v>5</v>
      </c>
      <c r="G1383" s="25" t="s">
        <v>1086</v>
      </c>
      <c r="H1383" s="24" t="s">
        <v>1061</v>
      </c>
      <c r="I1383" s="3" t="str">
        <f>IFERROR(VLOOKUP(C1383,'Справочник соответствий'!A$2:D$2981,2,FALSE),IF(VALUE(C1383)=0,1,VLOOKUP(C1383,'Справочник соответствий'!A$2:D$2981,2,FALSE)))</f>
        <v>1</v>
      </c>
      <c r="J1383" s="3">
        <f>IFERROR(VLOOKUP(D1383,'Справочник соответствий'!A$2:D$2981,2,FALSE),IF(VALUE(D1383)=0,0,VLOOKUP(D1383,'Справочник соответствий'!A$2:D$2981,2,FALSE)))</f>
        <v>0</v>
      </c>
      <c r="K1383" s="3" t="str">
        <f t="shared" si="147"/>
        <v>1</v>
      </c>
      <c r="L1383" s="13" t="str">
        <f>IFERROR(VLOOKUP(C1383,'Справочник соответствий'!A$2:D$2981,3,FALSE),IF(VALUE(C1383)=0,"ЭТАЖ НЕ ОПРЕДЕЛЕН. ПРИНЯТ ПО ДОПУЩЕНИЮ 1",VLOOKUP(C1383,'Справочник соответствий'!A$2:D$2981,3,FALSE)))</f>
        <v>ЭТАЖ ЗАДАН ЧИСЛОМ</v>
      </c>
      <c r="M1383" s="13" t="b">
        <f t="shared" si="148"/>
        <v>0</v>
      </c>
      <c r="N1383" s="13">
        <f t="shared" si="149"/>
        <v>1</v>
      </c>
      <c r="O1383" s="13" t="str">
        <f t="shared" si="150"/>
        <v>ЭТАЖ ЗАДАН ЧИСЛОМ</v>
      </c>
      <c r="P1383" s="13" t="str">
        <f t="shared" si="151"/>
        <v>ЭТАЖ ЗАДАН ЧИСЛОМ</v>
      </c>
      <c r="Q1383" s="13" t="str">
        <f t="shared" si="152"/>
        <v>ГОТОВ_ИЗМЕНЕН</v>
      </c>
      <c r="R1383" s="13">
        <f>IFERROR(VLOOKUP(P1383,Лист1!A$1:B$20,2,FALSE),0)</f>
        <v>784</v>
      </c>
      <c r="S1383" s="13">
        <f t="shared" si="153"/>
        <v>0</v>
      </c>
    </row>
    <row r="1384" spans="1:19" x14ac:dyDescent="0.25">
      <c r="A1384" s="24" t="s">
        <v>2504</v>
      </c>
      <c r="B1384" s="4" t="s">
        <v>1063</v>
      </c>
      <c r="C1384" s="25" t="s">
        <v>5</v>
      </c>
      <c r="G1384" s="25" t="s">
        <v>1086</v>
      </c>
      <c r="H1384" s="24" t="s">
        <v>1061</v>
      </c>
      <c r="I1384" s="3" t="str">
        <f>IFERROR(VLOOKUP(C1384,'Справочник соответствий'!A$2:D$2981,2,FALSE),IF(VALUE(C1384)=0,1,VLOOKUP(C1384,'Справочник соответствий'!A$2:D$2981,2,FALSE)))</f>
        <v>1</v>
      </c>
      <c r="J1384" s="3">
        <f>IFERROR(VLOOKUP(D1384,'Справочник соответствий'!A$2:D$2981,2,FALSE),IF(VALUE(D1384)=0,0,VLOOKUP(D1384,'Справочник соответствий'!A$2:D$2981,2,FALSE)))</f>
        <v>0</v>
      </c>
      <c r="K1384" s="3" t="str">
        <f t="shared" si="147"/>
        <v>1</v>
      </c>
      <c r="L1384" s="13" t="str">
        <f>IFERROR(VLOOKUP(C1384,'Справочник соответствий'!A$2:D$2981,3,FALSE),IF(VALUE(C1384)=0,"ЭТАЖ НЕ ОПРЕДЕЛЕН. ПРИНЯТ ПО ДОПУЩЕНИЮ 1",VLOOKUP(C1384,'Справочник соответствий'!A$2:D$2981,3,FALSE)))</f>
        <v>ЭТАЖ ЗАДАН ЧИСЛОМ</v>
      </c>
      <c r="M1384" s="13" t="b">
        <f t="shared" si="148"/>
        <v>0</v>
      </c>
      <c r="N1384" s="13">
        <f t="shared" si="149"/>
        <v>1</v>
      </c>
      <c r="O1384" s="13" t="str">
        <f t="shared" si="150"/>
        <v>ЭТАЖ ЗАДАН ЧИСЛОМ</v>
      </c>
      <c r="P1384" s="13" t="str">
        <f t="shared" si="151"/>
        <v>ЭТАЖ ЗАДАН ЧИСЛОМ</v>
      </c>
      <c r="Q1384" s="13" t="str">
        <f t="shared" si="152"/>
        <v>ГОТОВ_ИЗМЕНЕН</v>
      </c>
      <c r="R1384" s="13">
        <f>IFERROR(VLOOKUP(P1384,Лист1!A$1:B$20,2,FALSE),0)</f>
        <v>784</v>
      </c>
      <c r="S1384" s="13">
        <f t="shared" si="153"/>
        <v>0</v>
      </c>
    </row>
    <row r="1385" spans="1:19" x14ac:dyDescent="0.25">
      <c r="A1385" s="24" t="s">
        <v>2505</v>
      </c>
      <c r="B1385" s="4" t="s">
        <v>1059</v>
      </c>
      <c r="C1385" s="25" t="s">
        <v>5</v>
      </c>
      <c r="G1385" s="25" t="s">
        <v>1086</v>
      </c>
      <c r="H1385" s="24" t="s">
        <v>1061</v>
      </c>
      <c r="I1385" s="3" t="str">
        <f>IFERROR(VLOOKUP(C1385,'Справочник соответствий'!A$2:D$2981,2,FALSE),IF(VALUE(C1385)=0,1,VLOOKUP(C1385,'Справочник соответствий'!A$2:D$2981,2,FALSE)))</f>
        <v>1</v>
      </c>
      <c r="J1385" s="3">
        <f>IFERROR(VLOOKUP(D1385,'Справочник соответствий'!A$2:D$2981,2,FALSE),IF(VALUE(D1385)=0,0,VLOOKUP(D1385,'Справочник соответствий'!A$2:D$2981,2,FALSE)))</f>
        <v>0</v>
      </c>
      <c r="K1385" s="3" t="str">
        <f t="shared" si="147"/>
        <v>1</v>
      </c>
      <c r="L1385" s="13" t="str">
        <f>IFERROR(VLOOKUP(C1385,'Справочник соответствий'!A$2:D$2981,3,FALSE),IF(VALUE(C1385)=0,"ЭТАЖ НЕ ОПРЕДЕЛЕН. ПРИНЯТ ПО ДОПУЩЕНИЮ 1",VLOOKUP(C1385,'Справочник соответствий'!A$2:D$2981,3,FALSE)))</f>
        <v>ЭТАЖ ЗАДАН ЧИСЛОМ</v>
      </c>
      <c r="M1385" s="13" t="b">
        <f t="shared" si="148"/>
        <v>0</v>
      </c>
      <c r="N1385" s="13">
        <f t="shared" si="149"/>
        <v>1</v>
      </c>
      <c r="O1385" s="13" t="str">
        <f t="shared" si="150"/>
        <v>ЭТАЖ ЗАДАН ЧИСЛОМ</v>
      </c>
      <c r="P1385" s="13" t="str">
        <f t="shared" si="151"/>
        <v>ЭТАЖ ЗАДАН ЧИСЛОМ</v>
      </c>
      <c r="Q1385" s="13" t="str">
        <f t="shared" si="152"/>
        <v>ГОТОВ_ИЗМЕНЕН</v>
      </c>
      <c r="R1385" s="13">
        <f>IFERROR(VLOOKUP(P1385,Лист1!A$1:B$20,2,FALSE),0)</f>
        <v>784</v>
      </c>
      <c r="S1385" s="13">
        <f t="shared" si="153"/>
        <v>0</v>
      </c>
    </row>
    <row r="1386" spans="1:19" x14ac:dyDescent="0.25">
      <c r="A1386" s="24" t="s">
        <v>2506</v>
      </c>
      <c r="B1386" s="4" t="s">
        <v>1059</v>
      </c>
      <c r="C1386" s="25" t="s">
        <v>5</v>
      </c>
      <c r="G1386" s="25" t="s">
        <v>1080</v>
      </c>
      <c r="H1386" s="24" t="s">
        <v>1061</v>
      </c>
      <c r="I1386" s="3" t="str">
        <f>IFERROR(VLOOKUP(C1386,'Справочник соответствий'!A$2:D$2981,2,FALSE),IF(VALUE(C1386)=0,1,VLOOKUP(C1386,'Справочник соответствий'!A$2:D$2981,2,FALSE)))</f>
        <v>1</v>
      </c>
      <c r="J1386" s="3">
        <f>IFERROR(VLOOKUP(D1386,'Справочник соответствий'!A$2:D$2981,2,FALSE),IF(VALUE(D1386)=0,0,VLOOKUP(D1386,'Справочник соответствий'!A$2:D$2981,2,FALSE)))</f>
        <v>0</v>
      </c>
      <c r="K1386" s="3" t="str">
        <f t="shared" si="147"/>
        <v>1</v>
      </c>
      <c r="L1386" s="13" t="str">
        <f>IFERROR(VLOOKUP(C1386,'Справочник соответствий'!A$2:D$2981,3,FALSE),IF(VALUE(C1386)=0,"ЭТАЖ НЕ ОПРЕДЕЛЕН. ПРИНЯТ ПО ДОПУЩЕНИЮ 1",VLOOKUP(C1386,'Справочник соответствий'!A$2:D$2981,3,FALSE)))</f>
        <v>ЭТАЖ ЗАДАН ЧИСЛОМ</v>
      </c>
      <c r="M1386" s="13" t="b">
        <f t="shared" si="148"/>
        <v>0</v>
      </c>
      <c r="N1386" s="13">
        <f t="shared" si="149"/>
        <v>1</v>
      </c>
      <c r="O1386" s="13" t="str">
        <f t="shared" si="150"/>
        <v>ЭТАЖ ЗАДАН ЧИСЛОМ</v>
      </c>
      <c r="P1386" s="13" t="str">
        <f t="shared" si="151"/>
        <v>ЭТАЖ ЗАДАН ЧИСЛОМ</v>
      </c>
      <c r="Q1386" s="13" t="str">
        <f t="shared" si="152"/>
        <v>ГОТОВ_ИЗМЕНЕН</v>
      </c>
      <c r="R1386" s="13">
        <f>IFERROR(VLOOKUP(P1386,Лист1!A$1:B$20,2,FALSE),0)</f>
        <v>784</v>
      </c>
      <c r="S1386" s="13">
        <f t="shared" si="153"/>
        <v>0</v>
      </c>
    </row>
    <row r="1387" spans="1:19" x14ac:dyDescent="0.25">
      <c r="A1387" s="24" t="s">
        <v>2507</v>
      </c>
      <c r="B1387" s="4" t="s">
        <v>1063</v>
      </c>
      <c r="C1387" s="25" t="s">
        <v>5</v>
      </c>
      <c r="G1387" s="25" t="s">
        <v>1089</v>
      </c>
      <c r="H1387" s="24" t="s">
        <v>1061</v>
      </c>
      <c r="I1387" s="3" t="str">
        <f>IFERROR(VLOOKUP(C1387,'Справочник соответствий'!A$2:D$2981,2,FALSE),IF(VALUE(C1387)=0,1,VLOOKUP(C1387,'Справочник соответствий'!A$2:D$2981,2,FALSE)))</f>
        <v>1</v>
      </c>
      <c r="J1387" s="3">
        <f>IFERROR(VLOOKUP(D1387,'Справочник соответствий'!A$2:D$2981,2,FALSE),IF(VALUE(D1387)=0,0,VLOOKUP(D1387,'Справочник соответствий'!A$2:D$2981,2,FALSE)))</f>
        <v>0</v>
      </c>
      <c r="K1387" s="3" t="str">
        <f t="shared" si="147"/>
        <v>1</v>
      </c>
      <c r="L1387" s="13" t="str">
        <f>IFERROR(VLOOKUP(C1387,'Справочник соответствий'!A$2:D$2981,3,FALSE),IF(VALUE(C1387)=0,"ЭТАЖ НЕ ОПРЕДЕЛЕН. ПРИНЯТ ПО ДОПУЩЕНИЮ 1",VLOOKUP(C1387,'Справочник соответствий'!A$2:D$2981,3,FALSE)))</f>
        <v>ЭТАЖ ЗАДАН ЧИСЛОМ</v>
      </c>
      <c r="M1387" s="13" t="b">
        <f t="shared" si="148"/>
        <v>0</v>
      </c>
      <c r="N1387" s="13">
        <f t="shared" si="149"/>
        <v>1</v>
      </c>
      <c r="O1387" s="13" t="str">
        <f t="shared" si="150"/>
        <v>ЭТАЖ ЗАДАН ЧИСЛОМ</v>
      </c>
      <c r="P1387" s="13" t="str">
        <f t="shared" si="151"/>
        <v>ЭТАЖ ЗАДАН ЧИСЛОМ</v>
      </c>
      <c r="Q1387" s="13" t="str">
        <f t="shared" si="152"/>
        <v>ГОТОВ_ИЗМЕНЕН</v>
      </c>
      <c r="R1387" s="13">
        <f>IFERROR(VLOOKUP(P1387,Лист1!A$1:B$20,2,FALSE),0)</f>
        <v>784</v>
      </c>
      <c r="S1387" s="13">
        <f t="shared" si="153"/>
        <v>0</v>
      </c>
    </row>
    <row r="1388" spans="1:19" x14ac:dyDescent="0.25">
      <c r="A1388" s="24" t="s">
        <v>2508</v>
      </c>
      <c r="B1388" s="4" t="s">
        <v>1059</v>
      </c>
      <c r="C1388" s="25" t="s">
        <v>7</v>
      </c>
      <c r="G1388" s="25" t="s">
        <v>1080</v>
      </c>
      <c r="H1388" s="24" t="s">
        <v>1061</v>
      </c>
      <c r="I1388" s="3" t="str">
        <f>IFERROR(VLOOKUP(C1388,'Справочник соответствий'!A$2:D$2981,2,FALSE),IF(VALUE(C1388)=0,1,VLOOKUP(C1388,'Справочник соответствий'!A$2:D$2981,2,FALSE)))</f>
        <v>2</v>
      </c>
      <c r="J1388" s="3">
        <f>IFERROR(VLOOKUP(D1388,'Справочник соответствий'!A$2:D$2981,2,FALSE),IF(VALUE(D1388)=0,0,VLOOKUP(D1388,'Справочник соответствий'!A$2:D$2981,2,FALSE)))</f>
        <v>0</v>
      </c>
      <c r="K1388" s="3" t="str">
        <f t="shared" si="147"/>
        <v>2</v>
      </c>
      <c r="L1388" s="13" t="str">
        <f>IFERROR(VLOOKUP(C1388,'Справочник соответствий'!A$2:D$2981,3,FALSE),IF(VALUE(C1388)=0,"ЭТАЖ НЕ ОПРЕДЕЛЕН. ПРИНЯТ ПО ДОПУЩЕНИЮ 1",VLOOKUP(C1388,'Справочник соответствий'!A$2:D$2981,3,FALSE)))</f>
        <v>ЭТАЖ ЗАДАН ЧИСЛОМ</v>
      </c>
      <c r="M1388" s="13" t="b">
        <f t="shared" si="148"/>
        <v>0</v>
      </c>
      <c r="N1388" s="13">
        <f t="shared" si="149"/>
        <v>2</v>
      </c>
      <c r="O1388" s="13" t="str">
        <f t="shared" si="150"/>
        <v>ЭТАЖ ЗАДАН ЧИСЛОМ</v>
      </c>
      <c r="P1388" s="13" t="str">
        <f t="shared" si="151"/>
        <v>ЭТАЖ ЗАДАН ЧИСЛОМ</v>
      </c>
      <c r="Q1388" s="13" t="str">
        <f t="shared" si="152"/>
        <v>ГОТОВ_ИЗМЕНЕН</v>
      </c>
      <c r="R1388" s="13">
        <f>IFERROR(VLOOKUP(P1388,Лист1!A$1:B$20,2,FALSE),0)</f>
        <v>784</v>
      </c>
      <c r="S1388" s="13">
        <f t="shared" si="153"/>
        <v>0</v>
      </c>
    </row>
    <row r="1389" spans="1:19" x14ac:dyDescent="0.25">
      <c r="A1389" s="24" t="s">
        <v>2509</v>
      </c>
      <c r="B1389" s="4" t="s">
        <v>1059</v>
      </c>
      <c r="C1389" s="25" t="s">
        <v>5</v>
      </c>
      <c r="G1389" s="25" t="s">
        <v>1080</v>
      </c>
      <c r="H1389" s="24" t="s">
        <v>1061</v>
      </c>
      <c r="I1389" s="3" t="str">
        <f>IFERROR(VLOOKUP(C1389,'Справочник соответствий'!A$2:D$2981,2,FALSE),IF(VALUE(C1389)=0,1,VLOOKUP(C1389,'Справочник соответствий'!A$2:D$2981,2,FALSE)))</f>
        <v>1</v>
      </c>
      <c r="J1389" s="3">
        <f>IFERROR(VLOOKUP(D1389,'Справочник соответствий'!A$2:D$2981,2,FALSE),IF(VALUE(D1389)=0,0,VLOOKUP(D1389,'Справочник соответствий'!A$2:D$2981,2,FALSE)))</f>
        <v>0</v>
      </c>
      <c r="K1389" s="3" t="str">
        <f t="shared" si="147"/>
        <v>1</v>
      </c>
      <c r="L1389" s="13" t="str">
        <f>IFERROR(VLOOKUP(C1389,'Справочник соответствий'!A$2:D$2981,3,FALSE),IF(VALUE(C1389)=0,"ЭТАЖ НЕ ОПРЕДЕЛЕН. ПРИНЯТ ПО ДОПУЩЕНИЮ 1",VLOOKUP(C1389,'Справочник соответствий'!A$2:D$2981,3,FALSE)))</f>
        <v>ЭТАЖ ЗАДАН ЧИСЛОМ</v>
      </c>
      <c r="M1389" s="13" t="b">
        <f t="shared" si="148"/>
        <v>0</v>
      </c>
      <c r="N1389" s="13">
        <f t="shared" si="149"/>
        <v>1</v>
      </c>
      <c r="O1389" s="13" t="str">
        <f t="shared" si="150"/>
        <v>ЭТАЖ ЗАДАН ЧИСЛОМ</v>
      </c>
      <c r="P1389" s="13" t="str">
        <f t="shared" si="151"/>
        <v>ЭТАЖ ЗАДАН ЧИСЛОМ</v>
      </c>
      <c r="Q1389" s="13" t="str">
        <f t="shared" si="152"/>
        <v>ГОТОВ_ИЗМЕНЕН</v>
      </c>
      <c r="R1389" s="13">
        <f>IFERROR(VLOOKUP(P1389,Лист1!A$1:B$20,2,FALSE),0)</f>
        <v>784</v>
      </c>
      <c r="S1389" s="13">
        <f t="shared" si="153"/>
        <v>0</v>
      </c>
    </row>
    <row r="1390" spans="1:19" x14ac:dyDescent="0.25">
      <c r="A1390" s="24" t="s">
        <v>2510</v>
      </c>
      <c r="B1390" s="4" t="s">
        <v>1063</v>
      </c>
      <c r="C1390" s="25" t="s">
        <v>5</v>
      </c>
      <c r="G1390" s="25" t="s">
        <v>1328</v>
      </c>
      <c r="H1390" s="24" t="s">
        <v>1061</v>
      </c>
      <c r="I1390" s="3" t="str">
        <f>IFERROR(VLOOKUP(C1390,'Справочник соответствий'!A$2:D$2981,2,FALSE),IF(VALUE(C1390)=0,1,VLOOKUP(C1390,'Справочник соответствий'!A$2:D$2981,2,FALSE)))</f>
        <v>1</v>
      </c>
      <c r="J1390" s="3">
        <f>IFERROR(VLOOKUP(D1390,'Справочник соответствий'!A$2:D$2981,2,FALSE),IF(VALUE(D1390)=0,0,VLOOKUP(D1390,'Справочник соответствий'!A$2:D$2981,2,FALSE)))</f>
        <v>0</v>
      </c>
      <c r="K1390" s="3" t="str">
        <f t="shared" si="147"/>
        <v>1</v>
      </c>
      <c r="L1390" s="13" t="str">
        <f>IFERROR(VLOOKUP(C1390,'Справочник соответствий'!A$2:D$2981,3,FALSE),IF(VALUE(C1390)=0,"ЭТАЖ НЕ ОПРЕДЕЛЕН. ПРИНЯТ ПО ДОПУЩЕНИЮ 1",VLOOKUP(C1390,'Справочник соответствий'!A$2:D$2981,3,FALSE)))</f>
        <v>ЭТАЖ ЗАДАН ЧИСЛОМ</v>
      </c>
      <c r="M1390" s="13" t="b">
        <f t="shared" si="148"/>
        <v>0</v>
      </c>
      <c r="N1390" s="13">
        <f t="shared" si="149"/>
        <v>1</v>
      </c>
      <c r="O1390" s="13" t="str">
        <f t="shared" si="150"/>
        <v>ЭТАЖ ЗАДАН ЧИСЛОМ</v>
      </c>
      <c r="P1390" s="13" t="str">
        <f t="shared" si="151"/>
        <v>ЭТАЖ ЗАДАН ЧИСЛОМ</v>
      </c>
      <c r="Q1390" s="13" t="str">
        <f t="shared" si="152"/>
        <v>ГОТОВ_ИЗМЕНЕН</v>
      </c>
      <c r="R1390" s="13">
        <f>IFERROR(VLOOKUP(P1390,Лист1!A$1:B$20,2,FALSE),0)</f>
        <v>784</v>
      </c>
      <c r="S1390" s="13">
        <f t="shared" si="153"/>
        <v>0</v>
      </c>
    </row>
    <row r="1391" spans="1:19" x14ac:dyDescent="0.25">
      <c r="A1391" s="24" t="s">
        <v>2511</v>
      </c>
      <c r="B1391" s="4" t="s">
        <v>1059</v>
      </c>
      <c r="C1391" s="25" t="s">
        <v>7</v>
      </c>
      <c r="G1391" s="25" t="s">
        <v>1080</v>
      </c>
      <c r="H1391" s="24" t="s">
        <v>1061</v>
      </c>
      <c r="I1391" s="3" t="str">
        <f>IFERROR(VLOOKUP(C1391,'Справочник соответствий'!A$2:D$2981,2,FALSE),IF(VALUE(C1391)=0,1,VLOOKUP(C1391,'Справочник соответствий'!A$2:D$2981,2,FALSE)))</f>
        <v>2</v>
      </c>
      <c r="J1391" s="3">
        <f>IFERROR(VLOOKUP(D1391,'Справочник соответствий'!A$2:D$2981,2,FALSE),IF(VALUE(D1391)=0,0,VLOOKUP(D1391,'Справочник соответствий'!A$2:D$2981,2,FALSE)))</f>
        <v>0</v>
      </c>
      <c r="K1391" s="3" t="str">
        <f t="shared" si="147"/>
        <v>2</v>
      </c>
      <c r="L1391" s="13" t="str">
        <f>IFERROR(VLOOKUP(C1391,'Справочник соответствий'!A$2:D$2981,3,FALSE),IF(VALUE(C1391)=0,"ЭТАЖ НЕ ОПРЕДЕЛЕН. ПРИНЯТ ПО ДОПУЩЕНИЮ 1",VLOOKUP(C1391,'Справочник соответствий'!A$2:D$2981,3,FALSE)))</f>
        <v>ЭТАЖ ЗАДАН ЧИСЛОМ</v>
      </c>
      <c r="M1391" s="13" t="b">
        <f t="shared" si="148"/>
        <v>0</v>
      </c>
      <c r="N1391" s="13">
        <f t="shared" si="149"/>
        <v>2</v>
      </c>
      <c r="O1391" s="13" t="str">
        <f t="shared" si="150"/>
        <v>ЭТАЖ ЗАДАН ЧИСЛОМ</v>
      </c>
      <c r="P1391" s="13" t="str">
        <f t="shared" si="151"/>
        <v>ЭТАЖ ЗАДАН ЧИСЛОМ</v>
      </c>
      <c r="Q1391" s="13" t="str">
        <f t="shared" si="152"/>
        <v>ГОТОВ_ИЗМЕНЕН</v>
      </c>
      <c r="R1391" s="13">
        <f>IFERROR(VLOOKUP(P1391,Лист1!A$1:B$20,2,FALSE),0)</f>
        <v>784</v>
      </c>
      <c r="S1391" s="13">
        <f t="shared" si="153"/>
        <v>0</v>
      </c>
    </row>
    <row r="1392" spans="1:19" x14ac:dyDescent="0.25">
      <c r="A1392" s="24" t="s">
        <v>2512</v>
      </c>
      <c r="B1392" s="4" t="s">
        <v>1059</v>
      </c>
      <c r="C1392" s="25" t="s">
        <v>5</v>
      </c>
      <c r="G1392" s="25" t="s">
        <v>1080</v>
      </c>
      <c r="H1392" s="24" t="s">
        <v>1061</v>
      </c>
      <c r="I1392" s="3" t="str">
        <f>IFERROR(VLOOKUP(C1392,'Справочник соответствий'!A$2:D$2981,2,FALSE),IF(VALUE(C1392)=0,1,VLOOKUP(C1392,'Справочник соответствий'!A$2:D$2981,2,FALSE)))</f>
        <v>1</v>
      </c>
      <c r="J1392" s="3">
        <f>IFERROR(VLOOKUP(D1392,'Справочник соответствий'!A$2:D$2981,2,FALSE),IF(VALUE(D1392)=0,0,VLOOKUP(D1392,'Справочник соответствий'!A$2:D$2981,2,FALSE)))</f>
        <v>0</v>
      </c>
      <c r="K1392" s="3" t="str">
        <f t="shared" si="147"/>
        <v>1</v>
      </c>
      <c r="L1392" s="13" t="str">
        <f>IFERROR(VLOOKUP(C1392,'Справочник соответствий'!A$2:D$2981,3,FALSE),IF(VALUE(C1392)=0,"ЭТАЖ НЕ ОПРЕДЕЛЕН. ПРИНЯТ ПО ДОПУЩЕНИЮ 1",VLOOKUP(C1392,'Справочник соответствий'!A$2:D$2981,3,FALSE)))</f>
        <v>ЭТАЖ ЗАДАН ЧИСЛОМ</v>
      </c>
      <c r="M1392" s="13" t="b">
        <f t="shared" si="148"/>
        <v>0</v>
      </c>
      <c r="N1392" s="13">
        <f t="shared" si="149"/>
        <v>1</v>
      </c>
      <c r="O1392" s="13" t="str">
        <f t="shared" si="150"/>
        <v>ЭТАЖ ЗАДАН ЧИСЛОМ</v>
      </c>
      <c r="P1392" s="13" t="str">
        <f t="shared" si="151"/>
        <v>ЭТАЖ ЗАДАН ЧИСЛОМ</v>
      </c>
      <c r="Q1392" s="13" t="str">
        <f t="shared" si="152"/>
        <v>ГОТОВ_ИЗМЕНЕН</v>
      </c>
      <c r="R1392" s="13">
        <f>IFERROR(VLOOKUP(P1392,Лист1!A$1:B$20,2,FALSE),0)</f>
        <v>784</v>
      </c>
      <c r="S1392" s="13">
        <f t="shared" si="153"/>
        <v>0</v>
      </c>
    </row>
    <row r="1393" spans="1:19" x14ac:dyDescent="0.25">
      <c r="A1393" s="24" t="s">
        <v>2513</v>
      </c>
      <c r="B1393" s="4" t="s">
        <v>1063</v>
      </c>
      <c r="C1393" s="25" t="s">
        <v>5</v>
      </c>
      <c r="G1393" s="25" t="s">
        <v>1080</v>
      </c>
      <c r="H1393" s="24" t="s">
        <v>1061</v>
      </c>
      <c r="I1393" s="3" t="str">
        <f>IFERROR(VLOOKUP(C1393,'Справочник соответствий'!A$2:D$2981,2,FALSE),IF(VALUE(C1393)=0,1,VLOOKUP(C1393,'Справочник соответствий'!A$2:D$2981,2,FALSE)))</f>
        <v>1</v>
      </c>
      <c r="J1393" s="3">
        <f>IFERROR(VLOOKUP(D1393,'Справочник соответствий'!A$2:D$2981,2,FALSE),IF(VALUE(D1393)=0,0,VLOOKUP(D1393,'Справочник соответствий'!A$2:D$2981,2,FALSE)))</f>
        <v>0</v>
      </c>
      <c r="K1393" s="3" t="str">
        <f t="shared" si="147"/>
        <v>1</v>
      </c>
      <c r="L1393" s="13" t="str">
        <f>IFERROR(VLOOKUP(C1393,'Справочник соответствий'!A$2:D$2981,3,FALSE),IF(VALUE(C1393)=0,"ЭТАЖ НЕ ОПРЕДЕЛЕН. ПРИНЯТ ПО ДОПУЩЕНИЮ 1",VLOOKUP(C1393,'Справочник соответствий'!A$2:D$2981,3,FALSE)))</f>
        <v>ЭТАЖ ЗАДАН ЧИСЛОМ</v>
      </c>
      <c r="M1393" s="13" t="b">
        <f t="shared" si="148"/>
        <v>0</v>
      </c>
      <c r="N1393" s="13">
        <f t="shared" si="149"/>
        <v>1</v>
      </c>
      <c r="O1393" s="13" t="str">
        <f t="shared" si="150"/>
        <v>ЭТАЖ ЗАДАН ЧИСЛОМ</v>
      </c>
      <c r="P1393" s="13" t="str">
        <f t="shared" si="151"/>
        <v>ЭТАЖ ЗАДАН ЧИСЛОМ</v>
      </c>
      <c r="Q1393" s="13" t="str">
        <f t="shared" si="152"/>
        <v>ГОТОВ_ИЗМЕНЕН</v>
      </c>
      <c r="R1393" s="13">
        <f>IFERROR(VLOOKUP(P1393,Лист1!A$1:B$20,2,FALSE),0)</f>
        <v>784</v>
      </c>
      <c r="S1393" s="13">
        <f t="shared" si="153"/>
        <v>0</v>
      </c>
    </row>
    <row r="1394" spans="1:19" x14ac:dyDescent="0.25">
      <c r="A1394" s="24" t="s">
        <v>2514</v>
      </c>
      <c r="B1394" s="4" t="s">
        <v>1059</v>
      </c>
      <c r="C1394" s="25" t="s">
        <v>5</v>
      </c>
      <c r="G1394" s="25" t="s">
        <v>1083</v>
      </c>
      <c r="H1394" s="24" t="s">
        <v>1061</v>
      </c>
      <c r="I1394" s="3" t="str">
        <f>IFERROR(VLOOKUP(C1394,'Справочник соответствий'!A$2:D$2981,2,FALSE),IF(VALUE(C1394)=0,1,VLOOKUP(C1394,'Справочник соответствий'!A$2:D$2981,2,FALSE)))</f>
        <v>1</v>
      </c>
      <c r="J1394" s="3">
        <f>IFERROR(VLOOKUP(D1394,'Справочник соответствий'!A$2:D$2981,2,FALSE),IF(VALUE(D1394)=0,0,VLOOKUP(D1394,'Справочник соответствий'!A$2:D$2981,2,FALSE)))</f>
        <v>0</v>
      </c>
      <c r="K1394" s="3" t="str">
        <f t="shared" si="147"/>
        <v>1</v>
      </c>
      <c r="L1394" s="13" t="str">
        <f>IFERROR(VLOOKUP(C1394,'Справочник соответствий'!A$2:D$2981,3,FALSE),IF(VALUE(C1394)=0,"ЭТАЖ НЕ ОПРЕДЕЛЕН. ПРИНЯТ ПО ДОПУЩЕНИЮ 1",VLOOKUP(C1394,'Справочник соответствий'!A$2:D$2981,3,FALSE)))</f>
        <v>ЭТАЖ ЗАДАН ЧИСЛОМ</v>
      </c>
      <c r="M1394" s="13" t="b">
        <f t="shared" si="148"/>
        <v>0</v>
      </c>
      <c r="N1394" s="13">
        <f t="shared" si="149"/>
        <v>1</v>
      </c>
      <c r="O1394" s="13" t="str">
        <f t="shared" si="150"/>
        <v>ЭТАЖ ЗАДАН ЧИСЛОМ</v>
      </c>
      <c r="P1394" s="13" t="str">
        <f t="shared" si="151"/>
        <v>ЭТАЖ ЗАДАН ЧИСЛОМ</v>
      </c>
      <c r="Q1394" s="13" t="str">
        <f t="shared" si="152"/>
        <v>ГОТОВ_ИЗМЕНЕН</v>
      </c>
      <c r="R1394" s="13">
        <f>IFERROR(VLOOKUP(P1394,Лист1!A$1:B$20,2,FALSE),0)</f>
        <v>784</v>
      </c>
      <c r="S1394" s="13">
        <f t="shared" si="153"/>
        <v>0</v>
      </c>
    </row>
    <row r="1395" spans="1:19" x14ac:dyDescent="0.25">
      <c r="A1395" s="24" t="s">
        <v>2515</v>
      </c>
      <c r="B1395" s="4" t="s">
        <v>1063</v>
      </c>
      <c r="G1395" s="25" t="s">
        <v>1080</v>
      </c>
      <c r="H1395" s="24" t="s">
        <v>1061</v>
      </c>
      <c r="I1395" s="3">
        <f>IFERROR(VLOOKUP(C1395,'Справочник соответствий'!A$2:D$2981,2,FALSE),IF(VALUE(C1395)=0,1,VLOOKUP(C1395,'Справочник соответствий'!A$2:D$2981,2,FALSE)))</f>
        <v>1</v>
      </c>
      <c r="J1395" s="3">
        <f>IFERROR(VLOOKUP(D1395,'Справочник соответствий'!A$2:D$2981,2,FALSE),IF(VALUE(D1395)=0,0,VLOOKUP(D1395,'Справочник соответствий'!A$2:D$2981,2,FALSE)))</f>
        <v>0</v>
      </c>
      <c r="K1395" s="3">
        <f t="shared" si="147"/>
        <v>1</v>
      </c>
      <c r="L1395" s="13" t="str">
        <f>IFERROR(VLOOKUP(C1395,'Справочник соответствий'!A$2:D$2981,3,FALSE),IF(VALUE(C1395)=0,"ЭТАЖ НЕ ОПРЕДЕЛЕН. ПРИНЯТ ПО ДОПУЩЕНИЮ 1",VLOOKUP(C1395,'Справочник соответствий'!A$2:D$2981,3,FALSE)))</f>
        <v>ЭТАЖ НЕ ОПРЕДЕЛЕН. ПРИНЯТ ПО ДОПУЩЕНИЮ 1</v>
      </c>
      <c r="M1395" s="13" t="b">
        <f t="shared" si="148"/>
        <v>0</v>
      </c>
      <c r="N1395" s="13">
        <f t="shared" si="149"/>
        <v>1</v>
      </c>
      <c r="O1395" s="13" t="str">
        <f t="shared" si="150"/>
        <v>ЭТАЖ НЕ ОПРЕДЕЛЕН. ПРИНЯТ ПО ДОПУЩЕНИЮ 1</v>
      </c>
      <c r="P1395" s="13" t="str">
        <f t="shared" si="151"/>
        <v>ЭТАЖ НЕ ОПРЕДЕЛЕН. ПРИНЯТ ПО ДОПУЩЕНИЮ 1</v>
      </c>
      <c r="Q1395" s="13" t="str">
        <f t="shared" si="152"/>
        <v>ГОТОВ_ИЗМЕНЕН</v>
      </c>
      <c r="R1395" s="13">
        <f>IFERROR(VLOOKUP(P1395,Лист1!A$1:B$20,2,FALSE),0)</f>
        <v>788</v>
      </c>
      <c r="S1395" s="13">
        <f t="shared" si="153"/>
        <v>0</v>
      </c>
    </row>
    <row r="1396" spans="1:19" x14ac:dyDescent="0.25">
      <c r="A1396" s="24" t="s">
        <v>2516</v>
      </c>
      <c r="B1396" s="4" t="s">
        <v>1059</v>
      </c>
      <c r="C1396" s="25" t="s">
        <v>5</v>
      </c>
      <c r="G1396" s="25" t="s">
        <v>1072</v>
      </c>
      <c r="H1396" s="24" t="s">
        <v>1061</v>
      </c>
      <c r="I1396" s="3" t="str">
        <f>IFERROR(VLOOKUP(C1396,'Справочник соответствий'!A$2:D$2981,2,FALSE),IF(VALUE(C1396)=0,1,VLOOKUP(C1396,'Справочник соответствий'!A$2:D$2981,2,FALSE)))</f>
        <v>1</v>
      </c>
      <c r="J1396" s="3">
        <f>IFERROR(VLOOKUP(D1396,'Справочник соответствий'!A$2:D$2981,2,FALSE),IF(VALUE(D1396)=0,0,VLOOKUP(D1396,'Справочник соответствий'!A$2:D$2981,2,FALSE)))</f>
        <v>0</v>
      </c>
      <c r="K1396" s="3" t="str">
        <f t="shared" si="147"/>
        <v>1</v>
      </c>
      <c r="L1396" s="13" t="str">
        <f>IFERROR(VLOOKUP(C1396,'Справочник соответствий'!A$2:D$2981,3,FALSE),IF(VALUE(C1396)=0,"ЭТАЖ НЕ ОПРЕДЕЛЕН. ПРИНЯТ ПО ДОПУЩЕНИЮ 1",VLOOKUP(C1396,'Справочник соответствий'!A$2:D$2981,3,FALSE)))</f>
        <v>ЭТАЖ ЗАДАН ЧИСЛОМ</v>
      </c>
      <c r="M1396" s="13" t="b">
        <f t="shared" si="148"/>
        <v>0</v>
      </c>
      <c r="N1396" s="13">
        <f t="shared" si="149"/>
        <v>1</v>
      </c>
      <c r="O1396" s="13" t="str">
        <f t="shared" si="150"/>
        <v>ЭТАЖ ЗАДАН ЧИСЛОМ</v>
      </c>
      <c r="P1396" s="13" t="str">
        <f t="shared" si="151"/>
        <v>ЭТАЖ ЗАДАН ЧИСЛОМ</v>
      </c>
      <c r="Q1396" s="13" t="str">
        <f t="shared" si="152"/>
        <v>ГОТОВ_ИЗМЕНЕН</v>
      </c>
      <c r="R1396" s="13">
        <f>IFERROR(VLOOKUP(P1396,Лист1!A$1:B$20,2,FALSE),0)</f>
        <v>784</v>
      </c>
      <c r="S1396" s="13">
        <f t="shared" si="153"/>
        <v>0</v>
      </c>
    </row>
    <row r="1397" spans="1:19" x14ac:dyDescent="0.25">
      <c r="A1397" s="24" t="s">
        <v>2517</v>
      </c>
      <c r="B1397" s="4" t="s">
        <v>1063</v>
      </c>
      <c r="C1397" s="25" t="s">
        <v>5</v>
      </c>
      <c r="G1397" s="25" t="s">
        <v>1072</v>
      </c>
      <c r="H1397" s="24" t="s">
        <v>1061</v>
      </c>
      <c r="I1397" s="3" t="str">
        <f>IFERROR(VLOOKUP(C1397,'Справочник соответствий'!A$2:D$2981,2,FALSE),IF(VALUE(C1397)=0,1,VLOOKUP(C1397,'Справочник соответствий'!A$2:D$2981,2,FALSE)))</f>
        <v>1</v>
      </c>
      <c r="J1397" s="3">
        <f>IFERROR(VLOOKUP(D1397,'Справочник соответствий'!A$2:D$2981,2,FALSE),IF(VALUE(D1397)=0,0,VLOOKUP(D1397,'Справочник соответствий'!A$2:D$2981,2,FALSE)))</f>
        <v>0</v>
      </c>
      <c r="K1397" s="3" t="str">
        <f t="shared" si="147"/>
        <v>1</v>
      </c>
      <c r="L1397" s="13" t="str">
        <f>IFERROR(VLOOKUP(C1397,'Справочник соответствий'!A$2:D$2981,3,FALSE),IF(VALUE(C1397)=0,"ЭТАЖ НЕ ОПРЕДЕЛЕН. ПРИНЯТ ПО ДОПУЩЕНИЮ 1",VLOOKUP(C1397,'Справочник соответствий'!A$2:D$2981,3,FALSE)))</f>
        <v>ЭТАЖ ЗАДАН ЧИСЛОМ</v>
      </c>
      <c r="M1397" s="13" t="b">
        <f t="shared" si="148"/>
        <v>0</v>
      </c>
      <c r="N1397" s="13">
        <f t="shared" si="149"/>
        <v>1</v>
      </c>
      <c r="O1397" s="13" t="str">
        <f t="shared" si="150"/>
        <v>ЭТАЖ ЗАДАН ЧИСЛОМ</v>
      </c>
      <c r="P1397" s="13" t="str">
        <f t="shared" si="151"/>
        <v>ЭТАЖ ЗАДАН ЧИСЛОМ</v>
      </c>
      <c r="Q1397" s="13" t="str">
        <f t="shared" si="152"/>
        <v>ГОТОВ_ИЗМЕНЕН</v>
      </c>
      <c r="R1397" s="13">
        <f>IFERROR(VLOOKUP(P1397,Лист1!A$1:B$20,2,FALSE),0)</f>
        <v>784</v>
      </c>
      <c r="S1397" s="13">
        <f t="shared" si="153"/>
        <v>0</v>
      </c>
    </row>
    <row r="1398" spans="1:19" x14ac:dyDescent="0.25">
      <c r="A1398" s="24" t="s">
        <v>2518</v>
      </c>
      <c r="B1398" s="4" t="s">
        <v>1059</v>
      </c>
      <c r="C1398" s="25" t="s">
        <v>8</v>
      </c>
      <c r="D1398" s="25" t="s">
        <v>5</v>
      </c>
      <c r="G1398" s="25" t="s">
        <v>1072</v>
      </c>
      <c r="H1398" s="24" t="s">
        <v>1061</v>
      </c>
      <c r="I1398" s="3" t="str">
        <f>IFERROR(VLOOKUP(C1398,'Справочник соответствий'!A$2:D$2981,2,FALSE),IF(VALUE(C1398)=0,1,VLOOKUP(C1398,'Справочник соответствий'!A$2:D$2981,2,FALSE)))</f>
        <v>3</v>
      </c>
      <c r="J1398" s="3" t="str">
        <f>IFERROR(VLOOKUP(D1398,'Справочник соответствий'!A$2:D$2981,2,FALSE),IF(VALUE(D1398)=0,0,VLOOKUP(D1398,'Справочник соответствий'!A$2:D$2981,2,FALSE)))</f>
        <v>1</v>
      </c>
      <c r="K1398" s="3" t="str">
        <f t="shared" si="147"/>
        <v>3</v>
      </c>
      <c r="L1398" s="13" t="str">
        <f>IFERROR(VLOOKUP(C1398,'Справочник соответствий'!A$2:D$2981,3,FALSE),IF(VALUE(C1398)=0,"ЭТАЖ НЕ ОПРЕДЕЛЕН. ПРИНЯТ ПО ДОПУЩЕНИЮ 1",VLOOKUP(C1398,'Справочник соответствий'!A$2:D$2981,3,FALSE)))</f>
        <v>ЭТАЖ ЗАДАН ЧИСЛОМ</v>
      </c>
      <c r="M1398" s="13" t="b">
        <f t="shared" si="148"/>
        <v>0</v>
      </c>
      <c r="N1398" s="13">
        <f t="shared" si="149"/>
        <v>3</v>
      </c>
      <c r="O1398" s="13" t="str">
        <f t="shared" si="150"/>
        <v>ЭТАЖ ЗАДАН ЧИСЛОМ</v>
      </c>
      <c r="P1398" s="13" t="str">
        <f t="shared" si="151"/>
        <v>ЭТАЖ ЗАДАН ЧИСЛОМ</v>
      </c>
      <c r="Q1398" s="13" t="str">
        <f t="shared" si="152"/>
        <v>ГОТОВ_ИЗМЕНЕН</v>
      </c>
      <c r="R1398" s="13">
        <f>IFERROR(VLOOKUP(P1398,Лист1!A$1:B$20,2,FALSE),0)</f>
        <v>784</v>
      </c>
      <c r="S1398" s="13">
        <f t="shared" si="153"/>
        <v>0</v>
      </c>
    </row>
    <row r="1399" spans="1:19" x14ac:dyDescent="0.25">
      <c r="A1399" s="24" t="s">
        <v>2519</v>
      </c>
      <c r="B1399" s="4" t="s">
        <v>1059</v>
      </c>
      <c r="C1399" s="25" t="s">
        <v>5</v>
      </c>
      <c r="G1399" s="25" t="s">
        <v>1328</v>
      </c>
      <c r="H1399" s="24" t="s">
        <v>1061</v>
      </c>
      <c r="I1399" s="3" t="str">
        <f>IFERROR(VLOOKUP(C1399,'Справочник соответствий'!A$2:D$2981,2,FALSE),IF(VALUE(C1399)=0,1,VLOOKUP(C1399,'Справочник соответствий'!A$2:D$2981,2,FALSE)))</f>
        <v>1</v>
      </c>
      <c r="J1399" s="3">
        <f>IFERROR(VLOOKUP(D1399,'Справочник соответствий'!A$2:D$2981,2,FALSE),IF(VALUE(D1399)=0,0,VLOOKUP(D1399,'Справочник соответствий'!A$2:D$2981,2,FALSE)))</f>
        <v>0</v>
      </c>
      <c r="K1399" s="3" t="str">
        <f t="shared" si="147"/>
        <v>1</v>
      </c>
      <c r="L1399" s="13" t="str">
        <f>IFERROR(VLOOKUP(C1399,'Справочник соответствий'!A$2:D$2981,3,FALSE),IF(VALUE(C1399)=0,"ЭТАЖ НЕ ОПРЕДЕЛЕН. ПРИНЯТ ПО ДОПУЩЕНИЮ 1",VLOOKUP(C1399,'Справочник соответствий'!A$2:D$2981,3,FALSE)))</f>
        <v>ЭТАЖ ЗАДАН ЧИСЛОМ</v>
      </c>
      <c r="M1399" s="13" t="b">
        <f t="shared" si="148"/>
        <v>0</v>
      </c>
      <c r="N1399" s="13">
        <f t="shared" si="149"/>
        <v>1</v>
      </c>
      <c r="O1399" s="13" t="str">
        <f t="shared" si="150"/>
        <v>ЭТАЖ ЗАДАН ЧИСЛОМ</v>
      </c>
      <c r="P1399" s="13" t="str">
        <f t="shared" si="151"/>
        <v>ЭТАЖ ЗАДАН ЧИСЛОМ</v>
      </c>
      <c r="Q1399" s="13" t="str">
        <f t="shared" si="152"/>
        <v>ГОТОВ_ИЗМЕНЕН</v>
      </c>
      <c r="R1399" s="13">
        <f>IFERROR(VLOOKUP(P1399,Лист1!A$1:B$20,2,FALSE),0)</f>
        <v>784</v>
      </c>
      <c r="S1399" s="13">
        <f t="shared" si="153"/>
        <v>0</v>
      </c>
    </row>
    <row r="1400" spans="1:19" x14ac:dyDescent="0.25">
      <c r="A1400" s="24" t="s">
        <v>2520</v>
      </c>
      <c r="B1400" s="4" t="s">
        <v>1063</v>
      </c>
      <c r="C1400" s="25" t="s">
        <v>5</v>
      </c>
      <c r="G1400" s="25" t="s">
        <v>1347</v>
      </c>
      <c r="H1400" s="24" t="s">
        <v>1061</v>
      </c>
      <c r="I1400" s="3" t="str">
        <f>IFERROR(VLOOKUP(C1400,'Справочник соответствий'!A$2:D$2981,2,FALSE),IF(VALUE(C1400)=0,1,VLOOKUP(C1400,'Справочник соответствий'!A$2:D$2981,2,FALSE)))</f>
        <v>1</v>
      </c>
      <c r="J1400" s="3">
        <f>IFERROR(VLOOKUP(D1400,'Справочник соответствий'!A$2:D$2981,2,FALSE),IF(VALUE(D1400)=0,0,VLOOKUP(D1400,'Справочник соответствий'!A$2:D$2981,2,FALSE)))</f>
        <v>0</v>
      </c>
      <c r="K1400" s="3" t="str">
        <f t="shared" si="147"/>
        <v>1</v>
      </c>
      <c r="L1400" s="13" t="str">
        <f>IFERROR(VLOOKUP(C1400,'Справочник соответствий'!A$2:D$2981,3,FALSE),IF(VALUE(C1400)=0,"ЭТАЖ НЕ ОПРЕДЕЛЕН. ПРИНЯТ ПО ДОПУЩЕНИЮ 1",VLOOKUP(C1400,'Справочник соответствий'!A$2:D$2981,3,FALSE)))</f>
        <v>ЭТАЖ ЗАДАН ЧИСЛОМ</v>
      </c>
      <c r="M1400" s="13" t="b">
        <f t="shared" si="148"/>
        <v>0</v>
      </c>
      <c r="N1400" s="13">
        <f t="shared" si="149"/>
        <v>1</v>
      </c>
      <c r="O1400" s="13" t="str">
        <f t="shared" si="150"/>
        <v>ЭТАЖ ЗАДАН ЧИСЛОМ</v>
      </c>
      <c r="P1400" s="13" t="str">
        <f t="shared" si="151"/>
        <v>ЭТАЖ ЗАДАН ЧИСЛОМ</v>
      </c>
      <c r="Q1400" s="13" t="str">
        <f t="shared" si="152"/>
        <v>ГОТОВ_ИЗМЕНЕН</v>
      </c>
      <c r="R1400" s="13">
        <f>IFERROR(VLOOKUP(P1400,Лист1!A$1:B$20,2,FALSE),0)</f>
        <v>784</v>
      </c>
      <c r="S1400" s="13">
        <f t="shared" si="153"/>
        <v>0</v>
      </c>
    </row>
    <row r="1401" spans="1:19" x14ac:dyDescent="0.25">
      <c r="A1401" s="24" t="s">
        <v>2521</v>
      </c>
      <c r="B1401" s="4" t="s">
        <v>1059</v>
      </c>
      <c r="C1401" s="25" t="s">
        <v>7</v>
      </c>
      <c r="G1401" s="25" t="s">
        <v>1072</v>
      </c>
      <c r="H1401" s="24" t="s">
        <v>1061</v>
      </c>
      <c r="I1401" s="3" t="str">
        <f>IFERROR(VLOOKUP(C1401,'Справочник соответствий'!A$2:D$2981,2,FALSE),IF(VALUE(C1401)=0,1,VLOOKUP(C1401,'Справочник соответствий'!A$2:D$2981,2,FALSE)))</f>
        <v>2</v>
      </c>
      <c r="J1401" s="3">
        <f>IFERROR(VLOOKUP(D1401,'Справочник соответствий'!A$2:D$2981,2,FALSE),IF(VALUE(D1401)=0,0,VLOOKUP(D1401,'Справочник соответствий'!A$2:D$2981,2,FALSE)))</f>
        <v>0</v>
      </c>
      <c r="K1401" s="3" t="str">
        <f t="shared" si="147"/>
        <v>2</v>
      </c>
      <c r="L1401" s="13" t="str">
        <f>IFERROR(VLOOKUP(C1401,'Справочник соответствий'!A$2:D$2981,3,FALSE),IF(VALUE(C1401)=0,"ЭТАЖ НЕ ОПРЕДЕЛЕН. ПРИНЯТ ПО ДОПУЩЕНИЮ 1",VLOOKUP(C1401,'Справочник соответствий'!A$2:D$2981,3,FALSE)))</f>
        <v>ЭТАЖ ЗАДАН ЧИСЛОМ</v>
      </c>
      <c r="M1401" s="13" t="b">
        <f t="shared" si="148"/>
        <v>0</v>
      </c>
      <c r="N1401" s="13">
        <f t="shared" si="149"/>
        <v>2</v>
      </c>
      <c r="O1401" s="13" t="str">
        <f t="shared" si="150"/>
        <v>ЭТАЖ ЗАДАН ЧИСЛОМ</v>
      </c>
      <c r="P1401" s="13" t="str">
        <f t="shared" si="151"/>
        <v>ЭТАЖ ЗАДАН ЧИСЛОМ</v>
      </c>
      <c r="Q1401" s="13" t="str">
        <f t="shared" si="152"/>
        <v>ГОТОВ_ИЗМЕНЕН</v>
      </c>
      <c r="R1401" s="13">
        <f>IFERROR(VLOOKUP(P1401,Лист1!A$1:B$20,2,FALSE),0)</f>
        <v>784</v>
      </c>
      <c r="S1401" s="13">
        <f t="shared" si="153"/>
        <v>0</v>
      </c>
    </row>
    <row r="1402" spans="1:19" x14ac:dyDescent="0.25">
      <c r="A1402" s="24" t="s">
        <v>2522</v>
      </c>
      <c r="B1402" s="4" t="s">
        <v>1059</v>
      </c>
      <c r="C1402" s="25" t="s">
        <v>5</v>
      </c>
      <c r="G1402" s="25" t="s">
        <v>1072</v>
      </c>
      <c r="H1402" s="24" t="s">
        <v>1061</v>
      </c>
      <c r="I1402" s="3" t="str">
        <f>IFERROR(VLOOKUP(C1402,'Справочник соответствий'!A$2:D$2981,2,FALSE),IF(VALUE(C1402)=0,1,VLOOKUP(C1402,'Справочник соответствий'!A$2:D$2981,2,FALSE)))</f>
        <v>1</v>
      </c>
      <c r="J1402" s="3">
        <f>IFERROR(VLOOKUP(D1402,'Справочник соответствий'!A$2:D$2981,2,FALSE),IF(VALUE(D1402)=0,0,VLOOKUP(D1402,'Справочник соответствий'!A$2:D$2981,2,FALSE)))</f>
        <v>0</v>
      </c>
      <c r="K1402" s="3" t="str">
        <f t="shared" si="147"/>
        <v>1</v>
      </c>
      <c r="L1402" s="13" t="str">
        <f>IFERROR(VLOOKUP(C1402,'Справочник соответствий'!A$2:D$2981,3,FALSE),IF(VALUE(C1402)=0,"ЭТАЖ НЕ ОПРЕДЕЛЕН. ПРИНЯТ ПО ДОПУЩЕНИЮ 1",VLOOKUP(C1402,'Справочник соответствий'!A$2:D$2981,3,FALSE)))</f>
        <v>ЭТАЖ ЗАДАН ЧИСЛОМ</v>
      </c>
      <c r="M1402" s="13" t="b">
        <f t="shared" si="148"/>
        <v>0</v>
      </c>
      <c r="N1402" s="13">
        <f t="shared" si="149"/>
        <v>1</v>
      </c>
      <c r="O1402" s="13" t="str">
        <f t="shared" si="150"/>
        <v>ЭТАЖ ЗАДАН ЧИСЛОМ</v>
      </c>
      <c r="P1402" s="13" t="str">
        <f t="shared" si="151"/>
        <v>ЭТАЖ ЗАДАН ЧИСЛОМ</v>
      </c>
      <c r="Q1402" s="13" t="str">
        <f t="shared" si="152"/>
        <v>ГОТОВ_ИЗМЕНЕН</v>
      </c>
      <c r="R1402" s="13">
        <f>IFERROR(VLOOKUP(P1402,Лист1!A$1:B$20,2,FALSE),0)</f>
        <v>784</v>
      </c>
      <c r="S1402" s="13">
        <f t="shared" si="153"/>
        <v>0</v>
      </c>
    </row>
    <row r="1403" spans="1:19" x14ac:dyDescent="0.25">
      <c r="A1403" s="24" t="s">
        <v>2523</v>
      </c>
      <c r="B1403" s="4" t="s">
        <v>1063</v>
      </c>
      <c r="C1403" s="25" t="s">
        <v>5</v>
      </c>
      <c r="G1403" s="25" t="s">
        <v>1276</v>
      </c>
      <c r="H1403" s="24" t="s">
        <v>1061</v>
      </c>
      <c r="I1403" s="3" t="str">
        <f>IFERROR(VLOOKUP(C1403,'Справочник соответствий'!A$2:D$2981,2,FALSE),IF(VALUE(C1403)=0,1,VLOOKUP(C1403,'Справочник соответствий'!A$2:D$2981,2,FALSE)))</f>
        <v>1</v>
      </c>
      <c r="J1403" s="3">
        <f>IFERROR(VLOOKUP(D1403,'Справочник соответствий'!A$2:D$2981,2,FALSE),IF(VALUE(D1403)=0,0,VLOOKUP(D1403,'Справочник соответствий'!A$2:D$2981,2,FALSE)))</f>
        <v>0</v>
      </c>
      <c r="K1403" s="3" t="str">
        <f t="shared" si="147"/>
        <v>1</v>
      </c>
      <c r="L1403" s="13" t="str">
        <f>IFERROR(VLOOKUP(C1403,'Справочник соответствий'!A$2:D$2981,3,FALSE),IF(VALUE(C1403)=0,"ЭТАЖ НЕ ОПРЕДЕЛЕН. ПРИНЯТ ПО ДОПУЩЕНИЮ 1",VLOOKUP(C1403,'Справочник соответствий'!A$2:D$2981,3,FALSE)))</f>
        <v>ЭТАЖ ЗАДАН ЧИСЛОМ</v>
      </c>
      <c r="M1403" s="13" t="b">
        <f t="shared" si="148"/>
        <v>0</v>
      </c>
      <c r="N1403" s="13">
        <f t="shared" si="149"/>
        <v>1</v>
      </c>
      <c r="O1403" s="13" t="str">
        <f t="shared" si="150"/>
        <v>ЭТАЖ ЗАДАН ЧИСЛОМ</v>
      </c>
      <c r="P1403" s="13" t="str">
        <f t="shared" si="151"/>
        <v>ЭТАЖ ЗАДАН ЧИСЛОМ</v>
      </c>
      <c r="Q1403" s="13" t="str">
        <f t="shared" si="152"/>
        <v>ГОТОВ_ИЗМЕНЕН</v>
      </c>
      <c r="R1403" s="13">
        <f>IFERROR(VLOOKUP(P1403,Лист1!A$1:B$20,2,FALSE),0)</f>
        <v>784</v>
      </c>
      <c r="S1403" s="13">
        <f t="shared" si="153"/>
        <v>0</v>
      </c>
    </row>
    <row r="1404" spans="1:19" x14ac:dyDescent="0.25">
      <c r="A1404" s="24" t="s">
        <v>2524</v>
      </c>
      <c r="B1404" s="4" t="s">
        <v>1059</v>
      </c>
      <c r="C1404" s="25" t="s">
        <v>5</v>
      </c>
      <c r="G1404" s="25" t="s">
        <v>1391</v>
      </c>
      <c r="H1404" s="24" t="s">
        <v>1061</v>
      </c>
      <c r="I1404" s="3" t="str">
        <f>IFERROR(VLOOKUP(C1404,'Справочник соответствий'!A$2:D$2981,2,FALSE),IF(VALUE(C1404)=0,1,VLOOKUP(C1404,'Справочник соответствий'!A$2:D$2981,2,FALSE)))</f>
        <v>1</v>
      </c>
      <c r="J1404" s="3">
        <f>IFERROR(VLOOKUP(D1404,'Справочник соответствий'!A$2:D$2981,2,FALSE),IF(VALUE(D1404)=0,0,VLOOKUP(D1404,'Справочник соответствий'!A$2:D$2981,2,FALSE)))</f>
        <v>0</v>
      </c>
      <c r="K1404" s="3" t="str">
        <f t="shared" si="147"/>
        <v>1</v>
      </c>
      <c r="L1404" s="13" t="str">
        <f>IFERROR(VLOOKUP(C1404,'Справочник соответствий'!A$2:D$2981,3,FALSE),IF(VALUE(C1404)=0,"ЭТАЖ НЕ ОПРЕДЕЛЕН. ПРИНЯТ ПО ДОПУЩЕНИЮ 1",VLOOKUP(C1404,'Справочник соответствий'!A$2:D$2981,3,FALSE)))</f>
        <v>ЭТАЖ ЗАДАН ЧИСЛОМ</v>
      </c>
      <c r="M1404" s="13" t="b">
        <f t="shared" si="148"/>
        <v>0</v>
      </c>
      <c r="N1404" s="13">
        <f t="shared" si="149"/>
        <v>1</v>
      </c>
      <c r="O1404" s="13" t="str">
        <f t="shared" si="150"/>
        <v>ЭТАЖ ЗАДАН ЧИСЛОМ</v>
      </c>
      <c r="P1404" s="13" t="str">
        <f t="shared" si="151"/>
        <v>ЭТАЖ ЗАДАН ЧИСЛОМ</v>
      </c>
      <c r="Q1404" s="13" t="str">
        <f t="shared" si="152"/>
        <v>ГОТОВ_ИЗМЕНЕН</v>
      </c>
      <c r="R1404" s="13">
        <f>IFERROR(VLOOKUP(P1404,Лист1!A$1:B$20,2,FALSE),0)</f>
        <v>784</v>
      </c>
      <c r="S1404" s="13">
        <f t="shared" si="153"/>
        <v>0</v>
      </c>
    </row>
    <row r="1405" spans="1:19" x14ac:dyDescent="0.25">
      <c r="A1405" s="24" t="s">
        <v>2525</v>
      </c>
      <c r="B1405" s="4" t="s">
        <v>1063</v>
      </c>
      <c r="C1405" s="25" t="s">
        <v>11</v>
      </c>
      <c r="D1405" s="25" t="s">
        <v>5</v>
      </c>
      <c r="G1405" s="25" t="s">
        <v>1276</v>
      </c>
      <c r="H1405" s="24" t="s">
        <v>1061</v>
      </c>
      <c r="I1405" s="3" t="str">
        <f>IFERROR(VLOOKUP(C1405,'Справочник соответствий'!A$2:D$2981,2,FALSE),IF(VALUE(C1405)=0,1,VLOOKUP(C1405,'Справочник соответствий'!A$2:D$2981,2,FALSE)))</f>
        <v>6</v>
      </c>
      <c r="J1405" s="3" t="str">
        <f>IFERROR(VLOOKUP(D1405,'Справочник соответствий'!A$2:D$2981,2,FALSE),IF(VALUE(D1405)=0,0,VLOOKUP(D1405,'Справочник соответствий'!A$2:D$2981,2,FALSE)))</f>
        <v>1</v>
      </c>
      <c r="K1405" s="3" t="str">
        <f t="shared" si="147"/>
        <v>6</v>
      </c>
      <c r="L1405" s="13" t="str">
        <f>IFERROR(VLOOKUP(C1405,'Справочник соответствий'!A$2:D$2981,3,FALSE),IF(VALUE(C1405)=0,"ЭТАЖ НЕ ОПРЕДЕЛЕН. ПРИНЯТ ПО ДОПУЩЕНИЮ 1",VLOOKUP(C1405,'Справочник соответствий'!A$2:D$2981,3,FALSE)))</f>
        <v>ЭТАЖ ЗАДАН ЧИСЛОМ</v>
      </c>
      <c r="M1405" s="13" t="b">
        <f t="shared" si="148"/>
        <v>0</v>
      </c>
      <c r="N1405" s="13">
        <f t="shared" si="149"/>
        <v>6</v>
      </c>
      <c r="O1405" s="13" t="str">
        <f t="shared" si="150"/>
        <v>ЭТАЖ ЗАДАН ЧИСЛОМ</v>
      </c>
      <c r="P1405" s="13" t="str">
        <f t="shared" si="151"/>
        <v>ЭТАЖ ЗАДАН ЧИСЛОМ</v>
      </c>
      <c r="Q1405" s="13" t="str">
        <f t="shared" si="152"/>
        <v>ГОТОВ_ИЗМЕНЕН</v>
      </c>
      <c r="R1405" s="13">
        <f>IFERROR(VLOOKUP(P1405,Лист1!A$1:B$20,2,FALSE),0)</f>
        <v>784</v>
      </c>
      <c r="S1405" s="13">
        <f t="shared" si="153"/>
        <v>0</v>
      </c>
    </row>
    <row r="1406" spans="1:19" x14ac:dyDescent="0.25">
      <c r="A1406" s="24" t="s">
        <v>2526</v>
      </c>
      <c r="B1406" s="4" t="s">
        <v>1059</v>
      </c>
      <c r="C1406" s="25" t="s">
        <v>7</v>
      </c>
      <c r="G1406" s="25" t="s">
        <v>1328</v>
      </c>
      <c r="H1406" s="24" t="s">
        <v>1061</v>
      </c>
      <c r="I1406" s="3" t="str">
        <f>IFERROR(VLOOKUP(C1406,'Справочник соответствий'!A$2:D$2981,2,FALSE),IF(VALUE(C1406)=0,1,VLOOKUP(C1406,'Справочник соответствий'!A$2:D$2981,2,FALSE)))</f>
        <v>2</v>
      </c>
      <c r="J1406" s="3">
        <f>IFERROR(VLOOKUP(D1406,'Справочник соответствий'!A$2:D$2981,2,FALSE),IF(VALUE(D1406)=0,0,VLOOKUP(D1406,'Справочник соответствий'!A$2:D$2981,2,FALSE)))</f>
        <v>0</v>
      </c>
      <c r="K1406" s="3" t="str">
        <f t="shared" si="147"/>
        <v>2</v>
      </c>
      <c r="L1406" s="13" t="str">
        <f>IFERROR(VLOOKUP(C1406,'Справочник соответствий'!A$2:D$2981,3,FALSE),IF(VALUE(C1406)=0,"ЭТАЖ НЕ ОПРЕДЕЛЕН. ПРИНЯТ ПО ДОПУЩЕНИЮ 1",VLOOKUP(C1406,'Справочник соответствий'!A$2:D$2981,3,FALSE)))</f>
        <v>ЭТАЖ ЗАДАН ЧИСЛОМ</v>
      </c>
      <c r="M1406" s="13" t="b">
        <f t="shared" si="148"/>
        <v>0</v>
      </c>
      <c r="N1406" s="13">
        <f t="shared" si="149"/>
        <v>2</v>
      </c>
      <c r="O1406" s="13" t="str">
        <f t="shared" si="150"/>
        <v>ЭТАЖ ЗАДАН ЧИСЛОМ</v>
      </c>
      <c r="P1406" s="13" t="str">
        <f t="shared" si="151"/>
        <v>ЭТАЖ ЗАДАН ЧИСЛОМ</v>
      </c>
      <c r="Q1406" s="13" t="str">
        <f t="shared" si="152"/>
        <v>ГОТОВ_ИЗМЕНЕН</v>
      </c>
      <c r="R1406" s="13">
        <f>IFERROR(VLOOKUP(P1406,Лист1!A$1:B$20,2,FALSE),0)</f>
        <v>784</v>
      </c>
      <c r="S1406" s="13">
        <f t="shared" si="153"/>
        <v>0</v>
      </c>
    </row>
    <row r="1407" spans="1:19" x14ac:dyDescent="0.25">
      <c r="A1407" s="24" t="s">
        <v>2527</v>
      </c>
      <c r="B1407" s="4" t="s">
        <v>1063</v>
      </c>
      <c r="C1407" s="25" t="s">
        <v>5</v>
      </c>
      <c r="G1407" s="25" t="s">
        <v>1072</v>
      </c>
      <c r="H1407" s="24" t="s">
        <v>1061</v>
      </c>
      <c r="I1407" s="3" t="str">
        <f>IFERROR(VLOOKUP(C1407,'Справочник соответствий'!A$2:D$2981,2,FALSE),IF(VALUE(C1407)=0,1,VLOOKUP(C1407,'Справочник соответствий'!A$2:D$2981,2,FALSE)))</f>
        <v>1</v>
      </c>
      <c r="J1407" s="3">
        <f>IFERROR(VLOOKUP(D1407,'Справочник соответствий'!A$2:D$2981,2,FALSE),IF(VALUE(D1407)=0,0,VLOOKUP(D1407,'Справочник соответствий'!A$2:D$2981,2,FALSE)))</f>
        <v>0</v>
      </c>
      <c r="K1407" s="3" t="str">
        <f t="shared" si="147"/>
        <v>1</v>
      </c>
      <c r="L1407" s="13" t="str">
        <f>IFERROR(VLOOKUP(C1407,'Справочник соответствий'!A$2:D$2981,3,FALSE),IF(VALUE(C1407)=0,"ЭТАЖ НЕ ОПРЕДЕЛЕН. ПРИНЯТ ПО ДОПУЩЕНИЮ 1",VLOOKUP(C1407,'Справочник соответствий'!A$2:D$2981,3,FALSE)))</f>
        <v>ЭТАЖ ЗАДАН ЧИСЛОМ</v>
      </c>
      <c r="M1407" s="13" t="b">
        <f t="shared" si="148"/>
        <v>0</v>
      </c>
      <c r="N1407" s="13">
        <f t="shared" si="149"/>
        <v>1</v>
      </c>
      <c r="O1407" s="13" t="str">
        <f t="shared" si="150"/>
        <v>ЭТАЖ ЗАДАН ЧИСЛОМ</v>
      </c>
      <c r="P1407" s="13" t="str">
        <f t="shared" si="151"/>
        <v>ЭТАЖ ЗАДАН ЧИСЛОМ</v>
      </c>
      <c r="Q1407" s="13" t="str">
        <f t="shared" si="152"/>
        <v>ГОТОВ_ИЗМЕНЕН</v>
      </c>
      <c r="R1407" s="13">
        <f>IFERROR(VLOOKUP(P1407,Лист1!A$1:B$20,2,FALSE),0)</f>
        <v>784</v>
      </c>
      <c r="S1407" s="13">
        <f t="shared" si="153"/>
        <v>0</v>
      </c>
    </row>
    <row r="1408" spans="1:19" x14ac:dyDescent="0.25">
      <c r="A1408" s="24" t="s">
        <v>2528</v>
      </c>
      <c r="B1408" s="4" t="s">
        <v>1059</v>
      </c>
      <c r="C1408" s="25" t="s">
        <v>5</v>
      </c>
      <c r="G1408" s="25" t="s">
        <v>1321</v>
      </c>
      <c r="H1408" s="24" t="s">
        <v>1061</v>
      </c>
      <c r="I1408" s="3" t="str">
        <f>IFERROR(VLOOKUP(C1408,'Справочник соответствий'!A$2:D$2981,2,FALSE),IF(VALUE(C1408)=0,1,VLOOKUP(C1408,'Справочник соответствий'!A$2:D$2981,2,FALSE)))</f>
        <v>1</v>
      </c>
      <c r="J1408" s="3">
        <f>IFERROR(VLOOKUP(D1408,'Справочник соответствий'!A$2:D$2981,2,FALSE),IF(VALUE(D1408)=0,0,VLOOKUP(D1408,'Справочник соответствий'!A$2:D$2981,2,FALSE)))</f>
        <v>0</v>
      </c>
      <c r="K1408" s="3" t="str">
        <f t="shared" si="147"/>
        <v>1</v>
      </c>
      <c r="L1408" s="13" t="str">
        <f>IFERROR(VLOOKUP(C1408,'Справочник соответствий'!A$2:D$2981,3,FALSE),IF(VALUE(C1408)=0,"ЭТАЖ НЕ ОПРЕДЕЛЕН. ПРИНЯТ ПО ДОПУЩЕНИЮ 1",VLOOKUP(C1408,'Справочник соответствий'!A$2:D$2981,3,FALSE)))</f>
        <v>ЭТАЖ ЗАДАН ЧИСЛОМ</v>
      </c>
      <c r="M1408" s="13" t="b">
        <f t="shared" si="148"/>
        <v>0</v>
      </c>
      <c r="N1408" s="13">
        <f t="shared" si="149"/>
        <v>1</v>
      </c>
      <c r="O1408" s="13" t="str">
        <f t="shared" si="150"/>
        <v>ЭТАЖ ЗАДАН ЧИСЛОМ</v>
      </c>
      <c r="P1408" s="13" t="str">
        <f t="shared" si="151"/>
        <v>ЭТАЖ ЗАДАН ЧИСЛОМ</v>
      </c>
      <c r="Q1408" s="13" t="str">
        <f t="shared" si="152"/>
        <v>ГОТОВ_ИЗМЕНЕН</v>
      </c>
      <c r="R1408" s="13">
        <f>IFERROR(VLOOKUP(P1408,Лист1!A$1:B$20,2,FALSE),0)</f>
        <v>784</v>
      </c>
      <c r="S1408" s="13">
        <f t="shared" si="153"/>
        <v>0</v>
      </c>
    </row>
    <row r="1409" spans="1:19" x14ac:dyDescent="0.25">
      <c r="A1409" s="24" t="s">
        <v>2529</v>
      </c>
      <c r="B1409" s="4" t="s">
        <v>1059</v>
      </c>
      <c r="C1409" s="25" t="s">
        <v>8</v>
      </c>
      <c r="G1409" s="25" t="s">
        <v>1072</v>
      </c>
      <c r="H1409" s="24" t="s">
        <v>1061</v>
      </c>
      <c r="I1409" s="3" t="str">
        <f>IFERROR(VLOOKUP(C1409,'Справочник соответствий'!A$2:D$2981,2,FALSE),IF(VALUE(C1409)=0,1,VLOOKUP(C1409,'Справочник соответствий'!A$2:D$2981,2,FALSE)))</f>
        <v>3</v>
      </c>
      <c r="J1409" s="3">
        <f>IFERROR(VLOOKUP(D1409,'Справочник соответствий'!A$2:D$2981,2,FALSE),IF(VALUE(D1409)=0,0,VLOOKUP(D1409,'Справочник соответствий'!A$2:D$2981,2,FALSE)))</f>
        <v>0</v>
      </c>
      <c r="K1409" s="3" t="str">
        <f t="shared" si="147"/>
        <v>3</v>
      </c>
      <c r="L1409" s="13" t="str">
        <f>IFERROR(VLOOKUP(C1409,'Справочник соответствий'!A$2:D$2981,3,FALSE),IF(VALUE(C1409)=0,"ЭТАЖ НЕ ОПРЕДЕЛЕН. ПРИНЯТ ПО ДОПУЩЕНИЮ 1",VLOOKUP(C1409,'Справочник соответствий'!A$2:D$2981,3,FALSE)))</f>
        <v>ЭТАЖ ЗАДАН ЧИСЛОМ</v>
      </c>
      <c r="M1409" s="13" t="b">
        <f t="shared" si="148"/>
        <v>0</v>
      </c>
      <c r="N1409" s="13">
        <f t="shared" si="149"/>
        <v>3</v>
      </c>
      <c r="O1409" s="13" t="str">
        <f t="shared" si="150"/>
        <v>ЭТАЖ ЗАДАН ЧИСЛОМ</v>
      </c>
      <c r="P1409" s="13" t="str">
        <f t="shared" si="151"/>
        <v>ЭТАЖ ЗАДАН ЧИСЛОМ</v>
      </c>
      <c r="Q1409" s="13" t="str">
        <f t="shared" si="152"/>
        <v>ГОТОВ_ИЗМЕНЕН</v>
      </c>
      <c r="R1409" s="13">
        <f>IFERROR(VLOOKUP(P1409,Лист1!A$1:B$20,2,FALSE),0)</f>
        <v>784</v>
      </c>
      <c r="S1409" s="13">
        <f t="shared" si="153"/>
        <v>0</v>
      </c>
    </row>
    <row r="1410" spans="1:19" x14ac:dyDescent="0.25">
      <c r="A1410" s="24" t="s">
        <v>2530</v>
      </c>
      <c r="B1410" s="4" t="s">
        <v>1059</v>
      </c>
      <c r="C1410" s="25" t="s">
        <v>5</v>
      </c>
      <c r="G1410" s="25" t="s">
        <v>1106</v>
      </c>
      <c r="H1410" s="24" t="s">
        <v>1061</v>
      </c>
      <c r="I1410" s="3" t="str">
        <f>IFERROR(VLOOKUP(C1410,'Справочник соответствий'!A$2:D$2981,2,FALSE),IF(VALUE(C1410)=0,1,VLOOKUP(C1410,'Справочник соответствий'!A$2:D$2981,2,FALSE)))</f>
        <v>1</v>
      </c>
      <c r="J1410" s="3">
        <f>IFERROR(VLOOKUP(D1410,'Справочник соответствий'!A$2:D$2981,2,FALSE),IF(VALUE(D1410)=0,0,VLOOKUP(D1410,'Справочник соответствий'!A$2:D$2981,2,FALSE)))</f>
        <v>0</v>
      </c>
      <c r="K1410" s="3" t="str">
        <f t="shared" si="147"/>
        <v>1</v>
      </c>
      <c r="L1410" s="13" t="str">
        <f>IFERROR(VLOOKUP(C1410,'Справочник соответствий'!A$2:D$2981,3,FALSE),IF(VALUE(C1410)=0,"ЭТАЖ НЕ ОПРЕДЕЛЕН. ПРИНЯТ ПО ДОПУЩЕНИЮ 1",VLOOKUP(C1410,'Справочник соответствий'!A$2:D$2981,3,FALSE)))</f>
        <v>ЭТАЖ ЗАДАН ЧИСЛОМ</v>
      </c>
      <c r="M1410" s="13" t="b">
        <f t="shared" si="148"/>
        <v>0</v>
      </c>
      <c r="N1410" s="13">
        <f t="shared" si="149"/>
        <v>1</v>
      </c>
      <c r="O1410" s="13" t="str">
        <f t="shared" si="150"/>
        <v>ЭТАЖ ЗАДАН ЧИСЛОМ</v>
      </c>
      <c r="P1410" s="13" t="str">
        <f t="shared" si="151"/>
        <v>ЭТАЖ ЗАДАН ЧИСЛОМ</v>
      </c>
      <c r="Q1410" s="13" t="str">
        <f t="shared" si="152"/>
        <v>ГОТОВ_ИЗМЕНЕН</v>
      </c>
      <c r="R1410" s="13">
        <f>IFERROR(VLOOKUP(P1410,Лист1!A$1:B$20,2,FALSE),0)</f>
        <v>784</v>
      </c>
      <c r="S1410" s="13">
        <f t="shared" si="153"/>
        <v>0</v>
      </c>
    </row>
    <row r="1411" spans="1:19" x14ac:dyDescent="0.25">
      <c r="A1411" s="24" t="s">
        <v>2531</v>
      </c>
      <c r="B1411" s="4" t="s">
        <v>1059</v>
      </c>
      <c r="C1411" s="25" t="s">
        <v>5</v>
      </c>
      <c r="G1411" s="25" t="s">
        <v>1106</v>
      </c>
      <c r="H1411" s="24" t="s">
        <v>1061</v>
      </c>
      <c r="I1411" s="3" t="str">
        <f>IFERROR(VLOOKUP(C1411,'Справочник соответствий'!A$2:D$2981,2,FALSE),IF(VALUE(C1411)=0,1,VLOOKUP(C1411,'Справочник соответствий'!A$2:D$2981,2,FALSE)))</f>
        <v>1</v>
      </c>
      <c r="J1411" s="3">
        <f>IFERROR(VLOOKUP(D1411,'Справочник соответствий'!A$2:D$2981,2,FALSE),IF(VALUE(D1411)=0,0,VLOOKUP(D1411,'Справочник соответствий'!A$2:D$2981,2,FALSE)))</f>
        <v>0</v>
      </c>
      <c r="K1411" s="3" t="str">
        <f t="shared" si="147"/>
        <v>1</v>
      </c>
      <c r="L1411" s="13" t="str">
        <f>IFERROR(VLOOKUP(C1411,'Справочник соответствий'!A$2:D$2981,3,FALSE),IF(VALUE(C1411)=0,"ЭТАЖ НЕ ОПРЕДЕЛЕН. ПРИНЯТ ПО ДОПУЩЕНИЮ 1",VLOOKUP(C1411,'Справочник соответствий'!A$2:D$2981,3,FALSE)))</f>
        <v>ЭТАЖ ЗАДАН ЧИСЛОМ</v>
      </c>
      <c r="M1411" s="13" t="b">
        <f t="shared" si="148"/>
        <v>0</v>
      </c>
      <c r="N1411" s="13">
        <f t="shared" si="149"/>
        <v>1</v>
      </c>
      <c r="O1411" s="13" t="str">
        <f t="shared" si="150"/>
        <v>ЭТАЖ ЗАДАН ЧИСЛОМ</v>
      </c>
      <c r="P1411" s="13" t="str">
        <f t="shared" si="151"/>
        <v>ЭТАЖ ЗАДАН ЧИСЛОМ</v>
      </c>
      <c r="Q1411" s="13" t="str">
        <f t="shared" si="152"/>
        <v>ГОТОВ_ИЗМЕНЕН</v>
      </c>
      <c r="R1411" s="13">
        <f>IFERROR(VLOOKUP(P1411,Лист1!A$1:B$20,2,FALSE),0)</f>
        <v>784</v>
      </c>
      <c r="S1411" s="13">
        <f t="shared" si="153"/>
        <v>0</v>
      </c>
    </row>
    <row r="1412" spans="1:19" x14ac:dyDescent="0.25">
      <c r="A1412" s="24" t="s">
        <v>2532</v>
      </c>
      <c r="B1412" s="4" t="s">
        <v>1059</v>
      </c>
      <c r="C1412" s="25" t="s">
        <v>5</v>
      </c>
      <c r="G1412" s="25" t="s">
        <v>1106</v>
      </c>
      <c r="H1412" s="24" t="s">
        <v>1061</v>
      </c>
      <c r="I1412" s="3" t="str">
        <f>IFERROR(VLOOKUP(C1412,'Справочник соответствий'!A$2:D$2981,2,FALSE),IF(VALUE(C1412)=0,1,VLOOKUP(C1412,'Справочник соответствий'!A$2:D$2981,2,FALSE)))</f>
        <v>1</v>
      </c>
      <c r="J1412" s="3">
        <f>IFERROR(VLOOKUP(D1412,'Справочник соответствий'!A$2:D$2981,2,FALSE),IF(VALUE(D1412)=0,0,VLOOKUP(D1412,'Справочник соответствий'!A$2:D$2981,2,FALSE)))</f>
        <v>0</v>
      </c>
      <c r="K1412" s="3" t="str">
        <f t="shared" si="147"/>
        <v>1</v>
      </c>
      <c r="L1412" s="13" t="str">
        <f>IFERROR(VLOOKUP(C1412,'Справочник соответствий'!A$2:D$2981,3,FALSE),IF(VALUE(C1412)=0,"ЭТАЖ НЕ ОПРЕДЕЛЕН. ПРИНЯТ ПО ДОПУЩЕНИЮ 1",VLOOKUP(C1412,'Справочник соответствий'!A$2:D$2981,3,FALSE)))</f>
        <v>ЭТАЖ ЗАДАН ЧИСЛОМ</v>
      </c>
      <c r="M1412" s="13" t="b">
        <f t="shared" si="148"/>
        <v>0</v>
      </c>
      <c r="N1412" s="13">
        <f t="shared" si="149"/>
        <v>1</v>
      </c>
      <c r="O1412" s="13" t="str">
        <f t="shared" si="150"/>
        <v>ЭТАЖ ЗАДАН ЧИСЛОМ</v>
      </c>
      <c r="P1412" s="13" t="str">
        <f t="shared" si="151"/>
        <v>ЭТАЖ ЗАДАН ЧИСЛОМ</v>
      </c>
      <c r="Q1412" s="13" t="str">
        <f t="shared" si="152"/>
        <v>ГОТОВ_ИЗМЕНЕН</v>
      </c>
      <c r="R1412" s="13">
        <f>IFERROR(VLOOKUP(P1412,Лист1!A$1:B$20,2,FALSE),0)</f>
        <v>784</v>
      </c>
      <c r="S1412" s="13">
        <f t="shared" si="153"/>
        <v>0</v>
      </c>
    </row>
    <row r="1413" spans="1:19" x14ac:dyDescent="0.25">
      <c r="A1413" s="24" t="s">
        <v>2533</v>
      </c>
      <c r="B1413" s="4" t="s">
        <v>1063</v>
      </c>
      <c r="C1413" s="25" t="s">
        <v>7</v>
      </c>
      <c r="G1413" s="25" t="s">
        <v>1289</v>
      </c>
      <c r="H1413" s="24" t="s">
        <v>1061</v>
      </c>
      <c r="I1413" s="3" t="str">
        <f>IFERROR(VLOOKUP(C1413,'Справочник соответствий'!A$2:D$2981,2,FALSE),IF(VALUE(C1413)=0,1,VLOOKUP(C1413,'Справочник соответствий'!A$2:D$2981,2,FALSE)))</f>
        <v>2</v>
      </c>
      <c r="J1413" s="3">
        <f>IFERROR(VLOOKUP(D1413,'Справочник соответствий'!A$2:D$2981,2,FALSE),IF(VALUE(D1413)=0,0,VLOOKUP(D1413,'Справочник соответствий'!A$2:D$2981,2,FALSE)))</f>
        <v>0</v>
      </c>
      <c r="K1413" s="3" t="str">
        <f t="shared" ref="K1413:K1476" si="154">IF(B1413="Многоквартирный дом",IF(I1413-J1413&gt;0,I1413-J1413,1),I1413)</f>
        <v>2</v>
      </c>
      <c r="L1413" s="13" t="str">
        <f>IFERROR(VLOOKUP(C1413,'Справочник соответствий'!A$2:D$2981,3,FALSE),IF(VALUE(C1413)=0,"ЭТАЖ НЕ ОПРЕДЕЛЕН. ПРИНЯТ ПО ДОПУЩЕНИЮ 1",VLOOKUP(C1413,'Справочник соответствий'!A$2:D$2981,3,FALSE)))</f>
        <v>ЭТАЖ ЗАДАН ЧИСЛОМ</v>
      </c>
      <c r="M1413" s="13" t="b">
        <f t="shared" ref="M1413:M1476" si="155">I1413=E1413</f>
        <v>0</v>
      </c>
      <c r="N1413" s="13">
        <f t="shared" ref="N1413:N1476" si="156">IF(VALUE(E1413)=0,VALUE(K1413),IF(L1413="ЭТАЖ НЕ ОПРЕДЕЛЕН. ПРИНЯТ ПО ДОПУЩЕНИЮ 1",VALUE(E1413),VALUE(K1413)))</f>
        <v>2</v>
      </c>
      <c r="O1413" s="13" t="str">
        <f t="shared" ref="O1413:O1476" si="157">IF(VALUE(E1413)=0,L1413,IF(L1413="ЭТАЖ НЕ ОПРЕДЕЛЕН. ПРИНЯТ ПО ДОПУЩЕНИЮ 1",F1413,L1413))</f>
        <v>ЭТАЖ ЗАДАН ЧИСЛОМ</v>
      </c>
      <c r="P1413" s="13" t="str">
        <f t="shared" ref="P1413:P1476" si="158">IF(B1413="Многоквартирный дом",CONCATENATE("МКД_",O1413),O1413)</f>
        <v>ЭТАЖ ЗАДАН ЧИСЛОМ</v>
      </c>
      <c r="Q1413" s="13" t="str">
        <f t="shared" ref="Q1413:Q1476" si="159">IFERROR(IF(N1413&gt;0,IF(N1413=VALUE(E1413),"ГОТОВ","ГОТОВ_ИЗМЕНЕН"),"НЕ ГОТОВ"),"НЕ ГОТОВ")</f>
        <v>ГОТОВ_ИЗМЕНЕН</v>
      </c>
      <c r="R1413" s="13">
        <f>IFERROR(VLOOKUP(P1413,Лист1!A$1:B$20,2,FALSE),0)</f>
        <v>784</v>
      </c>
      <c r="S1413" s="13">
        <f t="shared" ref="S1413:S1476" si="160">VALUE(E1413)</f>
        <v>0</v>
      </c>
    </row>
    <row r="1414" spans="1:19" x14ac:dyDescent="0.25">
      <c r="A1414" s="24" t="s">
        <v>2534</v>
      </c>
      <c r="B1414" s="4" t="s">
        <v>1059</v>
      </c>
      <c r="C1414" s="25" t="s">
        <v>5</v>
      </c>
      <c r="G1414" s="25" t="s">
        <v>1106</v>
      </c>
      <c r="H1414" s="24" t="s">
        <v>1061</v>
      </c>
      <c r="I1414" s="3" t="str">
        <f>IFERROR(VLOOKUP(C1414,'Справочник соответствий'!A$2:D$2981,2,FALSE),IF(VALUE(C1414)=0,1,VLOOKUP(C1414,'Справочник соответствий'!A$2:D$2981,2,FALSE)))</f>
        <v>1</v>
      </c>
      <c r="J1414" s="3">
        <f>IFERROR(VLOOKUP(D1414,'Справочник соответствий'!A$2:D$2981,2,FALSE),IF(VALUE(D1414)=0,0,VLOOKUP(D1414,'Справочник соответствий'!A$2:D$2981,2,FALSE)))</f>
        <v>0</v>
      </c>
      <c r="K1414" s="3" t="str">
        <f t="shared" si="154"/>
        <v>1</v>
      </c>
      <c r="L1414" s="13" t="str">
        <f>IFERROR(VLOOKUP(C1414,'Справочник соответствий'!A$2:D$2981,3,FALSE),IF(VALUE(C1414)=0,"ЭТАЖ НЕ ОПРЕДЕЛЕН. ПРИНЯТ ПО ДОПУЩЕНИЮ 1",VLOOKUP(C1414,'Справочник соответствий'!A$2:D$2981,3,FALSE)))</f>
        <v>ЭТАЖ ЗАДАН ЧИСЛОМ</v>
      </c>
      <c r="M1414" s="13" t="b">
        <f t="shared" si="155"/>
        <v>0</v>
      </c>
      <c r="N1414" s="13">
        <f t="shared" si="156"/>
        <v>1</v>
      </c>
      <c r="O1414" s="13" t="str">
        <f t="shared" si="157"/>
        <v>ЭТАЖ ЗАДАН ЧИСЛОМ</v>
      </c>
      <c r="P1414" s="13" t="str">
        <f t="shared" si="158"/>
        <v>ЭТАЖ ЗАДАН ЧИСЛОМ</v>
      </c>
      <c r="Q1414" s="13" t="str">
        <f t="shared" si="159"/>
        <v>ГОТОВ_ИЗМЕНЕН</v>
      </c>
      <c r="R1414" s="13">
        <f>IFERROR(VLOOKUP(P1414,Лист1!A$1:B$20,2,FALSE),0)</f>
        <v>784</v>
      </c>
      <c r="S1414" s="13">
        <f t="shared" si="160"/>
        <v>0</v>
      </c>
    </row>
    <row r="1415" spans="1:19" x14ac:dyDescent="0.25">
      <c r="A1415" s="24" t="s">
        <v>2535</v>
      </c>
      <c r="B1415" s="4" t="s">
        <v>1059</v>
      </c>
      <c r="C1415" s="25" t="s">
        <v>5</v>
      </c>
      <c r="G1415" s="25" t="s">
        <v>1106</v>
      </c>
      <c r="H1415" s="24" t="s">
        <v>1061</v>
      </c>
      <c r="I1415" s="3" t="str">
        <f>IFERROR(VLOOKUP(C1415,'Справочник соответствий'!A$2:D$2981,2,FALSE),IF(VALUE(C1415)=0,1,VLOOKUP(C1415,'Справочник соответствий'!A$2:D$2981,2,FALSE)))</f>
        <v>1</v>
      </c>
      <c r="J1415" s="3">
        <f>IFERROR(VLOOKUP(D1415,'Справочник соответствий'!A$2:D$2981,2,FALSE),IF(VALUE(D1415)=0,0,VLOOKUP(D1415,'Справочник соответствий'!A$2:D$2981,2,FALSE)))</f>
        <v>0</v>
      </c>
      <c r="K1415" s="3" t="str">
        <f t="shared" si="154"/>
        <v>1</v>
      </c>
      <c r="L1415" s="13" t="str">
        <f>IFERROR(VLOOKUP(C1415,'Справочник соответствий'!A$2:D$2981,3,FALSE),IF(VALUE(C1415)=0,"ЭТАЖ НЕ ОПРЕДЕЛЕН. ПРИНЯТ ПО ДОПУЩЕНИЮ 1",VLOOKUP(C1415,'Справочник соответствий'!A$2:D$2981,3,FALSE)))</f>
        <v>ЭТАЖ ЗАДАН ЧИСЛОМ</v>
      </c>
      <c r="M1415" s="13" t="b">
        <f t="shared" si="155"/>
        <v>0</v>
      </c>
      <c r="N1415" s="13">
        <f t="shared" si="156"/>
        <v>1</v>
      </c>
      <c r="O1415" s="13" t="str">
        <f t="shared" si="157"/>
        <v>ЭТАЖ ЗАДАН ЧИСЛОМ</v>
      </c>
      <c r="P1415" s="13" t="str">
        <f t="shared" si="158"/>
        <v>ЭТАЖ ЗАДАН ЧИСЛОМ</v>
      </c>
      <c r="Q1415" s="13" t="str">
        <f t="shared" si="159"/>
        <v>ГОТОВ_ИЗМЕНЕН</v>
      </c>
      <c r="R1415" s="13">
        <f>IFERROR(VLOOKUP(P1415,Лист1!A$1:B$20,2,FALSE),0)</f>
        <v>784</v>
      </c>
      <c r="S1415" s="13">
        <f t="shared" si="160"/>
        <v>0</v>
      </c>
    </row>
    <row r="1416" spans="1:19" x14ac:dyDescent="0.25">
      <c r="A1416" s="24" t="s">
        <v>2536</v>
      </c>
      <c r="B1416" s="4" t="s">
        <v>1063</v>
      </c>
      <c r="C1416" s="25" t="s">
        <v>5</v>
      </c>
      <c r="G1416" s="25" t="s">
        <v>1106</v>
      </c>
      <c r="H1416" s="24" t="s">
        <v>1061</v>
      </c>
      <c r="I1416" s="3" t="str">
        <f>IFERROR(VLOOKUP(C1416,'Справочник соответствий'!A$2:D$2981,2,FALSE),IF(VALUE(C1416)=0,1,VLOOKUP(C1416,'Справочник соответствий'!A$2:D$2981,2,FALSE)))</f>
        <v>1</v>
      </c>
      <c r="J1416" s="3">
        <f>IFERROR(VLOOKUP(D1416,'Справочник соответствий'!A$2:D$2981,2,FALSE),IF(VALUE(D1416)=0,0,VLOOKUP(D1416,'Справочник соответствий'!A$2:D$2981,2,FALSE)))</f>
        <v>0</v>
      </c>
      <c r="K1416" s="3" t="str">
        <f t="shared" si="154"/>
        <v>1</v>
      </c>
      <c r="L1416" s="13" t="str">
        <f>IFERROR(VLOOKUP(C1416,'Справочник соответствий'!A$2:D$2981,3,FALSE),IF(VALUE(C1416)=0,"ЭТАЖ НЕ ОПРЕДЕЛЕН. ПРИНЯТ ПО ДОПУЩЕНИЮ 1",VLOOKUP(C1416,'Справочник соответствий'!A$2:D$2981,3,FALSE)))</f>
        <v>ЭТАЖ ЗАДАН ЧИСЛОМ</v>
      </c>
      <c r="M1416" s="13" t="b">
        <f t="shared" si="155"/>
        <v>0</v>
      </c>
      <c r="N1416" s="13">
        <f t="shared" si="156"/>
        <v>1</v>
      </c>
      <c r="O1416" s="13" t="str">
        <f t="shared" si="157"/>
        <v>ЭТАЖ ЗАДАН ЧИСЛОМ</v>
      </c>
      <c r="P1416" s="13" t="str">
        <f t="shared" si="158"/>
        <v>ЭТАЖ ЗАДАН ЧИСЛОМ</v>
      </c>
      <c r="Q1416" s="13" t="str">
        <f t="shared" si="159"/>
        <v>ГОТОВ_ИЗМЕНЕН</v>
      </c>
      <c r="R1416" s="13">
        <f>IFERROR(VLOOKUP(P1416,Лист1!A$1:B$20,2,FALSE),0)</f>
        <v>784</v>
      </c>
      <c r="S1416" s="13">
        <f t="shared" si="160"/>
        <v>0</v>
      </c>
    </row>
    <row r="1417" spans="1:19" x14ac:dyDescent="0.25">
      <c r="A1417" s="24" t="s">
        <v>2537</v>
      </c>
      <c r="B1417" s="4" t="s">
        <v>1063</v>
      </c>
      <c r="C1417" s="25" t="s">
        <v>5</v>
      </c>
      <c r="G1417" s="25" t="s">
        <v>1106</v>
      </c>
      <c r="H1417" s="24" t="s">
        <v>1061</v>
      </c>
      <c r="I1417" s="3" t="str">
        <f>IFERROR(VLOOKUP(C1417,'Справочник соответствий'!A$2:D$2981,2,FALSE),IF(VALUE(C1417)=0,1,VLOOKUP(C1417,'Справочник соответствий'!A$2:D$2981,2,FALSE)))</f>
        <v>1</v>
      </c>
      <c r="J1417" s="3">
        <f>IFERROR(VLOOKUP(D1417,'Справочник соответствий'!A$2:D$2981,2,FALSE),IF(VALUE(D1417)=0,0,VLOOKUP(D1417,'Справочник соответствий'!A$2:D$2981,2,FALSE)))</f>
        <v>0</v>
      </c>
      <c r="K1417" s="3" t="str">
        <f t="shared" si="154"/>
        <v>1</v>
      </c>
      <c r="L1417" s="13" t="str">
        <f>IFERROR(VLOOKUP(C1417,'Справочник соответствий'!A$2:D$2981,3,FALSE),IF(VALUE(C1417)=0,"ЭТАЖ НЕ ОПРЕДЕЛЕН. ПРИНЯТ ПО ДОПУЩЕНИЮ 1",VLOOKUP(C1417,'Справочник соответствий'!A$2:D$2981,3,FALSE)))</f>
        <v>ЭТАЖ ЗАДАН ЧИСЛОМ</v>
      </c>
      <c r="M1417" s="13" t="b">
        <f t="shared" si="155"/>
        <v>0</v>
      </c>
      <c r="N1417" s="13">
        <f t="shared" si="156"/>
        <v>1</v>
      </c>
      <c r="O1417" s="13" t="str">
        <f t="shared" si="157"/>
        <v>ЭТАЖ ЗАДАН ЧИСЛОМ</v>
      </c>
      <c r="P1417" s="13" t="str">
        <f t="shared" si="158"/>
        <v>ЭТАЖ ЗАДАН ЧИСЛОМ</v>
      </c>
      <c r="Q1417" s="13" t="str">
        <f t="shared" si="159"/>
        <v>ГОТОВ_ИЗМЕНЕН</v>
      </c>
      <c r="R1417" s="13">
        <f>IFERROR(VLOOKUP(P1417,Лист1!A$1:B$20,2,FALSE),0)</f>
        <v>784</v>
      </c>
      <c r="S1417" s="13">
        <f t="shared" si="160"/>
        <v>0</v>
      </c>
    </row>
    <row r="1418" spans="1:19" x14ac:dyDescent="0.25">
      <c r="A1418" s="24" t="s">
        <v>2538</v>
      </c>
      <c r="B1418" s="4" t="s">
        <v>1063</v>
      </c>
      <c r="C1418" s="25" t="s">
        <v>5</v>
      </c>
      <c r="G1418" s="25" t="s">
        <v>1106</v>
      </c>
      <c r="H1418" s="24" t="s">
        <v>1061</v>
      </c>
      <c r="I1418" s="3" t="str">
        <f>IFERROR(VLOOKUP(C1418,'Справочник соответствий'!A$2:D$2981,2,FALSE),IF(VALUE(C1418)=0,1,VLOOKUP(C1418,'Справочник соответствий'!A$2:D$2981,2,FALSE)))</f>
        <v>1</v>
      </c>
      <c r="J1418" s="3">
        <f>IFERROR(VLOOKUP(D1418,'Справочник соответствий'!A$2:D$2981,2,FALSE),IF(VALUE(D1418)=0,0,VLOOKUP(D1418,'Справочник соответствий'!A$2:D$2981,2,FALSE)))</f>
        <v>0</v>
      </c>
      <c r="K1418" s="3" t="str">
        <f t="shared" si="154"/>
        <v>1</v>
      </c>
      <c r="L1418" s="13" t="str">
        <f>IFERROR(VLOOKUP(C1418,'Справочник соответствий'!A$2:D$2981,3,FALSE),IF(VALUE(C1418)=0,"ЭТАЖ НЕ ОПРЕДЕЛЕН. ПРИНЯТ ПО ДОПУЩЕНИЮ 1",VLOOKUP(C1418,'Справочник соответствий'!A$2:D$2981,3,FALSE)))</f>
        <v>ЭТАЖ ЗАДАН ЧИСЛОМ</v>
      </c>
      <c r="M1418" s="13" t="b">
        <f t="shared" si="155"/>
        <v>0</v>
      </c>
      <c r="N1418" s="13">
        <f t="shared" si="156"/>
        <v>1</v>
      </c>
      <c r="O1418" s="13" t="str">
        <f t="shared" si="157"/>
        <v>ЭТАЖ ЗАДАН ЧИСЛОМ</v>
      </c>
      <c r="P1418" s="13" t="str">
        <f t="shared" si="158"/>
        <v>ЭТАЖ ЗАДАН ЧИСЛОМ</v>
      </c>
      <c r="Q1418" s="13" t="str">
        <f t="shared" si="159"/>
        <v>ГОТОВ_ИЗМЕНЕН</v>
      </c>
      <c r="R1418" s="13">
        <f>IFERROR(VLOOKUP(P1418,Лист1!A$1:B$20,2,FALSE),0)</f>
        <v>784</v>
      </c>
      <c r="S1418" s="13">
        <f t="shared" si="160"/>
        <v>0</v>
      </c>
    </row>
    <row r="1419" spans="1:19" x14ac:dyDescent="0.25">
      <c r="A1419" s="24" t="s">
        <v>2539</v>
      </c>
      <c r="B1419" s="4" t="s">
        <v>1059</v>
      </c>
      <c r="C1419" s="25" t="s">
        <v>7</v>
      </c>
      <c r="G1419" s="25" t="s">
        <v>1106</v>
      </c>
      <c r="H1419" s="24" t="s">
        <v>1061</v>
      </c>
      <c r="I1419" s="3" t="str">
        <f>IFERROR(VLOOKUP(C1419,'Справочник соответствий'!A$2:D$2981,2,FALSE),IF(VALUE(C1419)=0,1,VLOOKUP(C1419,'Справочник соответствий'!A$2:D$2981,2,FALSE)))</f>
        <v>2</v>
      </c>
      <c r="J1419" s="3">
        <f>IFERROR(VLOOKUP(D1419,'Справочник соответствий'!A$2:D$2981,2,FALSE),IF(VALUE(D1419)=0,0,VLOOKUP(D1419,'Справочник соответствий'!A$2:D$2981,2,FALSE)))</f>
        <v>0</v>
      </c>
      <c r="K1419" s="3" t="str">
        <f t="shared" si="154"/>
        <v>2</v>
      </c>
      <c r="L1419" s="13" t="str">
        <f>IFERROR(VLOOKUP(C1419,'Справочник соответствий'!A$2:D$2981,3,FALSE),IF(VALUE(C1419)=0,"ЭТАЖ НЕ ОПРЕДЕЛЕН. ПРИНЯТ ПО ДОПУЩЕНИЮ 1",VLOOKUP(C1419,'Справочник соответствий'!A$2:D$2981,3,FALSE)))</f>
        <v>ЭТАЖ ЗАДАН ЧИСЛОМ</v>
      </c>
      <c r="M1419" s="13" t="b">
        <f t="shared" si="155"/>
        <v>0</v>
      </c>
      <c r="N1419" s="13">
        <f t="shared" si="156"/>
        <v>2</v>
      </c>
      <c r="O1419" s="13" t="str">
        <f t="shared" si="157"/>
        <v>ЭТАЖ ЗАДАН ЧИСЛОМ</v>
      </c>
      <c r="P1419" s="13" t="str">
        <f t="shared" si="158"/>
        <v>ЭТАЖ ЗАДАН ЧИСЛОМ</v>
      </c>
      <c r="Q1419" s="13" t="str">
        <f t="shared" si="159"/>
        <v>ГОТОВ_ИЗМЕНЕН</v>
      </c>
      <c r="R1419" s="13">
        <f>IFERROR(VLOOKUP(P1419,Лист1!A$1:B$20,2,FALSE),0)</f>
        <v>784</v>
      </c>
      <c r="S1419" s="13">
        <f t="shared" si="160"/>
        <v>0</v>
      </c>
    </row>
    <row r="1420" spans="1:19" x14ac:dyDescent="0.25">
      <c r="A1420" s="24" t="s">
        <v>2540</v>
      </c>
      <c r="B1420" s="4" t="s">
        <v>1063</v>
      </c>
      <c r="C1420" s="25" t="s">
        <v>5</v>
      </c>
      <c r="G1420" s="25" t="s">
        <v>1064</v>
      </c>
      <c r="H1420" s="24" t="s">
        <v>1061</v>
      </c>
      <c r="I1420" s="3" t="str">
        <f>IFERROR(VLOOKUP(C1420,'Справочник соответствий'!A$2:D$2981,2,FALSE),IF(VALUE(C1420)=0,1,VLOOKUP(C1420,'Справочник соответствий'!A$2:D$2981,2,FALSE)))</f>
        <v>1</v>
      </c>
      <c r="J1420" s="3">
        <f>IFERROR(VLOOKUP(D1420,'Справочник соответствий'!A$2:D$2981,2,FALSE),IF(VALUE(D1420)=0,0,VLOOKUP(D1420,'Справочник соответствий'!A$2:D$2981,2,FALSE)))</f>
        <v>0</v>
      </c>
      <c r="K1420" s="3" t="str">
        <f t="shared" si="154"/>
        <v>1</v>
      </c>
      <c r="L1420" s="13" t="str">
        <f>IFERROR(VLOOKUP(C1420,'Справочник соответствий'!A$2:D$2981,3,FALSE),IF(VALUE(C1420)=0,"ЭТАЖ НЕ ОПРЕДЕЛЕН. ПРИНЯТ ПО ДОПУЩЕНИЮ 1",VLOOKUP(C1420,'Справочник соответствий'!A$2:D$2981,3,FALSE)))</f>
        <v>ЭТАЖ ЗАДАН ЧИСЛОМ</v>
      </c>
      <c r="M1420" s="13" t="b">
        <f t="shared" si="155"/>
        <v>0</v>
      </c>
      <c r="N1420" s="13">
        <f t="shared" si="156"/>
        <v>1</v>
      </c>
      <c r="O1420" s="13" t="str">
        <f t="shared" si="157"/>
        <v>ЭТАЖ ЗАДАН ЧИСЛОМ</v>
      </c>
      <c r="P1420" s="13" t="str">
        <f t="shared" si="158"/>
        <v>ЭТАЖ ЗАДАН ЧИСЛОМ</v>
      </c>
      <c r="Q1420" s="13" t="str">
        <f t="shared" si="159"/>
        <v>ГОТОВ_ИЗМЕНЕН</v>
      </c>
      <c r="R1420" s="13">
        <f>IFERROR(VLOOKUP(P1420,Лист1!A$1:B$20,2,FALSE),0)</f>
        <v>784</v>
      </c>
      <c r="S1420" s="13">
        <f t="shared" si="160"/>
        <v>0</v>
      </c>
    </row>
    <row r="1421" spans="1:19" x14ac:dyDescent="0.25">
      <c r="A1421" s="24" t="s">
        <v>2541</v>
      </c>
      <c r="B1421" s="4" t="s">
        <v>1059</v>
      </c>
      <c r="C1421" s="25" t="s">
        <v>7</v>
      </c>
      <c r="G1421" s="25" t="s">
        <v>1083</v>
      </c>
      <c r="H1421" s="24" t="s">
        <v>1061</v>
      </c>
      <c r="I1421" s="3" t="str">
        <f>IFERROR(VLOOKUP(C1421,'Справочник соответствий'!A$2:D$2981,2,FALSE),IF(VALUE(C1421)=0,1,VLOOKUP(C1421,'Справочник соответствий'!A$2:D$2981,2,FALSE)))</f>
        <v>2</v>
      </c>
      <c r="J1421" s="3">
        <f>IFERROR(VLOOKUP(D1421,'Справочник соответствий'!A$2:D$2981,2,FALSE),IF(VALUE(D1421)=0,0,VLOOKUP(D1421,'Справочник соответствий'!A$2:D$2981,2,FALSE)))</f>
        <v>0</v>
      </c>
      <c r="K1421" s="3" t="str">
        <f t="shared" si="154"/>
        <v>2</v>
      </c>
      <c r="L1421" s="13" t="str">
        <f>IFERROR(VLOOKUP(C1421,'Справочник соответствий'!A$2:D$2981,3,FALSE),IF(VALUE(C1421)=0,"ЭТАЖ НЕ ОПРЕДЕЛЕН. ПРИНЯТ ПО ДОПУЩЕНИЮ 1",VLOOKUP(C1421,'Справочник соответствий'!A$2:D$2981,3,FALSE)))</f>
        <v>ЭТАЖ ЗАДАН ЧИСЛОМ</v>
      </c>
      <c r="M1421" s="13" t="b">
        <f t="shared" si="155"/>
        <v>0</v>
      </c>
      <c r="N1421" s="13">
        <f t="shared" si="156"/>
        <v>2</v>
      </c>
      <c r="O1421" s="13" t="str">
        <f t="shared" si="157"/>
        <v>ЭТАЖ ЗАДАН ЧИСЛОМ</v>
      </c>
      <c r="P1421" s="13" t="str">
        <f t="shared" si="158"/>
        <v>ЭТАЖ ЗАДАН ЧИСЛОМ</v>
      </c>
      <c r="Q1421" s="13" t="str">
        <f t="shared" si="159"/>
        <v>ГОТОВ_ИЗМЕНЕН</v>
      </c>
      <c r="R1421" s="13">
        <f>IFERROR(VLOOKUP(P1421,Лист1!A$1:B$20,2,FALSE),0)</f>
        <v>784</v>
      </c>
      <c r="S1421" s="13">
        <f t="shared" si="160"/>
        <v>0</v>
      </c>
    </row>
    <row r="1422" spans="1:19" x14ac:dyDescent="0.25">
      <c r="A1422" s="24" t="s">
        <v>2542</v>
      </c>
      <c r="B1422" s="4" t="s">
        <v>1059</v>
      </c>
      <c r="C1422" s="25" t="s">
        <v>5</v>
      </c>
      <c r="G1422" s="25" t="s">
        <v>1064</v>
      </c>
      <c r="H1422" s="24" t="s">
        <v>1061</v>
      </c>
      <c r="I1422" s="3" t="str">
        <f>IFERROR(VLOOKUP(C1422,'Справочник соответствий'!A$2:D$2981,2,FALSE),IF(VALUE(C1422)=0,1,VLOOKUP(C1422,'Справочник соответствий'!A$2:D$2981,2,FALSE)))</f>
        <v>1</v>
      </c>
      <c r="J1422" s="3">
        <f>IFERROR(VLOOKUP(D1422,'Справочник соответствий'!A$2:D$2981,2,FALSE),IF(VALUE(D1422)=0,0,VLOOKUP(D1422,'Справочник соответствий'!A$2:D$2981,2,FALSE)))</f>
        <v>0</v>
      </c>
      <c r="K1422" s="3" t="str">
        <f t="shared" si="154"/>
        <v>1</v>
      </c>
      <c r="L1422" s="13" t="str">
        <f>IFERROR(VLOOKUP(C1422,'Справочник соответствий'!A$2:D$2981,3,FALSE),IF(VALUE(C1422)=0,"ЭТАЖ НЕ ОПРЕДЕЛЕН. ПРИНЯТ ПО ДОПУЩЕНИЮ 1",VLOOKUP(C1422,'Справочник соответствий'!A$2:D$2981,3,FALSE)))</f>
        <v>ЭТАЖ ЗАДАН ЧИСЛОМ</v>
      </c>
      <c r="M1422" s="13" t="b">
        <f t="shared" si="155"/>
        <v>0</v>
      </c>
      <c r="N1422" s="13">
        <f t="shared" si="156"/>
        <v>1</v>
      </c>
      <c r="O1422" s="13" t="str">
        <f t="shared" si="157"/>
        <v>ЭТАЖ ЗАДАН ЧИСЛОМ</v>
      </c>
      <c r="P1422" s="13" t="str">
        <f t="shared" si="158"/>
        <v>ЭТАЖ ЗАДАН ЧИСЛОМ</v>
      </c>
      <c r="Q1422" s="13" t="str">
        <f t="shared" si="159"/>
        <v>ГОТОВ_ИЗМЕНЕН</v>
      </c>
      <c r="R1422" s="13">
        <f>IFERROR(VLOOKUP(P1422,Лист1!A$1:B$20,2,FALSE),0)</f>
        <v>784</v>
      </c>
      <c r="S1422" s="13">
        <f t="shared" si="160"/>
        <v>0</v>
      </c>
    </row>
    <row r="1423" spans="1:19" x14ac:dyDescent="0.25">
      <c r="A1423" s="24" t="s">
        <v>2543</v>
      </c>
      <c r="B1423" s="4" t="s">
        <v>1059</v>
      </c>
      <c r="C1423" s="25" t="s">
        <v>5</v>
      </c>
      <c r="G1423" s="25" t="s">
        <v>1083</v>
      </c>
      <c r="H1423" s="24" t="s">
        <v>1061</v>
      </c>
      <c r="I1423" s="3" t="str">
        <f>IFERROR(VLOOKUP(C1423,'Справочник соответствий'!A$2:D$2981,2,FALSE),IF(VALUE(C1423)=0,1,VLOOKUP(C1423,'Справочник соответствий'!A$2:D$2981,2,FALSE)))</f>
        <v>1</v>
      </c>
      <c r="J1423" s="3">
        <f>IFERROR(VLOOKUP(D1423,'Справочник соответствий'!A$2:D$2981,2,FALSE),IF(VALUE(D1423)=0,0,VLOOKUP(D1423,'Справочник соответствий'!A$2:D$2981,2,FALSE)))</f>
        <v>0</v>
      </c>
      <c r="K1423" s="3" t="str">
        <f t="shared" si="154"/>
        <v>1</v>
      </c>
      <c r="L1423" s="13" t="str">
        <f>IFERROR(VLOOKUP(C1423,'Справочник соответствий'!A$2:D$2981,3,FALSE),IF(VALUE(C1423)=0,"ЭТАЖ НЕ ОПРЕДЕЛЕН. ПРИНЯТ ПО ДОПУЩЕНИЮ 1",VLOOKUP(C1423,'Справочник соответствий'!A$2:D$2981,3,FALSE)))</f>
        <v>ЭТАЖ ЗАДАН ЧИСЛОМ</v>
      </c>
      <c r="M1423" s="13" t="b">
        <f t="shared" si="155"/>
        <v>0</v>
      </c>
      <c r="N1423" s="13">
        <f t="shared" si="156"/>
        <v>1</v>
      </c>
      <c r="O1423" s="13" t="str">
        <f t="shared" si="157"/>
        <v>ЭТАЖ ЗАДАН ЧИСЛОМ</v>
      </c>
      <c r="P1423" s="13" t="str">
        <f t="shared" si="158"/>
        <v>ЭТАЖ ЗАДАН ЧИСЛОМ</v>
      </c>
      <c r="Q1423" s="13" t="str">
        <f t="shared" si="159"/>
        <v>ГОТОВ_ИЗМЕНЕН</v>
      </c>
      <c r="R1423" s="13">
        <f>IFERROR(VLOOKUP(P1423,Лист1!A$1:B$20,2,FALSE),0)</f>
        <v>784</v>
      </c>
      <c r="S1423" s="13">
        <f t="shared" si="160"/>
        <v>0</v>
      </c>
    </row>
    <row r="1424" spans="1:19" x14ac:dyDescent="0.25">
      <c r="A1424" s="24" t="s">
        <v>2544</v>
      </c>
      <c r="B1424" s="4" t="s">
        <v>1063</v>
      </c>
      <c r="C1424" s="25" t="s">
        <v>5</v>
      </c>
      <c r="G1424" s="25" t="s">
        <v>1083</v>
      </c>
      <c r="H1424" s="24" t="s">
        <v>1061</v>
      </c>
      <c r="I1424" s="3" t="str">
        <f>IFERROR(VLOOKUP(C1424,'Справочник соответствий'!A$2:D$2981,2,FALSE),IF(VALUE(C1424)=0,1,VLOOKUP(C1424,'Справочник соответствий'!A$2:D$2981,2,FALSE)))</f>
        <v>1</v>
      </c>
      <c r="J1424" s="3">
        <f>IFERROR(VLOOKUP(D1424,'Справочник соответствий'!A$2:D$2981,2,FALSE),IF(VALUE(D1424)=0,0,VLOOKUP(D1424,'Справочник соответствий'!A$2:D$2981,2,FALSE)))</f>
        <v>0</v>
      </c>
      <c r="K1424" s="3" t="str">
        <f t="shared" si="154"/>
        <v>1</v>
      </c>
      <c r="L1424" s="13" t="str">
        <f>IFERROR(VLOOKUP(C1424,'Справочник соответствий'!A$2:D$2981,3,FALSE),IF(VALUE(C1424)=0,"ЭТАЖ НЕ ОПРЕДЕЛЕН. ПРИНЯТ ПО ДОПУЩЕНИЮ 1",VLOOKUP(C1424,'Справочник соответствий'!A$2:D$2981,3,FALSE)))</f>
        <v>ЭТАЖ ЗАДАН ЧИСЛОМ</v>
      </c>
      <c r="M1424" s="13" t="b">
        <f t="shared" si="155"/>
        <v>0</v>
      </c>
      <c r="N1424" s="13">
        <f t="shared" si="156"/>
        <v>1</v>
      </c>
      <c r="O1424" s="13" t="str">
        <f t="shared" si="157"/>
        <v>ЭТАЖ ЗАДАН ЧИСЛОМ</v>
      </c>
      <c r="P1424" s="13" t="str">
        <f t="shared" si="158"/>
        <v>ЭТАЖ ЗАДАН ЧИСЛОМ</v>
      </c>
      <c r="Q1424" s="13" t="str">
        <f t="shared" si="159"/>
        <v>ГОТОВ_ИЗМЕНЕН</v>
      </c>
      <c r="R1424" s="13">
        <f>IFERROR(VLOOKUP(P1424,Лист1!A$1:B$20,2,FALSE),0)</f>
        <v>784</v>
      </c>
      <c r="S1424" s="13">
        <f t="shared" si="160"/>
        <v>0</v>
      </c>
    </row>
    <row r="1425" spans="1:19" x14ac:dyDescent="0.25">
      <c r="A1425" s="24" t="s">
        <v>2545</v>
      </c>
      <c r="B1425" s="4" t="s">
        <v>1063</v>
      </c>
      <c r="C1425" s="25" t="s">
        <v>7</v>
      </c>
      <c r="G1425" s="25" t="s">
        <v>1083</v>
      </c>
      <c r="H1425" s="24" t="s">
        <v>1061</v>
      </c>
      <c r="I1425" s="3" t="str">
        <f>IFERROR(VLOOKUP(C1425,'Справочник соответствий'!A$2:D$2981,2,FALSE),IF(VALUE(C1425)=0,1,VLOOKUP(C1425,'Справочник соответствий'!A$2:D$2981,2,FALSE)))</f>
        <v>2</v>
      </c>
      <c r="J1425" s="3">
        <f>IFERROR(VLOOKUP(D1425,'Справочник соответствий'!A$2:D$2981,2,FALSE),IF(VALUE(D1425)=0,0,VLOOKUP(D1425,'Справочник соответствий'!A$2:D$2981,2,FALSE)))</f>
        <v>0</v>
      </c>
      <c r="K1425" s="3" t="str">
        <f t="shared" si="154"/>
        <v>2</v>
      </c>
      <c r="L1425" s="13" t="str">
        <f>IFERROR(VLOOKUP(C1425,'Справочник соответствий'!A$2:D$2981,3,FALSE),IF(VALUE(C1425)=0,"ЭТАЖ НЕ ОПРЕДЕЛЕН. ПРИНЯТ ПО ДОПУЩЕНИЮ 1",VLOOKUP(C1425,'Справочник соответствий'!A$2:D$2981,3,FALSE)))</f>
        <v>ЭТАЖ ЗАДАН ЧИСЛОМ</v>
      </c>
      <c r="M1425" s="13" t="b">
        <f t="shared" si="155"/>
        <v>0</v>
      </c>
      <c r="N1425" s="13">
        <f t="shared" si="156"/>
        <v>2</v>
      </c>
      <c r="O1425" s="13" t="str">
        <f t="shared" si="157"/>
        <v>ЭТАЖ ЗАДАН ЧИСЛОМ</v>
      </c>
      <c r="P1425" s="13" t="str">
        <f t="shared" si="158"/>
        <v>ЭТАЖ ЗАДАН ЧИСЛОМ</v>
      </c>
      <c r="Q1425" s="13" t="str">
        <f t="shared" si="159"/>
        <v>ГОТОВ_ИЗМЕНЕН</v>
      </c>
      <c r="R1425" s="13">
        <f>IFERROR(VLOOKUP(P1425,Лист1!A$1:B$20,2,FALSE),0)</f>
        <v>784</v>
      </c>
      <c r="S1425" s="13">
        <f t="shared" si="160"/>
        <v>0</v>
      </c>
    </row>
    <row r="1426" spans="1:19" x14ac:dyDescent="0.25">
      <c r="A1426" s="24" t="s">
        <v>2546</v>
      </c>
      <c r="B1426" s="4" t="s">
        <v>1063</v>
      </c>
      <c r="C1426" s="25" t="s">
        <v>5</v>
      </c>
      <c r="G1426" s="25" t="s">
        <v>1083</v>
      </c>
      <c r="H1426" s="24" t="s">
        <v>1061</v>
      </c>
      <c r="I1426" s="3" t="str">
        <f>IFERROR(VLOOKUP(C1426,'Справочник соответствий'!A$2:D$2981,2,FALSE),IF(VALUE(C1426)=0,1,VLOOKUP(C1426,'Справочник соответствий'!A$2:D$2981,2,FALSE)))</f>
        <v>1</v>
      </c>
      <c r="J1426" s="3">
        <f>IFERROR(VLOOKUP(D1426,'Справочник соответствий'!A$2:D$2981,2,FALSE),IF(VALUE(D1426)=0,0,VLOOKUP(D1426,'Справочник соответствий'!A$2:D$2981,2,FALSE)))</f>
        <v>0</v>
      </c>
      <c r="K1426" s="3" t="str">
        <f t="shared" si="154"/>
        <v>1</v>
      </c>
      <c r="L1426" s="13" t="str">
        <f>IFERROR(VLOOKUP(C1426,'Справочник соответствий'!A$2:D$2981,3,FALSE),IF(VALUE(C1426)=0,"ЭТАЖ НЕ ОПРЕДЕЛЕН. ПРИНЯТ ПО ДОПУЩЕНИЮ 1",VLOOKUP(C1426,'Справочник соответствий'!A$2:D$2981,3,FALSE)))</f>
        <v>ЭТАЖ ЗАДАН ЧИСЛОМ</v>
      </c>
      <c r="M1426" s="13" t="b">
        <f t="shared" si="155"/>
        <v>0</v>
      </c>
      <c r="N1426" s="13">
        <f t="shared" si="156"/>
        <v>1</v>
      </c>
      <c r="O1426" s="13" t="str">
        <f t="shared" si="157"/>
        <v>ЭТАЖ ЗАДАН ЧИСЛОМ</v>
      </c>
      <c r="P1426" s="13" t="str">
        <f t="shared" si="158"/>
        <v>ЭТАЖ ЗАДАН ЧИСЛОМ</v>
      </c>
      <c r="Q1426" s="13" t="str">
        <f t="shared" si="159"/>
        <v>ГОТОВ_ИЗМЕНЕН</v>
      </c>
      <c r="R1426" s="13">
        <f>IFERROR(VLOOKUP(P1426,Лист1!A$1:B$20,2,FALSE),0)</f>
        <v>784</v>
      </c>
      <c r="S1426" s="13">
        <f t="shared" si="160"/>
        <v>0</v>
      </c>
    </row>
    <row r="1427" spans="1:19" x14ac:dyDescent="0.25">
      <c r="A1427" s="24" t="s">
        <v>2547</v>
      </c>
      <c r="B1427" s="4" t="s">
        <v>1063</v>
      </c>
      <c r="C1427" s="25" t="s">
        <v>5</v>
      </c>
      <c r="G1427" s="25" t="s">
        <v>1083</v>
      </c>
      <c r="H1427" s="24" t="s">
        <v>1061</v>
      </c>
      <c r="I1427" s="3" t="str">
        <f>IFERROR(VLOOKUP(C1427,'Справочник соответствий'!A$2:D$2981,2,FALSE),IF(VALUE(C1427)=0,1,VLOOKUP(C1427,'Справочник соответствий'!A$2:D$2981,2,FALSE)))</f>
        <v>1</v>
      </c>
      <c r="J1427" s="3">
        <f>IFERROR(VLOOKUP(D1427,'Справочник соответствий'!A$2:D$2981,2,FALSE),IF(VALUE(D1427)=0,0,VLOOKUP(D1427,'Справочник соответствий'!A$2:D$2981,2,FALSE)))</f>
        <v>0</v>
      </c>
      <c r="K1427" s="3" t="str">
        <f t="shared" si="154"/>
        <v>1</v>
      </c>
      <c r="L1427" s="13" t="str">
        <f>IFERROR(VLOOKUP(C1427,'Справочник соответствий'!A$2:D$2981,3,FALSE),IF(VALUE(C1427)=0,"ЭТАЖ НЕ ОПРЕДЕЛЕН. ПРИНЯТ ПО ДОПУЩЕНИЮ 1",VLOOKUP(C1427,'Справочник соответствий'!A$2:D$2981,3,FALSE)))</f>
        <v>ЭТАЖ ЗАДАН ЧИСЛОМ</v>
      </c>
      <c r="M1427" s="13" t="b">
        <f t="shared" si="155"/>
        <v>0</v>
      </c>
      <c r="N1427" s="13">
        <f t="shared" si="156"/>
        <v>1</v>
      </c>
      <c r="O1427" s="13" t="str">
        <f t="shared" si="157"/>
        <v>ЭТАЖ ЗАДАН ЧИСЛОМ</v>
      </c>
      <c r="P1427" s="13" t="str">
        <f t="shared" si="158"/>
        <v>ЭТАЖ ЗАДАН ЧИСЛОМ</v>
      </c>
      <c r="Q1427" s="13" t="str">
        <f t="shared" si="159"/>
        <v>ГОТОВ_ИЗМЕНЕН</v>
      </c>
      <c r="R1427" s="13">
        <f>IFERROR(VLOOKUP(P1427,Лист1!A$1:B$20,2,FALSE),0)</f>
        <v>784</v>
      </c>
      <c r="S1427" s="13">
        <f t="shared" si="160"/>
        <v>0</v>
      </c>
    </row>
    <row r="1428" spans="1:19" x14ac:dyDescent="0.25">
      <c r="A1428" s="24" t="s">
        <v>2548</v>
      </c>
      <c r="B1428" s="4" t="s">
        <v>1063</v>
      </c>
      <c r="C1428" s="25" t="s">
        <v>5</v>
      </c>
      <c r="G1428" s="25" t="s">
        <v>1083</v>
      </c>
      <c r="H1428" s="24" t="s">
        <v>1061</v>
      </c>
      <c r="I1428" s="3" t="str">
        <f>IFERROR(VLOOKUP(C1428,'Справочник соответствий'!A$2:D$2981,2,FALSE),IF(VALUE(C1428)=0,1,VLOOKUP(C1428,'Справочник соответствий'!A$2:D$2981,2,FALSE)))</f>
        <v>1</v>
      </c>
      <c r="J1428" s="3">
        <f>IFERROR(VLOOKUP(D1428,'Справочник соответствий'!A$2:D$2981,2,FALSE),IF(VALUE(D1428)=0,0,VLOOKUP(D1428,'Справочник соответствий'!A$2:D$2981,2,FALSE)))</f>
        <v>0</v>
      </c>
      <c r="K1428" s="3" t="str">
        <f t="shared" si="154"/>
        <v>1</v>
      </c>
      <c r="L1428" s="13" t="str">
        <f>IFERROR(VLOOKUP(C1428,'Справочник соответствий'!A$2:D$2981,3,FALSE),IF(VALUE(C1428)=0,"ЭТАЖ НЕ ОПРЕДЕЛЕН. ПРИНЯТ ПО ДОПУЩЕНИЮ 1",VLOOKUP(C1428,'Справочник соответствий'!A$2:D$2981,3,FALSE)))</f>
        <v>ЭТАЖ ЗАДАН ЧИСЛОМ</v>
      </c>
      <c r="M1428" s="13" t="b">
        <f t="shared" si="155"/>
        <v>0</v>
      </c>
      <c r="N1428" s="13">
        <f t="shared" si="156"/>
        <v>1</v>
      </c>
      <c r="O1428" s="13" t="str">
        <f t="shared" si="157"/>
        <v>ЭТАЖ ЗАДАН ЧИСЛОМ</v>
      </c>
      <c r="P1428" s="13" t="str">
        <f t="shared" si="158"/>
        <v>ЭТАЖ ЗАДАН ЧИСЛОМ</v>
      </c>
      <c r="Q1428" s="13" t="str">
        <f t="shared" si="159"/>
        <v>ГОТОВ_ИЗМЕНЕН</v>
      </c>
      <c r="R1428" s="13">
        <f>IFERROR(VLOOKUP(P1428,Лист1!A$1:B$20,2,FALSE),0)</f>
        <v>784</v>
      </c>
      <c r="S1428" s="13">
        <f t="shared" si="160"/>
        <v>0</v>
      </c>
    </row>
    <row r="1429" spans="1:19" x14ac:dyDescent="0.25">
      <c r="A1429" s="24" t="s">
        <v>2549</v>
      </c>
      <c r="B1429" s="4" t="s">
        <v>1063</v>
      </c>
      <c r="C1429" s="25" t="s">
        <v>5</v>
      </c>
      <c r="G1429" s="25" t="s">
        <v>1083</v>
      </c>
      <c r="H1429" s="24" t="s">
        <v>1061</v>
      </c>
      <c r="I1429" s="3" t="str">
        <f>IFERROR(VLOOKUP(C1429,'Справочник соответствий'!A$2:D$2981,2,FALSE),IF(VALUE(C1429)=0,1,VLOOKUP(C1429,'Справочник соответствий'!A$2:D$2981,2,FALSE)))</f>
        <v>1</v>
      </c>
      <c r="J1429" s="3">
        <f>IFERROR(VLOOKUP(D1429,'Справочник соответствий'!A$2:D$2981,2,FALSE),IF(VALUE(D1429)=0,0,VLOOKUP(D1429,'Справочник соответствий'!A$2:D$2981,2,FALSE)))</f>
        <v>0</v>
      </c>
      <c r="K1429" s="3" t="str">
        <f t="shared" si="154"/>
        <v>1</v>
      </c>
      <c r="L1429" s="13" t="str">
        <f>IFERROR(VLOOKUP(C1429,'Справочник соответствий'!A$2:D$2981,3,FALSE),IF(VALUE(C1429)=0,"ЭТАЖ НЕ ОПРЕДЕЛЕН. ПРИНЯТ ПО ДОПУЩЕНИЮ 1",VLOOKUP(C1429,'Справочник соответствий'!A$2:D$2981,3,FALSE)))</f>
        <v>ЭТАЖ ЗАДАН ЧИСЛОМ</v>
      </c>
      <c r="M1429" s="13" t="b">
        <f t="shared" si="155"/>
        <v>0</v>
      </c>
      <c r="N1429" s="13">
        <f t="shared" si="156"/>
        <v>1</v>
      </c>
      <c r="O1429" s="13" t="str">
        <f t="shared" si="157"/>
        <v>ЭТАЖ ЗАДАН ЧИСЛОМ</v>
      </c>
      <c r="P1429" s="13" t="str">
        <f t="shared" si="158"/>
        <v>ЭТАЖ ЗАДАН ЧИСЛОМ</v>
      </c>
      <c r="Q1429" s="13" t="str">
        <f t="shared" si="159"/>
        <v>ГОТОВ_ИЗМЕНЕН</v>
      </c>
      <c r="R1429" s="13">
        <f>IFERROR(VLOOKUP(P1429,Лист1!A$1:B$20,2,FALSE),0)</f>
        <v>784</v>
      </c>
      <c r="S1429" s="13">
        <f t="shared" si="160"/>
        <v>0</v>
      </c>
    </row>
    <row r="1430" spans="1:19" x14ac:dyDescent="0.25">
      <c r="A1430" s="24" t="s">
        <v>2550</v>
      </c>
      <c r="B1430" s="4" t="s">
        <v>1063</v>
      </c>
      <c r="C1430" s="25" t="s">
        <v>5</v>
      </c>
      <c r="G1430" s="25" t="s">
        <v>1083</v>
      </c>
      <c r="H1430" s="24" t="s">
        <v>1061</v>
      </c>
      <c r="I1430" s="3" t="str">
        <f>IFERROR(VLOOKUP(C1430,'Справочник соответствий'!A$2:D$2981,2,FALSE),IF(VALUE(C1430)=0,1,VLOOKUP(C1430,'Справочник соответствий'!A$2:D$2981,2,FALSE)))</f>
        <v>1</v>
      </c>
      <c r="J1430" s="3">
        <f>IFERROR(VLOOKUP(D1430,'Справочник соответствий'!A$2:D$2981,2,FALSE),IF(VALUE(D1430)=0,0,VLOOKUP(D1430,'Справочник соответствий'!A$2:D$2981,2,FALSE)))</f>
        <v>0</v>
      </c>
      <c r="K1430" s="3" t="str">
        <f t="shared" si="154"/>
        <v>1</v>
      </c>
      <c r="L1430" s="13" t="str">
        <f>IFERROR(VLOOKUP(C1430,'Справочник соответствий'!A$2:D$2981,3,FALSE),IF(VALUE(C1430)=0,"ЭТАЖ НЕ ОПРЕДЕЛЕН. ПРИНЯТ ПО ДОПУЩЕНИЮ 1",VLOOKUP(C1430,'Справочник соответствий'!A$2:D$2981,3,FALSE)))</f>
        <v>ЭТАЖ ЗАДАН ЧИСЛОМ</v>
      </c>
      <c r="M1430" s="13" t="b">
        <f t="shared" si="155"/>
        <v>0</v>
      </c>
      <c r="N1430" s="13">
        <f t="shared" si="156"/>
        <v>1</v>
      </c>
      <c r="O1430" s="13" t="str">
        <f t="shared" si="157"/>
        <v>ЭТАЖ ЗАДАН ЧИСЛОМ</v>
      </c>
      <c r="P1430" s="13" t="str">
        <f t="shared" si="158"/>
        <v>ЭТАЖ ЗАДАН ЧИСЛОМ</v>
      </c>
      <c r="Q1430" s="13" t="str">
        <f t="shared" si="159"/>
        <v>ГОТОВ_ИЗМЕНЕН</v>
      </c>
      <c r="R1430" s="13">
        <f>IFERROR(VLOOKUP(P1430,Лист1!A$1:B$20,2,FALSE),0)</f>
        <v>784</v>
      </c>
      <c r="S1430" s="13">
        <f t="shared" si="160"/>
        <v>0</v>
      </c>
    </row>
    <row r="1431" spans="1:19" x14ac:dyDescent="0.25">
      <c r="A1431" s="24" t="s">
        <v>2551</v>
      </c>
      <c r="B1431" s="4" t="s">
        <v>1059</v>
      </c>
      <c r="C1431" s="25" t="s">
        <v>5</v>
      </c>
      <c r="G1431" s="25" t="s">
        <v>1089</v>
      </c>
      <c r="H1431" s="24" t="s">
        <v>1061</v>
      </c>
      <c r="I1431" s="3" t="str">
        <f>IFERROR(VLOOKUP(C1431,'Справочник соответствий'!A$2:D$2981,2,FALSE),IF(VALUE(C1431)=0,1,VLOOKUP(C1431,'Справочник соответствий'!A$2:D$2981,2,FALSE)))</f>
        <v>1</v>
      </c>
      <c r="J1431" s="3">
        <f>IFERROR(VLOOKUP(D1431,'Справочник соответствий'!A$2:D$2981,2,FALSE),IF(VALUE(D1431)=0,0,VLOOKUP(D1431,'Справочник соответствий'!A$2:D$2981,2,FALSE)))</f>
        <v>0</v>
      </c>
      <c r="K1431" s="3" t="str">
        <f t="shared" si="154"/>
        <v>1</v>
      </c>
      <c r="L1431" s="13" t="str">
        <f>IFERROR(VLOOKUP(C1431,'Справочник соответствий'!A$2:D$2981,3,FALSE),IF(VALUE(C1431)=0,"ЭТАЖ НЕ ОПРЕДЕЛЕН. ПРИНЯТ ПО ДОПУЩЕНИЮ 1",VLOOKUP(C1431,'Справочник соответствий'!A$2:D$2981,3,FALSE)))</f>
        <v>ЭТАЖ ЗАДАН ЧИСЛОМ</v>
      </c>
      <c r="M1431" s="13" t="b">
        <f t="shared" si="155"/>
        <v>0</v>
      </c>
      <c r="N1431" s="13">
        <f t="shared" si="156"/>
        <v>1</v>
      </c>
      <c r="O1431" s="13" t="str">
        <f t="shared" si="157"/>
        <v>ЭТАЖ ЗАДАН ЧИСЛОМ</v>
      </c>
      <c r="P1431" s="13" t="str">
        <f t="shared" si="158"/>
        <v>ЭТАЖ ЗАДАН ЧИСЛОМ</v>
      </c>
      <c r="Q1431" s="13" t="str">
        <f t="shared" si="159"/>
        <v>ГОТОВ_ИЗМЕНЕН</v>
      </c>
      <c r="R1431" s="13">
        <f>IFERROR(VLOOKUP(P1431,Лист1!A$1:B$20,2,FALSE),0)</f>
        <v>784</v>
      </c>
      <c r="S1431" s="13">
        <f t="shared" si="160"/>
        <v>0</v>
      </c>
    </row>
    <row r="1432" spans="1:19" x14ac:dyDescent="0.25">
      <c r="A1432" s="24" t="s">
        <v>2552</v>
      </c>
      <c r="B1432" s="4" t="s">
        <v>1059</v>
      </c>
      <c r="C1432" s="25" t="s">
        <v>5</v>
      </c>
      <c r="E1432" s="3">
        <v>1</v>
      </c>
      <c r="F1432" s="24" t="s">
        <v>1045</v>
      </c>
      <c r="G1432" s="25" t="s">
        <v>1072</v>
      </c>
      <c r="H1432" s="24" t="s">
        <v>1061</v>
      </c>
      <c r="I1432" s="3" t="str">
        <f>IFERROR(VLOOKUP(C1432,'Справочник соответствий'!A$2:D$2981,2,FALSE),IF(VALUE(C1432)=0,1,VLOOKUP(C1432,'Справочник соответствий'!A$2:D$2981,2,FALSE)))</f>
        <v>1</v>
      </c>
      <c r="J1432" s="3">
        <f>IFERROR(VLOOKUP(D1432,'Справочник соответствий'!A$2:D$2981,2,FALSE),IF(VALUE(D1432)=0,0,VLOOKUP(D1432,'Справочник соответствий'!A$2:D$2981,2,FALSE)))</f>
        <v>0</v>
      </c>
      <c r="K1432" s="3" t="str">
        <f t="shared" si="154"/>
        <v>1</v>
      </c>
      <c r="L1432" s="13" t="str">
        <f>IFERROR(VLOOKUP(C1432,'Справочник соответствий'!A$2:D$2981,3,FALSE),IF(VALUE(C1432)=0,"ЭТАЖ НЕ ОПРЕДЕЛЕН. ПРИНЯТ ПО ДОПУЩЕНИЮ 1",VLOOKUP(C1432,'Справочник соответствий'!A$2:D$2981,3,FALSE)))</f>
        <v>ЭТАЖ ЗАДАН ЧИСЛОМ</v>
      </c>
      <c r="M1432" s="13" t="b">
        <f t="shared" si="155"/>
        <v>0</v>
      </c>
      <c r="N1432" s="13">
        <f t="shared" si="156"/>
        <v>1</v>
      </c>
      <c r="O1432" s="13" t="str">
        <f t="shared" si="157"/>
        <v>ЭТАЖ ЗАДАН ЧИСЛОМ</v>
      </c>
      <c r="P1432" s="13" t="str">
        <f t="shared" si="158"/>
        <v>ЭТАЖ ЗАДАН ЧИСЛОМ</v>
      </c>
      <c r="Q1432" s="13" t="str">
        <f t="shared" si="159"/>
        <v>ГОТОВ</v>
      </c>
      <c r="R1432" s="13">
        <f>IFERROR(VLOOKUP(P1432,Лист1!A$1:B$20,2,FALSE),0)</f>
        <v>784</v>
      </c>
      <c r="S1432" s="13">
        <f t="shared" si="160"/>
        <v>1</v>
      </c>
    </row>
    <row r="1433" spans="1:19" x14ac:dyDescent="0.25">
      <c r="A1433" s="24" t="s">
        <v>2553</v>
      </c>
      <c r="B1433" s="4" t="s">
        <v>1031</v>
      </c>
      <c r="C1433" s="25" t="s">
        <v>5</v>
      </c>
      <c r="E1433" s="3">
        <v>1</v>
      </c>
      <c r="F1433" s="24" t="s">
        <v>1045</v>
      </c>
      <c r="G1433" s="25" t="s">
        <v>1075</v>
      </c>
      <c r="H1433" s="24" t="s">
        <v>1061</v>
      </c>
      <c r="I1433" s="3" t="str">
        <f>IFERROR(VLOOKUP(C1433,'Справочник соответствий'!A$2:D$2981,2,FALSE),IF(VALUE(C1433)=0,1,VLOOKUP(C1433,'Справочник соответствий'!A$2:D$2981,2,FALSE)))</f>
        <v>1</v>
      </c>
      <c r="J1433" s="3">
        <f>IFERROR(VLOOKUP(D1433,'Справочник соответствий'!A$2:D$2981,2,FALSE),IF(VALUE(D1433)=0,0,VLOOKUP(D1433,'Справочник соответствий'!A$2:D$2981,2,FALSE)))</f>
        <v>0</v>
      </c>
      <c r="K1433" s="3">
        <f t="shared" si="154"/>
        <v>1</v>
      </c>
      <c r="L1433" s="13" t="str">
        <f>IFERROR(VLOOKUP(C1433,'Справочник соответствий'!A$2:D$2981,3,FALSE),IF(VALUE(C1433)=0,"ЭТАЖ НЕ ОПРЕДЕЛЕН. ПРИНЯТ ПО ДОПУЩЕНИЮ 1",VLOOKUP(C1433,'Справочник соответствий'!A$2:D$2981,3,FALSE)))</f>
        <v>ЭТАЖ ЗАДАН ЧИСЛОМ</v>
      </c>
      <c r="M1433" s="13" t="b">
        <f t="shared" si="155"/>
        <v>0</v>
      </c>
      <c r="N1433" s="13">
        <f t="shared" si="156"/>
        <v>1</v>
      </c>
      <c r="O1433" s="13" t="str">
        <f t="shared" si="157"/>
        <v>ЭТАЖ ЗАДАН ЧИСЛОМ</v>
      </c>
      <c r="P1433" s="13" t="str">
        <f t="shared" si="158"/>
        <v>МКД_ЭТАЖ ЗАДАН ЧИСЛОМ</v>
      </c>
      <c r="Q1433" s="13" t="str">
        <f t="shared" si="159"/>
        <v>ГОТОВ</v>
      </c>
      <c r="R1433" s="13">
        <f>IFERROR(VLOOKUP(P1433,Лист1!A$1:B$20,2,FALSE),0)</f>
        <v>786</v>
      </c>
      <c r="S1433" s="13">
        <f t="shared" si="160"/>
        <v>1</v>
      </c>
    </row>
    <row r="1434" spans="1:19" x14ac:dyDescent="0.25">
      <c r="A1434" s="24" t="s">
        <v>2554</v>
      </c>
      <c r="B1434" s="4" t="s">
        <v>1059</v>
      </c>
      <c r="C1434" s="25" t="s">
        <v>5</v>
      </c>
      <c r="E1434" s="3">
        <v>1</v>
      </c>
      <c r="F1434" s="24" t="s">
        <v>1045</v>
      </c>
      <c r="G1434" s="25" t="s">
        <v>1347</v>
      </c>
      <c r="H1434" s="24" t="s">
        <v>1061</v>
      </c>
      <c r="I1434" s="3" t="str">
        <f>IFERROR(VLOOKUP(C1434,'Справочник соответствий'!A$2:D$2981,2,FALSE),IF(VALUE(C1434)=0,1,VLOOKUP(C1434,'Справочник соответствий'!A$2:D$2981,2,FALSE)))</f>
        <v>1</v>
      </c>
      <c r="J1434" s="3">
        <f>IFERROR(VLOOKUP(D1434,'Справочник соответствий'!A$2:D$2981,2,FALSE),IF(VALUE(D1434)=0,0,VLOOKUP(D1434,'Справочник соответствий'!A$2:D$2981,2,FALSE)))</f>
        <v>0</v>
      </c>
      <c r="K1434" s="3" t="str">
        <f t="shared" si="154"/>
        <v>1</v>
      </c>
      <c r="L1434" s="13" t="str">
        <f>IFERROR(VLOOKUP(C1434,'Справочник соответствий'!A$2:D$2981,3,FALSE),IF(VALUE(C1434)=0,"ЭТАЖ НЕ ОПРЕДЕЛЕН. ПРИНЯТ ПО ДОПУЩЕНИЮ 1",VLOOKUP(C1434,'Справочник соответствий'!A$2:D$2981,3,FALSE)))</f>
        <v>ЭТАЖ ЗАДАН ЧИСЛОМ</v>
      </c>
      <c r="M1434" s="13" t="b">
        <f t="shared" si="155"/>
        <v>0</v>
      </c>
      <c r="N1434" s="13">
        <f t="shared" si="156"/>
        <v>1</v>
      </c>
      <c r="O1434" s="13" t="str">
        <f t="shared" si="157"/>
        <v>ЭТАЖ ЗАДАН ЧИСЛОМ</v>
      </c>
      <c r="P1434" s="13" t="str">
        <f t="shared" si="158"/>
        <v>ЭТАЖ ЗАДАН ЧИСЛОМ</v>
      </c>
      <c r="Q1434" s="13" t="str">
        <f t="shared" si="159"/>
        <v>ГОТОВ</v>
      </c>
      <c r="R1434" s="13">
        <f>IFERROR(VLOOKUP(P1434,Лист1!A$1:B$20,2,FALSE),0)</f>
        <v>784</v>
      </c>
      <c r="S1434" s="13">
        <f t="shared" si="160"/>
        <v>1</v>
      </c>
    </row>
    <row r="1435" spans="1:19" x14ac:dyDescent="0.25">
      <c r="A1435" s="24" t="s">
        <v>2555</v>
      </c>
      <c r="B1435" s="4" t="s">
        <v>1063</v>
      </c>
      <c r="C1435" s="25" t="s">
        <v>7</v>
      </c>
      <c r="E1435" s="3">
        <v>2</v>
      </c>
      <c r="F1435" s="24" t="s">
        <v>1304</v>
      </c>
      <c r="G1435" s="25" t="s">
        <v>1108</v>
      </c>
      <c r="H1435" s="24" t="s">
        <v>1061</v>
      </c>
      <c r="I1435" s="3" t="str">
        <f>IFERROR(VLOOKUP(C1435,'Справочник соответствий'!A$2:D$2981,2,FALSE),IF(VALUE(C1435)=0,1,VLOOKUP(C1435,'Справочник соответствий'!A$2:D$2981,2,FALSE)))</f>
        <v>2</v>
      </c>
      <c r="J1435" s="3">
        <f>IFERROR(VLOOKUP(D1435,'Справочник соответствий'!A$2:D$2981,2,FALSE),IF(VALUE(D1435)=0,0,VLOOKUP(D1435,'Справочник соответствий'!A$2:D$2981,2,FALSE)))</f>
        <v>0</v>
      </c>
      <c r="K1435" s="3" t="str">
        <f t="shared" si="154"/>
        <v>2</v>
      </c>
      <c r="L1435" s="13" t="str">
        <f>IFERROR(VLOOKUP(C1435,'Справочник соответствий'!A$2:D$2981,3,FALSE),IF(VALUE(C1435)=0,"ЭТАЖ НЕ ОПРЕДЕЛЕН. ПРИНЯТ ПО ДОПУЩЕНИЮ 1",VLOOKUP(C1435,'Справочник соответствий'!A$2:D$2981,3,FALSE)))</f>
        <v>ЭТАЖ ЗАДАН ЧИСЛОМ</v>
      </c>
      <c r="M1435" s="13" t="b">
        <f t="shared" si="155"/>
        <v>0</v>
      </c>
      <c r="N1435" s="13">
        <f t="shared" si="156"/>
        <v>2</v>
      </c>
      <c r="O1435" s="13" t="str">
        <f t="shared" si="157"/>
        <v>ЭТАЖ ЗАДАН ЧИСЛОМ</v>
      </c>
      <c r="P1435" s="13" t="str">
        <f t="shared" si="158"/>
        <v>ЭТАЖ ЗАДАН ЧИСЛОМ</v>
      </c>
      <c r="Q1435" s="13" t="str">
        <f t="shared" si="159"/>
        <v>ГОТОВ</v>
      </c>
      <c r="R1435" s="13">
        <f>IFERROR(VLOOKUP(P1435,Лист1!A$1:B$20,2,FALSE),0)</f>
        <v>784</v>
      </c>
      <c r="S1435" s="13">
        <f t="shared" si="160"/>
        <v>2</v>
      </c>
    </row>
    <row r="1436" spans="1:19" x14ac:dyDescent="0.25">
      <c r="A1436" s="24" t="s">
        <v>2556</v>
      </c>
      <c r="B1436" s="4" t="s">
        <v>1063</v>
      </c>
      <c r="C1436" s="25" t="s">
        <v>5</v>
      </c>
      <c r="E1436" s="3">
        <v>1</v>
      </c>
      <c r="F1436" s="24" t="s">
        <v>1045</v>
      </c>
      <c r="G1436" s="25" t="s">
        <v>1086</v>
      </c>
      <c r="H1436" s="24" t="s">
        <v>1061</v>
      </c>
      <c r="I1436" s="3" t="str">
        <f>IFERROR(VLOOKUP(C1436,'Справочник соответствий'!A$2:D$2981,2,FALSE),IF(VALUE(C1436)=0,1,VLOOKUP(C1436,'Справочник соответствий'!A$2:D$2981,2,FALSE)))</f>
        <v>1</v>
      </c>
      <c r="J1436" s="3">
        <f>IFERROR(VLOOKUP(D1436,'Справочник соответствий'!A$2:D$2981,2,FALSE),IF(VALUE(D1436)=0,0,VLOOKUP(D1436,'Справочник соответствий'!A$2:D$2981,2,FALSE)))</f>
        <v>0</v>
      </c>
      <c r="K1436" s="3" t="str">
        <f t="shared" si="154"/>
        <v>1</v>
      </c>
      <c r="L1436" s="13" t="str">
        <f>IFERROR(VLOOKUP(C1436,'Справочник соответствий'!A$2:D$2981,3,FALSE),IF(VALUE(C1436)=0,"ЭТАЖ НЕ ОПРЕДЕЛЕН. ПРИНЯТ ПО ДОПУЩЕНИЮ 1",VLOOKUP(C1436,'Справочник соответствий'!A$2:D$2981,3,FALSE)))</f>
        <v>ЭТАЖ ЗАДАН ЧИСЛОМ</v>
      </c>
      <c r="M1436" s="13" t="b">
        <f t="shared" si="155"/>
        <v>0</v>
      </c>
      <c r="N1436" s="13">
        <f t="shared" si="156"/>
        <v>1</v>
      </c>
      <c r="O1436" s="13" t="str">
        <f t="shared" si="157"/>
        <v>ЭТАЖ ЗАДАН ЧИСЛОМ</v>
      </c>
      <c r="P1436" s="13" t="str">
        <f t="shared" si="158"/>
        <v>ЭТАЖ ЗАДАН ЧИСЛОМ</v>
      </c>
      <c r="Q1436" s="13" t="str">
        <f t="shared" si="159"/>
        <v>ГОТОВ</v>
      </c>
      <c r="R1436" s="13">
        <f>IFERROR(VLOOKUP(P1436,Лист1!A$1:B$20,2,FALSE),0)</f>
        <v>784</v>
      </c>
      <c r="S1436" s="13">
        <f t="shared" si="160"/>
        <v>1</v>
      </c>
    </row>
    <row r="1437" spans="1:19" x14ac:dyDescent="0.25">
      <c r="A1437" s="24" t="s">
        <v>2557</v>
      </c>
      <c r="B1437" s="4" t="s">
        <v>1059</v>
      </c>
      <c r="E1437" s="3">
        <v>1</v>
      </c>
      <c r="F1437" s="24" t="s">
        <v>1045</v>
      </c>
      <c r="G1437" s="25" t="s">
        <v>1072</v>
      </c>
      <c r="H1437" s="24" t="s">
        <v>1061</v>
      </c>
      <c r="I1437" s="3">
        <f>IFERROR(VLOOKUP(C1437,'Справочник соответствий'!A$2:D$2981,2,FALSE),IF(VALUE(C1437)=0,1,VLOOKUP(C1437,'Справочник соответствий'!A$2:D$2981,2,FALSE)))</f>
        <v>1</v>
      </c>
      <c r="J1437" s="3">
        <f>IFERROR(VLOOKUP(D1437,'Справочник соответствий'!A$2:D$2981,2,FALSE),IF(VALUE(D1437)=0,0,VLOOKUP(D1437,'Справочник соответствий'!A$2:D$2981,2,FALSE)))</f>
        <v>0</v>
      </c>
      <c r="K1437" s="3">
        <f t="shared" si="154"/>
        <v>1</v>
      </c>
      <c r="L1437" s="13" t="str">
        <f>IFERROR(VLOOKUP(C1437,'Справочник соответствий'!A$2:D$2981,3,FALSE),IF(VALUE(C1437)=0,"ЭТАЖ НЕ ОПРЕДЕЛЕН. ПРИНЯТ ПО ДОПУЩЕНИЮ 1",VLOOKUP(C1437,'Справочник соответствий'!A$2:D$2981,3,FALSE)))</f>
        <v>ЭТАЖ НЕ ОПРЕДЕЛЕН. ПРИНЯТ ПО ДОПУЩЕНИЮ 1</v>
      </c>
      <c r="M1437" s="13" t="b">
        <f t="shared" si="155"/>
        <v>1</v>
      </c>
      <c r="N1437" s="13">
        <f t="shared" si="156"/>
        <v>1</v>
      </c>
      <c r="O1437" s="13" t="str">
        <f t="shared" si="157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437" s="13" t="str">
        <f t="shared" si="15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437" s="13" t="str">
        <f t="shared" si="159"/>
        <v>ГОТОВ</v>
      </c>
      <c r="R1437" s="13">
        <f>IFERROR(VLOOKUP(P1437,Лист1!A$1:B$20,2,FALSE),0)</f>
        <v>214</v>
      </c>
      <c r="S1437" s="13">
        <f t="shared" si="160"/>
        <v>1</v>
      </c>
    </row>
    <row r="1438" spans="1:19" x14ac:dyDescent="0.25">
      <c r="A1438" s="24" t="s">
        <v>2558</v>
      </c>
      <c r="B1438" s="4" t="s">
        <v>1031</v>
      </c>
      <c r="C1438" s="25" t="s">
        <v>7</v>
      </c>
      <c r="E1438" s="3">
        <v>2</v>
      </c>
      <c r="F1438" s="24" t="s">
        <v>2559</v>
      </c>
      <c r="G1438" s="25" t="s">
        <v>1072</v>
      </c>
      <c r="H1438" s="24" t="s">
        <v>1061</v>
      </c>
      <c r="I1438" s="3" t="str">
        <f>IFERROR(VLOOKUP(C1438,'Справочник соответствий'!A$2:D$2981,2,FALSE),IF(VALUE(C1438)=0,1,VLOOKUP(C1438,'Справочник соответствий'!A$2:D$2981,2,FALSE)))</f>
        <v>2</v>
      </c>
      <c r="J1438" s="3">
        <f>IFERROR(VLOOKUP(D1438,'Справочник соответствий'!A$2:D$2981,2,FALSE),IF(VALUE(D1438)=0,0,VLOOKUP(D1438,'Справочник соответствий'!A$2:D$2981,2,FALSE)))</f>
        <v>0</v>
      </c>
      <c r="K1438" s="3">
        <f t="shared" si="154"/>
        <v>2</v>
      </c>
      <c r="L1438" s="13" t="str">
        <f>IFERROR(VLOOKUP(C1438,'Справочник соответствий'!A$2:D$2981,3,FALSE),IF(VALUE(C1438)=0,"ЭТАЖ НЕ ОПРЕДЕЛЕН. ПРИНЯТ ПО ДОПУЩЕНИЮ 1",VLOOKUP(C1438,'Справочник соответствий'!A$2:D$2981,3,FALSE)))</f>
        <v>ЭТАЖ ЗАДАН ЧИСЛОМ</v>
      </c>
      <c r="M1438" s="13" t="b">
        <f t="shared" si="155"/>
        <v>0</v>
      </c>
      <c r="N1438" s="13">
        <f t="shared" si="156"/>
        <v>2</v>
      </c>
      <c r="O1438" s="13" t="str">
        <f t="shared" si="157"/>
        <v>ЭТАЖ ЗАДАН ЧИСЛОМ</v>
      </c>
      <c r="P1438" s="13" t="str">
        <f t="shared" si="158"/>
        <v>МКД_ЭТАЖ ЗАДАН ЧИСЛОМ</v>
      </c>
      <c r="Q1438" s="13" t="str">
        <f t="shared" si="159"/>
        <v>ГОТОВ</v>
      </c>
      <c r="R1438" s="13">
        <f>IFERROR(VLOOKUP(P1438,Лист1!A$1:B$20,2,FALSE),0)</f>
        <v>786</v>
      </c>
      <c r="S1438" s="13">
        <f t="shared" si="160"/>
        <v>2</v>
      </c>
    </row>
    <row r="1439" spans="1:19" x14ac:dyDescent="0.25">
      <c r="A1439" s="24" t="s">
        <v>2560</v>
      </c>
      <c r="B1439" s="4" t="s">
        <v>1059</v>
      </c>
      <c r="C1439" s="25" t="s">
        <v>11</v>
      </c>
      <c r="D1439" s="25" t="s">
        <v>5</v>
      </c>
      <c r="E1439" s="3">
        <v>5</v>
      </c>
      <c r="F1439" s="24" t="s">
        <v>1045</v>
      </c>
      <c r="G1439" s="25" t="s">
        <v>1096</v>
      </c>
      <c r="H1439" s="24" t="s">
        <v>1061</v>
      </c>
      <c r="I1439" s="3" t="str">
        <f>IFERROR(VLOOKUP(C1439,'Справочник соответствий'!A$2:D$2981,2,FALSE),IF(VALUE(C1439)=0,1,VLOOKUP(C1439,'Справочник соответствий'!A$2:D$2981,2,FALSE)))</f>
        <v>6</v>
      </c>
      <c r="J1439" s="3" t="str">
        <f>IFERROR(VLOOKUP(D1439,'Справочник соответствий'!A$2:D$2981,2,FALSE),IF(VALUE(D1439)=0,0,VLOOKUP(D1439,'Справочник соответствий'!A$2:D$2981,2,FALSE)))</f>
        <v>1</v>
      </c>
      <c r="K1439" s="3" t="str">
        <f t="shared" si="154"/>
        <v>6</v>
      </c>
      <c r="L1439" s="13" t="str">
        <f>IFERROR(VLOOKUP(C1439,'Справочник соответствий'!A$2:D$2981,3,FALSE),IF(VALUE(C1439)=0,"ЭТАЖ НЕ ОПРЕДЕЛЕН. ПРИНЯТ ПО ДОПУЩЕНИЮ 1",VLOOKUP(C1439,'Справочник соответствий'!A$2:D$2981,3,FALSE)))</f>
        <v>ЭТАЖ ЗАДАН ЧИСЛОМ</v>
      </c>
      <c r="M1439" s="13" t="b">
        <f t="shared" si="155"/>
        <v>0</v>
      </c>
      <c r="N1439" s="13">
        <f t="shared" si="156"/>
        <v>6</v>
      </c>
      <c r="O1439" s="13" t="str">
        <f t="shared" si="157"/>
        <v>ЭТАЖ ЗАДАН ЧИСЛОМ</v>
      </c>
      <c r="P1439" s="13" t="str">
        <f t="shared" si="158"/>
        <v>ЭТАЖ ЗАДАН ЧИСЛОМ</v>
      </c>
      <c r="Q1439" s="13" t="str">
        <f t="shared" si="159"/>
        <v>ГОТОВ_ИЗМЕНЕН</v>
      </c>
      <c r="R1439" s="13">
        <f>IFERROR(VLOOKUP(P1439,Лист1!A$1:B$20,2,FALSE),0)</f>
        <v>784</v>
      </c>
      <c r="S1439" s="13">
        <f t="shared" si="160"/>
        <v>5</v>
      </c>
    </row>
    <row r="1440" spans="1:19" x14ac:dyDescent="0.25">
      <c r="A1440" s="24" t="s">
        <v>2561</v>
      </c>
      <c r="B1440" s="4" t="s">
        <v>1059</v>
      </c>
      <c r="C1440" s="25" t="s">
        <v>5</v>
      </c>
      <c r="E1440" s="3">
        <v>1</v>
      </c>
      <c r="F1440" s="24" t="s">
        <v>1045</v>
      </c>
      <c r="G1440" s="25" t="s">
        <v>1083</v>
      </c>
      <c r="H1440" s="24" t="s">
        <v>1061</v>
      </c>
      <c r="I1440" s="3" t="str">
        <f>IFERROR(VLOOKUP(C1440,'Справочник соответствий'!A$2:D$2981,2,FALSE),IF(VALUE(C1440)=0,1,VLOOKUP(C1440,'Справочник соответствий'!A$2:D$2981,2,FALSE)))</f>
        <v>1</v>
      </c>
      <c r="J1440" s="3">
        <f>IFERROR(VLOOKUP(D1440,'Справочник соответствий'!A$2:D$2981,2,FALSE),IF(VALUE(D1440)=0,0,VLOOKUP(D1440,'Справочник соответствий'!A$2:D$2981,2,FALSE)))</f>
        <v>0</v>
      </c>
      <c r="K1440" s="3" t="str">
        <f t="shared" si="154"/>
        <v>1</v>
      </c>
      <c r="L1440" s="13" t="str">
        <f>IFERROR(VLOOKUP(C1440,'Справочник соответствий'!A$2:D$2981,3,FALSE),IF(VALUE(C1440)=0,"ЭТАЖ НЕ ОПРЕДЕЛЕН. ПРИНЯТ ПО ДОПУЩЕНИЮ 1",VLOOKUP(C1440,'Справочник соответствий'!A$2:D$2981,3,FALSE)))</f>
        <v>ЭТАЖ ЗАДАН ЧИСЛОМ</v>
      </c>
      <c r="M1440" s="13" t="b">
        <f t="shared" si="155"/>
        <v>0</v>
      </c>
      <c r="N1440" s="13">
        <f t="shared" si="156"/>
        <v>1</v>
      </c>
      <c r="O1440" s="13" t="str">
        <f t="shared" si="157"/>
        <v>ЭТАЖ ЗАДАН ЧИСЛОМ</v>
      </c>
      <c r="P1440" s="13" t="str">
        <f t="shared" si="158"/>
        <v>ЭТАЖ ЗАДАН ЧИСЛОМ</v>
      </c>
      <c r="Q1440" s="13" t="str">
        <f t="shared" si="159"/>
        <v>ГОТОВ</v>
      </c>
      <c r="R1440" s="13">
        <f>IFERROR(VLOOKUP(P1440,Лист1!A$1:B$20,2,FALSE),0)</f>
        <v>784</v>
      </c>
      <c r="S1440" s="13">
        <f t="shared" si="160"/>
        <v>1</v>
      </c>
    </row>
    <row r="1441" spans="1:19" x14ac:dyDescent="0.25">
      <c r="A1441" s="24" t="s">
        <v>2562</v>
      </c>
      <c r="B1441" s="4" t="s">
        <v>1059</v>
      </c>
      <c r="C1441" s="25" t="s">
        <v>5</v>
      </c>
      <c r="E1441" s="3">
        <v>1</v>
      </c>
      <c r="F1441" s="24" t="s">
        <v>1045</v>
      </c>
      <c r="G1441" s="25" t="s">
        <v>1072</v>
      </c>
      <c r="H1441" s="24" t="s">
        <v>1061</v>
      </c>
      <c r="I1441" s="3" t="str">
        <f>IFERROR(VLOOKUP(C1441,'Справочник соответствий'!A$2:D$2981,2,FALSE),IF(VALUE(C1441)=0,1,VLOOKUP(C1441,'Справочник соответствий'!A$2:D$2981,2,FALSE)))</f>
        <v>1</v>
      </c>
      <c r="J1441" s="3">
        <f>IFERROR(VLOOKUP(D1441,'Справочник соответствий'!A$2:D$2981,2,FALSE),IF(VALUE(D1441)=0,0,VLOOKUP(D1441,'Справочник соответствий'!A$2:D$2981,2,FALSE)))</f>
        <v>0</v>
      </c>
      <c r="K1441" s="3" t="str">
        <f t="shared" si="154"/>
        <v>1</v>
      </c>
      <c r="L1441" s="13" t="str">
        <f>IFERROR(VLOOKUP(C1441,'Справочник соответствий'!A$2:D$2981,3,FALSE),IF(VALUE(C1441)=0,"ЭТАЖ НЕ ОПРЕДЕЛЕН. ПРИНЯТ ПО ДОПУЩЕНИЮ 1",VLOOKUP(C1441,'Справочник соответствий'!A$2:D$2981,3,FALSE)))</f>
        <v>ЭТАЖ ЗАДАН ЧИСЛОМ</v>
      </c>
      <c r="M1441" s="13" t="b">
        <f t="shared" si="155"/>
        <v>0</v>
      </c>
      <c r="N1441" s="13">
        <f t="shared" si="156"/>
        <v>1</v>
      </c>
      <c r="O1441" s="13" t="str">
        <f t="shared" si="157"/>
        <v>ЭТАЖ ЗАДАН ЧИСЛОМ</v>
      </c>
      <c r="P1441" s="13" t="str">
        <f t="shared" si="158"/>
        <v>ЭТАЖ ЗАДАН ЧИСЛОМ</v>
      </c>
      <c r="Q1441" s="13" t="str">
        <f t="shared" si="159"/>
        <v>ГОТОВ</v>
      </c>
      <c r="R1441" s="13">
        <f>IFERROR(VLOOKUP(P1441,Лист1!A$1:B$20,2,FALSE),0)</f>
        <v>784</v>
      </c>
      <c r="S1441" s="13">
        <f t="shared" si="160"/>
        <v>1</v>
      </c>
    </row>
    <row r="1442" spans="1:19" x14ac:dyDescent="0.25">
      <c r="A1442" s="24" t="s">
        <v>2563</v>
      </c>
      <c r="B1442" s="4" t="s">
        <v>1063</v>
      </c>
      <c r="C1442" s="25" t="s">
        <v>5</v>
      </c>
      <c r="E1442" s="3">
        <v>1</v>
      </c>
      <c r="F1442" s="24" t="s">
        <v>1045</v>
      </c>
      <c r="G1442" s="25" t="s">
        <v>1174</v>
      </c>
      <c r="H1442" s="24" t="s">
        <v>1061</v>
      </c>
      <c r="I1442" s="3" t="str">
        <f>IFERROR(VLOOKUP(C1442,'Справочник соответствий'!A$2:D$2981,2,FALSE),IF(VALUE(C1442)=0,1,VLOOKUP(C1442,'Справочник соответствий'!A$2:D$2981,2,FALSE)))</f>
        <v>1</v>
      </c>
      <c r="J1442" s="3">
        <f>IFERROR(VLOOKUP(D1442,'Справочник соответствий'!A$2:D$2981,2,FALSE),IF(VALUE(D1442)=0,0,VLOOKUP(D1442,'Справочник соответствий'!A$2:D$2981,2,FALSE)))</f>
        <v>0</v>
      </c>
      <c r="K1442" s="3" t="str">
        <f t="shared" si="154"/>
        <v>1</v>
      </c>
      <c r="L1442" s="13" t="str">
        <f>IFERROR(VLOOKUP(C1442,'Справочник соответствий'!A$2:D$2981,3,FALSE),IF(VALUE(C1442)=0,"ЭТАЖ НЕ ОПРЕДЕЛЕН. ПРИНЯТ ПО ДОПУЩЕНИЮ 1",VLOOKUP(C1442,'Справочник соответствий'!A$2:D$2981,3,FALSE)))</f>
        <v>ЭТАЖ ЗАДАН ЧИСЛОМ</v>
      </c>
      <c r="M1442" s="13" t="b">
        <f t="shared" si="155"/>
        <v>0</v>
      </c>
      <c r="N1442" s="13">
        <f t="shared" si="156"/>
        <v>1</v>
      </c>
      <c r="O1442" s="13" t="str">
        <f t="shared" si="157"/>
        <v>ЭТАЖ ЗАДАН ЧИСЛОМ</v>
      </c>
      <c r="P1442" s="13" t="str">
        <f t="shared" si="158"/>
        <v>ЭТАЖ ЗАДАН ЧИСЛОМ</v>
      </c>
      <c r="Q1442" s="13" t="str">
        <f t="shared" si="159"/>
        <v>ГОТОВ</v>
      </c>
      <c r="R1442" s="13">
        <f>IFERROR(VLOOKUP(P1442,Лист1!A$1:B$20,2,FALSE),0)</f>
        <v>784</v>
      </c>
      <c r="S1442" s="13">
        <f t="shared" si="160"/>
        <v>1</v>
      </c>
    </row>
    <row r="1443" spans="1:19" x14ac:dyDescent="0.25">
      <c r="A1443" s="24" t="s">
        <v>2564</v>
      </c>
      <c r="B1443" s="4" t="s">
        <v>1059</v>
      </c>
      <c r="E1443" s="3">
        <v>1</v>
      </c>
      <c r="F1443" s="24" t="s">
        <v>1045</v>
      </c>
      <c r="G1443" s="25" t="s">
        <v>1075</v>
      </c>
      <c r="H1443" s="24" t="s">
        <v>1061</v>
      </c>
      <c r="I1443" s="3">
        <f>IFERROR(VLOOKUP(C1443,'Справочник соответствий'!A$2:D$2981,2,FALSE),IF(VALUE(C1443)=0,1,VLOOKUP(C1443,'Справочник соответствий'!A$2:D$2981,2,FALSE)))</f>
        <v>1</v>
      </c>
      <c r="J1443" s="3">
        <f>IFERROR(VLOOKUP(D1443,'Справочник соответствий'!A$2:D$2981,2,FALSE),IF(VALUE(D1443)=0,0,VLOOKUP(D1443,'Справочник соответствий'!A$2:D$2981,2,FALSE)))</f>
        <v>0</v>
      </c>
      <c r="K1443" s="3">
        <f t="shared" si="154"/>
        <v>1</v>
      </c>
      <c r="L1443" s="13" t="str">
        <f>IFERROR(VLOOKUP(C1443,'Справочник соответствий'!A$2:D$2981,3,FALSE),IF(VALUE(C1443)=0,"ЭТАЖ НЕ ОПРЕДЕЛЕН. ПРИНЯТ ПО ДОПУЩЕНИЮ 1",VLOOKUP(C1443,'Справочник соответствий'!A$2:D$2981,3,FALSE)))</f>
        <v>ЭТАЖ НЕ ОПРЕДЕЛЕН. ПРИНЯТ ПО ДОПУЩЕНИЮ 1</v>
      </c>
      <c r="M1443" s="13" t="b">
        <f t="shared" si="155"/>
        <v>1</v>
      </c>
      <c r="N1443" s="13">
        <f t="shared" si="156"/>
        <v>1</v>
      </c>
      <c r="O1443" s="13" t="str">
        <f t="shared" si="157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443" s="13" t="str">
        <f t="shared" si="15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443" s="13" t="str">
        <f t="shared" si="159"/>
        <v>ГОТОВ</v>
      </c>
      <c r="R1443" s="13">
        <f>IFERROR(VLOOKUP(P1443,Лист1!A$1:B$20,2,FALSE),0)</f>
        <v>214</v>
      </c>
      <c r="S1443" s="13">
        <f t="shared" si="160"/>
        <v>1</v>
      </c>
    </row>
    <row r="1444" spans="1:19" x14ac:dyDescent="0.25">
      <c r="A1444" s="24" t="s">
        <v>2565</v>
      </c>
      <c r="B1444" s="4" t="s">
        <v>1059</v>
      </c>
      <c r="C1444" s="25" t="s">
        <v>5</v>
      </c>
      <c r="E1444" s="3">
        <v>1</v>
      </c>
      <c r="F1444" s="24" t="s">
        <v>1082</v>
      </c>
      <c r="G1444" s="25" t="s">
        <v>1072</v>
      </c>
      <c r="H1444" s="24" t="s">
        <v>1061</v>
      </c>
      <c r="I1444" s="3" t="str">
        <f>IFERROR(VLOOKUP(C1444,'Справочник соответствий'!A$2:D$2981,2,FALSE),IF(VALUE(C1444)=0,1,VLOOKUP(C1444,'Справочник соответствий'!A$2:D$2981,2,FALSE)))</f>
        <v>1</v>
      </c>
      <c r="J1444" s="3">
        <f>IFERROR(VLOOKUP(D1444,'Справочник соответствий'!A$2:D$2981,2,FALSE),IF(VALUE(D1444)=0,0,VLOOKUP(D1444,'Справочник соответствий'!A$2:D$2981,2,FALSE)))</f>
        <v>0</v>
      </c>
      <c r="K1444" s="3" t="str">
        <f t="shared" si="154"/>
        <v>1</v>
      </c>
      <c r="L1444" s="13" t="str">
        <f>IFERROR(VLOOKUP(C1444,'Справочник соответствий'!A$2:D$2981,3,FALSE),IF(VALUE(C1444)=0,"ЭТАЖ НЕ ОПРЕДЕЛЕН. ПРИНЯТ ПО ДОПУЩЕНИЮ 1",VLOOKUP(C1444,'Справочник соответствий'!A$2:D$2981,3,FALSE)))</f>
        <v>ЭТАЖ ЗАДАН ЧИСЛОМ</v>
      </c>
      <c r="M1444" s="13" t="b">
        <f t="shared" si="155"/>
        <v>0</v>
      </c>
      <c r="N1444" s="13">
        <f t="shared" si="156"/>
        <v>1</v>
      </c>
      <c r="O1444" s="13" t="str">
        <f t="shared" si="157"/>
        <v>ЭТАЖ ЗАДАН ЧИСЛОМ</v>
      </c>
      <c r="P1444" s="13" t="str">
        <f t="shared" si="158"/>
        <v>ЭТАЖ ЗАДАН ЧИСЛОМ</v>
      </c>
      <c r="Q1444" s="13" t="str">
        <f t="shared" si="159"/>
        <v>ГОТОВ</v>
      </c>
      <c r="R1444" s="13">
        <f>IFERROR(VLOOKUP(P1444,Лист1!A$1:B$20,2,FALSE),0)</f>
        <v>784</v>
      </c>
      <c r="S1444" s="13">
        <f t="shared" si="160"/>
        <v>1</v>
      </c>
    </row>
    <row r="1445" spans="1:19" x14ac:dyDescent="0.25">
      <c r="A1445" s="24" t="s">
        <v>2566</v>
      </c>
      <c r="B1445" s="4" t="s">
        <v>1063</v>
      </c>
      <c r="C1445" s="25" t="s">
        <v>5</v>
      </c>
      <c r="E1445" s="3">
        <v>1</v>
      </c>
      <c r="F1445" s="24" t="s">
        <v>1045</v>
      </c>
      <c r="G1445" s="25" t="s">
        <v>1086</v>
      </c>
      <c r="H1445" s="24" t="s">
        <v>1061</v>
      </c>
      <c r="I1445" s="3" t="str">
        <f>IFERROR(VLOOKUP(C1445,'Справочник соответствий'!A$2:D$2981,2,FALSE),IF(VALUE(C1445)=0,1,VLOOKUP(C1445,'Справочник соответствий'!A$2:D$2981,2,FALSE)))</f>
        <v>1</v>
      </c>
      <c r="J1445" s="3">
        <f>IFERROR(VLOOKUP(D1445,'Справочник соответствий'!A$2:D$2981,2,FALSE),IF(VALUE(D1445)=0,0,VLOOKUP(D1445,'Справочник соответствий'!A$2:D$2981,2,FALSE)))</f>
        <v>0</v>
      </c>
      <c r="K1445" s="3" t="str">
        <f t="shared" si="154"/>
        <v>1</v>
      </c>
      <c r="L1445" s="13" t="str">
        <f>IFERROR(VLOOKUP(C1445,'Справочник соответствий'!A$2:D$2981,3,FALSE),IF(VALUE(C1445)=0,"ЭТАЖ НЕ ОПРЕДЕЛЕН. ПРИНЯТ ПО ДОПУЩЕНИЮ 1",VLOOKUP(C1445,'Справочник соответствий'!A$2:D$2981,3,FALSE)))</f>
        <v>ЭТАЖ ЗАДАН ЧИСЛОМ</v>
      </c>
      <c r="M1445" s="13" t="b">
        <f t="shared" si="155"/>
        <v>0</v>
      </c>
      <c r="N1445" s="13">
        <f t="shared" si="156"/>
        <v>1</v>
      </c>
      <c r="O1445" s="13" t="str">
        <f t="shared" si="157"/>
        <v>ЭТАЖ ЗАДАН ЧИСЛОМ</v>
      </c>
      <c r="P1445" s="13" t="str">
        <f t="shared" si="158"/>
        <v>ЭТАЖ ЗАДАН ЧИСЛОМ</v>
      </c>
      <c r="Q1445" s="13" t="str">
        <f t="shared" si="159"/>
        <v>ГОТОВ</v>
      </c>
      <c r="R1445" s="13">
        <f>IFERROR(VLOOKUP(P1445,Лист1!A$1:B$20,2,FALSE),0)</f>
        <v>784</v>
      </c>
      <c r="S1445" s="13">
        <f t="shared" si="160"/>
        <v>1</v>
      </c>
    </row>
    <row r="1446" spans="1:19" x14ac:dyDescent="0.25">
      <c r="A1446" s="24" t="s">
        <v>2567</v>
      </c>
      <c r="B1446" s="4" t="s">
        <v>1031</v>
      </c>
      <c r="C1446" s="25" t="s">
        <v>7</v>
      </c>
      <c r="E1446" s="3">
        <v>1</v>
      </c>
      <c r="F1446" s="24" t="s">
        <v>1045</v>
      </c>
      <c r="G1446" s="25" t="s">
        <v>1075</v>
      </c>
      <c r="H1446" s="24" t="s">
        <v>1061</v>
      </c>
      <c r="I1446" s="3" t="str">
        <f>IFERROR(VLOOKUP(C1446,'Справочник соответствий'!A$2:D$2981,2,FALSE),IF(VALUE(C1446)=0,1,VLOOKUP(C1446,'Справочник соответствий'!A$2:D$2981,2,FALSE)))</f>
        <v>2</v>
      </c>
      <c r="J1446" s="3">
        <f>IFERROR(VLOOKUP(D1446,'Справочник соответствий'!A$2:D$2981,2,FALSE),IF(VALUE(D1446)=0,0,VLOOKUP(D1446,'Справочник соответствий'!A$2:D$2981,2,FALSE)))</f>
        <v>0</v>
      </c>
      <c r="K1446" s="3">
        <f t="shared" si="154"/>
        <v>2</v>
      </c>
      <c r="L1446" s="13" t="str">
        <f>IFERROR(VLOOKUP(C1446,'Справочник соответствий'!A$2:D$2981,3,FALSE),IF(VALUE(C1446)=0,"ЭТАЖ НЕ ОПРЕДЕЛЕН. ПРИНЯТ ПО ДОПУЩЕНИЮ 1",VLOOKUP(C1446,'Справочник соответствий'!A$2:D$2981,3,FALSE)))</f>
        <v>ЭТАЖ ЗАДАН ЧИСЛОМ</v>
      </c>
      <c r="M1446" s="13" t="b">
        <f t="shared" si="155"/>
        <v>0</v>
      </c>
      <c r="N1446" s="13">
        <f t="shared" si="156"/>
        <v>2</v>
      </c>
      <c r="O1446" s="13" t="str">
        <f t="shared" si="157"/>
        <v>ЭТАЖ ЗАДАН ЧИСЛОМ</v>
      </c>
      <c r="P1446" s="13" t="str">
        <f t="shared" si="158"/>
        <v>МКД_ЭТАЖ ЗАДАН ЧИСЛОМ</v>
      </c>
      <c r="Q1446" s="13" t="str">
        <f t="shared" si="159"/>
        <v>ГОТОВ_ИЗМЕНЕН</v>
      </c>
      <c r="R1446" s="13">
        <f>IFERROR(VLOOKUP(P1446,Лист1!A$1:B$20,2,FALSE),0)</f>
        <v>786</v>
      </c>
      <c r="S1446" s="13">
        <f t="shared" si="160"/>
        <v>1</v>
      </c>
    </row>
    <row r="1447" spans="1:19" x14ac:dyDescent="0.25">
      <c r="A1447" s="24" t="s">
        <v>2568</v>
      </c>
      <c r="B1447" s="4" t="s">
        <v>1059</v>
      </c>
      <c r="C1447" s="25" t="s">
        <v>5</v>
      </c>
      <c r="E1447" s="3">
        <v>1</v>
      </c>
      <c r="F1447" s="24" t="s">
        <v>1045</v>
      </c>
      <c r="G1447" s="25" t="s">
        <v>1080</v>
      </c>
      <c r="H1447" s="24" t="s">
        <v>1061</v>
      </c>
      <c r="I1447" s="3" t="str">
        <f>IFERROR(VLOOKUP(C1447,'Справочник соответствий'!A$2:D$2981,2,FALSE),IF(VALUE(C1447)=0,1,VLOOKUP(C1447,'Справочник соответствий'!A$2:D$2981,2,FALSE)))</f>
        <v>1</v>
      </c>
      <c r="J1447" s="3">
        <f>IFERROR(VLOOKUP(D1447,'Справочник соответствий'!A$2:D$2981,2,FALSE),IF(VALUE(D1447)=0,0,VLOOKUP(D1447,'Справочник соответствий'!A$2:D$2981,2,FALSE)))</f>
        <v>0</v>
      </c>
      <c r="K1447" s="3" t="str">
        <f t="shared" si="154"/>
        <v>1</v>
      </c>
      <c r="L1447" s="13" t="str">
        <f>IFERROR(VLOOKUP(C1447,'Справочник соответствий'!A$2:D$2981,3,FALSE),IF(VALUE(C1447)=0,"ЭТАЖ НЕ ОПРЕДЕЛЕН. ПРИНЯТ ПО ДОПУЩЕНИЮ 1",VLOOKUP(C1447,'Справочник соответствий'!A$2:D$2981,3,FALSE)))</f>
        <v>ЭТАЖ ЗАДАН ЧИСЛОМ</v>
      </c>
      <c r="M1447" s="13" t="b">
        <f t="shared" si="155"/>
        <v>0</v>
      </c>
      <c r="N1447" s="13">
        <f t="shared" si="156"/>
        <v>1</v>
      </c>
      <c r="O1447" s="13" t="str">
        <f t="shared" si="157"/>
        <v>ЭТАЖ ЗАДАН ЧИСЛОМ</v>
      </c>
      <c r="P1447" s="13" t="str">
        <f t="shared" si="158"/>
        <v>ЭТАЖ ЗАДАН ЧИСЛОМ</v>
      </c>
      <c r="Q1447" s="13" t="str">
        <f t="shared" si="159"/>
        <v>ГОТОВ</v>
      </c>
      <c r="R1447" s="13">
        <f>IFERROR(VLOOKUP(P1447,Лист1!A$1:B$20,2,FALSE),0)</f>
        <v>784</v>
      </c>
      <c r="S1447" s="13">
        <f t="shared" si="160"/>
        <v>1</v>
      </c>
    </row>
    <row r="1448" spans="1:19" x14ac:dyDescent="0.25">
      <c r="A1448" s="24" t="s">
        <v>2569</v>
      </c>
      <c r="B1448" s="4" t="s">
        <v>1059</v>
      </c>
      <c r="C1448" s="25" t="s">
        <v>5</v>
      </c>
      <c r="E1448" s="3">
        <v>1</v>
      </c>
      <c r="F1448" s="24" t="s">
        <v>1045</v>
      </c>
      <c r="G1448" s="25" t="s">
        <v>1067</v>
      </c>
      <c r="H1448" s="24" t="s">
        <v>1061</v>
      </c>
      <c r="I1448" s="3" t="str">
        <f>IFERROR(VLOOKUP(C1448,'Справочник соответствий'!A$2:D$2981,2,FALSE),IF(VALUE(C1448)=0,1,VLOOKUP(C1448,'Справочник соответствий'!A$2:D$2981,2,FALSE)))</f>
        <v>1</v>
      </c>
      <c r="J1448" s="3">
        <f>IFERROR(VLOOKUP(D1448,'Справочник соответствий'!A$2:D$2981,2,FALSE),IF(VALUE(D1448)=0,0,VLOOKUP(D1448,'Справочник соответствий'!A$2:D$2981,2,FALSE)))</f>
        <v>0</v>
      </c>
      <c r="K1448" s="3" t="str">
        <f t="shared" si="154"/>
        <v>1</v>
      </c>
      <c r="L1448" s="13" t="str">
        <f>IFERROR(VLOOKUP(C1448,'Справочник соответствий'!A$2:D$2981,3,FALSE),IF(VALUE(C1448)=0,"ЭТАЖ НЕ ОПРЕДЕЛЕН. ПРИНЯТ ПО ДОПУЩЕНИЮ 1",VLOOKUP(C1448,'Справочник соответствий'!A$2:D$2981,3,FALSE)))</f>
        <v>ЭТАЖ ЗАДАН ЧИСЛОМ</v>
      </c>
      <c r="M1448" s="13" t="b">
        <f t="shared" si="155"/>
        <v>0</v>
      </c>
      <c r="N1448" s="13">
        <f t="shared" si="156"/>
        <v>1</v>
      </c>
      <c r="O1448" s="13" t="str">
        <f t="shared" si="157"/>
        <v>ЭТАЖ ЗАДАН ЧИСЛОМ</v>
      </c>
      <c r="P1448" s="13" t="str">
        <f t="shared" si="158"/>
        <v>ЭТАЖ ЗАДАН ЧИСЛОМ</v>
      </c>
      <c r="Q1448" s="13" t="str">
        <f t="shared" si="159"/>
        <v>ГОТОВ</v>
      </c>
      <c r="R1448" s="13">
        <f>IFERROR(VLOOKUP(P1448,Лист1!A$1:B$20,2,FALSE),0)</f>
        <v>784</v>
      </c>
      <c r="S1448" s="13">
        <f t="shared" si="160"/>
        <v>1</v>
      </c>
    </row>
    <row r="1449" spans="1:19" x14ac:dyDescent="0.25">
      <c r="A1449" s="24" t="s">
        <v>2570</v>
      </c>
      <c r="B1449" s="4" t="s">
        <v>1059</v>
      </c>
      <c r="C1449" s="25" t="s">
        <v>7</v>
      </c>
      <c r="E1449" s="3">
        <v>2</v>
      </c>
      <c r="F1449" s="24" t="s">
        <v>1038</v>
      </c>
      <c r="G1449" s="25" t="s">
        <v>1072</v>
      </c>
      <c r="H1449" s="24" t="s">
        <v>1061</v>
      </c>
      <c r="I1449" s="3" t="str">
        <f>IFERROR(VLOOKUP(C1449,'Справочник соответствий'!A$2:D$2981,2,FALSE),IF(VALUE(C1449)=0,1,VLOOKUP(C1449,'Справочник соответствий'!A$2:D$2981,2,FALSE)))</f>
        <v>2</v>
      </c>
      <c r="J1449" s="3">
        <f>IFERROR(VLOOKUP(D1449,'Справочник соответствий'!A$2:D$2981,2,FALSE),IF(VALUE(D1449)=0,0,VLOOKUP(D1449,'Справочник соответствий'!A$2:D$2981,2,FALSE)))</f>
        <v>0</v>
      </c>
      <c r="K1449" s="3" t="str">
        <f t="shared" si="154"/>
        <v>2</v>
      </c>
      <c r="L1449" s="13" t="str">
        <f>IFERROR(VLOOKUP(C1449,'Справочник соответствий'!A$2:D$2981,3,FALSE),IF(VALUE(C1449)=0,"ЭТАЖ НЕ ОПРЕДЕЛЕН. ПРИНЯТ ПО ДОПУЩЕНИЮ 1",VLOOKUP(C1449,'Справочник соответствий'!A$2:D$2981,3,FALSE)))</f>
        <v>ЭТАЖ ЗАДАН ЧИСЛОМ</v>
      </c>
      <c r="M1449" s="13" t="b">
        <f t="shared" si="155"/>
        <v>0</v>
      </c>
      <c r="N1449" s="13">
        <f t="shared" si="156"/>
        <v>2</v>
      </c>
      <c r="O1449" s="13" t="str">
        <f t="shared" si="157"/>
        <v>ЭТАЖ ЗАДАН ЧИСЛОМ</v>
      </c>
      <c r="P1449" s="13" t="str">
        <f t="shared" si="158"/>
        <v>ЭТАЖ ЗАДАН ЧИСЛОМ</v>
      </c>
      <c r="Q1449" s="13" t="str">
        <f t="shared" si="159"/>
        <v>ГОТОВ</v>
      </c>
      <c r="R1449" s="13">
        <f>IFERROR(VLOOKUP(P1449,Лист1!A$1:B$20,2,FALSE),0)</f>
        <v>784</v>
      </c>
      <c r="S1449" s="13">
        <f t="shared" si="160"/>
        <v>2</v>
      </c>
    </row>
    <row r="1450" spans="1:19" x14ac:dyDescent="0.25">
      <c r="A1450" s="24" t="s">
        <v>2571</v>
      </c>
      <c r="B1450" s="4" t="s">
        <v>1059</v>
      </c>
      <c r="C1450" s="25" t="s">
        <v>5</v>
      </c>
      <c r="E1450" s="3">
        <v>1</v>
      </c>
      <c r="F1450" s="24" t="s">
        <v>1045</v>
      </c>
      <c r="G1450" s="25" t="s">
        <v>1108</v>
      </c>
      <c r="H1450" s="24" t="s">
        <v>1061</v>
      </c>
      <c r="I1450" s="3" t="str">
        <f>IFERROR(VLOOKUP(C1450,'Справочник соответствий'!A$2:D$2981,2,FALSE),IF(VALUE(C1450)=0,1,VLOOKUP(C1450,'Справочник соответствий'!A$2:D$2981,2,FALSE)))</f>
        <v>1</v>
      </c>
      <c r="J1450" s="3">
        <f>IFERROR(VLOOKUP(D1450,'Справочник соответствий'!A$2:D$2981,2,FALSE),IF(VALUE(D1450)=0,0,VLOOKUP(D1450,'Справочник соответствий'!A$2:D$2981,2,FALSE)))</f>
        <v>0</v>
      </c>
      <c r="K1450" s="3" t="str">
        <f t="shared" si="154"/>
        <v>1</v>
      </c>
      <c r="L1450" s="13" t="str">
        <f>IFERROR(VLOOKUP(C1450,'Справочник соответствий'!A$2:D$2981,3,FALSE),IF(VALUE(C1450)=0,"ЭТАЖ НЕ ОПРЕДЕЛЕН. ПРИНЯТ ПО ДОПУЩЕНИЮ 1",VLOOKUP(C1450,'Справочник соответствий'!A$2:D$2981,3,FALSE)))</f>
        <v>ЭТАЖ ЗАДАН ЧИСЛОМ</v>
      </c>
      <c r="M1450" s="13" t="b">
        <f t="shared" si="155"/>
        <v>0</v>
      </c>
      <c r="N1450" s="13">
        <f t="shared" si="156"/>
        <v>1</v>
      </c>
      <c r="O1450" s="13" t="str">
        <f t="shared" si="157"/>
        <v>ЭТАЖ ЗАДАН ЧИСЛОМ</v>
      </c>
      <c r="P1450" s="13" t="str">
        <f t="shared" si="158"/>
        <v>ЭТАЖ ЗАДАН ЧИСЛОМ</v>
      </c>
      <c r="Q1450" s="13" t="str">
        <f t="shared" si="159"/>
        <v>ГОТОВ</v>
      </c>
      <c r="R1450" s="13">
        <f>IFERROR(VLOOKUP(P1450,Лист1!A$1:B$20,2,FALSE),0)</f>
        <v>784</v>
      </c>
      <c r="S1450" s="13">
        <f t="shared" si="160"/>
        <v>1</v>
      </c>
    </row>
    <row r="1451" spans="1:19" x14ac:dyDescent="0.25">
      <c r="A1451" s="24" t="s">
        <v>2572</v>
      </c>
      <c r="B1451" s="4" t="s">
        <v>1063</v>
      </c>
      <c r="C1451" s="25" t="s">
        <v>5</v>
      </c>
      <c r="E1451" s="3">
        <v>1</v>
      </c>
      <c r="F1451" s="24" t="s">
        <v>1045</v>
      </c>
      <c r="G1451" s="25" t="s">
        <v>1096</v>
      </c>
      <c r="H1451" s="24" t="s">
        <v>1061</v>
      </c>
      <c r="I1451" s="3" t="str">
        <f>IFERROR(VLOOKUP(C1451,'Справочник соответствий'!A$2:D$2981,2,FALSE),IF(VALUE(C1451)=0,1,VLOOKUP(C1451,'Справочник соответствий'!A$2:D$2981,2,FALSE)))</f>
        <v>1</v>
      </c>
      <c r="J1451" s="3">
        <f>IFERROR(VLOOKUP(D1451,'Справочник соответствий'!A$2:D$2981,2,FALSE),IF(VALUE(D1451)=0,0,VLOOKUP(D1451,'Справочник соответствий'!A$2:D$2981,2,FALSE)))</f>
        <v>0</v>
      </c>
      <c r="K1451" s="3" t="str">
        <f t="shared" si="154"/>
        <v>1</v>
      </c>
      <c r="L1451" s="13" t="str">
        <f>IFERROR(VLOOKUP(C1451,'Справочник соответствий'!A$2:D$2981,3,FALSE),IF(VALUE(C1451)=0,"ЭТАЖ НЕ ОПРЕДЕЛЕН. ПРИНЯТ ПО ДОПУЩЕНИЮ 1",VLOOKUP(C1451,'Справочник соответствий'!A$2:D$2981,3,FALSE)))</f>
        <v>ЭТАЖ ЗАДАН ЧИСЛОМ</v>
      </c>
      <c r="M1451" s="13" t="b">
        <f t="shared" si="155"/>
        <v>0</v>
      </c>
      <c r="N1451" s="13">
        <f t="shared" si="156"/>
        <v>1</v>
      </c>
      <c r="O1451" s="13" t="str">
        <f t="shared" si="157"/>
        <v>ЭТАЖ ЗАДАН ЧИСЛОМ</v>
      </c>
      <c r="P1451" s="13" t="str">
        <f t="shared" si="158"/>
        <v>ЭТАЖ ЗАДАН ЧИСЛОМ</v>
      </c>
      <c r="Q1451" s="13" t="str">
        <f t="shared" si="159"/>
        <v>ГОТОВ</v>
      </c>
      <c r="R1451" s="13">
        <f>IFERROR(VLOOKUP(P1451,Лист1!A$1:B$20,2,FALSE),0)</f>
        <v>784</v>
      </c>
      <c r="S1451" s="13">
        <f t="shared" si="160"/>
        <v>1</v>
      </c>
    </row>
    <row r="1452" spans="1:19" x14ac:dyDescent="0.25">
      <c r="A1452" s="24" t="s">
        <v>2573</v>
      </c>
      <c r="B1452" s="4" t="s">
        <v>1059</v>
      </c>
      <c r="C1452" s="25" t="s">
        <v>5</v>
      </c>
      <c r="E1452" s="3">
        <v>1</v>
      </c>
      <c r="F1452" s="24" t="s">
        <v>1045</v>
      </c>
      <c r="G1452" s="25" t="s">
        <v>1089</v>
      </c>
      <c r="H1452" s="24" t="s">
        <v>1061</v>
      </c>
      <c r="I1452" s="3" t="str">
        <f>IFERROR(VLOOKUP(C1452,'Справочник соответствий'!A$2:D$2981,2,FALSE),IF(VALUE(C1452)=0,1,VLOOKUP(C1452,'Справочник соответствий'!A$2:D$2981,2,FALSE)))</f>
        <v>1</v>
      </c>
      <c r="J1452" s="3">
        <f>IFERROR(VLOOKUP(D1452,'Справочник соответствий'!A$2:D$2981,2,FALSE),IF(VALUE(D1452)=0,0,VLOOKUP(D1452,'Справочник соответствий'!A$2:D$2981,2,FALSE)))</f>
        <v>0</v>
      </c>
      <c r="K1452" s="3" t="str">
        <f t="shared" si="154"/>
        <v>1</v>
      </c>
      <c r="L1452" s="13" t="str">
        <f>IFERROR(VLOOKUP(C1452,'Справочник соответствий'!A$2:D$2981,3,FALSE),IF(VALUE(C1452)=0,"ЭТАЖ НЕ ОПРЕДЕЛЕН. ПРИНЯТ ПО ДОПУЩЕНИЮ 1",VLOOKUP(C1452,'Справочник соответствий'!A$2:D$2981,3,FALSE)))</f>
        <v>ЭТАЖ ЗАДАН ЧИСЛОМ</v>
      </c>
      <c r="M1452" s="13" t="b">
        <f t="shared" si="155"/>
        <v>0</v>
      </c>
      <c r="N1452" s="13">
        <f t="shared" si="156"/>
        <v>1</v>
      </c>
      <c r="O1452" s="13" t="str">
        <f t="shared" si="157"/>
        <v>ЭТАЖ ЗАДАН ЧИСЛОМ</v>
      </c>
      <c r="P1452" s="13" t="str">
        <f t="shared" si="158"/>
        <v>ЭТАЖ ЗАДАН ЧИСЛОМ</v>
      </c>
      <c r="Q1452" s="13" t="str">
        <f t="shared" si="159"/>
        <v>ГОТОВ</v>
      </c>
      <c r="R1452" s="13">
        <f>IFERROR(VLOOKUP(P1452,Лист1!A$1:B$20,2,FALSE),0)</f>
        <v>784</v>
      </c>
      <c r="S1452" s="13">
        <f t="shared" si="160"/>
        <v>1</v>
      </c>
    </row>
    <row r="1453" spans="1:19" x14ac:dyDescent="0.25">
      <c r="A1453" s="24" t="s">
        <v>2574</v>
      </c>
      <c r="B1453" s="4" t="s">
        <v>1059</v>
      </c>
      <c r="C1453" s="25" t="s">
        <v>5</v>
      </c>
      <c r="E1453" s="3">
        <v>1</v>
      </c>
      <c r="F1453" s="24" t="s">
        <v>1045</v>
      </c>
      <c r="G1453" s="25" t="s">
        <v>1069</v>
      </c>
      <c r="H1453" s="24" t="s">
        <v>1061</v>
      </c>
      <c r="I1453" s="3" t="str">
        <f>IFERROR(VLOOKUP(C1453,'Справочник соответствий'!A$2:D$2981,2,FALSE),IF(VALUE(C1453)=0,1,VLOOKUP(C1453,'Справочник соответствий'!A$2:D$2981,2,FALSE)))</f>
        <v>1</v>
      </c>
      <c r="J1453" s="3">
        <f>IFERROR(VLOOKUP(D1453,'Справочник соответствий'!A$2:D$2981,2,FALSE),IF(VALUE(D1453)=0,0,VLOOKUP(D1453,'Справочник соответствий'!A$2:D$2981,2,FALSE)))</f>
        <v>0</v>
      </c>
      <c r="K1453" s="3" t="str">
        <f t="shared" si="154"/>
        <v>1</v>
      </c>
      <c r="L1453" s="13" t="str">
        <f>IFERROR(VLOOKUP(C1453,'Справочник соответствий'!A$2:D$2981,3,FALSE),IF(VALUE(C1453)=0,"ЭТАЖ НЕ ОПРЕДЕЛЕН. ПРИНЯТ ПО ДОПУЩЕНИЮ 1",VLOOKUP(C1453,'Справочник соответствий'!A$2:D$2981,3,FALSE)))</f>
        <v>ЭТАЖ ЗАДАН ЧИСЛОМ</v>
      </c>
      <c r="M1453" s="13" t="b">
        <f t="shared" si="155"/>
        <v>0</v>
      </c>
      <c r="N1453" s="13">
        <f t="shared" si="156"/>
        <v>1</v>
      </c>
      <c r="O1453" s="13" t="str">
        <f t="shared" si="157"/>
        <v>ЭТАЖ ЗАДАН ЧИСЛОМ</v>
      </c>
      <c r="P1453" s="13" t="str">
        <f t="shared" si="158"/>
        <v>ЭТАЖ ЗАДАН ЧИСЛОМ</v>
      </c>
      <c r="Q1453" s="13" t="str">
        <f t="shared" si="159"/>
        <v>ГОТОВ</v>
      </c>
      <c r="R1453" s="13">
        <f>IFERROR(VLOOKUP(P1453,Лист1!A$1:B$20,2,FALSE),0)</f>
        <v>784</v>
      </c>
      <c r="S1453" s="13">
        <f t="shared" si="160"/>
        <v>1</v>
      </c>
    </row>
    <row r="1454" spans="1:19" x14ac:dyDescent="0.25">
      <c r="A1454" s="24" t="s">
        <v>2575</v>
      </c>
      <c r="B1454" s="4" t="s">
        <v>1059</v>
      </c>
      <c r="C1454" s="25" t="s">
        <v>5</v>
      </c>
      <c r="E1454" s="3">
        <v>1</v>
      </c>
      <c r="F1454" s="24" t="s">
        <v>1045</v>
      </c>
      <c r="G1454" s="25" t="s">
        <v>1104</v>
      </c>
      <c r="H1454" s="24" t="s">
        <v>1061</v>
      </c>
      <c r="I1454" s="3" t="str">
        <f>IFERROR(VLOOKUP(C1454,'Справочник соответствий'!A$2:D$2981,2,FALSE),IF(VALUE(C1454)=0,1,VLOOKUP(C1454,'Справочник соответствий'!A$2:D$2981,2,FALSE)))</f>
        <v>1</v>
      </c>
      <c r="J1454" s="3">
        <f>IFERROR(VLOOKUP(D1454,'Справочник соответствий'!A$2:D$2981,2,FALSE),IF(VALUE(D1454)=0,0,VLOOKUP(D1454,'Справочник соответствий'!A$2:D$2981,2,FALSE)))</f>
        <v>0</v>
      </c>
      <c r="K1454" s="3" t="str">
        <f t="shared" si="154"/>
        <v>1</v>
      </c>
      <c r="L1454" s="13" t="str">
        <f>IFERROR(VLOOKUP(C1454,'Справочник соответствий'!A$2:D$2981,3,FALSE),IF(VALUE(C1454)=0,"ЭТАЖ НЕ ОПРЕДЕЛЕН. ПРИНЯТ ПО ДОПУЩЕНИЮ 1",VLOOKUP(C1454,'Справочник соответствий'!A$2:D$2981,3,FALSE)))</f>
        <v>ЭТАЖ ЗАДАН ЧИСЛОМ</v>
      </c>
      <c r="M1454" s="13" t="b">
        <f t="shared" si="155"/>
        <v>0</v>
      </c>
      <c r="N1454" s="13">
        <f t="shared" si="156"/>
        <v>1</v>
      </c>
      <c r="O1454" s="13" t="str">
        <f t="shared" si="157"/>
        <v>ЭТАЖ ЗАДАН ЧИСЛОМ</v>
      </c>
      <c r="P1454" s="13" t="str">
        <f t="shared" si="158"/>
        <v>ЭТАЖ ЗАДАН ЧИСЛОМ</v>
      </c>
      <c r="Q1454" s="13" t="str">
        <f t="shared" si="159"/>
        <v>ГОТОВ</v>
      </c>
      <c r="R1454" s="13">
        <f>IFERROR(VLOOKUP(P1454,Лист1!A$1:B$20,2,FALSE),0)</f>
        <v>784</v>
      </c>
      <c r="S1454" s="13">
        <f t="shared" si="160"/>
        <v>1</v>
      </c>
    </row>
    <row r="1455" spans="1:19" x14ac:dyDescent="0.25">
      <c r="A1455" s="24" t="s">
        <v>2576</v>
      </c>
      <c r="B1455" s="4" t="s">
        <v>1059</v>
      </c>
      <c r="C1455" s="25" t="s">
        <v>5</v>
      </c>
      <c r="D1455" s="25" t="s">
        <v>24</v>
      </c>
      <c r="E1455" s="3">
        <v>1</v>
      </c>
      <c r="F1455" s="24" t="s">
        <v>1045</v>
      </c>
      <c r="G1455" s="25" t="s">
        <v>1108</v>
      </c>
      <c r="H1455" s="24" t="s">
        <v>1061</v>
      </c>
      <c r="I1455" s="3" t="str">
        <f>IFERROR(VLOOKUP(C1455,'Справочник соответствий'!A$2:D$2981,2,FALSE),IF(VALUE(C1455)=0,1,VLOOKUP(C1455,'Справочник соответствий'!A$2:D$2981,2,FALSE)))</f>
        <v>1</v>
      </c>
      <c r="J1455" s="3" t="str">
        <f>IFERROR(VLOOKUP(D1455,'Справочник соответствий'!A$2:D$2981,2,FALSE),IF(VALUE(D1455)=0,0,VLOOKUP(D1455,'Справочник соответствий'!A$2:D$2981,2,FALSE)))</f>
        <v>1</v>
      </c>
      <c r="K1455" s="3" t="str">
        <f t="shared" si="154"/>
        <v>1</v>
      </c>
      <c r="L1455" s="13" t="str">
        <f>IFERROR(VLOOKUP(C1455,'Справочник соответствий'!A$2:D$2981,3,FALSE),IF(VALUE(C1455)=0,"ЭТАЖ НЕ ОПРЕДЕЛЕН. ПРИНЯТ ПО ДОПУЩЕНИЮ 1",VLOOKUP(C1455,'Справочник соответствий'!A$2:D$2981,3,FALSE)))</f>
        <v>ЭТАЖ ЗАДАН ЧИСЛОМ</v>
      </c>
      <c r="M1455" s="13" t="b">
        <f t="shared" si="155"/>
        <v>0</v>
      </c>
      <c r="N1455" s="13">
        <f t="shared" si="156"/>
        <v>1</v>
      </c>
      <c r="O1455" s="13" t="str">
        <f t="shared" si="157"/>
        <v>ЭТАЖ ЗАДАН ЧИСЛОМ</v>
      </c>
      <c r="P1455" s="13" t="str">
        <f t="shared" si="158"/>
        <v>ЭТАЖ ЗАДАН ЧИСЛОМ</v>
      </c>
      <c r="Q1455" s="13" t="str">
        <f t="shared" si="159"/>
        <v>ГОТОВ</v>
      </c>
      <c r="R1455" s="13">
        <f>IFERROR(VLOOKUP(P1455,Лист1!A$1:B$20,2,FALSE),0)</f>
        <v>784</v>
      </c>
      <c r="S1455" s="13">
        <f t="shared" si="160"/>
        <v>1</v>
      </c>
    </row>
    <row r="1456" spans="1:19" x14ac:dyDescent="0.25">
      <c r="A1456" s="24" t="s">
        <v>2577</v>
      </c>
      <c r="B1456" s="4" t="s">
        <v>1059</v>
      </c>
      <c r="C1456" s="25" t="s">
        <v>7</v>
      </c>
      <c r="D1456" s="25" t="s">
        <v>5</v>
      </c>
      <c r="E1456" s="3">
        <v>2</v>
      </c>
      <c r="F1456" s="24" t="s">
        <v>1038</v>
      </c>
      <c r="G1456" s="25" t="s">
        <v>1060</v>
      </c>
      <c r="H1456" s="24" t="s">
        <v>1061</v>
      </c>
      <c r="I1456" s="3" t="str">
        <f>IFERROR(VLOOKUP(C1456,'Справочник соответствий'!A$2:D$2981,2,FALSE),IF(VALUE(C1456)=0,1,VLOOKUP(C1456,'Справочник соответствий'!A$2:D$2981,2,FALSE)))</f>
        <v>2</v>
      </c>
      <c r="J1456" s="3" t="str">
        <f>IFERROR(VLOOKUP(D1456,'Справочник соответствий'!A$2:D$2981,2,FALSE),IF(VALUE(D1456)=0,0,VLOOKUP(D1456,'Справочник соответствий'!A$2:D$2981,2,FALSE)))</f>
        <v>1</v>
      </c>
      <c r="K1456" s="3" t="str">
        <f t="shared" si="154"/>
        <v>2</v>
      </c>
      <c r="L1456" s="13" t="str">
        <f>IFERROR(VLOOKUP(C1456,'Справочник соответствий'!A$2:D$2981,3,FALSE),IF(VALUE(C1456)=0,"ЭТАЖ НЕ ОПРЕДЕЛЕН. ПРИНЯТ ПО ДОПУЩЕНИЮ 1",VLOOKUP(C1456,'Справочник соответствий'!A$2:D$2981,3,FALSE)))</f>
        <v>ЭТАЖ ЗАДАН ЧИСЛОМ</v>
      </c>
      <c r="M1456" s="13" t="b">
        <f t="shared" si="155"/>
        <v>0</v>
      </c>
      <c r="N1456" s="13">
        <f t="shared" si="156"/>
        <v>2</v>
      </c>
      <c r="O1456" s="13" t="str">
        <f t="shared" si="157"/>
        <v>ЭТАЖ ЗАДАН ЧИСЛОМ</v>
      </c>
      <c r="P1456" s="13" t="str">
        <f t="shared" si="158"/>
        <v>ЭТАЖ ЗАДАН ЧИСЛОМ</v>
      </c>
      <c r="Q1456" s="13" t="str">
        <f t="shared" si="159"/>
        <v>ГОТОВ</v>
      </c>
      <c r="R1456" s="13">
        <f>IFERROR(VLOOKUP(P1456,Лист1!A$1:B$20,2,FALSE),0)</f>
        <v>784</v>
      </c>
      <c r="S1456" s="13">
        <f t="shared" si="160"/>
        <v>2</v>
      </c>
    </row>
    <row r="1457" spans="1:19" x14ac:dyDescent="0.25">
      <c r="A1457" s="24" t="s">
        <v>2578</v>
      </c>
      <c r="B1457" s="4" t="s">
        <v>1031</v>
      </c>
      <c r="C1457" s="25" t="s">
        <v>7</v>
      </c>
      <c r="D1457" s="25" t="s">
        <v>5</v>
      </c>
      <c r="E1457" s="3">
        <v>2</v>
      </c>
      <c r="F1457" s="24" t="s">
        <v>1045</v>
      </c>
      <c r="G1457" s="25" t="s">
        <v>1075</v>
      </c>
      <c r="H1457" s="24" t="s">
        <v>1061</v>
      </c>
      <c r="I1457" s="3" t="str">
        <f>IFERROR(VLOOKUP(C1457,'Справочник соответствий'!A$2:D$2981,2,FALSE),IF(VALUE(C1457)=0,1,VLOOKUP(C1457,'Справочник соответствий'!A$2:D$2981,2,FALSE)))</f>
        <v>2</v>
      </c>
      <c r="J1457" s="3" t="str">
        <f>IFERROR(VLOOKUP(D1457,'Справочник соответствий'!A$2:D$2981,2,FALSE),IF(VALUE(D1457)=0,0,VLOOKUP(D1457,'Справочник соответствий'!A$2:D$2981,2,FALSE)))</f>
        <v>1</v>
      </c>
      <c r="K1457" s="3">
        <f t="shared" si="154"/>
        <v>1</v>
      </c>
      <c r="L1457" s="13" t="str">
        <f>IFERROR(VLOOKUP(C1457,'Справочник соответствий'!A$2:D$2981,3,FALSE),IF(VALUE(C1457)=0,"ЭТАЖ НЕ ОПРЕДЕЛЕН. ПРИНЯТ ПО ДОПУЩЕНИЮ 1",VLOOKUP(C1457,'Справочник соответствий'!A$2:D$2981,3,FALSE)))</f>
        <v>ЭТАЖ ЗАДАН ЧИСЛОМ</v>
      </c>
      <c r="M1457" s="13" t="b">
        <f t="shared" si="155"/>
        <v>0</v>
      </c>
      <c r="N1457" s="13">
        <f t="shared" si="156"/>
        <v>1</v>
      </c>
      <c r="O1457" s="13" t="str">
        <f t="shared" si="157"/>
        <v>ЭТАЖ ЗАДАН ЧИСЛОМ</v>
      </c>
      <c r="P1457" s="13" t="str">
        <f t="shared" si="158"/>
        <v>МКД_ЭТАЖ ЗАДАН ЧИСЛОМ</v>
      </c>
      <c r="Q1457" s="13" t="str">
        <f t="shared" si="159"/>
        <v>ГОТОВ_ИЗМЕНЕН</v>
      </c>
      <c r="R1457" s="13">
        <f>IFERROR(VLOOKUP(P1457,Лист1!A$1:B$20,2,FALSE),0)</f>
        <v>786</v>
      </c>
      <c r="S1457" s="13">
        <f t="shared" si="160"/>
        <v>2</v>
      </c>
    </row>
    <row r="1458" spans="1:19" x14ac:dyDescent="0.25">
      <c r="A1458" s="24" t="s">
        <v>2579</v>
      </c>
      <c r="B1458" s="4" t="s">
        <v>1059</v>
      </c>
      <c r="C1458" s="25" t="s">
        <v>5</v>
      </c>
      <c r="E1458" s="3">
        <v>1</v>
      </c>
      <c r="F1458" s="24" t="s">
        <v>1045</v>
      </c>
      <c r="G1458" s="25" t="s">
        <v>1104</v>
      </c>
      <c r="H1458" s="24" t="s">
        <v>1061</v>
      </c>
      <c r="I1458" s="3" t="str">
        <f>IFERROR(VLOOKUP(C1458,'Справочник соответствий'!A$2:D$2981,2,FALSE),IF(VALUE(C1458)=0,1,VLOOKUP(C1458,'Справочник соответствий'!A$2:D$2981,2,FALSE)))</f>
        <v>1</v>
      </c>
      <c r="J1458" s="3">
        <f>IFERROR(VLOOKUP(D1458,'Справочник соответствий'!A$2:D$2981,2,FALSE),IF(VALUE(D1458)=0,0,VLOOKUP(D1458,'Справочник соответствий'!A$2:D$2981,2,FALSE)))</f>
        <v>0</v>
      </c>
      <c r="K1458" s="3" t="str">
        <f t="shared" si="154"/>
        <v>1</v>
      </c>
      <c r="L1458" s="13" t="str">
        <f>IFERROR(VLOOKUP(C1458,'Справочник соответствий'!A$2:D$2981,3,FALSE),IF(VALUE(C1458)=0,"ЭТАЖ НЕ ОПРЕДЕЛЕН. ПРИНЯТ ПО ДОПУЩЕНИЮ 1",VLOOKUP(C1458,'Справочник соответствий'!A$2:D$2981,3,FALSE)))</f>
        <v>ЭТАЖ ЗАДАН ЧИСЛОМ</v>
      </c>
      <c r="M1458" s="13" t="b">
        <f t="shared" si="155"/>
        <v>0</v>
      </c>
      <c r="N1458" s="13">
        <f t="shared" si="156"/>
        <v>1</v>
      </c>
      <c r="O1458" s="13" t="str">
        <f t="shared" si="157"/>
        <v>ЭТАЖ ЗАДАН ЧИСЛОМ</v>
      </c>
      <c r="P1458" s="13" t="str">
        <f t="shared" si="158"/>
        <v>ЭТАЖ ЗАДАН ЧИСЛОМ</v>
      </c>
      <c r="Q1458" s="13" t="str">
        <f t="shared" si="159"/>
        <v>ГОТОВ</v>
      </c>
      <c r="R1458" s="13">
        <f>IFERROR(VLOOKUP(P1458,Лист1!A$1:B$20,2,FALSE),0)</f>
        <v>784</v>
      </c>
      <c r="S1458" s="13">
        <f t="shared" si="160"/>
        <v>1</v>
      </c>
    </row>
    <row r="1459" spans="1:19" x14ac:dyDescent="0.25">
      <c r="A1459" s="24" t="s">
        <v>2580</v>
      </c>
      <c r="B1459" s="4" t="s">
        <v>1059</v>
      </c>
      <c r="C1459" s="25" t="s">
        <v>5</v>
      </c>
      <c r="E1459" s="3">
        <v>1</v>
      </c>
      <c r="F1459" s="24" t="s">
        <v>1045</v>
      </c>
      <c r="G1459" s="25" t="s">
        <v>1089</v>
      </c>
      <c r="H1459" s="24" t="s">
        <v>1061</v>
      </c>
      <c r="I1459" s="3" t="str">
        <f>IFERROR(VLOOKUP(C1459,'Справочник соответствий'!A$2:D$2981,2,FALSE),IF(VALUE(C1459)=0,1,VLOOKUP(C1459,'Справочник соответствий'!A$2:D$2981,2,FALSE)))</f>
        <v>1</v>
      </c>
      <c r="J1459" s="3">
        <f>IFERROR(VLOOKUP(D1459,'Справочник соответствий'!A$2:D$2981,2,FALSE),IF(VALUE(D1459)=0,0,VLOOKUP(D1459,'Справочник соответствий'!A$2:D$2981,2,FALSE)))</f>
        <v>0</v>
      </c>
      <c r="K1459" s="3" t="str">
        <f t="shared" si="154"/>
        <v>1</v>
      </c>
      <c r="L1459" s="13" t="str">
        <f>IFERROR(VLOOKUP(C1459,'Справочник соответствий'!A$2:D$2981,3,FALSE),IF(VALUE(C1459)=0,"ЭТАЖ НЕ ОПРЕДЕЛЕН. ПРИНЯТ ПО ДОПУЩЕНИЮ 1",VLOOKUP(C1459,'Справочник соответствий'!A$2:D$2981,3,FALSE)))</f>
        <v>ЭТАЖ ЗАДАН ЧИСЛОМ</v>
      </c>
      <c r="M1459" s="13" t="b">
        <f t="shared" si="155"/>
        <v>0</v>
      </c>
      <c r="N1459" s="13">
        <f t="shared" si="156"/>
        <v>1</v>
      </c>
      <c r="O1459" s="13" t="str">
        <f t="shared" si="157"/>
        <v>ЭТАЖ ЗАДАН ЧИСЛОМ</v>
      </c>
      <c r="P1459" s="13" t="str">
        <f t="shared" si="158"/>
        <v>ЭТАЖ ЗАДАН ЧИСЛОМ</v>
      </c>
      <c r="Q1459" s="13" t="str">
        <f t="shared" si="159"/>
        <v>ГОТОВ</v>
      </c>
      <c r="R1459" s="13">
        <f>IFERROR(VLOOKUP(P1459,Лист1!A$1:B$20,2,FALSE),0)</f>
        <v>784</v>
      </c>
      <c r="S1459" s="13">
        <f t="shared" si="160"/>
        <v>1</v>
      </c>
    </row>
    <row r="1460" spans="1:19" x14ac:dyDescent="0.25">
      <c r="A1460" s="24" t="s">
        <v>2581</v>
      </c>
      <c r="B1460" s="4" t="s">
        <v>1031</v>
      </c>
      <c r="C1460" s="25" t="s">
        <v>7</v>
      </c>
      <c r="E1460" s="3">
        <v>2</v>
      </c>
      <c r="F1460" s="24" t="s">
        <v>1045</v>
      </c>
      <c r="G1460" s="25" t="s">
        <v>1086</v>
      </c>
      <c r="H1460" s="24" t="s">
        <v>1061</v>
      </c>
      <c r="I1460" s="3" t="str">
        <f>IFERROR(VLOOKUP(C1460,'Справочник соответствий'!A$2:D$2981,2,FALSE),IF(VALUE(C1460)=0,1,VLOOKUP(C1460,'Справочник соответствий'!A$2:D$2981,2,FALSE)))</f>
        <v>2</v>
      </c>
      <c r="J1460" s="3">
        <f>IFERROR(VLOOKUP(D1460,'Справочник соответствий'!A$2:D$2981,2,FALSE),IF(VALUE(D1460)=0,0,VLOOKUP(D1460,'Справочник соответствий'!A$2:D$2981,2,FALSE)))</f>
        <v>0</v>
      </c>
      <c r="K1460" s="3">
        <f t="shared" si="154"/>
        <v>2</v>
      </c>
      <c r="L1460" s="13" t="str">
        <f>IFERROR(VLOOKUP(C1460,'Справочник соответствий'!A$2:D$2981,3,FALSE),IF(VALUE(C1460)=0,"ЭТАЖ НЕ ОПРЕДЕЛЕН. ПРИНЯТ ПО ДОПУЩЕНИЮ 1",VLOOKUP(C1460,'Справочник соответствий'!A$2:D$2981,3,FALSE)))</f>
        <v>ЭТАЖ ЗАДАН ЧИСЛОМ</v>
      </c>
      <c r="M1460" s="13" t="b">
        <f t="shared" si="155"/>
        <v>0</v>
      </c>
      <c r="N1460" s="13">
        <f t="shared" si="156"/>
        <v>2</v>
      </c>
      <c r="O1460" s="13" t="str">
        <f t="shared" si="157"/>
        <v>ЭТАЖ ЗАДАН ЧИСЛОМ</v>
      </c>
      <c r="P1460" s="13" t="str">
        <f t="shared" si="158"/>
        <v>МКД_ЭТАЖ ЗАДАН ЧИСЛОМ</v>
      </c>
      <c r="Q1460" s="13" t="str">
        <f t="shared" si="159"/>
        <v>ГОТОВ</v>
      </c>
      <c r="R1460" s="13">
        <f>IFERROR(VLOOKUP(P1460,Лист1!A$1:B$20,2,FALSE),0)</f>
        <v>786</v>
      </c>
      <c r="S1460" s="13">
        <f t="shared" si="160"/>
        <v>2</v>
      </c>
    </row>
    <row r="1461" spans="1:19" x14ac:dyDescent="0.25">
      <c r="A1461" s="24" t="s">
        <v>2582</v>
      </c>
      <c r="B1461" s="4" t="s">
        <v>1063</v>
      </c>
      <c r="E1461" s="3">
        <v>1</v>
      </c>
      <c r="F1461" s="24" t="s">
        <v>1045</v>
      </c>
      <c r="G1461" s="25" t="s">
        <v>1230</v>
      </c>
      <c r="H1461" s="24" t="s">
        <v>1061</v>
      </c>
      <c r="I1461" s="3">
        <f>IFERROR(VLOOKUP(C1461,'Справочник соответствий'!A$2:D$2981,2,FALSE),IF(VALUE(C1461)=0,1,VLOOKUP(C1461,'Справочник соответствий'!A$2:D$2981,2,FALSE)))</f>
        <v>1</v>
      </c>
      <c r="J1461" s="3">
        <f>IFERROR(VLOOKUP(D1461,'Справочник соответствий'!A$2:D$2981,2,FALSE),IF(VALUE(D1461)=0,0,VLOOKUP(D1461,'Справочник соответствий'!A$2:D$2981,2,FALSE)))</f>
        <v>0</v>
      </c>
      <c r="K1461" s="3">
        <f t="shared" si="154"/>
        <v>1</v>
      </c>
      <c r="L1461" s="13" t="str">
        <f>IFERROR(VLOOKUP(C1461,'Справочник соответствий'!A$2:D$2981,3,FALSE),IF(VALUE(C1461)=0,"ЭТАЖ НЕ ОПРЕДЕЛЕН. ПРИНЯТ ПО ДОПУЩЕНИЮ 1",VLOOKUP(C1461,'Справочник соответствий'!A$2:D$2981,3,FALSE)))</f>
        <v>ЭТАЖ НЕ ОПРЕДЕЛЕН. ПРИНЯТ ПО ДОПУЩЕНИЮ 1</v>
      </c>
      <c r="M1461" s="13" t="b">
        <f t="shared" si="155"/>
        <v>1</v>
      </c>
      <c r="N1461" s="13">
        <f t="shared" si="156"/>
        <v>1</v>
      </c>
      <c r="O1461" s="13" t="str">
        <f t="shared" si="157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461" s="13" t="str">
        <f t="shared" si="15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461" s="13" t="str">
        <f t="shared" si="159"/>
        <v>ГОТОВ</v>
      </c>
      <c r="R1461" s="13">
        <f>IFERROR(VLOOKUP(P1461,Лист1!A$1:B$20,2,FALSE),0)</f>
        <v>214</v>
      </c>
      <c r="S1461" s="13">
        <f t="shared" si="160"/>
        <v>1</v>
      </c>
    </row>
    <row r="1462" spans="1:19" x14ac:dyDescent="0.25">
      <c r="A1462" s="24" t="s">
        <v>2583</v>
      </c>
      <c r="B1462" s="4" t="s">
        <v>1059</v>
      </c>
      <c r="C1462" s="25" t="s">
        <v>5</v>
      </c>
      <c r="E1462" s="3">
        <v>1</v>
      </c>
      <c r="F1462" s="24" t="s">
        <v>1045</v>
      </c>
      <c r="G1462" s="25" t="s">
        <v>1072</v>
      </c>
      <c r="H1462" s="24" t="s">
        <v>1061</v>
      </c>
      <c r="I1462" s="3" t="str">
        <f>IFERROR(VLOOKUP(C1462,'Справочник соответствий'!A$2:D$2981,2,FALSE),IF(VALUE(C1462)=0,1,VLOOKUP(C1462,'Справочник соответствий'!A$2:D$2981,2,FALSE)))</f>
        <v>1</v>
      </c>
      <c r="J1462" s="3">
        <f>IFERROR(VLOOKUP(D1462,'Справочник соответствий'!A$2:D$2981,2,FALSE),IF(VALUE(D1462)=0,0,VLOOKUP(D1462,'Справочник соответствий'!A$2:D$2981,2,FALSE)))</f>
        <v>0</v>
      </c>
      <c r="K1462" s="3" t="str">
        <f t="shared" si="154"/>
        <v>1</v>
      </c>
      <c r="L1462" s="13" t="str">
        <f>IFERROR(VLOOKUP(C1462,'Справочник соответствий'!A$2:D$2981,3,FALSE),IF(VALUE(C1462)=0,"ЭТАЖ НЕ ОПРЕДЕЛЕН. ПРИНЯТ ПО ДОПУЩЕНИЮ 1",VLOOKUP(C1462,'Справочник соответствий'!A$2:D$2981,3,FALSE)))</f>
        <v>ЭТАЖ ЗАДАН ЧИСЛОМ</v>
      </c>
      <c r="M1462" s="13" t="b">
        <f t="shared" si="155"/>
        <v>0</v>
      </c>
      <c r="N1462" s="13">
        <f t="shared" si="156"/>
        <v>1</v>
      </c>
      <c r="O1462" s="13" t="str">
        <f t="shared" si="157"/>
        <v>ЭТАЖ ЗАДАН ЧИСЛОМ</v>
      </c>
      <c r="P1462" s="13" t="str">
        <f t="shared" si="158"/>
        <v>ЭТАЖ ЗАДАН ЧИСЛОМ</v>
      </c>
      <c r="Q1462" s="13" t="str">
        <f t="shared" si="159"/>
        <v>ГОТОВ</v>
      </c>
      <c r="R1462" s="13">
        <f>IFERROR(VLOOKUP(P1462,Лист1!A$1:B$20,2,FALSE),0)</f>
        <v>784</v>
      </c>
      <c r="S1462" s="13">
        <f t="shared" si="160"/>
        <v>1</v>
      </c>
    </row>
    <row r="1463" spans="1:19" x14ac:dyDescent="0.25">
      <c r="A1463" s="24" t="s">
        <v>2584</v>
      </c>
      <c r="B1463" s="4" t="s">
        <v>1059</v>
      </c>
      <c r="C1463" s="25" t="s">
        <v>5</v>
      </c>
      <c r="E1463" s="3">
        <v>1</v>
      </c>
      <c r="F1463" s="24" t="s">
        <v>1045</v>
      </c>
      <c r="G1463" s="25" t="s">
        <v>1167</v>
      </c>
      <c r="H1463" s="24" t="s">
        <v>1061</v>
      </c>
      <c r="I1463" s="3" t="str">
        <f>IFERROR(VLOOKUP(C1463,'Справочник соответствий'!A$2:D$2981,2,FALSE),IF(VALUE(C1463)=0,1,VLOOKUP(C1463,'Справочник соответствий'!A$2:D$2981,2,FALSE)))</f>
        <v>1</v>
      </c>
      <c r="J1463" s="3">
        <f>IFERROR(VLOOKUP(D1463,'Справочник соответствий'!A$2:D$2981,2,FALSE),IF(VALUE(D1463)=0,0,VLOOKUP(D1463,'Справочник соответствий'!A$2:D$2981,2,FALSE)))</f>
        <v>0</v>
      </c>
      <c r="K1463" s="3" t="str">
        <f t="shared" si="154"/>
        <v>1</v>
      </c>
      <c r="L1463" s="13" t="str">
        <f>IFERROR(VLOOKUP(C1463,'Справочник соответствий'!A$2:D$2981,3,FALSE),IF(VALUE(C1463)=0,"ЭТАЖ НЕ ОПРЕДЕЛЕН. ПРИНЯТ ПО ДОПУЩЕНИЮ 1",VLOOKUP(C1463,'Справочник соответствий'!A$2:D$2981,3,FALSE)))</f>
        <v>ЭТАЖ ЗАДАН ЧИСЛОМ</v>
      </c>
      <c r="M1463" s="13" t="b">
        <f t="shared" si="155"/>
        <v>0</v>
      </c>
      <c r="N1463" s="13">
        <f t="shared" si="156"/>
        <v>1</v>
      </c>
      <c r="O1463" s="13" t="str">
        <f t="shared" si="157"/>
        <v>ЭТАЖ ЗАДАН ЧИСЛОМ</v>
      </c>
      <c r="P1463" s="13" t="str">
        <f t="shared" si="158"/>
        <v>ЭТАЖ ЗАДАН ЧИСЛОМ</v>
      </c>
      <c r="Q1463" s="13" t="str">
        <f t="shared" si="159"/>
        <v>ГОТОВ</v>
      </c>
      <c r="R1463" s="13">
        <f>IFERROR(VLOOKUP(P1463,Лист1!A$1:B$20,2,FALSE),0)</f>
        <v>784</v>
      </c>
      <c r="S1463" s="13">
        <f t="shared" si="160"/>
        <v>1</v>
      </c>
    </row>
    <row r="1464" spans="1:19" x14ac:dyDescent="0.25">
      <c r="A1464" s="24" t="s">
        <v>2585</v>
      </c>
      <c r="B1464" s="4" t="s">
        <v>1059</v>
      </c>
      <c r="C1464" s="25" t="s">
        <v>7</v>
      </c>
      <c r="E1464" s="3">
        <v>1</v>
      </c>
      <c r="F1464" s="24" t="s">
        <v>2586</v>
      </c>
      <c r="G1464" s="25" t="s">
        <v>1086</v>
      </c>
      <c r="H1464" s="24" t="s">
        <v>1061</v>
      </c>
      <c r="I1464" s="3" t="str">
        <f>IFERROR(VLOOKUP(C1464,'Справочник соответствий'!A$2:D$2981,2,FALSE),IF(VALUE(C1464)=0,1,VLOOKUP(C1464,'Справочник соответствий'!A$2:D$2981,2,FALSE)))</f>
        <v>2</v>
      </c>
      <c r="J1464" s="3">
        <f>IFERROR(VLOOKUP(D1464,'Справочник соответствий'!A$2:D$2981,2,FALSE),IF(VALUE(D1464)=0,0,VLOOKUP(D1464,'Справочник соответствий'!A$2:D$2981,2,FALSE)))</f>
        <v>0</v>
      </c>
      <c r="K1464" s="3" t="str">
        <f t="shared" si="154"/>
        <v>2</v>
      </c>
      <c r="L1464" s="13" t="str">
        <f>IFERROR(VLOOKUP(C1464,'Справочник соответствий'!A$2:D$2981,3,FALSE),IF(VALUE(C1464)=0,"ЭТАЖ НЕ ОПРЕДЕЛЕН. ПРИНЯТ ПО ДОПУЩЕНИЮ 1",VLOOKUP(C1464,'Справочник соответствий'!A$2:D$2981,3,FALSE)))</f>
        <v>ЭТАЖ ЗАДАН ЧИСЛОМ</v>
      </c>
      <c r="M1464" s="13" t="b">
        <f t="shared" si="155"/>
        <v>0</v>
      </c>
      <c r="N1464" s="13">
        <f t="shared" si="156"/>
        <v>2</v>
      </c>
      <c r="O1464" s="13" t="str">
        <f t="shared" si="157"/>
        <v>ЭТАЖ ЗАДАН ЧИСЛОМ</v>
      </c>
      <c r="P1464" s="13" t="str">
        <f t="shared" si="158"/>
        <v>ЭТАЖ ЗАДАН ЧИСЛОМ</v>
      </c>
      <c r="Q1464" s="13" t="str">
        <f t="shared" si="159"/>
        <v>ГОТОВ_ИЗМЕНЕН</v>
      </c>
      <c r="R1464" s="13">
        <f>IFERROR(VLOOKUP(P1464,Лист1!A$1:B$20,2,FALSE),0)</f>
        <v>784</v>
      </c>
      <c r="S1464" s="13">
        <f t="shared" si="160"/>
        <v>1</v>
      </c>
    </row>
    <row r="1465" spans="1:19" x14ac:dyDescent="0.25">
      <c r="A1465" s="24" t="s">
        <v>2587</v>
      </c>
      <c r="B1465" s="4" t="s">
        <v>1059</v>
      </c>
      <c r="C1465" s="25" t="s">
        <v>5</v>
      </c>
      <c r="D1465" s="25" t="s">
        <v>5</v>
      </c>
      <c r="E1465" s="3">
        <v>1</v>
      </c>
      <c r="F1465" s="24" t="s">
        <v>1045</v>
      </c>
      <c r="G1465" s="25" t="s">
        <v>1072</v>
      </c>
      <c r="H1465" s="24" t="s">
        <v>1061</v>
      </c>
      <c r="I1465" s="3" t="str">
        <f>IFERROR(VLOOKUP(C1465,'Справочник соответствий'!A$2:D$2981,2,FALSE),IF(VALUE(C1465)=0,1,VLOOKUP(C1465,'Справочник соответствий'!A$2:D$2981,2,FALSE)))</f>
        <v>1</v>
      </c>
      <c r="J1465" s="3" t="str">
        <f>IFERROR(VLOOKUP(D1465,'Справочник соответствий'!A$2:D$2981,2,FALSE),IF(VALUE(D1465)=0,0,VLOOKUP(D1465,'Справочник соответствий'!A$2:D$2981,2,FALSE)))</f>
        <v>1</v>
      </c>
      <c r="K1465" s="3" t="str">
        <f t="shared" si="154"/>
        <v>1</v>
      </c>
      <c r="L1465" s="13" t="str">
        <f>IFERROR(VLOOKUP(C1465,'Справочник соответствий'!A$2:D$2981,3,FALSE),IF(VALUE(C1465)=0,"ЭТАЖ НЕ ОПРЕДЕЛЕН. ПРИНЯТ ПО ДОПУЩЕНИЮ 1",VLOOKUP(C1465,'Справочник соответствий'!A$2:D$2981,3,FALSE)))</f>
        <v>ЭТАЖ ЗАДАН ЧИСЛОМ</v>
      </c>
      <c r="M1465" s="13" t="b">
        <f t="shared" si="155"/>
        <v>0</v>
      </c>
      <c r="N1465" s="13">
        <f t="shared" si="156"/>
        <v>1</v>
      </c>
      <c r="O1465" s="13" t="str">
        <f t="shared" si="157"/>
        <v>ЭТАЖ ЗАДАН ЧИСЛОМ</v>
      </c>
      <c r="P1465" s="13" t="str">
        <f t="shared" si="158"/>
        <v>ЭТАЖ ЗАДАН ЧИСЛОМ</v>
      </c>
      <c r="Q1465" s="13" t="str">
        <f t="shared" si="159"/>
        <v>ГОТОВ</v>
      </c>
      <c r="R1465" s="13">
        <f>IFERROR(VLOOKUP(P1465,Лист1!A$1:B$20,2,FALSE),0)</f>
        <v>784</v>
      </c>
      <c r="S1465" s="13">
        <f t="shared" si="160"/>
        <v>1</v>
      </c>
    </row>
    <row r="1466" spans="1:19" x14ac:dyDescent="0.25">
      <c r="A1466" s="24" t="s">
        <v>2588</v>
      </c>
      <c r="B1466" s="4" t="s">
        <v>1059</v>
      </c>
      <c r="C1466" s="25" t="s">
        <v>5</v>
      </c>
      <c r="E1466" s="3">
        <v>1</v>
      </c>
      <c r="F1466" s="24" t="s">
        <v>1045</v>
      </c>
      <c r="G1466" s="25" t="s">
        <v>1099</v>
      </c>
      <c r="H1466" s="24" t="s">
        <v>1061</v>
      </c>
      <c r="I1466" s="3" t="str">
        <f>IFERROR(VLOOKUP(C1466,'Справочник соответствий'!A$2:D$2981,2,FALSE),IF(VALUE(C1466)=0,1,VLOOKUP(C1466,'Справочник соответствий'!A$2:D$2981,2,FALSE)))</f>
        <v>1</v>
      </c>
      <c r="J1466" s="3">
        <f>IFERROR(VLOOKUP(D1466,'Справочник соответствий'!A$2:D$2981,2,FALSE),IF(VALUE(D1466)=0,0,VLOOKUP(D1466,'Справочник соответствий'!A$2:D$2981,2,FALSE)))</f>
        <v>0</v>
      </c>
      <c r="K1466" s="3" t="str">
        <f t="shared" si="154"/>
        <v>1</v>
      </c>
      <c r="L1466" s="13" t="str">
        <f>IFERROR(VLOOKUP(C1466,'Справочник соответствий'!A$2:D$2981,3,FALSE),IF(VALUE(C1466)=0,"ЭТАЖ НЕ ОПРЕДЕЛЕН. ПРИНЯТ ПО ДОПУЩЕНИЮ 1",VLOOKUP(C1466,'Справочник соответствий'!A$2:D$2981,3,FALSE)))</f>
        <v>ЭТАЖ ЗАДАН ЧИСЛОМ</v>
      </c>
      <c r="M1466" s="13" t="b">
        <f t="shared" si="155"/>
        <v>0</v>
      </c>
      <c r="N1466" s="13">
        <f t="shared" si="156"/>
        <v>1</v>
      </c>
      <c r="O1466" s="13" t="str">
        <f t="shared" si="157"/>
        <v>ЭТАЖ ЗАДАН ЧИСЛОМ</v>
      </c>
      <c r="P1466" s="13" t="str">
        <f t="shared" si="158"/>
        <v>ЭТАЖ ЗАДАН ЧИСЛОМ</v>
      </c>
      <c r="Q1466" s="13" t="str">
        <f t="shared" si="159"/>
        <v>ГОТОВ</v>
      </c>
      <c r="R1466" s="13">
        <f>IFERROR(VLOOKUP(P1466,Лист1!A$1:B$20,2,FALSE),0)</f>
        <v>784</v>
      </c>
      <c r="S1466" s="13">
        <f t="shared" si="160"/>
        <v>1</v>
      </c>
    </row>
    <row r="1467" spans="1:19" x14ac:dyDescent="0.25">
      <c r="A1467" s="24" t="s">
        <v>2589</v>
      </c>
      <c r="B1467" s="4" t="s">
        <v>1031</v>
      </c>
      <c r="C1467" s="25" t="s">
        <v>8</v>
      </c>
      <c r="E1467" s="3">
        <v>3</v>
      </c>
      <c r="F1467" s="24" t="s">
        <v>1074</v>
      </c>
      <c r="G1467" s="25" t="s">
        <v>1075</v>
      </c>
      <c r="H1467" s="24" t="s">
        <v>1061</v>
      </c>
      <c r="I1467" s="3" t="str">
        <f>IFERROR(VLOOKUP(C1467,'Справочник соответствий'!A$2:D$2981,2,FALSE),IF(VALUE(C1467)=0,1,VLOOKUP(C1467,'Справочник соответствий'!A$2:D$2981,2,FALSE)))</f>
        <v>3</v>
      </c>
      <c r="J1467" s="3">
        <f>IFERROR(VLOOKUP(D1467,'Справочник соответствий'!A$2:D$2981,2,FALSE),IF(VALUE(D1467)=0,0,VLOOKUP(D1467,'Справочник соответствий'!A$2:D$2981,2,FALSE)))</f>
        <v>0</v>
      </c>
      <c r="K1467" s="3">
        <f t="shared" si="154"/>
        <v>3</v>
      </c>
      <c r="L1467" s="13" t="str">
        <f>IFERROR(VLOOKUP(C1467,'Справочник соответствий'!A$2:D$2981,3,FALSE),IF(VALUE(C1467)=0,"ЭТАЖ НЕ ОПРЕДЕЛЕН. ПРИНЯТ ПО ДОПУЩЕНИЮ 1",VLOOKUP(C1467,'Справочник соответствий'!A$2:D$2981,3,FALSE)))</f>
        <v>ЭТАЖ ЗАДАН ЧИСЛОМ</v>
      </c>
      <c r="M1467" s="13" t="b">
        <f t="shared" si="155"/>
        <v>0</v>
      </c>
      <c r="N1467" s="13">
        <f t="shared" si="156"/>
        <v>3</v>
      </c>
      <c r="O1467" s="13" t="str">
        <f t="shared" si="157"/>
        <v>ЭТАЖ ЗАДАН ЧИСЛОМ</v>
      </c>
      <c r="P1467" s="13" t="str">
        <f t="shared" si="158"/>
        <v>МКД_ЭТАЖ ЗАДАН ЧИСЛОМ</v>
      </c>
      <c r="Q1467" s="13" t="str">
        <f t="shared" si="159"/>
        <v>ГОТОВ</v>
      </c>
      <c r="R1467" s="13">
        <f>IFERROR(VLOOKUP(P1467,Лист1!A$1:B$20,2,FALSE),0)</f>
        <v>786</v>
      </c>
      <c r="S1467" s="13">
        <f t="shared" si="160"/>
        <v>3</v>
      </c>
    </row>
    <row r="1468" spans="1:19" x14ac:dyDescent="0.25">
      <c r="A1468" s="24" t="s">
        <v>2590</v>
      </c>
      <c r="B1468" s="4" t="s">
        <v>1059</v>
      </c>
      <c r="C1468" s="25" t="s">
        <v>5</v>
      </c>
      <c r="E1468" s="3">
        <v>1</v>
      </c>
      <c r="F1468" s="24" t="s">
        <v>1045</v>
      </c>
      <c r="G1468" s="25" t="s">
        <v>1161</v>
      </c>
      <c r="H1468" s="24" t="s">
        <v>1061</v>
      </c>
      <c r="I1468" s="3" t="str">
        <f>IFERROR(VLOOKUP(C1468,'Справочник соответствий'!A$2:D$2981,2,FALSE),IF(VALUE(C1468)=0,1,VLOOKUP(C1468,'Справочник соответствий'!A$2:D$2981,2,FALSE)))</f>
        <v>1</v>
      </c>
      <c r="J1468" s="3">
        <f>IFERROR(VLOOKUP(D1468,'Справочник соответствий'!A$2:D$2981,2,FALSE),IF(VALUE(D1468)=0,0,VLOOKUP(D1468,'Справочник соответствий'!A$2:D$2981,2,FALSE)))</f>
        <v>0</v>
      </c>
      <c r="K1468" s="3" t="str">
        <f t="shared" si="154"/>
        <v>1</v>
      </c>
      <c r="L1468" s="13" t="str">
        <f>IFERROR(VLOOKUP(C1468,'Справочник соответствий'!A$2:D$2981,3,FALSE),IF(VALUE(C1468)=0,"ЭТАЖ НЕ ОПРЕДЕЛЕН. ПРИНЯТ ПО ДОПУЩЕНИЮ 1",VLOOKUP(C1468,'Справочник соответствий'!A$2:D$2981,3,FALSE)))</f>
        <v>ЭТАЖ ЗАДАН ЧИСЛОМ</v>
      </c>
      <c r="M1468" s="13" t="b">
        <f t="shared" si="155"/>
        <v>0</v>
      </c>
      <c r="N1468" s="13">
        <f t="shared" si="156"/>
        <v>1</v>
      </c>
      <c r="O1468" s="13" t="str">
        <f t="shared" si="157"/>
        <v>ЭТАЖ ЗАДАН ЧИСЛОМ</v>
      </c>
      <c r="P1468" s="13" t="str">
        <f t="shared" si="158"/>
        <v>ЭТАЖ ЗАДАН ЧИСЛОМ</v>
      </c>
      <c r="Q1468" s="13" t="str">
        <f t="shared" si="159"/>
        <v>ГОТОВ</v>
      </c>
      <c r="R1468" s="13">
        <f>IFERROR(VLOOKUP(P1468,Лист1!A$1:B$20,2,FALSE),0)</f>
        <v>784</v>
      </c>
      <c r="S1468" s="13">
        <f t="shared" si="160"/>
        <v>1</v>
      </c>
    </row>
    <row r="1469" spans="1:19" x14ac:dyDescent="0.25">
      <c r="A1469" s="24" t="s">
        <v>2591</v>
      </c>
      <c r="B1469" s="4" t="s">
        <v>1059</v>
      </c>
      <c r="C1469" s="25" t="s">
        <v>5</v>
      </c>
      <c r="G1469" s="25" t="s">
        <v>1069</v>
      </c>
      <c r="H1469" s="24" t="s">
        <v>1061</v>
      </c>
      <c r="I1469" s="3" t="str">
        <f>IFERROR(VLOOKUP(C1469,'Справочник соответствий'!A$2:D$2981,2,FALSE),IF(VALUE(C1469)=0,1,VLOOKUP(C1469,'Справочник соответствий'!A$2:D$2981,2,FALSE)))</f>
        <v>1</v>
      </c>
      <c r="J1469" s="3">
        <f>IFERROR(VLOOKUP(D1469,'Справочник соответствий'!A$2:D$2981,2,FALSE),IF(VALUE(D1469)=0,0,VLOOKUP(D1469,'Справочник соответствий'!A$2:D$2981,2,FALSE)))</f>
        <v>0</v>
      </c>
      <c r="K1469" s="3" t="str">
        <f t="shared" si="154"/>
        <v>1</v>
      </c>
      <c r="L1469" s="13" t="str">
        <f>IFERROR(VLOOKUP(C1469,'Справочник соответствий'!A$2:D$2981,3,FALSE),IF(VALUE(C1469)=0,"ЭТАЖ НЕ ОПРЕДЕЛЕН. ПРИНЯТ ПО ДОПУЩЕНИЮ 1",VLOOKUP(C1469,'Справочник соответствий'!A$2:D$2981,3,FALSE)))</f>
        <v>ЭТАЖ ЗАДАН ЧИСЛОМ</v>
      </c>
      <c r="M1469" s="13" t="b">
        <f t="shared" si="155"/>
        <v>0</v>
      </c>
      <c r="N1469" s="13">
        <f t="shared" si="156"/>
        <v>1</v>
      </c>
      <c r="O1469" s="13" t="str">
        <f t="shared" si="157"/>
        <v>ЭТАЖ ЗАДАН ЧИСЛОМ</v>
      </c>
      <c r="P1469" s="13" t="str">
        <f t="shared" si="158"/>
        <v>ЭТАЖ ЗАДАН ЧИСЛОМ</v>
      </c>
      <c r="Q1469" s="13" t="str">
        <f t="shared" si="159"/>
        <v>ГОТОВ_ИЗМЕНЕН</v>
      </c>
      <c r="R1469" s="13">
        <f>IFERROR(VLOOKUP(P1469,Лист1!A$1:B$20,2,FALSE),0)</f>
        <v>784</v>
      </c>
      <c r="S1469" s="13">
        <f t="shared" si="160"/>
        <v>0</v>
      </c>
    </row>
    <row r="1470" spans="1:19" x14ac:dyDescent="0.25">
      <c r="A1470" s="24" t="s">
        <v>2592</v>
      </c>
      <c r="B1470" s="4" t="s">
        <v>1059</v>
      </c>
      <c r="C1470" s="25" t="s">
        <v>5</v>
      </c>
      <c r="G1470" s="25" t="s">
        <v>1077</v>
      </c>
      <c r="H1470" s="24" t="s">
        <v>1061</v>
      </c>
      <c r="I1470" s="3" t="str">
        <f>IFERROR(VLOOKUP(C1470,'Справочник соответствий'!A$2:D$2981,2,FALSE),IF(VALUE(C1470)=0,1,VLOOKUP(C1470,'Справочник соответствий'!A$2:D$2981,2,FALSE)))</f>
        <v>1</v>
      </c>
      <c r="J1470" s="3">
        <f>IFERROR(VLOOKUP(D1470,'Справочник соответствий'!A$2:D$2981,2,FALSE),IF(VALUE(D1470)=0,0,VLOOKUP(D1470,'Справочник соответствий'!A$2:D$2981,2,FALSE)))</f>
        <v>0</v>
      </c>
      <c r="K1470" s="3" t="str">
        <f t="shared" si="154"/>
        <v>1</v>
      </c>
      <c r="L1470" s="13" t="str">
        <f>IFERROR(VLOOKUP(C1470,'Справочник соответствий'!A$2:D$2981,3,FALSE),IF(VALUE(C1470)=0,"ЭТАЖ НЕ ОПРЕДЕЛЕН. ПРИНЯТ ПО ДОПУЩЕНИЮ 1",VLOOKUP(C1470,'Справочник соответствий'!A$2:D$2981,3,FALSE)))</f>
        <v>ЭТАЖ ЗАДАН ЧИСЛОМ</v>
      </c>
      <c r="M1470" s="13" t="b">
        <f t="shared" si="155"/>
        <v>0</v>
      </c>
      <c r="N1470" s="13">
        <f t="shared" si="156"/>
        <v>1</v>
      </c>
      <c r="O1470" s="13" t="str">
        <f t="shared" si="157"/>
        <v>ЭТАЖ ЗАДАН ЧИСЛОМ</v>
      </c>
      <c r="P1470" s="13" t="str">
        <f t="shared" si="158"/>
        <v>ЭТАЖ ЗАДАН ЧИСЛОМ</v>
      </c>
      <c r="Q1470" s="13" t="str">
        <f t="shared" si="159"/>
        <v>ГОТОВ_ИЗМЕНЕН</v>
      </c>
      <c r="R1470" s="13">
        <f>IFERROR(VLOOKUP(P1470,Лист1!A$1:B$20,2,FALSE),0)</f>
        <v>784</v>
      </c>
      <c r="S1470" s="13">
        <f t="shared" si="160"/>
        <v>0</v>
      </c>
    </row>
    <row r="1471" spans="1:19" x14ac:dyDescent="0.25">
      <c r="A1471" s="24" t="s">
        <v>2593</v>
      </c>
      <c r="B1471" s="4" t="s">
        <v>1059</v>
      </c>
      <c r="C1471" s="25" t="s">
        <v>5</v>
      </c>
      <c r="G1471" s="25" t="s">
        <v>1086</v>
      </c>
      <c r="H1471" s="24" t="s">
        <v>1061</v>
      </c>
      <c r="I1471" s="3" t="str">
        <f>IFERROR(VLOOKUP(C1471,'Справочник соответствий'!A$2:D$2981,2,FALSE),IF(VALUE(C1471)=0,1,VLOOKUP(C1471,'Справочник соответствий'!A$2:D$2981,2,FALSE)))</f>
        <v>1</v>
      </c>
      <c r="J1471" s="3">
        <f>IFERROR(VLOOKUP(D1471,'Справочник соответствий'!A$2:D$2981,2,FALSE),IF(VALUE(D1471)=0,0,VLOOKUP(D1471,'Справочник соответствий'!A$2:D$2981,2,FALSE)))</f>
        <v>0</v>
      </c>
      <c r="K1471" s="3" t="str">
        <f t="shared" si="154"/>
        <v>1</v>
      </c>
      <c r="L1471" s="13" t="str">
        <f>IFERROR(VLOOKUP(C1471,'Справочник соответствий'!A$2:D$2981,3,FALSE),IF(VALUE(C1471)=0,"ЭТАЖ НЕ ОПРЕДЕЛЕН. ПРИНЯТ ПО ДОПУЩЕНИЮ 1",VLOOKUP(C1471,'Справочник соответствий'!A$2:D$2981,3,FALSE)))</f>
        <v>ЭТАЖ ЗАДАН ЧИСЛОМ</v>
      </c>
      <c r="M1471" s="13" t="b">
        <f t="shared" si="155"/>
        <v>0</v>
      </c>
      <c r="N1471" s="13">
        <f t="shared" si="156"/>
        <v>1</v>
      </c>
      <c r="O1471" s="13" t="str">
        <f t="shared" si="157"/>
        <v>ЭТАЖ ЗАДАН ЧИСЛОМ</v>
      </c>
      <c r="P1471" s="13" t="str">
        <f t="shared" si="158"/>
        <v>ЭТАЖ ЗАДАН ЧИСЛОМ</v>
      </c>
      <c r="Q1471" s="13" t="str">
        <f t="shared" si="159"/>
        <v>ГОТОВ_ИЗМЕНЕН</v>
      </c>
      <c r="R1471" s="13">
        <f>IFERROR(VLOOKUP(P1471,Лист1!A$1:B$20,2,FALSE),0)</f>
        <v>784</v>
      </c>
      <c r="S1471" s="13">
        <f t="shared" si="160"/>
        <v>0</v>
      </c>
    </row>
    <row r="1472" spans="1:19" x14ac:dyDescent="0.25">
      <c r="A1472" s="24" t="s">
        <v>2594</v>
      </c>
      <c r="B1472" s="4" t="s">
        <v>1063</v>
      </c>
      <c r="C1472" s="25" t="s">
        <v>5</v>
      </c>
      <c r="G1472" s="25" t="s">
        <v>1106</v>
      </c>
      <c r="H1472" s="24" t="s">
        <v>1061</v>
      </c>
      <c r="I1472" s="3" t="str">
        <f>IFERROR(VLOOKUP(C1472,'Справочник соответствий'!A$2:D$2981,2,FALSE),IF(VALUE(C1472)=0,1,VLOOKUP(C1472,'Справочник соответствий'!A$2:D$2981,2,FALSE)))</f>
        <v>1</v>
      </c>
      <c r="J1472" s="3">
        <f>IFERROR(VLOOKUP(D1472,'Справочник соответствий'!A$2:D$2981,2,FALSE),IF(VALUE(D1472)=0,0,VLOOKUP(D1472,'Справочник соответствий'!A$2:D$2981,2,FALSE)))</f>
        <v>0</v>
      </c>
      <c r="K1472" s="3" t="str">
        <f t="shared" si="154"/>
        <v>1</v>
      </c>
      <c r="L1472" s="13" t="str">
        <f>IFERROR(VLOOKUP(C1472,'Справочник соответствий'!A$2:D$2981,3,FALSE),IF(VALUE(C1472)=0,"ЭТАЖ НЕ ОПРЕДЕЛЕН. ПРИНЯТ ПО ДОПУЩЕНИЮ 1",VLOOKUP(C1472,'Справочник соответствий'!A$2:D$2981,3,FALSE)))</f>
        <v>ЭТАЖ ЗАДАН ЧИСЛОМ</v>
      </c>
      <c r="M1472" s="13" t="b">
        <f t="shared" si="155"/>
        <v>0</v>
      </c>
      <c r="N1472" s="13">
        <f t="shared" si="156"/>
        <v>1</v>
      </c>
      <c r="O1472" s="13" t="str">
        <f t="shared" si="157"/>
        <v>ЭТАЖ ЗАДАН ЧИСЛОМ</v>
      </c>
      <c r="P1472" s="13" t="str">
        <f t="shared" si="158"/>
        <v>ЭТАЖ ЗАДАН ЧИСЛОМ</v>
      </c>
      <c r="Q1472" s="13" t="str">
        <f t="shared" si="159"/>
        <v>ГОТОВ_ИЗМЕНЕН</v>
      </c>
      <c r="R1472" s="13">
        <f>IFERROR(VLOOKUP(P1472,Лист1!A$1:B$20,2,FALSE),0)</f>
        <v>784</v>
      </c>
      <c r="S1472" s="13">
        <f t="shared" si="160"/>
        <v>0</v>
      </c>
    </row>
    <row r="1473" spans="1:19" x14ac:dyDescent="0.25">
      <c r="A1473" s="24" t="s">
        <v>2595</v>
      </c>
      <c r="B1473" s="4" t="s">
        <v>1063</v>
      </c>
      <c r="C1473" s="25" t="s">
        <v>5</v>
      </c>
      <c r="G1473" s="25" t="s">
        <v>1077</v>
      </c>
      <c r="H1473" s="24" t="s">
        <v>1061</v>
      </c>
      <c r="I1473" s="3" t="str">
        <f>IFERROR(VLOOKUP(C1473,'Справочник соответствий'!A$2:D$2981,2,FALSE),IF(VALUE(C1473)=0,1,VLOOKUP(C1473,'Справочник соответствий'!A$2:D$2981,2,FALSE)))</f>
        <v>1</v>
      </c>
      <c r="J1473" s="3">
        <f>IFERROR(VLOOKUP(D1473,'Справочник соответствий'!A$2:D$2981,2,FALSE),IF(VALUE(D1473)=0,0,VLOOKUP(D1473,'Справочник соответствий'!A$2:D$2981,2,FALSE)))</f>
        <v>0</v>
      </c>
      <c r="K1473" s="3" t="str">
        <f t="shared" si="154"/>
        <v>1</v>
      </c>
      <c r="L1473" s="13" t="str">
        <f>IFERROR(VLOOKUP(C1473,'Справочник соответствий'!A$2:D$2981,3,FALSE),IF(VALUE(C1473)=0,"ЭТАЖ НЕ ОПРЕДЕЛЕН. ПРИНЯТ ПО ДОПУЩЕНИЮ 1",VLOOKUP(C1473,'Справочник соответствий'!A$2:D$2981,3,FALSE)))</f>
        <v>ЭТАЖ ЗАДАН ЧИСЛОМ</v>
      </c>
      <c r="M1473" s="13" t="b">
        <f t="shared" si="155"/>
        <v>0</v>
      </c>
      <c r="N1473" s="13">
        <f t="shared" si="156"/>
        <v>1</v>
      </c>
      <c r="O1473" s="13" t="str">
        <f t="shared" si="157"/>
        <v>ЭТАЖ ЗАДАН ЧИСЛОМ</v>
      </c>
      <c r="P1473" s="13" t="str">
        <f t="shared" si="158"/>
        <v>ЭТАЖ ЗАДАН ЧИСЛОМ</v>
      </c>
      <c r="Q1473" s="13" t="str">
        <f t="shared" si="159"/>
        <v>ГОТОВ_ИЗМЕНЕН</v>
      </c>
      <c r="R1473" s="13">
        <f>IFERROR(VLOOKUP(P1473,Лист1!A$1:B$20,2,FALSE),0)</f>
        <v>784</v>
      </c>
      <c r="S1473" s="13">
        <f t="shared" si="160"/>
        <v>0</v>
      </c>
    </row>
    <row r="1474" spans="1:19" x14ac:dyDescent="0.25">
      <c r="A1474" s="24" t="s">
        <v>2596</v>
      </c>
      <c r="B1474" s="4" t="s">
        <v>1059</v>
      </c>
      <c r="C1474" s="25" t="s">
        <v>5</v>
      </c>
      <c r="G1474" s="25" t="s">
        <v>1077</v>
      </c>
      <c r="H1474" s="24" t="s">
        <v>1061</v>
      </c>
      <c r="I1474" s="3" t="str">
        <f>IFERROR(VLOOKUP(C1474,'Справочник соответствий'!A$2:D$2981,2,FALSE),IF(VALUE(C1474)=0,1,VLOOKUP(C1474,'Справочник соответствий'!A$2:D$2981,2,FALSE)))</f>
        <v>1</v>
      </c>
      <c r="J1474" s="3">
        <f>IFERROR(VLOOKUP(D1474,'Справочник соответствий'!A$2:D$2981,2,FALSE),IF(VALUE(D1474)=0,0,VLOOKUP(D1474,'Справочник соответствий'!A$2:D$2981,2,FALSE)))</f>
        <v>0</v>
      </c>
      <c r="K1474" s="3" t="str">
        <f t="shared" si="154"/>
        <v>1</v>
      </c>
      <c r="L1474" s="13" t="str">
        <f>IFERROR(VLOOKUP(C1474,'Справочник соответствий'!A$2:D$2981,3,FALSE),IF(VALUE(C1474)=0,"ЭТАЖ НЕ ОПРЕДЕЛЕН. ПРИНЯТ ПО ДОПУЩЕНИЮ 1",VLOOKUP(C1474,'Справочник соответствий'!A$2:D$2981,3,FALSE)))</f>
        <v>ЭТАЖ ЗАДАН ЧИСЛОМ</v>
      </c>
      <c r="M1474" s="13" t="b">
        <f t="shared" si="155"/>
        <v>0</v>
      </c>
      <c r="N1474" s="13">
        <f t="shared" si="156"/>
        <v>1</v>
      </c>
      <c r="O1474" s="13" t="str">
        <f t="shared" si="157"/>
        <v>ЭТАЖ ЗАДАН ЧИСЛОМ</v>
      </c>
      <c r="P1474" s="13" t="str">
        <f t="shared" si="158"/>
        <v>ЭТАЖ ЗАДАН ЧИСЛОМ</v>
      </c>
      <c r="Q1474" s="13" t="str">
        <f t="shared" si="159"/>
        <v>ГОТОВ_ИЗМЕНЕН</v>
      </c>
      <c r="R1474" s="13">
        <f>IFERROR(VLOOKUP(P1474,Лист1!A$1:B$20,2,FALSE),0)</f>
        <v>784</v>
      </c>
      <c r="S1474" s="13">
        <f t="shared" si="160"/>
        <v>0</v>
      </c>
    </row>
    <row r="1475" spans="1:19" x14ac:dyDescent="0.25">
      <c r="A1475" s="24" t="s">
        <v>2597</v>
      </c>
      <c r="B1475" s="4" t="s">
        <v>1063</v>
      </c>
      <c r="C1475" s="25" t="s">
        <v>5</v>
      </c>
      <c r="G1475" s="25" t="s">
        <v>1086</v>
      </c>
      <c r="H1475" s="24" t="s">
        <v>1061</v>
      </c>
      <c r="I1475" s="3" t="str">
        <f>IFERROR(VLOOKUP(C1475,'Справочник соответствий'!A$2:D$2981,2,FALSE),IF(VALUE(C1475)=0,1,VLOOKUP(C1475,'Справочник соответствий'!A$2:D$2981,2,FALSE)))</f>
        <v>1</v>
      </c>
      <c r="J1475" s="3">
        <f>IFERROR(VLOOKUP(D1475,'Справочник соответствий'!A$2:D$2981,2,FALSE),IF(VALUE(D1475)=0,0,VLOOKUP(D1475,'Справочник соответствий'!A$2:D$2981,2,FALSE)))</f>
        <v>0</v>
      </c>
      <c r="K1475" s="3" t="str">
        <f t="shared" si="154"/>
        <v>1</v>
      </c>
      <c r="L1475" s="13" t="str">
        <f>IFERROR(VLOOKUP(C1475,'Справочник соответствий'!A$2:D$2981,3,FALSE),IF(VALUE(C1475)=0,"ЭТАЖ НЕ ОПРЕДЕЛЕН. ПРИНЯТ ПО ДОПУЩЕНИЮ 1",VLOOKUP(C1475,'Справочник соответствий'!A$2:D$2981,3,FALSE)))</f>
        <v>ЭТАЖ ЗАДАН ЧИСЛОМ</v>
      </c>
      <c r="M1475" s="13" t="b">
        <f t="shared" si="155"/>
        <v>0</v>
      </c>
      <c r="N1475" s="13">
        <f t="shared" si="156"/>
        <v>1</v>
      </c>
      <c r="O1475" s="13" t="str">
        <f t="shared" si="157"/>
        <v>ЭТАЖ ЗАДАН ЧИСЛОМ</v>
      </c>
      <c r="P1475" s="13" t="str">
        <f t="shared" si="158"/>
        <v>ЭТАЖ ЗАДАН ЧИСЛОМ</v>
      </c>
      <c r="Q1475" s="13" t="str">
        <f t="shared" si="159"/>
        <v>ГОТОВ_ИЗМЕНЕН</v>
      </c>
      <c r="R1475" s="13">
        <f>IFERROR(VLOOKUP(P1475,Лист1!A$1:B$20,2,FALSE),0)</f>
        <v>784</v>
      </c>
      <c r="S1475" s="13">
        <f t="shared" si="160"/>
        <v>0</v>
      </c>
    </row>
    <row r="1476" spans="1:19" x14ac:dyDescent="0.25">
      <c r="A1476" s="24" t="s">
        <v>2598</v>
      </c>
      <c r="B1476" s="4" t="s">
        <v>1059</v>
      </c>
      <c r="C1476" s="25" t="s">
        <v>7</v>
      </c>
      <c r="G1476" s="25" t="s">
        <v>1086</v>
      </c>
      <c r="H1476" s="24" t="s">
        <v>1061</v>
      </c>
      <c r="I1476" s="3" t="str">
        <f>IFERROR(VLOOKUP(C1476,'Справочник соответствий'!A$2:D$2981,2,FALSE),IF(VALUE(C1476)=0,1,VLOOKUP(C1476,'Справочник соответствий'!A$2:D$2981,2,FALSE)))</f>
        <v>2</v>
      </c>
      <c r="J1476" s="3">
        <f>IFERROR(VLOOKUP(D1476,'Справочник соответствий'!A$2:D$2981,2,FALSE),IF(VALUE(D1476)=0,0,VLOOKUP(D1476,'Справочник соответствий'!A$2:D$2981,2,FALSE)))</f>
        <v>0</v>
      </c>
      <c r="K1476" s="3" t="str">
        <f t="shared" si="154"/>
        <v>2</v>
      </c>
      <c r="L1476" s="13" t="str">
        <f>IFERROR(VLOOKUP(C1476,'Справочник соответствий'!A$2:D$2981,3,FALSE),IF(VALUE(C1476)=0,"ЭТАЖ НЕ ОПРЕДЕЛЕН. ПРИНЯТ ПО ДОПУЩЕНИЮ 1",VLOOKUP(C1476,'Справочник соответствий'!A$2:D$2981,3,FALSE)))</f>
        <v>ЭТАЖ ЗАДАН ЧИСЛОМ</v>
      </c>
      <c r="M1476" s="13" t="b">
        <f t="shared" si="155"/>
        <v>0</v>
      </c>
      <c r="N1476" s="13">
        <f t="shared" si="156"/>
        <v>2</v>
      </c>
      <c r="O1476" s="13" t="str">
        <f t="shared" si="157"/>
        <v>ЭТАЖ ЗАДАН ЧИСЛОМ</v>
      </c>
      <c r="P1476" s="13" t="str">
        <f t="shared" si="158"/>
        <v>ЭТАЖ ЗАДАН ЧИСЛОМ</v>
      </c>
      <c r="Q1476" s="13" t="str">
        <f t="shared" si="159"/>
        <v>ГОТОВ_ИЗМЕНЕН</v>
      </c>
      <c r="R1476" s="13">
        <f>IFERROR(VLOOKUP(P1476,Лист1!A$1:B$20,2,FALSE),0)</f>
        <v>784</v>
      </c>
      <c r="S1476" s="13">
        <f t="shared" si="160"/>
        <v>0</v>
      </c>
    </row>
    <row r="1477" spans="1:19" x14ac:dyDescent="0.25">
      <c r="A1477" s="24" t="s">
        <v>2599</v>
      </c>
      <c r="B1477" s="4" t="s">
        <v>1059</v>
      </c>
      <c r="C1477" s="25" t="s">
        <v>5</v>
      </c>
      <c r="G1477" s="25" t="s">
        <v>1086</v>
      </c>
      <c r="H1477" s="24" t="s">
        <v>1061</v>
      </c>
      <c r="I1477" s="3" t="str">
        <f>IFERROR(VLOOKUP(C1477,'Справочник соответствий'!A$2:D$2981,2,FALSE),IF(VALUE(C1477)=0,1,VLOOKUP(C1477,'Справочник соответствий'!A$2:D$2981,2,FALSE)))</f>
        <v>1</v>
      </c>
      <c r="J1477" s="3">
        <f>IFERROR(VLOOKUP(D1477,'Справочник соответствий'!A$2:D$2981,2,FALSE),IF(VALUE(D1477)=0,0,VLOOKUP(D1477,'Справочник соответствий'!A$2:D$2981,2,FALSE)))</f>
        <v>0</v>
      </c>
      <c r="K1477" s="3" t="str">
        <f t="shared" ref="K1477:K1540" si="161">IF(B1477="Многоквартирный дом",IF(I1477-J1477&gt;0,I1477-J1477,1),I1477)</f>
        <v>1</v>
      </c>
      <c r="L1477" s="13" t="str">
        <f>IFERROR(VLOOKUP(C1477,'Справочник соответствий'!A$2:D$2981,3,FALSE),IF(VALUE(C1477)=0,"ЭТАЖ НЕ ОПРЕДЕЛЕН. ПРИНЯТ ПО ДОПУЩЕНИЮ 1",VLOOKUP(C1477,'Справочник соответствий'!A$2:D$2981,3,FALSE)))</f>
        <v>ЭТАЖ ЗАДАН ЧИСЛОМ</v>
      </c>
      <c r="M1477" s="13" t="b">
        <f t="shared" ref="M1477:M1540" si="162">I1477=E1477</f>
        <v>0</v>
      </c>
      <c r="N1477" s="13">
        <f t="shared" ref="N1477:N1540" si="163">IF(VALUE(E1477)=0,VALUE(K1477),IF(L1477="ЭТАЖ НЕ ОПРЕДЕЛЕН. ПРИНЯТ ПО ДОПУЩЕНИЮ 1",VALUE(E1477),VALUE(K1477)))</f>
        <v>1</v>
      </c>
      <c r="O1477" s="13" t="str">
        <f t="shared" ref="O1477:O1540" si="164">IF(VALUE(E1477)=0,L1477,IF(L1477="ЭТАЖ НЕ ОПРЕДЕЛЕН. ПРИНЯТ ПО ДОПУЩЕНИЮ 1",F1477,L1477))</f>
        <v>ЭТАЖ ЗАДАН ЧИСЛОМ</v>
      </c>
      <c r="P1477" s="13" t="str">
        <f t="shared" ref="P1477:P1540" si="165">IF(B1477="Многоквартирный дом",CONCATENATE("МКД_",O1477),O1477)</f>
        <v>ЭТАЖ ЗАДАН ЧИСЛОМ</v>
      </c>
      <c r="Q1477" s="13" t="str">
        <f t="shared" ref="Q1477:Q1540" si="166">IFERROR(IF(N1477&gt;0,IF(N1477=VALUE(E1477),"ГОТОВ","ГОТОВ_ИЗМЕНЕН"),"НЕ ГОТОВ"),"НЕ ГОТОВ")</f>
        <v>ГОТОВ_ИЗМЕНЕН</v>
      </c>
      <c r="R1477" s="13">
        <f>IFERROR(VLOOKUP(P1477,Лист1!A$1:B$20,2,FALSE),0)</f>
        <v>784</v>
      </c>
      <c r="S1477" s="13">
        <f t="shared" ref="S1477:S1540" si="167">VALUE(E1477)</f>
        <v>0</v>
      </c>
    </row>
    <row r="1478" spans="1:19" x14ac:dyDescent="0.25">
      <c r="A1478" s="24" t="s">
        <v>2600</v>
      </c>
      <c r="B1478" s="4" t="s">
        <v>1059</v>
      </c>
      <c r="C1478" s="25" t="s">
        <v>5</v>
      </c>
      <c r="G1478" s="25" t="s">
        <v>1080</v>
      </c>
      <c r="H1478" s="24" t="s">
        <v>1061</v>
      </c>
      <c r="I1478" s="3" t="str">
        <f>IFERROR(VLOOKUP(C1478,'Справочник соответствий'!A$2:D$2981,2,FALSE),IF(VALUE(C1478)=0,1,VLOOKUP(C1478,'Справочник соответствий'!A$2:D$2981,2,FALSE)))</f>
        <v>1</v>
      </c>
      <c r="J1478" s="3">
        <f>IFERROR(VLOOKUP(D1478,'Справочник соответствий'!A$2:D$2981,2,FALSE),IF(VALUE(D1478)=0,0,VLOOKUP(D1478,'Справочник соответствий'!A$2:D$2981,2,FALSE)))</f>
        <v>0</v>
      </c>
      <c r="K1478" s="3" t="str">
        <f t="shared" si="161"/>
        <v>1</v>
      </c>
      <c r="L1478" s="13" t="str">
        <f>IFERROR(VLOOKUP(C1478,'Справочник соответствий'!A$2:D$2981,3,FALSE),IF(VALUE(C1478)=0,"ЭТАЖ НЕ ОПРЕДЕЛЕН. ПРИНЯТ ПО ДОПУЩЕНИЮ 1",VLOOKUP(C1478,'Справочник соответствий'!A$2:D$2981,3,FALSE)))</f>
        <v>ЭТАЖ ЗАДАН ЧИСЛОМ</v>
      </c>
      <c r="M1478" s="13" t="b">
        <f t="shared" si="162"/>
        <v>0</v>
      </c>
      <c r="N1478" s="13">
        <f t="shared" si="163"/>
        <v>1</v>
      </c>
      <c r="O1478" s="13" t="str">
        <f t="shared" si="164"/>
        <v>ЭТАЖ ЗАДАН ЧИСЛОМ</v>
      </c>
      <c r="P1478" s="13" t="str">
        <f t="shared" si="165"/>
        <v>ЭТАЖ ЗАДАН ЧИСЛОМ</v>
      </c>
      <c r="Q1478" s="13" t="str">
        <f t="shared" si="166"/>
        <v>ГОТОВ_ИЗМЕНЕН</v>
      </c>
      <c r="R1478" s="13">
        <f>IFERROR(VLOOKUP(P1478,Лист1!A$1:B$20,2,FALSE),0)</f>
        <v>784</v>
      </c>
      <c r="S1478" s="13">
        <f t="shared" si="167"/>
        <v>0</v>
      </c>
    </row>
    <row r="1479" spans="1:19" x14ac:dyDescent="0.25">
      <c r="A1479" s="24" t="s">
        <v>2601</v>
      </c>
      <c r="B1479" s="4" t="s">
        <v>1059</v>
      </c>
      <c r="C1479" s="25" t="s">
        <v>7</v>
      </c>
      <c r="G1479" s="25" t="s">
        <v>1080</v>
      </c>
      <c r="H1479" s="24" t="s">
        <v>1061</v>
      </c>
      <c r="I1479" s="3" t="str">
        <f>IFERROR(VLOOKUP(C1479,'Справочник соответствий'!A$2:D$2981,2,FALSE),IF(VALUE(C1479)=0,1,VLOOKUP(C1479,'Справочник соответствий'!A$2:D$2981,2,FALSE)))</f>
        <v>2</v>
      </c>
      <c r="J1479" s="3">
        <f>IFERROR(VLOOKUP(D1479,'Справочник соответствий'!A$2:D$2981,2,FALSE),IF(VALUE(D1479)=0,0,VLOOKUP(D1479,'Справочник соответствий'!A$2:D$2981,2,FALSE)))</f>
        <v>0</v>
      </c>
      <c r="K1479" s="3" t="str">
        <f t="shared" si="161"/>
        <v>2</v>
      </c>
      <c r="L1479" s="13" t="str">
        <f>IFERROR(VLOOKUP(C1479,'Справочник соответствий'!A$2:D$2981,3,FALSE),IF(VALUE(C1479)=0,"ЭТАЖ НЕ ОПРЕДЕЛЕН. ПРИНЯТ ПО ДОПУЩЕНИЮ 1",VLOOKUP(C1479,'Справочник соответствий'!A$2:D$2981,3,FALSE)))</f>
        <v>ЭТАЖ ЗАДАН ЧИСЛОМ</v>
      </c>
      <c r="M1479" s="13" t="b">
        <f t="shared" si="162"/>
        <v>0</v>
      </c>
      <c r="N1479" s="13">
        <f t="shared" si="163"/>
        <v>2</v>
      </c>
      <c r="O1479" s="13" t="str">
        <f t="shared" si="164"/>
        <v>ЭТАЖ ЗАДАН ЧИСЛОМ</v>
      </c>
      <c r="P1479" s="13" t="str">
        <f t="shared" si="165"/>
        <v>ЭТАЖ ЗАДАН ЧИСЛОМ</v>
      </c>
      <c r="Q1479" s="13" t="str">
        <f t="shared" si="166"/>
        <v>ГОТОВ_ИЗМЕНЕН</v>
      </c>
      <c r="R1479" s="13">
        <f>IFERROR(VLOOKUP(P1479,Лист1!A$1:B$20,2,FALSE),0)</f>
        <v>784</v>
      </c>
      <c r="S1479" s="13">
        <f t="shared" si="167"/>
        <v>0</v>
      </c>
    </row>
    <row r="1480" spans="1:19" x14ac:dyDescent="0.25">
      <c r="A1480" s="24" t="s">
        <v>2602</v>
      </c>
      <c r="B1480" s="4" t="s">
        <v>1063</v>
      </c>
      <c r="C1480" s="25" t="s">
        <v>5</v>
      </c>
      <c r="G1480" s="25" t="s">
        <v>1080</v>
      </c>
      <c r="H1480" s="24" t="s">
        <v>1061</v>
      </c>
      <c r="I1480" s="3" t="str">
        <f>IFERROR(VLOOKUP(C1480,'Справочник соответствий'!A$2:D$2981,2,FALSE),IF(VALUE(C1480)=0,1,VLOOKUP(C1480,'Справочник соответствий'!A$2:D$2981,2,FALSE)))</f>
        <v>1</v>
      </c>
      <c r="J1480" s="3">
        <f>IFERROR(VLOOKUP(D1480,'Справочник соответствий'!A$2:D$2981,2,FALSE),IF(VALUE(D1480)=0,0,VLOOKUP(D1480,'Справочник соответствий'!A$2:D$2981,2,FALSE)))</f>
        <v>0</v>
      </c>
      <c r="K1480" s="3" t="str">
        <f t="shared" si="161"/>
        <v>1</v>
      </c>
      <c r="L1480" s="13" t="str">
        <f>IFERROR(VLOOKUP(C1480,'Справочник соответствий'!A$2:D$2981,3,FALSE),IF(VALUE(C1480)=0,"ЭТАЖ НЕ ОПРЕДЕЛЕН. ПРИНЯТ ПО ДОПУЩЕНИЮ 1",VLOOKUP(C1480,'Справочник соответствий'!A$2:D$2981,3,FALSE)))</f>
        <v>ЭТАЖ ЗАДАН ЧИСЛОМ</v>
      </c>
      <c r="M1480" s="13" t="b">
        <f t="shared" si="162"/>
        <v>0</v>
      </c>
      <c r="N1480" s="13">
        <f t="shared" si="163"/>
        <v>1</v>
      </c>
      <c r="O1480" s="13" t="str">
        <f t="shared" si="164"/>
        <v>ЭТАЖ ЗАДАН ЧИСЛОМ</v>
      </c>
      <c r="P1480" s="13" t="str">
        <f t="shared" si="165"/>
        <v>ЭТАЖ ЗАДАН ЧИСЛОМ</v>
      </c>
      <c r="Q1480" s="13" t="str">
        <f t="shared" si="166"/>
        <v>ГОТОВ_ИЗМЕНЕН</v>
      </c>
      <c r="R1480" s="13">
        <f>IFERROR(VLOOKUP(P1480,Лист1!A$1:B$20,2,FALSE),0)</f>
        <v>784</v>
      </c>
      <c r="S1480" s="13">
        <f t="shared" si="167"/>
        <v>0</v>
      </c>
    </row>
    <row r="1481" spans="1:19" x14ac:dyDescent="0.25">
      <c r="A1481" s="24" t="s">
        <v>2603</v>
      </c>
      <c r="B1481" s="4" t="s">
        <v>1059</v>
      </c>
      <c r="C1481" s="25" t="s">
        <v>5</v>
      </c>
      <c r="G1481" s="25" t="s">
        <v>1080</v>
      </c>
      <c r="H1481" s="24" t="s">
        <v>1061</v>
      </c>
      <c r="I1481" s="3" t="str">
        <f>IFERROR(VLOOKUP(C1481,'Справочник соответствий'!A$2:D$2981,2,FALSE),IF(VALUE(C1481)=0,1,VLOOKUP(C1481,'Справочник соответствий'!A$2:D$2981,2,FALSE)))</f>
        <v>1</v>
      </c>
      <c r="J1481" s="3">
        <f>IFERROR(VLOOKUP(D1481,'Справочник соответствий'!A$2:D$2981,2,FALSE),IF(VALUE(D1481)=0,0,VLOOKUP(D1481,'Справочник соответствий'!A$2:D$2981,2,FALSE)))</f>
        <v>0</v>
      </c>
      <c r="K1481" s="3" t="str">
        <f t="shared" si="161"/>
        <v>1</v>
      </c>
      <c r="L1481" s="13" t="str">
        <f>IFERROR(VLOOKUP(C1481,'Справочник соответствий'!A$2:D$2981,3,FALSE),IF(VALUE(C1481)=0,"ЭТАЖ НЕ ОПРЕДЕЛЕН. ПРИНЯТ ПО ДОПУЩЕНИЮ 1",VLOOKUP(C1481,'Справочник соответствий'!A$2:D$2981,3,FALSE)))</f>
        <v>ЭТАЖ ЗАДАН ЧИСЛОМ</v>
      </c>
      <c r="M1481" s="13" t="b">
        <f t="shared" si="162"/>
        <v>0</v>
      </c>
      <c r="N1481" s="13">
        <f t="shared" si="163"/>
        <v>1</v>
      </c>
      <c r="O1481" s="13" t="str">
        <f t="shared" si="164"/>
        <v>ЭТАЖ ЗАДАН ЧИСЛОМ</v>
      </c>
      <c r="P1481" s="13" t="str">
        <f t="shared" si="165"/>
        <v>ЭТАЖ ЗАДАН ЧИСЛОМ</v>
      </c>
      <c r="Q1481" s="13" t="str">
        <f t="shared" si="166"/>
        <v>ГОТОВ_ИЗМЕНЕН</v>
      </c>
      <c r="R1481" s="13">
        <f>IFERROR(VLOOKUP(P1481,Лист1!A$1:B$20,2,FALSE),0)</f>
        <v>784</v>
      </c>
      <c r="S1481" s="13">
        <f t="shared" si="167"/>
        <v>0</v>
      </c>
    </row>
    <row r="1482" spans="1:19" x14ac:dyDescent="0.25">
      <c r="A1482" s="24" t="s">
        <v>2604</v>
      </c>
      <c r="B1482" s="4" t="s">
        <v>1063</v>
      </c>
      <c r="C1482" s="25" t="s">
        <v>5</v>
      </c>
      <c r="G1482" s="25" t="s">
        <v>1086</v>
      </c>
      <c r="H1482" s="24" t="s">
        <v>1061</v>
      </c>
      <c r="I1482" s="3" t="str">
        <f>IFERROR(VLOOKUP(C1482,'Справочник соответствий'!A$2:D$2981,2,FALSE),IF(VALUE(C1482)=0,1,VLOOKUP(C1482,'Справочник соответствий'!A$2:D$2981,2,FALSE)))</f>
        <v>1</v>
      </c>
      <c r="J1482" s="3">
        <f>IFERROR(VLOOKUP(D1482,'Справочник соответствий'!A$2:D$2981,2,FALSE),IF(VALUE(D1482)=0,0,VLOOKUP(D1482,'Справочник соответствий'!A$2:D$2981,2,FALSE)))</f>
        <v>0</v>
      </c>
      <c r="K1482" s="3" t="str">
        <f t="shared" si="161"/>
        <v>1</v>
      </c>
      <c r="L1482" s="13" t="str">
        <f>IFERROR(VLOOKUP(C1482,'Справочник соответствий'!A$2:D$2981,3,FALSE),IF(VALUE(C1482)=0,"ЭТАЖ НЕ ОПРЕДЕЛЕН. ПРИНЯТ ПО ДОПУЩЕНИЮ 1",VLOOKUP(C1482,'Справочник соответствий'!A$2:D$2981,3,FALSE)))</f>
        <v>ЭТАЖ ЗАДАН ЧИСЛОМ</v>
      </c>
      <c r="M1482" s="13" t="b">
        <f t="shared" si="162"/>
        <v>0</v>
      </c>
      <c r="N1482" s="13">
        <f t="shared" si="163"/>
        <v>1</v>
      </c>
      <c r="O1482" s="13" t="str">
        <f t="shared" si="164"/>
        <v>ЭТАЖ ЗАДАН ЧИСЛОМ</v>
      </c>
      <c r="P1482" s="13" t="str">
        <f t="shared" si="165"/>
        <v>ЭТАЖ ЗАДАН ЧИСЛОМ</v>
      </c>
      <c r="Q1482" s="13" t="str">
        <f t="shared" si="166"/>
        <v>ГОТОВ_ИЗМЕНЕН</v>
      </c>
      <c r="R1482" s="13">
        <f>IFERROR(VLOOKUP(P1482,Лист1!A$1:B$20,2,FALSE),0)</f>
        <v>784</v>
      </c>
      <c r="S1482" s="13">
        <f t="shared" si="167"/>
        <v>0</v>
      </c>
    </row>
    <row r="1483" spans="1:19" x14ac:dyDescent="0.25">
      <c r="A1483" s="24" t="s">
        <v>2605</v>
      </c>
      <c r="B1483" s="4" t="s">
        <v>1063</v>
      </c>
      <c r="C1483" s="25" t="s">
        <v>5</v>
      </c>
      <c r="G1483" s="25" t="s">
        <v>1086</v>
      </c>
      <c r="H1483" s="24" t="s">
        <v>1061</v>
      </c>
      <c r="I1483" s="3" t="str">
        <f>IFERROR(VLOOKUP(C1483,'Справочник соответствий'!A$2:D$2981,2,FALSE),IF(VALUE(C1483)=0,1,VLOOKUP(C1483,'Справочник соответствий'!A$2:D$2981,2,FALSE)))</f>
        <v>1</v>
      </c>
      <c r="J1483" s="3">
        <f>IFERROR(VLOOKUP(D1483,'Справочник соответствий'!A$2:D$2981,2,FALSE),IF(VALUE(D1483)=0,0,VLOOKUP(D1483,'Справочник соответствий'!A$2:D$2981,2,FALSE)))</f>
        <v>0</v>
      </c>
      <c r="K1483" s="3" t="str">
        <f t="shared" si="161"/>
        <v>1</v>
      </c>
      <c r="L1483" s="13" t="str">
        <f>IFERROR(VLOOKUP(C1483,'Справочник соответствий'!A$2:D$2981,3,FALSE),IF(VALUE(C1483)=0,"ЭТАЖ НЕ ОПРЕДЕЛЕН. ПРИНЯТ ПО ДОПУЩЕНИЮ 1",VLOOKUP(C1483,'Справочник соответствий'!A$2:D$2981,3,FALSE)))</f>
        <v>ЭТАЖ ЗАДАН ЧИСЛОМ</v>
      </c>
      <c r="M1483" s="13" t="b">
        <f t="shared" si="162"/>
        <v>0</v>
      </c>
      <c r="N1483" s="13">
        <f t="shared" si="163"/>
        <v>1</v>
      </c>
      <c r="O1483" s="13" t="str">
        <f t="shared" si="164"/>
        <v>ЭТАЖ ЗАДАН ЧИСЛОМ</v>
      </c>
      <c r="P1483" s="13" t="str">
        <f t="shared" si="165"/>
        <v>ЭТАЖ ЗАДАН ЧИСЛОМ</v>
      </c>
      <c r="Q1483" s="13" t="str">
        <f t="shared" si="166"/>
        <v>ГОТОВ_ИЗМЕНЕН</v>
      </c>
      <c r="R1483" s="13">
        <f>IFERROR(VLOOKUP(P1483,Лист1!A$1:B$20,2,FALSE),0)</f>
        <v>784</v>
      </c>
      <c r="S1483" s="13">
        <f t="shared" si="167"/>
        <v>0</v>
      </c>
    </row>
    <row r="1484" spans="1:19" x14ac:dyDescent="0.25">
      <c r="A1484" s="24" t="s">
        <v>2606</v>
      </c>
      <c r="B1484" s="4" t="s">
        <v>1059</v>
      </c>
      <c r="C1484" s="25" t="s">
        <v>7</v>
      </c>
      <c r="G1484" s="25" t="s">
        <v>1077</v>
      </c>
      <c r="H1484" s="24" t="s">
        <v>1061</v>
      </c>
      <c r="I1484" s="3" t="str">
        <f>IFERROR(VLOOKUP(C1484,'Справочник соответствий'!A$2:D$2981,2,FALSE),IF(VALUE(C1484)=0,1,VLOOKUP(C1484,'Справочник соответствий'!A$2:D$2981,2,FALSE)))</f>
        <v>2</v>
      </c>
      <c r="J1484" s="3">
        <f>IFERROR(VLOOKUP(D1484,'Справочник соответствий'!A$2:D$2981,2,FALSE),IF(VALUE(D1484)=0,0,VLOOKUP(D1484,'Справочник соответствий'!A$2:D$2981,2,FALSE)))</f>
        <v>0</v>
      </c>
      <c r="K1484" s="3" t="str">
        <f t="shared" si="161"/>
        <v>2</v>
      </c>
      <c r="L1484" s="13" t="str">
        <f>IFERROR(VLOOKUP(C1484,'Справочник соответствий'!A$2:D$2981,3,FALSE),IF(VALUE(C1484)=0,"ЭТАЖ НЕ ОПРЕДЕЛЕН. ПРИНЯТ ПО ДОПУЩЕНИЮ 1",VLOOKUP(C1484,'Справочник соответствий'!A$2:D$2981,3,FALSE)))</f>
        <v>ЭТАЖ ЗАДАН ЧИСЛОМ</v>
      </c>
      <c r="M1484" s="13" t="b">
        <f t="shared" si="162"/>
        <v>0</v>
      </c>
      <c r="N1484" s="13">
        <f t="shared" si="163"/>
        <v>2</v>
      </c>
      <c r="O1484" s="13" t="str">
        <f t="shared" si="164"/>
        <v>ЭТАЖ ЗАДАН ЧИСЛОМ</v>
      </c>
      <c r="P1484" s="13" t="str">
        <f t="shared" si="165"/>
        <v>ЭТАЖ ЗАДАН ЧИСЛОМ</v>
      </c>
      <c r="Q1484" s="13" t="str">
        <f t="shared" si="166"/>
        <v>ГОТОВ_ИЗМЕНЕН</v>
      </c>
      <c r="R1484" s="13">
        <f>IFERROR(VLOOKUP(P1484,Лист1!A$1:B$20,2,FALSE),0)</f>
        <v>784</v>
      </c>
      <c r="S1484" s="13">
        <f t="shared" si="167"/>
        <v>0</v>
      </c>
    </row>
    <row r="1485" spans="1:19" x14ac:dyDescent="0.25">
      <c r="A1485" s="24" t="s">
        <v>2607</v>
      </c>
      <c r="B1485" s="4" t="s">
        <v>1059</v>
      </c>
      <c r="C1485" s="25" t="s">
        <v>5</v>
      </c>
      <c r="G1485" s="25" t="s">
        <v>1077</v>
      </c>
      <c r="H1485" s="24" t="s">
        <v>1061</v>
      </c>
      <c r="I1485" s="3" t="str">
        <f>IFERROR(VLOOKUP(C1485,'Справочник соответствий'!A$2:D$2981,2,FALSE),IF(VALUE(C1485)=0,1,VLOOKUP(C1485,'Справочник соответствий'!A$2:D$2981,2,FALSE)))</f>
        <v>1</v>
      </c>
      <c r="J1485" s="3">
        <f>IFERROR(VLOOKUP(D1485,'Справочник соответствий'!A$2:D$2981,2,FALSE),IF(VALUE(D1485)=0,0,VLOOKUP(D1485,'Справочник соответствий'!A$2:D$2981,2,FALSE)))</f>
        <v>0</v>
      </c>
      <c r="K1485" s="3" t="str">
        <f t="shared" si="161"/>
        <v>1</v>
      </c>
      <c r="L1485" s="13" t="str">
        <f>IFERROR(VLOOKUP(C1485,'Справочник соответствий'!A$2:D$2981,3,FALSE),IF(VALUE(C1485)=0,"ЭТАЖ НЕ ОПРЕДЕЛЕН. ПРИНЯТ ПО ДОПУЩЕНИЮ 1",VLOOKUP(C1485,'Справочник соответствий'!A$2:D$2981,3,FALSE)))</f>
        <v>ЭТАЖ ЗАДАН ЧИСЛОМ</v>
      </c>
      <c r="M1485" s="13" t="b">
        <f t="shared" si="162"/>
        <v>0</v>
      </c>
      <c r="N1485" s="13">
        <f t="shared" si="163"/>
        <v>1</v>
      </c>
      <c r="O1485" s="13" t="str">
        <f t="shared" si="164"/>
        <v>ЭТАЖ ЗАДАН ЧИСЛОМ</v>
      </c>
      <c r="P1485" s="13" t="str">
        <f t="shared" si="165"/>
        <v>ЭТАЖ ЗАДАН ЧИСЛОМ</v>
      </c>
      <c r="Q1485" s="13" t="str">
        <f t="shared" si="166"/>
        <v>ГОТОВ_ИЗМЕНЕН</v>
      </c>
      <c r="R1485" s="13">
        <f>IFERROR(VLOOKUP(P1485,Лист1!A$1:B$20,2,FALSE),0)</f>
        <v>784</v>
      </c>
      <c r="S1485" s="13">
        <f t="shared" si="167"/>
        <v>0</v>
      </c>
    </row>
    <row r="1486" spans="1:19" x14ac:dyDescent="0.25">
      <c r="A1486" s="24" t="s">
        <v>2608</v>
      </c>
      <c r="B1486" s="4" t="s">
        <v>1059</v>
      </c>
      <c r="C1486" s="25" t="s">
        <v>5</v>
      </c>
      <c r="G1486" s="25" t="s">
        <v>1086</v>
      </c>
      <c r="H1486" s="24" t="s">
        <v>1061</v>
      </c>
      <c r="I1486" s="3" t="str">
        <f>IFERROR(VLOOKUP(C1486,'Справочник соответствий'!A$2:D$2981,2,FALSE),IF(VALUE(C1486)=0,1,VLOOKUP(C1486,'Справочник соответствий'!A$2:D$2981,2,FALSE)))</f>
        <v>1</v>
      </c>
      <c r="J1486" s="3">
        <f>IFERROR(VLOOKUP(D1486,'Справочник соответствий'!A$2:D$2981,2,FALSE),IF(VALUE(D1486)=0,0,VLOOKUP(D1486,'Справочник соответствий'!A$2:D$2981,2,FALSE)))</f>
        <v>0</v>
      </c>
      <c r="K1486" s="3" t="str">
        <f t="shared" si="161"/>
        <v>1</v>
      </c>
      <c r="L1486" s="13" t="str">
        <f>IFERROR(VLOOKUP(C1486,'Справочник соответствий'!A$2:D$2981,3,FALSE),IF(VALUE(C1486)=0,"ЭТАЖ НЕ ОПРЕДЕЛЕН. ПРИНЯТ ПО ДОПУЩЕНИЮ 1",VLOOKUP(C1486,'Справочник соответствий'!A$2:D$2981,3,FALSE)))</f>
        <v>ЭТАЖ ЗАДАН ЧИСЛОМ</v>
      </c>
      <c r="M1486" s="13" t="b">
        <f t="shared" si="162"/>
        <v>0</v>
      </c>
      <c r="N1486" s="13">
        <f t="shared" si="163"/>
        <v>1</v>
      </c>
      <c r="O1486" s="13" t="str">
        <f t="shared" si="164"/>
        <v>ЭТАЖ ЗАДАН ЧИСЛОМ</v>
      </c>
      <c r="P1486" s="13" t="str">
        <f t="shared" si="165"/>
        <v>ЭТАЖ ЗАДАН ЧИСЛОМ</v>
      </c>
      <c r="Q1486" s="13" t="str">
        <f t="shared" si="166"/>
        <v>ГОТОВ_ИЗМЕНЕН</v>
      </c>
      <c r="R1486" s="13">
        <f>IFERROR(VLOOKUP(P1486,Лист1!A$1:B$20,2,FALSE),0)</f>
        <v>784</v>
      </c>
      <c r="S1486" s="13">
        <f t="shared" si="167"/>
        <v>0</v>
      </c>
    </row>
    <row r="1487" spans="1:19" x14ac:dyDescent="0.25">
      <c r="A1487" s="24" t="s">
        <v>2609</v>
      </c>
      <c r="B1487" s="4" t="s">
        <v>1059</v>
      </c>
      <c r="C1487" s="25" t="s">
        <v>5</v>
      </c>
      <c r="G1487" s="25" t="s">
        <v>1080</v>
      </c>
      <c r="H1487" s="24" t="s">
        <v>1061</v>
      </c>
      <c r="I1487" s="3" t="str">
        <f>IFERROR(VLOOKUP(C1487,'Справочник соответствий'!A$2:D$2981,2,FALSE),IF(VALUE(C1487)=0,1,VLOOKUP(C1487,'Справочник соответствий'!A$2:D$2981,2,FALSE)))</f>
        <v>1</v>
      </c>
      <c r="J1487" s="3">
        <f>IFERROR(VLOOKUP(D1487,'Справочник соответствий'!A$2:D$2981,2,FALSE),IF(VALUE(D1487)=0,0,VLOOKUP(D1487,'Справочник соответствий'!A$2:D$2981,2,FALSE)))</f>
        <v>0</v>
      </c>
      <c r="K1487" s="3" t="str">
        <f t="shared" si="161"/>
        <v>1</v>
      </c>
      <c r="L1487" s="13" t="str">
        <f>IFERROR(VLOOKUP(C1487,'Справочник соответствий'!A$2:D$2981,3,FALSE),IF(VALUE(C1487)=0,"ЭТАЖ НЕ ОПРЕДЕЛЕН. ПРИНЯТ ПО ДОПУЩЕНИЮ 1",VLOOKUP(C1487,'Справочник соответствий'!A$2:D$2981,3,FALSE)))</f>
        <v>ЭТАЖ ЗАДАН ЧИСЛОМ</v>
      </c>
      <c r="M1487" s="13" t="b">
        <f t="shared" si="162"/>
        <v>0</v>
      </c>
      <c r="N1487" s="13">
        <f t="shared" si="163"/>
        <v>1</v>
      </c>
      <c r="O1487" s="13" t="str">
        <f t="shared" si="164"/>
        <v>ЭТАЖ ЗАДАН ЧИСЛОМ</v>
      </c>
      <c r="P1487" s="13" t="str">
        <f t="shared" si="165"/>
        <v>ЭТАЖ ЗАДАН ЧИСЛОМ</v>
      </c>
      <c r="Q1487" s="13" t="str">
        <f t="shared" si="166"/>
        <v>ГОТОВ_ИЗМЕНЕН</v>
      </c>
      <c r="R1487" s="13">
        <f>IFERROR(VLOOKUP(P1487,Лист1!A$1:B$20,2,FALSE),0)</f>
        <v>784</v>
      </c>
      <c r="S1487" s="13">
        <f t="shared" si="167"/>
        <v>0</v>
      </c>
    </row>
    <row r="1488" spans="1:19" x14ac:dyDescent="0.25">
      <c r="A1488" s="24" t="s">
        <v>2610</v>
      </c>
      <c r="B1488" s="4" t="s">
        <v>1063</v>
      </c>
      <c r="C1488" s="25" t="s">
        <v>5</v>
      </c>
      <c r="G1488" s="25" t="s">
        <v>1080</v>
      </c>
      <c r="H1488" s="24" t="s">
        <v>1061</v>
      </c>
      <c r="I1488" s="3" t="str">
        <f>IFERROR(VLOOKUP(C1488,'Справочник соответствий'!A$2:D$2981,2,FALSE),IF(VALUE(C1488)=0,1,VLOOKUP(C1488,'Справочник соответствий'!A$2:D$2981,2,FALSE)))</f>
        <v>1</v>
      </c>
      <c r="J1488" s="3">
        <f>IFERROR(VLOOKUP(D1488,'Справочник соответствий'!A$2:D$2981,2,FALSE),IF(VALUE(D1488)=0,0,VLOOKUP(D1488,'Справочник соответствий'!A$2:D$2981,2,FALSE)))</f>
        <v>0</v>
      </c>
      <c r="K1488" s="3" t="str">
        <f t="shared" si="161"/>
        <v>1</v>
      </c>
      <c r="L1488" s="13" t="str">
        <f>IFERROR(VLOOKUP(C1488,'Справочник соответствий'!A$2:D$2981,3,FALSE),IF(VALUE(C1488)=0,"ЭТАЖ НЕ ОПРЕДЕЛЕН. ПРИНЯТ ПО ДОПУЩЕНИЮ 1",VLOOKUP(C1488,'Справочник соответствий'!A$2:D$2981,3,FALSE)))</f>
        <v>ЭТАЖ ЗАДАН ЧИСЛОМ</v>
      </c>
      <c r="M1488" s="13" t="b">
        <f t="shared" si="162"/>
        <v>0</v>
      </c>
      <c r="N1488" s="13">
        <f t="shared" si="163"/>
        <v>1</v>
      </c>
      <c r="O1488" s="13" t="str">
        <f t="shared" si="164"/>
        <v>ЭТАЖ ЗАДАН ЧИСЛОМ</v>
      </c>
      <c r="P1488" s="13" t="str">
        <f t="shared" si="165"/>
        <v>ЭТАЖ ЗАДАН ЧИСЛОМ</v>
      </c>
      <c r="Q1488" s="13" t="str">
        <f t="shared" si="166"/>
        <v>ГОТОВ_ИЗМЕНЕН</v>
      </c>
      <c r="R1488" s="13">
        <f>IFERROR(VLOOKUP(P1488,Лист1!A$1:B$20,2,FALSE),0)</f>
        <v>784</v>
      </c>
      <c r="S1488" s="13">
        <f t="shared" si="167"/>
        <v>0</v>
      </c>
    </row>
    <row r="1489" spans="1:19" x14ac:dyDescent="0.25">
      <c r="A1489" s="24" t="s">
        <v>2611</v>
      </c>
      <c r="B1489" s="4" t="s">
        <v>1059</v>
      </c>
      <c r="C1489" s="25" t="s">
        <v>5</v>
      </c>
      <c r="G1489" s="25" t="s">
        <v>1080</v>
      </c>
      <c r="H1489" s="24" t="s">
        <v>1061</v>
      </c>
      <c r="I1489" s="3" t="str">
        <f>IFERROR(VLOOKUP(C1489,'Справочник соответствий'!A$2:D$2981,2,FALSE),IF(VALUE(C1489)=0,1,VLOOKUP(C1489,'Справочник соответствий'!A$2:D$2981,2,FALSE)))</f>
        <v>1</v>
      </c>
      <c r="J1489" s="3">
        <f>IFERROR(VLOOKUP(D1489,'Справочник соответствий'!A$2:D$2981,2,FALSE),IF(VALUE(D1489)=0,0,VLOOKUP(D1489,'Справочник соответствий'!A$2:D$2981,2,FALSE)))</f>
        <v>0</v>
      </c>
      <c r="K1489" s="3" t="str">
        <f t="shared" si="161"/>
        <v>1</v>
      </c>
      <c r="L1489" s="13" t="str">
        <f>IFERROR(VLOOKUP(C1489,'Справочник соответствий'!A$2:D$2981,3,FALSE),IF(VALUE(C1489)=0,"ЭТАЖ НЕ ОПРЕДЕЛЕН. ПРИНЯТ ПО ДОПУЩЕНИЮ 1",VLOOKUP(C1489,'Справочник соответствий'!A$2:D$2981,3,FALSE)))</f>
        <v>ЭТАЖ ЗАДАН ЧИСЛОМ</v>
      </c>
      <c r="M1489" s="13" t="b">
        <f t="shared" si="162"/>
        <v>0</v>
      </c>
      <c r="N1489" s="13">
        <f t="shared" si="163"/>
        <v>1</v>
      </c>
      <c r="O1489" s="13" t="str">
        <f t="shared" si="164"/>
        <v>ЭТАЖ ЗАДАН ЧИСЛОМ</v>
      </c>
      <c r="P1489" s="13" t="str">
        <f t="shared" si="165"/>
        <v>ЭТАЖ ЗАДАН ЧИСЛОМ</v>
      </c>
      <c r="Q1489" s="13" t="str">
        <f t="shared" si="166"/>
        <v>ГОТОВ_ИЗМЕНЕН</v>
      </c>
      <c r="R1489" s="13">
        <f>IFERROR(VLOOKUP(P1489,Лист1!A$1:B$20,2,FALSE),0)</f>
        <v>784</v>
      </c>
      <c r="S1489" s="13">
        <f t="shared" si="167"/>
        <v>0</v>
      </c>
    </row>
    <row r="1490" spans="1:19" x14ac:dyDescent="0.25">
      <c r="A1490" s="24" t="s">
        <v>2612</v>
      </c>
      <c r="B1490" s="4" t="s">
        <v>1059</v>
      </c>
      <c r="C1490" s="25" t="s">
        <v>5</v>
      </c>
      <c r="G1490" s="25" t="s">
        <v>1080</v>
      </c>
      <c r="H1490" s="24" t="s">
        <v>1061</v>
      </c>
      <c r="I1490" s="3" t="str">
        <f>IFERROR(VLOOKUP(C1490,'Справочник соответствий'!A$2:D$2981,2,FALSE),IF(VALUE(C1490)=0,1,VLOOKUP(C1490,'Справочник соответствий'!A$2:D$2981,2,FALSE)))</f>
        <v>1</v>
      </c>
      <c r="J1490" s="3">
        <f>IFERROR(VLOOKUP(D1490,'Справочник соответствий'!A$2:D$2981,2,FALSE),IF(VALUE(D1490)=0,0,VLOOKUP(D1490,'Справочник соответствий'!A$2:D$2981,2,FALSE)))</f>
        <v>0</v>
      </c>
      <c r="K1490" s="3" t="str">
        <f t="shared" si="161"/>
        <v>1</v>
      </c>
      <c r="L1490" s="13" t="str">
        <f>IFERROR(VLOOKUP(C1490,'Справочник соответствий'!A$2:D$2981,3,FALSE),IF(VALUE(C1490)=0,"ЭТАЖ НЕ ОПРЕДЕЛЕН. ПРИНЯТ ПО ДОПУЩЕНИЮ 1",VLOOKUP(C1490,'Справочник соответствий'!A$2:D$2981,3,FALSE)))</f>
        <v>ЭТАЖ ЗАДАН ЧИСЛОМ</v>
      </c>
      <c r="M1490" s="13" t="b">
        <f t="shared" si="162"/>
        <v>0</v>
      </c>
      <c r="N1490" s="13">
        <f t="shared" si="163"/>
        <v>1</v>
      </c>
      <c r="O1490" s="13" t="str">
        <f t="shared" si="164"/>
        <v>ЭТАЖ ЗАДАН ЧИСЛОМ</v>
      </c>
      <c r="P1490" s="13" t="str">
        <f t="shared" si="165"/>
        <v>ЭТАЖ ЗАДАН ЧИСЛОМ</v>
      </c>
      <c r="Q1490" s="13" t="str">
        <f t="shared" si="166"/>
        <v>ГОТОВ_ИЗМЕНЕН</v>
      </c>
      <c r="R1490" s="13">
        <f>IFERROR(VLOOKUP(P1490,Лист1!A$1:B$20,2,FALSE),0)</f>
        <v>784</v>
      </c>
      <c r="S1490" s="13">
        <f t="shared" si="167"/>
        <v>0</v>
      </c>
    </row>
    <row r="1491" spans="1:19" x14ac:dyDescent="0.25">
      <c r="A1491" s="24" t="s">
        <v>2613</v>
      </c>
      <c r="B1491" s="4" t="s">
        <v>1059</v>
      </c>
      <c r="C1491" s="25" t="s">
        <v>7</v>
      </c>
      <c r="G1491" s="25" t="s">
        <v>1080</v>
      </c>
      <c r="H1491" s="24" t="s">
        <v>1061</v>
      </c>
      <c r="I1491" s="3" t="str">
        <f>IFERROR(VLOOKUP(C1491,'Справочник соответствий'!A$2:D$2981,2,FALSE),IF(VALUE(C1491)=0,1,VLOOKUP(C1491,'Справочник соответствий'!A$2:D$2981,2,FALSE)))</f>
        <v>2</v>
      </c>
      <c r="J1491" s="3">
        <f>IFERROR(VLOOKUP(D1491,'Справочник соответствий'!A$2:D$2981,2,FALSE),IF(VALUE(D1491)=0,0,VLOOKUP(D1491,'Справочник соответствий'!A$2:D$2981,2,FALSE)))</f>
        <v>0</v>
      </c>
      <c r="K1491" s="3" t="str">
        <f t="shared" si="161"/>
        <v>2</v>
      </c>
      <c r="L1491" s="13" t="str">
        <f>IFERROR(VLOOKUP(C1491,'Справочник соответствий'!A$2:D$2981,3,FALSE),IF(VALUE(C1491)=0,"ЭТАЖ НЕ ОПРЕДЕЛЕН. ПРИНЯТ ПО ДОПУЩЕНИЮ 1",VLOOKUP(C1491,'Справочник соответствий'!A$2:D$2981,3,FALSE)))</f>
        <v>ЭТАЖ ЗАДАН ЧИСЛОМ</v>
      </c>
      <c r="M1491" s="13" t="b">
        <f t="shared" si="162"/>
        <v>0</v>
      </c>
      <c r="N1491" s="13">
        <f t="shared" si="163"/>
        <v>2</v>
      </c>
      <c r="O1491" s="13" t="str">
        <f t="shared" si="164"/>
        <v>ЭТАЖ ЗАДАН ЧИСЛОМ</v>
      </c>
      <c r="P1491" s="13" t="str">
        <f t="shared" si="165"/>
        <v>ЭТАЖ ЗАДАН ЧИСЛОМ</v>
      </c>
      <c r="Q1491" s="13" t="str">
        <f t="shared" si="166"/>
        <v>ГОТОВ_ИЗМЕНЕН</v>
      </c>
      <c r="R1491" s="13">
        <f>IFERROR(VLOOKUP(P1491,Лист1!A$1:B$20,2,FALSE),0)</f>
        <v>784</v>
      </c>
      <c r="S1491" s="13">
        <f t="shared" si="167"/>
        <v>0</v>
      </c>
    </row>
    <row r="1492" spans="1:19" x14ac:dyDescent="0.25">
      <c r="A1492" s="24" t="s">
        <v>2614</v>
      </c>
      <c r="B1492" s="4" t="s">
        <v>1063</v>
      </c>
      <c r="C1492" s="25" t="s">
        <v>5</v>
      </c>
      <c r="G1492" s="25" t="s">
        <v>1077</v>
      </c>
      <c r="H1492" s="24" t="s">
        <v>1061</v>
      </c>
      <c r="I1492" s="3" t="str">
        <f>IFERROR(VLOOKUP(C1492,'Справочник соответствий'!A$2:D$2981,2,FALSE),IF(VALUE(C1492)=0,1,VLOOKUP(C1492,'Справочник соответствий'!A$2:D$2981,2,FALSE)))</f>
        <v>1</v>
      </c>
      <c r="J1492" s="3">
        <f>IFERROR(VLOOKUP(D1492,'Справочник соответствий'!A$2:D$2981,2,FALSE),IF(VALUE(D1492)=0,0,VLOOKUP(D1492,'Справочник соответствий'!A$2:D$2981,2,FALSE)))</f>
        <v>0</v>
      </c>
      <c r="K1492" s="3" t="str">
        <f t="shared" si="161"/>
        <v>1</v>
      </c>
      <c r="L1492" s="13" t="str">
        <f>IFERROR(VLOOKUP(C1492,'Справочник соответствий'!A$2:D$2981,3,FALSE),IF(VALUE(C1492)=0,"ЭТАЖ НЕ ОПРЕДЕЛЕН. ПРИНЯТ ПО ДОПУЩЕНИЮ 1",VLOOKUP(C1492,'Справочник соответствий'!A$2:D$2981,3,FALSE)))</f>
        <v>ЭТАЖ ЗАДАН ЧИСЛОМ</v>
      </c>
      <c r="M1492" s="13" t="b">
        <f t="shared" si="162"/>
        <v>0</v>
      </c>
      <c r="N1492" s="13">
        <f t="shared" si="163"/>
        <v>1</v>
      </c>
      <c r="O1492" s="13" t="str">
        <f t="shared" si="164"/>
        <v>ЭТАЖ ЗАДАН ЧИСЛОМ</v>
      </c>
      <c r="P1492" s="13" t="str">
        <f t="shared" si="165"/>
        <v>ЭТАЖ ЗАДАН ЧИСЛОМ</v>
      </c>
      <c r="Q1492" s="13" t="str">
        <f t="shared" si="166"/>
        <v>ГОТОВ_ИЗМЕНЕН</v>
      </c>
      <c r="R1492" s="13">
        <f>IFERROR(VLOOKUP(P1492,Лист1!A$1:B$20,2,FALSE),0)</f>
        <v>784</v>
      </c>
      <c r="S1492" s="13">
        <f t="shared" si="167"/>
        <v>0</v>
      </c>
    </row>
    <row r="1493" spans="1:19" x14ac:dyDescent="0.25">
      <c r="A1493" s="24" t="s">
        <v>2615</v>
      </c>
      <c r="B1493" s="4" t="s">
        <v>1059</v>
      </c>
      <c r="C1493" s="25" t="s">
        <v>5</v>
      </c>
      <c r="G1493" s="25" t="s">
        <v>1077</v>
      </c>
      <c r="H1493" s="24" t="s">
        <v>1061</v>
      </c>
      <c r="I1493" s="3" t="str">
        <f>IFERROR(VLOOKUP(C1493,'Справочник соответствий'!A$2:D$2981,2,FALSE),IF(VALUE(C1493)=0,1,VLOOKUP(C1493,'Справочник соответствий'!A$2:D$2981,2,FALSE)))</f>
        <v>1</v>
      </c>
      <c r="J1493" s="3">
        <f>IFERROR(VLOOKUP(D1493,'Справочник соответствий'!A$2:D$2981,2,FALSE),IF(VALUE(D1493)=0,0,VLOOKUP(D1493,'Справочник соответствий'!A$2:D$2981,2,FALSE)))</f>
        <v>0</v>
      </c>
      <c r="K1493" s="3" t="str">
        <f t="shared" si="161"/>
        <v>1</v>
      </c>
      <c r="L1493" s="13" t="str">
        <f>IFERROR(VLOOKUP(C1493,'Справочник соответствий'!A$2:D$2981,3,FALSE),IF(VALUE(C1493)=0,"ЭТАЖ НЕ ОПРЕДЕЛЕН. ПРИНЯТ ПО ДОПУЩЕНИЮ 1",VLOOKUP(C1493,'Справочник соответствий'!A$2:D$2981,3,FALSE)))</f>
        <v>ЭТАЖ ЗАДАН ЧИСЛОМ</v>
      </c>
      <c r="M1493" s="13" t="b">
        <f t="shared" si="162"/>
        <v>0</v>
      </c>
      <c r="N1493" s="13">
        <f t="shared" si="163"/>
        <v>1</v>
      </c>
      <c r="O1493" s="13" t="str">
        <f t="shared" si="164"/>
        <v>ЭТАЖ ЗАДАН ЧИСЛОМ</v>
      </c>
      <c r="P1493" s="13" t="str">
        <f t="shared" si="165"/>
        <v>ЭТАЖ ЗАДАН ЧИСЛОМ</v>
      </c>
      <c r="Q1493" s="13" t="str">
        <f t="shared" si="166"/>
        <v>ГОТОВ_ИЗМЕНЕН</v>
      </c>
      <c r="R1493" s="13">
        <f>IFERROR(VLOOKUP(P1493,Лист1!A$1:B$20,2,FALSE),0)</f>
        <v>784</v>
      </c>
      <c r="S1493" s="13">
        <f t="shared" si="167"/>
        <v>0</v>
      </c>
    </row>
    <row r="1494" spans="1:19" x14ac:dyDescent="0.25">
      <c r="A1494" s="24" t="s">
        <v>2616</v>
      </c>
      <c r="B1494" s="4" t="s">
        <v>1063</v>
      </c>
      <c r="C1494" s="25" t="s">
        <v>5</v>
      </c>
      <c r="G1494" s="25" t="s">
        <v>1077</v>
      </c>
      <c r="H1494" s="24" t="s">
        <v>1061</v>
      </c>
      <c r="I1494" s="3" t="str">
        <f>IFERROR(VLOOKUP(C1494,'Справочник соответствий'!A$2:D$2981,2,FALSE),IF(VALUE(C1494)=0,1,VLOOKUP(C1494,'Справочник соответствий'!A$2:D$2981,2,FALSE)))</f>
        <v>1</v>
      </c>
      <c r="J1494" s="3">
        <f>IFERROR(VLOOKUP(D1494,'Справочник соответствий'!A$2:D$2981,2,FALSE),IF(VALUE(D1494)=0,0,VLOOKUP(D1494,'Справочник соответствий'!A$2:D$2981,2,FALSE)))</f>
        <v>0</v>
      </c>
      <c r="K1494" s="3" t="str">
        <f t="shared" si="161"/>
        <v>1</v>
      </c>
      <c r="L1494" s="13" t="str">
        <f>IFERROR(VLOOKUP(C1494,'Справочник соответствий'!A$2:D$2981,3,FALSE),IF(VALUE(C1494)=0,"ЭТАЖ НЕ ОПРЕДЕЛЕН. ПРИНЯТ ПО ДОПУЩЕНИЮ 1",VLOOKUP(C1494,'Справочник соответствий'!A$2:D$2981,3,FALSE)))</f>
        <v>ЭТАЖ ЗАДАН ЧИСЛОМ</v>
      </c>
      <c r="M1494" s="13" t="b">
        <f t="shared" si="162"/>
        <v>0</v>
      </c>
      <c r="N1494" s="13">
        <f t="shared" si="163"/>
        <v>1</v>
      </c>
      <c r="O1494" s="13" t="str">
        <f t="shared" si="164"/>
        <v>ЭТАЖ ЗАДАН ЧИСЛОМ</v>
      </c>
      <c r="P1494" s="13" t="str">
        <f t="shared" si="165"/>
        <v>ЭТАЖ ЗАДАН ЧИСЛОМ</v>
      </c>
      <c r="Q1494" s="13" t="str">
        <f t="shared" si="166"/>
        <v>ГОТОВ_ИЗМЕНЕН</v>
      </c>
      <c r="R1494" s="13">
        <f>IFERROR(VLOOKUP(P1494,Лист1!A$1:B$20,2,FALSE),0)</f>
        <v>784</v>
      </c>
      <c r="S1494" s="13">
        <f t="shared" si="167"/>
        <v>0</v>
      </c>
    </row>
    <row r="1495" spans="1:19" x14ac:dyDescent="0.25">
      <c r="A1495" s="24" t="s">
        <v>2617</v>
      </c>
      <c r="B1495" s="4" t="s">
        <v>1059</v>
      </c>
      <c r="C1495" s="25" t="s">
        <v>5</v>
      </c>
      <c r="G1495" s="25" t="s">
        <v>1067</v>
      </c>
      <c r="H1495" s="24" t="s">
        <v>1061</v>
      </c>
      <c r="I1495" s="3" t="str">
        <f>IFERROR(VLOOKUP(C1495,'Справочник соответствий'!A$2:D$2981,2,FALSE),IF(VALUE(C1495)=0,1,VLOOKUP(C1495,'Справочник соответствий'!A$2:D$2981,2,FALSE)))</f>
        <v>1</v>
      </c>
      <c r="J1495" s="3">
        <f>IFERROR(VLOOKUP(D1495,'Справочник соответствий'!A$2:D$2981,2,FALSE),IF(VALUE(D1495)=0,0,VLOOKUP(D1495,'Справочник соответствий'!A$2:D$2981,2,FALSE)))</f>
        <v>0</v>
      </c>
      <c r="K1495" s="3" t="str">
        <f t="shared" si="161"/>
        <v>1</v>
      </c>
      <c r="L1495" s="13" t="str">
        <f>IFERROR(VLOOKUP(C1495,'Справочник соответствий'!A$2:D$2981,3,FALSE),IF(VALUE(C1495)=0,"ЭТАЖ НЕ ОПРЕДЕЛЕН. ПРИНЯТ ПО ДОПУЩЕНИЮ 1",VLOOKUP(C1495,'Справочник соответствий'!A$2:D$2981,3,FALSE)))</f>
        <v>ЭТАЖ ЗАДАН ЧИСЛОМ</v>
      </c>
      <c r="M1495" s="13" t="b">
        <f t="shared" si="162"/>
        <v>0</v>
      </c>
      <c r="N1495" s="13">
        <f t="shared" si="163"/>
        <v>1</v>
      </c>
      <c r="O1495" s="13" t="str">
        <f t="shared" si="164"/>
        <v>ЭТАЖ ЗАДАН ЧИСЛОМ</v>
      </c>
      <c r="P1495" s="13" t="str">
        <f t="shared" si="165"/>
        <v>ЭТАЖ ЗАДАН ЧИСЛОМ</v>
      </c>
      <c r="Q1495" s="13" t="str">
        <f t="shared" si="166"/>
        <v>ГОТОВ_ИЗМЕНЕН</v>
      </c>
      <c r="R1495" s="13">
        <f>IFERROR(VLOOKUP(P1495,Лист1!A$1:B$20,2,FALSE),0)</f>
        <v>784</v>
      </c>
      <c r="S1495" s="13">
        <f t="shared" si="167"/>
        <v>0</v>
      </c>
    </row>
    <row r="1496" spans="1:19" x14ac:dyDescent="0.25">
      <c r="A1496" s="24" t="s">
        <v>2618</v>
      </c>
      <c r="B1496" s="4" t="s">
        <v>1063</v>
      </c>
      <c r="G1496" s="25" t="s">
        <v>1086</v>
      </c>
      <c r="H1496" s="24" t="s">
        <v>1061</v>
      </c>
      <c r="I1496" s="3">
        <f>IFERROR(VLOOKUP(C1496,'Справочник соответствий'!A$2:D$2981,2,FALSE),IF(VALUE(C1496)=0,1,VLOOKUP(C1496,'Справочник соответствий'!A$2:D$2981,2,FALSE)))</f>
        <v>1</v>
      </c>
      <c r="J1496" s="3">
        <f>IFERROR(VLOOKUP(D1496,'Справочник соответствий'!A$2:D$2981,2,FALSE),IF(VALUE(D1496)=0,0,VLOOKUP(D1496,'Справочник соответствий'!A$2:D$2981,2,FALSE)))</f>
        <v>0</v>
      </c>
      <c r="K1496" s="3">
        <f t="shared" si="161"/>
        <v>1</v>
      </c>
      <c r="L1496" s="13" t="str">
        <f>IFERROR(VLOOKUP(C1496,'Справочник соответствий'!A$2:D$2981,3,FALSE),IF(VALUE(C1496)=0,"ЭТАЖ НЕ ОПРЕДЕЛЕН. ПРИНЯТ ПО ДОПУЩЕНИЮ 1",VLOOKUP(C1496,'Справочник соответствий'!A$2:D$2981,3,FALSE)))</f>
        <v>ЭТАЖ НЕ ОПРЕДЕЛЕН. ПРИНЯТ ПО ДОПУЩЕНИЮ 1</v>
      </c>
      <c r="M1496" s="13" t="b">
        <f t="shared" si="162"/>
        <v>0</v>
      </c>
      <c r="N1496" s="13">
        <f t="shared" si="163"/>
        <v>1</v>
      </c>
      <c r="O1496" s="13" t="str">
        <f t="shared" si="164"/>
        <v>ЭТАЖ НЕ ОПРЕДЕЛЕН. ПРИНЯТ ПО ДОПУЩЕНИЮ 1</v>
      </c>
      <c r="P1496" s="13" t="str">
        <f t="shared" si="165"/>
        <v>ЭТАЖ НЕ ОПРЕДЕЛЕН. ПРИНЯТ ПО ДОПУЩЕНИЮ 1</v>
      </c>
      <c r="Q1496" s="13" t="str">
        <f t="shared" si="166"/>
        <v>ГОТОВ_ИЗМЕНЕН</v>
      </c>
      <c r="R1496" s="13">
        <f>IFERROR(VLOOKUP(P1496,Лист1!A$1:B$20,2,FALSE),0)</f>
        <v>788</v>
      </c>
      <c r="S1496" s="13">
        <f t="shared" si="167"/>
        <v>0</v>
      </c>
    </row>
    <row r="1497" spans="1:19" x14ac:dyDescent="0.25">
      <c r="A1497" s="24" t="s">
        <v>2619</v>
      </c>
      <c r="B1497" s="4" t="s">
        <v>1059</v>
      </c>
      <c r="C1497" s="25" t="s">
        <v>5</v>
      </c>
      <c r="G1497" s="25" t="s">
        <v>1086</v>
      </c>
      <c r="H1497" s="24" t="s">
        <v>1061</v>
      </c>
      <c r="I1497" s="3" t="str">
        <f>IFERROR(VLOOKUP(C1497,'Справочник соответствий'!A$2:D$2981,2,FALSE),IF(VALUE(C1497)=0,1,VLOOKUP(C1497,'Справочник соответствий'!A$2:D$2981,2,FALSE)))</f>
        <v>1</v>
      </c>
      <c r="J1497" s="3">
        <f>IFERROR(VLOOKUP(D1497,'Справочник соответствий'!A$2:D$2981,2,FALSE),IF(VALUE(D1497)=0,0,VLOOKUP(D1497,'Справочник соответствий'!A$2:D$2981,2,FALSE)))</f>
        <v>0</v>
      </c>
      <c r="K1497" s="3" t="str">
        <f t="shared" si="161"/>
        <v>1</v>
      </c>
      <c r="L1497" s="13" t="str">
        <f>IFERROR(VLOOKUP(C1497,'Справочник соответствий'!A$2:D$2981,3,FALSE),IF(VALUE(C1497)=0,"ЭТАЖ НЕ ОПРЕДЕЛЕН. ПРИНЯТ ПО ДОПУЩЕНИЮ 1",VLOOKUP(C1497,'Справочник соответствий'!A$2:D$2981,3,FALSE)))</f>
        <v>ЭТАЖ ЗАДАН ЧИСЛОМ</v>
      </c>
      <c r="M1497" s="13" t="b">
        <f t="shared" si="162"/>
        <v>0</v>
      </c>
      <c r="N1497" s="13">
        <f t="shared" si="163"/>
        <v>1</v>
      </c>
      <c r="O1497" s="13" t="str">
        <f t="shared" si="164"/>
        <v>ЭТАЖ ЗАДАН ЧИСЛОМ</v>
      </c>
      <c r="P1497" s="13" t="str">
        <f t="shared" si="165"/>
        <v>ЭТАЖ ЗАДАН ЧИСЛОМ</v>
      </c>
      <c r="Q1497" s="13" t="str">
        <f t="shared" si="166"/>
        <v>ГОТОВ_ИЗМЕНЕН</v>
      </c>
      <c r="R1497" s="13">
        <f>IFERROR(VLOOKUP(P1497,Лист1!A$1:B$20,2,FALSE),0)</f>
        <v>784</v>
      </c>
      <c r="S1497" s="13">
        <f t="shared" si="167"/>
        <v>0</v>
      </c>
    </row>
    <row r="1498" spans="1:19" x14ac:dyDescent="0.25">
      <c r="A1498" s="24" t="s">
        <v>2620</v>
      </c>
      <c r="B1498" s="4" t="s">
        <v>1063</v>
      </c>
      <c r="C1498" s="25" t="s">
        <v>7</v>
      </c>
      <c r="G1498" s="25" t="s">
        <v>1086</v>
      </c>
      <c r="H1498" s="24" t="s">
        <v>1061</v>
      </c>
      <c r="I1498" s="3" t="str">
        <f>IFERROR(VLOOKUP(C1498,'Справочник соответствий'!A$2:D$2981,2,FALSE),IF(VALUE(C1498)=0,1,VLOOKUP(C1498,'Справочник соответствий'!A$2:D$2981,2,FALSE)))</f>
        <v>2</v>
      </c>
      <c r="J1498" s="3">
        <f>IFERROR(VLOOKUP(D1498,'Справочник соответствий'!A$2:D$2981,2,FALSE),IF(VALUE(D1498)=0,0,VLOOKUP(D1498,'Справочник соответствий'!A$2:D$2981,2,FALSE)))</f>
        <v>0</v>
      </c>
      <c r="K1498" s="3" t="str">
        <f t="shared" si="161"/>
        <v>2</v>
      </c>
      <c r="L1498" s="13" t="str">
        <f>IFERROR(VLOOKUP(C1498,'Справочник соответствий'!A$2:D$2981,3,FALSE),IF(VALUE(C1498)=0,"ЭТАЖ НЕ ОПРЕДЕЛЕН. ПРИНЯТ ПО ДОПУЩЕНИЮ 1",VLOOKUP(C1498,'Справочник соответствий'!A$2:D$2981,3,FALSE)))</f>
        <v>ЭТАЖ ЗАДАН ЧИСЛОМ</v>
      </c>
      <c r="M1498" s="13" t="b">
        <f t="shared" si="162"/>
        <v>0</v>
      </c>
      <c r="N1498" s="13">
        <f t="shared" si="163"/>
        <v>2</v>
      </c>
      <c r="O1498" s="13" t="str">
        <f t="shared" si="164"/>
        <v>ЭТАЖ ЗАДАН ЧИСЛОМ</v>
      </c>
      <c r="P1498" s="13" t="str">
        <f t="shared" si="165"/>
        <v>ЭТАЖ ЗАДАН ЧИСЛОМ</v>
      </c>
      <c r="Q1498" s="13" t="str">
        <f t="shared" si="166"/>
        <v>ГОТОВ_ИЗМЕНЕН</v>
      </c>
      <c r="R1498" s="13">
        <f>IFERROR(VLOOKUP(P1498,Лист1!A$1:B$20,2,FALSE),0)</f>
        <v>784</v>
      </c>
      <c r="S1498" s="13">
        <f t="shared" si="167"/>
        <v>0</v>
      </c>
    </row>
    <row r="1499" spans="1:19" x14ac:dyDescent="0.25">
      <c r="A1499" s="24" t="s">
        <v>2621</v>
      </c>
      <c r="B1499" s="4" t="s">
        <v>1063</v>
      </c>
      <c r="C1499" s="25" t="s">
        <v>5</v>
      </c>
      <c r="G1499" s="25" t="s">
        <v>1086</v>
      </c>
      <c r="H1499" s="24" t="s">
        <v>1061</v>
      </c>
      <c r="I1499" s="3" t="str">
        <f>IFERROR(VLOOKUP(C1499,'Справочник соответствий'!A$2:D$2981,2,FALSE),IF(VALUE(C1499)=0,1,VLOOKUP(C1499,'Справочник соответствий'!A$2:D$2981,2,FALSE)))</f>
        <v>1</v>
      </c>
      <c r="J1499" s="3">
        <f>IFERROR(VLOOKUP(D1499,'Справочник соответствий'!A$2:D$2981,2,FALSE),IF(VALUE(D1499)=0,0,VLOOKUP(D1499,'Справочник соответствий'!A$2:D$2981,2,FALSE)))</f>
        <v>0</v>
      </c>
      <c r="K1499" s="3" t="str">
        <f t="shared" si="161"/>
        <v>1</v>
      </c>
      <c r="L1499" s="13" t="str">
        <f>IFERROR(VLOOKUP(C1499,'Справочник соответствий'!A$2:D$2981,3,FALSE),IF(VALUE(C1499)=0,"ЭТАЖ НЕ ОПРЕДЕЛЕН. ПРИНЯТ ПО ДОПУЩЕНИЮ 1",VLOOKUP(C1499,'Справочник соответствий'!A$2:D$2981,3,FALSE)))</f>
        <v>ЭТАЖ ЗАДАН ЧИСЛОМ</v>
      </c>
      <c r="M1499" s="13" t="b">
        <f t="shared" si="162"/>
        <v>0</v>
      </c>
      <c r="N1499" s="13">
        <f t="shared" si="163"/>
        <v>1</v>
      </c>
      <c r="O1499" s="13" t="str">
        <f t="shared" si="164"/>
        <v>ЭТАЖ ЗАДАН ЧИСЛОМ</v>
      </c>
      <c r="P1499" s="13" t="str">
        <f t="shared" si="165"/>
        <v>ЭТАЖ ЗАДАН ЧИСЛОМ</v>
      </c>
      <c r="Q1499" s="13" t="str">
        <f t="shared" si="166"/>
        <v>ГОТОВ_ИЗМЕНЕН</v>
      </c>
      <c r="R1499" s="13">
        <f>IFERROR(VLOOKUP(P1499,Лист1!A$1:B$20,2,FALSE),0)</f>
        <v>784</v>
      </c>
      <c r="S1499" s="13">
        <f t="shared" si="167"/>
        <v>0</v>
      </c>
    </row>
    <row r="1500" spans="1:19" x14ac:dyDescent="0.25">
      <c r="A1500" s="24" t="s">
        <v>2622</v>
      </c>
      <c r="B1500" s="4" t="s">
        <v>1063</v>
      </c>
      <c r="C1500" s="25" t="s">
        <v>5</v>
      </c>
      <c r="G1500" s="25" t="s">
        <v>1150</v>
      </c>
      <c r="H1500" s="24" t="s">
        <v>1061</v>
      </c>
      <c r="I1500" s="3" t="str">
        <f>IFERROR(VLOOKUP(C1500,'Справочник соответствий'!A$2:D$2981,2,FALSE),IF(VALUE(C1500)=0,1,VLOOKUP(C1500,'Справочник соответствий'!A$2:D$2981,2,FALSE)))</f>
        <v>1</v>
      </c>
      <c r="J1500" s="3">
        <f>IFERROR(VLOOKUP(D1500,'Справочник соответствий'!A$2:D$2981,2,FALSE),IF(VALUE(D1500)=0,0,VLOOKUP(D1500,'Справочник соответствий'!A$2:D$2981,2,FALSE)))</f>
        <v>0</v>
      </c>
      <c r="K1500" s="3" t="str">
        <f t="shared" si="161"/>
        <v>1</v>
      </c>
      <c r="L1500" s="13" t="str">
        <f>IFERROR(VLOOKUP(C1500,'Справочник соответствий'!A$2:D$2981,3,FALSE),IF(VALUE(C1500)=0,"ЭТАЖ НЕ ОПРЕДЕЛЕН. ПРИНЯТ ПО ДОПУЩЕНИЮ 1",VLOOKUP(C1500,'Справочник соответствий'!A$2:D$2981,3,FALSE)))</f>
        <v>ЭТАЖ ЗАДАН ЧИСЛОМ</v>
      </c>
      <c r="M1500" s="13" t="b">
        <f t="shared" si="162"/>
        <v>0</v>
      </c>
      <c r="N1500" s="13">
        <f t="shared" si="163"/>
        <v>1</v>
      </c>
      <c r="O1500" s="13" t="str">
        <f t="shared" si="164"/>
        <v>ЭТАЖ ЗАДАН ЧИСЛОМ</v>
      </c>
      <c r="P1500" s="13" t="str">
        <f t="shared" si="165"/>
        <v>ЭТАЖ ЗАДАН ЧИСЛОМ</v>
      </c>
      <c r="Q1500" s="13" t="str">
        <f t="shared" si="166"/>
        <v>ГОТОВ_ИЗМЕНЕН</v>
      </c>
      <c r="R1500" s="13">
        <f>IFERROR(VLOOKUP(P1500,Лист1!A$1:B$20,2,FALSE),0)</f>
        <v>784</v>
      </c>
      <c r="S1500" s="13">
        <f t="shared" si="167"/>
        <v>0</v>
      </c>
    </row>
    <row r="1501" spans="1:19" x14ac:dyDescent="0.25">
      <c r="A1501" s="24" t="s">
        <v>2623</v>
      </c>
      <c r="B1501" s="4" t="s">
        <v>1059</v>
      </c>
      <c r="C1501" s="25" t="s">
        <v>7</v>
      </c>
      <c r="G1501" s="25" t="s">
        <v>1086</v>
      </c>
      <c r="H1501" s="24" t="s">
        <v>1061</v>
      </c>
      <c r="I1501" s="3" t="str">
        <f>IFERROR(VLOOKUP(C1501,'Справочник соответствий'!A$2:D$2981,2,FALSE),IF(VALUE(C1501)=0,1,VLOOKUP(C1501,'Справочник соответствий'!A$2:D$2981,2,FALSE)))</f>
        <v>2</v>
      </c>
      <c r="J1501" s="3">
        <f>IFERROR(VLOOKUP(D1501,'Справочник соответствий'!A$2:D$2981,2,FALSE),IF(VALUE(D1501)=0,0,VLOOKUP(D1501,'Справочник соответствий'!A$2:D$2981,2,FALSE)))</f>
        <v>0</v>
      </c>
      <c r="K1501" s="3" t="str">
        <f t="shared" si="161"/>
        <v>2</v>
      </c>
      <c r="L1501" s="13" t="str">
        <f>IFERROR(VLOOKUP(C1501,'Справочник соответствий'!A$2:D$2981,3,FALSE),IF(VALUE(C1501)=0,"ЭТАЖ НЕ ОПРЕДЕЛЕН. ПРИНЯТ ПО ДОПУЩЕНИЮ 1",VLOOKUP(C1501,'Справочник соответствий'!A$2:D$2981,3,FALSE)))</f>
        <v>ЭТАЖ ЗАДАН ЧИСЛОМ</v>
      </c>
      <c r="M1501" s="13" t="b">
        <f t="shared" si="162"/>
        <v>0</v>
      </c>
      <c r="N1501" s="13">
        <f t="shared" si="163"/>
        <v>2</v>
      </c>
      <c r="O1501" s="13" t="str">
        <f t="shared" si="164"/>
        <v>ЭТАЖ ЗАДАН ЧИСЛОМ</v>
      </c>
      <c r="P1501" s="13" t="str">
        <f t="shared" si="165"/>
        <v>ЭТАЖ ЗАДАН ЧИСЛОМ</v>
      </c>
      <c r="Q1501" s="13" t="str">
        <f t="shared" si="166"/>
        <v>ГОТОВ_ИЗМЕНЕН</v>
      </c>
      <c r="R1501" s="13">
        <f>IFERROR(VLOOKUP(P1501,Лист1!A$1:B$20,2,FALSE),0)</f>
        <v>784</v>
      </c>
      <c r="S1501" s="13">
        <f t="shared" si="167"/>
        <v>0</v>
      </c>
    </row>
    <row r="1502" spans="1:19" x14ac:dyDescent="0.25">
      <c r="A1502" s="24" t="s">
        <v>2624</v>
      </c>
      <c r="B1502" s="4" t="s">
        <v>1063</v>
      </c>
      <c r="C1502" s="25" t="s">
        <v>5</v>
      </c>
      <c r="G1502" s="25" t="s">
        <v>1086</v>
      </c>
      <c r="H1502" s="24" t="s">
        <v>1061</v>
      </c>
      <c r="I1502" s="3" t="str">
        <f>IFERROR(VLOOKUP(C1502,'Справочник соответствий'!A$2:D$2981,2,FALSE),IF(VALUE(C1502)=0,1,VLOOKUP(C1502,'Справочник соответствий'!A$2:D$2981,2,FALSE)))</f>
        <v>1</v>
      </c>
      <c r="J1502" s="3">
        <f>IFERROR(VLOOKUP(D1502,'Справочник соответствий'!A$2:D$2981,2,FALSE),IF(VALUE(D1502)=0,0,VLOOKUP(D1502,'Справочник соответствий'!A$2:D$2981,2,FALSE)))</f>
        <v>0</v>
      </c>
      <c r="K1502" s="3" t="str">
        <f t="shared" si="161"/>
        <v>1</v>
      </c>
      <c r="L1502" s="13" t="str">
        <f>IFERROR(VLOOKUP(C1502,'Справочник соответствий'!A$2:D$2981,3,FALSE),IF(VALUE(C1502)=0,"ЭТАЖ НЕ ОПРЕДЕЛЕН. ПРИНЯТ ПО ДОПУЩЕНИЮ 1",VLOOKUP(C1502,'Справочник соответствий'!A$2:D$2981,3,FALSE)))</f>
        <v>ЭТАЖ ЗАДАН ЧИСЛОМ</v>
      </c>
      <c r="M1502" s="13" t="b">
        <f t="shared" si="162"/>
        <v>0</v>
      </c>
      <c r="N1502" s="13">
        <f t="shared" si="163"/>
        <v>1</v>
      </c>
      <c r="O1502" s="13" t="str">
        <f t="shared" si="164"/>
        <v>ЭТАЖ ЗАДАН ЧИСЛОМ</v>
      </c>
      <c r="P1502" s="13" t="str">
        <f t="shared" si="165"/>
        <v>ЭТАЖ ЗАДАН ЧИСЛОМ</v>
      </c>
      <c r="Q1502" s="13" t="str">
        <f t="shared" si="166"/>
        <v>ГОТОВ_ИЗМЕНЕН</v>
      </c>
      <c r="R1502" s="13">
        <f>IFERROR(VLOOKUP(P1502,Лист1!A$1:B$20,2,FALSE),0)</f>
        <v>784</v>
      </c>
      <c r="S1502" s="13">
        <f t="shared" si="167"/>
        <v>0</v>
      </c>
    </row>
    <row r="1503" spans="1:19" x14ac:dyDescent="0.25">
      <c r="A1503" s="24" t="s">
        <v>2625</v>
      </c>
      <c r="B1503" s="4" t="s">
        <v>1059</v>
      </c>
      <c r="C1503" s="25" t="s">
        <v>7</v>
      </c>
      <c r="G1503" s="25" t="s">
        <v>1086</v>
      </c>
      <c r="H1503" s="24" t="s">
        <v>1061</v>
      </c>
      <c r="I1503" s="3" t="str">
        <f>IFERROR(VLOOKUP(C1503,'Справочник соответствий'!A$2:D$2981,2,FALSE),IF(VALUE(C1503)=0,1,VLOOKUP(C1503,'Справочник соответствий'!A$2:D$2981,2,FALSE)))</f>
        <v>2</v>
      </c>
      <c r="J1503" s="3">
        <f>IFERROR(VLOOKUP(D1503,'Справочник соответствий'!A$2:D$2981,2,FALSE),IF(VALUE(D1503)=0,0,VLOOKUP(D1503,'Справочник соответствий'!A$2:D$2981,2,FALSE)))</f>
        <v>0</v>
      </c>
      <c r="K1503" s="3" t="str">
        <f t="shared" si="161"/>
        <v>2</v>
      </c>
      <c r="L1503" s="13" t="str">
        <f>IFERROR(VLOOKUP(C1503,'Справочник соответствий'!A$2:D$2981,3,FALSE),IF(VALUE(C1503)=0,"ЭТАЖ НЕ ОПРЕДЕЛЕН. ПРИНЯТ ПО ДОПУЩЕНИЮ 1",VLOOKUP(C1503,'Справочник соответствий'!A$2:D$2981,3,FALSE)))</f>
        <v>ЭТАЖ ЗАДАН ЧИСЛОМ</v>
      </c>
      <c r="M1503" s="13" t="b">
        <f t="shared" si="162"/>
        <v>0</v>
      </c>
      <c r="N1503" s="13">
        <f t="shared" si="163"/>
        <v>2</v>
      </c>
      <c r="O1503" s="13" t="str">
        <f t="shared" si="164"/>
        <v>ЭТАЖ ЗАДАН ЧИСЛОМ</v>
      </c>
      <c r="P1503" s="13" t="str">
        <f t="shared" si="165"/>
        <v>ЭТАЖ ЗАДАН ЧИСЛОМ</v>
      </c>
      <c r="Q1503" s="13" t="str">
        <f t="shared" si="166"/>
        <v>ГОТОВ_ИЗМЕНЕН</v>
      </c>
      <c r="R1503" s="13">
        <f>IFERROR(VLOOKUP(P1503,Лист1!A$1:B$20,2,FALSE),0)</f>
        <v>784</v>
      </c>
      <c r="S1503" s="13">
        <f t="shared" si="167"/>
        <v>0</v>
      </c>
    </row>
    <row r="1504" spans="1:19" x14ac:dyDescent="0.25">
      <c r="A1504" s="24" t="s">
        <v>2626</v>
      </c>
      <c r="B1504" s="4" t="s">
        <v>1059</v>
      </c>
      <c r="C1504" s="25" t="s">
        <v>5</v>
      </c>
      <c r="G1504" s="25" t="s">
        <v>1086</v>
      </c>
      <c r="H1504" s="24" t="s">
        <v>1061</v>
      </c>
      <c r="I1504" s="3" t="str">
        <f>IFERROR(VLOOKUP(C1504,'Справочник соответствий'!A$2:D$2981,2,FALSE),IF(VALUE(C1504)=0,1,VLOOKUP(C1504,'Справочник соответствий'!A$2:D$2981,2,FALSE)))</f>
        <v>1</v>
      </c>
      <c r="J1504" s="3">
        <f>IFERROR(VLOOKUP(D1504,'Справочник соответствий'!A$2:D$2981,2,FALSE),IF(VALUE(D1504)=0,0,VLOOKUP(D1504,'Справочник соответствий'!A$2:D$2981,2,FALSE)))</f>
        <v>0</v>
      </c>
      <c r="K1504" s="3" t="str">
        <f t="shared" si="161"/>
        <v>1</v>
      </c>
      <c r="L1504" s="13" t="str">
        <f>IFERROR(VLOOKUP(C1504,'Справочник соответствий'!A$2:D$2981,3,FALSE),IF(VALUE(C1504)=0,"ЭТАЖ НЕ ОПРЕДЕЛЕН. ПРИНЯТ ПО ДОПУЩЕНИЮ 1",VLOOKUP(C1504,'Справочник соответствий'!A$2:D$2981,3,FALSE)))</f>
        <v>ЭТАЖ ЗАДАН ЧИСЛОМ</v>
      </c>
      <c r="M1504" s="13" t="b">
        <f t="shared" si="162"/>
        <v>0</v>
      </c>
      <c r="N1504" s="13">
        <f t="shared" si="163"/>
        <v>1</v>
      </c>
      <c r="O1504" s="13" t="str">
        <f t="shared" si="164"/>
        <v>ЭТАЖ ЗАДАН ЧИСЛОМ</v>
      </c>
      <c r="P1504" s="13" t="str">
        <f t="shared" si="165"/>
        <v>ЭТАЖ ЗАДАН ЧИСЛОМ</v>
      </c>
      <c r="Q1504" s="13" t="str">
        <f t="shared" si="166"/>
        <v>ГОТОВ_ИЗМЕНЕН</v>
      </c>
      <c r="R1504" s="13">
        <f>IFERROR(VLOOKUP(P1504,Лист1!A$1:B$20,2,FALSE),0)</f>
        <v>784</v>
      </c>
      <c r="S1504" s="13">
        <f t="shared" si="167"/>
        <v>0</v>
      </c>
    </row>
    <row r="1505" spans="1:19" x14ac:dyDescent="0.25">
      <c r="A1505" s="24" t="s">
        <v>2627</v>
      </c>
      <c r="B1505" s="4" t="s">
        <v>1063</v>
      </c>
      <c r="C1505" s="25" t="s">
        <v>5</v>
      </c>
      <c r="G1505" s="25" t="s">
        <v>1067</v>
      </c>
      <c r="H1505" s="24" t="s">
        <v>1061</v>
      </c>
      <c r="I1505" s="3" t="str">
        <f>IFERROR(VLOOKUP(C1505,'Справочник соответствий'!A$2:D$2981,2,FALSE),IF(VALUE(C1505)=0,1,VLOOKUP(C1505,'Справочник соответствий'!A$2:D$2981,2,FALSE)))</f>
        <v>1</v>
      </c>
      <c r="J1505" s="3">
        <f>IFERROR(VLOOKUP(D1505,'Справочник соответствий'!A$2:D$2981,2,FALSE),IF(VALUE(D1505)=0,0,VLOOKUP(D1505,'Справочник соответствий'!A$2:D$2981,2,FALSE)))</f>
        <v>0</v>
      </c>
      <c r="K1505" s="3" t="str">
        <f t="shared" si="161"/>
        <v>1</v>
      </c>
      <c r="L1505" s="13" t="str">
        <f>IFERROR(VLOOKUP(C1505,'Справочник соответствий'!A$2:D$2981,3,FALSE),IF(VALUE(C1505)=0,"ЭТАЖ НЕ ОПРЕДЕЛЕН. ПРИНЯТ ПО ДОПУЩЕНИЮ 1",VLOOKUP(C1505,'Справочник соответствий'!A$2:D$2981,3,FALSE)))</f>
        <v>ЭТАЖ ЗАДАН ЧИСЛОМ</v>
      </c>
      <c r="M1505" s="13" t="b">
        <f t="shared" si="162"/>
        <v>0</v>
      </c>
      <c r="N1505" s="13">
        <f t="shared" si="163"/>
        <v>1</v>
      </c>
      <c r="O1505" s="13" t="str">
        <f t="shared" si="164"/>
        <v>ЭТАЖ ЗАДАН ЧИСЛОМ</v>
      </c>
      <c r="P1505" s="13" t="str">
        <f t="shared" si="165"/>
        <v>ЭТАЖ ЗАДАН ЧИСЛОМ</v>
      </c>
      <c r="Q1505" s="13" t="str">
        <f t="shared" si="166"/>
        <v>ГОТОВ_ИЗМЕНЕН</v>
      </c>
      <c r="R1505" s="13">
        <f>IFERROR(VLOOKUP(P1505,Лист1!A$1:B$20,2,FALSE),0)</f>
        <v>784</v>
      </c>
      <c r="S1505" s="13">
        <f t="shared" si="167"/>
        <v>0</v>
      </c>
    </row>
    <row r="1506" spans="1:19" x14ac:dyDescent="0.25">
      <c r="A1506" s="24" t="s">
        <v>2628</v>
      </c>
      <c r="B1506" s="4" t="s">
        <v>1059</v>
      </c>
      <c r="C1506" s="25" t="s">
        <v>5</v>
      </c>
      <c r="G1506" s="25" t="s">
        <v>1289</v>
      </c>
      <c r="H1506" s="24" t="s">
        <v>1061</v>
      </c>
      <c r="I1506" s="3" t="str">
        <f>IFERROR(VLOOKUP(C1506,'Справочник соответствий'!A$2:D$2981,2,FALSE),IF(VALUE(C1506)=0,1,VLOOKUP(C1506,'Справочник соответствий'!A$2:D$2981,2,FALSE)))</f>
        <v>1</v>
      </c>
      <c r="J1506" s="3">
        <f>IFERROR(VLOOKUP(D1506,'Справочник соответствий'!A$2:D$2981,2,FALSE),IF(VALUE(D1506)=0,0,VLOOKUP(D1506,'Справочник соответствий'!A$2:D$2981,2,FALSE)))</f>
        <v>0</v>
      </c>
      <c r="K1506" s="3" t="str">
        <f t="shared" si="161"/>
        <v>1</v>
      </c>
      <c r="L1506" s="13" t="str">
        <f>IFERROR(VLOOKUP(C1506,'Справочник соответствий'!A$2:D$2981,3,FALSE),IF(VALUE(C1506)=0,"ЭТАЖ НЕ ОПРЕДЕЛЕН. ПРИНЯТ ПО ДОПУЩЕНИЮ 1",VLOOKUP(C1506,'Справочник соответствий'!A$2:D$2981,3,FALSE)))</f>
        <v>ЭТАЖ ЗАДАН ЧИСЛОМ</v>
      </c>
      <c r="M1506" s="13" t="b">
        <f t="shared" si="162"/>
        <v>0</v>
      </c>
      <c r="N1506" s="13">
        <f t="shared" si="163"/>
        <v>1</v>
      </c>
      <c r="O1506" s="13" t="str">
        <f t="shared" si="164"/>
        <v>ЭТАЖ ЗАДАН ЧИСЛОМ</v>
      </c>
      <c r="P1506" s="13" t="str">
        <f t="shared" si="165"/>
        <v>ЭТАЖ ЗАДАН ЧИСЛОМ</v>
      </c>
      <c r="Q1506" s="13" t="str">
        <f t="shared" si="166"/>
        <v>ГОТОВ_ИЗМЕНЕН</v>
      </c>
      <c r="R1506" s="13">
        <f>IFERROR(VLOOKUP(P1506,Лист1!A$1:B$20,2,FALSE),0)</f>
        <v>784</v>
      </c>
      <c r="S1506" s="13">
        <f t="shared" si="167"/>
        <v>0</v>
      </c>
    </row>
    <row r="1507" spans="1:19" x14ac:dyDescent="0.25">
      <c r="A1507" s="24" t="s">
        <v>2629</v>
      </c>
      <c r="B1507" s="4" t="s">
        <v>1059</v>
      </c>
      <c r="C1507" s="25" t="s">
        <v>5</v>
      </c>
      <c r="G1507" s="25" t="s">
        <v>1382</v>
      </c>
      <c r="H1507" s="24" t="s">
        <v>1061</v>
      </c>
      <c r="I1507" s="3" t="str">
        <f>IFERROR(VLOOKUP(C1507,'Справочник соответствий'!A$2:D$2981,2,FALSE),IF(VALUE(C1507)=0,1,VLOOKUP(C1507,'Справочник соответствий'!A$2:D$2981,2,FALSE)))</f>
        <v>1</v>
      </c>
      <c r="J1507" s="3">
        <f>IFERROR(VLOOKUP(D1507,'Справочник соответствий'!A$2:D$2981,2,FALSE),IF(VALUE(D1507)=0,0,VLOOKUP(D1507,'Справочник соответствий'!A$2:D$2981,2,FALSE)))</f>
        <v>0</v>
      </c>
      <c r="K1507" s="3" t="str">
        <f t="shared" si="161"/>
        <v>1</v>
      </c>
      <c r="L1507" s="13" t="str">
        <f>IFERROR(VLOOKUP(C1507,'Справочник соответствий'!A$2:D$2981,3,FALSE),IF(VALUE(C1507)=0,"ЭТАЖ НЕ ОПРЕДЕЛЕН. ПРИНЯТ ПО ДОПУЩЕНИЮ 1",VLOOKUP(C1507,'Справочник соответствий'!A$2:D$2981,3,FALSE)))</f>
        <v>ЭТАЖ ЗАДАН ЧИСЛОМ</v>
      </c>
      <c r="M1507" s="13" t="b">
        <f t="shared" si="162"/>
        <v>0</v>
      </c>
      <c r="N1507" s="13">
        <f t="shared" si="163"/>
        <v>1</v>
      </c>
      <c r="O1507" s="13" t="str">
        <f t="shared" si="164"/>
        <v>ЭТАЖ ЗАДАН ЧИСЛОМ</v>
      </c>
      <c r="P1507" s="13" t="str">
        <f t="shared" si="165"/>
        <v>ЭТАЖ ЗАДАН ЧИСЛОМ</v>
      </c>
      <c r="Q1507" s="13" t="str">
        <f t="shared" si="166"/>
        <v>ГОТОВ_ИЗМЕНЕН</v>
      </c>
      <c r="R1507" s="13">
        <f>IFERROR(VLOOKUP(P1507,Лист1!A$1:B$20,2,FALSE),0)</f>
        <v>784</v>
      </c>
      <c r="S1507" s="13">
        <f t="shared" si="167"/>
        <v>0</v>
      </c>
    </row>
    <row r="1508" spans="1:19" x14ac:dyDescent="0.25">
      <c r="A1508" s="24" t="s">
        <v>2630</v>
      </c>
      <c r="B1508" s="4" t="s">
        <v>1059</v>
      </c>
      <c r="C1508" s="25" t="s">
        <v>5</v>
      </c>
      <c r="G1508" s="25" t="s">
        <v>1072</v>
      </c>
      <c r="H1508" s="24" t="s">
        <v>1061</v>
      </c>
      <c r="I1508" s="3" t="str">
        <f>IFERROR(VLOOKUP(C1508,'Справочник соответствий'!A$2:D$2981,2,FALSE),IF(VALUE(C1508)=0,1,VLOOKUP(C1508,'Справочник соответствий'!A$2:D$2981,2,FALSE)))</f>
        <v>1</v>
      </c>
      <c r="J1508" s="3">
        <f>IFERROR(VLOOKUP(D1508,'Справочник соответствий'!A$2:D$2981,2,FALSE),IF(VALUE(D1508)=0,0,VLOOKUP(D1508,'Справочник соответствий'!A$2:D$2981,2,FALSE)))</f>
        <v>0</v>
      </c>
      <c r="K1508" s="3" t="str">
        <f t="shared" si="161"/>
        <v>1</v>
      </c>
      <c r="L1508" s="13" t="str">
        <f>IFERROR(VLOOKUP(C1508,'Справочник соответствий'!A$2:D$2981,3,FALSE),IF(VALUE(C1508)=0,"ЭТАЖ НЕ ОПРЕДЕЛЕН. ПРИНЯТ ПО ДОПУЩЕНИЮ 1",VLOOKUP(C1508,'Справочник соответствий'!A$2:D$2981,3,FALSE)))</f>
        <v>ЭТАЖ ЗАДАН ЧИСЛОМ</v>
      </c>
      <c r="M1508" s="13" t="b">
        <f t="shared" si="162"/>
        <v>0</v>
      </c>
      <c r="N1508" s="13">
        <f t="shared" si="163"/>
        <v>1</v>
      </c>
      <c r="O1508" s="13" t="str">
        <f t="shared" si="164"/>
        <v>ЭТАЖ ЗАДАН ЧИСЛОМ</v>
      </c>
      <c r="P1508" s="13" t="str">
        <f t="shared" si="165"/>
        <v>ЭТАЖ ЗАДАН ЧИСЛОМ</v>
      </c>
      <c r="Q1508" s="13" t="str">
        <f t="shared" si="166"/>
        <v>ГОТОВ_ИЗМЕНЕН</v>
      </c>
      <c r="R1508" s="13">
        <f>IFERROR(VLOOKUP(P1508,Лист1!A$1:B$20,2,FALSE),0)</f>
        <v>784</v>
      </c>
      <c r="S1508" s="13">
        <f t="shared" si="167"/>
        <v>0</v>
      </c>
    </row>
    <row r="1509" spans="1:19" x14ac:dyDescent="0.25">
      <c r="A1509" s="24" t="s">
        <v>2631</v>
      </c>
      <c r="B1509" s="4" t="s">
        <v>1059</v>
      </c>
      <c r="G1509" s="25" t="s">
        <v>1072</v>
      </c>
      <c r="H1509" s="24" t="s">
        <v>1061</v>
      </c>
      <c r="I1509" s="3">
        <f>IFERROR(VLOOKUP(C1509,'Справочник соответствий'!A$2:D$2981,2,FALSE),IF(VALUE(C1509)=0,1,VLOOKUP(C1509,'Справочник соответствий'!A$2:D$2981,2,FALSE)))</f>
        <v>1</v>
      </c>
      <c r="J1509" s="3">
        <f>IFERROR(VLOOKUP(D1509,'Справочник соответствий'!A$2:D$2981,2,FALSE),IF(VALUE(D1509)=0,0,VLOOKUP(D1509,'Справочник соответствий'!A$2:D$2981,2,FALSE)))</f>
        <v>0</v>
      </c>
      <c r="K1509" s="3">
        <f t="shared" si="161"/>
        <v>1</v>
      </c>
      <c r="L1509" s="13" t="str">
        <f>IFERROR(VLOOKUP(C1509,'Справочник соответствий'!A$2:D$2981,3,FALSE),IF(VALUE(C1509)=0,"ЭТАЖ НЕ ОПРЕДЕЛЕН. ПРИНЯТ ПО ДОПУЩЕНИЮ 1",VLOOKUP(C1509,'Справочник соответствий'!A$2:D$2981,3,FALSE)))</f>
        <v>ЭТАЖ НЕ ОПРЕДЕЛЕН. ПРИНЯТ ПО ДОПУЩЕНИЮ 1</v>
      </c>
      <c r="M1509" s="13" t="b">
        <f t="shared" si="162"/>
        <v>0</v>
      </c>
      <c r="N1509" s="13">
        <f t="shared" si="163"/>
        <v>1</v>
      </c>
      <c r="O1509" s="13" t="str">
        <f t="shared" si="164"/>
        <v>ЭТАЖ НЕ ОПРЕДЕЛЕН. ПРИНЯТ ПО ДОПУЩЕНИЮ 1</v>
      </c>
      <c r="P1509" s="13" t="str">
        <f t="shared" si="165"/>
        <v>ЭТАЖ НЕ ОПРЕДЕЛЕН. ПРИНЯТ ПО ДОПУЩЕНИЮ 1</v>
      </c>
      <c r="Q1509" s="13" t="str">
        <f t="shared" si="166"/>
        <v>ГОТОВ_ИЗМЕНЕН</v>
      </c>
      <c r="R1509" s="13">
        <f>IFERROR(VLOOKUP(P1509,Лист1!A$1:B$20,2,FALSE),0)</f>
        <v>788</v>
      </c>
      <c r="S1509" s="13">
        <f t="shared" si="167"/>
        <v>0</v>
      </c>
    </row>
    <row r="1510" spans="1:19" x14ac:dyDescent="0.25">
      <c r="A1510" s="24" t="s">
        <v>2632</v>
      </c>
      <c r="B1510" s="4" t="s">
        <v>1063</v>
      </c>
      <c r="C1510" s="25" t="s">
        <v>5</v>
      </c>
      <c r="G1510" s="25" t="s">
        <v>1072</v>
      </c>
      <c r="H1510" s="24" t="s">
        <v>1061</v>
      </c>
      <c r="I1510" s="3" t="str">
        <f>IFERROR(VLOOKUP(C1510,'Справочник соответствий'!A$2:D$2981,2,FALSE),IF(VALUE(C1510)=0,1,VLOOKUP(C1510,'Справочник соответствий'!A$2:D$2981,2,FALSE)))</f>
        <v>1</v>
      </c>
      <c r="J1510" s="3">
        <f>IFERROR(VLOOKUP(D1510,'Справочник соответствий'!A$2:D$2981,2,FALSE),IF(VALUE(D1510)=0,0,VLOOKUP(D1510,'Справочник соответствий'!A$2:D$2981,2,FALSE)))</f>
        <v>0</v>
      </c>
      <c r="K1510" s="3" t="str">
        <f t="shared" si="161"/>
        <v>1</v>
      </c>
      <c r="L1510" s="13" t="str">
        <f>IFERROR(VLOOKUP(C1510,'Справочник соответствий'!A$2:D$2981,3,FALSE),IF(VALUE(C1510)=0,"ЭТАЖ НЕ ОПРЕДЕЛЕН. ПРИНЯТ ПО ДОПУЩЕНИЮ 1",VLOOKUP(C1510,'Справочник соответствий'!A$2:D$2981,3,FALSE)))</f>
        <v>ЭТАЖ ЗАДАН ЧИСЛОМ</v>
      </c>
      <c r="M1510" s="13" t="b">
        <f t="shared" si="162"/>
        <v>0</v>
      </c>
      <c r="N1510" s="13">
        <f t="shared" si="163"/>
        <v>1</v>
      </c>
      <c r="O1510" s="13" t="str">
        <f t="shared" si="164"/>
        <v>ЭТАЖ ЗАДАН ЧИСЛОМ</v>
      </c>
      <c r="P1510" s="13" t="str">
        <f t="shared" si="165"/>
        <v>ЭТАЖ ЗАДАН ЧИСЛОМ</v>
      </c>
      <c r="Q1510" s="13" t="str">
        <f t="shared" si="166"/>
        <v>ГОТОВ_ИЗМЕНЕН</v>
      </c>
      <c r="R1510" s="13">
        <f>IFERROR(VLOOKUP(P1510,Лист1!A$1:B$20,2,FALSE),0)</f>
        <v>784</v>
      </c>
      <c r="S1510" s="13">
        <f t="shared" si="167"/>
        <v>0</v>
      </c>
    </row>
    <row r="1511" spans="1:19" x14ac:dyDescent="0.25">
      <c r="A1511" s="24" t="s">
        <v>2633</v>
      </c>
      <c r="B1511" s="4" t="s">
        <v>1063</v>
      </c>
      <c r="G1511" s="25" t="s">
        <v>1388</v>
      </c>
      <c r="H1511" s="24" t="s">
        <v>1061</v>
      </c>
      <c r="I1511" s="3">
        <f>IFERROR(VLOOKUP(C1511,'Справочник соответствий'!A$2:D$2981,2,FALSE),IF(VALUE(C1511)=0,1,VLOOKUP(C1511,'Справочник соответствий'!A$2:D$2981,2,FALSE)))</f>
        <v>1</v>
      </c>
      <c r="J1511" s="3">
        <f>IFERROR(VLOOKUP(D1511,'Справочник соответствий'!A$2:D$2981,2,FALSE),IF(VALUE(D1511)=0,0,VLOOKUP(D1511,'Справочник соответствий'!A$2:D$2981,2,FALSE)))</f>
        <v>0</v>
      </c>
      <c r="K1511" s="3">
        <f t="shared" si="161"/>
        <v>1</v>
      </c>
      <c r="L1511" s="13" t="str">
        <f>IFERROR(VLOOKUP(C1511,'Справочник соответствий'!A$2:D$2981,3,FALSE),IF(VALUE(C1511)=0,"ЭТАЖ НЕ ОПРЕДЕЛЕН. ПРИНЯТ ПО ДОПУЩЕНИЮ 1",VLOOKUP(C1511,'Справочник соответствий'!A$2:D$2981,3,FALSE)))</f>
        <v>ЭТАЖ НЕ ОПРЕДЕЛЕН. ПРИНЯТ ПО ДОПУЩЕНИЮ 1</v>
      </c>
      <c r="M1511" s="13" t="b">
        <f t="shared" si="162"/>
        <v>0</v>
      </c>
      <c r="N1511" s="13">
        <f t="shared" si="163"/>
        <v>1</v>
      </c>
      <c r="O1511" s="13" t="str">
        <f t="shared" si="164"/>
        <v>ЭТАЖ НЕ ОПРЕДЕЛЕН. ПРИНЯТ ПО ДОПУЩЕНИЮ 1</v>
      </c>
      <c r="P1511" s="13" t="str">
        <f t="shared" si="165"/>
        <v>ЭТАЖ НЕ ОПРЕДЕЛЕН. ПРИНЯТ ПО ДОПУЩЕНИЮ 1</v>
      </c>
      <c r="Q1511" s="13" t="str">
        <f t="shared" si="166"/>
        <v>ГОТОВ_ИЗМЕНЕН</v>
      </c>
      <c r="R1511" s="13">
        <f>IFERROR(VLOOKUP(P1511,Лист1!A$1:B$20,2,FALSE),0)</f>
        <v>788</v>
      </c>
      <c r="S1511" s="13">
        <f t="shared" si="167"/>
        <v>0</v>
      </c>
    </row>
    <row r="1512" spans="1:19" x14ac:dyDescent="0.25">
      <c r="A1512" s="24" t="s">
        <v>2634</v>
      </c>
      <c r="B1512" s="4" t="s">
        <v>1059</v>
      </c>
      <c r="C1512" s="25" t="s">
        <v>7</v>
      </c>
      <c r="G1512" s="25" t="s">
        <v>1072</v>
      </c>
      <c r="H1512" s="24" t="s">
        <v>1061</v>
      </c>
      <c r="I1512" s="3" t="str">
        <f>IFERROR(VLOOKUP(C1512,'Справочник соответствий'!A$2:D$2981,2,FALSE),IF(VALUE(C1512)=0,1,VLOOKUP(C1512,'Справочник соответствий'!A$2:D$2981,2,FALSE)))</f>
        <v>2</v>
      </c>
      <c r="J1512" s="3">
        <f>IFERROR(VLOOKUP(D1512,'Справочник соответствий'!A$2:D$2981,2,FALSE),IF(VALUE(D1512)=0,0,VLOOKUP(D1512,'Справочник соответствий'!A$2:D$2981,2,FALSE)))</f>
        <v>0</v>
      </c>
      <c r="K1512" s="3" t="str">
        <f t="shared" si="161"/>
        <v>2</v>
      </c>
      <c r="L1512" s="13" t="str">
        <f>IFERROR(VLOOKUP(C1512,'Справочник соответствий'!A$2:D$2981,3,FALSE),IF(VALUE(C1512)=0,"ЭТАЖ НЕ ОПРЕДЕЛЕН. ПРИНЯТ ПО ДОПУЩЕНИЮ 1",VLOOKUP(C1512,'Справочник соответствий'!A$2:D$2981,3,FALSE)))</f>
        <v>ЭТАЖ ЗАДАН ЧИСЛОМ</v>
      </c>
      <c r="M1512" s="13" t="b">
        <f t="shared" si="162"/>
        <v>0</v>
      </c>
      <c r="N1512" s="13">
        <f t="shared" si="163"/>
        <v>2</v>
      </c>
      <c r="O1512" s="13" t="str">
        <f t="shared" si="164"/>
        <v>ЭТАЖ ЗАДАН ЧИСЛОМ</v>
      </c>
      <c r="P1512" s="13" t="str">
        <f t="shared" si="165"/>
        <v>ЭТАЖ ЗАДАН ЧИСЛОМ</v>
      </c>
      <c r="Q1512" s="13" t="str">
        <f t="shared" si="166"/>
        <v>ГОТОВ_ИЗМЕНЕН</v>
      </c>
      <c r="R1512" s="13">
        <f>IFERROR(VLOOKUP(P1512,Лист1!A$1:B$20,2,FALSE),0)</f>
        <v>784</v>
      </c>
      <c r="S1512" s="13">
        <f t="shared" si="167"/>
        <v>0</v>
      </c>
    </row>
    <row r="1513" spans="1:19" x14ac:dyDescent="0.25">
      <c r="A1513" s="24" t="s">
        <v>2635</v>
      </c>
      <c r="B1513" s="4" t="s">
        <v>1059</v>
      </c>
      <c r="C1513" s="25" t="s">
        <v>5</v>
      </c>
      <c r="G1513" s="25" t="s">
        <v>1072</v>
      </c>
      <c r="H1513" s="24" t="s">
        <v>1061</v>
      </c>
      <c r="I1513" s="3" t="str">
        <f>IFERROR(VLOOKUP(C1513,'Справочник соответствий'!A$2:D$2981,2,FALSE),IF(VALUE(C1513)=0,1,VLOOKUP(C1513,'Справочник соответствий'!A$2:D$2981,2,FALSE)))</f>
        <v>1</v>
      </c>
      <c r="J1513" s="3">
        <f>IFERROR(VLOOKUP(D1513,'Справочник соответствий'!A$2:D$2981,2,FALSE),IF(VALUE(D1513)=0,0,VLOOKUP(D1513,'Справочник соответствий'!A$2:D$2981,2,FALSE)))</f>
        <v>0</v>
      </c>
      <c r="K1513" s="3" t="str">
        <f t="shared" si="161"/>
        <v>1</v>
      </c>
      <c r="L1513" s="13" t="str">
        <f>IFERROR(VLOOKUP(C1513,'Справочник соответствий'!A$2:D$2981,3,FALSE),IF(VALUE(C1513)=0,"ЭТАЖ НЕ ОПРЕДЕЛЕН. ПРИНЯТ ПО ДОПУЩЕНИЮ 1",VLOOKUP(C1513,'Справочник соответствий'!A$2:D$2981,3,FALSE)))</f>
        <v>ЭТАЖ ЗАДАН ЧИСЛОМ</v>
      </c>
      <c r="M1513" s="13" t="b">
        <f t="shared" si="162"/>
        <v>0</v>
      </c>
      <c r="N1513" s="13">
        <f t="shared" si="163"/>
        <v>1</v>
      </c>
      <c r="O1513" s="13" t="str">
        <f t="shared" si="164"/>
        <v>ЭТАЖ ЗАДАН ЧИСЛОМ</v>
      </c>
      <c r="P1513" s="13" t="str">
        <f t="shared" si="165"/>
        <v>ЭТАЖ ЗАДАН ЧИСЛОМ</v>
      </c>
      <c r="Q1513" s="13" t="str">
        <f t="shared" si="166"/>
        <v>ГОТОВ_ИЗМЕНЕН</v>
      </c>
      <c r="R1513" s="13">
        <f>IFERROR(VLOOKUP(P1513,Лист1!A$1:B$20,2,FALSE),0)</f>
        <v>784</v>
      </c>
      <c r="S1513" s="13">
        <f t="shared" si="167"/>
        <v>0</v>
      </c>
    </row>
    <row r="1514" spans="1:19" x14ac:dyDescent="0.25">
      <c r="A1514" s="24" t="s">
        <v>2636</v>
      </c>
      <c r="B1514" s="4" t="s">
        <v>1059</v>
      </c>
      <c r="C1514" s="25" t="s">
        <v>5</v>
      </c>
      <c r="G1514" s="25" t="s">
        <v>1072</v>
      </c>
      <c r="H1514" s="24" t="s">
        <v>1061</v>
      </c>
      <c r="I1514" s="3" t="str">
        <f>IFERROR(VLOOKUP(C1514,'Справочник соответствий'!A$2:D$2981,2,FALSE),IF(VALUE(C1514)=0,1,VLOOKUP(C1514,'Справочник соответствий'!A$2:D$2981,2,FALSE)))</f>
        <v>1</v>
      </c>
      <c r="J1514" s="3">
        <f>IFERROR(VLOOKUP(D1514,'Справочник соответствий'!A$2:D$2981,2,FALSE),IF(VALUE(D1514)=0,0,VLOOKUP(D1514,'Справочник соответствий'!A$2:D$2981,2,FALSE)))</f>
        <v>0</v>
      </c>
      <c r="K1514" s="3" t="str">
        <f t="shared" si="161"/>
        <v>1</v>
      </c>
      <c r="L1514" s="13" t="str">
        <f>IFERROR(VLOOKUP(C1514,'Справочник соответствий'!A$2:D$2981,3,FALSE),IF(VALUE(C1514)=0,"ЭТАЖ НЕ ОПРЕДЕЛЕН. ПРИНЯТ ПО ДОПУЩЕНИЮ 1",VLOOKUP(C1514,'Справочник соответствий'!A$2:D$2981,3,FALSE)))</f>
        <v>ЭТАЖ ЗАДАН ЧИСЛОМ</v>
      </c>
      <c r="M1514" s="13" t="b">
        <f t="shared" si="162"/>
        <v>0</v>
      </c>
      <c r="N1514" s="13">
        <f t="shared" si="163"/>
        <v>1</v>
      </c>
      <c r="O1514" s="13" t="str">
        <f t="shared" si="164"/>
        <v>ЭТАЖ ЗАДАН ЧИСЛОМ</v>
      </c>
      <c r="P1514" s="13" t="str">
        <f t="shared" si="165"/>
        <v>ЭТАЖ ЗАДАН ЧИСЛОМ</v>
      </c>
      <c r="Q1514" s="13" t="str">
        <f t="shared" si="166"/>
        <v>ГОТОВ_ИЗМЕНЕН</v>
      </c>
      <c r="R1514" s="13">
        <f>IFERROR(VLOOKUP(P1514,Лист1!A$1:B$20,2,FALSE),0)</f>
        <v>784</v>
      </c>
      <c r="S1514" s="13">
        <f t="shared" si="167"/>
        <v>0</v>
      </c>
    </row>
    <row r="1515" spans="1:19" x14ac:dyDescent="0.25">
      <c r="A1515" s="24" t="s">
        <v>2637</v>
      </c>
      <c r="B1515" s="4" t="s">
        <v>1059</v>
      </c>
      <c r="C1515" s="25" t="s">
        <v>7</v>
      </c>
      <c r="G1515" s="25" t="s">
        <v>1167</v>
      </c>
      <c r="H1515" s="24" t="s">
        <v>1061</v>
      </c>
      <c r="I1515" s="3" t="str">
        <f>IFERROR(VLOOKUP(C1515,'Справочник соответствий'!A$2:D$2981,2,FALSE),IF(VALUE(C1515)=0,1,VLOOKUP(C1515,'Справочник соответствий'!A$2:D$2981,2,FALSE)))</f>
        <v>2</v>
      </c>
      <c r="J1515" s="3">
        <f>IFERROR(VLOOKUP(D1515,'Справочник соответствий'!A$2:D$2981,2,FALSE),IF(VALUE(D1515)=0,0,VLOOKUP(D1515,'Справочник соответствий'!A$2:D$2981,2,FALSE)))</f>
        <v>0</v>
      </c>
      <c r="K1515" s="3" t="str">
        <f t="shared" si="161"/>
        <v>2</v>
      </c>
      <c r="L1515" s="13" t="str">
        <f>IFERROR(VLOOKUP(C1515,'Справочник соответствий'!A$2:D$2981,3,FALSE),IF(VALUE(C1515)=0,"ЭТАЖ НЕ ОПРЕДЕЛЕН. ПРИНЯТ ПО ДОПУЩЕНИЮ 1",VLOOKUP(C1515,'Справочник соответствий'!A$2:D$2981,3,FALSE)))</f>
        <v>ЭТАЖ ЗАДАН ЧИСЛОМ</v>
      </c>
      <c r="M1515" s="13" t="b">
        <f t="shared" si="162"/>
        <v>0</v>
      </c>
      <c r="N1515" s="13">
        <f t="shared" si="163"/>
        <v>2</v>
      </c>
      <c r="O1515" s="13" t="str">
        <f t="shared" si="164"/>
        <v>ЭТАЖ ЗАДАН ЧИСЛОМ</v>
      </c>
      <c r="P1515" s="13" t="str">
        <f t="shared" si="165"/>
        <v>ЭТАЖ ЗАДАН ЧИСЛОМ</v>
      </c>
      <c r="Q1515" s="13" t="str">
        <f t="shared" si="166"/>
        <v>ГОТОВ_ИЗМЕНЕН</v>
      </c>
      <c r="R1515" s="13">
        <f>IFERROR(VLOOKUP(P1515,Лист1!A$1:B$20,2,FALSE),0)</f>
        <v>784</v>
      </c>
      <c r="S1515" s="13">
        <f t="shared" si="167"/>
        <v>0</v>
      </c>
    </row>
    <row r="1516" spans="1:19" x14ac:dyDescent="0.25">
      <c r="A1516" s="24" t="s">
        <v>2638</v>
      </c>
      <c r="B1516" s="4" t="s">
        <v>1059</v>
      </c>
      <c r="C1516" s="25" t="s">
        <v>7</v>
      </c>
      <c r="G1516" s="25" t="s">
        <v>1086</v>
      </c>
      <c r="H1516" s="24" t="s">
        <v>1061</v>
      </c>
      <c r="I1516" s="3" t="str">
        <f>IFERROR(VLOOKUP(C1516,'Справочник соответствий'!A$2:D$2981,2,FALSE),IF(VALUE(C1516)=0,1,VLOOKUP(C1516,'Справочник соответствий'!A$2:D$2981,2,FALSE)))</f>
        <v>2</v>
      </c>
      <c r="J1516" s="3">
        <f>IFERROR(VLOOKUP(D1516,'Справочник соответствий'!A$2:D$2981,2,FALSE),IF(VALUE(D1516)=0,0,VLOOKUP(D1516,'Справочник соответствий'!A$2:D$2981,2,FALSE)))</f>
        <v>0</v>
      </c>
      <c r="K1516" s="3" t="str">
        <f t="shared" si="161"/>
        <v>2</v>
      </c>
      <c r="L1516" s="13" t="str">
        <f>IFERROR(VLOOKUP(C1516,'Справочник соответствий'!A$2:D$2981,3,FALSE),IF(VALUE(C1516)=0,"ЭТАЖ НЕ ОПРЕДЕЛЕН. ПРИНЯТ ПО ДОПУЩЕНИЮ 1",VLOOKUP(C1516,'Справочник соответствий'!A$2:D$2981,3,FALSE)))</f>
        <v>ЭТАЖ ЗАДАН ЧИСЛОМ</v>
      </c>
      <c r="M1516" s="13" t="b">
        <f t="shared" si="162"/>
        <v>0</v>
      </c>
      <c r="N1516" s="13">
        <f t="shared" si="163"/>
        <v>2</v>
      </c>
      <c r="O1516" s="13" t="str">
        <f t="shared" si="164"/>
        <v>ЭТАЖ ЗАДАН ЧИСЛОМ</v>
      </c>
      <c r="P1516" s="13" t="str">
        <f t="shared" si="165"/>
        <v>ЭТАЖ ЗАДАН ЧИСЛОМ</v>
      </c>
      <c r="Q1516" s="13" t="str">
        <f t="shared" si="166"/>
        <v>ГОТОВ_ИЗМЕНЕН</v>
      </c>
      <c r="R1516" s="13">
        <f>IFERROR(VLOOKUP(P1516,Лист1!A$1:B$20,2,FALSE),0)</f>
        <v>784</v>
      </c>
      <c r="S1516" s="13">
        <f t="shared" si="167"/>
        <v>0</v>
      </c>
    </row>
    <row r="1517" spans="1:19" x14ac:dyDescent="0.25">
      <c r="A1517" s="24" t="s">
        <v>2639</v>
      </c>
      <c r="B1517" s="4" t="s">
        <v>1063</v>
      </c>
      <c r="C1517" s="25" t="s">
        <v>5</v>
      </c>
      <c r="G1517" s="25" t="s">
        <v>1069</v>
      </c>
      <c r="H1517" s="24" t="s">
        <v>1061</v>
      </c>
      <c r="I1517" s="3" t="str">
        <f>IFERROR(VLOOKUP(C1517,'Справочник соответствий'!A$2:D$2981,2,FALSE),IF(VALUE(C1517)=0,1,VLOOKUP(C1517,'Справочник соответствий'!A$2:D$2981,2,FALSE)))</f>
        <v>1</v>
      </c>
      <c r="J1517" s="3">
        <f>IFERROR(VLOOKUP(D1517,'Справочник соответствий'!A$2:D$2981,2,FALSE),IF(VALUE(D1517)=0,0,VLOOKUP(D1517,'Справочник соответствий'!A$2:D$2981,2,FALSE)))</f>
        <v>0</v>
      </c>
      <c r="K1517" s="3" t="str">
        <f t="shared" si="161"/>
        <v>1</v>
      </c>
      <c r="L1517" s="13" t="str">
        <f>IFERROR(VLOOKUP(C1517,'Справочник соответствий'!A$2:D$2981,3,FALSE),IF(VALUE(C1517)=0,"ЭТАЖ НЕ ОПРЕДЕЛЕН. ПРИНЯТ ПО ДОПУЩЕНИЮ 1",VLOOKUP(C1517,'Справочник соответствий'!A$2:D$2981,3,FALSE)))</f>
        <v>ЭТАЖ ЗАДАН ЧИСЛОМ</v>
      </c>
      <c r="M1517" s="13" t="b">
        <f t="shared" si="162"/>
        <v>0</v>
      </c>
      <c r="N1517" s="13">
        <f t="shared" si="163"/>
        <v>1</v>
      </c>
      <c r="O1517" s="13" t="str">
        <f t="shared" si="164"/>
        <v>ЭТАЖ ЗАДАН ЧИСЛОМ</v>
      </c>
      <c r="P1517" s="13" t="str">
        <f t="shared" si="165"/>
        <v>ЭТАЖ ЗАДАН ЧИСЛОМ</v>
      </c>
      <c r="Q1517" s="13" t="str">
        <f t="shared" si="166"/>
        <v>ГОТОВ_ИЗМЕНЕН</v>
      </c>
      <c r="R1517" s="13">
        <f>IFERROR(VLOOKUP(P1517,Лист1!A$1:B$20,2,FALSE),0)</f>
        <v>784</v>
      </c>
      <c r="S1517" s="13">
        <f t="shared" si="167"/>
        <v>0</v>
      </c>
    </row>
    <row r="1518" spans="1:19" x14ac:dyDescent="0.25">
      <c r="A1518" s="24" t="s">
        <v>2640</v>
      </c>
      <c r="B1518" s="4" t="s">
        <v>1059</v>
      </c>
      <c r="C1518" s="25" t="s">
        <v>5</v>
      </c>
      <c r="G1518" s="25" t="s">
        <v>1069</v>
      </c>
      <c r="H1518" s="24" t="s">
        <v>1061</v>
      </c>
      <c r="I1518" s="3" t="str">
        <f>IFERROR(VLOOKUP(C1518,'Справочник соответствий'!A$2:D$2981,2,FALSE),IF(VALUE(C1518)=0,1,VLOOKUP(C1518,'Справочник соответствий'!A$2:D$2981,2,FALSE)))</f>
        <v>1</v>
      </c>
      <c r="J1518" s="3">
        <f>IFERROR(VLOOKUP(D1518,'Справочник соответствий'!A$2:D$2981,2,FALSE),IF(VALUE(D1518)=0,0,VLOOKUP(D1518,'Справочник соответствий'!A$2:D$2981,2,FALSE)))</f>
        <v>0</v>
      </c>
      <c r="K1518" s="3" t="str">
        <f t="shared" si="161"/>
        <v>1</v>
      </c>
      <c r="L1518" s="13" t="str">
        <f>IFERROR(VLOOKUP(C1518,'Справочник соответствий'!A$2:D$2981,3,FALSE),IF(VALUE(C1518)=0,"ЭТАЖ НЕ ОПРЕДЕЛЕН. ПРИНЯТ ПО ДОПУЩЕНИЮ 1",VLOOKUP(C1518,'Справочник соответствий'!A$2:D$2981,3,FALSE)))</f>
        <v>ЭТАЖ ЗАДАН ЧИСЛОМ</v>
      </c>
      <c r="M1518" s="13" t="b">
        <f t="shared" si="162"/>
        <v>0</v>
      </c>
      <c r="N1518" s="13">
        <f t="shared" si="163"/>
        <v>1</v>
      </c>
      <c r="O1518" s="13" t="str">
        <f t="shared" si="164"/>
        <v>ЭТАЖ ЗАДАН ЧИСЛОМ</v>
      </c>
      <c r="P1518" s="13" t="str">
        <f t="shared" si="165"/>
        <v>ЭТАЖ ЗАДАН ЧИСЛОМ</v>
      </c>
      <c r="Q1518" s="13" t="str">
        <f t="shared" si="166"/>
        <v>ГОТОВ_ИЗМЕНЕН</v>
      </c>
      <c r="R1518" s="13">
        <f>IFERROR(VLOOKUP(P1518,Лист1!A$1:B$20,2,FALSE),0)</f>
        <v>784</v>
      </c>
      <c r="S1518" s="13">
        <f t="shared" si="167"/>
        <v>0</v>
      </c>
    </row>
    <row r="1519" spans="1:19" x14ac:dyDescent="0.25">
      <c r="A1519" s="24" t="s">
        <v>2641</v>
      </c>
      <c r="B1519" s="4" t="s">
        <v>1059</v>
      </c>
      <c r="C1519" s="25" t="s">
        <v>7</v>
      </c>
      <c r="G1519" s="25" t="s">
        <v>1069</v>
      </c>
      <c r="H1519" s="24" t="s">
        <v>1061</v>
      </c>
      <c r="I1519" s="3" t="str">
        <f>IFERROR(VLOOKUP(C1519,'Справочник соответствий'!A$2:D$2981,2,FALSE),IF(VALUE(C1519)=0,1,VLOOKUP(C1519,'Справочник соответствий'!A$2:D$2981,2,FALSE)))</f>
        <v>2</v>
      </c>
      <c r="J1519" s="3">
        <f>IFERROR(VLOOKUP(D1519,'Справочник соответствий'!A$2:D$2981,2,FALSE),IF(VALUE(D1519)=0,0,VLOOKUP(D1519,'Справочник соответствий'!A$2:D$2981,2,FALSE)))</f>
        <v>0</v>
      </c>
      <c r="K1519" s="3" t="str">
        <f t="shared" si="161"/>
        <v>2</v>
      </c>
      <c r="L1519" s="13" t="str">
        <f>IFERROR(VLOOKUP(C1519,'Справочник соответствий'!A$2:D$2981,3,FALSE),IF(VALUE(C1519)=0,"ЭТАЖ НЕ ОПРЕДЕЛЕН. ПРИНЯТ ПО ДОПУЩЕНИЮ 1",VLOOKUP(C1519,'Справочник соответствий'!A$2:D$2981,3,FALSE)))</f>
        <v>ЭТАЖ ЗАДАН ЧИСЛОМ</v>
      </c>
      <c r="M1519" s="13" t="b">
        <f t="shared" si="162"/>
        <v>0</v>
      </c>
      <c r="N1519" s="13">
        <f t="shared" si="163"/>
        <v>2</v>
      </c>
      <c r="O1519" s="13" t="str">
        <f t="shared" si="164"/>
        <v>ЭТАЖ ЗАДАН ЧИСЛОМ</v>
      </c>
      <c r="P1519" s="13" t="str">
        <f t="shared" si="165"/>
        <v>ЭТАЖ ЗАДАН ЧИСЛОМ</v>
      </c>
      <c r="Q1519" s="13" t="str">
        <f t="shared" si="166"/>
        <v>ГОТОВ_ИЗМЕНЕН</v>
      </c>
      <c r="R1519" s="13">
        <f>IFERROR(VLOOKUP(P1519,Лист1!A$1:B$20,2,FALSE),0)</f>
        <v>784</v>
      </c>
      <c r="S1519" s="13">
        <f t="shared" si="167"/>
        <v>0</v>
      </c>
    </row>
    <row r="1520" spans="1:19" x14ac:dyDescent="0.25">
      <c r="A1520" s="24" t="s">
        <v>2642</v>
      </c>
      <c r="B1520" s="4" t="s">
        <v>1059</v>
      </c>
      <c r="C1520" s="25" t="s">
        <v>7</v>
      </c>
      <c r="G1520" s="25" t="s">
        <v>1089</v>
      </c>
      <c r="H1520" s="24" t="s">
        <v>1061</v>
      </c>
      <c r="I1520" s="3" t="str">
        <f>IFERROR(VLOOKUP(C1520,'Справочник соответствий'!A$2:D$2981,2,FALSE),IF(VALUE(C1520)=0,1,VLOOKUP(C1520,'Справочник соответствий'!A$2:D$2981,2,FALSE)))</f>
        <v>2</v>
      </c>
      <c r="J1520" s="3">
        <f>IFERROR(VLOOKUP(D1520,'Справочник соответствий'!A$2:D$2981,2,FALSE),IF(VALUE(D1520)=0,0,VLOOKUP(D1520,'Справочник соответствий'!A$2:D$2981,2,FALSE)))</f>
        <v>0</v>
      </c>
      <c r="K1520" s="3" t="str">
        <f t="shared" si="161"/>
        <v>2</v>
      </c>
      <c r="L1520" s="13" t="str">
        <f>IFERROR(VLOOKUP(C1520,'Справочник соответствий'!A$2:D$2981,3,FALSE),IF(VALUE(C1520)=0,"ЭТАЖ НЕ ОПРЕДЕЛЕН. ПРИНЯТ ПО ДОПУЩЕНИЮ 1",VLOOKUP(C1520,'Справочник соответствий'!A$2:D$2981,3,FALSE)))</f>
        <v>ЭТАЖ ЗАДАН ЧИСЛОМ</v>
      </c>
      <c r="M1520" s="13" t="b">
        <f t="shared" si="162"/>
        <v>0</v>
      </c>
      <c r="N1520" s="13">
        <f t="shared" si="163"/>
        <v>2</v>
      </c>
      <c r="O1520" s="13" t="str">
        <f t="shared" si="164"/>
        <v>ЭТАЖ ЗАДАН ЧИСЛОМ</v>
      </c>
      <c r="P1520" s="13" t="str">
        <f t="shared" si="165"/>
        <v>ЭТАЖ ЗАДАН ЧИСЛОМ</v>
      </c>
      <c r="Q1520" s="13" t="str">
        <f t="shared" si="166"/>
        <v>ГОТОВ_ИЗМЕНЕН</v>
      </c>
      <c r="R1520" s="13">
        <f>IFERROR(VLOOKUP(P1520,Лист1!A$1:B$20,2,FALSE),0)</f>
        <v>784</v>
      </c>
      <c r="S1520" s="13">
        <f t="shared" si="167"/>
        <v>0</v>
      </c>
    </row>
    <row r="1521" spans="1:19" x14ac:dyDescent="0.25">
      <c r="A1521" s="24" t="s">
        <v>2643</v>
      </c>
      <c r="B1521" s="4" t="s">
        <v>1059</v>
      </c>
      <c r="C1521" s="25" t="s">
        <v>5</v>
      </c>
      <c r="G1521" s="25" t="s">
        <v>1069</v>
      </c>
      <c r="H1521" s="24" t="s">
        <v>1061</v>
      </c>
      <c r="I1521" s="3" t="str">
        <f>IFERROR(VLOOKUP(C1521,'Справочник соответствий'!A$2:D$2981,2,FALSE),IF(VALUE(C1521)=0,1,VLOOKUP(C1521,'Справочник соответствий'!A$2:D$2981,2,FALSE)))</f>
        <v>1</v>
      </c>
      <c r="J1521" s="3">
        <f>IFERROR(VLOOKUP(D1521,'Справочник соответствий'!A$2:D$2981,2,FALSE),IF(VALUE(D1521)=0,0,VLOOKUP(D1521,'Справочник соответствий'!A$2:D$2981,2,FALSE)))</f>
        <v>0</v>
      </c>
      <c r="K1521" s="3" t="str">
        <f t="shared" si="161"/>
        <v>1</v>
      </c>
      <c r="L1521" s="13" t="str">
        <f>IFERROR(VLOOKUP(C1521,'Справочник соответствий'!A$2:D$2981,3,FALSE),IF(VALUE(C1521)=0,"ЭТАЖ НЕ ОПРЕДЕЛЕН. ПРИНЯТ ПО ДОПУЩЕНИЮ 1",VLOOKUP(C1521,'Справочник соответствий'!A$2:D$2981,3,FALSE)))</f>
        <v>ЭТАЖ ЗАДАН ЧИСЛОМ</v>
      </c>
      <c r="M1521" s="13" t="b">
        <f t="shared" si="162"/>
        <v>0</v>
      </c>
      <c r="N1521" s="13">
        <f t="shared" si="163"/>
        <v>1</v>
      </c>
      <c r="O1521" s="13" t="str">
        <f t="shared" si="164"/>
        <v>ЭТАЖ ЗАДАН ЧИСЛОМ</v>
      </c>
      <c r="P1521" s="13" t="str">
        <f t="shared" si="165"/>
        <v>ЭТАЖ ЗАДАН ЧИСЛОМ</v>
      </c>
      <c r="Q1521" s="13" t="str">
        <f t="shared" si="166"/>
        <v>ГОТОВ_ИЗМЕНЕН</v>
      </c>
      <c r="R1521" s="13">
        <f>IFERROR(VLOOKUP(P1521,Лист1!A$1:B$20,2,FALSE),0)</f>
        <v>784</v>
      </c>
      <c r="S1521" s="13">
        <f t="shared" si="167"/>
        <v>0</v>
      </c>
    </row>
    <row r="1522" spans="1:19" x14ac:dyDescent="0.25">
      <c r="A1522" s="24" t="s">
        <v>2644</v>
      </c>
      <c r="B1522" s="4" t="s">
        <v>1059</v>
      </c>
      <c r="C1522" s="25" t="s">
        <v>7</v>
      </c>
      <c r="G1522" s="25" t="s">
        <v>1069</v>
      </c>
      <c r="H1522" s="24" t="s">
        <v>1061</v>
      </c>
      <c r="I1522" s="3" t="str">
        <f>IFERROR(VLOOKUP(C1522,'Справочник соответствий'!A$2:D$2981,2,FALSE),IF(VALUE(C1522)=0,1,VLOOKUP(C1522,'Справочник соответствий'!A$2:D$2981,2,FALSE)))</f>
        <v>2</v>
      </c>
      <c r="J1522" s="3">
        <f>IFERROR(VLOOKUP(D1522,'Справочник соответствий'!A$2:D$2981,2,FALSE),IF(VALUE(D1522)=0,0,VLOOKUP(D1522,'Справочник соответствий'!A$2:D$2981,2,FALSE)))</f>
        <v>0</v>
      </c>
      <c r="K1522" s="3" t="str">
        <f t="shared" si="161"/>
        <v>2</v>
      </c>
      <c r="L1522" s="13" t="str">
        <f>IFERROR(VLOOKUP(C1522,'Справочник соответствий'!A$2:D$2981,3,FALSE),IF(VALUE(C1522)=0,"ЭТАЖ НЕ ОПРЕДЕЛЕН. ПРИНЯТ ПО ДОПУЩЕНИЮ 1",VLOOKUP(C1522,'Справочник соответствий'!A$2:D$2981,3,FALSE)))</f>
        <v>ЭТАЖ ЗАДАН ЧИСЛОМ</v>
      </c>
      <c r="M1522" s="13" t="b">
        <f t="shared" si="162"/>
        <v>0</v>
      </c>
      <c r="N1522" s="13">
        <f t="shared" si="163"/>
        <v>2</v>
      </c>
      <c r="O1522" s="13" t="str">
        <f t="shared" si="164"/>
        <v>ЭТАЖ ЗАДАН ЧИСЛОМ</v>
      </c>
      <c r="P1522" s="13" t="str">
        <f t="shared" si="165"/>
        <v>ЭТАЖ ЗАДАН ЧИСЛОМ</v>
      </c>
      <c r="Q1522" s="13" t="str">
        <f t="shared" si="166"/>
        <v>ГОТОВ_ИЗМЕНЕН</v>
      </c>
      <c r="R1522" s="13">
        <f>IFERROR(VLOOKUP(P1522,Лист1!A$1:B$20,2,FALSE),0)</f>
        <v>784</v>
      </c>
      <c r="S1522" s="13">
        <f t="shared" si="167"/>
        <v>0</v>
      </c>
    </row>
    <row r="1523" spans="1:19" x14ac:dyDescent="0.25">
      <c r="A1523" s="24" t="s">
        <v>2645</v>
      </c>
      <c r="B1523" s="4" t="s">
        <v>1059</v>
      </c>
      <c r="C1523" s="25" t="s">
        <v>7</v>
      </c>
      <c r="G1523" s="25" t="s">
        <v>1174</v>
      </c>
      <c r="H1523" s="24" t="s">
        <v>1061</v>
      </c>
      <c r="I1523" s="3" t="str">
        <f>IFERROR(VLOOKUP(C1523,'Справочник соответствий'!A$2:D$2981,2,FALSE),IF(VALUE(C1523)=0,1,VLOOKUP(C1523,'Справочник соответствий'!A$2:D$2981,2,FALSE)))</f>
        <v>2</v>
      </c>
      <c r="J1523" s="3">
        <f>IFERROR(VLOOKUP(D1523,'Справочник соответствий'!A$2:D$2981,2,FALSE),IF(VALUE(D1523)=0,0,VLOOKUP(D1523,'Справочник соответствий'!A$2:D$2981,2,FALSE)))</f>
        <v>0</v>
      </c>
      <c r="K1523" s="3" t="str">
        <f t="shared" si="161"/>
        <v>2</v>
      </c>
      <c r="L1523" s="13" t="str">
        <f>IFERROR(VLOOKUP(C1523,'Справочник соответствий'!A$2:D$2981,3,FALSE),IF(VALUE(C1523)=0,"ЭТАЖ НЕ ОПРЕДЕЛЕН. ПРИНЯТ ПО ДОПУЩЕНИЮ 1",VLOOKUP(C1523,'Справочник соответствий'!A$2:D$2981,3,FALSE)))</f>
        <v>ЭТАЖ ЗАДАН ЧИСЛОМ</v>
      </c>
      <c r="M1523" s="13" t="b">
        <f t="shared" si="162"/>
        <v>0</v>
      </c>
      <c r="N1523" s="13">
        <f t="shared" si="163"/>
        <v>2</v>
      </c>
      <c r="O1523" s="13" t="str">
        <f t="shared" si="164"/>
        <v>ЭТАЖ ЗАДАН ЧИСЛОМ</v>
      </c>
      <c r="P1523" s="13" t="str">
        <f t="shared" si="165"/>
        <v>ЭТАЖ ЗАДАН ЧИСЛОМ</v>
      </c>
      <c r="Q1523" s="13" t="str">
        <f t="shared" si="166"/>
        <v>ГОТОВ_ИЗМЕНЕН</v>
      </c>
      <c r="R1523" s="13">
        <f>IFERROR(VLOOKUP(P1523,Лист1!A$1:B$20,2,FALSE),0)</f>
        <v>784</v>
      </c>
      <c r="S1523" s="13">
        <f t="shared" si="167"/>
        <v>0</v>
      </c>
    </row>
    <row r="1524" spans="1:19" x14ac:dyDescent="0.25">
      <c r="A1524" s="24" t="s">
        <v>2646</v>
      </c>
      <c r="B1524" s="4" t="s">
        <v>1063</v>
      </c>
      <c r="C1524" s="25" t="s">
        <v>5</v>
      </c>
      <c r="G1524" s="25" t="s">
        <v>1089</v>
      </c>
      <c r="H1524" s="24" t="s">
        <v>1061</v>
      </c>
      <c r="I1524" s="3" t="str">
        <f>IFERROR(VLOOKUP(C1524,'Справочник соответствий'!A$2:D$2981,2,FALSE),IF(VALUE(C1524)=0,1,VLOOKUP(C1524,'Справочник соответствий'!A$2:D$2981,2,FALSE)))</f>
        <v>1</v>
      </c>
      <c r="J1524" s="3">
        <f>IFERROR(VLOOKUP(D1524,'Справочник соответствий'!A$2:D$2981,2,FALSE),IF(VALUE(D1524)=0,0,VLOOKUP(D1524,'Справочник соответствий'!A$2:D$2981,2,FALSE)))</f>
        <v>0</v>
      </c>
      <c r="K1524" s="3" t="str">
        <f t="shared" si="161"/>
        <v>1</v>
      </c>
      <c r="L1524" s="13" t="str">
        <f>IFERROR(VLOOKUP(C1524,'Справочник соответствий'!A$2:D$2981,3,FALSE),IF(VALUE(C1524)=0,"ЭТАЖ НЕ ОПРЕДЕЛЕН. ПРИНЯТ ПО ДОПУЩЕНИЮ 1",VLOOKUP(C1524,'Справочник соответствий'!A$2:D$2981,3,FALSE)))</f>
        <v>ЭТАЖ ЗАДАН ЧИСЛОМ</v>
      </c>
      <c r="M1524" s="13" t="b">
        <f t="shared" si="162"/>
        <v>0</v>
      </c>
      <c r="N1524" s="13">
        <f t="shared" si="163"/>
        <v>1</v>
      </c>
      <c r="O1524" s="13" t="str">
        <f t="shared" si="164"/>
        <v>ЭТАЖ ЗАДАН ЧИСЛОМ</v>
      </c>
      <c r="P1524" s="13" t="str">
        <f t="shared" si="165"/>
        <v>ЭТАЖ ЗАДАН ЧИСЛОМ</v>
      </c>
      <c r="Q1524" s="13" t="str">
        <f t="shared" si="166"/>
        <v>ГОТОВ_ИЗМЕНЕН</v>
      </c>
      <c r="R1524" s="13">
        <f>IFERROR(VLOOKUP(P1524,Лист1!A$1:B$20,2,FALSE),0)</f>
        <v>784</v>
      </c>
      <c r="S1524" s="13">
        <f t="shared" si="167"/>
        <v>0</v>
      </c>
    </row>
    <row r="1525" spans="1:19" x14ac:dyDescent="0.25">
      <c r="A1525" s="24" t="s">
        <v>2647</v>
      </c>
      <c r="B1525" s="4" t="s">
        <v>1063</v>
      </c>
      <c r="C1525" s="25" t="s">
        <v>5</v>
      </c>
      <c r="G1525" s="25" t="s">
        <v>1069</v>
      </c>
      <c r="H1525" s="24" t="s">
        <v>1061</v>
      </c>
      <c r="I1525" s="3" t="str">
        <f>IFERROR(VLOOKUP(C1525,'Справочник соответствий'!A$2:D$2981,2,FALSE),IF(VALUE(C1525)=0,1,VLOOKUP(C1525,'Справочник соответствий'!A$2:D$2981,2,FALSE)))</f>
        <v>1</v>
      </c>
      <c r="J1525" s="3">
        <f>IFERROR(VLOOKUP(D1525,'Справочник соответствий'!A$2:D$2981,2,FALSE),IF(VALUE(D1525)=0,0,VLOOKUP(D1525,'Справочник соответствий'!A$2:D$2981,2,FALSE)))</f>
        <v>0</v>
      </c>
      <c r="K1525" s="3" t="str">
        <f t="shared" si="161"/>
        <v>1</v>
      </c>
      <c r="L1525" s="13" t="str">
        <f>IFERROR(VLOOKUP(C1525,'Справочник соответствий'!A$2:D$2981,3,FALSE),IF(VALUE(C1525)=0,"ЭТАЖ НЕ ОПРЕДЕЛЕН. ПРИНЯТ ПО ДОПУЩЕНИЮ 1",VLOOKUP(C1525,'Справочник соответствий'!A$2:D$2981,3,FALSE)))</f>
        <v>ЭТАЖ ЗАДАН ЧИСЛОМ</v>
      </c>
      <c r="M1525" s="13" t="b">
        <f t="shared" si="162"/>
        <v>0</v>
      </c>
      <c r="N1525" s="13">
        <f t="shared" si="163"/>
        <v>1</v>
      </c>
      <c r="O1525" s="13" t="str">
        <f t="shared" si="164"/>
        <v>ЭТАЖ ЗАДАН ЧИСЛОМ</v>
      </c>
      <c r="P1525" s="13" t="str">
        <f t="shared" si="165"/>
        <v>ЭТАЖ ЗАДАН ЧИСЛОМ</v>
      </c>
      <c r="Q1525" s="13" t="str">
        <f t="shared" si="166"/>
        <v>ГОТОВ_ИЗМЕНЕН</v>
      </c>
      <c r="R1525" s="13">
        <f>IFERROR(VLOOKUP(P1525,Лист1!A$1:B$20,2,FALSE),0)</f>
        <v>784</v>
      </c>
      <c r="S1525" s="13">
        <f t="shared" si="167"/>
        <v>0</v>
      </c>
    </row>
    <row r="1526" spans="1:19" x14ac:dyDescent="0.25">
      <c r="A1526" s="24" t="s">
        <v>2648</v>
      </c>
      <c r="B1526" s="4" t="s">
        <v>1063</v>
      </c>
      <c r="G1526" s="25" t="s">
        <v>1069</v>
      </c>
      <c r="H1526" s="24" t="s">
        <v>1061</v>
      </c>
      <c r="I1526" s="3">
        <f>IFERROR(VLOOKUP(C1526,'Справочник соответствий'!A$2:D$2981,2,FALSE),IF(VALUE(C1526)=0,1,VLOOKUP(C1526,'Справочник соответствий'!A$2:D$2981,2,FALSE)))</f>
        <v>1</v>
      </c>
      <c r="J1526" s="3">
        <f>IFERROR(VLOOKUP(D1526,'Справочник соответствий'!A$2:D$2981,2,FALSE),IF(VALUE(D1526)=0,0,VLOOKUP(D1526,'Справочник соответствий'!A$2:D$2981,2,FALSE)))</f>
        <v>0</v>
      </c>
      <c r="K1526" s="3">
        <f t="shared" si="161"/>
        <v>1</v>
      </c>
      <c r="L1526" s="13" t="str">
        <f>IFERROR(VLOOKUP(C1526,'Справочник соответствий'!A$2:D$2981,3,FALSE),IF(VALUE(C1526)=0,"ЭТАЖ НЕ ОПРЕДЕЛЕН. ПРИНЯТ ПО ДОПУЩЕНИЮ 1",VLOOKUP(C1526,'Справочник соответствий'!A$2:D$2981,3,FALSE)))</f>
        <v>ЭТАЖ НЕ ОПРЕДЕЛЕН. ПРИНЯТ ПО ДОПУЩЕНИЮ 1</v>
      </c>
      <c r="M1526" s="13" t="b">
        <f t="shared" si="162"/>
        <v>0</v>
      </c>
      <c r="N1526" s="13">
        <f t="shared" si="163"/>
        <v>1</v>
      </c>
      <c r="O1526" s="13" t="str">
        <f t="shared" si="164"/>
        <v>ЭТАЖ НЕ ОПРЕДЕЛЕН. ПРИНЯТ ПО ДОПУЩЕНИЮ 1</v>
      </c>
      <c r="P1526" s="13" t="str">
        <f t="shared" si="165"/>
        <v>ЭТАЖ НЕ ОПРЕДЕЛЕН. ПРИНЯТ ПО ДОПУЩЕНИЮ 1</v>
      </c>
      <c r="Q1526" s="13" t="str">
        <f t="shared" si="166"/>
        <v>ГОТОВ_ИЗМЕНЕН</v>
      </c>
      <c r="R1526" s="13">
        <f>IFERROR(VLOOKUP(P1526,Лист1!A$1:B$20,2,FALSE),0)</f>
        <v>788</v>
      </c>
      <c r="S1526" s="13">
        <f t="shared" si="167"/>
        <v>0</v>
      </c>
    </row>
    <row r="1527" spans="1:19" x14ac:dyDescent="0.25">
      <c r="A1527" s="24" t="s">
        <v>2649</v>
      </c>
      <c r="B1527" s="4" t="s">
        <v>1059</v>
      </c>
      <c r="C1527" s="25" t="s">
        <v>5</v>
      </c>
      <c r="G1527" s="25" t="s">
        <v>1224</v>
      </c>
      <c r="H1527" s="24" t="s">
        <v>1061</v>
      </c>
      <c r="I1527" s="3" t="str">
        <f>IFERROR(VLOOKUP(C1527,'Справочник соответствий'!A$2:D$2981,2,FALSE),IF(VALUE(C1527)=0,1,VLOOKUP(C1527,'Справочник соответствий'!A$2:D$2981,2,FALSE)))</f>
        <v>1</v>
      </c>
      <c r="J1527" s="3">
        <f>IFERROR(VLOOKUP(D1527,'Справочник соответствий'!A$2:D$2981,2,FALSE),IF(VALUE(D1527)=0,0,VLOOKUP(D1527,'Справочник соответствий'!A$2:D$2981,2,FALSE)))</f>
        <v>0</v>
      </c>
      <c r="K1527" s="3" t="str">
        <f t="shared" si="161"/>
        <v>1</v>
      </c>
      <c r="L1527" s="13" t="str">
        <f>IFERROR(VLOOKUP(C1527,'Справочник соответствий'!A$2:D$2981,3,FALSE),IF(VALUE(C1527)=0,"ЭТАЖ НЕ ОПРЕДЕЛЕН. ПРИНЯТ ПО ДОПУЩЕНИЮ 1",VLOOKUP(C1527,'Справочник соответствий'!A$2:D$2981,3,FALSE)))</f>
        <v>ЭТАЖ ЗАДАН ЧИСЛОМ</v>
      </c>
      <c r="M1527" s="13" t="b">
        <f t="shared" si="162"/>
        <v>0</v>
      </c>
      <c r="N1527" s="13">
        <f t="shared" si="163"/>
        <v>1</v>
      </c>
      <c r="O1527" s="13" t="str">
        <f t="shared" si="164"/>
        <v>ЭТАЖ ЗАДАН ЧИСЛОМ</v>
      </c>
      <c r="P1527" s="13" t="str">
        <f t="shared" si="165"/>
        <v>ЭТАЖ ЗАДАН ЧИСЛОМ</v>
      </c>
      <c r="Q1527" s="13" t="str">
        <f t="shared" si="166"/>
        <v>ГОТОВ_ИЗМЕНЕН</v>
      </c>
      <c r="R1527" s="13">
        <f>IFERROR(VLOOKUP(P1527,Лист1!A$1:B$20,2,FALSE),0)</f>
        <v>784</v>
      </c>
      <c r="S1527" s="13">
        <f t="shared" si="167"/>
        <v>0</v>
      </c>
    </row>
    <row r="1528" spans="1:19" x14ac:dyDescent="0.25">
      <c r="A1528" s="24" t="s">
        <v>2650</v>
      </c>
      <c r="B1528" s="4" t="s">
        <v>1059</v>
      </c>
      <c r="C1528" s="25" t="s">
        <v>5</v>
      </c>
      <c r="G1528" s="25" t="s">
        <v>1108</v>
      </c>
      <c r="H1528" s="24" t="s">
        <v>1061</v>
      </c>
      <c r="I1528" s="3" t="str">
        <f>IFERROR(VLOOKUP(C1528,'Справочник соответствий'!A$2:D$2981,2,FALSE),IF(VALUE(C1528)=0,1,VLOOKUP(C1528,'Справочник соответствий'!A$2:D$2981,2,FALSE)))</f>
        <v>1</v>
      </c>
      <c r="J1528" s="3">
        <f>IFERROR(VLOOKUP(D1528,'Справочник соответствий'!A$2:D$2981,2,FALSE),IF(VALUE(D1528)=0,0,VLOOKUP(D1528,'Справочник соответствий'!A$2:D$2981,2,FALSE)))</f>
        <v>0</v>
      </c>
      <c r="K1528" s="3" t="str">
        <f t="shared" si="161"/>
        <v>1</v>
      </c>
      <c r="L1528" s="13" t="str">
        <f>IFERROR(VLOOKUP(C1528,'Справочник соответствий'!A$2:D$2981,3,FALSE),IF(VALUE(C1528)=0,"ЭТАЖ НЕ ОПРЕДЕЛЕН. ПРИНЯТ ПО ДОПУЩЕНИЮ 1",VLOOKUP(C1528,'Справочник соответствий'!A$2:D$2981,3,FALSE)))</f>
        <v>ЭТАЖ ЗАДАН ЧИСЛОМ</v>
      </c>
      <c r="M1528" s="13" t="b">
        <f t="shared" si="162"/>
        <v>0</v>
      </c>
      <c r="N1528" s="13">
        <f t="shared" si="163"/>
        <v>1</v>
      </c>
      <c r="O1528" s="13" t="str">
        <f t="shared" si="164"/>
        <v>ЭТАЖ ЗАДАН ЧИСЛОМ</v>
      </c>
      <c r="P1528" s="13" t="str">
        <f t="shared" si="165"/>
        <v>ЭТАЖ ЗАДАН ЧИСЛОМ</v>
      </c>
      <c r="Q1528" s="13" t="str">
        <f t="shared" si="166"/>
        <v>ГОТОВ_ИЗМЕНЕН</v>
      </c>
      <c r="R1528" s="13">
        <f>IFERROR(VLOOKUP(P1528,Лист1!A$1:B$20,2,FALSE),0)</f>
        <v>784</v>
      </c>
      <c r="S1528" s="13">
        <f t="shared" si="167"/>
        <v>0</v>
      </c>
    </row>
    <row r="1529" spans="1:19" x14ac:dyDescent="0.25">
      <c r="A1529" s="24" t="s">
        <v>2651</v>
      </c>
      <c r="B1529" s="4" t="s">
        <v>1059</v>
      </c>
      <c r="C1529" s="25" t="s">
        <v>5</v>
      </c>
      <c r="G1529" s="25" t="s">
        <v>1108</v>
      </c>
      <c r="H1529" s="24" t="s">
        <v>1061</v>
      </c>
      <c r="I1529" s="3" t="str">
        <f>IFERROR(VLOOKUP(C1529,'Справочник соответствий'!A$2:D$2981,2,FALSE),IF(VALUE(C1529)=0,1,VLOOKUP(C1529,'Справочник соответствий'!A$2:D$2981,2,FALSE)))</f>
        <v>1</v>
      </c>
      <c r="J1529" s="3">
        <f>IFERROR(VLOOKUP(D1529,'Справочник соответствий'!A$2:D$2981,2,FALSE),IF(VALUE(D1529)=0,0,VLOOKUP(D1529,'Справочник соответствий'!A$2:D$2981,2,FALSE)))</f>
        <v>0</v>
      </c>
      <c r="K1529" s="3" t="str">
        <f t="shared" si="161"/>
        <v>1</v>
      </c>
      <c r="L1529" s="13" t="str">
        <f>IFERROR(VLOOKUP(C1529,'Справочник соответствий'!A$2:D$2981,3,FALSE),IF(VALUE(C1529)=0,"ЭТАЖ НЕ ОПРЕДЕЛЕН. ПРИНЯТ ПО ДОПУЩЕНИЮ 1",VLOOKUP(C1529,'Справочник соответствий'!A$2:D$2981,3,FALSE)))</f>
        <v>ЭТАЖ ЗАДАН ЧИСЛОМ</v>
      </c>
      <c r="M1529" s="13" t="b">
        <f t="shared" si="162"/>
        <v>0</v>
      </c>
      <c r="N1529" s="13">
        <f t="shared" si="163"/>
        <v>1</v>
      </c>
      <c r="O1529" s="13" t="str">
        <f t="shared" si="164"/>
        <v>ЭТАЖ ЗАДАН ЧИСЛОМ</v>
      </c>
      <c r="P1529" s="13" t="str">
        <f t="shared" si="165"/>
        <v>ЭТАЖ ЗАДАН ЧИСЛОМ</v>
      </c>
      <c r="Q1529" s="13" t="str">
        <f t="shared" si="166"/>
        <v>ГОТОВ_ИЗМЕНЕН</v>
      </c>
      <c r="R1529" s="13">
        <f>IFERROR(VLOOKUP(P1529,Лист1!A$1:B$20,2,FALSE),0)</f>
        <v>784</v>
      </c>
      <c r="S1529" s="13">
        <f t="shared" si="167"/>
        <v>0</v>
      </c>
    </row>
    <row r="1530" spans="1:19" x14ac:dyDescent="0.25">
      <c r="A1530" s="24" t="s">
        <v>2652</v>
      </c>
      <c r="B1530" s="4" t="s">
        <v>1031</v>
      </c>
      <c r="C1530" s="25" t="s">
        <v>12</v>
      </c>
      <c r="G1530" s="25" t="s">
        <v>1108</v>
      </c>
      <c r="H1530" s="24" t="s">
        <v>1061</v>
      </c>
      <c r="I1530" s="3" t="str">
        <f>IFERROR(VLOOKUP(C1530,'Справочник соответствий'!A$2:D$2981,2,FALSE),IF(VALUE(C1530)=0,1,VLOOKUP(C1530,'Справочник соответствий'!A$2:D$2981,2,FALSE)))</f>
        <v>4</v>
      </c>
      <c r="J1530" s="3">
        <f>IFERROR(VLOOKUP(D1530,'Справочник соответствий'!A$2:D$2981,2,FALSE),IF(VALUE(D1530)=0,0,VLOOKUP(D1530,'Справочник соответствий'!A$2:D$2981,2,FALSE)))</f>
        <v>0</v>
      </c>
      <c r="K1530" s="3">
        <f t="shared" si="161"/>
        <v>4</v>
      </c>
      <c r="L1530" s="13" t="str">
        <f>IFERROR(VLOOKUP(C1530,'Справочник соответствий'!A$2:D$2981,3,FALSE),IF(VALUE(C1530)=0,"ЭТАЖ НЕ ОПРЕДЕЛЕН. ПРИНЯТ ПО ДОПУЩЕНИЮ 1",VLOOKUP(C1530,'Справочник соответствий'!A$2:D$2981,3,FALSE)))</f>
        <v>ЭТАЖ ЗАДАН ЧИСЛОМ</v>
      </c>
      <c r="M1530" s="13" t="b">
        <f t="shared" si="162"/>
        <v>0</v>
      </c>
      <c r="N1530" s="13">
        <f t="shared" si="163"/>
        <v>4</v>
      </c>
      <c r="O1530" s="13" t="str">
        <f t="shared" si="164"/>
        <v>ЭТАЖ ЗАДАН ЧИСЛОМ</v>
      </c>
      <c r="P1530" s="13" t="str">
        <f t="shared" si="165"/>
        <v>МКД_ЭТАЖ ЗАДАН ЧИСЛОМ</v>
      </c>
      <c r="Q1530" s="13" t="str">
        <f t="shared" si="166"/>
        <v>ГОТОВ_ИЗМЕНЕН</v>
      </c>
      <c r="R1530" s="13">
        <f>IFERROR(VLOOKUP(P1530,Лист1!A$1:B$20,2,FALSE),0)</f>
        <v>786</v>
      </c>
      <c r="S1530" s="13">
        <f t="shared" si="167"/>
        <v>0</v>
      </c>
    </row>
    <row r="1531" spans="1:19" x14ac:dyDescent="0.25">
      <c r="A1531" s="24" t="s">
        <v>2653</v>
      </c>
      <c r="B1531" s="4" t="s">
        <v>1059</v>
      </c>
      <c r="C1531" s="25" t="s">
        <v>7</v>
      </c>
      <c r="G1531" s="25" t="s">
        <v>1108</v>
      </c>
      <c r="H1531" s="24" t="s">
        <v>1061</v>
      </c>
      <c r="I1531" s="3" t="str">
        <f>IFERROR(VLOOKUP(C1531,'Справочник соответствий'!A$2:D$2981,2,FALSE),IF(VALUE(C1531)=0,1,VLOOKUP(C1531,'Справочник соответствий'!A$2:D$2981,2,FALSE)))</f>
        <v>2</v>
      </c>
      <c r="J1531" s="3">
        <f>IFERROR(VLOOKUP(D1531,'Справочник соответствий'!A$2:D$2981,2,FALSE),IF(VALUE(D1531)=0,0,VLOOKUP(D1531,'Справочник соответствий'!A$2:D$2981,2,FALSE)))</f>
        <v>0</v>
      </c>
      <c r="K1531" s="3" t="str">
        <f t="shared" si="161"/>
        <v>2</v>
      </c>
      <c r="L1531" s="13" t="str">
        <f>IFERROR(VLOOKUP(C1531,'Справочник соответствий'!A$2:D$2981,3,FALSE),IF(VALUE(C1531)=0,"ЭТАЖ НЕ ОПРЕДЕЛЕН. ПРИНЯТ ПО ДОПУЩЕНИЮ 1",VLOOKUP(C1531,'Справочник соответствий'!A$2:D$2981,3,FALSE)))</f>
        <v>ЭТАЖ ЗАДАН ЧИСЛОМ</v>
      </c>
      <c r="M1531" s="13" t="b">
        <f t="shared" si="162"/>
        <v>0</v>
      </c>
      <c r="N1531" s="13">
        <f t="shared" si="163"/>
        <v>2</v>
      </c>
      <c r="O1531" s="13" t="str">
        <f t="shared" si="164"/>
        <v>ЭТАЖ ЗАДАН ЧИСЛОМ</v>
      </c>
      <c r="P1531" s="13" t="str">
        <f t="shared" si="165"/>
        <v>ЭТАЖ ЗАДАН ЧИСЛОМ</v>
      </c>
      <c r="Q1531" s="13" t="str">
        <f t="shared" si="166"/>
        <v>ГОТОВ_ИЗМЕНЕН</v>
      </c>
      <c r="R1531" s="13">
        <f>IFERROR(VLOOKUP(P1531,Лист1!A$1:B$20,2,FALSE),0)</f>
        <v>784</v>
      </c>
      <c r="S1531" s="13">
        <f t="shared" si="167"/>
        <v>0</v>
      </c>
    </row>
    <row r="1532" spans="1:19" x14ac:dyDescent="0.25">
      <c r="A1532" s="24" t="s">
        <v>2654</v>
      </c>
      <c r="B1532" s="4" t="s">
        <v>1063</v>
      </c>
      <c r="C1532" s="25" t="s">
        <v>5</v>
      </c>
      <c r="G1532" s="25" t="s">
        <v>1108</v>
      </c>
      <c r="H1532" s="24" t="s">
        <v>1061</v>
      </c>
      <c r="I1532" s="3" t="str">
        <f>IFERROR(VLOOKUP(C1532,'Справочник соответствий'!A$2:D$2981,2,FALSE),IF(VALUE(C1532)=0,1,VLOOKUP(C1532,'Справочник соответствий'!A$2:D$2981,2,FALSE)))</f>
        <v>1</v>
      </c>
      <c r="J1532" s="3">
        <f>IFERROR(VLOOKUP(D1532,'Справочник соответствий'!A$2:D$2981,2,FALSE),IF(VALUE(D1532)=0,0,VLOOKUP(D1532,'Справочник соответствий'!A$2:D$2981,2,FALSE)))</f>
        <v>0</v>
      </c>
      <c r="K1532" s="3" t="str">
        <f t="shared" si="161"/>
        <v>1</v>
      </c>
      <c r="L1532" s="13" t="str">
        <f>IFERROR(VLOOKUP(C1532,'Справочник соответствий'!A$2:D$2981,3,FALSE),IF(VALUE(C1532)=0,"ЭТАЖ НЕ ОПРЕДЕЛЕН. ПРИНЯТ ПО ДОПУЩЕНИЮ 1",VLOOKUP(C1532,'Справочник соответствий'!A$2:D$2981,3,FALSE)))</f>
        <v>ЭТАЖ ЗАДАН ЧИСЛОМ</v>
      </c>
      <c r="M1532" s="13" t="b">
        <f t="shared" si="162"/>
        <v>0</v>
      </c>
      <c r="N1532" s="13">
        <f t="shared" si="163"/>
        <v>1</v>
      </c>
      <c r="O1532" s="13" t="str">
        <f t="shared" si="164"/>
        <v>ЭТАЖ ЗАДАН ЧИСЛОМ</v>
      </c>
      <c r="P1532" s="13" t="str">
        <f t="shared" si="165"/>
        <v>ЭТАЖ ЗАДАН ЧИСЛОМ</v>
      </c>
      <c r="Q1532" s="13" t="str">
        <f t="shared" si="166"/>
        <v>ГОТОВ_ИЗМЕНЕН</v>
      </c>
      <c r="R1532" s="13">
        <f>IFERROR(VLOOKUP(P1532,Лист1!A$1:B$20,2,FALSE),0)</f>
        <v>784</v>
      </c>
      <c r="S1532" s="13">
        <f t="shared" si="167"/>
        <v>0</v>
      </c>
    </row>
    <row r="1533" spans="1:19" x14ac:dyDescent="0.25">
      <c r="A1533" s="24" t="s">
        <v>2655</v>
      </c>
      <c r="B1533" s="4" t="s">
        <v>1059</v>
      </c>
      <c r="C1533" s="25" t="s">
        <v>7</v>
      </c>
      <c r="G1533" s="25" t="s">
        <v>1174</v>
      </c>
      <c r="H1533" s="24" t="s">
        <v>1061</v>
      </c>
      <c r="I1533" s="3" t="str">
        <f>IFERROR(VLOOKUP(C1533,'Справочник соответствий'!A$2:D$2981,2,FALSE),IF(VALUE(C1533)=0,1,VLOOKUP(C1533,'Справочник соответствий'!A$2:D$2981,2,FALSE)))</f>
        <v>2</v>
      </c>
      <c r="J1533" s="3">
        <f>IFERROR(VLOOKUP(D1533,'Справочник соответствий'!A$2:D$2981,2,FALSE),IF(VALUE(D1533)=0,0,VLOOKUP(D1533,'Справочник соответствий'!A$2:D$2981,2,FALSE)))</f>
        <v>0</v>
      </c>
      <c r="K1533" s="3" t="str">
        <f t="shared" si="161"/>
        <v>2</v>
      </c>
      <c r="L1533" s="13" t="str">
        <f>IFERROR(VLOOKUP(C1533,'Справочник соответствий'!A$2:D$2981,3,FALSE),IF(VALUE(C1533)=0,"ЭТАЖ НЕ ОПРЕДЕЛЕН. ПРИНЯТ ПО ДОПУЩЕНИЮ 1",VLOOKUP(C1533,'Справочник соответствий'!A$2:D$2981,3,FALSE)))</f>
        <v>ЭТАЖ ЗАДАН ЧИСЛОМ</v>
      </c>
      <c r="M1533" s="13" t="b">
        <f t="shared" si="162"/>
        <v>0</v>
      </c>
      <c r="N1533" s="13">
        <f t="shared" si="163"/>
        <v>2</v>
      </c>
      <c r="O1533" s="13" t="str">
        <f t="shared" si="164"/>
        <v>ЭТАЖ ЗАДАН ЧИСЛОМ</v>
      </c>
      <c r="P1533" s="13" t="str">
        <f t="shared" si="165"/>
        <v>ЭТАЖ ЗАДАН ЧИСЛОМ</v>
      </c>
      <c r="Q1533" s="13" t="str">
        <f t="shared" si="166"/>
        <v>ГОТОВ_ИЗМЕНЕН</v>
      </c>
      <c r="R1533" s="13">
        <f>IFERROR(VLOOKUP(P1533,Лист1!A$1:B$20,2,FALSE),0)</f>
        <v>784</v>
      </c>
      <c r="S1533" s="13">
        <f t="shared" si="167"/>
        <v>0</v>
      </c>
    </row>
    <row r="1534" spans="1:19" x14ac:dyDescent="0.25">
      <c r="A1534" s="24" t="s">
        <v>2656</v>
      </c>
      <c r="B1534" s="4" t="s">
        <v>1059</v>
      </c>
      <c r="C1534" s="25" t="s">
        <v>5</v>
      </c>
      <c r="G1534" s="25" t="s">
        <v>1108</v>
      </c>
      <c r="H1534" s="24" t="s">
        <v>1061</v>
      </c>
      <c r="I1534" s="3" t="str">
        <f>IFERROR(VLOOKUP(C1534,'Справочник соответствий'!A$2:D$2981,2,FALSE),IF(VALUE(C1534)=0,1,VLOOKUP(C1534,'Справочник соответствий'!A$2:D$2981,2,FALSE)))</f>
        <v>1</v>
      </c>
      <c r="J1534" s="3">
        <f>IFERROR(VLOOKUP(D1534,'Справочник соответствий'!A$2:D$2981,2,FALSE),IF(VALUE(D1534)=0,0,VLOOKUP(D1534,'Справочник соответствий'!A$2:D$2981,2,FALSE)))</f>
        <v>0</v>
      </c>
      <c r="K1534" s="3" t="str">
        <f t="shared" si="161"/>
        <v>1</v>
      </c>
      <c r="L1534" s="13" t="str">
        <f>IFERROR(VLOOKUP(C1534,'Справочник соответствий'!A$2:D$2981,3,FALSE),IF(VALUE(C1534)=0,"ЭТАЖ НЕ ОПРЕДЕЛЕН. ПРИНЯТ ПО ДОПУЩЕНИЮ 1",VLOOKUP(C1534,'Справочник соответствий'!A$2:D$2981,3,FALSE)))</f>
        <v>ЭТАЖ ЗАДАН ЧИСЛОМ</v>
      </c>
      <c r="M1534" s="13" t="b">
        <f t="shared" si="162"/>
        <v>0</v>
      </c>
      <c r="N1534" s="13">
        <f t="shared" si="163"/>
        <v>1</v>
      </c>
      <c r="O1534" s="13" t="str">
        <f t="shared" si="164"/>
        <v>ЭТАЖ ЗАДАН ЧИСЛОМ</v>
      </c>
      <c r="P1534" s="13" t="str">
        <f t="shared" si="165"/>
        <v>ЭТАЖ ЗАДАН ЧИСЛОМ</v>
      </c>
      <c r="Q1534" s="13" t="str">
        <f t="shared" si="166"/>
        <v>ГОТОВ_ИЗМЕНЕН</v>
      </c>
      <c r="R1534" s="13">
        <f>IFERROR(VLOOKUP(P1534,Лист1!A$1:B$20,2,FALSE),0)</f>
        <v>784</v>
      </c>
      <c r="S1534" s="13">
        <f t="shared" si="167"/>
        <v>0</v>
      </c>
    </row>
    <row r="1535" spans="1:19" x14ac:dyDescent="0.25">
      <c r="A1535" s="24" t="s">
        <v>2657</v>
      </c>
      <c r="B1535" s="4" t="s">
        <v>1063</v>
      </c>
      <c r="G1535" s="25" t="s">
        <v>1108</v>
      </c>
      <c r="H1535" s="24" t="s">
        <v>1061</v>
      </c>
      <c r="I1535" s="3">
        <f>IFERROR(VLOOKUP(C1535,'Справочник соответствий'!A$2:D$2981,2,FALSE),IF(VALUE(C1535)=0,1,VLOOKUP(C1535,'Справочник соответствий'!A$2:D$2981,2,FALSE)))</f>
        <v>1</v>
      </c>
      <c r="J1535" s="3">
        <f>IFERROR(VLOOKUP(D1535,'Справочник соответствий'!A$2:D$2981,2,FALSE),IF(VALUE(D1535)=0,0,VLOOKUP(D1535,'Справочник соответствий'!A$2:D$2981,2,FALSE)))</f>
        <v>0</v>
      </c>
      <c r="K1535" s="3">
        <f t="shared" si="161"/>
        <v>1</v>
      </c>
      <c r="L1535" s="13" t="str">
        <f>IFERROR(VLOOKUP(C1535,'Справочник соответствий'!A$2:D$2981,3,FALSE),IF(VALUE(C1535)=0,"ЭТАЖ НЕ ОПРЕДЕЛЕН. ПРИНЯТ ПО ДОПУЩЕНИЮ 1",VLOOKUP(C1535,'Справочник соответствий'!A$2:D$2981,3,FALSE)))</f>
        <v>ЭТАЖ НЕ ОПРЕДЕЛЕН. ПРИНЯТ ПО ДОПУЩЕНИЮ 1</v>
      </c>
      <c r="M1535" s="13" t="b">
        <f t="shared" si="162"/>
        <v>0</v>
      </c>
      <c r="N1535" s="13">
        <f t="shared" si="163"/>
        <v>1</v>
      </c>
      <c r="O1535" s="13" t="str">
        <f t="shared" si="164"/>
        <v>ЭТАЖ НЕ ОПРЕДЕЛЕН. ПРИНЯТ ПО ДОПУЩЕНИЮ 1</v>
      </c>
      <c r="P1535" s="13" t="str">
        <f t="shared" si="165"/>
        <v>ЭТАЖ НЕ ОПРЕДЕЛЕН. ПРИНЯТ ПО ДОПУЩЕНИЮ 1</v>
      </c>
      <c r="Q1535" s="13" t="str">
        <f t="shared" si="166"/>
        <v>ГОТОВ_ИЗМЕНЕН</v>
      </c>
      <c r="R1535" s="13">
        <f>IFERROR(VLOOKUP(P1535,Лист1!A$1:B$20,2,FALSE),0)</f>
        <v>788</v>
      </c>
      <c r="S1535" s="13">
        <f t="shared" si="167"/>
        <v>0</v>
      </c>
    </row>
    <row r="1536" spans="1:19" x14ac:dyDescent="0.25">
      <c r="A1536" s="24" t="s">
        <v>2658</v>
      </c>
      <c r="B1536" s="4" t="s">
        <v>1063</v>
      </c>
      <c r="G1536" s="25" t="s">
        <v>1193</v>
      </c>
      <c r="H1536" s="24" t="s">
        <v>1061</v>
      </c>
      <c r="I1536" s="3">
        <f>IFERROR(VLOOKUP(C1536,'Справочник соответствий'!A$2:D$2981,2,FALSE),IF(VALUE(C1536)=0,1,VLOOKUP(C1536,'Справочник соответствий'!A$2:D$2981,2,FALSE)))</f>
        <v>1</v>
      </c>
      <c r="J1536" s="3">
        <f>IFERROR(VLOOKUP(D1536,'Справочник соответствий'!A$2:D$2981,2,FALSE),IF(VALUE(D1536)=0,0,VLOOKUP(D1536,'Справочник соответствий'!A$2:D$2981,2,FALSE)))</f>
        <v>0</v>
      </c>
      <c r="K1536" s="3">
        <f t="shared" si="161"/>
        <v>1</v>
      </c>
      <c r="L1536" s="13" t="str">
        <f>IFERROR(VLOOKUP(C1536,'Справочник соответствий'!A$2:D$2981,3,FALSE),IF(VALUE(C1536)=0,"ЭТАЖ НЕ ОПРЕДЕЛЕН. ПРИНЯТ ПО ДОПУЩЕНИЮ 1",VLOOKUP(C1536,'Справочник соответствий'!A$2:D$2981,3,FALSE)))</f>
        <v>ЭТАЖ НЕ ОПРЕДЕЛЕН. ПРИНЯТ ПО ДОПУЩЕНИЮ 1</v>
      </c>
      <c r="M1536" s="13" t="b">
        <f t="shared" si="162"/>
        <v>0</v>
      </c>
      <c r="N1536" s="13">
        <f t="shared" si="163"/>
        <v>1</v>
      </c>
      <c r="O1536" s="13" t="str">
        <f t="shared" si="164"/>
        <v>ЭТАЖ НЕ ОПРЕДЕЛЕН. ПРИНЯТ ПО ДОПУЩЕНИЮ 1</v>
      </c>
      <c r="P1536" s="13" t="str">
        <f t="shared" si="165"/>
        <v>ЭТАЖ НЕ ОПРЕДЕЛЕН. ПРИНЯТ ПО ДОПУЩЕНИЮ 1</v>
      </c>
      <c r="Q1536" s="13" t="str">
        <f t="shared" si="166"/>
        <v>ГОТОВ_ИЗМЕНЕН</v>
      </c>
      <c r="R1536" s="13">
        <f>IFERROR(VLOOKUP(P1536,Лист1!A$1:B$20,2,FALSE),0)</f>
        <v>788</v>
      </c>
      <c r="S1536" s="13">
        <f t="shared" si="167"/>
        <v>0</v>
      </c>
    </row>
    <row r="1537" spans="1:19" x14ac:dyDescent="0.25">
      <c r="A1537" s="24" t="s">
        <v>2659</v>
      </c>
      <c r="B1537" s="4" t="s">
        <v>1059</v>
      </c>
      <c r="G1537" s="25" t="s">
        <v>1089</v>
      </c>
      <c r="H1537" s="24" t="s">
        <v>1061</v>
      </c>
      <c r="I1537" s="3">
        <f>IFERROR(VLOOKUP(C1537,'Справочник соответствий'!A$2:D$2981,2,FALSE),IF(VALUE(C1537)=0,1,VLOOKUP(C1537,'Справочник соответствий'!A$2:D$2981,2,FALSE)))</f>
        <v>1</v>
      </c>
      <c r="J1537" s="3">
        <f>IFERROR(VLOOKUP(D1537,'Справочник соответствий'!A$2:D$2981,2,FALSE),IF(VALUE(D1537)=0,0,VLOOKUP(D1537,'Справочник соответствий'!A$2:D$2981,2,FALSE)))</f>
        <v>0</v>
      </c>
      <c r="K1537" s="3">
        <f t="shared" si="161"/>
        <v>1</v>
      </c>
      <c r="L1537" s="13" t="str">
        <f>IFERROR(VLOOKUP(C1537,'Справочник соответствий'!A$2:D$2981,3,FALSE),IF(VALUE(C1537)=0,"ЭТАЖ НЕ ОПРЕДЕЛЕН. ПРИНЯТ ПО ДОПУЩЕНИЮ 1",VLOOKUP(C1537,'Справочник соответствий'!A$2:D$2981,3,FALSE)))</f>
        <v>ЭТАЖ НЕ ОПРЕДЕЛЕН. ПРИНЯТ ПО ДОПУЩЕНИЮ 1</v>
      </c>
      <c r="M1537" s="13" t="b">
        <f t="shared" si="162"/>
        <v>0</v>
      </c>
      <c r="N1537" s="13">
        <f t="shared" si="163"/>
        <v>1</v>
      </c>
      <c r="O1537" s="13" t="str">
        <f t="shared" si="164"/>
        <v>ЭТАЖ НЕ ОПРЕДЕЛЕН. ПРИНЯТ ПО ДОПУЩЕНИЮ 1</v>
      </c>
      <c r="P1537" s="13" t="str">
        <f t="shared" si="165"/>
        <v>ЭТАЖ НЕ ОПРЕДЕЛЕН. ПРИНЯТ ПО ДОПУЩЕНИЮ 1</v>
      </c>
      <c r="Q1537" s="13" t="str">
        <f t="shared" si="166"/>
        <v>ГОТОВ_ИЗМЕНЕН</v>
      </c>
      <c r="R1537" s="13">
        <f>IFERROR(VLOOKUP(P1537,Лист1!A$1:B$20,2,FALSE),0)</f>
        <v>788</v>
      </c>
      <c r="S1537" s="13">
        <f t="shared" si="167"/>
        <v>0</v>
      </c>
    </row>
    <row r="1538" spans="1:19" x14ac:dyDescent="0.25">
      <c r="A1538" s="24" t="s">
        <v>2660</v>
      </c>
      <c r="B1538" s="4" t="s">
        <v>1063</v>
      </c>
      <c r="C1538" s="25" t="s">
        <v>7</v>
      </c>
      <c r="G1538" s="25" t="s">
        <v>1108</v>
      </c>
      <c r="H1538" s="24" t="s">
        <v>1061</v>
      </c>
      <c r="I1538" s="3" t="str">
        <f>IFERROR(VLOOKUP(C1538,'Справочник соответствий'!A$2:D$2981,2,FALSE),IF(VALUE(C1538)=0,1,VLOOKUP(C1538,'Справочник соответствий'!A$2:D$2981,2,FALSE)))</f>
        <v>2</v>
      </c>
      <c r="J1538" s="3">
        <f>IFERROR(VLOOKUP(D1538,'Справочник соответствий'!A$2:D$2981,2,FALSE),IF(VALUE(D1538)=0,0,VLOOKUP(D1538,'Справочник соответствий'!A$2:D$2981,2,FALSE)))</f>
        <v>0</v>
      </c>
      <c r="K1538" s="3" t="str">
        <f t="shared" si="161"/>
        <v>2</v>
      </c>
      <c r="L1538" s="13" t="str">
        <f>IFERROR(VLOOKUP(C1538,'Справочник соответствий'!A$2:D$2981,3,FALSE),IF(VALUE(C1538)=0,"ЭТАЖ НЕ ОПРЕДЕЛЕН. ПРИНЯТ ПО ДОПУЩЕНИЮ 1",VLOOKUP(C1538,'Справочник соответствий'!A$2:D$2981,3,FALSE)))</f>
        <v>ЭТАЖ ЗАДАН ЧИСЛОМ</v>
      </c>
      <c r="M1538" s="13" t="b">
        <f t="shared" si="162"/>
        <v>0</v>
      </c>
      <c r="N1538" s="13">
        <f t="shared" si="163"/>
        <v>2</v>
      </c>
      <c r="O1538" s="13" t="str">
        <f t="shared" si="164"/>
        <v>ЭТАЖ ЗАДАН ЧИСЛОМ</v>
      </c>
      <c r="P1538" s="13" t="str">
        <f t="shared" si="165"/>
        <v>ЭТАЖ ЗАДАН ЧИСЛОМ</v>
      </c>
      <c r="Q1538" s="13" t="str">
        <f t="shared" si="166"/>
        <v>ГОТОВ_ИЗМЕНЕН</v>
      </c>
      <c r="R1538" s="13">
        <f>IFERROR(VLOOKUP(P1538,Лист1!A$1:B$20,2,FALSE),0)</f>
        <v>784</v>
      </c>
      <c r="S1538" s="13">
        <f t="shared" si="167"/>
        <v>0</v>
      </c>
    </row>
    <row r="1539" spans="1:19" x14ac:dyDescent="0.25">
      <c r="A1539" s="24" t="s">
        <v>2661</v>
      </c>
      <c r="B1539" s="4" t="s">
        <v>1059</v>
      </c>
      <c r="C1539" s="25" t="s">
        <v>7</v>
      </c>
      <c r="G1539" s="25" t="s">
        <v>1195</v>
      </c>
      <c r="H1539" s="24" t="s">
        <v>1061</v>
      </c>
      <c r="I1539" s="3" t="str">
        <f>IFERROR(VLOOKUP(C1539,'Справочник соответствий'!A$2:D$2981,2,FALSE),IF(VALUE(C1539)=0,1,VLOOKUP(C1539,'Справочник соответствий'!A$2:D$2981,2,FALSE)))</f>
        <v>2</v>
      </c>
      <c r="J1539" s="3">
        <f>IFERROR(VLOOKUP(D1539,'Справочник соответствий'!A$2:D$2981,2,FALSE),IF(VALUE(D1539)=0,0,VLOOKUP(D1539,'Справочник соответствий'!A$2:D$2981,2,FALSE)))</f>
        <v>0</v>
      </c>
      <c r="K1539" s="3" t="str">
        <f t="shared" si="161"/>
        <v>2</v>
      </c>
      <c r="L1539" s="13" t="str">
        <f>IFERROR(VLOOKUP(C1539,'Справочник соответствий'!A$2:D$2981,3,FALSE),IF(VALUE(C1539)=0,"ЭТАЖ НЕ ОПРЕДЕЛЕН. ПРИНЯТ ПО ДОПУЩЕНИЮ 1",VLOOKUP(C1539,'Справочник соответствий'!A$2:D$2981,3,FALSE)))</f>
        <v>ЭТАЖ ЗАДАН ЧИСЛОМ</v>
      </c>
      <c r="M1539" s="13" t="b">
        <f t="shared" si="162"/>
        <v>0</v>
      </c>
      <c r="N1539" s="13">
        <f t="shared" si="163"/>
        <v>2</v>
      </c>
      <c r="O1539" s="13" t="str">
        <f t="shared" si="164"/>
        <v>ЭТАЖ ЗАДАН ЧИСЛОМ</v>
      </c>
      <c r="P1539" s="13" t="str">
        <f t="shared" si="165"/>
        <v>ЭТАЖ ЗАДАН ЧИСЛОМ</v>
      </c>
      <c r="Q1539" s="13" t="str">
        <f t="shared" si="166"/>
        <v>ГОТОВ_ИЗМЕНЕН</v>
      </c>
      <c r="R1539" s="13">
        <f>IFERROR(VLOOKUP(P1539,Лист1!A$1:B$20,2,FALSE),0)</f>
        <v>784</v>
      </c>
      <c r="S1539" s="13">
        <f t="shared" si="167"/>
        <v>0</v>
      </c>
    </row>
    <row r="1540" spans="1:19" x14ac:dyDescent="0.25">
      <c r="A1540" s="24" t="s">
        <v>2662</v>
      </c>
      <c r="B1540" s="4" t="s">
        <v>1059</v>
      </c>
      <c r="C1540" s="25" t="s">
        <v>7</v>
      </c>
      <c r="D1540" s="25" t="s">
        <v>5</v>
      </c>
      <c r="G1540" s="25" t="s">
        <v>1195</v>
      </c>
      <c r="H1540" s="24" t="s">
        <v>1061</v>
      </c>
      <c r="I1540" s="3" t="str">
        <f>IFERROR(VLOOKUP(C1540,'Справочник соответствий'!A$2:D$2981,2,FALSE),IF(VALUE(C1540)=0,1,VLOOKUP(C1540,'Справочник соответствий'!A$2:D$2981,2,FALSE)))</f>
        <v>2</v>
      </c>
      <c r="J1540" s="3" t="str">
        <f>IFERROR(VLOOKUP(D1540,'Справочник соответствий'!A$2:D$2981,2,FALSE),IF(VALUE(D1540)=0,0,VLOOKUP(D1540,'Справочник соответствий'!A$2:D$2981,2,FALSE)))</f>
        <v>1</v>
      </c>
      <c r="K1540" s="3" t="str">
        <f t="shared" si="161"/>
        <v>2</v>
      </c>
      <c r="L1540" s="13" t="str">
        <f>IFERROR(VLOOKUP(C1540,'Справочник соответствий'!A$2:D$2981,3,FALSE),IF(VALUE(C1540)=0,"ЭТАЖ НЕ ОПРЕДЕЛЕН. ПРИНЯТ ПО ДОПУЩЕНИЮ 1",VLOOKUP(C1540,'Справочник соответствий'!A$2:D$2981,3,FALSE)))</f>
        <v>ЭТАЖ ЗАДАН ЧИСЛОМ</v>
      </c>
      <c r="M1540" s="13" t="b">
        <f t="shared" si="162"/>
        <v>0</v>
      </c>
      <c r="N1540" s="13">
        <f t="shared" si="163"/>
        <v>2</v>
      </c>
      <c r="O1540" s="13" t="str">
        <f t="shared" si="164"/>
        <v>ЭТАЖ ЗАДАН ЧИСЛОМ</v>
      </c>
      <c r="P1540" s="13" t="str">
        <f t="shared" si="165"/>
        <v>ЭТАЖ ЗАДАН ЧИСЛОМ</v>
      </c>
      <c r="Q1540" s="13" t="str">
        <f t="shared" si="166"/>
        <v>ГОТОВ_ИЗМЕНЕН</v>
      </c>
      <c r="R1540" s="13">
        <f>IFERROR(VLOOKUP(P1540,Лист1!A$1:B$20,2,FALSE),0)</f>
        <v>784</v>
      </c>
      <c r="S1540" s="13">
        <f t="shared" si="167"/>
        <v>0</v>
      </c>
    </row>
    <row r="1541" spans="1:19" x14ac:dyDescent="0.25">
      <c r="A1541" s="24" t="s">
        <v>2663</v>
      </c>
      <c r="B1541" s="4" t="s">
        <v>1063</v>
      </c>
      <c r="C1541" s="25" t="s">
        <v>5</v>
      </c>
      <c r="G1541" s="25" t="s">
        <v>1195</v>
      </c>
      <c r="H1541" s="24" t="s">
        <v>1061</v>
      </c>
      <c r="I1541" s="3" t="str">
        <f>IFERROR(VLOOKUP(C1541,'Справочник соответствий'!A$2:D$2981,2,FALSE),IF(VALUE(C1541)=0,1,VLOOKUP(C1541,'Справочник соответствий'!A$2:D$2981,2,FALSE)))</f>
        <v>1</v>
      </c>
      <c r="J1541" s="3">
        <f>IFERROR(VLOOKUP(D1541,'Справочник соответствий'!A$2:D$2981,2,FALSE),IF(VALUE(D1541)=0,0,VLOOKUP(D1541,'Справочник соответствий'!A$2:D$2981,2,FALSE)))</f>
        <v>0</v>
      </c>
      <c r="K1541" s="3" t="str">
        <f t="shared" ref="K1541:K1604" si="168">IF(B1541="Многоквартирный дом",IF(I1541-J1541&gt;0,I1541-J1541,1),I1541)</f>
        <v>1</v>
      </c>
      <c r="L1541" s="13" t="str">
        <f>IFERROR(VLOOKUP(C1541,'Справочник соответствий'!A$2:D$2981,3,FALSE),IF(VALUE(C1541)=0,"ЭТАЖ НЕ ОПРЕДЕЛЕН. ПРИНЯТ ПО ДОПУЩЕНИЮ 1",VLOOKUP(C1541,'Справочник соответствий'!A$2:D$2981,3,FALSE)))</f>
        <v>ЭТАЖ ЗАДАН ЧИСЛОМ</v>
      </c>
      <c r="M1541" s="13" t="b">
        <f t="shared" ref="M1541:M1604" si="169">I1541=E1541</f>
        <v>0</v>
      </c>
      <c r="N1541" s="13">
        <f t="shared" ref="N1541:N1604" si="170">IF(VALUE(E1541)=0,VALUE(K1541),IF(L1541="ЭТАЖ НЕ ОПРЕДЕЛЕН. ПРИНЯТ ПО ДОПУЩЕНИЮ 1",VALUE(E1541),VALUE(K1541)))</f>
        <v>1</v>
      </c>
      <c r="O1541" s="13" t="str">
        <f t="shared" ref="O1541:O1604" si="171">IF(VALUE(E1541)=0,L1541,IF(L1541="ЭТАЖ НЕ ОПРЕДЕЛЕН. ПРИНЯТ ПО ДОПУЩЕНИЮ 1",F1541,L1541))</f>
        <v>ЭТАЖ ЗАДАН ЧИСЛОМ</v>
      </c>
      <c r="P1541" s="13" t="str">
        <f t="shared" ref="P1541:P1604" si="172">IF(B1541="Многоквартирный дом",CONCATENATE("МКД_",O1541),O1541)</f>
        <v>ЭТАЖ ЗАДАН ЧИСЛОМ</v>
      </c>
      <c r="Q1541" s="13" t="str">
        <f t="shared" ref="Q1541:Q1604" si="173">IFERROR(IF(N1541&gt;0,IF(N1541=VALUE(E1541),"ГОТОВ","ГОТОВ_ИЗМЕНЕН"),"НЕ ГОТОВ"),"НЕ ГОТОВ")</f>
        <v>ГОТОВ_ИЗМЕНЕН</v>
      </c>
      <c r="R1541" s="13">
        <f>IFERROR(VLOOKUP(P1541,Лист1!A$1:B$20,2,FALSE),0)</f>
        <v>784</v>
      </c>
      <c r="S1541" s="13">
        <f t="shared" ref="S1541:S1604" si="174">VALUE(E1541)</f>
        <v>0</v>
      </c>
    </row>
    <row r="1542" spans="1:19" x14ac:dyDescent="0.25">
      <c r="A1542" s="24" t="s">
        <v>2664</v>
      </c>
      <c r="B1542" s="4" t="s">
        <v>1063</v>
      </c>
      <c r="C1542" s="25" t="s">
        <v>5</v>
      </c>
      <c r="G1542" s="25" t="s">
        <v>1195</v>
      </c>
      <c r="H1542" s="24" t="s">
        <v>1061</v>
      </c>
      <c r="I1542" s="3" t="str">
        <f>IFERROR(VLOOKUP(C1542,'Справочник соответствий'!A$2:D$2981,2,FALSE),IF(VALUE(C1542)=0,1,VLOOKUP(C1542,'Справочник соответствий'!A$2:D$2981,2,FALSE)))</f>
        <v>1</v>
      </c>
      <c r="J1542" s="3">
        <f>IFERROR(VLOOKUP(D1542,'Справочник соответствий'!A$2:D$2981,2,FALSE),IF(VALUE(D1542)=0,0,VLOOKUP(D1542,'Справочник соответствий'!A$2:D$2981,2,FALSE)))</f>
        <v>0</v>
      </c>
      <c r="K1542" s="3" t="str">
        <f t="shared" si="168"/>
        <v>1</v>
      </c>
      <c r="L1542" s="13" t="str">
        <f>IFERROR(VLOOKUP(C1542,'Справочник соответствий'!A$2:D$2981,3,FALSE),IF(VALUE(C1542)=0,"ЭТАЖ НЕ ОПРЕДЕЛЕН. ПРИНЯТ ПО ДОПУЩЕНИЮ 1",VLOOKUP(C1542,'Справочник соответствий'!A$2:D$2981,3,FALSE)))</f>
        <v>ЭТАЖ ЗАДАН ЧИСЛОМ</v>
      </c>
      <c r="M1542" s="13" t="b">
        <f t="shared" si="169"/>
        <v>0</v>
      </c>
      <c r="N1542" s="13">
        <f t="shared" si="170"/>
        <v>1</v>
      </c>
      <c r="O1542" s="13" t="str">
        <f t="shared" si="171"/>
        <v>ЭТАЖ ЗАДАН ЧИСЛОМ</v>
      </c>
      <c r="P1542" s="13" t="str">
        <f t="shared" si="172"/>
        <v>ЭТАЖ ЗАДАН ЧИСЛОМ</v>
      </c>
      <c r="Q1542" s="13" t="str">
        <f t="shared" si="173"/>
        <v>ГОТОВ_ИЗМЕНЕН</v>
      </c>
      <c r="R1542" s="13">
        <f>IFERROR(VLOOKUP(P1542,Лист1!A$1:B$20,2,FALSE),0)</f>
        <v>784</v>
      </c>
      <c r="S1542" s="13">
        <f t="shared" si="174"/>
        <v>0</v>
      </c>
    </row>
    <row r="1543" spans="1:19" x14ac:dyDescent="0.25">
      <c r="A1543" s="24" t="s">
        <v>2665</v>
      </c>
      <c r="B1543" s="4" t="s">
        <v>1063</v>
      </c>
      <c r="C1543" s="25" t="s">
        <v>5</v>
      </c>
      <c r="G1543" s="25" t="s">
        <v>1205</v>
      </c>
      <c r="H1543" s="24" t="s">
        <v>1061</v>
      </c>
      <c r="I1543" s="3" t="str">
        <f>IFERROR(VLOOKUP(C1543,'Справочник соответствий'!A$2:D$2981,2,FALSE),IF(VALUE(C1543)=0,1,VLOOKUP(C1543,'Справочник соответствий'!A$2:D$2981,2,FALSE)))</f>
        <v>1</v>
      </c>
      <c r="J1543" s="3">
        <f>IFERROR(VLOOKUP(D1543,'Справочник соответствий'!A$2:D$2981,2,FALSE),IF(VALUE(D1543)=0,0,VLOOKUP(D1543,'Справочник соответствий'!A$2:D$2981,2,FALSE)))</f>
        <v>0</v>
      </c>
      <c r="K1543" s="3" t="str">
        <f t="shared" si="168"/>
        <v>1</v>
      </c>
      <c r="L1543" s="13" t="str">
        <f>IFERROR(VLOOKUP(C1543,'Справочник соответствий'!A$2:D$2981,3,FALSE),IF(VALUE(C1543)=0,"ЭТАЖ НЕ ОПРЕДЕЛЕН. ПРИНЯТ ПО ДОПУЩЕНИЮ 1",VLOOKUP(C1543,'Справочник соответствий'!A$2:D$2981,3,FALSE)))</f>
        <v>ЭТАЖ ЗАДАН ЧИСЛОМ</v>
      </c>
      <c r="M1543" s="13" t="b">
        <f t="shared" si="169"/>
        <v>0</v>
      </c>
      <c r="N1543" s="13">
        <f t="shared" si="170"/>
        <v>1</v>
      </c>
      <c r="O1543" s="13" t="str">
        <f t="shared" si="171"/>
        <v>ЭТАЖ ЗАДАН ЧИСЛОМ</v>
      </c>
      <c r="P1543" s="13" t="str">
        <f t="shared" si="172"/>
        <v>ЭТАЖ ЗАДАН ЧИСЛОМ</v>
      </c>
      <c r="Q1543" s="13" t="str">
        <f t="shared" si="173"/>
        <v>ГОТОВ_ИЗМЕНЕН</v>
      </c>
      <c r="R1543" s="13">
        <f>IFERROR(VLOOKUP(P1543,Лист1!A$1:B$20,2,FALSE),0)</f>
        <v>784</v>
      </c>
      <c r="S1543" s="13">
        <f t="shared" si="174"/>
        <v>0</v>
      </c>
    </row>
    <row r="1544" spans="1:19" x14ac:dyDescent="0.25">
      <c r="A1544" s="24" t="s">
        <v>2666</v>
      </c>
      <c r="B1544" s="4" t="s">
        <v>1063</v>
      </c>
      <c r="G1544" s="25" t="s">
        <v>1195</v>
      </c>
      <c r="H1544" s="24" t="s">
        <v>1061</v>
      </c>
      <c r="I1544" s="3">
        <f>IFERROR(VLOOKUP(C1544,'Справочник соответствий'!A$2:D$2981,2,FALSE),IF(VALUE(C1544)=0,1,VLOOKUP(C1544,'Справочник соответствий'!A$2:D$2981,2,FALSE)))</f>
        <v>1</v>
      </c>
      <c r="J1544" s="3">
        <f>IFERROR(VLOOKUP(D1544,'Справочник соответствий'!A$2:D$2981,2,FALSE),IF(VALUE(D1544)=0,0,VLOOKUP(D1544,'Справочник соответствий'!A$2:D$2981,2,FALSE)))</f>
        <v>0</v>
      </c>
      <c r="K1544" s="3">
        <f t="shared" si="168"/>
        <v>1</v>
      </c>
      <c r="L1544" s="13" t="str">
        <f>IFERROR(VLOOKUP(C1544,'Справочник соответствий'!A$2:D$2981,3,FALSE),IF(VALUE(C1544)=0,"ЭТАЖ НЕ ОПРЕДЕЛЕН. ПРИНЯТ ПО ДОПУЩЕНИЮ 1",VLOOKUP(C1544,'Справочник соответствий'!A$2:D$2981,3,FALSE)))</f>
        <v>ЭТАЖ НЕ ОПРЕДЕЛЕН. ПРИНЯТ ПО ДОПУЩЕНИЮ 1</v>
      </c>
      <c r="M1544" s="13" t="b">
        <f t="shared" si="169"/>
        <v>0</v>
      </c>
      <c r="N1544" s="13">
        <f t="shared" si="170"/>
        <v>1</v>
      </c>
      <c r="O1544" s="13" t="str">
        <f t="shared" si="171"/>
        <v>ЭТАЖ НЕ ОПРЕДЕЛЕН. ПРИНЯТ ПО ДОПУЩЕНИЮ 1</v>
      </c>
      <c r="P1544" s="13" t="str">
        <f t="shared" si="172"/>
        <v>ЭТАЖ НЕ ОПРЕДЕЛЕН. ПРИНЯТ ПО ДОПУЩЕНИЮ 1</v>
      </c>
      <c r="Q1544" s="13" t="str">
        <f t="shared" si="173"/>
        <v>ГОТОВ_ИЗМЕНЕН</v>
      </c>
      <c r="R1544" s="13">
        <f>IFERROR(VLOOKUP(P1544,Лист1!A$1:B$20,2,FALSE),0)</f>
        <v>788</v>
      </c>
      <c r="S1544" s="13">
        <f t="shared" si="174"/>
        <v>0</v>
      </c>
    </row>
    <row r="1545" spans="1:19" x14ac:dyDescent="0.25">
      <c r="A1545" s="24" t="s">
        <v>2667</v>
      </c>
      <c r="B1545" s="4" t="s">
        <v>1059</v>
      </c>
      <c r="C1545" s="25" t="s">
        <v>5</v>
      </c>
      <c r="G1545" s="25" t="s">
        <v>1203</v>
      </c>
      <c r="H1545" s="24" t="s">
        <v>1061</v>
      </c>
      <c r="I1545" s="3" t="str">
        <f>IFERROR(VLOOKUP(C1545,'Справочник соответствий'!A$2:D$2981,2,FALSE),IF(VALUE(C1545)=0,1,VLOOKUP(C1545,'Справочник соответствий'!A$2:D$2981,2,FALSE)))</f>
        <v>1</v>
      </c>
      <c r="J1545" s="3">
        <f>IFERROR(VLOOKUP(D1545,'Справочник соответствий'!A$2:D$2981,2,FALSE),IF(VALUE(D1545)=0,0,VLOOKUP(D1545,'Справочник соответствий'!A$2:D$2981,2,FALSE)))</f>
        <v>0</v>
      </c>
      <c r="K1545" s="3" t="str">
        <f t="shared" si="168"/>
        <v>1</v>
      </c>
      <c r="L1545" s="13" t="str">
        <f>IFERROR(VLOOKUP(C1545,'Справочник соответствий'!A$2:D$2981,3,FALSE),IF(VALUE(C1545)=0,"ЭТАЖ НЕ ОПРЕДЕЛЕН. ПРИНЯТ ПО ДОПУЩЕНИЮ 1",VLOOKUP(C1545,'Справочник соответствий'!A$2:D$2981,3,FALSE)))</f>
        <v>ЭТАЖ ЗАДАН ЧИСЛОМ</v>
      </c>
      <c r="M1545" s="13" t="b">
        <f t="shared" si="169"/>
        <v>0</v>
      </c>
      <c r="N1545" s="13">
        <f t="shared" si="170"/>
        <v>1</v>
      </c>
      <c r="O1545" s="13" t="str">
        <f t="shared" si="171"/>
        <v>ЭТАЖ ЗАДАН ЧИСЛОМ</v>
      </c>
      <c r="P1545" s="13" t="str">
        <f t="shared" si="172"/>
        <v>ЭТАЖ ЗАДАН ЧИСЛОМ</v>
      </c>
      <c r="Q1545" s="13" t="str">
        <f t="shared" si="173"/>
        <v>ГОТОВ_ИЗМЕНЕН</v>
      </c>
      <c r="R1545" s="13">
        <f>IFERROR(VLOOKUP(P1545,Лист1!A$1:B$20,2,FALSE),0)</f>
        <v>784</v>
      </c>
      <c r="S1545" s="13">
        <f t="shared" si="174"/>
        <v>0</v>
      </c>
    </row>
    <row r="1546" spans="1:19" x14ac:dyDescent="0.25">
      <c r="A1546" s="24" t="s">
        <v>2668</v>
      </c>
      <c r="B1546" s="4" t="s">
        <v>1059</v>
      </c>
      <c r="C1546" s="25" t="s">
        <v>5</v>
      </c>
      <c r="G1546" s="25" t="s">
        <v>1203</v>
      </c>
      <c r="H1546" s="24" t="s">
        <v>1061</v>
      </c>
      <c r="I1546" s="3" t="str">
        <f>IFERROR(VLOOKUP(C1546,'Справочник соответствий'!A$2:D$2981,2,FALSE),IF(VALUE(C1546)=0,1,VLOOKUP(C1546,'Справочник соответствий'!A$2:D$2981,2,FALSE)))</f>
        <v>1</v>
      </c>
      <c r="J1546" s="3">
        <f>IFERROR(VLOOKUP(D1546,'Справочник соответствий'!A$2:D$2981,2,FALSE),IF(VALUE(D1546)=0,0,VLOOKUP(D1546,'Справочник соответствий'!A$2:D$2981,2,FALSE)))</f>
        <v>0</v>
      </c>
      <c r="K1546" s="3" t="str">
        <f t="shared" si="168"/>
        <v>1</v>
      </c>
      <c r="L1546" s="13" t="str">
        <f>IFERROR(VLOOKUP(C1546,'Справочник соответствий'!A$2:D$2981,3,FALSE),IF(VALUE(C1546)=0,"ЭТАЖ НЕ ОПРЕДЕЛЕН. ПРИНЯТ ПО ДОПУЩЕНИЮ 1",VLOOKUP(C1546,'Справочник соответствий'!A$2:D$2981,3,FALSE)))</f>
        <v>ЭТАЖ ЗАДАН ЧИСЛОМ</v>
      </c>
      <c r="M1546" s="13" t="b">
        <f t="shared" si="169"/>
        <v>0</v>
      </c>
      <c r="N1546" s="13">
        <f t="shared" si="170"/>
        <v>1</v>
      </c>
      <c r="O1546" s="13" t="str">
        <f t="shared" si="171"/>
        <v>ЭТАЖ ЗАДАН ЧИСЛОМ</v>
      </c>
      <c r="P1546" s="13" t="str">
        <f t="shared" si="172"/>
        <v>ЭТАЖ ЗАДАН ЧИСЛОМ</v>
      </c>
      <c r="Q1546" s="13" t="str">
        <f t="shared" si="173"/>
        <v>ГОТОВ_ИЗМЕНЕН</v>
      </c>
      <c r="R1546" s="13">
        <f>IFERROR(VLOOKUP(P1546,Лист1!A$1:B$20,2,FALSE),0)</f>
        <v>784</v>
      </c>
      <c r="S1546" s="13">
        <f t="shared" si="174"/>
        <v>0</v>
      </c>
    </row>
    <row r="1547" spans="1:19" x14ac:dyDescent="0.25">
      <c r="A1547" s="24" t="s">
        <v>2669</v>
      </c>
      <c r="B1547" s="4" t="s">
        <v>1059</v>
      </c>
      <c r="C1547" s="25" t="s">
        <v>7</v>
      </c>
      <c r="G1547" s="25" t="s">
        <v>1205</v>
      </c>
      <c r="H1547" s="24" t="s">
        <v>1061</v>
      </c>
      <c r="I1547" s="3" t="str">
        <f>IFERROR(VLOOKUP(C1547,'Справочник соответствий'!A$2:D$2981,2,FALSE),IF(VALUE(C1547)=0,1,VLOOKUP(C1547,'Справочник соответствий'!A$2:D$2981,2,FALSE)))</f>
        <v>2</v>
      </c>
      <c r="J1547" s="3">
        <f>IFERROR(VLOOKUP(D1547,'Справочник соответствий'!A$2:D$2981,2,FALSE),IF(VALUE(D1547)=0,0,VLOOKUP(D1547,'Справочник соответствий'!A$2:D$2981,2,FALSE)))</f>
        <v>0</v>
      </c>
      <c r="K1547" s="3" t="str">
        <f t="shared" si="168"/>
        <v>2</v>
      </c>
      <c r="L1547" s="13" t="str">
        <f>IFERROR(VLOOKUP(C1547,'Справочник соответствий'!A$2:D$2981,3,FALSE),IF(VALUE(C1547)=0,"ЭТАЖ НЕ ОПРЕДЕЛЕН. ПРИНЯТ ПО ДОПУЩЕНИЮ 1",VLOOKUP(C1547,'Справочник соответствий'!A$2:D$2981,3,FALSE)))</f>
        <v>ЭТАЖ ЗАДАН ЧИСЛОМ</v>
      </c>
      <c r="M1547" s="13" t="b">
        <f t="shared" si="169"/>
        <v>0</v>
      </c>
      <c r="N1547" s="13">
        <f t="shared" si="170"/>
        <v>2</v>
      </c>
      <c r="O1547" s="13" t="str">
        <f t="shared" si="171"/>
        <v>ЭТАЖ ЗАДАН ЧИСЛОМ</v>
      </c>
      <c r="P1547" s="13" t="str">
        <f t="shared" si="172"/>
        <v>ЭТАЖ ЗАДАН ЧИСЛОМ</v>
      </c>
      <c r="Q1547" s="13" t="str">
        <f t="shared" si="173"/>
        <v>ГОТОВ_ИЗМЕНЕН</v>
      </c>
      <c r="R1547" s="13">
        <f>IFERROR(VLOOKUP(P1547,Лист1!A$1:B$20,2,FALSE),0)</f>
        <v>784</v>
      </c>
      <c r="S1547" s="13">
        <f t="shared" si="174"/>
        <v>0</v>
      </c>
    </row>
    <row r="1548" spans="1:19" x14ac:dyDescent="0.25">
      <c r="A1548" s="24" t="s">
        <v>2670</v>
      </c>
      <c r="B1548" s="4" t="s">
        <v>1059</v>
      </c>
      <c r="C1548" s="25" t="s">
        <v>5</v>
      </c>
      <c r="G1548" s="25" t="s">
        <v>1174</v>
      </c>
      <c r="H1548" s="24" t="s">
        <v>1061</v>
      </c>
      <c r="I1548" s="3" t="str">
        <f>IFERROR(VLOOKUP(C1548,'Справочник соответствий'!A$2:D$2981,2,FALSE),IF(VALUE(C1548)=0,1,VLOOKUP(C1548,'Справочник соответствий'!A$2:D$2981,2,FALSE)))</f>
        <v>1</v>
      </c>
      <c r="J1548" s="3">
        <f>IFERROR(VLOOKUP(D1548,'Справочник соответствий'!A$2:D$2981,2,FALSE),IF(VALUE(D1548)=0,0,VLOOKUP(D1548,'Справочник соответствий'!A$2:D$2981,2,FALSE)))</f>
        <v>0</v>
      </c>
      <c r="K1548" s="3" t="str">
        <f t="shared" si="168"/>
        <v>1</v>
      </c>
      <c r="L1548" s="13" t="str">
        <f>IFERROR(VLOOKUP(C1548,'Справочник соответствий'!A$2:D$2981,3,FALSE),IF(VALUE(C1548)=0,"ЭТАЖ НЕ ОПРЕДЕЛЕН. ПРИНЯТ ПО ДОПУЩЕНИЮ 1",VLOOKUP(C1548,'Справочник соответствий'!A$2:D$2981,3,FALSE)))</f>
        <v>ЭТАЖ ЗАДАН ЧИСЛОМ</v>
      </c>
      <c r="M1548" s="13" t="b">
        <f t="shared" si="169"/>
        <v>0</v>
      </c>
      <c r="N1548" s="13">
        <f t="shared" si="170"/>
        <v>1</v>
      </c>
      <c r="O1548" s="13" t="str">
        <f t="shared" si="171"/>
        <v>ЭТАЖ ЗАДАН ЧИСЛОМ</v>
      </c>
      <c r="P1548" s="13" t="str">
        <f t="shared" si="172"/>
        <v>ЭТАЖ ЗАДАН ЧИСЛОМ</v>
      </c>
      <c r="Q1548" s="13" t="str">
        <f t="shared" si="173"/>
        <v>ГОТОВ_ИЗМЕНЕН</v>
      </c>
      <c r="R1548" s="13">
        <f>IFERROR(VLOOKUP(P1548,Лист1!A$1:B$20,2,FALSE),0)</f>
        <v>784</v>
      </c>
      <c r="S1548" s="13">
        <f t="shared" si="174"/>
        <v>0</v>
      </c>
    </row>
    <row r="1549" spans="1:19" x14ac:dyDescent="0.25">
      <c r="A1549" s="24" t="s">
        <v>2671</v>
      </c>
      <c r="B1549" s="4" t="s">
        <v>1063</v>
      </c>
      <c r="C1549" s="25" t="s">
        <v>5</v>
      </c>
      <c r="G1549" s="25" t="s">
        <v>1205</v>
      </c>
      <c r="H1549" s="24" t="s">
        <v>1061</v>
      </c>
      <c r="I1549" s="3" t="str">
        <f>IFERROR(VLOOKUP(C1549,'Справочник соответствий'!A$2:D$2981,2,FALSE),IF(VALUE(C1549)=0,1,VLOOKUP(C1549,'Справочник соответствий'!A$2:D$2981,2,FALSE)))</f>
        <v>1</v>
      </c>
      <c r="J1549" s="3">
        <f>IFERROR(VLOOKUP(D1549,'Справочник соответствий'!A$2:D$2981,2,FALSE),IF(VALUE(D1549)=0,0,VLOOKUP(D1549,'Справочник соответствий'!A$2:D$2981,2,FALSE)))</f>
        <v>0</v>
      </c>
      <c r="K1549" s="3" t="str">
        <f t="shared" si="168"/>
        <v>1</v>
      </c>
      <c r="L1549" s="13" t="str">
        <f>IFERROR(VLOOKUP(C1549,'Справочник соответствий'!A$2:D$2981,3,FALSE),IF(VALUE(C1549)=0,"ЭТАЖ НЕ ОПРЕДЕЛЕН. ПРИНЯТ ПО ДОПУЩЕНИЮ 1",VLOOKUP(C1549,'Справочник соответствий'!A$2:D$2981,3,FALSE)))</f>
        <v>ЭТАЖ ЗАДАН ЧИСЛОМ</v>
      </c>
      <c r="M1549" s="13" t="b">
        <f t="shared" si="169"/>
        <v>0</v>
      </c>
      <c r="N1549" s="13">
        <f t="shared" si="170"/>
        <v>1</v>
      </c>
      <c r="O1549" s="13" t="str">
        <f t="shared" si="171"/>
        <v>ЭТАЖ ЗАДАН ЧИСЛОМ</v>
      </c>
      <c r="P1549" s="13" t="str">
        <f t="shared" si="172"/>
        <v>ЭТАЖ ЗАДАН ЧИСЛОМ</v>
      </c>
      <c r="Q1549" s="13" t="str">
        <f t="shared" si="173"/>
        <v>ГОТОВ_ИЗМЕНЕН</v>
      </c>
      <c r="R1549" s="13">
        <f>IFERROR(VLOOKUP(P1549,Лист1!A$1:B$20,2,FALSE),0)</f>
        <v>784</v>
      </c>
      <c r="S1549" s="13">
        <f t="shared" si="174"/>
        <v>0</v>
      </c>
    </row>
    <row r="1550" spans="1:19" x14ac:dyDescent="0.25">
      <c r="A1550" s="24" t="s">
        <v>2672</v>
      </c>
      <c r="B1550" s="4" t="s">
        <v>1063</v>
      </c>
      <c r="C1550" s="25" t="s">
        <v>5</v>
      </c>
      <c r="G1550" s="25" t="s">
        <v>1205</v>
      </c>
      <c r="H1550" s="24" t="s">
        <v>1061</v>
      </c>
      <c r="I1550" s="3" t="str">
        <f>IFERROR(VLOOKUP(C1550,'Справочник соответствий'!A$2:D$2981,2,FALSE),IF(VALUE(C1550)=0,1,VLOOKUP(C1550,'Справочник соответствий'!A$2:D$2981,2,FALSE)))</f>
        <v>1</v>
      </c>
      <c r="J1550" s="3">
        <f>IFERROR(VLOOKUP(D1550,'Справочник соответствий'!A$2:D$2981,2,FALSE),IF(VALUE(D1550)=0,0,VLOOKUP(D1550,'Справочник соответствий'!A$2:D$2981,2,FALSE)))</f>
        <v>0</v>
      </c>
      <c r="K1550" s="3" t="str">
        <f t="shared" si="168"/>
        <v>1</v>
      </c>
      <c r="L1550" s="13" t="str">
        <f>IFERROR(VLOOKUP(C1550,'Справочник соответствий'!A$2:D$2981,3,FALSE),IF(VALUE(C1550)=0,"ЭТАЖ НЕ ОПРЕДЕЛЕН. ПРИНЯТ ПО ДОПУЩЕНИЮ 1",VLOOKUP(C1550,'Справочник соответствий'!A$2:D$2981,3,FALSE)))</f>
        <v>ЭТАЖ ЗАДАН ЧИСЛОМ</v>
      </c>
      <c r="M1550" s="13" t="b">
        <f t="shared" si="169"/>
        <v>0</v>
      </c>
      <c r="N1550" s="13">
        <f t="shared" si="170"/>
        <v>1</v>
      </c>
      <c r="O1550" s="13" t="str">
        <f t="shared" si="171"/>
        <v>ЭТАЖ ЗАДАН ЧИСЛОМ</v>
      </c>
      <c r="P1550" s="13" t="str">
        <f t="shared" si="172"/>
        <v>ЭТАЖ ЗАДАН ЧИСЛОМ</v>
      </c>
      <c r="Q1550" s="13" t="str">
        <f t="shared" si="173"/>
        <v>ГОТОВ_ИЗМЕНЕН</v>
      </c>
      <c r="R1550" s="13">
        <f>IFERROR(VLOOKUP(P1550,Лист1!A$1:B$20,2,FALSE),0)</f>
        <v>784</v>
      </c>
      <c r="S1550" s="13">
        <f t="shared" si="174"/>
        <v>0</v>
      </c>
    </row>
    <row r="1551" spans="1:19" x14ac:dyDescent="0.25">
      <c r="A1551" s="24" t="s">
        <v>2673</v>
      </c>
      <c r="B1551" s="4" t="s">
        <v>1059</v>
      </c>
      <c r="C1551" s="25" t="s">
        <v>5</v>
      </c>
      <c r="G1551" s="25" t="s">
        <v>1174</v>
      </c>
      <c r="H1551" s="24" t="s">
        <v>1061</v>
      </c>
      <c r="I1551" s="3" t="str">
        <f>IFERROR(VLOOKUP(C1551,'Справочник соответствий'!A$2:D$2981,2,FALSE),IF(VALUE(C1551)=0,1,VLOOKUP(C1551,'Справочник соответствий'!A$2:D$2981,2,FALSE)))</f>
        <v>1</v>
      </c>
      <c r="J1551" s="3">
        <f>IFERROR(VLOOKUP(D1551,'Справочник соответствий'!A$2:D$2981,2,FALSE),IF(VALUE(D1551)=0,0,VLOOKUP(D1551,'Справочник соответствий'!A$2:D$2981,2,FALSE)))</f>
        <v>0</v>
      </c>
      <c r="K1551" s="3" t="str">
        <f t="shared" si="168"/>
        <v>1</v>
      </c>
      <c r="L1551" s="13" t="str">
        <f>IFERROR(VLOOKUP(C1551,'Справочник соответствий'!A$2:D$2981,3,FALSE),IF(VALUE(C1551)=0,"ЭТАЖ НЕ ОПРЕДЕЛЕН. ПРИНЯТ ПО ДОПУЩЕНИЮ 1",VLOOKUP(C1551,'Справочник соответствий'!A$2:D$2981,3,FALSE)))</f>
        <v>ЭТАЖ ЗАДАН ЧИСЛОМ</v>
      </c>
      <c r="M1551" s="13" t="b">
        <f t="shared" si="169"/>
        <v>0</v>
      </c>
      <c r="N1551" s="13">
        <f t="shared" si="170"/>
        <v>1</v>
      </c>
      <c r="O1551" s="13" t="str">
        <f t="shared" si="171"/>
        <v>ЭТАЖ ЗАДАН ЧИСЛОМ</v>
      </c>
      <c r="P1551" s="13" t="str">
        <f t="shared" si="172"/>
        <v>ЭТАЖ ЗАДАН ЧИСЛОМ</v>
      </c>
      <c r="Q1551" s="13" t="str">
        <f t="shared" si="173"/>
        <v>ГОТОВ_ИЗМЕНЕН</v>
      </c>
      <c r="R1551" s="13">
        <f>IFERROR(VLOOKUP(P1551,Лист1!A$1:B$20,2,FALSE),0)</f>
        <v>784</v>
      </c>
      <c r="S1551" s="13">
        <f t="shared" si="174"/>
        <v>0</v>
      </c>
    </row>
    <row r="1552" spans="1:19" x14ac:dyDescent="0.25">
      <c r="A1552" s="24" t="s">
        <v>2674</v>
      </c>
      <c r="B1552" s="4" t="s">
        <v>1059</v>
      </c>
      <c r="C1552" s="25" t="s">
        <v>7</v>
      </c>
      <c r="G1552" s="25" t="s">
        <v>1205</v>
      </c>
      <c r="H1552" s="24" t="s">
        <v>1061</v>
      </c>
      <c r="I1552" s="3" t="str">
        <f>IFERROR(VLOOKUP(C1552,'Справочник соответствий'!A$2:D$2981,2,FALSE),IF(VALUE(C1552)=0,1,VLOOKUP(C1552,'Справочник соответствий'!A$2:D$2981,2,FALSE)))</f>
        <v>2</v>
      </c>
      <c r="J1552" s="3">
        <f>IFERROR(VLOOKUP(D1552,'Справочник соответствий'!A$2:D$2981,2,FALSE),IF(VALUE(D1552)=0,0,VLOOKUP(D1552,'Справочник соответствий'!A$2:D$2981,2,FALSE)))</f>
        <v>0</v>
      </c>
      <c r="K1552" s="3" t="str">
        <f t="shared" si="168"/>
        <v>2</v>
      </c>
      <c r="L1552" s="13" t="str">
        <f>IFERROR(VLOOKUP(C1552,'Справочник соответствий'!A$2:D$2981,3,FALSE),IF(VALUE(C1552)=0,"ЭТАЖ НЕ ОПРЕДЕЛЕН. ПРИНЯТ ПО ДОПУЩЕНИЮ 1",VLOOKUP(C1552,'Справочник соответствий'!A$2:D$2981,3,FALSE)))</f>
        <v>ЭТАЖ ЗАДАН ЧИСЛОМ</v>
      </c>
      <c r="M1552" s="13" t="b">
        <f t="shared" si="169"/>
        <v>0</v>
      </c>
      <c r="N1552" s="13">
        <f t="shared" si="170"/>
        <v>2</v>
      </c>
      <c r="O1552" s="13" t="str">
        <f t="shared" si="171"/>
        <v>ЭТАЖ ЗАДАН ЧИСЛОМ</v>
      </c>
      <c r="P1552" s="13" t="str">
        <f t="shared" si="172"/>
        <v>ЭТАЖ ЗАДАН ЧИСЛОМ</v>
      </c>
      <c r="Q1552" s="13" t="str">
        <f t="shared" si="173"/>
        <v>ГОТОВ_ИЗМЕНЕН</v>
      </c>
      <c r="R1552" s="13">
        <f>IFERROR(VLOOKUP(P1552,Лист1!A$1:B$20,2,FALSE),0)</f>
        <v>784</v>
      </c>
      <c r="S1552" s="13">
        <f t="shared" si="174"/>
        <v>0</v>
      </c>
    </row>
    <row r="1553" spans="1:19" x14ac:dyDescent="0.25">
      <c r="A1553" s="24" t="s">
        <v>2675</v>
      </c>
      <c r="B1553" s="4" t="s">
        <v>1031</v>
      </c>
      <c r="C1553" s="25" t="s">
        <v>14</v>
      </c>
      <c r="D1553" s="25" t="s">
        <v>5</v>
      </c>
      <c r="G1553" s="25" t="s">
        <v>1205</v>
      </c>
      <c r="H1553" s="24" t="s">
        <v>1061</v>
      </c>
      <c r="I1553" s="3" t="str">
        <f>IFERROR(VLOOKUP(C1553,'Справочник соответствий'!A$2:D$2981,2,FALSE),IF(VALUE(C1553)=0,1,VLOOKUP(C1553,'Справочник соответствий'!A$2:D$2981,2,FALSE)))</f>
        <v>17</v>
      </c>
      <c r="J1553" s="3" t="str">
        <f>IFERROR(VLOOKUP(D1553,'Справочник соответствий'!A$2:D$2981,2,FALSE),IF(VALUE(D1553)=0,0,VLOOKUP(D1553,'Справочник соответствий'!A$2:D$2981,2,FALSE)))</f>
        <v>1</v>
      </c>
      <c r="K1553" s="3">
        <f t="shared" si="168"/>
        <v>16</v>
      </c>
      <c r="L1553" s="13" t="str">
        <f>IFERROR(VLOOKUP(C1553,'Справочник соответствий'!A$2:D$2981,3,FALSE),IF(VALUE(C1553)=0,"ЭТАЖ НЕ ОПРЕДЕЛЕН. ПРИНЯТ ПО ДОПУЩЕНИЮ 1",VLOOKUP(C1553,'Справочник соответствий'!A$2:D$2981,3,FALSE)))</f>
        <v>ЭТАЖ ЗАДАН ЧИСЛОМ</v>
      </c>
      <c r="M1553" s="13" t="b">
        <f t="shared" si="169"/>
        <v>0</v>
      </c>
      <c r="N1553" s="13">
        <f t="shared" si="170"/>
        <v>16</v>
      </c>
      <c r="O1553" s="13" t="str">
        <f t="shared" si="171"/>
        <v>ЭТАЖ ЗАДАН ЧИСЛОМ</v>
      </c>
      <c r="P1553" s="13" t="str">
        <f t="shared" si="172"/>
        <v>МКД_ЭТАЖ ЗАДАН ЧИСЛОМ</v>
      </c>
      <c r="Q1553" s="13" t="str">
        <f t="shared" si="173"/>
        <v>ГОТОВ_ИЗМЕНЕН</v>
      </c>
      <c r="R1553" s="13">
        <f>IFERROR(VLOOKUP(P1553,Лист1!A$1:B$20,2,FALSE),0)</f>
        <v>786</v>
      </c>
      <c r="S1553" s="13">
        <f t="shared" si="174"/>
        <v>0</v>
      </c>
    </row>
    <row r="1554" spans="1:19" x14ac:dyDescent="0.25">
      <c r="A1554" s="24" t="s">
        <v>2676</v>
      </c>
      <c r="B1554" s="4" t="s">
        <v>1059</v>
      </c>
      <c r="C1554" s="25" t="s">
        <v>8</v>
      </c>
      <c r="G1554" s="25" t="s">
        <v>1205</v>
      </c>
      <c r="H1554" s="24" t="s">
        <v>1061</v>
      </c>
      <c r="I1554" s="3" t="str">
        <f>IFERROR(VLOOKUP(C1554,'Справочник соответствий'!A$2:D$2981,2,FALSE),IF(VALUE(C1554)=0,1,VLOOKUP(C1554,'Справочник соответствий'!A$2:D$2981,2,FALSE)))</f>
        <v>3</v>
      </c>
      <c r="J1554" s="3">
        <f>IFERROR(VLOOKUP(D1554,'Справочник соответствий'!A$2:D$2981,2,FALSE),IF(VALUE(D1554)=0,0,VLOOKUP(D1554,'Справочник соответствий'!A$2:D$2981,2,FALSE)))</f>
        <v>0</v>
      </c>
      <c r="K1554" s="3" t="str">
        <f t="shared" si="168"/>
        <v>3</v>
      </c>
      <c r="L1554" s="13" t="str">
        <f>IFERROR(VLOOKUP(C1554,'Справочник соответствий'!A$2:D$2981,3,FALSE),IF(VALUE(C1554)=0,"ЭТАЖ НЕ ОПРЕДЕЛЕН. ПРИНЯТ ПО ДОПУЩЕНИЮ 1",VLOOKUP(C1554,'Справочник соответствий'!A$2:D$2981,3,FALSE)))</f>
        <v>ЭТАЖ ЗАДАН ЧИСЛОМ</v>
      </c>
      <c r="M1554" s="13" t="b">
        <f t="shared" si="169"/>
        <v>0</v>
      </c>
      <c r="N1554" s="13">
        <f t="shared" si="170"/>
        <v>3</v>
      </c>
      <c r="O1554" s="13" t="str">
        <f t="shared" si="171"/>
        <v>ЭТАЖ ЗАДАН ЧИСЛОМ</v>
      </c>
      <c r="P1554" s="13" t="str">
        <f t="shared" si="172"/>
        <v>ЭТАЖ ЗАДАН ЧИСЛОМ</v>
      </c>
      <c r="Q1554" s="13" t="str">
        <f t="shared" si="173"/>
        <v>ГОТОВ_ИЗМЕНЕН</v>
      </c>
      <c r="R1554" s="13">
        <f>IFERROR(VLOOKUP(P1554,Лист1!A$1:B$20,2,FALSE),0)</f>
        <v>784</v>
      </c>
      <c r="S1554" s="13">
        <f t="shared" si="174"/>
        <v>0</v>
      </c>
    </row>
    <row r="1555" spans="1:19" x14ac:dyDescent="0.25">
      <c r="A1555" s="24" t="s">
        <v>2677</v>
      </c>
      <c r="B1555" s="4" t="s">
        <v>1059</v>
      </c>
      <c r="C1555" s="25" t="s">
        <v>5</v>
      </c>
      <c r="G1555" s="25" t="s">
        <v>1205</v>
      </c>
      <c r="H1555" s="24" t="s">
        <v>1061</v>
      </c>
      <c r="I1555" s="3" t="str">
        <f>IFERROR(VLOOKUP(C1555,'Справочник соответствий'!A$2:D$2981,2,FALSE),IF(VALUE(C1555)=0,1,VLOOKUP(C1555,'Справочник соответствий'!A$2:D$2981,2,FALSE)))</f>
        <v>1</v>
      </c>
      <c r="J1555" s="3">
        <f>IFERROR(VLOOKUP(D1555,'Справочник соответствий'!A$2:D$2981,2,FALSE),IF(VALUE(D1555)=0,0,VLOOKUP(D1555,'Справочник соответствий'!A$2:D$2981,2,FALSE)))</f>
        <v>0</v>
      </c>
      <c r="K1555" s="3" t="str">
        <f t="shared" si="168"/>
        <v>1</v>
      </c>
      <c r="L1555" s="13" t="str">
        <f>IFERROR(VLOOKUP(C1555,'Справочник соответствий'!A$2:D$2981,3,FALSE),IF(VALUE(C1555)=0,"ЭТАЖ НЕ ОПРЕДЕЛЕН. ПРИНЯТ ПО ДОПУЩЕНИЮ 1",VLOOKUP(C1555,'Справочник соответствий'!A$2:D$2981,3,FALSE)))</f>
        <v>ЭТАЖ ЗАДАН ЧИСЛОМ</v>
      </c>
      <c r="M1555" s="13" t="b">
        <f t="shared" si="169"/>
        <v>0</v>
      </c>
      <c r="N1555" s="13">
        <f t="shared" si="170"/>
        <v>1</v>
      </c>
      <c r="O1555" s="13" t="str">
        <f t="shared" si="171"/>
        <v>ЭТАЖ ЗАДАН ЧИСЛОМ</v>
      </c>
      <c r="P1555" s="13" t="str">
        <f t="shared" si="172"/>
        <v>ЭТАЖ ЗАДАН ЧИСЛОМ</v>
      </c>
      <c r="Q1555" s="13" t="str">
        <f t="shared" si="173"/>
        <v>ГОТОВ_ИЗМЕНЕН</v>
      </c>
      <c r="R1555" s="13">
        <f>IFERROR(VLOOKUP(P1555,Лист1!A$1:B$20,2,FALSE),0)</f>
        <v>784</v>
      </c>
      <c r="S1555" s="13">
        <f t="shared" si="174"/>
        <v>0</v>
      </c>
    </row>
    <row r="1556" spans="1:19" x14ac:dyDescent="0.25">
      <c r="A1556" s="24" t="s">
        <v>2678</v>
      </c>
      <c r="B1556" s="4" t="s">
        <v>1059</v>
      </c>
      <c r="C1556" s="25" t="s">
        <v>5</v>
      </c>
      <c r="G1556" s="25" t="s">
        <v>1205</v>
      </c>
      <c r="H1556" s="24" t="s">
        <v>1061</v>
      </c>
      <c r="I1556" s="3" t="str">
        <f>IFERROR(VLOOKUP(C1556,'Справочник соответствий'!A$2:D$2981,2,FALSE),IF(VALUE(C1556)=0,1,VLOOKUP(C1556,'Справочник соответствий'!A$2:D$2981,2,FALSE)))</f>
        <v>1</v>
      </c>
      <c r="J1556" s="3">
        <f>IFERROR(VLOOKUP(D1556,'Справочник соответствий'!A$2:D$2981,2,FALSE),IF(VALUE(D1556)=0,0,VLOOKUP(D1556,'Справочник соответствий'!A$2:D$2981,2,FALSE)))</f>
        <v>0</v>
      </c>
      <c r="K1556" s="3" t="str">
        <f t="shared" si="168"/>
        <v>1</v>
      </c>
      <c r="L1556" s="13" t="str">
        <f>IFERROR(VLOOKUP(C1556,'Справочник соответствий'!A$2:D$2981,3,FALSE),IF(VALUE(C1556)=0,"ЭТАЖ НЕ ОПРЕДЕЛЕН. ПРИНЯТ ПО ДОПУЩЕНИЮ 1",VLOOKUP(C1556,'Справочник соответствий'!A$2:D$2981,3,FALSE)))</f>
        <v>ЭТАЖ ЗАДАН ЧИСЛОМ</v>
      </c>
      <c r="M1556" s="13" t="b">
        <f t="shared" si="169"/>
        <v>0</v>
      </c>
      <c r="N1556" s="13">
        <f t="shared" si="170"/>
        <v>1</v>
      </c>
      <c r="O1556" s="13" t="str">
        <f t="shared" si="171"/>
        <v>ЭТАЖ ЗАДАН ЧИСЛОМ</v>
      </c>
      <c r="P1556" s="13" t="str">
        <f t="shared" si="172"/>
        <v>ЭТАЖ ЗАДАН ЧИСЛОМ</v>
      </c>
      <c r="Q1556" s="13" t="str">
        <f t="shared" si="173"/>
        <v>ГОТОВ_ИЗМЕНЕН</v>
      </c>
      <c r="R1556" s="13">
        <f>IFERROR(VLOOKUP(P1556,Лист1!A$1:B$20,2,FALSE),0)</f>
        <v>784</v>
      </c>
      <c r="S1556" s="13">
        <f t="shared" si="174"/>
        <v>0</v>
      </c>
    </row>
    <row r="1557" spans="1:19" x14ac:dyDescent="0.25">
      <c r="A1557" s="24" t="s">
        <v>2679</v>
      </c>
      <c r="B1557" s="4" t="s">
        <v>1063</v>
      </c>
      <c r="C1557" s="25" t="s">
        <v>5</v>
      </c>
      <c r="G1557" s="25" t="s">
        <v>1205</v>
      </c>
      <c r="H1557" s="24" t="s">
        <v>1061</v>
      </c>
      <c r="I1557" s="3" t="str">
        <f>IFERROR(VLOOKUP(C1557,'Справочник соответствий'!A$2:D$2981,2,FALSE),IF(VALUE(C1557)=0,1,VLOOKUP(C1557,'Справочник соответствий'!A$2:D$2981,2,FALSE)))</f>
        <v>1</v>
      </c>
      <c r="J1557" s="3">
        <f>IFERROR(VLOOKUP(D1557,'Справочник соответствий'!A$2:D$2981,2,FALSE),IF(VALUE(D1557)=0,0,VLOOKUP(D1557,'Справочник соответствий'!A$2:D$2981,2,FALSE)))</f>
        <v>0</v>
      </c>
      <c r="K1557" s="3" t="str">
        <f t="shared" si="168"/>
        <v>1</v>
      </c>
      <c r="L1557" s="13" t="str">
        <f>IFERROR(VLOOKUP(C1557,'Справочник соответствий'!A$2:D$2981,3,FALSE),IF(VALUE(C1557)=0,"ЭТАЖ НЕ ОПРЕДЕЛЕН. ПРИНЯТ ПО ДОПУЩЕНИЮ 1",VLOOKUP(C1557,'Справочник соответствий'!A$2:D$2981,3,FALSE)))</f>
        <v>ЭТАЖ ЗАДАН ЧИСЛОМ</v>
      </c>
      <c r="M1557" s="13" t="b">
        <f t="shared" si="169"/>
        <v>0</v>
      </c>
      <c r="N1557" s="13">
        <f t="shared" si="170"/>
        <v>1</v>
      </c>
      <c r="O1557" s="13" t="str">
        <f t="shared" si="171"/>
        <v>ЭТАЖ ЗАДАН ЧИСЛОМ</v>
      </c>
      <c r="P1557" s="13" t="str">
        <f t="shared" si="172"/>
        <v>ЭТАЖ ЗАДАН ЧИСЛОМ</v>
      </c>
      <c r="Q1557" s="13" t="str">
        <f t="shared" si="173"/>
        <v>ГОТОВ_ИЗМЕНЕН</v>
      </c>
      <c r="R1557" s="13">
        <f>IFERROR(VLOOKUP(P1557,Лист1!A$1:B$20,2,FALSE),0)</f>
        <v>784</v>
      </c>
      <c r="S1557" s="13">
        <f t="shared" si="174"/>
        <v>0</v>
      </c>
    </row>
    <row r="1558" spans="1:19" x14ac:dyDescent="0.25">
      <c r="A1558" s="24" t="s">
        <v>2680</v>
      </c>
      <c r="B1558" s="4" t="s">
        <v>1063</v>
      </c>
      <c r="C1558" s="25" t="s">
        <v>5</v>
      </c>
      <c r="G1558" s="25" t="s">
        <v>1205</v>
      </c>
      <c r="H1558" s="24" t="s">
        <v>1061</v>
      </c>
      <c r="I1558" s="3" t="str">
        <f>IFERROR(VLOOKUP(C1558,'Справочник соответствий'!A$2:D$2981,2,FALSE),IF(VALUE(C1558)=0,1,VLOOKUP(C1558,'Справочник соответствий'!A$2:D$2981,2,FALSE)))</f>
        <v>1</v>
      </c>
      <c r="J1558" s="3">
        <f>IFERROR(VLOOKUP(D1558,'Справочник соответствий'!A$2:D$2981,2,FALSE),IF(VALUE(D1558)=0,0,VLOOKUP(D1558,'Справочник соответствий'!A$2:D$2981,2,FALSE)))</f>
        <v>0</v>
      </c>
      <c r="K1558" s="3" t="str">
        <f t="shared" si="168"/>
        <v>1</v>
      </c>
      <c r="L1558" s="13" t="str">
        <f>IFERROR(VLOOKUP(C1558,'Справочник соответствий'!A$2:D$2981,3,FALSE),IF(VALUE(C1558)=0,"ЭТАЖ НЕ ОПРЕДЕЛЕН. ПРИНЯТ ПО ДОПУЩЕНИЮ 1",VLOOKUP(C1558,'Справочник соответствий'!A$2:D$2981,3,FALSE)))</f>
        <v>ЭТАЖ ЗАДАН ЧИСЛОМ</v>
      </c>
      <c r="M1558" s="13" t="b">
        <f t="shared" si="169"/>
        <v>0</v>
      </c>
      <c r="N1558" s="13">
        <f t="shared" si="170"/>
        <v>1</v>
      </c>
      <c r="O1558" s="13" t="str">
        <f t="shared" si="171"/>
        <v>ЭТАЖ ЗАДАН ЧИСЛОМ</v>
      </c>
      <c r="P1558" s="13" t="str">
        <f t="shared" si="172"/>
        <v>ЭТАЖ ЗАДАН ЧИСЛОМ</v>
      </c>
      <c r="Q1558" s="13" t="str">
        <f t="shared" si="173"/>
        <v>ГОТОВ_ИЗМЕНЕН</v>
      </c>
      <c r="R1558" s="13">
        <f>IFERROR(VLOOKUP(P1558,Лист1!A$1:B$20,2,FALSE),0)</f>
        <v>784</v>
      </c>
      <c r="S1558" s="13">
        <f t="shared" si="174"/>
        <v>0</v>
      </c>
    </row>
    <row r="1559" spans="1:19" x14ac:dyDescent="0.25">
      <c r="A1559" s="24" t="s">
        <v>2681</v>
      </c>
      <c r="B1559" s="4" t="s">
        <v>1059</v>
      </c>
      <c r="G1559" s="25" t="s">
        <v>1219</v>
      </c>
      <c r="H1559" s="24" t="s">
        <v>1061</v>
      </c>
      <c r="I1559" s="3">
        <f>IFERROR(VLOOKUP(C1559,'Справочник соответствий'!A$2:D$2981,2,FALSE),IF(VALUE(C1559)=0,1,VLOOKUP(C1559,'Справочник соответствий'!A$2:D$2981,2,FALSE)))</f>
        <v>1</v>
      </c>
      <c r="J1559" s="3">
        <f>IFERROR(VLOOKUP(D1559,'Справочник соответствий'!A$2:D$2981,2,FALSE),IF(VALUE(D1559)=0,0,VLOOKUP(D1559,'Справочник соответствий'!A$2:D$2981,2,FALSE)))</f>
        <v>0</v>
      </c>
      <c r="K1559" s="3">
        <f t="shared" si="168"/>
        <v>1</v>
      </c>
      <c r="L1559" s="13" t="str">
        <f>IFERROR(VLOOKUP(C1559,'Справочник соответствий'!A$2:D$2981,3,FALSE),IF(VALUE(C1559)=0,"ЭТАЖ НЕ ОПРЕДЕЛЕН. ПРИНЯТ ПО ДОПУЩЕНИЮ 1",VLOOKUP(C1559,'Справочник соответствий'!A$2:D$2981,3,FALSE)))</f>
        <v>ЭТАЖ НЕ ОПРЕДЕЛЕН. ПРИНЯТ ПО ДОПУЩЕНИЮ 1</v>
      </c>
      <c r="M1559" s="13" t="b">
        <f t="shared" si="169"/>
        <v>0</v>
      </c>
      <c r="N1559" s="13">
        <f t="shared" si="170"/>
        <v>1</v>
      </c>
      <c r="O1559" s="13" t="str">
        <f t="shared" si="171"/>
        <v>ЭТАЖ НЕ ОПРЕДЕЛЕН. ПРИНЯТ ПО ДОПУЩЕНИЮ 1</v>
      </c>
      <c r="P1559" s="13" t="str">
        <f t="shared" si="172"/>
        <v>ЭТАЖ НЕ ОПРЕДЕЛЕН. ПРИНЯТ ПО ДОПУЩЕНИЮ 1</v>
      </c>
      <c r="Q1559" s="13" t="str">
        <f t="shared" si="173"/>
        <v>ГОТОВ_ИЗМЕНЕН</v>
      </c>
      <c r="R1559" s="13">
        <f>IFERROR(VLOOKUP(P1559,Лист1!A$1:B$20,2,FALSE),0)</f>
        <v>788</v>
      </c>
      <c r="S1559" s="13">
        <f t="shared" si="174"/>
        <v>0</v>
      </c>
    </row>
    <row r="1560" spans="1:19" x14ac:dyDescent="0.25">
      <c r="A1560" s="24" t="s">
        <v>2682</v>
      </c>
      <c r="B1560" s="4" t="s">
        <v>1063</v>
      </c>
      <c r="C1560" s="25" t="s">
        <v>5</v>
      </c>
      <c r="G1560" s="25" t="s">
        <v>1083</v>
      </c>
      <c r="H1560" s="24" t="s">
        <v>1061</v>
      </c>
      <c r="I1560" s="3" t="str">
        <f>IFERROR(VLOOKUP(C1560,'Справочник соответствий'!A$2:D$2981,2,FALSE),IF(VALUE(C1560)=0,1,VLOOKUP(C1560,'Справочник соответствий'!A$2:D$2981,2,FALSE)))</f>
        <v>1</v>
      </c>
      <c r="J1560" s="3">
        <f>IFERROR(VLOOKUP(D1560,'Справочник соответствий'!A$2:D$2981,2,FALSE),IF(VALUE(D1560)=0,0,VLOOKUP(D1560,'Справочник соответствий'!A$2:D$2981,2,FALSE)))</f>
        <v>0</v>
      </c>
      <c r="K1560" s="3" t="str">
        <f t="shared" si="168"/>
        <v>1</v>
      </c>
      <c r="L1560" s="13" t="str">
        <f>IFERROR(VLOOKUP(C1560,'Справочник соответствий'!A$2:D$2981,3,FALSE),IF(VALUE(C1560)=0,"ЭТАЖ НЕ ОПРЕДЕЛЕН. ПРИНЯТ ПО ДОПУЩЕНИЮ 1",VLOOKUP(C1560,'Справочник соответствий'!A$2:D$2981,3,FALSE)))</f>
        <v>ЭТАЖ ЗАДАН ЧИСЛОМ</v>
      </c>
      <c r="M1560" s="13" t="b">
        <f t="shared" si="169"/>
        <v>0</v>
      </c>
      <c r="N1560" s="13">
        <f t="shared" si="170"/>
        <v>1</v>
      </c>
      <c r="O1560" s="13" t="str">
        <f t="shared" si="171"/>
        <v>ЭТАЖ ЗАДАН ЧИСЛОМ</v>
      </c>
      <c r="P1560" s="13" t="str">
        <f t="shared" si="172"/>
        <v>ЭТАЖ ЗАДАН ЧИСЛОМ</v>
      </c>
      <c r="Q1560" s="13" t="str">
        <f t="shared" si="173"/>
        <v>ГОТОВ_ИЗМЕНЕН</v>
      </c>
      <c r="R1560" s="13">
        <f>IFERROR(VLOOKUP(P1560,Лист1!A$1:B$20,2,FALSE),0)</f>
        <v>784</v>
      </c>
      <c r="S1560" s="13">
        <f t="shared" si="174"/>
        <v>0</v>
      </c>
    </row>
    <row r="1561" spans="1:19" x14ac:dyDescent="0.25">
      <c r="A1561" s="24" t="s">
        <v>2683</v>
      </c>
      <c r="B1561" s="4" t="s">
        <v>1063</v>
      </c>
      <c r="C1561" s="25" t="s">
        <v>5</v>
      </c>
      <c r="G1561" s="25" t="s">
        <v>1224</v>
      </c>
      <c r="H1561" s="24" t="s">
        <v>1061</v>
      </c>
      <c r="I1561" s="3" t="str">
        <f>IFERROR(VLOOKUP(C1561,'Справочник соответствий'!A$2:D$2981,2,FALSE),IF(VALUE(C1561)=0,1,VLOOKUP(C1561,'Справочник соответствий'!A$2:D$2981,2,FALSE)))</f>
        <v>1</v>
      </c>
      <c r="J1561" s="3">
        <f>IFERROR(VLOOKUP(D1561,'Справочник соответствий'!A$2:D$2981,2,FALSE),IF(VALUE(D1561)=0,0,VLOOKUP(D1561,'Справочник соответствий'!A$2:D$2981,2,FALSE)))</f>
        <v>0</v>
      </c>
      <c r="K1561" s="3" t="str">
        <f t="shared" si="168"/>
        <v>1</v>
      </c>
      <c r="L1561" s="13" t="str">
        <f>IFERROR(VLOOKUP(C1561,'Справочник соответствий'!A$2:D$2981,3,FALSE),IF(VALUE(C1561)=0,"ЭТАЖ НЕ ОПРЕДЕЛЕН. ПРИНЯТ ПО ДОПУЩЕНИЮ 1",VLOOKUP(C1561,'Справочник соответствий'!A$2:D$2981,3,FALSE)))</f>
        <v>ЭТАЖ ЗАДАН ЧИСЛОМ</v>
      </c>
      <c r="M1561" s="13" t="b">
        <f t="shared" si="169"/>
        <v>0</v>
      </c>
      <c r="N1561" s="13">
        <f t="shared" si="170"/>
        <v>1</v>
      </c>
      <c r="O1561" s="13" t="str">
        <f t="shared" si="171"/>
        <v>ЭТАЖ ЗАДАН ЧИСЛОМ</v>
      </c>
      <c r="P1561" s="13" t="str">
        <f t="shared" si="172"/>
        <v>ЭТАЖ ЗАДАН ЧИСЛОМ</v>
      </c>
      <c r="Q1561" s="13" t="str">
        <f t="shared" si="173"/>
        <v>ГОТОВ_ИЗМЕНЕН</v>
      </c>
      <c r="R1561" s="13">
        <f>IFERROR(VLOOKUP(P1561,Лист1!A$1:B$20,2,FALSE),0)</f>
        <v>784</v>
      </c>
      <c r="S1561" s="13">
        <f t="shared" si="174"/>
        <v>0</v>
      </c>
    </row>
    <row r="1562" spans="1:19" x14ac:dyDescent="0.25">
      <c r="A1562" s="24" t="s">
        <v>2684</v>
      </c>
      <c r="B1562" s="4" t="s">
        <v>1063</v>
      </c>
      <c r="C1562" s="25" t="s">
        <v>5</v>
      </c>
      <c r="G1562" s="25" t="s">
        <v>1224</v>
      </c>
      <c r="H1562" s="24" t="s">
        <v>1061</v>
      </c>
      <c r="I1562" s="3" t="str">
        <f>IFERROR(VLOOKUP(C1562,'Справочник соответствий'!A$2:D$2981,2,FALSE),IF(VALUE(C1562)=0,1,VLOOKUP(C1562,'Справочник соответствий'!A$2:D$2981,2,FALSE)))</f>
        <v>1</v>
      </c>
      <c r="J1562" s="3">
        <f>IFERROR(VLOOKUP(D1562,'Справочник соответствий'!A$2:D$2981,2,FALSE),IF(VALUE(D1562)=0,0,VLOOKUP(D1562,'Справочник соответствий'!A$2:D$2981,2,FALSE)))</f>
        <v>0</v>
      </c>
      <c r="K1562" s="3" t="str">
        <f t="shared" si="168"/>
        <v>1</v>
      </c>
      <c r="L1562" s="13" t="str">
        <f>IFERROR(VLOOKUP(C1562,'Справочник соответствий'!A$2:D$2981,3,FALSE),IF(VALUE(C1562)=0,"ЭТАЖ НЕ ОПРЕДЕЛЕН. ПРИНЯТ ПО ДОПУЩЕНИЮ 1",VLOOKUP(C1562,'Справочник соответствий'!A$2:D$2981,3,FALSE)))</f>
        <v>ЭТАЖ ЗАДАН ЧИСЛОМ</v>
      </c>
      <c r="M1562" s="13" t="b">
        <f t="shared" si="169"/>
        <v>0</v>
      </c>
      <c r="N1562" s="13">
        <f t="shared" si="170"/>
        <v>1</v>
      </c>
      <c r="O1562" s="13" t="str">
        <f t="shared" si="171"/>
        <v>ЭТАЖ ЗАДАН ЧИСЛОМ</v>
      </c>
      <c r="P1562" s="13" t="str">
        <f t="shared" si="172"/>
        <v>ЭТАЖ ЗАДАН ЧИСЛОМ</v>
      </c>
      <c r="Q1562" s="13" t="str">
        <f t="shared" si="173"/>
        <v>ГОТОВ_ИЗМЕНЕН</v>
      </c>
      <c r="R1562" s="13">
        <f>IFERROR(VLOOKUP(P1562,Лист1!A$1:B$20,2,FALSE),0)</f>
        <v>784</v>
      </c>
      <c r="S1562" s="13">
        <f t="shared" si="174"/>
        <v>0</v>
      </c>
    </row>
    <row r="1563" spans="1:19" x14ac:dyDescent="0.25">
      <c r="A1563" s="24" t="s">
        <v>2685</v>
      </c>
      <c r="B1563" s="4" t="s">
        <v>1059</v>
      </c>
      <c r="C1563" s="25" t="s">
        <v>8</v>
      </c>
      <c r="G1563" s="25" t="s">
        <v>1224</v>
      </c>
      <c r="H1563" s="24" t="s">
        <v>1061</v>
      </c>
      <c r="I1563" s="3" t="str">
        <f>IFERROR(VLOOKUP(C1563,'Справочник соответствий'!A$2:D$2981,2,FALSE),IF(VALUE(C1563)=0,1,VLOOKUP(C1563,'Справочник соответствий'!A$2:D$2981,2,FALSE)))</f>
        <v>3</v>
      </c>
      <c r="J1563" s="3">
        <f>IFERROR(VLOOKUP(D1563,'Справочник соответствий'!A$2:D$2981,2,FALSE),IF(VALUE(D1563)=0,0,VLOOKUP(D1563,'Справочник соответствий'!A$2:D$2981,2,FALSE)))</f>
        <v>0</v>
      </c>
      <c r="K1563" s="3" t="str">
        <f t="shared" si="168"/>
        <v>3</v>
      </c>
      <c r="L1563" s="13" t="str">
        <f>IFERROR(VLOOKUP(C1563,'Справочник соответствий'!A$2:D$2981,3,FALSE),IF(VALUE(C1563)=0,"ЭТАЖ НЕ ОПРЕДЕЛЕН. ПРИНЯТ ПО ДОПУЩЕНИЮ 1",VLOOKUP(C1563,'Справочник соответствий'!A$2:D$2981,3,FALSE)))</f>
        <v>ЭТАЖ ЗАДАН ЧИСЛОМ</v>
      </c>
      <c r="M1563" s="13" t="b">
        <f t="shared" si="169"/>
        <v>0</v>
      </c>
      <c r="N1563" s="13">
        <f t="shared" si="170"/>
        <v>3</v>
      </c>
      <c r="O1563" s="13" t="str">
        <f t="shared" si="171"/>
        <v>ЭТАЖ ЗАДАН ЧИСЛОМ</v>
      </c>
      <c r="P1563" s="13" t="str">
        <f t="shared" si="172"/>
        <v>ЭТАЖ ЗАДАН ЧИСЛОМ</v>
      </c>
      <c r="Q1563" s="13" t="str">
        <f t="shared" si="173"/>
        <v>ГОТОВ_ИЗМЕНЕН</v>
      </c>
      <c r="R1563" s="13">
        <f>IFERROR(VLOOKUP(P1563,Лист1!A$1:B$20,2,FALSE),0)</f>
        <v>784</v>
      </c>
      <c r="S1563" s="13">
        <f t="shared" si="174"/>
        <v>0</v>
      </c>
    </row>
    <row r="1564" spans="1:19" x14ac:dyDescent="0.25">
      <c r="A1564" s="24" t="s">
        <v>2686</v>
      </c>
      <c r="B1564" s="4" t="s">
        <v>1059</v>
      </c>
      <c r="C1564" s="25" t="s">
        <v>5</v>
      </c>
      <c r="G1564" s="25" t="s">
        <v>1224</v>
      </c>
      <c r="H1564" s="24" t="s">
        <v>1061</v>
      </c>
      <c r="I1564" s="3" t="str">
        <f>IFERROR(VLOOKUP(C1564,'Справочник соответствий'!A$2:D$2981,2,FALSE),IF(VALUE(C1564)=0,1,VLOOKUP(C1564,'Справочник соответствий'!A$2:D$2981,2,FALSE)))</f>
        <v>1</v>
      </c>
      <c r="J1564" s="3">
        <f>IFERROR(VLOOKUP(D1564,'Справочник соответствий'!A$2:D$2981,2,FALSE),IF(VALUE(D1564)=0,0,VLOOKUP(D1564,'Справочник соответствий'!A$2:D$2981,2,FALSE)))</f>
        <v>0</v>
      </c>
      <c r="K1564" s="3" t="str">
        <f t="shared" si="168"/>
        <v>1</v>
      </c>
      <c r="L1564" s="13" t="str">
        <f>IFERROR(VLOOKUP(C1564,'Справочник соответствий'!A$2:D$2981,3,FALSE),IF(VALUE(C1564)=0,"ЭТАЖ НЕ ОПРЕДЕЛЕН. ПРИНЯТ ПО ДОПУЩЕНИЮ 1",VLOOKUP(C1564,'Справочник соответствий'!A$2:D$2981,3,FALSE)))</f>
        <v>ЭТАЖ ЗАДАН ЧИСЛОМ</v>
      </c>
      <c r="M1564" s="13" t="b">
        <f t="shared" si="169"/>
        <v>0</v>
      </c>
      <c r="N1564" s="13">
        <f t="shared" si="170"/>
        <v>1</v>
      </c>
      <c r="O1564" s="13" t="str">
        <f t="shared" si="171"/>
        <v>ЭТАЖ ЗАДАН ЧИСЛОМ</v>
      </c>
      <c r="P1564" s="13" t="str">
        <f t="shared" si="172"/>
        <v>ЭТАЖ ЗАДАН ЧИСЛОМ</v>
      </c>
      <c r="Q1564" s="13" t="str">
        <f t="shared" si="173"/>
        <v>ГОТОВ_ИЗМЕНЕН</v>
      </c>
      <c r="R1564" s="13">
        <f>IFERROR(VLOOKUP(P1564,Лист1!A$1:B$20,2,FALSE),0)</f>
        <v>784</v>
      </c>
      <c r="S1564" s="13">
        <f t="shared" si="174"/>
        <v>0</v>
      </c>
    </row>
    <row r="1565" spans="1:19" x14ac:dyDescent="0.25">
      <c r="A1565" s="24" t="s">
        <v>2687</v>
      </c>
      <c r="B1565" s="4" t="s">
        <v>1059</v>
      </c>
      <c r="C1565" s="25" t="s">
        <v>7</v>
      </c>
      <c r="G1565" s="25" t="s">
        <v>1174</v>
      </c>
      <c r="H1565" s="24" t="s">
        <v>1061</v>
      </c>
      <c r="I1565" s="3" t="str">
        <f>IFERROR(VLOOKUP(C1565,'Справочник соответствий'!A$2:D$2981,2,FALSE),IF(VALUE(C1565)=0,1,VLOOKUP(C1565,'Справочник соответствий'!A$2:D$2981,2,FALSE)))</f>
        <v>2</v>
      </c>
      <c r="J1565" s="3">
        <f>IFERROR(VLOOKUP(D1565,'Справочник соответствий'!A$2:D$2981,2,FALSE),IF(VALUE(D1565)=0,0,VLOOKUP(D1565,'Справочник соответствий'!A$2:D$2981,2,FALSE)))</f>
        <v>0</v>
      </c>
      <c r="K1565" s="3" t="str">
        <f t="shared" si="168"/>
        <v>2</v>
      </c>
      <c r="L1565" s="13" t="str">
        <f>IFERROR(VLOOKUP(C1565,'Справочник соответствий'!A$2:D$2981,3,FALSE),IF(VALUE(C1565)=0,"ЭТАЖ НЕ ОПРЕДЕЛЕН. ПРИНЯТ ПО ДОПУЩЕНИЮ 1",VLOOKUP(C1565,'Справочник соответствий'!A$2:D$2981,3,FALSE)))</f>
        <v>ЭТАЖ ЗАДАН ЧИСЛОМ</v>
      </c>
      <c r="M1565" s="13" t="b">
        <f t="shared" si="169"/>
        <v>0</v>
      </c>
      <c r="N1565" s="13">
        <f t="shared" si="170"/>
        <v>2</v>
      </c>
      <c r="O1565" s="13" t="str">
        <f t="shared" si="171"/>
        <v>ЭТАЖ ЗАДАН ЧИСЛОМ</v>
      </c>
      <c r="P1565" s="13" t="str">
        <f t="shared" si="172"/>
        <v>ЭТАЖ ЗАДАН ЧИСЛОМ</v>
      </c>
      <c r="Q1565" s="13" t="str">
        <f t="shared" si="173"/>
        <v>ГОТОВ_ИЗМЕНЕН</v>
      </c>
      <c r="R1565" s="13">
        <f>IFERROR(VLOOKUP(P1565,Лист1!A$1:B$20,2,FALSE),0)</f>
        <v>784</v>
      </c>
      <c r="S1565" s="13">
        <f t="shared" si="174"/>
        <v>0</v>
      </c>
    </row>
    <row r="1566" spans="1:19" x14ac:dyDescent="0.25">
      <c r="A1566" s="24" t="s">
        <v>2688</v>
      </c>
      <c r="B1566" s="4" t="s">
        <v>1059</v>
      </c>
      <c r="C1566" s="25" t="s">
        <v>7</v>
      </c>
      <c r="G1566" s="25" t="s">
        <v>1219</v>
      </c>
      <c r="H1566" s="24" t="s">
        <v>1061</v>
      </c>
      <c r="I1566" s="3" t="str">
        <f>IFERROR(VLOOKUP(C1566,'Справочник соответствий'!A$2:D$2981,2,FALSE),IF(VALUE(C1566)=0,1,VLOOKUP(C1566,'Справочник соответствий'!A$2:D$2981,2,FALSE)))</f>
        <v>2</v>
      </c>
      <c r="J1566" s="3">
        <f>IFERROR(VLOOKUP(D1566,'Справочник соответствий'!A$2:D$2981,2,FALSE),IF(VALUE(D1566)=0,0,VLOOKUP(D1566,'Справочник соответствий'!A$2:D$2981,2,FALSE)))</f>
        <v>0</v>
      </c>
      <c r="K1566" s="3" t="str">
        <f t="shared" si="168"/>
        <v>2</v>
      </c>
      <c r="L1566" s="13" t="str">
        <f>IFERROR(VLOOKUP(C1566,'Справочник соответствий'!A$2:D$2981,3,FALSE),IF(VALUE(C1566)=0,"ЭТАЖ НЕ ОПРЕДЕЛЕН. ПРИНЯТ ПО ДОПУЩЕНИЮ 1",VLOOKUP(C1566,'Справочник соответствий'!A$2:D$2981,3,FALSE)))</f>
        <v>ЭТАЖ ЗАДАН ЧИСЛОМ</v>
      </c>
      <c r="M1566" s="13" t="b">
        <f t="shared" si="169"/>
        <v>0</v>
      </c>
      <c r="N1566" s="13">
        <f t="shared" si="170"/>
        <v>2</v>
      </c>
      <c r="O1566" s="13" t="str">
        <f t="shared" si="171"/>
        <v>ЭТАЖ ЗАДАН ЧИСЛОМ</v>
      </c>
      <c r="P1566" s="13" t="str">
        <f t="shared" si="172"/>
        <v>ЭТАЖ ЗАДАН ЧИСЛОМ</v>
      </c>
      <c r="Q1566" s="13" t="str">
        <f t="shared" si="173"/>
        <v>ГОТОВ_ИЗМЕНЕН</v>
      </c>
      <c r="R1566" s="13">
        <f>IFERROR(VLOOKUP(P1566,Лист1!A$1:B$20,2,FALSE),0)</f>
        <v>784</v>
      </c>
      <c r="S1566" s="13">
        <f t="shared" si="174"/>
        <v>0</v>
      </c>
    </row>
    <row r="1567" spans="1:19" x14ac:dyDescent="0.25">
      <c r="A1567" s="24" t="s">
        <v>2689</v>
      </c>
      <c r="B1567" s="4" t="s">
        <v>1059</v>
      </c>
      <c r="C1567" s="25" t="s">
        <v>7</v>
      </c>
      <c r="D1567" s="25" t="s">
        <v>69</v>
      </c>
      <c r="G1567" s="25" t="s">
        <v>1230</v>
      </c>
      <c r="H1567" s="24" t="s">
        <v>1061</v>
      </c>
      <c r="I1567" s="3" t="str">
        <f>IFERROR(VLOOKUP(C1567,'Справочник соответствий'!A$2:D$2981,2,FALSE),IF(VALUE(C1567)=0,1,VLOOKUP(C1567,'Справочник соответствий'!A$2:D$2981,2,FALSE)))</f>
        <v>2</v>
      </c>
      <c r="J1567" s="3" t="str">
        <f>IFERROR(VLOOKUP(D1567,'Справочник соответствий'!A$2:D$2981,2,FALSE),IF(VALUE(D1567)=0,0,VLOOKUP(D1567,'Справочник соответствий'!A$2:D$2981,2,FALSE)))</f>
        <v>1</v>
      </c>
      <c r="K1567" s="3" t="str">
        <f t="shared" si="168"/>
        <v>2</v>
      </c>
      <c r="L1567" s="13" t="str">
        <f>IFERROR(VLOOKUP(C1567,'Справочник соответствий'!A$2:D$2981,3,FALSE),IF(VALUE(C1567)=0,"ЭТАЖ НЕ ОПРЕДЕЛЕН. ПРИНЯТ ПО ДОПУЩЕНИЮ 1",VLOOKUP(C1567,'Справочник соответствий'!A$2:D$2981,3,FALSE)))</f>
        <v>ЭТАЖ ЗАДАН ЧИСЛОМ</v>
      </c>
      <c r="M1567" s="13" t="b">
        <f t="shared" si="169"/>
        <v>0</v>
      </c>
      <c r="N1567" s="13">
        <f t="shared" si="170"/>
        <v>2</v>
      </c>
      <c r="O1567" s="13" t="str">
        <f t="shared" si="171"/>
        <v>ЭТАЖ ЗАДАН ЧИСЛОМ</v>
      </c>
      <c r="P1567" s="13" t="str">
        <f t="shared" si="172"/>
        <v>ЭТАЖ ЗАДАН ЧИСЛОМ</v>
      </c>
      <c r="Q1567" s="13" t="str">
        <f t="shared" si="173"/>
        <v>ГОТОВ_ИЗМЕНЕН</v>
      </c>
      <c r="R1567" s="13">
        <f>IFERROR(VLOOKUP(P1567,Лист1!A$1:B$20,2,FALSE),0)</f>
        <v>784</v>
      </c>
      <c r="S1567" s="13">
        <f t="shared" si="174"/>
        <v>0</v>
      </c>
    </row>
    <row r="1568" spans="1:19" x14ac:dyDescent="0.25">
      <c r="A1568" s="24" t="s">
        <v>2690</v>
      </c>
      <c r="B1568" s="4" t="s">
        <v>1059</v>
      </c>
      <c r="C1568" s="25" t="s">
        <v>5</v>
      </c>
      <c r="G1568" s="25" t="s">
        <v>1453</v>
      </c>
      <c r="H1568" s="24" t="s">
        <v>1061</v>
      </c>
      <c r="I1568" s="3" t="str">
        <f>IFERROR(VLOOKUP(C1568,'Справочник соответствий'!A$2:D$2981,2,FALSE),IF(VALUE(C1568)=0,1,VLOOKUP(C1568,'Справочник соответствий'!A$2:D$2981,2,FALSE)))</f>
        <v>1</v>
      </c>
      <c r="J1568" s="3">
        <f>IFERROR(VLOOKUP(D1568,'Справочник соответствий'!A$2:D$2981,2,FALSE),IF(VALUE(D1568)=0,0,VLOOKUP(D1568,'Справочник соответствий'!A$2:D$2981,2,FALSE)))</f>
        <v>0</v>
      </c>
      <c r="K1568" s="3" t="str">
        <f t="shared" si="168"/>
        <v>1</v>
      </c>
      <c r="L1568" s="13" t="str">
        <f>IFERROR(VLOOKUP(C1568,'Справочник соответствий'!A$2:D$2981,3,FALSE),IF(VALUE(C1568)=0,"ЭТАЖ НЕ ОПРЕДЕЛЕН. ПРИНЯТ ПО ДОПУЩЕНИЮ 1",VLOOKUP(C1568,'Справочник соответствий'!A$2:D$2981,3,FALSE)))</f>
        <v>ЭТАЖ ЗАДАН ЧИСЛОМ</v>
      </c>
      <c r="M1568" s="13" t="b">
        <f t="shared" si="169"/>
        <v>0</v>
      </c>
      <c r="N1568" s="13">
        <f t="shared" si="170"/>
        <v>1</v>
      </c>
      <c r="O1568" s="13" t="str">
        <f t="shared" si="171"/>
        <v>ЭТАЖ ЗАДАН ЧИСЛОМ</v>
      </c>
      <c r="P1568" s="13" t="str">
        <f t="shared" si="172"/>
        <v>ЭТАЖ ЗАДАН ЧИСЛОМ</v>
      </c>
      <c r="Q1568" s="13" t="str">
        <f t="shared" si="173"/>
        <v>ГОТОВ_ИЗМЕНЕН</v>
      </c>
      <c r="R1568" s="13">
        <f>IFERROR(VLOOKUP(P1568,Лист1!A$1:B$20,2,FALSE),0)</f>
        <v>784</v>
      </c>
      <c r="S1568" s="13">
        <f t="shared" si="174"/>
        <v>0</v>
      </c>
    </row>
    <row r="1569" spans="1:19" x14ac:dyDescent="0.25">
      <c r="A1569" s="24" t="s">
        <v>2691</v>
      </c>
      <c r="B1569" s="4" t="s">
        <v>1059</v>
      </c>
      <c r="C1569" s="25" t="s">
        <v>5</v>
      </c>
      <c r="G1569" s="25" t="s">
        <v>1230</v>
      </c>
      <c r="H1569" s="24" t="s">
        <v>1061</v>
      </c>
      <c r="I1569" s="3" t="str">
        <f>IFERROR(VLOOKUP(C1569,'Справочник соответствий'!A$2:D$2981,2,FALSE),IF(VALUE(C1569)=0,1,VLOOKUP(C1569,'Справочник соответствий'!A$2:D$2981,2,FALSE)))</f>
        <v>1</v>
      </c>
      <c r="J1569" s="3">
        <f>IFERROR(VLOOKUP(D1569,'Справочник соответствий'!A$2:D$2981,2,FALSE),IF(VALUE(D1569)=0,0,VLOOKUP(D1569,'Справочник соответствий'!A$2:D$2981,2,FALSE)))</f>
        <v>0</v>
      </c>
      <c r="K1569" s="3" t="str">
        <f t="shared" si="168"/>
        <v>1</v>
      </c>
      <c r="L1569" s="13" t="str">
        <f>IFERROR(VLOOKUP(C1569,'Справочник соответствий'!A$2:D$2981,3,FALSE),IF(VALUE(C1569)=0,"ЭТАЖ НЕ ОПРЕДЕЛЕН. ПРИНЯТ ПО ДОПУЩЕНИЮ 1",VLOOKUP(C1569,'Справочник соответствий'!A$2:D$2981,3,FALSE)))</f>
        <v>ЭТАЖ ЗАДАН ЧИСЛОМ</v>
      </c>
      <c r="M1569" s="13" t="b">
        <f t="shared" si="169"/>
        <v>0</v>
      </c>
      <c r="N1569" s="13">
        <f t="shared" si="170"/>
        <v>1</v>
      </c>
      <c r="O1569" s="13" t="str">
        <f t="shared" si="171"/>
        <v>ЭТАЖ ЗАДАН ЧИСЛОМ</v>
      </c>
      <c r="P1569" s="13" t="str">
        <f t="shared" si="172"/>
        <v>ЭТАЖ ЗАДАН ЧИСЛОМ</v>
      </c>
      <c r="Q1569" s="13" t="str">
        <f t="shared" si="173"/>
        <v>ГОТОВ_ИЗМЕНЕН</v>
      </c>
      <c r="R1569" s="13">
        <f>IFERROR(VLOOKUP(P1569,Лист1!A$1:B$20,2,FALSE),0)</f>
        <v>784</v>
      </c>
      <c r="S1569" s="13">
        <f t="shared" si="174"/>
        <v>0</v>
      </c>
    </row>
    <row r="1570" spans="1:19" x14ac:dyDescent="0.25">
      <c r="A1570" s="24" t="s">
        <v>2692</v>
      </c>
      <c r="B1570" s="4" t="s">
        <v>1063</v>
      </c>
      <c r="C1570" s="25" t="s">
        <v>5</v>
      </c>
      <c r="G1570" s="25" t="s">
        <v>1219</v>
      </c>
      <c r="H1570" s="24" t="s">
        <v>1061</v>
      </c>
      <c r="I1570" s="3" t="str">
        <f>IFERROR(VLOOKUP(C1570,'Справочник соответствий'!A$2:D$2981,2,FALSE),IF(VALUE(C1570)=0,1,VLOOKUP(C1570,'Справочник соответствий'!A$2:D$2981,2,FALSE)))</f>
        <v>1</v>
      </c>
      <c r="J1570" s="3">
        <f>IFERROR(VLOOKUP(D1570,'Справочник соответствий'!A$2:D$2981,2,FALSE),IF(VALUE(D1570)=0,0,VLOOKUP(D1570,'Справочник соответствий'!A$2:D$2981,2,FALSE)))</f>
        <v>0</v>
      </c>
      <c r="K1570" s="3" t="str">
        <f t="shared" si="168"/>
        <v>1</v>
      </c>
      <c r="L1570" s="13" t="str">
        <f>IFERROR(VLOOKUP(C1570,'Справочник соответствий'!A$2:D$2981,3,FALSE),IF(VALUE(C1570)=0,"ЭТАЖ НЕ ОПРЕДЕЛЕН. ПРИНЯТ ПО ДОПУЩЕНИЮ 1",VLOOKUP(C1570,'Справочник соответствий'!A$2:D$2981,3,FALSE)))</f>
        <v>ЭТАЖ ЗАДАН ЧИСЛОМ</v>
      </c>
      <c r="M1570" s="13" t="b">
        <f t="shared" si="169"/>
        <v>0</v>
      </c>
      <c r="N1570" s="13">
        <f t="shared" si="170"/>
        <v>1</v>
      </c>
      <c r="O1570" s="13" t="str">
        <f t="shared" si="171"/>
        <v>ЭТАЖ ЗАДАН ЧИСЛОМ</v>
      </c>
      <c r="P1570" s="13" t="str">
        <f t="shared" si="172"/>
        <v>ЭТАЖ ЗАДАН ЧИСЛОМ</v>
      </c>
      <c r="Q1570" s="13" t="str">
        <f t="shared" si="173"/>
        <v>ГОТОВ_ИЗМЕНЕН</v>
      </c>
      <c r="R1570" s="13">
        <f>IFERROR(VLOOKUP(P1570,Лист1!A$1:B$20,2,FALSE),0)</f>
        <v>784</v>
      </c>
      <c r="S1570" s="13">
        <f t="shared" si="174"/>
        <v>0</v>
      </c>
    </row>
    <row r="1571" spans="1:19" x14ac:dyDescent="0.25">
      <c r="A1571" s="24" t="s">
        <v>2693</v>
      </c>
      <c r="B1571" s="4" t="s">
        <v>1063</v>
      </c>
      <c r="C1571" s="25" t="s">
        <v>5</v>
      </c>
      <c r="G1571" s="25" t="s">
        <v>1230</v>
      </c>
      <c r="H1571" s="24" t="s">
        <v>1061</v>
      </c>
      <c r="I1571" s="3" t="str">
        <f>IFERROR(VLOOKUP(C1571,'Справочник соответствий'!A$2:D$2981,2,FALSE),IF(VALUE(C1571)=0,1,VLOOKUP(C1571,'Справочник соответствий'!A$2:D$2981,2,FALSE)))</f>
        <v>1</v>
      </c>
      <c r="J1571" s="3">
        <f>IFERROR(VLOOKUP(D1571,'Справочник соответствий'!A$2:D$2981,2,FALSE),IF(VALUE(D1571)=0,0,VLOOKUP(D1571,'Справочник соответствий'!A$2:D$2981,2,FALSE)))</f>
        <v>0</v>
      </c>
      <c r="K1571" s="3" t="str">
        <f t="shared" si="168"/>
        <v>1</v>
      </c>
      <c r="L1571" s="13" t="str">
        <f>IFERROR(VLOOKUP(C1571,'Справочник соответствий'!A$2:D$2981,3,FALSE),IF(VALUE(C1571)=0,"ЭТАЖ НЕ ОПРЕДЕЛЕН. ПРИНЯТ ПО ДОПУЩЕНИЮ 1",VLOOKUP(C1571,'Справочник соответствий'!A$2:D$2981,3,FALSE)))</f>
        <v>ЭТАЖ ЗАДАН ЧИСЛОМ</v>
      </c>
      <c r="M1571" s="13" t="b">
        <f t="shared" si="169"/>
        <v>0</v>
      </c>
      <c r="N1571" s="13">
        <f t="shared" si="170"/>
        <v>1</v>
      </c>
      <c r="O1571" s="13" t="str">
        <f t="shared" si="171"/>
        <v>ЭТАЖ ЗАДАН ЧИСЛОМ</v>
      </c>
      <c r="P1571" s="13" t="str">
        <f t="shared" si="172"/>
        <v>ЭТАЖ ЗАДАН ЧИСЛОМ</v>
      </c>
      <c r="Q1571" s="13" t="str">
        <f t="shared" si="173"/>
        <v>ГОТОВ_ИЗМЕНЕН</v>
      </c>
      <c r="R1571" s="13">
        <f>IFERROR(VLOOKUP(P1571,Лист1!A$1:B$20,2,FALSE),0)</f>
        <v>784</v>
      </c>
      <c r="S1571" s="13">
        <f t="shared" si="174"/>
        <v>0</v>
      </c>
    </row>
    <row r="1572" spans="1:19" x14ac:dyDescent="0.25">
      <c r="A1572" s="24" t="s">
        <v>2694</v>
      </c>
      <c r="B1572" s="4" t="s">
        <v>1059</v>
      </c>
      <c r="C1572" s="25" t="s">
        <v>7</v>
      </c>
      <c r="G1572" s="25" t="s">
        <v>1230</v>
      </c>
      <c r="H1572" s="24" t="s">
        <v>1061</v>
      </c>
      <c r="I1572" s="3" t="str">
        <f>IFERROR(VLOOKUP(C1572,'Справочник соответствий'!A$2:D$2981,2,FALSE),IF(VALUE(C1572)=0,1,VLOOKUP(C1572,'Справочник соответствий'!A$2:D$2981,2,FALSE)))</f>
        <v>2</v>
      </c>
      <c r="J1572" s="3">
        <f>IFERROR(VLOOKUP(D1572,'Справочник соответствий'!A$2:D$2981,2,FALSE),IF(VALUE(D1572)=0,0,VLOOKUP(D1572,'Справочник соответствий'!A$2:D$2981,2,FALSE)))</f>
        <v>0</v>
      </c>
      <c r="K1572" s="3" t="str">
        <f t="shared" si="168"/>
        <v>2</v>
      </c>
      <c r="L1572" s="13" t="str">
        <f>IFERROR(VLOOKUP(C1572,'Справочник соответствий'!A$2:D$2981,3,FALSE),IF(VALUE(C1572)=0,"ЭТАЖ НЕ ОПРЕДЕЛЕН. ПРИНЯТ ПО ДОПУЩЕНИЮ 1",VLOOKUP(C1572,'Справочник соответствий'!A$2:D$2981,3,FALSE)))</f>
        <v>ЭТАЖ ЗАДАН ЧИСЛОМ</v>
      </c>
      <c r="M1572" s="13" t="b">
        <f t="shared" si="169"/>
        <v>0</v>
      </c>
      <c r="N1572" s="13">
        <f t="shared" si="170"/>
        <v>2</v>
      </c>
      <c r="O1572" s="13" t="str">
        <f t="shared" si="171"/>
        <v>ЭТАЖ ЗАДАН ЧИСЛОМ</v>
      </c>
      <c r="P1572" s="13" t="str">
        <f t="shared" si="172"/>
        <v>ЭТАЖ ЗАДАН ЧИСЛОМ</v>
      </c>
      <c r="Q1572" s="13" t="str">
        <f t="shared" si="173"/>
        <v>ГОТОВ_ИЗМЕНЕН</v>
      </c>
      <c r="R1572" s="13">
        <f>IFERROR(VLOOKUP(P1572,Лист1!A$1:B$20,2,FALSE),0)</f>
        <v>784</v>
      </c>
      <c r="S1572" s="13">
        <f t="shared" si="174"/>
        <v>0</v>
      </c>
    </row>
    <row r="1573" spans="1:19" x14ac:dyDescent="0.25">
      <c r="A1573" s="24" t="s">
        <v>2695</v>
      </c>
      <c r="B1573" s="4" t="s">
        <v>1059</v>
      </c>
      <c r="G1573" s="25" t="s">
        <v>1193</v>
      </c>
      <c r="H1573" s="24" t="s">
        <v>1061</v>
      </c>
      <c r="I1573" s="3">
        <f>IFERROR(VLOOKUP(C1573,'Справочник соответствий'!A$2:D$2981,2,FALSE),IF(VALUE(C1573)=0,1,VLOOKUP(C1573,'Справочник соответствий'!A$2:D$2981,2,FALSE)))</f>
        <v>1</v>
      </c>
      <c r="J1573" s="3">
        <f>IFERROR(VLOOKUP(D1573,'Справочник соответствий'!A$2:D$2981,2,FALSE),IF(VALUE(D1573)=0,0,VLOOKUP(D1573,'Справочник соответствий'!A$2:D$2981,2,FALSE)))</f>
        <v>0</v>
      </c>
      <c r="K1573" s="3">
        <f t="shared" si="168"/>
        <v>1</v>
      </c>
      <c r="L1573" s="13" t="str">
        <f>IFERROR(VLOOKUP(C1573,'Справочник соответствий'!A$2:D$2981,3,FALSE),IF(VALUE(C1573)=0,"ЭТАЖ НЕ ОПРЕДЕЛЕН. ПРИНЯТ ПО ДОПУЩЕНИЮ 1",VLOOKUP(C1573,'Справочник соответствий'!A$2:D$2981,3,FALSE)))</f>
        <v>ЭТАЖ НЕ ОПРЕДЕЛЕН. ПРИНЯТ ПО ДОПУЩЕНИЮ 1</v>
      </c>
      <c r="M1573" s="13" t="b">
        <f t="shared" si="169"/>
        <v>0</v>
      </c>
      <c r="N1573" s="13">
        <f t="shared" si="170"/>
        <v>1</v>
      </c>
      <c r="O1573" s="13" t="str">
        <f t="shared" si="171"/>
        <v>ЭТАЖ НЕ ОПРЕДЕЛЕН. ПРИНЯТ ПО ДОПУЩЕНИЮ 1</v>
      </c>
      <c r="P1573" s="13" t="str">
        <f t="shared" si="172"/>
        <v>ЭТАЖ НЕ ОПРЕДЕЛЕН. ПРИНЯТ ПО ДОПУЩЕНИЮ 1</v>
      </c>
      <c r="Q1573" s="13" t="str">
        <f t="shared" si="173"/>
        <v>ГОТОВ_ИЗМЕНЕН</v>
      </c>
      <c r="R1573" s="13">
        <f>IFERROR(VLOOKUP(P1573,Лист1!A$1:B$20,2,FALSE),0)</f>
        <v>788</v>
      </c>
      <c r="S1573" s="13">
        <f t="shared" si="174"/>
        <v>0</v>
      </c>
    </row>
    <row r="1574" spans="1:19" x14ac:dyDescent="0.25">
      <c r="A1574" s="24" t="s">
        <v>2696</v>
      </c>
      <c r="B1574" s="4" t="s">
        <v>1059</v>
      </c>
      <c r="C1574" s="25" t="s">
        <v>5</v>
      </c>
      <c r="G1574" s="25" t="s">
        <v>1193</v>
      </c>
      <c r="H1574" s="24" t="s">
        <v>1061</v>
      </c>
      <c r="I1574" s="3" t="str">
        <f>IFERROR(VLOOKUP(C1574,'Справочник соответствий'!A$2:D$2981,2,FALSE),IF(VALUE(C1574)=0,1,VLOOKUP(C1574,'Справочник соответствий'!A$2:D$2981,2,FALSE)))</f>
        <v>1</v>
      </c>
      <c r="J1574" s="3">
        <f>IFERROR(VLOOKUP(D1574,'Справочник соответствий'!A$2:D$2981,2,FALSE),IF(VALUE(D1574)=0,0,VLOOKUP(D1574,'Справочник соответствий'!A$2:D$2981,2,FALSE)))</f>
        <v>0</v>
      </c>
      <c r="K1574" s="3" t="str">
        <f t="shared" si="168"/>
        <v>1</v>
      </c>
      <c r="L1574" s="13" t="str">
        <f>IFERROR(VLOOKUP(C1574,'Справочник соответствий'!A$2:D$2981,3,FALSE),IF(VALUE(C1574)=0,"ЭТАЖ НЕ ОПРЕДЕЛЕН. ПРИНЯТ ПО ДОПУЩЕНИЮ 1",VLOOKUP(C1574,'Справочник соответствий'!A$2:D$2981,3,FALSE)))</f>
        <v>ЭТАЖ ЗАДАН ЧИСЛОМ</v>
      </c>
      <c r="M1574" s="13" t="b">
        <f t="shared" si="169"/>
        <v>0</v>
      </c>
      <c r="N1574" s="13">
        <f t="shared" si="170"/>
        <v>1</v>
      </c>
      <c r="O1574" s="13" t="str">
        <f t="shared" si="171"/>
        <v>ЭТАЖ ЗАДАН ЧИСЛОМ</v>
      </c>
      <c r="P1574" s="13" t="str">
        <f t="shared" si="172"/>
        <v>ЭТАЖ ЗАДАН ЧИСЛОМ</v>
      </c>
      <c r="Q1574" s="13" t="str">
        <f t="shared" si="173"/>
        <v>ГОТОВ_ИЗМЕНЕН</v>
      </c>
      <c r="R1574" s="13">
        <f>IFERROR(VLOOKUP(P1574,Лист1!A$1:B$20,2,FALSE),0)</f>
        <v>784</v>
      </c>
      <c r="S1574" s="13">
        <f t="shared" si="174"/>
        <v>0</v>
      </c>
    </row>
    <row r="1575" spans="1:19" x14ac:dyDescent="0.25">
      <c r="A1575" s="24" t="s">
        <v>2697</v>
      </c>
      <c r="B1575" s="4" t="s">
        <v>1059</v>
      </c>
      <c r="C1575" s="25" t="s">
        <v>5</v>
      </c>
      <c r="G1575" s="25" t="s">
        <v>1067</v>
      </c>
      <c r="H1575" s="24" t="s">
        <v>1061</v>
      </c>
      <c r="I1575" s="3" t="str">
        <f>IFERROR(VLOOKUP(C1575,'Справочник соответствий'!A$2:D$2981,2,FALSE),IF(VALUE(C1575)=0,1,VLOOKUP(C1575,'Справочник соответствий'!A$2:D$2981,2,FALSE)))</f>
        <v>1</v>
      </c>
      <c r="J1575" s="3">
        <f>IFERROR(VLOOKUP(D1575,'Справочник соответствий'!A$2:D$2981,2,FALSE),IF(VALUE(D1575)=0,0,VLOOKUP(D1575,'Справочник соответствий'!A$2:D$2981,2,FALSE)))</f>
        <v>0</v>
      </c>
      <c r="K1575" s="3" t="str">
        <f t="shared" si="168"/>
        <v>1</v>
      </c>
      <c r="L1575" s="13" t="str">
        <f>IFERROR(VLOOKUP(C1575,'Справочник соответствий'!A$2:D$2981,3,FALSE),IF(VALUE(C1575)=0,"ЭТАЖ НЕ ОПРЕДЕЛЕН. ПРИНЯТ ПО ДОПУЩЕНИЮ 1",VLOOKUP(C1575,'Справочник соответствий'!A$2:D$2981,3,FALSE)))</f>
        <v>ЭТАЖ ЗАДАН ЧИСЛОМ</v>
      </c>
      <c r="M1575" s="13" t="b">
        <f t="shared" si="169"/>
        <v>0</v>
      </c>
      <c r="N1575" s="13">
        <f t="shared" si="170"/>
        <v>1</v>
      </c>
      <c r="O1575" s="13" t="str">
        <f t="shared" si="171"/>
        <v>ЭТАЖ ЗАДАН ЧИСЛОМ</v>
      </c>
      <c r="P1575" s="13" t="str">
        <f t="shared" si="172"/>
        <v>ЭТАЖ ЗАДАН ЧИСЛОМ</v>
      </c>
      <c r="Q1575" s="13" t="str">
        <f t="shared" si="173"/>
        <v>ГОТОВ_ИЗМЕНЕН</v>
      </c>
      <c r="R1575" s="13">
        <f>IFERROR(VLOOKUP(P1575,Лист1!A$1:B$20,2,FALSE),0)</f>
        <v>784</v>
      </c>
      <c r="S1575" s="13">
        <f t="shared" si="174"/>
        <v>0</v>
      </c>
    </row>
    <row r="1576" spans="1:19" x14ac:dyDescent="0.25">
      <c r="A1576" s="24" t="s">
        <v>2698</v>
      </c>
      <c r="B1576" s="4" t="s">
        <v>1063</v>
      </c>
      <c r="C1576" s="25" t="s">
        <v>5</v>
      </c>
      <c r="G1576" s="25" t="s">
        <v>1067</v>
      </c>
      <c r="H1576" s="24" t="s">
        <v>1061</v>
      </c>
      <c r="I1576" s="3" t="str">
        <f>IFERROR(VLOOKUP(C1576,'Справочник соответствий'!A$2:D$2981,2,FALSE),IF(VALUE(C1576)=0,1,VLOOKUP(C1576,'Справочник соответствий'!A$2:D$2981,2,FALSE)))</f>
        <v>1</v>
      </c>
      <c r="J1576" s="3">
        <f>IFERROR(VLOOKUP(D1576,'Справочник соответствий'!A$2:D$2981,2,FALSE),IF(VALUE(D1576)=0,0,VLOOKUP(D1576,'Справочник соответствий'!A$2:D$2981,2,FALSE)))</f>
        <v>0</v>
      </c>
      <c r="K1576" s="3" t="str">
        <f t="shared" si="168"/>
        <v>1</v>
      </c>
      <c r="L1576" s="13" t="str">
        <f>IFERROR(VLOOKUP(C1576,'Справочник соответствий'!A$2:D$2981,3,FALSE),IF(VALUE(C1576)=0,"ЭТАЖ НЕ ОПРЕДЕЛЕН. ПРИНЯТ ПО ДОПУЩЕНИЮ 1",VLOOKUP(C1576,'Справочник соответствий'!A$2:D$2981,3,FALSE)))</f>
        <v>ЭТАЖ ЗАДАН ЧИСЛОМ</v>
      </c>
      <c r="M1576" s="13" t="b">
        <f t="shared" si="169"/>
        <v>0</v>
      </c>
      <c r="N1576" s="13">
        <f t="shared" si="170"/>
        <v>1</v>
      </c>
      <c r="O1576" s="13" t="str">
        <f t="shared" si="171"/>
        <v>ЭТАЖ ЗАДАН ЧИСЛОМ</v>
      </c>
      <c r="P1576" s="13" t="str">
        <f t="shared" si="172"/>
        <v>ЭТАЖ ЗАДАН ЧИСЛОМ</v>
      </c>
      <c r="Q1576" s="13" t="str">
        <f t="shared" si="173"/>
        <v>ГОТОВ_ИЗМЕНЕН</v>
      </c>
      <c r="R1576" s="13">
        <f>IFERROR(VLOOKUP(P1576,Лист1!A$1:B$20,2,FALSE),0)</f>
        <v>784</v>
      </c>
      <c r="S1576" s="13">
        <f t="shared" si="174"/>
        <v>0</v>
      </c>
    </row>
    <row r="1577" spans="1:19" x14ac:dyDescent="0.25">
      <c r="A1577" s="24" t="s">
        <v>2699</v>
      </c>
      <c r="B1577" s="4" t="s">
        <v>1059</v>
      </c>
      <c r="C1577" s="25" t="s">
        <v>7</v>
      </c>
      <c r="D1577" s="25" t="s">
        <v>5</v>
      </c>
      <c r="G1577" s="25" t="s">
        <v>1067</v>
      </c>
      <c r="H1577" s="24" t="s">
        <v>1061</v>
      </c>
      <c r="I1577" s="3" t="str">
        <f>IFERROR(VLOOKUP(C1577,'Справочник соответствий'!A$2:D$2981,2,FALSE),IF(VALUE(C1577)=0,1,VLOOKUP(C1577,'Справочник соответствий'!A$2:D$2981,2,FALSE)))</f>
        <v>2</v>
      </c>
      <c r="J1577" s="3" t="str">
        <f>IFERROR(VLOOKUP(D1577,'Справочник соответствий'!A$2:D$2981,2,FALSE),IF(VALUE(D1577)=0,0,VLOOKUP(D1577,'Справочник соответствий'!A$2:D$2981,2,FALSE)))</f>
        <v>1</v>
      </c>
      <c r="K1577" s="3" t="str">
        <f t="shared" si="168"/>
        <v>2</v>
      </c>
      <c r="L1577" s="13" t="str">
        <f>IFERROR(VLOOKUP(C1577,'Справочник соответствий'!A$2:D$2981,3,FALSE),IF(VALUE(C1577)=0,"ЭТАЖ НЕ ОПРЕДЕЛЕН. ПРИНЯТ ПО ДОПУЩЕНИЮ 1",VLOOKUP(C1577,'Справочник соответствий'!A$2:D$2981,3,FALSE)))</f>
        <v>ЭТАЖ ЗАДАН ЧИСЛОМ</v>
      </c>
      <c r="M1577" s="13" t="b">
        <f t="shared" si="169"/>
        <v>0</v>
      </c>
      <c r="N1577" s="13">
        <f t="shared" si="170"/>
        <v>2</v>
      </c>
      <c r="O1577" s="13" t="str">
        <f t="shared" si="171"/>
        <v>ЭТАЖ ЗАДАН ЧИСЛОМ</v>
      </c>
      <c r="P1577" s="13" t="str">
        <f t="shared" si="172"/>
        <v>ЭТАЖ ЗАДАН ЧИСЛОМ</v>
      </c>
      <c r="Q1577" s="13" t="str">
        <f t="shared" si="173"/>
        <v>ГОТОВ_ИЗМЕНЕН</v>
      </c>
      <c r="R1577" s="13">
        <f>IFERROR(VLOOKUP(P1577,Лист1!A$1:B$20,2,FALSE),0)</f>
        <v>784</v>
      </c>
      <c r="S1577" s="13">
        <f t="shared" si="174"/>
        <v>0</v>
      </c>
    </row>
    <row r="1578" spans="1:19" x14ac:dyDescent="0.25">
      <c r="A1578" s="24" t="s">
        <v>2700</v>
      </c>
      <c r="B1578" s="4" t="s">
        <v>1063</v>
      </c>
      <c r="C1578" s="25" t="s">
        <v>7</v>
      </c>
      <c r="G1578" s="25" t="s">
        <v>1067</v>
      </c>
      <c r="H1578" s="24" t="s">
        <v>1061</v>
      </c>
      <c r="I1578" s="3" t="str">
        <f>IFERROR(VLOOKUP(C1578,'Справочник соответствий'!A$2:D$2981,2,FALSE),IF(VALUE(C1578)=0,1,VLOOKUP(C1578,'Справочник соответствий'!A$2:D$2981,2,FALSE)))</f>
        <v>2</v>
      </c>
      <c r="J1578" s="3">
        <f>IFERROR(VLOOKUP(D1578,'Справочник соответствий'!A$2:D$2981,2,FALSE),IF(VALUE(D1578)=0,0,VLOOKUP(D1578,'Справочник соответствий'!A$2:D$2981,2,FALSE)))</f>
        <v>0</v>
      </c>
      <c r="K1578" s="3" t="str">
        <f t="shared" si="168"/>
        <v>2</v>
      </c>
      <c r="L1578" s="13" t="str">
        <f>IFERROR(VLOOKUP(C1578,'Справочник соответствий'!A$2:D$2981,3,FALSE),IF(VALUE(C1578)=0,"ЭТАЖ НЕ ОПРЕДЕЛЕН. ПРИНЯТ ПО ДОПУЩЕНИЮ 1",VLOOKUP(C1578,'Справочник соответствий'!A$2:D$2981,3,FALSE)))</f>
        <v>ЭТАЖ ЗАДАН ЧИСЛОМ</v>
      </c>
      <c r="M1578" s="13" t="b">
        <f t="shared" si="169"/>
        <v>0</v>
      </c>
      <c r="N1578" s="13">
        <f t="shared" si="170"/>
        <v>2</v>
      </c>
      <c r="O1578" s="13" t="str">
        <f t="shared" si="171"/>
        <v>ЭТАЖ ЗАДАН ЧИСЛОМ</v>
      </c>
      <c r="P1578" s="13" t="str">
        <f t="shared" si="172"/>
        <v>ЭТАЖ ЗАДАН ЧИСЛОМ</v>
      </c>
      <c r="Q1578" s="13" t="str">
        <f t="shared" si="173"/>
        <v>ГОТОВ_ИЗМЕНЕН</v>
      </c>
      <c r="R1578" s="13">
        <f>IFERROR(VLOOKUP(P1578,Лист1!A$1:B$20,2,FALSE),0)</f>
        <v>784</v>
      </c>
      <c r="S1578" s="13">
        <f t="shared" si="174"/>
        <v>0</v>
      </c>
    </row>
    <row r="1579" spans="1:19" x14ac:dyDescent="0.25">
      <c r="A1579" s="24" t="s">
        <v>2701</v>
      </c>
      <c r="B1579" s="4" t="s">
        <v>1063</v>
      </c>
      <c r="C1579" s="25" t="s">
        <v>5</v>
      </c>
      <c r="G1579" s="25" t="s">
        <v>1067</v>
      </c>
      <c r="H1579" s="24" t="s">
        <v>1061</v>
      </c>
      <c r="I1579" s="3" t="str">
        <f>IFERROR(VLOOKUP(C1579,'Справочник соответствий'!A$2:D$2981,2,FALSE),IF(VALUE(C1579)=0,1,VLOOKUP(C1579,'Справочник соответствий'!A$2:D$2981,2,FALSE)))</f>
        <v>1</v>
      </c>
      <c r="J1579" s="3">
        <f>IFERROR(VLOOKUP(D1579,'Справочник соответствий'!A$2:D$2981,2,FALSE),IF(VALUE(D1579)=0,0,VLOOKUP(D1579,'Справочник соответствий'!A$2:D$2981,2,FALSE)))</f>
        <v>0</v>
      </c>
      <c r="K1579" s="3" t="str">
        <f t="shared" si="168"/>
        <v>1</v>
      </c>
      <c r="L1579" s="13" t="str">
        <f>IFERROR(VLOOKUP(C1579,'Справочник соответствий'!A$2:D$2981,3,FALSE),IF(VALUE(C1579)=0,"ЭТАЖ НЕ ОПРЕДЕЛЕН. ПРИНЯТ ПО ДОПУЩЕНИЮ 1",VLOOKUP(C1579,'Справочник соответствий'!A$2:D$2981,3,FALSE)))</f>
        <v>ЭТАЖ ЗАДАН ЧИСЛОМ</v>
      </c>
      <c r="M1579" s="13" t="b">
        <f t="shared" si="169"/>
        <v>0</v>
      </c>
      <c r="N1579" s="13">
        <f t="shared" si="170"/>
        <v>1</v>
      </c>
      <c r="O1579" s="13" t="str">
        <f t="shared" si="171"/>
        <v>ЭТАЖ ЗАДАН ЧИСЛОМ</v>
      </c>
      <c r="P1579" s="13" t="str">
        <f t="shared" si="172"/>
        <v>ЭТАЖ ЗАДАН ЧИСЛОМ</v>
      </c>
      <c r="Q1579" s="13" t="str">
        <f t="shared" si="173"/>
        <v>ГОТОВ_ИЗМЕНЕН</v>
      </c>
      <c r="R1579" s="13">
        <f>IFERROR(VLOOKUP(P1579,Лист1!A$1:B$20,2,FALSE),0)</f>
        <v>784</v>
      </c>
      <c r="S1579" s="13">
        <f t="shared" si="174"/>
        <v>0</v>
      </c>
    </row>
    <row r="1580" spans="1:19" x14ac:dyDescent="0.25">
      <c r="A1580" s="24" t="s">
        <v>2702</v>
      </c>
      <c r="B1580" s="4" t="s">
        <v>1059</v>
      </c>
      <c r="C1580" s="25" t="s">
        <v>5</v>
      </c>
      <c r="G1580" s="25" t="s">
        <v>1067</v>
      </c>
      <c r="H1580" s="24" t="s">
        <v>1061</v>
      </c>
      <c r="I1580" s="3" t="str">
        <f>IFERROR(VLOOKUP(C1580,'Справочник соответствий'!A$2:D$2981,2,FALSE),IF(VALUE(C1580)=0,1,VLOOKUP(C1580,'Справочник соответствий'!A$2:D$2981,2,FALSE)))</f>
        <v>1</v>
      </c>
      <c r="J1580" s="3">
        <f>IFERROR(VLOOKUP(D1580,'Справочник соответствий'!A$2:D$2981,2,FALSE),IF(VALUE(D1580)=0,0,VLOOKUP(D1580,'Справочник соответствий'!A$2:D$2981,2,FALSE)))</f>
        <v>0</v>
      </c>
      <c r="K1580" s="3" t="str">
        <f t="shared" si="168"/>
        <v>1</v>
      </c>
      <c r="L1580" s="13" t="str">
        <f>IFERROR(VLOOKUP(C1580,'Справочник соответствий'!A$2:D$2981,3,FALSE),IF(VALUE(C1580)=0,"ЭТАЖ НЕ ОПРЕДЕЛЕН. ПРИНЯТ ПО ДОПУЩЕНИЮ 1",VLOOKUP(C1580,'Справочник соответствий'!A$2:D$2981,3,FALSE)))</f>
        <v>ЭТАЖ ЗАДАН ЧИСЛОМ</v>
      </c>
      <c r="M1580" s="13" t="b">
        <f t="shared" si="169"/>
        <v>0</v>
      </c>
      <c r="N1580" s="13">
        <f t="shared" si="170"/>
        <v>1</v>
      </c>
      <c r="O1580" s="13" t="str">
        <f t="shared" si="171"/>
        <v>ЭТАЖ ЗАДАН ЧИСЛОМ</v>
      </c>
      <c r="P1580" s="13" t="str">
        <f t="shared" si="172"/>
        <v>ЭТАЖ ЗАДАН ЧИСЛОМ</v>
      </c>
      <c r="Q1580" s="13" t="str">
        <f t="shared" si="173"/>
        <v>ГОТОВ_ИЗМЕНЕН</v>
      </c>
      <c r="R1580" s="13">
        <f>IFERROR(VLOOKUP(P1580,Лист1!A$1:B$20,2,FALSE),0)</f>
        <v>784</v>
      </c>
      <c r="S1580" s="13">
        <f t="shared" si="174"/>
        <v>0</v>
      </c>
    </row>
    <row r="1581" spans="1:19" x14ac:dyDescent="0.25">
      <c r="A1581" s="24" t="s">
        <v>2703</v>
      </c>
      <c r="B1581" s="4" t="s">
        <v>1059</v>
      </c>
      <c r="C1581" s="25" t="s">
        <v>7</v>
      </c>
      <c r="G1581" s="25" t="s">
        <v>1067</v>
      </c>
      <c r="H1581" s="24" t="s">
        <v>1061</v>
      </c>
      <c r="I1581" s="3" t="str">
        <f>IFERROR(VLOOKUP(C1581,'Справочник соответствий'!A$2:D$2981,2,FALSE),IF(VALUE(C1581)=0,1,VLOOKUP(C1581,'Справочник соответствий'!A$2:D$2981,2,FALSE)))</f>
        <v>2</v>
      </c>
      <c r="J1581" s="3">
        <f>IFERROR(VLOOKUP(D1581,'Справочник соответствий'!A$2:D$2981,2,FALSE),IF(VALUE(D1581)=0,0,VLOOKUP(D1581,'Справочник соответствий'!A$2:D$2981,2,FALSE)))</f>
        <v>0</v>
      </c>
      <c r="K1581" s="3" t="str">
        <f t="shared" si="168"/>
        <v>2</v>
      </c>
      <c r="L1581" s="13" t="str">
        <f>IFERROR(VLOOKUP(C1581,'Справочник соответствий'!A$2:D$2981,3,FALSE),IF(VALUE(C1581)=0,"ЭТАЖ НЕ ОПРЕДЕЛЕН. ПРИНЯТ ПО ДОПУЩЕНИЮ 1",VLOOKUP(C1581,'Справочник соответствий'!A$2:D$2981,3,FALSE)))</f>
        <v>ЭТАЖ ЗАДАН ЧИСЛОМ</v>
      </c>
      <c r="M1581" s="13" t="b">
        <f t="shared" si="169"/>
        <v>0</v>
      </c>
      <c r="N1581" s="13">
        <f t="shared" si="170"/>
        <v>2</v>
      </c>
      <c r="O1581" s="13" t="str">
        <f t="shared" si="171"/>
        <v>ЭТАЖ ЗАДАН ЧИСЛОМ</v>
      </c>
      <c r="P1581" s="13" t="str">
        <f t="shared" si="172"/>
        <v>ЭТАЖ ЗАДАН ЧИСЛОМ</v>
      </c>
      <c r="Q1581" s="13" t="str">
        <f t="shared" si="173"/>
        <v>ГОТОВ_ИЗМЕНЕН</v>
      </c>
      <c r="R1581" s="13">
        <f>IFERROR(VLOOKUP(P1581,Лист1!A$1:B$20,2,FALSE),0)</f>
        <v>784</v>
      </c>
      <c r="S1581" s="13">
        <f t="shared" si="174"/>
        <v>0</v>
      </c>
    </row>
    <row r="1582" spans="1:19" x14ac:dyDescent="0.25">
      <c r="A1582" s="24" t="s">
        <v>2704</v>
      </c>
      <c r="B1582" s="4" t="s">
        <v>1059</v>
      </c>
      <c r="C1582" s="25" t="s">
        <v>7</v>
      </c>
      <c r="G1582" s="25" t="s">
        <v>1067</v>
      </c>
      <c r="H1582" s="24" t="s">
        <v>1061</v>
      </c>
      <c r="I1582" s="3" t="str">
        <f>IFERROR(VLOOKUP(C1582,'Справочник соответствий'!A$2:D$2981,2,FALSE),IF(VALUE(C1582)=0,1,VLOOKUP(C1582,'Справочник соответствий'!A$2:D$2981,2,FALSE)))</f>
        <v>2</v>
      </c>
      <c r="J1582" s="3">
        <f>IFERROR(VLOOKUP(D1582,'Справочник соответствий'!A$2:D$2981,2,FALSE),IF(VALUE(D1582)=0,0,VLOOKUP(D1582,'Справочник соответствий'!A$2:D$2981,2,FALSE)))</f>
        <v>0</v>
      </c>
      <c r="K1582" s="3" t="str">
        <f t="shared" si="168"/>
        <v>2</v>
      </c>
      <c r="L1582" s="13" t="str">
        <f>IFERROR(VLOOKUP(C1582,'Справочник соответствий'!A$2:D$2981,3,FALSE),IF(VALUE(C1582)=0,"ЭТАЖ НЕ ОПРЕДЕЛЕН. ПРИНЯТ ПО ДОПУЩЕНИЮ 1",VLOOKUP(C1582,'Справочник соответствий'!A$2:D$2981,3,FALSE)))</f>
        <v>ЭТАЖ ЗАДАН ЧИСЛОМ</v>
      </c>
      <c r="M1582" s="13" t="b">
        <f t="shared" si="169"/>
        <v>0</v>
      </c>
      <c r="N1582" s="13">
        <f t="shared" si="170"/>
        <v>2</v>
      </c>
      <c r="O1582" s="13" t="str">
        <f t="shared" si="171"/>
        <v>ЭТАЖ ЗАДАН ЧИСЛОМ</v>
      </c>
      <c r="P1582" s="13" t="str">
        <f t="shared" si="172"/>
        <v>ЭТАЖ ЗАДАН ЧИСЛОМ</v>
      </c>
      <c r="Q1582" s="13" t="str">
        <f t="shared" si="173"/>
        <v>ГОТОВ_ИЗМЕНЕН</v>
      </c>
      <c r="R1582" s="13">
        <f>IFERROR(VLOOKUP(P1582,Лист1!A$1:B$20,2,FALSE),0)</f>
        <v>784</v>
      </c>
      <c r="S1582" s="13">
        <f t="shared" si="174"/>
        <v>0</v>
      </c>
    </row>
    <row r="1583" spans="1:19" x14ac:dyDescent="0.25">
      <c r="A1583" s="24" t="s">
        <v>2705</v>
      </c>
      <c r="B1583" s="4" t="s">
        <v>1063</v>
      </c>
      <c r="C1583" s="25" t="s">
        <v>5</v>
      </c>
      <c r="G1583" s="25" t="s">
        <v>1086</v>
      </c>
      <c r="H1583" s="24" t="s">
        <v>1061</v>
      </c>
      <c r="I1583" s="3" t="str">
        <f>IFERROR(VLOOKUP(C1583,'Справочник соответствий'!A$2:D$2981,2,FALSE),IF(VALUE(C1583)=0,1,VLOOKUP(C1583,'Справочник соответствий'!A$2:D$2981,2,FALSE)))</f>
        <v>1</v>
      </c>
      <c r="J1583" s="3">
        <f>IFERROR(VLOOKUP(D1583,'Справочник соответствий'!A$2:D$2981,2,FALSE),IF(VALUE(D1583)=0,0,VLOOKUP(D1583,'Справочник соответствий'!A$2:D$2981,2,FALSE)))</f>
        <v>0</v>
      </c>
      <c r="K1583" s="3" t="str">
        <f t="shared" si="168"/>
        <v>1</v>
      </c>
      <c r="L1583" s="13" t="str">
        <f>IFERROR(VLOOKUP(C1583,'Справочник соответствий'!A$2:D$2981,3,FALSE),IF(VALUE(C1583)=0,"ЭТАЖ НЕ ОПРЕДЕЛЕН. ПРИНЯТ ПО ДОПУЩЕНИЮ 1",VLOOKUP(C1583,'Справочник соответствий'!A$2:D$2981,3,FALSE)))</f>
        <v>ЭТАЖ ЗАДАН ЧИСЛОМ</v>
      </c>
      <c r="M1583" s="13" t="b">
        <f t="shared" si="169"/>
        <v>0</v>
      </c>
      <c r="N1583" s="13">
        <f t="shared" si="170"/>
        <v>1</v>
      </c>
      <c r="O1583" s="13" t="str">
        <f t="shared" si="171"/>
        <v>ЭТАЖ ЗАДАН ЧИСЛОМ</v>
      </c>
      <c r="P1583" s="13" t="str">
        <f t="shared" si="172"/>
        <v>ЭТАЖ ЗАДАН ЧИСЛОМ</v>
      </c>
      <c r="Q1583" s="13" t="str">
        <f t="shared" si="173"/>
        <v>ГОТОВ_ИЗМЕНЕН</v>
      </c>
      <c r="R1583" s="13">
        <f>IFERROR(VLOOKUP(P1583,Лист1!A$1:B$20,2,FALSE),0)</f>
        <v>784</v>
      </c>
      <c r="S1583" s="13">
        <f t="shared" si="174"/>
        <v>0</v>
      </c>
    </row>
    <row r="1584" spans="1:19" x14ac:dyDescent="0.25">
      <c r="A1584" s="24" t="s">
        <v>2706</v>
      </c>
      <c r="B1584" s="4" t="s">
        <v>1063</v>
      </c>
      <c r="C1584" s="25" t="s">
        <v>5</v>
      </c>
      <c r="G1584" s="25" t="s">
        <v>1086</v>
      </c>
      <c r="H1584" s="24" t="s">
        <v>1061</v>
      </c>
      <c r="I1584" s="3" t="str">
        <f>IFERROR(VLOOKUP(C1584,'Справочник соответствий'!A$2:D$2981,2,FALSE),IF(VALUE(C1584)=0,1,VLOOKUP(C1584,'Справочник соответствий'!A$2:D$2981,2,FALSE)))</f>
        <v>1</v>
      </c>
      <c r="J1584" s="3">
        <f>IFERROR(VLOOKUP(D1584,'Справочник соответствий'!A$2:D$2981,2,FALSE),IF(VALUE(D1584)=0,0,VLOOKUP(D1584,'Справочник соответствий'!A$2:D$2981,2,FALSE)))</f>
        <v>0</v>
      </c>
      <c r="K1584" s="3" t="str">
        <f t="shared" si="168"/>
        <v>1</v>
      </c>
      <c r="L1584" s="13" t="str">
        <f>IFERROR(VLOOKUP(C1584,'Справочник соответствий'!A$2:D$2981,3,FALSE),IF(VALUE(C1584)=0,"ЭТАЖ НЕ ОПРЕДЕЛЕН. ПРИНЯТ ПО ДОПУЩЕНИЮ 1",VLOOKUP(C1584,'Справочник соответствий'!A$2:D$2981,3,FALSE)))</f>
        <v>ЭТАЖ ЗАДАН ЧИСЛОМ</v>
      </c>
      <c r="M1584" s="13" t="b">
        <f t="shared" si="169"/>
        <v>0</v>
      </c>
      <c r="N1584" s="13">
        <f t="shared" si="170"/>
        <v>1</v>
      </c>
      <c r="O1584" s="13" t="str">
        <f t="shared" si="171"/>
        <v>ЭТАЖ ЗАДАН ЧИСЛОМ</v>
      </c>
      <c r="P1584" s="13" t="str">
        <f t="shared" si="172"/>
        <v>ЭТАЖ ЗАДАН ЧИСЛОМ</v>
      </c>
      <c r="Q1584" s="13" t="str">
        <f t="shared" si="173"/>
        <v>ГОТОВ_ИЗМЕНЕН</v>
      </c>
      <c r="R1584" s="13">
        <f>IFERROR(VLOOKUP(P1584,Лист1!A$1:B$20,2,FALSE),0)</f>
        <v>784</v>
      </c>
      <c r="S1584" s="13">
        <f t="shared" si="174"/>
        <v>0</v>
      </c>
    </row>
    <row r="1585" spans="1:19" x14ac:dyDescent="0.25">
      <c r="A1585" s="24" t="s">
        <v>2707</v>
      </c>
      <c r="B1585" s="4" t="s">
        <v>1059</v>
      </c>
      <c r="C1585" s="25" t="s">
        <v>5</v>
      </c>
      <c r="G1585" s="25" t="s">
        <v>1289</v>
      </c>
      <c r="H1585" s="24" t="s">
        <v>1061</v>
      </c>
      <c r="I1585" s="3" t="str">
        <f>IFERROR(VLOOKUP(C1585,'Справочник соответствий'!A$2:D$2981,2,FALSE),IF(VALUE(C1585)=0,1,VLOOKUP(C1585,'Справочник соответствий'!A$2:D$2981,2,FALSE)))</f>
        <v>1</v>
      </c>
      <c r="J1585" s="3">
        <f>IFERROR(VLOOKUP(D1585,'Справочник соответствий'!A$2:D$2981,2,FALSE),IF(VALUE(D1585)=0,0,VLOOKUP(D1585,'Справочник соответствий'!A$2:D$2981,2,FALSE)))</f>
        <v>0</v>
      </c>
      <c r="K1585" s="3" t="str">
        <f t="shared" si="168"/>
        <v>1</v>
      </c>
      <c r="L1585" s="13" t="str">
        <f>IFERROR(VLOOKUP(C1585,'Справочник соответствий'!A$2:D$2981,3,FALSE),IF(VALUE(C1585)=0,"ЭТАЖ НЕ ОПРЕДЕЛЕН. ПРИНЯТ ПО ДОПУЩЕНИЮ 1",VLOOKUP(C1585,'Справочник соответствий'!A$2:D$2981,3,FALSE)))</f>
        <v>ЭТАЖ ЗАДАН ЧИСЛОМ</v>
      </c>
      <c r="M1585" s="13" t="b">
        <f t="shared" si="169"/>
        <v>0</v>
      </c>
      <c r="N1585" s="13">
        <f t="shared" si="170"/>
        <v>1</v>
      </c>
      <c r="O1585" s="13" t="str">
        <f t="shared" si="171"/>
        <v>ЭТАЖ ЗАДАН ЧИСЛОМ</v>
      </c>
      <c r="P1585" s="13" t="str">
        <f t="shared" si="172"/>
        <v>ЭТАЖ ЗАДАН ЧИСЛОМ</v>
      </c>
      <c r="Q1585" s="13" t="str">
        <f t="shared" si="173"/>
        <v>ГОТОВ_ИЗМЕНЕН</v>
      </c>
      <c r="R1585" s="13">
        <f>IFERROR(VLOOKUP(P1585,Лист1!A$1:B$20,2,FALSE),0)</f>
        <v>784</v>
      </c>
      <c r="S1585" s="13">
        <f t="shared" si="174"/>
        <v>0</v>
      </c>
    </row>
    <row r="1586" spans="1:19" x14ac:dyDescent="0.25">
      <c r="A1586" s="24" t="s">
        <v>2708</v>
      </c>
      <c r="B1586" s="4" t="s">
        <v>1059</v>
      </c>
      <c r="C1586" s="25" t="s">
        <v>7</v>
      </c>
      <c r="D1586" s="25" t="s">
        <v>69</v>
      </c>
      <c r="G1586" s="25" t="s">
        <v>1086</v>
      </c>
      <c r="H1586" s="24" t="s">
        <v>1061</v>
      </c>
      <c r="I1586" s="3" t="str">
        <f>IFERROR(VLOOKUP(C1586,'Справочник соответствий'!A$2:D$2981,2,FALSE),IF(VALUE(C1586)=0,1,VLOOKUP(C1586,'Справочник соответствий'!A$2:D$2981,2,FALSE)))</f>
        <v>2</v>
      </c>
      <c r="J1586" s="3" t="str">
        <f>IFERROR(VLOOKUP(D1586,'Справочник соответствий'!A$2:D$2981,2,FALSE),IF(VALUE(D1586)=0,0,VLOOKUP(D1586,'Справочник соответствий'!A$2:D$2981,2,FALSE)))</f>
        <v>1</v>
      </c>
      <c r="K1586" s="3" t="str">
        <f t="shared" si="168"/>
        <v>2</v>
      </c>
      <c r="L1586" s="13" t="str">
        <f>IFERROR(VLOOKUP(C1586,'Справочник соответствий'!A$2:D$2981,3,FALSE),IF(VALUE(C1586)=0,"ЭТАЖ НЕ ОПРЕДЕЛЕН. ПРИНЯТ ПО ДОПУЩЕНИЮ 1",VLOOKUP(C1586,'Справочник соответствий'!A$2:D$2981,3,FALSE)))</f>
        <v>ЭТАЖ ЗАДАН ЧИСЛОМ</v>
      </c>
      <c r="M1586" s="13" t="b">
        <f t="shared" si="169"/>
        <v>0</v>
      </c>
      <c r="N1586" s="13">
        <f t="shared" si="170"/>
        <v>2</v>
      </c>
      <c r="O1586" s="13" t="str">
        <f t="shared" si="171"/>
        <v>ЭТАЖ ЗАДАН ЧИСЛОМ</v>
      </c>
      <c r="P1586" s="13" t="str">
        <f t="shared" si="172"/>
        <v>ЭТАЖ ЗАДАН ЧИСЛОМ</v>
      </c>
      <c r="Q1586" s="13" t="str">
        <f t="shared" si="173"/>
        <v>ГОТОВ_ИЗМЕНЕН</v>
      </c>
      <c r="R1586" s="13">
        <f>IFERROR(VLOOKUP(P1586,Лист1!A$1:B$20,2,FALSE),0)</f>
        <v>784</v>
      </c>
      <c r="S1586" s="13">
        <f t="shared" si="174"/>
        <v>0</v>
      </c>
    </row>
    <row r="1587" spans="1:19" x14ac:dyDescent="0.25">
      <c r="A1587" s="24" t="s">
        <v>2709</v>
      </c>
      <c r="B1587" s="4" t="s">
        <v>1059</v>
      </c>
      <c r="C1587" s="25" t="s">
        <v>5</v>
      </c>
      <c r="G1587" s="25" t="s">
        <v>1086</v>
      </c>
      <c r="H1587" s="24" t="s">
        <v>1061</v>
      </c>
      <c r="I1587" s="3" t="str">
        <f>IFERROR(VLOOKUP(C1587,'Справочник соответствий'!A$2:D$2981,2,FALSE),IF(VALUE(C1587)=0,1,VLOOKUP(C1587,'Справочник соответствий'!A$2:D$2981,2,FALSE)))</f>
        <v>1</v>
      </c>
      <c r="J1587" s="3">
        <f>IFERROR(VLOOKUP(D1587,'Справочник соответствий'!A$2:D$2981,2,FALSE),IF(VALUE(D1587)=0,0,VLOOKUP(D1587,'Справочник соответствий'!A$2:D$2981,2,FALSE)))</f>
        <v>0</v>
      </c>
      <c r="K1587" s="3" t="str">
        <f t="shared" si="168"/>
        <v>1</v>
      </c>
      <c r="L1587" s="13" t="str">
        <f>IFERROR(VLOOKUP(C1587,'Справочник соответствий'!A$2:D$2981,3,FALSE),IF(VALUE(C1587)=0,"ЭТАЖ НЕ ОПРЕДЕЛЕН. ПРИНЯТ ПО ДОПУЩЕНИЮ 1",VLOOKUP(C1587,'Справочник соответствий'!A$2:D$2981,3,FALSE)))</f>
        <v>ЭТАЖ ЗАДАН ЧИСЛОМ</v>
      </c>
      <c r="M1587" s="13" t="b">
        <f t="shared" si="169"/>
        <v>0</v>
      </c>
      <c r="N1587" s="13">
        <f t="shared" si="170"/>
        <v>1</v>
      </c>
      <c r="O1587" s="13" t="str">
        <f t="shared" si="171"/>
        <v>ЭТАЖ ЗАДАН ЧИСЛОМ</v>
      </c>
      <c r="P1587" s="13" t="str">
        <f t="shared" si="172"/>
        <v>ЭТАЖ ЗАДАН ЧИСЛОМ</v>
      </c>
      <c r="Q1587" s="13" t="str">
        <f t="shared" si="173"/>
        <v>ГОТОВ_ИЗМЕНЕН</v>
      </c>
      <c r="R1587" s="13">
        <f>IFERROR(VLOOKUP(P1587,Лист1!A$1:B$20,2,FALSE),0)</f>
        <v>784</v>
      </c>
      <c r="S1587" s="13">
        <f t="shared" si="174"/>
        <v>0</v>
      </c>
    </row>
    <row r="1588" spans="1:19" x14ac:dyDescent="0.25">
      <c r="A1588" s="24" t="s">
        <v>2710</v>
      </c>
      <c r="B1588" s="4" t="s">
        <v>1031</v>
      </c>
      <c r="C1588" s="25" t="s">
        <v>11</v>
      </c>
      <c r="D1588" s="25" t="s">
        <v>5</v>
      </c>
      <c r="G1588" s="25" t="s">
        <v>1086</v>
      </c>
      <c r="H1588" s="24" t="s">
        <v>1061</v>
      </c>
      <c r="I1588" s="3" t="str">
        <f>IFERROR(VLOOKUP(C1588,'Справочник соответствий'!A$2:D$2981,2,FALSE),IF(VALUE(C1588)=0,1,VLOOKUP(C1588,'Справочник соответствий'!A$2:D$2981,2,FALSE)))</f>
        <v>6</v>
      </c>
      <c r="J1588" s="3" t="str">
        <f>IFERROR(VLOOKUP(D1588,'Справочник соответствий'!A$2:D$2981,2,FALSE),IF(VALUE(D1588)=0,0,VLOOKUP(D1588,'Справочник соответствий'!A$2:D$2981,2,FALSE)))</f>
        <v>1</v>
      </c>
      <c r="K1588" s="3">
        <f t="shared" si="168"/>
        <v>5</v>
      </c>
      <c r="L1588" s="13" t="str">
        <f>IFERROR(VLOOKUP(C1588,'Справочник соответствий'!A$2:D$2981,3,FALSE),IF(VALUE(C1588)=0,"ЭТАЖ НЕ ОПРЕДЕЛЕН. ПРИНЯТ ПО ДОПУЩЕНИЮ 1",VLOOKUP(C1588,'Справочник соответствий'!A$2:D$2981,3,FALSE)))</f>
        <v>ЭТАЖ ЗАДАН ЧИСЛОМ</v>
      </c>
      <c r="M1588" s="13" t="b">
        <f t="shared" si="169"/>
        <v>0</v>
      </c>
      <c r="N1588" s="13">
        <f t="shared" si="170"/>
        <v>5</v>
      </c>
      <c r="O1588" s="13" t="str">
        <f t="shared" si="171"/>
        <v>ЭТАЖ ЗАДАН ЧИСЛОМ</v>
      </c>
      <c r="P1588" s="13" t="str">
        <f t="shared" si="172"/>
        <v>МКД_ЭТАЖ ЗАДАН ЧИСЛОМ</v>
      </c>
      <c r="Q1588" s="13" t="str">
        <f t="shared" si="173"/>
        <v>ГОТОВ_ИЗМЕНЕН</v>
      </c>
      <c r="R1588" s="13">
        <f>IFERROR(VLOOKUP(P1588,Лист1!A$1:B$20,2,FALSE),0)</f>
        <v>786</v>
      </c>
      <c r="S1588" s="13">
        <f t="shared" si="174"/>
        <v>0</v>
      </c>
    </row>
    <row r="1589" spans="1:19" x14ac:dyDescent="0.25">
      <c r="A1589" s="24" t="s">
        <v>2711</v>
      </c>
      <c r="B1589" s="4" t="s">
        <v>1063</v>
      </c>
      <c r="C1589" s="25" t="s">
        <v>5</v>
      </c>
      <c r="G1589" s="25" t="s">
        <v>1289</v>
      </c>
      <c r="H1589" s="24" t="s">
        <v>1061</v>
      </c>
      <c r="I1589" s="3" t="str">
        <f>IFERROR(VLOOKUP(C1589,'Справочник соответствий'!A$2:D$2981,2,FALSE),IF(VALUE(C1589)=0,1,VLOOKUP(C1589,'Справочник соответствий'!A$2:D$2981,2,FALSE)))</f>
        <v>1</v>
      </c>
      <c r="J1589" s="3">
        <f>IFERROR(VLOOKUP(D1589,'Справочник соответствий'!A$2:D$2981,2,FALSE),IF(VALUE(D1589)=0,0,VLOOKUP(D1589,'Справочник соответствий'!A$2:D$2981,2,FALSE)))</f>
        <v>0</v>
      </c>
      <c r="K1589" s="3" t="str">
        <f t="shared" si="168"/>
        <v>1</v>
      </c>
      <c r="L1589" s="13" t="str">
        <f>IFERROR(VLOOKUP(C1589,'Справочник соответствий'!A$2:D$2981,3,FALSE),IF(VALUE(C1589)=0,"ЭТАЖ НЕ ОПРЕДЕЛЕН. ПРИНЯТ ПО ДОПУЩЕНИЮ 1",VLOOKUP(C1589,'Справочник соответствий'!A$2:D$2981,3,FALSE)))</f>
        <v>ЭТАЖ ЗАДАН ЧИСЛОМ</v>
      </c>
      <c r="M1589" s="13" t="b">
        <f t="shared" si="169"/>
        <v>0</v>
      </c>
      <c r="N1589" s="13">
        <f t="shared" si="170"/>
        <v>1</v>
      </c>
      <c r="O1589" s="13" t="str">
        <f t="shared" si="171"/>
        <v>ЭТАЖ ЗАДАН ЧИСЛОМ</v>
      </c>
      <c r="P1589" s="13" t="str">
        <f t="shared" si="172"/>
        <v>ЭТАЖ ЗАДАН ЧИСЛОМ</v>
      </c>
      <c r="Q1589" s="13" t="str">
        <f t="shared" si="173"/>
        <v>ГОТОВ_ИЗМЕНЕН</v>
      </c>
      <c r="R1589" s="13">
        <f>IFERROR(VLOOKUP(P1589,Лист1!A$1:B$20,2,FALSE),0)</f>
        <v>784</v>
      </c>
      <c r="S1589" s="13">
        <f t="shared" si="174"/>
        <v>0</v>
      </c>
    </row>
    <row r="1590" spans="1:19" x14ac:dyDescent="0.25">
      <c r="A1590" s="24" t="s">
        <v>2712</v>
      </c>
      <c r="B1590" s="4" t="s">
        <v>1059</v>
      </c>
      <c r="C1590" s="25" t="s">
        <v>7</v>
      </c>
      <c r="G1590" s="25" t="s">
        <v>1086</v>
      </c>
      <c r="H1590" s="24" t="s">
        <v>1061</v>
      </c>
      <c r="I1590" s="3" t="str">
        <f>IFERROR(VLOOKUP(C1590,'Справочник соответствий'!A$2:D$2981,2,FALSE),IF(VALUE(C1590)=0,1,VLOOKUP(C1590,'Справочник соответствий'!A$2:D$2981,2,FALSE)))</f>
        <v>2</v>
      </c>
      <c r="J1590" s="3">
        <f>IFERROR(VLOOKUP(D1590,'Справочник соответствий'!A$2:D$2981,2,FALSE),IF(VALUE(D1590)=0,0,VLOOKUP(D1590,'Справочник соответствий'!A$2:D$2981,2,FALSE)))</f>
        <v>0</v>
      </c>
      <c r="K1590" s="3" t="str">
        <f t="shared" si="168"/>
        <v>2</v>
      </c>
      <c r="L1590" s="13" t="str">
        <f>IFERROR(VLOOKUP(C1590,'Справочник соответствий'!A$2:D$2981,3,FALSE),IF(VALUE(C1590)=0,"ЭТАЖ НЕ ОПРЕДЕЛЕН. ПРИНЯТ ПО ДОПУЩЕНИЮ 1",VLOOKUP(C1590,'Справочник соответствий'!A$2:D$2981,3,FALSE)))</f>
        <v>ЭТАЖ ЗАДАН ЧИСЛОМ</v>
      </c>
      <c r="M1590" s="13" t="b">
        <f t="shared" si="169"/>
        <v>0</v>
      </c>
      <c r="N1590" s="13">
        <f t="shared" si="170"/>
        <v>2</v>
      </c>
      <c r="O1590" s="13" t="str">
        <f t="shared" si="171"/>
        <v>ЭТАЖ ЗАДАН ЧИСЛОМ</v>
      </c>
      <c r="P1590" s="13" t="str">
        <f t="shared" si="172"/>
        <v>ЭТАЖ ЗАДАН ЧИСЛОМ</v>
      </c>
      <c r="Q1590" s="13" t="str">
        <f t="shared" si="173"/>
        <v>ГОТОВ_ИЗМЕНЕН</v>
      </c>
      <c r="R1590" s="13">
        <f>IFERROR(VLOOKUP(P1590,Лист1!A$1:B$20,2,FALSE),0)</f>
        <v>784</v>
      </c>
      <c r="S1590" s="13">
        <f t="shared" si="174"/>
        <v>0</v>
      </c>
    </row>
    <row r="1591" spans="1:19" x14ac:dyDescent="0.25">
      <c r="A1591" s="24" t="s">
        <v>2713</v>
      </c>
      <c r="B1591" s="4" t="s">
        <v>1063</v>
      </c>
      <c r="G1591" s="25" t="s">
        <v>1080</v>
      </c>
      <c r="H1591" s="24" t="s">
        <v>1061</v>
      </c>
      <c r="I1591" s="3">
        <f>IFERROR(VLOOKUP(C1591,'Справочник соответствий'!A$2:D$2981,2,FALSE),IF(VALUE(C1591)=0,1,VLOOKUP(C1591,'Справочник соответствий'!A$2:D$2981,2,FALSE)))</f>
        <v>1</v>
      </c>
      <c r="J1591" s="3">
        <f>IFERROR(VLOOKUP(D1591,'Справочник соответствий'!A$2:D$2981,2,FALSE),IF(VALUE(D1591)=0,0,VLOOKUP(D1591,'Справочник соответствий'!A$2:D$2981,2,FALSE)))</f>
        <v>0</v>
      </c>
      <c r="K1591" s="3">
        <f t="shared" si="168"/>
        <v>1</v>
      </c>
      <c r="L1591" s="13" t="str">
        <f>IFERROR(VLOOKUP(C1591,'Справочник соответствий'!A$2:D$2981,3,FALSE),IF(VALUE(C1591)=0,"ЭТАЖ НЕ ОПРЕДЕЛЕН. ПРИНЯТ ПО ДОПУЩЕНИЮ 1",VLOOKUP(C1591,'Справочник соответствий'!A$2:D$2981,3,FALSE)))</f>
        <v>ЭТАЖ НЕ ОПРЕДЕЛЕН. ПРИНЯТ ПО ДОПУЩЕНИЮ 1</v>
      </c>
      <c r="M1591" s="13" t="b">
        <f t="shared" si="169"/>
        <v>0</v>
      </c>
      <c r="N1591" s="13">
        <f t="shared" si="170"/>
        <v>1</v>
      </c>
      <c r="O1591" s="13" t="str">
        <f t="shared" si="171"/>
        <v>ЭТАЖ НЕ ОПРЕДЕЛЕН. ПРИНЯТ ПО ДОПУЩЕНИЮ 1</v>
      </c>
      <c r="P1591" s="13" t="str">
        <f t="shared" si="172"/>
        <v>ЭТАЖ НЕ ОПРЕДЕЛЕН. ПРИНЯТ ПО ДОПУЩЕНИЮ 1</v>
      </c>
      <c r="Q1591" s="13" t="str">
        <f t="shared" si="173"/>
        <v>ГОТОВ_ИЗМЕНЕН</v>
      </c>
      <c r="R1591" s="13">
        <f>IFERROR(VLOOKUP(P1591,Лист1!A$1:B$20,2,FALSE),0)</f>
        <v>788</v>
      </c>
      <c r="S1591" s="13">
        <f t="shared" si="174"/>
        <v>0</v>
      </c>
    </row>
    <row r="1592" spans="1:19" x14ac:dyDescent="0.25">
      <c r="A1592" s="24" t="s">
        <v>2714</v>
      </c>
      <c r="B1592" s="4" t="s">
        <v>1059</v>
      </c>
      <c r="C1592" s="25" t="s">
        <v>5</v>
      </c>
      <c r="G1592" s="25" t="s">
        <v>1080</v>
      </c>
      <c r="H1592" s="24" t="s">
        <v>1061</v>
      </c>
      <c r="I1592" s="3" t="str">
        <f>IFERROR(VLOOKUP(C1592,'Справочник соответствий'!A$2:D$2981,2,FALSE),IF(VALUE(C1592)=0,1,VLOOKUP(C1592,'Справочник соответствий'!A$2:D$2981,2,FALSE)))</f>
        <v>1</v>
      </c>
      <c r="J1592" s="3">
        <f>IFERROR(VLOOKUP(D1592,'Справочник соответствий'!A$2:D$2981,2,FALSE),IF(VALUE(D1592)=0,0,VLOOKUP(D1592,'Справочник соответствий'!A$2:D$2981,2,FALSE)))</f>
        <v>0</v>
      </c>
      <c r="K1592" s="3" t="str">
        <f t="shared" si="168"/>
        <v>1</v>
      </c>
      <c r="L1592" s="13" t="str">
        <f>IFERROR(VLOOKUP(C1592,'Справочник соответствий'!A$2:D$2981,3,FALSE),IF(VALUE(C1592)=0,"ЭТАЖ НЕ ОПРЕДЕЛЕН. ПРИНЯТ ПО ДОПУЩЕНИЮ 1",VLOOKUP(C1592,'Справочник соответствий'!A$2:D$2981,3,FALSE)))</f>
        <v>ЭТАЖ ЗАДАН ЧИСЛОМ</v>
      </c>
      <c r="M1592" s="13" t="b">
        <f t="shared" si="169"/>
        <v>0</v>
      </c>
      <c r="N1592" s="13">
        <f t="shared" si="170"/>
        <v>1</v>
      </c>
      <c r="O1592" s="13" t="str">
        <f t="shared" si="171"/>
        <v>ЭТАЖ ЗАДАН ЧИСЛОМ</v>
      </c>
      <c r="P1592" s="13" t="str">
        <f t="shared" si="172"/>
        <v>ЭТАЖ ЗАДАН ЧИСЛОМ</v>
      </c>
      <c r="Q1592" s="13" t="str">
        <f t="shared" si="173"/>
        <v>ГОТОВ_ИЗМЕНЕН</v>
      </c>
      <c r="R1592" s="13">
        <f>IFERROR(VLOOKUP(P1592,Лист1!A$1:B$20,2,FALSE),0)</f>
        <v>784</v>
      </c>
      <c r="S1592" s="13">
        <f t="shared" si="174"/>
        <v>0</v>
      </c>
    </row>
    <row r="1593" spans="1:19" x14ac:dyDescent="0.25">
      <c r="A1593" s="24" t="s">
        <v>2715</v>
      </c>
      <c r="B1593" s="4" t="s">
        <v>1059</v>
      </c>
      <c r="C1593" s="25" t="s">
        <v>7</v>
      </c>
      <c r="G1593" s="25" t="s">
        <v>1080</v>
      </c>
      <c r="H1593" s="24" t="s">
        <v>1061</v>
      </c>
      <c r="I1593" s="3" t="str">
        <f>IFERROR(VLOOKUP(C1593,'Справочник соответствий'!A$2:D$2981,2,FALSE),IF(VALUE(C1593)=0,1,VLOOKUP(C1593,'Справочник соответствий'!A$2:D$2981,2,FALSE)))</f>
        <v>2</v>
      </c>
      <c r="J1593" s="3">
        <f>IFERROR(VLOOKUP(D1593,'Справочник соответствий'!A$2:D$2981,2,FALSE),IF(VALUE(D1593)=0,0,VLOOKUP(D1593,'Справочник соответствий'!A$2:D$2981,2,FALSE)))</f>
        <v>0</v>
      </c>
      <c r="K1593" s="3" t="str">
        <f t="shared" si="168"/>
        <v>2</v>
      </c>
      <c r="L1593" s="13" t="str">
        <f>IFERROR(VLOOKUP(C1593,'Справочник соответствий'!A$2:D$2981,3,FALSE),IF(VALUE(C1593)=0,"ЭТАЖ НЕ ОПРЕДЕЛЕН. ПРИНЯТ ПО ДОПУЩЕНИЮ 1",VLOOKUP(C1593,'Справочник соответствий'!A$2:D$2981,3,FALSE)))</f>
        <v>ЭТАЖ ЗАДАН ЧИСЛОМ</v>
      </c>
      <c r="M1593" s="13" t="b">
        <f t="shared" si="169"/>
        <v>0</v>
      </c>
      <c r="N1593" s="13">
        <f t="shared" si="170"/>
        <v>2</v>
      </c>
      <c r="O1593" s="13" t="str">
        <f t="shared" si="171"/>
        <v>ЭТАЖ ЗАДАН ЧИСЛОМ</v>
      </c>
      <c r="P1593" s="13" t="str">
        <f t="shared" si="172"/>
        <v>ЭТАЖ ЗАДАН ЧИСЛОМ</v>
      </c>
      <c r="Q1593" s="13" t="str">
        <f t="shared" si="173"/>
        <v>ГОТОВ_ИЗМЕНЕН</v>
      </c>
      <c r="R1593" s="13">
        <f>IFERROR(VLOOKUP(P1593,Лист1!A$1:B$20,2,FALSE),0)</f>
        <v>784</v>
      </c>
      <c r="S1593" s="13">
        <f t="shared" si="174"/>
        <v>0</v>
      </c>
    </row>
    <row r="1594" spans="1:19" x14ac:dyDescent="0.25">
      <c r="A1594" s="24" t="s">
        <v>2716</v>
      </c>
      <c r="B1594" s="4" t="s">
        <v>1059</v>
      </c>
      <c r="C1594" s="25" t="s">
        <v>5</v>
      </c>
      <c r="G1594" s="25" t="s">
        <v>1080</v>
      </c>
      <c r="H1594" s="24" t="s">
        <v>1061</v>
      </c>
      <c r="I1594" s="3" t="str">
        <f>IFERROR(VLOOKUP(C1594,'Справочник соответствий'!A$2:D$2981,2,FALSE),IF(VALUE(C1594)=0,1,VLOOKUP(C1594,'Справочник соответствий'!A$2:D$2981,2,FALSE)))</f>
        <v>1</v>
      </c>
      <c r="J1594" s="3">
        <f>IFERROR(VLOOKUP(D1594,'Справочник соответствий'!A$2:D$2981,2,FALSE),IF(VALUE(D1594)=0,0,VLOOKUP(D1594,'Справочник соответствий'!A$2:D$2981,2,FALSE)))</f>
        <v>0</v>
      </c>
      <c r="K1594" s="3" t="str">
        <f t="shared" si="168"/>
        <v>1</v>
      </c>
      <c r="L1594" s="13" t="str">
        <f>IFERROR(VLOOKUP(C1594,'Справочник соответствий'!A$2:D$2981,3,FALSE),IF(VALUE(C1594)=0,"ЭТАЖ НЕ ОПРЕДЕЛЕН. ПРИНЯТ ПО ДОПУЩЕНИЮ 1",VLOOKUP(C1594,'Справочник соответствий'!A$2:D$2981,3,FALSE)))</f>
        <v>ЭТАЖ ЗАДАН ЧИСЛОМ</v>
      </c>
      <c r="M1594" s="13" t="b">
        <f t="shared" si="169"/>
        <v>0</v>
      </c>
      <c r="N1594" s="13">
        <f t="shared" si="170"/>
        <v>1</v>
      </c>
      <c r="O1594" s="13" t="str">
        <f t="shared" si="171"/>
        <v>ЭТАЖ ЗАДАН ЧИСЛОМ</v>
      </c>
      <c r="P1594" s="13" t="str">
        <f t="shared" si="172"/>
        <v>ЭТАЖ ЗАДАН ЧИСЛОМ</v>
      </c>
      <c r="Q1594" s="13" t="str">
        <f t="shared" si="173"/>
        <v>ГОТОВ_ИЗМЕНЕН</v>
      </c>
      <c r="R1594" s="13">
        <f>IFERROR(VLOOKUP(P1594,Лист1!A$1:B$20,2,FALSE),0)</f>
        <v>784</v>
      </c>
      <c r="S1594" s="13">
        <f t="shared" si="174"/>
        <v>0</v>
      </c>
    </row>
    <row r="1595" spans="1:19" x14ac:dyDescent="0.25">
      <c r="A1595" s="24" t="s">
        <v>2717</v>
      </c>
      <c r="B1595" s="4" t="s">
        <v>1063</v>
      </c>
      <c r="C1595" s="25" t="s">
        <v>5</v>
      </c>
      <c r="G1595" s="25" t="s">
        <v>1328</v>
      </c>
      <c r="H1595" s="24" t="s">
        <v>1061</v>
      </c>
      <c r="I1595" s="3" t="str">
        <f>IFERROR(VLOOKUP(C1595,'Справочник соответствий'!A$2:D$2981,2,FALSE),IF(VALUE(C1595)=0,1,VLOOKUP(C1595,'Справочник соответствий'!A$2:D$2981,2,FALSE)))</f>
        <v>1</v>
      </c>
      <c r="J1595" s="3">
        <f>IFERROR(VLOOKUP(D1595,'Справочник соответствий'!A$2:D$2981,2,FALSE),IF(VALUE(D1595)=0,0,VLOOKUP(D1595,'Справочник соответствий'!A$2:D$2981,2,FALSE)))</f>
        <v>0</v>
      </c>
      <c r="K1595" s="3" t="str">
        <f t="shared" si="168"/>
        <v>1</v>
      </c>
      <c r="L1595" s="13" t="str">
        <f>IFERROR(VLOOKUP(C1595,'Справочник соответствий'!A$2:D$2981,3,FALSE),IF(VALUE(C1595)=0,"ЭТАЖ НЕ ОПРЕДЕЛЕН. ПРИНЯТ ПО ДОПУЩЕНИЮ 1",VLOOKUP(C1595,'Справочник соответствий'!A$2:D$2981,3,FALSE)))</f>
        <v>ЭТАЖ ЗАДАН ЧИСЛОМ</v>
      </c>
      <c r="M1595" s="13" t="b">
        <f t="shared" si="169"/>
        <v>0</v>
      </c>
      <c r="N1595" s="13">
        <f t="shared" si="170"/>
        <v>1</v>
      </c>
      <c r="O1595" s="13" t="str">
        <f t="shared" si="171"/>
        <v>ЭТАЖ ЗАДАН ЧИСЛОМ</v>
      </c>
      <c r="P1595" s="13" t="str">
        <f t="shared" si="172"/>
        <v>ЭТАЖ ЗАДАН ЧИСЛОМ</v>
      </c>
      <c r="Q1595" s="13" t="str">
        <f t="shared" si="173"/>
        <v>ГОТОВ_ИЗМЕНЕН</v>
      </c>
      <c r="R1595" s="13">
        <f>IFERROR(VLOOKUP(P1595,Лист1!A$1:B$20,2,FALSE),0)</f>
        <v>784</v>
      </c>
      <c r="S1595" s="13">
        <f t="shared" si="174"/>
        <v>0</v>
      </c>
    </row>
    <row r="1596" spans="1:19" x14ac:dyDescent="0.25">
      <c r="A1596" s="24" t="s">
        <v>2718</v>
      </c>
      <c r="B1596" s="4" t="s">
        <v>1063</v>
      </c>
      <c r="C1596" s="25" t="s">
        <v>5</v>
      </c>
      <c r="G1596" s="25" t="s">
        <v>1222</v>
      </c>
      <c r="H1596" s="24" t="s">
        <v>1061</v>
      </c>
      <c r="I1596" s="3" t="str">
        <f>IFERROR(VLOOKUP(C1596,'Справочник соответствий'!A$2:D$2981,2,FALSE),IF(VALUE(C1596)=0,1,VLOOKUP(C1596,'Справочник соответствий'!A$2:D$2981,2,FALSE)))</f>
        <v>1</v>
      </c>
      <c r="J1596" s="3">
        <f>IFERROR(VLOOKUP(D1596,'Справочник соответствий'!A$2:D$2981,2,FALSE),IF(VALUE(D1596)=0,0,VLOOKUP(D1596,'Справочник соответствий'!A$2:D$2981,2,FALSE)))</f>
        <v>0</v>
      </c>
      <c r="K1596" s="3" t="str">
        <f t="shared" si="168"/>
        <v>1</v>
      </c>
      <c r="L1596" s="13" t="str">
        <f>IFERROR(VLOOKUP(C1596,'Справочник соответствий'!A$2:D$2981,3,FALSE),IF(VALUE(C1596)=0,"ЭТАЖ НЕ ОПРЕДЕЛЕН. ПРИНЯТ ПО ДОПУЩЕНИЮ 1",VLOOKUP(C1596,'Справочник соответствий'!A$2:D$2981,3,FALSE)))</f>
        <v>ЭТАЖ ЗАДАН ЧИСЛОМ</v>
      </c>
      <c r="M1596" s="13" t="b">
        <f t="shared" si="169"/>
        <v>0</v>
      </c>
      <c r="N1596" s="13">
        <f t="shared" si="170"/>
        <v>1</v>
      </c>
      <c r="O1596" s="13" t="str">
        <f t="shared" si="171"/>
        <v>ЭТАЖ ЗАДАН ЧИСЛОМ</v>
      </c>
      <c r="P1596" s="13" t="str">
        <f t="shared" si="172"/>
        <v>ЭТАЖ ЗАДАН ЧИСЛОМ</v>
      </c>
      <c r="Q1596" s="13" t="str">
        <f t="shared" si="173"/>
        <v>ГОТОВ_ИЗМЕНЕН</v>
      </c>
      <c r="R1596" s="13">
        <f>IFERROR(VLOOKUP(P1596,Лист1!A$1:B$20,2,FALSE),0)</f>
        <v>784</v>
      </c>
      <c r="S1596" s="13">
        <f t="shared" si="174"/>
        <v>0</v>
      </c>
    </row>
    <row r="1597" spans="1:19" x14ac:dyDescent="0.25">
      <c r="A1597" s="24" t="s">
        <v>2719</v>
      </c>
      <c r="B1597" s="4" t="s">
        <v>1059</v>
      </c>
      <c r="C1597" s="25" t="s">
        <v>7</v>
      </c>
      <c r="G1597" s="25" t="s">
        <v>1080</v>
      </c>
      <c r="H1597" s="24" t="s">
        <v>1061</v>
      </c>
      <c r="I1597" s="3" t="str">
        <f>IFERROR(VLOOKUP(C1597,'Справочник соответствий'!A$2:D$2981,2,FALSE),IF(VALUE(C1597)=0,1,VLOOKUP(C1597,'Справочник соответствий'!A$2:D$2981,2,FALSE)))</f>
        <v>2</v>
      </c>
      <c r="J1597" s="3">
        <f>IFERROR(VLOOKUP(D1597,'Справочник соответствий'!A$2:D$2981,2,FALSE),IF(VALUE(D1597)=0,0,VLOOKUP(D1597,'Справочник соответствий'!A$2:D$2981,2,FALSE)))</f>
        <v>0</v>
      </c>
      <c r="K1597" s="3" t="str">
        <f t="shared" si="168"/>
        <v>2</v>
      </c>
      <c r="L1597" s="13" t="str">
        <f>IFERROR(VLOOKUP(C1597,'Справочник соответствий'!A$2:D$2981,3,FALSE),IF(VALUE(C1597)=0,"ЭТАЖ НЕ ОПРЕДЕЛЕН. ПРИНЯТ ПО ДОПУЩЕНИЮ 1",VLOOKUP(C1597,'Справочник соответствий'!A$2:D$2981,3,FALSE)))</f>
        <v>ЭТАЖ ЗАДАН ЧИСЛОМ</v>
      </c>
      <c r="M1597" s="13" t="b">
        <f t="shared" si="169"/>
        <v>0</v>
      </c>
      <c r="N1597" s="13">
        <f t="shared" si="170"/>
        <v>2</v>
      </c>
      <c r="O1597" s="13" t="str">
        <f t="shared" si="171"/>
        <v>ЭТАЖ ЗАДАН ЧИСЛОМ</v>
      </c>
      <c r="P1597" s="13" t="str">
        <f t="shared" si="172"/>
        <v>ЭТАЖ ЗАДАН ЧИСЛОМ</v>
      </c>
      <c r="Q1597" s="13" t="str">
        <f t="shared" si="173"/>
        <v>ГОТОВ_ИЗМЕНЕН</v>
      </c>
      <c r="R1597" s="13">
        <f>IFERROR(VLOOKUP(P1597,Лист1!A$1:B$20,2,FALSE),0)</f>
        <v>784</v>
      </c>
      <c r="S1597" s="13">
        <f t="shared" si="174"/>
        <v>0</v>
      </c>
    </row>
    <row r="1598" spans="1:19" x14ac:dyDescent="0.25">
      <c r="A1598" s="24" t="s">
        <v>2720</v>
      </c>
      <c r="B1598" s="4" t="s">
        <v>1063</v>
      </c>
      <c r="C1598" s="25" t="s">
        <v>5</v>
      </c>
      <c r="G1598" s="25" t="s">
        <v>1080</v>
      </c>
      <c r="H1598" s="24" t="s">
        <v>1061</v>
      </c>
      <c r="I1598" s="3" t="str">
        <f>IFERROR(VLOOKUP(C1598,'Справочник соответствий'!A$2:D$2981,2,FALSE),IF(VALUE(C1598)=0,1,VLOOKUP(C1598,'Справочник соответствий'!A$2:D$2981,2,FALSE)))</f>
        <v>1</v>
      </c>
      <c r="J1598" s="3">
        <f>IFERROR(VLOOKUP(D1598,'Справочник соответствий'!A$2:D$2981,2,FALSE),IF(VALUE(D1598)=0,0,VLOOKUP(D1598,'Справочник соответствий'!A$2:D$2981,2,FALSE)))</f>
        <v>0</v>
      </c>
      <c r="K1598" s="3" t="str">
        <f t="shared" si="168"/>
        <v>1</v>
      </c>
      <c r="L1598" s="13" t="str">
        <f>IFERROR(VLOOKUP(C1598,'Справочник соответствий'!A$2:D$2981,3,FALSE),IF(VALUE(C1598)=0,"ЭТАЖ НЕ ОПРЕДЕЛЕН. ПРИНЯТ ПО ДОПУЩЕНИЮ 1",VLOOKUP(C1598,'Справочник соответствий'!A$2:D$2981,3,FALSE)))</f>
        <v>ЭТАЖ ЗАДАН ЧИСЛОМ</v>
      </c>
      <c r="M1598" s="13" t="b">
        <f t="shared" si="169"/>
        <v>0</v>
      </c>
      <c r="N1598" s="13">
        <f t="shared" si="170"/>
        <v>1</v>
      </c>
      <c r="O1598" s="13" t="str">
        <f t="shared" si="171"/>
        <v>ЭТАЖ ЗАДАН ЧИСЛОМ</v>
      </c>
      <c r="P1598" s="13" t="str">
        <f t="shared" si="172"/>
        <v>ЭТАЖ ЗАДАН ЧИСЛОМ</v>
      </c>
      <c r="Q1598" s="13" t="str">
        <f t="shared" si="173"/>
        <v>ГОТОВ_ИЗМЕНЕН</v>
      </c>
      <c r="R1598" s="13">
        <f>IFERROR(VLOOKUP(P1598,Лист1!A$1:B$20,2,FALSE),0)</f>
        <v>784</v>
      </c>
      <c r="S1598" s="13">
        <f t="shared" si="174"/>
        <v>0</v>
      </c>
    </row>
    <row r="1599" spans="1:19" x14ac:dyDescent="0.25">
      <c r="A1599" s="24" t="s">
        <v>2721</v>
      </c>
      <c r="B1599" s="4" t="s">
        <v>1063</v>
      </c>
      <c r="C1599" s="25" t="s">
        <v>5</v>
      </c>
      <c r="G1599" s="25" t="s">
        <v>1080</v>
      </c>
      <c r="H1599" s="24" t="s">
        <v>1061</v>
      </c>
      <c r="I1599" s="3" t="str">
        <f>IFERROR(VLOOKUP(C1599,'Справочник соответствий'!A$2:D$2981,2,FALSE),IF(VALUE(C1599)=0,1,VLOOKUP(C1599,'Справочник соответствий'!A$2:D$2981,2,FALSE)))</f>
        <v>1</v>
      </c>
      <c r="J1599" s="3">
        <f>IFERROR(VLOOKUP(D1599,'Справочник соответствий'!A$2:D$2981,2,FALSE),IF(VALUE(D1599)=0,0,VLOOKUP(D1599,'Справочник соответствий'!A$2:D$2981,2,FALSE)))</f>
        <v>0</v>
      </c>
      <c r="K1599" s="3" t="str">
        <f t="shared" si="168"/>
        <v>1</v>
      </c>
      <c r="L1599" s="13" t="str">
        <f>IFERROR(VLOOKUP(C1599,'Справочник соответствий'!A$2:D$2981,3,FALSE),IF(VALUE(C1599)=0,"ЭТАЖ НЕ ОПРЕДЕЛЕН. ПРИНЯТ ПО ДОПУЩЕНИЮ 1",VLOOKUP(C1599,'Справочник соответствий'!A$2:D$2981,3,FALSE)))</f>
        <v>ЭТАЖ ЗАДАН ЧИСЛОМ</v>
      </c>
      <c r="M1599" s="13" t="b">
        <f t="shared" si="169"/>
        <v>0</v>
      </c>
      <c r="N1599" s="13">
        <f t="shared" si="170"/>
        <v>1</v>
      </c>
      <c r="O1599" s="13" t="str">
        <f t="shared" si="171"/>
        <v>ЭТАЖ ЗАДАН ЧИСЛОМ</v>
      </c>
      <c r="P1599" s="13" t="str">
        <f t="shared" si="172"/>
        <v>ЭТАЖ ЗАДАН ЧИСЛОМ</v>
      </c>
      <c r="Q1599" s="13" t="str">
        <f t="shared" si="173"/>
        <v>ГОТОВ_ИЗМЕНЕН</v>
      </c>
      <c r="R1599" s="13">
        <f>IFERROR(VLOOKUP(P1599,Лист1!A$1:B$20,2,FALSE),0)</f>
        <v>784</v>
      </c>
      <c r="S1599" s="13">
        <f t="shared" si="174"/>
        <v>0</v>
      </c>
    </row>
    <row r="1600" spans="1:19" x14ac:dyDescent="0.25">
      <c r="A1600" s="24" t="s">
        <v>2722</v>
      </c>
      <c r="B1600" s="4" t="s">
        <v>1059</v>
      </c>
      <c r="C1600" s="25" t="s">
        <v>7</v>
      </c>
      <c r="G1600" s="25" t="s">
        <v>1080</v>
      </c>
      <c r="H1600" s="24" t="s">
        <v>1061</v>
      </c>
      <c r="I1600" s="3" t="str">
        <f>IFERROR(VLOOKUP(C1600,'Справочник соответствий'!A$2:D$2981,2,FALSE),IF(VALUE(C1600)=0,1,VLOOKUP(C1600,'Справочник соответствий'!A$2:D$2981,2,FALSE)))</f>
        <v>2</v>
      </c>
      <c r="J1600" s="3">
        <f>IFERROR(VLOOKUP(D1600,'Справочник соответствий'!A$2:D$2981,2,FALSE),IF(VALUE(D1600)=0,0,VLOOKUP(D1600,'Справочник соответствий'!A$2:D$2981,2,FALSE)))</f>
        <v>0</v>
      </c>
      <c r="K1600" s="3" t="str">
        <f t="shared" si="168"/>
        <v>2</v>
      </c>
      <c r="L1600" s="13" t="str">
        <f>IFERROR(VLOOKUP(C1600,'Справочник соответствий'!A$2:D$2981,3,FALSE),IF(VALUE(C1600)=0,"ЭТАЖ НЕ ОПРЕДЕЛЕН. ПРИНЯТ ПО ДОПУЩЕНИЮ 1",VLOOKUP(C1600,'Справочник соответствий'!A$2:D$2981,3,FALSE)))</f>
        <v>ЭТАЖ ЗАДАН ЧИСЛОМ</v>
      </c>
      <c r="M1600" s="13" t="b">
        <f t="shared" si="169"/>
        <v>0</v>
      </c>
      <c r="N1600" s="13">
        <f t="shared" si="170"/>
        <v>2</v>
      </c>
      <c r="O1600" s="13" t="str">
        <f t="shared" si="171"/>
        <v>ЭТАЖ ЗАДАН ЧИСЛОМ</v>
      </c>
      <c r="P1600" s="13" t="str">
        <f t="shared" si="172"/>
        <v>ЭТАЖ ЗАДАН ЧИСЛОМ</v>
      </c>
      <c r="Q1600" s="13" t="str">
        <f t="shared" si="173"/>
        <v>ГОТОВ_ИЗМЕНЕН</v>
      </c>
      <c r="R1600" s="13">
        <f>IFERROR(VLOOKUP(P1600,Лист1!A$1:B$20,2,FALSE),0)</f>
        <v>784</v>
      </c>
      <c r="S1600" s="13">
        <f t="shared" si="174"/>
        <v>0</v>
      </c>
    </row>
    <row r="1601" spans="1:19" x14ac:dyDescent="0.25">
      <c r="A1601" s="24" t="s">
        <v>2723</v>
      </c>
      <c r="B1601" s="4" t="s">
        <v>1063</v>
      </c>
      <c r="C1601" s="25" t="s">
        <v>7</v>
      </c>
      <c r="G1601" s="25" t="s">
        <v>1072</v>
      </c>
      <c r="H1601" s="24" t="s">
        <v>1061</v>
      </c>
      <c r="I1601" s="3" t="str">
        <f>IFERROR(VLOOKUP(C1601,'Справочник соответствий'!A$2:D$2981,2,FALSE),IF(VALUE(C1601)=0,1,VLOOKUP(C1601,'Справочник соответствий'!A$2:D$2981,2,FALSE)))</f>
        <v>2</v>
      </c>
      <c r="J1601" s="3">
        <f>IFERROR(VLOOKUP(D1601,'Справочник соответствий'!A$2:D$2981,2,FALSE),IF(VALUE(D1601)=0,0,VLOOKUP(D1601,'Справочник соответствий'!A$2:D$2981,2,FALSE)))</f>
        <v>0</v>
      </c>
      <c r="K1601" s="3" t="str">
        <f t="shared" si="168"/>
        <v>2</v>
      </c>
      <c r="L1601" s="13" t="str">
        <f>IFERROR(VLOOKUP(C1601,'Справочник соответствий'!A$2:D$2981,3,FALSE),IF(VALUE(C1601)=0,"ЭТАЖ НЕ ОПРЕДЕЛЕН. ПРИНЯТ ПО ДОПУЩЕНИЮ 1",VLOOKUP(C1601,'Справочник соответствий'!A$2:D$2981,3,FALSE)))</f>
        <v>ЭТАЖ ЗАДАН ЧИСЛОМ</v>
      </c>
      <c r="M1601" s="13" t="b">
        <f t="shared" si="169"/>
        <v>0</v>
      </c>
      <c r="N1601" s="13">
        <f t="shared" si="170"/>
        <v>2</v>
      </c>
      <c r="O1601" s="13" t="str">
        <f t="shared" si="171"/>
        <v>ЭТАЖ ЗАДАН ЧИСЛОМ</v>
      </c>
      <c r="P1601" s="13" t="str">
        <f t="shared" si="172"/>
        <v>ЭТАЖ ЗАДАН ЧИСЛОМ</v>
      </c>
      <c r="Q1601" s="13" t="str">
        <f t="shared" si="173"/>
        <v>ГОТОВ_ИЗМЕНЕН</v>
      </c>
      <c r="R1601" s="13">
        <f>IFERROR(VLOOKUP(P1601,Лист1!A$1:B$20,2,FALSE),0)</f>
        <v>784</v>
      </c>
      <c r="S1601" s="13">
        <f t="shared" si="174"/>
        <v>0</v>
      </c>
    </row>
    <row r="1602" spans="1:19" x14ac:dyDescent="0.25">
      <c r="A1602" s="24" t="s">
        <v>2724</v>
      </c>
      <c r="B1602" s="4" t="s">
        <v>1059</v>
      </c>
      <c r="C1602" s="25" t="s">
        <v>8</v>
      </c>
      <c r="D1602" s="25" t="s">
        <v>5</v>
      </c>
      <c r="G1602" s="25" t="s">
        <v>1072</v>
      </c>
      <c r="H1602" s="24" t="s">
        <v>1061</v>
      </c>
      <c r="I1602" s="3" t="str">
        <f>IFERROR(VLOOKUP(C1602,'Справочник соответствий'!A$2:D$2981,2,FALSE),IF(VALUE(C1602)=0,1,VLOOKUP(C1602,'Справочник соответствий'!A$2:D$2981,2,FALSE)))</f>
        <v>3</v>
      </c>
      <c r="J1602" s="3" t="str">
        <f>IFERROR(VLOOKUP(D1602,'Справочник соответствий'!A$2:D$2981,2,FALSE),IF(VALUE(D1602)=0,0,VLOOKUP(D1602,'Справочник соответствий'!A$2:D$2981,2,FALSE)))</f>
        <v>1</v>
      </c>
      <c r="K1602" s="3" t="str">
        <f t="shared" si="168"/>
        <v>3</v>
      </c>
      <c r="L1602" s="13" t="str">
        <f>IFERROR(VLOOKUP(C1602,'Справочник соответствий'!A$2:D$2981,3,FALSE),IF(VALUE(C1602)=0,"ЭТАЖ НЕ ОПРЕДЕЛЕН. ПРИНЯТ ПО ДОПУЩЕНИЮ 1",VLOOKUP(C1602,'Справочник соответствий'!A$2:D$2981,3,FALSE)))</f>
        <v>ЭТАЖ ЗАДАН ЧИСЛОМ</v>
      </c>
      <c r="M1602" s="13" t="b">
        <f t="shared" si="169"/>
        <v>0</v>
      </c>
      <c r="N1602" s="13">
        <f t="shared" si="170"/>
        <v>3</v>
      </c>
      <c r="O1602" s="13" t="str">
        <f t="shared" si="171"/>
        <v>ЭТАЖ ЗАДАН ЧИСЛОМ</v>
      </c>
      <c r="P1602" s="13" t="str">
        <f t="shared" si="172"/>
        <v>ЭТАЖ ЗАДАН ЧИСЛОМ</v>
      </c>
      <c r="Q1602" s="13" t="str">
        <f t="shared" si="173"/>
        <v>ГОТОВ_ИЗМЕНЕН</v>
      </c>
      <c r="R1602" s="13">
        <f>IFERROR(VLOOKUP(P1602,Лист1!A$1:B$20,2,FALSE),0)</f>
        <v>784</v>
      </c>
      <c r="S1602" s="13">
        <f t="shared" si="174"/>
        <v>0</v>
      </c>
    </row>
    <row r="1603" spans="1:19" x14ac:dyDescent="0.25">
      <c r="A1603" s="24" t="s">
        <v>2725</v>
      </c>
      <c r="B1603" s="4" t="s">
        <v>1063</v>
      </c>
      <c r="C1603" s="25" t="s">
        <v>5</v>
      </c>
      <c r="G1603" s="25" t="s">
        <v>1072</v>
      </c>
      <c r="H1603" s="24" t="s">
        <v>1061</v>
      </c>
      <c r="I1603" s="3" t="str">
        <f>IFERROR(VLOOKUP(C1603,'Справочник соответствий'!A$2:D$2981,2,FALSE),IF(VALUE(C1603)=0,1,VLOOKUP(C1603,'Справочник соответствий'!A$2:D$2981,2,FALSE)))</f>
        <v>1</v>
      </c>
      <c r="J1603" s="3">
        <f>IFERROR(VLOOKUP(D1603,'Справочник соответствий'!A$2:D$2981,2,FALSE),IF(VALUE(D1603)=0,0,VLOOKUP(D1603,'Справочник соответствий'!A$2:D$2981,2,FALSE)))</f>
        <v>0</v>
      </c>
      <c r="K1603" s="3" t="str">
        <f t="shared" si="168"/>
        <v>1</v>
      </c>
      <c r="L1603" s="13" t="str">
        <f>IFERROR(VLOOKUP(C1603,'Справочник соответствий'!A$2:D$2981,3,FALSE),IF(VALUE(C1603)=0,"ЭТАЖ НЕ ОПРЕДЕЛЕН. ПРИНЯТ ПО ДОПУЩЕНИЮ 1",VLOOKUP(C1603,'Справочник соответствий'!A$2:D$2981,3,FALSE)))</f>
        <v>ЭТАЖ ЗАДАН ЧИСЛОМ</v>
      </c>
      <c r="M1603" s="13" t="b">
        <f t="shared" si="169"/>
        <v>0</v>
      </c>
      <c r="N1603" s="13">
        <f t="shared" si="170"/>
        <v>1</v>
      </c>
      <c r="O1603" s="13" t="str">
        <f t="shared" si="171"/>
        <v>ЭТАЖ ЗАДАН ЧИСЛОМ</v>
      </c>
      <c r="P1603" s="13" t="str">
        <f t="shared" si="172"/>
        <v>ЭТАЖ ЗАДАН ЧИСЛОМ</v>
      </c>
      <c r="Q1603" s="13" t="str">
        <f t="shared" si="173"/>
        <v>ГОТОВ_ИЗМЕНЕН</v>
      </c>
      <c r="R1603" s="13">
        <f>IFERROR(VLOOKUP(P1603,Лист1!A$1:B$20,2,FALSE),0)</f>
        <v>784</v>
      </c>
      <c r="S1603" s="13">
        <f t="shared" si="174"/>
        <v>0</v>
      </c>
    </row>
    <row r="1604" spans="1:19" x14ac:dyDescent="0.25">
      <c r="A1604" s="24" t="s">
        <v>2726</v>
      </c>
      <c r="B1604" s="4" t="s">
        <v>1059</v>
      </c>
      <c r="C1604" s="25" t="s">
        <v>5</v>
      </c>
      <c r="G1604" s="25" t="s">
        <v>1072</v>
      </c>
      <c r="H1604" s="24" t="s">
        <v>1061</v>
      </c>
      <c r="I1604" s="3" t="str">
        <f>IFERROR(VLOOKUP(C1604,'Справочник соответствий'!A$2:D$2981,2,FALSE),IF(VALUE(C1604)=0,1,VLOOKUP(C1604,'Справочник соответствий'!A$2:D$2981,2,FALSE)))</f>
        <v>1</v>
      </c>
      <c r="J1604" s="3">
        <f>IFERROR(VLOOKUP(D1604,'Справочник соответствий'!A$2:D$2981,2,FALSE),IF(VALUE(D1604)=0,0,VLOOKUP(D1604,'Справочник соответствий'!A$2:D$2981,2,FALSE)))</f>
        <v>0</v>
      </c>
      <c r="K1604" s="3" t="str">
        <f t="shared" si="168"/>
        <v>1</v>
      </c>
      <c r="L1604" s="13" t="str">
        <f>IFERROR(VLOOKUP(C1604,'Справочник соответствий'!A$2:D$2981,3,FALSE),IF(VALUE(C1604)=0,"ЭТАЖ НЕ ОПРЕДЕЛЕН. ПРИНЯТ ПО ДОПУЩЕНИЮ 1",VLOOKUP(C1604,'Справочник соответствий'!A$2:D$2981,3,FALSE)))</f>
        <v>ЭТАЖ ЗАДАН ЧИСЛОМ</v>
      </c>
      <c r="M1604" s="13" t="b">
        <f t="shared" si="169"/>
        <v>0</v>
      </c>
      <c r="N1604" s="13">
        <f t="shared" si="170"/>
        <v>1</v>
      </c>
      <c r="O1604" s="13" t="str">
        <f t="shared" si="171"/>
        <v>ЭТАЖ ЗАДАН ЧИСЛОМ</v>
      </c>
      <c r="P1604" s="13" t="str">
        <f t="shared" si="172"/>
        <v>ЭТАЖ ЗАДАН ЧИСЛОМ</v>
      </c>
      <c r="Q1604" s="13" t="str">
        <f t="shared" si="173"/>
        <v>ГОТОВ_ИЗМЕНЕН</v>
      </c>
      <c r="R1604" s="13">
        <f>IFERROR(VLOOKUP(P1604,Лист1!A$1:B$20,2,FALSE),0)</f>
        <v>784</v>
      </c>
      <c r="S1604" s="13">
        <f t="shared" si="174"/>
        <v>0</v>
      </c>
    </row>
    <row r="1605" spans="1:19" x14ac:dyDescent="0.25">
      <c r="A1605" s="24" t="s">
        <v>2727</v>
      </c>
      <c r="B1605" s="4" t="s">
        <v>1059</v>
      </c>
      <c r="C1605" s="25" t="s">
        <v>7</v>
      </c>
      <c r="D1605" s="25" t="s">
        <v>5</v>
      </c>
      <c r="G1605" s="25" t="s">
        <v>1072</v>
      </c>
      <c r="H1605" s="24" t="s">
        <v>1061</v>
      </c>
      <c r="I1605" s="3" t="str">
        <f>IFERROR(VLOOKUP(C1605,'Справочник соответствий'!A$2:D$2981,2,FALSE),IF(VALUE(C1605)=0,1,VLOOKUP(C1605,'Справочник соответствий'!A$2:D$2981,2,FALSE)))</f>
        <v>2</v>
      </c>
      <c r="J1605" s="3" t="str">
        <f>IFERROR(VLOOKUP(D1605,'Справочник соответствий'!A$2:D$2981,2,FALSE),IF(VALUE(D1605)=0,0,VLOOKUP(D1605,'Справочник соответствий'!A$2:D$2981,2,FALSE)))</f>
        <v>1</v>
      </c>
      <c r="K1605" s="3" t="str">
        <f t="shared" ref="K1605:K1668" si="175">IF(B1605="Многоквартирный дом",IF(I1605-J1605&gt;0,I1605-J1605,1),I1605)</f>
        <v>2</v>
      </c>
      <c r="L1605" s="13" t="str">
        <f>IFERROR(VLOOKUP(C1605,'Справочник соответствий'!A$2:D$2981,3,FALSE),IF(VALUE(C1605)=0,"ЭТАЖ НЕ ОПРЕДЕЛЕН. ПРИНЯТ ПО ДОПУЩЕНИЮ 1",VLOOKUP(C1605,'Справочник соответствий'!A$2:D$2981,3,FALSE)))</f>
        <v>ЭТАЖ ЗАДАН ЧИСЛОМ</v>
      </c>
      <c r="M1605" s="13" t="b">
        <f t="shared" ref="M1605:M1668" si="176">I1605=E1605</f>
        <v>0</v>
      </c>
      <c r="N1605" s="13">
        <f t="shared" ref="N1605:N1668" si="177">IF(VALUE(E1605)=0,VALUE(K1605),IF(L1605="ЭТАЖ НЕ ОПРЕДЕЛЕН. ПРИНЯТ ПО ДОПУЩЕНИЮ 1",VALUE(E1605),VALUE(K1605)))</f>
        <v>2</v>
      </c>
      <c r="O1605" s="13" t="str">
        <f t="shared" ref="O1605:O1668" si="178">IF(VALUE(E1605)=0,L1605,IF(L1605="ЭТАЖ НЕ ОПРЕДЕЛЕН. ПРИНЯТ ПО ДОПУЩЕНИЮ 1",F1605,L1605))</f>
        <v>ЭТАЖ ЗАДАН ЧИСЛОМ</v>
      </c>
      <c r="P1605" s="13" t="str">
        <f t="shared" ref="P1605:P1668" si="179">IF(B1605="Многоквартирный дом",CONCATENATE("МКД_",O1605),O1605)</f>
        <v>ЭТАЖ ЗАДАН ЧИСЛОМ</v>
      </c>
      <c r="Q1605" s="13" t="str">
        <f t="shared" ref="Q1605:Q1668" si="180">IFERROR(IF(N1605&gt;0,IF(N1605=VALUE(E1605),"ГОТОВ","ГОТОВ_ИЗМЕНЕН"),"НЕ ГОТОВ"),"НЕ ГОТОВ")</f>
        <v>ГОТОВ_ИЗМЕНЕН</v>
      </c>
      <c r="R1605" s="13">
        <f>IFERROR(VLOOKUP(P1605,Лист1!A$1:B$20,2,FALSE),0)</f>
        <v>784</v>
      </c>
      <c r="S1605" s="13">
        <f t="shared" ref="S1605:S1668" si="181">VALUE(E1605)</f>
        <v>0</v>
      </c>
    </row>
    <row r="1606" spans="1:19" x14ac:dyDescent="0.25">
      <c r="A1606" s="24" t="s">
        <v>2728</v>
      </c>
      <c r="B1606" s="4" t="s">
        <v>1059</v>
      </c>
      <c r="C1606" s="25" t="s">
        <v>5</v>
      </c>
      <c r="G1606" s="25" t="s">
        <v>1276</v>
      </c>
      <c r="H1606" s="24" t="s">
        <v>1061</v>
      </c>
      <c r="I1606" s="3" t="str">
        <f>IFERROR(VLOOKUP(C1606,'Справочник соответствий'!A$2:D$2981,2,FALSE),IF(VALUE(C1606)=0,1,VLOOKUP(C1606,'Справочник соответствий'!A$2:D$2981,2,FALSE)))</f>
        <v>1</v>
      </c>
      <c r="J1606" s="3">
        <f>IFERROR(VLOOKUP(D1606,'Справочник соответствий'!A$2:D$2981,2,FALSE),IF(VALUE(D1606)=0,0,VLOOKUP(D1606,'Справочник соответствий'!A$2:D$2981,2,FALSE)))</f>
        <v>0</v>
      </c>
      <c r="K1606" s="3" t="str">
        <f t="shared" si="175"/>
        <v>1</v>
      </c>
      <c r="L1606" s="13" t="str">
        <f>IFERROR(VLOOKUP(C1606,'Справочник соответствий'!A$2:D$2981,3,FALSE),IF(VALUE(C1606)=0,"ЭТАЖ НЕ ОПРЕДЕЛЕН. ПРИНЯТ ПО ДОПУЩЕНИЮ 1",VLOOKUP(C1606,'Справочник соответствий'!A$2:D$2981,3,FALSE)))</f>
        <v>ЭТАЖ ЗАДАН ЧИСЛОМ</v>
      </c>
      <c r="M1606" s="13" t="b">
        <f t="shared" si="176"/>
        <v>0</v>
      </c>
      <c r="N1606" s="13">
        <f t="shared" si="177"/>
        <v>1</v>
      </c>
      <c r="O1606" s="13" t="str">
        <f t="shared" si="178"/>
        <v>ЭТАЖ ЗАДАН ЧИСЛОМ</v>
      </c>
      <c r="P1606" s="13" t="str">
        <f t="shared" si="179"/>
        <v>ЭТАЖ ЗАДАН ЧИСЛОМ</v>
      </c>
      <c r="Q1606" s="13" t="str">
        <f t="shared" si="180"/>
        <v>ГОТОВ_ИЗМЕНЕН</v>
      </c>
      <c r="R1606" s="13">
        <f>IFERROR(VLOOKUP(P1606,Лист1!A$1:B$20,2,FALSE),0)</f>
        <v>784</v>
      </c>
      <c r="S1606" s="13">
        <f t="shared" si="181"/>
        <v>0</v>
      </c>
    </row>
    <row r="1607" spans="1:19" x14ac:dyDescent="0.25">
      <c r="A1607" s="24" t="s">
        <v>2729</v>
      </c>
      <c r="B1607" s="4" t="s">
        <v>1059</v>
      </c>
      <c r="C1607" s="25" t="s">
        <v>5</v>
      </c>
      <c r="G1607" s="25" t="s">
        <v>1072</v>
      </c>
      <c r="H1607" s="24" t="s">
        <v>1061</v>
      </c>
      <c r="I1607" s="3" t="str">
        <f>IFERROR(VLOOKUP(C1607,'Справочник соответствий'!A$2:D$2981,2,FALSE),IF(VALUE(C1607)=0,1,VLOOKUP(C1607,'Справочник соответствий'!A$2:D$2981,2,FALSE)))</f>
        <v>1</v>
      </c>
      <c r="J1607" s="3">
        <f>IFERROR(VLOOKUP(D1607,'Справочник соответствий'!A$2:D$2981,2,FALSE),IF(VALUE(D1607)=0,0,VLOOKUP(D1607,'Справочник соответствий'!A$2:D$2981,2,FALSE)))</f>
        <v>0</v>
      </c>
      <c r="K1607" s="3" t="str">
        <f t="shared" si="175"/>
        <v>1</v>
      </c>
      <c r="L1607" s="13" t="str">
        <f>IFERROR(VLOOKUP(C1607,'Справочник соответствий'!A$2:D$2981,3,FALSE),IF(VALUE(C1607)=0,"ЭТАЖ НЕ ОПРЕДЕЛЕН. ПРИНЯТ ПО ДОПУЩЕНИЮ 1",VLOOKUP(C1607,'Справочник соответствий'!A$2:D$2981,3,FALSE)))</f>
        <v>ЭТАЖ ЗАДАН ЧИСЛОМ</v>
      </c>
      <c r="M1607" s="13" t="b">
        <f t="shared" si="176"/>
        <v>0</v>
      </c>
      <c r="N1607" s="13">
        <f t="shared" si="177"/>
        <v>1</v>
      </c>
      <c r="O1607" s="13" t="str">
        <f t="shared" si="178"/>
        <v>ЭТАЖ ЗАДАН ЧИСЛОМ</v>
      </c>
      <c r="P1607" s="13" t="str">
        <f t="shared" si="179"/>
        <v>ЭТАЖ ЗАДАН ЧИСЛОМ</v>
      </c>
      <c r="Q1607" s="13" t="str">
        <f t="shared" si="180"/>
        <v>ГОТОВ_ИЗМЕНЕН</v>
      </c>
      <c r="R1607" s="13">
        <f>IFERROR(VLOOKUP(P1607,Лист1!A$1:B$20,2,FALSE),0)</f>
        <v>784</v>
      </c>
      <c r="S1607" s="13">
        <f t="shared" si="181"/>
        <v>0</v>
      </c>
    </row>
    <row r="1608" spans="1:19" x14ac:dyDescent="0.25">
      <c r="A1608" s="24" t="s">
        <v>2730</v>
      </c>
      <c r="B1608" s="4" t="s">
        <v>1063</v>
      </c>
      <c r="C1608" s="25" t="s">
        <v>5</v>
      </c>
      <c r="G1608" s="25" t="s">
        <v>1328</v>
      </c>
      <c r="H1608" s="24" t="s">
        <v>1061</v>
      </c>
      <c r="I1608" s="3" t="str">
        <f>IFERROR(VLOOKUP(C1608,'Справочник соответствий'!A$2:D$2981,2,FALSE),IF(VALUE(C1608)=0,1,VLOOKUP(C1608,'Справочник соответствий'!A$2:D$2981,2,FALSE)))</f>
        <v>1</v>
      </c>
      <c r="J1608" s="3">
        <f>IFERROR(VLOOKUP(D1608,'Справочник соответствий'!A$2:D$2981,2,FALSE),IF(VALUE(D1608)=0,0,VLOOKUP(D1608,'Справочник соответствий'!A$2:D$2981,2,FALSE)))</f>
        <v>0</v>
      </c>
      <c r="K1608" s="3" t="str">
        <f t="shared" si="175"/>
        <v>1</v>
      </c>
      <c r="L1608" s="13" t="str">
        <f>IFERROR(VLOOKUP(C1608,'Справочник соответствий'!A$2:D$2981,3,FALSE),IF(VALUE(C1608)=0,"ЭТАЖ НЕ ОПРЕДЕЛЕН. ПРИНЯТ ПО ДОПУЩЕНИЮ 1",VLOOKUP(C1608,'Справочник соответствий'!A$2:D$2981,3,FALSE)))</f>
        <v>ЭТАЖ ЗАДАН ЧИСЛОМ</v>
      </c>
      <c r="M1608" s="13" t="b">
        <f t="shared" si="176"/>
        <v>0</v>
      </c>
      <c r="N1608" s="13">
        <f t="shared" si="177"/>
        <v>1</v>
      </c>
      <c r="O1608" s="13" t="str">
        <f t="shared" si="178"/>
        <v>ЭТАЖ ЗАДАН ЧИСЛОМ</v>
      </c>
      <c r="P1608" s="13" t="str">
        <f t="shared" si="179"/>
        <v>ЭТАЖ ЗАДАН ЧИСЛОМ</v>
      </c>
      <c r="Q1608" s="13" t="str">
        <f t="shared" si="180"/>
        <v>ГОТОВ_ИЗМЕНЕН</v>
      </c>
      <c r="R1608" s="13">
        <f>IFERROR(VLOOKUP(P1608,Лист1!A$1:B$20,2,FALSE),0)</f>
        <v>784</v>
      </c>
      <c r="S1608" s="13">
        <f t="shared" si="181"/>
        <v>0</v>
      </c>
    </row>
    <row r="1609" spans="1:19" x14ac:dyDescent="0.25">
      <c r="A1609" s="24" t="s">
        <v>2731</v>
      </c>
      <c r="B1609" s="4" t="s">
        <v>1059</v>
      </c>
      <c r="C1609" s="25" t="s">
        <v>7</v>
      </c>
      <c r="G1609" s="25" t="s">
        <v>1276</v>
      </c>
      <c r="H1609" s="24" t="s">
        <v>1061</v>
      </c>
      <c r="I1609" s="3" t="str">
        <f>IFERROR(VLOOKUP(C1609,'Справочник соответствий'!A$2:D$2981,2,FALSE),IF(VALUE(C1609)=0,1,VLOOKUP(C1609,'Справочник соответствий'!A$2:D$2981,2,FALSE)))</f>
        <v>2</v>
      </c>
      <c r="J1609" s="3">
        <f>IFERROR(VLOOKUP(D1609,'Справочник соответствий'!A$2:D$2981,2,FALSE),IF(VALUE(D1609)=0,0,VLOOKUP(D1609,'Справочник соответствий'!A$2:D$2981,2,FALSE)))</f>
        <v>0</v>
      </c>
      <c r="K1609" s="3" t="str">
        <f t="shared" si="175"/>
        <v>2</v>
      </c>
      <c r="L1609" s="13" t="str">
        <f>IFERROR(VLOOKUP(C1609,'Справочник соответствий'!A$2:D$2981,3,FALSE),IF(VALUE(C1609)=0,"ЭТАЖ НЕ ОПРЕДЕЛЕН. ПРИНЯТ ПО ДОПУЩЕНИЮ 1",VLOOKUP(C1609,'Справочник соответствий'!A$2:D$2981,3,FALSE)))</f>
        <v>ЭТАЖ ЗАДАН ЧИСЛОМ</v>
      </c>
      <c r="M1609" s="13" t="b">
        <f t="shared" si="176"/>
        <v>0</v>
      </c>
      <c r="N1609" s="13">
        <f t="shared" si="177"/>
        <v>2</v>
      </c>
      <c r="O1609" s="13" t="str">
        <f t="shared" si="178"/>
        <v>ЭТАЖ ЗАДАН ЧИСЛОМ</v>
      </c>
      <c r="P1609" s="13" t="str">
        <f t="shared" si="179"/>
        <v>ЭТАЖ ЗАДАН ЧИСЛОМ</v>
      </c>
      <c r="Q1609" s="13" t="str">
        <f t="shared" si="180"/>
        <v>ГОТОВ_ИЗМЕНЕН</v>
      </c>
      <c r="R1609" s="13">
        <f>IFERROR(VLOOKUP(P1609,Лист1!A$1:B$20,2,FALSE),0)</f>
        <v>784</v>
      </c>
      <c r="S1609" s="13">
        <f t="shared" si="181"/>
        <v>0</v>
      </c>
    </row>
    <row r="1610" spans="1:19" x14ac:dyDescent="0.25">
      <c r="A1610" s="24" t="s">
        <v>2732</v>
      </c>
      <c r="B1610" s="4" t="s">
        <v>1059</v>
      </c>
      <c r="C1610" s="25" t="s">
        <v>5</v>
      </c>
      <c r="G1610" s="25" t="s">
        <v>1072</v>
      </c>
      <c r="H1610" s="24" t="s">
        <v>1061</v>
      </c>
      <c r="I1610" s="3" t="str">
        <f>IFERROR(VLOOKUP(C1610,'Справочник соответствий'!A$2:D$2981,2,FALSE),IF(VALUE(C1610)=0,1,VLOOKUP(C1610,'Справочник соответствий'!A$2:D$2981,2,FALSE)))</f>
        <v>1</v>
      </c>
      <c r="J1610" s="3">
        <f>IFERROR(VLOOKUP(D1610,'Справочник соответствий'!A$2:D$2981,2,FALSE),IF(VALUE(D1610)=0,0,VLOOKUP(D1610,'Справочник соответствий'!A$2:D$2981,2,FALSE)))</f>
        <v>0</v>
      </c>
      <c r="K1610" s="3" t="str">
        <f t="shared" si="175"/>
        <v>1</v>
      </c>
      <c r="L1610" s="13" t="str">
        <f>IFERROR(VLOOKUP(C1610,'Справочник соответствий'!A$2:D$2981,3,FALSE),IF(VALUE(C1610)=0,"ЭТАЖ НЕ ОПРЕДЕЛЕН. ПРИНЯТ ПО ДОПУЩЕНИЮ 1",VLOOKUP(C1610,'Справочник соответствий'!A$2:D$2981,3,FALSE)))</f>
        <v>ЭТАЖ ЗАДАН ЧИСЛОМ</v>
      </c>
      <c r="M1610" s="13" t="b">
        <f t="shared" si="176"/>
        <v>0</v>
      </c>
      <c r="N1610" s="13">
        <f t="shared" si="177"/>
        <v>1</v>
      </c>
      <c r="O1610" s="13" t="str">
        <f t="shared" si="178"/>
        <v>ЭТАЖ ЗАДАН ЧИСЛОМ</v>
      </c>
      <c r="P1610" s="13" t="str">
        <f t="shared" si="179"/>
        <v>ЭТАЖ ЗАДАН ЧИСЛОМ</v>
      </c>
      <c r="Q1610" s="13" t="str">
        <f t="shared" si="180"/>
        <v>ГОТОВ_ИЗМЕНЕН</v>
      </c>
      <c r="R1610" s="13">
        <f>IFERROR(VLOOKUP(P1610,Лист1!A$1:B$20,2,FALSE),0)</f>
        <v>784</v>
      </c>
      <c r="S1610" s="13">
        <f t="shared" si="181"/>
        <v>0</v>
      </c>
    </row>
    <row r="1611" spans="1:19" x14ac:dyDescent="0.25">
      <c r="A1611" s="24" t="s">
        <v>2733</v>
      </c>
      <c r="B1611" s="4" t="s">
        <v>1059</v>
      </c>
      <c r="C1611" s="25" t="s">
        <v>8</v>
      </c>
      <c r="D1611" s="25" t="s">
        <v>5</v>
      </c>
      <c r="G1611" s="25" t="s">
        <v>1072</v>
      </c>
      <c r="H1611" s="24" t="s">
        <v>1061</v>
      </c>
      <c r="I1611" s="3" t="str">
        <f>IFERROR(VLOOKUP(C1611,'Справочник соответствий'!A$2:D$2981,2,FALSE),IF(VALUE(C1611)=0,1,VLOOKUP(C1611,'Справочник соответствий'!A$2:D$2981,2,FALSE)))</f>
        <v>3</v>
      </c>
      <c r="J1611" s="3" t="str">
        <f>IFERROR(VLOOKUP(D1611,'Справочник соответствий'!A$2:D$2981,2,FALSE),IF(VALUE(D1611)=0,0,VLOOKUP(D1611,'Справочник соответствий'!A$2:D$2981,2,FALSE)))</f>
        <v>1</v>
      </c>
      <c r="K1611" s="3" t="str">
        <f t="shared" si="175"/>
        <v>3</v>
      </c>
      <c r="L1611" s="13" t="str">
        <f>IFERROR(VLOOKUP(C1611,'Справочник соответствий'!A$2:D$2981,3,FALSE),IF(VALUE(C1611)=0,"ЭТАЖ НЕ ОПРЕДЕЛЕН. ПРИНЯТ ПО ДОПУЩЕНИЮ 1",VLOOKUP(C1611,'Справочник соответствий'!A$2:D$2981,3,FALSE)))</f>
        <v>ЭТАЖ ЗАДАН ЧИСЛОМ</v>
      </c>
      <c r="M1611" s="13" t="b">
        <f t="shared" si="176"/>
        <v>0</v>
      </c>
      <c r="N1611" s="13">
        <f t="shared" si="177"/>
        <v>3</v>
      </c>
      <c r="O1611" s="13" t="str">
        <f t="shared" si="178"/>
        <v>ЭТАЖ ЗАДАН ЧИСЛОМ</v>
      </c>
      <c r="P1611" s="13" t="str">
        <f t="shared" si="179"/>
        <v>ЭТАЖ ЗАДАН ЧИСЛОМ</v>
      </c>
      <c r="Q1611" s="13" t="str">
        <f t="shared" si="180"/>
        <v>ГОТОВ_ИЗМЕНЕН</v>
      </c>
      <c r="R1611" s="13">
        <f>IFERROR(VLOOKUP(P1611,Лист1!A$1:B$20,2,FALSE),0)</f>
        <v>784</v>
      </c>
      <c r="S1611" s="13">
        <f t="shared" si="181"/>
        <v>0</v>
      </c>
    </row>
    <row r="1612" spans="1:19" x14ac:dyDescent="0.25">
      <c r="A1612" s="24" t="s">
        <v>2734</v>
      </c>
      <c r="B1612" s="4" t="s">
        <v>1059</v>
      </c>
      <c r="C1612" s="25" t="s">
        <v>5</v>
      </c>
      <c r="G1612" s="25" t="s">
        <v>1072</v>
      </c>
      <c r="H1612" s="24" t="s">
        <v>1061</v>
      </c>
      <c r="I1612" s="3" t="str">
        <f>IFERROR(VLOOKUP(C1612,'Справочник соответствий'!A$2:D$2981,2,FALSE),IF(VALUE(C1612)=0,1,VLOOKUP(C1612,'Справочник соответствий'!A$2:D$2981,2,FALSE)))</f>
        <v>1</v>
      </c>
      <c r="J1612" s="3">
        <f>IFERROR(VLOOKUP(D1612,'Справочник соответствий'!A$2:D$2981,2,FALSE),IF(VALUE(D1612)=0,0,VLOOKUP(D1612,'Справочник соответствий'!A$2:D$2981,2,FALSE)))</f>
        <v>0</v>
      </c>
      <c r="K1612" s="3" t="str">
        <f t="shared" si="175"/>
        <v>1</v>
      </c>
      <c r="L1612" s="13" t="str">
        <f>IFERROR(VLOOKUP(C1612,'Справочник соответствий'!A$2:D$2981,3,FALSE),IF(VALUE(C1612)=0,"ЭТАЖ НЕ ОПРЕДЕЛЕН. ПРИНЯТ ПО ДОПУЩЕНИЮ 1",VLOOKUP(C1612,'Справочник соответствий'!A$2:D$2981,3,FALSE)))</f>
        <v>ЭТАЖ ЗАДАН ЧИСЛОМ</v>
      </c>
      <c r="M1612" s="13" t="b">
        <f t="shared" si="176"/>
        <v>0</v>
      </c>
      <c r="N1612" s="13">
        <f t="shared" si="177"/>
        <v>1</v>
      </c>
      <c r="O1612" s="13" t="str">
        <f t="shared" si="178"/>
        <v>ЭТАЖ ЗАДАН ЧИСЛОМ</v>
      </c>
      <c r="P1612" s="13" t="str">
        <f t="shared" si="179"/>
        <v>ЭТАЖ ЗАДАН ЧИСЛОМ</v>
      </c>
      <c r="Q1612" s="13" t="str">
        <f t="shared" si="180"/>
        <v>ГОТОВ_ИЗМЕНЕН</v>
      </c>
      <c r="R1612" s="13">
        <f>IFERROR(VLOOKUP(P1612,Лист1!A$1:B$20,2,FALSE),0)</f>
        <v>784</v>
      </c>
      <c r="S1612" s="13">
        <f t="shared" si="181"/>
        <v>0</v>
      </c>
    </row>
    <row r="1613" spans="1:19" x14ac:dyDescent="0.25">
      <c r="A1613" s="24" t="s">
        <v>2735</v>
      </c>
      <c r="B1613" s="4" t="s">
        <v>1063</v>
      </c>
      <c r="C1613" s="25" t="s">
        <v>7</v>
      </c>
      <c r="G1613" s="25" t="s">
        <v>1072</v>
      </c>
      <c r="H1613" s="24" t="s">
        <v>1061</v>
      </c>
      <c r="I1613" s="3" t="str">
        <f>IFERROR(VLOOKUP(C1613,'Справочник соответствий'!A$2:D$2981,2,FALSE),IF(VALUE(C1613)=0,1,VLOOKUP(C1613,'Справочник соответствий'!A$2:D$2981,2,FALSE)))</f>
        <v>2</v>
      </c>
      <c r="J1613" s="3">
        <f>IFERROR(VLOOKUP(D1613,'Справочник соответствий'!A$2:D$2981,2,FALSE),IF(VALUE(D1613)=0,0,VLOOKUP(D1613,'Справочник соответствий'!A$2:D$2981,2,FALSE)))</f>
        <v>0</v>
      </c>
      <c r="K1613" s="3" t="str">
        <f t="shared" si="175"/>
        <v>2</v>
      </c>
      <c r="L1613" s="13" t="str">
        <f>IFERROR(VLOOKUP(C1613,'Справочник соответствий'!A$2:D$2981,3,FALSE),IF(VALUE(C1613)=0,"ЭТАЖ НЕ ОПРЕДЕЛЕН. ПРИНЯТ ПО ДОПУЩЕНИЮ 1",VLOOKUP(C1613,'Справочник соответствий'!A$2:D$2981,3,FALSE)))</f>
        <v>ЭТАЖ ЗАДАН ЧИСЛОМ</v>
      </c>
      <c r="M1613" s="13" t="b">
        <f t="shared" si="176"/>
        <v>0</v>
      </c>
      <c r="N1613" s="13">
        <f t="shared" si="177"/>
        <v>2</v>
      </c>
      <c r="O1613" s="13" t="str">
        <f t="shared" si="178"/>
        <v>ЭТАЖ ЗАДАН ЧИСЛОМ</v>
      </c>
      <c r="P1613" s="13" t="str">
        <f t="shared" si="179"/>
        <v>ЭТАЖ ЗАДАН ЧИСЛОМ</v>
      </c>
      <c r="Q1613" s="13" t="str">
        <f t="shared" si="180"/>
        <v>ГОТОВ_ИЗМЕНЕН</v>
      </c>
      <c r="R1613" s="13">
        <f>IFERROR(VLOOKUP(P1613,Лист1!A$1:B$20,2,FALSE),0)</f>
        <v>784</v>
      </c>
      <c r="S1613" s="13">
        <f t="shared" si="181"/>
        <v>0</v>
      </c>
    </row>
    <row r="1614" spans="1:19" x14ac:dyDescent="0.25">
      <c r="A1614" s="24" t="s">
        <v>2736</v>
      </c>
      <c r="B1614" s="4" t="s">
        <v>1063</v>
      </c>
      <c r="C1614" s="25" t="s">
        <v>5</v>
      </c>
      <c r="G1614" s="25" t="s">
        <v>1072</v>
      </c>
      <c r="H1614" s="24" t="s">
        <v>1061</v>
      </c>
      <c r="I1614" s="3" t="str">
        <f>IFERROR(VLOOKUP(C1614,'Справочник соответствий'!A$2:D$2981,2,FALSE),IF(VALUE(C1614)=0,1,VLOOKUP(C1614,'Справочник соответствий'!A$2:D$2981,2,FALSE)))</f>
        <v>1</v>
      </c>
      <c r="J1614" s="3">
        <f>IFERROR(VLOOKUP(D1614,'Справочник соответствий'!A$2:D$2981,2,FALSE),IF(VALUE(D1614)=0,0,VLOOKUP(D1614,'Справочник соответствий'!A$2:D$2981,2,FALSE)))</f>
        <v>0</v>
      </c>
      <c r="K1614" s="3" t="str">
        <f t="shared" si="175"/>
        <v>1</v>
      </c>
      <c r="L1614" s="13" t="str">
        <f>IFERROR(VLOOKUP(C1614,'Справочник соответствий'!A$2:D$2981,3,FALSE),IF(VALUE(C1614)=0,"ЭТАЖ НЕ ОПРЕДЕЛЕН. ПРИНЯТ ПО ДОПУЩЕНИЮ 1",VLOOKUP(C1614,'Справочник соответствий'!A$2:D$2981,3,FALSE)))</f>
        <v>ЭТАЖ ЗАДАН ЧИСЛОМ</v>
      </c>
      <c r="M1614" s="13" t="b">
        <f t="shared" si="176"/>
        <v>0</v>
      </c>
      <c r="N1614" s="13">
        <f t="shared" si="177"/>
        <v>1</v>
      </c>
      <c r="O1614" s="13" t="str">
        <f t="shared" si="178"/>
        <v>ЭТАЖ ЗАДАН ЧИСЛОМ</v>
      </c>
      <c r="P1614" s="13" t="str">
        <f t="shared" si="179"/>
        <v>ЭТАЖ ЗАДАН ЧИСЛОМ</v>
      </c>
      <c r="Q1614" s="13" t="str">
        <f t="shared" si="180"/>
        <v>ГОТОВ_ИЗМЕНЕН</v>
      </c>
      <c r="R1614" s="13">
        <f>IFERROR(VLOOKUP(P1614,Лист1!A$1:B$20,2,FALSE),0)</f>
        <v>784</v>
      </c>
      <c r="S1614" s="13">
        <f t="shared" si="181"/>
        <v>0</v>
      </c>
    </row>
    <row r="1615" spans="1:19" x14ac:dyDescent="0.25">
      <c r="A1615" s="24" t="s">
        <v>2737</v>
      </c>
      <c r="B1615" s="4" t="s">
        <v>1063</v>
      </c>
      <c r="C1615" s="25" t="s">
        <v>7</v>
      </c>
      <c r="G1615" s="25" t="s">
        <v>1289</v>
      </c>
      <c r="H1615" s="24" t="s">
        <v>1061</v>
      </c>
      <c r="I1615" s="3" t="str">
        <f>IFERROR(VLOOKUP(C1615,'Справочник соответствий'!A$2:D$2981,2,FALSE),IF(VALUE(C1615)=0,1,VLOOKUP(C1615,'Справочник соответствий'!A$2:D$2981,2,FALSE)))</f>
        <v>2</v>
      </c>
      <c r="J1615" s="3">
        <f>IFERROR(VLOOKUP(D1615,'Справочник соответствий'!A$2:D$2981,2,FALSE),IF(VALUE(D1615)=0,0,VLOOKUP(D1615,'Справочник соответствий'!A$2:D$2981,2,FALSE)))</f>
        <v>0</v>
      </c>
      <c r="K1615" s="3" t="str">
        <f t="shared" si="175"/>
        <v>2</v>
      </c>
      <c r="L1615" s="13" t="str">
        <f>IFERROR(VLOOKUP(C1615,'Справочник соответствий'!A$2:D$2981,3,FALSE),IF(VALUE(C1615)=0,"ЭТАЖ НЕ ОПРЕДЕЛЕН. ПРИНЯТ ПО ДОПУЩЕНИЮ 1",VLOOKUP(C1615,'Справочник соответствий'!A$2:D$2981,3,FALSE)))</f>
        <v>ЭТАЖ ЗАДАН ЧИСЛОМ</v>
      </c>
      <c r="M1615" s="13" t="b">
        <f t="shared" si="176"/>
        <v>0</v>
      </c>
      <c r="N1615" s="13">
        <f t="shared" si="177"/>
        <v>2</v>
      </c>
      <c r="O1615" s="13" t="str">
        <f t="shared" si="178"/>
        <v>ЭТАЖ ЗАДАН ЧИСЛОМ</v>
      </c>
      <c r="P1615" s="13" t="str">
        <f t="shared" si="179"/>
        <v>ЭТАЖ ЗАДАН ЧИСЛОМ</v>
      </c>
      <c r="Q1615" s="13" t="str">
        <f t="shared" si="180"/>
        <v>ГОТОВ_ИЗМЕНЕН</v>
      </c>
      <c r="R1615" s="13">
        <f>IFERROR(VLOOKUP(P1615,Лист1!A$1:B$20,2,FALSE),0)</f>
        <v>784</v>
      </c>
      <c r="S1615" s="13">
        <f t="shared" si="181"/>
        <v>0</v>
      </c>
    </row>
    <row r="1616" spans="1:19" x14ac:dyDescent="0.25">
      <c r="A1616" s="24" t="s">
        <v>2738</v>
      </c>
      <c r="B1616" s="4" t="s">
        <v>1059</v>
      </c>
      <c r="C1616" s="25" t="s">
        <v>5</v>
      </c>
      <c r="G1616" s="25" t="s">
        <v>1106</v>
      </c>
      <c r="H1616" s="24" t="s">
        <v>1061</v>
      </c>
      <c r="I1616" s="3" t="str">
        <f>IFERROR(VLOOKUP(C1616,'Справочник соответствий'!A$2:D$2981,2,FALSE),IF(VALUE(C1616)=0,1,VLOOKUP(C1616,'Справочник соответствий'!A$2:D$2981,2,FALSE)))</f>
        <v>1</v>
      </c>
      <c r="J1616" s="3">
        <f>IFERROR(VLOOKUP(D1616,'Справочник соответствий'!A$2:D$2981,2,FALSE),IF(VALUE(D1616)=0,0,VLOOKUP(D1616,'Справочник соответствий'!A$2:D$2981,2,FALSE)))</f>
        <v>0</v>
      </c>
      <c r="K1616" s="3" t="str">
        <f t="shared" si="175"/>
        <v>1</v>
      </c>
      <c r="L1616" s="13" t="str">
        <f>IFERROR(VLOOKUP(C1616,'Справочник соответствий'!A$2:D$2981,3,FALSE),IF(VALUE(C1616)=0,"ЭТАЖ НЕ ОПРЕДЕЛЕН. ПРИНЯТ ПО ДОПУЩЕНИЮ 1",VLOOKUP(C1616,'Справочник соответствий'!A$2:D$2981,3,FALSE)))</f>
        <v>ЭТАЖ ЗАДАН ЧИСЛОМ</v>
      </c>
      <c r="M1616" s="13" t="b">
        <f t="shared" si="176"/>
        <v>0</v>
      </c>
      <c r="N1616" s="13">
        <f t="shared" si="177"/>
        <v>1</v>
      </c>
      <c r="O1616" s="13" t="str">
        <f t="shared" si="178"/>
        <v>ЭТАЖ ЗАДАН ЧИСЛОМ</v>
      </c>
      <c r="P1616" s="13" t="str">
        <f t="shared" si="179"/>
        <v>ЭТАЖ ЗАДАН ЧИСЛОМ</v>
      </c>
      <c r="Q1616" s="13" t="str">
        <f t="shared" si="180"/>
        <v>ГОТОВ_ИЗМЕНЕН</v>
      </c>
      <c r="R1616" s="13">
        <f>IFERROR(VLOOKUP(P1616,Лист1!A$1:B$20,2,FALSE),0)</f>
        <v>784</v>
      </c>
      <c r="S1616" s="13">
        <f t="shared" si="181"/>
        <v>0</v>
      </c>
    </row>
    <row r="1617" spans="1:19" x14ac:dyDescent="0.25">
      <c r="A1617" s="24" t="s">
        <v>2739</v>
      </c>
      <c r="B1617" s="4" t="s">
        <v>1059</v>
      </c>
      <c r="C1617" s="25" t="s">
        <v>7</v>
      </c>
      <c r="G1617" s="25" t="s">
        <v>1106</v>
      </c>
      <c r="H1617" s="24" t="s">
        <v>1061</v>
      </c>
      <c r="I1617" s="3" t="str">
        <f>IFERROR(VLOOKUP(C1617,'Справочник соответствий'!A$2:D$2981,2,FALSE),IF(VALUE(C1617)=0,1,VLOOKUP(C1617,'Справочник соответствий'!A$2:D$2981,2,FALSE)))</f>
        <v>2</v>
      </c>
      <c r="J1617" s="3">
        <f>IFERROR(VLOOKUP(D1617,'Справочник соответствий'!A$2:D$2981,2,FALSE),IF(VALUE(D1617)=0,0,VLOOKUP(D1617,'Справочник соответствий'!A$2:D$2981,2,FALSE)))</f>
        <v>0</v>
      </c>
      <c r="K1617" s="3" t="str">
        <f t="shared" si="175"/>
        <v>2</v>
      </c>
      <c r="L1617" s="13" t="str">
        <f>IFERROR(VLOOKUP(C1617,'Справочник соответствий'!A$2:D$2981,3,FALSE),IF(VALUE(C1617)=0,"ЭТАЖ НЕ ОПРЕДЕЛЕН. ПРИНЯТ ПО ДОПУЩЕНИЮ 1",VLOOKUP(C1617,'Справочник соответствий'!A$2:D$2981,3,FALSE)))</f>
        <v>ЭТАЖ ЗАДАН ЧИСЛОМ</v>
      </c>
      <c r="M1617" s="13" t="b">
        <f t="shared" si="176"/>
        <v>0</v>
      </c>
      <c r="N1617" s="13">
        <f t="shared" si="177"/>
        <v>2</v>
      </c>
      <c r="O1617" s="13" t="str">
        <f t="shared" si="178"/>
        <v>ЭТАЖ ЗАДАН ЧИСЛОМ</v>
      </c>
      <c r="P1617" s="13" t="str">
        <f t="shared" si="179"/>
        <v>ЭТАЖ ЗАДАН ЧИСЛОМ</v>
      </c>
      <c r="Q1617" s="13" t="str">
        <f t="shared" si="180"/>
        <v>ГОТОВ_ИЗМЕНЕН</v>
      </c>
      <c r="R1617" s="13">
        <f>IFERROR(VLOOKUP(P1617,Лист1!A$1:B$20,2,FALSE),0)</f>
        <v>784</v>
      </c>
      <c r="S1617" s="13">
        <f t="shared" si="181"/>
        <v>0</v>
      </c>
    </row>
    <row r="1618" spans="1:19" x14ac:dyDescent="0.25">
      <c r="A1618" s="24" t="s">
        <v>2740</v>
      </c>
      <c r="B1618" s="4" t="s">
        <v>1059</v>
      </c>
      <c r="C1618" s="25" t="s">
        <v>7</v>
      </c>
      <c r="G1618" s="25" t="s">
        <v>1106</v>
      </c>
      <c r="H1618" s="24" t="s">
        <v>1061</v>
      </c>
      <c r="I1618" s="3" t="str">
        <f>IFERROR(VLOOKUP(C1618,'Справочник соответствий'!A$2:D$2981,2,FALSE),IF(VALUE(C1618)=0,1,VLOOKUP(C1618,'Справочник соответствий'!A$2:D$2981,2,FALSE)))</f>
        <v>2</v>
      </c>
      <c r="J1618" s="3">
        <f>IFERROR(VLOOKUP(D1618,'Справочник соответствий'!A$2:D$2981,2,FALSE),IF(VALUE(D1618)=0,0,VLOOKUP(D1618,'Справочник соответствий'!A$2:D$2981,2,FALSE)))</f>
        <v>0</v>
      </c>
      <c r="K1618" s="3" t="str">
        <f t="shared" si="175"/>
        <v>2</v>
      </c>
      <c r="L1618" s="13" t="str">
        <f>IFERROR(VLOOKUP(C1618,'Справочник соответствий'!A$2:D$2981,3,FALSE),IF(VALUE(C1618)=0,"ЭТАЖ НЕ ОПРЕДЕЛЕН. ПРИНЯТ ПО ДОПУЩЕНИЮ 1",VLOOKUP(C1618,'Справочник соответствий'!A$2:D$2981,3,FALSE)))</f>
        <v>ЭТАЖ ЗАДАН ЧИСЛОМ</v>
      </c>
      <c r="M1618" s="13" t="b">
        <f t="shared" si="176"/>
        <v>0</v>
      </c>
      <c r="N1618" s="13">
        <f t="shared" si="177"/>
        <v>2</v>
      </c>
      <c r="O1618" s="13" t="str">
        <f t="shared" si="178"/>
        <v>ЭТАЖ ЗАДАН ЧИСЛОМ</v>
      </c>
      <c r="P1618" s="13" t="str">
        <f t="shared" si="179"/>
        <v>ЭТАЖ ЗАДАН ЧИСЛОМ</v>
      </c>
      <c r="Q1618" s="13" t="str">
        <f t="shared" si="180"/>
        <v>ГОТОВ_ИЗМЕНЕН</v>
      </c>
      <c r="R1618" s="13">
        <f>IFERROR(VLOOKUP(P1618,Лист1!A$1:B$20,2,FALSE),0)</f>
        <v>784</v>
      </c>
      <c r="S1618" s="13">
        <f t="shared" si="181"/>
        <v>0</v>
      </c>
    </row>
    <row r="1619" spans="1:19" x14ac:dyDescent="0.25">
      <c r="A1619" s="24" t="s">
        <v>2741</v>
      </c>
      <c r="B1619" s="4" t="s">
        <v>1059</v>
      </c>
      <c r="C1619" s="25" t="s">
        <v>5</v>
      </c>
      <c r="G1619" s="25" t="s">
        <v>1106</v>
      </c>
      <c r="H1619" s="24" t="s">
        <v>1061</v>
      </c>
      <c r="I1619" s="3" t="str">
        <f>IFERROR(VLOOKUP(C1619,'Справочник соответствий'!A$2:D$2981,2,FALSE),IF(VALUE(C1619)=0,1,VLOOKUP(C1619,'Справочник соответствий'!A$2:D$2981,2,FALSE)))</f>
        <v>1</v>
      </c>
      <c r="J1619" s="3">
        <f>IFERROR(VLOOKUP(D1619,'Справочник соответствий'!A$2:D$2981,2,FALSE),IF(VALUE(D1619)=0,0,VLOOKUP(D1619,'Справочник соответствий'!A$2:D$2981,2,FALSE)))</f>
        <v>0</v>
      </c>
      <c r="K1619" s="3" t="str">
        <f t="shared" si="175"/>
        <v>1</v>
      </c>
      <c r="L1619" s="13" t="str">
        <f>IFERROR(VLOOKUP(C1619,'Справочник соответствий'!A$2:D$2981,3,FALSE),IF(VALUE(C1619)=0,"ЭТАЖ НЕ ОПРЕДЕЛЕН. ПРИНЯТ ПО ДОПУЩЕНИЮ 1",VLOOKUP(C1619,'Справочник соответствий'!A$2:D$2981,3,FALSE)))</f>
        <v>ЭТАЖ ЗАДАН ЧИСЛОМ</v>
      </c>
      <c r="M1619" s="13" t="b">
        <f t="shared" si="176"/>
        <v>0</v>
      </c>
      <c r="N1619" s="13">
        <f t="shared" si="177"/>
        <v>1</v>
      </c>
      <c r="O1619" s="13" t="str">
        <f t="shared" si="178"/>
        <v>ЭТАЖ ЗАДАН ЧИСЛОМ</v>
      </c>
      <c r="P1619" s="13" t="str">
        <f t="shared" si="179"/>
        <v>ЭТАЖ ЗАДАН ЧИСЛОМ</v>
      </c>
      <c r="Q1619" s="13" t="str">
        <f t="shared" si="180"/>
        <v>ГОТОВ_ИЗМЕНЕН</v>
      </c>
      <c r="R1619" s="13">
        <f>IFERROR(VLOOKUP(P1619,Лист1!A$1:B$20,2,FALSE),0)</f>
        <v>784</v>
      </c>
      <c r="S1619" s="13">
        <f t="shared" si="181"/>
        <v>0</v>
      </c>
    </row>
    <row r="1620" spans="1:19" x14ac:dyDescent="0.25">
      <c r="A1620" s="24" t="s">
        <v>2742</v>
      </c>
      <c r="B1620" s="4" t="s">
        <v>1059</v>
      </c>
      <c r="C1620" s="25" t="s">
        <v>5</v>
      </c>
      <c r="G1620" s="25" t="s">
        <v>1106</v>
      </c>
      <c r="H1620" s="24" t="s">
        <v>1061</v>
      </c>
      <c r="I1620" s="3" t="str">
        <f>IFERROR(VLOOKUP(C1620,'Справочник соответствий'!A$2:D$2981,2,FALSE),IF(VALUE(C1620)=0,1,VLOOKUP(C1620,'Справочник соответствий'!A$2:D$2981,2,FALSE)))</f>
        <v>1</v>
      </c>
      <c r="J1620" s="3">
        <f>IFERROR(VLOOKUP(D1620,'Справочник соответствий'!A$2:D$2981,2,FALSE),IF(VALUE(D1620)=0,0,VLOOKUP(D1620,'Справочник соответствий'!A$2:D$2981,2,FALSE)))</f>
        <v>0</v>
      </c>
      <c r="K1620" s="3" t="str">
        <f t="shared" si="175"/>
        <v>1</v>
      </c>
      <c r="L1620" s="13" t="str">
        <f>IFERROR(VLOOKUP(C1620,'Справочник соответствий'!A$2:D$2981,3,FALSE),IF(VALUE(C1620)=0,"ЭТАЖ НЕ ОПРЕДЕЛЕН. ПРИНЯТ ПО ДОПУЩЕНИЮ 1",VLOOKUP(C1620,'Справочник соответствий'!A$2:D$2981,3,FALSE)))</f>
        <v>ЭТАЖ ЗАДАН ЧИСЛОМ</v>
      </c>
      <c r="M1620" s="13" t="b">
        <f t="shared" si="176"/>
        <v>0</v>
      </c>
      <c r="N1620" s="13">
        <f t="shared" si="177"/>
        <v>1</v>
      </c>
      <c r="O1620" s="13" t="str">
        <f t="shared" si="178"/>
        <v>ЭТАЖ ЗАДАН ЧИСЛОМ</v>
      </c>
      <c r="P1620" s="13" t="str">
        <f t="shared" si="179"/>
        <v>ЭТАЖ ЗАДАН ЧИСЛОМ</v>
      </c>
      <c r="Q1620" s="13" t="str">
        <f t="shared" si="180"/>
        <v>ГОТОВ_ИЗМЕНЕН</v>
      </c>
      <c r="R1620" s="13">
        <f>IFERROR(VLOOKUP(P1620,Лист1!A$1:B$20,2,FALSE),0)</f>
        <v>784</v>
      </c>
      <c r="S1620" s="13">
        <f t="shared" si="181"/>
        <v>0</v>
      </c>
    </row>
    <row r="1621" spans="1:19" x14ac:dyDescent="0.25">
      <c r="A1621" s="24" t="s">
        <v>2743</v>
      </c>
      <c r="B1621" s="4" t="s">
        <v>1059</v>
      </c>
      <c r="C1621" s="25" t="s">
        <v>7</v>
      </c>
      <c r="G1621" s="25" t="s">
        <v>1106</v>
      </c>
      <c r="H1621" s="24" t="s">
        <v>1061</v>
      </c>
      <c r="I1621" s="3" t="str">
        <f>IFERROR(VLOOKUP(C1621,'Справочник соответствий'!A$2:D$2981,2,FALSE),IF(VALUE(C1621)=0,1,VLOOKUP(C1621,'Справочник соответствий'!A$2:D$2981,2,FALSE)))</f>
        <v>2</v>
      </c>
      <c r="J1621" s="3">
        <f>IFERROR(VLOOKUP(D1621,'Справочник соответствий'!A$2:D$2981,2,FALSE),IF(VALUE(D1621)=0,0,VLOOKUP(D1621,'Справочник соответствий'!A$2:D$2981,2,FALSE)))</f>
        <v>0</v>
      </c>
      <c r="K1621" s="3" t="str">
        <f t="shared" si="175"/>
        <v>2</v>
      </c>
      <c r="L1621" s="13" t="str">
        <f>IFERROR(VLOOKUP(C1621,'Справочник соответствий'!A$2:D$2981,3,FALSE),IF(VALUE(C1621)=0,"ЭТАЖ НЕ ОПРЕДЕЛЕН. ПРИНЯТ ПО ДОПУЩЕНИЮ 1",VLOOKUP(C1621,'Справочник соответствий'!A$2:D$2981,3,FALSE)))</f>
        <v>ЭТАЖ ЗАДАН ЧИСЛОМ</v>
      </c>
      <c r="M1621" s="13" t="b">
        <f t="shared" si="176"/>
        <v>0</v>
      </c>
      <c r="N1621" s="13">
        <f t="shared" si="177"/>
        <v>2</v>
      </c>
      <c r="O1621" s="13" t="str">
        <f t="shared" si="178"/>
        <v>ЭТАЖ ЗАДАН ЧИСЛОМ</v>
      </c>
      <c r="P1621" s="13" t="str">
        <f t="shared" si="179"/>
        <v>ЭТАЖ ЗАДАН ЧИСЛОМ</v>
      </c>
      <c r="Q1621" s="13" t="str">
        <f t="shared" si="180"/>
        <v>ГОТОВ_ИЗМЕНЕН</v>
      </c>
      <c r="R1621" s="13">
        <f>IFERROR(VLOOKUP(P1621,Лист1!A$1:B$20,2,FALSE),0)</f>
        <v>784</v>
      </c>
      <c r="S1621" s="13">
        <f t="shared" si="181"/>
        <v>0</v>
      </c>
    </row>
    <row r="1622" spans="1:19" x14ac:dyDescent="0.25">
      <c r="A1622" s="24" t="s">
        <v>2744</v>
      </c>
      <c r="B1622" s="4" t="s">
        <v>1063</v>
      </c>
      <c r="C1622" s="25" t="s">
        <v>5</v>
      </c>
      <c r="G1622" s="25" t="s">
        <v>1106</v>
      </c>
      <c r="H1622" s="24" t="s">
        <v>1061</v>
      </c>
      <c r="I1622" s="3" t="str">
        <f>IFERROR(VLOOKUP(C1622,'Справочник соответствий'!A$2:D$2981,2,FALSE),IF(VALUE(C1622)=0,1,VLOOKUP(C1622,'Справочник соответствий'!A$2:D$2981,2,FALSE)))</f>
        <v>1</v>
      </c>
      <c r="J1622" s="3">
        <f>IFERROR(VLOOKUP(D1622,'Справочник соответствий'!A$2:D$2981,2,FALSE),IF(VALUE(D1622)=0,0,VLOOKUP(D1622,'Справочник соответствий'!A$2:D$2981,2,FALSE)))</f>
        <v>0</v>
      </c>
      <c r="K1622" s="3" t="str">
        <f t="shared" si="175"/>
        <v>1</v>
      </c>
      <c r="L1622" s="13" t="str">
        <f>IFERROR(VLOOKUP(C1622,'Справочник соответствий'!A$2:D$2981,3,FALSE),IF(VALUE(C1622)=0,"ЭТАЖ НЕ ОПРЕДЕЛЕН. ПРИНЯТ ПО ДОПУЩЕНИЮ 1",VLOOKUP(C1622,'Справочник соответствий'!A$2:D$2981,3,FALSE)))</f>
        <v>ЭТАЖ ЗАДАН ЧИСЛОМ</v>
      </c>
      <c r="M1622" s="13" t="b">
        <f t="shared" si="176"/>
        <v>0</v>
      </c>
      <c r="N1622" s="13">
        <f t="shared" si="177"/>
        <v>1</v>
      </c>
      <c r="O1622" s="13" t="str">
        <f t="shared" si="178"/>
        <v>ЭТАЖ ЗАДАН ЧИСЛОМ</v>
      </c>
      <c r="P1622" s="13" t="str">
        <f t="shared" si="179"/>
        <v>ЭТАЖ ЗАДАН ЧИСЛОМ</v>
      </c>
      <c r="Q1622" s="13" t="str">
        <f t="shared" si="180"/>
        <v>ГОТОВ_ИЗМЕНЕН</v>
      </c>
      <c r="R1622" s="13">
        <f>IFERROR(VLOOKUP(P1622,Лист1!A$1:B$20,2,FALSE),0)</f>
        <v>784</v>
      </c>
      <c r="S1622" s="13">
        <f t="shared" si="181"/>
        <v>0</v>
      </c>
    </row>
    <row r="1623" spans="1:19" x14ac:dyDescent="0.25">
      <c r="A1623" s="24" t="s">
        <v>2745</v>
      </c>
      <c r="B1623" s="4" t="s">
        <v>1059</v>
      </c>
      <c r="C1623" s="25" t="s">
        <v>7</v>
      </c>
      <c r="G1623" s="25" t="s">
        <v>1106</v>
      </c>
      <c r="H1623" s="24" t="s">
        <v>1061</v>
      </c>
      <c r="I1623" s="3" t="str">
        <f>IFERROR(VLOOKUP(C1623,'Справочник соответствий'!A$2:D$2981,2,FALSE),IF(VALUE(C1623)=0,1,VLOOKUP(C1623,'Справочник соответствий'!A$2:D$2981,2,FALSE)))</f>
        <v>2</v>
      </c>
      <c r="J1623" s="3">
        <f>IFERROR(VLOOKUP(D1623,'Справочник соответствий'!A$2:D$2981,2,FALSE),IF(VALUE(D1623)=0,0,VLOOKUP(D1623,'Справочник соответствий'!A$2:D$2981,2,FALSE)))</f>
        <v>0</v>
      </c>
      <c r="K1623" s="3" t="str">
        <f t="shared" si="175"/>
        <v>2</v>
      </c>
      <c r="L1623" s="13" t="str">
        <f>IFERROR(VLOOKUP(C1623,'Справочник соответствий'!A$2:D$2981,3,FALSE),IF(VALUE(C1623)=0,"ЭТАЖ НЕ ОПРЕДЕЛЕН. ПРИНЯТ ПО ДОПУЩЕНИЮ 1",VLOOKUP(C1623,'Справочник соответствий'!A$2:D$2981,3,FALSE)))</f>
        <v>ЭТАЖ ЗАДАН ЧИСЛОМ</v>
      </c>
      <c r="M1623" s="13" t="b">
        <f t="shared" si="176"/>
        <v>0</v>
      </c>
      <c r="N1623" s="13">
        <f t="shared" si="177"/>
        <v>2</v>
      </c>
      <c r="O1623" s="13" t="str">
        <f t="shared" si="178"/>
        <v>ЭТАЖ ЗАДАН ЧИСЛОМ</v>
      </c>
      <c r="P1623" s="13" t="str">
        <f t="shared" si="179"/>
        <v>ЭТАЖ ЗАДАН ЧИСЛОМ</v>
      </c>
      <c r="Q1623" s="13" t="str">
        <f t="shared" si="180"/>
        <v>ГОТОВ_ИЗМЕНЕН</v>
      </c>
      <c r="R1623" s="13">
        <f>IFERROR(VLOOKUP(P1623,Лист1!A$1:B$20,2,FALSE),0)</f>
        <v>784</v>
      </c>
      <c r="S1623" s="13">
        <f t="shared" si="181"/>
        <v>0</v>
      </c>
    </row>
    <row r="1624" spans="1:19" x14ac:dyDescent="0.25">
      <c r="A1624" s="24" t="s">
        <v>2746</v>
      </c>
      <c r="B1624" s="4" t="s">
        <v>1059</v>
      </c>
      <c r="C1624" s="25" t="s">
        <v>7</v>
      </c>
      <c r="G1624" s="25" t="s">
        <v>1276</v>
      </c>
      <c r="H1624" s="24" t="s">
        <v>1061</v>
      </c>
      <c r="I1624" s="3" t="str">
        <f>IFERROR(VLOOKUP(C1624,'Справочник соответствий'!A$2:D$2981,2,FALSE),IF(VALUE(C1624)=0,1,VLOOKUP(C1624,'Справочник соответствий'!A$2:D$2981,2,FALSE)))</f>
        <v>2</v>
      </c>
      <c r="J1624" s="3">
        <f>IFERROR(VLOOKUP(D1624,'Справочник соответствий'!A$2:D$2981,2,FALSE),IF(VALUE(D1624)=0,0,VLOOKUP(D1624,'Справочник соответствий'!A$2:D$2981,2,FALSE)))</f>
        <v>0</v>
      </c>
      <c r="K1624" s="3" t="str">
        <f t="shared" si="175"/>
        <v>2</v>
      </c>
      <c r="L1624" s="13" t="str">
        <f>IFERROR(VLOOKUP(C1624,'Справочник соответствий'!A$2:D$2981,3,FALSE),IF(VALUE(C1624)=0,"ЭТАЖ НЕ ОПРЕДЕЛЕН. ПРИНЯТ ПО ДОПУЩЕНИЮ 1",VLOOKUP(C1624,'Справочник соответствий'!A$2:D$2981,3,FALSE)))</f>
        <v>ЭТАЖ ЗАДАН ЧИСЛОМ</v>
      </c>
      <c r="M1624" s="13" t="b">
        <f t="shared" si="176"/>
        <v>0</v>
      </c>
      <c r="N1624" s="13">
        <f t="shared" si="177"/>
        <v>2</v>
      </c>
      <c r="O1624" s="13" t="str">
        <f t="shared" si="178"/>
        <v>ЭТАЖ ЗАДАН ЧИСЛОМ</v>
      </c>
      <c r="P1624" s="13" t="str">
        <f t="shared" si="179"/>
        <v>ЭТАЖ ЗАДАН ЧИСЛОМ</v>
      </c>
      <c r="Q1624" s="13" t="str">
        <f t="shared" si="180"/>
        <v>ГОТОВ_ИЗМЕНЕН</v>
      </c>
      <c r="R1624" s="13">
        <f>IFERROR(VLOOKUP(P1624,Лист1!A$1:B$20,2,FALSE),0)</f>
        <v>784</v>
      </c>
      <c r="S1624" s="13">
        <f t="shared" si="181"/>
        <v>0</v>
      </c>
    </row>
    <row r="1625" spans="1:19" x14ac:dyDescent="0.25">
      <c r="A1625" s="24" t="s">
        <v>2747</v>
      </c>
      <c r="B1625" s="4" t="s">
        <v>1059</v>
      </c>
      <c r="C1625" s="25" t="s">
        <v>7</v>
      </c>
      <c r="G1625" s="25" t="s">
        <v>1083</v>
      </c>
      <c r="H1625" s="24" t="s">
        <v>1061</v>
      </c>
      <c r="I1625" s="3" t="str">
        <f>IFERROR(VLOOKUP(C1625,'Справочник соответствий'!A$2:D$2981,2,FALSE),IF(VALUE(C1625)=0,1,VLOOKUP(C1625,'Справочник соответствий'!A$2:D$2981,2,FALSE)))</f>
        <v>2</v>
      </c>
      <c r="J1625" s="3">
        <f>IFERROR(VLOOKUP(D1625,'Справочник соответствий'!A$2:D$2981,2,FALSE),IF(VALUE(D1625)=0,0,VLOOKUP(D1625,'Справочник соответствий'!A$2:D$2981,2,FALSE)))</f>
        <v>0</v>
      </c>
      <c r="K1625" s="3" t="str">
        <f t="shared" si="175"/>
        <v>2</v>
      </c>
      <c r="L1625" s="13" t="str">
        <f>IFERROR(VLOOKUP(C1625,'Справочник соответствий'!A$2:D$2981,3,FALSE),IF(VALUE(C1625)=0,"ЭТАЖ НЕ ОПРЕДЕЛЕН. ПРИНЯТ ПО ДОПУЩЕНИЮ 1",VLOOKUP(C1625,'Справочник соответствий'!A$2:D$2981,3,FALSE)))</f>
        <v>ЭТАЖ ЗАДАН ЧИСЛОМ</v>
      </c>
      <c r="M1625" s="13" t="b">
        <f t="shared" si="176"/>
        <v>0</v>
      </c>
      <c r="N1625" s="13">
        <f t="shared" si="177"/>
        <v>2</v>
      </c>
      <c r="O1625" s="13" t="str">
        <f t="shared" si="178"/>
        <v>ЭТАЖ ЗАДАН ЧИСЛОМ</v>
      </c>
      <c r="P1625" s="13" t="str">
        <f t="shared" si="179"/>
        <v>ЭТАЖ ЗАДАН ЧИСЛОМ</v>
      </c>
      <c r="Q1625" s="13" t="str">
        <f t="shared" si="180"/>
        <v>ГОТОВ_ИЗМЕНЕН</v>
      </c>
      <c r="R1625" s="13">
        <f>IFERROR(VLOOKUP(P1625,Лист1!A$1:B$20,2,FALSE),0)</f>
        <v>784</v>
      </c>
      <c r="S1625" s="13">
        <f t="shared" si="181"/>
        <v>0</v>
      </c>
    </row>
    <row r="1626" spans="1:19" x14ac:dyDescent="0.25">
      <c r="A1626" s="24" t="s">
        <v>2748</v>
      </c>
      <c r="B1626" s="4" t="s">
        <v>1059</v>
      </c>
      <c r="C1626" s="25" t="s">
        <v>7</v>
      </c>
      <c r="G1626" s="25" t="s">
        <v>1083</v>
      </c>
      <c r="H1626" s="24" t="s">
        <v>1061</v>
      </c>
      <c r="I1626" s="3" t="str">
        <f>IFERROR(VLOOKUP(C1626,'Справочник соответствий'!A$2:D$2981,2,FALSE),IF(VALUE(C1626)=0,1,VLOOKUP(C1626,'Справочник соответствий'!A$2:D$2981,2,FALSE)))</f>
        <v>2</v>
      </c>
      <c r="J1626" s="3">
        <f>IFERROR(VLOOKUP(D1626,'Справочник соответствий'!A$2:D$2981,2,FALSE),IF(VALUE(D1626)=0,0,VLOOKUP(D1626,'Справочник соответствий'!A$2:D$2981,2,FALSE)))</f>
        <v>0</v>
      </c>
      <c r="K1626" s="3" t="str">
        <f t="shared" si="175"/>
        <v>2</v>
      </c>
      <c r="L1626" s="13" t="str">
        <f>IFERROR(VLOOKUP(C1626,'Справочник соответствий'!A$2:D$2981,3,FALSE),IF(VALUE(C1626)=0,"ЭТАЖ НЕ ОПРЕДЕЛЕН. ПРИНЯТ ПО ДОПУЩЕНИЮ 1",VLOOKUP(C1626,'Справочник соответствий'!A$2:D$2981,3,FALSE)))</f>
        <v>ЭТАЖ ЗАДАН ЧИСЛОМ</v>
      </c>
      <c r="M1626" s="13" t="b">
        <f t="shared" si="176"/>
        <v>0</v>
      </c>
      <c r="N1626" s="13">
        <f t="shared" si="177"/>
        <v>2</v>
      </c>
      <c r="O1626" s="13" t="str">
        <f t="shared" si="178"/>
        <v>ЭТАЖ ЗАДАН ЧИСЛОМ</v>
      </c>
      <c r="P1626" s="13" t="str">
        <f t="shared" si="179"/>
        <v>ЭТАЖ ЗАДАН ЧИСЛОМ</v>
      </c>
      <c r="Q1626" s="13" t="str">
        <f t="shared" si="180"/>
        <v>ГОТОВ_ИЗМЕНЕН</v>
      </c>
      <c r="R1626" s="13">
        <f>IFERROR(VLOOKUP(P1626,Лист1!A$1:B$20,2,FALSE),0)</f>
        <v>784</v>
      </c>
      <c r="S1626" s="13">
        <f t="shared" si="181"/>
        <v>0</v>
      </c>
    </row>
    <row r="1627" spans="1:19" x14ac:dyDescent="0.25">
      <c r="A1627" s="24" t="s">
        <v>2749</v>
      </c>
      <c r="B1627" s="4" t="s">
        <v>1059</v>
      </c>
      <c r="C1627" s="25" t="s">
        <v>5</v>
      </c>
      <c r="G1627" s="25" t="s">
        <v>1083</v>
      </c>
      <c r="H1627" s="24" t="s">
        <v>1061</v>
      </c>
      <c r="I1627" s="3" t="str">
        <f>IFERROR(VLOOKUP(C1627,'Справочник соответствий'!A$2:D$2981,2,FALSE),IF(VALUE(C1627)=0,1,VLOOKUP(C1627,'Справочник соответствий'!A$2:D$2981,2,FALSE)))</f>
        <v>1</v>
      </c>
      <c r="J1627" s="3">
        <f>IFERROR(VLOOKUP(D1627,'Справочник соответствий'!A$2:D$2981,2,FALSE),IF(VALUE(D1627)=0,0,VLOOKUP(D1627,'Справочник соответствий'!A$2:D$2981,2,FALSE)))</f>
        <v>0</v>
      </c>
      <c r="K1627" s="3" t="str">
        <f t="shared" si="175"/>
        <v>1</v>
      </c>
      <c r="L1627" s="13" t="str">
        <f>IFERROR(VLOOKUP(C1627,'Справочник соответствий'!A$2:D$2981,3,FALSE),IF(VALUE(C1627)=0,"ЭТАЖ НЕ ОПРЕДЕЛЕН. ПРИНЯТ ПО ДОПУЩЕНИЮ 1",VLOOKUP(C1627,'Справочник соответствий'!A$2:D$2981,3,FALSE)))</f>
        <v>ЭТАЖ ЗАДАН ЧИСЛОМ</v>
      </c>
      <c r="M1627" s="13" t="b">
        <f t="shared" si="176"/>
        <v>0</v>
      </c>
      <c r="N1627" s="13">
        <f t="shared" si="177"/>
        <v>1</v>
      </c>
      <c r="O1627" s="13" t="str">
        <f t="shared" si="178"/>
        <v>ЭТАЖ ЗАДАН ЧИСЛОМ</v>
      </c>
      <c r="P1627" s="13" t="str">
        <f t="shared" si="179"/>
        <v>ЭТАЖ ЗАДАН ЧИСЛОМ</v>
      </c>
      <c r="Q1627" s="13" t="str">
        <f t="shared" si="180"/>
        <v>ГОТОВ_ИЗМЕНЕН</v>
      </c>
      <c r="R1627" s="13">
        <f>IFERROR(VLOOKUP(P1627,Лист1!A$1:B$20,2,FALSE),0)</f>
        <v>784</v>
      </c>
      <c r="S1627" s="13">
        <f t="shared" si="181"/>
        <v>0</v>
      </c>
    </row>
    <row r="1628" spans="1:19" x14ac:dyDescent="0.25">
      <c r="A1628" s="24" t="s">
        <v>2750</v>
      </c>
      <c r="B1628" s="4" t="s">
        <v>1059</v>
      </c>
      <c r="C1628" s="25" t="s">
        <v>5</v>
      </c>
      <c r="G1628" s="25" t="s">
        <v>1083</v>
      </c>
      <c r="H1628" s="24" t="s">
        <v>1061</v>
      </c>
      <c r="I1628" s="3" t="str">
        <f>IFERROR(VLOOKUP(C1628,'Справочник соответствий'!A$2:D$2981,2,FALSE),IF(VALUE(C1628)=0,1,VLOOKUP(C1628,'Справочник соответствий'!A$2:D$2981,2,FALSE)))</f>
        <v>1</v>
      </c>
      <c r="J1628" s="3">
        <f>IFERROR(VLOOKUP(D1628,'Справочник соответствий'!A$2:D$2981,2,FALSE),IF(VALUE(D1628)=0,0,VLOOKUP(D1628,'Справочник соответствий'!A$2:D$2981,2,FALSE)))</f>
        <v>0</v>
      </c>
      <c r="K1628" s="3" t="str">
        <f t="shared" si="175"/>
        <v>1</v>
      </c>
      <c r="L1628" s="13" t="str">
        <f>IFERROR(VLOOKUP(C1628,'Справочник соответствий'!A$2:D$2981,3,FALSE),IF(VALUE(C1628)=0,"ЭТАЖ НЕ ОПРЕДЕЛЕН. ПРИНЯТ ПО ДОПУЩЕНИЮ 1",VLOOKUP(C1628,'Справочник соответствий'!A$2:D$2981,3,FALSE)))</f>
        <v>ЭТАЖ ЗАДАН ЧИСЛОМ</v>
      </c>
      <c r="M1628" s="13" t="b">
        <f t="shared" si="176"/>
        <v>0</v>
      </c>
      <c r="N1628" s="13">
        <f t="shared" si="177"/>
        <v>1</v>
      </c>
      <c r="O1628" s="13" t="str">
        <f t="shared" si="178"/>
        <v>ЭТАЖ ЗАДАН ЧИСЛОМ</v>
      </c>
      <c r="P1628" s="13" t="str">
        <f t="shared" si="179"/>
        <v>ЭТАЖ ЗАДАН ЧИСЛОМ</v>
      </c>
      <c r="Q1628" s="13" t="str">
        <f t="shared" si="180"/>
        <v>ГОТОВ_ИЗМЕНЕН</v>
      </c>
      <c r="R1628" s="13">
        <f>IFERROR(VLOOKUP(P1628,Лист1!A$1:B$20,2,FALSE),0)</f>
        <v>784</v>
      </c>
      <c r="S1628" s="13">
        <f t="shared" si="181"/>
        <v>0</v>
      </c>
    </row>
    <row r="1629" spans="1:19" x14ac:dyDescent="0.25">
      <c r="A1629" s="24" t="s">
        <v>2751</v>
      </c>
      <c r="B1629" s="4" t="s">
        <v>1063</v>
      </c>
      <c r="C1629" s="25" t="s">
        <v>5</v>
      </c>
      <c r="G1629" s="25" t="s">
        <v>1083</v>
      </c>
      <c r="H1629" s="24" t="s">
        <v>1061</v>
      </c>
      <c r="I1629" s="3" t="str">
        <f>IFERROR(VLOOKUP(C1629,'Справочник соответствий'!A$2:D$2981,2,FALSE),IF(VALUE(C1629)=0,1,VLOOKUP(C1629,'Справочник соответствий'!A$2:D$2981,2,FALSE)))</f>
        <v>1</v>
      </c>
      <c r="J1629" s="3">
        <f>IFERROR(VLOOKUP(D1629,'Справочник соответствий'!A$2:D$2981,2,FALSE),IF(VALUE(D1629)=0,0,VLOOKUP(D1629,'Справочник соответствий'!A$2:D$2981,2,FALSE)))</f>
        <v>0</v>
      </c>
      <c r="K1629" s="3" t="str">
        <f t="shared" si="175"/>
        <v>1</v>
      </c>
      <c r="L1629" s="13" t="str">
        <f>IFERROR(VLOOKUP(C1629,'Справочник соответствий'!A$2:D$2981,3,FALSE),IF(VALUE(C1629)=0,"ЭТАЖ НЕ ОПРЕДЕЛЕН. ПРИНЯТ ПО ДОПУЩЕНИЮ 1",VLOOKUP(C1629,'Справочник соответствий'!A$2:D$2981,3,FALSE)))</f>
        <v>ЭТАЖ ЗАДАН ЧИСЛОМ</v>
      </c>
      <c r="M1629" s="13" t="b">
        <f t="shared" si="176"/>
        <v>0</v>
      </c>
      <c r="N1629" s="13">
        <f t="shared" si="177"/>
        <v>1</v>
      </c>
      <c r="O1629" s="13" t="str">
        <f t="shared" si="178"/>
        <v>ЭТАЖ ЗАДАН ЧИСЛОМ</v>
      </c>
      <c r="P1629" s="13" t="str">
        <f t="shared" si="179"/>
        <v>ЭТАЖ ЗАДАН ЧИСЛОМ</v>
      </c>
      <c r="Q1629" s="13" t="str">
        <f t="shared" si="180"/>
        <v>ГОТОВ_ИЗМЕНЕН</v>
      </c>
      <c r="R1629" s="13">
        <f>IFERROR(VLOOKUP(P1629,Лист1!A$1:B$20,2,FALSE),0)</f>
        <v>784</v>
      </c>
      <c r="S1629" s="13">
        <f t="shared" si="181"/>
        <v>0</v>
      </c>
    </row>
    <row r="1630" spans="1:19" x14ac:dyDescent="0.25">
      <c r="A1630" s="24" t="s">
        <v>2752</v>
      </c>
      <c r="B1630" s="4" t="s">
        <v>1059</v>
      </c>
      <c r="C1630" s="25" t="s">
        <v>5</v>
      </c>
      <c r="G1630" s="25" t="s">
        <v>1083</v>
      </c>
      <c r="H1630" s="24" t="s">
        <v>1061</v>
      </c>
      <c r="I1630" s="3" t="str">
        <f>IFERROR(VLOOKUP(C1630,'Справочник соответствий'!A$2:D$2981,2,FALSE),IF(VALUE(C1630)=0,1,VLOOKUP(C1630,'Справочник соответствий'!A$2:D$2981,2,FALSE)))</f>
        <v>1</v>
      </c>
      <c r="J1630" s="3">
        <f>IFERROR(VLOOKUP(D1630,'Справочник соответствий'!A$2:D$2981,2,FALSE),IF(VALUE(D1630)=0,0,VLOOKUP(D1630,'Справочник соответствий'!A$2:D$2981,2,FALSE)))</f>
        <v>0</v>
      </c>
      <c r="K1630" s="3" t="str">
        <f t="shared" si="175"/>
        <v>1</v>
      </c>
      <c r="L1630" s="13" t="str">
        <f>IFERROR(VLOOKUP(C1630,'Справочник соответствий'!A$2:D$2981,3,FALSE),IF(VALUE(C1630)=0,"ЭТАЖ НЕ ОПРЕДЕЛЕН. ПРИНЯТ ПО ДОПУЩЕНИЮ 1",VLOOKUP(C1630,'Справочник соответствий'!A$2:D$2981,3,FALSE)))</f>
        <v>ЭТАЖ ЗАДАН ЧИСЛОМ</v>
      </c>
      <c r="M1630" s="13" t="b">
        <f t="shared" si="176"/>
        <v>0</v>
      </c>
      <c r="N1630" s="13">
        <f t="shared" si="177"/>
        <v>1</v>
      </c>
      <c r="O1630" s="13" t="str">
        <f t="shared" si="178"/>
        <v>ЭТАЖ ЗАДАН ЧИСЛОМ</v>
      </c>
      <c r="P1630" s="13" t="str">
        <f t="shared" si="179"/>
        <v>ЭТАЖ ЗАДАН ЧИСЛОМ</v>
      </c>
      <c r="Q1630" s="13" t="str">
        <f t="shared" si="180"/>
        <v>ГОТОВ_ИЗМЕНЕН</v>
      </c>
      <c r="R1630" s="13">
        <f>IFERROR(VLOOKUP(P1630,Лист1!A$1:B$20,2,FALSE),0)</f>
        <v>784</v>
      </c>
      <c r="S1630" s="13">
        <f t="shared" si="181"/>
        <v>0</v>
      </c>
    </row>
    <row r="1631" spans="1:19" x14ac:dyDescent="0.25">
      <c r="A1631" s="24" t="s">
        <v>2753</v>
      </c>
      <c r="B1631" s="4" t="s">
        <v>1063</v>
      </c>
      <c r="C1631" s="25" t="s">
        <v>5</v>
      </c>
      <c r="G1631" s="25" t="s">
        <v>1083</v>
      </c>
      <c r="H1631" s="24" t="s">
        <v>1061</v>
      </c>
      <c r="I1631" s="3" t="str">
        <f>IFERROR(VLOOKUP(C1631,'Справочник соответствий'!A$2:D$2981,2,FALSE),IF(VALUE(C1631)=0,1,VLOOKUP(C1631,'Справочник соответствий'!A$2:D$2981,2,FALSE)))</f>
        <v>1</v>
      </c>
      <c r="J1631" s="3">
        <f>IFERROR(VLOOKUP(D1631,'Справочник соответствий'!A$2:D$2981,2,FALSE),IF(VALUE(D1631)=0,0,VLOOKUP(D1631,'Справочник соответствий'!A$2:D$2981,2,FALSE)))</f>
        <v>0</v>
      </c>
      <c r="K1631" s="3" t="str">
        <f t="shared" si="175"/>
        <v>1</v>
      </c>
      <c r="L1631" s="13" t="str">
        <f>IFERROR(VLOOKUP(C1631,'Справочник соответствий'!A$2:D$2981,3,FALSE),IF(VALUE(C1631)=0,"ЭТАЖ НЕ ОПРЕДЕЛЕН. ПРИНЯТ ПО ДОПУЩЕНИЮ 1",VLOOKUP(C1631,'Справочник соответствий'!A$2:D$2981,3,FALSE)))</f>
        <v>ЭТАЖ ЗАДАН ЧИСЛОМ</v>
      </c>
      <c r="M1631" s="13" t="b">
        <f t="shared" si="176"/>
        <v>0</v>
      </c>
      <c r="N1631" s="13">
        <f t="shared" si="177"/>
        <v>1</v>
      </c>
      <c r="O1631" s="13" t="str">
        <f t="shared" si="178"/>
        <v>ЭТАЖ ЗАДАН ЧИСЛОМ</v>
      </c>
      <c r="P1631" s="13" t="str">
        <f t="shared" si="179"/>
        <v>ЭТАЖ ЗАДАН ЧИСЛОМ</v>
      </c>
      <c r="Q1631" s="13" t="str">
        <f t="shared" si="180"/>
        <v>ГОТОВ_ИЗМЕНЕН</v>
      </c>
      <c r="R1631" s="13">
        <f>IFERROR(VLOOKUP(P1631,Лист1!A$1:B$20,2,FALSE),0)</f>
        <v>784</v>
      </c>
      <c r="S1631" s="13">
        <f t="shared" si="181"/>
        <v>0</v>
      </c>
    </row>
    <row r="1632" spans="1:19" x14ac:dyDescent="0.25">
      <c r="A1632" s="24" t="s">
        <v>2754</v>
      </c>
      <c r="B1632" s="4" t="s">
        <v>1059</v>
      </c>
      <c r="C1632" s="25" t="s">
        <v>5</v>
      </c>
      <c r="G1632" s="25" t="s">
        <v>1083</v>
      </c>
      <c r="H1632" s="24" t="s">
        <v>1061</v>
      </c>
      <c r="I1632" s="3" t="str">
        <f>IFERROR(VLOOKUP(C1632,'Справочник соответствий'!A$2:D$2981,2,FALSE),IF(VALUE(C1632)=0,1,VLOOKUP(C1632,'Справочник соответствий'!A$2:D$2981,2,FALSE)))</f>
        <v>1</v>
      </c>
      <c r="J1632" s="3">
        <f>IFERROR(VLOOKUP(D1632,'Справочник соответствий'!A$2:D$2981,2,FALSE),IF(VALUE(D1632)=0,0,VLOOKUP(D1632,'Справочник соответствий'!A$2:D$2981,2,FALSE)))</f>
        <v>0</v>
      </c>
      <c r="K1632" s="3" t="str">
        <f t="shared" si="175"/>
        <v>1</v>
      </c>
      <c r="L1632" s="13" t="str">
        <f>IFERROR(VLOOKUP(C1632,'Справочник соответствий'!A$2:D$2981,3,FALSE),IF(VALUE(C1632)=0,"ЭТАЖ НЕ ОПРЕДЕЛЕН. ПРИНЯТ ПО ДОПУЩЕНИЮ 1",VLOOKUP(C1632,'Справочник соответствий'!A$2:D$2981,3,FALSE)))</f>
        <v>ЭТАЖ ЗАДАН ЧИСЛОМ</v>
      </c>
      <c r="M1632" s="13" t="b">
        <f t="shared" si="176"/>
        <v>0</v>
      </c>
      <c r="N1632" s="13">
        <f t="shared" si="177"/>
        <v>1</v>
      </c>
      <c r="O1632" s="13" t="str">
        <f t="shared" si="178"/>
        <v>ЭТАЖ ЗАДАН ЧИСЛОМ</v>
      </c>
      <c r="P1632" s="13" t="str">
        <f t="shared" si="179"/>
        <v>ЭТАЖ ЗАДАН ЧИСЛОМ</v>
      </c>
      <c r="Q1632" s="13" t="str">
        <f t="shared" si="180"/>
        <v>ГОТОВ_ИЗМЕНЕН</v>
      </c>
      <c r="R1632" s="13">
        <f>IFERROR(VLOOKUP(P1632,Лист1!A$1:B$20,2,FALSE),0)</f>
        <v>784</v>
      </c>
      <c r="S1632" s="13">
        <f t="shared" si="181"/>
        <v>0</v>
      </c>
    </row>
    <row r="1633" spans="1:19" x14ac:dyDescent="0.25">
      <c r="A1633" s="24" t="s">
        <v>2755</v>
      </c>
      <c r="B1633" s="4" t="s">
        <v>1063</v>
      </c>
      <c r="C1633" s="25" t="s">
        <v>5</v>
      </c>
      <c r="G1633" s="25" t="s">
        <v>1083</v>
      </c>
      <c r="H1633" s="24" t="s">
        <v>1061</v>
      </c>
      <c r="I1633" s="3" t="str">
        <f>IFERROR(VLOOKUP(C1633,'Справочник соответствий'!A$2:D$2981,2,FALSE),IF(VALUE(C1633)=0,1,VLOOKUP(C1633,'Справочник соответствий'!A$2:D$2981,2,FALSE)))</f>
        <v>1</v>
      </c>
      <c r="J1633" s="3">
        <f>IFERROR(VLOOKUP(D1633,'Справочник соответствий'!A$2:D$2981,2,FALSE),IF(VALUE(D1633)=0,0,VLOOKUP(D1633,'Справочник соответствий'!A$2:D$2981,2,FALSE)))</f>
        <v>0</v>
      </c>
      <c r="K1633" s="3" t="str">
        <f t="shared" si="175"/>
        <v>1</v>
      </c>
      <c r="L1633" s="13" t="str">
        <f>IFERROR(VLOOKUP(C1633,'Справочник соответствий'!A$2:D$2981,3,FALSE),IF(VALUE(C1633)=0,"ЭТАЖ НЕ ОПРЕДЕЛЕН. ПРИНЯТ ПО ДОПУЩЕНИЮ 1",VLOOKUP(C1633,'Справочник соответствий'!A$2:D$2981,3,FALSE)))</f>
        <v>ЭТАЖ ЗАДАН ЧИСЛОМ</v>
      </c>
      <c r="M1633" s="13" t="b">
        <f t="shared" si="176"/>
        <v>0</v>
      </c>
      <c r="N1633" s="13">
        <f t="shared" si="177"/>
        <v>1</v>
      </c>
      <c r="O1633" s="13" t="str">
        <f t="shared" si="178"/>
        <v>ЭТАЖ ЗАДАН ЧИСЛОМ</v>
      </c>
      <c r="P1633" s="13" t="str">
        <f t="shared" si="179"/>
        <v>ЭТАЖ ЗАДАН ЧИСЛОМ</v>
      </c>
      <c r="Q1633" s="13" t="str">
        <f t="shared" si="180"/>
        <v>ГОТОВ_ИЗМЕНЕН</v>
      </c>
      <c r="R1633" s="13">
        <f>IFERROR(VLOOKUP(P1633,Лист1!A$1:B$20,2,FALSE),0)</f>
        <v>784</v>
      </c>
      <c r="S1633" s="13">
        <f t="shared" si="181"/>
        <v>0</v>
      </c>
    </row>
    <row r="1634" spans="1:19" x14ac:dyDescent="0.25">
      <c r="A1634" s="24" t="s">
        <v>2756</v>
      </c>
      <c r="B1634" s="4" t="s">
        <v>1063</v>
      </c>
      <c r="G1634" s="25" t="s">
        <v>1083</v>
      </c>
      <c r="H1634" s="24" t="s">
        <v>1061</v>
      </c>
      <c r="I1634" s="3">
        <f>IFERROR(VLOOKUP(C1634,'Справочник соответствий'!A$2:D$2981,2,FALSE),IF(VALUE(C1634)=0,1,VLOOKUP(C1634,'Справочник соответствий'!A$2:D$2981,2,FALSE)))</f>
        <v>1</v>
      </c>
      <c r="J1634" s="3">
        <f>IFERROR(VLOOKUP(D1634,'Справочник соответствий'!A$2:D$2981,2,FALSE),IF(VALUE(D1634)=0,0,VLOOKUP(D1634,'Справочник соответствий'!A$2:D$2981,2,FALSE)))</f>
        <v>0</v>
      </c>
      <c r="K1634" s="3">
        <f t="shared" si="175"/>
        <v>1</v>
      </c>
      <c r="L1634" s="13" t="str">
        <f>IFERROR(VLOOKUP(C1634,'Справочник соответствий'!A$2:D$2981,3,FALSE),IF(VALUE(C1634)=0,"ЭТАЖ НЕ ОПРЕДЕЛЕН. ПРИНЯТ ПО ДОПУЩЕНИЮ 1",VLOOKUP(C1634,'Справочник соответствий'!A$2:D$2981,3,FALSE)))</f>
        <v>ЭТАЖ НЕ ОПРЕДЕЛЕН. ПРИНЯТ ПО ДОПУЩЕНИЮ 1</v>
      </c>
      <c r="M1634" s="13" t="b">
        <f t="shared" si="176"/>
        <v>0</v>
      </c>
      <c r="N1634" s="13">
        <f t="shared" si="177"/>
        <v>1</v>
      </c>
      <c r="O1634" s="13" t="str">
        <f t="shared" si="178"/>
        <v>ЭТАЖ НЕ ОПРЕДЕЛЕН. ПРИНЯТ ПО ДОПУЩЕНИЮ 1</v>
      </c>
      <c r="P1634" s="13" t="str">
        <f t="shared" si="179"/>
        <v>ЭТАЖ НЕ ОПРЕДЕЛЕН. ПРИНЯТ ПО ДОПУЩЕНИЮ 1</v>
      </c>
      <c r="Q1634" s="13" t="str">
        <f t="shared" si="180"/>
        <v>ГОТОВ_ИЗМЕНЕН</v>
      </c>
      <c r="R1634" s="13">
        <f>IFERROR(VLOOKUP(P1634,Лист1!A$1:B$20,2,FALSE),0)</f>
        <v>788</v>
      </c>
      <c r="S1634" s="13">
        <f t="shared" si="181"/>
        <v>0</v>
      </c>
    </row>
    <row r="1635" spans="1:19" x14ac:dyDescent="0.25">
      <c r="A1635" s="24" t="s">
        <v>2757</v>
      </c>
      <c r="B1635" s="4" t="s">
        <v>1063</v>
      </c>
      <c r="C1635" s="25" t="s">
        <v>5</v>
      </c>
      <c r="G1635" s="25" t="s">
        <v>1083</v>
      </c>
      <c r="H1635" s="24" t="s">
        <v>1061</v>
      </c>
      <c r="I1635" s="3" t="str">
        <f>IFERROR(VLOOKUP(C1635,'Справочник соответствий'!A$2:D$2981,2,FALSE),IF(VALUE(C1635)=0,1,VLOOKUP(C1635,'Справочник соответствий'!A$2:D$2981,2,FALSE)))</f>
        <v>1</v>
      </c>
      <c r="J1635" s="3">
        <f>IFERROR(VLOOKUP(D1635,'Справочник соответствий'!A$2:D$2981,2,FALSE),IF(VALUE(D1635)=0,0,VLOOKUP(D1635,'Справочник соответствий'!A$2:D$2981,2,FALSE)))</f>
        <v>0</v>
      </c>
      <c r="K1635" s="3" t="str">
        <f t="shared" si="175"/>
        <v>1</v>
      </c>
      <c r="L1635" s="13" t="str">
        <f>IFERROR(VLOOKUP(C1635,'Справочник соответствий'!A$2:D$2981,3,FALSE),IF(VALUE(C1635)=0,"ЭТАЖ НЕ ОПРЕДЕЛЕН. ПРИНЯТ ПО ДОПУЩЕНИЮ 1",VLOOKUP(C1635,'Справочник соответствий'!A$2:D$2981,3,FALSE)))</f>
        <v>ЭТАЖ ЗАДАН ЧИСЛОМ</v>
      </c>
      <c r="M1635" s="13" t="b">
        <f t="shared" si="176"/>
        <v>0</v>
      </c>
      <c r="N1635" s="13">
        <f t="shared" si="177"/>
        <v>1</v>
      </c>
      <c r="O1635" s="13" t="str">
        <f t="shared" si="178"/>
        <v>ЭТАЖ ЗАДАН ЧИСЛОМ</v>
      </c>
      <c r="P1635" s="13" t="str">
        <f t="shared" si="179"/>
        <v>ЭТАЖ ЗАДАН ЧИСЛОМ</v>
      </c>
      <c r="Q1635" s="13" t="str">
        <f t="shared" si="180"/>
        <v>ГОТОВ_ИЗМЕНЕН</v>
      </c>
      <c r="R1635" s="13">
        <f>IFERROR(VLOOKUP(P1635,Лист1!A$1:B$20,2,FALSE),0)</f>
        <v>784</v>
      </c>
      <c r="S1635" s="13">
        <f t="shared" si="181"/>
        <v>0</v>
      </c>
    </row>
    <row r="1636" spans="1:19" x14ac:dyDescent="0.25">
      <c r="A1636" s="24" t="s">
        <v>2758</v>
      </c>
      <c r="B1636" s="4" t="s">
        <v>1031</v>
      </c>
      <c r="C1636" s="25" t="s">
        <v>7</v>
      </c>
      <c r="E1636" s="3">
        <v>2</v>
      </c>
      <c r="F1636" s="24" t="s">
        <v>1074</v>
      </c>
      <c r="G1636" s="25" t="s">
        <v>1075</v>
      </c>
      <c r="H1636" s="24" t="s">
        <v>1061</v>
      </c>
      <c r="I1636" s="3" t="str">
        <f>IFERROR(VLOOKUP(C1636,'Справочник соответствий'!A$2:D$2981,2,FALSE),IF(VALUE(C1636)=0,1,VLOOKUP(C1636,'Справочник соответствий'!A$2:D$2981,2,FALSE)))</f>
        <v>2</v>
      </c>
      <c r="J1636" s="3">
        <f>IFERROR(VLOOKUP(D1636,'Справочник соответствий'!A$2:D$2981,2,FALSE),IF(VALUE(D1636)=0,0,VLOOKUP(D1636,'Справочник соответствий'!A$2:D$2981,2,FALSE)))</f>
        <v>0</v>
      </c>
      <c r="K1636" s="3">
        <f t="shared" si="175"/>
        <v>2</v>
      </c>
      <c r="L1636" s="13" t="str">
        <f>IFERROR(VLOOKUP(C1636,'Справочник соответствий'!A$2:D$2981,3,FALSE),IF(VALUE(C1636)=0,"ЭТАЖ НЕ ОПРЕДЕЛЕН. ПРИНЯТ ПО ДОПУЩЕНИЮ 1",VLOOKUP(C1636,'Справочник соответствий'!A$2:D$2981,3,FALSE)))</f>
        <v>ЭТАЖ ЗАДАН ЧИСЛОМ</v>
      </c>
      <c r="M1636" s="13" t="b">
        <f t="shared" si="176"/>
        <v>0</v>
      </c>
      <c r="N1636" s="13">
        <f t="shared" si="177"/>
        <v>2</v>
      </c>
      <c r="O1636" s="13" t="str">
        <f t="shared" si="178"/>
        <v>ЭТАЖ ЗАДАН ЧИСЛОМ</v>
      </c>
      <c r="P1636" s="13" t="str">
        <f t="shared" si="179"/>
        <v>МКД_ЭТАЖ ЗАДАН ЧИСЛОМ</v>
      </c>
      <c r="Q1636" s="13" t="str">
        <f t="shared" si="180"/>
        <v>ГОТОВ</v>
      </c>
      <c r="R1636" s="13">
        <f>IFERROR(VLOOKUP(P1636,Лист1!A$1:B$20,2,FALSE),0)</f>
        <v>786</v>
      </c>
      <c r="S1636" s="13">
        <f t="shared" si="181"/>
        <v>2</v>
      </c>
    </row>
    <row r="1637" spans="1:19" x14ac:dyDescent="0.25">
      <c r="A1637" s="24" t="s">
        <v>2759</v>
      </c>
      <c r="B1637" s="4" t="s">
        <v>1059</v>
      </c>
      <c r="C1637" s="25" t="s">
        <v>8</v>
      </c>
      <c r="E1637" s="3">
        <v>3</v>
      </c>
      <c r="F1637" s="24" t="s">
        <v>1045</v>
      </c>
      <c r="G1637" s="25" t="s">
        <v>1391</v>
      </c>
      <c r="H1637" s="24" t="s">
        <v>1061</v>
      </c>
      <c r="I1637" s="3" t="str">
        <f>IFERROR(VLOOKUP(C1637,'Справочник соответствий'!A$2:D$2981,2,FALSE),IF(VALUE(C1637)=0,1,VLOOKUP(C1637,'Справочник соответствий'!A$2:D$2981,2,FALSE)))</f>
        <v>3</v>
      </c>
      <c r="J1637" s="3">
        <f>IFERROR(VLOOKUP(D1637,'Справочник соответствий'!A$2:D$2981,2,FALSE),IF(VALUE(D1637)=0,0,VLOOKUP(D1637,'Справочник соответствий'!A$2:D$2981,2,FALSE)))</f>
        <v>0</v>
      </c>
      <c r="K1637" s="3" t="str">
        <f t="shared" si="175"/>
        <v>3</v>
      </c>
      <c r="L1637" s="13" t="str">
        <f>IFERROR(VLOOKUP(C1637,'Справочник соответствий'!A$2:D$2981,3,FALSE),IF(VALUE(C1637)=0,"ЭТАЖ НЕ ОПРЕДЕЛЕН. ПРИНЯТ ПО ДОПУЩЕНИЮ 1",VLOOKUP(C1637,'Справочник соответствий'!A$2:D$2981,3,FALSE)))</f>
        <v>ЭТАЖ ЗАДАН ЧИСЛОМ</v>
      </c>
      <c r="M1637" s="13" t="b">
        <f t="shared" si="176"/>
        <v>0</v>
      </c>
      <c r="N1637" s="13">
        <f t="shared" si="177"/>
        <v>3</v>
      </c>
      <c r="O1637" s="13" t="str">
        <f t="shared" si="178"/>
        <v>ЭТАЖ ЗАДАН ЧИСЛОМ</v>
      </c>
      <c r="P1637" s="13" t="str">
        <f t="shared" si="179"/>
        <v>ЭТАЖ ЗАДАН ЧИСЛОМ</v>
      </c>
      <c r="Q1637" s="13" t="str">
        <f t="shared" si="180"/>
        <v>ГОТОВ</v>
      </c>
      <c r="R1637" s="13">
        <f>IFERROR(VLOOKUP(P1637,Лист1!A$1:B$20,2,FALSE),0)</f>
        <v>784</v>
      </c>
      <c r="S1637" s="13">
        <f t="shared" si="181"/>
        <v>3</v>
      </c>
    </row>
    <row r="1638" spans="1:19" x14ac:dyDescent="0.25">
      <c r="A1638" s="24" t="s">
        <v>2760</v>
      </c>
      <c r="B1638" s="4" t="s">
        <v>1063</v>
      </c>
      <c r="C1638" s="25" t="s">
        <v>5</v>
      </c>
      <c r="E1638" s="3">
        <v>1</v>
      </c>
      <c r="F1638" s="24" t="s">
        <v>2761</v>
      </c>
      <c r="G1638" s="25" t="s">
        <v>1080</v>
      </c>
      <c r="H1638" s="24" t="s">
        <v>1061</v>
      </c>
      <c r="I1638" s="3" t="str">
        <f>IFERROR(VLOOKUP(C1638,'Справочник соответствий'!A$2:D$2981,2,FALSE),IF(VALUE(C1638)=0,1,VLOOKUP(C1638,'Справочник соответствий'!A$2:D$2981,2,FALSE)))</f>
        <v>1</v>
      </c>
      <c r="J1638" s="3">
        <f>IFERROR(VLOOKUP(D1638,'Справочник соответствий'!A$2:D$2981,2,FALSE),IF(VALUE(D1638)=0,0,VLOOKUP(D1638,'Справочник соответствий'!A$2:D$2981,2,FALSE)))</f>
        <v>0</v>
      </c>
      <c r="K1638" s="3" t="str">
        <f t="shared" si="175"/>
        <v>1</v>
      </c>
      <c r="L1638" s="13" t="str">
        <f>IFERROR(VLOOKUP(C1638,'Справочник соответствий'!A$2:D$2981,3,FALSE),IF(VALUE(C1638)=0,"ЭТАЖ НЕ ОПРЕДЕЛЕН. ПРИНЯТ ПО ДОПУЩЕНИЮ 1",VLOOKUP(C1638,'Справочник соответствий'!A$2:D$2981,3,FALSE)))</f>
        <v>ЭТАЖ ЗАДАН ЧИСЛОМ</v>
      </c>
      <c r="M1638" s="13" t="b">
        <f t="shared" si="176"/>
        <v>0</v>
      </c>
      <c r="N1638" s="13">
        <f t="shared" si="177"/>
        <v>1</v>
      </c>
      <c r="O1638" s="13" t="str">
        <f t="shared" si="178"/>
        <v>ЭТАЖ ЗАДАН ЧИСЛОМ</v>
      </c>
      <c r="P1638" s="13" t="str">
        <f t="shared" si="179"/>
        <v>ЭТАЖ ЗАДАН ЧИСЛОМ</v>
      </c>
      <c r="Q1638" s="13" t="str">
        <f t="shared" si="180"/>
        <v>ГОТОВ</v>
      </c>
      <c r="R1638" s="13">
        <f>IFERROR(VLOOKUP(P1638,Лист1!A$1:B$20,2,FALSE),0)</f>
        <v>784</v>
      </c>
      <c r="S1638" s="13">
        <f t="shared" si="181"/>
        <v>1</v>
      </c>
    </row>
    <row r="1639" spans="1:19" x14ac:dyDescent="0.25">
      <c r="A1639" s="24" t="s">
        <v>2762</v>
      </c>
      <c r="B1639" s="4" t="s">
        <v>1059</v>
      </c>
      <c r="C1639" s="25" t="s">
        <v>5</v>
      </c>
      <c r="D1639" s="25" t="s">
        <v>5</v>
      </c>
      <c r="E1639" s="3">
        <v>1</v>
      </c>
      <c r="F1639" s="24" t="s">
        <v>1045</v>
      </c>
      <c r="G1639" s="25" t="s">
        <v>2763</v>
      </c>
      <c r="H1639" s="24" t="s">
        <v>1061</v>
      </c>
      <c r="I1639" s="3" t="str">
        <f>IFERROR(VLOOKUP(C1639,'Справочник соответствий'!A$2:D$2981,2,FALSE),IF(VALUE(C1639)=0,1,VLOOKUP(C1639,'Справочник соответствий'!A$2:D$2981,2,FALSE)))</f>
        <v>1</v>
      </c>
      <c r="J1639" s="3" t="str">
        <f>IFERROR(VLOOKUP(D1639,'Справочник соответствий'!A$2:D$2981,2,FALSE),IF(VALUE(D1639)=0,0,VLOOKUP(D1639,'Справочник соответствий'!A$2:D$2981,2,FALSE)))</f>
        <v>1</v>
      </c>
      <c r="K1639" s="3" t="str">
        <f t="shared" si="175"/>
        <v>1</v>
      </c>
      <c r="L1639" s="13" t="str">
        <f>IFERROR(VLOOKUP(C1639,'Справочник соответствий'!A$2:D$2981,3,FALSE),IF(VALUE(C1639)=0,"ЭТАЖ НЕ ОПРЕДЕЛЕН. ПРИНЯТ ПО ДОПУЩЕНИЮ 1",VLOOKUP(C1639,'Справочник соответствий'!A$2:D$2981,3,FALSE)))</f>
        <v>ЭТАЖ ЗАДАН ЧИСЛОМ</v>
      </c>
      <c r="M1639" s="13" t="b">
        <f t="shared" si="176"/>
        <v>0</v>
      </c>
      <c r="N1639" s="13">
        <f t="shared" si="177"/>
        <v>1</v>
      </c>
      <c r="O1639" s="13" t="str">
        <f t="shared" si="178"/>
        <v>ЭТАЖ ЗАДАН ЧИСЛОМ</v>
      </c>
      <c r="P1639" s="13" t="str">
        <f t="shared" si="179"/>
        <v>ЭТАЖ ЗАДАН ЧИСЛОМ</v>
      </c>
      <c r="Q1639" s="13" t="str">
        <f t="shared" si="180"/>
        <v>ГОТОВ</v>
      </c>
      <c r="R1639" s="13">
        <f>IFERROR(VLOOKUP(P1639,Лист1!A$1:B$20,2,FALSE),0)</f>
        <v>784</v>
      </c>
      <c r="S1639" s="13">
        <f t="shared" si="181"/>
        <v>1</v>
      </c>
    </row>
    <row r="1640" spans="1:19" x14ac:dyDescent="0.25">
      <c r="A1640" s="24" t="s">
        <v>2764</v>
      </c>
      <c r="B1640" s="4" t="s">
        <v>1059</v>
      </c>
      <c r="C1640" s="25" t="s">
        <v>5</v>
      </c>
      <c r="E1640" s="3">
        <v>1</v>
      </c>
      <c r="F1640" s="24" t="s">
        <v>2765</v>
      </c>
      <c r="G1640" s="25" t="s">
        <v>1321</v>
      </c>
      <c r="H1640" s="24" t="s">
        <v>1061</v>
      </c>
      <c r="I1640" s="3" t="str">
        <f>IFERROR(VLOOKUP(C1640,'Справочник соответствий'!A$2:D$2981,2,FALSE),IF(VALUE(C1640)=0,1,VLOOKUP(C1640,'Справочник соответствий'!A$2:D$2981,2,FALSE)))</f>
        <v>1</v>
      </c>
      <c r="J1640" s="3">
        <f>IFERROR(VLOOKUP(D1640,'Справочник соответствий'!A$2:D$2981,2,FALSE),IF(VALUE(D1640)=0,0,VLOOKUP(D1640,'Справочник соответствий'!A$2:D$2981,2,FALSE)))</f>
        <v>0</v>
      </c>
      <c r="K1640" s="3" t="str">
        <f t="shared" si="175"/>
        <v>1</v>
      </c>
      <c r="L1640" s="13" t="str">
        <f>IFERROR(VLOOKUP(C1640,'Справочник соответствий'!A$2:D$2981,3,FALSE),IF(VALUE(C1640)=0,"ЭТАЖ НЕ ОПРЕДЕЛЕН. ПРИНЯТ ПО ДОПУЩЕНИЮ 1",VLOOKUP(C1640,'Справочник соответствий'!A$2:D$2981,3,FALSE)))</f>
        <v>ЭТАЖ ЗАДАН ЧИСЛОМ</v>
      </c>
      <c r="M1640" s="13" t="b">
        <f t="shared" si="176"/>
        <v>0</v>
      </c>
      <c r="N1640" s="13">
        <f t="shared" si="177"/>
        <v>1</v>
      </c>
      <c r="O1640" s="13" t="str">
        <f t="shared" si="178"/>
        <v>ЭТАЖ ЗАДАН ЧИСЛОМ</v>
      </c>
      <c r="P1640" s="13" t="str">
        <f t="shared" si="179"/>
        <v>ЭТАЖ ЗАДАН ЧИСЛОМ</v>
      </c>
      <c r="Q1640" s="13" t="str">
        <f t="shared" si="180"/>
        <v>ГОТОВ</v>
      </c>
      <c r="R1640" s="13">
        <f>IFERROR(VLOOKUP(P1640,Лист1!A$1:B$20,2,FALSE),0)</f>
        <v>784</v>
      </c>
      <c r="S1640" s="13">
        <f t="shared" si="181"/>
        <v>1</v>
      </c>
    </row>
    <row r="1641" spans="1:19" x14ac:dyDescent="0.25">
      <c r="A1641" s="24" t="s">
        <v>2766</v>
      </c>
      <c r="B1641" s="4" t="s">
        <v>1059</v>
      </c>
      <c r="C1641" s="25" t="s">
        <v>5</v>
      </c>
      <c r="E1641" s="3">
        <v>1</v>
      </c>
      <c r="F1641" s="24" t="s">
        <v>1045</v>
      </c>
      <c r="G1641" s="25" t="s">
        <v>1108</v>
      </c>
      <c r="H1641" s="24" t="s">
        <v>1061</v>
      </c>
      <c r="I1641" s="3" t="str">
        <f>IFERROR(VLOOKUP(C1641,'Справочник соответствий'!A$2:D$2981,2,FALSE),IF(VALUE(C1641)=0,1,VLOOKUP(C1641,'Справочник соответствий'!A$2:D$2981,2,FALSE)))</f>
        <v>1</v>
      </c>
      <c r="J1641" s="3">
        <f>IFERROR(VLOOKUP(D1641,'Справочник соответствий'!A$2:D$2981,2,FALSE),IF(VALUE(D1641)=0,0,VLOOKUP(D1641,'Справочник соответствий'!A$2:D$2981,2,FALSE)))</f>
        <v>0</v>
      </c>
      <c r="K1641" s="3" t="str">
        <f t="shared" si="175"/>
        <v>1</v>
      </c>
      <c r="L1641" s="13" t="str">
        <f>IFERROR(VLOOKUP(C1641,'Справочник соответствий'!A$2:D$2981,3,FALSE),IF(VALUE(C1641)=0,"ЭТАЖ НЕ ОПРЕДЕЛЕН. ПРИНЯТ ПО ДОПУЩЕНИЮ 1",VLOOKUP(C1641,'Справочник соответствий'!A$2:D$2981,3,FALSE)))</f>
        <v>ЭТАЖ ЗАДАН ЧИСЛОМ</v>
      </c>
      <c r="M1641" s="13" t="b">
        <f t="shared" si="176"/>
        <v>0</v>
      </c>
      <c r="N1641" s="13">
        <f t="shared" si="177"/>
        <v>1</v>
      </c>
      <c r="O1641" s="13" t="str">
        <f t="shared" si="178"/>
        <v>ЭТАЖ ЗАДАН ЧИСЛОМ</v>
      </c>
      <c r="P1641" s="13" t="str">
        <f t="shared" si="179"/>
        <v>ЭТАЖ ЗАДАН ЧИСЛОМ</v>
      </c>
      <c r="Q1641" s="13" t="str">
        <f t="shared" si="180"/>
        <v>ГОТОВ</v>
      </c>
      <c r="R1641" s="13">
        <f>IFERROR(VLOOKUP(P1641,Лист1!A$1:B$20,2,FALSE),0)</f>
        <v>784</v>
      </c>
      <c r="S1641" s="13">
        <f t="shared" si="181"/>
        <v>1</v>
      </c>
    </row>
    <row r="1642" spans="1:19" x14ac:dyDescent="0.25">
      <c r="A1642" s="24" t="s">
        <v>2767</v>
      </c>
      <c r="B1642" s="4" t="s">
        <v>1059</v>
      </c>
      <c r="C1642" s="25" t="s">
        <v>7</v>
      </c>
      <c r="E1642" s="3">
        <v>1</v>
      </c>
      <c r="F1642" s="24" t="s">
        <v>2768</v>
      </c>
      <c r="G1642" s="25" t="s">
        <v>1069</v>
      </c>
      <c r="H1642" s="24" t="s">
        <v>1061</v>
      </c>
      <c r="I1642" s="3" t="str">
        <f>IFERROR(VLOOKUP(C1642,'Справочник соответствий'!A$2:D$2981,2,FALSE),IF(VALUE(C1642)=0,1,VLOOKUP(C1642,'Справочник соответствий'!A$2:D$2981,2,FALSE)))</f>
        <v>2</v>
      </c>
      <c r="J1642" s="3">
        <f>IFERROR(VLOOKUP(D1642,'Справочник соответствий'!A$2:D$2981,2,FALSE),IF(VALUE(D1642)=0,0,VLOOKUP(D1642,'Справочник соответствий'!A$2:D$2981,2,FALSE)))</f>
        <v>0</v>
      </c>
      <c r="K1642" s="3" t="str">
        <f t="shared" si="175"/>
        <v>2</v>
      </c>
      <c r="L1642" s="13" t="str">
        <f>IFERROR(VLOOKUP(C1642,'Справочник соответствий'!A$2:D$2981,3,FALSE),IF(VALUE(C1642)=0,"ЭТАЖ НЕ ОПРЕДЕЛЕН. ПРИНЯТ ПО ДОПУЩЕНИЮ 1",VLOOKUP(C1642,'Справочник соответствий'!A$2:D$2981,3,FALSE)))</f>
        <v>ЭТАЖ ЗАДАН ЧИСЛОМ</v>
      </c>
      <c r="M1642" s="13" t="b">
        <f t="shared" si="176"/>
        <v>0</v>
      </c>
      <c r="N1642" s="13">
        <f t="shared" si="177"/>
        <v>2</v>
      </c>
      <c r="O1642" s="13" t="str">
        <f t="shared" si="178"/>
        <v>ЭТАЖ ЗАДАН ЧИСЛОМ</v>
      </c>
      <c r="P1642" s="13" t="str">
        <f t="shared" si="179"/>
        <v>ЭТАЖ ЗАДАН ЧИСЛОМ</v>
      </c>
      <c r="Q1642" s="13" t="str">
        <f t="shared" si="180"/>
        <v>ГОТОВ_ИЗМЕНЕН</v>
      </c>
      <c r="R1642" s="13">
        <f>IFERROR(VLOOKUP(P1642,Лист1!A$1:B$20,2,FALSE),0)</f>
        <v>784</v>
      </c>
      <c r="S1642" s="13">
        <f t="shared" si="181"/>
        <v>1</v>
      </c>
    </row>
    <row r="1643" spans="1:19" x14ac:dyDescent="0.25">
      <c r="A1643" s="24" t="s">
        <v>2769</v>
      </c>
      <c r="B1643" s="4" t="s">
        <v>1063</v>
      </c>
      <c r="C1643" s="25" t="s">
        <v>7</v>
      </c>
      <c r="E1643" s="3">
        <v>2</v>
      </c>
      <c r="F1643" s="24" t="s">
        <v>1038</v>
      </c>
      <c r="G1643" s="25" t="s">
        <v>1086</v>
      </c>
      <c r="H1643" s="24" t="s">
        <v>1061</v>
      </c>
      <c r="I1643" s="3" t="str">
        <f>IFERROR(VLOOKUP(C1643,'Справочник соответствий'!A$2:D$2981,2,FALSE),IF(VALUE(C1643)=0,1,VLOOKUP(C1643,'Справочник соответствий'!A$2:D$2981,2,FALSE)))</f>
        <v>2</v>
      </c>
      <c r="J1643" s="3">
        <f>IFERROR(VLOOKUP(D1643,'Справочник соответствий'!A$2:D$2981,2,FALSE),IF(VALUE(D1643)=0,0,VLOOKUP(D1643,'Справочник соответствий'!A$2:D$2981,2,FALSE)))</f>
        <v>0</v>
      </c>
      <c r="K1643" s="3" t="str">
        <f t="shared" si="175"/>
        <v>2</v>
      </c>
      <c r="L1643" s="13" t="str">
        <f>IFERROR(VLOOKUP(C1643,'Справочник соответствий'!A$2:D$2981,3,FALSE),IF(VALUE(C1643)=0,"ЭТАЖ НЕ ОПРЕДЕЛЕН. ПРИНЯТ ПО ДОПУЩЕНИЮ 1",VLOOKUP(C1643,'Справочник соответствий'!A$2:D$2981,3,FALSE)))</f>
        <v>ЭТАЖ ЗАДАН ЧИСЛОМ</v>
      </c>
      <c r="M1643" s="13" t="b">
        <f t="shared" si="176"/>
        <v>0</v>
      </c>
      <c r="N1643" s="13">
        <f t="shared" si="177"/>
        <v>2</v>
      </c>
      <c r="O1643" s="13" t="str">
        <f t="shared" si="178"/>
        <v>ЭТАЖ ЗАДАН ЧИСЛОМ</v>
      </c>
      <c r="P1643" s="13" t="str">
        <f t="shared" si="179"/>
        <v>ЭТАЖ ЗАДАН ЧИСЛОМ</v>
      </c>
      <c r="Q1643" s="13" t="str">
        <f t="shared" si="180"/>
        <v>ГОТОВ</v>
      </c>
      <c r="R1643" s="13">
        <f>IFERROR(VLOOKUP(P1643,Лист1!A$1:B$20,2,FALSE),0)</f>
        <v>784</v>
      </c>
      <c r="S1643" s="13">
        <f t="shared" si="181"/>
        <v>2</v>
      </c>
    </row>
    <row r="1644" spans="1:19" x14ac:dyDescent="0.25">
      <c r="A1644" s="24" t="s">
        <v>2770</v>
      </c>
      <c r="B1644" s="4" t="s">
        <v>1063</v>
      </c>
      <c r="C1644" s="25" t="s">
        <v>5</v>
      </c>
      <c r="E1644" s="3">
        <v>1</v>
      </c>
      <c r="F1644" s="24" t="s">
        <v>1045</v>
      </c>
      <c r="G1644" s="25" t="s">
        <v>1089</v>
      </c>
      <c r="H1644" s="24" t="s">
        <v>1061</v>
      </c>
      <c r="I1644" s="3" t="str">
        <f>IFERROR(VLOOKUP(C1644,'Справочник соответствий'!A$2:D$2981,2,FALSE),IF(VALUE(C1644)=0,1,VLOOKUP(C1644,'Справочник соответствий'!A$2:D$2981,2,FALSE)))</f>
        <v>1</v>
      </c>
      <c r="J1644" s="3">
        <f>IFERROR(VLOOKUP(D1644,'Справочник соответствий'!A$2:D$2981,2,FALSE),IF(VALUE(D1644)=0,0,VLOOKUP(D1644,'Справочник соответствий'!A$2:D$2981,2,FALSE)))</f>
        <v>0</v>
      </c>
      <c r="K1644" s="3" t="str">
        <f t="shared" si="175"/>
        <v>1</v>
      </c>
      <c r="L1644" s="13" t="str">
        <f>IFERROR(VLOOKUP(C1644,'Справочник соответствий'!A$2:D$2981,3,FALSE),IF(VALUE(C1644)=0,"ЭТАЖ НЕ ОПРЕДЕЛЕН. ПРИНЯТ ПО ДОПУЩЕНИЮ 1",VLOOKUP(C1644,'Справочник соответствий'!A$2:D$2981,3,FALSE)))</f>
        <v>ЭТАЖ ЗАДАН ЧИСЛОМ</v>
      </c>
      <c r="M1644" s="13" t="b">
        <f t="shared" si="176"/>
        <v>0</v>
      </c>
      <c r="N1644" s="13">
        <f t="shared" si="177"/>
        <v>1</v>
      </c>
      <c r="O1644" s="13" t="str">
        <f t="shared" si="178"/>
        <v>ЭТАЖ ЗАДАН ЧИСЛОМ</v>
      </c>
      <c r="P1644" s="13" t="str">
        <f t="shared" si="179"/>
        <v>ЭТАЖ ЗАДАН ЧИСЛОМ</v>
      </c>
      <c r="Q1644" s="13" t="str">
        <f t="shared" si="180"/>
        <v>ГОТОВ</v>
      </c>
      <c r="R1644" s="13">
        <f>IFERROR(VLOOKUP(P1644,Лист1!A$1:B$20,2,FALSE),0)</f>
        <v>784</v>
      </c>
      <c r="S1644" s="13">
        <f t="shared" si="181"/>
        <v>1</v>
      </c>
    </row>
    <row r="1645" spans="1:19" x14ac:dyDescent="0.25">
      <c r="A1645" s="24" t="s">
        <v>2771</v>
      </c>
      <c r="B1645" s="4" t="s">
        <v>1059</v>
      </c>
      <c r="C1645" s="25" t="s">
        <v>5</v>
      </c>
      <c r="E1645" s="3">
        <v>1</v>
      </c>
      <c r="F1645" s="24" t="s">
        <v>1045</v>
      </c>
      <c r="G1645" s="25" t="s">
        <v>1104</v>
      </c>
      <c r="H1645" s="24" t="s">
        <v>1061</v>
      </c>
      <c r="I1645" s="3" t="str">
        <f>IFERROR(VLOOKUP(C1645,'Справочник соответствий'!A$2:D$2981,2,FALSE),IF(VALUE(C1645)=0,1,VLOOKUP(C1645,'Справочник соответствий'!A$2:D$2981,2,FALSE)))</f>
        <v>1</v>
      </c>
      <c r="J1645" s="3">
        <f>IFERROR(VLOOKUP(D1645,'Справочник соответствий'!A$2:D$2981,2,FALSE),IF(VALUE(D1645)=0,0,VLOOKUP(D1645,'Справочник соответствий'!A$2:D$2981,2,FALSE)))</f>
        <v>0</v>
      </c>
      <c r="K1645" s="3" t="str">
        <f t="shared" si="175"/>
        <v>1</v>
      </c>
      <c r="L1645" s="13" t="str">
        <f>IFERROR(VLOOKUP(C1645,'Справочник соответствий'!A$2:D$2981,3,FALSE),IF(VALUE(C1645)=0,"ЭТАЖ НЕ ОПРЕДЕЛЕН. ПРИНЯТ ПО ДОПУЩЕНИЮ 1",VLOOKUP(C1645,'Справочник соответствий'!A$2:D$2981,3,FALSE)))</f>
        <v>ЭТАЖ ЗАДАН ЧИСЛОМ</v>
      </c>
      <c r="M1645" s="13" t="b">
        <f t="shared" si="176"/>
        <v>0</v>
      </c>
      <c r="N1645" s="13">
        <f t="shared" si="177"/>
        <v>1</v>
      </c>
      <c r="O1645" s="13" t="str">
        <f t="shared" si="178"/>
        <v>ЭТАЖ ЗАДАН ЧИСЛОМ</v>
      </c>
      <c r="P1645" s="13" t="str">
        <f t="shared" si="179"/>
        <v>ЭТАЖ ЗАДАН ЧИСЛОМ</v>
      </c>
      <c r="Q1645" s="13" t="str">
        <f t="shared" si="180"/>
        <v>ГОТОВ</v>
      </c>
      <c r="R1645" s="13">
        <f>IFERROR(VLOOKUP(P1645,Лист1!A$1:B$20,2,FALSE),0)</f>
        <v>784</v>
      </c>
      <c r="S1645" s="13">
        <f t="shared" si="181"/>
        <v>1</v>
      </c>
    </row>
    <row r="1646" spans="1:19" x14ac:dyDescent="0.25">
      <c r="A1646" s="24" t="s">
        <v>2772</v>
      </c>
      <c r="B1646" s="4" t="s">
        <v>1031</v>
      </c>
      <c r="C1646" s="25" t="s">
        <v>7</v>
      </c>
      <c r="E1646" s="3">
        <v>2</v>
      </c>
      <c r="F1646" s="24" t="s">
        <v>1074</v>
      </c>
      <c r="G1646" s="25" t="s">
        <v>1060</v>
      </c>
      <c r="H1646" s="24" t="s">
        <v>1061</v>
      </c>
      <c r="I1646" s="3" t="str">
        <f>IFERROR(VLOOKUP(C1646,'Справочник соответствий'!A$2:D$2981,2,FALSE),IF(VALUE(C1646)=0,1,VLOOKUP(C1646,'Справочник соответствий'!A$2:D$2981,2,FALSE)))</f>
        <v>2</v>
      </c>
      <c r="J1646" s="3">
        <f>IFERROR(VLOOKUP(D1646,'Справочник соответствий'!A$2:D$2981,2,FALSE),IF(VALUE(D1646)=0,0,VLOOKUP(D1646,'Справочник соответствий'!A$2:D$2981,2,FALSE)))</f>
        <v>0</v>
      </c>
      <c r="K1646" s="3">
        <f t="shared" si="175"/>
        <v>2</v>
      </c>
      <c r="L1646" s="13" t="str">
        <f>IFERROR(VLOOKUP(C1646,'Справочник соответствий'!A$2:D$2981,3,FALSE),IF(VALUE(C1646)=0,"ЭТАЖ НЕ ОПРЕДЕЛЕН. ПРИНЯТ ПО ДОПУЩЕНИЮ 1",VLOOKUP(C1646,'Справочник соответствий'!A$2:D$2981,3,FALSE)))</f>
        <v>ЭТАЖ ЗАДАН ЧИСЛОМ</v>
      </c>
      <c r="M1646" s="13" t="b">
        <f t="shared" si="176"/>
        <v>0</v>
      </c>
      <c r="N1646" s="13">
        <f t="shared" si="177"/>
        <v>2</v>
      </c>
      <c r="O1646" s="13" t="str">
        <f t="shared" si="178"/>
        <v>ЭТАЖ ЗАДАН ЧИСЛОМ</v>
      </c>
      <c r="P1646" s="13" t="str">
        <f t="shared" si="179"/>
        <v>МКД_ЭТАЖ ЗАДАН ЧИСЛОМ</v>
      </c>
      <c r="Q1646" s="13" t="str">
        <f t="shared" si="180"/>
        <v>ГОТОВ</v>
      </c>
      <c r="R1646" s="13">
        <f>IFERROR(VLOOKUP(P1646,Лист1!A$1:B$20,2,FALSE),0)</f>
        <v>786</v>
      </c>
      <c r="S1646" s="13">
        <f t="shared" si="181"/>
        <v>2</v>
      </c>
    </row>
    <row r="1647" spans="1:19" x14ac:dyDescent="0.25">
      <c r="A1647" s="24" t="s">
        <v>2773</v>
      </c>
      <c r="B1647" s="4" t="s">
        <v>1059</v>
      </c>
      <c r="C1647" s="25" t="s">
        <v>2774</v>
      </c>
      <c r="E1647" s="3">
        <v>1</v>
      </c>
      <c r="F1647" s="24" t="s">
        <v>1082</v>
      </c>
      <c r="G1647" s="25" t="s">
        <v>1072</v>
      </c>
      <c r="H1647" s="24" t="s">
        <v>1061</v>
      </c>
      <c r="I1647" s="3" t="e">
        <f>IFERROR(VLOOKUP(C1647,'Справочник соответствий'!A$2:D$2981,2,FALSE),IF(VALUE(C1647)=0,1,VLOOKUP(C1647,'Справочник соответствий'!A$2:D$2981,2,FALSE)))</f>
        <v>#VALUE!</v>
      </c>
      <c r="J1647" s="3">
        <f>IFERROR(VLOOKUP(D1647,'Справочник соответствий'!A$2:D$2981,2,FALSE),IF(VALUE(D1647)=0,0,VLOOKUP(D1647,'Справочник соответствий'!A$2:D$2981,2,FALSE)))</f>
        <v>0</v>
      </c>
      <c r="K1647" s="3" t="e">
        <f t="shared" si="175"/>
        <v>#VALUE!</v>
      </c>
      <c r="L1647" s="13" t="e">
        <f>IFERROR(VLOOKUP(C1647,'Справочник соответствий'!A$2:D$2981,3,FALSE),IF(VALUE(C1647)=0,"ЭТАЖ НЕ ОПРЕДЕЛЕН. ПРИНЯТ ПО ДОПУЩЕНИЮ 1",VLOOKUP(C1647,'Справочник соответствий'!A$2:D$2981,3,FALSE)))</f>
        <v>#VALUE!</v>
      </c>
      <c r="M1647" s="13" t="e">
        <f t="shared" si="176"/>
        <v>#VALUE!</v>
      </c>
      <c r="N1647" s="13" t="e">
        <f t="shared" si="177"/>
        <v>#VALUE!</v>
      </c>
      <c r="O1647" s="13" t="e">
        <f t="shared" si="178"/>
        <v>#VALUE!</v>
      </c>
      <c r="P1647" s="13" t="e">
        <f t="shared" si="179"/>
        <v>#VALUE!</v>
      </c>
      <c r="Q1647" s="13" t="str">
        <f t="shared" si="180"/>
        <v>НЕ ГОТОВ</v>
      </c>
      <c r="R1647" s="13">
        <f>IFERROR(VLOOKUP(P1647,Лист1!A$1:B$20,2,FALSE),0)</f>
        <v>0</v>
      </c>
      <c r="S1647" s="13">
        <f t="shared" si="181"/>
        <v>1</v>
      </c>
    </row>
    <row r="1648" spans="1:19" x14ac:dyDescent="0.25">
      <c r="A1648" s="24" t="s">
        <v>2775</v>
      </c>
      <c r="B1648" s="4" t="s">
        <v>1063</v>
      </c>
      <c r="C1648" s="25" t="s">
        <v>7</v>
      </c>
      <c r="E1648" s="3">
        <v>1</v>
      </c>
      <c r="F1648" s="24" t="s">
        <v>1045</v>
      </c>
      <c r="G1648" s="25" t="s">
        <v>1086</v>
      </c>
      <c r="H1648" s="24" t="s">
        <v>1061</v>
      </c>
      <c r="I1648" s="3" t="str">
        <f>IFERROR(VLOOKUP(C1648,'Справочник соответствий'!A$2:D$2981,2,FALSE),IF(VALUE(C1648)=0,1,VLOOKUP(C1648,'Справочник соответствий'!A$2:D$2981,2,FALSE)))</f>
        <v>2</v>
      </c>
      <c r="J1648" s="3">
        <f>IFERROR(VLOOKUP(D1648,'Справочник соответствий'!A$2:D$2981,2,FALSE),IF(VALUE(D1648)=0,0,VLOOKUP(D1648,'Справочник соответствий'!A$2:D$2981,2,FALSE)))</f>
        <v>0</v>
      </c>
      <c r="K1648" s="3" t="str">
        <f t="shared" si="175"/>
        <v>2</v>
      </c>
      <c r="L1648" s="13" t="str">
        <f>IFERROR(VLOOKUP(C1648,'Справочник соответствий'!A$2:D$2981,3,FALSE),IF(VALUE(C1648)=0,"ЭТАЖ НЕ ОПРЕДЕЛЕН. ПРИНЯТ ПО ДОПУЩЕНИЮ 1",VLOOKUP(C1648,'Справочник соответствий'!A$2:D$2981,3,FALSE)))</f>
        <v>ЭТАЖ ЗАДАН ЧИСЛОМ</v>
      </c>
      <c r="M1648" s="13" t="b">
        <f t="shared" si="176"/>
        <v>0</v>
      </c>
      <c r="N1648" s="13">
        <f t="shared" si="177"/>
        <v>2</v>
      </c>
      <c r="O1648" s="13" t="str">
        <f t="shared" si="178"/>
        <v>ЭТАЖ ЗАДАН ЧИСЛОМ</v>
      </c>
      <c r="P1648" s="13" t="str">
        <f t="shared" si="179"/>
        <v>ЭТАЖ ЗАДАН ЧИСЛОМ</v>
      </c>
      <c r="Q1648" s="13" t="str">
        <f t="shared" si="180"/>
        <v>ГОТОВ_ИЗМЕНЕН</v>
      </c>
      <c r="R1648" s="13">
        <f>IFERROR(VLOOKUP(P1648,Лист1!A$1:B$20,2,FALSE),0)</f>
        <v>784</v>
      </c>
      <c r="S1648" s="13">
        <f t="shared" si="181"/>
        <v>1</v>
      </c>
    </row>
    <row r="1649" spans="1:19" x14ac:dyDescent="0.25">
      <c r="A1649" s="24" t="s">
        <v>2776</v>
      </c>
      <c r="B1649" s="4" t="s">
        <v>1031</v>
      </c>
      <c r="C1649" s="25" t="s">
        <v>7</v>
      </c>
      <c r="E1649" s="3">
        <v>2</v>
      </c>
      <c r="F1649" s="24" t="s">
        <v>1074</v>
      </c>
      <c r="G1649" s="25" t="s">
        <v>1075</v>
      </c>
      <c r="H1649" s="24" t="s">
        <v>1061</v>
      </c>
      <c r="I1649" s="3" t="str">
        <f>IFERROR(VLOOKUP(C1649,'Справочник соответствий'!A$2:D$2981,2,FALSE),IF(VALUE(C1649)=0,1,VLOOKUP(C1649,'Справочник соответствий'!A$2:D$2981,2,FALSE)))</f>
        <v>2</v>
      </c>
      <c r="J1649" s="3">
        <f>IFERROR(VLOOKUP(D1649,'Справочник соответствий'!A$2:D$2981,2,FALSE),IF(VALUE(D1649)=0,0,VLOOKUP(D1649,'Справочник соответствий'!A$2:D$2981,2,FALSE)))</f>
        <v>0</v>
      </c>
      <c r="K1649" s="3">
        <f t="shared" si="175"/>
        <v>2</v>
      </c>
      <c r="L1649" s="13" t="str">
        <f>IFERROR(VLOOKUP(C1649,'Справочник соответствий'!A$2:D$2981,3,FALSE),IF(VALUE(C1649)=0,"ЭТАЖ НЕ ОПРЕДЕЛЕН. ПРИНЯТ ПО ДОПУЩЕНИЮ 1",VLOOKUP(C1649,'Справочник соответствий'!A$2:D$2981,3,FALSE)))</f>
        <v>ЭТАЖ ЗАДАН ЧИСЛОМ</v>
      </c>
      <c r="M1649" s="13" t="b">
        <f t="shared" si="176"/>
        <v>0</v>
      </c>
      <c r="N1649" s="13">
        <f t="shared" si="177"/>
        <v>2</v>
      </c>
      <c r="O1649" s="13" t="str">
        <f t="shared" si="178"/>
        <v>ЭТАЖ ЗАДАН ЧИСЛОМ</v>
      </c>
      <c r="P1649" s="13" t="str">
        <f t="shared" si="179"/>
        <v>МКД_ЭТАЖ ЗАДАН ЧИСЛОМ</v>
      </c>
      <c r="Q1649" s="13" t="str">
        <f t="shared" si="180"/>
        <v>ГОТОВ</v>
      </c>
      <c r="R1649" s="13">
        <f>IFERROR(VLOOKUP(P1649,Лист1!A$1:B$20,2,FALSE),0)</f>
        <v>786</v>
      </c>
      <c r="S1649" s="13">
        <f t="shared" si="181"/>
        <v>2</v>
      </c>
    </row>
    <row r="1650" spans="1:19" x14ac:dyDescent="0.25">
      <c r="A1650" s="24" t="s">
        <v>2777</v>
      </c>
      <c r="B1650" s="4" t="s">
        <v>1059</v>
      </c>
      <c r="C1650" s="25" t="s">
        <v>5</v>
      </c>
      <c r="E1650" s="3">
        <v>1</v>
      </c>
      <c r="F1650" s="24" t="s">
        <v>1045</v>
      </c>
      <c r="G1650" s="25" t="s">
        <v>1089</v>
      </c>
      <c r="H1650" s="24" t="s">
        <v>1061</v>
      </c>
      <c r="I1650" s="3" t="str">
        <f>IFERROR(VLOOKUP(C1650,'Справочник соответствий'!A$2:D$2981,2,FALSE),IF(VALUE(C1650)=0,1,VLOOKUP(C1650,'Справочник соответствий'!A$2:D$2981,2,FALSE)))</f>
        <v>1</v>
      </c>
      <c r="J1650" s="3">
        <f>IFERROR(VLOOKUP(D1650,'Справочник соответствий'!A$2:D$2981,2,FALSE),IF(VALUE(D1650)=0,0,VLOOKUP(D1650,'Справочник соответствий'!A$2:D$2981,2,FALSE)))</f>
        <v>0</v>
      </c>
      <c r="K1650" s="3" t="str">
        <f t="shared" si="175"/>
        <v>1</v>
      </c>
      <c r="L1650" s="13" t="str">
        <f>IFERROR(VLOOKUP(C1650,'Справочник соответствий'!A$2:D$2981,3,FALSE),IF(VALUE(C1650)=0,"ЭТАЖ НЕ ОПРЕДЕЛЕН. ПРИНЯТ ПО ДОПУЩЕНИЮ 1",VLOOKUP(C1650,'Справочник соответствий'!A$2:D$2981,3,FALSE)))</f>
        <v>ЭТАЖ ЗАДАН ЧИСЛОМ</v>
      </c>
      <c r="M1650" s="13" t="b">
        <f t="shared" si="176"/>
        <v>0</v>
      </c>
      <c r="N1650" s="13">
        <f t="shared" si="177"/>
        <v>1</v>
      </c>
      <c r="O1650" s="13" t="str">
        <f t="shared" si="178"/>
        <v>ЭТАЖ ЗАДАН ЧИСЛОМ</v>
      </c>
      <c r="P1650" s="13" t="str">
        <f t="shared" si="179"/>
        <v>ЭТАЖ ЗАДАН ЧИСЛОМ</v>
      </c>
      <c r="Q1650" s="13" t="str">
        <f t="shared" si="180"/>
        <v>ГОТОВ</v>
      </c>
      <c r="R1650" s="13">
        <f>IFERROR(VLOOKUP(P1650,Лист1!A$1:B$20,2,FALSE),0)</f>
        <v>784</v>
      </c>
      <c r="S1650" s="13">
        <f t="shared" si="181"/>
        <v>1</v>
      </c>
    </row>
    <row r="1651" spans="1:19" x14ac:dyDescent="0.25">
      <c r="A1651" s="24" t="s">
        <v>2778</v>
      </c>
      <c r="B1651" s="4" t="s">
        <v>1059</v>
      </c>
      <c r="C1651" s="25" t="s">
        <v>5</v>
      </c>
      <c r="E1651" s="3">
        <v>1</v>
      </c>
      <c r="F1651" s="24" t="s">
        <v>1045</v>
      </c>
      <c r="G1651" s="25" t="s">
        <v>1325</v>
      </c>
      <c r="H1651" s="24" t="s">
        <v>1061</v>
      </c>
      <c r="I1651" s="3" t="str">
        <f>IFERROR(VLOOKUP(C1651,'Справочник соответствий'!A$2:D$2981,2,FALSE),IF(VALUE(C1651)=0,1,VLOOKUP(C1651,'Справочник соответствий'!A$2:D$2981,2,FALSE)))</f>
        <v>1</v>
      </c>
      <c r="J1651" s="3">
        <f>IFERROR(VLOOKUP(D1651,'Справочник соответствий'!A$2:D$2981,2,FALSE),IF(VALUE(D1651)=0,0,VLOOKUP(D1651,'Справочник соответствий'!A$2:D$2981,2,FALSE)))</f>
        <v>0</v>
      </c>
      <c r="K1651" s="3" t="str">
        <f t="shared" si="175"/>
        <v>1</v>
      </c>
      <c r="L1651" s="13" t="str">
        <f>IFERROR(VLOOKUP(C1651,'Справочник соответствий'!A$2:D$2981,3,FALSE),IF(VALUE(C1651)=0,"ЭТАЖ НЕ ОПРЕДЕЛЕН. ПРИНЯТ ПО ДОПУЩЕНИЮ 1",VLOOKUP(C1651,'Справочник соответствий'!A$2:D$2981,3,FALSE)))</f>
        <v>ЭТАЖ ЗАДАН ЧИСЛОМ</v>
      </c>
      <c r="M1651" s="13" t="b">
        <f t="shared" si="176"/>
        <v>0</v>
      </c>
      <c r="N1651" s="13">
        <f t="shared" si="177"/>
        <v>1</v>
      </c>
      <c r="O1651" s="13" t="str">
        <f t="shared" si="178"/>
        <v>ЭТАЖ ЗАДАН ЧИСЛОМ</v>
      </c>
      <c r="P1651" s="13" t="str">
        <f t="shared" si="179"/>
        <v>ЭТАЖ ЗАДАН ЧИСЛОМ</v>
      </c>
      <c r="Q1651" s="13" t="str">
        <f t="shared" si="180"/>
        <v>ГОТОВ</v>
      </c>
      <c r="R1651" s="13">
        <f>IFERROR(VLOOKUP(P1651,Лист1!A$1:B$20,2,FALSE),0)</f>
        <v>784</v>
      </c>
      <c r="S1651" s="13">
        <f t="shared" si="181"/>
        <v>1</v>
      </c>
    </row>
    <row r="1652" spans="1:19" x14ac:dyDescent="0.25">
      <c r="A1652" s="24" t="s">
        <v>2779</v>
      </c>
      <c r="B1652" s="4" t="s">
        <v>1063</v>
      </c>
      <c r="E1652" s="3">
        <v>1</v>
      </c>
      <c r="F1652" s="24" t="s">
        <v>1045</v>
      </c>
      <c r="G1652" s="25" t="s">
        <v>1108</v>
      </c>
      <c r="H1652" s="24" t="s">
        <v>1061</v>
      </c>
      <c r="I1652" s="3">
        <f>IFERROR(VLOOKUP(C1652,'Справочник соответствий'!A$2:D$2981,2,FALSE),IF(VALUE(C1652)=0,1,VLOOKUP(C1652,'Справочник соответствий'!A$2:D$2981,2,FALSE)))</f>
        <v>1</v>
      </c>
      <c r="J1652" s="3">
        <f>IFERROR(VLOOKUP(D1652,'Справочник соответствий'!A$2:D$2981,2,FALSE),IF(VALUE(D1652)=0,0,VLOOKUP(D1652,'Справочник соответствий'!A$2:D$2981,2,FALSE)))</f>
        <v>0</v>
      </c>
      <c r="K1652" s="3">
        <f t="shared" si="175"/>
        <v>1</v>
      </c>
      <c r="L1652" s="13" t="str">
        <f>IFERROR(VLOOKUP(C1652,'Справочник соответствий'!A$2:D$2981,3,FALSE),IF(VALUE(C1652)=0,"ЭТАЖ НЕ ОПРЕДЕЛЕН. ПРИНЯТ ПО ДОПУЩЕНИЮ 1",VLOOKUP(C1652,'Справочник соответствий'!A$2:D$2981,3,FALSE)))</f>
        <v>ЭТАЖ НЕ ОПРЕДЕЛЕН. ПРИНЯТ ПО ДОПУЩЕНИЮ 1</v>
      </c>
      <c r="M1652" s="13" t="b">
        <f t="shared" si="176"/>
        <v>1</v>
      </c>
      <c r="N1652" s="13">
        <f t="shared" si="177"/>
        <v>1</v>
      </c>
      <c r="O1652" s="13" t="str">
        <f t="shared" si="17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652" s="13" t="str">
        <f t="shared" si="17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652" s="13" t="str">
        <f t="shared" si="180"/>
        <v>ГОТОВ</v>
      </c>
      <c r="R1652" s="13">
        <f>IFERROR(VLOOKUP(P1652,Лист1!A$1:B$20,2,FALSE),0)</f>
        <v>214</v>
      </c>
      <c r="S1652" s="13">
        <f t="shared" si="181"/>
        <v>1</v>
      </c>
    </row>
    <row r="1653" spans="1:19" x14ac:dyDescent="0.25">
      <c r="A1653" s="24" t="s">
        <v>2780</v>
      </c>
      <c r="B1653" s="4" t="s">
        <v>1063</v>
      </c>
      <c r="C1653" s="25" t="s">
        <v>5</v>
      </c>
      <c r="E1653" s="3">
        <v>1</v>
      </c>
      <c r="F1653" s="24" t="s">
        <v>1045</v>
      </c>
      <c r="G1653" s="25" t="s">
        <v>1086</v>
      </c>
      <c r="H1653" s="24" t="s">
        <v>1061</v>
      </c>
      <c r="I1653" s="3" t="str">
        <f>IFERROR(VLOOKUP(C1653,'Справочник соответствий'!A$2:D$2981,2,FALSE),IF(VALUE(C1653)=0,1,VLOOKUP(C1653,'Справочник соответствий'!A$2:D$2981,2,FALSE)))</f>
        <v>1</v>
      </c>
      <c r="J1653" s="3">
        <f>IFERROR(VLOOKUP(D1653,'Справочник соответствий'!A$2:D$2981,2,FALSE),IF(VALUE(D1653)=0,0,VLOOKUP(D1653,'Справочник соответствий'!A$2:D$2981,2,FALSE)))</f>
        <v>0</v>
      </c>
      <c r="K1653" s="3" t="str">
        <f t="shared" si="175"/>
        <v>1</v>
      </c>
      <c r="L1653" s="13" t="str">
        <f>IFERROR(VLOOKUP(C1653,'Справочник соответствий'!A$2:D$2981,3,FALSE),IF(VALUE(C1653)=0,"ЭТАЖ НЕ ОПРЕДЕЛЕН. ПРИНЯТ ПО ДОПУЩЕНИЮ 1",VLOOKUP(C1653,'Справочник соответствий'!A$2:D$2981,3,FALSE)))</f>
        <v>ЭТАЖ ЗАДАН ЧИСЛОМ</v>
      </c>
      <c r="M1653" s="13" t="b">
        <f t="shared" si="176"/>
        <v>0</v>
      </c>
      <c r="N1653" s="13">
        <f t="shared" si="177"/>
        <v>1</v>
      </c>
      <c r="O1653" s="13" t="str">
        <f t="shared" si="178"/>
        <v>ЭТАЖ ЗАДАН ЧИСЛОМ</v>
      </c>
      <c r="P1653" s="13" t="str">
        <f t="shared" si="179"/>
        <v>ЭТАЖ ЗАДАН ЧИСЛОМ</v>
      </c>
      <c r="Q1653" s="13" t="str">
        <f t="shared" si="180"/>
        <v>ГОТОВ</v>
      </c>
      <c r="R1653" s="13">
        <f>IFERROR(VLOOKUP(P1653,Лист1!A$1:B$20,2,FALSE),0)</f>
        <v>784</v>
      </c>
      <c r="S1653" s="13">
        <f t="shared" si="181"/>
        <v>1</v>
      </c>
    </row>
    <row r="1654" spans="1:19" x14ac:dyDescent="0.25">
      <c r="A1654" s="24" t="s">
        <v>2781</v>
      </c>
      <c r="B1654" s="4" t="s">
        <v>1059</v>
      </c>
      <c r="E1654" s="3">
        <v>1</v>
      </c>
      <c r="F1654" s="24" t="s">
        <v>1045</v>
      </c>
      <c r="G1654" s="25" t="s">
        <v>1167</v>
      </c>
      <c r="H1654" s="24" t="s">
        <v>1061</v>
      </c>
      <c r="I1654" s="3">
        <f>IFERROR(VLOOKUP(C1654,'Справочник соответствий'!A$2:D$2981,2,FALSE),IF(VALUE(C1654)=0,1,VLOOKUP(C1654,'Справочник соответствий'!A$2:D$2981,2,FALSE)))</f>
        <v>1</v>
      </c>
      <c r="J1654" s="3">
        <f>IFERROR(VLOOKUP(D1654,'Справочник соответствий'!A$2:D$2981,2,FALSE),IF(VALUE(D1654)=0,0,VLOOKUP(D1654,'Справочник соответствий'!A$2:D$2981,2,FALSE)))</f>
        <v>0</v>
      </c>
      <c r="K1654" s="3">
        <f t="shared" si="175"/>
        <v>1</v>
      </c>
      <c r="L1654" s="13" t="str">
        <f>IFERROR(VLOOKUP(C1654,'Справочник соответствий'!A$2:D$2981,3,FALSE),IF(VALUE(C1654)=0,"ЭТАЖ НЕ ОПРЕДЕЛЕН. ПРИНЯТ ПО ДОПУЩЕНИЮ 1",VLOOKUP(C1654,'Справочник соответствий'!A$2:D$2981,3,FALSE)))</f>
        <v>ЭТАЖ НЕ ОПРЕДЕЛЕН. ПРИНЯТ ПО ДОПУЩЕНИЮ 1</v>
      </c>
      <c r="M1654" s="13" t="b">
        <f t="shared" si="176"/>
        <v>1</v>
      </c>
      <c r="N1654" s="13">
        <f t="shared" si="177"/>
        <v>1</v>
      </c>
      <c r="O1654" s="13" t="str">
        <f t="shared" si="17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654" s="13" t="str">
        <f t="shared" si="17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654" s="13" t="str">
        <f t="shared" si="180"/>
        <v>ГОТОВ</v>
      </c>
      <c r="R1654" s="13">
        <f>IFERROR(VLOOKUP(P1654,Лист1!A$1:B$20,2,FALSE),0)</f>
        <v>214</v>
      </c>
      <c r="S1654" s="13">
        <f t="shared" si="181"/>
        <v>1</v>
      </c>
    </row>
    <row r="1655" spans="1:19" x14ac:dyDescent="0.25">
      <c r="A1655" s="24" t="s">
        <v>2782</v>
      </c>
      <c r="B1655" s="4" t="s">
        <v>1031</v>
      </c>
      <c r="C1655" s="25" t="s">
        <v>5</v>
      </c>
      <c r="E1655" s="3">
        <v>1</v>
      </c>
      <c r="F1655" s="24" t="s">
        <v>1082</v>
      </c>
      <c r="G1655" s="25" t="s">
        <v>1060</v>
      </c>
      <c r="H1655" s="24" t="s">
        <v>1061</v>
      </c>
      <c r="I1655" s="3" t="str">
        <f>IFERROR(VLOOKUP(C1655,'Справочник соответствий'!A$2:D$2981,2,FALSE),IF(VALUE(C1655)=0,1,VLOOKUP(C1655,'Справочник соответствий'!A$2:D$2981,2,FALSE)))</f>
        <v>1</v>
      </c>
      <c r="J1655" s="3">
        <f>IFERROR(VLOOKUP(D1655,'Справочник соответствий'!A$2:D$2981,2,FALSE),IF(VALUE(D1655)=0,0,VLOOKUP(D1655,'Справочник соответствий'!A$2:D$2981,2,FALSE)))</f>
        <v>0</v>
      </c>
      <c r="K1655" s="3">
        <f t="shared" si="175"/>
        <v>1</v>
      </c>
      <c r="L1655" s="13" t="str">
        <f>IFERROR(VLOOKUP(C1655,'Справочник соответствий'!A$2:D$2981,3,FALSE),IF(VALUE(C1655)=0,"ЭТАЖ НЕ ОПРЕДЕЛЕН. ПРИНЯТ ПО ДОПУЩЕНИЮ 1",VLOOKUP(C1655,'Справочник соответствий'!A$2:D$2981,3,FALSE)))</f>
        <v>ЭТАЖ ЗАДАН ЧИСЛОМ</v>
      </c>
      <c r="M1655" s="13" t="b">
        <f t="shared" si="176"/>
        <v>0</v>
      </c>
      <c r="N1655" s="13">
        <f t="shared" si="177"/>
        <v>1</v>
      </c>
      <c r="O1655" s="13" t="str">
        <f t="shared" si="178"/>
        <v>ЭТАЖ ЗАДАН ЧИСЛОМ</v>
      </c>
      <c r="P1655" s="13" t="str">
        <f t="shared" si="179"/>
        <v>МКД_ЭТАЖ ЗАДАН ЧИСЛОМ</v>
      </c>
      <c r="Q1655" s="13" t="str">
        <f t="shared" si="180"/>
        <v>ГОТОВ</v>
      </c>
      <c r="R1655" s="13">
        <f>IFERROR(VLOOKUP(P1655,Лист1!A$1:B$20,2,FALSE),0)</f>
        <v>786</v>
      </c>
      <c r="S1655" s="13">
        <f t="shared" si="181"/>
        <v>1</v>
      </c>
    </row>
    <row r="1656" spans="1:19" x14ac:dyDescent="0.25">
      <c r="A1656" s="24" t="s">
        <v>2783</v>
      </c>
      <c r="B1656" s="4" t="s">
        <v>1063</v>
      </c>
      <c r="C1656" s="25" t="s">
        <v>5</v>
      </c>
      <c r="E1656" s="3">
        <v>1</v>
      </c>
      <c r="F1656" s="24" t="s">
        <v>1045</v>
      </c>
      <c r="G1656" s="25" t="s">
        <v>1067</v>
      </c>
      <c r="H1656" s="24" t="s">
        <v>1061</v>
      </c>
      <c r="I1656" s="3" t="str">
        <f>IFERROR(VLOOKUP(C1656,'Справочник соответствий'!A$2:D$2981,2,FALSE),IF(VALUE(C1656)=0,1,VLOOKUP(C1656,'Справочник соответствий'!A$2:D$2981,2,FALSE)))</f>
        <v>1</v>
      </c>
      <c r="J1656" s="3">
        <f>IFERROR(VLOOKUP(D1656,'Справочник соответствий'!A$2:D$2981,2,FALSE),IF(VALUE(D1656)=0,0,VLOOKUP(D1656,'Справочник соответствий'!A$2:D$2981,2,FALSE)))</f>
        <v>0</v>
      </c>
      <c r="K1656" s="3" t="str">
        <f t="shared" si="175"/>
        <v>1</v>
      </c>
      <c r="L1656" s="13" t="str">
        <f>IFERROR(VLOOKUP(C1656,'Справочник соответствий'!A$2:D$2981,3,FALSE),IF(VALUE(C1656)=0,"ЭТАЖ НЕ ОПРЕДЕЛЕН. ПРИНЯТ ПО ДОПУЩЕНИЮ 1",VLOOKUP(C1656,'Справочник соответствий'!A$2:D$2981,3,FALSE)))</f>
        <v>ЭТАЖ ЗАДАН ЧИСЛОМ</v>
      </c>
      <c r="M1656" s="13" t="b">
        <f t="shared" si="176"/>
        <v>0</v>
      </c>
      <c r="N1656" s="13">
        <f t="shared" si="177"/>
        <v>1</v>
      </c>
      <c r="O1656" s="13" t="str">
        <f t="shared" si="178"/>
        <v>ЭТАЖ ЗАДАН ЧИСЛОМ</v>
      </c>
      <c r="P1656" s="13" t="str">
        <f t="shared" si="179"/>
        <v>ЭТАЖ ЗАДАН ЧИСЛОМ</v>
      </c>
      <c r="Q1656" s="13" t="str">
        <f t="shared" si="180"/>
        <v>ГОТОВ</v>
      </c>
      <c r="R1656" s="13">
        <f>IFERROR(VLOOKUP(P1656,Лист1!A$1:B$20,2,FALSE),0)</f>
        <v>784</v>
      </c>
      <c r="S1656" s="13">
        <f t="shared" si="181"/>
        <v>1</v>
      </c>
    </row>
    <row r="1657" spans="1:19" x14ac:dyDescent="0.25">
      <c r="A1657" s="24" t="s">
        <v>2784</v>
      </c>
      <c r="B1657" s="4" t="s">
        <v>1059</v>
      </c>
      <c r="C1657" s="25" t="s">
        <v>5</v>
      </c>
      <c r="E1657" s="3">
        <v>1</v>
      </c>
      <c r="F1657" s="24" t="s">
        <v>1045</v>
      </c>
      <c r="G1657" s="25" t="s">
        <v>1072</v>
      </c>
      <c r="H1657" s="24" t="s">
        <v>1061</v>
      </c>
      <c r="I1657" s="3" t="str">
        <f>IFERROR(VLOOKUP(C1657,'Справочник соответствий'!A$2:D$2981,2,FALSE),IF(VALUE(C1657)=0,1,VLOOKUP(C1657,'Справочник соответствий'!A$2:D$2981,2,FALSE)))</f>
        <v>1</v>
      </c>
      <c r="J1657" s="3">
        <f>IFERROR(VLOOKUP(D1657,'Справочник соответствий'!A$2:D$2981,2,FALSE),IF(VALUE(D1657)=0,0,VLOOKUP(D1657,'Справочник соответствий'!A$2:D$2981,2,FALSE)))</f>
        <v>0</v>
      </c>
      <c r="K1657" s="3" t="str">
        <f t="shared" si="175"/>
        <v>1</v>
      </c>
      <c r="L1657" s="13" t="str">
        <f>IFERROR(VLOOKUP(C1657,'Справочник соответствий'!A$2:D$2981,3,FALSE),IF(VALUE(C1657)=0,"ЭТАЖ НЕ ОПРЕДЕЛЕН. ПРИНЯТ ПО ДОПУЩЕНИЮ 1",VLOOKUP(C1657,'Справочник соответствий'!A$2:D$2981,3,FALSE)))</f>
        <v>ЭТАЖ ЗАДАН ЧИСЛОМ</v>
      </c>
      <c r="M1657" s="13" t="b">
        <f t="shared" si="176"/>
        <v>0</v>
      </c>
      <c r="N1657" s="13">
        <f t="shared" si="177"/>
        <v>1</v>
      </c>
      <c r="O1657" s="13" t="str">
        <f t="shared" si="178"/>
        <v>ЭТАЖ ЗАДАН ЧИСЛОМ</v>
      </c>
      <c r="P1657" s="13" t="str">
        <f t="shared" si="179"/>
        <v>ЭТАЖ ЗАДАН ЧИСЛОМ</v>
      </c>
      <c r="Q1657" s="13" t="str">
        <f t="shared" si="180"/>
        <v>ГОТОВ</v>
      </c>
      <c r="R1657" s="13">
        <f>IFERROR(VLOOKUP(P1657,Лист1!A$1:B$20,2,FALSE),0)</f>
        <v>784</v>
      </c>
      <c r="S1657" s="13">
        <f t="shared" si="181"/>
        <v>1</v>
      </c>
    </row>
    <row r="1658" spans="1:19" x14ac:dyDescent="0.25">
      <c r="A1658" s="24" t="s">
        <v>2785</v>
      </c>
      <c r="B1658" s="4" t="s">
        <v>1059</v>
      </c>
      <c r="C1658" s="25" t="s">
        <v>7</v>
      </c>
      <c r="E1658" s="3">
        <v>2</v>
      </c>
      <c r="F1658" s="24" t="s">
        <v>1045</v>
      </c>
      <c r="G1658" s="25" t="s">
        <v>1083</v>
      </c>
      <c r="H1658" s="24" t="s">
        <v>1061</v>
      </c>
      <c r="I1658" s="3" t="str">
        <f>IFERROR(VLOOKUP(C1658,'Справочник соответствий'!A$2:D$2981,2,FALSE),IF(VALUE(C1658)=0,1,VLOOKUP(C1658,'Справочник соответствий'!A$2:D$2981,2,FALSE)))</f>
        <v>2</v>
      </c>
      <c r="J1658" s="3">
        <f>IFERROR(VLOOKUP(D1658,'Справочник соответствий'!A$2:D$2981,2,FALSE),IF(VALUE(D1658)=0,0,VLOOKUP(D1658,'Справочник соответствий'!A$2:D$2981,2,FALSE)))</f>
        <v>0</v>
      </c>
      <c r="K1658" s="3" t="str">
        <f t="shared" si="175"/>
        <v>2</v>
      </c>
      <c r="L1658" s="13" t="str">
        <f>IFERROR(VLOOKUP(C1658,'Справочник соответствий'!A$2:D$2981,3,FALSE),IF(VALUE(C1658)=0,"ЭТАЖ НЕ ОПРЕДЕЛЕН. ПРИНЯТ ПО ДОПУЩЕНИЮ 1",VLOOKUP(C1658,'Справочник соответствий'!A$2:D$2981,3,FALSE)))</f>
        <v>ЭТАЖ ЗАДАН ЧИСЛОМ</v>
      </c>
      <c r="M1658" s="13" t="b">
        <f t="shared" si="176"/>
        <v>0</v>
      </c>
      <c r="N1658" s="13">
        <f t="shared" si="177"/>
        <v>2</v>
      </c>
      <c r="O1658" s="13" t="str">
        <f t="shared" si="178"/>
        <v>ЭТАЖ ЗАДАН ЧИСЛОМ</v>
      </c>
      <c r="P1658" s="13" t="str">
        <f t="shared" si="179"/>
        <v>ЭТАЖ ЗАДАН ЧИСЛОМ</v>
      </c>
      <c r="Q1658" s="13" t="str">
        <f t="shared" si="180"/>
        <v>ГОТОВ</v>
      </c>
      <c r="R1658" s="13">
        <f>IFERROR(VLOOKUP(P1658,Лист1!A$1:B$20,2,FALSE),0)</f>
        <v>784</v>
      </c>
      <c r="S1658" s="13">
        <f t="shared" si="181"/>
        <v>2</v>
      </c>
    </row>
    <row r="1659" spans="1:19" x14ac:dyDescent="0.25">
      <c r="A1659" s="24" t="s">
        <v>2786</v>
      </c>
      <c r="B1659" s="4" t="s">
        <v>1059</v>
      </c>
      <c r="C1659" s="25" t="s">
        <v>7</v>
      </c>
      <c r="E1659" s="3">
        <v>1</v>
      </c>
      <c r="F1659" s="24" t="s">
        <v>1045</v>
      </c>
      <c r="G1659" s="25" t="s">
        <v>1108</v>
      </c>
      <c r="H1659" s="24" t="s">
        <v>1061</v>
      </c>
      <c r="I1659" s="3" t="str">
        <f>IFERROR(VLOOKUP(C1659,'Справочник соответствий'!A$2:D$2981,2,FALSE),IF(VALUE(C1659)=0,1,VLOOKUP(C1659,'Справочник соответствий'!A$2:D$2981,2,FALSE)))</f>
        <v>2</v>
      </c>
      <c r="J1659" s="3">
        <f>IFERROR(VLOOKUP(D1659,'Справочник соответствий'!A$2:D$2981,2,FALSE),IF(VALUE(D1659)=0,0,VLOOKUP(D1659,'Справочник соответствий'!A$2:D$2981,2,FALSE)))</f>
        <v>0</v>
      </c>
      <c r="K1659" s="3" t="str">
        <f t="shared" si="175"/>
        <v>2</v>
      </c>
      <c r="L1659" s="13" t="str">
        <f>IFERROR(VLOOKUP(C1659,'Справочник соответствий'!A$2:D$2981,3,FALSE),IF(VALUE(C1659)=0,"ЭТАЖ НЕ ОПРЕДЕЛЕН. ПРИНЯТ ПО ДОПУЩЕНИЮ 1",VLOOKUP(C1659,'Справочник соответствий'!A$2:D$2981,3,FALSE)))</f>
        <v>ЭТАЖ ЗАДАН ЧИСЛОМ</v>
      </c>
      <c r="M1659" s="13" t="b">
        <f t="shared" si="176"/>
        <v>0</v>
      </c>
      <c r="N1659" s="13">
        <f t="shared" si="177"/>
        <v>2</v>
      </c>
      <c r="O1659" s="13" t="str">
        <f t="shared" si="178"/>
        <v>ЭТАЖ ЗАДАН ЧИСЛОМ</v>
      </c>
      <c r="P1659" s="13" t="str">
        <f t="shared" si="179"/>
        <v>ЭТАЖ ЗАДАН ЧИСЛОМ</v>
      </c>
      <c r="Q1659" s="13" t="str">
        <f t="shared" si="180"/>
        <v>ГОТОВ_ИЗМЕНЕН</v>
      </c>
      <c r="R1659" s="13">
        <f>IFERROR(VLOOKUP(P1659,Лист1!A$1:B$20,2,FALSE),0)</f>
        <v>784</v>
      </c>
      <c r="S1659" s="13">
        <f t="shared" si="181"/>
        <v>1</v>
      </c>
    </row>
    <row r="1660" spans="1:19" x14ac:dyDescent="0.25">
      <c r="A1660" s="24" t="s">
        <v>2787</v>
      </c>
      <c r="B1660" s="4" t="s">
        <v>1031</v>
      </c>
      <c r="C1660" s="25" t="s">
        <v>5</v>
      </c>
      <c r="E1660" s="3">
        <v>1</v>
      </c>
      <c r="F1660" s="24" t="s">
        <v>1074</v>
      </c>
      <c r="G1660" s="25" t="s">
        <v>1075</v>
      </c>
      <c r="H1660" s="24" t="s">
        <v>1061</v>
      </c>
      <c r="I1660" s="3" t="str">
        <f>IFERROR(VLOOKUP(C1660,'Справочник соответствий'!A$2:D$2981,2,FALSE),IF(VALUE(C1660)=0,1,VLOOKUP(C1660,'Справочник соответствий'!A$2:D$2981,2,FALSE)))</f>
        <v>1</v>
      </c>
      <c r="J1660" s="3">
        <f>IFERROR(VLOOKUP(D1660,'Справочник соответствий'!A$2:D$2981,2,FALSE),IF(VALUE(D1660)=0,0,VLOOKUP(D1660,'Справочник соответствий'!A$2:D$2981,2,FALSE)))</f>
        <v>0</v>
      </c>
      <c r="K1660" s="3">
        <f t="shared" si="175"/>
        <v>1</v>
      </c>
      <c r="L1660" s="13" t="str">
        <f>IFERROR(VLOOKUP(C1660,'Справочник соответствий'!A$2:D$2981,3,FALSE),IF(VALUE(C1660)=0,"ЭТАЖ НЕ ОПРЕДЕЛЕН. ПРИНЯТ ПО ДОПУЩЕНИЮ 1",VLOOKUP(C1660,'Справочник соответствий'!A$2:D$2981,3,FALSE)))</f>
        <v>ЭТАЖ ЗАДАН ЧИСЛОМ</v>
      </c>
      <c r="M1660" s="13" t="b">
        <f t="shared" si="176"/>
        <v>0</v>
      </c>
      <c r="N1660" s="13">
        <f t="shared" si="177"/>
        <v>1</v>
      </c>
      <c r="O1660" s="13" t="str">
        <f t="shared" si="178"/>
        <v>ЭТАЖ ЗАДАН ЧИСЛОМ</v>
      </c>
      <c r="P1660" s="13" t="str">
        <f t="shared" si="179"/>
        <v>МКД_ЭТАЖ ЗАДАН ЧИСЛОМ</v>
      </c>
      <c r="Q1660" s="13" t="str">
        <f t="shared" si="180"/>
        <v>ГОТОВ</v>
      </c>
      <c r="R1660" s="13">
        <f>IFERROR(VLOOKUP(P1660,Лист1!A$1:B$20,2,FALSE),0)</f>
        <v>786</v>
      </c>
      <c r="S1660" s="13">
        <f t="shared" si="181"/>
        <v>1</v>
      </c>
    </row>
    <row r="1661" spans="1:19" x14ac:dyDescent="0.25">
      <c r="A1661" s="24" t="s">
        <v>2788</v>
      </c>
      <c r="B1661" s="4" t="s">
        <v>1031</v>
      </c>
      <c r="C1661" s="25" t="s">
        <v>5</v>
      </c>
      <c r="E1661" s="3">
        <v>1</v>
      </c>
      <c r="F1661" s="24" t="s">
        <v>1045</v>
      </c>
      <c r="G1661" s="25" t="s">
        <v>1075</v>
      </c>
      <c r="H1661" s="24" t="s">
        <v>1061</v>
      </c>
      <c r="I1661" s="3" t="str">
        <f>IFERROR(VLOOKUP(C1661,'Справочник соответствий'!A$2:D$2981,2,FALSE),IF(VALUE(C1661)=0,1,VLOOKUP(C1661,'Справочник соответствий'!A$2:D$2981,2,FALSE)))</f>
        <v>1</v>
      </c>
      <c r="J1661" s="3">
        <f>IFERROR(VLOOKUP(D1661,'Справочник соответствий'!A$2:D$2981,2,FALSE),IF(VALUE(D1661)=0,0,VLOOKUP(D1661,'Справочник соответствий'!A$2:D$2981,2,FALSE)))</f>
        <v>0</v>
      </c>
      <c r="K1661" s="3">
        <f t="shared" si="175"/>
        <v>1</v>
      </c>
      <c r="L1661" s="13" t="str">
        <f>IFERROR(VLOOKUP(C1661,'Справочник соответствий'!A$2:D$2981,3,FALSE),IF(VALUE(C1661)=0,"ЭТАЖ НЕ ОПРЕДЕЛЕН. ПРИНЯТ ПО ДОПУЩЕНИЮ 1",VLOOKUP(C1661,'Справочник соответствий'!A$2:D$2981,3,FALSE)))</f>
        <v>ЭТАЖ ЗАДАН ЧИСЛОМ</v>
      </c>
      <c r="M1661" s="13" t="b">
        <f t="shared" si="176"/>
        <v>0</v>
      </c>
      <c r="N1661" s="13">
        <f t="shared" si="177"/>
        <v>1</v>
      </c>
      <c r="O1661" s="13" t="str">
        <f t="shared" si="178"/>
        <v>ЭТАЖ ЗАДАН ЧИСЛОМ</v>
      </c>
      <c r="P1661" s="13" t="str">
        <f t="shared" si="179"/>
        <v>МКД_ЭТАЖ ЗАДАН ЧИСЛОМ</v>
      </c>
      <c r="Q1661" s="13" t="str">
        <f t="shared" si="180"/>
        <v>ГОТОВ</v>
      </c>
      <c r="R1661" s="13">
        <f>IFERROR(VLOOKUP(P1661,Лист1!A$1:B$20,2,FALSE),0)</f>
        <v>786</v>
      </c>
      <c r="S1661" s="13">
        <f t="shared" si="181"/>
        <v>1</v>
      </c>
    </row>
    <row r="1662" spans="1:19" x14ac:dyDescent="0.25">
      <c r="A1662" s="24" t="s">
        <v>2789</v>
      </c>
      <c r="B1662" s="4" t="s">
        <v>1059</v>
      </c>
      <c r="C1662" s="25" t="s">
        <v>5</v>
      </c>
      <c r="E1662" s="3">
        <v>1</v>
      </c>
      <c r="F1662" s="24" t="s">
        <v>1045</v>
      </c>
      <c r="G1662" s="25" t="s">
        <v>1104</v>
      </c>
      <c r="H1662" s="24" t="s">
        <v>1061</v>
      </c>
      <c r="I1662" s="3" t="str">
        <f>IFERROR(VLOOKUP(C1662,'Справочник соответствий'!A$2:D$2981,2,FALSE),IF(VALUE(C1662)=0,1,VLOOKUP(C1662,'Справочник соответствий'!A$2:D$2981,2,FALSE)))</f>
        <v>1</v>
      </c>
      <c r="J1662" s="3">
        <f>IFERROR(VLOOKUP(D1662,'Справочник соответствий'!A$2:D$2981,2,FALSE),IF(VALUE(D1662)=0,0,VLOOKUP(D1662,'Справочник соответствий'!A$2:D$2981,2,FALSE)))</f>
        <v>0</v>
      </c>
      <c r="K1662" s="3" t="str">
        <f t="shared" si="175"/>
        <v>1</v>
      </c>
      <c r="L1662" s="13" t="str">
        <f>IFERROR(VLOOKUP(C1662,'Справочник соответствий'!A$2:D$2981,3,FALSE),IF(VALUE(C1662)=0,"ЭТАЖ НЕ ОПРЕДЕЛЕН. ПРИНЯТ ПО ДОПУЩЕНИЮ 1",VLOOKUP(C1662,'Справочник соответствий'!A$2:D$2981,3,FALSE)))</f>
        <v>ЭТАЖ ЗАДАН ЧИСЛОМ</v>
      </c>
      <c r="M1662" s="13" t="b">
        <f t="shared" si="176"/>
        <v>0</v>
      </c>
      <c r="N1662" s="13">
        <f t="shared" si="177"/>
        <v>1</v>
      </c>
      <c r="O1662" s="13" t="str">
        <f t="shared" si="178"/>
        <v>ЭТАЖ ЗАДАН ЧИСЛОМ</v>
      </c>
      <c r="P1662" s="13" t="str">
        <f t="shared" si="179"/>
        <v>ЭТАЖ ЗАДАН ЧИСЛОМ</v>
      </c>
      <c r="Q1662" s="13" t="str">
        <f t="shared" si="180"/>
        <v>ГОТОВ</v>
      </c>
      <c r="R1662" s="13">
        <f>IFERROR(VLOOKUP(P1662,Лист1!A$1:B$20,2,FALSE),0)</f>
        <v>784</v>
      </c>
      <c r="S1662" s="13">
        <f t="shared" si="181"/>
        <v>1</v>
      </c>
    </row>
    <row r="1663" spans="1:19" x14ac:dyDescent="0.25">
      <c r="A1663" s="24" t="s">
        <v>2790</v>
      </c>
      <c r="B1663" s="4" t="s">
        <v>1059</v>
      </c>
      <c r="C1663" s="25" t="s">
        <v>5</v>
      </c>
      <c r="E1663" s="3">
        <v>1</v>
      </c>
      <c r="F1663" s="24" t="s">
        <v>1045</v>
      </c>
      <c r="G1663" s="25" t="s">
        <v>1321</v>
      </c>
      <c r="H1663" s="24" t="s">
        <v>1061</v>
      </c>
      <c r="I1663" s="3" t="str">
        <f>IFERROR(VLOOKUP(C1663,'Справочник соответствий'!A$2:D$2981,2,FALSE),IF(VALUE(C1663)=0,1,VLOOKUP(C1663,'Справочник соответствий'!A$2:D$2981,2,FALSE)))</f>
        <v>1</v>
      </c>
      <c r="J1663" s="3">
        <f>IFERROR(VLOOKUP(D1663,'Справочник соответствий'!A$2:D$2981,2,FALSE),IF(VALUE(D1663)=0,0,VLOOKUP(D1663,'Справочник соответствий'!A$2:D$2981,2,FALSE)))</f>
        <v>0</v>
      </c>
      <c r="K1663" s="3" t="str">
        <f t="shared" si="175"/>
        <v>1</v>
      </c>
      <c r="L1663" s="13" t="str">
        <f>IFERROR(VLOOKUP(C1663,'Справочник соответствий'!A$2:D$2981,3,FALSE),IF(VALUE(C1663)=0,"ЭТАЖ НЕ ОПРЕДЕЛЕН. ПРИНЯТ ПО ДОПУЩЕНИЮ 1",VLOOKUP(C1663,'Справочник соответствий'!A$2:D$2981,3,FALSE)))</f>
        <v>ЭТАЖ ЗАДАН ЧИСЛОМ</v>
      </c>
      <c r="M1663" s="13" t="b">
        <f t="shared" si="176"/>
        <v>0</v>
      </c>
      <c r="N1663" s="13">
        <f t="shared" si="177"/>
        <v>1</v>
      </c>
      <c r="O1663" s="13" t="str">
        <f t="shared" si="178"/>
        <v>ЭТАЖ ЗАДАН ЧИСЛОМ</v>
      </c>
      <c r="P1663" s="13" t="str">
        <f t="shared" si="179"/>
        <v>ЭТАЖ ЗАДАН ЧИСЛОМ</v>
      </c>
      <c r="Q1663" s="13" t="str">
        <f t="shared" si="180"/>
        <v>ГОТОВ</v>
      </c>
      <c r="R1663" s="13">
        <f>IFERROR(VLOOKUP(P1663,Лист1!A$1:B$20,2,FALSE),0)</f>
        <v>784</v>
      </c>
      <c r="S1663" s="13">
        <f t="shared" si="181"/>
        <v>1</v>
      </c>
    </row>
    <row r="1664" spans="1:19" x14ac:dyDescent="0.25">
      <c r="A1664" s="24" t="s">
        <v>2791</v>
      </c>
      <c r="B1664" s="4" t="s">
        <v>1063</v>
      </c>
      <c r="C1664" s="25" t="s">
        <v>5</v>
      </c>
      <c r="E1664" s="3">
        <v>1</v>
      </c>
      <c r="F1664" s="24" t="s">
        <v>1045</v>
      </c>
      <c r="G1664" s="25" t="s">
        <v>1086</v>
      </c>
      <c r="H1664" s="24" t="s">
        <v>1061</v>
      </c>
      <c r="I1664" s="3" t="str">
        <f>IFERROR(VLOOKUP(C1664,'Справочник соответствий'!A$2:D$2981,2,FALSE),IF(VALUE(C1664)=0,1,VLOOKUP(C1664,'Справочник соответствий'!A$2:D$2981,2,FALSE)))</f>
        <v>1</v>
      </c>
      <c r="J1664" s="3">
        <f>IFERROR(VLOOKUP(D1664,'Справочник соответствий'!A$2:D$2981,2,FALSE),IF(VALUE(D1664)=0,0,VLOOKUP(D1664,'Справочник соответствий'!A$2:D$2981,2,FALSE)))</f>
        <v>0</v>
      </c>
      <c r="K1664" s="3" t="str">
        <f t="shared" si="175"/>
        <v>1</v>
      </c>
      <c r="L1664" s="13" t="str">
        <f>IFERROR(VLOOKUP(C1664,'Справочник соответствий'!A$2:D$2981,3,FALSE),IF(VALUE(C1664)=0,"ЭТАЖ НЕ ОПРЕДЕЛЕН. ПРИНЯТ ПО ДОПУЩЕНИЮ 1",VLOOKUP(C1664,'Справочник соответствий'!A$2:D$2981,3,FALSE)))</f>
        <v>ЭТАЖ ЗАДАН ЧИСЛОМ</v>
      </c>
      <c r="M1664" s="13" t="b">
        <f t="shared" si="176"/>
        <v>0</v>
      </c>
      <c r="N1664" s="13">
        <f t="shared" si="177"/>
        <v>1</v>
      </c>
      <c r="O1664" s="13" t="str">
        <f t="shared" si="178"/>
        <v>ЭТАЖ ЗАДАН ЧИСЛОМ</v>
      </c>
      <c r="P1664" s="13" t="str">
        <f t="shared" si="179"/>
        <v>ЭТАЖ ЗАДАН ЧИСЛОМ</v>
      </c>
      <c r="Q1664" s="13" t="str">
        <f t="shared" si="180"/>
        <v>ГОТОВ</v>
      </c>
      <c r="R1664" s="13">
        <f>IFERROR(VLOOKUP(P1664,Лист1!A$1:B$20,2,FALSE),0)</f>
        <v>784</v>
      </c>
      <c r="S1664" s="13">
        <f t="shared" si="181"/>
        <v>1</v>
      </c>
    </row>
    <row r="1665" spans="1:19" x14ac:dyDescent="0.25">
      <c r="A1665" s="24" t="s">
        <v>2792</v>
      </c>
      <c r="B1665" s="4" t="s">
        <v>1059</v>
      </c>
      <c r="C1665" s="25" t="s">
        <v>5</v>
      </c>
      <c r="E1665" s="3">
        <v>1</v>
      </c>
      <c r="F1665" s="24" t="s">
        <v>1045</v>
      </c>
      <c r="G1665" s="25" t="s">
        <v>1072</v>
      </c>
      <c r="H1665" s="24" t="s">
        <v>1061</v>
      </c>
      <c r="I1665" s="3" t="str">
        <f>IFERROR(VLOOKUP(C1665,'Справочник соответствий'!A$2:D$2981,2,FALSE),IF(VALUE(C1665)=0,1,VLOOKUP(C1665,'Справочник соответствий'!A$2:D$2981,2,FALSE)))</f>
        <v>1</v>
      </c>
      <c r="J1665" s="3">
        <f>IFERROR(VLOOKUP(D1665,'Справочник соответствий'!A$2:D$2981,2,FALSE),IF(VALUE(D1665)=0,0,VLOOKUP(D1665,'Справочник соответствий'!A$2:D$2981,2,FALSE)))</f>
        <v>0</v>
      </c>
      <c r="K1665" s="3" t="str">
        <f t="shared" si="175"/>
        <v>1</v>
      </c>
      <c r="L1665" s="13" t="str">
        <f>IFERROR(VLOOKUP(C1665,'Справочник соответствий'!A$2:D$2981,3,FALSE),IF(VALUE(C1665)=0,"ЭТАЖ НЕ ОПРЕДЕЛЕН. ПРИНЯТ ПО ДОПУЩЕНИЮ 1",VLOOKUP(C1665,'Справочник соответствий'!A$2:D$2981,3,FALSE)))</f>
        <v>ЭТАЖ ЗАДАН ЧИСЛОМ</v>
      </c>
      <c r="M1665" s="13" t="b">
        <f t="shared" si="176"/>
        <v>0</v>
      </c>
      <c r="N1665" s="13">
        <f t="shared" si="177"/>
        <v>1</v>
      </c>
      <c r="O1665" s="13" t="str">
        <f t="shared" si="178"/>
        <v>ЭТАЖ ЗАДАН ЧИСЛОМ</v>
      </c>
      <c r="P1665" s="13" t="str">
        <f t="shared" si="179"/>
        <v>ЭТАЖ ЗАДАН ЧИСЛОМ</v>
      </c>
      <c r="Q1665" s="13" t="str">
        <f t="shared" si="180"/>
        <v>ГОТОВ</v>
      </c>
      <c r="R1665" s="13">
        <f>IFERROR(VLOOKUP(P1665,Лист1!A$1:B$20,2,FALSE),0)</f>
        <v>784</v>
      </c>
      <c r="S1665" s="13">
        <f t="shared" si="181"/>
        <v>1</v>
      </c>
    </row>
    <row r="1666" spans="1:19" x14ac:dyDescent="0.25">
      <c r="A1666" s="24" t="s">
        <v>2793</v>
      </c>
      <c r="B1666" s="4" t="s">
        <v>1059</v>
      </c>
      <c r="C1666" s="25" t="s">
        <v>7</v>
      </c>
      <c r="E1666" s="3">
        <v>1</v>
      </c>
      <c r="F1666" s="24" t="s">
        <v>1045</v>
      </c>
      <c r="G1666" s="25" t="s">
        <v>1698</v>
      </c>
      <c r="H1666" s="24" t="s">
        <v>1061</v>
      </c>
      <c r="I1666" s="3" t="str">
        <f>IFERROR(VLOOKUP(C1666,'Справочник соответствий'!A$2:D$2981,2,FALSE),IF(VALUE(C1666)=0,1,VLOOKUP(C1666,'Справочник соответствий'!A$2:D$2981,2,FALSE)))</f>
        <v>2</v>
      </c>
      <c r="J1666" s="3">
        <f>IFERROR(VLOOKUP(D1666,'Справочник соответствий'!A$2:D$2981,2,FALSE),IF(VALUE(D1666)=0,0,VLOOKUP(D1666,'Справочник соответствий'!A$2:D$2981,2,FALSE)))</f>
        <v>0</v>
      </c>
      <c r="K1666" s="3" t="str">
        <f t="shared" si="175"/>
        <v>2</v>
      </c>
      <c r="L1666" s="13" t="str">
        <f>IFERROR(VLOOKUP(C1666,'Справочник соответствий'!A$2:D$2981,3,FALSE),IF(VALUE(C1666)=0,"ЭТАЖ НЕ ОПРЕДЕЛЕН. ПРИНЯТ ПО ДОПУЩЕНИЮ 1",VLOOKUP(C1666,'Справочник соответствий'!A$2:D$2981,3,FALSE)))</f>
        <v>ЭТАЖ ЗАДАН ЧИСЛОМ</v>
      </c>
      <c r="M1666" s="13" t="b">
        <f t="shared" si="176"/>
        <v>0</v>
      </c>
      <c r="N1666" s="13">
        <f t="shared" si="177"/>
        <v>2</v>
      </c>
      <c r="O1666" s="13" t="str">
        <f t="shared" si="178"/>
        <v>ЭТАЖ ЗАДАН ЧИСЛОМ</v>
      </c>
      <c r="P1666" s="13" t="str">
        <f t="shared" si="179"/>
        <v>ЭТАЖ ЗАДАН ЧИСЛОМ</v>
      </c>
      <c r="Q1666" s="13" t="str">
        <f t="shared" si="180"/>
        <v>ГОТОВ_ИЗМЕНЕН</v>
      </c>
      <c r="R1666" s="13">
        <f>IFERROR(VLOOKUP(P1666,Лист1!A$1:B$20,2,FALSE),0)</f>
        <v>784</v>
      </c>
      <c r="S1666" s="13">
        <f t="shared" si="181"/>
        <v>1</v>
      </c>
    </row>
    <row r="1667" spans="1:19" x14ac:dyDescent="0.25">
      <c r="A1667" s="24" t="s">
        <v>2794</v>
      </c>
      <c r="B1667" s="4" t="s">
        <v>1031</v>
      </c>
      <c r="C1667" s="25" t="s">
        <v>5</v>
      </c>
      <c r="E1667" s="3">
        <v>1</v>
      </c>
      <c r="F1667" s="24" t="s">
        <v>1045</v>
      </c>
      <c r="G1667" s="25" t="s">
        <v>1096</v>
      </c>
      <c r="H1667" s="24" t="s">
        <v>1061</v>
      </c>
      <c r="I1667" s="3" t="str">
        <f>IFERROR(VLOOKUP(C1667,'Справочник соответствий'!A$2:D$2981,2,FALSE),IF(VALUE(C1667)=0,1,VLOOKUP(C1667,'Справочник соответствий'!A$2:D$2981,2,FALSE)))</f>
        <v>1</v>
      </c>
      <c r="J1667" s="3">
        <f>IFERROR(VLOOKUP(D1667,'Справочник соответствий'!A$2:D$2981,2,FALSE),IF(VALUE(D1667)=0,0,VLOOKUP(D1667,'Справочник соответствий'!A$2:D$2981,2,FALSE)))</f>
        <v>0</v>
      </c>
      <c r="K1667" s="3">
        <f t="shared" si="175"/>
        <v>1</v>
      </c>
      <c r="L1667" s="13" t="str">
        <f>IFERROR(VLOOKUP(C1667,'Справочник соответствий'!A$2:D$2981,3,FALSE),IF(VALUE(C1667)=0,"ЭТАЖ НЕ ОПРЕДЕЛЕН. ПРИНЯТ ПО ДОПУЩЕНИЮ 1",VLOOKUP(C1667,'Справочник соответствий'!A$2:D$2981,3,FALSE)))</f>
        <v>ЭТАЖ ЗАДАН ЧИСЛОМ</v>
      </c>
      <c r="M1667" s="13" t="b">
        <f t="shared" si="176"/>
        <v>0</v>
      </c>
      <c r="N1667" s="13">
        <f t="shared" si="177"/>
        <v>1</v>
      </c>
      <c r="O1667" s="13" t="str">
        <f t="shared" si="178"/>
        <v>ЭТАЖ ЗАДАН ЧИСЛОМ</v>
      </c>
      <c r="P1667" s="13" t="str">
        <f t="shared" si="179"/>
        <v>МКД_ЭТАЖ ЗАДАН ЧИСЛОМ</v>
      </c>
      <c r="Q1667" s="13" t="str">
        <f t="shared" si="180"/>
        <v>ГОТОВ</v>
      </c>
      <c r="R1667" s="13">
        <f>IFERROR(VLOOKUP(P1667,Лист1!A$1:B$20,2,FALSE),0)</f>
        <v>786</v>
      </c>
      <c r="S1667" s="13">
        <f t="shared" si="181"/>
        <v>1</v>
      </c>
    </row>
    <row r="1668" spans="1:19" x14ac:dyDescent="0.25">
      <c r="A1668" s="24" t="s">
        <v>2795</v>
      </c>
      <c r="B1668" s="4" t="s">
        <v>1063</v>
      </c>
      <c r="C1668" s="25" t="s">
        <v>5</v>
      </c>
      <c r="D1668" s="25" t="s">
        <v>5</v>
      </c>
      <c r="E1668" s="3">
        <v>1</v>
      </c>
      <c r="F1668" s="24" t="s">
        <v>1045</v>
      </c>
      <c r="G1668" s="25" t="s">
        <v>1064</v>
      </c>
      <c r="H1668" s="24" t="s">
        <v>1061</v>
      </c>
      <c r="I1668" s="3" t="str">
        <f>IFERROR(VLOOKUP(C1668,'Справочник соответствий'!A$2:D$2981,2,FALSE),IF(VALUE(C1668)=0,1,VLOOKUP(C1668,'Справочник соответствий'!A$2:D$2981,2,FALSE)))</f>
        <v>1</v>
      </c>
      <c r="J1668" s="3" t="str">
        <f>IFERROR(VLOOKUP(D1668,'Справочник соответствий'!A$2:D$2981,2,FALSE),IF(VALUE(D1668)=0,0,VLOOKUP(D1668,'Справочник соответствий'!A$2:D$2981,2,FALSE)))</f>
        <v>1</v>
      </c>
      <c r="K1668" s="3" t="str">
        <f t="shared" si="175"/>
        <v>1</v>
      </c>
      <c r="L1668" s="13" t="str">
        <f>IFERROR(VLOOKUP(C1668,'Справочник соответствий'!A$2:D$2981,3,FALSE),IF(VALUE(C1668)=0,"ЭТАЖ НЕ ОПРЕДЕЛЕН. ПРИНЯТ ПО ДОПУЩЕНИЮ 1",VLOOKUP(C1668,'Справочник соответствий'!A$2:D$2981,3,FALSE)))</f>
        <v>ЭТАЖ ЗАДАН ЧИСЛОМ</v>
      </c>
      <c r="M1668" s="13" t="b">
        <f t="shared" si="176"/>
        <v>0</v>
      </c>
      <c r="N1668" s="13">
        <f t="shared" si="177"/>
        <v>1</v>
      </c>
      <c r="O1668" s="13" t="str">
        <f t="shared" si="178"/>
        <v>ЭТАЖ ЗАДАН ЧИСЛОМ</v>
      </c>
      <c r="P1668" s="13" t="str">
        <f t="shared" si="179"/>
        <v>ЭТАЖ ЗАДАН ЧИСЛОМ</v>
      </c>
      <c r="Q1668" s="13" t="str">
        <f t="shared" si="180"/>
        <v>ГОТОВ</v>
      </c>
      <c r="R1668" s="13">
        <f>IFERROR(VLOOKUP(P1668,Лист1!A$1:B$20,2,FALSE),0)</f>
        <v>784</v>
      </c>
      <c r="S1668" s="13">
        <f t="shared" si="181"/>
        <v>1</v>
      </c>
    </row>
    <row r="1669" spans="1:19" x14ac:dyDescent="0.25">
      <c r="A1669" s="24" t="s">
        <v>2796</v>
      </c>
      <c r="B1669" s="4" t="s">
        <v>1063</v>
      </c>
      <c r="C1669" s="25" t="s">
        <v>7</v>
      </c>
      <c r="E1669" s="3">
        <v>2</v>
      </c>
      <c r="F1669" s="24" t="s">
        <v>1045</v>
      </c>
      <c r="G1669" s="25" t="s">
        <v>1096</v>
      </c>
      <c r="H1669" s="24" t="s">
        <v>1061</v>
      </c>
      <c r="I1669" s="3" t="str">
        <f>IFERROR(VLOOKUP(C1669,'Справочник соответствий'!A$2:D$2981,2,FALSE),IF(VALUE(C1669)=0,1,VLOOKUP(C1669,'Справочник соответствий'!A$2:D$2981,2,FALSE)))</f>
        <v>2</v>
      </c>
      <c r="J1669" s="3">
        <f>IFERROR(VLOOKUP(D1669,'Справочник соответствий'!A$2:D$2981,2,FALSE),IF(VALUE(D1669)=0,0,VLOOKUP(D1669,'Справочник соответствий'!A$2:D$2981,2,FALSE)))</f>
        <v>0</v>
      </c>
      <c r="K1669" s="3" t="str">
        <f t="shared" ref="K1669:K1732" si="182">IF(B1669="Многоквартирный дом",IF(I1669-J1669&gt;0,I1669-J1669,1),I1669)</f>
        <v>2</v>
      </c>
      <c r="L1669" s="13" t="str">
        <f>IFERROR(VLOOKUP(C1669,'Справочник соответствий'!A$2:D$2981,3,FALSE),IF(VALUE(C1669)=0,"ЭТАЖ НЕ ОПРЕДЕЛЕН. ПРИНЯТ ПО ДОПУЩЕНИЮ 1",VLOOKUP(C1669,'Справочник соответствий'!A$2:D$2981,3,FALSE)))</f>
        <v>ЭТАЖ ЗАДАН ЧИСЛОМ</v>
      </c>
      <c r="M1669" s="13" t="b">
        <f t="shared" ref="M1669:M1732" si="183">I1669=E1669</f>
        <v>0</v>
      </c>
      <c r="N1669" s="13">
        <f t="shared" ref="N1669:N1732" si="184">IF(VALUE(E1669)=0,VALUE(K1669),IF(L1669="ЭТАЖ НЕ ОПРЕДЕЛЕН. ПРИНЯТ ПО ДОПУЩЕНИЮ 1",VALUE(E1669),VALUE(K1669)))</f>
        <v>2</v>
      </c>
      <c r="O1669" s="13" t="str">
        <f t="shared" ref="O1669:O1732" si="185">IF(VALUE(E1669)=0,L1669,IF(L1669="ЭТАЖ НЕ ОПРЕДЕЛЕН. ПРИНЯТ ПО ДОПУЩЕНИЮ 1",F1669,L1669))</f>
        <v>ЭТАЖ ЗАДАН ЧИСЛОМ</v>
      </c>
      <c r="P1669" s="13" t="str">
        <f t="shared" ref="P1669:P1732" si="186">IF(B1669="Многоквартирный дом",CONCATENATE("МКД_",O1669),O1669)</f>
        <v>ЭТАЖ ЗАДАН ЧИСЛОМ</v>
      </c>
      <c r="Q1669" s="13" t="str">
        <f t="shared" ref="Q1669:Q1732" si="187">IFERROR(IF(N1669&gt;0,IF(N1669=VALUE(E1669),"ГОТОВ","ГОТОВ_ИЗМЕНЕН"),"НЕ ГОТОВ"),"НЕ ГОТОВ")</f>
        <v>ГОТОВ</v>
      </c>
      <c r="R1669" s="13">
        <f>IFERROR(VLOOKUP(P1669,Лист1!A$1:B$20,2,FALSE),0)</f>
        <v>784</v>
      </c>
      <c r="S1669" s="13">
        <f t="shared" ref="S1669:S1732" si="188">VALUE(E1669)</f>
        <v>2</v>
      </c>
    </row>
    <row r="1670" spans="1:19" x14ac:dyDescent="0.25">
      <c r="A1670" s="24" t="s">
        <v>2797</v>
      </c>
      <c r="B1670" s="4" t="s">
        <v>1063</v>
      </c>
      <c r="C1670" s="25" t="s">
        <v>5</v>
      </c>
      <c r="E1670" s="3">
        <v>1</v>
      </c>
      <c r="F1670" s="24" t="s">
        <v>1045</v>
      </c>
      <c r="G1670" s="25" t="s">
        <v>1072</v>
      </c>
      <c r="H1670" s="24" t="s">
        <v>1061</v>
      </c>
      <c r="I1670" s="3" t="str">
        <f>IFERROR(VLOOKUP(C1670,'Справочник соответствий'!A$2:D$2981,2,FALSE),IF(VALUE(C1670)=0,1,VLOOKUP(C1670,'Справочник соответствий'!A$2:D$2981,2,FALSE)))</f>
        <v>1</v>
      </c>
      <c r="J1670" s="3">
        <f>IFERROR(VLOOKUP(D1670,'Справочник соответствий'!A$2:D$2981,2,FALSE),IF(VALUE(D1670)=0,0,VLOOKUP(D1670,'Справочник соответствий'!A$2:D$2981,2,FALSE)))</f>
        <v>0</v>
      </c>
      <c r="K1670" s="3" t="str">
        <f t="shared" si="182"/>
        <v>1</v>
      </c>
      <c r="L1670" s="13" t="str">
        <f>IFERROR(VLOOKUP(C1670,'Справочник соответствий'!A$2:D$2981,3,FALSE),IF(VALUE(C1670)=0,"ЭТАЖ НЕ ОПРЕДЕЛЕН. ПРИНЯТ ПО ДОПУЩЕНИЮ 1",VLOOKUP(C1670,'Справочник соответствий'!A$2:D$2981,3,FALSE)))</f>
        <v>ЭТАЖ ЗАДАН ЧИСЛОМ</v>
      </c>
      <c r="M1670" s="13" t="b">
        <f t="shared" si="183"/>
        <v>0</v>
      </c>
      <c r="N1670" s="13">
        <f t="shared" si="184"/>
        <v>1</v>
      </c>
      <c r="O1670" s="13" t="str">
        <f t="shared" si="185"/>
        <v>ЭТАЖ ЗАДАН ЧИСЛОМ</v>
      </c>
      <c r="P1670" s="13" t="str">
        <f t="shared" si="186"/>
        <v>ЭТАЖ ЗАДАН ЧИСЛОМ</v>
      </c>
      <c r="Q1670" s="13" t="str">
        <f t="shared" si="187"/>
        <v>ГОТОВ</v>
      </c>
      <c r="R1670" s="13">
        <f>IFERROR(VLOOKUP(P1670,Лист1!A$1:B$20,2,FALSE),0)</f>
        <v>784</v>
      </c>
      <c r="S1670" s="13">
        <f t="shared" si="188"/>
        <v>1</v>
      </c>
    </row>
    <row r="1671" spans="1:19" x14ac:dyDescent="0.25">
      <c r="A1671" s="24" t="s">
        <v>2798</v>
      </c>
      <c r="B1671" s="4" t="s">
        <v>1063</v>
      </c>
      <c r="C1671" s="25" t="s">
        <v>5</v>
      </c>
      <c r="E1671" s="3">
        <v>1</v>
      </c>
      <c r="F1671" s="24" t="s">
        <v>1045</v>
      </c>
      <c r="G1671" s="25" t="s">
        <v>1089</v>
      </c>
      <c r="H1671" s="24" t="s">
        <v>1061</v>
      </c>
      <c r="I1671" s="3" t="str">
        <f>IFERROR(VLOOKUP(C1671,'Справочник соответствий'!A$2:D$2981,2,FALSE),IF(VALUE(C1671)=0,1,VLOOKUP(C1671,'Справочник соответствий'!A$2:D$2981,2,FALSE)))</f>
        <v>1</v>
      </c>
      <c r="J1671" s="3">
        <f>IFERROR(VLOOKUP(D1671,'Справочник соответствий'!A$2:D$2981,2,FALSE),IF(VALUE(D1671)=0,0,VLOOKUP(D1671,'Справочник соответствий'!A$2:D$2981,2,FALSE)))</f>
        <v>0</v>
      </c>
      <c r="K1671" s="3" t="str">
        <f t="shared" si="182"/>
        <v>1</v>
      </c>
      <c r="L1671" s="13" t="str">
        <f>IFERROR(VLOOKUP(C1671,'Справочник соответствий'!A$2:D$2981,3,FALSE),IF(VALUE(C1671)=0,"ЭТАЖ НЕ ОПРЕДЕЛЕН. ПРИНЯТ ПО ДОПУЩЕНИЮ 1",VLOOKUP(C1671,'Справочник соответствий'!A$2:D$2981,3,FALSE)))</f>
        <v>ЭТАЖ ЗАДАН ЧИСЛОМ</v>
      </c>
      <c r="M1671" s="13" t="b">
        <f t="shared" si="183"/>
        <v>0</v>
      </c>
      <c r="N1671" s="13">
        <f t="shared" si="184"/>
        <v>1</v>
      </c>
      <c r="O1671" s="13" t="str">
        <f t="shared" si="185"/>
        <v>ЭТАЖ ЗАДАН ЧИСЛОМ</v>
      </c>
      <c r="P1671" s="13" t="str">
        <f t="shared" si="186"/>
        <v>ЭТАЖ ЗАДАН ЧИСЛОМ</v>
      </c>
      <c r="Q1671" s="13" t="str">
        <f t="shared" si="187"/>
        <v>ГОТОВ</v>
      </c>
      <c r="R1671" s="13">
        <f>IFERROR(VLOOKUP(P1671,Лист1!A$1:B$20,2,FALSE),0)</f>
        <v>784</v>
      </c>
      <c r="S1671" s="13">
        <f t="shared" si="188"/>
        <v>1</v>
      </c>
    </row>
    <row r="1672" spans="1:19" x14ac:dyDescent="0.25">
      <c r="A1672" s="24" t="s">
        <v>2799</v>
      </c>
      <c r="B1672" s="4" t="s">
        <v>1059</v>
      </c>
      <c r="C1672" s="25" t="s">
        <v>7</v>
      </c>
      <c r="E1672" s="3">
        <v>1</v>
      </c>
      <c r="F1672" s="24" t="s">
        <v>1045</v>
      </c>
      <c r="G1672" s="25" t="s">
        <v>1117</v>
      </c>
      <c r="H1672" s="24" t="s">
        <v>1061</v>
      </c>
      <c r="I1672" s="3" t="str">
        <f>IFERROR(VLOOKUP(C1672,'Справочник соответствий'!A$2:D$2981,2,FALSE),IF(VALUE(C1672)=0,1,VLOOKUP(C1672,'Справочник соответствий'!A$2:D$2981,2,FALSE)))</f>
        <v>2</v>
      </c>
      <c r="J1672" s="3">
        <f>IFERROR(VLOOKUP(D1672,'Справочник соответствий'!A$2:D$2981,2,FALSE),IF(VALUE(D1672)=0,0,VLOOKUP(D1672,'Справочник соответствий'!A$2:D$2981,2,FALSE)))</f>
        <v>0</v>
      </c>
      <c r="K1672" s="3" t="str">
        <f t="shared" si="182"/>
        <v>2</v>
      </c>
      <c r="L1672" s="13" t="str">
        <f>IFERROR(VLOOKUP(C1672,'Справочник соответствий'!A$2:D$2981,3,FALSE),IF(VALUE(C1672)=0,"ЭТАЖ НЕ ОПРЕДЕЛЕН. ПРИНЯТ ПО ДОПУЩЕНИЮ 1",VLOOKUP(C1672,'Справочник соответствий'!A$2:D$2981,3,FALSE)))</f>
        <v>ЭТАЖ ЗАДАН ЧИСЛОМ</v>
      </c>
      <c r="M1672" s="13" t="b">
        <f t="shared" si="183"/>
        <v>0</v>
      </c>
      <c r="N1672" s="13">
        <f t="shared" si="184"/>
        <v>2</v>
      </c>
      <c r="O1672" s="13" t="str">
        <f t="shared" si="185"/>
        <v>ЭТАЖ ЗАДАН ЧИСЛОМ</v>
      </c>
      <c r="P1672" s="13" t="str">
        <f t="shared" si="186"/>
        <v>ЭТАЖ ЗАДАН ЧИСЛОМ</v>
      </c>
      <c r="Q1672" s="13" t="str">
        <f t="shared" si="187"/>
        <v>ГОТОВ_ИЗМЕНЕН</v>
      </c>
      <c r="R1672" s="13">
        <f>IFERROR(VLOOKUP(P1672,Лист1!A$1:B$20,2,FALSE),0)</f>
        <v>784</v>
      </c>
      <c r="S1672" s="13">
        <f t="shared" si="188"/>
        <v>1</v>
      </c>
    </row>
    <row r="1673" spans="1:19" x14ac:dyDescent="0.25">
      <c r="A1673" s="24" t="s">
        <v>2800</v>
      </c>
      <c r="B1673" s="4" t="s">
        <v>1059</v>
      </c>
      <c r="C1673" s="25" t="s">
        <v>5</v>
      </c>
      <c r="E1673" s="3">
        <v>1</v>
      </c>
      <c r="F1673" s="24" t="s">
        <v>1045</v>
      </c>
      <c r="G1673" s="25" t="s">
        <v>1108</v>
      </c>
      <c r="H1673" s="24" t="s">
        <v>1061</v>
      </c>
      <c r="I1673" s="3" t="str">
        <f>IFERROR(VLOOKUP(C1673,'Справочник соответствий'!A$2:D$2981,2,FALSE),IF(VALUE(C1673)=0,1,VLOOKUP(C1673,'Справочник соответствий'!A$2:D$2981,2,FALSE)))</f>
        <v>1</v>
      </c>
      <c r="J1673" s="3">
        <f>IFERROR(VLOOKUP(D1673,'Справочник соответствий'!A$2:D$2981,2,FALSE),IF(VALUE(D1673)=0,0,VLOOKUP(D1673,'Справочник соответствий'!A$2:D$2981,2,FALSE)))</f>
        <v>0</v>
      </c>
      <c r="K1673" s="3" t="str">
        <f t="shared" si="182"/>
        <v>1</v>
      </c>
      <c r="L1673" s="13" t="str">
        <f>IFERROR(VLOOKUP(C1673,'Справочник соответствий'!A$2:D$2981,3,FALSE),IF(VALUE(C1673)=0,"ЭТАЖ НЕ ОПРЕДЕЛЕН. ПРИНЯТ ПО ДОПУЩЕНИЮ 1",VLOOKUP(C1673,'Справочник соответствий'!A$2:D$2981,3,FALSE)))</f>
        <v>ЭТАЖ ЗАДАН ЧИСЛОМ</v>
      </c>
      <c r="M1673" s="13" t="b">
        <f t="shared" si="183"/>
        <v>0</v>
      </c>
      <c r="N1673" s="13">
        <f t="shared" si="184"/>
        <v>1</v>
      </c>
      <c r="O1673" s="13" t="str">
        <f t="shared" si="185"/>
        <v>ЭТАЖ ЗАДАН ЧИСЛОМ</v>
      </c>
      <c r="P1673" s="13" t="str">
        <f t="shared" si="186"/>
        <v>ЭТАЖ ЗАДАН ЧИСЛОМ</v>
      </c>
      <c r="Q1673" s="13" t="str">
        <f t="shared" si="187"/>
        <v>ГОТОВ</v>
      </c>
      <c r="R1673" s="13">
        <f>IFERROR(VLOOKUP(P1673,Лист1!A$1:B$20,2,FALSE),0)</f>
        <v>784</v>
      </c>
      <c r="S1673" s="13">
        <f t="shared" si="188"/>
        <v>1</v>
      </c>
    </row>
    <row r="1674" spans="1:19" x14ac:dyDescent="0.25">
      <c r="A1674" s="24" t="s">
        <v>2801</v>
      </c>
      <c r="B1674" s="4" t="s">
        <v>1063</v>
      </c>
      <c r="C1674" s="25" t="s">
        <v>5</v>
      </c>
      <c r="G1674" s="25" t="s">
        <v>1069</v>
      </c>
      <c r="H1674" s="24" t="s">
        <v>1061</v>
      </c>
      <c r="I1674" s="3" t="str">
        <f>IFERROR(VLOOKUP(C1674,'Справочник соответствий'!A$2:D$2981,2,FALSE),IF(VALUE(C1674)=0,1,VLOOKUP(C1674,'Справочник соответствий'!A$2:D$2981,2,FALSE)))</f>
        <v>1</v>
      </c>
      <c r="J1674" s="3">
        <f>IFERROR(VLOOKUP(D1674,'Справочник соответствий'!A$2:D$2981,2,FALSE),IF(VALUE(D1674)=0,0,VLOOKUP(D1674,'Справочник соответствий'!A$2:D$2981,2,FALSE)))</f>
        <v>0</v>
      </c>
      <c r="K1674" s="3" t="str">
        <f t="shared" si="182"/>
        <v>1</v>
      </c>
      <c r="L1674" s="13" t="str">
        <f>IFERROR(VLOOKUP(C1674,'Справочник соответствий'!A$2:D$2981,3,FALSE),IF(VALUE(C1674)=0,"ЭТАЖ НЕ ОПРЕДЕЛЕН. ПРИНЯТ ПО ДОПУЩЕНИЮ 1",VLOOKUP(C1674,'Справочник соответствий'!A$2:D$2981,3,FALSE)))</f>
        <v>ЭТАЖ ЗАДАН ЧИСЛОМ</v>
      </c>
      <c r="M1674" s="13" t="b">
        <f t="shared" si="183"/>
        <v>0</v>
      </c>
      <c r="N1674" s="13">
        <f t="shared" si="184"/>
        <v>1</v>
      </c>
      <c r="O1674" s="13" t="str">
        <f t="shared" si="185"/>
        <v>ЭТАЖ ЗАДАН ЧИСЛОМ</v>
      </c>
      <c r="P1674" s="13" t="str">
        <f t="shared" si="186"/>
        <v>ЭТАЖ ЗАДАН ЧИСЛОМ</v>
      </c>
      <c r="Q1674" s="13" t="str">
        <f t="shared" si="187"/>
        <v>ГОТОВ_ИЗМЕНЕН</v>
      </c>
      <c r="R1674" s="13">
        <f>IFERROR(VLOOKUP(P1674,Лист1!A$1:B$20,2,FALSE),0)</f>
        <v>784</v>
      </c>
      <c r="S1674" s="13">
        <f t="shared" si="188"/>
        <v>0</v>
      </c>
    </row>
    <row r="1675" spans="1:19" x14ac:dyDescent="0.25">
      <c r="A1675" s="24" t="s">
        <v>2802</v>
      </c>
      <c r="B1675" s="4" t="s">
        <v>1059</v>
      </c>
      <c r="C1675" s="25" t="s">
        <v>5</v>
      </c>
      <c r="G1675" s="25" t="s">
        <v>1086</v>
      </c>
      <c r="H1675" s="24" t="s">
        <v>1061</v>
      </c>
      <c r="I1675" s="3" t="str">
        <f>IFERROR(VLOOKUP(C1675,'Справочник соответствий'!A$2:D$2981,2,FALSE),IF(VALUE(C1675)=0,1,VLOOKUP(C1675,'Справочник соответствий'!A$2:D$2981,2,FALSE)))</f>
        <v>1</v>
      </c>
      <c r="J1675" s="3">
        <f>IFERROR(VLOOKUP(D1675,'Справочник соответствий'!A$2:D$2981,2,FALSE),IF(VALUE(D1675)=0,0,VLOOKUP(D1675,'Справочник соответствий'!A$2:D$2981,2,FALSE)))</f>
        <v>0</v>
      </c>
      <c r="K1675" s="3" t="str">
        <f t="shared" si="182"/>
        <v>1</v>
      </c>
      <c r="L1675" s="13" t="str">
        <f>IFERROR(VLOOKUP(C1675,'Справочник соответствий'!A$2:D$2981,3,FALSE),IF(VALUE(C1675)=0,"ЭТАЖ НЕ ОПРЕДЕЛЕН. ПРИНЯТ ПО ДОПУЩЕНИЮ 1",VLOOKUP(C1675,'Справочник соответствий'!A$2:D$2981,3,FALSE)))</f>
        <v>ЭТАЖ ЗАДАН ЧИСЛОМ</v>
      </c>
      <c r="M1675" s="13" t="b">
        <f t="shared" si="183"/>
        <v>0</v>
      </c>
      <c r="N1675" s="13">
        <f t="shared" si="184"/>
        <v>1</v>
      </c>
      <c r="O1675" s="13" t="str">
        <f t="shared" si="185"/>
        <v>ЭТАЖ ЗАДАН ЧИСЛОМ</v>
      </c>
      <c r="P1675" s="13" t="str">
        <f t="shared" si="186"/>
        <v>ЭТАЖ ЗАДАН ЧИСЛОМ</v>
      </c>
      <c r="Q1675" s="13" t="str">
        <f t="shared" si="187"/>
        <v>ГОТОВ_ИЗМЕНЕН</v>
      </c>
      <c r="R1675" s="13">
        <f>IFERROR(VLOOKUP(P1675,Лист1!A$1:B$20,2,FALSE),0)</f>
        <v>784</v>
      </c>
      <c r="S1675" s="13">
        <f t="shared" si="188"/>
        <v>0</v>
      </c>
    </row>
    <row r="1676" spans="1:19" x14ac:dyDescent="0.25">
      <c r="A1676" s="24" t="s">
        <v>2803</v>
      </c>
      <c r="B1676" s="4" t="s">
        <v>1059</v>
      </c>
      <c r="C1676" s="25" t="s">
        <v>7</v>
      </c>
      <c r="G1676" s="25" t="s">
        <v>1086</v>
      </c>
      <c r="H1676" s="24" t="s">
        <v>1061</v>
      </c>
      <c r="I1676" s="3" t="str">
        <f>IFERROR(VLOOKUP(C1676,'Справочник соответствий'!A$2:D$2981,2,FALSE),IF(VALUE(C1676)=0,1,VLOOKUP(C1676,'Справочник соответствий'!A$2:D$2981,2,FALSE)))</f>
        <v>2</v>
      </c>
      <c r="J1676" s="3">
        <f>IFERROR(VLOOKUP(D1676,'Справочник соответствий'!A$2:D$2981,2,FALSE),IF(VALUE(D1676)=0,0,VLOOKUP(D1676,'Справочник соответствий'!A$2:D$2981,2,FALSE)))</f>
        <v>0</v>
      </c>
      <c r="K1676" s="3" t="str">
        <f t="shared" si="182"/>
        <v>2</v>
      </c>
      <c r="L1676" s="13" t="str">
        <f>IFERROR(VLOOKUP(C1676,'Справочник соответствий'!A$2:D$2981,3,FALSE),IF(VALUE(C1676)=0,"ЭТАЖ НЕ ОПРЕДЕЛЕН. ПРИНЯТ ПО ДОПУЩЕНИЮ 1",VLOOKUP(C1676,'Справочник соответствий'!A$2:D$2981,3,FALSE)))</f>
        <v>ЭТАЖ ЗАДАН ЧИСЛОМ</v>
      </c>
      <c r="M1676" s="13" t="b">
        <f t="shared" si="183"/>
        <v>0</v>
      </c>
      <c r="N1676" s="13">
        <f t="shared" si="184"/>
        <v>2</v>
      </c>
      <c r="O1676" s="13" t="str">
        <f t="shared" si="185"/>
        <v>ЭТАЖ ЗАДАН ЧИСЛОМ</v>
      </c>
      <c r="P1676" s="13" t="str">
        <f t="shared" si="186"/>
        <v>ЭТАЖ ЗАДАН ЧИСЛОМ</v>
      </c>
      <c r="Q1676" s="13" t="str">
        <f t="shared" si="187"/>
        <v>ГОТОВ_ИЗМЕНЕН</v>
      </c>
      <c r="R1676" s="13">
        <f>IFERROR(VLOOKUP(P1676,Лист1!A$1:B$20,2,FALSE),0)</f>
        <v>784</v>
      </c>
      <c r="S1676" s="13">
        <f t="shared" si="188"/>
        <v>0</v>
      </c>
    </row>
    <row r="1677" spans="1:19" x14ac:dyDescent="0.25">
      <c r="A1677" s="24" t="s">
        <v>2804</v>
      </c>
      <c r="B1677" s="4" t="s">
        <v>1059</v>
      </c>
      <c r="C1677" s="25" t="s">
        <v>7</v>
      </c>
      <c r="G1677" s="25" t="s">
        <v>1086</v>
      </c>
      <c r="H1677" s="24" t="s">
        <v>1061</v>
      </c>
      <c r="I1677" s="3" t="str">
        <f>IFERROR(VLOOKUP(C1677,'Справочник соответствий'!A$2:D$2981,2,FALSE),IF(VALUE(C1677)=0,1,VLOOKUP(C1677,'Справочник соответствий'!A$2:D$2981,2,FALSE)))</f>
        <v>2</v>
      </c>
      <c r="J1677" s="3">
        <f>IFERROR(VLOOKUP(D1677,'Справочник соответствий'!A$2:D$2981,2,FALSE),IF(VALUE(D1677)=0,0,VLOOKUP(D1677,'Справочник соответствий'!A$2:D$2981,2,FALSE)))</f>
        <v>0</v>
      </c>
      <c r="K1677" s="3" t="str">
        <f t="shared" si="182"/>
        <v>2</v>
      </c>
      <c r="L1677" s="13" t="str">
        <f>IFERROR(VLOOKUP(C1677,'Справочник соответствий'!A$2:D$2981,3,FALSE),IF(VALUE(C1677)=0,"ЭТАЖ НЕ ОПРЕДЕЛЕН. ПРИНЯТ ПО ДОПУЩЕНИЮ 1",VLOOKUP(C1677,'Справочник соответствий'!A$2:D$2981,3,FALSE)))</f>
        <v>ЭТАЖ ЗАДАН ЧИСЛОМ</v>
      </c>
      <c r="M1677" s="13" t="b">
        <f t="shared" si="183"/>
        <v>0</v>
      </c>
      <c r="N1677" s="13">
        <f t="shared" si="184"/>
        <v>2</v>
      </c>
      <c r="O1677" s="13" t="str">
        <f t="shared" si="185"/>
        <v>ЭТАЖ ЗАДАН ЧИСЛОМ</v>
      </c>
      <c r="P1677" s="13" t="str">
        <f t="shared" si="186"/>
        <v>ЭТАЖ ЗАДАН ЧИСЛОМ</v>
      </c>
      <c r="Q1677" s="13" t="str">
        <f t="shared" si="187"/>
        <v>ГОТОВ_ИЗМЕНЕН</v>
      </c>
      <c r="R1677" s="13">
        <f>IFERROR(VLOOKUP(P1677,Лист1!A$1:B$20,2,FALSE),0)</f>
        <v>784</v>
      </c>
      <c r="S1677" s="13">
        <f t="shared" si="188"/>
        <v>0</v>
      </c>
    </row>
    <row r="1678" spans="1:19" x14ac:dyDescent="0.25">
      <c r="A1678" s="24" t="s">
        <v>2805</v>
      </c>
      <c r="B1678" s="4" t="s">
        <v>1059</v>
      </c>
      <c r="C1678" s="25" t="s">
        <v>5</v>
      </c>
      <c r="G1678" s="25" t="s">
        <v>1086</v>
      </c>
      <c r="H1678" s="24" t="s">
        <v>1061</v>
      </c>
      <c r="I1678" s="3" t="str">
        <f>IFERROR(VLOOKUP(C1678,'Справочник соответствий'!A$2:D$2981,2,FALSE),IF(VALUE(C1678)=0,1,VLOOKUP(C1678,'Справочник соответствий'!A$2:D$2981,2,FALSE)))</f>
        <v>1</v>
      </c>
      <c r="J1678" s="3">
        <f>IFERROR(VLOOKUP(D1678,'Справочник соответствий'!A$2:D$2981,2,FALSE),IF(VALUE(D1678)=0,0,VLOOKUP(D1678,'Справочник соответствий'!A$2:D$2981,2,FALSE)))</f>
        <v>0</v>
      </c>
      <c r="K1678" s="3" t="str">
        <f t="shared" si="182"/>
        <v>1</v>
      </c>
      <c r="L1678" s="13" t="str">
        <f>IFERROR(VLOOKUP(C1678,'Справочник соответствий'!A$2:D$2981,3,FALSE),IF(VALUE(C1678)=0,"ЭТАЖ НЕ ОПРЕДЕЛЕН. ПРИНЯТ ПО ДОПУЩЕНИЮ 1",VLOOKUP(C1678,'Справочник соответствий'!A$2:D$2981,3,FALSE)))</f>
        <v>ЭТАЖ ЗАДАН ЧИСЛОМ</v>
      </c>
      <c r="M1678" s="13" t="b">
        <f t="shared" si="183"/>
        <v>0</v>
      </c>
      <c r="N1678" s="13">
        <f t="shared" si="184"/>
        <v>1</v>
      </c>
      <c r="O1678" s="13" t="str">
        <f t="shared" si="185"/>
        <v>ЭТАЖ ЗАДАН ЧИСЛОМ</v>
      </c>
      <c r="P1678" s="13" t="str">
        <f t="shared" si="186"/>
        <v>ЭТАЖ ЗАДАН ЧИСЛОМ</v>
      </c>
      <c r="Q1678" s="13" t="str">
        <f t="shared" si="187"/>
        <v>ГОТОВ_ИЗМЕНЕН</v>
      </c>
      <c r="R1678" s="13">
        <f>IFERROR(VLOOKUP(P1678,Лист1!A$1:B$20,2,FALSE),0)</f>
        <v>784</v>
      </c>
      <c r="S1678" s="13">
        <f t="shared" si="188"/>
        <v>0</v>
      </c>
    </row>
    <row r="1679" spans="1:19" x14ac:dyDescent="0.25">
      <c r="A1679" s="24" t="s">
        <v>2806</v>
      </c>
      <c r="B1679" s="4" t="s">
        <v>1059</v>
      </c>
      <c r="C1679" s="25" t="s">
        <v>5</v>
      </c>
      <c r="G1679" s="25" t="s">
        <v>1086</v>
      </c>
      <c r="H1679" s="24" t="s">
        <v>1061</v>
      </c>
      <c r="I1679" s="3" t="str">
        <f>IFERROR(VLOOKUP(C1679,'Справочник соответствий'!A$2:D$2981,2,FALSE),IF(VALUE(C1679)=0,1,VLOOKUP(C1679,'Справочник соответствий'!A$2:D$2981,2,FALSE)))</f>
        <v>1</v>
      </c>
      <c r="J1679" s="3">
        <f>IFERROR(VLOOKUP(D1679,'Справочник соответствий'!A$2:D$2981,2,FALSE),IF(VALUE(D1679)=0,0,VLOOKUP(D1679,'Справочник соответствий'!A$2:D$2981,2,FALSE)))</f>
        <v>0</v>
      </c>
      <c r="K1679" s="3" t="str">
        <f t="shared" si="182"/>
        <v>1</v>
      </c>
      <c r="L1679" s="13" t="str">
        <f>IFERROR(VLOOKUP(C1679,'Справочник соответствий'!A$2:D$2981,3,FALSE),IF(VALUE(C1679)=0,"ЭТАЖ НЕ ОПРЕДЕЛЕН. ПРИНЯТ ПО ДОПУЩЕНИЮ 1",VLOOKUP(C1679,'Справочник соответствий'!A$2:D$2981,3,FALSE)))</f>
        <v>ЭТАЖ ЗАДАН ЧИСЛОМ</v>
      </c>
      <c r="M1679" s="13" t="b">
        <f t="shared" si="183"/>
        <v>0</v>
      </c>
      <c r="N1679" s="13">
        <f t="shared" si="184"/>
        <v>1</v>
      </c>
      <c r="O1679" s="13" t="str">
        <f t="shared" si="185"/>
        <v>ЭТАЖ ЗАДАН ЧИСЛОМ</v>
      </c>
      <c r="P1679" s="13" t="str">
        <f t="shared" si="186"/>
        <v>ЭТАЖ ЗАДАН ЧИСЛОМ</v>
      </c>
      <c r="Q1679" s="13" t="str">
        <f t="shared" si="187"/>
        <v>ГОТОВ_ИЗМЕНЕН</v>
      </c>
      <c r="R1679" s="13">
        <f>IFERROR(VLOOKUP(P1679,Лист1!A$1:B$20,2,FALSE),0)</f>
        <v>784</v>
      </c>
      <c r="S1679" s="13">
        <f t="shared" si="188"/>
        <v>0</v>
      </c>
    </row>
    <row r="1680" spans="1:19" x14ac:dyDescent="0.25">
      <c r="A1680" s="24" t="s">
        <v>2807</v>
      </c>
      <c r="B1680" s="4" t="s">
        <v>1059</v>
      </c>
      <c r="C1680" s="25" t="s">
        <v>7</v>
      </c>
      <c r="G1680" s="25" t="s">
        <v>1086</v>
      </c>
      <c r="H1680" s="24" t="s">
        <v>1061</v>
      </c>
      <c r="I1680" s="3" t="str">
        <f>IFERROR(VLOOKUP(C1680,'Справочник соответствий'!A$2:D$2981,2,FALSE),IF(VALUE(C1680)=0,1,VLOOKUP(C1680,'Справочник соответствий'!A$2:D$2981,2,FALSE)))</f>
        <v>2</v>
      </c>
      <c r="J1680" s="3">
        <f>IFERROR(VLOOKUP(D1680,'Справочник соответствий'!A$2:D$2981,2,FALSE),IF(VALUE(D1680)=0,0,VLOOKUP(D1680,'Справочник соответствий'!A$2:D$2981,2,FALSE)))</f>
        <v>0</v>
      </c>
      <c r="K1680" s="3" t="str">
        <f t="shared" si="182"/>
        <v>2</v>
      </c>
      <c r="L1680" s="13" t="str">
        <f>IFERROR(VLOOKUP(C1680,'Справочник соответствий'!A$2:D$2981,3,FALSE),IF(VALUE(C1680)=0,"ЭТАЖ НЕ ОПРЕДЕЛЕН. ПРИНЯТ ПО ДОПУЩЕНИЮ 1",VLOOKUP(C1680,'Справочник соответствий'!A$2:D$2981,3,FALSE)))</f>
        <v>ЭТАЖ ЗАДАН ЧИСЛОМ</v>
      </c>
      <c r="M1680" s="13" t="b">
        <f t="shared" si="183"/>
        <v>0</v>
      </c>
      <c r="N1680" s="13">
        <f t="shared" si="184"/>
        <v>2</v>
      </c>
      <c r="O1680" s="13" t="str">
        <f t="shared" si="185"/>
        <v>ЭТАЖ ЗАДАН ЧИСЛОМ</v>
      </c>
      <c r="P1680" s="13" t="str">
        <f t="shared" si="186"/>
        <v>ЭТАЖ ЗАДАН ЧИСЛОМ</v>
      </c>
      <c r="Q1680" s="13" t="str">
        <f t="shared" si="187"/>
        <v>ГОТОВ_ИЗМЕНЕН</v>
      </c>
      <c r="R1680" s="13">
        <f>IFERROR(VLOOKUP(P1680,Лист1!A$1:B$20,2,FALSE),0)</f>
        <v>784</v>
      </c>
      <c r="S1680" s="13">
        <f t="shared" si="188"/>
        <v>0</v>
      </c>
    </row>
    <row r="1681" spans="1:19" x14ac:dyDescent="0.25">
      <c r="A1681" s="24" t="s">
        <v>2808</v>
      </c>
      <c r="B1681" s="4" t="s">
        <v>1031</v>
      </c>
      <c r="C1681" s="25" t="s">
        <v>91</v>
      </c>
      <c r="D1681" s="25" t="s">
        <v>5</v>
      </c>
      <c r="G1681" s="25" t="s">
        <v>1086</v>
      </c>
      <c r="H1681" s="24" t="s">
        <v>1061</v>
      </c>
      <c r="I1681" s="3" t="str">
        <f>IFERROR(VLOOKUP(C1681,'Справочник соответствий'!A$2:D$2981,2,FALSE),IF(VALUE(C1681)=0,1,VLOOKUP(C1681,'Справочник соответствий'!A$2:D$2981,2,FALSE)))</f>
        <v>15</v>
      </c>
      <c r="J1681" s="3" t="str">
        <f>IFERROR(VLOOKUP(D1681,'Справочник соответствий'!A$2:D$2981,2,FALSE),IF(VALUE(D1681)=0,0,VLOOKUP(D1681,'Справочник соответствий'!A$2:D$2981,2,FALSE)))</f>
        <v>1</v>
      </c>
      <c r="K1681" s="3">
        <f t="shared" si="182"/>
        <v>14</v>
      </c>
      <c r="L1681" s="13" t="str">
        <f>IFERROR(VLOOKUP(C1681,'Справочник соответствий'!A$2:D$2981,3,FALSE),IF(VALUE(C1681)=0,"ЭТАЖ НЕ ОПРЕДЕЛЕН. ПРИНЯТ ПО ДОПУЩЕНИЮ 1",VLOOKUP(C1681,'Справочник соответствий'!A$2:D$2981,3,FALSE)))</f>
        <v>ЭТАЖ ЗАДАН ЧИСЛОМ</v>
      </c>
      <c r="M1681" s="13" t="b">
        <f t="shared" si="183"/>
        <v>0</v>
      </c>
      <c r="N1681" s="13">
        <f t="shared" si="184"/>
        <v>14</v>
      </c>
      <c r="O1681" s="13" t="str">
        <f t="shared" si="185"/>
        <v>ЭТАЖ ЗАДАН ЧИСЛОМ</v>
      </c>
      <c r="P1681" s="13" t="str">
        <f t="shared" si="186"/>
        <v>МКД_ЭТАЖ ЗАДАН ЧИСЛОМ</v>
      </c>
      <c r="Q1681" s="13" t="str">
        <f t="shared" si="187"/>
        <v>ГОТОВ_ИЗМЕНЕН</v>
      </c>
      <c r="R1681" s="13">
        <f>IFERROR(VLOOKUP(P1681,Лист1!A$1:B$20,2,FALSE),0)</f>
        <v>786</v>
      </c>
      <c r="S1681" s="13">
        <f t="shared" si="188"/>
        <v>0</v>
      </c>
    </row>
    <row r="1682" spans="1:19" x14ac:dyDescent="0.25">
      <c r="A1682" s="24" t="s">
        <v>2809</v>
      </c>
      <c r="B1682" s="4" t="s">
        <v>1031</v>
      </c>
      <c r="C1682" s="25" t="s">
        <v>5</v>
      </c>
      <c r="G1682" s="25" t="s">
        <v>1077</v>
      </c>
      <c r="H1682" s="24" t="s">
        <v>1061</v>
      </c>
      <c r="I1682" s="3" t="str">
        <f>IFERROR(VLOOKUP(C1682,'Справочник соответствий'!A$2:D$2981,2,FALSE),IF(VALUE(C1682)=0,1,VLOOKUP(C1682,'Справочник соответствий'!A$2:D$2981,2,FALSE)))</f>
        <v>1</v>
      </c>
      <c r="J1682" s="3">
        <f>IFERROR(VLOOKUP(D1682,'Справочник соответствий'!A$2:D$2981,2,FALSE),IF(VALUE(D1682)=0,0,VLOOKUP(D1682,'Справочник соответствий'!A$2:D$2981,2,FALSE)))</f>
        <v>0</v>
      </c>
      <c r="K1682" s="3">
        <f t="shared" si="182"/>
        <v>1</v>
      </c>
      <c r="L1682" s="13" t="str">
        <f>IFERROR(VLOOKUP(C1682,'Справочник соответствий'!A$2:D$2981,3,FALSE),IF(VALUE(C1682)=0,"ЭТАЖ НЕ ОПРЕДЕЛЕН. ПРИНЯТ ПО ДОПУЩЕНИЮ 1",VLOOKUP(C1682,'Справочник соответствий'!A$2:D$2981,3,FALSE)))</f>
        <v>ЭТАЖ ЗАДАН ЧИСЛОМ</v>
      </c>
      <c r="M1682" s="13" t="b">
        <f t="shared" si="183"/>
        <v>0</v>
      </c>
      <c r="N1682" s="13">
        <f t="shared" si="184"/>
        <v>1</v>
      </c>
      <c r="O1682" s="13" t="str">
        <f t="shared" si="185"/>
        <v>ЭТАЖ ЗАДАН ЧИСЛОМ</v>
      </c>
      <c r="P1682" s="13" t="str">
        <f t="shared" si="186"/>
        <v>МКД_ЭТАЖ ЗАДАН ЧИСЛОМ</v>
      </c>
      <c r="Q1682" s="13" t="str">
        <f t="shared" si="187"/>
        <v>ГОТОВ_ИЗМЕНЕН</v>
      </c>
      <c r="R1682" s="13">
        <f>IFERROR(VLOOKUP(P1682,Лист1!A$1:B$20,2,FALSE),0)</f>
        <v>786</v>
      </c>
      <c r="S1682" s="13">
        <f t="shared" si="188"/>
        <v>0</v>
      </c>
    </row>
    <row r="1683" spans="1:19" x14ac:dyDescent="0.25">
      <c r="A1683" s="24" t="s">
        <v>2810</v>
      </c>
      <c r="B1683" s="4" t="s">
        <v>1059</v>
      </c>
      <c r="C1683" s="25" t="s">
        <v>5</v>
      </c>
      <c r="G1683" s="25" t="s">
        <v>1080</v>
      </c>
      <c r="H1683" s="24" t="s">
        <v>1061</v>
      </c>
      <c r="I1683" s="3" t="str">
        <f>IFERROR(VLOOKUP(C1683,'Справочник соответствий'!A$2:D$2981,2,FALSE),IF(VALUE(C1683)=0,1,VLOOKUP(C1683,'Справочник соответствий'!A$2:D$2981,2,FALSE)))</f>
        <v>1</v>
      </c>
      <c r="J1683" s="3">
        <f>IFERROR(VLOOKUP(D1683,'Справочник соответствий'!A$2:D$2981,2,FALSE),IF(VALUE(D1683)=0,0,VLOOKUP(D1683,'Справочник соответствий'!A$2:D$2981,2,FALSE)))</f>
        <v>0</v>
      </c>
      <c r="K1683" s="3" t="str">
        <f t="shared" si="182"/>
        <v>1</v>
      </c>
      <c r="L1683" s="13" t="str">
        <f>IFERROR(VLOOKUP(C1683,'Справочник соответствий'!A$2:D$2981,3,FALSE),IF(VALUE(C1683)=0,"ЭТАЖ НЕ ОПРЕДЕЛЕН. ПРИНЯТ ПО ДОПУЩЕНИЮ 1",VLOOKUP(C1683,'Справочник соответствий'!A$2:D$2981,3,FALSE)))</f>
        <v>ЭТАЖ ЗАДАН ЧИСЛОМ</v>
      </c>
      <c r="M1683" s="13" t="b">
        <f t="shared" si="183"/>
        <v>0</v>
      </c>
      <c r="N1683" s="13">
        <f t="shared" si="184"/>
        <v>1</v>
      </c>
      <c r="O1683" s="13" t="str">
        <f t="shared" si="185"/>
        <v>ЭТАЖ ЗАДАН ЧИСЛОМ</v>
      </c>
      <c r="P1683" s="13" t="str">
        <f t="shared" si="186"/>
        <v>ЭТАЖ ЗАДАН ЧИСЛОМ</v>
      </c>
      <c r="Q1683" s="13" t="str">
        <f t="shared" si="187"/>
        <v>ГОТОВ_ИЗМЕНЕН</v>
      </c>
      <c r="R1683" s="13">
        <f>IFERROR(VLOOKUP(P1683,Лист1!A$1:B$20,2,FALSE),0)</f>
        <v>784</v>
      </c>
      <c r="S1683" s="13">
        <f t="shared" si="188"/>
        <v>0</v>
      </c>
    </row>
    <row r="1684" spans="1:19" x14ac:dyDescent="0.25">
      <c r="A1684" s="24" t="s">
        <v>2811</v>
      </c>
      <c r="B1684" s="4" t="s">
        <v>1059</v>
      </c>
      <c r="C1684" s="25" t="s">
        <v>5</v>
      </c>
      <c r="G1684" s="25" t="s">
        <v>1080</v>
      </c>
      <c r="H1684" s="24" t="s">
        <v>1061</v>
      </c>
      <c r="I1684" s="3" t="str">
        <f>IFERROR(VLOOKUP(C1684,'Справочник соответствий'!A$2:D$2981,2,FALSE),IF(VALUE(C1684)=0,1,VLOOKUP(C1684,'Справочник соответствий'!A$2:D$2981,2,FALSE)))</f>
        <v>1</v>
      </c>
      <c r="J1684" s="3">
        <f>IFERROR(VLOOKUP(D1684,'Справочник соответствий'!A$2:D$2981,2,FALSE),IF(VALUE(D1684)=0,0,VLOOKUP(D1684,'Справочник соответствий'!A$2:D$2981,2,FALSE)))</f>
        <v>0</v>
      </c>
      <c r="K1684" s="3" t="str">
        <f t="shared" si="182"/>
        <v>1</v>
      </c>
      <c r="L1684" s="13" t="str">
        <f>IFERROR(VLOOKUP(C1684,'Справочник соответствий'!A$2:D$2981,3,FALSE),IF(VALUE(C1684)=0,"ЭТАЖ НЕ ОПРЕДЕЛЕН. ПРИНЯТ ПО ДОПУЩЕНИЮ 1",VLOOKUP(C1684,'Справочник соответствий'!A$2:D$2981,3,FALSE)))</f>
        <v>ЭТАЖ ЗАДАН ЧИСЛОМ</v>
      </c>
      <c r="M1684" s="13" t="b">
        <f t="shared" si="183"/>
        <v>0</v>
      </c>
      <c r="N1684" s="13">
        <f t="shared" si="184"/>
        <v>1</v>
      </c>
      <c r="O1684" s="13" t="str">
        <f t="shared" si="185"/>
        <v>ЭТАЖ ЗАДАН ЧИСЛОМ</v>
      </c>
      <c r="P1684" s="13" t="str">
        <f t="shared" si="186"/>
        <v>ЭТАЖ ЗАДАН ЧИСЛОМ</v>
      </c>
      <c r="Q1684" s="13" t="str">
        <f t="shared" si="187"/>
        <v>ГОТОВ_ИЗМЕНЕН</v>
      </c>
      <c r="R1684" s="13">
        <f>IFERROR(VLOOKUP(P1684,Лист1!A$1:B$20,2,FALSE),0)</f>
        <v>784</v>
      </c>
      <c r="S1684" s="13">
        <f t="shared" si="188"/>
        <v>0</v>
      </c>
    </row>
    <row r="1685" spans="1:19" x14ac:dyDescent="0.25">
      <c r="A1685" s="24" t="s">
        <v>2812</v>
      </c>
      <c r="B1685" s="4" t="s">
        <v>1063</v>
      </c>
      <c r="C1685" s="25" t="s">
        <v>5</v>
      </c>
      <c r="G1685" s="25" t="s">
        <v>1080</v>
      </c>
      <c r="H1685" s="24" t="s">
        <v>1061</v>
      </c>
      <c r="I1685" s="3" t="str">
        <f>IFERROR(VLOOKUP(C1685,'Справочник соответствий'!A$2:D$2981,2,FALSE),IF(VALUE(C1685)=0,1,VLOOKUP(C1685,'Справочник соответствий'!A$2:D$2981,2,FALSE)))</f>
        <v>1</v>
      </c>
      <c r="J1685" s="3">
        <f>IFERROR(VLOOKUP(D1685,'Справочник соответствий'!A$2:D$2981,2,FALSE),IF(VALUE(D1685)=0,0,VLOOKUP(D1685,'Справочник соответствий'!A$2:D$2981,2,FALSE)))</f>
        <v>0</v>
      </c>
      <c r="K1685" s="3" t="str">
        <f t="shared" si="182"/>
        <v>1</v>
      </c>
      <c r="L1685" s="13" t="str">
        <f>IFERROR(VLOOKUP(C1685,'Справочник соответствий'!A$2:D$2981,3,FALSE),IF(VALUE(C1685)=0,"ЭТАЖ НЕ ОПРЕДЕЛЕН. ПРИНЯТ ПО ДОПУЩЕНИЮ 1",VLOOKUP(C1685,'Справочник соответствий'!A$2:D$2981,3,FALSE)))</f>
        <v>ЭТАЖ ЗАДАН ЧИСЛОМ</v>
      </c>
      <c r="M1685" s="13" t="b">
        <f t="shared" si="183"/>
        <v>0</v>
      </c>
      <c r="N1685" s="13">
        <f t="shared" si="184"/>
        <v>1</v>
      </c>
      <c r="O1685" s="13" t="str">
        <f t="shared" si="185"/>
        <v>ЭТАЖ ЗАДАН ЧИСЛОМ</v>
      </c>
      <c r="P1685" s="13" t="str">
        <f t="shared" si="186"/>
        <v>ЭТАЖ ЗАДАН ЧИСЛОМ</v>
      </c>
      <c r="Q1685" s="13" t="str">
        <f t="shared" si="187"/>
        <v>ГОТОВ_ИЗМЕНЕН</v>
      </c>
      <c r="R1685" s="13">
        <f>IFERROR(VLOOKUP(P1685,Лист1!A$1:B$20,2,FALSE),0)</f>
        <v>784</v>
      </c>
      <c r="S1685" s="13">
        <f t="shared" si="188"/>
        <v>0</v>
      </c>
    </row>
    <row r="1686" spans="1:19" x14ac:dyDescent="0.25">
      <c r="A1686" s="24" t="s">
        <v>2813</v>
      </c>
      <c r="B1686" s="4" t="s">
        <v>1063</v>
      </c>
      <c r="C1686" s="25" t="s">
        <v>5</v>
      </c>
      <c r="G1686" s="25" t="s">
        <v>1080</v>
      </c>
      <c r="H1686" s="24" t="s">
        <v>1061</v>
      </c>
      <c r="I1686" s="3" t="str">
        <f>IFERROR(VLOOKUP(C1686,'Справочник соответствий'!A$2:D$2981,2,FALSE),IF(VALUE(C1686)=0,1,VLOOKUP(C1686,'Справочник соответствий'!A$2:D$2981,2,FALSE)))</f>
        <v>1</v>
      </c>
      <c r="J1686" s="3">
        <f>IFERROR(VLOOKUP(D1686,'Справочник соответствий'!A$2:D$2981,2,FALSE),IF(VALUE(D1686)=0,0,VLOOKUP(D1686,'Справочник соответствий'!A$2:D$2981,2,FALSE)))</f>
        <v>0</v>
      </c>
      <c r="K1686" s="3" t="str">
        <f t="shared" si="182"/>
        <v>1</v>
      </c>
      <c r="L1686" s="13" t="str">
        <f>IFERROR(VLOOKUP(C1686,'Справочник соответствий'!A$2:D$2981,3,FALSE),IF(VALUE(C1686)=0,"ЭТАЖ НЕ ОПРЕДЕЛЕН. ПРИНЯТ ПО ДОПУЩЕНИЮ 1",VLOOKUP(C1686,'Справочник соответствий'!A$2:D$2981,3,FALSE)))</f>
        <v>ЭТАЖ ЗАДАН ЧИСЛОМ</v>
      </c>
      <c r="M1686" s="13" t="b">
        <f t="shared" si="183"/>
        <v>0</v>
      </c>
      <c r="N1686" s="13">
        <f t="shared" si="184"/>
        <v>1</v>
      </c>
      <c r="O1686" s="13" t="str">
        <f t="shared" si="185"/>
        <v>ЭТАЖ ЗАДАН ЧИСЛОМ</v>
      </c>
      <c r="P1686" s="13" t="str">
        <f t="shared" si="186"/>
        <v>ЭТАЖ ЗАДАН ЧИСЛОМ</v>
      </c>
      <c r="Q1686" s="13" t="str">
        <f t="shared" si="187"/>
        <v>ГОТОВ_ИЗМЕНЕН</v>
      </c>
      <c r="R1686" s="13">
        <f>IFERROR(VLOOKUP(P1686,Лист1!A$1:B$20,2,FALSE),0)</f>
        <v>784</v>
      </c>
      <c r="S1686" s="13">
        <f t="shared" si="188"/>
        <v>0</v>
      </c>
    </row>
    <row r="1687" spans="1:19" x14ac:dyDescent="0.25">
      <c r="A1687" s="24" t="s">
        <v>2814</v>
      </c>
      <c r="B1687" s="4" t="s">
        <v>1059</v>
      </c>
      <c r="C1687" s="25" t="s">
        <v>5</v>
      </c>
      <c r="G1687" s="25" t="s">
        <v>1077</v>
      </c>
      <c r="H1687" s="24" t="s">
        <v>1061</v>
      </c>
      <c r="I1687" s="3" t="str">
        <f>IFERROR(VLOOKUP(C1687,'Справочник соответствий'!A$2:D$2981,2,FALSE),IF(VALUE(C1687)=0,1,VLOOKUP(C1687,'Справочник соответствий'!A$2:D$2981,2,FALSE)))</f>
        <v>1</v>
      </c>
      <c r="J1687" s="3">
        <f>IFERROR(VLOOKUP(D1687,'Справочник соответствий'!A$2:D$2981,2,FALSE),IF(VALUE(D1687)=0,0,VLOOKUP(D1687,'Справочник соответствий'!A$2:D$2981,2,FALSE)))</f>
        <v>0</v>
      </c>
      <c r="K1687" s="3" t="str">
        <f t="shared" si="182"/>
        <v>1</v>
      </c>
      <c r="L1687" s="13" t="str">
        <f>IFERROR(VLOOKUP(C1687,'Справочник соответствий'!A$2:D$2981,3,FALSE),IF(VALUE(C1687)=0,"ЭТАЖ НЕ ОПРЕДЕЛЕН. ПРИНЯТ ПО ДОПУЩЕНИЮ 1",VLOOKUP(C1687,'Справочник соответствий'!A$2:D$2981,3,FALSE)))</f>
        <v>ЭТАЖ ЗАДАН ЧИСЛОМ</v>
      </c>
      <c r="M1687" s="13" t="b">
        <f t="shared" si="183"/>
        <v>0</v>
      </c>
      <c r="N1687" s="13">
        <f t="shared" si="184"/>
        <v>1</v>
      </c>
      <c r="O1687" s="13" t="str">
        <f t="shared" si="185"/>
        <v>ЭТАЖ ЗАДАН ЧИСЛОМ</v>
      </c>
      <c r="P1687" s="13" t="str">
        <f t="shared" si="186"/>
        <v>ЭТАЖ ЗАДАН ЧИСЛОМ</v>
      </c>
      <c r="Q1687" s="13" t="str">
        <f t="shared" si="187"/>
        <v>ГОТОВ_ИЗМЕНЕН</v>
      </c>
      <c r="R1687" s="13">
        <f>IFERROR(VLOOKUP(P1687,Лист1!A$1:B$20,2,FALSE),0)</f>
        <v>784</v>
      </c>
      <c r="S1687" s="13">
        <f t="shared" si="188"/>
        <v>0</v>
      </c>
    </row>
    <row r="1688" spans="1:19" x14ac:dyDescent="0.25">
      <c r="A1688" s="24" t="s">
        <v>2815</v>
      </c>
      <c r="B1688" s="4" t="s">
        <v>1059</v>
      </c>
      <c r="C1688" s="25" t="s">
        <v>7</v>
      </c>
      <c r="G1688" s="25" t="s">
        <v>1174</v>
      </c>
      <c r="H1688" s="24" t="s">
        <v>1061</v>
      </c>
      <c r="I1688" s="3" t="str">
        <f>IFERROR(VLOOKUP(C1688,'Справочник соответствий'!A$2:D$2981,2,FALSE),IF(VALUE(C1688)=0,1,VLOOKUP(C1688,'Справочник соответствий'!A$2:D$2981,2,FALSE)))</f>
        <v>2</v>
      </c>
      <c r="J1688" s="3">
        <f>IFERROR(VLOOKUP(D1688,'Справочник соответствий'!A$2:D$2981,2,FALSE),IF(VALUE(D1688)=0,0,VLOOKUP(D1688,'Справочник соответствий'!A$2:D$2981,2,FALSE)))</f>
        <v>0</v>
      </c>
      <c r="K1688" s="3" t="str">
        <f t="shared" si="182"/>
        <v>2</v>
      </c>
      <c r="L1688" s="13" t="str">
        <f>IFERROR(VLOOKUP(C1688,'Справочник соответствий'!A$2:D$2981,3,FALSE),IF(VALUE(C1688)=0,"ЭТАЖ НЕ ОПРЕДЕЛЕН. ПРИНЯТ ПО ДОПУЩЕНИЮ 1",VLOOKUP(C1688,'Справочник соответствий'!A$2:D$2981,3,FALSE)))</f>
        <v>ЭТАЖ ЗАДАН ЧИСЛОМ</v>
      </c>
      <c r="M1688" s="13" t="b">
        <f t="shared" si="183"/>
        <v>0</v>
      </c>
      <c r="N1688" s="13">
        <f t="shared" si="184"/>
        <v>2</v>
      </c>
      <c r="O1688" s="13" t="str">
        <f t="shared" si="185"/>
        <v>ЭТАЖ ЗАДАН ЧИСЛОМ</v>
      </c>
      <c r="P1688" s="13" t="str">
        <f t="shared" si="186"/>
        <v>ЭТАЖ ЗАДАН ЧИСЛОМ</v>
      </c>
      <c r="Q1688" s="13" t="str">
        <f t="shared" si="187"/>
        <v>ГОТОВ_ИЗМЕНЕН</v>
      </c>
      <c r="R1688" s="13">
        <f>IFERROR(VLOOKUP(P1688,Лист1!A$1:B$20,2,FALSE),0)</f>
        <v>784</v>
      </c>
      <c r="S1688" s="13">
        <f t="shared" si="188"/>
        <v>0</v>
      </c>
    </row>
    <row r="1689" spans="1:19" x14ac:dyDescent="0.25">
      <c r="A1689" s="24" t="s">
        <v>2816</v>
      </c>
      <c r="B1689" s="4" t="s">
        <v>1059</v>
      </c>
      <c r="C1689" s="25" t="s">
        <v>5</v>
      </c>
      <c r="G1689" s="25" t="s">
        <v>1077</v>
      </c>
      <c r="H1689" s="24" t="s">
        <v>1061</v>
      </c>
      <c r="I1689" s="3" t="str">
        <f>IFERROR(VLOOKUP(C1689,'Справочник соответствий'!A$2:D$2981,2,FALSE),IF(VALUE(C1689)=0,1,VLOOKUP(C1689,'Справочник соответствий'!A$2:D$2981,2,FALSE)))</f>
        <v>1</v>
      </c>
      <c r="J1689" s="3">
        <f>IFERROR(VLOOKUP(D1689,'Справочник соответствий'!A$2:D$2981,2,FALSE),IF(VALUE(D1689)=0,0,VLOOKUP(D1689,'Справочник соответствий'!A$2:D$2981,2,FALSE)))</f>
        <v>0</v>
      </c>
      <c r="K1689" s="3" t="str">
        <f t="shared" si="182"/>
        <v>1</v>
      </c>
      <c r="L1689" s="13" t="str">
        <f>IFERROR(VLOOKUP(C1689,'Справочник соответствий'!A$2:D$2981,3,FALSE),IF(VALUE(C1689)=0,"ЭТАЖ НЕ ОПРЕДЕЛЕН. ПРИНЯТ ПО ДОПУЩЕНИЮ 1",VLOOKUP(C1689,'Справочник соответствий'!A$2:D$2981,3,FALSE)))</f>
        <v>ЭТАЖ ЗАДАН ЧИСЛОМ</v>
      </c>
      <c r="M1689" s="13" t="b">
        <f t="shared" si="183"/>
        <v>0</v>
      </c>
      <c r="N1689" s="13">
        <f t="shared" si="184"/>
        <v>1</v>
      </c>
      <c r="O1689" s="13" t="str">
        <f t="shared" si="185"/>
        <v>ЭТАЖ ЗАДАН ЧИСЛОМ</v>
      </c>
      <c r="P1689" s="13" t="str">
        <f t="shared" si="186"/>
        <v>ЭТАЖ ЗАДАН ЧИСЛОМ</v>
      </c>
      <c r="Q1689" s="13" t="str">
        <f t="shared" si="187"/>
        <v>ГОТОВ_ИЗМЕНЕН</v>
      </c>
      <c r="R1689" s="13">
        <f>IFERROR(VLOOKUP(P1689,Лист1!A$1:B$20,2,FALSE),0)</f>
        <v>784</v>
      </c>
      <c r="S1689" s="13">
        <f t="shared" si="188"/>
        <v>0</v>
      </c>
    </row>
    <row r="1690" spans="1:19" x14ac:dyDescent="0.25">
      <c r="A1690" s="24" t="s">
        <v>2817</v>
      </c>
      <c r="B1690" s="4" t="s">
        <v>1059</v>
      </c>
      <c r="C1690" s="25" t="s">
        <v>7</v>
      </c>
      <c r="G1690" s="25" t="s">
        <v>1077</v>
      </c>
      <c r="H1690" s="24" t="s">
        <v>1061</v>
      </c>
      <c r="I1690" s="3" t="str">
        <f>IFERROR(VLOOKUP(C1690,'Справочник соответствий'!A$2:D$2981,2,FALSE),IF(VALUE(C1690)=0,1,VLOOKUP(C1690,'Справочник соответствий'!A$2:D$2981,2,FALSE)))</f>
        <v>2</v>
      </c>
      <c r="J1690" s="3">
        <f>IFERROR(VLOOKUP(D1690,'Справочник соответствий'!A$2:D$2981,2,FALSE),IF(VALUE(D1690)=0,0,VLOOKUP(D1690,'Справочник соответствий'!A$2:D$2981,2,FALSE)))</f>
        <v>0</v>
      </c>
      <c r="K1690" s="3" t="str">
        <f t="shared" si="182"/>
        <v>2</v>
      </c>
      <c r="L1690" s="13" t="str">
        <f>IFERROR(VLOOKUP(C1690,'Справочник соответствий'!A$2:D$2981,3,FALSE),IF(VALUE(C1690)=0,"ЭТАЖ НЕ ОПРЕДЕЛЕН. ПРИНЯТ ПО ДОПУЩЕНИЮ 1",VLOOKUP(C1690,'Справочник соответствий'!A$2:D$2981,3,FALSE)))</f>
        <v>ЭТАЖ ЗАДАН ЧИСЛОМ</v>
      </c>
      <c r="M1690" s="13" t="b">
        <f t="shared" si="183"/>
        <v>0</v>
      </c>
      <c r="N1690" s="13">
        <f t="shared" si="184"/>
        <v>2</v>
      </c>
      <c r="O1690" s="13" t="str">
        <f t="shared" si="185"/>
        <v>ЭТАЖ ЗАДАН ЧИСЛОМ</v>
      </c>
      <c r="P1690" s="13" t="str">
        <f t="shared" si="186"/>
        <v>ЭТАЖ ЗАДАН ЧИСЛОМ</v>
      </c>
      <c r="Q1690" s="13" t="str">
        <f t="shared" si="187"/>
        <v>ГОТОВ_ИЗМЕНЕН</v>
      </c>
      <c r="R1690" s="13">
        <f>IFERROR(VLOOKUP(P1690,Лист1!A$1:B$20,2,FALSE),0)</f>
        <v>784</v>
      </c>
      <c r="S1690" s="13">
        <f t="shared" si="188"/>
        <v>0</v>
      </c>
    </row>
    <row r="1691" spans="1:19" x14ac:dyDescent="0.25">
      <c r="A1691" s="24" t="s">
        <v>2818</v>
      </c>
      <c r="B1691" s="4" t="s">
        <v>1063</v>
      </c>
      <c r="C1691" s="25" t="s">
        <v>5</v>
      </c>
      <c r="G1691" s="25" t="s">
        <v>1077</v>
      </c>
      <c r="H1691" s="24" t="s">
        <v>1061</v>
      </c>
      <c r="I1691" s="3" t="str">
        <f>IFERROR(VLOOKUP(C1691,'Справочник соответствий'!A$2:D$2981,2,FALSE),IF(VALUE(C1691)=0,1,VLOOKUP(C1691,'Справочник соответствий'!A$2:D$2981,2,FALSE)))</f>
        <v>1</v>
      </c>
      <c r="J1691" s="3">
        <f>IFERROR(VLOOKUP(D1691,'Справочник соответствий'!A$2:D$2981,2,FALSE),IF(VALUE(D1691)=0,0,VLOOKUP(D1691,'Справочник соответствий'!A$2:D$2981,2,FALSE)))</f>
        <v>0</v>
      </c>
      <c r="K1691" s="3" t="str">
        <f t="shared" si="182"/>
        <v>1</v>
      </c>
      <c r="L1691" s="13" t="str">
        <f>IFERROR(VLOOKUP(C1691,'Справочник соответствий'!A$2:D$2981,3,FALSE),IF(VALUE(C1691)=0,"ЭТАЖ НЕ ОПРЕДЕЛЕН. ПРИНЯТ ПО ДОПУЩЕНИЮ 1",VLOOKUP(C1691,'Справочник соответствий'!A$2:D$2981,3,FALSE)))</f>
        <v>ЭТАЖ ЗАДАН ЧИСЛОМ</v>
      </c>
      <c r="M1691" s="13" t="b">
        <f t="shared" si="183"/>
        <v>0</v>
      </c>
      <c r="N1691" s="13">
        <f t="shared" si="184"/>
        <v>1</v>
      </c>
      <c r="O1691" s="13" t="str">
        <f t="shared" si="185"/>
        <v>ЭТАЖ ЗАДАН ЧИСЛОМ</v>
      </c>
      <c r="P1691" s="13" t="str">
        <f t="shared" si="186"/>
        <v>ЭТАЖ ЗАДАН ЧИСЛОМ</v>
      </c>
      <c r="Q1691" s="13" t="str">
        <f t="shared" si="187"/>
        <v>ГОТОВ_ИЗМЕНЕН</v>
      </c>
      <c r="R1691" s="13">
        <f>IFERROR(VLOOKUP(P1691,Лист1!A$1:B$20,2,FALSE),0)</f>
        <v>784</v>
      </c>
      <c r="S1691" s="13">
        <f t="shared" si="188"/>
        <v>0</v>
      </c>
    </row>
    <row r="1692" spans="1:19" x14ac:dyDescent="0.25">
      <c r="A1692" s="24" t="s">
        <v>2819</v>
      </c>
      <c r="B1692" s="4" t="s">
        <v>1059</v>
      </c>
      <c r="C1692" s="25" t="s">
        <v>7</v>
      </c>
      <c r="G1692" s="25" t="s">
        <v>1080</v>
      </c>
      <c r="H1692" s="24" t="s">
        <v>1061</v>
      </c>
      <c r="I1692" s="3" t="str">
        <f>IFERROR(VLOOKUP(C1692,'Справочник соответствий'!A$2:D$2981,2,FALSE),IF(VALUE(C1692)=0,1,VLOOKUP(C1692,'Справочник соответствий'!A$2:D$2981,2,FALSE)))</f>
        <v>2</v>
      </c>
      <c r="J1692" s="3">
        <f>IFERROR(VLOOKUP(D1692,'Справочник соответствий'!A$2:D$2981,2,FALSE),IF(VALUE(D1692)=0,0,VLOOKUP(D1692,'Справочник соответствий'!A$2:D$2981,2,FALSE)))</f>
        <v>0</v>
      </c>
      <c r="K1692" s="3" t="str">
        <f t="shared" si="182"/>
        <v>2</v>
      </c>
      <c r="L1692" s="13" t="str">
        <f>IFERROR(VLOOKUP(C1692,'Справочник соответствий'!A$2:D$2981,3,FALSE),IF(VALUE(C1692)=0,"ЭТАЖ НЕ ОПРЕДЕЛЕН. ПРИНЯТ ПО ДОПУЩЕНИЮ 1",VLOOKUP(C1692,'Справочник соответствий'!A$2:D$2981,3,FALSE)))</f>
        <v>ЭТАЖ ЗАДАН ЧИСЛОМ</v>
      </c>
      <c r="M1692" s="13" t="b">
        <f t="shared" si="183"/>
        <v>0</v>
      </c>
      <c r="N1692" s="13">
        <f t="shared" si="184"/>
        <v>2</v>
      </c>
      <c r="O1692" s="13" t="str">
        <f t="shared" si="185"/>
        <v>ЭТАЖ ЗАДАН ЧИСЛОМ</v>
      </c>
      <c r="P1692" s="13" t="str">
        <f t="shared" si="186"/>
        <v>ЭТАЖ ЗАДАН ЧИСЛОМ</v>
      </c>
      <c r="Q1692" s="13" t="str">
        <f t="shared" si="187"/>
        <v>ГОТОВ_ИЗМЕНЕН</v>
      </c>
      <c r="R1692" s="13">
        <f>IFERROR(VLOOKUP(P1692,Лист1!A$1:B$20,2,FALSE),0)</f>
        <v>784</v>
      </c>
      <c r="S1692" s="13">
        <f t="shared" si="188"/>
        <v>0</v>
      </c>
    </row>
    <row r="1693" spans="1:19" x14ac:dyDescent="0.25">
      <c r="A1693" s="24" t="s">
        <v>2820</v>
      </c>
      <c r="B1693" s="4" t="s">
        <v>1059</v>
      </c>
      <c r="C1693" s="25" t="s">
        <v>5</v>
      </c>
      <c r="G1693" s="25" t="s">
        <v>1080</v>
      </c>
      <c r="H1693" s="24" t="s">
        <v>1061</v>
      </c>
      <c r="I1693" s="3" t="str">
        <f>IFERROR(VLOOKUP(C1693,'Справочник соответствий'!A$2:D$2981,2,FALSE),IF(VALUE(C1693)=0,1,VLOOKUP(C1693,'Справочник соответствий'!A$2:D$2981,2,FALSE)))</f>
        <v>1</v>
      </c>
      <c r="J1693" s="3">
        <f>IFERROR(VLOOKUP(D1693,'Справочник соответствий'!A$2:D$2981,2,FALSE),IF(VALUE(D1693)=0,0,VLOOKUP(D1693,'Справочник соответствий'!A$2:D$2981,2,FALSE)))</f>
        <v>0</v>
      </c>
      <c r="K1693" s="3" t="str">
        <f t="shared" si="182"/>
        <v>1</v>
      </c>
      <c r="L1693" s="13" t="str">
        <f>IFERROR(VLOOKUP(C1693,'Справочник соответствий'!A$2:D$2981,3,FALSE),IF(VALUE(C1693)=0,"ЭТАЖ НЕ ОПРЕДЕЛЕН. ПРИНЯТ ПО ДОПУЩЕНИЮ 1",VLOOKUP(C1693,'Справочник соответствий'!A$2:D$2981,3,FALSE)))</f>
        <v>ЭТАЖ ЗАДАН ЧИСЛОМ</v>
      </c>
      <c r="M1693" s="13" t="b">
        <f t="shared" si="183"/>
        <v>0</v>
      </c>
      <c r="N1693" s="13">
        <f t="shared" si="184"/>
        <v>1</v>
      </c>
      <c r="O1693" s="13" t="str">
        <f t="shared" si="185"/>
        <v>ЭТАЖ ЗАДАН ЧИСЛОМ</v>
      </c>
      <c r="P1693" s="13" t="str">
        <f t="shared" si="186"/>
        <v>ЭТАЖ ЗАДАН ЧИСЛОМ</v>
      </c>
      <c r="Q1693" s="13" t="str">
        <f t="shared" si="187"/>
        <v>ГОТОВ_ИЗМЕНЕН</v>
      </c>
      <c r="R1693" s="13">
        <f>IFERROR(VLOOKUP(P1693,Лист1!A$1:B$20,2,FALSE),0)</f>
        <v>784</v>
      </c>
      <c r="S1693" s="13">
        <f t="shared" si="188"/>
        <v>0</v>
      </c>
    </row>
    <row r="1694" spans="1:19" x14ac:dyDescent="0.25">
      <c r="A1694" s="24" t="s">
        <v>2821</v>
      </c>
      <c r="B1694" s="4" t="s">
        <v>1059</v>
      </c>
      <c r="C1694" s="25" t="s">
        <v>5</v>
      </c>
      <c r="G1694" s="25" t="s">
        <v>1080</v>
      </c>
      <c r="H1694" s="24" t="s">
        <v>1061</v>
      </c>
      <c r="I1694" s="3" t="str">
        <f>IFERROR(VLOOKUP(C1694,'Справочник соответствий'!A$2:D$2981,2,FALSE),IF(VALUE(C1694)=0,1,VLOOKUP(C1694,'Справочник соответствий'!A$2:D$2981,2,FALSE)))</f>
        <v>1</v>
      </c>
      <c r="J1694" s="3">
        <f>IFERROR(VLOOKUP(D1694,'Справочник соответствий'!A$2:D$2981,2,FALSE),IF(VALUE(D1694)=0,0,VLOOKUP(D1694,'Справочник соответствий'!A$2:D$2981,2,FALSE)))</f>
        <v>0</v>
      </c>
      <c r="K1694" s="3" t="str">
        <f t="shared" si="182"/>
        <v>1</v>
      </c>
      <c r="L1694" s="13" t="str">
        <f>IFERROR(VLOOKUP(C1694,'Справочник соответствий'!A$2:D$2981,3,FALSE),IF(VALUE(C1694)=0,"ЭТАЖ НЕ ОПРЕДЕЛЕН. ПРИНЯТ ПО ДОПУЩЕНИЮ 1",VLOOKUP(C1694,'Справочник соответствий'!A$2:D$2981,3,FALSE)))</f>
        <v>ЭТАЖ ЗАДАН ЧИСЛОМ</v>
      </c>
      <c r="M1694" s="13" t="b">
        <f t="shared" si="183"/>
        <v>0</v>
      </c>
      <c r="N1694" s="13">
        <f t="shared" si="184"/>
        <v>1</v>
      </c>
      <c r="O1694" s="13" t="str">
        <f t="shared" si="185"/>
        <v>ЭТАЖ ЗАДАН ЧИСЛОМ</v>
      </c>
      <c r="P1694" s="13" t="str">
        <f t="shared" si="186"/>
        <v>ЭТАЖ ЗАДАН ЧИСЛОМ</v>
      </c>
      <c r="Q1694" s="13" t="str">
        <f t="shared" si="187"/>
        <v>ГОТОВ_ИЗМЕНЕН</v>
      </c>
      <c r="R1694" s="13">
        <f>IFERROR(VLOOKUP(P1694,Лист1!A$1:B$20,2,FALSE),0)</f>
        <v>784</v>
      </c>
      <c r="S1694" s="13">
        <f t="shared" si="188"/>
        <v>0</v>
      </c>
    </row>
    <row r="1695" spans="1:19" x14ac:dyDescent="0.25">
      <c r="A1695" s="24" t="s">
        <v>2822</v>
      </c>
      <c r="B1695" s="4" t="s">
        <v>1059</v>
      </c>
      <c r="C1695" s="25" t="s">
        <v>5</v>
      </c>
      <c r="G1695" s="25" t="s">
        <v>1077</v>
      </c>
      <c r="H1695" s="24" t="s">
        <v>1061</v>
      </c>
      <c r="I1695" s="3" t="str">
        <f>IFERROR(VLOOKUP(C1695,'Справочник соответствий'!A$2:D$2981,2,FALSE),IF(VALUE(C1695)=0,1,VLOOKUP(C1695,'Справочник соответствий'!A$2:D$2981,2,FALSE)))</f>
        <v>1</v>
      </c>
      <c r="J1695" s="3">
        <f>IFERROR(VLOOKUP(D1695,'Справочник соответствий'!A$2:D$2981,2,FALSE),IF(VALUE(D1695)=0,0,VLOOKUP(D1695,'Справочник соответствий'!A$2:D$2981,2,FALSE)))</f>
        <v>0</v>
      </c>
      <c r="K1695" s="3" t="str">
        <f t="shared" si="182"/>
        <v>1</v>
      </c>
      <c r="L1695" s="13" t="str">
        <f>IFERROR(VLOOKUP(C1695,'Справочник соответствий'!A$2:D$2981,3,FALSE),IF(VALUE(C1695)=0,"ЭТАЖ НЕ ОПРЕДЕЛЕН. ПРИНЯТ ПО ДОПУЩЕНИЮ 1",VLOOKUP(C1695,'Справочник соответствий'!A$2:D$2981,3,FALSE)))</f>
        <v>ЭТАЖ ЗАДАН ЧИСЛОМ</v>
      </c>
      <c r="M1695" s="13" t="b">
        <f t="shared" si="183"/>
        <v>0</v>
      </c>
      <c r="N1695" s="13">
        <f t="shared" si="184"/>
        <v>1</v>
      </c>
      <c r="O1695" s="13" t="str">
        <f t="shared" si="185"/>
        <v>ЭТАЖ ЗАДАН ЧИСЛОМ</v>
      </c>
      <c r="P1695" s="13" t="str">
        <f t="shared" si="186"/>
        <v>ЭТАЖ ЗАДАН ЧИСЛОМ</v>
      </c>
      <c r="Q1695" s="13" t="str">
        <f t="shared" si="187"/>
        <v>ГОТОВ_ИЗМЕНЕН</v>
      </c>
      <c r="R1695" s="13">
        <f>IFERROR(VLOOKUP(P1695,Лист1!A$1:B$20,2,FALSE),0)</f>
        <v>784</v>
      </c>
      <c r="S1695" s="13">
        <f t="shared" si="188"/>
        <v>0</v>
      </c>
    </row>
    <row r="1696" spans="1:19" x14ac:dyDescent="0.25">
      <c r="A1696" s="24" t="s">
        <v>2823</v>
      </c>
      <c r="B1696" s="4" t="s">
        <v>1063</v>
      </c>
      <c r="C1696" s="25" t="s">
        <v>5</v>
      </c>
      <c r="G1696" s="25" t="s">
        <v>1077</v>
      </c>
      <c r="H1696" s="24" t="s">
        <v>1061</v>
      </c>
      <c r="I1696" s="3" t="str">
        <f>IFERROR(VLOOKUP(C1696,'Справочник соответствий'!A$2:D$2981,2,FALSE),IF(VALUE(C1696)=0,1,VLOOKUP(C1696,'Справочник соответствий'!A$2:D$2981,2,FALSE)))</f>
        <v>1</v>
      </c>
      <c r="J1696" s="3">
        <f>IFERROR(VLOOKUP(D1696,'Справочник соответствий'!A$2:D$2981,2,FALSE),IF(VALUE(D1696)=0,0,VLOOKUP(D1696,'Справочник соответствий'!A$2:D$2981,2,FALSE)))</f>
        <v>0</v>
      </c>
      <c r="K1696" s="3" t="str">
        <f t="shared" si="182"/>
        <v>1</v>
      </c>
      <c r="L1696" s="13" t="str">
        <f>IFERROR(VLOOKUP(C1696,'Справочник соответствий'!A$2:D$2981,3,FALSE),IF(VALUE(C1696)=0,"ЭТАЖ НЕ ОПРЕДЕЛЕН. ПРИНЯТ ПО ДОПУЩЕНИЮ 1",VLOOKUP(C1696,'Справочник соответствий'!A$2:D$2981,3,FALSE)))</f>
        <v>ЭТАЖ ЗАДАН ЧИСЛОМ</v>
      </c>
      <c r="M1696" s="13" t="b">
        <f t="shared" si="183"/>
        <v>0</v>
      </c>
      <c r="N1696" s="13">
        <f t="shared" si="184"/>
        <v>1</v>
      </c>
      <c r="O1696" s="13" t="str">
        <f t="shared" si="185"/>
        <v>ЭТАЖ ЗАДАН ЧИСЛОМ</v>
      </c>
      <c r="P1696" s="13" t="str">
        <f t="shared" si="186"/>
        <v>ЭТАЖ ЗАДАН ЧИСЛОМ</v>
      </c>
      <c r="Q1696" s="13" t="str">
        <f t="shared" si="187"/>
        <v>ГОТОВ_ИЗМЕНЕН</v>
      </c>
      <c r="R1696" s="13">
        <f>IFERROR(VLOOKUP(P1696,Лист1!A$1:B$20,2,FALSE),0)</f>
        <v>784</v>
      </c>
      <c r="S1696" s="13">
        <f t="shared" si="188"/>
        <v>0</v>
      </c>
    </row>
    <row r="1697" spans="1:19" x14ac:dyDescent="0.25">
      <c r="A1697" s="24" t="s">
        <v>2824</v>
      </c>
      <c r="B1697" s="4" t="s">
        <v>1059</v>
      </c>
      <c r="C1697" s="25" t="s">
        <v>5</v>
      </c>
      <c r="G1697" s="25" t="s">
        <v>1077</v>
      </c>
      <c r="H1697" s="24" t="s">
        <v>1061</v>
      </c>
      <c r="I1697" s="3" t="str">
        <f>IFERROR(VLOOKUP(C1697,'Справочник соответствий'!A$2:D$2981,2,FALSE),IF(VALUE(C1697)=0,1,VLOOKUP(C1697,'Справочник соответствий'!A$2:D$2981,2,FALSE)))</f>
        <v>1</v>
      </c>
      <c r="J1697" s="3">
        <f>IFERROR(VLOOKUP(D1697,'Справочник соответствий'!A$2:D$2981,2,FALSE),IF(VALUE(D1697)=0,0,VLOOKUP(D1697,'Справочник соответствий'!A$2:D$2981,2,FALSE)))</f>
        <v>0</v>
      </c>
      <c r="K1697" s="3" t="str">
        <f t="shared" si="182"/>
        <v>1</v>
      </c>
      <c r="L1697" s="13" t="str">
        <f>IFERROR(VLOOKUP(C1697,'Справочник соответствий'!A$2:D$2981,3,FALSE),IF(VALUE(C1697)=0,"ЭТАЖ НЕ ОПРЕДЕЛЕН. ПРИНЯТ ПО ДОПУЩЕНИЮ 1",VLOOKUP(C1697,'Справочник соответствий'!A$2:D$2981,3,FALSE)))</f>
        <v>ЭТАЖ ЗАДАН ЧИСЛОМ</v>
      </c>
      <c r="M1697" s="13" t="b">
        <f t="shared" si="183"/>
        <v>0</v>
      </c>
      <c r="N1697" s="13">
        <f t="shared" si="184"/>
        <v>1</v>
      </c>
      <c r="O1697" s="13" t="str">
        <f t="shared" si="185"/>
        <v>ЭТАЖ ЗАДАН ЧИСЛОМ</v>
      </c>
      <c r="P1697" s="13" t="str">
        <f t="shared" si="186"/>
        <v>ЭТАЖ ЗАДАН ЧИСЛОМ</v>
      </c>
      <c r="Q1697" s="13" t="str">
        <f t="shared" si="187"/>
        <v>ГОТОВ_ИЗМЕНЕН</v>
      </c>
      <c r="R1697" s="13">
        <f>IFERROR(VLOOKUP(P1697,Лист1!A$1:B$20,2,FALSE),0)</f>
        <v>784</v>
      </c>
      <c r="S1697" s="13">
        <f t="shared" si="188"/>
        <v>0</v>
      </c>
    </row>
    <row r="1698" spans="1:19" x14ac:dyDescent="0.25">
      <c r="A1698" s="24" t="s">
        <v>2825</v>
      </c>
      <c r="B1698" s="4" t="s">
        <v>1059</v>
      </c>
      <c r="C1698" s="25" t="s">
        <v>5</v>
      </c>
      <c r="G1698" s="25" t="s">
        <v>1077</v>
      </c>
      <c r="H1698" s="24" t="s">
        <v>1061</v>
      </c>
      <c r="I1698" s="3" t="str">
        <f>IFERROR(VLOOKUP(C1698,'Справочник соответствий'!A$2:D$2981,2,FALSE),IF(VALUE(C1698)=0,1,VLOOKUP(C1698,'Справочник соответствий'!A$2:D$2981,2,FALSE)))</f>
        <v>1</v>
      </c>
      <c r="J1698" s="3">
        <f>IFERROR(VLOOKUP(D1698,'Справочник соответствий'!A$2:D$2981,2,FALSE),IF(VALUE(D1698)=0,0,VLOOKUP(D1698,'Справочник соответствий'!A$2:D$2981,2,FALSE)))</f>
        <v>0</v>
      </c>
      <c r="K1698" s="3" t="str">
        <f t="shared" si="182"/>
        <v>1</v>
      </c>
      <c r="L1698" s="13" t="str">
        <f>IFERROR(VLOOKUP(C1698,'Справочник соответствий'!A$2:D$2981,3,FALSE),IF(VALUE(C1698)=0,"ЭТАЖ НЕ ОПРЕДЕЛЕН. ПРИНЯТ ПО ДОПУЩЕНИЮ 1",VLOOKUP(C1698,'Справочник соответствий'!A$2:D$2981,3,FALSE)))</f>
        <v>ЭТАЖ ЗАДАН ЧИСЛОМ</v>
      </c>
      <c r="M1698" s="13" t="b">
        <f t="shared" si="183"/>
        <v>0</v>
      </c>
      <c r="N1698" s="13">
        <f t="shared" si="184"/>
        <v>1</v>
      </c>
      <c r="O1698" s="13" t="str">
        <f t="shared" si="185"/>
        <v>ЭТАЖ ЗАДАН ЧИСЛОМ</v>
      </c>
      <c r="P1698" s="13" t="str">
        <f t="shared" si="186"/>
        <v>ЭТАЖ ЗАДАН ЧИСЛОМ</v>
      </c>
      <c r="Q1698" s="13" t="str">
        <f t="shared" si="187"/>
        <v>ГОТОВ_ИЗМЕНЕН</v>
      </c>
      <c r="R1698" s="13">
        <f>IFERROR(VLOOKUP(P1698,Лист1!A$1:B$20,2,FALSE),0)</f>
        <v>784</v>
      </c>
      <c r="S1698" s="13">
        <f t="shared" si="188"/>
        <v>0</v>
      </c>
    </row>
    <row r="1699" spans="1:19" x14ac:dyDescent="0.25">
      <c r="A1699" s="24" t="s">
        <v>2826</v>
      </c>
      <c r="B1699" s="4" t="s">
        <v>1059</v>
      </c>
      <c r="C1699" s="25" t="s">
        <v>5</v>
      </c>
      <c r="G1699" s="25" t="s">
        <v>1077</v>
      </c>
      <c r="H1699" s="24" t="s">
        <v>1061</v>
      </c>
      <c r="I1699" s="3" t="str">
        <f>IFERROR(VLOOKUP(C1699,'Справочник соответствий'!A$2:D$2981,2,FALSE),IF(VALUE(C1699)=0,1,VLOOKUP(C1699,'Справочник соответствий'!A$2:D$2981,2,FALSE)))</f>
        <v>1</v>
      </c>
      <c r="J1699" s="3">
        <f>IFERROR(VLOOKUP(D1699,'Справочник соответствий'!A$2:D$2981,2,FALSE),IF(VALUE(D1699)=0,0,VLOOKUP(D1699,'Справочник соответствий'!A$2:D$2981,2,FALSE)))</f>
        <v>0</v>
      </c>
      <c r="K1699" s="3" t="str">
        <f t="shared" si="182"/>
        <v>1</v>
      </c>
      <c r="L1699" s="13" t="str">
        <f>IFERROR(VLOOKUP(C1699,'Справочник соответствий'!A$2:D$2981,3,FALSE),IF(VALUE(C1699)=0,"ЭТАЖ НЕ ОПРЕДЕЛЕН. ПРИНЯТ ПО ДОПУЩЕНИЮ 1",VLOOKUP(C1699,'Справочник соответствий'!A$2:D$2981,3,FALSE)))</f>
        <v>ЭТАЖ ЗАДАН ЧИСЛОМ</v>
      </c>
      <c r="M1699" s="13" t="b">
        <f t="shared" si="183"/>
        <v>0</v>
      </c>
      <c r="N1699" s="13">
        <f t="shared" si="184"/>
        <v>1</v>
      </c>
      <c r="O1699" s="13" t="str">
        <f t="shared" si="185"/>
        <v>ЭТАЖ ЗАДАН ЧИСЛОМ</v>
      </c>
      <c r="P1699" s="13" t="str">
        <f t="shared" si="186"/>
        <v>ЭТАЖ ЗАДАН ЧИСЛОМ</v>
      </c>
      <c r="Q1699" s="13" t="str">
        <f t="shared" si="187"/>
        <v>ГОТОВ_ИЗМЕНЕН</v>
      </c>
      <c r="R1699" s="13">
        <f>IFERROR(VLOOKUP(P1699,Лист1!A$1:B$20,2,FALSE),0)</f>
        <v>784</v>
      </c>
      <c r="S1699" s="13">
        <f t="shared" si="188"/>
        <v>0</v>
      </c>
    </row>
    <row r="1700" spans="1:19" x14ac:dyDescent="0.25">
      <c r="A1700" s="24" t="s">
        <v>2827</v>
      </c>
      <c r="B1700" s="4" t="s">
        <v>1059</v>
      </c>
      <c r="C1700" s="25" t="s">
        <v>5</v>
      </c>
      <c r="G1700" s="25" t="s">
        <v>1086</v>
      </c>
      <c r="H1700" s="24" t="s">
        <v>1061</v>
      </c>
      <c r="I1700" s="3" t="str">
        <f>IFERROR(VLOOKUP(C1700,'Справочник соответствий'!A$2:D$2981,2,FALSE),IF(VALUE(C1700)=0,1,VLOOKUP(C1700,'Справочник соответствий'!A$2:D$2981,2,FALSE)))</f>
        <v>1</v>
      </c>
      <c r="J1700" s="3">
        <f>IFERROR(VLOOKUP(D1700,'Справочник соответствий'!A$2:D$2981,2,FALSE),IF(VALUE(D1700)=0,0,VLOOKUP(D1700,'Справочник соответствий'!A$2:D$2981,2,FALSE)))</f>
        <v>0</v>
      </c>
      <c r="K1700" s="3" t="str">
        <f t="shared" si="182"/>
        <v>1</v>
      </c>
      <c r="L1700" s="13" t="str">
        <f>IFERROR(VLOOKUP(C1700,'Справочник соответствий'!A$2:D$2981,3,FALSE),IF(VALUE(C1700)=0,"ЭТАЖ НЕ ОПРЕДЕЛЕН. ПРИНЯТ ПО ДОПУЩЕНИЮ 1",VLOOKUP(C1700,'Справочник соответствий'!A$2:D$2981,3,FALSE)))</f>
        <v>ЭТАЖ ЗАДАН ЧИСЛОМ</v>
      </c>
      <c r="M1700" s="13" t="b">
        <f t="shared" si="183"/>
        <v>0</v>
      </c>
      <c r="N1700" s="13">
        <f t="shared" si="184"/>
        <v>1</v>
      </c>
      <c r="O1700" s="13" t="str">
        <f t="shared" si="185"/>
        <v>ЭТАЖ ЗАДАН ЧИСЛОМ</v>
      </c>
      <c r="P1700" s="13" t="str">
        <f t="shared" si="186"/>
        <v>ЭТАЖ ЗАДАН ЧИСЛОМ</v>
      </c>
      <c r="Q1700" s="13" t="str">
        <f t="shared" si="187"/>
        <v>ГОТОВ_ИЗМЕНЕН</v>
      </c>
      <c r="R1700" s="13">
        <f>IFERROR(VLOOKUP(P1700,Лист1!A$1:B$20,2,FALSE),0)</f>
        <v>784</v>
      </c>
      <c r="S1700" s="13">
        <f t="shared" si="188"/>
        <v>0</v>
      </c>
    </row>
    <row r="1701" spans="1:19" x14ac:dyDescent="0.25">
      <c r="A1701" s="24" t="s">
        <v>2828</v>
      </c>
      <c r="B1701" s="4" t="s">
        <v>1059</v>
      </c>
      <c r="C1701" s="25" t="s">
        <v>5</v>
      </c>
      <c r="G1701" s="25" t="s">
        <v>1086</v>
      </c>
      <c r="H1701" s="24" t="s">
        <v>1061</v>
      </c>
      <c r="I1701" s="3" t="str">
        <f>IFERROR(VLOOKUP(C1701,'Справочник соответствий'!A$2:D$2981,2,FALSE),IF(VALUE(C1701)=0,1,VLOOKUP(C1701,'Справочник соответствий'!A$2:D$2981,2,FALSE)))</f>
        <v>1</v>
      </c>
      <c r="J1701" s="3">
        <f>IFERROR(VLOOKUP(D1701,'Справочник соответствий'!A$2:D$2981,2,FALSE),IF(VALUE(D1701)=0,0,VLOOKUP(D1701,'Справочник соответствий'!A$2:D$2981,2,FALSE)))</f>
        <v>0</v>
      </c>
      <c r="K1701" s="3" t="str">
        <f t="shared" si="182"/>
        <v>1</v>
      </c>
      <c r="L1701" s="13" t="str">
        <f>IFERROR(VLOOKUP(C1701,'Справочник соответствий'!A$2:D$2981,3,FALSE),IF(VALUE(C1701)=0,"ЭТАЖ НЕ ОПРЕДЕЛЕН. ПРИНЯТ ПО ДОПУЩЕНИЮ 1",VLOOKUP(C1701,'Справочник соответствий'!A$2:D$2981,3,FALSE)))</f>
        <v>ЭТАЖ ЗАДАН ЧИСЛОМ</v>
      </c>
      <c r="M1701" s="13" t="b">
        <f t="shared" si="183"/>
        <v>0</v>
      </c>
      <c r="N1701" s="13">
        <f t="shared" si="184"/>
        <v>1</v>
      </c>
      <c r="O1701" s="13" t="str">
        <f t="shared" si="185"/>
        <v>ЭТАЖ ЗАДАН ЧИСЛОМ</v>
      </c>
      <c r="P1701" s="13" t="str">
        <f t="shared" si="186"/>
        <v>ЭТАЖ ЗАДАН ЧИСЛОМ</v>
      </c>
      <c r="Q1701" s="13" t="str">
        <f t="shared" si="187"/>
        <v>ГОТОВ_ИЗМЕНЕН</v>
      </c>
      <c r="R1701" s="13">
        <f>IFERROR(VLOOKUP(P1701,Лист1!A$1:B$20,2,FALSE),0)</f>
        <v>784</v>
      </c>
      <c r="S1701" s="13">
        <f t="shared" si="188"/>
        <v>0</v>
      </c>
    </row>
    <row r="1702" spans="1:19" x14ac:dyDescent="0.25">
      <c r="A1702" s="24" t="s">
        <v>2829</v>
      </c>
      <c r="B1702" s="4" t="s">
        <v>1059</v>
      </c>
      <c r="C1702" s="25" t="s">
        <v>5</v>
      </c>
      <c r="G1702" s="25" t="s">
        <v>1086</v>
      </c>
      <c r="H1702" s="24" t="s">
        <v>1061</v>
      </c>
      <c r="I1702" s="3" t="str">
        <f>IFERROR(VLOOKUP(C1702,'Справочник соответствий'!A$2:D$2981,2,FALSE),IF(VALUE(C1702)=0,1,VLOOKUP(C1702,'Справочник соответствий'!A$2:D$2981,2,FALSE)))</f>
        <v>1</v>
      </c>
      <c r="J1702" s="3">
        <f>IFERROR(VLOOKUP(D1702,'Справочник соответствий'!A$2:D$2981,2,FALSE),IF(VALUE(D1702)=0,0,VLOOKUP(D1702,'Справочник соответствий'!A$2:D$2981,2,FALSE)))</f>
        <v>0</v>
      </c>
      <c r="K1702" s="3" t="str">
        <f t="shared" si="182"/>
        <v>1</v>
      </c>
      <c r="L1702" s="13" t="str">
        <f>IFERROR(VLOOKUP(C1702,'Справочник соответствий'!A$2:D$2981,3,FALSE),IF(VALUE(C1702)=0,"ЭТАЖ НЕ ОПРЕДЕЛЕН. ПРИНЯТ ПО ДОПУЩЕНИЮ 1",VLOOKUP(C1702,'Справочник соответствий'!A$2:D$2981,3,FALSE)))</f>
        <v>ЭТАЖ ЗАДАН ЧИСЛОМ</v>
      </c>
      <c r="M1702" s="13" t="b">
        <f t="shared" si="183"/>
        <v>0</v>
      </c>
      <c r="N1702" s="13">
        <f t="shared" si="184"/>
        <v>1</v>
      </c>
      <c r="O1702" s="13" t="str">
        <f t="shared" si="185"/>
        <v>ЭТАЖ ЗАДАН ЧИСЛОМ</v>
      </c>
      <c r="P1702" s="13" t="str">
        <f t="shared" si="186"/>
        <v>ЭТАЖ ЗАДАН ЧИСЛОМ</v>
      </c>
      <c r="Q1702" s="13" t="str">
        <f t="shared" si="187"/>
        <v>ГОТОВ_ИЗМЕНЕН</v>
      </c>
      <c r="R1702" s="13">
        <f>IFERROR(VLOOKUP(P1702,Лист1!A$1:B$20,2,FALSE),0)</f>
        <v>784</v>
      </c>
      <c r="S1702" s="13">
        <f t="shared" si="188"/>
        <v>0</v>
      </c>
    </row>
    <row r="1703" spans="1:19" x14ac:dyDescent="0.25">
      <c r="A1703" s="24" t="s">
        <v>2830</v>
      </c>
      <c r="B1703" s="4" t="s">
        <v>1059</v>
      </c>
      <c r="C1703" s="25" t="s">
        <v>7</v>
      </c>
      <c r="G1703" s="25" t="s">
        <v>1086</v>
      </c>
      <c r="H1703" s="24" t="s">
        <v>1061</v>
      </c>
      <c r="I1703" s="3" t="str">
        <f>IFERROR(VLOOKUP(C1703,'Справочник соответствий'!A$2:D$2981,2,FALSE),IF(VALUE(C1703)=0,1,VLOOKUP(C1703,'Справочник соответствий'!A$2:D$2981,2,FALSE)))</f>
        <v>2</v>
      </c>
      <c r="J1703" s="3">
        <f>IFERROR(VLOOKUP(D1703,'Справочник соответствий'!A$2:D$2981,2,FALSE),IF(VALUE(D1703)=0,0,VLOOKUP(D1703,'Справочник соответствий'!A$2:D$2981,2,FALSE)))</f>
        <v>0</v>
      </c>
      <c r="K1703" s="3" t="str">
        <f t="shared" si="182"/>
        <v>2</v>
      </c>
      <c r="L1703" s="13" t="str">
        <f>IFERROR(VLOOKUP(C1703,'Справочник соответствий'!A$2:D$2981,3,FALSE),IF(VALUE(C1703)=0,"ЭТАЖ НЕ ОПРЕДЕЛЕН. ПРИНЯТ ПО ДОПУЩЕНИЮ 1",VLOOKUP(C1703,'Справочник соответствий'!A$2:D$2981,3,FALSE)))</f>
        <v>ЭТАЖ ЗАДАН ЧИСЛОМ</v>
      </c>
      <c r="M1703" s="13" t="b">
        <f t="shared" si="183"/>
        <v>0</v>
      </c>
      <c r="N1703" s="13">
        <f t="shared" si="184"/>
        <v>2</v>
      </c>
      <c r="O1703" s="13" t="str">
        <f t="shared" si="185"/>
        <v>ЭТАЖ ЗАДАН ЧИСЛОМ</v>
      </c>
      <c r="P1703" s="13" t="str">
        <f t="shared" si="186"/>
        <v>ЭТАЖ ЗАДАН ЧИСЛОМ</v>
      </c>
      <c r="Q1703" s="13" t="str">
        <f t="shared" si="187"/>
        <v>ГОТОВ_ИЗМЕНЕН</v>
      </c>
      <c r="R1703" s="13">
        <f>IFERROR(VLOOKUP(P1703,Лист1!A$1:B$20,2,FALSE),0)</f>
        <v>784</v>
      </c>
      <c r="S1703" s="13">
        <f t="shared" si="188"/>
        <v>0</v>
      </c>
    </row>
    <row r="1704" spans="1:19" x14ac:dyDescent="0.25">
      <c r="A1704" s="24" t="s">
        <v>2831</v>
      </c>
      <c r="B1704" s="4" t="s">
        <v>1059</v>
      </c>
      <c r="C1704" s="25" t="s">
        <v>7</v>
      </c>
      <c r="G1704" s="25" t="s">
        <v>1150</v>
      </c>
      <c r="H1704" s="24" t="s">
        <v>1061</v>
      </c>
      <c r="I1704" s="3" t="str">
        <f>IFERROR(VLOOKUP(C1704,'Справочник соответствий'!A$2:D$2981,2,FALSE),IF(VALUE(C1704)=0,1,VLOOKUP(C1704,'Справочник соответствий'!A$2:D$2981,2,FALSE)))</f>
        <v>2</v>
      </c>
      <c r="J1704" s="3">
        <f>IFERROR(VLOOKUP(D1704,'Справочник соответствий'!A$2:D$2981,2,FALSE),IF(VALUE(D1704)=0,0,VLOOKUP(D1704,'Справочник соответствий'!A$2:D$2981,2,FALSE)))</f>
        <v>0</v>
      </c>
      <c r="K1704" s="3" t="str">
        <f t="shared" si="182"/>
        <v>2</v>
      </c>
      <c r="L1704" s="13" t="str">
        <f>IFERROR(VLOOKUP(C1704,'Справочник соответствий'!A$2:D$2981,3,FALSE),IF(VALUE(C1704)=0,"ЭТАЖ НЕ ОПРЕДЕЛЕН. ПРИНЯТ ПО ДОПУЩЕНИЮ 1",VLOOKUP(C1704,'Справочник соответствий'!A$2:D$2981,3,FALSE)))</f>
        <v>ЭТАЖ ЗАДАН ЧИСЛОМ</v>
      </c>
      <c r="M1704" s="13" t="b">
        <f t="shared" si="183"/>
        <v>0</v>
      </c>
      <c r="N1704" s="13">
        <f t="shared" si="184"/>
        <v>2</v>
      </c>
      <c r="O1704" s="13" t="str">
        <f t="shared" si="185"/>
        <v>ЭТАЖ ЗАДАН ЧИСЛОМ</v>
      </c>
      <c r="P1704" s="13" t="str">
        <f t="shared" si="186"/>
        <v>ЭТАЖ ЗАДАН ЧИСЛОМ</v>
      </c>
      <c r="Q1704" s="13" t="str">
        <f t="shared" si="187"/>
        <v>ГОТОВ_ИЗМЕНЕН</v>
      </c>
      <c r="R1704" s="13">
        <f>IFERROR(VLOOKUP(P1704,Лист1!A$1:B$20,2,FALSE),0)</f>
        <v>784</v>
      </c>
      <c r="S1704" s="13">
        <f t="shared" si="188"/>
        <v>0</v>
      </c>
    </row>
    <row r="1705" spans="1:19" x14ac:dyDescent="0.25">
      <c r="A1705" s="24" t="s">
        <v>2832</v>
      </c>
      <c r="B1705" s="4" t="s">
        <v>1059</v>
      </c>
      <c r="C1705" s="25" t="s">
        <v>7</v>
      </c>
      <c r="G1705" s="25" t="s">
        <v>1086</v>
      </c>
      <c r="H1705" s="24" t="s">
        <v>1061</v>
      </c>
      <c r="I1705" s="3" t="str">
        <f>IFERROR(VLOOKUP(C1705,'Справочник соответствий'!A$2:D$2981,2,FALSE),IF(VALUE(C1705)=0,1,VLOOKUP(C1705,'Справочник соответствий'!A$2:D$2981,2,FALSE)))</f>
        <v>2</v>
      </c>
      <c r="J1705" s="3">
        <f>IFERROR(VLOOKUP(D1705,'Справочник соответствий'!A$2:D$2981,2,FALSE),IF(VALUE(D1705)=0,0,VLOOKUP(D1705,'Справочник соответствий'!A$2:D$2981,2,FALSE)))</f>
        <v>0</v>
      </c>
      <c r="K1705" s="3" t="str">
        <f t="shared" si="182"/>
        <v>2</v>
      </c>
      <c r="L1705" s="13" t="str">
        <f>IFERROR(VLOOKUP(C1705,'Справочник соответствий'!A$2:D$2981,3,FALSE),IF(VALUE(C1705)=0,"ЭТАЖ НЕ ОПРЕДЕЛЕН. ПРИНЯТ ПО ДОПУЩЕНИЮ 1",VLOOKUP(C1705,'Справочник соответствий'!A$2:D$2981,3,FALSE)))</f>
        <v>ЭТАЖ ЗАДАН ЧИСЛОМ</v>
      </c>
      <c r="M1705" s="13" t="b">
        <f t="shared" si="183"/>
        <v>0</v>
      </c>
      <c r="N1705" s="13">
        <f t="shared" si="184"/>
        <v>2</v>
      </c>
      <c r="O1705" s="13" t="str">
        <f t="shared" si="185"/>
        <v>ЭТАЖ ЗАДАН ЧИСЛОМ</v>
      </c>
      <c r="P1705" s="13" t="str">
        <f t="shared" si="186"/>
        <v>ЭТАЖ ЗАДАН ЧИСЛОМ</v>
      </c>
      <c r="Q1705" s="13" t="str">
        <f t="shared" si="187"/>
        <v>ГОТОВ_ИЗМЕНЕН</v>
      </c>
      <c r="R1705" s="13">
        <f>IFERROR(VLOOKUP(P1705,Лист1!A$1:B$20,2,FALSE),0)</f>
        <v>784</v>
      </c>
      <c r="S1705" s="13">
        <f t="shared" si="188"/>
        <v>0</v>
      </c>
    </row>
    <row r="1706" spans="1:19" x14ac:dyDescent="0.25">
      <c r="A1706" s="24" t="s">
        <v>2833</v>
      </c>
      <c r="B1706" s="4" t="s">
        <v>1063</v>
      </c>
      <c r="G1706" s="25" t="s">
        <v>1086</v>
      </c>
      <c r="H1706" s="24" t="s">
        <v>1061</v>
      </c>
      <c r="I1706" s="3">
        <f>IFERROR(VLOOKUP(C1706,'Справочник соответствий'!A$2:D$2981,2,FALSE),IF(VALUE(C1706)=0,1,VLOOKUP(C1706,'Справочник соответствий'!A$2:D$2981,2,FALSE)))</f>
        <v>1</v>
      </c>
      <c r="J1706" s="3">
        <f>IFERROR(VLOOKUP(D1706,'Справочник соответствий'!A$2:D$2981,2,FALSE),IF(VALUE(D1706)=0,0,VLOOKUP(D1706,'Справочник соответствий'!A$2:D$2981,2,FALSE)))</f>
        <v>0</v>
      </c>
      <c r="K1706" s="3">
        <f t="shared" si="182"/>
        <v>1</v>
      </c>
      <c r="L1706" s="13" t="str">
        <f>IFERROR(VLOOKUP(C1706,'Справочник соответствий'!A$2:D$2981,3,FALSE),IF(VALUE(C1706)=0,"ЭТАЖ НЕ ОПРЕДЕЛЕН. ПРИНЯТ ПО ДОПУЩЕНИЮ 1",VLOOKUP(C1706,'Справочник соответствий'!A$2:D$2981,3,FALSE)))</f>
        <v>ЭТАЖ НЕ ОПРЕДЕЛЕН. ПРИНЯТ ПО ДОПУЩЕНИЮ 1</v>
      </c>
      <c r="M1706" s="13" t="b">
        <f t="shared" si="183"/>
        <v>0</v>
      </c>
      <c r="N1706" s="13">
        <f t="shared" si="184"/>
        <v>1</v>
      </c>
      <c r="O1706" s="13" t="str">
        <f t="shared" si="185"/>
        <v>ЭТАЖ НЕ ОПРЕДЕЛЕН. ПРИНЯТ ПО ДОПУЩЕНИЮ 1</v>
      </c>
      <c r="P1706" s="13" t="str">
        <f t="shared" si="186"/>
        <v>ЭТАЖ НЕ ОПРЕДЕЛЕН. ПРИНЯТ ПО ДОПУЩЕНИЮ 1</v>
      </c>
      <c r="Q1706" s="13" t="str">
        <f t="shared" si="187"/>
        <v>ГОТОВ_ИЗМЕНЕН</v>
      </c>
      <c r="R1706" s="13">
        <f>IFERROR(VLOOKUP(P1706,Лист1!A$1:B$20,2,FALSE),0)</f>
        <v>788</v>
      </c>
      <c r="S1706" s="13">
        <f t="shared" si="188"/>
        <v>0</v>
      </c>
    </row>
    <row r="1707" spans="1:19" x14ac:dyDescent="0.25">
      <c r="A1707" s="24" t="s">
        <v>2834</v>
      </c>
      <c r="B1707" s="4" t="s">
        <v>1059</v>
      </c>
      <c r="C1707" s="25" t="s">
        <v>5</v>
      </c>
      <c r="G1707" s="25" t="s">
        <v>1150</v>
      </c>
      <c r="H1707" s="24" t="s">
        <v>1061</v>
      </c>
      <c r="I1707" s="3" t="str">
        <f>IFERROR(VLOOKUP(C1707,'Справочник соответствий'!A$2:D$2981,2,FALSE),IF(VALUE(C1707)=0,1,VLOOKUP(C1707,'Справочник соответствий'!A$2:D$2981,2,FALSE)))</f>
        <v>1</v>
      </c>
      <c r="J1707" s="3">
        <f>IFERROR(VLOOKUP(D1707,'Справочник соответствий'!A$2:D$2981,2,FALSE),IF(VALUE(D1707)=0,0,VLOOKUP(D1707,'Справочник соответствий'!A$2:D$2981,2,FALSE)))</f>
        <v>0</v>
      </c>
      <c r="K1707" s="3" t="str">
        <f t="shared" si="182"/>
        <v>1</v>
      </c>
      <c r="L1707" s="13" t="str">
        <f>IFERROR(VLOOKUP(C1707,'Справочник соответствий'!A$2:D$2981,3,FALSE),IF(VALUE(C1707)=0,"ЭТАЖ НЕ ОПРЕДЕЛЕН. ПРИНЯТ ПО ДОПУЩЕНИЮ 1",VLOOKUP(C1707,'Справочник соответствий'!A$2:D$2981,3,FALSE)))</f>
        <v>ЭТАЖ ЗАДАН ЧИСЛОМ</v>
      </c>
      <c r="M1707" s="13" t="b">
        <f t="shared" si="183"/>
        <v>0</v>
      </c>
      <c r="N1707" s="13">
        <f t="shared" si="184"/>
        <v>1</v>
      </c>
      <c r="O1707" s="13" t="str">
        <f t="shared" si="185"/>
        <v>ЭТАЖ ЗАДАН ЧИСЛОМ</v>
      </c>
      <c r="P1707" s="13" t="str">
        <f t="shared" si="186"/>
        <v>ЭТАЖ ЗАДАН ЧИСЛОМ</v>
      </c>
      <c r="Q1707" s="13" t="str">
        <f t="shared" si="187"/>
        <v>ГОТОВ_ИЗМЕНЕН</v>
      </c>
      <c r="R1707" s="13">
        <f>IFERROR(VLOOKUP(P1707,Лист1!A$1:B$20,2,FALSE),0)</f>
        <v>784</v>
      </c>
      <c r="S1707" s="13">
        <f t="shared" si="188"/>
        <v>0</v>
      </c>
    </row>
    <row r="1708" spans="1:19" x14ac:dyDescent="0.25">
      <c r="A1708" s="24" t="s">
        <v>2835</v>
      </c>
      <c r="B1708" s="4" t="s">
        <v>1059</v>
      </c>
      <c r="C1708" s="25" t="s">
        <v>7</v>
      </c>
      <c r="G1708" s="25" t="s">
        <v>1086</v>
      </c>
      <c r="H1708" s="24" t="s">
        <v>1061</v>
      </c>
      <c r="I1708" s="3" t="str">
        <f>IFERROR(VLOOKUP(C1708,'Справочник соответствий'!A$2:D$2981,2,FALSE),IF(VALUE(C1708)=0,1,VLOOKUP(C1708,'Справочник соответствий'!A$2:D$2981,2,FALSE)))</f>
        <v>2</v>
      </c>
      <c r="J1708" s="3">
        <f>IFERROR(VLOOKUP(D1708,'Справочник соответствий'!A$2:D$2981,2,FALSE),IF(VALUE(D1708)=0,0,VLOOKUP(D1708,'Справочник соответствий'!A$2:D$2981,2,FALSE)))</f>
        <v>0</v>
      </c>
      <c r="K1708" s="3" t="str">
        <f t="shared" si="182"/>
        <v>2</v>
      </c>
      <c r="L1708" s="13" t="str">
        <f>IFERROR(VLOOKUP(C1708,'Справочник соответствий'!A$2:D$2981,3,FALSE),IF(VALUE(C1708)=0,"ЭТАЖ НЕ ОПРЕДЕЛЕН. ПРИНЯТ ПО ДОПУЩЕНИЮ 1",VLOOKUP(C1708,'Справочник соответствий'!A$2:D$2981,3,FALSE)))</f>
        <v>ЭТАЖ ЗАДАН ЧИСЛОМ</v>
      </c>
      <c r="M1708" s="13" t="b">
        <f t="shared" si="183"/>
        <v>0</v>
      </c>
      <c r="N1708" s="13">
        <f t="shared" si="184"/>
        <v>2</v>
      </c>
      <c r="O1708" s="13" t="str">
        <f t="shared" si="185"/>
        <v>ЭТАЖ ЗАДАН ЧИСЛОМ</v>
      </c>
      <c r="P1708" s="13" t="str">
        <f t="shared" si="186"/>
        <v>ЭТАЖ ЗАДАН ЧИСЛОМ</v>
      </c>
      <c r="Q1708" s="13" t="str">
        <f t="shared" si="187"/>
        <v>ГОТОВ_ИЗМЕНЕН</v>
      </c>
      <c r="R1708" s="13">
        <f>IFERROR(VLOOKUP(P1708,Лист1!A$1:B$20,2,FALSE),0)</f>
        <v>784</v>
      </c>
      <c r="S1708" s="13">
        <f t="shared" si="188"/>
        <v>0</v>
      </c>
    </row>
    <row r="1709" spans="1:19" x14ac:dyDescent="0.25">
      <c r="A1709" s="24" t="s">
        <v>2836</v>
      </c>
      <c r="B1709" s="4" t="s">
        <v>1059</v>
      </c>
      <c r="C1709" s="25" t="s">
        <v>5</v>
      </c>
      <c r="G1709" s="25" t="s">
        <v>1150</v>
      </c>
      <c r="H1709" s="24" t="s">
        <v>1061</v>
      </c>
      <c r="I1709" s="3" t="str">
        <f>IFERROR(VLOOKUP(C1709,'Справочник соответствий'!A$2:D$2981,2,FALSE),IF(VALUE(C1709)=0,1,VLOOKUP(C1709,'Справочник соответствий'!A$2:D$2981,2,FALSE)))</f>
        <v>1</v>
      </c>
      <c r="J1709" s="3">
        <f>IFERROR(VLOOKUP(D1709,'Справочник соответствий'!A$2:D$2981,2,FALSE),IF(VALUE(D1709)=0,0,VLOOKUP(D1709,'Справочник соответствий'!A$2:D$2981,2,FALSE)))</f>
        <v>0</v>
      </c>
      <c r="K1709" s="3" t="str">
        <f t="shared" si="182"/>
        <v>1</v>
      </c>
      <c r="L1709" s="13" t="str">
        <f>IFERROR(VLOOKUP(C1709,'Справочник соответствий'!A$2:D$2981,3,FALSE),IF(VALUE(C1709)=0,"ЭТАЖ НЕ ОПРЕДЕЛЕН. ПРИНЯТ ПО ДОПУЩЕНИЮ 1",VLOOKUP(C1709,'Справочник соответствий'!A$2:D$2981,3,FALSE)))</f>
        <v>ЭТАЖ ЗАДАН ЧИСЛОМ</v>
      </c>
      <c r="M1709" s="13" t="b">
        <f t="shared" si="183"/>
        <v>0</v>
      </c>
      <c r="N1709" s="13">
        <f t="shared" si="184"/>
        <v>1</v>
      </c>
      <c r="O1709" s="13" t="str">
        <f t="shared" si="185"/>
        <v>ЭТАЖ ЗАДАН ЧИСЛОМ</v>
      </c>
      <c r="P1709" s="13" t="str">
        <f t="shared" si="186"/>
        <v>ЭТАЖ ЗАДАН ЧИСЛОМ</v>
      </c>
      <c r="Q1709" s="13" t="str">
        <f t="shared" si="187"/>
        <v>ГОТОВ_ИЗМЕНЕН</v>
      </c>
      <c r="R1709" s="13">
        <f>IFERROR(VLOOKUP(P1709,Лист1!A$1:B$20,2,FALSE),0)</f>
        <v>784</v>
      </c>
      <c r="S1709" s="13">
        <f t="shared" si="188"/>
        <v>0</v>
      </c>
    </row>
    <row r="1710" spans="1:19" x14ac:dyDescent="0.25">
      <c r="A1710" s="24" t="s">
        <v>2837</v>
      </c>
      <c r="B1710" s="4" t="s">
        <v>1063</v>
      </c>
      <c r="C1710" s="25" t="s">
        <v>5</v>
      </c>
      <c r="G1710" s="25" t="s">
        <v>1382</v>
      </c>
      <c r="H1710" s="24" t="s">
        <v>1061</v>
      </c>
      <c r="I1710" s="3" t="str">
        <f>IFERROR(VLOOKUP(C1710,'Справочник соответствий'!A$2:D$2981,2,FALSE),IF(VALUE(C1710)=0,1,VLOOKUP(C1710,'Справочник соответствий'!A$2:D$2981,2,FALSE)))</f>
        <v>1</v>
      </c>
      <c r="J1710" s="3">
        <f>IFERROR(VLOOKUP(D1710,'Справочник соответствий'!A$2:D$2981,2,FALSE),IF(VALUE(D1710)=0,0,VLOOKUP(D1710,'Справочник соответствий'!A$2:D$2981,2,FALSE)))</f>
        <v>0</v>
      </c>
      <c r="K1710" s="3" t="str">
        <f t="shared" si="182"/>
        <v>1</v>
      </c>
      <c r="L1710" s="13" t="str">
        <f>IFERROR(VLOOKUP(C1710,'Справочник соответствий'!A$2:D$2981,3,FALSE),IF(VALUE(C1710)=0,"ЭТАЖ НЕ ОПРЕДЕЛЕН. ПРИНЯТ ПО ДОПУЩЕНИЮ 1",VLOOKUP(C1710,'Справочник соответствий'!A$2:D$2981,3,FALSE)))</f>
        <v>ЭТАЖ ЗАДАН ЧИСЛОМ</v>
      </c>
      <c r="M1710" s="13" t="b">
        <f t="shared" si="183"/>
        <v>0</v>
      </c>
      <c r="N1710" s="13">
        <f t="shared" si="184"/>
        <v>1</v>
      </c>
      <c r="O1710" s="13" t="str">
        <f t="shared" si="185"/>
        <v>ЭТАЖ ЗАДАН ЧИСЛОМ</v>
      </c>
      <c r="P1710" s="13" t="str">
        <f t="shared" si="186"/>
        <v>ЭТАЖ ЗАДАН ЧИСЛОМ</v>
      </c>
      <c r="Q1710" s="13" t="str">
        <f t="shared" si="187"/>
        <v>ГОТОВ_ИЗМЕНЕН</v>
      </c>
      <c r="R1710" s="13">
        <f>IFERROR(VLOOKUP(P1710,Лист1!A$1:B$20,2,FALSE),0)</f>
        <v>784</v>
      </c>
      <c r="S1710" s="13">
        <f t="shared" si="188"/>
        <v>0</v>
      </c>
    </row>
    <row r="1711" spans="1:19" x14ac:dyDescent="0.25">
      <c r="A1711" s="24" t="s">
        <v>2838</v>
      </c>
      <c r="B1711" s="4" t="s">
        <v>1059</v>
      </c>
      <c r="C1711" s="25" t="s">
        <v>7</v>
      </c>
      <c r="G1711" s="25" t="s">
        <v>1382</v>
      </c>
      <c r="H1711" s="24" t="s">
        <v>1061</v>
      </c>
      <c r="I1711" s="3" t="str">
        <f>IFERROR(VLOOKUP(C1711,'Справочник соответствий'!A$2:D$2981,2,FALSE),IF(VALUE(C1711)=0,1,VLOOKUP(C1711,'Справочник соответствий'!A$2:D$2981,2,FALSE)))</f>
        <v>2</v>
      </c>
      <c r="J1711" s="3">
        <f>IFERROR(VLOOKUP(D1711,'Справочник соответствий'!A$2:D$2981,2,FALSE),IF(VALUE(D1711)=0,0,VLOOKUP(D1711,'Справочник соответствий'!A$2:D$2981,2,FALSE)))</f>
        <v>0</v>
      </c>
      <c r="K1711" s="3" t="str">
        <f t="shared" si="182"/>
        <v>2</v>
      </c>
      <c r="L1711" s="13" t="str">
        <f>IFERROR(VLOOKUP(C1711,'Справочник соответствий'!A$2:D$2981,3,FALSE),IF(VALUE(C1711)=0,"ЭТАЖ НЕ ОПРЕДЕЛЕН. ПРИНЯТ ПО ДОПУЩЕНИЮ 1",VLOOKUP(C1711,'Справочник соответствий'!A$2:D$2981,3,FALSE)))</f>
        <v>ЭТАЖ ЗАДАН ЧИСЛОМ</v>
      </c>
      <c r="M1711" s="13" t="b">
        <f t="shared" si="183"/>
        <v>0</v>
      </c>
      <c r="N1711" s="13">
        <f t="shared" si="184"/>
        <v>2</v>
      </c>
      <c r="O1711" s="13" t="str">
        <f t="shared" si="185"/>
        <v>ЭТАЖ ЗАДАН ЧИСЛОМ</v>
      </c>
      <c r="P1711" s="13" t="str">
        <f t="shared" si="186"/>
        <v>ЭТАЖ ЗАДАН ЧИСЛОМ</v>
      </c>
      <c r="Q1711" s="13" t="str">
        <f t="shared" si="187"/>
        <v>ГОТОВ_ИЗМЕНЕН</v>
      </c>
      <c r="R1711" s="13">
        <f>IFERROR(VLOOKUP(P1711,Лист1!A$1:B$20,2,FALSE),0)</f>
        <v>784</v>
      </c>
      <c r="S1711" s="13">
        <f t="shared" si="188"/>
        <v>0</v>
      </c>
    </row>
    <row r="1712" spans="1:19" x14ac:dyDescent="0.25">
      <c r="A1712" s="24" t="s">
        <v>2839</v>
      </c>
      <c r="B1712" s="4" t="s">
        <v>1059</v>
      </c>
      <c r="C1712" s="25" t="s">
        <v>5</v>
      </c>
      <c r="G1712" s="25" t="s">
        <v>1382</v>
      </c>
      <c r="H1712" s="24" t="s">
        <v>1061</v>
      </c>
      <c r="I1712" s="3" t="str">
        <f>IFERROR(VLOOKUP(C1712,'Справочник соответствий'!A$2:D$2981,2,FALSE),IF(VALUE(C1712)=0,1,VLOOKUP(C1712,'Справочник соответствий'!A$2:D$2981,2,FALSE)))</f>
        <v>1</v>
      </c>
      <c r="J1712" s="3">
        <f>IFERROR(VLOOKUP(D1712,'Справочник соответствий'!A$2:D$2981,2,FALSE),IF(VALUE(D1712)=0,0,VLOOKUP(D1712,'Справочник соответствий'!A$2:D$2981,2,FALSE)))</f>
        <v>0</v>
      </c>
      <c r="K1712" s="3" t="str">
        <f t="shared" si="182"/>
        <v>1</v>
      </c>
      <c r="L1712" s="13" t="str">
        <f>IFERROR(VLOOKUP(C1712,'Справочник соответствий'!A$2:D$2981,3,FALSE),IF(VALUE(C1712)=0,"ЭТАЖ НЕ ОПРЕДЕЛЕН. ПРИНЯТ ПО ДОПУЩЕНИЮ 1",VLOOKUP(C1712,'Справочник соответствий'!A$2:D$2981,3,FALSE)))</f>
        <v>ЭТАЖ ЗАДАН ЧИСЛОМ</v>
      </c>
      <c r="M1712" s="13" t="b">
        <f t="shared" si="183"/>
        <v>0</v>
      </c>
      <c r="N1712" s="13">
        <f t="shared" si="184"/>
        <v>1</v>
      </c>
      <c r="O1712" s="13" t="str">
        <f t="shared" si="185"/>
        <v>ЭТАЖ ЗАДАН ЧИСЛОМ</v>
      </c>
      <c r="P1712" s="13" t="str">
        <f t="shared" si="186"/>
        <v>ЭТАЖ ЗАДАН ЧИСЛОМ</v>
      </c>
      <c r="Q1712" s="13" t="str">
        <f t="shared" si="187"/>
        <v>ГОТОВ_ИЗМЕНЕН</v>
      </c>
      <c r="R1712" s="13">
        <f>IFERROR(VLOOKUP(P1712,Лист1!A$1:B$20,2,FALSE),0)</f>
        <v>784</v>
      </c>
      <c r="S1712" s="13">
        <f t="shared" si="188"/>
        <v>0</v>
      </c>
    </row>
    <row r="1713" spans="1:19" x14ac:dyDescent="0.25">
      <c r="A1713" s="24" t="s">
        <v>2840</v>
      </c>
      <c r="B1713" s="4" t="s">
        <v>1063</v>
      </c>
      <c r="C1713" s="25" t="s">
        <v>5</v>
      </c>
      <c r="G1713" s="25" t="s">
        <v>1072</v>
      </c>
      <c r="H1713" s="24" t="s">
        <v>1061</v>
      </c>
      <c r="I1713" s="3" t="str">
        <f>IFERROR(VLOOKUP(C1713,'Справочник соответствий'!A$2:D$2981,2,FALSE),IF(VALUE(C1713)=0,1,VLOOKUP(C1713,'Справочник соответствий'!A$2:D$2981,2,FALSE)))</f>
        <v>1</v>
      </c>
      <c r="J1713" s="3">
        <f>IFERROR(VLOOKUP(D1713,'Справочник соответствий'!A$2:D$2981,2,FALSE),IF(VALUE(D1713)=0,0,VLOOKUP(D1713,'Справочник соответствий'!A$2:D$2981,2,FALSE)))</f>
        <v>0</v>
      </c>
      <c r="K1713" s="3" t="str">
        <f t="shared" si="182"/>
        <v>1</v>
      </c>
      <c r="L1713" s="13" t="str">
        <f>IFERROR(VLOOKUP(C1713,'Справочник соответствий'!A$2:D$2981,3,FALSE),IF(VALUE(C1713)=0,"ЭТАЖ НЕ ОПРЕДЕЛЕН. ПРИНЯТ ПО ДОПУЩЕНИЮ 1",VLOOKUP(C1713,'Справочник соответствий'!A$2:D$2981,3,FALSE)))</f>
        <v>ЭТАЖ ЗАДАН ЧИСЛОМ</v>
      </c>
      <c r="M1713" s="13" t="b">
        <f t="shared" si="183"/>
        <v>0</v>
      </c>
      <c r="N1713" s="13">
        <f t="shared" si="184"/>
        <v>1</v>
      </c>
      <c r="O1713" s="13" t="str">
        <f t="shared" si="185"/>
        <v>ЭТАЖ ЗАДАН ЧИСЛОМ</v>
      </c>
      <c r="P1713" s="13" t="str">
        <f t="shared" si="186"/>
        <v>ЭТАЖ ЗАДАН ЧИСЛОМ</v>
      </c>
      <c r="Q1713" s="13" t="str">
        <f t="shared" si="187"/>
        <v>ГОТОВ_ИЗМЕНЕН</v>
      </c>
      <c r="R1713" s="13">
        <f>IFERROR(VLOOKUP(P1713,Лист1!A$1:B$20,2,FALSE),0)</f>
        <v>784</v>
      </c>
      <c r="S1713" s="13">
        <f t="shared" si="188"/>
        <v>0</v>
      </c>
    </row>
    <row r="1714" spans="1:19" x14ac:dyDescent="0.25">
      <c r="A1714" s="24" t="s">
        <v>2841</v>
      </c>
      <c r="B1714" s="4" t="s">
        <v>1063</v>
      </c>
      <c r="C1714" s="25" t="s">
        <v>5</v>
      </c>
      <c r="G1714" s="25" t="s">
        <v>1161</v>
      </c>
      <c r="H1714" s="24" t="s">
        <v>1061</v>
      </c>
      <c r="I1714" s="3" t="str">
        <f>IFERROR(VLOOKUP(C1714,'Справочник соответствий'!A$2:D$2981,2,FALSE),IF(VALUE(C1714)=0,1,VLOOKUP(C1714,'Справочник соответствий'!A$2:D$2981,2,FALSE)))</f>
        <v>1</v>
      </c>
      <c r="J1714" s="3">
        <f>IFERROR(VLOOKUP(D1714,'Справочник соответствий'!A$2:D$2981,2,FALSE),IF(VALUE(D1714)=0,0,VLOOKUP(D1714,'Справочник соответствий'!A$2:D$2981,2,FALSE)))</f>
        <v>0</v>
      </c>
      <c r="K1714" s="3" t="str">
        <f t="shared" si="182"/>
        <v>1</v>
      </c>
      <c r="L1714" s="13" t="str">
        <f>IFERROR(VLOOKUP(C1714,'Справочник соответствий'!A$2:D$2981,3,FALSE),IF(VALUE(C1714)=0,"ЭТАЖ НЕ ОПРЕДЕЛЕН. ПРИНЯТ ПО ДОПУЩЕНИЮ 1",VLOOKUP(C1714,'Справочник соответствий'!A$2:D$2981,3,FALSE)))</f>
        <v>ЭТАЖ ЗАДАН ЧИСЛОМ</v>
      </c>
      <c r="M1714" s="13" t="b">
        <f t="shared" si="183"/>
        <v>0</v>
      </c>
      <c r="N1714" s="13">
        <f t="shared" si="184"/>
        <v>1</v>
      </c>
      <c r="O1714" s="13" t="str">
        <f t="shared" si="185"/>
        <v>ЭТАЖ ЗАДАН ЧИСЛОМ</v>
      </c>
      <c r="P1714" s="13" t="str">
        <f t="shared" si="186"/>
        <v>ЭТАЖ ЗАДАН ЧИСЛОМ</v>
      </c>
      <c r="Q1714" s="13" t="str">
        <f t="shared" si="187"/>
        <v>ГОТОВ_ИЗМЕНЕН</v>
      </c>
      <c r="R1714" s="13">
        <f>IFERROR(VLOOKUP(P1714,Лист1!A$1:B$20,2,FALSE),0)</f>
        <v>784</v>
      </c>
      <c r="S1714" s="13">
        <f t="shared" si="188"/>
        <v>0</v>
      </c>
    </row>
    <row r="1715" spans="1:19" x14ac:dyDescent="0.25">
      <c r="A1715" s="24" t="s">
        <v>2842</v>
      </c>
      <c r="B1715" s="4" t="s">
        <v>1059</v>
      </c>
      <c r="C1715" s="25" t="s">
        <v>5</v>
      </c>
      <c r="G1715" s="25" t="s">
        <v>1072</v>
      </c>
      <c r="H1715" s="24" t="s">
        <v>1061</v>
      </c>
      <c r="I1715" s="3" t="str">
        <f>IFERROR(VLOOKUP(C1715,'Справочник соответствий'!A$2:D$2981,2,FALSE),IF(VALUE(C1715)=0,1,VLOOKUP(C1715,'Справочник соответствий'!A$2:D$2981,2,FALSE)))</f>
        <v>1</v>
      </c>
      <c r="J1715" s="3">
        <f>IFERROR(VLOOKUP(D1715,'Справочник соответствий'!A$2:D$2981,2,FALSE),IF(VALUE(D1715)=0,0,VLOOKUP(D1715,'Справочник соответствий'!A$2:D$2981,2,FALSE)))</f>
        <v>0</v>
      </c>
      <c r="K1715" s="3" t="str">
        <f t="shared" si="182"/>
        <v>1</v>
      </c>
      <c r="L1715" s="13" t="str">
        <f>IFERROR(VLOOKUP(C1715,'Справочник соответствий'!A$2:D$2981,3,FALSE),IF(VALUE(C1715)=0,"ЭТАЖ НЕ ОПРЕДЕЛЕН. ПРИНЯТ ПО ДОПУЩЕНИЮ 1",VLOOKUP(C1715,'Справочник соответствий'!A$2:D$2981,3,FALSE)))</f>
        <v>ЭТАЖ ЗАДАН ЧИСЛОМ</v>
      </c>
      <c r="M1715" s="13" t="b">
        <f t="shared" si="183"/>
        <v>0</v>
      </c>
      <c r="N1715" s="13">
        <f t="shared" si="184"/>
        <v>1</v>
      </c>
      <c r="O1715" s="13" t="str">
        <f t="shared" si="185"/>
        <v>ЭТАЖ ЗАДАН ЧИСЛОМ</v>
      </c>
      <c r="P1715" s="13" t="str">
        <f t="shared" si="186"/>
        <v>ЭТАЖ ЗАДАН ЧИСЛОМ</v>
      </c>
      <c r="Q1715" s="13" t="str">
        <f t="shared" si="187"/>
        <v>ГОТОВ_ИЗМЕНЕН</v>
      </c>
      <c r="R1715" s="13">
        <f>IFERROR(VLOOKUP(P1715,Лист1!A$1:B$20,2,FALSE),0)</f>
        <v>784</v>
      </c>
      <c r="S1715" s="13">
        <f t="shared" si="188"/>
        <v>0</v>
      </c>
    </row>
    <row r="1716" spans="1:19" x14ac:dyDescent="0.25">
      <c r="A1716" s="24" t="s">
        <v>2843</v>
      </c>
      <c r="B1716" s="4" t="s">
        <v>1063</v>
      </c>
      <c r="C1716" s="25" t="s">
        <v>205</v>
      </c>
      <c r="D1716" s="25" t="s">
        <v>5</v>
      </c>
      <c r="G1716" s="25" t="s">
        <v>1072</v>
      </c>
      <c r="H1716" s="24" t="s">
        <v>1061</v>
      </c>
      <c r="I1716" s="3" t="str">
        <f>IFERROR(VLOOKUP(C1716,'Справочник соответствий'!A$2:D$2981,2,FALSE),IF(VALUE(C1716)=0,1,VLOOKUP(C1716,'Справочник соответствий'!A$2:D$2981,2,FALSE)))</f>
        <v>15</v>
      </c>
      <c r="J1716" s="3" t="str">
        <f>IFERROR(VLOOKUP(D1716,'Справочник соответствий'!A$2:D$2981,2,FALSE),IF(VALUE(D1716)=0,0,VLOOKUP(D1716,'Справочник соответствий'!A$2:D$2981,2,FALSE)))</f>
        <v>1</v>
      </c>
      <c r="K1716" s="3" t="str">
        <f t="shared" si="182"/>
        <v>15</v>
      </c>
      <c r="L1716" s="13" t="str">
        <f>IFERROR(VLOOKUP(C1716,'Справочник соответствий'!A$2:D$2981,3,FALSE),IF(VALUE(C1716)=0,"ЭТАЖ НЕ ОПРЕДЕЛЕН. ПРИНЯТ ПО ДОПУЩЕНИЮ 1",VLOOKUP(C1716,'Справочник соответствий'!A$2:D$2981,3,FALSE)))</f>
        <v>СПРАВОЧНИК ЭТАЖНОСТИ</v>
      </c>
      <c r="M1716" s="13" t="b">
        <f t="shared" si="183"/>
        <v>0</v>
      </c>
      <c r="N1716" s="13">
        <f t="shared" si="184"/>
        <v>15</v>
      </c>
      <c r="O1716" s="13" t="str">
        <f t="shared" si="185"/>
        <v>СПРАВОЧНИК ЭТАЖНОСТИ</v>
      </c>
      <c r="P1716" s="13" t="str">
        <f t="shared" si="186"/>
        <v>СПРАВОЧНИК ЭТАЖНОСТИ</v>
      </c>
      <c r="Q1716" s="13" t="str">
        <f t="shared" si="187"/>
        <v>ГОТОВ_ИЗМЕНЕН</v>
      </c>
      <c r="R1716" s="13">
        <f>IFERROR(VLOOKUP(P1716,Лист1!A$1:B$20,2,FALSE),0)</f>
        <v>785</v>
      </c>
      <c r="S1716" s="13">
        <f t="shared" si="188"/>
        <v>0</v>
      </c>
    </row>
    <row r="1717" spans="1:19" x14ac:dyDescent="0.25">
      <c r="A1717" s="24" t="s">
        <v>2844</v>
      </c>
      <c r="B1717" s="4" t="s">
        <v>1059</v>
      </c>
      <c r="G1717" s="25" t="s">
        <v>1072</v>
      </c>
      <c r="H1717" s="24" t="s">
        <v>1061</v>
      </c>
      <c r="I1717" s="3">
        <f>IFERROR(VLOOKUP(C1717,'Справочник соответствий'!A$2:D$2981,2,FALSE),IF(VALUE(C1717)=0,1,VLOOKUP(C1717,'Справочник соответствий'!A$2:D$2981,2,FALSE)))</f>
        <v>1</v>
      </c>
      <c r="J1717" s="3">
        <f>IFERROR(VLOOKUP(D1717,'Справочник соответствий'!A$2:D$2981,2,FALSE),IF(VALUE(D1717)=0,0,VLOOKUP(D1717,'Справочник соответствий'!A$2:D$2981,2,FALSE)))</f>
        <v>0</v>
      </c>
      <c r="K1717" s="3">
        <f t="shared" si="182"/>
        <v>1</v>
      </c>
      <c r="L1717" s="13" t="str">
        <f>IFERROR(VLOOKUP(C1717,'Справочник соответствий'!A$2:D$2981,3,FALSE),IF(VALUE(C1717)=0,"ЭТАЖ НЕ ОПРЕДЕЛЕН. ПРИНЯТ ПО ДОПУЩЕНИЮ 1",VLOOKUP(C1717,'Справочник соответствий'!A$2:D$2981,3,FALSE)))</f>
        <v>ЭТАЖ НЕ ОПРЕДЕЛЕН. ПРИНЯТ ПО ДОПУЩЕНИЮ 1</v>
      </c>
      <c r="M1717" s="13" t="b">
        <f t="shared" si="183"/>
        <v>0</v>
      </c>
      <c r="N1717" s="13">
        <f t="shared" si="184"/>
        <v>1</v>
      </c>
      <c r="O1717" s="13" t="str">
        <f t="shared" si="185"/>
        <v>ЭТАЖ НЕ ОПРЕДЕЛЕН. ПРИНЯТ ПО ДОПУЩЕНИЮ 1</v>
      </c>
      <c r="P1717" s="13" t="str">
        <f t="shared" si="186"/>
        <v>ЭТАЖ НЕ ОПРЕДЕЛЕН. ПРИНЯТ ПО ДОПУЩЕНИЮ 1</v>
      </c>
      <c r="Q1717" s="13" t="str">
        <f t="shared" si="187"/>
        <v>ГОТОВ_ИЗМЕНЕН</v>
      </c>
      <c r="R1717" s="13">
        <f>IFERROR(VLOOKUP(P1717,Лист1!A$1:B$20,2,FALSE),0)</f>
        <v>788</v>
      </c>
      <c r="S1717" s="13">
        <f t="shared" si="188"/>
        <v>0</v>
      </c>
    </row>
    <row r="1718" spans="1:19" x14ac:dyDescent="0.25">
      <c r="A1718" s="24" t="s">
        <v>2845</v>
      </c>
      <c r="B1718" s="4" t="s">
        <v>1059</v>
      </c>
      <c r="C1718" s="25" t="s">
        <v>5</v>
      </c>
      <c r="G1718" s="25" t="s">
        <v>1108</v>
      </c>
      <c r="H1718" s="24" t="s">
        <v>1061</v>
      </c>
      <c r="I1718" s="3" t="str">
        <f>IFERROR(VLOOKUP(C1718,'Справочник соответствий'!A$2:D$2981,2,FALSE),IF(VALUE(C1718)=0,1,VLOOKUP(C1718,'Справочник соответствий'!A$2:D$2981,2,FALSE)))</f>
        <v>1</v>
      </c>
      <c r="J1718" s="3">
        <f>IFERROR(VLOOKUP(D1718,'Справочник соответствий'!A$2:D$2981,2,FALSE),IF(VALUE(D1718)=0,0,VLOOKUP(D1718,'Справочник соответствий'!A$2:D$2981,2,FALSE)))</f>
        <v>0</v>
      </c>
      <c r="K1718" s="3" t="str">
        <f t="shared" si="182"/>
        <v>1</v>
      </c>
      <c r="L1718" s="13" t="str">
        <f>IFERROR(VLOOKUP(C1718,'Справочник соответствий'!A$2:D$2981,3,FALSE),IF(VALUE(C1718)=0,"ЭТАЖ НЕ ОПРЕДЕЛЕН. ПРИНЯТ ПО ДОПУЩЕНИЮ 1",VLOOKUP(C1718,'Справочник соответствий'!A$2:D$2981,3,FALSE)))</f>
        <v>ЭТАЖ ЗАДАН ЧИСЛОМ</v>
      </c>
      <c r="M1718" s="13" t="b">
        <f t="shared" si="183"/>
        <v>0</v>
      </c>
      <c r="N1718" s="13">
        <f t="shared" si="184"/>
        <v>1</v>
      </c>
      <c r="O1718" s="13" t="str">
        <f t="shared" si="185"/>
        <v>ЭТАЖ ЗАДАН ЧИСЛОМ</v>
      </c>
      <c r="P1718" s="13" t="str">
        <f t="shared" si="186"/>
        <v>ЭТАЖ ЗАДАН ЧИСЛОМ</v>
      </c>
      <c r="Q1718" s="13" t="str">
        <f t="shared" si="187"/>
        <v>ГОТОВ_ИЗМЕНЕН</v>
      </c>
      <c r="R1718" s="13">
        <f>IFERROR(VLOOKUP(P1718,Лист1!A$1:B$20,2,FALSE),0)</f>
        <v>784</v>
      </c>
      <c r="S1718" s="13">
        <f t="shared" si="188"/>
        <v>0</v>
      </c>
    </row>
    <row r="1719" spans="1:19" x14ac:dyDescent="0.25">
      <c r="A1719" s="24" t="s">
        <v>2846</v>
      </c>
      <c r="B1719" s="4" t="s">
        <v>1059</v>
      </c>
      <c r="C1719" s="25" t="s">
        <v>5</v>
      </c>
      <c r="G1719" s="25" t="s">
        <v>1072</v>
      </c>
      <c r="H1719" s="24" t="s">
        <v>1061</v>
      </c>
      <c r="I1719" s="3" t="str">
        <f>IFERROR(VLOOKUP(C1719,'Справочник соответствий'!A$2:D$2981,2,FALSE),IF(VALUE(C1719)=0,1,VLOOKUP(C1719,'Справочник соответствий'!A$2:D$2981,2,FALSE)))</f>
        <v>1</v>
      </c>
      <c r="J1719" s="3">
        <f>IFERROR(VLOOKUP(D1719,'Справочник соответствий'!A$2:D$2981,2,FALSE),IF(VALUE(D1719)=0,0,VLOOKUP(D1719,'Справочник соответствий'!A$2:D$2981,2,FALSE)))</f>
        <v>0</v>
      </c>
      <c r="K1719" s="3" t="str">
        <f t="shared" si="182"/>
        <v>1</v>
      </c>
      <c r="L1719" s="13" t="str">
        <f>IFERROR(VLOOKUP(C1719,'Справочник соответствий'!A$2:D$2981,3,FALSE),IF(VALUE(C1719)=0,"ЭТАЖ НЕ ОПРЕДЕЛЕН. ПРИНЯТ ПО ДОПУЩЕНИЮ 1",VLOOKUP(C1719,'Справочник соответствий'!A$2:D$2981,3,FALSE)))</f>
        <v>ЭТАЖ ЗАДАН ЧИСЛОМ</v>
      </c>
      <c r="M1719" s="13" t="b">
        <f t="shared" si="183"/>
        <v>0</v>
      </c>
      <c r="N1719" s="13">
        <f t="shared" si="184"/>
        <v>1</v>
      </c>
      <c r="O1719" s="13" t="str">
        <f t="shared" si="185"/>
        <v>ЭТАЖ ЗАДАН ЧИСЛОМ</v>
      </c>
      <c r="P1719" s="13" t="str">
        <f t="shared" si="186"/>
        <v>ЭТАЖ ЗАДАН ЧИСЛОМ</v>
      </c>
      <c r="Q1719" s="13" t="str">
        <f t="shared" si="187"/>
        <v>ГОТОВ_ИЗМЕНЕН</v>
      </c>
      <c r="R1719" s="13">
        <f>IFERROR(VLOOKUP(P1719,Лист1!A$1:B$20,2,FALSE),0)</f>
        <v>784</v>
      </c>
      <c r="S1719" s="13">
        <f t="shared" si="188"/>
        <v>0</v>
      </c>
    </row>
    <row r="1720" spans="1:19" x14ac:dyDescent="0.25">
      <c r="A1720" s="24" t="s">
        <v>2847</v>
      </c>
      <c r="B1720" s="4" t="s">
        <v>1063</v>
      </c>
      <c r="G1720" s="25" t="s">
        <v>1072</v>
      </c>
      <c r="H1720" s="24" t="s">
        <v>1061</v>
      </c>
      <c r="I1720" s="3">
        <f>IFERROR(VLOOKUP(C1720,'Справочник соответствий'!A$2:D$2981,2,FALSE),IF(VALUE(C1720)=0,1,VLOOKUP(C1720,'Справочник соответствий'!A$2:D$2981,2,FALSE)))</f>
        <v>1</v>
      </c>
      <c r="J1720" s="3">
        <f>IFERROR(VLOOKUP(D1720,'Справочник соответствий'!A$2:D$2981,2,FALSE),IF(VALUE(D1720)=0,0,VLOOKUP(D1720,'Справочник соответствий'!A$2:D$2981,2,FALSE)))</f>
        <v>0</v>
      </c>
      <c r="K1720" s="3">
        <f t="shared" si="182"/>
        <v>1</v>
      </c>
      <c r="L1720" s="13" t="str">
        <f>IFERROR(VLOOKUP(C1720,'Справочник соответствий'!A$2:D$2981,3,FALSE),IF(VALUE(C1720)=0,"ЭТАЖ НЕ ОПРЕДЕЛЕН. ПРИНЯТ ПО ДОПУЩЕНИЮ 1",VLOOKUP(C1720,'Справочник соответствий'!A$2:D$2981,3,FALSE)))</f>
        <v>ЭТАЖ НЕ ОПРЕДЕЛЕН. ПРИНЯТ ПО ДОПУЩЕНИЮ 1</v>
      </c>
      <c r="M1720" s="13" t="b">
        <f t="shared" si="183"/>
        <v>0</v>
      </c>
      <c r="N1720" s="13">
        <f t="shared" si="184"/>
        <v>1</v>
      </c>
      <c r="O1720" s="13" t="str">
        <f t="shared" si="185"/>
        <v>ЭТАЖ НЕ ОПРЕДЕЛЕН. ПРИНЯТ ПО ДОПУЩЕНИЮ 1</v>
      </c>
      <c r="P1720" s="13" t="str">
        <f t="shared" si="186"/>
        <v>ЭТАЖ НЕ ОПРЕДЕЛЕН. ПРИНЯТ ПО ДОПУЩЕНИЮ 1</v>
      </c>
      <c r="Q1720" s="13" t="str">
        <f t="shared" si="187"/>
        <v>ГОТОВ_ИЗМЕНЕН</v>
      </c>
      <c r="R1720" s="13">
        <f>IFERROR(VLOOKUP(P1720,Лист1!A$1:B$20,2,FALSE),0)</f>
        <v>788</v>
      </c>
      <c r="S1720" s="13">
        <f t="shared" si="188"/>
        <v>0</v>
      </c>
    </row>
    <row r="1721" spans="1:19" x14ac:dyDescent="0.25">
      <c r="A1721" s="24" t="s">
        <v>2848</v>
      </c>
      <c r="B1721" s="4" t="s">
        <v>1063</v>
      </c>
      <c r="C1721" s="25" t="s">
        <v>205</v>
      </c>
      <c r="D1721" s="25" t="s">
        <v>5</v>
      </c>
      <c r="G1721" s="25" t="s">
        <v>1104</v>
      </c>
      <c r="H1721" s="24" t="s">
        <v>1061</v>
      </c>
      <c r="I1721" s="3" t="str">
        <f>IFERROR(VLOOKUP(C1721,'Справочник соответствий'!A$2:D$2981,2,FALSE),IF(VALUE(C1721)=0,1,VLOOKUP(C1721,'Справочник соответствий'!A$2:D$2981,2,FALSE)))</f>
        <v>15</v>
      </c>
      <c r="J1721" s="3" t="str">
        <f>IFERROR(VLOOKUP(D1721,'Справочник соответствий'!A$2:D$2981,2,FALSE),IF(VALUE(D1721)=0,0,VLOOKUP(D1721,'Справочник соответствий'!A$2:D$2981,2,FALSE)))</f>
        <v>1</v>
      </c>
      <c r="K1721" s="3" t="str">
        <f t="shared" si="182"/>
        <v>15</v>
      </c>
      <c r="L1721" s="13" t="str">
        <f>IFERROR(VLOOKUP(C1721,'Справочник соответствий'!A$2:D$2981,3,FALSE),IF(VALUE(C1721)=0,"ЭТАЖ НЕ ОПРЕДЕЛЕН. ПРИНЯТ ПО ДОПУЩЕНИЮ 1",VLOOKUP(C1721,'Справочник соответствий'!A$2:D$2981,3,FALSE)))</f>
        <v>СПРАВОЧНИК ЭТАЖНОСТИ</v>
      </c>
      <c r="M1721" s="13" t="b">
        <f t="shared" si="183"/>
        <v>0</v>
      </c>
      <c r="N1721" s="13">
        <f t="shared" si="184"/>
        <v>15</v>
      </c>
      <c r="O1721" s="13" t="str">
        <f t="shared" si="185"/>
        <v>СПРАВОЧНИК ЭТАЖНОСТИ</v>
      </c>
      <c r="P1721" s="13" t="str">
        <f t="shared" si="186"/>
        <v>СПРАВОЧНИК ЭТАЖНОСТИ</v>
      </c>
      <c r="Q1721" s="13" t="str">
        <f t="shared" si="187"/>
        <v>ГОТОВ_ИЗМЕНЕН</v>
      </c>
      <c r="R1721" s="13">
        <f>IFERROR(VLOOKUP(P1721,Лист1!A$1:B$20,2,FALSE),0)</f>
        <v>785</v>
      </c>
      <c r="S1721" s="13">
        <f t="shared" si="188"/>
        <v>0</v>
      </c>
    </row>
    <row r="1722" spans="1:19" x14ac:dyDescent="0.25">
      <c r="A1722" s="24" t="s">
        <v>2849</v>
      </c>
      <c r="B1722" s="4" t="s">
        <v>1059</v>
      </c>
      <c r="C1722" s="25" t="s">
        <v>5</v>
      </c>
      <c r="G1722" s="25" t="s">
        <v>1069</v>
      </c>
      <c r="H1722" s="24" t="s">
        <v>1061</v>
      </c>
      <c r="I1722" s="3" t="str">
        <f>IFERROR(VLOOKUP(C1722,'Справочник соответствий'!A$2:D$2981,2,FALSE),IF(VALUE(C1722)=0,1,VLOOKUP(C1722,'Справочник соответствий'!A$2:D$2981,2,FALSE)))</f>
        <v>1</v>
      </c>
      <c r="J1722" s="3">
        <f>IFERROR(VLOOKUP(D1722,'Справочник соответствий'!A$2:D$2981,2,FALSE),IF(VALUE(D1722)=0,0,VLOOKUP(D1722,'Справочник соответствий'!A$2:D$2981,2,FALSE)))</f>
        <v>0</v>
      </c>
      <c r="K1722" s="3" t="str">
        <f t="shared" si="182"/>
        <v>1</v>
      </c>
      <c r="L1722" s="13" t="str">
        <f>IFERROR(VLOOKUP(C1722,'Справочник соответствий'!A$2:D$2981,3,FALSE),IF(VALUE(C1722)=0,"ЭТАЖ НЕ ОПРЕДЕЛЕН. ПРИНЯТ ПО ДОПУЩЕНИЮ 1",VLOOKUP(C1722,'Справочник соответствий'!A$2:D$2981,3,FALSE)))</f>
        <v>ЭТАЖ ЗАДАН ЧИСЛОМ</v>
      </c>
      <c r="M1722" s="13" t="b">
        <f t="shared" si="183"/>
        <v>0</v>
      </c>
      <c r="N1722" s="13">
        <f t="shared" si="184"/>
        <v>1</v>
      </c>
      <c r="O1722" s="13" t="str">
        <f t="shared" si="185"/>
        <v>ЭТАЖ ЗАДАН ЧИСЛОМ</v>
      </c>
      <c r="P1722" s="13" t="str">
        <f t="shared" si="186"/>
        <v>ЭТАЖ ЗАДАН ЧИСЛОМ</v>
      </c>
      <c r="Q1722" s="13" t="str">
        <f t="shared" si="187"/>
        <v>ГОТОВ_ИЗМЕНЕН</v>
      </c>
      <c r="R1722" s="13">
        <f>IFERROR(VLOOKUP(P1722,Лист1!A$1:B$20,2,FALSE),0)</f>
        <v>784</v>
      </c>
      <c r="S1722" s="13">
        <f t="shared" si="188"/>
        <v>0</v>
      </c>
    </row>
    <row r="1723" spans="1:19" x14ac:dyDescent="0.25">
      <c r="A1723" s="24" t="s">
        <v>2850</v>
      </c>
      <c r="B1723" s="4" t="s">
        <v>1059</v>
      </c>
      <c r="C1723" s="25" t="s">
        <v>7</v>
      </c>
      <c r="G1723" s="25" t="s">
        <v>1069</v>
      </c>
      <c r="H1723" s="24" t="s">
        <v>1061</v>
      </c>
      <c r="I1723" s="3" t="str">
        <f>IFERROR(VLOOKUP(C1723,'Справочник соответствий'!A$2:D$2981,2,FALSE),IF(VALUE(C1723)=0,1,VLOOKUP(C1723,'Справочник соответствий'!A$2:D$2981,2,FALSE)))</f>
        <v>2</v>
      </c>
      <c r="J1723" s="3">
        <f>IFERROR(VLOOKUP(D1723,'Справочник соответствий'!A$2:D$2981,2,FALSE),IF(VALUE(D1723)=0,0,VLOOKUP(D1723,'Справочник соответствий'!A$2:D$2981,2,FALSE)))</f>
        <v>0</v>
      </c>
      <c r="K1723" s="3" t="str">
        <f t="shared" si="182"/>
        <v>2</v>
      </c>
      <c r="L1723" s="13" t="str">
        <f>IFERROR(VLOOKUP(C1723,'Справочник соответствий'!A$2:D$2981,3,FALSE),IF(VALUE(C1723)=0,"ЭТАЖ НЕ ОПРЕДЕЛЕН. ПРИНЯТ ПО ДОПУЩЕНИЮ 1",VLOOKUP(C1723,'Справочник соответствий'!A$2:D$2981,3,FALSE)))</f>
        <v>ЭТАЖ ЗАДАН ЧИСЛОМ</v>
      </c>
      <c r="M1723" s="13" t="b">
        <f t="shared" si="183"/>
        <v>0</v>
      </c>
      <c r="N1723" s="13">
        <f t="shared" si="184"/>
        <v>2</v>
      </c>
      <c r="O1723" s="13" t="str">
        <f t="shared" si="185"/>
        <v>ЭТАЖ ЗАДАН ЧИСЛОМ</v>
      </c>
      <c r="P1723" s="13" t="str">
        <f t="shared" si="186"/>
        <v>ЭТАЖ ЗАДАН ЧИСЛОМ</v>
      </c>
      <c r="Q1723" s="13" t="str">
        <f t="shared" si="187"/>
        <v>ГОТОВ_ИЗМЕНЕН</v>
      </c>
      <c r="R1723" s="13">
        <f>IFERROR(VLOOKUP(P1723,Лист1!A$1:B$20,2,FALSE),0)</f>
        <v>784</v>
      </c>
      <c r="S1723" s="13">
        <f t="shared" si="188"/>
        <v>0</v>
      </c>
    </row>
    <row r="1724" spans="1:19" x14ac:dyDescent="0.25">
      <c r="A1724" s="24" t="s">
        <v>2851</v>
      </c>
      <c r="B1724" s="4" t="s">
        <v>1059</v>
      </c>
      <c r="C1724" s="25" t="s">
        <v>5</v>
      </c>
      <c r="G1724" s="25" t="s">
        <v>1069</v>
      </c>
      <c r="H1724" s="24" t="s">
        <v>1061</v>
      </c>
      <c r="I1724" s="3" t="str">
        <f>IFERROR(VLOOKUP(C1724,'Справочник соответствий'!A$2:D$2981,2,FALSE),IF(VALUE(C1724)=0,1,VLOOKUP(C1724,'Справочник соответствий'!A$2:D$2981,2,FALSE)))</f>
        <v>1</v>
      </c>
      <c r="J1724" s="3">
        <f>IFERROR(VLOOKUP(D1724,'Справочник соответствий'!A$2:D$2981,2,FALSE),IF(VALUE(D1724)=0,0,VLOOKUP(D1724,'Справочник соответствий'!A$2:D$2981,2,FALSE)))</f>
        <v>0</v>
      </c>
      <c r="K1724" s="3" t="str">
        <f t="shared" si="182"/>
        <v>1</v>
      </c>
      <c r="L1724" s="13" t="str">
        <f>IFERROR(VLOOKUP(C1724,'Справочник соответствий'!A$2:D$2981,3,FALSE),IF(VALUE(C1724)=0,"ЭТАЖ НЕ ОПРЕДЕЛЕН. ПРИНЯТ ПО ДОПУЩЕНИЮ 1",VLOOKUP(C1724,'Справочник соответствий'!A$2:D$2981,3,FALSE)))</f>
        <v>ЭТАЖ ЗАДАН ЧИСЛОМ</v>
      </c>
      <c r="M1724" s="13" t="b">
        <f t="shared" si="183"/>
        <v>0</v>
      </c>
      <c r="N1724" s="13">
        <f t="shared" si="184"/>
        <v>1</v>
      </c>
      <c r="O1724" s="13" t="str">
        <f t="shared" si="185"/>
        <v>ЭТАЖ ЗАДАН ЧИСЛОМ</v>
      </c>
      <c r="P1724" s="13" t="str">
        <f t="shared" si="186"/>
        <v>ЭТАЖ ЗАДАН ЧИСЛОМ</v>
      </c>
      <c r="Q1724" s="13" t="str">
        <f t="shared" si="187"/>
        <v>ГОТОВ_ИЗМЕНЕН</v>
      </c>
      <c r="R1724" s="13">
        <f>IFERROR(VLOOKUP(P1724,Лист1!A$1:B$20,2,FALSE),0)</f>
        <v>784</v>
      </c>
      <c r="S1724" s="13">
        <f t="shared" si="188"/>
        <v>0</v>
      </c>
    </row>
    <row r="1725" spans="1:19" x14ac:dyDescent="0.25">
      <c r="A1725" s="24" t="s">
        <v>2852</v>
      </c>
      <c r="B1725" s="4" t="s">
        <v>1059</v>
      </c>
      <c r="C1725" s="25" t="s">
        <v>5</v>
      </c>
      <c r="G1725" s="25" t="s">
        <v>1064</v>
      </c>
      <c r="H1725" s="24" t="s">
        <v>1061</v>
      </c>
      <c r="I1725" s="3" t="str">
        <f>IFERROR(VLOOKUP(C1725,'Справочник соответствий'!A$2:D$2981,2,FALSE),IF(VALUE(C1725)=0,1,VLOOKUP(C1725,'Справочник соответствий'!A$2:D$2981,2,FALSE)))</f>
        <v>1</v>
      </c>
      <c r="J1725" s="3">
        <f>IFERROR(VLOOKUP(D1725,'Справочник соответствий'!A$2:D$2981,2,FALSE),IF(VALUE(D1725)=0,0,VLOOKUP(D1725,'Справочник соответствий'!A$2:D$2981,2,FALSE)))</f>
        <v>0</v>
      </c>
      <c r="K1725" s="3" t="str">
        <f t="shared" si="182"/>
        <v>1</v>
      </c>
      <c r="L1725" s="13" t="str">
        <f>IFERROR(VLOOKUP(C1725,'Справочник соответствий'!A$2:D$2981,3,FALSE),IF(VALUE(C1725)=0,"ЭТАЖ НЕ ОПРЕДЕЛЕН. ПРИНЯТ ПО ДОПУЩЕНИЮ 1",VLOOKUP(C1725,'Справочник соответствий'!A$2:D$2981,3,FALSE)))</f>
        <v>ЭТАЖ ЗАДАН ЧИСЛОМ</v>
      </c>
      <c r="M1725" s="13" t="b">
        <f t="shared" si="183"/>
        <v>0</v>
      </c>
      <c r="N1725" s="13">
        <f t="shared" si="184"/>
        <v>1</v>
      </c>
      <c r="O1725" s="13" t="str">
        <f t="shared" si="185"/>
        <v>ЭТАЖ ЗАДАН ЧИСЛОМ</v>
      </c>
      <c r="P1725" s="13" t="str">
        <f t="shared" si="186"/>
        <v>ЭТАЖ ЗАДАН ЧИСЛОМ</v>
      </c>
      <c r="Q1725" s="13" t="str">
        <f t="shared" si="187"/>
        <v>ГОТОВ_ИЗМЕНЕН</v>
      </c>
      <c r="R1725" s="13">
        <f>IFERROR(VLOOKUP(P1725,Лист1!A$1:B$20,2,FALSE),0)</f>
        <v>784</v>
      </c>
      <c r="S1725" s="13">
        <f t="shared" si="188"/>
        <v>0</v>
      </c>
    </row>
    <row r="1726" spans="1:19" x14ac:dyDescent="0.25">
      <c r="A1726" s="24" t="s">
        <v>2853</v>
      </c>
      <c r="B1726" s="4" t="s">
        <v>1031</v>
      </c>
      <c r="C1726" s="25" t="s">
        <v>12</v>
      </c>
      <c r="G1726" s="25" t="s">
        <v>1072</v>
      </c>
      <c r="H1726" s="24" t="s">
        <v>1061</v>
      </c>
      <c r="I1726" s="3" t="str">
        <f>IFERROR(VLOOKUP(C1726,'Справочник соответствий'!A$2:D$2981,2,FALSE),IF(VALUE(C1726)=0,1,VLOOKUP(C1726,'Справочник соответствий'!A$2:D$2981,2,FALSE)))</f>
        <v>4</v>
      </c>
      <c r="J1726" s="3">
        <f>IFERROR(VLOOKUP(D1726,'Справочник соответствий'!A$2:D$2981,2,FALSE),IF(VALUE(D1726)=0,0,VLOOKUP(D1726,'Справочник соответствий'!A$2:D$2981,2,FALSE)))</f>
        <v>0</v>
      </c>
      <c r="K1726" s="3">
        <f t="shared" si="182"/>
        <v>4</v>
      </c>
      <c r="L1726" s="13" t="str">
        <f>IFERROR(VLOOKUP(C1726,'Справочник соответствий'!A$2:D$2981,3,FALSE),IF(VALUE(C1726)=0,"ЭТАЖ НЕ ОПРЕДЕЛЕН. ПРИНЯТ ПО ДОПУЩЕНИЮ 1",VLOOKUP(C1726,'Справочник соответствий'!A$2:D$2981,3,FALSE)))</f>
        <v>ЭТАЖ ЗАДАН ЧИСЛОМ</v>
      </c>
      <c r="M1726" s="13" t="b">
        <f t="shared" si="183"/>
        <v>0</v>
      </c>
      <c r="N1726" s="13">
        <f t="shared" si="184"/>
        <v>4</v>
      </c>
      <c r="O1726" s="13" t="str">
        <f t="shared" si="185"/>
        <v>ЭТАЖ ЗАДАН ЧИСЛОМ</v>
      </c>
      <c r="P1726" s="13" t="str">
        <f t="shared" si="186"/>
        <v>МКД_ЭТАЖ ЗАДАН ЧИСЛОМ</v>
      </c>
      <c r="Q1726" s="13" t="str">
        <f t="shared" si="187"/>
        <v>ГОТОВ_ИЗМЕНЕН</v>
      </c>
      <c r="R1726" s="13">
        <f>IFERROR(VLOOKUP(P1726,Лист1!A$1:B$20,2,FALSE),0)</f>
        <v>786</v>
      </c>
      <c r="S1726" s="13">
        <f t="shared" si="188"/>
        <v>0</v>
      </c>
    </row>
    <row r="1727" spans="1:19" x14ac:dyDescent="0.25">
      <c r="A1727" s="24" t="s">
        <v>2854</v>
      </c>
      <c r="B1727" s="4" t="s">
        <v>1059</v>
      </c>
      <c r="C1727" s="25" t="s">
        <v>8</v>
      </c>
      <c r="G1727" s="25" t="s">
        <v>1174</v>
      </c>
      <c r="H1727" s="24" t="s">
        <v>1061</v>
      </c>
      <c r="I1727" s="3" t="str">
        <f>IFERROR(VLOOKUP(C1727,'Справочник соответствий'!A$2:D$2981,2,FALSE),IF(VALUE(C1727)=0,1,VLOOKUP(C1727,'Справочник соответствий'!A$2:D$2981,2,FALSE)))</f>
        <v>3</v>
      </c>
      <c r="J1727" s="3">
        <f>IFERROR(VLOOKUP(D1727,'Справочник соответствий'!A$2:D$2981,2,FALSE),IF(VALUE(D1727)=0,0,VLOOKUP(D1727,'Справочник соответствий'!A$2:D$2981,2,FALSE)))</f>
        <v>0</v>
      </c>
      <c r="K1727" s="3" t="str">
        <f t="shared" si="182"/>
        <v>3</v>
      </c>
      <c r="L1727" s="13" t="str">
        <f>IFERROR(VLOOKUP(C1727,'Справочник соответствий'!A$2:D$2981,3,FALSE),IF(VALUE(C1727)=0,"ЭТАЖ НЕ ОПРЕДЕЛЕН. ПРИНЯТ ПО ДОПУЩЕНИЮ 1",VLOOKUP(C1727,'Справочник соответствий'!A$2:D$2981,3,FALSE)))</f>
        <v>ЭТАЖ ЗАДАН ЧИСЛОМ</v>
      </c>
      <c r="M1727" s="13" t="b">
        <f t="shared" si="183"/>
        <v>0</v>
      </c>
      <c r="N1727" s="13">
        <f t="shared" si="184"/>
        <v>3</v>
      </c>
      <c r="O1727" s="13" t="str">
        <f t="shared" si="185"/>
        <v>ЭТАЖ ЗАДАН ЧИСЛОМ</v>
      </c>
      <c r="P1727" s="13" t="str">
        <f t="shared" si="186"/>
        <v>ЭТАЖ ЗАДАН ЧИСЛОМ</v>
      </c>
      <c r="Q1727" s="13" t="str">
        <f t="shared" si="187"/>
        <v>ГОТОВ_ИЗМЕНЕН</v>
      </c>
      <c r="R1727" s="13">
        <f>IFERROR(VLOOKUP(P1727,Лист1!A$1:B$20,2,FALSE),0)</f>
        <v>784</v>
      </c>
      <c r="S1727" s="13">
        <f t="shared" si="188"/>
        <v>0</v>
      </c>
    </row>
    <row r="1728" spans="1:19" x14ac:dyDescent="0.25">
      <c r="A1728" s="24" t="s">
        <v>2855</v>
      </c>
      <c r="B1728" s="4" t="s">
        <v>1031</v>
      </c>
      <c r="C1728" s="25" t="s">
        <v>12</v>
      </c>
      <c r="D1728" s="25" t="s">
        <v>5</v>
      </c>
      <c r="G1728" s="25" t="s">
        <v>1069</v>
      </c>
      <c r="H1728" s="24" t="s">
        <v>1061</v>
      </c>
      <c r="I1728" s="3" t="str">
        <f>IFERROR(VLOOKUP(C1728,'Справочник соответствий'!A$2:D$2981,2,FALSE),IF(VALUE(C1728)=0,1,VLOOKUP(C1728,'Справочник соответствий'!A$2:D$2981,2,FALSE)))</f>
        <v>4</v>
      </c>
      <c r="J1728" s="3" t="str">
        <f>IFERROR(VLOOKUP(D1728,'Справочник соответствий'!A$2:D$2981,2,FALSE),IF(VALUE(D1728)=0,0,VLOOKUP(D1728,'Справочник соответствий'!A$2:D$2981,2,FALSE)))</f>
        <v>1</v>
      </c>
      <c r="K1728" s="3">
        <f t="shared" si="182"/>
        <v>3</v>
      </c>
      <c r="L1728" s="13" t="str">
        <f>IFERROR(VLOOKUP(C1728,'Справочник соответствий'!A$2:D$2981,3,FALSE),IF(VALUE(C1728)=0,"ЭТАЖ НЕ ОПРЕДЕЛЕН. ПРИНЯТ ПО ДОПУЩЕНИЮ 1",VLOOKUP(C1728,'Справочник соответствий'!A$2:D$2981,3,FALSE)))</f>
        <v>ЭТАЖ ЗАДАН ЧИСЛОМ</v>
      </c>
      <c r="M1728" s="13" t="b">
        <f t="shared" si="183"/>
        <v>0</v>
      </c>
      <c r="N1728" s="13">
        <f t="shared" si="184"/>
        <v>3</v>
      </c>
      <c r="O1728" s="13" t="str">
        <f t="shared" si="185"/>
        <v>ЭТАЖ ЗАДАН ЧИСЛОМ</v>
      </c>
      <c r="P1728" s="13" t="str">
        <f t="shared" si="186"/>
        <v>МКД_ЭТАЖ ЗАДАН ЧИСЛОМ</v>
      </c>
      <c r="Q1728" s="13" t="str">
        <f t="shared" si="187"/>
        <v>ГОТОВ_ИЗМЕНЕН</v>
      </c>
      <c r="R1728" s="13">
        <f>IFERROR(VLOOKUP(P1728,Лист1!A$1:B$20,2,FALSE),0)</f>
        <v>786</v>
      </c>
      <c r="S1728" s="13">
        <f t="shared" si="188"/>
        <v>0</v>
      </c>
    </row>
    <row r="1729" spans="1:19" x14ac:dyDescent="0.25">
      <c r="A1729" s="24" t="s">
        <v>2856</v>
      </c>
      <c r="B1729" s="4" t="s">
        <v>1063</v>
      </c>
      <c r="C1729" s="25" t="s">
        <v>5</v>
      </c>
      <c r="G1729" s="25" t="s">
        <v>1069</v>
      </c>
      <c r="H1729" s="24" t="s">
        <v>1061</v>
      </c>
      <c r="I1729" s="3" t="str">
        <f>IFERROR(VLOOKUP(C1729,'Справочник соответствий'!A$2:D$2981,2,FALSE),IF(VALUE(C1729)=0,1,VLOOKUP(C1729,'Справочник соответствий'!A$2:D$2981,2,FALSE)))</f>
        <v>1</v>
      </c>
      <c r="J1729" s="3">
        <f>IFERROR(VLOOKUP(D1729,'Справочник соответствий'!A$2:D$2981,2,FALSE),IF(VALUE(D1729)=0,0,VLOOKUP(D1729,'Справочник соответствий'!A$2:D$2981,2,FALSE)))</f>
        <v>0</v>
      </c>
      <c r="K1729" s="3" t="str">
        <f t="shared" si="182"/>
        <v>1</v>
      </c>
      <c r="L1729" s="13" t="str">
        <f>IFERROR(VLOOKUP(C1729,'Справочник соответствий'!A$2:D$2981,3,FALSE),IF(VALUE(C1729)=0,"ЭТАЖ НЕ ОПРЕДЕЛЕН. ПРИНЯТ ПО ДОПУЩЕНИЮ 1",VLOOKUP(C1729,'Справочник соответствий'!A$2:D$2981,3,FALSE)))</f>
        <v>ЭТАЖ ЗАДАН ЧИСЛОМ</v>
      </c>
      <c r="M1729" s="13" t="b">
        <f t="shared" si="183"/>
        <v>0</v>
      </c>
      <c r="N1729" s="13">
        <f t="shared" si="184"/>
        <v>1</v>
      </c>
      <c r="O1729" s="13" t="str">
        <f t="shared" si="185"/>
        <v>ЭТАЖ ЗАДАН ЧИСЛОМ</v>
      </c>
      <c r="P1729" s="13" t="str">
        <f t="shared" si="186"/>
        <v>ЭТАЖ ЗАДАН ЧИСЛОМ</v>
      </c>
      <c r="Q1729" s="13" t="str">
        <f t="shared" si="187"/>
        <v>ГОТОВ_ИЗМЕНЕН</v>
      </c>
      <c r="R1729" s="13">
        <f>IFERROR(VLOOKUP(P1729,Лист1!A$1:B$20,2,FALSE),0)</f>
        <v>784</v>
      </c>
      <c r="S1729" s="13">
        <f t="shared" si="188"/>
        <v>0</v>
      </c>
    </row>
    <row r="1730" spans="1:19" x14ac:dyDescent="0.25">
      <c r="A1730" s="24" t="s">
        <v>2857</v>
      </c>
      <c r="B1730" s="4" t="s">
        <v>1059</v>
      </c>
      <c r="C1730" s="25" t="s">
        <v>5</v>
      </c>
      <c r="G1730" s="25" t="s">
        <v>1089</v>
      </c>
      <c r="H1730" s="24" t="s">
        <v>1061</v>
      </c>
      <c r="I1730" s="3" t="str">
        <f>IFERROR(VLOOKUP(C1730,'Справочник соответствий'!A$2:D$2981,2,FALSE),IF(VALUE(C1730)=0,1,VLOOKUP(C1730,'Справочник соответствий'!A$2:D$2981,2,FALSE)))</f>
        <v>1</v>
      </c>
      <c r="J1730" s="3">
        <f>IFERROR(VLOOKUP(D1730,'Справочник соответствий'!A$2:D$2981,2,FALSE),IF(VALUE(D1730)=0,0,VLOOKUP(D1730,'Справочник соответствий'!A$2:D$2981,2,FALSE)))</f>
        <v>0</v>
      </c>
      <c r="K1730" s="3" t="str">
        <f t="shared" si="182"/>
        <v>1</v>
      </c>
      <c r="L1730" s="13" t="str">
        <f>IFERROR(VLOOKUP(C1730,'Справочник соответствий'!A$2:D$2981,3,FALSE),IF(VALUE(C1730)=0,"ЭТАЖ НЕ ОПРЕДЕЛЕН. ПРИНЯТ ПО ДОПУЩЕНИЮ 1",VLOOKUP(C1730,'Справочник соответствий'!A$2:D$2981,3,FALSE)))</f>
        <v>ЭТАЖ ЗАДАН ЧИСЛОМ</v>
      </c>
      <c r="M1730" s="13" t="b">
        <f t="shared" si="183"/>
        <v>0</v>
      </c>
      <c r="N1730" s="13">
        <f t="shared" si="184"/>
        <v>1</v>
      </c>
      <c r="O1730" s="13" t="str">
        <f t="shared" si="185"/>
        <v>ЭТАЖ ЗАДАН ЧИСЛОМ</v>
      </c>
      <c r="P1730" s="13" t="str">
        <f t="shared" si="186"/>
        <v>ЭТАЖ ЗАДАН ЧИСЛОМ</v>
      </c>
      <c r="Q1730" s="13" t="str">
        <f t="shared" si="187"/>
        <v>ГОТОВ_ИЗМЕНЕН</v>
      </c>
      <c r="R1730" s="13">
        <f>IFERROR(VLOOKUP(P1730,Лист1!A$1:B$20,2,FALSE),0)</f>
        <v>784</v>
      </c>
      <c r="S1730" s="13">
        <f t="shared" si="188"/>
        <v>0</v>
      </c>
    </row>
    <row r="1731" spans="1:19" x14ac:dyDescent="0.25">
      <c r="A1731" s="24" t="s">
        <v>2858</v>
      </c>
      <c r="B1731" s="4" t="s">
        <v>1063</v>
      </c>
      <c r="G1731" s="25" t="s">
        <v>1069</v>
      </c>
      <c r="H1731" s="24" t="s">
        <v>1061</v>
      </c>
      <c r="I1731" s="3">
        <f>IFERROR(VLOOKUP(C1731,'Справочник соответствий'!A$2:D$2981,2,FALSE),IF(VALUE(C1731)=0,1,VLOOKUP(C1731,'Справочник соответствий'!A$2:D$2981,2,FALSE)))</f>
        <v>1</v>
      </c>
      <c r="J1731" s="3">
        <f>IFERROR(VLOOKUP(D1731,'Справочник соответствий'!A$2:D$2981,2,FALSE),IF(VALUE(D1731)=0,0,VLOOKUP(D1731,'Справочник соответствий'!A$2:D$2981,2,FALSE)))</f>
        <v>0</v>
      </c>
      <c r="K1731" s="3">
        <f t="shared" si="182"/>
        <v>1</v>
      </c>
      <c r="L1731" s="13" t="str">
        <f>IFERROR(VLOOKUP(C1731,'Справочник соответствий'!A$2:D$2981,3,FALSE),IF(VALUE(C1731)=0,"ЭТАЖ НЕ ОПРЕДЕЛЕН. ПРИНЯТ ПО ДОПУЩЕНИЮ 1",VLOOKUP(C1731,'Справочник соответствий'!A$2:D$2981,3,FALSE)))</f>
        <v>ЭТАЖ НЕ ОПРЕДЕЛЕН. ПРИНЯТ ПО ДОПУЩЕНИЮ 1</v>
      </c>
      <c r="M1731" s="13" t="b">
        <f t="shared" si="183"/>
        <v>0</v>
      </c>
      <c r="N1731" s="13">
        <f t="shared" si="184"/>
        <v>1</v>
      </c>
      <c r="O1731" s="13" t="str">
        <f t="shared" si="185"/>
        <v>ЭТАЖ НЕ ОПРЕДЕЛЕН. ПРИНЯТ ПО ДОПУЩЕНИЮ 1</v>
      </c>
      <c r="P1731" s="13" t="str">
        <f t="shared" si="186"/>
        <v>ЭТАЖ НЕ ОПРЕДЕЛЕН. ПРИНЯТ ПО ДОПУЩЕНИЮ 1</v>
      </c>
      <c r="Q1731" s="13" t="str">
        <f t="shared" si="187"/>
        <v>ГОТОВ_ИЗМЕНЕН</v>
      </c>
      <c r="R1731" s="13">
        <f>IFERROR(VLOOKUP(P1731,Лист1!A$1:B$20,2,FALSE),0)</f>
        <v>788</v>
      </c>
      <c r="S1731" s="13">
        <f t="shared" si="188"/>
        <v>0</v>
      </c>
    </row>
    <row r="1732" spans="1:19" x14ac:dyDescent="0.25">
      <c r="A1732" s="24" t="s">
        <v>2859</v>
      </c>
      <c r="B1732" s="4" t="s">
        <v>1059</v>
      </c>
      <c r="C1732" s="25" t="s">
        <v>7</v>
      </c>
      <c r="G1732" s="25" t="s">
        <v>1174</v>
      </c>
      <c r="H1732" s="24" t="s">
        <v>1061</v>
      </c>
      <c r="I1732" s="3" t="str">
        <f>IFERROR(VLOOKUP(C1732,'Справочник соответствий'!A$2:D$2981,2,FALSE),IF(VALUE(C1732)=0,1,VLOOKUP(C1732,'Справочник соответствий'!A$2:D$2981,2,FALSE)))</f>
        <v>2</v>
      </c>
      <c r="J1732" s="3">
        <f>IFERROR(VLOOKUP(D1732,'Справочник соответствий'!A$2:D$2981,2,FALSE),IF(VALUE(D1732)=0,0,VLOOKUP(D1732,'Справочник соответствий'!A$2:D$2981,2,FALSE)))</f>
        <v>0</v>
      </c>
      <c r="K1732" s="3" t="str">
        <f t="shared" si="182"/>
        <v>2</v>
      </c>
      <c r="L1732" s="13" t="str">
        <f>IFERROR(VLOOKUP(C1732,'Справочник соответствий'!A$2:D$2981,3,FALSE),IF(VALUE(C1732)=0,"ЭТАЖ НЕ ОПРЕДЕЛЕН. ПРИНЯТ ПО ДОПУЩЕНИЮ 1",VLOOKUP(C1732,'Справочник соответствий'!A$2:D$2981,3,FALSE)))</f>
        <v>ЭТАЖ ЗАДАН ЧИСЛОМ</v>
      </c>
      <c r="M1732" s="13" t="b">
        <f t="shared" si="183"/>
        <v>0</v>
      </c>
      <c r="N1732" s="13">
        <f t="shared" si="184"/>
        <v>2</v>
      </c>
      <c r="O1732" s="13" t="str">
        <f t="shared" si="185"/>
        <v>ЭТАЖ ЗАДАН ЧИСЛОМ</v>
      </c>
      <c r="P1732" s="13" t="str">
        <f t="shared" si="186"/>
        <v>ЭТАЖ ЗАДАН ЧИСЛОМ</v>
      </c>
      <c r="Q1732" s="13" t="str">
        <f t="shared" si="187"/>
        <v>ГОТОВ_ИЗМЕНЕН</v>
      </c>
      <c r="R1732" s="13">
        <f>IFERROR(VLOOKUP(P1732,Лист1!A$1:B$20,2,FALSE),0)</f>
        <v>784</v>
      </c>
      <c r="S1732" s="13">
        <f t="shared" si="188"/>
        <v>0</v>
      </c>
    </row>
    <row r="1733" spans="1:19" x14ac:dyDescent="0.25">
      <c r="A1733" s="24" t="s">
        <v>2860</v>
      </c>
      <c r="B1733" s="4" t="s">
        <v>1059</v>
      </c>
      <c r="C1733" s="25" t="s">
        <v>7</v>
      </c>
      <c r="G1733" s="25" t="s">
        <v>1108</v>
      </c>
      <c r="H1733" s="24" t="s">
        <v>1061</v>
      </c>
      <c r="I1733" s="3" t="str">
        <f>IFERROR(VLOOKUP(C1733,'Справочник соответствий'!A$2:D$2981,2,FALSE),IF(VALUE(C1733)=0,1,VLOOKUP(C1733,'Справочник соответствий'!A$2:D$2981,2,FALSE)))</f>
        <v>2</v>
      </c>
      <c r="J1733" s="3">
        <f>IFERROR(VLOOKUP(D1733,'Справочник соответствий'!A$2:D$2981,2,FALSE),IF(VALUE(D1733)=0,0,VLOOKUP(D1733,'Справочник соответствий'!A$2:D$2981,2,FALSE)))</f>
        <v>0</v>
      </c>
      <c r="K1733" s="3" t="str">
        <f t="shared" ref="K1733:K1796" si="189">IF(B1733="Многоквартирный дом",IF(I1733-J1733&gt;0,I1733-J1733,1),I1733)</f>
        <v>2</v>
      </c>
      <c r="L1733" s="13" t="str">
        <f>IFERROR(VLOOKUP(C1733,'Справочник соответствий'!A$2:D$2981,3,FALSE),IF(VALUE(C1733)=0,"ЭТАЖ НЕ ОПРЕДЕЛЕН. ПРИНЯТ ПО ДОПУЩЕНИЮ 1",VLOOKUP(C1733,'Справочник соответствий'!A$2:D$2981,3,FALSE)))</f>
        <v>ЭТАЖ ЗАДАН ЧИСЛОМ</v>
      </c>
      <c r="M1733" s="13" t="b">
        <f t="shared" ref="M1733:M1796" si="190">I1733=E1733</f>
        <v>0</v>
      </c>
      <c r="N1733" s="13">
        <f t="shared" ref="N1733:N1796" si="191">IF(VALUE(E1733)=0,VALUE(K1733),IF(L1733="ЭТАЖ НЕ ОПРЕДЕЛЕН. ПРИНЯТ ПО ДОПУЩЕНИЮ 1",VALUE(E1733),VALUE(K1733)))</f>
        <v>2</v>
      </c>
      <c r="O1733" s="13" t="str">
        <f t="shared" ref="O1733:O1796" si="192">IF(VALUE(E1733)=0,L1733,IF(L1733="ЭТАЖ НЕ ОПРЕДЕЛЕН. ПРИНЯТ ПО ДОПУЩЕНИЮ 1",F1733,L1733))</f>
        <v>ЭТАЖ ЗАДАН ЧИСЛОМ</v>
      </c>
      <c r="P1733" s="13" t="str">
        <f t="shared" ref="P1733:P1796" si="193">IF(B1733="Многоквартирный дом",CONCATENATE("МКД_",O1733),O1733)</f>
        <v>ЭТАЖ ЗАДАН ЧИСЛОМ</v>
      </c>
      <c r="Q1733" s="13" t="str">
        <f t="shared" ref="Q1733:Q1796" si="194">IFERROR(IF(N1733&gt;0,IF(N1733=VALUE(E1733),"ГОТОВ","ГОТОВ_ИЗМЕНЕН"),"НЕ ГОТОВ"),"НЕ ГОТОВ")</f>
        <v>ГОТОВ_ИЗМЕНЕН</v>
      </c>
      <c r="R1733" s="13">
        <f>IFERROR(VLOOKUP(P1733,Лист1!A$1:B$20,2,FALSE),0)</f>
        <v>784</v>
      </c>
      <c r="S1733" s="13">
        <f t="shared" ref="S1733:S1796" si="195">VALUE(E1733)</f>
        <v>0</v>
      </c>
    </row>
    <row r="1734" spans="1:19" x14ac:dyDescent="0.25">
      <c r="A1734" s="24" t="s">
        <v>2861</v>
      </c>
      <c r="B1734" s="4" t="s">
        <v>1063</v>
      </c>
      <c r="C1734" s="25" t="s">
        <v>5</v>
      </c>
      <c r="G1734" s="25" t="s">
        <v>1072</v>
      </c>
      <c r="H1734" s="24" t="s">
        <v>1061</v>
      </c>
      <c r="I1734" s="3" t="str">
        <f>IFERROR(VLOOKUP(C1734,'Справочник соответствий'!A$2:D$2981,2,FALSE),IF(VALUE(C1734)=0,1,VLOOKUP(C1734,'Справочник соответствий'!A$2:D$2981,2,FALSE)))</f>
        <v>1</v>
      </c>
      <c r="J1734" s="3">
        <f>IFERROR(VLOOKUP(D1734,'Справочник соответствий'!A$2:D$2981,2,FALSE),IF(VALUE(D1734)=0,0,VLOOKUP(D1734,'Справочник соответствий'!A$2:D$2981,2,FALSE)))</f>
        <v>0</v>
      </c>
      <c r="K1734" s="3" t="str">
        <f t="shared" si="189"/>
        <v>1</v>
      </c>
      <c r="L1734" s="13" t="str">
        <f>IFERROR(VLOOKUP(C1734,'Справочник соответствий'!A$2:D$2981,3,FALSE),IF(VALUE(C1734)=0,"ЭТАЖ НЕ ОПРЕДЕЛЕН. ПРИНЯТ ПО ДОПУЩЕНИЮ 1",VLOOKUP(C1734,'Справочник соответствий'!A$2:D$2981,3,FALSE)))</f>
        <v>ЭТАЖ ЗАДАН ЧИСЛОМ</v>
      </c>
      <c r="M1734" s="13" t="b">
        <f t="shared" si="190"/>
        <v>0</v>
      </c>
      <c r="N1734" s="13">
        <f t="shared" si="191"/>
        <v>1</v>
      </c>
      <c r="O1734" s="13" t="str">
        <f t="shared" si="192"/>
        <v>ЭТАЖ ЗАДАН ЧИСЛОМ</v>
      </c>
      <c r="P1734" s="13" t="str">
        <f t="shared" si="193"/>
        <v>ЭТАЖ ЗАДАН ЧИСЛОМ</v>
      </c>
      <c r="Q1734" s="13" t="str">
        <f t="shared" si="194"/>
        <v>ГОТОВ_ИЗМЕНЕН</v>
      </c>
      <c r="R1734" s="13">
        <f>IFERROR(VLOOKUP(P1734,Лист1!A$1:B$20,2,FALSE),0)</f>
        <v>784</v>
      </c>
      <c r="S1734" s="13">
        <f t="shared" si="195"/>
        <v>0</v>
      </c>
    </row>
    <row r="1735" spans="1:19" x14ac:dyDescent="0.25">
      <c r="A1735" s="24" t="s">
        <v>2862</v>
      </c>
      <c r="B1735" s="4" t="s">
        <v>1059</v>
      </c>
      <c r="C1735" s="25" t="s">
        <v>5</v>
      </c>
      <c r="G1735" s="25" t="s">
        <v>1089</v>
      </c>
      <c r="H1735" s="24" t="s">
        <v>1061</v>
      </c>
      <c r="I1735" s="3" t="str">
        <f>IFERROR(VLOOKUP(C1735,'Справочник соответствий'!A$2:D$2981,2,FALSE),IF(VALUE(C1735)=0,1,VLOOKUP(C1735,'Справочник соответствий'!A$2:D$2981,2,FALSE)))</f>
        <v>1</v>
      </c>
      <c r="J1735" s="3">
        <f>IFERROR(VLOOKUP(D1735,'Справочник соответствий'!A$2:D$2981,2,FALSE),IF(VALUE(D1735)=0,0,VLOOKUP(D1735,'Справочник соответствий'!A$2:D$2981,2,FALSE)))</f>
        <v>0</v>
      </c>
      <c r="K1735" s="3" t="str">
        <f t="shared" si="189"/>
        <v>1</v>
      </c>
      <c r="L1735" s="13" t="str">
        <f>IFERROR(VLOOKUP(C1735,'Справочник соответствий'!A$2:D$2981,3,FALSE),IF(VALUE(C1735)=0,"ЭТАЖ НЕ ОПРЕДЕЛЕН. ПРИНЯТ ПО ДОПУЩЕНИЮ 1",VLOOKUP(C1735,'Справочник соответствий'!A$2:D$2981,3,FALSE)))</f>
        <v>ЭТАЖ ЗАДАН ЧИСЛОМ</v>
      </c>
      <c r="M1735" s="13" t="b">
        <f t="shared" si="190"/>
        <v>0</v>
      </c>
      <c r="N1735" s="13">
        <f t="shared" si="191"/>
        <v>1</v>
      </c>
      <c r="O1735" s="13" t="str">
        <f t="shared" si="192"/>
        <v>ЭТАЖ ЗАДАН ЧИСЛОМ</v>
      </c>
      <c r="P1735" s="13" t="str">
        <f t="shared" si="193"/>
        <v>ЭТАЖ ЗАДАН ЧИСЛОМ</v>
      </c>
      <c r="Q1735" s="13" t="str">
        <f t="shared" si="194"/>
        <v>ГОТОВ_ИЗМЕНЕН</v>
      </c>
      <c r="R1735" s="13">
        <f>IFERROR(VLOOKUP(P1735,Лист1!A$1:B$20,2,FALSE),0)</f>
        <v>784</v>
      </c>
      <c r="S1735" s="13">
        <f t="shared" si="195"/>
        <v>0</v>
      </c>
    </row>
    <row r="1736" spans="1:19" x14ac:dyDescent="0.25">
      <c r="A1736" s="24" t="s">
        <v>2863</v>
      </c>
      <c r="B1736" s="4" t="s">
        <v>1059</v>
      </c>
      <c r="C1736" s="25" t="s">
        <v>7</v>
      </c>
      <c r="G1736" s="25" t="s">
        <v>1108</v>
      </c>
      <c r="H1736" s="24" t="s">
        <v>1061</v>
      </c>
      <c r="I1736" s="3" t="str">
        <f>IFERROR(VLOOKUP(C1736,'Справочник соответствий'!A$2:D$2981,2,FALSE),IF(VALUE(C1736)=0,1,VLOOKUP(C1736,'Справочник соответствий'!A$2:D$2981,2,FALSE)))</f>
        <v>2</v>
      </c>
      <c r="J1736" s="3">
        <f>IFERROR(VLOOKUP(D1736,'Справочник соответствий'!A$2:D$2981,2,FALSE),IF(VALUE(D1736)=0,0,VLOOKUP(D1736,'Справочник соответствий'!A$2:D$2981,2,FALSE)))</f>
        <v>0</v>
      </c>
      <c r="K1736" s="3" t="str">
        <f t="shared" si="189"/>
        <v>2</v>
      </c>
      <c r="L1736" s="13" t="str">
        <f>IFERROR(VLOOKUP(C1736,'Справочник соответствий'!A$2:D$2981,3,FALSE),IF(VALUE(C1736)=0,"ЭТАЖ НЕ ОПРЕДЕЛЕН. ПРИНЯТ ПО ДОПУЩЕНИЮ 1",VLOOKUP(C1736,'Справочник соответствий'!A$2:D$2981,3,FALSE)))</f>
        <v>ЭТАЖ ЗАДАН ЧИСЛОМ</v>
      </c>
      <c r="M1736" s="13" t="b">
        <f t="shared" si="190"/>
        <v>0</v>
      </c>
      <c r="N1736" s="13">
        <f t="shared" si="191"/>
        <v>2</v>
      </c>
      <c r="O1736" s="13" t="str">
        <f t="shared" si="192"/>
        <v>ЭТАЖ ЗАДАН ЧИСЛОМ</v>
      </c>
      <c r="P1736" s="13" t="str">
        <f t="shared" si="193"/>
        <v>ЭТАЖ ЗАДАН ЧИСЛОМ</v>
      </c>
      <c r="Q1736" s="13" t="str">
        <f t="shared" si="194"/>
        <v>ГОТОВ_ИЗМЕНЕН</v>
      </c>
      <c r="R1736" s="13">
        <f>IFERROR(VLOOKUP(P1736,Лист1!A$1:B$20,2,FALSE),0)</f>
        <v>784</v>
      </c>
      <c r="S1736" s="13">
        <f t="shared" si="195"/>
        <v>0</v>
      </c>
    </row>
    <row r="1737" spans="1:19" x14ac:dyDescent="0.25">
      <c r="A1737" s="24" t="s">
        <v>2864</v>
      </c>
      <c r="B1737" s="4" t="s">
        <v>1059</v>
      </c>
      <c r="C1737" s="25" t="s">
        <v>5</v>
      </c>
      <c r="G1737" s="25" t="s">
        <v>1174</v>
      </c>
      <c r="H1737" s="24" t="s">
        <v>1061</v>
      </c>
      <c r="I1737" s="3" t="str">
        <f>IFERROR(VLOOKUP(C1737,'Справочник соответствий'!A$2:D$2981,2,FALSE),IF(VALUE(C1737)=0,1,VLOOKUP(C1737,'Справочник соответствий'!A$2:D$2981,2,FALSE)))</f>
        <v>1</v>
      </c>
      <c r="J1737" s="3">
        <f>IFERROR(VLOOKUP(D1737,'Справочник соответствий'!A$2:D$2981,2,FALSE),IF(VALUE(D1737)=0,0,VLOOKUP(D1737,'Справочник соответствий'!A$2:D$2981,2,FALSE)))</f>
        <v>0</v>
      </c>
      <c r="K1737" s="3" t="str">
        <f t="shared" si="189"/>
        <v>1</v>
      </c>
      <c r="L1737" s="13" t="str">
        <f>IFERROR(VLOOKUP(C1737,'Справочник соответствий'!A$2:D$2981,3,FALSE),IF(VALUE(C1737)=0,"ЭТАЖ НЕ ОПРЕДЕЛЕН. ПРИНЯТ ПО ДОПУЩЕНИЮ 1",VLOOKUP(C1737,'Справочник соответствий'!A$2:D$2981,3,FALSE)))</f>
        <v>ЭТАЖ ЗАДАН ЧИСЛОМ</v>
      </c>
      <c r="M1737" s="13" t="b">
        <f t="shared" si="190"/>
        <v>0</v>
      </c>
      <c r="N1737" s="13">
        <f t="shared" si="191"/>
        <v>1</v>
      </c>
      <c r="O1737" s="13" t="str">
        <f t="shared" si="192"/>
        <v>ЭТАЖ ЗАДАН ЧИСЛОМ</v>
      </c>
      <c r="P1737" s="13" t="str">
        <f t="shared" si="193"/>
        <v>ЭТАЖ ЗАДАН ЧИСЛОМ</v>
      </c>
      <c r="Q1737" s="13" t="str">
        <f t="shared" si="194"/>
        <v>ГОТОВ_ИЗМЕНЕН</v>
      </c>
      <c r="R1737" s="13">
        <f>IFERROR(VLOOKUP(P1737,Лист1!A$1:B$20,2,FALSE),0)</f>
        <v>784</v>
      </c>
      <c r="S1737" s="13">
        <f t="shared" si="195"/>
        <v>0</v>
      </c>
    </row>
    <row r="1738" spans="1:19" x14ac:dyDescent="0.25">
      <c r="A1738" s="24" t="s">
        <v>2865</v>
      </c>
      <c r="B1738" s="4" t="s">
        <v>1059</v>
      </c>
      <c r="C1738" s="25" t="s">
        <v>7</v>
      </c>
      <c r="G1738" s="25" t="s">
        <v>1174</v>
      </c>
      <c r="H1738" s="24" t="s">
        <v>1061</v>
      </c>
      <c r="I1738" s="3" t="str">
        <f>IFERROR(VLOOKUP(C1738,'Справочник соответствий'!A$2:D$2981,2,FALSE),IF(VALUE(C1738)=0,1,VLOOKUP(C1738,'Справочник соответствий'!A$2:D$2981,2,FALSE)))</f>
        <v>2</v>
      </c>
      <c r="J1738" s="3">
        <f>IFERROR(VLOOKUP(D1738,'Справочник соответствий'!A$2:D$2981,2,FALSE),IF(VALUE(D1738)=0,0,VLOOKUP(D1738,'Справочник соответствий'!A$2:D$2981,2,FALSE)))</f>
        <v>0</v>
      </c>
      <c r="K1738" s="3" t="str">
        <f t="shared" si="189"/>
        <v>2</v>
      </c>
      <c r="L1738" s="13" t="str">
        <f>IFERROR(VLOOKUP(C1738,'Справочник соответствий'!A$2:D$2981,3,FALSE),IF(VALUE(C1738)=0,"ЭТАЖ НЕ ОПРЕДЕЛЕН. ПРИНЯТ ПО ДОПУЩЕНИЮ 1",VLOOKUP(C1738,'Справочник соответствий'!A$2:D$2981,3,FALSE)))</f>
        <v>ЭТАЖ ЗАДАН ЧИСЛОМ</v>
      </c>
      <c r="M1738" s="13" t="b">
        <f t="shared" si="190"/>
        <v>0</v>
      </c>
      <c r="N1738" s="13">
        <f t="shared" si="191"/>
        <v>2</v>
      </c>
      <c r="O1738" s="13" t="str">
        <f t="shared" si="192"/>
        <v>ЭТАЖ ЗАДАН ЧИСЛОМ</v>
      </c>
      <c r="P1738" s="13" t="str">
        <f t="shared" si="193"/>
        <v>ЭТАЖ ЗАДАН ЧИСЛОМ</v>
      </c>
      <c r="Q1738" s="13" t="str">
        <f t="shared" si="194"/>
        <v>ГОТОВ_ИЗМЕНЕН</v>
      </c>
      <c r="R1738" s="13">
        <f>IFERROR(VLOOKUP(P1738,Лист1!A$1:B$20,2,FALSE),0)</f>
        <v>784</v>
      </c>
      <c r="S1738" s="13">
        <f t="shared" si="195"/>
        <v>0</v>
      </c>
    </row>
    <row r="1739" spans="1:19" x14ac:dyDescent="0.25">
      <c r="A1739" s="24" t="s">
        <v>2866</v>
      </c>
      <c r="B1739" s="4" t="s">
        <v>1059</v>
      </c>
      <c r="C1739" s="25" t="s">
        <v>7</v>
      </c>
      <c r="G1739" s="25" t="s">
        <v>1193</v>
      </c>
      <c r="H1739" s="24" t="s">
        <v>1061</v>
      </c>
      <c r="I1739" s="3" t="str">
        <f>IFERROR(VLOOKUP(C1739,'Справочник соответствий'!A$2:D$2981,2,FALSE),IF(VALUE(C1739)=0,1,VLOOKUP(C1739,'Справочник соответствий'!A$2:D$2981,2,FALSE)))</f>
        <v>2</v>
      </c>
      <c r="J1739" s="3">
        <f>IFERROR(VLOOKUP(D1739,'Справочник соответствий'!A$2:D$2981,2,FALSE),IF(VALUE(D1739)=0,0,VLOOKUP(D1739,'Справочник соответствий'!A$2:D$2981,2,FALSE)))</f>
        <v>0</v>
      </c>
      <c r="K1739" s="3" t="str">
        <f t="shared" si="189"/>
        <v>2</v>
      </c>
      <c r="L1739" s="13" t="str">
        <f>IFERROR(VLOOKUP(C1739,'Справочник соответствий'!A$2:D$2981,3,FALSE),IF(VALUE(C1739)=0,"ЭТАЖ НЕ ОПРЕДЕЛЕН. ПРИНЯТ ПО ДОПУЩЕНИЮ 1",VLOOKUP(C1739,'Справочник соответствий'!A$2:D$2981,3,FALSE)))</f>
        <v>ЭТАЖ ЗАДАН ЧИСЛОМ</v>
      </c>
      <c r="M1739" s="13" t="b">
        <f t="shared" si="190"/>
        <v>0</v>
      </c>
      <c r="N1739" s="13">
        <f t="shared" si="191"/>
        <v>2</v>
      </c>
      <c r="O1739" s="13" t="str">
        <f t="shared" si="192"/>
        <v>ЭТАЖ ЗАДАН ЧИСЛОМ</v>
      </c>
      <c r="P1739" s="13" t="str">
        <f t="shared" si="193"/>
        <v>ЭТАЖ ЗАДАН ЧИСЛОМ</v>
      </c>
      <c r="Q1739" s="13" t="str">
        <f t="shared" si="194"/>
        <v>ГОТОВ_ИЗМЕНЕН</v>
      </c>
      <c r="R1739" s="13">
        <f>IFERROR(VLOOKUP(P1739,Лист1!A$1:B$20,2,FALSE),0)</f>
        <v>784</v>
      </c>
      <c r="S1739" s="13">
        <f t="shared" si="195"/>
        <v>0</v>
      </c>
    </row>
    <row r="1740" spans="1:19" x14ac:dyDescent="0.25">
      <c r="A1740" s="24" t="s">
        <v>2867</v>
      </c>
      <c r="B1740" s="4" t="s">
        <v>1063</v>
      </c>
      <c r="G1740" s="25" t="s">
        <v>1089</v>
      </c>
      <c r="H1740" s="24" t="s">
        <v>1061</v>
      </c>
      <c r="I1740" s="3">
        <f>IFERROR(VLOOKUP(C1740,'Справочник соответствий'!A$2:D$2981,2,FALSE),IF(VALUE(C1740)=0,1,VLOOKUP(C1740,'Справочник соответствий'!A$2:D$2981,2,FALSE)))</f>
        <v>1</v>
      </c>
      <c r="J1740" s="3">
        <f>IFERROR(VLOOKUP(D1740,'Справочник соответствий'!A$2:D$2981,2,FALSE),IF(VALUE(D1740)=0,0,VLOOKUP(D1740,'Справочник соответствий'!A$2:D$2981,2,FALSE)))</f>
        <v>0</v>
      </c>
      <c r="K1740" s="3">
        <f t="shared" si="189"/>
        <v>1</v>
      </c>
      <c r="L1740" s="13" t="str">
        <f>IFERROR(VLOOKUP(C1740,'Справочник соответствий'!A$2:D$2981,3,FALSE),IF(VALUE(C1740)=0,"ЭТАЖ НЕ ОПРЕДЕЛЕН. ПРИНЯТ ПО ДОПУЩЕНИЮ 1",VLOOKUP(C1740,'Справочник соответствий'!A$2:D$2981,3,FALSE)))</f>
        <v>ЭТАЖ НЕ ОПРЕДЕЛЕН. ПРИНЯТ ПО ДОПУЩЕНИЮ 1</v>
      </c>
      <c r="M1740" s="13" t="b">
        <f t="shared" si="190"/>
        <v>0</v>
      </c>
      <c r="N1740" s="13">
        <f t="shared" si="191"/>
        <v>1</v>
      </c>
      <c r="O1740" s="13" t="str">
        <f t="shared" si="192"/>
        <v>ЭТАЖ НЕ ОПРЕДЕЛЕН. ПРИНЯТ ПО ДОПУЩЕНИЮ 1</v>
      </c>
      <c r="P1740" s="13" t="str">
        <f t="shared" si="193"/>
        <v>ЭТАЖ НЕ ОПРЕДЕЛЕН. ПРИНЯТ ПО ДОПУЩЕНИЮ 1</v>
      </c>
      <c r="Q1740" s="13" t="str">
        <f t="shared" si="194"/>
        <v>ГОТОВ_ИЗМЕНЕН</v>
      </c>
      <c r="R1740" s="13">
        <f>IFERROR(VLOOKUP(P1740,Лист1!A$1:B$20,2,FALSE),0)</f>
        <v>788</v>
      </c>
      <c r="S1740" s="13">
        <f t="shared" si="195"/>
        <v>0</v>
      </c>
    </row>
    <row r="1741" spans="1:19" x14ac:dyDescent="0.25">
      <c r="A1741" s="24" t="s">
        <v>2868</v>
      </c>
      <c r="B1741" s="4" t="s">
        <v>1063</v>
      </c>
      <c r="C1741" s="25" t="s">
        <v>5</v>
      </c>
      <c r="G1741" s="25" t="s">
        <v>1089</v>
      </c>
      <c r="H1741" s="24" t="s">
        <v>1061</v>
      </c>
      <c r="I1741" s="3" t="str">
        <f>IFERROR(VLOOKUP(C1741,'Справочник соответствий'!A$2:D$2981,2,FALSE),IF(VALUE(C1741)=0,1,VLOOKUP(C1741,'Справочник соответствий'!A$2:D$2981,2,FALSE)))</f>
        <v>1</v>
      </c>
      <c r="J1741" s="3">
        <f>IFERROR(VLOOKUP(D1741,'Справочник соответствий'!A$2:D$2981,2,FALSE),IF(VALUE(D1741)=0,0,VLOOKUP(D1741,'Справочник соответствий'!A$2:D$2981,2,FALSE)))</f>
        <v>0</v>
      </c>
      <c r="K1741" s="3" t="str">
        <f t="shared" si="189"/>
        <v>1</v>
      </c>
      <c r="L1741" s="13" t="str">
        <f>IFERROR(VLOOKUP(C1741,'Справочник соответствий'!A$2:D$2981,3,FALSE),IF(VALUE(C1741)=0,"ЭТАЖ НЕ ОПРЕДЕЛЕН. ПРИНЯТ ПО ДОПУЩЕНИЮ 1",VLOOKUP(C1741,'Справочник соответствий'!A$2:D$2981,3,FALSE)))</f>
        <v>ЭТАЖ ЗАДАН ЧИСЛОМ</v>
      </c>
      <c r="M1741" s="13" t="b">
        <f t="shared" si="190"/>
        <v>0</v>
      </c>
      <c r="N1741" s="13">
        <f t="shared" si="191"/>
        <v>1</v>
      </c>
      <c r="O1741" s="13" t="str">
        <f t="shared" si="192"/>
        <v>ЭТАЖ ЗАДАН ЧИСЛОМ</v>
      </c>
      <c r="P1741" s="13" t="str">
        <f t="shared" si="193"/>
        <v>ЭТАЖ ЗАДАН ЧИСЛОМ</v>
      </c>
      <c r="Q1741" s="13" t="str">
        <f t="shared" si="194"/>
        <v>ГОТОВ_ИЗМЕНЕН</v>
      </c>
      <c r="R1741" s="13">
        <f>IFERROR(VLOOKUP(P1741,Лист1!A$1:B$20,2,FALSE),0)</f>
        <v>784</v>
      </c>
      <c r="S1741" s="13">
        <f t="shared" si="195"/>
        <v>0</v>
      </c>
    </row>
    <row r="1742" spans="1:19" x14ac:dyDescent="0.25">
      <c r="A1742" s="24" t="s">
        <v>2869</v>
      </c>
      <c r="B1742" s="4" t="s">
        <v>1059</v>
      </c>
      <c r="C1742" s="25" t="s">
        <v>7</v>
      </c>
      <c r="G1742" s="25" t="s">
        <v>1108</v>
      </c>
      <c r="H1742" s="24" t="s">
        <v>1061</v>
      </c>
      <c r="I1742" s="3" t="str">
        <f>IFERROR(VLOOKUP(C1742,'Справочник соответствий'!A$2:D$2981,2,FALSE),IF(VALUE(C1742)=0,1,VLOOKUP(C1742,'Справочник соответствий'!A$2:D$2981,2,FALSE)))</f>
        <v>2</v>
      </c>
      <c r="J1742" s="3">
        <f>IFERROR(VLOOKUP(D1742,'Справочник соответствий'!A$2:D$2981,2,FALSE),IF(VALUE(D1742)=0,0,VLOOKUP(D1742,'Справочник соответствий'!A$2:D$2981,2,FALSE)))</f>
        <v>0</v>
      </c>
      <c r="K1742" s="3" t="str">
        <f t="shared" si="189"/>
        <v>2</v>
      </c>
      <c r="L1742" s="13" t="str">
        <f>IFERROR(VLOOKUP(C1742,'Справочник соответствий'!A$2:D$2981,3,FALSE),IF(VALUE(C1742)=0,"ЭТАЖ НЕ ОПРЕДЕЛЕН. ПРИНЯТ ПО ДОПУЩЕНИЮ 1",VLOOKUP(C1742,'Справочник соответствий'!A$2:D$2981,3,FALSE)))</f>
        <v>ЭТАЖ ЗАДАН ЧИСЛОМ</v>
      </c>
      <c r="M1742" s="13" t="b">
        <f t="shared" si="190"/>
        <v>0</v>
      </c>
      <c r="N1742" s="13">
        <f t="shared" si="191"/>
        <v>2</v>
      </c>
      <c r="O1742" s="13" t="str">
        <f t="shared" si="192"/>
        <v>ЭТАЖ ЗАДАН ЧИСЛОМ</v>
      </c>
      <c r="P1742" s="13" t="str">
        <f t="shared" si="193"/>
        <v>ЭТАЖ ЗАДАН ЧИСЛОМ</v>
      </c>
      <c r="Q1742" s="13" t="str">
        <f t="shared" si="194"/>
        <v>ГОТОВ_ИЗМЕНЕН</v>
      </c>
      <c r="R1742" s="13">
        <f>IFERROR(VLOOKUP(P1742,Лист1!A$1:B$20,2,FALSE),0)</f>
        <v>784</v>
      </c>
      <c r="S1742" s="13">
        <f t="shared" si="195"/>
        <v>0</v>
      </c>
    </row>
    <row r="1743" spans="1:19" x14ac:dyDescent="0.25">
      <c r="A1743" s="24" t="s">
        <v>2870</v>
      </c>
      <c r="B1743" s="4" t="s">
        <v>1063</v>
      </c>
      <c r="G1743" s="25" t="s">
        <v>1089</v>
      </c>
      <c r="H1743" s="24" t="s">
        <v>1061</v>
      </c>
      <c r="I1743" s="3">
        <f>IFERROR(VLOOKUP(C1743,'Справочник соответствий'!A$2:D$2981,2,FALSE),IF(VALUE(C1743)=0,1,VLOOKUP(C1743,'Справочник соответствий'!A$2:D$2981,2,FALSE)))</f>
        <v>1</v>
      </c>
      <c r="J1743" s="3">
        <f>IFERROR(VLOOKUP(D1743,'Справочник соответствий'!A$2:D$2981,2,FALSE),IF(VALUE(D1743)=0,0,VLOOKUP(D1743,'Справочник соответствий'!A$2:D$2981,2,FALSE)))</f>
        <v>0</v>
      </c>
      <c r="K1743" s="3">
        <f t="shared" si="189"/>
        <v>1</v>
      </c>
      <c r="L1743" s="13" t="str">
        <f>IFERROR(VLOOKUP(C1743,'Справочник соответствий'!A$2:D$2981,3,FALSE),IF(VALUE(C1743)=0,"ЭТАЖ НЕ ОПРЕДЕЛЕН. ПРИНЯТ ПО ДОПУЩЕНИЮ 1",VLOOKUP(C1743,'Справочник соответствий'!A$2:D$2981,3,FALSE)))</f>
        <v>ЭТАЖ НЕ ОПРЕДЕЛЕН. ПРИНЯТ ПО ДОПУЩЕНИЮ 1</v>
      </c>
      <c r="M1743" s="13" t="b">
        <f t="shared" si="190"/>
        <v>0</v>
      </c>
      <c r="N1743" s="13">
        <f t="shared" si="191"/>
        <v>1</v>
      </c>
      <c r="O1743" s="13" t="str">
        <f t="shared" si="192"/>
        <v>ЭТАЖ НЕ ОПРЕДЕЛЕН. ПРИНЯТ ПО ДОПУЩЕНИЮ 1</v>
      </c>
      <c r="P1743" s="13" t="str">
        <f t="shared" si="193"/>
        <v>ЭТАЖ НЕ ОПРЕДЕЛЕН. ПРИНЯТ ПО ДОПУЩЕНИЮ 1</v>
      </c>
      <c r="Q1743" s="13" t="str">
        <f t="shared" si="194"/>
        <v>ГОТОВ_ИЗМЕНЕН</v>
      </c>
      <c r="R1743" s="13">
        <f>IFERROR(VLOOKUP(P1743,Лист1!A$1:B$20,2,FALSE),0)</f>
        <v>788</v>
      </c>
      <c r="S1743" s="13">
        <f t="shared" si="195"/>
        <v>0</v>
      </c>
    </row>
    <row r="1744" spans="1:19" x14ac:dyDescent="0.25">
      <c r="A1744" s="24" t="s">
        <v>2871</v>
      </c>
      <c r="B1744" s="4" t="s">
        <v>1059</v>
      </c>
      <c r="C1744" s="25" t="s">
        <v>7</v>
      </c>
      <c r="G1744" s="25" t="s">
        <v>1195</v>
      </c>
      <c r="H1744" s="24" t="s">
        <v>1061</v>
      </c>
      <c r="I1744" s="3" t="str">
        <f>IFERROR(VLOOKUP(C1744,'Справочник соответствий'!A$2:D$2981,2,FALSE),IF(VALUE(C1744)=0,1,VLOOKUP(C1744,'Справочник соответствий'!A$2:D$2981,2,FALSE)))</f>
        <v>2</v>
      </c>
      <c r="J1744" s="3">
        <f>IFERROR(VLOOKUP(D1744,'Справочник соответствий'!A$2:D$2981,2,FALSE),IF(VALUE(D1744)=0,0,VLOOKUP(D1744,'Справочник соответствий'!A$2:D$2981,2,FALSE)))</f>
        <v>0</v>
      </c>
      <c r="K1744" s="3" t="str">
        <f t="shared" si="189"/>
        <v>2</v>
      </c>
      <c r="L1744" s="13" t="str">
        <f>IFERROR(VLOOKUP(C1744,'Справочник соответствий'!A$2:D$2981,3,FALSE),IF(VALUE(C1744)=0,"ЭТАЖ НЕ ОПРЕДЕЛЕН. ПРИНЯТ ПО ДОПУЩЕНИЮ 1",VLOOKUP(C1744,'Справочник соответствий'!A$2:D$2981,3,FALSE)))</f>
        <v>ЭТАЖ ЗАДАН ЧИСЛОМ</v>
      </c>
      <c r="M1744" s="13" t="b">
        <f t="shared" si="190"/>
        <v>0</v>
      </c>
      <c r="N1744" s="13">
        <f t="shared" si="191"/>
        <v>2</v>
      </c>
      <c r="O1744" s="13" t="str">
        <f t="shared" si="192"/>
        <v>ЭТАЖ ЗАДАН ЧИСЛОМ</v>
      </c>
      <c r="P1744" s="13" t="str">
        <f t="shared" si="193"/>
        <v>ЭТАЖ ЗАДАН ЧИСЛОМ</v>
      </c>
      <c r="Q1744" s="13" t="str">
        <f t="shared" si="194"/>
        <v>ГОТОВ_ИЗМЕНЕН</v>
      </c>
      <c r="R1744" s="13">
        <f>IFERROR(VLOOKUP(P1744,Лист1!A$1:B$20,2,FALSE),0)</f>
        <v>784</v>
      </c>
      <c r="S1744" s="13">
        <f t="shared" si="195"/>
        <v>0</v>
      </c>
    </row>
    <row r="1745" spans="1:19" x14ac:dyDescent="0.25">
      <c r="A1745" s="24" t="s">
        <v>2872</v>
      </c>
      <c r="B1745" s="4" t="s">
        <v>1059</v>
      </c>
      <c r="C1745" s="25" t="s">
        <v>7</v>
      </c>
      <c r="G1745" s="25" t="s">
        <v>1195</v>
      </c>
      <c r="H1745" s="24" t="s">
        <v>1061</v>
      </c>
      <c r="I1745" s="3" t="str">
        <f>IFERROR(VLOOKUP(C1745,'Справочник соответствий'!A$2:D$2981,2,FALSE),IF(VALUE(C1745)=0,1,VLOOKUP(C1745,'Справочник соответствий'!A$2:D$2981,2,FALSE)))</f>
        <v>2</v>
      </c>
      <c r="J1745" s="3">
        <f>IFERROR(VLOOKUP(D1745,'Справочник соответствий'!A$2:D$2981,2,FALSE),IF(VALUE(D1745)=0,0,VLOOKUP(D1745,'Справочник соответствий'!A$2:D$2981,2,FALSE)))</f>
        <v>0</v>
      </c>
      <c r="K1745" s="3" t="str">
        <f t="shared" si="189"/>
        <v>2</v>
      </c>
      <c r="L1745" s="13" t="str">
        <f>IFERROR(VLOOKUP(C1745,'Справочник соответствий'!A$2:D$2981,3,FALSE),IF(VALUE(C1745)=0,"ЭТАЖ НЕ ОПРЕДЕЛЕН. ПРИНЯТ ПО ДОПУЩЕНИЮ 1",VLOOKUP(C1745,'Справочник соответствий'!A$2:D$2981,3,FALSE)))</f>
        <v>ЭТАЖ ЗАДАН ЧИСЛОМ</v>
      </c>
      <c r="M1745" s="13" t="b">
        <f t="shared" si="190"/>
        <v>0</v>
      </c>
      <c r="N1745" s="13">
        <f t="shared" si="191"/>
        <v>2</v>
      </c>
      <c r="O1745" s="13" t="str">
        <f t="shared" si="192"/>
        <v>ЭТАЖ ЗАДАН ЧИСЛОМ</v>
      </c>
      <c r="P1745" s="13" t="str">
        <f t="shared" si="193"/>
        <v>ЭТАЖ ЗАДАН ЧИСЛОМ</v>
      </c>
      <c r="Q1745" s="13" t="str">
        <f t="shared" si="194"/>
        <v>ГОТОВ_ИЗМЕНЕН</v>
      </c>
      <c r="R1745" s="13">
        <f>IFERROR(VLOOKUP(P1745,Лист1!A$1:B$20,2,FALSE),0)</f>
        <v>784</v>
      </c>
      <c r="S1745" s="13">
        <f t="shared" si="195"/>
        <v>0</v>
      </c>
    </row>
    <row r="1746" spans="1:19" x14ac:dyDescent="0.25">
      <c r="A1746" s="24" t="s">
        <v>2873</v>
      </c>
      <c r="B1746" s="4" t="s">
        <v>1063</v>
      </c>
      <c r="C1746" s="25" t="s">
        <v>7</v>
      </c>
      <c r="G1746" s="25" t="s">
        <v>1195</v>
      </c>
      <c r="H1746" s="24" t="s">
        <v>1061</v>
      </c>
      <c r="I1746" s="3" t="str">
        <f>IFERROR(VLOOKUP(C1746,'Справочник соответствий'!A$2:D$2981,2,FALSE),IF(VALUE(C1746)=0,1,VLOOKUP(C1746,'Справочник соответствий'!A$2:D$2981,2,FALSE)))</f>
        <v>2</v>
      </c>
      <c r="J1746" s="3">
        <f>IFERROR(VLOOKUP(D1746,'Справочник соответствий'!A$2:D$2981,2,FALSE),IF(VALUE(D1746)=0,0,VLOOKUP(D1746,'Справочник соответствий'!A$2:D$2981,2,FALSE)))</f>
        <v>0</v>
      </c>
      <c r="K1746" s="3" t="str">
        <f t="shared" si="189"/>
        <v>2</v>
      </c>
      <c r="L1746" s="13" t="str">
        <f>IFERROR(VLOOKUP(C1746,'Справочник соответствий'!A$2:D$2981,3,FALSE),IF(VALUE(C1746)=0,"ЭТАЖ НЕ ОПРЕДЕЛЕН. ПРИНЯТ ПО ДОПУЩЕНИЮ 1",VLOOKUP(C1746,'Справочник соответствий'!A$2:D$2981,3,FALSE)))</f>
        <v>ЭТАЖ ЗАДАН ЧИСЛОМ</v>
      </c>
      <c r="M1746" s="13" t="b">
        <f t="shared" si="190"/>
        <v>0</v>
      </c>
      <c r="N1746" s="13">
        <f t="shared" si="191"/>
        <v>2</v>
      </c>
      <c r="O1746" s="13" t="str">
        <f t="shared" si="192"/>
        <v>ЭТАЖ ЗАДАН ЧИСЛОМ</v>
      </c>
      <c r="P1746" s="13" t="str">
        <f t="shared" si="193"/>
        <v>ЭТАЖ ЗАДАН ЧИСЛОМ</v>
      </c>
      <c r="Q1746" s="13" t="str">
        <f t="shared" si="194"/>
        <v>ГОТОВ_ИЗМЕНЕН</v>
      </c>
      <c r="R1746" s="13">
        <f>IFERROR(VLOOKUP(P1746,Лист1!A$1:B$20,2,FALSE),0)</f>
        <v>784</v>
      </c>
      <c r="S1746" s="13">
        <f t="shared" si="195"/>
        <v>0</v>
      </c>
    </row>
    <row r="1747" spans="1:19" x14ac:dyDescent="0.25">
      <c r="A1747" s="24" t="s">
        <v>2874</v>
      </c>
      <c r="B1747" s="4" t="s">
        <v>1059</v>
      </c>
      <c r="C1747" s="25" t="s">
        <v>8</v>
      </c>
      <c r="G1747" s="25" t="s">
        <v>1195</v>
      </c>
      <c r="H1747" s="24" t="s">
        <v>1061</v>
      </c>
      <c r="I1747" s="3" t="str">
        <f>IFERROR(VLOOKUP(C1747,'Справочник соответствий'!A$2:D$2981,2,FALSE),IF(VALUE(C1747)=0,1,VLOOKUP(C1747,'Справочник соответствий'!A$2:D$2981,2,FALSE)))</f>
        <v>3</v>
      </c>
      <c r="J1747" s="3">
        <f>IFERROR(VLOOKUP(D1747,'Справочник соответствий'!A$2:D$2981,2,FALSE),IF(VALUE(D1747)=0,0,VLOOKUP(D1747,'Справочник соответствий'!A$2:D$2981,2,FALSE)))</f>
        <v>0</v>
      </c>
      <c r="K1747" s="3" t="str">
        <f t="shared" si="189"/>
        <v>3</v>
      </c>
      <c r="L1747" s="13" t="str">
        <f>IFERROR(VLOOKUP(C1747,'Справочник соответствий'!A$2:D$2981,3,FALSE),IF(VALUE(C1747)=0,"ЭТАЖ НЕ ОПРЕДЕЛЕН. ПРИНЯТ ПО ДОПУЩЕНИЮ 1",VLOOKUP(C1747,'Справочник соответствий'!A$2:D$2981,3,FALSE)))</f>
        <v>ЭТАЖ ЗАДАН ЧИСЛОМ</v>
      </c>
      <c r="M1747" s="13" t="b">
        <f t="shared" si="190"/>
        <v>0</v>
      </c>
      <c r="N1747" s="13">
        <f t="shared" si="191"/>
        <v>3</v>
      </c>
      <c r="O1747" s="13" t="str">
        <f t="shared" si="192"/>
        <v>ЭТАЖ ЗАДАН ЧИСЛОМ</v>
      </c>
      <c r="P1747" s="13" t="str">
        <f t="shared" si="193"/>
        <v>ЭТАЖ ЗАДАН ЧИСЛОМ</v>
      </c>
      <c r="Q1747" s="13" t="str">
        <f t="shared" si="194"/>
        <v>ГОТОВ_ИЗМЕНЕН</v>
      </c>
      <c r="R1747" s="13">
        <f>IFERROR(VLOOKUP(P1747,Лист1!A$1:B$20,2,FALSE),0)</f>
        <v>784</v>
      </c>
      <c r="S1747" s="13">
        <f t="shared" si="195"/>
        <v>0</v>
      </c>
    </row>
    <row r="1748" spans="1:19" x14ac:dyDescent="0.25">
      <c r="A1748" s="24" t="s">
        <v>2875</v>
      </c>
      <c r="B1748" s="4" t="s">
        <v>1063</v>
      </c>
      <c r="G1748" s="25" t="s">
        <v>1195</v>
      </c>
      <c r="H1748" s="24" t="s">
        <v>1061</v>
      </c>
      <c r="I1748" s="3">
        <f>IFERROR(VLOOKUP(C1748,'Справочник соответствий'!A$2:D$2981,2,FALSE),IF(VALUE(C1748)=0,1,VLOOKUP(C1748,'Справочник соответствий'!A$2:D$2981,2,FALSE)))</f>
        <v>1</v>
      </c>
      <c r="J1748" s="3">
        <f>IFERROR(VLOOKUP(D1748,'Справочник соответствий'!A$2:D$2981,2,FALSE),IF(VALUE(D1748)=0,0,VLOOKUP(D1748,'Справочник соответствий'!A$2:D$2981,2,FALSE)))</f>
        <v>0</v>
      </c>
      <c r="K1748" s="3">
        <f t="shared" si="189"/>
        <v>1</v>
      </c>
      <c r="L1748" s="13" t="str">
        <f>IFERROR(VLOOKUP(C1748,'Справочник соответствий'!A$2:D$2981,3,FALSE),IF(VALUE(C1748)=0,"ЭТАЖ НЕ ОПРЕДЕЛЕН. ПРИНЯТ ПО ДОПУЩЕНИЮ 1",VLOOKUP(C1748,'Справочник соответствий'!A$2:D$2981,3,FALSE)))</f>
        <v>ЭТАЖ НЕ ОПРЕДЕЛЕН. ПРИНЯТ ПО ДОПУЩЕНИЮ 1</v>
      </c>
      <c r="M1748" s="13" t="b">
        <f t="shared" si="190"/>
        <v>0</v>
      </c>
      <c r="N1748" s="13">
        <f t="shared" si="191"/>
        <v>1</v>
      </c>
      <c r="O1748" s="13" t="str">
        <f t="shared" si="192"/>
        <v>ЭТАЖ НЕ ОПРЕДЕЛЕН. ПРИНЯТ ПО ДОПУЩЕНИЮ 1</v>
      </c>
      <c r="P1748" s="13" t="str">
        <f t="shared" si="193"/>
        <v>ЭТАЖ НЕ ОПРЕДЕЛЕН. ПРИНЯТ ПО ДОПУЩЕНИЮ 1</v>
      </c>
      <c r="Q1748" s="13" t="str">
        <f t="shared" si="194"/>
        <v>ГОТОВ_ИЗМЕНЕН</v>
      </c>
      <c r="R1748" s="13">
        <f>IFERROR(VLOOKUP(P1748,Лист1!A$1:B$20,2,FALSE),0)</f>
        <v>788</v>
      </c>
      <c r="S1748" s="13">
        <f t="shared" si="195"/>
        <v>0</v>
      </c>
    </row>
    <row r="1749" spans="1:19" x14ac:dyDescent="0.25">
      <c r="A1749" s="24" t="s">
        <v>2876</v>
      </c>
      <c r="B1749" s="4" t="s">
        <v>1063</v>
      </c>
      <c r="C1749" s="25" t="s">
        <v>5</v>
      </c>
      <c r="D1749" s="25" t="s">
        <v>24</v>
      </c>
      <c r="G1749" s="25" t="s">
        <v>1195</v>
      </c>
      <c r="H1749" s="24" t="s">
        <v>1061</v>
      </c>
      <c r="I1749" s="3" t="str">
        <f>IFERROR(VLOOKUP(C1749,'Справочник соответствий'!A$2:D$2981,2,FALSE),IF(VALUE(C1749)=0,1,VLOOKUP(C1749,'Справочник соответствий'!A$2:D$2981,2,FALSE)))</f>
        <v>1</v>
      </c>
      <c r="J1749" s="3" t="str">
        <f>IFERROR(VLOOKUP(D1749,'Справочник соответствий'!A$2:D$2981,2,FALSE),IF(VALUE(D1749)=0,0,VLOOKUP(D1749,'Справочник соответствий'!A$2:D$2981,2,FALSE)))</f>
        <v>1</v>
      </c>
      <c r="K1749" s="3" t="str">
        <f t="shared" si="189"/>
        <v>1</v>
      </c>
      <c r="L1749" s="13" t="str">
        <f>IFERROR(VLOOKUP(C1749,'Справочник соответствий'!A$2:D$2981,3,FALSE),IF(VALUE(C1749)=0,"ЭТАЖ НЕ ОПРЕДЕЛЕН. ПРИНЯТ ПО ДОПУЩЕНИЮ 1",VLOOKUP(C1749,'Справочник соответствий'!A$2:D$2981,3,FALSE)))</f>
        <v>ЭТАЖ ЗАДАН ЧИСЛОМ</v>
      </c>
      <c r="M1749" s="13" t="b">
        <f t="shared" si="190"/>
        <v>0</v>
      </c>
      <c r="N1749" s="13">
        <f t="shared" si="191"/>
        <v>1</v>
      </c>
      <c r="O1749" s="13" t="str">
        <f t="shared" si="192"/>
        <v>ЭТАЖ ЗАДАН ЧИСЛОМ</v>
      </c>
      <c r="P1749" s="13" t="str">
        <f t="shared" si="193"/>
        <v>ЭТАЖ ЗАДАН ЧИСЛОМ</v>
      </c>
      <c r="Q1749" s="13" t="str">
        <f t="shared" si="194"/>
        <v>ГОТОВ_ИЗМЕНЕН</v>
      </c>
      <c r="R1749" s="13">
        <f>IFERROR(VLOOKUP(P1749,Лист1!A$1:B$20,2,FALSE),0)</f>
        <v>784</v>
      </c>
      <c r="S1749" s="13">
        <f t="shared" si="195"/>
        <v>0</v>
      </c>
    </row>
    <row r="1750" spans="1:19" x14ac:dyDescent="0.25">
      <c r="A1750" s="24" t="s">
        <v>2877</v>
      </c>
      <c r="B1750" s="4" t="s">
        <v>1063</v>
      </c>
      <c r="C1750" s="25" t="s">
        <v>5</v>
      </c>
      <c r="G1750" s="25" t="s">
        <v>1203</v>
      </c>
      <c r="H1750" s="24" t="s">
        <v>1061</v>
      </c>
      <c r="I1750" s="3" t="str">
        <f>IFERROR(VLOOKUP(C1750,'Справочник соответствий'!A$2:D$2981,2,FALSE),IF(VALUE(C1750)=0,1,VLOOKUP(C1750,'Справочник соответствий'!A$2:D$2981,2,FALSE)))</f>
        <v>1</v>
      </c>
      <c r="J1750" s="3">
        <f>IFERROR(VLOOKUP(D1750,'Справочник соответствий'!A$2:D$2981,2,FALSE),IF(VALUE(D1750)=0,0,VLOOKUP(D1750,'Справочник соответствий'!A$2:D$2981,2,FALSE)))</f>
        <v>0</v>
      </c>
      <c r="K1750" s="3" t="str">
        <f t="shared" si="189"/>
        <v>1</v>
      </c>
      <c r="L1750" s="13" t="str">
        <f>IFERROR(VLOOKUP(C1750,'Справочник соответствий'!A$2:D$2981,3,FALSE),IF(VALUE(C1750)=0,"ЭТАЖ НЕ ОПРЕДЕЛЕН. ПРИНЯТ ПО ДОПУЩЕНИЮ 1",VLOOKUP(C1750,'Справочник соответствий'!A$2:D$2981,3,FALSE)))</f>
        <v>ЭТАЖ ЗАДАН ЧИСЛОМ</v>
      </c>
      <c r="M1750" s="13" t="b">
        <f t="shared" si="190"/>
        <v>0</v>
      </c>
      <c r="N1750" s="13">
        <f t="shared" si="191"/>
        <v>1</v>
      </c>
      <c r="O1750" s="13" t="str">
        <f t="shared" si="192"/>
        <v>ЭТАЖ ЗАДАН ЧИСЛОМ</v>
      </c>
      <c r="P1750" s="13" t="str">
        <f t="shared" si="193"/>
        <v>ЭТАЖ ЗАДАН ЧИСЛОМ</v>
      </c>
      <c r="Q1750" s="13" t="str">
        <f t="shared" si="194"/>
        <v>ГОТОВ_ИЗМЕНЕН</v>
      </c>
      <c r="R1750" s="13">
        <f>IFERROR(VLOOKUP(P1750,Лист1!A$1:B$20,2,FALSE),0)</f>
        <v>784</v>
      </c>
      <c r="S1750" s="13">
        <f t="shared" si="195"/>
        <v>0</v>
      </c>
    </row>
    <row r="1751" spans="1:19" x14ac:dyDescent="0.25">
      <c r="A1751" s="24" t="s">
        <v>2878</v>
      </c>
      <c r="B1751" s="4" t="s">
        <v>1059</v>
      </c>
      <c r="C1751" s="25" t="s">
        <v>5</v>
      </c>
      <c r="G1751" s="25" t="s">
        <v>1230</v>
      </c>
      <c r="H1751" s="24" t="s">
        <v>1061</v>
      </c>
      <c r="I1751" s="3" t="str">
        <f>IFERROR(VLOOKUP(C1751,'Справочник соответствий'!A$2:D$2981,2,FALSE),IF(VALUE(C1751)=0,1,VLOOKUP(C1751,'Справочник соответствий'!A$2:D$2981,2,FALSE)))</f>
        <v>1</v>
      </c>
      <c r="J1751" s="3">
        <f>IFERROR(VLOOKUP(D1751,'Справочник соответствий'!A$2:D$2981,2,FALSE),IF(VALUE(D1751)=0,0,VLOOKUP(D1751,'Справочник соответствий'!A$2:D$2981,2,FALSE)))</f>
        <v>0</v>
      </c>
      <c r="K1751" s="3" t="str">
        <f t="shared" si="189"/>
        <v>1</v>
      </c>
      <c r="L1751" s="13" t="str">
        <f>IFERROR(VLOOKUP(C1751,'Справочник соответствий'!A$2:D$2981,3,FALSE),IF(VALUE(C1751)=0,"ЭТАЖ НЕ ОПРЕДЕЛЕН. ПРИНЯТ ПО ДОПУЩЕНИЮ 1",VLOOKUP(C1751,'Справочник соответствий'!A$2:D$2981,3,FALSE)))</f>
        <v>ЭТАЖ ЗАДАН ЧИСЛОМ</v>
      </c>
      <c r="M1751" s="13" t="b">
        <f t="shared" si="190"/>
        <v>0</v>
      </c>
      <c r="N1751" s="13">
        <f t="shared" si="191"/>
        <v>1</v>
      </c>
      <c r="O1751" s="13" t="str">
        <f t="shared" si="192"/>
        <v>ЭТАЖ ЗАДАН ЧИСЛОМ</v>
      </c>
      <c r="P1751" s="13" t="str">
        <f t="shared" si="193"/>
        <v>ЭТАЖ ЗАДАН ЧИСЛОМ</v>
      </c>
      <c r="Q1751" s="13" t="str">
        <f t="shared" si="194"/>
        <v>ГОТОВ_ИЗМЕНЕН</v>
      </c>
      <c r="R1751" s="13">
        <f>IFERROR(VLOOKUP(P1751,Лист1!A$1:B$20,2,FALSE),0)</f>
        <v>784</v>
      </c>
      <c r="S1751" s="13">
        <f t="shared" si="195"/>
        <v>0</v>
      </c>
    </row>
    <row r="1752" spans="1:19" x14ac:dyDescent="0.25">
      <c r="A1752" s="24" t="s">
        <v>2879</v>
      </c>
      <c r="B1752" s="4" t="s">
        <v>1063</v>
      </c>
      <c r="C1752" s="25" t="s">
        <v>5</v>
      </c>
      <c r="G1752" s="25" t="s">
        <v>1205</v>
      </c>
      <c r="H1752" s="24" t="s">
        <v>1061</v>
      </c>
      <c r="I1752" s="3" t="str">
        <f>IFERROR(VLOOKUP(C1752,'Справочник соответствий'!A$2:D$2981,2,FALSE),IF(VALUE(C1752)=0,1,VLOOKUP(C1752,'Справочник соответствий'!A$2:D$2981,2,FALSE)))</f>
        <v>1</v>
      </c>
      <c r="J1752" s="3">
        <f>IFERROR(VLOOKUP(D1752,'Справочник соответствий'!A$2:D$2981,2,FALSE),IF(VALUE(D1752)=0,0,VLOOKUP(D1752,'Справочник соответствий'!A$2:D$2981,2,FALSE)))</f>
        <v>0</v>
      </c>
      <c r="K1752" s="3" t="str">
        <f t="shared" si="189"/>
        <v>1</v>
      </c>
      <c r="L1752" s="13" t="str">
        <f>IFERROR(VLOOKUP(C1752,'Справочник соответствий'!A$2:D$2981,3,FALSE),IF(VALUE(C1752)=0,"ЭТАЖ НЕ ОПРЕДЕЛЕН. ПРИНЯТ ПО ДОПУЩЕНИЮ 1",VLOOKUP(C1752,'Справочник соответствий'!A$2:D$2981,3,FALSE)))</f>
        <v>ЭТАЖ ЗАДАН ЧИСЛОМ</v>
      </c>
      <c r="M1752" s="13" t="b">
        <f t="shared" si="190"/>
        <v>0</v>
      </c>
      <c r="N1752" s="13">
        <f t="shared" si="191"/>
        <v>1</v>
      </c>
      <c r="O1752" s="13" t="str">
        <f t="shared" si="192"/>
        <v>ЭТАЖ ЗАДАН ЧИСЛОМ</v>
      </c>
      <c r="P1752" s="13" t="str">
        <f t="shared" si="193"/>
        <v>ЭТАЖ ЗАДАН ЧИСЛОМ</v>
      </c>
      <c r="Q1752" s="13" t="str">
        <f t="shared" si="194"/>
        <v>ГОТОВ_ИЗМЕНЕН</v>
      </c>
      <c r="R1752" s="13">
        <f>IFERROR(VLOOKUP(P1752,Лист1!A$1:B$20,2,FALSE),0)</f>
        <v>784</v>
      </c>
      <c r="S1752" s="13">
        <f t="shared" si="195"/>
        <v>0</v>
      </c>
    </row>
    <row r="1753" spans="1:19" x14ac:dyDescent="0.25">
      <c r="A1753" s="24" t="s">
        <v>2880</v>
      </c>
      <c r="B1753" s="4" t="s">
        <v>1063</v>
      </c>
      <c r="C1753" s="25" t="s">
        <v>5</v>
      </c>
      <c r="G1753" s="25" t="s">
        <v>1205</v>
      </c>
      <c r="H1753" s="24" t="s">
        <v>1061</v>
      </c>
      <c r="I1753" s="3" t="str">
        <f>IFERROR(VLOOKUP(C1753,'Справочник соответствий'!A$2:D$2981,2,FALSE),IF(VALUE(C1753)=0,1,VLOOKUP(C1753,'Справочник соответствий'!A$2:D$2981,2,FALSE)))</f>
        <v>1</v>
      </c>
      <c r="J1753" s="3">
        <f>IFERROR(VLOOKUP(D1753,'Справочник соответствий'!A$2:D$2981,2,FALSE),IF(VALUE(D1753)=0,0,VLOOKUP(D1753,'Справочник соответствий'!A$2:D$2981,2,FALSE)))</f>
        <v>0</v>
      </c>
      <c r="K1753" s="3" t="str">
        <f t="shared" si="189"/>
        <v>1</v>
      </c>
      <c r="L1753" s="13" t="str">
        <f>IFERROR(VLOOKUP(C1753,'Справочник соответствий'!A$2:D$2981,3,FALSE),IF(VALUE(C1753)=0,"ЭТАЖ НЕ ОПРЕДЕЛЕН. ПРИНЯТ ПО ДОПУЩЕНИЮ 1",VLOOKUP(C1753,'Справочник соответствий'!A$2:D$2981,3,FALSE)))</f>
        <v>ЭТАЖ ЗАДАН ЧИСЛОМ</v>
      </c>
      <c r="M1753" s="13" t="b">
        <f t="shared" si="190"/>
        <v>0</v>
      </c>
      <c r="N1753" s="13">
        <f t="shared" si="191"/>
        <v>1</v>
      </c>
      <c r="O1753" s="13" t="str">
        <f t="shared" si="192"/>
        <v>ЭТАЖ ЗАДАН ЧИСЛОМ</v>
      </c>
      <c r="P1753" s="13" t="str">
        <f t="shared" si="193"/>
        <v>ЭТАЖ ЗАДАН ЧИСЛОМ</v>
      </c>
      <c r="Q1753" s="13" t="str">
        <f t="shared" si="194"/>
        <v>ГОТОВ_ИЗМЕНЕН</v>
      </c>
      <c r="R1753" s="13">
        <f>IFERROR(VLOOKUP(P1753,Лист1!A$1:B$20,2,FALSE),0)</f>
        <v>784</v>
      </c>
      <c r="S1753" s="13">
        <f t="shared" si="195"/>
        <v>0</v>
      </c>
    </row>
    <row r="1754" spans="1:19" x14ac:dyDescent="0.25">
      <c r="A1754" s="24" t="s">
        <v>2881</v>
      </c>
      <c r="B1754" s="4" t="s">
        <v>1063</v>
      </c>
      <c r="C1754" s="25" t="s">
        <v>5</v>
      </c>
      <c r="G1754" s="25" t="s">
        <v>1205</v>
      </c>
      <c r="H1754" s="24" t="s">
        <v>1061</v>
      </c>
      <c r="I1754" s="3" t="str">
        <f>IFERROR(VLOOKUP(C1754,'Справочник соответствий'!A$2:D$2981,2,FALSE),IF(VALUE(C1754)=0,1,VLOOKUP(C1754,'Справочник соответствий'!A$2:D$2981,2,FALSE)))</f>
        <v>1</v>
      </c>
      <c r="J1754" s="3">
        <f>IFERROR(VLOOKUP(D1754,'Справочник соответствий'!A$2:D$2981,2,FALSE),IF(VALUE(D1754)=0,0,VLOOKUP(D1754,'Справочник соответствий'!A$2:D$2981,2,FALSE)))</f>
        <v>0</v>
      </c>
      <c r="K1754" s="3" t="str">
        <f t="shared" si="189"/>
        <v>1</v>
      </c>
      <c r="L1754" s="13" t="str">
        <f>IFERROR(VLOOKUP(C1754,'Справочник соответствий'!A$2:D$2981,3,FALSE),IF(VALUE(C1754)=0,"ЭТАЖ НЕ ОПРЕДЕЛЕН. ПРИНЯТ ПО ДОПУЩЕНИЮ 1",VLOOKUP(C1754,'Справочник соответствий'!A$2:D$2981,3,FALSE)))</f>
        <v>ЭТАЖ ЗАДАН ЧИСЛОМ</v>
      </c>
      <c r="M1754" s="13" t="b">
        <f t="shared" si="190"/>
        <v>0</v>
      </c>
      <c r="N1754" s="13">
        <f t="shared" si="191"/>
        <v>1</v>
      </c>
      <c r="O1754" s="13" t="str">
        <f t="shared" si="192"/>
        <v>ЭТАЖ ЗАДАН ЧИСЛОМ</v>
      </c>
      <c r="P1754" s="13" t="str">
        <f t="shared" si="193"/>
        <v>ЭТАЖ ЗАДАН ЧИСЛОМ</v>
      </c>
      <c r="Q1754" s="13" t="str">
        <f t="shared" si="194"/>
        <v>ГОТОВ_ИЗМЕНЕН</v>
      </c>
      <c r="R1754" s="13">
        <f>IFERROR(VLOOKUP(P1754,Лист1!A$1:B$20,2,FALSE),0)</f>
        <v>784</v>
      </c>
      <c r="S1754" s="13">
        <f t="shared" si="195"/>
        <v>0</v>
      </c>
    </row>
    <row r="1755" spans="1:19" x14ac:dyDescent="0.25">
      <c r="A1755" s="24" t="s">
        <v>2882</v>
      </c>
      <c r="B1755" s="4" t="s">
        <v>1059</v>
      </c>
      <c r="C1755" s="25" t="s">
        <v>7</v>
      </c>
      <c r="G1755" s="25" t="s">
        <v>1205</v>
      </c>
      <c r="H1755" s="24" t="s">
        <v>1061</v>
      </c>
      <c r="I1755" s="3" t="str">
        <f>IFERROR(VLOOKUP(C1755,'Справочник соответствий'!A$2:D$2981,2,FALSE),IF(VALUE(C1755)=0,1,VLOOKUP(C1755,'Справочник соответствий'!A$2:D$2981,2,FALSE)))</f>
        <v>2</v>
      </c>
      <c r="J1755" s="3">
        <f>IFERROR(VLOOKUP(D1755,'Справочник соответствий'!A$2:D$2981,2,FALSE),IF(VALUE(D1755)=0,0,VLOOKUP(D1755,'Справочник соответствий'!A$2:D$2981,2,FALSE)))</f>
        <v>0</v>
      </c>
      <c r="K1755" s="3" t="str">
        <f t="shared" si="189"/>
        <v>2</v>
      </c>
      <c r="L1755" s="13" t="str">
        <f>IFERROR(VLOOKUP(C1755,'Справочник соответствий'!A$2:D$2981,3,FALSE),IF(VALUE(C1755)=0,"ЭТАЖ НЕ ОПРЕДЕЛЕН. ПРИНЯТ ПО ДОПУЩЕНИЮ 1",VLOOKUP(C1755,'Справочник соответствий'!A$2:D$2981,3,FALSE)))</f>
        <v>ЭТАЖ ЗАДАН ЧИСЛОМ</v>
      </c>
      <c r="M1755" s="13" t="b">
        <f t="shared" si="190"/>
        <v>0</v>
      </c>
      <c r="N1755" s="13">
        <f t="shared" si="191"/>
        <v>2</v>
      </c>
      <c r="O1755" s="13" t="str">
        <f t="shared" si="192"/>
        <v>ЭТАЖ ЗАДАН ЧИСЛОМ</v>
      </c>
      <c r="P1755" s="13" t="str">
        <f t="shared" si="193"/>
        <v>ЭТАЖ ЗАДАН ЧИСЛОМ</v>
      </c>
      <c r="Q1755" s="13" t="str">
        <f t="shared" si="194"/>
        <v>ГОТОВ_ИЗМЕНЕН</v>
      </c>
      <c r="R1755" s="13">
        <f>IFERROR(VLOOKUP(P1755,Лист1!A$1:B$20,2,FALSE),0)</f>
        <v>784</v>
      </c>
      <c r="S1755" s="13">
        <f t="shared" si="195"/>
        <v>0</v>
      </c>
    </row>
    <row r="1756" spans="1:19" x14ac:dyDescent="0.25">
      <c r="A1756" s="24" t="s">
        <v>2883</v>
      </c>
      <c r="B1756" s="4" t="s">
        <v>1063</v>
      </c>
      <c r="C1756" s="25" t="s">
        <v>5</v>
      </c>
      <c r="G1756" s="25" t="s">
        <v>1205</v>
      </c>
      <c r="H1756" s="24" t="s">
        <v>1061</v>
      </c>
      <c r="I1756" s="3" t="str">
        <f>IFERROR(VLOOKUP(C1756,'Справочник соответствий'!A$2:D$2981,2,FALSE),IF(VALUE(C1756)=0,1,VLOOKUP(C1756,'Справочник соответствий'!A$2:D$2981,2,FALSE)))</f>
        <v>1</v>
      </c>
      <c r="J1756" s="3">
        <f>IFERROR(VLOOKUP(D1756,'Справочник соответствий'!A$2:D$2981,2,FALSE),IF(VALUE(D1756)=0,0,VLOOKUP(D1756,'Справочник соответствий'!A$2:D$2981,2,FALSE)))</f>
        <v>0</v>
      </c>
      <c r="K1756" s="3" t="str">
        <f t="shared" si="189"/>
        <v>1</v>
      </c>
      <c r="L1756" s="13" t="str">
        <f>IFERROR(VLOOKUP(C1756,'Справочник соответствий'!A$2:D$2981,3,FALSE),IF(VALUE(C1756)=0,"ЭТАЖ НЕ ОПРЕДЕЛЕН. ПРИНЯТ ПО ДОПУЩЕНИЮ 1",VLOOKUP(C1756,'Справочник соответствий'!A$2:D$2981,3,FALSE)))</f>
        <v>ЭТАЖ ЗАДАН ЧИСЛОМ</v>
      </c>
      <c r="M1756" s="13" t="b">
        <f t="shared" si="190"/>
        <v>0</v>
      </c>
      <c r="N1756" s="13">
        <f t="shared" si="191"/>
        <v>1</v>
      </c>
      <c r="O1756" s="13" t="str">
        <f t="shared" si="192"/>
        <v>ЭТАЖ ЗАДАН ЧИСЛОМ</v>
      </c>
      <c r="P1756" s="13" t="str">
        <f t="shared" si="193"/>
        <v>ЭТАЖ ЗАДАН ЧИСЛОМ</v>
      </c>
      <c r="Q1756" s="13" t="str">
        <f t="shared" si="194"/>
        <v>ГОТОВ_ИЗМЕНЕН</v>
      </c>
      <c r="R1756" s="13">
        <f>IFERROR(VLOOKUP(P1756,Лист1!A$1:B$20,2,FALSE),0)</f>
        <v>784</v>
      </c>
      <c r="S1756" s="13">
        <f t="shared" si="195"/>
        <v>0</v>
      </c>
    </row>
    <row r="1757" spans="1:19" x14ac:dyDescent="0.25">
      <c r="A1757" s="24" t="s">
        <v>2884</v>
      </c>
      <c r="B1757" s="4" t="s">
        <v>1059</v>
      </c>
      <c r="C1757" s="25" t="s">
        <v>7</v>
      </c>
      <c r="D1757" s="25" t="s">
        <v>5</v>
      </c>
      <c r="G1757" s="25" t="s">
        <v>1205</v>
      </c>
      <c r="H1757" s="24" t="s">
        <v>1061</v>
      </c>
      <c r="I1757" s="3" t="str">
        <f>IFERROR(VLOOKUP(C1757,'Справочник соответствий'!A$2:D$2981,2,FALSE),IF(VALUE(C1757)=0,1,VLOOKUP(C1757,'Справочник соответствий'!A$2:D$2981,2,FALSE)))</f>
        <v>2</v>
      </c>
      <c r="J1757" s="3" t="str">
        <f>IFERROR(VLOOKUP(D1757,'Справочник соответствий'!A$2:D$2981,2,FALSE),IF(VALUE(D1757)=0,0,VLOOKUP(D1757,'Справочник соответствий'!A$2:D$2981,2,FALSE)))</f>
        <v>1</v>
      </c>
      <c r="K1757" s="3" t="str">
        <f t="shared" si="189"/>
        <v>2</v>
      </c>
      <c r="L1757" s="13" t="str">
        <f>IFERROR(VLOOKUP(C1757,'Справочник соответствий'!A$2:D$2981,3,FALSE),IF(VALUE(C1757)=0,"ЭТАЖ НЕ ОПРЕДЕЛЕН. ПРИНЯТ ПО ДОПУЩЕНИЮ 1",VLOOKUP(C1757,'Справочник соответствий'!A$2:D$2981,3,FALSE)))</f>
        <v>ЭТАЖ ЗАДАН ЧИСЛОМ</v>
      </c>
      <c r="M1757" s="13" t="b">
        <f t="shared" si="190"/>
        <v>0</v>
      </c>
      <c r="N1757" s="13">
        <f t="shared" si="191"/>
        <v>2</v>
      </c>
      <c r="O1757" s="13" t="str">
        <f t="shared" si="192"/>
        <v>ЭТАЖ ЗАДАН ЧИСЛОМ</v>
      </c>
      <c r="P1757" s="13" t="str">
        <f t="shared" si="193"/>
        <v>ЭТАЖ ЗАДАН ЧИСЛОМ</v>
      </c>
      <c r="Q1757" s="13" t="str">
        <f t="shared" si="194"/>
        <v>ГОТОВ_ИЗМЕНЕН</v>
      </c>
      <c r="R1757" s="13">
        <f>IFERROR(VLOOKUP(P1757,Лист1!A$1:B$20,2,FALSE),0)</f>
        <v>784</v>
      </c>
      <c r="S1757" s="13">
        <f t="shared" si="195"/>
        <v>0</v>
      </c>
    </row>
    <row r="1758" spans="1:19" x14ac:dyDescent="0.25">
      <c r="A1758" s="24" t="s">
        <v>2885</v>
      </c>
      <c r="B1758" s="4" t="s">
        <v>1063</v>
      </c>
      <c r="C1758" s="25" t="s">
        <v>127</v>
      </c>
      <c r="G1758" s="25" t="s">
        <v>1205</v>
      </c>
      <c r="H1758" s="24" t="s">
        <v>1061</v>
      </c>
      <c r="I1758" s="3" t="str">
        <f>IFERROR(VLOOKUP(C1758,'Справочник соответствий'!A$2:D$2981,2,FALSE),IF(VALUE(C1758)=0,1,VLOOKUP(C1758,'Справочник соответствий'!A$2:D$2981,2,FALSE)))</f>
        <v>1</v>
      </c>
      <c r="J1758" s="3">
        <f>IFERROR(VLOOKUP(D1758,'Справочник соответствий'!A$2:D$2981,2,FALSE),IF(VALUE(D1758)=0,0,VLOOKUP(D1758,'Справочник соответствий'!A$2:D$2981,2,FALSE)))</f>
        <v>0</v>
      </c>
      <c r="K1758" s="3" t="str">
        <f t="shared" si="189"/>
        <v>1</v>
      </c>
      <c r="L1758" s="13" t="str">
        <f>IFERROR(VLOOKUP(C1758,'Справочник соответствий'!A$2:D$2981,3,FALSE),IF(VALUE(C1758)=0,"ЭТАЖ НЕ ОПРЕДЕЛЕН. ПРИНЯТ ПО ДОПУЩЕНИЮ 1",VLOOKUP(C1758,'Справочник соответствий'!A$2:D$2981,3,FALSE)))</f>
        <v>СПРАВОЧНИК ЭТАЖНОСТИ</v>
      </c>
      <c r="M1758" s="13" t="b">
        <f t="shared" si="190"/>
        <v>0</v>
      </c>
      <c r="N1758" s="13">
        <f t="shared" si="191"/>
        <v>1</v>
      </c>
      <c r="O1758" s="13" t="str">
        <f t="shared" si="192"/>
        <v>СПРАВОЧНИК ЭТАЖНОСТИ</v>
      </c>
      <c r="P1758" s="13" t="str">
        <f t="shared" si="193"/>
        <v>СПРАВОЧНИК ЭТАЖНОСТИ</v>
      </c>
      <c r="Q1758" s="13" t="str">
        <f t="shared" si="194"/>
        <v>ГОТОВ_ИЗМЕНЕН</v>
      </c>
      <c r="R1758" s="13">
        <f>IFERROR(VLOOKUP(P1758,Лист1!A$1:B$20,2,FALSE),0)</f>
        <v>785</v>
      </c>
      <c r="S1758" s="13">
        <f t="shared" si="195"/>
        <v>0</v>
      </c>
    </row>
    <row r="1759" spans="1:19" x14ac:dyDescent="0.25">
      <c r="A1759" s="24" t="s">
        <v>2886</v>
      </c>
      <c r="B1759" s="4" t="s">
        <v>1031</v>
      </c>
      <c r="C1759" s="25" t="s">
        <v>11</v>
      </c>
      <c r="D1759" s="25" t="s">
        <v>5</v>
      </c>
      <c r="G1759" s="25" t="s">
        <v>1205</v>
      </c>
      <c r="H1759" s="24" t="s">
        <v>1061</v>
      </c>
      <c r="I1759" s="3" t="str">
        <f>IFERROR(VLOOKUP(C1759,'Справочник соответствий'!A$2:D$2981,2,FALSE),IF(VALUE(C1759)=0,1,VLOOKUP(C1759,'Справочник соответствий'!A$2:D$2981,2,FALSE)))</f>
        <v>6</v>
      </c>
      <c r="J1759" s="3" t="str">
        <f>IFERROR(VLOOKUP(D1759,'Справочник соответствий'!A$2:D$2981,2,FALSE),IF(VALUE(D1759)=0,0,VLOOKUP(D1759,'Справочник соответствий'!A$2:D$2981,2,FALSE)))</f>
        <v>1</v>
      </c>
      <c r="K1759" s="3">
        <f t="shared" si="189"/>
        <v>5</v>
      </c>
      <c r="L1759" s="13" t="str">
        <f>IFERROR(VLOOKUP(C1759,'Справочник соответствий'!A$2:D$2981,3,FALSE),IF(VALUE(C1759)=0,"ЭТАЖ НЕ ОПРЕДЕЛЕН. ПРИНЯТ ПО ДОПУЩЕНИЮ 1",VLOOKUP(C1759,'Справочник соответствий'!A$2:D$2981,3,FALSE)))</f>
        <v>ЭТАЖ ЗАДАН ЧИСЛОМ</v>
      </c>
      <c r="M1759" s="13" t="b">
        <f t="shared" si="190"/>
        <v>0</v>
      </c>
      <c r="N1759" s="13">
        <f t="shared" si="191"/>
        <v>5</v>
      </c>
      <c r="O1759" s="13" t="str">
        <f t="shared" si="192"/>
        <v>ЭТАЖ ЗАДАН ЧИСЛОМ</v>
      </c>
      <c r="P1759" s="13" t="str">
        <f t="shared" si="193"/>
        <v>МКД_ЭТАЖ ЗАДАН ЧИСЛОМ</v>
      </c>
      <c r="Q1759" s="13" t="str">
        <f t="shared" si="194"/>
        <v>ГОТОВ_ИЗМЕНЕН</v>
      </c>
      <c r="R1759" s="13">
        <f>IFERROR(VLOOKUP(P1759,Лист1!A$1:B$20,2,FALSE),0)</f>
        <v>786</v>
      </c>
      <c r="S1759" s="13">
        <f t="shared" si="195"/>
        <v>0</v>
      </c>
    </row>
    <row r="1760" spans="1:19" x14ac:dyDescent="0.25">
      <c r="A1760" s="24" t="s">
        <v>2887</v>
      </c>
      <c r="B1760" s="4" t="s">
        <v>1059</v>
      </c>
      <c r="C1760" s="25" t="s">
        <v>5</v>
      </c>
      <c r="D1760" s="25" t="s">
        <v>69</v>
      </c>
      <c r="G1760" s="25" t="s">
        <v>1205</v>
      </c>
      <c r="H1760" s="24" t="s">
        <v>1061</v>
      </c>
      <c r="I1760" s="3" t="str">
        <f>IFERROR(VLOOKUP(C1760,'Справочник соответствий'!A$2:D$2981,2,FALSE),IF(VALUE(C1760)=0,1,VLOOKUP(C1760,'Справочник соответствий'!A$2:D$2981,2,FALSE)))</f>
        <v>1</v>
      </c>
      <c r="J1760" s="3" t="str">
        <f>IFERROR(VLOOKUP(D1760,'Справочник соответствий'!A$2:D$2981,2,FALSE),IF(VALUE(D1760)=0,0,VLOOKUP(D1760,'Справочник соответствий'!A$2:D$2981,2,FALSE)))</f>
        <v>1</v>
      </c>
      <c r="K1760" s="3" t="str">
        <f t="shared" si="189"/>
        <v>1</v>
      </c>
      <c r="L1760" s="13" t="str">
        <f>IFERROR(VLOOKUP(C1760,'Справочник соответствий'!A$2:D$2981,3,FALSE),IF(VALUE(C1760)=0,"ЭТАЖ НЕ ОПРЕДЕЛЕН. ПРИНЯТ ПО ДОПУЩЕНИЮ 1",VLOOKUP(C1760,'Справочник соответствий'!A$2:D$2981,3,FALSE)))</f>
        <v>ЭТАЖ ЗАДАН ЧИСЛОМ</v>
      </c>
      <c r="M1760" s="13" t="b">
        <f t="shared" si="190"/>
        <v>0</v>
      </c>
      <c r="N1760" s="13">
        <f t="shared" si="191"/>
        <v>1</v>
      </c>
      <c r="O1760" s="13" t="str">
        <f t="shared" si="192"/>
        <v>ЭТАЖ ЗАДАН ЧИСЛОМ</v>
      </c>
      <c r="P1760" s="13" t="str">
        <f t="shared" si="193"/>
        <v>ЭТАЖ ЗАДАН ЧИСЛОМ</v>
      </c>
      <c r="Q1760" s="13" t="str">
        <f t="shared" si="194"/>
        <v>ГОТОВ_ИЗМЕНЕН</v>
      </c>
      <c r="R1760" s="13">
        <f>IFERROR(VLOOKUP(P1760,Лист1!A$1:B$20,2,FALSE),0)</f>
        <v>784</v>
      </c>
      <c r="S1760" s="13">
        <f t="shared" si="195"/>
        <v>0</v>
      </c>
    </row>
    <row r="1761" spans="1:19" x14ac:dyDescent="0.25">
      <c r="A1761" s="24" t="s">
        <v>2888</v>
      </c>
      <c r="B1761" s="4" t="s">
        <v>1063</v>
      </c>
      <c r="C1761" s="25" t="s">
        <v>5</v>
      </c>
      <c r="G1761" s="25" t="s">
        <v>1205</v>
      </c>
      <c r="H1761" s="24" t="s">
        <v>1061</v>
      </c>
      <c r="I1761" s="3" t="str">
        <f>IFERROR(VLOOKUP(C1761,'Справочник соответствий'!A$2:D$2981,2,FALSE),IF(VALUE(C1761)=0,1,VLOOKUP(C1761,'Справочник соответствий'!A$2:D$2981,2,FALSE)))</f>
        <v>1</v>
      </c>
      <c r="J1761" s="3">
        <f>IFERROR(VLOOKUP(D1761,'Справочник соответствий'!A$2:D$2981,2,FALSE),IF(VALUE(D1761)=0,0,VLOOKUP(D1761,'Справочник соответствий'!A$2:D$2981,2,FALSE)))</f>
        <v>0</v>
      </c>
      <c r="K1761" s="3" t="str">
        <f t="shared" si="189"/>
        <v>1</v>
      </c>
      <c r="L1761" s="13" t="str">
        <f>IFERROR(VLOOKUP(C1761,'Справочник соответствий'!A$2:D$2981,3,FALSE),IF(VALUE(C1761)=0,"ЭТАЖ НЕ ОПРЕДЕЛЕН. ПРИНЯТ ПО ДОПУЩЕНИЮ 1",VLOOKUP(C1761,'Справочник соответствий'!A$2:D$2981,3,FALSE)))</f>
        <v>ЭТАЖ ЗАДАН ЧИСЛОМ</v>
      </c>
      <c r="M1761" s="13" t="b">
        <f t="shared" si="190"/>
        <v>0</v>
      </c>
      <c r="N1761" s="13">
        <f t="shared" si="191"/>
        <v>1</v>
      </c>
      <c r="O1761" s="13" t="str">
        <f t="shared" si="192"/>
        <v>ЭТАЖ ЗАДАН ЧИСЛОМ</v>
      </c>
      <c r="P1761" s="13" t="str">
        <f t="shared" si="193"/>
        <v>ЭТАЖ ЗАДАН ЧИСЛОМ</v>
      </c>
      <c r="Q1761" s="13" t="str">
        <f t="shared" si="194"/>
        <v>ГОТОВ_ИЗМЕНЕН</v>
      </c>
      <c r="R1761" s="13">
        <f>IFERROR(VLOOKUP(P1761,Лист1!A$1:B$20,2,FALSE),0)</f>
        <v>784</v>
      </c>
      <c r="S1761" s="13">
        <f t="shared" si="195"/>
        <v>0</v>
      </c>
    </row>
    <row r="1762" spans="1:19" x14ac:dyDescent="0.25">
      <c r="A1762" s="24" t="s">
        <v>2889</v>
      </c>
      <c r="B1762" s="4" t="s">
        <v>1059</v>
      </c>
      <c r="C1762" s="25" t="s">
        <v>5</v>
      </c>
      <c r="G1762" s="25" t="s">
        <v>1205</v>
      </c>
      <c r="H1762" s="24" t="s">
        <v>1061</v>
      </c>
      <c r="I1762" s="3" t="str">
        <f>IFERROR(VLOOKUP(C1762,'Справочник соответствий'!A$2:D$2981,2,FALSE),IF(VALUE(C1762)=0,1,VLOOKUP(C1762,'Справочник соответствий'!A$2:D$2981,2,FALSE)))</f>
        <v>1</v>
      </c>
      <c r="J1762" s="3">
        <f>IFERROR(VLOOKUP(D1762,'Справочник соответствий'!A$2:D$2981,2,FALSE),IF(VALUE(D1762)=0,0,VLOOKUP(D1762,'Справочник соответствий'!A$2:D$2981,2,FALSE)))</f>
        <v>0</v>
      </c>
      <c r="K1762" s="3" t="str">
        <f t="shared" si="189"/>
        <v>1</v>
      </c>
      <c r="L1762" s="13" t="str">
        <f>IFERROR(VLOOKUP(C1762,'Справочник соответствий'!A$2:D$2981,3,FALSE),IF(VALUE(C1762)=0,"ЭТАЖ НЕ ОПРЕДЕЛЕН. ПРИНЯТ ПО ДОПУЩЕНИЮ 1",VLOOKUP(C1762,'Справочник соответствий'!A$2:D$2981,3,FALSE)))</f>
        <v>ЭТАЖ ЗАДАН ЧИСЛОМ</v>
      </c>
      <c r="M1762" s="13" t="b">
        <f t="shared" si="190"/>
        <v>0</v>
      </c>
      <c r="N1762" s="13">
        <f t="shared" si="191"/>
        <v>1</v>
      </c>
      <c r="O1762" s="13" t="str">
        <f t="shared" si="192"/>
        <v>ЭТАЖ ЗАДАН ЧИСЛОМ</v>
      </c>
      <c r="P1762" s="13" t="str">
        <f t="shared" si="193"/>
        <v>ЭТАЖ ЗАДАН ЧИСЛОМ</v>
      </c>
      <c r="Q1762" s="13" t="str">
        <f t="shared" si="194"/>
        <v>ГОТОВ_ИЗМЕНЕН</v>
      </c>
      <c r="R1762" s="13">
        <f>IFERROR(VLOOKUP(P1762,Лист1!A$1:B$20,2,FALSE),0)</f>
        <v>784</v>
      </c>
      <c r="S1762" s="13">
        <f t="shared" si="195"/>
        <v>0</v>
      </c>
    </row>
    <row r="1763" spans="1:19" x14ac:dyDescent="0.25">
      <c r="A1763" s="24" t="s">
        <v>2890</v>
      </c>
      <c r="B1763" s="4" t="s">
        <v>1059</v>
      </c>
      <c r="C1763" s="25" t="s">
        <v>7</v>
      </c>
      <c r="G1763" s="25" t="s">
        <v>1205</v>
      </c>
      <c r="H1763" s="24" t="s">
        <v>1061</v>
      </c>
      <c r="I1763" s="3" t="str">
        <f>IFERROR(VLOOKUP(C1763,'Справочник соответствий'!A$2:D$2981,2,FALSE),IF(VALUE(C1763)=0,1,VLOOKUP(C1763,'Справочник соответствий'!A$2:D$2981,2,FALSE)))</f>
        <v>2</v>
      </c>
      <c r="J1763" s="3">
        <f>IFERROR(VLOOKUP(D1763,'Справочник соответствий'!A$2:D$2981,2,FALSE),IF(VALUE(D1763)=0,0,VLOOKUP(D1763,'Справочник соответствий'!A$2:D$2981,2,FALSE)))</f>
        <v>0</v>
      </c>
      <c r="K1763" s="3" t="str">
        <f t="shared" si="189"/>
        <v>2</v>
      </c>
      <c r="L1763" s="13" t="str">
        <f>IFERROR(VLOOKUP(C1763,'Справочник соответствий'!A$2:D$2981,3,FALSE),IF(VALUE(C1763)=0,"ЭТАЖ НЕ ОПРЕДЕЛЕН. ПРИНЯТ ПО ДОПУЩЕНИЮ 1",VLOOKUP(C1763,'Справочник соответствий'!A$2:D$2981,3,FALSE)))</f>
        <v>ЭТАЖ ЗАДАН ЧИСЛОМ</v>
      </c>
      <c r="M1763" s="13" t="b">
        <f t="shared" si="190"/>
        <v>0</v>
      </c>
      <c r="N1763" s="13">
        <f t="shared" si="191"/>
        <v>2</v>
      </c>
      <c r="O1763" s="13" t="str">
        <f t="shared" si="192"/>
        <v>ЭТАЖ ЗАДАН ЧИСЛОМ</v>
      </c>
      <c r="P1763" s="13" t="str">
        <f t="shared" si="193"/>
        <v>ЭТАЖ ЗАДАН ЧИСЛОМ</v>
      </c>
      <c r="Q1763" s="13" t="str">
        <f t="shared" si="194"/>
        <v>ГОТОВ_ИЗМЕНЕН</v>
      </c>
      <c r="R1763" s="13">
        <f>IFERROR(VLOOKUP(P1763,Лист1!A$1:B$20,2,FALSE),0)</f>
        <v>784</v>
      </c>
      <c r="S1763" s="13">
        <f t="shared" si="195"/>
        <v>0</v>
      </c>
    </row>
    <row r="1764" spans="1:19" x14ac:dyDescent="0.25">
      <c r="A1764" s="24" t="s">
        <v>2891</v>
      </c>
      <c r="B1764" s="4" t="s">
        <v>1063</v>
      </c>
      <c r="C1764" s="25" t="s">
        <v>5</v>
      </c>
      <c r="G1764" s="25" t="s">
        <v>1224</v>
      </c>
      <c r="H1764" s="24" t="s">
        <v>1061</v>
      </c>
      <c r="I1764" s="3" t="str">
        <f>IFERROR(VLOOKUP(C1764,'Справочник соответствий'!A$2:D$2981,2,FALSE),IF(VALUE(C1764)=0,1,VLOOKUP(C1764,'Справочник соответствий'!A$2:D$2981,2,FALSE)))</f>
        <v>1</v>
      </c>
      <c r="J1764" s="3">
        <f>IFERROR(VLOOKUP(D1764,'Справочник соответствий'!A$2:D$2981,2,FALSE),IF(VALUE(D1764)=0,0,VLOOKUP(D1764,'Справочник соответствий'!A$2:D$2981,2,FALSE)))</f>
        <v>0</v>
      </c>
      <c r="K1764" s="3" t="str">
        <f t="shared" si="189"/>
        <v>1</v>
      </c>
      <c r="L1764" s="13" t="str">
        <f>IFERROR(VLOOKUP(C1764,'Справочник соответствий'!A$2:D$2981,3,FALSE),IF(VALUE(C1764)=0,"ЭТАЖ НЕ ОПРЕДЕЛЕН. ПРИНЯТ ПО ДОПУЩЕНИЮ 1",VLOOKUP(C1764,'Справочник соответствий'!A$2:D$2981,3,FALSE)))</f>
        <v>ЭТАЖ ЗАДАН ЧИСЛОМ</v>
      </c>
      <c r="M1764" s="13" t="b">
        <f t="shared" si="190"/>
        <v>0</v>
      </c>
      <c r="N1764" s="13">
        <f t="shared" si="191"/>
        <v>1</v>
      </c>
      <c r="O1764" s="13" t="str">
        <f t="shared" si="192"/>
        <v>ЭТАЖ ЗАДАН ЧИСЛОМ</v>
      </c>
      <c r="P1764" s="13" t="str">
        <f t="shared" si="193"/>
        <v>ЭТАЖ ЗАДАН ЧИСЛОМ</v>
      </c>
      <c r="Q1764" s="13" t="str">
        <f t="shared" si="194"/>
        <v>ГОТОВ_ИЗМЕНЕН</v>
      </c>
      <c r="R1764" s="13">
        <f>IFERROR(VLOOKUP(P1764,Лист1!A$1:B$20,2,FALSE),0)</f>
        <v>784</v>
      </c>
      <c r="S1764" s="13">
        <f t="shared" si="195"/>
        <v>0</v>
      </c>
    </row>
    <row r="1765" spans="1:19" x14ac:dyDescent="0.25">
      <c r="A1765" s="24" t="s">
        <v>2892</v>
      </c>
      <c r="B1765" s="4" t="s">
        <v>1059</v>
      </c>
      <c r="C1765" s="25" t="s">
        <v>5</v>
      </c>
      <c r="G1765" s="25" t="s">
        <v>1224</v>
      </c>
      <c r="H1765" s="24" t="s">
        <v>1061</v>
      </c>
      <c r="I1765" s="3" t="str">
        <f>IFERROR(VLOOKUP(C1765,'Справочник соответствий'!A$2:D$2981,2,FALSE),IF(VALUE(C1765)=0,1,VLOOKUP(C1765,'Справочник соответствий'!A$2:D$2981,2,FALSE)))</f>
        <v>1</v>
      </c>
      <c r="J1765" s="3">
        <f>IFERROR(VLOOKUP(D1765,'Справочник соответствий'!A$2:D$2981,2,FALSE),IF(VALUE(D1765)=0,0,VLOOKUP(D1765,'Справочник соответствий'!A$2:D$2981,2,FALSE)))</f>
        <v>0</v>
      </c>
      <c r="K1765" s="3" t="str">
        <f t="shared" si="189"/>
        <v>1</v>
      </c>
      <c r="L1765" s="13" t="str">
        <f>IFERROR(VLOOKUP(C1765,'Справочник соответствий'!A$2:D$2981,3,FALSE),IF(VALUE(C1765)=0,"ЭТАЖ НЕ ОПРЕДЕЛЕН. ПРИНЯТ ПО ДОПУЩЕНИЮ 1",VLOOKUP(C1765,'Справочник соответствий'!A$2:D$2981,3,FALSE)))</f>
        <v>ЭТАЖ ЗАДАН ЧИСЛОМ</v>
      </c>
      <c r="M1765" s="13" t="b">
        <f t="shared" si="190"/>
        <v>0</v>
      </c>
      <c r="N1765" s="13">
        <f t="shared" si="191"/>
        <v>1</v>
      </c>
      <c r="O1765" s="13" t="str">
        <f t="shared" si="192"/>
        <v>ЭТАЖ ЗАДАН ЧИСЛОМ</v>
      </c>
      <c r="P1765" s="13" t="str">
        <f t="shared" si="193"/>
        <v>ЭТАЖ ЗАДАН ЧИСЛОМ</v>
      </c>
      <c r="Q1765" s="13" t="str">
        <f t="shared" si="194"/>
        <v>ГОТОВ_ИЗМЕНЕН</v>
      </c>
      <c r="R1765" s="13">
        <f>IFERROR(VLOOKUP(P1765,Лист1!A$1:B$20,2,FALSE),0)</f>
        <v>784</v>
      </c>
      <c r="S1765" s="13">
        <f t="shared" si="195"/>
        <v>0</v>
      </c>
    </row>
    <row r="1766" spans="1:19" x14ac:dyDescent="0.25">
      <c r="A1766" s="24" t="s">
        <v>2893</v>
      </c>
      <c r="B1766" s="4" t="s">
        <v>1059</v>
      </c>
      <c r="C1766" s="25" t="s">
        <v>5</v>
      </c>
      <c r="G1766" s="25" t="s">
        <v>1224</v>
      </c>
      <c r="H1766" s="24" t="s">
        <v>1061</v>
      </c>
      <c r="I1766" s="3" t="str">
        <f>IFERROR(VLOOKUP(C1766,'Справочник соответствий'!A$2:D$2981,2,FALSE),IF(VALUE(C1766)=0,1,VLOOKUP(C1766,'Справочник соответствий'!A$2:D$2981,2,FALSE)))</f>
        <v>1</v>
      </c>
      <c r="J1766" s="3">
        <f>IFERROR(VLOOKUP(D1766,'Справочник соответствий'!A$2:D$2981,2,FALSE),IF(VALUE(D1766)=0,0,VLOOKUP(D1766,'Справочник соответствий'!A$2:D$2981,2,FALSE)))</f>
        <v>0</v>
      </c>
      <c r="K1766" s="3" t="str">
        <f t="shared" si="189"/>
        <v>1</v>
      </c>
      <c r="L1766" s="13" t="str">
        <f>IFERROR(VLOOKUP(C1766,'Справочник соответствий'!A$2:D$2981,3,FALSE),IF(VALUE(C1766)=0,"ЭТАЖ НЕ ОПРЕДЕЛЕН. ПРИНЯТ ПО ДОПУЩЕНИЮ 1",VLOOKUP(C1766,'Справочник соответствий'!A$2:D$2981,3,FALSE)))</f>
        <v>ЭТАЖ ЗАДАН ЧИСЛОМ</v>
      </c>
      <c r="M1766" s="13" t="b">
        <f t="shared" si="190"/>
        <v>0</v>
      </c>
      <c r="N1766" s="13">
        <f t="shared" si="191"/>
        <v>1</v>
      </c>
      <c r="O1766" s="13" t="str">
        <f t="shared" si="192"/>
        <v>ЭТАЖ ЗАДАН ЧИСЛОМ</v>
      </c>
      <c r="P1766" s="13" t="str">
        <f t="shared" si="193"/>
        <v>ЭТАЖ ЗАДАН ЧИСЛОМ</v>
      </c>
      <c r="Q1766" s="13" t="str">
        <f t="shared" si="194"/>
        <v>ГОТОВ_ИЗМЕНЕН</v>
      </c>
      <c r="R1766" s="13">
        <f>IFERROR(VLOOKUP(P1766,Лист1!A$1:B$20,2,FALSE),0)</f>
        <v>784</v>
      </c>
      <c r="S1766" s="13">
        <f t="shared" si="195"/>
        <v>0</v>
      </c>
    </row>
    <row r="1767" spans="1:19" x14ac:dyDescent="0.25">
      <c r="A1767" s="24" t="s">
        <v>2894</v>
      </c>
      <c r="B1767" s="4" t="s">
        <v>1063</v>
      </c>
      <c r="C1767" s="25" t="s">
        <v>5</v>
      </c>
      <c r="G1767" s="25" t="s">
        <v>1224</v>
      </c>
      <c r="H1767" s="24" t="s">
        <v>1061</v>
      </c>
      <c r="I1767" s="3" t="str">
        <f>IFERROR(VLOOKUP(C1767,'Справочник соответствий'!A$2:D$2981,2,FALSE),IF(VALUE(C1767)=0,1,VLOOKUP(C1767,'Справочник соответствий'!A$2:D$2981,2,FALSE)))</f>
        <v>1</v>
      </c>
      <c r="J1767" s="3">
        <f>IFERROR(VLOOKUP(D1767,'Справочник соответствий'!A$2:D$2981,2,FALSE),IF(VALUE(D1767)=0,0,VLOOKUP(D1767,'Справочник соответствий'!A$2:D$2981,2,FALSE)))</f>
        <v>0</v>
      </c>
      <c r="K1767" s="3" t="str">
        <f t="shared" si="189"/>
        <v>1</v>
      </c>
      <c r="L1767" s="13" t="str">
        <f>IFERROR(VLOOKUP(C1767,'Справочник соответствий'!A$2:D$2981,3,FALSE),IF(VALUE(C1767)=0,"ЭТАЖ НЕ ОПРЕДЕЛЕН. ПРИНЯТ ПО ДОПУЩЕНИЮ 1",VLOOKUP(C1767,'Справочник соответствий'!A$2:D$2981,3,FALSE)))</f>
        <v>ЭТАЖ ЗАДАН ЧИСЛОМ</v>
      </c>
      <c r="M1767" s="13" t="b">
        <f t="shared" si="190"/>
        <v>0</v>
      </c>
      <c r="N1767" s="13">
        <f t="shared" si="191"/>
        <v>1</v>
      </c>
      <c r="O1767" s="13" t="str">
        <f t="shared" si="192"/>
        <v>ЭТАЖ ЗАДАН ЧИСЛОМ</v>
      </c>
      <c r="P1767" s="13" t="str">
        <f t="shared" si="193"/>
        <v>ЭТАЖ ЗАДАН ЧИСЛОМ</v>
      </c>
      <c r="Q1767" s="13" t="str">
        <f t="shared" si="194"/>
        <v>ГОТОВ_ИЗМЕНЕН</v>
      </c>
      <c r="R1767" s="13">
        <f>IFERROR(VLOOKUP(P1767,Лист1!A$1:B$20,2,FALSE),0)</f>
        <v>784</v>
      </c>
      <c r="S1767" s="13">
        <f t="shared" si="195"/>
        <v>0</v>
      </c>
    </row>
    <row r="1768" spans="1:19" x14ac:dyDescent="0.25">
      <c r="A1768" s="24" t="s">
        <v>2895</v>
      </c>
      <c r="B1768" s="4" t="s">
        <v>1059</v>
      </c>
      <c r="C1768" s="25" t="s">
        <v>8</v>
      </c>
      <c r="G1768" s="25" t="s">
        <v>1224</v>
      </c>
      <c r="H1768" s="24" t="s">
        <v>1061</v>
      </c>
      <c r="I1768" s="3" t="str">
        <f>IFERROR(VLOOKUP(C1768,'Справочник соответствий'!A$2:D$2981,2,FALSE),IF(VALUE(C1768)=0,1,VLOOKUP(C1768,'Справочник соответствий'!A$2:D$2981,2,FALSE)))</f>
        <v>3</v>
      </c>
      <c r="J1768" s="3">
        <f>IFERROR(VLOOKUP(D1768,'Справочник соответствий'!A$2:D$2981,2,FALSE),IF(VALUE(D1768)=0,0,VLOOKUP(D1768,'Справочник соответствий'!A$2:D$2981,2,FALSE)))</f>
        <v>0</v>
      </c>
      <c r="K1768" s="3" t="str">
        <f t="shared" si="189"/>
        <v>3</v>
      </c>
      <c r="L1768" s="13" t="str">
        <f>IFERROR(VLOOKUP(C1768,'Справочник соответствий'!A$2:D$2981,3,FALSE),IF(VALUE(C1768)=0,"ЭТАЖ НЕ ОПРЕДЕЛЕН. ПРИНЯТ ПО ДОПУЩЕНИЮ 1",VLOOKUP(C1768,'Справочник соответствий'!A$2:D$2981,3,FALSE)))</f>
        <v>ЭТАЖ ЗАДАН ЧИСЛОМ</v>
      </c>
      <c r="M1768" s="13" t="b">
        <f t="shared" si="190"/>
        <v>0</v>
      </c>
      <c r="N1768" s="13">
        <f t="shared" si="191"/>
        <v>3</v>
      </c>
      <c r="O1768" s="13" t="str">
        <f t="shared" si="192"/>
        <v>ЭТАЖ ЗАДАН ЧИСЛОМ</v>
      </c>
      <c r="P1768" s="13" t="str">
        <f t="shared" si="193"/>
        <v>ЭТАЖ ЗАДАН ЧИСЛОМ</v>
      </c>
      <c r="Q1768" s="13" t="str">
        <f t="shared" si="194"/>
        <v>ГОТОВ_ИЗМЕНЕН</v>
      </c>
      <c r="R1768" s="13">
        <f>IFERROR(VLOOKUP(P1768,Лист1!A$1:B$20,2,FALSE),0)</f>
        <v>784</v>
      </c>
      <c r="S1768" s="13">
        <f t="shared" si="195"/>
        <v>0</v>
      </c>
    </row>
    <row r="1769" spans="1:19" x14ac:dyDescent="0.25">
      <c r="A1769" s="24" t="s">
        <v>2896</v>
      </c>
      <c r="B1769" s="4" t="s">
        <v>1063</v>
      </c>
      <c r="C1769" s="25" t="s">
        <v>5</v>
      </c>
      <c r="G1769" s="25" t="s">
        <v>1224</v>
      </c>
      <c r="H1769" s="24" t="s">
        <v>1061</v>
      </c>
      <c r="I1769" s="3" t="str">
        <f>IFERROR(VLOOKUP(C1769,'Справочник соответствий'!A$2:D$2981,2,FALSE),IF(VALUE(C1769)=0,1,VLOOKUP(C1769,'Справочник соответствий'!A$2:D$2981,2,FALSE)))</f>
        <v>1</v>
      </c>
      <c r="J1769" s="3">
        <f>IFERROR(VLOOKUP(D1769,'Справочник соответствий'!A$2:D$2981,2,FALSE),IF(VALUE(D1769)=0,0,VLOOKUP(D1769,'Справочник соответствий'!A$2:D$2981,2,FALSE)))</f>
        <v>0</v>
      </c>
      <c r="K1769" s="3" t="str">
        <f t="shared" si="189"/>
        <v>1</v>
      </c>
      <c r="L1769" s="13" t="str">
        <f>IFERROR(VLOOKUP(C1769,'Справочник соответствий'!A$2:D$2981,3,FALSE),IF(VALUE(C1769)=0,"ЭТАЖ НЕ ОПРЕДЕЛЕН. ПРИНЯТ ПО ДОПУЩЕНИЮ 1",VLOOKUP(C1769,'Справочник соответствий'!A$2:D$2981,3,FALSE)))</f>
        <v>ЭТАЖ ЗАДАН ЧИСЛОМ</v>
      </c>
      <c r="M1769" s="13" t="b">
        <f t="shared" si="190"/>
        <v>0</v>
      </c>
      <c r="N1769" s="13">
        <f t="shared" si="191"/>
        <v>1</v>
      </c>
      <c r="O1769" s="13" t="str">
        <f t="shared" si="192"/>
        <v>ЭТАЖ ЗАДАН ЧИСЛОМ</v>
      </c>
      <c r="P1769" s="13" t="str">
        <f t="shared" si="193"/>
        <v>ЭТАЖ ЗАДАН ЧИСЛОМ</v>
      </c>
      <c r="Q1769" s="13" t="str">
        <f t="shared" si="194"/>
        <v>ГОТОВ_ИЗМЕНЕН</v>
      </c>
      <c r="R1769" s="13">
        <f>IFERROR(VLOOKUP(P1769,Лист1!A$1:B$20,2,FALSE),0)</f>
        <v>784</v>
      </c>
      <c r="S1769" s="13">
        <f t="shared" si="195"/>
        <v>0</v>
      </c>
    </row>
    <row r="1770" spans="1:19" x14ac:dyDescent="0.25">
      <c r="A1770" s="24" t="s">
        <v>2897</v>
      </c>
      <c r="B1770" s="4" t="s">
        <v>1063</v>
      </c>
      <c r="C1770" s="25" t="s">
        <v>5</v>
      </c>
      <c r="G1770" s="25" t="s">
        <v>1224</v>
      </c>
      <c r="H1770" s="24" t="s">
        <v>1061</v>
      </c>
      <c r="I1770" s="3" t="str">
        <f>IFERROR(VLOOKUP(C1770,'Справочник соответствий'!A$2:D$2981,2,FALSE),IF(VALUE(C1770)=0,1,VLOOKUP(C1770,'Справочник соответствий'!A$2:D$2981,2,FALSE)))</f>
        <v>1</v>
      </c>
      <c r="J1770" s="3">
        <f>IFERROR(VLOOKUP(D1770,'Справочник соответствий'!A$2:D$2981,2,FALSE),IF(VALUE(D1770)=0,0,VLOOKUP(D1770,'Справочник соответствий'!A$2:D$2981,2,FALSE)))</f>
        <v>0</v>
      </c>
      <c r="K1770" s="3" t="str">
        <f t="shared" si="189"/>
        <v>1</v>
      </c>
      <c r="L1770" s="13" t="str">
        <f>IFERROR(VLOOKUP(C1770,'Справочник соответствий'!A$2:D$2981,3,FALSE),IF(VALUE(C1770)=0,"ЭТАЖ НЕ ОПРЕДЕЛЕН. ПРИНЯТ ПО ДОПУЩЕНИЮ 1",VLOOKUP(C1770,'Справочник соответствий'!A$2:D$2981,3,FALSE)))</f>
        <v>ЭТАЖ ЗАДАН ЧИСЛОМ</v>
      </c>
      <c r="M1770" s="13" t="b">
        <f t="shared" si="190"/>
        <v>0</v>
      </c>
      <c r="N1770" s="13">
        <f t="shared" si="191"/>
        <v>1</v>
      </c>
      <c r="O1770" s="13" t="str">
        <f t="shared" si="192"/>
        <v>ЭТАЖ ЗАДАН ЧИСЛОМ</v>
      </c>
      <c r="P1770" s="13" t="str">
        <f t="shared" si="193"/>
        <v>ЭТАЖ ЗАДАН ЧИСЛОМ</v>
      </c>
      <c r="Q1770" s="13" t="str">
        <f t="shared" si="194"/>
        <v>ГОТОВ_ИЗМЕНЕН</v>
      </c>
      <c r="R1770" s="13">
        <f>IFERROR(VLOOKUP(P1770,Лист1!A$1:B$20,2,FALSE),0)</f>
        <v>784</v>
      </c>
      <c r="S1770" s="13">
        <f t="shared" si="195"/>
        <v>0</v>
      </c>
    </row>
    <row r="1771" spans="1:19" x14ac:dyDescent="0.25">
      <c r="A1771" s="24" t="s">
        <v>2898</v>
      </c>
      <c r="B1771" s="4" t="s">
        <v>1063</v>
      </c>
      <c r="C1771" s="25" t="s">
        <v>5</v>
      </c>
      <c r="G1771" s="25" t="s">
        <v>1219</v>
      </c>
      <c r="H1771" s="24" t="s">
        <v>1061</v>
      </c>
      <c r="I1771" s="3" t="str">
        <f>IFERROR(VLOOKUP(C1771,'Справочник соответствий'!A$2:D$2981,2,FALSE),IF(VALUE(C1771)=0,1,VLOOKUP(C1771,'Справочник соответствий'!A$2:D$2981,2,FALSE)))</f>
        <v>1</v>
      </c>
      <c r="J1771" s="3">
        <f>IFERROR(VLOOKUP(D1771,'Справочник соответствий'!A$2:D$2981,2,FALSE),IF(VALUE(D1771)=0,0,VLOOKUP(D1771,'Справочник соответствий'!A$2:D$2981,2,FALSE)))</f>
        <v>0</v>
      </c>
      <c r="K1771" s="3" t="str">
        <f t="shared" si="189"/>
        <v>1</v>
      </c>
      <c r="L1771" s="13" t="str">
        <f>IFERROR(VLOOKUP(C1771,'Справочник соответствий'!A$2:D$2981,3,FALSE),IF(VALUE(C1771)=0,"ЭТАЖ НЕ ОПРЕДЕЛЕН. ПРИНЯТ ПО ДОПУЩЕНИЮ 1",VLOOKUP(C1771,'Справочник соответствий'!A$2:D$2981,3,FALSE)))</f>
        <v>ЭТАЖ ЗАДАН ЧИСЛОМ</v>
      </c>
      <c r="M1771" s="13" t="b">
        <f t="shared" si="190"/>
        <v>0</v>
      </c>
      <c r="N1771" s="13">
        <f t="shared" si="191"/>
        <v>1</v>
      </c>
      <c r="O1771" s="13" t="str">
        <f t="shared" si="192"/>
        <v>ЭТАЖ ЗАДАН ЧИСЛОМ</v>
      </c>
      <c r="P1771" s="13" t="str">
        <f t="shared" si="193"/>
        <v>ЭТАЖ ЗАДАН ЧИСЛОМ</v>
      </c>
      <c r="Q1771" s="13" t="str">
        <f t="shared" si="194"/>
        <v>ГОТОВ_ИЗМЕНЕН</v>
      </c>
      <c r="R1771" s="13">
        <f>IFERROR(VLOOKUP(P1771,Лист1!A$1:B$20,2,FALSE),0)</f>
        <v>784</v>
      </c>
      <c r="S1771" s="13">
        <f t="shared" si="195"/>
        <v>0</v>
      </c>
    </row>
    <row r="1772" spans="1:19" x14ac:dyDescent="0.25">
      <c r="A1772" s="24" t="s">
        <v>2899</v>
      </c>
      <c r="B1772" s="4" t="s">
        <v>1063</v>
      </c>
      <c r="C1772" s="25" t="s">
        <v>5</v>
      </c>
      <c r="G1772" s="25" t="s">
        <v>1228</v>
      </c>
      <c r="H1772" s="24" t="s">
        <v>1061</v>
      </c>
      <c r="I1772" s="3" t="str">
        <f>IFERROR(VLOOKUP(C1772,'Справочник соответствий'!A$2:D$2981,2,FALSE),IF(VALUE(C1772)=0,1,VLOOKUP(C1772,'Справочник соответствий'!A$2:D$2981,2,FALSE)))</f>
        <v>1</v>
      </c>
      <c r="J1772" s="3">
        <f>IFERROR(VLOOKUP(D1772,'Справочник соответствий'!A$2:D$2981,2,FALSE),IF(VALUE(D1772)=0,0,VLOOKUP(D1772,'Справочник соответствий'!A$2:D$2981,2,FALSE)))</f>
        <v>0</v>
      </c>
      <c r="K1772" s="3" t="str">
        <f t="shared" si="189"/>
        <v>1</v>
      </c>
      <c r="L1772" s="13" t="str">
        <f>IFERROR(VLOOKUP(C1772,'Справочник соответствий'!A$2:D$2981,3,FALSE),IF(VALUE(C1772)=0,"ЭТАЖ НЕ ОПРЕДЕЛЕН. ПРИНЯТ ПО ДОПУЩЕНИЮ 1",VLOOKUP(C1772,'Справочник соответствий'!A$2:D$2981,3,FALSE)))</f>
        <v>ЭТАЖ ЗАДАН ЧИСЛОМ</v>
      </c>
      <c r="M1772" s="13" t="b">
        <f t="shared" si="190"/>
        <v>0</v>
      </c>
      <c r="N1772" s="13">
        <f t="shared" si="191"/>
        <v>1</v>
      </c>
      <c r="O1772" s="13" t="str">
        <f t="shared" si="192"/>
        <v>ЭТАЖ ЗАДАН ЧИСЛОМ</v>
      </c>
      <c r="P1772" s="13" t="str">
        <f t="shared" si="193"/>
        <v>ЭТАЖ ЗАДАН ЧИСЛОМ</v>
      </c>
      <c r="Q1772" s="13" t="str">
        <f t="shared" si="194"/>
        <v>ГОТОВ_ИЗМЕНЕН</v>
      </c>
      <c r="R1772" s="13">
        <f>IFERROR(VLOOKUP(P1772,Лист1!A$1:B$20,2,FALSE),0)</f>
        <v>784</v>
      </c>
      <c r="S1772" s="13">
        <f t="shared" si="195"/>
        <v>0</v>
      </c>
    </row>
    <row r="1773" spans="1:19" x14ac:dyDescent="0.25">
      <c r="A1773" s="24" t="s">
        <v>2900</v>
      </c>
      <c r="B1773" s="4" t="s">
        <v>1059</v>
      </c>
      <c r="C1773" s="25" t="s">
        <v>7</v>
      </c>
      <c r="G1773" s="25" t="s">
        <v>1230</v>
      </c>
      <c r="H1773" s="24" t="s">
        <v>1061</v>
      </c>
      <c r="I1773" s="3" t="str">
        <f>IFERROR(VLOOKUP(C1773,'Справочник соответствий'!A$2:D$2981,2,FALSE),IF(VALUE(C1773)=0,1,VLOOKUP(C1773,'Справочник соответствий'!A$2:D$2981,2,FALSE)))</f>
        <v>2</v>
      </c>
      <c r="J1773" s="3">
        <f>IFERROR(VLOOKUP(D1773,'Справочник соответствий'!A$2:D$2981,2,FALSE),IF(VALUE(D1773)=0,0,VLOOKUP(D1773,'Справочник соответствий'!A$2:D$2981,2,FALSE)))</f>
        <v>0</v>
      </c>
      <c r="K1773" s="3" t="str">
        <f t="shared" si="189"/>
        <v>2</v>
      </c>
      <c r="L1773" s="13" t="str">
        <f>IFERROR(VLOOKUP(C1773,'Справочник соответствий'!A$2:D$2981,3,FALSE),IF(VALUE(C1773)=0,"ЭТАЖ НЕ ОПРЕДЕЛЕН. ПРИНЯТ ПО ДОПУЩЕНИЮ 1",VLOOKUP(C1773,'Справочник соответствий'!A$2:D$2981,3,FALSE)))</f>
        <v>ЭТАЖ ЗАДАН ЧИСЛОМ</v>
      </c>
      <c r="M1773" s="13" t="b">
        <f t="shared" si="190"/>
        <v>0</v>
      </c>
      <c r="N1773" s="13">
        <f t="shared" si="191"/>
        <v>2</v>
      </c>
      <c r="O1773" s="13" t="str">
        <f t="shared" si="192"/>
        <v>ЭТАЖ ЗАДАН ЧИСЛОМ</v>
      </c>
      <c r="P1773" s="13" t="str">
        <f t="shared" si="193"/>
        <v>ЭТАЖ ЗАДАН ЧИСЛОМ</v>
      </c>
      <c r="Q1773" s="13" t="str">
        <f t="shared" si="194"/>
        <v>ГОТОВ_ИЗМЕНЕН</v>
      </c>
      <c r="R1773" s="13">
        <f>IFERROR(VLOOKUP(P1773,Лист1!A$1:B$20,2,FALSE),0)</f>
        <v>784</v>
      </c>
      <c r="S1773" s="13">
        <f t="shared" si="195"/>
        <v>0</v>
      </c>
    </row>
    <row r="1774" spans="1:19" x14ac:dyDescent="0.25">
      <c r="A1774" s="24" t="s">
        <v>2901</v>
      </c>
      <c r="B1774" s="4" t="s">
        <v>1063</v>
      </c>
      <c r="C1774" s="25" t="s">
        <v>5</v>
      </c>
      <c r="G1774" s="25" t="s">
        <v>1230</v>
      </c>
      <c r="H1774" s="24" t="s">
        <v>1061</v>
      </c>
      <c r="I1774" s="3" t="str">
        <f>IFERROR(VLOOKUP(C1774,'Справочник соответствий'!A$2:D$2981,2,FALSE),IF(VALUE(C1774)=0,1,VLOOKUP(C1774,'Справочник соответствий'!A$2:D$2981,2,FALSE)))</f>
        <v>1</v>
      </c>
      <c r="J1774" s="3">
        <f>IFERROR(VLOOKUP(D1774,'Справочник соответствий'!A$2:D$2981,2,FALSE),IF(VALUE(D1774)=0,0,VLOOKUP(D1774,'Справочник соответствий'!A$2:D$2981,2,FALSE)))</f>
        <v>0</v>
      </c>
      <c r="K1774" s="3" t="str">
        <f t="shared" si="189"/>
        <v>1</v>
      </c>
      <c r="L1774" s="13" t="str">
        <f>IFERROR(VLOOKUP(C1774,'Справочник соответствий'!A$2:D$2981,3,FALSE),IF(VALUE(C1774)=0,"ЭТАЖ НЕ ОПРЕДЕЛЕН. ПРИНЯТ ПО ДОПУЩЕНИЮ 1",VLOOKUP(C1774,'Справочник соответствий'!A$2:D$2981,3,FALSE)))</f>
        <v>ЭТАЖ ЗАДАН ЧИСЛОМ</v>
      </c>
      <c r="M1774" s="13" t="b">
        <f t="shared" si="190"/>
        <v>0</v>
      </c>
      <c r="N1774" s="13">
        <f t="shared" si="191"/>
        <v>1</v>
      </c>
      <c r="O1774" s="13" t="str">
        <f t="shared" si="192"/>
        <v>ЭТАЖ ЗАДАН ЧИСЛОМ</v>
      </c>
      <c r="P1774" s="13" t="str">
        <f t="shared" si="193"/>
        <v>ЭТАЖ ЗАДАН ЧИСЛОМ</v>
      </c>
      <c r="Q1774" s="13" t="str">
        <f t="shared" si="194"/>
        <v>ГОТОВ_ИЗМЕНЕН</v>
      </c>
      <c r="R1774" s="13">
        <f>IFERROR(VLOOKUP(P1774,Лист1!A$1:B$20,2,FALSE),0)</f>
        <v>784</v>
      </c>
      <c r="S1774" s="13">
        <f t="shared" si="195"/>
        <v>0</v>
      </c>
    </row>
    <row r="1775" spans="1:19" x14ac:dyDescent="0.25">
      <c r="A1775" s="24" t="s">
        <v>2902</v>
      </c>
      <c r="B1775" s="4" t="s">
        <v>1059</v>
      </c>
      <c r="C1775" s="25" t="s">
        <v>7</v>
      </c>
      <c r="G1775" s="25" t="s">
        <v>1230</v>
      </c>
      <c r="H1775" s="24" t="s">
        <v>1061</v>
      </c>
      <c r="I1775" s="3" t="str">
        <f>IFERROR(VLOOKUP(C1775,'Справочник соответствий'!A$2:D$2981,2,FALSE),IF(VALUE(C1775)=0,1,VLOOKUP(C1775,'Справочник соответствий'!A$2:D$2981,2,FALSE)))</f>
        <v>2</v>
      </c>
      <c r="J1775" s="3">
        <f>IFERROR(VLOOKUP(D1775,'Справочник соответствий'!A$2:D$2981,2,FALSE),IF(VALUE(D1775)=0,0,VLOOKUP(D1775,'Справочник соответствий'!A$2:D$2981,2,FALSE)))</f>
        <v>0</v>
      </c>
      <c r="K1775" s="3" t="str">
        <f t="shared" si="189"/>
        <v>2</v>
      </c>
      <c r="L1775" s="13" t="str">
        <f>IFERROR(VLOOKUP(C1775,'Справочник соответствий'!A$2:D$2981,3,FALSE),IF(VALUE(C1775)=0,"ЭТАЖ НЕ ОПРЕДЕЛЕН. ПРИНЯТ ПО ДОПУЩЕНИЮ 1",VLOOKUP(C1775,'Справочник соответствий'!A$2:D$2981,3,FALSE)))</f>
        <v>ЭТАЖ ЗАДАН ЧИСЛОМ</v>
      </c>
      <c r="M1775" s="13" t="b">
        <f t="shared" si="190"/>
        <v>0</v>
      </c>
      <c r="N1775" s="13">
        <f t="shared" si="191"/>
        <v>2</v>
      </c>
      <c r="O1775" s="13" t="str">
        <f t="shared" si="192"/>
        <v>ЭТАЖ ЗАДАН ЧИСЛОМ</v>
      </c>
      <c r="P1775" s="13" t="str">
        <f t="shared" si="193"/>
        <v>ЭТАЖ ЗАДАН ЧИСЛОМ</v>
      </c>
      <c r="Q1775" s="13" t="str">
        <f t="shared" si="194"/>
        <v>ГОТОВ_ИЗМЕНЕН</v>
      </c>
      <c r="R1775" s="13">
        <f>IFERROR(VLOOKUP(P1775,Лист1!A$1:B$20,2,FALSE),0)</f>
        <v>784</v>
      </c>
      <c r="S1775" s="13">
        <f t="shared" si="195"/>
        <v>0</v>
      </c>
    </row>
    <row r="1776" spans="1:19" x14ac:dyDescent="0.25">
      <c r="A1776" s="24" t="s">
        <v>2903</v>
      </c>
      <c r="B1776" s="4" t="s">
        <v>1059</v>
      </c>
      <c r="C1776" s="25" t="s">
        <v>5</v>
      </c>
      <c r="G1776" s="25" t="s">
        <v>1230</v>
      </c>
      <c r="H1776" s="24" t="s">
        <v>1061</v>
      </c>
      <c r="I1776" s="3" t="str">
        <f>IFERROR(VLOOKUP(C1776,'Справочник соответствий'!A$2:D$2981,2,FALSE),IF(VALUE(C1776)=0,1,VLOOKUP(C1776,'Справочник соответствий'!A$2:D$2981,2,FALSE)))</f>
        <v>1</v>
      </c>
      <c r="J1776" s="3">
        <f>IFERROR(VLOOKUP(D1776,'Справочник соответствий'!A$2:D$2981,2,FALSE),IF(VALUE(D1776)=0,0,VLOOKUP(D1776,'Справочник соответствий'!A$2:D$2981,2,FALSE)))</f>
        <v>0</v>
      </c>
      <c r="K1776" s="3" t="str">
        <f t="shared" si="189"/>
        <v>1</v>
      </c>
      <c r="L1776" s="13" t="str">
        <f>IFERROR(VLOOKUP(C1776,'Справочник соответствий'!A$2:D$2981,3,FALSE),IF(VALUE(C1776)=0,"ЭТАЖ НЕ ОПРЕДЕЛЕН. ПРИНЯТ ПО ДОПУЩЕНИЮ 1",VLOOKUP(C1776,'Справочник соответствий'!A$2:D$2981,3,FALSE)))</f>
        <v>ЭТАЖ ЗАДАН ЧИСЛОМ</v>
      </c>
      <c r="M1776" s="13" t="b">
        <f t="shared" si="190"/>
        <v>0</v>
      </c>
      <c r="N1776" s="13">
        <f t="shared" si="191"/>
        <v>1</v>
      </c>
      <c r="O1776" s="13" t="str">
        <f t="shared" si="192"/>
        <v>ЭТАЖ ЗАДАН ЧИСЛОМ</v>
      </c>
      <c r="P1776" s="13" t="str">
        <f t="shared" si="193"/>
        <v>ЭТАЖ ЗАДАН ЧИСЛОМ</v>
      </c>
      <c r="Q1776" s="13" t="str">
        <f t="shared" si="194"/>
        <v>ГОТОВ_ИЗМЕНЕН</v>
      </c>
      <c r="R1776" s="13">
        <f>IFERROR(VLOOKUP(P1776,Лист1!A$1:B$20,2,FALSE),0)</f>
        <v>784</v>
      </c>
      <c r="S1776" s="13">
        <f t="shared" si="195"/>
        <v>0</v>
      </c>
    </row>
    <row r="1777" spans="1:19" x14ac:dyDescent="0.25">
      <c r="A1777" s="24" t="s">
        <v>2904</v>
      </c>
      <c r="B1777" s="4" t="s">
        <v>1063</v>
      </c>
      <c r="C1777" s="25" t="s">
        <v>5</v>
      </c>
      <c r="G1777" s="25" t="s">
        <v>1230</v>
      </c>
      <c r="H1777" s="24" t="s">
        <v>1061</v>
      </c>
      <c r="I1777" s="3" t="str">
        <f>IFERROR(VLOOKUP(C1777,'Справочник соответствий'!A$2:D$2981,2,FALSE),IF(VALUE(C1777)=0,1,VLOOKUP(C1777,'Справочник соответствий'!A$2:D$2981,2,FALSE)))</f>
        <v>1</v>
      </c>
      <c r="J1777" s="3">
        <f>IFERROR(VLOOKUP(D1777,'Справочник соответствий'!A$2:D$2981,2,FALSE),IF(VALUE(D1777)=0,0,VLOOKUP(D1777,'Справочник соответствий'!A$2:D$2981,2,FALSE)))</f>
        <v>0</v>
      </c>
      <c r="K1777" s="3" t="str">
        <f t="shared" si="189"/>
        <v>1</v>
      </c>
      <c r="L1777" s="13" t="str">
        <f>IFERROR(VLOOKUP(C1777,'Справочник соответствий'!A$2:D$2981,3,FALSE),IF(VALUE(C1777)=0,"ЭТАЖ НЕ ОПРЕДЕЛЕН. ПРИНЯТ ПО ДОПУЩЕНИЮ 1",VLOOKUP(C1777,'Справочник соответствий'!A$2:D$2981,3,FALSE)))</f>
        <v>ЭТАЖ ЗАДАН ЧИСЛОМ</v>
      </c>
      <c r="M1777" s="13" t="b">
        <f t="shared" si="190"/>
        <v>0</v>
      </c>
      <c r="N1777" s="13">
        <f t="shared" si="191"/>
        <v>1</v>
      </c>
      <c r="O1777" s="13" t="str">
        <f t="shared" si="192"/>
        <v>ЭТАЖ ЗАДАН ЧИСЛОМ</v>
      </c>
      <c r="P1777" s="13" t="str">
        <f t="shared" si="193"/>
        <v>ЭТАЖ ЗАДАН ЧИСЛОМ</v>
      </c>
      <c r="Q1777" s="13" t="str">
        <f t="shared" si="194"/>
        <v>ГОТОВ_ИЗМЕНЕН</v>
      </c>
      <c r="R1777" s="13">
        <f>IFERROR(VLOOKUP(P1777,Лист1!A$1:B$20,2,FALSE),0)</f>
        <v>784</v>
      </c>
      <c r="S1777" s="13">
        <f t="shared" si="195"/>
        <v>0</v>
      </c>
    </row>
    <row r="1778" spans="1:19" x14ac:dyDescent="0.25">
      <c r="A1778" s="24" t="s">
        <v>2905</v>
      </c>
      <c r="B1778" s="4" t="s">
        <v>1063</v>
      </c>
      <c r="C1778" s="25" t="s">
        <v>5</v>
      </c>
      <c r="G1778" s="25" t="s">
        <v>1230</v>
      </c>
      <c r="H1778" s="24" t="s">
        <v>1061</v>
      </c>
      <c r="I1778" s="3" t="str">
        <f>IFERROR(VLOOKUP(C1778,'Справочник соответствий'!A$2:D$2981,2,FALSE),IF(VALUE(C1778)=0,1,VLOOKUP(C1778,'Справочник соответствий'!A$2:D$2981,2,FALSE)))</f>
        <v>1</v>
      </c>
      <c r="J1778" s="3">
        <f>IFERROR(VLOOKUP(D1778,'Справочник соответствий'!A$2:D$2981,2,FALSE),IF(VALUE(D1778)=0,0,VLOOKUP(D1778,'Справочник соответствий'!A$2:D$2981,2,FALSE)))</f>
        <v>0</v>
      </c>
      <c r="K1778" s="3" t="str">
        <f t="shared" si="189"/>
        <v>1</v>
      </c>
      <c r="L1778" s="13" t="str">
        <f>IFERROR(VLOOKUP(C1778,'Справочник соответствий'!A$2:D$2981,3,FALSE),IF(VALUE(C1778)=0,"ЭТАЖ НЕ ОПРЕДЕЛЕН. ПРИНЯТ ПО ДОПУЩЕНИЮ 1",VLOOKUP(C1778,'Справочник соответствий'!A$2:D$2981,3,FALSE)))</f>
        <v>ЭТАЖ ЗАДАН ЧИСЛОМ</v>
      </c>
      <c r="M1778" s="13" t="b">
        <f t="shared" si="190"/>
        <v>0</v>
      </c>
      <c r="N1778" s="13">
        <f t="shared" si="191"/>
        <v>1</v>
      </c>
      <c r="O1778" s="13" t="str">
        <f t="shared" si="192"/>
        <v>ЭТАЖ ЗАДАН ЧИСЛОМ</v>
      </c>
      <c r="P1778" s="13" t="str">
        <f t="shared" si="193"/>
        <v>ЭТАЖ ЗАДАН ЧИСЛОМ</v>
      </c>
      <c r="Q1778" s="13" t="str">
        <f t="shared" si="194"/>
        <v>ГОТОВ_ИЗМЕНЕН</v>
      </c>
      <c r="R1778" s="13">
        <f>IFERROR(VLOOKUP(P1778,Лист1!A$1:B$20,2,FALSE),0)</f>
        <v>784</v>
      </c>
      <c r="S1778" s="13">
        <f t="shared" si="195"/>
        <v>0</v>
      </c>
    </row>
    <row r="1779" spans="1:19" x14ac:dyDescent="0.25">
      <c r="A1779" s="24" t="s">
        <v>2906</v>
      </c>
      <c r="B1779" s="4" t="s">
        <v>1059</v>
      </c>
      <c r="C1779" s="25" t="s">
        <v>5</v>
      </c>
      <c r="G1779" s="25" t="s">
        <v>1230</v>
      </c>
      <c r="H1779" s="24" t="s">
        <v>1061</v>
      </c>
      <c r="I1779" s="3" t="str">
        <f>IFERROR(VLOOKUP(C1779,'Справочник соответствий'!A$2:D$2981,2,FALSE),IF(VALUE(C1779)=0,1,VLOOKUP(C1779,'Справочник соответствий'!A$2:D$2981,2,FALSE)))</f>
        <v>1</v>
      </c>
      <c r="J1779" s="3">
        <f>IFERROR(VLOOKUP(D1779,'Справочник соответствий'!A$2:D$2981,2,FALSE),IF(VALUE(D1779)=0,0,VLOOKUP(D1779,'Справочник соответствий'!A$2:D$2981,2,FALSE)))</f>
        <v>0</v>
      </c>
      <c r="K1779" s="3" t="str">
        <f t="shared" si="189"/>
        <v>1</v>
      </c>
      <c r="L1779" s="13" t="str">
        <f>IFERROR(VLOOKUP(C1779,'Справочник соответствий'!A$2:D$2981,3,FALSE),IF(VALUE(C1779)=0,"ЭТАЖ НЕ ОПРЕДЕЛЕН. ПРИНЯТ ПО ДОПУЩЕНИЮ 1",VLOOKUP(C1779,'Справочник соответствий'!A$2:D$2981,3,FALSE)))</f>
        <v>ЭТАЖ ЗАДАН ЧИСЛОМ</v>
      </c>
      <c r="M1779" s="13" t="b">
        <f t="shared" si="190"/>
        <v>0</v>
      </c>
      <c r="N1779" s="13">
        <f t="shared" si="191"/>
        <v>1</v>
      </c>
      <c r="O1779" s="13" t="str">
        <f t="shared" si="192"/>
        <v>ЭТАЖ ЗАДАН ЧИСЛОМ</v>
      </c>
      <c r="P1779" s="13" t="str">
        <f t="shared" si="193"/>
        <v>ЭТАЖ ЗАДАН ЧИСЛОМ</v>
      </c>
      <c r="Q1779" s="13" t="str">
        <f t="shared" si="194"/>
        <v>ГОТОВ_ИЗМЕНЕН</v>
      </c>
      <c r="R1779" s="13">
        <f>IFERROR(VLOOKUP(P1779,Лист1!A$1:B$20,2,FALSE),0)</f>
        <v>784</v>
      </c>
      <c r="S1779" s="13">
        <f t="shared" si="195"/>
        <v>0</v>
      </c>
    </row>
    <row r="1780" spans="1:19" x14ac:dyDescent="0.25">
      <c r="A1780" s="24" t="s">
        <v>2907</v>
      </c>
      <c r="B1780" s="4" t="s">
        <v>1063</v>
      </c>
      <c r="G1780" s="25" t="s">
        <v>1276</v>
      </c>
      <c r="H1780" s="24" t="s">
        <v>1061</v>
      </c>
      <c r="I1780" s="3">
        <f>IFERROR(VLOOKUP(C1780,'Справочник соответствий'!A$2:D$2981,2,FALSE),IF(VALUE(C1780)=0,1,VLOOKUP(C1780,'Справочник соответствий'!A$2:D$2981,2,FALSE)))</f>
        <v>1</v>
      </c>
      <c r="J1780" s="3">
        <f>IFERROR(VLOOKUP(D1780,'Справочник соответствий'!A$2:D$2981,2,FALSE),IF(VALUE(D1780)=0,0,VLOOKUP(D1780,'Справочник соответствий'!A$2:D$2981,2,FALSE)))</f>
        <v>0</v>
      </c>
      <c r="K1780" s="3">
        <f t="shared" si="189"/>
        <v>1</v>
      </c>
      <c r="L1780" s="13" t="str">
        <f>IFERROR(VLOOKUP(C1780,'Справочник соответствий'!A$2:D$2981,3,FALSE),IF(VALUE(C1780)=0,"ЭТАЖ НЕ ОПРЕДЕЛЕН. ПРИНЯТ ПО ДОПУЩЕНИЮ 1",VLOOKUP(C1780,'Справочник соответствий'!A$2:D$2981,3,FALSE)))</f>
        <v>ЭТАЖ НЕ ОПРЕДЕЛЕН. ПРИНЯТ ПО ДОПУЩЕНИЮ 1</v>
      </c>
      <c r="M1780" s="13" t="b">
        <f t="shared" si="190"/>
        <v>0</v>
      </c>
      <c r="N1780" s="13">
        <f t="shared" si="191"/>
        <v>1</v>
      </c>
      <c r="O1780" s="13" t="str">
        <f t="shared" si="192"/>
        <v>ЭТАЖ НЕ ОПРЕДЕЛЕН. ПРИНЯТ ПО ДОПУЩЕНИЮ 1</v>
      </c>
      <c r="P1780" s="13" t="str">
        <f t="shared" si="193"/>
        <v>ЭТАЖ НЕ ОПРЕДЕЛЕН. ПРИНЯТ ПО ДОПУЩЕНИЮ 1</v>
      </c>
      <c r="Q1780" s="13" t="str">
        <f t="shared" si="194"/>
        <v>ГОТОВ_ИЗМЕНЕН</v>
      </c>
      <c r="R1780" s="13">
        <f>IFERROR(VLOOKUP(P1780,Лист1!A$1:B$20,2,FALSE),0)</f>
        <v>788</v>
      </c>
      <c r="S1780" s="13">
        <f t="shared" si="195"/>
        <v>0</v>
      </c>
    </row>
    <row r="1781" spans="1:19" x14ac:dyDescent="0.25">
      <c r="A1781" s="24" t="s">
        <v>2908</v>
      </c>
      <c r="B1781" s="4" t="s">
        <v>1059</v>
      </c>
      <c r="C1781" s="25" t="s">
        <v>5</v>
      </c>
      <c r="G1781" s="25" t="s">
        <v>1067</v>
      </c>
      <c r="H1781" s="24" t="s">
        <v>1061</v>
      </c>
      <c r="I1781" s="3" t="str">
        <f>IFERROR(VLOOKUP(C1781,'Справочник соответствий'!A$2:D$2981,2,FALSE),IF(VALUE(C1781)=0,1,VLOOKUP(C1781,'Справочник соответствий'!A$2:D$2981,2,FALSE)))</f>
        <v>1</v>
      </c>
      <c r="J1781" s="3">
        <f>IFERROR(VLOOKUP(D1781,'Справочник соответствий'!A$2:D$2981,2,FALSE),IF(VALUE(D1781)=0,0,VLOOKUP(D1781,'Справочник соответствий'!A$2:D$2981,2,FALSE)))</f>
        <v>0</v>
      </c>
      <c r="K1781" s="3" t="str">
        <f t="shared" si="189"/>
        <v>1</v>
      </c>
      <c r="L1781" s="13" t="str">
        <f>IFERROR(VLOOKUP(C1781,'Справочник соответствий'!A$2:D$2981,3,FALSE),IF(VALUE(C1781)=0,"ЭТАЖ НЕ ОПРЕДЕЛЕН. ПРИНЯТ ПО ДОПУЩЕНИЮ 1",VLOOKUP(C1781,'Справочник соответствий'!A$2:D$2981,3,FALSE)))</f>
        <v>ЭТАЖ ЗАДАН ЧИСЛОМ</v>
      </c>
      <c r="M1781" s="13" t="b">
        <f t="shared" si="190"/>
        <v>0</v>
      </c>
      <c r="N1781" s="13">
        <f t="shared" si="191"/>
        <v>1</v>
      </c>
      <c r="O1781" s="13" t="str">
        <f t="shared" si="192"/>
        <v>ЭТАЖ ЗАДАН ЧИСЛОМ</v>
      </c>
      <c r="P1781" s="13" t="str">
        <f t="shared" si="193"/>
        <v>ЭТАЖ ЗАДАН ЧИСЛОМ</v>
      </c>
      <c r="Q1781" s="13" t="str">
        <f t="shared" si="194"/>
        <v>ГОТОВ_ИЗМЕНЕН</v>
      </c>
      <c r="R1781" s="13">
        <f>IFERROR(VLOOKUP(P1781,Лист1!A$1:B$20,2,FALSE),0)</f>
        <v>784</v>
      </c>
      <c r="S1781" s="13">
        <f t="shared" si="195"/>
        <v>0</v>
      </c>
    </row>
    <row r="1782" spans="1:19" x14ac:dyDescent="0.25">
      <c r="A1782" s="24" t="s">
        <v>2909</v>
      </c>
      <c r="B1782" s="4" t="s">
        <v>1059</v>
      </c>
      <c r="C1782" s="25" t="s">
        <v>5</v>
      </c>
      <c r="G1782" s="25" t="s">
        <v>1067</v>
      </c>
      <c r="H1782" s="24" t="s">
        <v>1061</v>
      </c>
      <c r="I1782" s="3" t="str">
        <f>IFERROR(VLOOKUP(C1782,'Справочник соответствий'!A$2:D$2981,2,FALSE),IF(VALUE(C1782)=0,1,VLOOKUP(C1782,'Справочник соответствий'!A$2:D$2981,2,FALSE)))</f>
        <v>1</v>
      </c>
      <c r="J1782" s="3">
        <f>IFERROR(VLOOKUP(D1782,'Справочник соответствий'!A$2:D$2981,2,FALSE),IF(VALUE(D1782)=0,0,VLOOKUP(D1782,'Справочник соответствий'!A$2:D$2981,2,FALSE)))</f>
        <v>0</v>
      </c>
      <c r="K1782" s="3" t="str">
        <f t="shared" si="189"/>
        <v>1</v>
      </c>
      <c r="L1782" s="13" t="str">
        <f>IFERROR(VLOOKUP(C1782,'Справочник соответствий'!A$2:D$2981,3,FALSE),IF(VALUE(C1782)=0,"ЭТАЖ НЕ ОПРЕДЕЛЕН. ПРИНЯТ ПО ДОПУЩЕНИЮ 1",VLOOKUP(C1782,'Справочник соответствий'!A$2:D$2981,3,FALSE)))</f>
        <v>ЭТАЖ ЗАДАН ЧИСЛОМ</v>
      </c>
      <c r="M1782" s="13" t="b">
        <f t="shared" si="190"/>
        <v>0</v>
      </c>
      <c r="N1782" s="13">
        <f t="shared" si="191"/>
        <v>1</v>
      </c>
      <c r="O1782" s="13" t="str">
        <f t="shared" si="192"/>
        <v>ЭТАЖ ЗАДАН ЧИСЛОМ</v>
      </c>
      <c r="P1782" s="13" t="str">
        <f t="shared" si="193"/>
        <v>ЭТАЖ ЗАДАН ЧИСЛОМ</v>
      </c>
      <c r="Q1782" s="13" t="str">
        <f t="shared" si="194"/>
        <v>ГОТОВ_ИЗМЕНЕН</v>
      </c>
      <c r="R1782" s="13">
        <f>IFERROR(VLOOKUP(P1782,Лист1!A$1:B$20,2,FALSE),0)</f>
        <v>784</v>
      </c>
      <c r="S1782" s="13">
        <f t="shared" si="195"/>
        <v>0</v>
      </c>
    </row>
    <row r="1783" spans="1:19" x14ac:dyDescent="0.25">
      <c r="A1783" s="24" t="s">
        <v>2910</v>
      </c>
      <c r="B1783" s="4" t="s">
        <v>1063</v>
      </c>
      <c r="C1783" s="25" t="s">
        <v>5</v>
      </c>
      <c r="G1783" s="25" t="s">
        <v>1067</v>
      </c>
      <c r="H1783" s="24" t="s">
        <v>1061</v>
      </c>
      <c r="I1783" s="3" t="str">
        <f>IFERROR(VLOOKUP(C1783,'Справочник соответствий'!A$2:D$2981,2,FALSE),IF(VALUE(C1783)=0,1,VLOOKUP(C1783,'Справочник соответствий'!A$2:D$2981,2,FALSE)))</f>
        <v>1</v>
      </c>
      <c r="J1783" s="3">
        <f>IFERROR(VLOOKUP(D1783,'Справочник соответствий'!A$2:D$2981,2,FALSE),IF(VALUE(D1783)=0,0,VLOOKUP(D1783,'Справочник соответствий'!A$2:D$2981,2,FALSE)))</f>
        <v>0</v>
      </c>
      <c r="K1783" s="3" t="str">
        <f t="shared" si="189"/>
        <v>1</v>
      </c>
      <c r="L1783" s="13" t="str">
        <f>IFERROR(VLOOKUP(C1783,'Справочник соответствий'!A$2:D$2981,3,FALSE),IF(VALUE(C1783)=0,"ЭТАЖ НЕ ОПРЕДЕЛЕН. ПРИНЯТ ПО ДОПУЩЕНИЮ 1",VLOOKUP(C1783,'Справочник соответствий'!A$2:D$2981,3,FALSE)))</f>
        <v>ЭТАЖ ЗАДАН ЧИСЛОМ</v>
      </c>
      <c r="M1783" s="13" t="b">
        <f t="shared" si="190"/>
        <v>0</v>
      </c>
      <c r="N1783" s="13">
        <f t="shared" si="191"/>
        <v>1</v>
      </c>
      <c r="O1783" s="13" t="str">
        <f t="shared" si="192"/>
        <v>ЭТАЖ ЗАДАН ЧИСЛОМ</v>
      </c>
      <c r="P1783" s="13" t="str">
        <f t="shared" si="193"/>
        <v>ЭТАЖ ЗАДАН ЧИСЛОМ</v>
      </c>
      <c r="Q1783" s="13" t="str">
        <f t="shared" si="194"/>
        <v>ГОТОВ_ИЗМЕНЕН</v>
      </c>
      <c r="R1783" s="13">
        <f>IFERROR(VLOOKUP(P1783,Лист1!A$1:B$20,2,FALSE),0)</f>
        <v>784</v>
      </c>
      <c r="S1783" s="13">
        <f t="shared" si="195"/>
        <v>0</v>
      </c>
    </row>
    <row r="1784" spans="1:19" x14ac:dyDescent="0.25">
      <c r="A1784" s="24" t="s">
        <v>2911</v>
      </c>
      <c r="B1784" s="4" t="s">
        <v>1059</v>
      </c>
      <c r="C1784" s="25" t="s">
        <v>5</v>
      </c>
      <c r="G1784" s="25" t="s">
        <v>1067</v>
      </c>
      <c r="H1784" s="24" t="s">
        <v>1061</v>
      </c>
      <c r="I1784" s="3" t="str">
        <f>IFERROR(VLOOKUP(C1784,'Справочник соответствий'!A$2:D$2981,2,FALSE),IF(VALUE(C1784)=0,1,VLOOKUP(C1784,'Справочник соответствий'!A$2:D$2981,2,FALSE)))</f>
        <v>1</v>
      </c>
      <c r="J1784" s="3">
        <f>IFERROR(VLOOKUP(D1784,'Справочник соответствий'!A$2:D$2981,2,FALSE),IF(VALUE(D1784)=0,0,VLOOKUP(D1784,'Справочник соответствий'!A$2:D$2981,2,FALSE)))</f>
        <v>0</v>
      </c>
      <c r="K1784" s="3" t="str">
        <f t="shared" si="189"/>
        <v>1</v>
      </c>
      <c r="L1784" s="13" t="str">
        <f>IFERROR(VLOOKUP(C1784,'Справочник соответствий'!A$2:D$2981,3,FALSE),IF(VALUE(C1784)=0,"ЭТАЖ НЕ ОПРЕДЕЛЕН. ПРИНЯТ ПО ДОПУЩЕНИЮ 1",VLOOKUP(C1784,'Справочник соответствий'!A$2:D$2981,3,FALSE)))</f>
        <v>ЭТАЖ ЗАДАН ЧИСЛОМ</v>
      </c>
      <c r="M1784" s="13" t="b">
        <f t="shared" si="190"/>
        <v>0</v>
      </c>
      <c r="N1784" s="13">
        <f t="shared" si="191"/>
        <v>1</v>
      </c>
      <c r="O1784" s="13" t="str">
        <f t="shared" si="192"/>
        <v>ЭТАЖ ЗАДАН ЧИСЛОМ</v>
      </c>
      <c r="P1784" s="13" t="str">
        <f t="shared" si="193"/>
        <v>ЭТАЖ ЗАДАН ЧИСЛОМ</v>
      </c>
      <c r="Q1784" s="13" t="str">
        <f t="shared" si="194"/>
        <v>ГОТОВ_ИЗМЕНЕН</v>
      </c>
      <c r="R1784" s="13">
        <f>IFERROR(VLOOKUP(P1784,Лист1!A$1:B$20,2,FALSE),0)</f>
        <v>784</v>
      </c>
      <c r="S1784" s="13">
        <f t="shared" si="195"/>
        <v>0</v>
      </c>
    </row>
    <row r="1785" spans="1:19" x14ac:dyDescent="0.25">
      <c r="A1785" s="24" t="s">
        <v>2912</v>
      </c>
      <c r="B1785" s="4" t="s">
        <v>1063</v>
      </c>
      <c r="C1785" s="25" t="s">
        <v>5</v>
      </c>
      <c r="G1785" s="25" t="s">
        <v>1067</v>
      </c>
      <c r="H1785" s="24" t="s">
        <v>1061</v>
      </c>
      <c r="I1785" s="3" t="str">
        <f>IFERROR(VLOOKUP(C1785,'Справочник соответствий'!A$2:D$2981,2,FALSE),IF(VALUE(C1785)=0,1,VLOOKUP(C1785,'Справочник соответствий'!A$2:D$2981,2,FALSE)))</f>
        <v>1</v>
      </c>
      <c r="J1785" s="3">
        <f>IFERROR(VLOOKUP(D1785,'Справочник соответствий'!A$2:D$2981,2,FALSE),IF(VALUE(D1785)=0,0,VLOOKUP(D1785,'Справочник соответствий'!A$2:D$2981,2,FALSE)))</f>
        <v>0</v>
      </c>
      <c r="K1785" s="3" t="str">
        <f t="shared" si="189"/>
        <v>1</v>
      </c>
      <c r="L1785" s="13" t="str">
        <f>IFERROR(VLOOKUP(C1785,'Справочник соответствий'!A$2:D$2981,3,FALSE),IF(VALUE(C1785)=0,"ЭТАЖ НЕ ОПРЕДЕЛЕН. ПРИНЯТ ПО ДОПУЩЕНИЮ 1",VLOOKUP(C1785,'Справочник соответствий'!A$2:D$2981,3,FALSE)))</f>
        <v>ЭТАЖ ЗАДАН ЧИСЛОМ</v>
      </c>
      <c r="M1785" s="13" t="b">
        <f t="shared" si="190"/>
        <v>0</v>
      </c>
      <c r="N1785" s="13">
        <f t="shared" si="191"/>
        <v>1</v>
      </c>
      <c r="O1785" s="13" t="str">
        <f t="shared" si="192"/>
        <v>ЭТАЖ ЗАДАН ЧИСЛОМ</v>
      </c>
      <c r="P1785" s="13" t="str">
        <f t="shared" si="193"/>
        <v>ЭТАЖ ЗАДАН ЧИСЛОМ</v>
      </c>
      <c r="Q1785" s="13" t="str">
        <f t="shared" si="194"/>
        <v>ГОТОВ_ИЗМЕНЕН</v>
      </c>
      <c r="R1785" s="13">
        <f>IFERROR(VLOOKUP(P1785,Лист1!A$1:B$20,2,FALSE),0)</f>
        <v>784</v>
      </c>
      <c r="S1785" s="13">
        <f t="shared" si="195"/>
        <v>0</v>
      </c>
    </row>
    <row r="1786" spans="1:19" x14ac:dyDescent="0.25">
      <c r="A1786" s="24" t="s">
        <v>2913</v>
      </c>
      <c r="B1786" s="4" t="s">
        <v>1063</v>
      </c>
      <c r="C1786" s="25" t="s">
        <v>5</v>
      </c>
      <c r="G1786" s="25" t="s">
        <v>1067</v>
      </c>
      <c r="H1786" s="24" t="s">
        <v>1061</v>
      </c>
      <c r="I1786" s="3" t="str">
        <f>IFERROR(VLOOKUP(C1786,'Справочник соответствий'!A$2:D$2981,2,FALSE),IF(VALUE(C1786)=0,1,VLOOKUP(C1786,'Справочник соответствий'!A$2:D$2981,2,FALSE)))</f>
        <v>1</v>
      </c>
      <c r="J1786" s="3">
        <f>IFERROR(VLOOKUP(D1786,'Справочник соответствий'!A$2:D$2981,2,FALSE),IF(VALUE(D1786)=0,0,VLOOKUP(D1786,'Справочник соответствий'!A$2:D$2981,2,FALSE)))</f>
        <v>0</v>
      </c>
      <c r="K1786" s="3" t="str">
        <f t="shared" si="189"/>
        <v>1</v>
      </c>
      <c r="L1786" s="13" t="str">
        <f>IFERROR(VLOOKUP(C1786,'Справочник соответствий'!A$2:D$2981,3,FALSE),IF(VALUE(C1786)=0,"ЭТАЖ НЕ ОПРЕДЕЛЕН. ПРИНЯТ ПО ДОПУЩЕНИЮ 1",VLOOKUP(C1786,'Справочник соответствий'!A$2:D$2981,3,FALSE)))</f>
        <v>ЭТАЖ ЗАДАН ЧИСЛОМ</v>
      </c>
      <c r="M1786" s="13" t="b">
        <f t="shared" si="190"/>
        <v>0</v>
      </c>
      <c r="N1786" s="13">
        <f t="shared" si="191"/>
        <v>1</v>
      </c>
      <c r="O1786" s="13" t="str">
        <f t="shared" si="192"/>
        <v>ЭТАЖ ЗАДАН ЧИСЛОМ</v>
      </c>
      <c r="P1786" s="13" t="str">
        <f t="shared" si="193"/>
        <v>ЭТАЖ ЗАДАН ЧИСЛОМ</v>
      </c>
      <c r="Q1786" s="13" t="str">
        <f t="shared" si="194"/>
        <v>ГОТОВ_ИЗМЕНЕН</v>
      </c>
      <c r="R1786" s="13">
        <f>IFERROR(VLOOKUP(P1786,Лист1!A$1:B$20,2,FALSE),0)</f>
        <v>784</v>
      </c>
      <c r="S1786" s="13">
        <f t="shared" si="195"/>
        <v>0</v>
      </c>
    </row>
    <row r="1787" spans="1:19" x14ac:dyDescent="0.25">
      <c r="A1787" s="24" t="s">
        <v>2914</v>
      </c>
      <c r="B1787" s="4" t="s">
        <v>1059</v>
      </c>
      <c r="C1787" s="25" t="s">
        <v>5</v>
      </c>
      <c r="G1787" s="25" t="s">
        <v>1067</v>
      </c>
      <c r="H1787" s="24" t="s">
        <v>1061</v>
      </c>
      <c r="I1787" s="3" t="str">
        <f>IFERROR(VLOOKUP(C1787,'Справочник соответствий'!A$2:D$2981,2,FALSE),IF(VALUE(C1787)=0,1,VLOOKUP(C1787,'Справочник соответствий'!A$2:D$2981,2,FALSE)))</f>
        <v>1</v>
      </c>
      <c r="J1787" s="3">
        <f>IFERROR(VLOOKUP(D1787,'Справочник соответствий'!A$2:D$2981,2,FALSE),IF(VALUE(D1787)=0,0,VLOOKUP(D1787,'Справочник соответствий'!A$2:D$2981,2,FALSE)))</f>
        <v>0</v>
      </c>
      <c r="K1787" s="3" t="str">
        <f t="shared" si="189"/>
        <v>1</v>
      </c>
      <c r="L1787" s="13" t="str">
        <f>IFERROR(VLOOKUP(C1787,'Справочник соответствий'!A$2:D$2981,3,FALSE),IF(VALUE(C1787)=0,"ЭТАЖ НЕ ОПРЕДЕЛЕН. ПРИНЯТ ПО ДОПУЩЕНИЮ 1",VLOOKUP(C1787,'Справочник соответствий'!A$2:D$2981,3,FALSE)))</f>
        <v>ЭТАЖ ЗАДАН ЧИСЛОМ</v>
      </c>
      <c r="M1787" s="13" t="b">
        <f t="shared" si="190"/>
        <v>0</v>
      </c>
      <c r="N1787" s="13">
        <f t="shared" si="191"/>
        <v>1</v>
      </c>
      <c r="O1787" s="13" t="str">
        <f t="shared" si="192"/>
        <v>ЭТАЖ ЗАДАН ЧИСЛОМ</v>
      </c>
      <c r="P1787" s="13" t="str">
        <f t="shared" si="193"/>
        <v>ЭТАЖ ЗАДАН ЧИСЛОМ</v>
      </c>
      <c r="Q1787" s="13" t="str">
        <f t="shared" si="194"/>
        <v>ГОТОВ_ИЗМЕНЕН</v>
      </c>
      <c r="R1787" s="13">
        <f>IFERROR(VLOOKUP(P1787,Лист1!A$1:B$20,2,FALSE),0)</f>
        <v>784</v>
      </c>
      <c r="S1787" s="13">
        <f t="shared" si="195"/>
        <v>0</v>
      </c>
    </row>
    <row r="1788" spans="1:19" x14ac:dyDescent="0.25">
      <c r="A1788" s="24" t="s">
        <v>2915</v>
      </c>
      <c r="B1788" s="4" t="s">
        <v>1059</v>
      </c>
      <c r="C1788" s="25" t="s">
        <v>7</v>
      </c>
      <c r="G1788" s="25" t="s">
        <v>1086</v>
      </c>
      <c r="H1788" s="24" t="s">
        <v>1061</v>
      </c>
      <c r="I1788" s="3" t="str">
        <f>IFERROR(VLOOKUP(C1788,'Справочник соответствий'!A$2:D$2981,2,FALSE),IF(VALUE(C1788)=0,1,VLOOKUP(C1788,'Справочник соответствий'!A$2:D$2981,2,FALSE)))</f>
        <v>2</v>
      </c>
      <c r="J1788" s="3">
        <f>IFERROR(VLOOKUP(D1788,'Справочник соответствий'!A$2:D$2981,2,FALSE),IF(VALUE(D1788)=0,0,VLOOKUP(D1788,'Справочник соответствий'!A$2:D$2981,2,FALSE)))</f>
        <v>0</v>
      </c>
      <c r="K1788" s="3" t="str">
        <f t="shared" si="189"/>
        <v>2</v>
      </c>
      <c r="L1788" s="13" t="str">
        <f>IFERROR(VLOOKUP(C1788,'Справочник соответствий'!A$2:D$2981,3,FALSE),IF(VALUE(C1788)=0,"ЭТАЖ НЕ ОПРЕДЕЛЕН. ПРИНЯТ ПО ДОПУЩЕНИЮ 1",VLOOKUP(C1788,'Справочник соответствий'!A$2:D$2981,3,FALSE)))</f>
        <v>ЭТАЖ ЗАДАН ЧИСЛОМ</v>
      </c>
      <c r="M1788" s="13" t="b">
        <f t="shared" si="190"/>
        <v>0</v>
      </c>
      <c r="N1788" s="13">
        <f t="shared" si="191"/>
        <v>2</v>
      </c>
      <c r="O1788" s="13" t="str">
        <f t="shared" si="192"/>
        <v>ЭТАЖ ЗАДАН ЧИСЛОМ</v>
      </c>
      <c r="P1788" s="13" t="str">
        <f t="shared" si="193"/>
        <v>ЭТАЖ ЗАДАН ЧИСЛОМ</v>
      </c>
      <c r="Q1788" s="13" t="str">
        <f t="shared" si="194"/>
        <v>ГОТОВ_ИЗМЕНЕН</v>
      </c>
      <c r="R1788" s="13">
        <f>IFERROR(VLOOKUP(P1788,Лист1!A$1:B$20,2,FALSE),0)</f>
        <v>784</v>
      </c>
      <c r="S1788" s="13">
        <f t="shared" si="195"/>
        <v>0</v>
      </c>
    </row>
    <row r="1789" spans="1:19" x14ac:dyDescent="0.25">
      <c r="A1789" s="24" t="s">
        <v>2916</v>
      </c>
      <c r="B1789" s="4" t="s">
        <v>1063</v>
      </c>
      <c r="C1789" s="25" t="s">
        <v>5</v>
      </c>
      <c r="G1789" s="25" t="s">
        <v>1117</v>
      </c>
      <c r="H1789" s="24" t="s">
        <v>1061</v>
      </c>
      <c r="I1789" s="3" t="str">
        <f>IFERROR(VLOOKUP(C1789,'Справочник соответствий'!A$2:D$2981,2,FALSE),IF(VALUE(C1789)=0,1,VLOOKUP(C1789,'Справочник соответствий'!A$2:D$2981,2,FALSE)))</f>
        <v>1</v>
      </c>
      <c r="J1789" s="3">
        <f>IFERROR(VLOOKUP(D1789,'Справочник соответствий'!A$2:D$2981,2,FALSE),IF(VALUE(D1789)=0,0,VLOOKUP(D1789,'Справочник соответствий'!A$2:D$2981,2,FALSE)))</f>
        <v>0</v>
      </c>
      <c r="K1789" s="3" t="str">
        <f t="shared" si="189"/>
        <v>1</v>
      </c>
      <c r="L1789" s="13" t="str">
        <f>IFERROR(VLOOKUP(C1789,'Справочник соответствий'!A$2:D$2981,3,FALSE),IF(VALUE(C1789)=0,"ЭТАЖ НЕ ОПРЕДЕЛЕН. ПРИНЯТ ПО ДОПУЩЕНИЮ 1",VLOOKUP(C1789,'Справочник соответствий'!A$2:D$2981,3,FALSE)))</f>
        <v>ЭТАЖ ЗАДАН ЧИСЛОМ</v>
      </c>
      <c r="M1789" s="13" t="b">
        <f t="shared" si="190"/>
        <v>0</v>
      </c>
      <c r="N1789" s="13">
        <f t="shared" si="191"/>
        <v>1</v>
      </c>
      <c r="O1789" s="13" t="str">
        <f t="shared" si="192"/>
        <v>ЭТАЖ ЗАДАН ЧИСЛОМ</v>
      </c>
      <c r="P1789" s="13" t="str">
        <f t="shared" si="193"/>
        <v>ЭТАЖ ЗАДАН ЧИСЛОМ</v>
      </c>
      <c r="Q1789" s="13" t="str">
        <f t="shared" si="194"/>
        <v>ГОТОВ_ИЗМЕНЕН</v>
      </c>
      <c r="R1789" s="13">
        <f>IFERROR(VLOOKUP(P1789,Лист1!A$1:B$20,2,FALSE),0)</f>
        <v>784</v>
      </c>
      <c r="S1789" s="13">
        <f t="shared" si="195"/>
        <v>0</v>
      </c>
    </row>
    <row r="1790" spans="1:19" x14ac:dyDescent="0.25">
      <c r="A1790" s="24" t="s">
        <v>2917</v>
      </c>
      <c r="B1790" s="4" t="s">
        <v>1059</v>
      </c>
      <c r="C1790" s="25" t="s">
        <v>5</v>
      </c>
      <c r="G1790" s="25" t="s">
        <v>1086</v>
      </c>
      <c r="H1790" s="24" t="s">
        <v>1061</v>
      </c>
      <c r="I1790" s="3" t="str">
        <f>IFERROR(VLOOKUP(C1790,'Справочник соответствий'!A$2:D$2981,2,FALSE),IF(VALUE(C1790)=0,1,VLOOKUP(C1790,'Справочник соответствий'!A$2:D$2981,2,FALSE)))</f>
        <v>1</v>
      </c>
      <c r="J1790" s="3">
        <f>IFERROR(VLOOKUP(D1790,'Справочник соответствий'!A$2:D$2981,2,FALSE),IF(VALUE(D1790)=0,0,VLOOKUP(D1790,'Справочник соответствий'!A$2:D$2981,2,FALSE)))</f>
        <v>0</v>
      </c>
      <c r="K1790" s="3" t="str">
        <f t="shared" si="189"/>
        <v>1</v>
      </c>
      <c r="L1790" s="13" t="str">
        <f>IFERROR(VLOOKUP(C1790,'Справочник соответствий'!A$2:D$2981,3,FALSE),IF(VALUE(C1790)=0,"ЭТАЖ НЕ ОПРЕДЕЛЕН. ПРИНЯТ ПО ДОПУЩЕНИЮ 1",VLOOKUP(C1790,'Справочник соответствий'!A$2:D$2981,3,FALSE)))</f>
        <v>ЭТАЖ ЗАДАН ЧИСЛОМ</v>
      </c>
      <c r="M1790" s="13" t="b">
        <f t="shared" si="190"/>
        <v>0</v>
      </c>
      <c r="N1790" s="13">
        <f t="shared" si="191"/>
        <v>1</v>
      </c>
      <c r="O1790" s="13" t="str">
        <f t="shared" si="192"/>
        <v>ЭТАЖ ЗАДАН ЧИСЛОМ</v>
      </c>
      <c r="P1790" s="13" t="str">
        <f t="shared" si="193"/>
        <v>ЭТАЖ ЗАДАН ЧИСЛОМ</v>
      </c>
      <c r="Q1790" s="13" t="str">
        <f t="shared" si="194"/>
        <v>ГОТОВ_ИЗМЕНЕН</v>
      </c>
      <c r="R1790" s="13">
        <f>IFERROR(VLOOKUP(P1790,Лист1!A$1:B$20,2,FALSE),0)</f>
        <v>784</v>
      </c>
      <c r="S1790" s="13">
        <f t="shared" si="195"/>
        <v>0</v>
      </c>
    </row>
    <row r="1791" spans="1:19" x14ac:dyDescent="0.25">
      <c r="A1791" s="24" t="s">
        <v>2918</v>
      </c>
      <c r="B1791" s="4" t="s">
        <v>1059</v>
      </c>
      <c r="C1791" s="25" t="s">
        <v>8</v>
      </c>
      <c r="G1791" s="25" t="s">
        <v>1086</v>
      </c>
      <c r="H1791" s="24" t="s">
        <v>1061</v>
      </c>
      <c r="I1791" s="3" t="str">
        <f>IFERROR(VLOOKUP(C1791,'Справочник соответствий'!A$2:D$2981,2,FALSE),IF(VALUE(C1791)=0,1,VLOOKUP(C1791,'Справочник соответствий'!A$2:D$2981,2,FALSE)))</f>
        <v>3</v>
      </c>
      <c r="J1791" s="3">
        <f>IFERROR(VLOOKUP(D1791,'Справочник соответствий'!A$2:D$2981,2,FALSE),IF(VALUE(D1791)=0,0,VLOOKUP(D1791,'Справочник соответствий'!A$2:D$2981,2,FALSE)))</f>
        <v>0</v>
      </c>
      <c r="K1791" s="3" t="str">
        <f t="shared" si="189"/>
        <v>3</v>
      </c>
      <c r="L1791" s="13" t="str">
        <f>IFERROR(VLOOKUP(C1791,'Справочник соответствий'!A$2:D$2981,3,FALSE),IF(VALUE(C1791)=0,"ЭТАЖ НЕ ОПРЕДЕЛЕН. ПРИНЯТ ПО ДОПУЩЕНИЮ 1",VLOOKUP(C1791,'Справочник соответствий'!A$2:D$2981,3,FALSE)))</f>
        <v>ЭТАЖ ЗАДАН ЧИСЛОМ</v>
      </c>
      <c r="M1791" s="13" t="b">
        <f t="shared" si="190"/>
        <v>0</v>
      </c>
      <c r="N1791" s="13">
        <f t="shared" si="191"/>
        <v>3</v>
      </c>
      <c r="O1791" s="13" t="str">
        <f t="shared" si="192"/>
        <v>ЭТАЖ ЗАДАН ЧИСЛОМ</v>
      </c>
      <c r="P1791" s="13" t="str">
        <f t="shared" si="193"/>
        <v>ЭТАЖ ЗАДАН ЧИСЛОМ</v>
      </c>
      <c r="Q1791" s="13" t="str">
        <f t="shared" si="194"/>
        <v>ГОТОВ_ИЗМЕНЕН</v>
      </c>
      <c r="R1791" s="13">
        <f>IFERROR(VLOOKUP(P1791,Лист1!A$1:B$20,2,FALSE),0)</f>
        <v>784</v>
      </c>
      <c r="S1791" s="13">
        <f t="shared" si="195"/>
        <v>0</v>
      </c>
    </row>
    <row r="1792" spans="1:19" x14ac:dyDescent="0.25">
      <c r="A1792" s="24" t="s">
        <v>2919</v>
      </c>
      <c r="B1792" s="4" t="s">
        <v>1059</v>
      </c>
      <c r="C1792" s="25" t="s">
        <v>7</v>
      </c>
      <c r="G1792" s="25" t="s">
        <v>1086</v>
      </c>
      <c r="H1792" s="24" t="s">
        <v>1061</v>
      </c>
      <c r="I1792" s="3" t="str">
        <f>IFERROR(VLOOKUP(C1792,'Справочник соответствий'!A$2:D$2981,2,FALSE),IF(VALUE(C1792)=0,1,VLOOKUP(C1792,'Справочник соответствий'!A$2:D$2981,2,FALSE)))</f>
        <v>2</v>
      </c>
      <c r="J1792" s="3">
        <f>IFERROR(VLOOKUP(D1792,'Справочник соответствий'!A$2:D$2981,2,FALSE),IF(VALUE(D1792)=0,0,VLOOKUP(D1792,'Справочник соответствий'!A$2:D$2981,2,FALSE)))</f>
        <v>0</v>
      </c>
      <c r="K1792" s="3" t="str">
        <f t="shared" si="189"/>
        <v>2</v>
      </c>
      <c r="L1792" s="13" t="str">
        <f>IFERROR(VLOOKUP(C1792,'Справочник соответствий'!A$2:D$2981,3,FALSE),IF(VALUE(C1792)=0,"ЭТАЖ НЕ ОПРЕДЕЛЕН. ПРИНЯТ ПО ДОПУЩЕНИЮ 1",VLOOKUP(C1792,'Справочник соответствий'!A$2:D$2981,3,FALSE)))</f>
        <v>ЭТАЖ ЗАДАН ЧИСЛОМ</v>
      </c>
      <c r="M1792" s="13" t="b">
        <f t="shared" si="190"/>
        <v>0</v>
      </c>
      <c r="N1792" s="13">
        <f t="shared" si="191"/>
        <v>2</v>
      </c>
      <c r="O1792" s="13" t="str">
        <f t="shared" si="192"/>
        <v>ЭТАЖ ЗАДАН ЧИСЛОМ</v>
      </c>
      <c r="P1792" s="13" t="str">
        <f t="shared" si="193"/>
        <v>ЭТАЖ ЗАДАН ЧИСЛОМ</v>
      </c>
      <c r="Q1792" s="13" t="str">
        <f t="shared" si="194"/>
        <v>ГОТОВ_ИЗМЕНЕН</v>
      </c>
      <c r="R1792" s="13">
        <f>IFERROR(VLOOKUP(P1792,Лист1!A$1:B$20,2,FALSE),0)</f>
        <v>784</v>
      </c>
      <c r="S1792" s="13">
        <f t="shared" si="195"/>
        <v>0</v>
      </c>
    </row>
    <row r="1793" spans="1:19" x14ac:dyDescent="0.25">
      <c r="A1793" s="24" t="s">
        <v>2920</v>
      </c>
      <c r="B1793" s="4" t="s">
        <v>1063</v>
      </c>
      <c r="C1793" s="25" t="s">
        <v>5</v>
      </c>
      <c r="G1793" s="25" t="s">
        <v>1086</v>
      </c>
      <c r="H1793" s="24" t="s">
        <v>1061</v>
      </c>
      <c r="I1793" s="3" t="str">
        <f>IFERROR(VLOOKUP(C1793,'Справочник соответствий'!A$2:D$2981,2,FALSE),IF(VALUE(C1793)=0,1,VLOOKUP(C1793,'Справочник соответствий'!A$2:D$2981,2,FALSE)))</f>
        <v>1</v>
      </c>
      <c r="J1793" s="3">
        <f>IFERROR(VLOOKUP(D1793,'Справочник соответствий'!A$2:D$2981,2,FALSE),IF(VALUE(D1793)=0,0,VLOOKUP(D1793,'Справочник соответствий'!A$2:D$2981,2,FALSE)))</f>
        <v>0</v>
      </c>
      <c r="K1793" s="3" t="str">
        <f t="shared" si="189"/>
        <v>1</v>
      </c>
      <c r="L1793" s="13" t="str">
        <f>IFERROR(VLOOKUP(C1793,'Справочник соответствий'!A$2:D$2981,3,FALSE),IF(VALUE(C1793)=0,"ЭТАЖ НЕ ОПРЕДЕЛЕН. ПРИНЯТ ПО ДОПУЩЕНИЮ 1",VLOOKUP(C1793,'Справочник соответствий'!A$2:D$2981,3,FALSE)))</f>
        <v>ЭТАЖ ЗАДАН ЧИСЛОМ</v>
      </c>
      <c r="M1793" s="13" t="b">
        <f t="shared" si="190"/>
        <v>0</v>
      </c>
      <c r="N1793" s="13">
        <f t="shared" si="191"/>
        <v>1</v>
      </c>
      <c r="O1793" s="13" t="str">
        <f t="shared" si="192"/>
        <v>ЭТАЖ ЗАДАН ЧИСЛОМ</v>
      </c>
      <c r="P1793" s="13" t="str">
        <f t="shared" si="193"/>
        <v>ЭТАЖ ЗАДАН ЧИСЛОМ</v>
      </c>
      <c r="Q1793" s="13" t="str">
        <f t="shared" si="194"/>
        <v>ГОТОВ_ИЗМЕНЕН</v>
      </c>
      <c r="R1793" s="13">
        <f>IFERROR(VLOOKUP(P1793,Лист1!A$1:B$20,2,FALSE),0)</f>
        <v>784</v>
      </c>
      <c r="S1793" s="13">
        <f t="shared" si="195"/>
        <v>0</v>
      </c>
    </row>
    <row r="1794" spans="1:19" x14ac:dyDescent="0.25">
      <c r="A1794" s="24" t="s">
        <v>2921</v>
      </c>
      <c r="B1794" s="4" t="s">
        <v>1059</v>
      </c>
      <c r="C1794" s="25" t="s">
        <v>7</v>
      </c>
      <c r="G1794" s="25" t="s">
        <v>1086</v>
      </c>
      <c r="H1794" s="24" t="s">
        <v>1061</v>
      </c>
      <c r="I1794" s="3" t="str">
        <f>IFERROR(VLOOKUP(C1794,'Справочник соответствий'!A$2:D$2981,2,FALSE),IF(VALUE(C1794)=0,1,VLOOKUP(C1794,'Справочник соответствий'!A$2:D$2981,2,FALSE)))</f>
        <v>2</v>
      </c>
      <c r="J1794" s="3">
        <f>IFERROR(VLOOKUP(D1794,'Справочник соответствий'!A$2:D$2981,2,FALSE),IF(VALUE(D1794)=0,0,VLOOKUP(D1794,'Справочник соответствий'!A$2:D$2981,2,FALSE)))</f>
        <v>0</v>
      </c>
      <c r="K1794" s="3" t="str">
        <f t="shared" si="189"/>
        <v>2</v>
      </c>
      <c r="L1794" s="13" t="str">
        <f>IFERROR(VLOOKUP(C1794,'Справочник соответствий'!A$2:D$2981,3,FALSE),IF(VALUE(C1794)=0,"ЭТАЖ НЕ ОПРЕДЕЛЕН. ПРИНЯТ ПО ДОПУЩЕНИЮ 1",VLOOKUP(C1794,'Справочник соответствий'!A$2:D$2981,3,FALSE)))</f>
        <v>ЭТАЖ ЗАДАН ЧИСЛОМ</v>
      </c>
      <c r="M1794" s="13" t="b">
        <f t="shared" si="190"/>
        <v>0</v>
      </c>
      <c r="N1794" s="13">
        <f t="shared" si="191"/>
        <v>2</v>
      </c>
      <c r="O1794" s="13" t="str">
        <f t="shared" si="192"/>
        <v>ЭТАЖ ЗАДАН ЧИСЛОМ</v>
      </c>
      <c r="P1794" s="13" t="str">
        <f t="shared" si="193"/>
        <v>ЭТАЖ ЗАДАН ЧИСЛОМ</v>
      </c>
      <c r="Q1794" s="13" t="str">
        <f t="shared" si="194"/>
        <v>ГОТОВ_ИЗМЕНЕН</v>
      </c>
      <c r="R1794" s="13">
        <f>IFERROR(VLOOKUP(P1794,Лист1!A$1:B$20,2,FALSE),0)</f>
        <v>784</v>
      </c>
      <c r="S1794" s="13">
        <f t="shared" si="195"/>
        <v>0</v>
      </c>
    </row>
    <row r="1795" spans="1:19" x14ac:dyDescent="0.25">
      <c r="A1795" s="24" t="s">
        <v>2922</v>
      </c>
      <c r="B1795" s="4" t="s">
        <v>1059</v>
      </c>
      <c r="C1795" s="25" t="s">
        <v>5</v>
      </c>
      <c r="G1795" s="25" t="s">
        <v>1086</v>
      </c>
      <c r="H1795" s="24" t="s">
        <v>1061</v>
      </c>
      <c r="I1795" s="3" t="str">
        <f>IFERROR(VLOOKUP(C1795,'Справочник соответствий'!A$2:D$2981,2,FALSE),IF(VALUE(C1795)=0,1,VLOOKUP(C1795,'Справочник соответствий'!A$2:D$2981,2,FALSE)))</f>
        <v>1</v>
      </c>
      <c r="J1795" s="3">
        <f>IFERROR(VLOOKUP(D1795,'Справочник соответствий'!A$2:D$2981,2,FALSE),IF(VALUE(D1795)=0,0,VLOOKUP(D1795,'Справочник соответствий'!A$2:D$2981,2,FALSE)))</f>
        <v>0</v>
      </c>
      <c r="K1795" s="3" t="str">
        <f t="shared" si="189"/>
        <v>1</v>
      </c>
      <c r="L1795" s="13" t="str">
        <f>IFERROR(VLOOKUP(C1795,'Справочник соответствий'!A$2:D$2981,3,FALSE),IF(VALUE(C1795)=0,"ЭТАЖ НЕ ОПРЕДЕЛЕН. ПРИНЯТ ПО ДОПУЩЕНИЮ 1",VLOOKUP(C1795,'Справочник соответствий'!A$2:D$2981,3,FALSE)))</f>
        <v>ЭТАЖ ЗАДАН ЧИСЛОМ</v>
      </c>
      <c r="M1795" s="13" t="b">
        <f t="shared" si="190"/>
        <v>0</v>
      </c>
      <c r="N1795" s="13">
        <f t="shared" si="191"/>
        <v>1</v>
      </c>
      <c r="O1795" s="13" t="str">
        <f t="shared" si="192"/>
        <v>ЭТАЖ ЗАДАН ЧИСЛОМ</v>
      </c>
      <c r="P1795" s="13" t="str">
        <f t="shared" si="193"/>
        <v>ЭТАЖ ЗАДАН ЧИСЛОМ</v>
      </c>
      <c r="Q1795" s="13" t="str">
        <f t="shared" si="194"/>
        <v>ГОТОВ_ИЗМЕНЕН</v>
      </c>
      <c r="R1795" s="13">
        <f>IFERROR(VLOOKUP(P1795,Лист1!A$1:B$20,2,FALSE),0)</f>
        <v>784</v>
      </c>
      <c r="S1795" s="13">
        <f t="shared" si="195"/>
        <v>0</v>
      </c>
    </row>
    <row r="1796" spans="1:19" x14ac:dyDescent="0.25">
      <c r="A1796" s="24" t="s">
        <v>2923</v>
      </c>
      <c r="B1796" s="4" t="s">
        <v>1059</v>
      </c>
      <c r="C1796" s="25" t="s">
        <v>5</v>
      </c>
      <c r="G1796" s="25" t="s">
        <v>1080</v>
      </c>
      <c r="H1796" s="24" t="s">
        <v>1061</v>
      </c>
      <c r="I1796" s="3" t="str">
        <f>IFERROR(VLOOKUP(C1796,'Справочник соответствий'!A$2:D$2981,2,FALSE),IF(VALUE(C1796)=0,1,VLOOKUP(C1796,'Справочник соответствий'!A$2:D$2981,2,FALSE)))</f>
        <v>1</v>
      </c>
      <c r="J1796" s="3">
        <f>IFERROR(VLOOKUP(D1796,'Справочник соответствий'!A$2:D$2981,2,FALSE),IF(VALUE(D1796)=0,0,VLOOKUP(D1796,'Справочник соответствий'!A$2:D$2981,2,FALSE)))</f>
        <v>0</v>
      </c>
      <c r="K1796" s="3" t="str">
        <f t="shared" si="189"/>
        <v>1</v>
      </c>
      <c r="L1796" s="13" t="str">
        <f>IFERROR(VLOOKUP(C1796,'Справочник соответствий'!A$2:D$2981,3,FALSE),IF(VALUE(C1796)=0,"ЭТАЖ НЕ ОПРЕДЕЛЕН. ПРИНЯТ ПО ДОПУЩЕНИЮ 1",VLOOKUP(C1796,'Справочник соответствий'!A$2:D$2981,3,FALSE)))</f>
        <v>ЭТАЖ ЗАДАН ЧИСЛОМ</v>
      </c>
      <c r="M1796" s="13" t="b">
        <f t="shared" si="190"/>
        <v>0</v>
      </c>
      <c r="N1796" s="13">
        <f t="shared" si="191"/>
        <v>1</v>
      </c>
      <c r="O1796" s="13" t="str">
        <f t="shared" si="192"/>
        <v>ЭТАЖ ЗАДАН ЧИСЛОМ</v>
      </c>
      <c r="P1796" s="13" t="str">
        <f t="shared" si="193"/>
        <v>ЭТАЖ ЗАДАН ЧИСЛОМ</v>
      </c>
      <c r="Q1796" s="13" t="str">
        <f t="shared" si="194"/>
        <v>ГОТОВ_ИЗМЕНЕН</v>
      </c>
      <c r="R1796" s="13">
        <f>IFERROR(VLOOKUP(P1796,Лист1!A$1:B$20,2,FALSE),0)</f>
        <v>784</v>
      </c>
      <c r="S1796" s="13">
        <f t="shared" si="195"/>
        <v>0</v>
      </c>
    </row>
    <row r="1797" spans="1:19" x14ac:dyDescent="0.25">
      <c r="A1797" s="24" t="s">
        <v>2924</v>
      </c>
      <c r="B1797" s="4" t="s">
        <v>1059</v>
      </c>
      <c r="C1797" s="25" t="s">
        <v>5</v>
      </c>
      <c r="G1797" s="25" t="s">
        <v>1080</v>
      </c>
      <c r="H1797" s="24" t="s">
        <v>1061</v>
      </c>
      <c r="I1797" s="3" t="str">
        <f>IFERROR(VLOOKUP(C1797,'Справочник соответствий'!A$2:D$2981,2,FALSE),IF(VALUE(C1797)=0,1,VLOOKUP(C1797,'Справочник соответствий'!A$2:D$2981,2,FALSE)))</f>
        <v>1</v>
      </c>
      <c r="J1797" s="3">
        <f>IFERROR(VLOOKUP(D1797,'Справочник соответствий'!A$2:D$2981,2,FALSE),IF(VALUE(D1797)=0,0,VLOOKUP(D1797,'Справочник соответствий'!A$2:D$2981,2,FALSE)))</f>
        <v>0</v>
      </c>
      <c r="K1797" s="3" t="str">
        <f t="shared" ref="K1797:K1860" si="196">IF(B1797="Многоквартирный дом",IF(I1797-J1797&gt;0,I1797-J1797,1),I1797)</f>
        <v>1</v>
      </c>
      <c r="L1797" s="13" t="str">
        <f>IFERROR(VLOOKUP(C1797,'Справочник соответствий'!A$2:D$2981,3,FALSE),IF(VALUE(C1797)=0,"ЭТАЖ НЕ ОПРЕДЕЛЕН. ПРИНЯТ ПО ДОПУЩЕНИЮ 1",VLOOKUP(C1797,'Справочник соответствий'!A$2:D$2981,3,FALSE)))</f>
        <v>ЭТАЖ ЗАДАН ЧИСЛОМ</v>
      </c>
      <c r="M1797" s="13" t="b">
        <f t="shared" ref="M1797:M1860" si="197">I1797=E1797</f>
        <v>0</v>
      </c>
      <c r="N1797" s="13">
        <f t="shared" ref="N1797:N1860" si="198">IF(VALUE(E1797)=0,VALUE(K1797),IF(L1797="ЭТАЖ НЕ ОПРЕДЕЛЕН. ПРИНЯТ ПО ДОПУЩЕНИЮ 1",VALUE(E1797),VALUE(K1797)))</f>
        <v>1</v>
      </c>
      <c r="O1797" s="13" t="str">
        <f t="shared" ref="O1797:O1860" si="199">IF(VALUE(E1797)=0,L1797,IF(L1797="ЭТАЖ НЕ ОПРЕДЕЛЕН. ПРИНЯТ ПО ДОПУЩЕНИЮ 1",F1797,L1797))</f>
        <v>ЭТАЖ ЗАДАН ЧИСЛОМ</v>
      </c>
      <c r="P1797" s="13" t="str">
        <f t="shared" ref="P1797:P1860" si="200">IF(B1797="Многоквартирный дом",CONCATENATE("МКД_",O1797),O1797)</f>
        <v>ЭТАЖ ЗАДАН ЧИСЛОМ</v>
      </c>
      <c r="Q1797" s="13" t="str">
        <f t="shared" ref="Q1797:Q1860" si="201">IFERROR(IF(N1797&gt;0,IF(N1797=VALUE(E1797),"ГОТОВ","ГОТОВ_ИЗМЕНЕН"),"НЕ ГОТОВ"),"НЕ ГОТОВ")</f>
        <v>ГОТОВ_ИЗМЕНЕН</v>
      </c>
      <c r="R1797" s="13">
        <f>IFERROR(VLOOKUP(P1797,Лист1!A$1:B$20,2,FALSE),0)</f>
        <v>784</v>
      </c>
      <c r="S1797" s="13">
        <f t="shared" ref="S1797:S1860" si="202">VALUE(E1797)</f>
        <v>0</v>
      </c>
    </row>
    <row r="1798" spans="1:19" x14ac:dyDescent="0.25">
      <c r="A1798" s="24" t="s">
        <v>2925</v>
      </c>
      <c r="B1798" s="4" t="s">
        <v>1059</v>
      </c>
      <c r="C1798" s="25" t="s">
        <v>5</v>
      </c>
      <c r="G1798" s="25" t="s">
        <v>1080</v>
      </c>
      <c r="H1798" s="24" t="s">
        <v>1061</v>
      </c>
      <c r="I1798" s="3" t="str">
        <f>IFERROR(VLOOKUP(C1798,'Справочник соответствий'!A$2:D$2981,2,FALSE),IF(VALUE(C1798)=0,1,VLOOKUP(C1798,'Справочник соответствий'!A$2:D$2981,2,FALSE)))</f>
        <v>1</v>
      </c>
      <c r="J1798" s="3">
        <f>IFERROR(VLOOKUP(D1798,'Справочник соответствий'!A$2:D$2981,2,FALSE),IF(VALUE(D1798)=0,0,VLOOKUP(D1798,'Справочник соответствий'!A$2:D$2981,2,FALSE)))</f>
        <v>0</v>
      </c>
      <c r="K1798" s="3" t="str">
        <f t="shared" si="196"/>
        <v>1</v>
      </c>
      <c r="L1798" s="13" t="str">
        <f>IFERROR(VLOOKUP(C1798,'Справочник соответствий'!A$2:D$2981,3,FALSE),IF(VALUE(C1798)=0,"ЭТАЖ НЕ ОПРЕДЕЛЕН. ПРИНЯТ ПО ДОПУЩЕНИЮ 1",VLOOKUP(C1798,'Справочник соответствий'!A$2:D$2981,3,FALSE)))</f>
        <v>ЭТАЖ ЗАДАН ЧИСЛОМ</v>
      </c>
      <c r="M1798" s="13" t="b">
        <f t="shared" si="197"/>
        <v>0</v>
      </c>
      <c r="N1798" s="13">
        <f t="shared" si="198"/>
        <v>1</v>
      </c>
      <c r="O1798" s="13" t="str">
        <f t="shared" si="199"/>
        <v>ЭТАЖ ЗАДАН ЧИСЛОМ</v>
      </c>
      <c r="P1798" s="13" t="str">
        <f t="shared" si="200"/>
        <v>ЭТАЖ ЗАДАН ЧИСЛОМ</v>
      </c>
      <c r="Q1798" s="13" t="str">
        <f t="shared" si="201"/>
        <v>ГОТОВ_ИЗМЕНЕН</v>
      </c>
      <c r="R1798" s="13">
        <f>IFERROR(VLOOKUP(P1798,Лист1!A$1:B$20,2,FALSE),0)</f>
        <v>784</v>
      </c>
      <c r="S1798" s="13">
        <f t="shared" si="202"/>
        <v>0</v>
      </c>
    </row>
    <row r="1799" spans="1:19" x14ac:dyDescent="0.25">
      <c r="A1799" s="24" t="s">
        <v>2926</v>
      </c>
      <c r="B1799" s="4" t="s">
        <v>1059</v>
      </c>
      <c r="C1799" s="25" t="s">
        <v>7</v>
      </c>
      <c r="G1799" s="25" t="s">
        <v>1117</v>
      </c>
      <c r="H1799" s="24" t="s">
        <v>1061</v>
      </c>
      <c r="I1799" s="3" t="str">
        <f>IFERROR(VLOOKUP(C1799,'Справочник соответствий'!A$2:D$2981,2,FALSE),IF(VALUE(C1799)=0,1,VLOOKUP(C1799,'Справочник соответствий'!A$2:D$2981,2,FALSE)))</f>
        <v>2</v>
      </c>
      <c r="J1799" s="3">
        <f>IFERROR(VLOOKUP(D1799,'Справочник соответствий'!A$2:D$2981,2,FALSE),IF(VALUE(D1799)=0,0,VLOOKUP(D1799,'Справочник соответствий'!A$2:D$2981,2,FALSE)))</f>
        <v>0</v>
      </c>
      <c r="K1799" s="3" t="str">
        <f t="shared" si="196"/>
        <v>2</v>
      </c>
      <c r="L1799" s="13" t="str">
        <f>IFERROR(VLOOKUP(C1799,'Справочник соответствий'!A$2:D$2981,3,FALSE),IF(VALUE(C1799)=0,"ЭТАЖ НЕ ОПРЕДЕЛЕН. ПРИНЯТ ПО ДОПУЩЕНИЮ 1",VLOOKUP(C1799,'Справочник соответствий'!A$2:D$2981,3,FALSE)))</f>
        <v>ЭТАЖ ЗАДАН ЧИСЛОМ</v>
      </c>
      <c r="M1799" s="13" t="b">
        <f t="shared" si="197"/>
        <v>0</v>
      </c>
      <c r="N1799" s="13">
        <f t="shared" si="198"/>
        <v>2</v>
      </c>
      <c r="O1799" s="13" t="str">
        <f t="shared" si="199"/>
        <v>ЭТАЖ ЗАДАН ЧИСЛОМ</v>
      </c>
      <c r="P1799" s="13" t="str">
        <f t="shared" si="200"/>
        <v>ЭТАЖ ЗАДАН ЧИСЛОМ</v>
      </c>
      <c r="Q1799" s="13" t="str">
        <f t="shared" si="201"/>
        <v>ГОТОВ_ИЗМЕНЕН</v>
      </c>
      <c r="R1799" s="13">
        <f>IFERROR(VLOOKUP(P1799,Лист1!A$1:B$20,2,FALSE),0)</f>
        <v>784</v>
      </c>
      <c r="S1799" s="13">
        <f t="shared" si="202"/>
        <v>0</v>
      </c>
    </row>
    <row r="1800" spans="1:19" x14ac:dyDescent="0.25">
      <c r="A1800" s="24" t="s">
        <v>2927</v>
      </c>
      <c r="B1800" s="4" t="s">
        <v>1059</v>
      </c>
      <c r="C1800" s="25" t="s">
        <v>5</v>
      </c>
      <c r="G1800" s="25" t="s">
        <v>1222</v>
      </c>
      <c r="H1800" s="24" t="s">
        <v>1061</v>
      </c>
      <c r="I1800" s="3" t="str">
        <f>IFERROR(VLOOKUP(C1800,'Справочник соответствий'!A$2:D$2981,2,FALSE),IF(VALUE(C1800)=0,1,VLOOKUP(C1800,'Справочник соответствий'!A$2:D$2981,2,FALSE)))</f>
        <v>1</v>
      </c>
      <c r="J1800" s="3">
        <f>IFERROR(VLOOKUP(D1800,'Справочник соответствий'!A$2:D$2981,2,FALSE),IF(VALUE(D1800)=0,0,VLOOKUP(D1800,'Справочник соответствий'!A$2:D$2981,2,FALSE)))</f>
        <v>0</v>
      </c>
      <c r="K1800" s="3" t="str">
        <f t="shared" si="196"/>
        <v>1</v>
      </c>
      <c r="L1800" s="13" t="str">
        <f>IFERROR(VLOOKUP(C1800,'Справочник соответствий'!A$2:D$2981,3,FALSE),IF(VALUE(C1800)=0,"ЭТАЖ НЕ ОПРЕДЕЛЕН. ПРИНЯТ ПО ДОПУЩЕНИЮ 1",VLOOKUP(C1800,'Справочник соответствий'!A$2:D$2981,3,FALSE)))</f>
        <v>ЭТАЖ ЗАДАН ЧИСЛОМ</v>
      </c>
      <c r="M1800" s="13" t="b">
        <f t="shared" si="197"/>
        <v>0</v>
      </c>
      <c r="N1800" s="13">
        <f t="shared" si="198"/>
        <v>1</v>
      </c>
      <c r="O1800" s="13" t="str">
        <f t="shared" si="199"/>
        <v>ЭТАЖ ЗАДАН ЧИСЛОМ</v>
      </c>
      <c r="P1800" s="13" t="str">
        <f t="shared" si="200"/>
        <v>ЭТАЖ ЗАДАН ЧИСЛОМ</v>
      </c>
      <c r="Q1800" s="13" t="str">
        <f t="shared" si="201"/>
        <v>ГОТОВ_ИЗМЕНЕН</v>
      </c>
      <c r="R1800" s="13">
        <f>IFERROR(VLOOKUP(P1800,Лист1!A$1:B$20,2,FALSE),0)</f>
        <v>784</v>
      </c>
      <c r="S1800" s="13">
        <f t="shared" si="202"/>
        <v>0</v>
      </c>
    </row>
    <row r="1801" spans="1:19" x14ac:dyDescent="0.25">
      <c r="A1801" s="24" t="s">
        <v>2928</v>
      </c>
      <c r="B1801" s="4" t="s">
        <v>1063</v>
      </c>
      <c r="C1801" s="25" t="s">
        <v>5</v>
      </c>
      <c r="G1801" s="25" t="s">
        <v>1080</v>
      </c>
      <c r="H1801" s="24" t="s">
        <v>1061</v>
      </c>
      <c r="I1801" s="3" t="str">
        <f>IFERROR(VLOOKUP(C1801,'Справочник соответствий'!A$2:D$2981,2,FALSE),IF(VALUE(C1801)=0,1,VLOOKUP(C1801,'Справочник соответствий'!A$2:D$2981,2,FALSE)))</f>
        <v>1</v>
      </c>
      <c r="J1801" s="3">
        <f>IFERROR(VLOOKUP(D1801,'Справочник соответствий'!A$2:D$2981,2,FALSE),IF(VALUE(D1801)=0,0,VLOOKUP(D1801,'Справочник соответствий'!A$2:D$2981,2,FALSE)))</f>
        <v>0</v>
      </c>
      <c r="K1801" s="3" t="str">
        <f t="shared" si="196"/>
        <v>1</v>
      </c>
      <c r="L1801" s="13" t="str">
        <f>IFERROR(VLOOKUP(C1801,'Справочник соответствий'!A$2:D$2981,3,FALSE),IF(VALUE(C1801)=0,"ЭТАЖ НЕ ОПРЕДЕЛЕН. ПРИНЯТ ПО ДОПУЩЕНИЮ 1",VLOOKUP(C1801,'Справочник соответствий'!A$2:D$2981,3,FALSE)))</f>
        <v>ЭТАЖ ЗАДАН ЧИСЛОМ</v>
      </c>
      <c r="M1801" s="13" t="b">
        <f t="shared" si="197"/>
        <v>0</v>
      </c>
      <c r="N1801" s="13">
        <f t="shared" si="198"/>
        <v>1</v>
      </c>
      <c r="O1801" s="13" t="str">
        <f t="shared" si="199"/>
        <v>ЭТАЖ ЗАДАН ЧИСЛОМ</v>
      </c>
      <c r="P1801" s="13" t="str">
        <f t="shared" si="200"/>
        <v>ЭТАЖ ЗАДАН ЧИСЛОМ</v>
      </c>
      <c r="Q1801" s="13" t="str">
        <f t="shared" si="201"/>
        <v>ГОТОВ_ИЗМЕНЕН</v>
      </c>
      <c r="R1801" s="13">
        <f>IFERROR(VLOOKUP(P1801,Лист1!A$1:B$20,2,FALSE),0)</f>
        <v>784</v>
      </c>
      <c r="S1801" s="13">
        <f t="shared" si="202"/>
        <v>0</v>
      </c>
    </row>
    <row r="1802" spans="1:19" x14ac:dyDescent="0.25">
      <c r="A1802" s="24" t="s">
        <v>2929</v>
      </c>
      <c r="B1802" s="4" t="s">
        <v>1059</v>
      </c>
      <c r="C1802" s="25" t="s">
        <v>5</v>
      </c>
      <c r="G1802" s="25" t="s">
        <v>1080</v>
      </c>
      <c r="H1802" s="24" t="s">
        <v>1061</v>
      </c>
      <c r="I1802" s="3" t="str">
        <f>IFERROR(VLOOKUP(C1802,'Справочник соответствий'!A$2:D$2981,2,FALSE),IF(VALUE(C1802)=0,1,VLOOKUP(C1802,'Справочник соответствий'!A$2:D$2981,2,FALSE)))</f>
        <v>1</v>
      </c>
      <c r="J1802" s="3">
        <f>IFERROR(VLOOKUP(D1802,'Справочник соответствий'!A$2:D$2981,2,FALSE),IF(VALUE(D1802)=0,0,VLOOKUP(D1802,'Справочник соответствий'!A$2:D$2981,2,FALSE)))</f>
        <v>0</v>
      </c>
      <c r="K1802" s="3" t="str">
        <f t="shared" si="196"/>
        <v>1</v>
      </c>
      <c r="L1802" s="13" t="str">
        <f>IFERROR(VLOOKUP(C1802,'Справочник соответствий'!A$2:D$2981,3,FALSE),IF(VALUE(C1802)=0,"ЭТАЖ НЕ ОПРЕДЕЛЕН. ПРИНЯТ ПО ДОПУЩЕНИЮ 1",VLOOKUP(C1802,'Справочник соответствий'!A$2:D$2981,3,FALSE)))</f>
        <v>ЭТАЖ ЗАДАН ЧИСЛОМ</v>
      </c>
      <c r="M1802" s="13" t="b">
        <f t="shared" si="197"/>
        <v>0</v>
      </c>
      <c r="N1802" s="13">
        <f t="shared" si="198"/>
        <v>1</v>
      </c>
      <c r="O1802" s="13" t="str">
        <f t="shared" si="199"/>
        <v>ЭТАЖ ЗАДАН ЧИСЛОМ</v>
      </c>
      <c r="P1802" s="13" t="str">
        <f t="shared" si="200"/>
        <v>ЭТАЖ ЗАДАН ЧИСЛОМ</v>
      </c>
      <c r="Q1802" s="13" t="str">
        <f t="shared" si="201"/>
        <v>ГОТОВ_ИЗМЕНЕН</v>
      </c>
      <c r="R1802" s="13">
        <f>IFERROR(VLOOKUP(P1802,Лист1!A$1:B$20,2,FALSE),0)</f>
        <v>784</v>
      </c>
      <c r="S1802" s="13">
        <f t="shared" si="202"/>
        <v>0</v>
      </c>
    </row>
    <row r="1803" spans="1:19" x14ac:dyDescent="0.25">
      <c r="A1803" s="24" t="s">
        <v>2930</v>
      </c>
      <c r="B1803" s="4" t="s">
        <v>1063</v>
      </c>
      <c r="C1803" s="25" t="s">
        <v>5</v>
      </c>
      <c r="G1803" s="25" t="s">
        <v>1080</v>
      </c>
      <c r="H1803" s="24" t="s">
        <v>1061</v>
      </c>
      <c r="I1803" s="3" t="str">
        <f>IFERROR(VLOOKUP(C1803,'Справочник соответствий'!A$2:D$2981,2,FALSE),IF(VALUE(C1803)=0,1,VLOOKUP(C1803,'Справочник соответствий'!A$2:D$2981,2,FALSE)))</f>
        <v>1</v>
      </c>
      <c r="J1803" s="3">
        <f>IFERROR(VLOOKUP(D1803,'Справочник соответствий'!A$2:D$2981,2,FALSE),IF(VALUE(D1803)=0,0,VLOOKUP(D1803,'Справочник соответствий'!A$2:D$2981,2,FALSE)))</f>
        <v>0</v>
      </c>
      <c r="K1803" s="3" t="str">
        <f t="shared" si="196"/>
        <v>1</v>
      </c>
      <c r="L1803" s="13" t="str">
        <f>IFERROR(VLOOKUP(C1803,'Справочник соответствий'!A$2:D$2981,3,FALSE),IF(VALUE(C1803)=0,"ЭТАЖ НЕ ОПРЕДЕЛЕН. ПРИНЯТ ПО ДОПУЩЕНИЮ 1",VLOOKUP(C1803,'Справочник соответствий'!A$2:D$2981,3,FALSE)))</f>
        <v>ЭТАЖ ЗАДАН ЧИСЛОМ</v>
      </c>
      <c r="M1803" s="13" t="b">
        <f t="shared" si="197"/>
        <v>0</v>
      </c>
      <c r="N1803" s="13">
        <f t="shared" si="198"/>
        <v>1</v>
      </c>
      <c r="O1803" s="13" t="str">
        <f t="shared" si="199"/>
        <v>ЭТАЖ ЗАДАН ЧИСЛОМ</v>
      </c>
      <c r="P1803" s="13" t="str">
        <f t="shared" si="200"/>
        <v>ЭТАЖ ЗАДАН ЧИСЛОМ</v>
      </c>
      <c r="Q1803" s="13" t="str">
        <f t="shared" si="201"/>
        <v>ГОТОВ_ИЗМЕНЕН</v>
      </c>
      <c r="R1803" s="13">
        <f>IFERROR(VLOOKUP(P1803,Лист1!A$1:B$20,2,FALSE),0)</f>
        <v>784</v>
      </c>
      <c r="S1803" s="13">
        <f t="shared" si="202"/>
        <v>0</v>
      </c>
    </row>
    <row r="1804" spans="1:19" x14ac:dyDescent="0.25">
      <c r="A1804" s="24" t="s">
        <v>2931</v>
      </c>
      <c r="B1804" s="4" t="s">
        <v>1059</v>
      </c>
      <c r="C1804" s="25" t="s">
        <v>7</v>
      </c>
      <c r="G1804" s="25" t="s">
        <v>1080</v>
      </c>
      <c r="H1804" s="24" t="s">
        <v>1061</v>
      </c>
      <c r="I1804" s="3" t="str">
        <f>IFERROR(VLOOKUP(C1804,'Справочник соответствий'!A$2:D$2981,2,FALSE),IF(VALUE(C1804)=0,1,VLOOKUP(C1804,'Справочник соответствий'!A$2:D$2981,2,FALSE)))</f>
        <v>2</v>
      </c>
      <c r="J1804" s="3">
        <f>IFERROR(VLOOKUP(D1804,'Справочник соответствий'!A$2:D$2981,2,FALSE),IF(VALUE(D1804)=0,0,VLOOKUP(D1804,'Справочник соответствий'!A$2:D$2981,2,FALSE)))</f>
        <v>0</v>
      </c>
      <c r="K1804" s="3" t="str">
        <f t="shared" si="196"/>
        <v>2</v>
      </c>
      <c r="L1804" s="13" t="str">
        <f>IFERROR(VLOOKUP(C1804,'Справочник соответствий'!A$2:D$2981,3,FALSE),IF(VALUE(C1804)=0,"ЭТАЖ НЕ ОПРЕДЕЛЕН. ПРИНЯТ ПО ДОПУЩЕНИЮ 1",VLOOKUP(C1804,'Справочник соответствий'!A$2:D$2981,3,FALSE)))</f>
        <v>ЭТАЖ ЗАДАН ЧИСЛОМ</v>
      </c>
      <c r="M1804" s="13" t="b">
        <f t="shared" si="197"/>
        <v>0</v>
      </c>
      <c r="N1804" s="13">
        <f t="shared" si="198"/>
        <v>2</v>
      </c>
      <c r="O1804" s="13" t="str">
        <f t="shared" si="199"/>
        <v>ЭТАЖ ЗАДАН ЧИСЛОМ</v>
      </c>
      <c r="P1804" s="13" t="str">
        <f t="shared" si="200"/>
        <v>ЭТАЖ ЗАДАН ЧИСЛОМ</v>
      </c>
      <c r="Q1804" s="13" t="str">
        <f t="shared" si="201"/>
        <v>ГОТОВ_ИЗМЕНЕН</v>
      </c>
      <c r="R1804" s="13">
        <f>IFERROR(VLOOKUP(P1804,Лист1!A$1:B$20,2,FALSE),0)</f>
        <v>784</v>
      </c>
      <c r="S1804" s="13">
        <f t="shared" si="202"/>
        <v>0</v>
      </c>
    </row>
    <row r="1805" spans="1:19" x14ac:dyDescent="0.25">
      <c r="A1805" s="24" t="s">
        <v>2932</v>
      </c>
      <c r="B1805" s="4" t="s">
        <v>1059</v>
      </c>
      <c r="G1805" s="25" t="s">
        <v>1080</v>
      </c>
      <c r="H1805" s="24" t="s">
        <v>1061</v>
      </c>
      <c r="I1805" s="3">
        <f>IFERROR(VLOOKUP(C1805,'Справочник соответствий'!A$2:D$2981,2,FALSE),IF(VALUE(C1805)=0,1,VLOOKUP(C1805,'Справочник соответствий'!A$2:D$2981,2,FALSE)))</f>
        <v>1</v>
      </c>
      <c r="J1805" s="3">
        <f>IFERROR(VLOOKUP(D1805,'Справочник соответствий'!A$2:D$2981,2,FALSE),IF(VALUE(D1805)=0,0,VLOOKUP(D1805,'Справочник соответствий'!A$2:D$2981,2,FALSE)))</f>
        <v>0</v>
      </c>
      <c r="K1805" s="3">
        <f t="shared" si="196"/>
        <v>1</v>
      </c>
      <c r="L1805" s="13" t="str">
        <f>IFERROR(VLOOKUP(C1805,'Справочник соответствий'!A$2:D$2981,3,FALSE),IF(VALUE(C1805)=0,"ЭТАЖ НЕ ОПРЕДЕЛЕН. ПРИНЯТ ПО ДОПУЩЕНИЮ 1",VLOOKUP(C1805,'Справочник соответствий'!A$2:D$2981,3,FALSE)))</f>
        <v>ЭТАЖ НЕ ОПРЕДЕЛЕН. ПРИНЯТ ПО ДОПУЩЕНИЮ 1</v>
      </c>
      <c r="M1805" s="13" t="b">
        <f t="shared" si="197"/>
        <v>0</v>
      </c>
      <c r="N1805" s="13">
        <f t="shared" si="198"/>
        <v>1</v>
      </c>
      <c r="O1805" s="13" t="str">
        <f t="shared" si="199"/>
        <v>ЭТАЖ НЕ ОПРЕДЕЛЕН. ПРИНЯТ ПО ДОПУЩЕНИЮ 1</v>
      </c>
      <c r="P1805" s="13" t="str">
        <f t="shared" si="200"/>
        <v>ЭТАЖ НЕ ОПРЕДЕЛЕН. ПРИНЯТ ПО ДОПУЩЕНИЮ 1</v>
      </c>
      <c r="Q1805" s="13" t="str">
        <f t="shared" si="201"/>
        <v>ГОТОВ_ИЗМЕНЕН</v>
      </c>
      <c r="R1805" s="13">
        <f>IFERROR(VLOOKUP(P1805,Лист1!A$1:B$20,2,FALSE),0)</f>
        <v>788</v>
      </c>
      <c r="S1805" s="13">
        <f t="shared" si="202"/>
        <v>0</v>
      </c>
    </row>
    <row r="1806" spans="1:19" x14ac:dyDescent="0.25">
      <c r="A1806" s="24" t="s">
        <v>2933</v>
      </c>
      <c r="B1806" s="4" t="s">
        <v>1059</v>
      </c>
      <c r="C1806" s="25" t="s">
        <v>8</v>
      </c>
      <c r="G1806" s="25" t="s">
        <v>1072</v>
      </c>
      <c r="H1806" s="24" t="s">
        <v>1061</v>
      </c>
      <c r="I1806" s="3" t="str">
        <f>IFERROR(VLOOKUP(C1806,'Справочник соответствий'!A$2:D$2981,2,FALSE),IF(VALUE(C1806)=0,1,VLOOKUP(C1806,'Справочник соответствий'!A$2:D$2981,2,FALSE)))</f>
        <v>3</v>
      </c>
      <c r="J1806" s="3">
        <f>IFERROR(VLOOKUP(D1806,'Справочник соответствий'!A$2:D$2981,2,FALSE),IF(VALUE(D1806)=0,0,VLOOKUP(D1806,'Справочник соответствий'!A$2:D$2981,2,FALSE)))</f>
        <v>0</v>
      </c>
      <c r="K1806" s="3" t="str">
        <f t="shared" si="196"/>
        <v>3</v>
      </c>
      <c r="L1806" s="13" t="str">
        <f>IFERROR(VLOOKUP(C1806,'Справочник соответствий'!A$2:D$2981,3,FALSE),IF(VALUE(C1806)=0,"ЭТАЖ НЕ ОПРЕДЕЛЕН. ПРИНЯТ ПО ДОПУЩЕНИЮ 1",VLOOKUP(C1806,'Справочник соответствий'!A$2:D$2981,3,FALSE)))</f>
        <v>ЭТАЖ ЗАДАН ЧИСЛОМ</v>
      </c>
      <c r="M1806" s="13" t="b">
        <f t="shared" si="197"/>
        <v>0</v>
      </c>
      <c r="N1806" s="13">
        <f t="shared" si="198"/>
        <v>3</v>
      </c>
      <c r="O1806" s="13" t="str">
        <f t="shared" si="199"/>
        <v>ЭТАЖ ЗАДАН ЧИСЛОМ</v>
      </c>
      <c r="P1806" s="13" t="str">
        <f t="shared" si="200"/>
        <v>ЭТАЖ ЗАДАН ЧИСЛОМ</v>
      </c>
      <c r="Q1806" s="13" t="str">
        <f t="shared" si="201"/>
        <v>ГОТОВ_ИЗМЕНЕН</v>
      </c>
      <c r="R1806" s="13">
        <f>IFERROR(VLOOKUP(P1806,Лист1!A$1:B$20,2,FALSE),0)</f>
        <v>784</v>
      </c>
      <c r="S1806" s="13">
        <f t="shared" si="202"/>
        <v>0</v>
      </c>
    </row>
    <row r="1807" spans="1:19" x14ac:dyDescent="0.25">
      <c r="A1807" s="24" t="s">
        <v>2934</v>
      </c>
      <c r="B1807" s="4" t="s">
        <v>1063</v>
      </c>
      <c r="C1807" s="25" t="s">
        <v>5</v>
      </c>
      <c r="G1807" s="25" t="s">
        <v>1072</v>
      </c>
      <c r="H1807" s="24" t="s">
        <v>1061</v>
      </c>
      <c r="I1807" s="3" t="str">
        <f>IFERROR(VLOOKUP(C1807,'Справочник соответствий'!A$2:D$2981,2,FALSE),IF(VALUE(C1807)=0,1,VLOOKUP(C1807,'Справочник соответствий'!A$2:D$2981,2,FALSE)))</f>
        <v>1</v>
      </c>
      <c r="J1807" s="3">
        <f>IFERROR(VLOOKUP(D1807,'Справочник соответствий'!A$2:D$2981,2,FALSE),IF(VALUE(D1807)=0,0,VLOOKUP(D1807,'Справочник соответствий'!A$2:D$2981,2,FALSE)))</f>
        <v>0</v>
      </c>
      <c r="K1807" s="3" t="str">
        <f t="shared" si="196"/>
        <v>1</v>
      </c>
      <c r="L1807" s="13" t="str">
        <f>IFERROR(VLOOKUP(C1807,'Справочник соответствий'!A$2:D$2981,3,FALSE),IF(VALUE(C1807)=0,"ЭТАЖ НЕ ОПРЕДЕЛЕН. ПРИНЯТ ПО ДОПУЩЕНИЮ 1",VLOOKUP(C1807,'Справочник соответствий'!A$2:D$2981,3,FALSE)))</f>
        <v>ЭТАЖ ЗАДАН ЧИСЛОМ</v>
      </c>
      <c r="M1807" s="13" t="b">
        <f t="shared" si="197"/>
        <v>0</v>
      </c>
      <c r="N1807" s="13">
        <f t="shared" si="198"/>
        <v>1</v>
      </c>
      <c r="O1807" s="13" t="str">
        <f t="shared" si="199"/>
        <v>ЭТАЖ ЗАДАН ЧИСЛОМ</v>
      </c>
      <c r="P1807" s="13" t="str">
        <f t="shared" si="200"/>
        <v>ЭТАЖ ЗАДАН ЧИСЛОМ</v>
      </c>
      <c r="Q1807" s="13" t="str">
        <f t="shared" si="201"/>
        <v>ГОТОВ_ИЗМЕНЕН</v>
      </c>
      <c r="R1807" s="13">
        <f>IFERROR(VLOOKUP(P1807,Лист1!A$1:B$20,2,FALSE),0)</f>
        <v>784</v>
      </c>
      <c r="S1807" s="13">
        <f t="shared" si="202"/>
        <v>0</v>
      </c>
    </row>
    <row r="1808" spans="1:19" x14ac:dyDescent="0.25">
      <c r="A1808" s="24" t="s">
        <v>2935</v>
      </c>
      <c r="B1808" s="4" t="s">
        <v>1059</v>
      </c>
      <c r="C1808" s="25" t="s">
        <v>7</v>
      </c>
      <c r="G1808" s="25" t="s">
        <v>1072</v>
      </c>
      <c r="H1808" s="24" t="s">
        <v>1061</v>
      </c>
      <c r="I1808" s="3" t="str">
        <f>IFERROR(VLOOKUP(C1808,'Справочник соответствий'!A$2:D$2981,2,FALSE),IF(VALUE(C1808)=0,1,VLOOKUP(C1808,'Справочник соответствий'!A$2:D$2981,2,FALSE)))</f>
        <v>2</v>
      </c>
      <c r="J1808" s="3">
        <f>IFERROR(VLOOKUP(D1808,'Справочник соответствий'!A$2:D$2981,2,FALSE),IF(VALUE(D1808)=0,0,VLOOKUP(D1808,'Справочник соответствий'!A$2:D$2981,2,FALSE)))</f>
        <v>0</v>
      </c>
      <c r="K1808" s="3" t="str">
        <f t="shared" si="196"/>
        <v>2</v>
      </c>
      <c r="L1808" s="13" t="str">
        <f>IFERROR(VLOOKUP(C1808,'Справочник соответствий'!A$2:D$2981,3,FALSE),IF(VALUE(C1808)=0,"ЭТАЖ НЕ ОПРЕДЕЛЕН. ПРИНЯТ ПО ДОПУЩЕНИЮ 1",VLOOKUP(C1808,'Справочник соответствий'!A$2:D$2981,3,FALSE)))</f>
        <v>ЭТАЖ ЗАДАН ЧИСЛОМ</v>
      </c>
      <c r="M1808" s="13" t="b">
        <f t="shared" si="197"/>
        <v>0</v>
      </c>
      <c r="N1808" s="13">
        <f t="shared" si="198"/>
        <v>2</v>
      </c>
      <c r="O1808" s="13" t="str">
        <f t="shared" si="199"/>
        <v>ЭТАЖ ЗАДАН ЧИСЛОМ</v>
      </c>
      <c r="P1808" s="13" t="str">
        <f t="shared" si="200"/>
        <v>ЭТАЖ ЗАДАН ЧИСЛОМ</v>
      </c>
      <c r="Q1808" s="13" t="str">
        <f t="shared" si="201"/>
        <v>ГОТОВ_ИЗМЕНЕН</v>
      </c>
      <c r="R1808" s="13">
        <f>IFERROR(VLOOKUP(P1808,Лист1!A$1:B$20,2,FALSE),0)</f>
        <v>784</v>
      </c>
      <c r="S1808" s="13">
        <f t="shared" si="202"/>
        <v>0</v>
      </c>
    </row>
    <row r="1809" spans="1:19" x14ac:dyDescent="0.25">
      <c r="A1809" s="24" t="s">
        <v>2936</v>
      </c>
      <c r="B1809" s="4" t="s">
        <v>1059</v>
      </c>
      <c r="C1809" s="25" t="s">
        <v>5</v>
      </c>
      <c r="G1809" s="25" t="s">
        <v>1072</v>
      </c>
      <c r="H1809" s="24" t="s">
        <v>1061</v>
      </c>
      <c r="I1809" s="3" t="str">
        <f>IFERROR(VLOOKUP(C1809,'Справочник соответствий'!A$2:D$2981,2,FALSE),IF(VALUE(C1809)=0,1,VLOOKUP(C1809,'Справочник соответствий'!A$2:D$2981,2,FALSE)))</f>
        <v>1</v>
      </c>
      <c r="J1809" s="3">
        <f>IFERROR(VLOOKUP(D1809,'Справочник соответствий'!A$2:D$2981,2,FALSE),IF(VALUE(D1809)=0,0,VLOOKUP(D1809,'Справочник соответствий'!A$2:D$2981,2,FALSE)))</f>
        <v>0</v>
      </c>
      <c r="K1809" s="3" t="str">
        <f t="shared" si="196"/>
        <v>1</v>
      </c>
      <c r="L1809" s="13" t="str">
        <f>IFERROR(VLOOKUP(C1809,'Справочник соответствий'!A$2:D$2981,3,FALSE),IF(VALUE(C1809)=0,"ЭТАЖ НЕ ОПРЕДЕЛЕН. ПРИНЯТ ПО ДОПУЩЕНИЮ 1",VLOOKUP(C1809,'Справочник соответствий'!A$2:D$2981,3,FALSE)))</f>
        <v>ЭТАЖ ЗАДАН ЧИСЛОМ</v>
      </c>
      <c r="M1809" s="13" t="b">
        <f t="shared" si="197"/>
        <v>0</v>
      </c>
      <c r="N1809" s="13">
        <f t="shared" si="198"/>
        <v>1</v>
      </c>
      <c r="O1809" s="13" t="str">
        <f t="shared" si="199"/>
        <v>ЭТАЖ ЗАДАН ЧИСЛОМ</v>
      </c>
      <c r="P1809" s="13" t="str">
        <f t="shared" si="200"/>
        <v>ЭТАЖ ЗАДАН ЧИСЛОМ</v>
      </c>
      <c r="Q1809" s="13" t="str">
        <f t="shared" si="201"/>
        <v>ГОТОВ_ИЗМЕНЕН</v>
      </c>
      <c r="R1809" s="13">
        <f>IFERROR(VLOOKUP(P1809,Лист1!A$1:B$20,2,FALSE),0)</f>
        <v>784</v>
      </c>
      <c r="S1809" s="13">
        <f t="shared" si="202"/>
        <v>0</v>
      </c>
    </row>
    <row r="1810" spans="1:19" x14ac:dyDescent="0.25">
      <c r="A1810" s="24" t="s">
        <v>2937</v>
      </c>
      <c r="B1810" s="4" t="s">
        <v>1059</v>
      </c>
      <c r="G1810" s="25" t="s">
        <v>1072</v>
      </c>
      <c r="H1810" s="24" t="s">
        <v>1061</v>
      </c>
      <c r="I1810" s="3">
        <f>IFERROR(VLOOKUP(C1810,'Справочник соответствий'!A$2:D$2981,2,FALSE),IF(VALUE(C1810)=0,1,VLOOKUP(C1810,'Справочник соответствий'!A$2:D$2981,2,FALSE)))</f>
        <v>1</v>
      </c>
      <c r="J1810" s="3">
        <f>IFERROR(VLOOKUP(D1810,'Справочник соответствий'!A$2:D$2981,2,FALSE),IF(VALUE(D1810)=0,0,VLOOKUP(D1810,'Справочник соответствий'!A$2:D$2981,2,FALSE)))</f>
        <v>0</v>
      </c>
      <c r="K1810" s="3">
        <f t="shared" si="196"/>
        <v>1</v>
      </c>
      <c r="L1810" s="13" t="str">
        <f>IFERROR(VLOOKUP(C1810,'Справочник соответствий'!A$2:D$2981,3,FALSE),IF(VALUE(C1810)=0,"ЭТАЖ НЕ ОПРЕДЕЛЕН. ПРИНЯТ ПО ДОПУЩЕНИЮ 1",VLOOKUP(C1810,'Справочник соответствий'!A$2:D$2981,3,FALSE)))</f>
        <v>ЭТАЖ НЕ ОПРЕДЕЛЕН. ПРИНЯТ ПО ДОПУЩЕНИЮ 1</v>
      </c>
      <c r="M1810" s="13" t="b">
        <f t="shared" si="197"/>
        <v>0</v>
      </c>
      <c r="N1810" s="13">
        <f t="shared" si="198"/>
        <v>1</v>
      </c>
      <c r="O1810" s="13" t="str">
        <f t="shared" si="199"/>
        <v>ЭТАЖ НЕ ОПРЕДЕЛЕН. ПРИНЯТ ПО ДОПУЩЕНИЮ 1</v>
      </c>
      <c r="P1810" s="13" t="str">
        <f t="shared" si="200"/>
        <v>ЭТАЖ НЕ ОПРЕДЕЛЕН. ПРИНЯТ ПО ДОПУЩЕНИЮ 1</v>
      </c>
      <c r="Q1810" s="13" t="str">
        <f t="shared" si="201"/>
        <v>ГОТОВ_ИЗМЕНЕН</v>
      </c>
      <c r="R1810" s="13">
        <f>IFERROR(VLOOKUP(P1810,Лист1!A$1:B$20,2,FALSE),0)</f>
        <v>788</v>
      </c>
      <c r="S1810" s="13">
        <f t="shared" si="202"/>
        <v>0</v>
      </c>
    </row>
    <row r="1811" spans="1:19" x14ac:dyDescent="0.25">
      <c r="A1811" s="24" t="s">
        <v>2938</v>
      </c>
      <c r="B1811" s="4" t="s">
        <v>1059</v>
      </c>
      <c r="C1811" s="25" t="s">
        <v>21</v>
      </c>
      <c r="G1811" s="25" t="s">
        <v>1072</v>
      </c>
      <c r="H1811" s="24" t="s">
        <v>1061</v>
      </c>
      <c r="I1811" s="3" t="str">
        <f>IFERROR(VLOOKUP(C1811,'Справочник соответствий'!A$2:D$2981,2,FALSE),IF(VALUE(C1811)=0,1,VLOOKUP(C1811,'Справочник соответствий'!A$2:D$2981,2,FALSE)))</f>
        <v>2</v>
      </c>
      <c r="J1811" s="3">
        <f>IFERROR(VLOOKUP(D1811,'Справочник соответствий'!A$2:D$2981,2,FALSE),IF(VALUE(D1811)=0,0,VLOOKUP(D1811,'Справочник соответствий'!A$2:D$2981,2,FALSE)))</f>
        <v>0</v>
      </c>
      <c r="K1811" s="3" t="str">
        <f t="shared" si="196"/>
        <v>2</v>
      </c>
      <c r="L1811" s="13" t="str">
        <f>IFERROR(VLOOKUP(C1811,'Справочник соответствий'!A$2:D$2981,3,FALSE),IF(VALUE(C1811)=0,"ЭТАЖ НЕ ОПРЕДЕЛЕН. ПРИНЯТ ПО ДОПУЩЕНИЮ 1",VLOOKUP(C1811,'Справочник соответствий'!A$2:D$2981,3,FALSE)))</f>
        <v>СПРАВОЧНИК ЭТАЖНОСТИ</v>
      </c>
      <c r="M1811" s="13" t="b">
        <f t="shared" si="197"/>
        <v>0</v>
      </c>
      <c r="N1811" s="13">
        <f t="shared" si="198"/>
        <v>2</v>
      </c>
      <c r="O1811" s="13" t="str">
        <f t="shared" si="199"/>
        <v>СПРАВОЧНИК ЭТАЖНОСТИ</v>
      </c>
      <c r="P1811" s="13" t="str">
        <f t="shared" si="200"/>
        <v>СПРАВОЧНИК ЭТАЖНОСТИ</v>
      </c>
      <c r="Q1811" s="13" t="str">
        <f t="shared" si="201"/>
        <v>ГОТОВ_ИЗМЕНЕН</v>
      </c>
      <c r="R1811" s="13">
        <f>IFERROR(VLOOKUP(P1811,Лист1!A$1:B$20,2,FALSE),0)</f>
        <v>785</v>
      </c>
      <c r="S1811" s="13">
        <f t="shared" si="202"/>
        <v>0</v>
      </c>
    </row>
    <row r="1812" spans="1:19" x14ac:dyDescent="0.25">
      <c r="A1812" s="24" t="s">
        <v>2939</v>
      </c>
      <c r="B1812" s="4" t="s">
        <v>1059</v>
      </c>
      <c r="C1812" s="25" t="s">
        <v>5</v>
      </c>
      <c r="G1812" s="25" t="s">
        <v>1072</v>
      </c>
      <c r="H1812" s="24" t="s">
        <v>1061</v>
      </c>
      <c r="I1812" s="3" t="str">
        <f>IFERROR(VLOOKUP(C1812,'Справочник соответствий'!A$2:D$2981,2,FALSE),IF(VALUE(C1812)=0,1,VLOOKUP(C1812,'Справочник соответствий'!A$2:D$2981,2,FALSE)))</f>
        <v>1</v>
      </c>
      <c r="J1812" s="3">
        <f>IFERROR(VLOOKUP(D1812,'Справочник соответствий'!A$2:D$2981,2,FALSE),IF(VALUE(D1812)=0,0,VLOOKUP(D1812,'Справочник соответствий'!A$2:D$2981,2,FALSE)))</f>
        <v>0</v>
      </c>
      <c r="K1812" s="3" t="str">
        <f t="shared" si="196"/>
        <v>1</v>
      </c>
      <c r="L1812" s="13" t="str">
        <f>IFERROR(VLOOKUP(C1812,'Справочник соответствий'!A$2:D$2981,3,FALSE),IF(VALUE(C1812)=0,"ЭТАЖ НЕ ОПРЕДЕЛЕН. ПРИНЯТ ПО ДОПУЩЕНИЮ 1",VLOOKUP(C1812,'Справочник соответствий'!A$2:D$2981,3,FALSE)))</f>
        <v>ЭТАЖ ЗАДАН ЧИСЛОМ</v>
      </c>
      <c r="M1812" s="13" t="b">
        <f t="shared" si="197"/>
        <v>0</v>
      </c>
      <c r="N1812" s="13">
        <f t="shared" si="198"/>
        <v>1</v>
      </c>
      <c r="O1812" s="13" t="str">
        <f t="shared" si="199"/>
        <v>ЭТАЖ ЗАДАН ЧИСЛОМ</v>
      </c>
      <c r="P1812" s="13" t="str">
        <f t="shared" si="200"/>
        <v>ЭТАЖ ЗАДАН ЧИСЛОМ</v>
      </c>
      <c r="Q1812" s="13" t="str">
        <f t="shared" si="201"/>
        <v>ГОТОВ_ИЗМЕНЕН</v>
      </c>
      <c r="R1812" s="13">
        <f>IFERROR(VLOOKUP(P1812,Лист1!A$1:B$20,2,FALSE),0)</f>
        <v>784</v>
      </c>
      <c r="S1812" s="13">
        <f t="shared" si="202"/>
        <v>0</v>
      </c>
    </row>
    <row r="1813" spans="1:19" x14ac:dyDescent="0.25">
      <c r="A1813" s="24" t="s">
        <v>2940</v>
      </c>
      <c r="B1813" s="4" t="s">
        <v>1063</v>
      </c>
      <c r="C1813" s="25" t="s">
        <v>5</v>
      </c>
      <c r="G1813" s="25" t="s">
        <v>1072</v>
      </c>
      <c r="H1813" s="24" t="s">
        <v>1061</v>
      </c>
      <c r="I1813" s="3" t="str">
        <f>IFERROR(VLOOKUP(C1813,'Справочник соответствий'!A$2:D$2981,2,FALSE),IF(VALUE(C1813)=0,1,VLOOKUP(C1813,'Справочник соответствий'!A$2:D$2981,2,FALSE)))</f>
        <v>1</v>
      </c>
      <c r="J1813" s="3">
        <f>IFERROR(VLOOKUP(D1813,'Справочник соответствий'!A$2:D$2981,2,FALSE),IF(VALUE(D1813)=0,0,VLOOKUP(D1813,'Справочник соответствий'!A$2:D$2981,2,FALSE)))</f>
        <v>0</v>
      </c>
      <c r="K1813" s="3" t="str">
        <f t="shared" si="196"/>
        <v>1</v>
      </c>
      <c r="L1813" s="13" t="str">
        <f>IFERROR(VLOOKUP(C1813,'Справочник соответствий'!A$2:D$2981,3,FALSE),IF(VALUE(C1813)=0,"ЭТАЖ НЕ ОПРЕДЕЛЕН. ПРИНЯТ ПО ДОПУЩЕНИЮ 1",VLOOKUP(C1813,'Справочник соответствий'!A$2:D$2981,3,FALSE)))</f>
        <v>ЭТАЖ ЗАДАН ЧИСЛОМ</v>
      </c>
      <c r="M1813" s="13" t="b">
        <f t="shared" si="197"/>
        <v>0</v>
      </c>
      <c r="N1813" s="13">
        <f t="shared" si="198"/>
        <v>1</v>
      </c>
      <c r="O1813" s="13" t="str">
        <f t="shared" si="199"/>
        <v>ЭТАЖ ЗАДАН ЧИСЛОМ</v>
      </c>
      <c r="P1813" s="13" t="str">
        <f t="shared" si="200"/>
        <v>ЭТАЖ ЗАДАН ЧИСЛОМ</v>
      </c>
      <c r="Q1813" s="13" t="str">
        <f t="shared" si="201"/>
        <v>ГОТОВ_ИЗМЕНЕН</v>
      </c>
      <c r="R1813" s="13">
        <f>IFERROR(VLOOKUP(P1813,Лист1!A$1:B$20,2,FALSE),0)</f>
        <v>784</v>
      </c>
      <c r="S1813" s="13">
        <f t="shared" si="202"/>
        <v>0</v>
      </c>
    </row>
    <row r="1814" spans="1:19" x14ac:dyDescent="0.25">
      <c r="A1814" s="24" t="s">
        <v>2941</v>
      </c>
      <c r="B1814" s="4" t="s">
        <v>1059</v>
      </c>
      <c r="C1814" s="25" t="s">
        <v>5</v>
      </c>
      <c r="G1814" s="25" t="s">
        <v>1276</v>
      </c>
      <c r="H1814" s="24" t="s">
        <v>1061</v>
      </c>
      <c r="I1814" s="3" t="str">
        <f>IFERROR(VLOOKUP(C1814,'Справочник соответствий'!A$2:D$2981,2,FALSE),IF(VALUE(C1814)=0,1,VLOOKUP(C1814,'Справочник соответствий'!A$2:D$2981,2,FALSE)))</f>
        <v>1</v>
      </c>
      <c r="J1814" s="3">
        <f>IFERROR(VLOOKUP(D1814,'Справочник соответствий'!A$2:D$2981,2,FALSE),IF(VALUE(D1814)=0,0,VLOOKUP(D1814,'Справочник соответствий'!A$2:D$2981,2,FALSE)))</f>
        <v>0</v>
      </c>
      <c r="K1814" s="3" t="str">
        <f t="shared" si="196"/>
        <v>1</v>
      </c>
      <c r="L1814" s="13" t="str">
        <f>IFERROR(VLOOKUP(C1814,'Справочник соответствий'!A$2:D$2981,3,FALSE),IF(VALUE(C1814)=0,"ЭТАЖ НЕ ОПРЕДЕЛЕН. ПРИНЯТ ПО ДОПУЩЕНИЮ 1",VLOOKUP(C1814,'Справочник соответствий'!A$2:D$2981,3,FALSE)))</f>
        <v>ЭТАЖ ЗАДАН ЧИСЛОМ</v>
      </c>
      <c r="M1814" s="13" t="b">
        <f t="shared" si="197"/>
        <v>0</v>
      </c>
      <c r="N1814" s="13">
        <f t="shared" si="198"/>
        <v>1</v>
      </c>
      <c r="O1814" s="13" t="str">
        <f t="shared" si="199"/>
        <v>ЭТАЖ ЗАДАН ЧИСЛОМ</v>
      </c>
      <c r="P1814" s="13" t="str">
        <f t="shared" si="200"/>
        <v>ЭТАЖ ЗАДАН ЧИСЛОМ</v>
      </c>
      <c r="Q1814" s="13" t="str">
        <f t="shared" si="201"/>
        <v>ГОТОВ_ИЗМЕНЕН</v>
      </c>
      <c r="R1814" s="13">
        <f>IFERROR(VLOOKUP(P1814,Лист1!A$1:B$20,2,FALSE),0)</f>
        <v>784</v>
      </c>
      <c r="S1814" s="13">
        <f t="shared" si="202"/>
        <v>0</v>
      </c>
    </row>
    <row r="1815" spans="1:19" x14ac:dyDescent="0.25">
      <c r="A1815" s="24" t="s">
        <v>2942</v>
      </c>
      <c r="B1815" s="4" t="s">
        <v>1059</v>
      </c>
      <c r="C1815" s="25" t="s">
        <v>7</v>
      </c>
      <c r="G1815" s="25" t="s">
        <v>1072</v>
      </c>
      <c r="H1815" s="24" t="s">
        <v>1061</v>
      </c>
      <c r="I1815" s="3" t="str">
        <f>IFERROR(VLOOKUP(C1815,'Справочник соответствий'!A$2:D$2981,2,FALSE),IF(VALUE(C1815)=0,1,VLOOKUP(C1815,'Справочник соответствий'!A$2:D$2981,2,FALSE)))</f>
        <v>2</v>
      </c>
      <c r="J1815" s="3">
        <f>IFERROR(VLOOKUP(D1815,'Справочник соответствий'!A$2:D$2981,2,FALSE),IF(VALUE(D1815)=0,0,VLOOKUP(D1815,'Справочник соответствий'!A$2:D$2981,2,FALSE)))</f>
        <v>0</v>
      </c>
      <c r="K1815" s="3" t="str">
        <f t="shared" si="196"/>
        <v>2</v>
      </c>
      <c r="L1815" s="13" t="str">
        <f>IFERROR(VLOOKUP(C1815,'Справочник соответствий'!A$2:D$2981,3,FALSE),IF(VALUE(C1815)=0,"ЭТАЖ НЕ ОПРЕДЕЛЕН. ПРИНЯТ ПО ДОПУЩЕНИЮ 1",VLOOKUP(C1815,'Справочник соответствий'!A$2:D$2981,3,FALSE)))</f>
        <v>ЭТАЖ ЗАДАН ЧИСЛОМ</v>
      </c>
      <c r="M1815" s="13" t="b">
        <f t="shared" si="197"/>
        <v>0</v>
      </c>
      <c r="N1815" s="13">
        <f t="shared" si="198"/>
        <v>2</v>
      </c>
      <c r="O1815" s="13" t="str">
        <f t="shared" si="199"/>
        <v>ЭТАЖ ЗАДАН ЧИСЛОМ</v>
      </c>
      <c r="P1815" s="13" t="str">
        <f t="shared" si="200"/>
        <v>ЭТАЖ ЗАДАН ЧИСЛОМ</v>
      </c>
      <c r="Q1815" s="13" t="str">
        <f t="shared" si="201"/>
        <v>ГОТОВ_ИЗМЕНЕН</v>
      </c>
      <c r="R1815" s="13">
        <f>IFERROR(VLOOKUP(P1815,Лист1!A$1:B$20,2,FALSE),0)</f>
        <v>784</v>
      </c>
      <c r="S1815" s="13">
        <f t="shared" si="202"/>
        <v>0</v>
      </c>
    </row>
    <row r="1816" spans="1:19" x14ac:dyDescent="0.25">
      <c r="A1816" s="24" t="s">
        <v>2943</v>
      </c>
      <c r="B1816" s="4" t="s">
        <v>1063</v>
      </c>
      <c r="C1816" s="25" t="s">
        <v>5</v>
      </c>
      <c r="G1816" s="25" t="s">
        <v>1072</v>
      </c>
      <c r="H1816" s="24" t="s">
        <v>1061</v>
      </c>
      <c r="I1816" s="3" t="str">
        <f>IFERROR(VLOOKUP(C1816,'Справочник соответствий'!A$2:D$2981,2,FALSE),IF(VALUE(C1816)=0,1,VLOOKUP(C1816,'Справочник соответствий'!A$2:D$2981,2,FALSE)))</f>
        <v>1</v>
      </c>
      <c r="J1816" s="3">
        <f>IFERROR(VLOOKUP(D1816,'Справочник соответствий'!A$2:D$2981,2,FALSE),IF(VALUE(D1816)=0,0,VLOOKUP(D1816,'Справочник соответствий'!A$2:D$2981,2,FALSE)))</f>
        <v>0</v>
      </c>
      <c r="K1816" s="3" t="str">
        <f t="shared" si="196"/>
        <v>1</v>
      </c>
      <c r="L1816" s="13" t="str">
        <f>IFERROR(VLOOKUP(C1816,'Справочник соответствий'!A$2:D$2981,3,FALSE),IF(VALUE(C1816)=0,"ЭТАЖ НЕ ОПРЕДЕЛЕН. ПРИНЯТ ПО ДОПУЩЕНИЮ 1",VLOOKUP(C1816,'Справочник соответствий'!A$2:D$2981,3,FALSE)))</f>
        <v>ЭТАЖ ЗАДАН ЧИСЛОМ</v>
      </c>
      <c r="M1816" s="13" t="b">
        <f t="shared" si="197"/>
        <v>0</v>
      </c>
      <c r="N1816" s="13">
        <f t="shared" si="198"/>
        <v>1</v>
      </c>
      <c r="O1816" s="13" t="str">
        <f t="shared" si="199"/>
        <v>ЭТАЖ ЗАДАН ЧИСЛОМ</v>
      </c>
      <c r="P1816" s="13" t="str">
        <f t="shared" si="200"/>
        <v>ЭТАЖ ЗАДАН ЧИСЛОМ</v>
      </c>
      <c r="Q1816" s="13" t="str">
        <f t="shared" si="201"/>
        <v>ГОТОВ_ИЗМЕНЕН</v>
      </c>
      <c r="R1816" s="13">
        <f>IFERROR(VLOOKUP(P1816,Лист1!A$1:B$20,2,FALSE),0)</f>
        <v>784</v>
      </c>
      <c r="S1816" s="13">
        <f t="shared" si="202"/>
        <v>0</v>
      </c>
    </row>
    <row r="1817" spans="1:19" x14ac:dyDescent="0.25">
      <c r="A1817" s="24" t="s">
        <v>2944</v>
      </c>
      <c r="B1817" s="4" t="s">
        <v>1063</v>
      </c>
      <c r="C1817" s="25" t="s">
        <v>5</v>
      </c>
      <c r="G1817" s="25" t="s">
        <v>1072</v>
      </c>
      <c r="H1817" s="24" t="s">
        <v>1061</v>
      </c>
      <c r="I1817" s="3" t="str">
        <f>IFERROR(VLOOKUP(C1817,'Справочник соответствий'!A$2:D$2981,2,FALSE),IF(VALUE(C1817)=0,1,VLOOKUP(C1817,'Справочник соответствий'!A$2:D$2981,2,FALSE)))</f>
        <v>1</v>
      </c>
      <c r="J1817" s="3">
        <f>IFERROR(VLOOKUP(D1817,'Справочник соответствий'!A$2:D$2981,2,FALSE),IF(VALUE(D1817)=0,0,VLOOKUP(D1817,'Справочник соответствий'!A$2:D$2981,2,FALSE)))</f>
        <v>0</v>
      </c>
      <c r="K1817" s="3" t="str">
        <f t="shared" si="196"/>
        <v>1</v>
      </c>
      <c r="L1817" s="13" t="str">
        <f>IFERROR(VLOOKUP(C1817,'Справочник соответствий'!A$2:D$2981,3,FALSE),IF(VALUE(C1817)=0,"ЭТАЖ НЕ ОПРЕДЕЛЕН. ПРИНЯТ ПО ДОПУЩЕНИЮ 1",VLOOKUP(C1817,'Справочник соответствий'!A$2:D$2981,3,FALSE)))</f>
        <v>ЭТАЖ ЗАДАН ЧИСЛОМ</v>
      </c>
      <c r="M1817" s="13" t="b">
        <f t="shared" si="197"/>
        <v>0</v>
      </c>
      <c r="N1817" s="13">
        <f t="shared" si="198"/>
        <v>1</v>
      </c>
      <c r="O1817" s="13" t="str">
        <f t="shared" si="199"/>
        <v>ЭТАЖ ЗАДАН ЧИСЛОМ</v>
      </c>
      <c r="P1817" s="13" t="str">
        <f t="shared" si="200"/>
        <v>ЭТАЖ ЗАДАН ЧИСЛОМ</v>
      </c>
      <c r="Q1817" s="13" t="str">
        <f t="shared" si="201"/>
        <v>ГОТОВ_ИЗМЕНЕН</v>
      </c>
      <c r="R1817" s="13">
        <f>IFERROR(VLOOKUP(P1817,Лист1!A$1:B$20,2,FALSE),0)</f>
        <v>784</v>
      </c>
      <c r="S1817" s="13">
        <f t="shared" si="202"/>
        <v>0</v>
      </c>
    </row>
    <row r="1818" spans="1:19" x14ac:dyDescent="0.25">
      <c r="A1818" s="24" t="s">
        <v>2945</v>
      </c>
      <c r="B1818" s="4" t="s">
        <v>1059</v>
      </c>
      <c r="C1818" s="25" t="s">
        <v>5</v>
      </c>
      <c r="G1818" s="25" t="s">
        <v>1276</v>
      </c>
      <c r="H1818" s="24" t="s">
        <v>1061</v>
      </c>
      <c r="I1818" s="3" t="str">
        <f>IFERROR(VLOOKUP(C1818,'Справочник соответствий'!A$2:D$2981,2,FALSE),IF(VALUE(C1818)=0,1,VLOOKUP(C1818,'Справочник соответствий'!A$2:D$2981,2,FALSE)))</f>
        <v>1</v>
      </c>
      <c r="J1818" s="3">
        <f>IFERROR(VLOOKUP(D1818,'Справочник соответствий'!A$2:D$2981,2,FALSE),IF(VALUE(D1818)=0,0,VLOOKUP(D1818,'Справочник соответствий'!A$2:D$2981,2,FALSE)))</f>
        <v>0</v>
      </c>
      <c r="K1818" s="3" t="str">
        <f t="shared" si="196"/>
        <v>1</v>
      </c>
      <c r="L1818" s="13" t="str">
        <f>IFERROR(VLOOKUP(C1818,'Справочник соответствий'!A$2:D$2981,3,FALSE),IF(VALUE(C1818)=0,"ЭТАЖ НЕ ОПРЕДЕЛЕН. ПРИНЯТ ПО ДОПУЩЕНИЮ 1",VLOOKUP(C1818,'Справочник соответствий'!A$2:D$2981,3,FALSE)))</f>
        <v>ЭТАЖ ЗАДАН ЧИСЛОМ</v>
      </c>
      <c r="M1818" s="13" t="b">
        <f t="shared" si="197"/>
        <v>0</v>
      </c>
      <c r="N1818" s="13">
        <f t="shared" si="198"/>
        <v>1</v>
      </c>
      <c r="O1818" s="13" t="str">
        <f t="shared" si="199"/>
        <v>ЭТАЖ ЗАДАН ЧИСЛОМ</v>
      </c>
      <c r="P1818" s="13" t="str">
        <f t="shared" si="200"/>
        <v>ЭТАЖ ЗАДАН ЧИСЛОМ</v>
      </c>
      <c r="Q1818" s="13" t="str">
        <f t="shared" si="201"/>
        <v>ГОТОВ_ИЗМЕНЕН</v>
      </c>
      <c r="R1818" s="13">
        <f>IFERROR(VLOOKUP(P1818,Лист1!A$1:B$20,2,FALSE),0)</f>
        <v>784</v>
      </c>
      <c r="S1818" s="13">
        <f t="shared" si="202"/>
        <v>0</v>
      </c>
    </row>
    <row r="1819" spans="1:19" x14ac:dyDescent="0.25">
      <c r="A1819" s="24" t="s">
        <v>2946</v>
      </c>
      <c r="B1819" s="4" t="s">
        <v>1059</v>
      </c>
      <c r="C1819" s="25" t="s">
        <v>5</v>
      </c>
      <c r="G1819" s="25" t="s">
        <v>1276</v>
      </c>
      <c r="H1819" s="24" t="s">
        <v>1061</v>
      </c>
      <c r="I1819" s="3" t="str">
        <f>IFERROR(VLOOKUP(C1819,'Справочник соответствий'!A$2:D$2981,2,FALSE),IF(VALUE(C1819)=0,1,VLOOKUP(C1819,'Справочник соответствий'!A$2:D$2981,2,FALSE)))</f>
        <v>1</v>
      </c>
      <c r="J1819" s="3">
        <f>IFERROR(VLOOKUP(D1819,'Справочник соответствий'!A$2:D$2981,2,FALSE),IF(VALUE(D1819)=0,0,VLOOKUP(D1819,'Справочник соответствий'!A$2:D$2981,2,FALSE)))</f>
        <v>0</v>
      </c>
      <c r="K1819" s="3" t="str">
        <f t="shared" si="196"/>
        <v>1</v>
      </c>
      <c r="L1819" s="13" t="str">
        <f>IFERROR(VLOOKUP(C1819,'Справочник соответствий'!A$2:D$2981,3,FALSE),IF(VALUE(C1819)=0,"ЭТАЖ НЕ ОПРЕДЕЛЕН. ПРИНЯТ ПО ДОПУЩЕНИЮ 1",VLOOKUP(C1819,'Справочник соответствий'!A$2:D$2981,3,FALSE)))</f>
        <v>ЭТАЖ ЗАДАН ЧИСЛОМ</v>
      </c>
      <c r="M1819" s="13" t="b">
        <f t="shared" si="197"/>
        <v>0</v>
      </c>
      <c r="N1819" s="13">
        <f t="shared" si="198"/>
        <v>1</v>
      </c>
      <c r="O1819" s="13" t="str">
        <f t="shared" si="199"/>
        <v>ЭТАЖ ЗАДАН ЧИСЛОМ</v>
      </c>
      <c r="P1819" s="13" t="str">
        <f t="shared" si="200"/>
        <v>ЭТАЖ ЗАДАН ЧИСЛОМ</v>
      </c>
      <c r="Q1819" s="13" t="str">
        <f t="shared" si="201"/>
        <v>ГОТОВ_ИЗМЕНЕН</v>
      </c>
      <c r="R1819" s="13">
        <f>IFERROR(VLOOKUP(P1819,Лист1!A$1:B$20,2,FALSE),0)</f>
        <v>784</v>
      </c>
      <c r="S1819" s="13">
        <f t="shared" si="202"/>
        <v>0</v>
      </c>
    </row>
    <row r="1820" spans="1:19" x14ac:dyDescent="0.25">
      <c r="A1820" s="24" t="s">
        <v>2947</v>
      </c>
      <c r="B1820" s="4" t="s">
        <v>1059</v>
      </c>
      <c r="C1820" s="25" t="s">
        <v>5</v>
      </c>
      <c r="G1820" s="25" t="s">
        <v>1106</v>
      </c>
      <c r="H1820" s="24" t="s">
        <v>1061</v>
      </c>
      <c r="I1820" s="3" t="str">
        <f>IFERROR(VLOOKUP(C1820,'Справочник соответствий'!A$2:D$2981,2,FALSE),IF(VALUE(C1820)=0,1,VLOOKUP(C1820,'Справочник соответствий'!A$2:D$2981,2,FALSE)))</f>
        <v>1</v>
      </c>
      <c r="J1820" s="3">
        <f>IFERROR(VLOOKUP(D1820,'Справочник соответствий'!A$2:D$2981,2,FALSE),IF(VALUE(D1820)=0,0,VLOOKUP(D1820,'Справочник соответствий'!A$2:D$2981,2,FALSE)))</f>
        <v>0</v>
      </c>
      <c r="K1820" s="3" t="str">
        <f t="shared" si="196"/>
        <v>1</v>
      </c>
      <c r="L1820" s="13" t="str">
        <f>IFERROR(VLOOKUP(C1820,'Справочник соответствий'!A$2:D$2981,3,FALSE),IF(VALUE(C1820)=0,"ЭТАЖ НЕ ОПРЕДЕЛЕН. ПРИНЯТ ПО ДОПУЩЕНИЮ 1",VLOOKUP(C1820,'Справочник соответствий'!A$2:D$2981,3,FALSE)))</f>
        <v>ЭТАЖ ЗАДАН ЧИСЛОМ</v>
      </c>
      <c r="M1820" s="13" t="b">
        <f t="shared" si="197"/>
        <v>0</v>
      </c>
      <c r="N1820" s="13">
        <f t="shared" si="198"/>
        <v>1</v>
      </c>
      <c r="O1820" s="13" t="str">
        <f t="shared" si="199"/>
        <v>ЭТАЖ ЗАДАН ЧИСЛОМ</v>
      </c>
      <c r="P1820" s="13" t="str">
        <f t="shared" si="200"/>
        <v>ЭТАЖ ЗАДАН ЧИСЛОМ</v>
      </c>
      <c r="Q1820" s="13" t="str">
        <f t="shared" si="201"/>
        <v>ГОТОВ_ИЗМЕНЕН</v>
      </c>
      <c r="R1820" s="13">
        <f>IFERROR(VLOOKUP(P1820,Лист1!A$1:B$20,2,FALSE),0)</f>
        <v>784</v>
      </c>
      <c r="S1820" s="13">
        <f t="shared" si="202"/>
        <v>0</v>
      </c>
    </row>
    <row r="1821" spans="1:19" x14ac:dyDescent="0.25">
      <c r="A1821" s="24" t="s">
        <v>2948</v>
      </c>
      <c r="B1821" s="4" t="s">
        <v>1059</v>
      </c>
      <c r="C1821" s="25" t="s">
        <v>5</v>
      </c>
      <c r="G1821" s="25" t="s">
        <v>1106</v>
      </c>
      <c r="H1821" s="24" t="s">
        <v>1061</v>
      </c>
      <c r="I1821" s="3" t="str">
        <f>IFERROR(VLOOKUP(C1821,'Справочник соответствий'!A$2:D$2981,2,FALSE),IF(VALUE(C1821)=0,1,VLOOKUP(C1821,'Справочник соответствий'!A$2:D$2981,2,FALSE)))</f>
        <v>1</v>
      </c>
      <c r="J1821" s="3">
        <f>IFERROR(VLOOKUP(D1821,'Справочник соответствий'!A$2:D$2981,2,FALSE),IF(VALUE(D1821)=0,0,VLOOKUP(D1821,'Справочник соответствий'!A$2:D$2981,2,FALSE)))</f>
        <v>0</v>
      </c>
      <c r="K1821" s="3" t="str">
        <f t="shared" si="196"/>
        <v>1</v>
      </c>
      <c r="L1821" s="13" t="str">
        <f>IFERROR(VLOOKUP(C1821,'Справочник соответствий'!A$2:D$2981,3,FALSE),IF(VALUE(C1821)=0,"ЭТАЖ НЕ ОПРЕДЕЛЕН. ПРИНЯТ ПО ДОПУЩЕНИЮ 1",VLOOKUP(C1821,'Справочник соответствий'!A$2:D$2981,3,FALSE)))</f>
        <v>ЭТАЖ ЗАДАН ЧИСЛОМ</v>
      </c>
      <c r="M1821" s="13" t="b">
        <f t="shared" si="197"/>
        <v>0</v>
      </c>
      <c r="N1821" s="13">
        <f t="shared" si="198"/>
        <v>1</v>
      </c>
      <c r="O1821" s="13" t="str">
        <f t="shared" si="199"/>
        <v>ЭТАЖ ЗАДАН ЧИСЛОМ</v>
      </c>
      <c r="P1821" s="13" t="str">
        <f t="shared" si="200"/>
        <v>ЭТАЖ ЗАДАН ЧИСЛОМ</v>
      </c>
      <c r="Q1821" s="13" t="str">
        <f t="shared" si="201"/>
        <v>ГОТОВ_ИЗМЕНЕН</v>
      </c>
      <c r="R1821" s="13">
        <f>IFERROR(VLOOKUP(P1821,Лист1!A$1:B$20,2,FALSE),0)</f>
        <v>784</v>
      </c>
      <c r="S1821" s="13">
        <f t="shared" si="202"/>
        <v>0</v>
      </c>
    </row>
    <row r="1822" spans="1:19" x14ac:dyDescent="0.25">
      <c r="A1822" s="24" t="s">
        <v>2949</v>
      </c>
      <c r="B1822" s="4" t="s">
        <v>1063</v>
      </c>
      <c r="C1822" s="25" t="s">
        <v>5</v>
      </c>
      <c r="G1822" s="25" t="s">
        <v>1106</v>
      </c>
      <c r="H1822" s="24" t="s">
        <v>1061</v>
      </c>
      <c r="I1822" s="3" t="str">
        <f>IFERROR(VLOOKUP(C1822,'Справочник соответствий'!A$2:D$2981,2,FALSE),IF(VALUE(C1822)=0,1,VLOOKUP(C1822,'Справочник соответствий'!A$2:D$2981,2,FALSE)))</f>
        <v>1</v>
      </c>
      <c r="J1822" s="3">
        <f>IFERROR(VLOOKUP(D1822,'Справочник соответствий'!A$2:D$2981,2,FALSE),IF(VALUE(D1822)=0,0,VLOOKUP(D1822,'Справочник соответствий'!A$2:D$2981,2,FALSE)))</f>
        <v>0</v>
      </c>
      <c r="K1822" s="3" t="str">
        <f t="shared" si="196"/>
        <v>1</v>
      </c>
      <c r="L1822" s="13" t="str">
        <f>IFERROR(VLOOKUP(C1822,'Справочник соответствий'!A$2:D$2981,3,FALSE),IF(VALUE(C1822)=0,"ЭТАЖ НЕ ОПРЕДЕЛЕН. ПРИНЯТ ПО ДОПУЩЕНИЮ 1",VLOOKUP(C1822,'Справочник соответствий'!A$2:D$2981,3,FALSE)))</f>
        <v>ЭТАЖ ЗАДАН ЧИСЛОМ</v>
      </c>
      <c r="M1822" s="13" t="b">
        <f t="shared" si="197"/>
        <v>0</v>
      </c>
      <c r="N1822" s="13">
        <f t="shared" si="198"/>
        <v>1</v>
      </c>
      <c r="O1822" s="13" t="str">
        <f t="shared" si="199"/>
        <v>ЭТАЖ ЗАДАН ЧИСЛОМ</v>
      </c>
      <c r="P1822" s="13" t="str">
        <f t="shared" si="200"/>
        <v>ЭТАЖ ЗАДАН ЧИСЛОМ</v>
      </c>
      <c r="Q1822" s="13" t="str">
        <f t="shared" si="201"/>
        <v>ГОТОВ_ИЗМЕНЕН</v>
      </c>
      <c r="R1822" s="13">
        <f>IFERROR(VLOOKUP(P1822,Лист1!A$1:B$20,2,FALSE),0)</f>
        <v>784</v>
      </c>
      <c r="S1822" s="13">
        <f t="shared" si="202"/>
        <v>0</v>
      </c>
    </row>
    <row r="1823" spans="1:19" x14ac:dyDescent="0.25">
      <c r="A1823" s="24" t="s">
        <v>2950</v>
      </c>
      <c r="B1823" s="4" t="s">
        <v>1063</v>
      </c>
      <c r="C1823" s="25" t="s">
        <v>5</v>
      </c>
      <c r="G1823" s="25" t="s">
        <v>1106</v>
      </c>
      <c r="H1823" s="24" t="s">
        <v>1061</v>
      </c>
      <c r="I1823" s="3" t="str">
        <f>IFERROR(VLOOKUP(C1823,'Справочник соответствий'!A$2:D$2981,2,FALSE),IF(VALUE(C1823)=0,1,VLOOKUP(C1823,'Справочник соответствий'!A$2:D$2981,2,FALSE)))</f>
        <v>1</v>
      </c>
      <c r="J1823" s="3">
        <f>IFERROR(VLOOKUP(D1823,'Справочник соответствий'!A$2:D$2981,2,FALSE),IF(VALUE(D1823)=0,0,VLOOKUP(D1823,'Справочник соответствий'!A$2:D$2981,2,FALSE)))</f>
        <v>0</v>
      </c>
      <c r="K1823" s="3" t="str">
        <f t="shared" si="196"/>
        <v>1</v>
      </c>
      <c r="L1823" s="13" t="str">
        <f>IFERROR(VLOOKUP(C1823,'Справочник соответствий'!A$2:D$2981,3,FALSE),IF(VALUE(C1823)=0,"ЭТАЖ НЕ ОПРЕДЕЛЕН. ПРИНЯТ ПО ДОПУЩЕНИЮ 1",VLOOKUP(C1823,'Справочник соответствий'!A$2:D$2981,3,FALSE)))</f>
        <v>ЭТАЖ ЗАДАН ЧИСЛОМ</v>
      </c>
      <c r="M1823" s="13" t="b">
        <f t="shared" si="197"/>
        <v>0</v>
      </c>
      <c r="N1823" s="13">
        <f t="shared" si="198"/>
        <v>1</v>
      </c>
      <c r="O1823" s="13" t="str">
        <f t="shared" si="199"/>
        <v>ЭТАЖ ЗАДАН ЧИСЛОМ</v>
      </c>
      <c r="P1823" s="13" t="str">
        <f t="shared" si="200"/>
        <v>ЭТАЖ ЗАДАН ЧИСЛОМ</v>
      </c>
      <c r="Q1823" s="13" t="str">
        <f t="shared" si="201"/>
        <v>ГОТОВ_ИЗМЕНЕН</v>
      </c>
      <c r="R1823" s="13">
        <f>IFERROR(VLOOKUP(P1823,Лист1!A$1:B$20,2,FALSE),0)</f>
        <v>784</v>
      </c>
      <c r="S1823" s="13">
        <f t="shared" si="202"/>
        <v>0</v>
      </c>
    </row>
    <row r="1824" spans="1:19" x14ac:dyDescent="0.25">
      <c r="A1824" s="24" t="s">
        <v>2951</v>
      </c>
      <c r="B1824" s="4" t="s">
        <v>1059</v>
      </c>
      <c r="C1824" s="25" t="s">
        <v>7</v>
      </c>
      <c r="G1824" s="25" t="s">
        <v>1106</v>
      </c>
      <c r="H1824" s="24" t="s">
        <v>1061</v>
      </c>
      <c r="I1824" s="3" t="str">
        <f>IFERROR(VLOOKUP(C1824,'Справочник соответствий'!A$2:D$2981,2,FALSE),IF(VALUE(C1824)=0,1,VLOOKUP(C1824,'Справочник соответствий'!A$2:D$2981,2,FALSE)))</f>
        <v>2</v>
      </c>
      <c r="J1824" s="3">
        <f>IFERROR(VLOOKUP(D1824,'Справочник соответствий'!A$2:D$2981,2,FALSE),IF(VALUE(D1824)=0,0,VLOOKUP(D1824,'Справочник соответствий'!A$2:D$2981,2,FALSE)))</f>
        <v>0</v>
      </c>
      <c r="K1824" s="3" t="str">
        <f t="shared" si="196"/>
        <v>2</v>
      </c>
      <c r="L1824" s="13" t="str">
        <f>IFERROR(VLOOKUP(C1824,'Справочник соответствий'!A$2:D$2981,3,FALSE),IF(VALUE(C1824)=0,"ЭТАЖ НЕ ОПРЕДЕЛЕН. ПРИНЯТ ПО ДОПУЩЕНИЮ 1",VLOOKUP(C1824,'Справочник соответствий'!A$2:D$2981,3,FALSE)))</f>
        <v>ЭТАЖ ЗАДАН ЧИСЛОМ</v>
      </c>
      <c r="M1824" s="13" t="b">
        <f t="shared" si="197"/>
        <v>0</v>
      </c>
      <c r="N1824" s="13">
        <f t="shared" si="198"/>
        <v>2</v>
      </c>
      <c r="O1824" s="13" t="str">
        <f t="shared" si="199"/>
        <v>ЭТАЖ ЗАДАН ЧИСЛОМ</v>
      </c>
      <c r="P1824" s="13" t="str">
        <f t="shared" si="200"/>
        <v>ЭТАЖ ЗАДАН ЧИСЛОМ</v>
      </c>
      <c r="Q1824" s="13" t="str">
        <f t="shared" si="201"/>
        <v>ГОТОВ_ИЗМЕНЕН</v>
      </c>
      <c r="R1824" s="13">
        <f>IFERROR(VLOOKUP(P1824,Лист1!A$1:B$20,2,FALSE),0)</f>
        <v>784</v>
      </c>
      <c r="S1824" s="13">
        <f t="shared" si="202"/>
        <v>0</v>
      </c>
    </row>
    <row r="1825" spans="1:19" x14ac:dyDescent="0.25">
      <c r="A1825" s="24" t="s">
        <v>2952</v>
      </c>
      <c r="B1825" s="4" t="s">
        <v>1059</v>
      </c>
      <c r="C1825" s="25" t="s">
        <v>7</v>
      </c>
      <c r="G1825" s="25" t="s">
        <v>1106</v>
      </c>
      <c r="H1825" s="24" t="s">
        <v>1061</v>
      </c>
      <c r="I1825" s="3" t="str">
        <f>IFERROR(VLOOKUP(C1825,'Справочник соответствий'!A$2:D$2981,2,FALSE),IF(VALUE(C1825)=0,1,VLOOKUP(C1825,'Справочник соответствий'!A$2:D$2981,2,FALSE)))</f>
        <v>2</v>
      </c>
      <c r="J1825" s="3">
        <f>IFERROR(VLOOKUP(D1825,'Справочник соответствий'!A$2:D$2981,2,FALSE),IF(VALUE(D1825)=0,0,VLOOKUP(D1825,'Справочник соответствий'!A$2:D$2981,2,FALSE)))</f>
        <v>0</v>
      </c>
      <c r="K1825" s="3" t="str">
        <f t="shared" si="196"/>
        <v>2</v>
      </c>
      <c r="L1825" s="13" t="str">
        <f>IFERROR(VLOOKUP(C1825,'Справочник соответствий'!A$2:D$2981,3,FALSE),IF(VALUE(C1825)=0,"ЭТАЖ НЕ ОПРЕДЕЛЕН. ПРИНЯТ ПО ДОПУЩЕНИЮ 1",VLOOKUP(C1825,'Справочник соответствий'!A$2:D$2981,3,FALSE)))</f>
        <v>ЭТАЖ ЗАДАН ЧИСЛОМ</v>
      </c>
      <c r="M1825" s="13" t="b">
        <f t="shared" si="197"/>
        <v>0</v>
      </c>
      <c r="N1825" s="13">
        <f t="shared" si="198"/>
        <v>2</v>
      </c>
      <c r="O1825" s="13" t="str">
        <f t="shared" si="199"/>
        <v>ЭТАЖ ЗАДАН ЧИСЛОМ</v>
      </c>
      <c r="P1825" s="13" t="str">
        <f t="shared" si="200"/>
        <v>ЭТАЖ ЗАДАН ЧИСЛОМ</v>
      </c>
      <c r="Q1825" s="13" t="str">
        <f t="shared" si="201"/>
        <v>ГОТОВ_ИЗМЕНЕН</v>
      </c>
      <c r="R1825" s="13">
        <f>IFERROR(VLOOKUP(P1825,Лист1!A$1:B$20,2,FALSE),0)</f>
        <v>784</v>
      </c>
      <c r="S1825" s="13">
        <f t="shared" si="202"/>
        <v>0</v>
      </c>
    </row>
    <row r="1826" spans="1:19" x14ac:dyDescent="0.25">
      <c r="A1826" s="24" t="s">
        <v>2953</v>
      </c>
      <c r="B1826" s="4" t="s">
        <v>1059</v>
      </c>
      <c r="C1826" s="25" t="s">
        <v>5</v>
      </c>
      <c r="G1826" s="25" t="s">
        <v>1289</v>
      </c>
      <c r="H1826" s="24" t="s">
        <v>1061</v>
      </c>
      <c r="I1826" s="3" t="str">
        <f>IFERROR(VLOOKUP(C1826,'Справочник соответствий'!A$2:D$2981,2,FALSE),IF(VALUE(C1826)=0,1,VLOOKUP(C1826,'Справочник соответствий'!A$2:D$2981,2,FALSE)))</f>
        <v>1</v>
      </c>
      <c r="J1826" s="3">
        <f>IFERROR(VLOOKUP(D1826,'Справочник соответствий'!A$2:D$2981,2,FALSE),IF(VALUE(D1826)=0,0,VLOOKUP(D1826,'Справочник соответствий'!A$2:D$2981,2,FALSE)))</f>
        <v>0</v>
      </c>
      <c r="K1826" s="3" t="str">
        <f t="shared" si="196"/>
        <v>1</v>
      </c>
      <c r="L1826" s="13" t="str">
        <f>IFERROR(VLOOKUP(C1826,'Справочник соответствий'!A$2:D$2981,3,FALSE),IF(VALUE(C1826)=0,"ЭТАЖ НЕ ОПРЕДЕЛЕН. ПРИНЯТ ПО ДОПУЩЕНИЮ 1",VLOOKUP(C1826,'Справочник соответствий'!A$2:D$2981,3,FALSE)))</f>
        <v>ЭТАЖ ЗАДАН ЧИСЛОМ</v>
      </c>
      <c r="M1826" s="13" t="b">
        <f t="shared" si="197"/>
        <v>0</v>
      </c>
      <c r="N1826" s="13">
        <f t="shared" si="198"/>
        <v>1</v>
      </c>
      <c r="O1826" s="13" t="str">
        <f t="shared" si="199"/>
        <v>ЭТАЖ ЗАДАН ЧИСЛОМ</v>
      </c>
      <c r="P1826" s="13" t="str">
        <f t="shared" si="200"/>
        <v>ЭТАЖ ЗАДАН ЧИСЛОМ</v>
      </c>
      <c r="Q1826" s="13" t="str">
        <f t="shared" si="201"/>
        <v>ГОТОВ_ИЗМЕНЕН</v>
      </c>
      <c r="R1826" s="13">
        <f>IFERROR(VLOOKUP(P1826,Лист1!A$1:B$20,2,FALSE),0)</f>
        <v>784</v>
      </c>
      <c r="S1826" s="13">
        <f t="shared" si="202"/>
        <v>0</v>
      </c>
    </row>
    <row r="1827" spans="1:19" x14ac:dyDescent="0.25">
      <c r="A1827" s="24" t="s">
        <v>2954</v>
      </c>
      <c r="B1827" s="4" t="s">
        <v>1063</v>
      </c>
      <c r="G1827" s="25" t="s">
        <v>1106</v>
      </c>
      <c r="H1827" s="24" t="s">
        <v>1061</v>
      </c>
      <c r="I1827" s="3">
        <f>IFERROR(VLOOKUP(C1827,'Справочник соответствий'!A$2:D$2981,2,FALSE),IF(VALUE(C1827)=0,1,VLOOKUP(C1827,'Справочник соответствий'!A$2:D$2981,2,FALSE)))</f>
        <v>1</v>
      </c>
      <c r="J1827" s="3">
        <f>IFERROR(VLOOKUP(D1827,'Справочник соответствий'!A$2:D$2981,2,FALSE),IF(VALUE(D1827)=0,0,VLOOKUP(D1827,'Справочник соответствий'!A$2:D$2981,2,FALSE)))</f>
        <v>0</v>
      </c>
      <c r="K1827" s="3">
        <f t="shared" si="196"/>
        <v>1</v>
      </c>
      <c r="L1827" s="13" t="str">
        <f>IFERROR(VLOOKUP(C1827,'Справочник соответствий'!A$2:D$2981,3,FALSE),IF(VALUE(C1827)=0,"ЭТАЖ НЕ ОПРЕДЕЛЕН. ПРИНЯТ ПО ДОПУЩЕНИЮ 1",VLOOKUP(C1827,'Справочник соответствий'!A$2:D$2981,3,FALSE)))</f>
        <v>ЭТАЖ НЕ ОПРЕДЕЛЕН. ПРИНЯТ ПО ДОПУЩЕНИЮ 1</v>
      </c>
      <c r="M1827" s="13" t="b">
        <f t="shared" si="197"/>
        <v>0</v>
      </c>
      <c r="N1827" s="13">
        <f t="shared" si="198"/>
        <v>1</v>
      </c>
      <c r="O1827" s="13" t="str">
        <f t="shared" si="199"/>
        <v>ЭТАЖ НЕ ОПРЕДЕЛЕН. ПРИНЯТ ПО ДОПУЩЕНИЮ 1</v>
      </c>
      <c r="P1827" s="13" t="str">
        <f t="shared" si="200"/>
        <v>ЭТАЖ НЕ ОПРЕДЕЛЕН. ПРИНЯТ ПО ДОПУЩЕНИЮ 1</v>
      </c>
      <c r="Q1827" s="13" t="str">
        <f t="shared" si="201"/>
        <v>ГОТОВ_ИЗМЕНЕН</v>
      </c>
      <c r="R1827" s="13">
        <f>IFERROR(VLOOKUP(P1827,Лист1!A$1:B$20,2,FALSE),0)</f>
        <v>788</v>
      </c>
      <c r="S1827" s="13">
        <f t="shared" si="202"/>
        <v>0</v>
      </c>
    </row>
    <row r="1828" spans="1:19" x14ac:dyDescent="0.25">
      <c r="A1828" s="24" t="s">
        <v>2955</v>
      </c>
      <c r="B1828" s="4" t="s">
        <v>1059</v>
      </c>
      <c r="C1828" s="25" t="s">
        <v>7</v>
      </c>
      <c r="G1828" s="25" t="s">
        <v>1106</v>
      </c>
      <c r="H1828" s="24" t="s">
        <v>1061</v>
      </c>
      <c r="I1828" s="3" t="str">
        <f>IFERROR(VLOOKUP(C1828,'Справочник соответствий'!A$2:D$2981,2,FALSE),IF(VALUE(C1828)=0,1,VLOOKUP(C1828,'Справочник соответствий'!A$2:D$2981,2,FALSE)))</f>
        <v>2</v>
      </c>
      <c r="J1828" s="3">
        <f>IFERROR(VLOOKUP(D1828,'Справочник соответствий'!A$2:D$2981,2,FALSE),IF(VALUE(D1828)=0,0,VLOOKUP(D1828,'Справочник соответствий'!A$2:D$2981,2,FALSE)))</f>
        <v>0</v>
      </c>
      <c r="K1828" s="3" t="str">
        <f t="shared" si="196"/>
        <v>2</v>
      </c>
      <c r="L1828" s="13" t="str">
        <f>IFERROR(VLOOKUP(C1828,'Справочник соответствий'!A$2:D$2981,3,FALSE),IF(VALUE(C1828)=0,"ЭТАЖ НЕ ОПРЕДЕЛЕН. ПРИНЯТ ПО ДОПУЩЕНИЮ 1",VLOOKUP(C1828,'Справочник соответствий'!A$2:D$2981,3,FALSE)))</f>
        <v>ЭТАЖ ЗАДАН ЧИСЛОМ</v>
      </c>
      <c r="M1828" s="13" t="b">
        <f t="shared" si="197"/>
        <v>0</v>
      </c>
      <c r="N1828" s="13">
        <f t="shared" si="198"/>
        <v>2</v>
      </c>
      <c r="O1828" s="13" t="str">
        <f t="shared" si="199"/>
        <v>ЭТАЖ ЗАДАН ЧИСЛОМ</v>
      </c>
      <c r="P1828" s="13" t="str">
        <f t="shared" si="200"/>
        <v>ЭТАЖ ЗАДАН ЧИСЛОМ</v>
      </c>
      <c r="Q1828" s="13" t="str">
        <f t="shared" si="201"/>
        <v>ГОТОВ_ИЗМЕНЕН</v>
      </c>
      <c r="R1828" s="13">
        <f>IFERROR(VLOOKUP(P1828,Лист1!A$1:B$20,2,FALSE),0)</f>
        <v>784</v>
      </c>
      <c r="S1828" s="13">
        <f t="shared" si="202"/>
        <v>0</v>
      </c>
    </row>
    <row r="1829" spans="1:19" x14ac:dyDescent="0.25">
      <c r="A1829" s="24" t="s">
        <v>2956</v>
      </c>
      <c r="B1829" s="4" t="s">
        <v>1059</v>
      </c>
      <c r="C1829" s="25" t="s">
        <v>7</v>
      </c>
      <c r="G1829" s="25" t="s">
        <v>1106</v>
      </c>
      <c r="H1829" s="24" t="s">
        <v>1061</v>
      </c>
      <c r="I1829" s="3" t="str">
        <f>IFERROR(VLOOKUP(C1829,'Справочник соответствий'!A$2:D$2981,2,FALSE),IF(VALUE(C1829)=0,1,VLOOKUP(C1829,'Справочник соответствий'!A$2:D$2981,2,FALSE)))</f>
        <v>2</v>
      </c>
      <c r="J1829" s="3">
        <f>IFERROR(VLOOKUP(D1829,'Справочник соответствий'!A$2:D$2981,2,FALSE),IF(VALUE(D1829)=0,0,VLOOKUP(D1829,'Справочник соответствий'!A$2:D$2981,2,FALSE)))</f>
        <v>0</v>
      </c>
      <c r="K1829" s="3" t="str">
        <f t="shared" si="196"/>
        <v>2</v>
      </c>
      <c r="L1829" s="13" t="str">
        <f>IFERROR(VLOOKUP(C1829,'Справочник соответствий'!A$2:D$2981,3,FALSE),IF(VALUE(C1829)=0,"ЭТАЖ НЕ ОПРЕДЕЛЕН. ПРИНЯТ ПО ДОПУЩЕНИЮ 1",VLOOKUP(C1829,'Справочник соответствий'!A$2:D$2981,3,FALSE)))</f>
        <v>ЭТАЖ ЗАДАН ЧИСЛОМ</v>
      </c>
      <c r="M1829" s="13" t="b">
        <f t="shared" si="197"/>
        <v>0</v>
      </c>
      <c r="N1829" s="13">
        <f t="shared" si="198"/>
        <v>2</v>
      </c>
      <c r="O1829" s="13" t="str">
        <f t="shared" si="199"/>
        <v>ЭТАЖ ЗАДАН ЧИСЛОМ</v>
      </c>
      <c r="P1829" s="13" t="str">
        <f t="shared" si="200"/>
        <v>ЭТАЖ ЗАДАН ЧИСЛОМ</v>
      </c>
      <c r="Q1829" s="13" t="str">
        <f t="shared" si="201"/>
        <v>ГОТОВ_ИЗМЕНЕН</v>
      </c>
      <c r="R1829" s="13">
        <f>IFERROR(VLOOKUP(P1829,Лист1!A$1:B$20,2,FALSE),0)</f>
        <v>784</v>
      </c>
      <c r="S1829" s="13">
        <f t="shared" si="202"/>
        <v>0</v>
      </c>
    </row>
    <row r="1830" spans="1:19" x14ac:dyDescent="0.25">
      <c r="A1830" s="24" t="s">
        <v>2957</v>
      </c>
      <c r="B1830" s="4" t="s">
        <v>1063</v>
      </c>
      <c r="C1830" s="25" t="s">
        <v>5</v>
      </c>
      <c r="G1830" s="25" t="s">
        <v>1083</v>
      </c>
      <c r="H1830" s="24" t="s">
        <v>1061</v>
      </c>
      <c r="I1830" s="3" t="str">
        <f>IFERROR(VLOOKUP(C1830,'Справочник соответствий'!A$2:D$2981,2,FALSE),IF(VALUE(C1830)=0,1,VLOOKUP(C1830,'Справочник соответствий'!A$2:D$2981,2,FALSE)))</f>
        <v>1</v>
      </c>
      <c r="J1830" s="3">
        <f>IFERROR(VLOOKUP(D1830,'Справочник соответствий'!A$2:D$2981,2,FALSE),IF(VALUE(D1830)=0,0,VLOOKUP(D1830,'Справочник соответствий'!A$2:D$2981,2,FALSE)))</f>
        <v>0</v>
      </c>
      <c r="K1830" s="3" t="str">
        <f t="shared" si="196"/>
        <v>1</v>
      </c>
      <c r="L1830" s="13" t="str">
        <f>IFERROR(VLOOKUP(C1830,'Справочник соответствий'!A$2:D$2981,3,FALSE),IF(VALUE(C1830)=0,"ЭТАЖ НЕ ОПРЕДЕЛЕН. ПРИНЯТ ПО ДОПУЩЕНИЮ 1",VLOOKUP(C1830,'Справочник соответствий'!A$2:D$2981,3,FALSE)))</f>
        <v>ЭТАЖ ЗАДАН ЧИСЛОМ</v>
      </c>
      <c r="M1830" s="13" t="b">
        <f t="shared" si="197"/>
        <v>0</v>
      </c>
      <c r="N1830" s="13">
        <f t="shared" si="198"/>
        <v>1</v>
      </c>
      <c r="O1830" s="13" t="str">
        <f t="shared" si="199"/>
        <v>ЭТАЖ ЗАДАН ЧИСЛОМ</v>
      </c>
      <c r="P1830" s="13" t="str">
        <f t="shared" si="200"/>
        <v>ЭТАЖ ЗАДАН ЧИСЛОМ</v>
      </c>
      <c r="Q1830" s="13" t="str">
        <f t="shared" si="201"/>
        <v>ГОТОВ_ИЗМЕНЕН</v>
      </c>
      <c r="R1830" s="13">
        <f>IFERROR(VLOOKUP(P1830,Лист1!A$1:B$20,2,FALSE),0)</f>
        <v>784</v>
      </c>
      <c r="S1830" s="13">
        <f t="shared" si="202"/>
        <v>0</v>
      </c>
    </row>
    <row r="1831" spans="1:19" x14ac:dyDescent="0.25">
      <c r="A1831" s="24" t="s">
        <v>2958</v>
      </c>
      <c r="B1831" s="4" t="s">
        <v>1059</v>
      </c>
      <c r="C1831" s="25" t="s">
        <v>5</v>
      </c>
      <c r="G1831" s="25" t="s">
        <v>1083</v>
      </c>
      <c r="H1831" s="24" t="s">
        <v>1061</v>
      </c>
      <c r="I1831" s="3" t="str">
        <f>IFERROR(VLOOKUP(C1831,'Справочник соответствий'!A$2:D$2981,2,FALSE),IF(VALUE(C1831)=0,1,VLOOKUP(C1831,'Справочник соответствий'!A$2:D$2981,2,FALSE)))</f>
        <v>1</v>
      </c>
      <c r="J1831" s="3">
        <f>IFERROR(VLOOKUP(D1831,'Справочник соответствий'!A$2:D$2981,2,FALSE),IF(VALUE(D1831)=0,0,VLOOKUP(D1831,'Справочник соответствий'!A$2:D$2981,2,FALSE)))</f>
        <v>0</v>
      </c>
      <c r="K1831" s="3" t="str">
        <f t="shared" si="196"/>
        <v>1</v>
      </c>
      <c r="L1831" s="13" t="str">
        <f>IFERROR(VLOOKUP(C1831,'Справочник соответствий'!A$2:D$2981,3,FALSE),IF(VALUE(C1831)=0,"ЭТАЖ НЕ ОПРЕДЕЛЕН. ПРИНЯТ ПО ДОПУЩЕНИЮ 1",VLOOKUP(C1831,'Справочник соответствий'!A$2:D$2981,3,FALSE)))</f>
        <v>ЭТАЖ ЗАДАН ЧИСЛОМ</v>
      </c>
      <c r="M1831" s="13" t="b">
        <f t="shared" si="197"/>
        <v>0</v>
      </c>
      <c r="N1831" s="13">
        <f t="shared" si="198"/>
        <v>1</v>
      </c>
      <c r="O1831" s="13" t="str">
        <f t="shared" si="199"/>
        <v>ЭТАЖ ЗАДАН ЧИСЛОМ</v>
      </c>
      <c r="P1831" s="13" t="str">
        <f t="shared" si="200"/>
        <v>ЭТАЖ ЗАДАН ЧИСЛОМ</v>
      </c>
      <c r="Q1831" s="13" t="str">
        <f t="shared" si="201"/>
        <v>ГОТОВ_ИЗМЕНЕН</v>
      </c>
      <c r="R1831" s="13">
        <f>IFERROR(VLOOKUP(P1831,Лист1!A$1:B$20,2,FALSE),0)</f>
        <v>784</v>
      </c>
      <c r="S1831" s="13">
        <f t="shared" si="202"/>
        <v>0</v>
      </c>
    </row>
    <row r="1832" spans="1:19" x14ac:dyDescent="0.25">
      <c r="A1832" s="24" t="s">
        <v>2959</v>
      </c>
      <c r="B1832" s="4" t="s">
        <v>1059</v>
      </c>
      <c r="C1832" s="25" t="s">
        <v>5</v>
      </c>
      <c r="G1832" s="25" t="s">
        <v>1083</v>
      </c>
      <c r="H1832" s="24" t="s">
        <v>1061</v>
      </c>
      <c r="I1832" s="3" t="str">
        <f>IFERROR(VLOOKUP(C1832,'Справочник соответствий'!A$2:D$2981,2,FALSE),IF(VALUE(C1832)=0,1,VLOOKUP(C1832,'Справочник соответствий'!A$2:D$2981,2,FALSE)))</f>
        <v>1</v>
      </c>
      <c r="J1832" s="3">
        <f>IFERROR(VLOOKUP(D1832,'Справочник соответствий'!A$2:D$2981,2,FALSE),IF(VALUE(D1832)=0,0,VLOOKUP(D1832,'Справочник соответствий'!A$2:D$2981,2,FALSE)))</f>
        <v>0</v>
      </c>
      <c r="K1832" s="3" t="str">
        <f t="shared" si="196"/>
        <v>1</v>
      </c>
      <c r="L1832" s="13" t="str">
        <f>IFERROR(VLOOKUP(C1832,'Справочник соответствий'!A$2:D$2981,3,FALSE),IF(VALUE(C1832)=0,"ЭТАЖ НЕ ОПРЕДЕЛЕН. ПРИНЯТ ПО ДОПУЩЕНИЮ 1",VLOOKUP(C1832,'Справочник соответствий'!A$2:D$2981,3,FALSE)))</f>
        <v>ЭТАЖ ЗАДАН ЧИСЛОМ</v>
      </c>
      <c r="M1832" s="13" t="b">
        <f t="shared" si="197"/>
        <v>0</v>
      </c>
      <c r="N1832" s="13">
        <f t="shared" si="198"/>
        <v>1</v>
      </c>
      <c r="O1832" s="13" t="str">
        <f t="shared" si="199"/>
        <v>ЭТАЖ ЗАДАН ЧИСЛОМ</v>
      </c>
      <c r="P1832" s="13" t="str">
        <f t="shared" si="200"/>
        <v>ЭТАЖ ЗАДАН ЧИСЛОМ</v>
      </c>
      <c r="Q1832" s="13" t="str">
        <f t="shared" si="201"/>
        <v>ГОТОВ_ИЗМЕНЕН</v>
      </c>
      <c r="R1832" s="13">
        <f>IFERROR(VLOOKUP(P1832,Лист1!A$1:B$20,2,FALSE),0)</f>
        <v>784</v>
      </c>
      <c r="S1832" s="13">
        <f t="shared" si="202"/>
        <v>0</v>
      </c>
    </row>
    <row r="1833" spans="1:19" x14ac:dyDescent="0.25">
      <c r="A1833" s="24" t="s">
        <v>2960</v>
      </c>
      <c r="B1833" s="4" t="s">
        <v>1063</v>
      </c>
      <c r="C1833" s="25" t="s">
        <v>5</v>
      </c>
      <c r="G1833" s="25" t="s">
        <v>1083</v>
      </c>
      <c r="H1833" s="24" t="s">
        <v>1061</v>
      </c>
      <c r="I1833" s="3" t="str">
        <f>IFERROR(VLOOKUP(C1833,'Справочник соответствий'!A$2:D$2981,2,FALSE),IF(VALUE(C1833)=0,1,VLOOKUP(C1833,'Справочник соответствий'!A$2:D$2981,2,FALSE)))</f>
        <v>1</v>
      </c>
      <c r="J1833" s="3">
        <f>IFERROR(VLOOKUP(D1833,'Справочник соответствий'!A$2:D$2981,2,FALSE),IF(VALUE(D1833)=0,0,VLOOKUP(D1833,'Справочник соответствий'!A$2:D$2981,2,FALSE)))</f>
        <v>0</v>
      </c>
      <c r="K1833" s="3" t="str">
        <f t="shared" si="196"/>
        <v>1</v>
      </c>
      <c r="L1833" s="13" t="str">
        <f>IFERROR(VLOOKUP(C1833,'Справочник соответствий'!A$2:D$2981,3,FALSE),IF(VALUE(C1833)=0,"ЭТАЖ НЕ ОПРЕДЕЛЕН. ПРИНЯТ ПО ДОПУЩЕНИЮ 1",VLOOKUP(C1833,'Справочник соответствий'!A$2:D$2981,3,FALSE)))</f>
        <v>ЭТАЖ ЗАДАН ЧИСЛОМ</v>
      </c>
      <c r="M1833" s="13" t="b">
        <f t="shared" si="197"/>
        <v>0</v>
      </c>
      <c r="N1833" s="13">
        <f t="shared" si="198"/>
        <v>1</v>
      </c>
      <c r="O1833" s="13" t="str">
        <f t="shared" si="199"/>
        <v>ЭТАЖ ЗАДАН ЧИСЛОМ</v>
      </c>
      <c r="P1833" s="13" t="str">
        <f t="shared" si="200"/>
        <v>ЭТАЖ ЗАДАН ЧИСЛОМ</v>
      </c>
      <c r="Q1833" s="13" t="str">
        <f t="shared" si="201"/>
        <v>ГОТОВ_ИЗМЕНЕН</v>
      </c>
      <c r="R1833" s="13">
        <f>IFERROR(VLOOKUP(P1833,Лист1!A$1:B$20,2,FALSE),0)</f>
        <v>784</v>
      </c>
      <c r="S1833" s="13">
        <f t="shared" si="202"/>
        <v>0</v>
      </c>
    </row>
    <row r="1834" spans="1:19" x14ac:dyDescent="0.25">
      <c r="A1834" s="24" t="s">
        <v>2961</v>
      </c>
      <c r="B1834" s="4" t="s">
        <v>1063</v>
      </c>
      <c r="C1834" s="25" t="s">
        <v>5</v>
      </c>
      <c r="G1834" s="25" t="s">
        <v>1083</v>
      </c>
      <c r="H1834" s="24" t="s">
        <v>1061</v>
      </c>
      <c r="I1834" s="3" t="str">
        <f>IFERROR(VLOOKUP(C1834,'Справочник соответствий'!A$2:D$2981,2,FALSE),IF(VALUE(C1834)=0,1,VLOOKUP(C1834,'Справочник соответствий'!A$2:D$2981,2,FALSE)))</f>
        <v>1</v>
      </c>
      <c r="J1834" s="3">
        <f>IFERROR(VLOOKUP(D1834,'Справочник соответствий'!A$2:D$2981,2,FALSE),IF(VALUE(D1834)=0,0,VLOOKUP(D1834,'Справочник соответствий'!A$2:D$2981,2,FALSE)))</f>
        <v>0</v>
      </c>
      <c r="K1834" s="3" t="str">
        <f t="shared" si="196"/>
        <v>1</v>
      </c>
      <c r="L1834" s="13" t="str">
        <f>IFERROR(VLOOKUP(C1834,'Справочник соответствий'!A$2:D$2981,3,FALSE),IF(VALUE(C1834)=0,"ЭТАЖ НЕ ОПРЕДЕЛЕН. ПРИНЯТ ПО ДОПУЩЕНИЮ 1",VLOOKUP(C1834,'Справочник соответствий'!A$2:D$2981,3,FALSE)))</f>
        <v>ЭТАЖ ЗАДАН ЧИСЛОМ</v>
      </c>
      <c r="M1834" s="13" t="b">
        <f t="shared" si="197"/>
        <v>0</v>
      </c>
      <c r="N1834" s="13">
        <f t="shared" si="198"/>
        <v>1</v>
      </c>
      <c r="O1834" s="13" t="str">
        <f t="shared" si="199"/>
        <v>ЭТАЖ ЗАДАН ЧИСЛОМ</v>
      </c>
      <c r="P1834" s="13" t="str">
        <f t="shared" si="200"/>
        <v>ЭТАЖ ЗАДАН ЧИСЛОМ</v>
      </c>
      <c r="Q1834" s="13" t="str">
        <f t="shared" si="201"/>
        <v>ГОТОВ_ИЗМЕНЕН</v>
      </c>
      <c r="R1834" s="13">
        <f>IFERROR(VLOOKUP(P1834,Лист1!A$1:B$20,2,FALSE),0)</f>
        <v>784</v>
      </c>
      <c r="S1834" s="13">
        <f t="shared" si="202"/>
        <v>0</v>
      </c>
    </row>
    <row r="1835" spans="1:19" x14ac:dyDescent="0.25">
      <c r="A1835" s="24" t="s">
        <v>2962</v>
      </c>
      <c r="B1835" s="4" t="s">
        <v>1059</v>
      </c>
      <c r="C1835" s="25" t="s">
        <v>7</v>
      </c>
      <c r="G1835" s="25" t="s">
        <v>1083</v>
      </c>
      <c r="H1835" s="24" t="s">
        <v>1061</v>
      </c>
      <c r="I1835" s="3" t="str">
        <f>IFERROR(VLOOKUP(C1835,'Справочник соответствий'!A$2:D$2981,2,FALSE),IF(VALUE(C1835)=0,1,VLOOKUP(C1835,'Справочник соответствий'!A$2:D$2981,2,FALSE)))</f>
        <v>2</v>
      </c>
      <c r="J1835" s="3">
        <f>IFERROR(VLOOKUP(D1835,'Справочник соответствий'!A$2:D$2981,2,FALSE),IF(VALUE(D1835)=0,0,VLOOKUP(D1835,'Справочник соответствий'!A$2:D$2981,2,FALSE)))</f>
        <v>0</v>
      </c>
      <c r="K1835" s="3" t="str">
        <f t="shared" si="196"/>
        <v>2</v>
      </c>
      <c r="L1835" s="13" t="str">
        <f>IFERROR(VLOOKUP(C1835,'Справочник соответствий'!A$2:D$2981,3,FALSE),IF(VALUE(C1835)=0,"ЭТАЖ НЕ ОПРЕДЕЛЕН. ПРИНЯТ ПО ДОПУЩЕНИЮ 1",VLOOKUP(C1835,'Справочник соответствий'!A$2:D$2981,3,FALSE)))</f>
        <v>ЭТАЖ ЗАДАН ЧИСЛОМ</v>
      </c>
      <c r="M1835" s="13" t="b">
        <f t="shared" si="197"/>
        <v>0</v>
      </c>
      <c r="N1835" s="13">
        <f t="shared" si="198"/>
        <v>2</v>
      </c>
      <c r="O1835" s="13" t="str">
        <f t="shared" si="199"/>
        <v>ЭТАЖ ЗАДАН ЧИСЛОМ</v>
      </c>
      <c r="P1835" s="13" t="str">
        <f t="shared" si="200"/>
        <v>ЭТАЖ ЗАДАН ЧИСЛОМ</v>
      </c>
      <c r="Q1835" s="13" t="str">
        <f t="shared" si="201"/>
        <v>ГОТОВ_ИЗМЕНЕН</v>
      </c>
      <c r="R1835" s="13">
        <f>IFERROR(VLOOKUP(P1835,Лист1!A$1:B$20,2,FALSE),0)</f>
        <v>784</v>
      </c>
      <c r="S1835" s="13">
        <f t="shared" si="202"/>
        <v>0</v>
      </c>
    </row>
    <row r="1836" spans="1:19" x14ac:dyDescent="0.25">
      <c r="A1836" s="24" t="s">
        <v>2963</v>
      </c>
      <c r="B1836" s="4" t="s">
        <v>1059</v>
      </c>
      <c r="C1836" s="25" t="s">
        <v>5</v>
      </c>
      <c r="G1836" s="25" t="s">
        <v>1083</v>
      </c>
      <c r="H1836" s="24" t="s">
        <v>1061</v>
      </c>
      <c r="I1836" s="3" t="str">
        <f>IFERROR(VLOOKUP(C1836,'Справочник соответствий'!A$2:D$2981,2,FALSE),IF(VALUE(C1836)=0,1,VLOOKUP(C1836,'Справочник соответствий'!A$2:D$2981,2,FALSE)))</f>
        <v>1</v>
      </c>
      <c r="J1836" s="3">
        <f>IFERROR(VLOOKUP(D1836,'Справочник соответствий'!A$2:D$2981,2,FALSE),IF(VALUE(D1836)=0,0,VLOOKUP(D1836,'Справочник соответствий'!A$2:D$2981,2,FALSE)))</f>
        <v>0</v>
      </c>
      <c r="K1836" s="3" t="str">
        <f t="shared" si="196"/>
        <v>1</v>
      </c>
      <c r="L1836" s="13" t="str">
        <f>IFERROR(VLOOKUP(C1836,'Справочник соответствий'!A$2:D$2981,3,FALSE),IF(VALUE(C1836)=0,"ЭТАЖ НЕ ОПРЕДЕЛЕН. ПРИНЯТ ПО ДОПУЩЕНИЮ 1",VLOOKUP(C1836,'Справочник соответствий'!A$2:D$2981,3,FALSE)))</f>
        <v>ЭТАЖ ЗАДАН ЧИСЛОМ</v>
      </c>
      <c r="M1836" s="13" t="b">
        <f t="shared" si="197"/>
        <v>0</v>
      </c>
      <c r="N1836" s="13">
        <f t="shared" si="198"/>
        <v>1</v>
      </c>
      <c r="O1836" s="13" t="str">
        <f t="shared" si="199"/>
        <v>ЭТАЖ ЗАДАН ЧИСЛОМ</v>
      </c>
      <c r="P1836" s="13" t="str">
        <f t="shared" si="200"/>
        <v>ЭТАЖ ЗАДАН ЧИСЛОМ</v>
      </c>
      <c r="Q1836" s="13" t="str">
        <f t="shared" si="201"/>
        <v>ГОТОВ_ИЗМЕНЕН</v>
      </c>
      <c r="R1836" s="13">
        <f>IFERROR(VLOOKUP(P1836,Лист1!A$1:B$20,2,FALSE),0)</f>
        <v>784</v>
      </c>
      <c r="S1836" s="13">
        <f t="shared" si="202"/>
        <v>0</v>
      </c>
    </row>
    <row r="1837" spans="1:19" x14ac:dyDescent="0.25">
      <c r="A1837" s="24" t="s">
        <v>2964</v>
      </c>
      <c r="B1837" s="4" t="s">
        <v>1059</v>
      </c>
      <c r="C1837" s="25" t="s">
        <v>5</v>
      </c>
      <c r="G1837" s="25" t="s">
        <v>1083</v>
      </c>
      <c r="H1837" s="24" t="s">
        <v>1061</v>
      </c>
      <c r="I1837" s="3" t="str">
        <f>IFERROR(VLOOKUP(C1837,'Справочник соответствий'!A$2:D$2981,2,FALSE),IF(VALUE(C1837)=0,1,VLOOKUP(C1837,'Справочник соответствий'!A$2:D$2981,2,FALSE)))</f>
        <v>1</v>
      </c>
      <c r="J1837" s="3">
        <f>IFERROR(VLOOKUP(D1837,'Справочник соответствий'!A$2:D$2981,2,FALSE),IF(VALUE(D1837)=0,0,VLOOKUP(D1837,'Справочник соответствий'!A$2:D$2981,2,FALSE)))</f>
        <v>0</v>
      </c>
      <c r="K1837" s="3" t="str">
        <f t="shared" si="196"/>
        <v>1</v>
      </c>
      <c r="L1837" s="13" t="str">
        <f>IFERROR(VLOOKUP(C1837,'Справочник соответствий'!A$2:D$2981,3,FALSE),IF(VALUE(C1837)=0,"ЭТАЖ НЕ ОПРЕДЕЛЕН. ПРИНЯТ ПО ДОПУЩЕНИЮ 1",VLOOKUP(C1837,'Справочник соответствий'!A$2:D$2981,3,FALSE)))</f>
        <v>ЭТАЖ ЗАДАН ЧИСЛОМ</v>
      </c>
      <c r="M1837" s="13" t="b">
        <f t="shared" si="197"/>
        <v>0</v>
      </c>
      <c r="N1837" s="13">
        <f t="shared" si="198"/>
        <v>1</v>
      </c>
      <c r="O1837" s="13" t="str">
        <f t="shared" si="199"/>
        <v>ЭТАЖ ЗАДАН ЧИСЛОМ</v>
      </c>
      <c r="P1837" s="13" t="str">
        <f t="shared" si="200"/>
        <v>ЭТАЖ ЗАДАН ЧИСЛОМ</v>
      </c>
      <c r="Q1837" s="13" t="str">
        <f t="shared" si="201"/>
        <v>ГОТОВ_ИЗМЕНЕН</v>
      </c>
      <c r="R1837" s="13">
        <f>IFERROR(VLOOKUP(P1837,Лист1!A$1:B$20,2,FALSE),0)</f>
        <v>784</v>
      </c>
      <c r="S1837" s="13">
        <f t="shared" si="202"/>
        <v>0</v>
      </c>
    </row>
    <row r="1838" spans="1:19" x14ac:dyDescent="0.25">
      <c r="A1838" s="24" t="s">
        <v>2965</v>
      </c>
      <c r="B1838" s="4" t="s">
        <v>1063</v>
      </c>
      <c r="C1838" s="25" t="s">
        <v>5</v>
      </c>
      <c r="G1838" s="25" t="s">
        <v>1083</v>
      </c>
      <c r="H1838" s="24" t="s">
        <v>1061</v>
      </c>
      <c r="I1838" s="3" t="str">
        <f>IFERROR(VLOOKUP(C1838,'Справочник соответствий'!A$2:D$2981,2,FALSE),IF(VALUE(C1838)=0,1,VLOOKUP(C1838,'Справочник соответствий'!A$2:D$2981,2,FALSE)))</f>
        <v>1</v>
      </c>
      <c r="J1838" s="3">
        <f>IFERROR(VLOOKUP(D1838,'Справочник соответствий'!A$2:D$2981,2,FALSE),IF(VALUE(D1838)=0,0,VLOOKUP(D1838,'Справочник соответствий'!A$2:D$2981,2,FALSE)))</f>
        <v>0</v>
      </c>
      <c r="K1838" s="3" t="str">
        <f t="shared" si="196"/>
        <v>1</v>
      </c>
      <c r="L1838" s="13" t="str">
        <f>IFERROR(VLOOKUP(C1838,'Справочник соответствий'!A$2:D$2981,3,FALSE),IF(VALUE(C1838)=0,"ЭТАЖ НЕ ОПРЕДЕЛЕН. ПРИНЯТ ПО ДОПУЩЕНИЮ 1",VLOOKUP(C1838,'Справочник соответствий'!A$2:D$2981,3,FALSE)))</f>
        <v>ЭТАЖ ЗАДАН ЧИСЛОМ</v>
      </c>
      <c r="M1838" s="13" t="b">
        <f t="shared" si="197"/>
        <v>0</v>
      </c>
      <c r="N1838" s="13">
        <f t="shared" si="198"/>
        <v>1</v>
      </c>
      <c r="O1838" s="13" t="str">
        <f t="shared" si="199"/>
        <v>ЭТАЖ ЗАДАН ЧИСЛОМ</v>
      </c>
      <c r="P1838" s="13" t="str">
        <f t="shared" si="200"/>
        <v>ЭТАЖ ЗАДАН ЧИСЛОМ</v>
      </c>
      <c r="Q1838" s="13" t="str">
        <f t="shared" si="201"/>
        <v>ГОТОВ_ИЗМЕНЕН</v>
      </c>
      <c r="R1838" s="13">
        <f>IFERROR(VLOOKUP(P1838,Лист1!A$1:B$20,2,FALSE),0)</f>
        <v>784</v>
      </c>
      <c r="S1838" s="13">
        <f t="shared" si="202"/>
        <v>0</v>
      </c>
    </row>
    <row r="1839" spans="1:19" x14ac:dyDescent="0.25">
      <c r="A1839" s="24" t="s">
        <v>2966</v>
      </c>
      <c r="B1839" s="4" t="s">
        <v>1063</v>
      </c>
      <c r="G1839" s="25" t="s">
        <v>1083</v>
      </c>
      <c r="H1839" s="24" t="s">
        <v>1061</v>
      </c>
      <c r="I1839" s="3">
        <f>IFERROR(VLOOKUP(C1839,'Справочник соответствий'!A$2:D$2981,2,FALSE),IF(VALUE(C1839)=0,1,VLOOKUP(C1839,'Справочник соответствий'!A$2:D$2981,2,FALSE)))</f>
        <v>1</v>
      </c>
      <c r="J1839" s="3">
        <f>IFERROR(VLOOKUP(D1839,'Справочник соответствий'!A$2:D$2981,2,FALSE),IF(VALUE(D1839)=0,0,VLOOKUP(D1839,'Справочник соответствий'!A$2:D$2981,2,FALSE)))</f>
        <v>0</v>
      </c>
      <c r="K1839" s="3">
        <f t="shared" si="196"/>
        <v>1</v>
      </c>
      <c r="L1839" s="13" t="str">
        <f>IFERROR(VLOOKUP(C1839,'Справочник соответствий'!A$2:D$2981,3,FALSE),IF(VALUE(C1839)=0,"ЭТАЖ НЕ ОПРЕДЕЛЕН. ПРИНЯТ ПО ДОПУЩЕНИЮ 1",VLOOKUP(C1839,'Справочник соответствий'!A$2:D$2981,3,FALSE)))</f>
        <v>ЭТАЖ НЕ ОПРЕДЕЛЕН. ПРИНЯТ ПО ДОПУЩЕНИЮ 1</v>
      </c>
      <c r="M1839" s="13" t="b">
        <f t="shared" si="197"/>
        <v>0</v>
      </c>
      <c r="N1839" s="13">
        <f t="shared" si="198"/>
        <v>1</v>
      </c>
      <c r="O1839" s="13" t="str">
        <f t="shared" si="199"/>
        <v>ЭТАЖ НЕ ОПРЕДЕЛЕН. ПРИНЯТ ПО ДОПУЩЕНИЮ 1</v>
      </c>
      <c r="P1839" s="13" t="str">
        <f t="shared" si="200"/>
        <v>ЭТАЖ НЕ ОПРЕДЕЛЕН. ПРИНЯТ ПО ДОПУЩЕНИЮ 1</v>
      </c>
      <c r="Q1839" s="13" t="str">
        <f t="shared" si="201"/>
        <v>ГОТОВ_ИЗМЕНЕН</v>
      </c>
      <c r="R1839" s="13">
        <f>IFERROR(VLOOKUP(P1839,Лист1!A$1:B$20,2,FALSE),0)</f>
        <v>788</v>
      </c>
      <c r="S1839" s="13">
        <f t="shared" si="202"/>
        <v>0</v>
      </c>
    </row>
    <row r="1840" spans="1:19" x14ac:dyDescent="0.25">
      <c r="A1840" s="24" t="s">
        <v>2967</v>
      </c>
      <c r="B1840" s="4" t="s">
        <v>1059</v>
      </c>
      <c r="C1840" s="25" t="s">
        <v>5</v>
      </c>
      <c r="E1840" s="3">
        <v>1</v>
      </c>
      <c r="F1840" s="24" t="s">
        <v>1523</v>
      </c>
      <c r="G1840" s="25" t="s">
        <v>1077</v>
      </c>
      <c r="H1840" s="24" t="s">
        <v>1061</v>
      </c>
      <c r="I1840" s="3" t="str">
        <f>IFERROR(VLOOKUP(C1840,'Справочник соответствий'!A$2:D$2981,2,FALSE),IF(VALUE(C1840)=0,1,VLOOKUP(C1840,'Справочник соответствий'!A$2:D$2981,2,FALSE)))</f>
        <v>1</v>
      </c>
      <c r="J1840" s="3">
        <f>IFERROR(VLOOKUP(D1840,'Справочник соответствий'!A$2:D$2981,2,FALSE),IF(VALUE(D1840)=0,0,VLOOKUP(D1840,'Справочник соответствий'!A$2:D$2981,2,FALSE)))</f>
        <v>0</v>
      </c>
      <c r="K1840" s="3" t="str">
        <f t="shared" si="196"/>
        <v>1</v>
      </c>
      <c r="L1840" s="13" t="str">
        <f>IFERROR(VLOOKUP(C1840,'Справочник соответствий'!A$2:D$2981,3,FALSE),IF(VALUE(C1840)=0,"ЭТАЖ НЕ ОПРЕДЕЛЕН. ПРИНЯТ ПО ДОПУЩЕНИЮ 1",VLOOKUP(C1840,'Справочник соответствий'!A$2:D$2981,3,FALSE)))</f>
        <v>ЭТАЖ ЗАДАН ЧИСЛОМ</v>
      </c>
      <c r="M1840" s="13" t="b">
        <f t="shared" si="197"/>
        <v>0</v>
      </c>
      <c r="N1840" s="13">
        <f t="shared" si="198"/>
        <v>1</v>
      </c>
      <c r="O1840" s="13" t="str">
        <f t="shared" si="199"/>
        <v>ЭТАЖ ЗАДАН ЧИСЛОМ</v>
      </c>
      <c r="P1840" s="13" t="str">
        <f t="shared" si="200"/>
        <v>ЭТАЖ ЗАДАН ЧИСЛОМ</v>
      </c>
      <c r="Q1840" s="13" t="str">
        <f t="shared" si="201"/>
        <v>ГОТОВ</v>
      </c>
      <c r="R1840" s="13">
        <f>IFERROR(VLOOKUP(P1840,Лист1!A$1:B$20,2,FALSE),0)</f>
        <v>784</v>
      </c>
      <c r="S1840" s="13">
        <f t="shared" si="202"/>
        <v>1</v>
      </c>
    </row>
    <row r="1841" spans="1:19" x14ac:dyDescent="0.25">
      <c r="A1841" s="24" t="s">
        <v>2968</v>
      </c>
      <c r="B1841" s="4" t="s">
        <v>1031</v>
      </c>
      <c r="C1841" s="25" t="s">
        <v>5</v>
      </c>
      <c r="E1841" s="3">
        <v>1</v>
      </c>
      <c r="F1841" s="24" t="s">
        <v>1045</v>
      </c>
      <c r="G1841" s="25" t="s">
        <v>1075</v>
      </c>
      <c r="H1841" s="24" t="s">
        <v>1061</v>
      </c>
      <c r="I1841" s="3" t="str">
        <f>IFERROR(VLOOKUP(C1841,'Справочник соответствий'!A$2:D$2981,2,FALSE),IF(VALUE(C1841)=0,1,VLOOKUP(C1841,'Справочник соответствий'!A$2:D$2981,2,FALSE)))</f>
        <v>1</v>
      </c>
      <c r="J1841" s="3">
        <f>IFERROR(VLOOKUP(D1841,'Справочник соответствий'!A$2:D$2981,2,FALSE),IF(VALUE(D1841)=0,0,VLOOKUP(D1841,'Справочник соответствий'!A$2:D$2981,2,FALSE)))</f>
        <v>0</v>
      </c>
      <c r="K1841" s="3">
        <f t="shared" si="196"/>
        <v>1</v>
      </c>
      <c r="L1841" s="13" t="str">
        <f>IFERROR(VLOOKUP(C1841,'Справочник соответствий'!A$2:D$2981,3,FALSE),IF(VALUE(C1841)=0,"ЭТАЖ НЕ ОПРЕДЕЛЕН. ПРИНЯТ ПО ДОПУЩЕНИЮ 1",VLOOKUP(C1841,'Справочник соответствий'!A$2:D$2981,3,FALSE)))</f>
        <v>ЭТАЖ ЗАДАН ЧИСЛОМ</v>
      </c>
      <c r="M1841" s="13" t="b">
        <f t="shared" si="197"/>
        <v>0</v>
      </c>
      <c r="N1841" s="13">
        <f t="shared" si="198"/>
        <v>1</v>
      </c>
      <c r="O1841" s="13" t="str">
        <f t="shared" si="199"/>
        <v>ЭТАЖ ЗАДАН ЧИСЛОМ</v>
      </c>
      <c r="P1841" s="13" t="str">
        <f t="shared" si="200"/>
        <v>МКД_ЭТАЖ ЗАДАН ЧИСЛОМ</v>
      </c>
      <c r="Q1841" s="13" t="str">
        <f t="shared" si="201"/>
        <v>ГОТОВ</v>
      </c>
      <c r="R1841" s="13">
        <f>IFERROR(VLOOKUP(P1841,Лист1!A$1:B$20,2,FALSE),0)</f>
        <v>786</v>
      </c>
      <c r="S1841" s="13">
        <f t="shared" si="202"/>
        <v>1</v>
      </c>
    </row>
    <row r="1842" spans="1:19" x14ac:dyDescent="0.25">
      <c r="A1842" s="24" t="s">
        <v>2969</v>
      </c>
      <c r="B1842" s="4" t="s">
        <v>1059</v>
      </c>
      <c r="C1842" s="25" t="s">
        <v>7</v>
      </c>
      <c r="D1842" s="25" t="s">
        <v>5</v>
      </c>
      <c r="E1842" s="3">
        <v>1</v>
      </c>
      <c r="F1842" s="24" t="s">
        <v>1045</v>
      </c>
      <c r="G1842" s="25" t="s">
        <v>1222</v>
      </c>
      <c r="H1842" s="24" t="s">
        <v>1061</v>
      </c>
      <c r="I1842" s="3" t="str">
        <f>IFERROR(VLOOKUP(C1842,'Справочник соответствий'!A$2:D$2981,2,FALSE),IF(VALUE(C1842)=0,1,VLOOKUP(C1842,'Справочник соответствий'!A$2:D$2981,2,FALSE)))</f>
        <v>2</v>
      </c>
      <c r="J1842" s="3" t="str">
        <f>IFERROR(VLOOKUP(D1842,'Справочник соответствий'!A$2:D$2981,2,FALSE),IF(VALUE(D1842)=0,0,VLOOKUP(D1842,'Справочник соответствий'!A$2:D$2981,2,FALSE)))</f>
        <v>1</v>
      </c>
      <c r="K1842" s="3" t="str">
        <f t="shared" si="196"/>
        <v>2</v>
      </c>
      <c r="L1842" s="13" t="str">
        <f>IFERROR(VLOOKUP(C1842,'Справочник соответствий'!A$2:D$2981,3,FALSE),IF(VALUE(C1842)=0,"ЭТАЖ НЕ ОПРЕДЕЛЕН. ПРИНЯТ ПО ДОПУЩЕНИЮ 1",VLOOKUP(C1842,'Справочник соответствий'!A$2:D$2981,3,FALSE)))</f>
        <v>ЭТАЖ ЗАДАН ЧИСЛОМ</v>
      </c>
      <c r="M1842" s="13" t="b">
        <f t="shared" si="197"/>
        <v>0</v>
      </c>
      <c r="N1842" s="13">
        <f t="shared" si="198"/>
        <v>2</v>
      </c>
      <c r="O1842" s="13" t="str">
        <f t="shared" si="199"/>
        <v>ЭТАЖ ЗАДАН ЧИСЛОМ</v>
      </c>
      <c r="P1842" s="13" t="str">
        <f t="shared" si="200"/>
        <v>ЭТАЖ ЗАДАН ЧИСЛОМ</v>
      </c>
      <c r="Q1842" s="13" t="str">
        <f t="shared" si="201"/>
        <v>ГОТОВ_ИЗМЕНЕН</v>
      </c>
      <c r="R1842" s="13">
        <f>IFERROR(VLOOKUP(P1842,Лист1!A$1:B$20,2,FALSE),0)</f>
        <v>784</v>
      </c>
      <c r="S1842" s="13">
        <f t="shared" si="202"/>
        <v>1</v>
      </c>
    </row>
    <row r="1843" spans="1:19" x14ac:dyDescent="0.25">
      <c r="A1843" s="24" t="s">
        <v>2970</v>
      </c>
      <c r="B1843" s="4" t="s">
        <v>1063</v>
      </c>
      <c r="C1843" s="25" t="s">
        <v>7</v>
      </c>
      <c r="E1843" s="3">
        <v>2</v>
      </c>
      <c r="F1843" s="24" t="s">
        <v>1304</v>
      </c>
      <c r="G1843" s="25" t="s">
        <v>1108</v>
      </c>
      <c r="H1843" s="24" t="s">
        <v>1061</v>
      </c>
      <c r="I1843" s="3" t="str">
        <f>IFERROR(VLOOKUP(C1843,'Справочник соответствий'!A$2:D$2981,2,FALSE),IF(VALUE(C1843)=0,1,VLOOKUP(C1843,'Справочник соответствий'!A$2:D$2981,2,FALSE)))</f>
        <v>2</v>
      </c>
      <c r="J1843" s="3">
        <f>IFERROR(VLOOKUP(D1843,'Справочник соответствий'!A$2:D$2981,2,FALSE),IF(VALUE(D1843)=0,0,VLOOKUP(D1843,'Справочник соответствий'!A$2:D$2981,2,FALSE)))</f>
        <v>0</v>
      </c>
      <c r="K1843" s="3" t="str">
        <f t="shared" si="196"/>
        <v>2</v>
      </c>
      <c r="L1843" s="13" t="str">
        <f>IFERROR(VLOOKUP(C1843,'Справочник соответствий'!A$2:D$2981,3,FALSE),IF(VALUE(C1843)=0,"ЭТАЖ НЕ ОПРЕДЕЛЕН. ПРИНЯТ ПО ДОПУЩЕНИЮ 1",VLOOKUP(C1843,'Справочник соответствий'!A$2:D$2981,3,FALSE)))</f>
        <v>ЭТАЖ ЗАДАН ЧИСЛОМ</v>
      </c>
      <c r="M1843" s="13" t="b">
        <f t="shared" si="197"/>
        <v>0</v>
      </c>
      <c r="N1843" s="13">
        <f t="shared" si="198"/>
        <v>2</v>
      </c>
      <c r="O1843" s="13" t="str">
        <f t="shared" si="199"/>
        <v>ЭТАЖ ЗАДАН ЧИСЛОМ</v>
      </c>
      <c r="P1843" s="13" t="str">
        <f t="shared" si="200"/>
        <v>ЭТАЖ ЗАДАН ЧИСЛОМ</v>
      </c>
      <c r="Q1843" s="13" t="str">
        <f t="shared" si="201"/>
        <v>ГОТОВ</v>
      </c>
      <c r="R1843" s="13">
        <f>IFERROR(VLOOKUP(P1843,Лист1!A$1:B$20,2,FALSE),0)</f>
        <v>784</v>
      </c>
      <c r="S1843" s="13">
        <f t="shared" si="202"/>
        <v>2</v>
      </c>
    </row>
    <row r="1844" spans="1:19" x14ac:dyDescent="0.25">
      <c r="A1844" s="24" t="s">
        <v>2971</v>
      </c>
      <c r="B1844" s="4" t="s">
        <v>1063</v>
      </c>
      <c r="C1844" s="25" t="s">
        <v>7</v>
      </c>
      <c r="D1844" s="25" t="s">
        <v>24</v>
      </c>
      <c r="E1844" s="3">
        <v>1</v>
      </c>
      <c r="F1844" s="24" t="s">
        <v>1045</v>
      </c>
      <c r="G1844" s="25" t="s">
        <v>1089</v>
      </c>
      <c r="H1844" s="24" t="s">
        <v>1061</v>
      </c>
      <c r="I1844" s="3" t="str">
        <f>IFERROR(VLOOKUP(C1844,'Справочник соответствий'!A$2:D$2981,2,FALSE),IF(VALUE(C1844)=0,1,VLOOKUP(C1844,'Справочник соответствий'!A$2:D$2981,2,FALSE)))</f>
        <v>2</v>
      </c>
      <c r="J1844" s="3" t="str">
        <f>IFERROR(VLOOKUP(D1844,'Справочник соответствий'!A$2:D$2981,2,FALSE),IF(VALUE(D1844)=0,0,VLOOKUP(D1844,'Справочник соответствий'!A$2:D$2981,2,FALSE)))</f>
        <v>1</v>
      </c>
      <c r="K1844" s="3" t="str">
        <f t="shared" si="196"/>
        <v>2</v>
      </c>
      <c r="L1844" s="13" t="str">
        <f>IFERROR(VLOOKUP(C1844,'Справочник соответствий'!A$2:D$2981,3,FALSE),IF(VALUE(C1844)=0,"ЭТАЖ НЕ ОПРЕДЕЛЕН. ПРИНЯТ ПО ДОПУЩЕНИЮ 1",VLOOKUP(C1844,'Справочник соответствий'!A$2:D$2981,3,FALSE)))</f>
        <v>ЭТАЖ ЗАДАН ЧИСЛОМ</v>
      </c>
      <c r="M1844" s="13" t="b">
        <f t="shared" si="197"/>
        <v>0</v>
      </c>
      <c r="N1844" s="13">
        <f t="shared" si="198"/>
        <v>2</v>
      </c>
      <c r="O1844" s="13" t="str">
        <f t="shared" si="199"/>
        <v>ЭТАЖ ЗАДАН ЧИСЛОМ</v>
      </c>
      <c r="P1844" s="13" t="str">
        <f t="shared" si="200"/>
        <v>ЭТАЖ ЗАДАН ЧИСЛОМ</v>
      </c>
      <c r="Q1844" s="13" t="str">
        <f t="shared" si="201"/>
        <v>ГОТОВ_ИЗМЕНЕН</v>
      </c>
      <c r="R1844" s="13">
        <f>IFERROR(VLOOKUP(P1844,Лист1!A$1:B$20,2,FALSE),0)</f>
        <v>784</v>
      </c>
      <c r="S1844" s="13">
        <f t="shared" si="202"/>
        <v>1</v>
      </c>
    </row>
    <row r="1845" spans="1:19" x14ac:dyDescent="0.25">
      <c r="A1845" s="24" t="s">
        <v>2972</v>
      </c>
      <c r="B1845" s="4" t="s">
        <v>1059</v>
      </c>
      <c r="E1845" s="3">
        <v>1</v>
      </c>
      <c r="F1845" s="24" t="s">
        <v>1045</v>
      </c>
      <c r="G1845" s="25" t="s">
        <v>1080</v>
      </c>
      <c r="H1845" s="24" t="s">
        <v>1061</v>
      </c>
      <c r="I1845" s="3">
        <f>IFERROR(VLOOKUP(C1845,'Справочник соответствий'!A$2:D$2981,2,FALSE),IF(VALUE(C1845)=0,1,VLOOKUP(C1845,'Справочник соответствий'!A$2:D$2981,2,FALSE)))</f>
        <v>1</v>
      </c>
      <c r="J1845" s="3">
        <f>IFERROR(VLOOKUP(D1845,'Справочник соответствий'!A$2:D$2981,2,FALSE),IF(VALUE(D1845)=0,0,VLOOKUP(D1845,'Справочник соответствий'!A$2:D$2981,2,FALSE)))</f>
        <v>0</v>
      </c>
      <c r="K1845" s="3">
        <f t="shared" si="196"/>
        <v>1</v>
      </c>
      <c r="L1845" s="13" t="str">
        <f>IFERROR(VLOOKUP(C1845,'Справочник соответствий'!A$2:D$2981,3,FALSE),IF(VALUE(C1845)=0,"ЭТАЖ НЕ ОПРЕДЕЛЕН. ПРИНЯТ ПО ДОПУЩЕНИЮ 1",VLOOKUP(C1845,'Справочник соответствий'!A$2:D$2981,3,FALSE)))</f>
        <v>ЭТАЖ НЕ ОПРЕДЕЛЕН. ПРИНЯТ ПО ДОПУЩЕНИЮ 1</v>
      </c>
      <c r="M1845" s="13" t="b">
        <f t="shared" si="197"/>
        <v>1</v>
      </c>
      <c r="N1845" s="13">
        <f t="shared" si="198"/>
        <v>1</v>
      </c>
      <c r="O1845" s="13" t="str">
        <f t="shared" si="19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845" s="13" t="str">
        <f t="shared" si="200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845" s="13" t="str">
        <f t="shared" si="201"/>
        <v>ГОТОВ</v>
      </c>
      <c r="R1845" s="13">
        <f>IFERROR(VLOOKUP(P1845,Лист1!A$1:B$20,2,FALSE),0)</f>
        <v>214</v>
      </c>
      <c r="S1845" s="13">
        <f t="shared" si="202"/>
        <v>1</v>
      </c>
    </row>
    <row r="1846" spans="1:19" x14ac:dyDescent="0.25">
      <c r="A1846" s="24" t="s">
        <v>2973</v>
      </c>
      <c r="B1846" s="4" t="s">
        <v>1063</v>
      </c>
      <c r="C1846" s="25" t="s">
        <v>5</v>
      </c>
      <c r="E1846" s="3">
        <v>1</v>
      </c>
      <c r="F1846" s="24" t="s">
        <v>1045</v>
      </c>
      <c r="G1846" s="25" t="s">
        <v>1072</v>
      </c>
      <c r="H1846" s="24" t="s">
        <v>1061</v>
      </c>
      <c r="I1846" s="3" t="str">
        <f>IFERROR(VLOOKUP(C1846,'Справочник соответствий'!A$2:D$2981,2,FALSE),IF(VALUE(C1846)=0,1,VLOOKUP(C1846,'Справочник соответствий'!A$2:D$2981,2,FALSE)))</f>
        <v>1</v>
      </c>
      <c r="J1846" s="3">
        <f>IFERROR(VLOOKUP(D1846,'Справочник соответствий'!A$2:D$2981,2,FALSE),IF(VALUE(D1846)=0,0,VLOOKUP(D1846,'Справочник соответствий'!A$2:D$2981,2,FALSE)))</f>
        <v>0</v>
      </c>
      <c r="K1846" s="3" t="str">
        <f t="shared" si="196"/>
        <v>1</v>
      </c>
      <c r="L1846" s="13" t="str">
        <f>IFERROR(VLOOKUP(C1846,'Справочник соответствий'!A$2:D$2981,3,FALSE),IF(VALUE(C1846)=0,"ЭТАЖ НЕ ОПРЕДЕЛЕН. ПРИНЯТ ПО ДОПУЩЕНИЮ 1",VLOOKUP(C1846,'Справочник соответствий'!A$2:D$2981,3,FALSE)))</f>
        <v>ЭТАЖ ЗАДАН ЧИСЛОМ</v>
      </c>
      <c r="M1846" s="13" t="b">
        <f t="shared" si="197"/>
        <v>0</v>
      </c>
      <c r="N1846" s="13">
        <f t="shared" si="198"/>
        <v>1</v>
      </c>
      <c r="O1846" s="13" t="str">
        <f t="shared" si="199"/>
        <v>ЭТАЖ ЗАДАН ЧИСЛОМ</v>
      </c>
      <c r="P1846" s="13" t="str">
        <f t="shared" si="200"/>
        <v>ЭТАЖ ЗАДАН ЧИСЛОМ</v>
      </c>
      <c r="Q1846" s="13" t="str">
        <f t="shared" si="201"/>
        <v>ГОТОВ</v>
      </c>
      <c r="R1846" s="13">
        <f>IFERROR(VLOOKUP(P1846,Лист1!A$1:B$20,2,FALSE),0)</f>
        <v>784</v>
      </c>
      <c r="S1846" s="13">
        <f t="shared" si="202"/>
        <v>1</v>
      </c>
    </row>
    <row r="1847" spans="1:19" x14ac:dyDescent="0.25">
      <c r="A1847" s="24" t="s">
        <v>2974</v>
      </c>
      <c r="B1847" s="4" t="s">
        <v>1059</v>
      </c>
      <c r="C1847" s="25" t="s">
        <v>5</v>
      </c>
      <c r="E1847" s="3">
        <v>1</v>
      </c>
      <c r="F1847" s="24" t="s">
        <v>1045</v>
      </c>
      <c r="G1847" s="25" t="s">
        <v>1069</v>
      </c>
      <c r="H1847" s="24" t="s">
        <v>1061</v>
      </c>
      <c r="I1847" s="3" t="str">
        <f>IFERROR(VLOOKUP(C1847,'Справочник соответствий'!A$2:D$2981,2,FALSE),IF(VALUE(C1847)=0,1,VLOOKUP(C1847,'Справочник соответствий'!A$2:D$2981,2,FALSE)))</f>
        <v>1</v>
      </c>
      <c r="J1847" s="3">
        <f>IFERROR(VLOOKUP(D1847,'Справочник соответствий'!A$2:D$2981,2,FALSE),IF(VALUE(D1847)=0,0,VLOOKUP(D1847,'Справочник соответствий'!A$2:D$2981,2,FALSE)))</f>
        <v>0</v>
      </c>
      <c r="K1847" s="3" t="str">
        <f t="shared" si="196"/>
        <v>1</v>
      </c>
      <c r="L1847" s="13" t="str">
        <f>IFERROR(VLOOKUP(C1847,'Справочник соответствий'!A$2:D$2981,3,FALSE),IF(VALUE(C1847)=0,"ЭТАЖ НЕ ОПРЕДЕЛЕН. ПРИНЯТ ПО ДОПУЩЕНИЮ 1",VLOOKUP(C1847,'Справочник соответствий'!A$2:D$2981,3,FALSE)))</f>
        <v>ЭТАЖ ЗАДАН ЧИСЛОМ</v>
      </c>
      <c r="M1847" s="13" t="b">
        <f t="shared" si="197"/>
        <v>0</v>
      </c>
      <c r="N1847" s="13">
        <f t="shared" si="198"/>
        <v>1</v>
      </c>
      <c r="O1847" s="13" t="str">
        <f t="shared" si="199"/>
        <v>ЭТАЖ ЗАДАН ЧИСЛОМ</v>
      </c>
      <c r="P1847" s="13" t="str">
        <f t="shared" si="200"/>
        <v>ЭТАЖ ЗАДАН ЧИСЛОМ</v>
      </c>
      <c r="Q1847" s="13" t="str">
        <f t="shared" si="201"/>
        <v>ГОТОВ</v>
      </c>
      <c r="R1847" s="13">
        <f>IFERROR(VLOOKUP(P1847,Лист1!A$1:B$20,2,FALSE),0)</f>
        <v>784</v>
      </c>
      <c r="S1847" s="13">
        <f t="shared" si="202"/>
        <v>1</v>
      </c>
    </row>
    <row r="1848" spans="1:19" x14ac:dyDescent="0.25">
      <c r="A1848" s="24" t="s">
        <v>2975</v>
      </c>
      <c r="B1848" s="4" t="s">
        <v>1059</v>
      </c>
      <c r="E1848" s="3">
        <v>1</v>
      </c>
      <c r="F1848" s="24" t="s">
        <v>1045</v>
      </c>
      <c r="G1848" s="25" t="s">
        <v>1193</v>
      </c>
      <c r="H1848" s="24" t="s">
        <v>1061</v>
      </c>
      <c r="I1848" s="3">
        <f>IFERROR(VLOOKUP(C1848,'Справочник соответствий'!A$2:D$2981,2,FALSE),IF(VALUE(C1848)=0,1,VLOOKUP(C1848,'Справочник соответствий'!A$2:D$2981,2,FALSE)))</f>
        <v>1</v>
      </c>
      <c r="J1848" s="3">
        <f>IFERROR(VLOOKUP(D1848,'Справочник соответствий'!A$2:D$2981,2,FALSE),IF(VALUE(D1848)=0,0,VLOOKUP(D1848,'Справочник соответствий'!A$2:D$2981,2,FALSE)))</f>
        <v>0</v>
      </c>
      <c r="K1848" s="3">
        <f t="shared" si="196"/>
        <v>1</v>
      </c>
      <c r="L1848" s="13" t="str">
        <f>IFERROR(VLOOKUP(C1848,'Справочник соответствий'!A$2:D$2981,3,FALSE),IF(VALUE(C1848)=0,"ЭТАЖ НЕ ОПРЕДЕЛЕН. ПРИНЯТ ПО ДОПУЩЕНИЮ 1",VLOOKUP(C1848,'Справочник соответствий'!A$2:D$2981,3,FALSE)))</f>
        <v>ЭТАЖ НЕ ОПРЕДЕЛЕН. ПРИНЯТ ПО ДОПУЩЕНИЮ 1</v>
      </c>
      <c r="M1848" s="13" t="b">
        <f t="shared" si="197"/>
        <v>1</v>
      </c>
      <c r="N1848" s="13">
        <f t="shared" si="198"/>
        <v>1</v>
      </c>
      <c r="O1848" s="13" t="str">
        <f t="shared" si="19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1848" s="13" t="str">
        <f t="shared" si="200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1848" s="13" t="str">
        <f t="shared" si="201"/>
        <v>ГОТОВ</v>
      </c>
      <c r="R1848" s="13">
        <f>IFERROR(VLOOKUP(P1848,Лист1!A$1:B$20,2,FALSE),0)</f>
        <v>214</v>
      </c>
      <c r="S1848" s="13">
        <f t="shared" si="202"/>
        <v>1</v>
      </c>
    </row>
    <row r="1849" spans="1:19" x14ac:dyDescent="0.25">
      <c r="A1849" s="24" t="s">
        <v>2976</v>
      </c>
      <c r="B1849" s="4" t="s">
        <v>1031</v>
      </c>
      <c r="C1849" s="25" t="s">
        <v>12</v>
      </c>
      <c r="D1849" s="25" t="s">
        <v>5</v>
      </c>
      <c r="E1849" s="3">
        <v>4</v>
      </c>
      <c r="F1849" s="24" t="s">
        <v>1074</v>
      </c>
      <c r="G1849" s="25" t="s">
        <v>1075</v>
      </c>
      <c r="H1849" s="24" t="s">
        <v>1061</v>
      </c>
      <c r="I1849" s="3" t="str">
        <f>IFERROR(VLOOKUP(C1849,'Справочник соответствий'!A$2:D$2981,2,FALSE),IF(VALUE(C1849)=0,1,VLOOKUP(C1849,'Справочник соответствий'!A$2:D$2981,2,FALSE)))</f>
        <v>4</v>
      </c>
      <c r="J1849" s="3" t="str">
        <f>IFERROR(VLOOKUP(D1849,'Справочник соответствий'!A$2:D$2981,2,FALSE),IF(VALUE(D1849)=0,0,VLOOKUP(D1849,'Справочник соответствий'!A$2:D$2981,2,FALSE)))</f>
        <v>1</v>
      </c>
      <c r="K1849" s="3">
        <f t="shared" si="196"/>
        <v>3</v>
      </c>
      <c r="L1849" s="13" t="str">
        <f>IFERROR(VLOOKUP(C1849,'Справочник соответствий'!A$2:D$2981,3,FALSE),IF(VALUE(C1849)=0,"ЭТАЖ НЕ ОПРЕДЕЛЕН. ПРИНЯТ ПО ДОПУЩЕНИЮ 1",VLOOKUP(C1849,'Справочник соответствий'!A$2:D$2981,3,FALSE)))</f>
        <v>ЭТАЖ ЗАДАН ЧИСЛОМ</v>
      </c>
      <c r="M1849" s="13" t="b">
        <f t="shared" si="197"/>
        <v>0</v>
      </c>
      <c r="N1849" s="13">
        <f t="shared" si="198"/>
        <v>3</v>
      </c>
      <c r="O1849" s="13" t="str">
        <f t="shared" si="199"/>
        <v>ЭТАЖ ЗАДАН ЧИСЛОМ</v>
      </c>
      <c r="P1849" s="13" t="str">
        <f t="shared" si="200"/>
        <v>МКД_ЭТАЖ ЗАДАН ЧИСЛОМ</v>
      </c>
      <c r="Q1849" s="13" t="str">
        <f t="shared" si="201"/>
        <v>ГОТОВ_ИЗМЕНЕН</v>
      </c>
      <c r="R1849" s="13">
        <f>IFERROR(VLOOKUP(P1849,Лист1!A$1:B$20,2,FALSE),0)</f>
        <v>786</v>
      </c>
      <c r="S1849" s="13">
        <f t="shared" si="202"/>
        <v>4</v>
      </c>
    </row>
    <row r="1850" spans="1:19" x14ac:dyDescent="0.25">
      <c r="A1850" s="24" t="s">
        <v>2977</v>
      </c>
      <c r="B1850" s="4" t="s">
        <v>1063</v>
      </c>
      <c r="C1850" s="25" t="s">
        <v>5</v>
      </c>
      <c r="E1850" s="3">
        <v>1</v>
      </c>
      <c r="F1850" s="24" t="s">
        <v>1045</v>
      </c>
      <c r="G1850" s="25" t="s">
        <v>1205</v>
      </c>
      <c r="H1850" s="24" t="s">
        <v>1061</v>
      </c>
      <c r="I1850" s="3" t="str">
        <f>IFERROR(VLOOKUP(C1850,'Справочник соответствий'!A$2:D$2981,2,FALSE),IF(VALUE(C1850)=0,1,VLOOKUP(C1850,'Справочник соответствий'!A$2:D$2981,2,FALSE)))</f>
        <v>1</v>
      </c>
      <c r="J1850" s="3">
        <f>IFERROR(VLOOKUP(D1850,'Справочник соответствий'!A$2:D$2981,2,FALSE),IF(VALUE(D1850)=0,0,VLOOKUP(D1850,'Справочник соответствий'!A$2:D$2981,2,FALSE)))</f>
        <v>0</v>
      </c>
      <c r="K1850" s="3" t="str">
        <f t="shared" si="196"/>
        <v>1</v>
      </c>
      <c r="L1850" s="13" t="str">
        <f>IFERROR(VLOOKUP(C1850,'Справочник соответствий'!A$2:D$2981,3,FALSE),IF(VALUE(C1850)=0,"ЭТАЖ НЕ ОПРЕДЕЛЕН. ПРИНЯТ ПО ДОПУЩЕНИЮ 1",VLOOKUP(C1850,'Справочник соответствий'!A$2:D$2981,3,FALSE)))</f>
        <v>ЭТАЖ ЗАДАН ЧИСЛОМ</v>
      </c>
      <c r="M1850" s="13" t="b">
        <f t="shared" si="197"/>
        <v>0</v>
      </c>
      <c r="N1850" s="13">
        <f t="shared" si="198"/>
        <v>1</v>
      </c>
      <c r="O1850" s="13" t="str">
        <f t="shared" si="199"/>
        <v>ЭТАЖ ЗАДАН ЧИСЛОМ</v>
      </c>
      <c r="P1850" s="13" t="str">
        <f t="shared" si="200"/>
        <v>ЭТАЖ ЗАДАН ЧИСЛОМ</v>
      </c>
      <c r="Q1850" s="13" t="str">
        <f t="shared" si="201"/>
        <v>ГОТОВ</v>
      </c>
      <c r="R1850" s="13">
        <f>IFERROR(VLOOKUP(P1850,Лист1!A$1:B$20,2,FALSE),0)</f>
        <v>784</v>
      </c>
      <c r="S1850" s="13">
        <f t="shared" si="202"/>
        <v>1</v>
      </c>
    </row>
    <row r="1851" spans="1:19" x14ac:dyDescent="0.25">
      <c r="A1851" s="24" t="s">
        <v>2978</v>
      </c>
      <c r="B1851" s="4" t="s">
        <v>1063</v>
      </c>
      <c r="C1851" s="25" t="s">
        <v>5</v>
      </c>
      <c r="E1851" s="3">
        <v>1</v>
      </c>
      <c r="F1851" s="24" t="s">
        <v>1045</v>
      </c>
      <c r="G1851" s="25" t="s">
        <v>1099</v>
      </c>
      <c r="H1851" s="24" t="s">
        <v>1061</v>
      </c>
      <c r="I1851" s="3" t="str">
        <f>IFERROR(VLOOKUP(C1851,'Справочник соответствий'!A$2:D$2981,2,FALSE),IF(VALUE(C1851)=0,1,VLOOKUP(C1851,'Справочник соответствий'!A$2:D$2981,2,FALSE)))</f>
        <v>1</v>
      </c>
      <c r="J1851" s="3">
        <f>IFERROR(VLOOKUP(D1851,'Справочник соответствий'!A$2:D$2981,2,FALSE),IF(VALUE(D1851)=0,0,VLOOKUP(D1851,'Справочник соответствий'!A$2:D$2981,2,FALSE)))</f>
        <v>0</v>
      </c>
      <c r="K1851" s="3" t="str">
        <f t="shared" si="196"/>
        <v>1</v>
      </c>
      <c r="L1851" s="13" t="str">
        <f>IFERROR(VLOOKUP(C1851,'Справочник соответствий'!A$2:D$2981,3,FALSE),IF(VALUE(C1851)=0,"ЭТАЖ НЕ ОПРЕДЕЛЕН. ПРИНЯТ ПО ДОПУЩЕНИЮ 1",VLOOKUP(C1851,'Справочник соответствий'!A$2:D$2981,3,FALSE)))</f>
        <v>ЭТАЖ ЗАДАН ЧИСЛОМ</v>
      </c>
      <c r="M1851" s="13" t="b">
        <f t="shared" si="197"/>
        <v>0</v>
      </c>
      <c r="N1851" s="13">
        <f t="shared" si="198"/>
        <v>1</v>
      </c>
      <c r="O1851" s="13" t="str">
        <f t="shared" si="199"/>
        <v>ЭТАЖ ЗАДАН ЧИСЛОМ</v>
      </c>
      <c r="P1851" s="13" t="str">
        <f t="shared" si="200"/>
        <v>ЭТАЖ ЗАДАН ЧИСЛОМ</v>
      </c>
      <c r="Q1851" s="13" t="str">
        <f t="shared" si="201"/>
        <v>ГОТОВ</v>
      </c>
      <c r="R1851" s="13">
        <f>IFERROR(VLOOKUP(P1851,Лист1!A$1:B$20,2,FALSE),0)</f>
        <v>784</v>
      </c>
      <c r="S1851" s="13">
        <f t="shared" si="202"/>
        <v>1</v>
      </c>
    </row>
    <row r="1852" spans="1:19" x14ac:dyDescent="0.25">
      <c r="A1852" s="24" t="s">
        <v>2979</v>
      </c>
      <c r="B1852" s="4" t="s">
        <v>1059</v>
      </c>
      <c r="C1852" s="25" t="s">
        <v>7</v>
      </c>
      <c r="E1852" s="3">
        <v>2</v>
      </c>
      <c r="F1852" s="24" t="s">
        <v>1045</v>
      </c>
      <c r="G1852" s="25" t="s">
        <v>1080</v>
      </c>
      <c r="H1852" s="24" t="s">
        <v>1061</v>
      </c>
      <c r="I1852" s="3" t="str">
        <f>IFERROR(VLOOKUP(C1852,'Справочник соответствий'!A$2:D$2981,2,FALSE),IF(VALUE(C1852)=0,1,VLOOKUP(C1852,'Справочник соответствий'!A$2:D$2981,2,FALSE)))</f>
        <v>2</v>
      </c>
      <c r="J1852" s="3">
        <f>IFERROR(VLOOKUP(D1852,'Справочник соответствий'!A$2:D$2981,2,FALSE),IF(VALUE(D1852)=0,0,VLOOKUP(D1852,'Справочник соответствий'!A$2:D$2981,2,FALSE)))</f>
        <v>0</v>
      </c>
      <c r="K1852" s="3" t="str">
        <f t="shared" si="196"/>
        <v>2</v>
      </c>
      <c r="L1852" s="13" t="str">
        <f>IFERROR(VLOOKUP(C1852,'Справочник соответствий'!A$2:D$2981,3,FALSE),IF(VALUE(C1852)=0,"ЭТАЖ НЕ ОПРЕДЕЛЕН. ПРИНЯТ ПО ДОПУЩЕНИЮ 1",VLOOKUP(C1852,'Справочник соответствий'!A$2:D$2981,3,FALSE)))</f>
        <v>ЭТАЖ ЗАДАН ЧИСЛОМ</v>
      </c>
      <c r="M1852" s="13" t="b">
        <f t="shared" si="197"/>
        <v>0</v>
      </c>
      <c r="N1852" s="13">
        <f t="shared" si="198"/>
        <v>2</v>
      </c>
      <c r="O1852" s="13" t="str">
        <f t="shared" si="199"/>
        <v>ЭТАЖ ЗАДАН ЧИСЛОМ</v>
      </c>
      <c r="P1852" s="13" t="str">
        <f t="shared" si="200"/>
        <v>ЭТАЖ ЗАДАН ЧИСЛОМ</v>
      </c>
      <c r="Q1852" s="13" t="str">
        <f t="shared" si="201"/>
        <v>ГОТОВ</v>
      </c>
      <c r="R1852" s="13">
        <f>IFERROR(VLOOKUP(P1852,Лист1!A$1:B$20,2,FALSE),0)</f>
        <v>784</v>
      </c>
      <c r="S1852" s="13">
        <f t="shared" si="202"/>
        <v>2</v>
      </c>
    </row>
    <row r="1853" spans="1:19" x14ac:dyDescent="0.25">
      <c r="A1853" s="24" t="s">
        <v>2980</v>
      </c>
      <c r="B1853" s="4" t="s">
        <v>1063</v>
      </c>
      <c r="C1853" s="25" t="s">
        <v>5</v>
      </c>
      <c r="E1853" s="3">
        <v>1</v>
      </c>
      <c r="F1853" s="24" t="s">
        <v>1045</v>
      </c>
      <c r="G1853" s="25" t="s">
        <v>1391</v>
      </c>
      <c r="H1853" s="24" t="s">
        <v>1061</v>
      </c>
      <c r="I1853" s="3" t="str">
        <f>IFERROR(VLOOKUP(C1853,'Справочник соответствий'!A$2:D$2981,2,FALSE),IF(VALUE(C1853)=0,1,VLOOKUP(C1853,'Справочник соответствий'!A$2:D$2981,2,FALSE)))</f>
        <v>1</v>
      </c>
      <c r="J1853" s="3">
        <f>IFERROR(VLOOKUP(D1853,'Справочник соответствий'!A$2:D$2981,2,FALSE),IF(VALUE(D1853)=0,0,VLOOKUP(D1853,'Справочник соответствий'!A$2:D$2981,2,FALSE)))</f>
        <v>0</v>
      </c>
      <c r="K1853" s="3" t="str">
        <f t="shared" si="196"/>
        <v>1</v>
      </c>
      <c r="L1853" s="13" t="str">
        <f>IFERROR(VLOOKUP(C1853,'Справочник соответствий'!A$2:D$2981,3,FALSE),IF(VALUE(C1853)=0,"ЭТАЖ НЕ ОПРЕДЕЛЕН. ПРИНЯТ ПО ДОПУЩЕНИЮ 1",VLOOKUP(C1853,'Справочник соответствий'!A$2:D$2981,3,FALSE)))</f>
        <v>ЭТАЖ ЗАДАН ЧИСЛОМ</v>
      </c>
      <c r="M1853" s="13" t="b">
        <f t="shared" si="197"/>
        <v>0</v>
      </c>
      <c r="N1853" s="13">
        <f t="shared" si="198"/>
        <v>1</v>
      </c>
      <c r="O1853" s="13" t="str">
        <f t="shared" si="199"/>
        <v>ЭТАЖ ЗАДАН ЧИСЛОМ</v>
      </c>
      <c r="P1853" s="13" t="str">
        <f t="shared" si="200"/>
        <v>ЭТАЖ ЗАДАН ЧИСЛОМ</v>
      </c>
      <c r="Q1853" s="13" t="str">
        <f t="shared" si="201"/>
        <v>ГОТОВ</v>
      </c>
      <c r="R1853" s="13">
        <f>IFERROR(VLOOKUP(P1853,Лист1!A$1:B$20,2,FALSE),0)</f>
        <v>784</v>
      </c>
      <c r="S1853" s="13">
        <f t="shared" si="202"/>
        <v>1</v>
      </c>
    </row>
    <row r="1854" spans="1:19" x14ac:dyDescent="0.25">
      <c r="A1854" s="24" t="s">
        <v>2981</v>
      </c>
      <c r="B1854" s="4" t="s">
        <v>1059</v>
      </c>
      <c r="C1854" s="25" t="s">
        <v>5</v>
      </c>
      <c r="E1854" s="3">
        <v>1</v>
      </c>
      <c r="F1854" s="24" t="s">
        <v>1045</v>
      </c>
      <c r="G1854" s="25" t="s">
        <v>1698</v>
      </c>
      <c r="H1854" s="24" t="s">
        <v>1061</v>
      </c>
      <c r="I1854" s="3" t="str">
        <f>IFERROR(VLOOKUP(C1854,'Справочник соответствий'!A$2:D$2981,2,FALSE),IF(VALUE(C1854)=0,1,VLOOKUP(C1854,'Справочник соответствий'!A$2:D$2981,2,FALSE)))</f>
        <v>1</v>
      </c>
      <c r="J1854" s="3">
        <f>IFERROR(VLOOKUP(D1854,'Справочник соответствий'!A$2:D$2981,2,FALSE),IF(VALUE(D1854)=0,0,VLOOKUP(D1854,'Справочник соответствий'!A$2:D$2981,2,FALSE)))</f>
        <v>0</v>
      </c>
      <c r="K1854" s="3" t="str">
        <f t="shared" si="196"/>
        <v>1</v>
      </c>
      <c r="L1854" s="13" t="str">
        <f>IFERROR(VLOOKUP(C1854,'Справочник соответствий'!A$2:D$2981,3,FALSE),IF(VALUE(C1854)=0,"ЭТАЖ НЕ ОПРЕДЕЛЕН. ПРИНЯТ ПО ДОПУЩЕНИЮ 1",VLOOKUP(C1854,'Справочник соответствий'!A$2:D$2981,3,FALSE)))</f>
        <v>ЭТАЖ ЗАДАН ЧИСЛОМ</v>
      </c>
      <c r="M1854" s="13" t="b">
        <f t="shared" si="197"/>
        <v>0</v>
      </c>
      <c r="N1854" s="13">
        <f t="shared" si="198"/>
        <v>1</v>
      </c>
      <c r="O1854" s="13" t="str">
        <f t="shared" si="199"/>
        <v>ЭТАЖ ЗАДАН ЧИСЛОМ</v>
      </c>
      <c r="P1854" s="13" t="str">
        <f t="shared" si="200"/>
        <v>ЭТАЖ ЗАДАН ЧИСЛОМ</v>
      </c>
      <c r="Q1854" s="13" t="str">
        <f t="shared" si="201"/>
        <v>ГОТОВ</v>
      </c>
      <c r="R1854" s="13">
        <f>IFERROR(VLOOKUP(P1854,Лист1!A$1:B$20,2,FALSE),0)</f>
        <v>784</v>
      </c>
      <c r="S1854" s="13">
        <f t="shared" si="202"/>
        <v>1</v>
      </c>
    </row>
    <row r="1855" spans="1:19" x14ac:dyDescent="0.25">
      <c r="A1855" s="24" t="s">
        <v>2982</v>
      </c>
      <c r="B1855" s="4" t="s">
        <v>1031</v>
      </c>
      <c r="C1855" s="25" t="s">
        <v>5</v>
      </c>
      <c r="E1855" s="3">
        <v>1</v>
      </c>
      <c r="F1855" s="24" t="s">
        <v>1727</v>
      </c>
      <c r="G1855" s="25" t="s">
        <v>1075</v>
      </c>
      <c r="H1855" s="24" t="s">
        <v>1061</v>
      </c>
      <c r="I1855" s="3" t="str">
        <f>IFERROR(VLOOKUP(C1855,'Справочник соответствий'!A$2:D$2981,2,FALSE),IF(VALUE(C1855)=0,1,VLOOKUP(C1855,'Справочник соответствий'!A$2:D$2981,2,FALSE)))</f>
        <v>1</v>
      </c>
      <c r="J1855" s="3">
        <f>IFERROR(VLOOKUP(D1855,'Справочник соответствий'!A$2:D$2981,2,FALSE),IF(VALUE(D1855)=0,0,VLOOKUP(D1855,'Справочник соответствий'!A$2:D$2981,2,FALSE)))</f>
        <v>0</v>
      </c>
      <c r="K1855" s="3">
        <f t="shared" si="196"/>
        <v>1</v>
      </c>
      <c r="L1855" s="13" t="str">
        <f>IFERROR(VLOOKUP(C1855,'Справочник соответствий'!A$2:D$2981,3,FALSE),IF(VALUE(C1855)=0,"ЭТАЖ НЕ ОПРЕДЕЛЕН. ПРИНЯТ ПО ДОПУЩЕНИЮ 1",VLOOKUP(C1855,'Справочник соответствий'!A$2:D$2981,3,FALSE)))</f>
        <v>ЭТАЖ ЗАДАН ЧИСЛОМ</v>
      </c>
      <c r="M1855" s="13" t="b">
        <f t="shared" si="197"/>
        <v>0</v>
      </c>
      <c r="N1855" s="13">
        <f t="shared" si="198"/>
        <v>1</v>
      </c>
      <c r="O1855" s="13" t="str">
        <f t="shared" si="199"/>
        <v>ЭТАЖ ЗАДАН ЧИСЛОМ</v>
      </c>
      <c r="P1855" s="13" t="str">
        <f t="shared" si="200"/>
        <v>МКД_ЭТАЖ ЗАДАН ЧИСЛОМ</v>
      </c>
      <c r="Q1855" s="13" t="str">
        <f t="shared" si="201"/>
        <v>ГОТОВ</v>
      </c>
      <c r="R1855" s="13">
        <f>IFERROR(VLOOKUP(P1855,Лист1!A$1:B$20,2,FALSE),0)</f>
        <v>786</v>
      </c>
      <c r="S1855" s="13">
        <f t="shared" si="202"/>
        <v>1</v>
      </c>
    </row>
    <row r="1856" spans="1:19" x14ac:dyDescent="0.25">
      <c r="A1856" s="24" t="s">
        <v>2983</v>
      </c>
      <c r="B1856" s="4" t="s">
        <v>1059</v>
      </c>
      <c r="C1856" s="25" t="s">
        <v>5</v>
      </c>
      <c r="E1856" s="3">
        <v>1</v>
      </c>
      <c r="F1856" s="24" t="s">
        <v>1045</v>
      </c>
      <c r="G1856" s="25" t="s">
        <v>1072</v>
      </c>
      <c r="H1856" s="24" t="s">
        <v>1061</v>
      </c>
      <c r="I1856" s="3" t="str">
        <f>IFERROR(VLOOKUP(C1856,'Справочник соответствий'!A$2:D$2981,2,FALSE),IF(VALUE(C1856)=0,1,VLOOKUP(C1856,'Справочник соответствий'!A$2:D$2981,2,FALSE)))</f>
        <v>1</v>
      </c>
      <c r="J1856" s="3">
        <f>IFERROR(VLOOKUP(D1856,'Справочник соответствий'!A$2:D$2981,2,FALSE),IF(VALUE(D1856)=0,0,VLOOKUP(D1856,'Справочник соответствий'!A$2:D$2981,2,FALSE)))</f>
        <v>0</v>
      </c>
      <c r="K1856" s="3" t="str">
        <f t="shared" si="196"/>
        <v>1</v>
      </c>
      <c r="L1856" s="13" t="str">
        <f>IFERROR(VLOOKUP(C1856,'Справочник соответствий'!A$2:D$2981,3,FALSE),IF(VALUE(C1856)=0,"ЭТАЖ НЕ ОПРЕДЕЛЕН. ПРИНЯТ ПО ДОПУЩЕНИЮ 1",VLOOKUP(C1856,'Справочник соответствий'!A$2:D$2981,3,FALSE)))</f>
        <v>ЭТАЖ ЗАДАН ЧИСЛОМ</v>
      </c>
      <c r="M1856" s="13" t="b">
        <f t="shared" si="197"/>
        <v>0</v>
      </c>
      <c r="N1856" s="13">
        <f t="shared" si="198"/>
        <v>1</v>
      </c>
      <c r="O1856" s="13" t="str">
        <f t="shared" si="199"/>
        <v>ЭТАЖ ЗАДАН ЧИСЛОМ</v>
      </c>
      <c r="P1856" s="13" t="str">
        <f t="shared" si="200"/>
        <v>ЭТАЖ ЗАДАН ЧИСЛОМ</v>
      </c>
      <c r="Q1856" s="13" t="str">
        <f t="shared" si="201"/>
        <v>ГОТОВ</v>
      </c>
      <c r="R1856" s="13">
        <f>IFERROR(VLOOKUP(P1856,Лист1!A$1:B$20,2,FALSE),0)</f>
        <v>784</v>
      </c>
      <c r="S1856" s="13">
        <f t="shared" si="202"/>
        <v>1</v>
      </c>
    </row>
    <row r="1857" spans="1:19" x14ac:dyDescent="0.25">
      <c r="A1857" s="24" t="s">
        <v>2984</v>
      </c>
      <c r="B1857" s="4" t="s">
        <v>1059</v>
      </c>
      <c r="C1857" s="25" t="s">
        <v>5</v>
      </c>
      <c r="E1857" s="3">
        <v>1</v>
      </c>
      <c r="F1857" s="24" t="s">
        <v>1045</v>
      </c>
      <c r="G1857" s="25" t="s">
        <v>1083</v>
      </c>
      <c r="H1857" s="24" t="s">
        <v>1061</v>
      </c>
      <c r="I1857" s="3" t="str">
        <f>IFERROR(VLOOKUP(C1857,'Справочник соответствий'!A$2:D$2981,2,FALSE),IF(VALUE(C1857)=0,1,VLOOKUP(C1857,'Справочник соответствий'!A$2:D$2981,2,FALSE)))</f>
        <v>1</v>
      </c>
      <c r="J1857" s="3">
        <f>IFERROR(VLOOKUP(D1857,'Справочник соответствий'!A$2:D$2981,2,FALSE),IF(VALUE(D1857)=0,0,VLOOKUP(D1857,'Справочник соответствий'!A$2:D$2981,2,FALSE)))</f>
        <v>0</v>
      </c>
      <c r="K1857" s="3" t="str">
        <f t="shared" si="196"/>
        <v>1</v>
      </c>
      <c r="L1857" s="13" t="str">
        <f>IFERROR(VLOOKUP(C1857,'Справочник соответствий'!A$2:D$2981,3,FALSE),IF(VALUE(C1857)=0,"ЭТАЖ НЕ ОПРЕДЕЛЕН. ПРИНЯТ ПО ДОПУЩЕНИЮ 1",VLOOKUP(C1857,'Справочник соответствий'!A$2:D$2981,3,FALSE)))</f>
        <v>ЭТАЖ ЗАДАН ЧИСЛОМ</v>
      </c>
      <c r="M1857" s="13" t="b">
        <f t="shared" si="197"/>
        <v>0</v>
      </c>
      <c r="N1857" s="13">
        <f t="shared" si="198"/>
        <v>1</v>
      </c>
      <c r="O1857" s="13" t="str">
        <f t="shared" si="199"/>
        <v>ЭТАЖ ЗАДАН ЧИСЛОМ</v>
      </c>
      <c r="P1857" s="13" t="str">
        <f t="shared" si="200"/>
        <v>ЭТАЖ ЗАДАН ЧИСЛОМ</v>
      </c>
      <c r="Q1857" s="13" t="str">
        <f t="shared" si="201"/>
        <v>ГОТОВ</v>
      </c>
      <c r="R1857" s="13">
        <f>IFERROR(VLOOKUP(P1857,Лист1!A$1:B$20,2,FALSE),0)</f>
        <v>784</v>
      </c>
      <c r="S1857" s="13">
        <f t="shared" si="202"/>
        <v>1</v>
      </c>
    </row>
    <row r="1858" spans="1:19" x14ac:dyDescent="0.25">
      <c r="A1858" s="24" t="s">
        <v>2985</v>
      </c>
      <c r="B1858" s="4" t="s">
        <v>1063</v>
      </c>
      <c r="C1858" s="25" t="s">
        <v>5</v>
      </c>
      <c r="E1858" s="3">
        <v>1</v>
      </c>
      <c r="F1858" s="24" t="s">
        <v>1045</v>
      </c>
      <c r="G1858" s="25" t="s">
        <v>1698</v>
      </c>
      <c r="H1858" s="24" t="s">
        <v>1061</v>
      </c>
      <c r="I1858" s="3" t="str">
        <f>IFERROR(VLOOKUP(C1858,'Справочник соответствий'!A$2:D$2981,2,FALSE),IF(VALUE(C1858)=0,1,VLOOKUP(C1858,'Справочник соответствий'!A$2:D$2981,2,FALSE)))</f>
        <v>1</v>
      </c>
      <c r="J1858" s="3">
        <f>IFERROR(VLOOKUP(D1858,'Справочник соответствий'!A$2:D$2981,2,FALSE),IF(VALUE(D1858)=0,0,VLOOKUP(D1858,'Справочник соответствий'!A$2:D$2981,2,FALSE)))</f>
        <v>0</v>
      </c>
      <c r="K1858" s="3" t="str">
        <f t="shared" si="196"/>
        <v>1</v>
      </c>
      <c r="L1858" s="13" t="str">
        <f>IFERROR(VLOOKUP(C1858,'Справочник соответствий'!A$2:D$2981,3,FALSE),IF(VALUE(C1858)=0,"ЭТАЖ НЕ ОПРЕДЕЛЕН. ПРИНЯТ ПО ДОПУЩЕНИЮ 1",VLOOKUP(C1858,'Справочник соответствий'!A$2:D$2981,3,FALSE)))</f>
        <v>ЭТАЖ ЗАДАН ЧИСЛОМ</v>
      </c>
      <c r="M1858" s="13" t="b">
        <f t="shared" si="197"/>
        <v>0</v>
      </c>
      <c r="N1858" s="13">
        <f t="shared" si="198"/>
        <v>1</v>
      </c>
      <c r="O1858" s="13" t="str">
        <f t="shared" si="199"/>
        <v>ЭТАЖ ЗАДАН ЧИСЛОМ</v>
      </c>
      <c r="P1858" s="13" t="str">
        <f t="shared" si="200"/>
        <v>ЭТАЖ ЗАДАН ЧИСЛОМ</v>
      </c>
      <c r="Q1858" s="13" t="str">
        <f t="shared" si="201"/>
        <v>ГОТОВ</v>
      </c>
      <c r="R1858" s="13">
        <f>IFERROR(VLOOKUP(P1858,Лист1!A$1:B$20,2,FALSE),0)</f>
        <v>784</v>
      </c>
      <c r="S1858" s="13">
        <f t="shared" si="202"/>
        <v>1</v>
      </c>
    </row>
    <row r="1859" spans="1:19" x14ac:dyDescent="0.25">
      <c r="A1859" s="24" t="s">
        <v>2986</v>
      </c>
      <c r="B1859" s="4" t="s">
        <v>1059</v>
      </c>
      <c r="C1859" s="25" t="s">
        <v>5</v>
      </c>
      <c r="E1859" s="3">
        <v>1</v>
      </c>
      <c r="F1859" s="24" t="s">
        <v>1045</v>
      </c>
      <c r="G1859" s="25" t="s">
        <v>1108</v>
      </c>
      <c r="H1859" s="24" t="s">
        <v>1061</v>
      </c>
      <c r="I1859" s="3" t="str">
        <f>IFERROR(VLOOKUP(C1859,'Справочник соответствий'!A$2:D$2981,2,FALSE),IF(VALUE(C1859)=0,1,VLOOKUP(C1859,'Справочник соответствий'!A$2:D$2981,2,FALSE)))</f>
        <v>1</v>
      </c>
      <c r="J1859" s="3">
        <f>IFERROR(VLOOKUP(D1859,'Справочник соответствий'!A$2:D$2981,2,FALSE),IF(VALUE(D1859)=0,0,VLOOKUP(D1859,'Справочник соответствий'!A$2:D$2981,2,FALSE)))</f>
        <v>0</v>
      </c>
      <c r="K1859" s="3" t="str">
        <f t="shared" si="196"/>
        <v>1</v>
      </c>
      <c r="L1859" s="13" t="str">
        <f>IFERROR(VLOOKUP(C1859,'Справочник соответствий'!A$2:D$2981,3,FALSE),IF(VALUE(C1859)=0,"ЭТАЖ НЕ ОПРЕДЕЛЕН. ПРИНЯТ ПО ДОПУЩЕНИЮ 1",VLOOKUP(C1859,'Справочник соответствий'!A$2:D$2981,3,FALSE)))</f>
        <v>ЭТАЖ ЗАДАН ЧИСЛОМ</v>
      </c>
      <c r="M1859" s="13" t="b">
        <f t="shared" si="197"/>
        <v>0</v>
      </c>
      <c r="N1859" s="13">
        <f t="shared" si="198"/>
        <v>1</v>
      </c>
      <c r="O1859" s="13" t="str">
        <f t="shared" si="199"/>
        <v>ЭТАЖ ЗАДАН ЧИСЛОМ</v>
      </c>
      <c r="P1859" s="13" t="str">
        <f t="shared" si="200"/>
        <v>ЭТАЖ ЗАДАН ЧИСЛОМ</v>
      </c>
      <c r="Q1859" s="13" t="str">
        <f t="shared" si="201"/>
        <v>ГОТОВ</v>
      </c>
      <c r="R1859" s="13">
        <f>IFERROR(VLOOKUP(P1859,Лист1!A$1:B$20,2,FALSE),0)</f>
        <v>784</v>
      </c>
      <c r="S1859" s="13">
        <f t="shared" si="202"/>
        <v>1</v>
      </c>
    </row>
    <row r="1860" spans="1:19" x14ac:dyDescent="0.25">
      <c r="A1860" s="24" t="s">
        <v>2987</v>
      </c>
      <c r="B1860" s="4" t="s">
        <v>1059</v>
      </c>
      <c r="C1860" s="25" t="s">
        <v>5</v>
      </c>
      <c r="E1860" s="3">
        <v>1</v>
      </c>
      <c r="F1860" s="24" t="s">
        <v>1045</v>
      </c>
      <c r="G1860" s="25" t="s">
        <v>1108</v>
      </c>
      <c r="H1860" s="24" t="s">
        <v>1061</v>
      </c>
      <c r="I1860" s="3" t="str">
        <f>IFERROR(VLOOKUP(C1860,'Справочник соответствий'!A$2:D$2981,2,FALSE),IF(VALUE(C1860)=0,1,VLOOKUP(C1860,'Справочник соответствий'!A$2:D$2981,2,FALSE)))</f>
        <v>1</v>
      </c>
      <c r="J1860" s="3">
        <f>IFERROR(VLOOKUP(D1860,'Справочник соответствий'!A$2:D$2981,2,FALSE),IF(VALUE(D1860)=0,0,VLOOKUP(D1860,'Справочник соответствий'!A$2:D$2981,2,FALSE)))</f>
        <v>0</v>
      </c>
      <c r="K1860" s="3" t="str">
        <f t="shared" si="196"/>
        <v>1</v>
      </c>
      <c r="L1860" s="13" t="str">
        <f>IFERROR(VLOOKUP(C1860,'Справочник соответствий'!A$2:D$2981,3,FALSE),IF(VALUE(C1860)=0,"ЭТАЖ НЕ ОПРЕДЕЛЕН. ПРИНЯТ ПО ДОПУЩЕНИЮ 1",VLOOKUP(C1860,'Справочник соответствий'!A$2:D$2981,3,FALSE)))</f>
        <v>ЭТАЖ ЗАДАН ЧИСЛОМ</v>
      </c>
      <c r="M1860" s="13" t="b">
        <f t="shared" si="197"/>
        <v>0</v>
      </c>
      <c r="N1860" s="13">
        <f t="shared" si="198"/>
        <v>1</v>
      </c>
      <c r="O1860" s="13" t="str">
        <f t="shared" si="199"/>
        <v>ЭТАЖ ЗАДАН ЧИСЛОМ</v>
      </c>
      <c r="P1860" s="13" t="str">
        <f t="shared" si="200"/>
        <v>ЭТАЖ ЗАДАН ЧИСЛОМ</v>
      </c>
      <c r="Q1860" s="13" t="str">
        <f t="shared" si="201"/>
        <v>ГОТОВ</v>
      </c>
      <c r="R1860" s="13">
        <f>IFERROR(VLOOKUP(P1860,Лист1!A$1:B$20,2,FALSE),0)</f>
        <v>784</v>
      </c>
      <c r="S1860" s="13">
        <f t="shared" si="202"/>
        <v>1</v>
      </c>
    </row>
    <row r="1861" spans="1:19" x14ac:dyDescent="0.25">
      <c r="A1861" s="24" t="s">
        <v>2988</v>
      </c>
      <c r="B1861" s="4" t="s">
        <v>1059</v>
      </c>
      <c r="C1861" s="25" t="s">
        <v>5</v>
      </c>
      <c r="E1861" s="3">
        <v>1</v>
      </c>
      <c r="F1861" s="24" t="s">
        <v>1045</v>
      </c>
      <c r="G1861" s="25" t="s">
        <v>1089</v>
      </c>
      <c r="H1861" s="24" t="s">
        <v>1061</v>
      </c>
      <c r="I1861" s="3" t="str">
        <f>IFERROR(VLOOKUP(C1861,'Справочник соответствий'!A$2:D$2981,2,FALSE),IF(VALUE(C1861)=0,1,VLOOKUP(C1861,'Справочник соответствий'!A$2:D$2981,2,FALSE)))</f>
        <v>1</v>
      </c>
      <c r="J1861" s="3">
        <f>IFERROR(VLOOKUP(D1861,'Справочник соответствий'!A$2:D$2981,2,FALSE),IF(VALUE(D1861)=0,0,VLOOKUP(D1861,'Справочник соответствий'!A$2:D$2981,2,FALSE)))</f>
        <v>0</v>
      </c>
      <c r="K1861" s="3" t="str">
        <f t="shared" ref="K1861:K1924" si="203">IF(B1861="Многоквартирный дом",IF(I1861-J1861&gt;0,I1861-J1861,1),I1861)</f>
        <v>1</v>
      </c>
      <c r="L1861" s="13" t="str">
        <f>IFERROR(VLOOKUP(C1861,'Справочник соответствий'!A$2:D$2981,3,FALSE),IF(VALUE(C1861)=0,"ЭТАЖ НЕ ОПРЕДЕЛЕН. ПРИНЯТ ПО ДОПУЩЕНИЮ 1",VLOOKUP(C1861,'Справочник соответствий'!A$2:D$2981,3,FALSE)))</f>
        <v>ЭТАЖ ЗАДАН ЧИСЛОМ</v>
      </c>
      <c r="M1861" s="13" t="b">
        <f t="shared" ref="M1861:M1924" si="204">I1861=E1861</f>
        <v>0</v>
      </c>
      <c r="N1861" s="13">
        <f t="shared" ref="N1861:N1924" si="205">IF(VALUE(E1861)=0,VALUE(K1861),IF(L1861="ЭТАЖ НЕ ОПРЕДЕЛЕН. ПРИНЯТ ПО ДОПУЩЕНИЮ 1",VALUE(E1861),VALUE(K1861)))</f>
        <v>1</v>
      </c>
      <c r="O1861" s="13" t="str">
        <f t="shared" ref="O1861:O1924" si="206">IF(VALUE(E1861)=0,L1861,IF(L1861="ЭТАЖ НЕ ОПРЕДЕЛЕН. ПРИНЯТ ПО ДОПУЩЕНИЮ 1",F1861,L1861))</f>
        <v>ЭТАЖ ЗАДАН ЧИСЛОМ</v>
      </c>
      <c r="P1861" s="13" t="str">
        <f t="shared" ref="P1861:P1924" si="207">IF(B1861="Многоквартирный дом",CONCATENATE("МКД_",O1861),O1861)</f>
        <v>ЭТАЖ ЗАДАН ЧИСЛОМ</v>
      </c>
      <c r="Q1861" s="13" t="str">
        <f t="shared" ref="Q1861:Q1924" si="208">IFERROR(IF(N1861&gt;0,IF(N1861=VALUE(E1861),"ГОТОВ","ГОТОВ_ИЗМЕНЕН"),"НЕ ГОТОВ"),"НЕ ГОТОВ")</f>
        <v>ГОТОВ</v>
      </c>
      <c r="R1861" s="13">
        <f>IFERROR(VLOOKUP(P1861,Лист1!A$1:B$20,2,FALSE),0)</f>
        <v>784</v>
      </c>
      <c r="S1861" s="13">
        <f t="shared" ref="S1861:S1924" si="209">VALUE(E1861)</f>
        <v>1</v>
      </c>
    </row>
    <row r="1862" spans="1:19" x14ac:dyDescent="0.25">
      <c r="A1862" s="24" t="s">
        <v>2989</v>
      </c>
      <c r="B1862" s="4" t="s">
        <v>1059</v>
      </c>
      <c r="C1862" s="25" t="s">
        <v>5</v>
      </c>
      <c r="E1862" s="3">
        <v>1</v>
      </c>
      <c r="F1862" s="24" t="s">
        <v>1045</v>
      </c>
      <c r="G1862" s="25" t="s">
        <v>1089</v>
      </c>
      <c r="H1862" s="24" t="s">
        <v>1061</v>
      </c>
      <c r="I1862" s="3" t="str">
        <f>IFERROR(VLOOKUP(C1862,'Справочник соответствий'!A$2:D$2981,2,FALSE),IF(VALUE(C1862)=0,1,VLOOKUP(C1862,'Справочник соответствий'!A$2:D$2981,2,FALSE)))</f>
        <v>1</v>
      </c>
      <c r="J1862" s="3">
        <f>IFERROR(VLOOKUP(D1862,'Справочник соответствий'!A$2:D$2981,2,FALSE),IF(VALUE(D1862)=0,0,VLOOKUP(D1862,'Справочник соответствий'!A$2:D$2981,2,FALSE)))</f>
        <v>0</v>
      </c>
      <c r="K1862" s="3" t="str">
        <f t="shared" si="203"/>
        <v>1</v>
      </c>
      <c r="L1862" s="13" t="str">
        <f>IFERROR(VLOOKUP(C1862,'Справочник соответствий'!A$2:D$2981,3,FALSE),IF(VALUE(C1862)=0,"ЭТАЖ НЕ ОПРЕДЕЛЕН. ПРИНЯТ ПО ДОПУЩЕНИЮ 1",VLOOKUP(C1862,'Справочник соответствий'!A$2:D$2981,3,FALSE)))</f>
        <v>ЭТАЖ ЗАДАН ЧИСЛОМ</v>
      </c>
      <c r="M1862" s="13" t="b">
        <f t="shared" si="204"/>
        <v>0</v>
      </c>
      <c r="N1862" s="13">
        <f t="shared" si="205"/>
        <v>1</v>
      </c>
      <c r="O1862" s="13" t="str">
        <f t="shared" si="206"/>
        <v>ЭТАЖ ЗАДАН ЧИСЛОМ</v>
      </c>
      <c r="P1862" s="13" t="str">
        <f t="shared" si="207"/>
        <v>ЭТАЖ ЗАДАН ЧИСЛОМ</v>
      </c>
      <c r="Q1862" s="13" t="str">
        <f t="shared" si="208"/>
        <v>ГОТОВ</v>
      </c>
      <c r="R1862" s="13">
        <f>IFERROR(VLOOKUP(P1862,Лист1!A$1:B$20,2,FALSE),0)</f>
        <v>784</v>
      </c>
      <c r="S1862" s="13">
        <f t="shared" si="209"/>
        <v>1</v>
      </c>
    </row>
    <row r="1863" spans="1:19" x14ac:dyDescent="0.25">
      <c r="A1863" s="24" t="s">
        <v>2990</v>
      </c>
      <c r="B1863" s="4" t="s">
        <v>1031</v>
      </c>
      <c r="C1863" s="25" t="s">
        <v>7</v>
      </c>
      <c r="E1863" s="3">
        <v>2</v>
      </c>
      <c r="F1863" s="24" t="s">
        <v>1045</v>
      </c>
      <c r="G1863" s="25" t="s">
        <v>1075</v>
      </c>
      <c r="H1863" s="24" t="s">
        <v>1061</v>
      </c>
      <c r="I1863" s="3" t="str">
        <f>IFERROR(VLOOKUP(C1863,'Справочник соответствий'!A$2:D$2981,2,FALSE),IF(VALUE(C1863)=0,1,VLOOKUP(C1863,'Справочник соответствий'!A$2:D$2981,2,FALSE)))</f>
        <v>2</v>
      </c>
      <c r="J1863" s="3">
        <f>IFERROR(VLOOKUP(D1863,'Справочник соответствий'!A$2:D$2981,2,FALSE),IF(VALUE(D1863)=0,0,VLOOKUP(D1863,'Справочник соответствий'!A$2:D$2981,2,FALSE)))</f>
        <v>0</v>
      </c>
      <c r="K1863" s="3">
        <f t="shared" si="203"/>
        <v>2</v>
      </c>
      <c r="L1863" s="13" t="str">
        <f>IFERROR(VLOOKUP(C1863,'Справочник соответствий'!A$2:D$2981,3,FALSE),IF(VALUE(C1863)=0,"ЭТАЖ НЕ ОПРЕДЕЛЕН. ПРИНЯТ ПО ДОПУЩЕНИЮ 1",VLOOKUP(C1863,'Справочник соответствий'!A$2:D$2981,3,FALSE)))</f>
        <v>ЭТАЖ ЗАДАН ЧИСЛОМ</v>
      </c>
      <c r="M1863" s="13" t="b">
        <f t="shared" si="204"/>
        <v>0</v>
      </c>
      <c r="N1863" s="13">
        <f t="shared" si="205"/>
        <v>2</v>
      </c>
      <c r="O1863" s="13" t="str">
        <f t="shared" si="206"/>
        <v>ЭТАЖ ЗАДАН ЧИСЛОМ</v>
      </c>
      <c r="P1863" s="13" t="str">
        <f t="shared" si="207"/>
        <v>МКД_ЭТАЖ ЗАДАН ЧИСЛОМ</v>
      </c>
      <c r="Q1863" s="13" t="str">
        <f t="shared" si="208"/>
        <v>ГОТОВ</v>
      </c>
      <c r="R1863" s="13">
        <f>IFERROR(VLOOKUP(P1863,Лист1!A$1:B$20,2,FALSE),0)</f>
        <v>786</v>
      </c>
      <c r="S1863" s="13">
        <f t="shared" si="209"/>
        <v>2</v>
      </c>
    </row>
    <row r="1864" spans="1:19" x14ac:dyDescent="0.25">
      <c r="A1864" s="24" t="s">
        <v>2991</v>
      </c>
      <c r="B1864" s="4" t="s">
        <v>1059</v>
      </c>
      <c r="C1864" s="25" t="s">
        <v>5</v>
      </c>
      <c r="E1864" s="3">
        <v>1</v>
      </c>
      <c r="F1864" s="24" t="s">
        <v>1045</v>
      </c>
      <c r="G1864" s="25" t="s">
        <v>1104</v>
      </c>
      <c r="H1864" s="24" t="s">
        <v>1061</v>
      </c>
      <c r="I1864" s="3" t="str">
        <f>IFERROR(VLOOKUP(C1864,'Справочник соответствий'!A$2:D$2981,2,FALSE),IF(VALUE(C1864)=0,1,VLOOKUP(C1864,'Справочник соответствий'!A$2:D$2981,2,FALSE)))</f>
        <v>1</v>
      </c>
      <c r="J1864" s="3">
        <f>IFERROR(VLOOKUP(D1864,'Справочник соответствий'!A$2:D$2981,2,FALSE),IF(VALUE(D1864)=0,0,VLOOKUP(D1864,'Справочник соответствий'!A$2:D$2981,2,FALSE)))</f>
        <v>0</v>
      </c>
      <c r="K1864" s="3" t="str">
        <f t="shared" si="203"/>
        <v>1</v>
      </c>
      <c r="L1864" s="13" t="str">
        <f>IFERROR(VLOOKUP(C1864,'Справочник соответствий'!A$2:D$2981,3,FALSE),IF(VALUE(C1864)=0,"ЭТАЖ НЕ ОПРЕДЕЛЕН. ПРИНЯТ ПО ДОПУЩЕНИЮ 1",VLOOKUP(C1864,'Справочник соответствий'!A$2:D$2981,3,FALSE)))</f>
        <v>ЭТАЖ ЗАДАН ЧИСЛОМ</v>
      </c>
      <c r="M1864" s="13" t="b">
        <f t="shared" si="204"/>
        <v>0</v>
      </c>
      <c r="N1864" s="13">
        <f t="shared" si="205"/>
        <v>1</v>
      </c>
      <c r="O1864" s="13" t="str">
        <f t="shared" si="206"/>
        <v>ЭТАЖ ЗАДАН ЧИСЛОМ</v>
      </c>
      <c r="P1864" s="13" t="str">
        <f t="shared" si="207"/>
        <v>ЭТАЖ ЗАДАН ЧИСЛОМ</v>
      </c>
      <c r="Q1864" s="13" t="str">
        <f t="shared" si="208"/>
        <v>ГОТОВ</v>
      </c>
      <c r="R1864" s="13">
        <f>IFERROR(VLOOKUP(P1864,Лист1!A$1:B$20,2,FALSE),0)</f>
        <v>784</v>
      </c>
      <c r="S1864" s="13">
        <f t="shared" si="209"/>
        <v>1</v>
      </c>
    </row>
    <row r="1865" spans="1:19" x14ac:dyDescent="0.25">
      <c r="A1865" s="24" t="s">
        <v>2992</v>
      </c>
      <c r="B1865" s="4" t="s">
        <v>1059</v>
      </c>
      <c r="C1865" s="25" t="s">
        <v>5</v>
      </c>
      <c r="E1865" s="3">
        <v>1</v>
      </c>
      <c r="F1865" s="24" t="s">
        <v>1045</v>
      </c>
      <c r="G1865" s="25" t="s">
        <v>1167</v>
      </c>
      <c r="H1865" s="24" t="s">
        <v>1061</v>
      </c>
      <c r="I1865" s="3" t="str">
        <f>IFERROR(VLOOKUP(C1865,'Справочник соответствий'!A$2:D$2981,2,FALSE),IF(VALUE(C1865)=0,1,VLOOKUP(C1865,'Справочник соответствий'!A$2:D$2981,2,FALSE)))</f>
        <v>1</v>
      </c>
      <c r="J1865" s="3">
        <f>IFERROR(VLOOKUP(D1865,'Справочник соответствий'!A$2:D$2981,2,FALSE),IF(VALUE(D1865)=0,0,VLOOKUP(D1865,'Справочник соответствий'!A$2:D$2981,2,FALSE)))</f>
        <v>0</v>
      </c>
      <c r="K1865" s="3" t="str">
        <f t="shared" si="203"/>
        <v>1</v>
      </c>
      <c r="L1865" s="13" t="str">
        <f>IFERROR(VLOOKUP(C1865,'Справочник соответствий'!A$2:D$2981,3,FALSE),IF(VALUE(C1865)=0,"ЭТАЖ НЕ ОПРЕДЕЛЕН. ПРИНЯТ ПО ДОПУЩЕНИЮ 1",VLOOKUP(C1865,'Справочник соответствий'!A$2:D$2981,3,FALSE)))</f>
        <v>ЭТАЖ ЗАДАН ЧИСЛОМ</v>
      </c>
      <c r="M1865" s="13" t="b">
        <f t="shared" si="204"/>
        <v>0</v>
      </c>
      <c r="N1865" s="13">
        <f t="shared" si="205"/>
        <v>1</v>
      </c>
      <c r="O1865" s="13" t="str">
        <f t="shared" si="206"/>
        <v>ЭТАЖ ЗАДАН ЧИСЛОМ</v>
      </c>
      <c r="P1865" s="13" t="str">
        <f t="shared" si="207"/>
        <v>ЭТАЖ ЗАДАН ЧИСЛОМ</v>
      </c>
      <c r="Q1865" s="13" t="str">
        <f t="shared" si="208"/>
        <v>ГОТОВ</v>
      </c>
      <c r="R1865" s="13">
        <f>IFERROR(VLOOKUP(P1865,Лист1!A$1:B$20,2,FALSE),0)</f>
        <v>784</v>
      </c>
      <c r="S1865" s="13">
        <f t="shared" si="209"/>
        <v>1</v>
      </c>
    </row>
    <row r="1866" spans="1:19" x14ac:dyDescent="0.25">
      <c r="A1866" s="24" t="s">
        <v>2993</v>
      </c>
      <c r="B1866" s="4" t="s">
        <v>1059</v>
      </c>
      <c r="C1866" s="25" t="s">
        <v>5</v>
      </c>
      <c r="E1866" s="3">
        <v>1</v>
      </c>
      <c r="F1866" s="24" t="s">
        <v>1045</v>
      </c>
      <c r="G1866" s="25" t="s">
        <v>1099</v>
      </c>
      <c r="H1866" s="24" t="s">
        <v>1061</v>
      </c>
      <c r="I1866" s="3" t="str">
        <f>IFERROR(VLOOKUP(C1866,'Справочник соответствий'!A$2:D$2981,2,FALSE),IF(VALUE(C1866)=0,1,VLOOKUP(C1866,'Справочник соответствий'!A$2:D$2981,2,FALSE)))</f>
        <v>1</v>
      </c>
      <c r="J1866" s="3">
        <f>IFERROR(VLOOKUP(D1866,'Справочник соответствий'!A$2:D$2981,2,FALSE),IF(VALUE(D1866)=0,0,VLOOKUP(D1866,'Справочник соответствий'!A$2:D$2981,2,FALSE)))</f>
        <v>0</v>
      </c>
      <c r="K1866" s="3" t="str">
        <f t="shared" si="203"/>
        <v>1</v>
      </c>
      <c r="L1866" s="13" t="str">
        <f>IFERROR(VLOOKUP(C1866,'Справочник соответствий'!A$2:D$2981,3,FALSE),IF(VALUE(C1866)=0,"ЭТАЖ НЕ ОПРЕДЕЛЕН. ПРИНЯТ ПО ДОПУЩЕНИЮ 1",VLOOKUP(C1866,'Справочник соответствий'!A$2:D$2981,3,FALSE)))</f>
        <v>ЭТАЖ ЗАДАН ЧИСЛОМ</v>
      </c>
      <c r="M1866" s="13" t="b">
        <f t="shared" si="204"/>
        <v>0</v>
      </c>
      <c r="N1866" s="13">
        <f t="shared" si="205"/>
        <v>1</v>
      </c>
      <c r="O1866" s="13" t="str">
        <f t="shared" si="206"/>
        <v>ЭТАЖ ЗАДАН ЧИСЛОМ</v>
      </c>
      <c r="P1866" s="13" t="str">
        <f t="shared" si="207"/>
        <v>ЭТАЖ ЗАДАН ЧИСЛОМ</v>
      </c>
      <c r="Q1866" s="13" t="str">
        <f t="shared" si="208"/>
        <v>ГОТОВ</v>
      </c>
      <c r="R1866" s="13">
        <f>IFERROR(VLOOKUP(P1866,Лист1!A$1:B$20,2,FALSE),0)</f>
        <v>784</v>
      </c>
      <c r="S1866" s="13">
        <f t="shared" si="209"/>
        <v>1</v>
      </c>
    </row>
    <row r="1867" spans="1:19" x14ac:dyDescent="0.25">
      <c r="A1867" s="24" t="s">
        <v>2994</v>
      </c>
      <c r="B1867" s="4" t="s">
        <v>1063</v>
      </c>
      <c r="C1867" s="25" t="s">
        <v>5</v>
      </c>
      <c r="E1867" s="3">
        <v>1</v>
      </c>
      <c r="F1867" s="24" t="s">
        <v>1045</v>
      </c>
      <c r="G1867" s="25" t="s">
        <v>1089</v>
      </c>
      <c r="H1867" s="24" t="s">
        <v>1061</v>
      </c>
      <c r="I1867" s="3" t="str">
        <f>IFERROR(VLOOKUP(C1867,'Справочник соответствий'!A$2:D$2981,2,FALSE),IF(VALUE(C1867)=0,1,VLOOKUP(C1867,'Справочник соответствий'!A$2:D$2981,2,FALSE)))</f>
        <v>1</v>
      </c>
      <c r="J1867" s="3">
        <f>IFERROR(VLOOKUP(D1867,'Справочник соответствий'!A$2:D$2981,2,FALSE),IF(VALUE(D1867)=0,0,VLOOKUP(D1867,'Справочник соответствий'!A$2:D$2981,2,FALSE)))</f>
        <v>0</v>
      </c>
      <c r="K1867" s="3" t="str">
        <f t="shared" si="203"/>
        <v>1</v>
      </c>
      <c r="L1867" s="13" t="str">
        <f>IFERROR(VLOOKUP(C1867,'Справочник соответствий'!A$2:D$2981,3,FALSE),IF(VALUE(C1867)=0,"ЭТАЖ НЕ ОПРЕДЕЛЕН. ПРИНЯТ ПО ДОПУЩЕНИЮ 1",VLOOKUP(C1867,'Справочник соответствий'!A$2:D$2981,3,FALSE)))</f>
        <v>ЭТАЖ ЗАДАН ЧИСЛОМ</v>
      </c>
      <c r="M1867" s="13" t="b">
        <f t="shared" si="204"/>
        <v>0</v>
      </c>
      <c r="N1867" s="13">
        <f t="shared" si="205"/>
        <v>1</v>
      </c>
      <c r="O1867" s="13" t="str">
        <f t="shared" si="206"/>
        <v>ЭТАЖ ЗАДАН ЧИСЛОМ</v>
      </c>
      <c r="P1867" s="13" t="str">
        <f t="shared" si="207"/>
        <v>ЭТАЖ ЗАДАН ЧИСЛОМ</v>
      </c>
      <c r="Q1867" s="13" t="str">
        <f t="shared" si="208"/>
        <v>ГОТОВ</v>
      </c>
      <c r="R1867" s="13">
        <f>IFERROR(VLOOKUP(P1867,Лист1!A$1:B$20,2,FALSE),0)</f>
        <v>784</v>
      </c>
      <c r="S1867" s="13">
        <f t="shared" si="209"/>
        <v>1</v>
      </c>
    </row>
    <row r="1868" spans="1:19" x14ac:dyDescent="0.25">
      <c r="A1868" s="24" t="s">
        <v>2995</v>
      </c>
      <c r="B1868" s="4" t="s">
        <v>1059</v>
      </c>
      <c r="C1868" s="25" t="s">
        <v>5</v>
      </c>
      <c r="E1868" s="3">
        <v>1</v>
      </c>
      <c r="F1868" s="24" t="s">
        <v>1045</v>
      </c>
      <c r="G1868" s="25" t="s">
        <v>1167</v>
      </c>
      <c r="H1868" s="24" t="s">
        <v>1061</v>
      </c>
      <c r="I1868" s="3" t="str">
        <f>IFERROR(VLOOKUP(C1868,'Справочник соответствий'!A$2:D$2981,2,FALSE),IF(VALUE(C1868)=0,1,VLOOKUP(C1868,'Справочник соответствий'!A$2:D$2981,2,FALSE)))</f>
        <v>1</v>
      </c>
      <c r="J1868" s="3">
        <f>IFERROR(VLOOKUP(D1868,'Справочник соответствий'!A$2:D$2981,2,FALSE),IF(VALUE(D1868)=0,0,VLOOKUP(D1868,'Справочник соответствий'!A$2:D$2981,2,FALSE)))</f>
        <v>0</v>
      </c>
      <c r="K1868" s="3" t="str">
        <f t="shared" si="203"/>
        <v>1</v>
      </c>
      <c r="L1868" s="13" t="str">
        <f>IFERROR(VLOOKUP(C1868,'Справочник соответствий'!A$2:D$2981,3,FALSE),IF(VALUE(C1868)=0,"ЭТАЖ НЕ ОПРЕДЕЛЕН. ПРИНЯТ ПО ДОПУЩЕНИЮ 1",VLOOKUP(C1868,'Справочник соответствий'!A$2:D$2981,3,FALSE)))</f>
        <v>ЭТАЖ ЗАДАН ЧИСЛОМ</v>
      </c>
      <c r="M1868" s="13" t="b">
        <f t="shared" si="204"/>
        <v>0</v>
      </c>
      <c r="N1868" s="13">
        <f t="shared" si="205"/>
        <v>1</v>
      </c>
      <c r="O1868" s="13" t="str">
        <f t="shared" si="206"/>
        <v>ЭТАЖ ЗАДАН ЧИСЛОМ</v>
      </c>
      <c r="P1868" s="13" t="str">
        <f t="shared" si="207"/>
        <v>ЭТАЖ ЗАДАН ЧИСЛОМ</v>
      </c>
      <c r="Q1868" s="13" t="str">
        <f t="shared" si="208"/>
        <v>ГОТОВ</v>
      </c>
      <c r="R1868" s="13">
        <f>IFERROR(VLOOKUP(P1868,Лист1!A$1:B$20,2,FALSE),0)</f>
        <v>784</v>
      </c>
      <c r="S1868" s="13">
        <f t="shared" si="209"/>
        <v>1</v>
      </c>
    </row>
    <row r="1869" spans="1:19" x14ac:dyDescent="0.25">
      <c r="A1869" s="24" t="s">
        <v>2996</v>
      </c>
      <c r="B1869" s="4" t="s">
        <v>1059</v>
      </c>
      <c r="C1869" s="25" t="s">
        <v>5</v>
      </c>
      <c r="E1869" s="3">
        <v>1</v>
      </c>
      <c r="F1869" s="24" t="s">
        <v>1045</v>
      </c>
      <c r="G1869" s="25" t="s">
        <v>1167</v>
      </c>
      <c r="H1869" s="24" t="s">
        <v>1061</v>
      </c>
      <c r="I1869" s="3" t="str">
        <f>IFERROR(VLOOKUP(C1869,'Справочник соответствий'!A$2:D$2981,2,FALSE),IF(VALUE(C1869)=0,1,VLOOKUP(C1869,'Справочник соответствий'!A$2:D$2981,2,FALSE)))</f>
        <v>1</v>
      </c>
      <c r="J1869" s="3">
        <f>IFERROR(VLOOKUP(D1869,'Справочник соответствий'!A$2:D$2981,2,FALSE),IF(VALUE(D1869)=0,0,VLOOKUP(D1869,'Справочник соответствий'!A$2:D$2981,2,FALSE)))</f>
        <v>0</v>
      </c>
      <c r="K1869" s="3" t="str">
        <f t="shared" si="203"/>
        <v>1</v>
      </c>
      <c r="L1869" s="13" t="str">
        <f>IFERROR(VLOOKUP(C1869,'Справочник соответствий'!A$2:D$2981,3,FALSE),IF(VALUE(C1869)=0,"ЭТАЖ НЕ ОПРЕДЕЛЕН. ПРИНЯТ ПО ДОПУЩЕНИЮ 1",VLOOKUP(C1869,'Справочник соответствий'!A$2:D$2981,3,FALSE)))</f>
        <v>ЭТАЖ ЗАДАН ЧИСЛОМ</v>
      </c>
      <c r="M1869" s="13" t="b">
        <f t="shared" si="204"/>
        <v>0</v>
      </c>
      <c r="N1869" s="13">
        <f t="shared" si="205"/>
        <v>1</v>
      </c>
      <c r="O1869" s="13" t="str">
        <f t="shared" si="206"/>
        <v>ЭТАЖ ЗАДАН ЧИСЛОМ</v>
      </c>
      <c r="P1869" s="13" t="str">
        <f t="shared" si="207"/>
        <v>ЭТАЖ ЗАДАН ЧИСЛОМ</v>
      </c>
      <c r="Q1869" s="13" t="str">
        <f t="shared" si="208"/>
        <v>ГОТОВ</v>
      </c>
      <c r="R1869" s="13">
        <f>IFERROR(VLOOKUP(P1869,Лист1!A$1:B$20,2,FALSE),0)</f>
        <v>784</v>
      </c>
      <c r="S1869" s="13">
        <f t="shared" si="209"/>
        <v>1</v>
      </c>
    </row>
    <row r="1870" spans="1:19" x14ac:dyDescent="0.25">
      <c r="A1870" s="24" t="s">
        <v>2997</v>
      </c>
      <c r="B1870" s="4" t="s">
        <v>1059</v>
      </c>
      <c r="C1870" s="25" t="s">
        <v>5</v>
      </c>
      <c r="E1870" s="3">
        <v>1</v>
      </c>
      <c r="F1870" s="24" t="s">
        <v>1045</v>
      </c>
      <c r="G1870" s="25" t="s">
        <v>1347</v>
      </c>
      <c r="H1870" s="24" t="s">
        <v>1061</v>
      </c>
      <c r="I1870" s="3" t="str">
        <f>IFERROR(VLOOKUP(C1870,'Справочник соответствий'!A$2:D$2981,2,FALSE),IF(VALUE(C1870)=0,1,VLOOKUP(C1870,'Справочник соответствий'!A$2:D$2981,2,FALSE)))</f>
        <v>1</v>
      </c>
      <c r="J1870" s="3">
        <f>IFERROR(VLOOKUP(D1870,'Справочник соответствий'!A$2:D$2981,2,FALSE),IF(VALUE(D1870)=0,0,VLOOKUP(D1870,'Справочник соответствий'!A$2:D$2981,2,FALSE)))</f>
        <v>0</v>
      </c>
      <c r="K1870" s="3" t="str">
        <f t="shared" si="203"/>
        <v>1</v>
      </c>
      <c r="L1870" s="13" t="str">
        <f>IFERROR(VLOOKUP(C1870,'Справочник соответствий'!A$2:D$2981,3,FALSE),IF(VALUE(C1870)=0,"ЭТАЖ НЕ ОПРЕДЕЛЕН. ПРИНЯТ ПО ДОПУЩЕНИЮ 1",VLOOKUP(C1870,'Справочник соответствий'!A$2:D$2981,3,FALSE)))</f>
        <v>ЭТАЖ ЗАДАН ЧИСЛОМ</v>
      </c>
      <c r="M1870" s="13" t="b">
        <f t="shared" si="204"/>
        <v>0</v>
      </c>
      <c r="N1870" s="13">
        <f t="shared" si="205"/>
        <v>1</v>
      </c>
      <c r="O1870" s="13" t="str">
        <f t="shared" si="206"/>
        <v>ЭТАЖ ЗАДАН ЧИСЛОМ</v>
      </c>
      <c r="P1870" s="13" t="str">
        <f t="shared" si="207"/>
        <v>ЭТАЖ ЗАДАН ЧИСЛОМ</v>
      </c>
      <c r="Q1870" s="13" t="str">
        <f t="shared" si="208"/>
        <v>ГОТОВ</v>
      </c>
      <c r="R1870" s="13">
        <f>IFERROR(VLOOKUP(P1870,Лист1!A$1:B$20,2,FALSE),0)</f>
        <v>784</v>
      </c>
      <c r="S1870" s="13">
        <f t="shared" si="209"/>
        <v>1</v>
      </c>
    </row>
    <row r="1871" spans="1:19" x14ac:dyDescent="0.25">
      <c r="A1871" s="24" t="s">
        <v>2998</v>
      </c>
      <c r="B1871" s="4" t="s">
        <v>1063</v>
      </c>
      <c r="C1871" s="25" t="s">
        <v>7</v>
      </c>
      <c r="E1871" s="3">
        <v>2</v>
      </c>
      <c r="F1871" s="24" t="s">
        <v>1045</v>
      </c>
      <c r="G1871" s="25" t="s">
        <v>1089</v>
      </c>
      <c r="H1871" s="24" t="s">
        <v>1061</v>
      </c>
      <c r="I1871" s="3" t="str">
        <f>IFERROR(VLOOKUP(C1871,'Справочник соответствий'!A$2:D$2981,2,FALSE),IF(VALUE(C1871)=0,1,VLOOKUP(C1871,'Справочник соответствий'!A$2:D$2981,2,FALSE)))</f>
        <v>2</v>
      </c>
      <c r="J1871" s="3">
        <f>IFERROR(VLOOKUP(D1871,'Справочник соответствий'!A$2:D$2981,2,FALSE),IF(VALUE(D1871)=0,0,VLOOKUP(D1871,'Справочник соответствий'!A$2:D$2981,2,FALSE)))</f>
        <v>0</v>
      </c>
      <c r="K1871" s="3" t="str">
        <f t="shared" si="203"/>
        <v>2</v>
      </c>
      <c r="L1871" s="13" t="str">
        <f>IFERROR(VLOOKUP(C1871,'Справочник соответствий'!A$2:D$2981,3,FALSE),IF(VALUE(C1871)=0,"ЭТАЖ НЕ ОПРЕДЕЛЕН. ПРИНЯТ ПО ДОПУЩЕНИЮ 1",VLOOKUP(C1871,'Справочник соответствий'!A$2:D$2981,3,FALSE)))</f>
        <v>ЭТАЖ ЗАДАН ЧИСЛОМ</v>
      </c>
      <c r="M1871" s="13" t="b">
        <f t="shared" si="204"/>
        <v>0</v>
      </c>
      <c r="N1871" s="13">
        <f t="shared" si="205"/>
        <v>2</v>
      </c>
      <c r="O1871" s="13" t="str">
        <f t="shared" si="206"/>
        <v>ЭТАЖ ЗАДАН ЧИСЛОМ</v>
      </c>
      <c r="P1871" s="13" t="str">
        <f t="shared" si="207"/>
        <v>ЭТАЖ ЗАДАН ЧИСЛОМ</v>
      </c>
      <c r="Q1871" s="13" t="str">
        <f t="shared" si="208"/>
        <v>ГОТОВ</v>
      </c>
      <c r="R1871" s="13">
        <f>IFERROR(VLOOKUP(P1871,Лист1!A$1:B$20,2,FALSE),0)</f>
        <v>784</v>
      </c>
      <c r="S1871" s="13">
        <f t="shared" si="209"/>
        <v>2</v>
      </c>
    </row>
    <row r="1872" spans="1:19" x14ac:dyDescent="0.25">
      <c r="A1872" s="24" t="s">
        <v>2999</v>
      </c>
      <c r="B1872" s="4" t="s">
        <v>1059</v>
      </c>
      <c r="C1872" s="25" t="s">
        <v>5</v>
      </c>
      <c r="D1872" s="25" t="s">
        <v>24</v>
      </c>
      <c r="E1872" s="3">
        <v>1</v>
      </c>
      <c r="F1872" s="24" t="s">
        <v>1045</v>
      </c>
      <c r="G1872" s="25" t="s">
        <v>1072</v>
      </c>
      <c r="H1872" s="24" t="s">
        <v>1061</v>
      </c>
      <c r="I1872" s="3" t="str">
        <f>IFERROR(VLOOKUP(C1872,'Справочник соответствий'!A$2:D$2981,2,FALSE),IF(VALUE(C1872)=0,1,VLOOKUP(C1872,'Справочник соответствий'!A$2:D$2981,2,FALSE)))</f>
        <v>1</v>
      </c>
      <c r="J1872" s="3" t="str">
        <f>IFERROR(VLOOKUP(D1872,'Справочник соответствий'!A$2:D$2981,2,FALSE),IF(VALUE(D1872)=0,0,VLOOKUP(D1872,'Справочник соответствий'!A$2:D$2981,2,FALSE)))</f>
        <v>1</v>
      </c>
      <c r="K1872" s="3" t="str">
        <f t="shared" si="203"/>
        <v>1</v>
      </c>
      <c r="L1872" s="13" t="str">
        <f>IFERROR(VLOOKUP(C1872,'Справочник соответствий'!A$2:D$2981,3,FALSE),IF(VALUE(C1872)=0,"ЭТАЖ НЕ ОПРЕДЕЛЕН. ПРИНЯТ ПО ДОПУЩЕНИЮ 1",VLOOKUP(C1872,'Справочник соответствий'!A$2:D$2981,3,FALSE)))</f>
        <v>ЭТАЖ ЗАДАН ЧИСЛОМ</v>
      </c>
      <c r="M1872" s="13" t="b">
        <f t="shared" si="204"/>
        <v>0</v>
      </c>
      <c r="N1872" s="13">
        <f t="shared" si="205"/>
        <v>1</v>
      </c>
      <c r="O1872" s="13" t="str">
        <f t="shared" si="206"/>
        <v>ЭТАЖ ЗАДАН ЧИСЛОМ</v>
      </c>
      <c r="P1872" s="13" t="str">
        <f t="shared" si="207"/>
        <v>ЭТАЖ ЗАДАН ЧИСЛОМ</v>
      </c>
      <c r="Q1872" s="13" t="str">
        <f t="shared" si="208"/>
        <v>ГОТОВ</v>
      </c>
      <c r="R1872" s="13">
        <f>IFERROR(VLOOKUP(P1872,Лист1!A$1:B$20,2,FALSE),0)</f>
        <v>784</v>
      </c>
      <c r="S1872" s="13">
        <f t="shared" si="209"/>
        <v>1</v>
      </c>
    </row>
    <row r="1873" spans="1:19" x14ac:dyDescent="0.25">
      <c r="A1873" s="24" t="s">
        <v>3000</v>
      </c>
      <c r="B1873" s="4" t="s">
        <v>1059</v>
      </c>
      <c r="C1873" s="25" t="s">
        <v>5</v>
      </c>
      <c r="E1873" s="3">
        <v>1</v>
      </c>
      <c r="F1873" s="24" t="s">
        <v>1045</v>
      </c>
      <c r="G1873" s="25" t="s">
        <v>1325</v>
      </c>
      <c r="H1873" s="24" t="s">
        <v>1061</v>
      </c>
      <c r="I1873" s="3" t="str">
        <f>IFERROR(VLOOKUP(C1873,'Справочник соответствий'!A$2:D$2981,2,FALSE),IF(VALUE(C1873)=0,1,VLOOKUP(C1873,'Справочник соответствий'!A$2:D$2981,2,FALSE)))</f>
        <v>1</v>
      </c>
      <c r="J1873" s="3">
        <f>IFERROR(VLOOKUP(D1873,'Справочник соответствий'!A$2:D$2981,2,FALSE),IF(VALUE(D1873)=0,0,VLOOKUP(D1873,'Справочник соответствий'!A$2:D$2981,2,FALSE)))</f>
        <v>0</v>
      </c>
      <c r="K1873" s="3" t="str">
        <f t="shared" si="203"/>
        <v>1</v>
      </c>
      <c r="L1873" s="13" t="str">
        <f>IFERROR(VLOOKUP(C1873,'Справочник соответствий'!A$2:D$2981,3,FALSE),IF(VALUE(C1873)=0,"ЭТАЖ НЕ ОПРЕДЕЛЕН. ПРИНЯТ ПО ДОПУЩЕНИЮ 1",VLOOKUP(C1873,'Справочник соответствий'!A$2:D$2981,3,FALSE)))</f>
        <v>ЭТАЖ ЗАДАН ЧИСЛОМ</v>
      </c>
      <c r="M1873" s="13" t="b">
        <f t="shared" si="204"/>
        <v>0</v>
      </c>
      <c r="N1873" s="13">
        <f t="shared" si="205"/>
        <v>1</v>
      </c>
      <c r="O1873" s="13" t="str">
        <f t="shared" si="206"/>
        <v>ЭТАЖ ЗАДАН ЧИСЛОМ</v>
      </c>
      <c r="P1873" s="13" t="str">
        <f t="shared" si="207"/>
        <v>ЭТАЖ ЗАДАН ЧИСЛОМ</v>
      </c>
      <c r="Q1873" s="13" t="str">
        <f t="shared" si="208"/>
        <v>ГОТОВ</v>
      </c>
      <c r="R1873" s="13">
        <f>IFERROR(VLOOKUP(P1873,Лист1!A$1:B$20,2,FALSE),0)</f>
        <v>784</v>
      </c>
      <c r="S1873" s="13">
        <f t="shared" si="209"/>
        <v>1</v>
      </c>
    </row>
    <row r="1874" spans="1:19" x14ac:dyDescent="0.25">
      <c r="A1874" s="24" t="s">
        <v>3001</v>
      </c>
      <c r="B1874" s="4" t="s">
        <v>1031</v>
      </c>
      <c r="C1874" s="25" t="s">
        <v>5</v>
      </c>
      <c r="E1874" s="3">
        <v>1</v>
      </c>
      <c r="F1874" s="24" t="s">
        <v>1045</v>
      </c>
      <c r="G1874" s="25" t="s">
        <v>1060</v>
      </c>
      <c r="H1874" s="24" t="s">
        <v>1061</v>
      </c>
      <c r="I1874" s="3" t="str">
        <f>IFERROR(VLOOKUP(C1874,'Справочник соответствий'!A$2:D$2981,2,FALSE),IF(VALUE(C1874)=0,1,VLOOKUP(C1874,'Справочник соответствий'!A$2:D$2981,2,FALSE)))</f>
        <v>1</v>
      </c>
      <c r="J1874" s="3">
        <f>IFERROR(VLOOKUP(D1874,'Справочник соответствий'!A$2:D$2981,2,FALSE),IF(VALUE(D1874)=0,0,VLOOKUP(D1874,'Справочник соответствий'!A$2:D$2981,2,FALSE)))</f>
        <v>0</v>
      </c>
      <c r="K1874" s="3">
        <f t="shared" si="203"/>
        <v>1</v>
      </c>
      <c r="L1874" s="13" t="str">
        <f>IFERROR(VLOOKUP(C1874,'Справочник соответствий'!A$2:D$2981,3,FALSE),IF(VALUE(C1874)=0,"ЭТАЖ НЕ ОПРЕДЕЛЕН. ПРИНЯТ ПО ДОПУЩЕНИЮ 1",VLOOKUP(C1874,'Справочник соответствий'!A$2:D$2981,3,FALSE)))</f>
        <v>ЭТАЖ ЗАДАН ЧИСЛОМ</v>
      </c>
      <c r="M1874" s="13" t="b">
        <f t="shared" si="204"/>
        <v>0</v>
      </c>
      <c r="N1874" s="13">
        <f t="shared" si="205"/>
        <v>1</v>
      </c>
      <c r="O1874" s="13" t="str">
        <f t="shared" si="206"/>
        <v>ЭТАЖ ЗАДАН ЧИСЛОМ</v>
      </c>
      <c r="P1874" s="13" t="str">
        <f t="shared" si="207"/>
        <v>МКД_ЭТАЖ ЗАДАН ЧИСЛОМ</v>
      </c>
      <c r="Q1874" s="13" t="str">
        <f t="shared" si="208"/>
        <v>ГОТОВ</v>
      </c>
      <c r="R1874" s="13">
        <f>IFERROR(VLOOKUP(P1874,Лист1!A$1:B$20,2,FALSE),0)</f>
        <v>786</v>
      </c>
      <c r="S1874" s="13">
        <f t="shared" si="209"/>
        <v>1</v>
      </c>
    </row>
    <row r="1875" spans="1:19" x14ac:dyDescent="0.25">
      <c r="A1875" s="24" t="s">
        <v>3002</v>
      </c>
      <c r="B1875" s="4" t="s">
        <v>1059</v>
      </c>
      <c r="C1875" s="25" t="s">
        <v>5</v>
      </c>
      <c r="E1875" s="3">
        <v>1</v>
      </c>
      <c r="F1875" s="24" t="s">
        <v>1045</v>
      </c>
      <c r="G1875" s="25" t="s">
        <v>1072</v>
      </c>
      <c r="H1875" s="24" t="s">
        <v>1061</v>
      </c>
      <c r="I1875" s="3" t="str">
        <f>IFERROR(VLOOKUP(C1875,'Справочник соответствий'!A$2:D$2981,2,FALSE),IF(VALUE(C1875)=0,1,VLOOKUP(C1875,'Справочник соответствий'!A$2:D$2981,2,FALSE)))</f>
        <v>1</v>
      </c>
      <c r="J1875" s="3">
        <f>IFERROR(VLOOKUP(D1875,'Справочник соответствий'!A$2:D$2981,2,FALSE),IF(VALUE(D1875)=0,0,VLOOKUP(D1875,'Справочник соответствий'!A$2:D$2981,2,FALSE)))</f>
        <v>0</v>
      </c>
      <c r="K1875" s="3" t="str">
        <f t="shared" si="203"/>
        <v>1</v>
      </c>
      <c r="L1875" s="13" t="str">
        <f>IFERROR(VLOOKUP(C1875,'Справочник соответствий'!A$2:D$2981,3,FALSE),IF(VALUE(C1875)=0,"ЭТАЖ НЕ ОПРЕДЕЛЕН. ПРИНЯТ ПО ДОПУЩЕНИЮ 1",VLOOKUP(C1875,'Справочник соответствий'!A$2:D$2981,3,FALSE)))</f>
        <v>ЭТАЖ ЗАДАН ЧИСЛОМ</v>
      </c>
      <c r="M1875" s="13" t="b">
        <f t="shared" si="204"/>
        <v>0</v>
      </c>
      <c r="N1875" s="13">
        <f t="shared" si="205"/>
        <v>1</v>
      </c>
      <c r="O1875" s="13" t="str">
        <f t="shared" si="206"/>
        <v>ЭТАЖ ЗАДАН ЧИСЛОМ</v>
      </c>
      <c r="P1875" s="13" t="str">
        <f t="shared" si="207"/>
        <v>ЭТАЖ ЗАДАН ЧИСЛОМ</v>
      </c>
      <c r="Q1875" s="13" t="str">
        <f t="shared" si="208"/>
        <v>ГОТОВ</v>
      </c>
      <c r="R1875" s="13">
        <f>IFERROR(VLOOKUP(P1875,Лист1!A$1:B$20,2,FALSE),0)</f>
        <v>784</v>
      </c>
      <c r="S1875" s="13">
        <f t="shared" si="209"/>
        <v>1</v>
      </c>
    </row>
    <row r="1876" spans="1:19" x14ac:dyDescent="0.25">
      <c r="A1876" s="24" t="s">
        <v>3003</v>
      </c>
      <c r="B1876" s="4" t="s">
        <v>1059</v>
      </c>
      <c r="C1876" s="25" t="s">
        <v>5</v>
      </c>
      <c r="G1876" s="25" t="s">
        <v>1069</v>
      </c>
      <c r="H1876" s="24" t="s">
        <v>1061</v>
      </c>
      <c r="I1876" s="3" t="str">
        <f>IFERROR(VLOOKUP(C1876,'Справочник соответствий'!A$2:D$2981,2,FALSE),IF(VALUE(C1876)=0,1,VLOOKUP(C1876,'Справочник соответствий'!A$2:D$2981,2,FALSE)))</f>
        <v>1</v>
      </c>
      <c r="J1876" s="3">
        <f>IFERROR(VLOOKUP(D1876,'Справочник соответствий'!A$2:D$2981,2,FALSE),IF(VALUE(D1876)=0,0,VLOOKUP(D1876,'Справочник соответствий'!A$2:D$2981,2,FALSE)))</f>
        <v>0</v>
      </c>
      <c r="K1876" s="3" t="str">
        <f t="shared" si="203"/>
        <v>1</v>
      </c>
      <c r="L1876" s="13" t="str">
        <f>IFERROR(VLOOKUP(C1876,'Справочник соответствий'!A$2:D$2981,3,FALSE),IF(VALUE(C1876)=0,"ЭТАЖ НЕ ОПРЕДЕЛЕН. ПРИНЯТ ПО ДОПУЩЕНИЮ 1",VLOOKUP(C1876,'Справочник соответствий'!A$2:D$2981,3,FALSE)))</f>
        <v>ЭТАЖ ЗАДАН ЧИСЛОМ</v>
      </c>
      <c r="M1876" s="13" t="b">
        <f t="shared" si="204"/>
        <v>0</v>
      </c>
      <c r="N1876" s="13">
        <f t="shared" si="205"/>
        <v>1</v>
      </c>
      <c r="O1876" s="13" t="str">
        <f t="shared" si="206"/>
        <v>ЭТАЖ ЗАДАН ЧИСЛОМ</v>
      </c>
      <c r="P1876" s="13" t="str">
        <f t="shared" si="207"/>
        <v>ЭТАЖ ЗАДАН ЧИСЛОМ</v>
      </c>
      <c r="Q1876" s="13" t="str">
        <f t="shared" si="208"/>
        <v>ГОТОВ_ИЗМЕНЕН</v>
      </c>
      <c r="R1876" s="13">
        <f>IFERROR(VLOOKUP(P1876,Лист1!A$1:B$20,2,FALSE),0)</f>
        <v>784</v>
      </c>
      <c r="S1876" s="13">
        <f t="shared" si="209"/>
        <v>0</v>
      </c>
    </row>
    <row r="1877" spans="1:19" x14ac:dyDescent="0.25">
      <c r="A1877" s="24" t="s">
        <v>3004</v>
      </c>
      <c r="B1877" s="4" t="s">
        <v>1059</v>
      </c>
      <c r="C1877" s="25" t="s">
        <v>5</v>
      </c>
      <c r="G1877" s="25" t="s">
        <v>1077</v>
      </c>
      <c r="H1877" s="24" t="s">
        <v>1061</v>
      </c>
      <c r="I1877" s="3" t="str">
        <f>IFERROR(VLOOKUP(C1877,'Справочник соответствий'!A$2:D$2981,2,FALSE),IF(VALUE(C1877)=0,1,VLOOKUP(C1877,'Справочник соответствий'!A$2:D$2981,2,FALSE)))</f>
        <v>1</v>
      </c>
      <c r="J1877" s="3">
        <f>IFERROR(VLOOKUP(D1877,'Справочник соответствий'!A$2:D$2981,2,FALSE),IF(VALUE(D1877)=0,0,VLOOKUP(D1877,'Справочник соответствий'!A$2:D$2981,2,FALSE)))</f>
        <v>0</v>
      </c>
      <c r="K1877" s="3" t="str">
        <f t="shared" si="203"/>
        <v>1</v>
      </c>
      <c r="L1877" s="13" t="str">
        <f>IFERROR(VLOOKUP(C1877,'Справочник соответствий'!A$2:D$2981,3,FALSE),IF(VALUE(C1877)=0,"ЭТАЖ НЕ ОПРЕДЕЛЕН. ПРИНЯТ ПО ДОПУЩЕНИЮ 1",VLOOKUP(C1877,'Справочник соответствий'!A$2:D$2981,3,FALSE)))</f>
        <v>ЭТАЖ ЗАДАН ЧИСЛОМ</v>
      </c>
      <c r="M1877" s="13" t="b">
        <f t="shared" si="204"/>
        <v>0</v>
      </c>
      <c r="N1877" s="13">
        <f t="shared" si="205"/>
        <v>1</v>
      </c>
      <c r="O1877" s="13" t="str">
        <f t="shared" si="206"/>
        <v>ЭТАЖ ЗАДАН ЧИСЛОМ</v>
      </c>
      <c r="P1877" s="13" t="str">
        <f t="shared" si="207"/>
        <v>ЭТАЖ ЗАДАН ЧИСЛОМ</v>
      </c>
      <c r="Q1877" s="13" t="str">
        <f t="shared" si="208"/>
        <v>ГОТОВ_ИЗМЕНЕН</v>
      </c>
      <c r="R1877" s="13">
        <f>IFERROR(VLOOKUP(P1877,Лист1!A$1:B$20,2,FALSE),0)</f>
        <v>784</v>
      </c>
      <c r="S1877" s="13">
        <f t="shared" si="209"/>
        <v>0</v>
      </c>
    </row>
    <row r="1878" spans="1:19" x14ac:dyDescent="0.25">
      <c r="A1878" s="24" t="s">
        <v>3005</v>
      </c>
      <c r="B1878" s="4" t="s">
        <v>1063</v>
      </c>
      <c r="C1878" s="25" t="s">
        <v>5</v>
      </c>
      <c r="G1878" s="25" t="s">
        <v>1086</v>
      </c>
      <c r="H1878" s="24" t="s">
        <v>1061</v>
      </c>
      <c r="I1878" s="3" t="str">
        <f>IFERROR(VLOOKUP(C1878,'Справочник соответствий'!A$2:D$2981,2,FALSE),IF(VALUE(C1878)=0,1,VLOOKUP(C1878,'Справочник соответствий'!A$2:D$2981,2,FALSE)))</f>
        <v>1</v>
      </c>
      <c r="J1878" s="3">
        <f>IFERROR(VLOOKUP(D1878,'Справочник соответствий'!A$2:D$2981,2,FALSE),IF(VALUE(D1878)=0,0,VLOOKUP(D1878,'Справочник соответствий'!A$2:D$2981,2,FALSE)))</f>
        <v>0</v>
      </c>
      <c r="K1878" s="3" t="str">
        <f t="shared" si="203"/>
        <v>1</v>
      </c>
      <c r="L1878" s="13" t="str">
        <f>IFERROR(VLOOKUP(C1878,'Справочник соответствий'!A$2:D$2981,3,FALSE),IF(VALUE(C1878)=0,"ЭТАЖ НЕ ОПРЕДЕЛЕН. ПРИНЯТ ПО ДОПУЩЕНИЮ 1",VLOOKUP(C1878,'Справочник соответствий'!A$2:D$2981,3,FALSE)))</f>
        <v>ЭТАЖ ЗАДАН ЧИСЛОМ</v>
      </c>
      <c r="M1878" s="13" t="b">
        <f t="shared" si="204"/>
        <v>0</v>
      </c>
      <c r="N1878" s="13">
        <f t="shared" si="205"/>
        <v>1</v>
      </c>
      <c r="O1878" s="13" t="str">
        <f t="shared" si="206"/>
        <v>ЭТАЖ ЗАДАН ЧИСЛОМ</v>
      </c>
      <c r="P1878" s="13" t="str">
        <f t="shared" si="207"/>
        <v>ЭТАЖ ЗАДАН ЧИСЛОМ</v>
      </c>
      <c r="Q1878" s="13" t="str">
        <f t="shared" si="208"/>
        <v>ГОТОВ_ИЗМЕНЕН</v>
      </c>
      <c r="R1878" s="13">
        <f>IFERROR(VLOOKUP(P1878,Лист1!A$1:B$20,2,FALSE),0)</f>
        <v>784</v>
      </c>
      <c r="S1878" s="13">
        <f t="shared" si="209"/>
        <v>0</v>
      </c>
    </row>
    <row r="1879" spans="1:19" x14ac:dyDescent="0.25">
      <c r="A1879" s="24" t="s">
        <v>3006</v>
      </c>
      <c r="B1879" s="4" t="s">
        <v>1063</v>
      </c>
      <c r="C1879" s="25" t="s">
        <v>5</v>
      </c>
      <c r="G1879" s="25" t="s">
        <v>1086</v>
      </c>
      <c r="H1879" s="24" t="s">
        <v>1061</v>
      </c>
      <c r="I1879" s="3" t="str">
        <f>IFERROR(VLOOKUP(C1879,'Справочник соответствий'!A$2:D$2981,2,FALSE),IF(VALUE(C1879)=0,1,VLOOKUP(C1879,'Справочник соответствий'!A$2:D$2981,2,FALSE)))</f>
        <v>1</v>
      </c>
      <c r="J1879" s="3">
        <f>IFERROR(VLOOKUP(D1879,'Справочник соответствий'!A$2:D$2981,2,FALSE),IF(VALUE(D1879)=0,0,VLOOKUP(D1879,'Справочник соответствий'!A$2:D$2981,2,FALSE)))</f>
        <v>0</v>
      </c>
      <c r="K1879" s="3" t="str">
        <f t="shared" si="203"/>
        <v>1</v>
      </c>
      <c r="L1879" s="13" t="str">
        <f>IFERROR(VLOOKUP(C1879,'Справочник соответствий'!A$2:D$2981,3,FALSE),IF(VALUE(C1879)=0,"ЭТАЖ НЕ ОПРЕДЕЛЕН. ПРИНЯТ ПО ДОПУЩЕНИЮ 1",VLOOKUP(C1879,'Справочник соответствий'!A$2:D$2981,3,FALSE)))</f>
        <v>ЭТАЖ ЗАДАН ЧИСЛОМ</v>
      </c>
      <c r="M1879" s="13" t="b">
        <f t="shared" si="204"/>
        <v>0</v>
      </c>
      <c r="N1879" s="13">
        <f t="shared" si="205"/>
        <v>1</v>
      </c>
      <c r="O1879" s="13" t="str">
        <f t="shared" si="206"/>
        <v>ЭТАЖ ЗАДАН ЧИСЛОМ</v>
      </c>
      <c r="P1879" s="13" t="str">
        <f t="shared" si="207"/>
        <v>ЭТАЖ ЗАДАН ЧИСЛОМ</v>
      </c>
      <c r="Q1879" s="13" t="str">
        <f t="shared" si="208"/>
        <v>ГОТОВ_ИЗМЕНЕН</v>
      </c>
      <c r="R1879" s="13">
        <f>IFERROR(VLOOKUP(P1879,Лист1!A$1:B$20,2,FALSE),0)</f>
        <v>784</v>
      </c>
      <c r="S1879" s="13">
        <f t="shared" si="209"/>
        <v>0</v>
      </c>
    </row>
    <row r="1880" spans="1:19" x14ac:dyDescent="0.25">
      <c r="A1880" s="24" t="s">
        <v>3007</v>
      </c>
      <c r="B1880" s="4" t="s">
        <v>1063</v>
      </c>
      <c r="C1880" s="25" t="s">
        <v>5</v>
      </c>
      <c r="G1880" s="25" t="s">
        <v>1077</v>
      </c>
      <c r="H1880" s="24" t="s">
        <v>1061</v>
      </c>
      <c r="I1880" s="3" t="str">
        <f>IFERROR(VLOOKUP(C1880,'Справочник соответствий'!A$2:D$2981,2,FALSE),IF(VALUE(C1880)=0,1,VLOOKUP(C1880,'Справочник соответствий'!A$2:D$2981,2,FALSE)))</f>
        <v>1</v>
      </c>
      <c r="J1880" s="3">
        <f>IFERROR(VLOOKUP(D1880,'Справочник соответствий'!A$2:D$2981,2,FALSE),IF(VALUE(D1880)=0,0,VLOOKUP(D1880,'Справочник соответствий'!A$2:D$2981,2,FALSE)))</f>
        <v>0</v>
      </c>
      <c r="K1880" s="3" t="str">
        <f t="shared" si="203"/>
        <v>1</v>
      </c>
      <c r="L1880" s="13" t="str">
        <f>IFERROR(VLOOKUP(C1880,'Справочник соответствий'!A$2:D$2981,3,FALSE),IF(VALUE(C1880)=0,"ЭТАЖ НЕ ОПРЕДЕЛЕН. ПРИНЯТ ПО ДОПУЩЕНИЮ 1",VLOOKUP(C1880,'Справочник соответствий'!A$2:D$2981,3,FALSE)))</f>
        <v>ЭТАЖ ЗАДАН ЧИСЛОМ</v>
      </c>
      <c r="M1880" s="13" t="b">
        <f t="shared" si="204"/>
        <v>0</v>
      </c>
      <c r="N1880" s="13">
        <f t="shared" si="205"/>
        <v>1</v>
      </c>
      <c r="O1880" s="13" t="str">
        <f t="shared" si="206"/>
        <v>ЭТАЖ ЗАДАН ЧИСЛОМ</v>
      </c>
      <c r="P1880" s="13" t="str">
        <f t="shared" si="207"/>
        <v>ЭТАЖ ЗАДАН ЧИСЛОМ</v>
      </c>
      <c r="Q1880" s="13" t="str">
        <f t="shared" si="208"/>
        <v>ГОТОВ_ИЗМЕНЕН</v>
      </c>
      <c r="R1880" s="13">
        <f>IFERROR(VLOOKUP(P1880,Лист1!A$1:B$20,2,FALSE),0)</f>
        <v>784</v>
      </c>
      <c r="S1880" s="13">
        <f t="shared" si="209"/>
        <v>0</v>
      </c>
    </row>
    <row r="1881" spans="1:19" x14ac:dyDescent="0.25">
      <c r="A1881" s="24" t="s">
        <v>3008</v>
      </c>
      <c r="B1881" s="4" t="s">
        <v>1059</v>
      </c>
      <c r="C1881" s="25" t="s">
        <v>5</v>
      </c>
      <c r="G1881" s="25" t="s">
        <v>1077</v>
      </c>
      <c r="H1881" s="24" t="s">
        <v>1061</v>
      </c>
      <c r="I1881" s="3" t="str">
        <f>IFERROR(VLOOKUP(C1881,'Справочник соответствий'!A$2:D$2981,2,FALSE),IF(VALUE(C1881)=0,1,VLOOKUP(C1881,'Справочник соответствий'!A$2:D$2981,2,FALSE)))</f>
        <v>1</v>
      </c>
      <c r="J1881" s="3">
        <f>IFERROR(VLOOKUP(D1881,'Справочник соответствий'!A$2:D$2981,2,FALSE),IF(VALUE(D1881)=0,0,VLOOKUP(D1881,'Справочник соответствий'!A$2:D$2981,2,FALSE)))</f>
        <v>0</v>
      </c>
      <c r="K1881" s="3" t="str">
        <f t="shared" si="203"/>
        <v>1</v>
      </c>
      <c r="L1881" s="13" t="str">
        <f>IFERROR(VLOOKUP(C1881,'Справочник соответствий'!A$2:D$2981,3,FALSE),IF(VALUE(C1881)=0,"ЭТАЖ НЕ ОПРЕДЕЛЕН. ПРИНЯТ ПО ДОПУЩЕНИЮ 1",VLOOKUP(C1881,'Справочник соответствий'!A$2:D$2981,3,FALSE)))</f>
        <v>ЭТАЖ ЗАДАН ЧИСЛОМ</v>
      </c>
      <c r="M1881" s="13" t="b">
        <f t="shared" si="204"/>
        <v>0</v>
      </c>
      <c r="N1881" s="13">
        <f t="shared" si="205"/>
        <v>1</v>
      </c>
      <c r="O1881" s="13" t="str">
        <f t="shared" si="206"/>
        <v>ЭТАЖ ЗАДАН ЧИСЛОМ</v>
      </c>
      <c r="P1881" s="13" t="str">
        <f t="shared" si="207"/>
        <v>ЭТАЖ ЗАДАН ЧИСЛОМ</v>
      </c>
      <c r="Q1881" s="13" t="str">
        <f t="shared" si="208"/>
        <v>ГОТОВ_ИЗМЕНЕН</v>
      </c>
      <c r="R1881" s="13">
        <f>IFERROR(VLOOKUP(P1881,Лист1!A$1:B$20,2,FALSE),0)</f>
        <v>784</v>
      </c>
      <c r="S1881" s="13">
        <f t="shared" si="209"/>
        <v>0</v>
      </c>
    </row>
    <row r="1882" spans="1:19" x14ac:dyDescent="0.25">
      <c r="A1882" s="24" t="s">
        <v>3009</v>
      </c>
      <c r="B1882" s="4" t="s">
        <v>1063</v>
      </c>
      <c r="C1882" s="25" t="s">
        <v>5</v>
      </c>
      <c r="G1882" s="25" t="s">
        <v>1086</v>
      </c>
      <c r="H1882" s="24" t="s">
        <v>1061</v>
      </c>
      <c r="I1882" s="3" t="str">
        <f>IFERROR(VLOOKUP(C1882,'Справочник соответствий'!A$2:D$2981,2,FALSE),IF(VALUE(C1882)=0,1,VLOOKUP(C1882,'Справочник соответствий'!A$2:D$2981,2,FALSE)))</f>
        <v>1</v>
      </c>
      <c r="J1882" s="3">
        <f>IFERROR(VLOOKUP(D1882,'Справочник соответствий'!A$2:D$2981,2,FALSE),IF(VALUE(D1882)=0,0,VLOOKUP(D1882,'Справочник соответствий'!A$2:D$2981,2,FALSE)))</f>
        <v>0</v>
      </c>
      <c r="K1882" s="3" t="str">
        <f t="shared" si="203"/>
        <v>1</v>
      </c>
      <c r="L1882" s="13" t="str">
        <f>IFERROR(VLOOKUP(C1882,'Справочник соответствий'!A$2:D$2981,3,FALSE),IF(VALUE(C1882)=0,"ЭТАЖ НЕ ОПРЕДЕЛЕН. ПРИНЯТ ПО ДОПУЩЕНИЮ 1",VLOOKUP(C1882,'Справочник соответствий'!A$2:D$2981,3,FALSE)))</f>
        <v>ЭТАЖ ЗАДАН ЧИСЛОМ</v>
      </c>
      <c r="M1882" s="13" t="b">
        <f t="shared" si="204"/>
        <v>0</v>
      </c>
      <c r="N1882" s="13">
        <f t="shared" si="205"/>
        <v>1</v>
      </c>
      <c r="O1882" s="13" t="str">
        <f t="shared" si="206"/>
        <v>ЭТАЖ ЗАДАН ЧИСЛОМ</v>
      </c>
      <c r="P1882" s="13" t="str">
        <f t="shared" si="207"/>
        <v>ЭТАЖ ЗАДАН ЧИСЛОМ</v>
      </c>
      <c r="Q1882" s="13" t="str">
        <f t="shared" si="208"/>
        <v>ГОТОВ_ИЗМЕНЕН</v>
      </c>
      <c r="R1882" s="13">
        <f>IFERROR(VLOOKUP(P1882,Лист1!A$1:B$20,2,FALSE),0)</f>
        <v>784</v>
      </c>
      <c r="S1882" s="13">
        <f t="shared" si="209"/>
        <v>0</v>
      </c>
    </row>
    <row r="1883" spans="1:19" x14ac:dyDescent="0.25">
      <c r="A1883" s="24" t="s">
        <v>3010</v>
      </c>
      <c r="B1883" s="4" t="s">
        <v>1063</v>
      </c>
      <c r="C1883" s="25" t="s">
        <v>5</v>
      </c>
      <c r="G1883" s="25" t="s">
        <v>1086</v>
      </c>
      <c r="H1883" s="24" t="s">
        <v>1061</v>
      </c>
      <c r="I1883" s="3" t="str">
        <f>IFERROR(VLOOKUP(C1883,'Справочник соответствий'!A$2:D$2981,2,FALSE),IF(VALUE(C1883)=0,1,VLOOKUP(C1883,'Справочник соответствий'!A$2:D$2981,2,FALSE)))</f>
        <v>1</v>
      </c>
      <c r="J1883" s="3">
        <f>IFERROR(VLOOKUP(D1883,'Справочник соответствий'!A$2:D$2981,2,FALSE),IF(VALUE(D1883)=0,0,VLOOKUP(D1883,'Справочник соответствий'!A$2:D$2981,2,FALSE)))</f>
        <v>0</v>
      </c>
      <c r="K1883" s="3" t="str">
        <f t="shared" si="203"/>
        <v>1</v>
      </c>
      <c r="L1883" s="13" t="str">
        <f>IFERROR(VLOOKUP(C1883,'Справочник соответствий'!A$2:D$2981,3,FALSE),IF(VALUE(C1883)=0,"ЭТАЖ НЕ ОПРЕДЕЛЕН. ПРИНЯТ ПО ДОПУЩЕНИЮ 1",VLOOKUP(C1883,'Справочник соответствий'!A$2:D$2981,3,FALSE)))</f>
        <v>ЭТАЖ ЗАДАН ЧИСЛОМ</v>
      </c>
      <c r="M1883" s="13" t="b">
        <f t="shared" si="204"/>
        <v>0</v>
      </c>
      <c r="N1883" s="13">
        <f t="shared" si="205"/>
        <v>1</v>
      </c>
      <c r="O1883" s="13" t="str">
        <f t="shared" si="206"/>
        <v>ЭТАЖ ЗАДАН ЧИСЛОМ</v>
      </c>
      <c r="P1883" s="13" t="str">
        <f t="shared" si="207"/>
        <v>ЭТАЖ ЗАДАН ЧИСЛОМ</v>
      </c>
      <c r="Q1883" s="13" t="str">
        <f t="shared" si="208"/>
        <v>ГОТОВ_ИЗМЕНЕН</v>
      </c>
      <c r="R1883" s="13">
        <f>IFERROR(VLOOKUP(P1883,Лист1!A$1:B$20,2,FALSE),0)</f>
        <v>784</v>
      </c>
      <c r="S1883" s="13">
        <f t="shared" si="209"/>
        <v>0</v>
      </c>
    </row>
    <row r="1884" spans="1:19" x14ac:dyDescent="0.25">
      <c r="A1884" s="24" t="s">
        <v>3011</v>
      </c>
      <c r="B1884" s="4" t="s">
        <v>1063</v>
      </c>
      <c r="C1884" s="25" t="s">
        <v>5</v>
      </c>
      <c r="G1884" s="25" t="s">
        <v>1108</v>
      </c>
      <c r="H1884" s="24" t="s">
        <v>1061</v>
      </c>
      <c r="I1884" s="3" t="str">
        <f>IFERROR(VLOOKUP(C1884,'Справочник соответствий'!A$2:D$2981,2,FALSE),IF(VALUE(C1884)=0,1,VLOOKUP(C1884,'Справочник соответствий'!A$2:D$2981,2,FALSE)))</f>
        <v>1</v>
      </c>
      <c r="J1884" s="3">
        <f>IFERROR(VLOOKUP(D1884,'Справочник соответствий'!A$2:D$2981,2,FALSE),IF(VALUE(D1884)=0,0,VLOOKUP(D1884,'Справочник соответствий'!A$2:D$2981,2,FALSE)))</f>
        <v>0</v>
      </c>
      <c r="K1884" s="3" t="str">
        <f t="shared" si="203"/>
        <v>1</v>
      </c>
      <c r="L1884" s="13" t="str">
        <f>IFERROR(VLOOKUP(C1884,'Справочник соответствий'!A$2:D$2981,3,FALSE),IF(VALUE(C1884)=0,"ЭТАЖ НЕ ОПРЕДЕЛЕН. ПРИНЯТ ПО ДОПУЩЕНИЮ 1",VLOOKUP(C1884,'Справочник соответствий'!A$2:D$2981,3,FALSE)))</f>
        <v>ЭТАЖ ЗАДАН ЧИСЛОМ</v>
      </c>
      <c r="M1884" s="13" t="b">
        <f t="shared" si="204"/>
        <v>0</v>
      </c>
      <c r="N1884" s="13">
        <f t="shared" si="205"/>
        <v>1</v>
      </c>
      <c r="O1884" s="13" t="str">
        <f t="shared" si="206"/>
        <v>ЭТАЖ ЗАДАН ЧИСЛОМ</v>
      </c>
      <c r="P1884" s="13" t="str">
        <f t="shared" si="207"/>
        <v>ЭТАЖ ЗАДАН ЧИСЛОМ</v>
      </c>
      <c r="Q1884" s="13" t="str">
        <f t="shared" si="208"/>
        <v>ГОТОВ_ИЗМЕНЕН</v>
      </c>
      <c r="R1884" s="13">
        <f>IFERROR(VLOOKUP(P1884,Лист1!A$1:B$20,2,FALSE),0)</f>
        <v>784</v>
      </c>
      <c r="S1884" s="13">
        <f t="shared" si="209"/>
        <v>0</v>
      </c>
    </row>
    <row r="1885" spans="1:19" x14ac:dyDescent="0.25">
      <c r="A1885" s="24" t="s">
        <v>3012</v>
      </c>
      <c r="B1885" s="4" t="s">
        <v>1059</v>
      </c>
      <c r="C1885" s="25" t="s">
        <v>5</v>
      </c>
      <c r="G1885" s="25" t="s">
        <v>1080</v>
      </c>
      <c r="H1885" s="24" t="s">
        <v>1061</v>
      </c>
      <c r="I1885" s="3" t="str">
        <f>IFERROR(VLOOKUP(C1885,'Справочник соответствий'!A$2:D$2981,2,FALSE),IF(VALUE(C1885)=0,1,VLOOKUP(C1885,'Справочник соответствий'!A$2:D$2981,2,FALSE)))</f>
        <v>1</v>
      </c>
      <c r="J1885" s="3">
        <f>IFERROR(VLOOKUP(D1885,'Справочник соответствий'!A$2:D$2981,2,FALSE),IF(VALUE(D1885)=0,0,VLOOKUP(D1885,'Справочник соответствий'!A$2:D$2981,2,FALSE)))</f>
        <v>0</v>
      </c>
      <c r="K1885" s="3" t="str">
        <f t="shared" si="203"/>
        <v>1</v>
      </c>
      <c r="L1885" s="13" t="str">
        <f>IFERROR(VLOOKUP(C1885,'Справочник соответствий'!A$2:D$2981,3,FALSE),IF(VALUE(C1885)=0,"ЭТАЖ НЕ ОПРЕДЕЛЕН. ПРИНЯТ ПО ДОПУЩЕНИЮ 1",VLOOKUP(C1885,'Справочник соответствий'!A$2:D$2981,3,FALSE)))</f>
        <v>ЭТАЖ ЗАДАН ЧИСЛОМ</v>
      </c>
      <c r="M1885" s="13" t="b">
        <f t="shared" si="204"/>
        <v>0</v>
      </c>
      <c r="N1885" s="13">
        <f t="shared" si="205"/>
        <v>1</v>
      </c>
      <c r="O1885" s="13" t="str">
        <f t="shared" si="206"/>
        <v>ЭТАЖ ЗАДАН ЧИСЛОМ</v>
      </c>
      <c r="P1885" s="13" t="str">
        <f t="shared" si="207"/>
        <v>ЭТАЖ ЗАДАН ЧИСЛОМ</v>
      </c>
      <c r="Q1885" s="13" t="str">
        <f t="shared" si="208"/>
        <v>ГОТОВ_ИЗМЕНЕН</v>
      </c>
      <c r="R1885" s="13">
        <f>IFERROR(VLOOKUP(P1885,Лист1!A$1:B$20,2,FALSE),0)</f>
        <v>784</v>
      </c>
      <c r="S1885" s="13">
        <f t="shared" si="209"/>
        <v>0</v>
      </c>
    </row>
    <row r="1886" spans="1:19" x14ac:dyDescent="0.25">
      <c r="A1886" s="24" t="s">
        <v>3013</v>
      </c>
      <c r="B1886" s="4" t="s">
        <v>1059</v>
      </c>
      <c r="C1886" s="25" t="s">
        <v>5</v>
      </c>
      <c r="G1886" s="25" t="s">
        <v>1080</v>
      </c>
      <c r="H1886" s="24" t="s">
        <v>1061</v>
      </c>
      <c r="I1886" s="3" t="str">
        <f>IFERROR(VLOOKUP(C1886,'Справочник соответствий'!A$2:D$2981,2,FALSE),IF(VALUE(C1886)=0,1,VLOOKUP(C1886,'Справочник соответствий'!A$2:D$2981,2,FALSE)))</f>
        <v>1</v>
      </c>
      <c r="J1886" s="3">
        <f>IFERROR(VLOOKUP(D1886,'Справочник соответствий'!A$2:D$2981,2,FALSE),IF(VALUE(D1886)=0,0,VLOOKUP(D1886,'Справочник соответствий'!A$2:D$2981,2,FALSE)))</f>
        <v>0</v>
      </c>
      <c r="K1886" s="3" t="str">
        <f t="shared" si="203"/>
        <v>1</v>
      </c>
      <c r="L1886" s="13" t="str">
        <f>IFERROR(VLOOKUP(C1886,'Справочник соответствий'!A$2:D$2981,3,FALSE),IF(VALUE(C1886)=0,"ЭТАЖ НЕ ОПРЕДЕЛЕН. ПРИНЯТ ПО ДОПУЩЕНИЮ 1",VLOOKUP(C1886,'Справочник соответствий'!A$2:D$2981,3,FALSE)))</f>
        <v>ЭТАЖ ЗАДАН ЧИСЛОМ</v>
      </c>
      <c r="M1886" s="13" t="b">
        <f t="shared" si="204"/>
        <v>0</v>
      </c>
      <c r="N1886" s="13">
        <f t="shared" si="205"/>
        <v>1</v>
      </c>
      <c r="O1886" s="13" t="str">
        <f t="shared" si="206"/>
        <v>ЭТАЖ ЗАДАН ЧИСЛОМ</v>
      </c>
      <c r="P1886" s="13" t="str">
        <f t="shared" si="207"/>
        <v>ЭТАЖ ЗАДАН ЧИСЛОМ</v>
      </c>
      <c r="Q1886" s="13" t="str">
        <f t="shared" si="208"/>
        <v>ГОТОВ_ИЗМЕНЕН</v>
      </c>
      <c r="R1886" s="13">
        <f>IFERROR(VLOOKUP(P1886,Лист1!A$1:B$20,2,FALSE),0)</f>
        <v>784</v>
      </c>
      <c r="S1886" s="13">
        <f t="shared" si="209"/>
        <v>0</v>
      </c>
    </row>
    <row r="1887" spans="1:19" x14ac:dyDescent="0.25">
      <c r="A1887" s="24" t="s">
        <v>3014</v>
      </c>
      <c r="B1887" s="4" t="s">
        <v>1063</v>
      </c>
      <c r="C1887" s="25" t="s">
        <v>5</v>
      </c>
      <c r="G1887" s="25" t="s">
        <v>1080</v>
      </c>
      <c r="H1887" s="24" t="s">
        <v>1061</v>
      </c>
      <c r="I1887" s="3" t="str">
        <f>IFERROR(VLOOKUP(C1887,'Справочник соответствий'!A$2:D$2981,2,FALSE),IF(VALUE(C1887)=0,1,VLOOKUP(C1887,'Справочник соответствий'!A$2:D$2981,2,FALSE)))</f>
        <v>1</v>
      </c>
      <c r="J1887" s="3">
        <f>IFERROR(VLOOKUP(D1887,'Справочник соответствий'!A$2:D$2981,2,FALSE),IF(VALUE(D1887)=0,0,VLOOKUP(D1887,'Справочник соответствий'!A$2:D$2981,2,FALSE)))</f>
        <v>0</v>
      </c>
      <c r="K1887" s="3" t="str">
        <f t="shared" si="203"/>
        <v>1</v>
      </c>
      <c r="L1887" s="13" t="str">
        <f>IFERROR(VLOOKUP(C1887,'Справочник соответствий'!A$2:D$2981,3,FALSE),IF(VALUE(C1887)=0,"ЭТАЖ НЕ ОПРЕДЕЛЕН. ПРИНЯТ ПО ДОПУЩЕНИЮ 1",VLOOKUP(C1887,'Справочник соответствий'!A$2:D$2981,3,FALSE)))</f>
        <v>ЭТАЖ ЗАДАН ЧИСЛОМ</v>
      </c>
      <c r="M1887" s="13" t="b">
        <f t="shared" si="204"/>
        <v>0</v>
      </c>
      <c r="N1887" s="13">
        <f t="shared" si="205"/>
        <v>1</v>
      </c>
      <c r="O1887" s="13" t="str">
        <f t="shared" si="206"/>
        <v>ЭТАЖ ЗАДАН ЧИСЛОМ</v>
      </c>
      <c r="P1887" s="13" t="str">
        <f t="shared" si="207"/>
        <v>ЭТАЖ ЗАДАН ЧИСЛОМ</v>
      </c>
      <c r="Q1887" s="13" t="str">
        <f t="shared" si="208"/>
        <v>ГОТОВ_ИЗМЕНЕН</v>
      </c>
      <c r="R1887" s="13">
        <f>IFERROR(VLOOKUP(P1887,Лист1!A$1:B$20,2,FALSE),0)</f>
        <v>784</v>
      </c>
      <c r="S1887" s="13">
        <f t="shared" si="209"/>
        <v>0</v>
      </c>
    </row>
    <row r="1888" spans="1:19" x14ac:dyDescent="0.25">
      <c r="A1888" s="24" t="s">
        <v>3015</v>
      </c>
      <c r="B1888" s="4" t="s">
        <v>1059</v>
      </c>
      <c r="C1888" s="25" t="s">
        <v>7</v>
      </c>
      <c r="G1888" s="25" t="s">
        <v>1080</v>
      </c>
      <c r="H1888" s="24" t="s">
        <v>1061</v>
      </c>
      <c r="I1888" s="3" t="str">
        <f>IFERROR(VLOOKUP(C1888,'Справочник соответствий'!A$2:D$2981,2,FALSE),IF(VALUE(C1888)=0,1,VLOOKUP(C1888,'Справочник соответствий'!A$2:D$2981,2,FALSE)))</f>
        <v>2</v>
      </c>
      <c r="J1888" s="3">
        <f>IFERROR(VLOOKUP(D1888,'Справочник соответствий'!A$2:D$2981,2,FALSE),IF(VALUE(D1888)=0,0,VLOOKUP(D1888,'Справочник соответствий'!A$2:D$2981,2,FALSE)))</f>
        <v>0</v>
      </c>
      <c r="K1888" s="3" t="str">
        <f t="shared" si="203"/>
        <v>2</v>
      </c>
      <c r="L1888" s="13" t="str">
        <f>IFERROR(VLOOKUP(C1888,'Справочник соответствий'!A$2:D$2981,3,FALSE),IF(VALUE(C1888)=0,"ЭТАЖ НЕ ОПРЕДЕЛЕН. ПРИНЯТ ПО ДОПУЩЕНИЮ 1",VLOOKUP(C1888,'Справочник соответствий'!A$2:D$2981,3,FALSE)))</f>
        <v>ЭТАЖ ЗАДАН ЧИСЛОМ</v>
      </c>
      <c r="M1888" s="13" t="b">
        <f t="shared" si="204"/>
        <v>0</v>
      </c>
      <c r="N1888" s="13">
        <f t="shared" si="205"/>
        <v>2</v>
      </c>
      <c r="O1888" s="13" t="str">
        <f t="shared" si="206"/>
        <v>ЭТАЖ ЗАДАН ЧИСЛОМ</v>
      </c>
      <c r="P1888" s="13" t="str">
        <f t="shared" si="207"/>
        <v>ЭТАЖ ЗАДАН ЧИСЛОМ</v>
      </c>
      <c r="Q1888" s="13" t="str">
        <f t="shared" si="208"/>
        <v>ГОТОВ_ИЗМЕНЕН</v>
      </c>
      <c r="R1888" s="13">
        <f>IFERROR(VLOOKUP(P1888,Лист1!A$1:B$20,2,FALSE),0)</f>
        <v>784</v>
      </c>
      <c r="S1888" s="13">
        <f t="shared" si="209"/>
        <v>0</v>
      </c>
    </row>
    <row r="1889" spans="1:19" x14ac:dyDescent="0.25">
      <c r="A1889" s="24" t="s">
        <v>3016</v>
      </c>
      <c r="B1889" s="4" t="s">
        <v>1063</v>
      </c>
      <c r="C1889" s="25" t="s">
        <v>5</v>
      </c>
      <c r="G1889" s="25" t="s">
        <v>1086</v>
      </c>
      <c r="H1889" s="24" t="s">
        <v>1061</v>
      </c>
      <c r="I1889" s="3" t="str">
        <f>IFERROR(VLOOKUP(C1889,'Справочник соответствий'!A$2:D$2981,2,FALSE),IF(VALUE(C1889)=0,1,VLOOKUP(C1889,'Справочник соответствий'!A$2:D$2981,2,FALSE)))</f>
        <v>1</v>
      </c>
      <c r="J1889" s="3">
        <f>IFERROR(VLOOKUP(D1889,'Справочник соответствий'!A$2:D$2981,2,FALSE),IF(VALUE(D1889)=0,0,VLOOKUP(D1889,'Справочник соответствий'!A$2:D$2981,2,FALSE)))</f>
        <v>0</v>
      </c>
      <c r="K1889" s="3" t="str">
        <f t="shared" si="203"/>
        <v>1</v>
      </c>
      <c r="L1889" s="13" t="str">
        <f>IFERROR(VLOOKUP(C1889,'Справочник соответствий'!A$2:D$2981,3,FALSE),IF(VALUE(C1889)=0,"ЭТАЖ НЕ ОПРЕДЕЛЕН. ПРИНЯТ ПО ДОПУЩЕНИЮ 1",VLOOKUP(C1889,'Справочник соответствий'!A$2:D$2981,3,FALSE)))</f>
        <v>ЭТАЖ ЗАДАН ЧИСЛОМ</v>
      </c>
      <c r="M1889" s="13" t="b">
        <f t="shared" si="204"/>
        <v>0</v>
      </c>
      <c r="N1889" s="13">
        <f t="shared" si="205"/>
        <v>1</v>
      </c>
      <c r="O1889" s="13" t="str">
        <f t="shared" si="206"/>
        <v>ЭТАЖ ЗАДАН ЧИСЛОМ</v>
      </c>
      <c r="P1889" s="13" t="str">
        <f t="shared" si="207"/>
        <v>ЭТАЖ ЗАДАН ЧИСЛОМ</v>
      </c>
      <c r="Q1889" s="13" t="str">
        <f t="shared" si="208"/>
        <v>ГОТОВ_ИЗМЕНЕН</v>
      </c>
      <c r="R1889" s="13">
        <f>IFERROR(VLOOKUP(P1889,Лист1!A$1:B$20,2,FALSE),0)</f>
        <v>784</v>
      </c>
      <c r="S1889" s="13">
        <f t="shared" si="209"/>
        <v>0</v>
      </c>
    </row>
    <row r="1890" spans="1:19" x14ac:dyDescent="0.25">
      <c r="A1890" s="24" t="s">
        <v>3017</v>
      </c>
      <c r="B1890" s="4" t="s">
        <v>1059</v>
      </c>
      <c r="C1890" s="25" t="s">
        <v>5</v>
      </c>
      <c r="G1890" s="25" t="s">
        <v>1080</v>
      </c>
      <c r="H1890" s="24" t="s">
        <v>1061</v>
      </c>
      <c r="I1890" s="3" t="str">
        <f>IFERROR(VLOOKUP(C1890,'Справочник соответствий'!A$2:D$2981,2,FALSE),IF(VALUE(C1890)=0,1,VLOOKUP(C1890,'Справочник соответствий'!A$2:D$2981,2,FALSE)))</f>
        <v>1</v>
      </c>
      <c r="J1890" s="3">
        <f>IFERROR(VLOOKUP(D1890,'Справочник соответствий'!A$2:D$2981,2,FALSE),IF(VALUE(D1890)=0,0,VLOOKUP(D1890,'Справочник соответствий'!A$2:D$2981,2,FALSE)))</f>
        <v>0</v>
      </c>
      <c r="K1890" s="3" t="str">
        <f t="shared" si="203"/>
        <v>1</v>
      </c>
      <c r="L1890" s="13" t="str">
        <f>IFERROR(VLOOKUP(C1890,'Справочник соответствий'!A$2:D$2981,3,FALSE),IF(VALUE(C1890)=0,"ЭТАЖ НЕ ОПРЕДЕЛЕН. ПРИНЯТ ПО ДОПУЩЕНИЮ 1",VLOOKUP(C1890,'Справочник соответствий'!A$2:D$2981,3,FALSE)))</f>
        <v>ЭТАЖ ЗАДАН ЧИСЛОМ</v>
      </c>
      <c r="M1890" s="13" t="b">
        <f t="shared" si="204"/>
        <v>0</v>
      </c>
      <c r="N1890" s="13">
        <f t="shared" si="205"/>
        <v>1</v>
      </c>
      <c r="O1890" s="13" t="str">
        <f t="shared" si="206"/>
        <v>ЭТАЖ ЗАДАН ЧИСЛОМ</v>
      </c>
      <c r="P1890" s="13" t="str">
        <f t="shared" si="207"/>
        <v>ЭТАЖ ЗАДАН ЧИСЛОМ</v>
      </c>
      <c r="Q1890" s="13" t="str">
        <f t="shared" si="208"/>
        <v>ГОТОВ_ИЗМЕНЕН</v>
      </c>
      <c r="R1890" s="13">
        <f>IFERROR(VLOOKUP(P1890,Лист1!A$1:B$20,2,FALSE),0)</f>
        <v>784</v>
      </c>
      <c r="S1890" s="13">
        <f t="shared" si="209"/>
        <v>0</v>
      </c>
    </row>
    <row r="1891" spans="1:19" x14ac:dyDescent="0.25">
      <c r="A1891" s="24" t="s">
        <v>3018</v>
      </c>
      <c r="B1891" s="4" t="s">
        <v>1059</v>
      </c>
      <c r="C1891" s="25" t="s">
        <v>5</v>
      </c>
      <c r="G1891" s="25" t="s">
        <v>1077</v>
      </c>
      <c r="H1891" s="24" t="s">
        <v>1061</v>
      </c>
      <c r="I1891" s="3" t="str">
        <f>IFERROR(VLOOKUP(C1891,'Справочник соответствий'!A$2:D$2981,2,FALSE),IF(VALUE(C1891)=0,1,VLOOKUP(C1891,'Справочник соответствий'!A$2:D$2981,2,FALSE)))</f>
        <v>1</v>
      </c>
      <c r="J1891" s="3">
        <f>IFERROR(VLOOKUP(D1891,'Справочник соответствий'!A$2:D$2981,2,FALSE),IF(VALUE(D1891)=0,0,VLOOKUP(D1891,'Справочник соответствий'!A$2:D$2981,2,FALSE)))</f>
        <v>0</v>
      </c>
      <c r="K1891" s="3" t="str">
        <f t="shared" si="203"/>
        <v>1</v>
      </c>
      <c r="L1891" s="13" t="str">
        <f>IFERROR(VLOOKUP(C1891,'Справочник соответствий'!A$2:D$2981,3,FALSE),IF(VALUE(C1891)=0,"ЭТАЖ НЕ ОПРЕДЕЛЕН. ПРИНЯТ ПО ДОПУЩЕНИЮ 1",VLOOKUP(C1891,'Справочник соответствий'!A$2:D$2981,3,FALSE)))</f>
        <v>ЭТАЖ ЗАДАН ЧИСЛОМ</v>
      </c>
      <c r="M1891" s="13" t="b">
        <f t="shared" si="204"/>
        <v>0</v>
      </c>
      <c r="N1891" s="13">
        <f t="shared" si="205"/>
        <v>1</v>
      </c>
      <c r="O1891" s="13" t="str">
        <f t="shared" si="206"/>
        <v>ЭТАЖ ЗАДАН ЧИСЛОМ</v>
      </c>
      <c r="P1891" s="13" t="str">
        <f t="shared" si="207"/>
        <v>ЭТАЖ ЗАДАН ЧИСЛОМ</v>
      </c>
      <c r="Q1891" s="13" t="str">
        <f t="shared" si="208"/>
        <v>ГОТОВ_ИЗМЕНЕН</v>
      </c>
      <c r="R1891" s="13">
        <f>IFERROR(VLOOKUP(P1891,Лист1!A$1:B$20,2,FALSE),0)</f>
        <v>784</v>
      </c>
      <c r="S1891" s="13">
        <f t="shared" si="209"/>
        <v>0</v>
      </c>
    </row>
    <row r="1892" spans="1:19" x14ac:dyDescent="0.25">
      <c r="A1892" s="24" t="s">
        <v>3019</v>
      </c>
      <c r="B1892" s="4" t="s">
        <v>1059</v>
      </c>
      <c r="C1892" s="25" t="s">
        <v>7</v>
      </c>
      <c r="G1892" s="25" t="s">
        <v>1077</v>
      </c>
      <c r="H1892" s="24" t="s">
        <v>1061</v>
      </c>
      <c r="I1892" s="3" t="str">
        <f>IFERROR(VLOOKUP(C1892,'Справочник соответствий'!A$2:D$2981,2,FALSE),IF(VALUE(C1892)=0,1,VLOOKUP(C1892,'Справочник соответствий'!A$2:D$2981,2,FALSE)))</f>
        <v>2</v>
      </c>
      <c r="J1892" s="3">
        <f>IFERROR(VLOOKUP(D1892,'Справочник соответствий'!A$2:D$2981,2,FALSE),IF(VALUE(D1892)=0,0,VLOOKUP(D1892,'Справочник соответствий'!A$2:D$2981,2,FALSE)))</f>
        <v>0</v>
      </c>
      <c r="K1892" s="3" t="str">
        <f t="shared" si="203"/>
        <v>2</v>
      </c>
      <c r="L1892" s="13" t="str">
        <f>IFERROR(VLOOKUP(C1892,'Справочник соответствий'!A$2:D$2981,3,FALSE),IF(VALUE(C1892)=0,"ЭТАЖ НЕ ОПРЕДЕЛЕН. ПРИНЯТ ПО ДОПУЩЕНИЮ 1",VLOOKUP(C1892,'Справочник соответствий'!A$2:D$2981,3,FALSE)))</f>
        <v>ЭТАЖ ЗАДАН ЧИСЛОМ</v>
      </c>
      <c r="M1892" s="13" t="b">
        <f t="shared" si="204"/>
        <v>0</v>
      </c>
      <c r="N1892" s="13">
        <f t="shared" si="205"/>
        <v>2</v>
      </c>
      <c r="O1892" s="13" t="str">
        <f t="shared" si="206"/>
        <v>ЭТАЖ ЗАДАН ЧИСЛОМ</v>
      </c>
      <c r="P1892" s="13" t="str">
        <f t="shared" si="207"/>
        <v>ЭТАЖ ЗАДАН ЧИСЛОМ</v>
      </c>
      <c r="Q1892" s="13" t="str">
        <f t="shared" si="208"/>
        <v>ГОТОВ_ИЗМЕНЕН</v>
      </c>
      <c r="R1892" s="13">
        <f>IFERROR(VLOOKUP(P1892,Лист1!A$1:B$20,2,FALSE),0)</f>
        <v>784</v>
      </c>
      <c r="S1892" s="13">
        <f t="shared" si="209"/>
        <v>0</v>
      </c>
    </row>
    <row r="1893" spans="1:19" x14ac:dyDescent="0.25">
      <c r="A1893" s="24" t="s">
        <v>3020</v>
      </c>
      <c r="B1893" s="4" t="s">
        <v>1063</v>
      </c>
      <c r="C1893" s="25" t="s">
        <v>5</v>
      </c>
      <c r="G1893" s="25" t="s">
        <v>1086</v>
      </c>
      <c r="H1893" s="24" t="s">
        <v>1061</v>
      </c>
      <c r="I1893" s="3" t="str">
        <f>IFERROR(VLOOKUP(C1893,'Справочник соответствий'!A$2:D$2981,2,FALSE),IF(VALUE(C1893)=0,1,VLOOKUP(C1893,'Справочник соответствий'!A$2:D$2981,2,FALSE)))</f>
        <v>1</v>
      </c>
      <c r="J1893" s="3">
        <f>IFERROR(VLOOKUP(D1893,'Справочник соответствий'!A$2:D$2981,2,FALSE),IF(VALUE(D1893)=0,0,VLOOKUP(D1893,'Справочник соответствий'!A$2:D$2981,2,FALSE)))</f>
        <v>0</v>
      </c>
      <c r="K1893" s="3" t="str">
        <f t="shared" si="203"/>
        <v>1</v>
      </c>
      <c r="L1893" s="13" t="str">
        <f>IFERROR(VLOOKUP(C1893,'Справочник соответствий'!A$2:D$2981,3,FALSE),IF(VALUE(C1893)=0,"ЭТАЖ НЕ ОПРЕДЕЛЕН. ПРИНЯТ ПО ДОПУЩЕНИЮ 1",VLOOKUP(C1893,'Справочник соответствий'!A$2:D$2981,3,FALSE)))</f>
        <v>ЭТАЖ ЗАДАН ЧИСЛОМ</v>
      </c>
      <c r="M1893" s="13" t="b">
        <f t="shared" si="204"/>
        <v>0</v>
      </c>
      <c r="N1893" s="13">
        <f t="shared" si="205"/>
        <v>1</v>
      </c>
      <c r="O1893" s="13" t="str">
        <f t="shared" si="206"/>
        <v>ЭТАЖ ЗАДАН ЧИСЛОМ</v>
      </c>
      <c r="P1893" s="13" t="str">
        <f t="shared" si="207"/>
        <v>ЭТАЖ ЗАДАН ЧИСЛОМ</v>
      </c>
      <c r="Q1893" s="13" t="str">
        <f t="shared" si="208"/>
        <v>ГОТОВ_ИЗМЕНЕН</v>
      </c>
      <c r="R1893" s="13">
        <f>IFERROR(VLOOKUP(P1893,Лист1!A$1:B$20,2,FALSE),0)</f>
        <v>784</v>
      </c>
      <c r="S1893" s="13">
        <f t="shared" si="209"/>
        <v>0</v>
      </c>
    </row>
    <row r="1894" spans="1:19" x14ac:dyDescent="0.25">
      <c r="A1894" s="24" t="s">
        <v>3021</v>
      </c>
      <c r="B1894" s="4" t="s">
        <v>1059</v>
      </c>
      <c r="C1894" s="25" t="s">
        <v>5</v>
      </c>
      <c r="G1894" s="25" t="s">
        <v>1080</v>
      </c>
      <c r="H1894" s="24" t="s">
        <v>1061</v>
      </c>
      <c r="I1894" s="3" t="str">
        <f>IFERROR(VLOOKUP(C1894,'Справочник соответствий'!A$2:D$2981,2,FALSE),IF(VALUE(C1894)=0,1,VLOOKUP(C1894,'Справочник соответствий'!A$2:D$2981,2,FALSE)))</f>
        <v>1</v>
      </c>
      <c r="J1894" s="3">
        <f>IFERROR(VLOOKUP(D1894,'Справочник соответствий'!A$2:D$2981,2,FALSE),IF(VALUE(D1894)=0,0,VLOOKUP(D1894,'Справочник соответствий'!A$2:D$2981,2,FALSE)))</f>
        <v>0</v>
      </c>
      <c r="K1894" s="3" t="str">
        <f t="shared" si="203"/>
        <v>1</v>
      </c>
      <c r="L1894" s="13" t="str">
        <f>IFERROR(VLOOKUP(C1894,'Справочник соответствий'!A$2:D$2981,3,FALSE),IF(VALUE(C1894)=0,"ЭТАЖ НЕ ОПРЕДЕЛЕН. ПРИНЯТ ПО ДОПУЩЕНИЮ 1",VLOOKUP(C1894,'Справочник соответствий'!A$2:D$2981,3,FALSE)))</f>
        <v>ЭТАЖ ЗАДАН ЧИСЛОМ</v>
      </c>
      <c r="M1894" s="13" t="b">
        <f t="shared" si="204"/>
        <v>0</v>
      </c>
      <c r="N1894" s="13">
        <f t="shared" si="205"/>
        <v>1</v>
      </c>
      <c r="O1894" s="13" t="str">
        <f t="shared" si="206"/>
        <v>ЭТАЖ ЗАДАН ЧИСЛОМ</v>
      </c>
      <c r="P1894" s="13" t="str">
        <f t="shared" si="207"/>
        <v>ЭТАЖ ЗАДАН ЧИСЛОМ</v>
      </c>
      <c r="Q1894" s="13" t="str">
        <f t="shared" si="208"/>
        <v>ГОТОВ_ИЗМЕНЕН</v>
      </c>
      <c r="R1894" s="13">
        <f>IFERROR(VLOOKUP(P1894,Лист1!A$1:B$20,2,FALSE),0)</f>
        <v>784</v>
      </c>
      <c r="S1894" s="13">
        <f t="shared" si="209"/>
        <v>0</v>
      </c>
    </row>
    <row r="1895" spans="1:19" x14ac:dyDescent="0.25">
      <c r="A1895" s="24" t="s">
        <v>3022</v>
      </c>
      <c r="B1895" s="4" t="s">
        <v>1059</v>
      </c>
      <c r="C1895" s="25" t="s">
        <v>7</v>
      </c>
      <c r="G1895" s="25" t="s">
        <v>1080</v>
      </c>
      <c r="H1895" s="24" t="s">
        <v>1061</v>
      </c>
      <c r="I1895" s="3" t="str">
        <f>IFERROR(VLOOKUP(C1895,'Справочник соответствий'!A$2:D$2981,2,FALSE),IF(VALUE(C1895)=0,1,VLOOKUP(C1895,'Справочник соответствий'!A$2:D$2981,2,FALSE)))</f>
        <v>2</v>
      </c>
      <c r="J1895" s="3">
        <f>IFERROR(VLOOKUP(D1895,'Справочник соответствий'!A$2:D$2981,2,FALSE),IF(VALUE(D1895)=0,0,VLOOKUP(D1895,'Справочник соответствий'!A$2:D$2981,2,FALSE)))</f>
        <v>0</v>
      </c>
      <c r="K1895" s="3" t="str">
        <f t="shared" si="203"/>
        <v>2</v>
      </c>
      <c r="L1895" s="13" t="str">
        <f>IFERROR(VLOOKUP(C1895,'Справочник соответствий'!A$2:D$2981,3,FALSE),IF(VALUE(C1895)=0,"ЭТАЖ НЕ ОПРЕДЕЛЕН. ПРИНЯТ ПО ДОПУЩЕНИЮ 1",VLOOKUP(C1895,'Справочник соответствий'!A$2:D$2981,3,FALSE)))</f>
        <v>ЭТАЖ ЗАДАН ЧИСЛОМ</v>
      </c>
      <c r="M1895" s="13" t="b">
        <f t="shared" si="204"/>
        <v>0</v>
      </c>
      <c r="N1895" s="13">
        <f t="shared" si="205"/>
        <v>2</v>
      </c>
      <c r="O1895" s="13" t="str">
        <f t="shared" si="206"/>
        <v>ЭТАЖ ЗАДАН ЧИСЛОМ</v>
      </c>
      <c r="P1895" s="13" t="str">
        <f t="shared" si="207"/>
        <v>ЭТАЖ ЗАДАН ЧИСЛОМ</v>
      </c>
      <c r="Q1895" s="13" t="str">
        <f t="shared" si="208"/>
        <v>ГОТОВ_ИЗМЕНЕН</v>
      </c>
      <c r="R1895" s="13">
        <f>IFERROR(VLOOKUP(P1895,Лист1!A$1:B$20,2,FALSE),0)</f>
        <v>784</v>
      </c>
      <c r="S1895" s="13">
        <f t="shared" si="209"/>
        <v>0</v>
      </c>
    </row>
    <row r="1896" spans="1:19" x14ac:dyDescent="0.25">
      <c r="A1896" s="24" t="s">
        <v>3023</v>
      </c>
      <c r="B1896" s="4" t="s">
        <v>1059</v>
      </c>
      <c r="C1896" s="25" t="s">
        <v>5</v>
      </c>
      <c r="G1896" s="25" t="s">
        <v>1080</v>
      </c>
      <c r="H1896" s="24" t="s">
        <v>1061</v>
      </c>
      <c r="I1896" s="3" t="str">
        <f>IFERROR(VLOOKUP(C1896,'Справочник соответствий'!A$2:D$2981,2,FALSE),IF(VALUE(C1896)=0,1,VLOOKUP(C1896,'Справочник соответствий'!A$2:D$2981,2,FALSE)))</f>
        <v>1</v>
      </c>
      <c r="J1896" s="3">
        <f>IFERROR(VLOOKUP(D1896,'Справочник соответствий'!A$2:D$2981,2,FALSE),IF(VALUE(D1896)=0,0,VLOOKUP(D1896,'Справочник соответствий'!A$2:D$2981,2,FALSE)))</f>
        <v>0</v>
      </c>
      <c r="K1896" s="3" t="str">
        <f t="shared" si="203"/>
        <v>1</v>
      </c>
      <c r="L1896" s="13" t="str">
        <f>IFERROR(VLOOKUP(C1896,'Справочник соответствий'!A$2:D$2981,3,FALSE),IF(VALUE(C1896)=0,"ЭТАЖ НЕ ОПРЕДЕЛЕН. ПРИНЯТ ПО ДОПУЩЕНИЮ 1",VLOOKUP(C1896,'Справочник соответствий'!A$2:D$2981,3,FALSE)))</f>
        <v>ЭТАЖ ЗАДАН ЧИСЛОМ</v>
      </c>
      <c r="M1896" s="13" t="b">
        <f t="shared" si="204"/>
        <v>0</v>
      </c>
      <c r="N1896" s="13">
        <f t="shared" si="205"/>
        <v>1</v>
      </c>
      <c r="O1896" s="13" t="str">
        <f t="shared" si="206"/>
        <v>ЭТАЖ ЗАДАН ЧИСЛОМ</v>
      </c>
      <c r="P1896" s="13" t="str">
        <f t="shared" si="207"/>
        <v>ЭТАЖ ЗАДАН ЧИСЛОМ</v>
      </c>
      <c r="Q1896" s="13" t="str">
        <f t="shared" si="208"/>
        <v>ГОТОВ_ИЗМЕНЕН</v>
      </c>
      <c r="R1896" s="13">
        <f>IFERROR(VLOOKUP(P1896,Лист1!A$1:B$20,2,FALSE),0)</f>
        <v>784</v>
      </c>
      <c r="S1896" s="13">
        <f t="shared" si="209"/>
        <v>0</v>
      </c>
    </row>
    <row r="1897" spans="1:19" x14ac:dyDescent="0.25">
      <c r="A1897" s="24" t="s">
        <v>3024</v>
      </c>
      <c r="B1897" s="4" t="s">
        <v>1059</v>
      </c>
      <c r="C1897" s="25" t="s">
        <v>5</v>
      </c>
      <c r="G1897" s="25" t="s">
        <v>1080</v>
      </c>
      <c r="H1897" s="24" t="s">
        <v>1061</v>
      </c>
      <c r="I1897" s="3" t="str">
        <f>IFERROR(VLOOKUP(C1897,'Справочник соответствий'!A$2:D$2981,2,FALSE),IF(VALUE(C1897)=0,1,VLOOKUP(C1897,'Справочник соответствий'!A$2:D$2981,2,FALSE)))</f>
        <v>1</v>
      </c>
      <c r="J1897" s="3">
        <f>IFERROR(VLOOKUP(D1897,'Справочник соответствий'!A$2:D$2981,2,FALSE),IF(VALUE(D1897)=0,0,VLOOKUP(D1897,'Справочник соответствий'!A$2:D$2981,2,FALSE)))</f>
        <v>0</v>
      </c>
      <c r="K1897" s="3" t="str">
        <f t="shared" si="203"/>
        <v>1</v>
      </c>
      <c r="L1897" s="13" t="str">
        <f>IFERROR(VLOOKUP(C1897,'Справочник соответствий'!A$2:D$2981,3,FALSE),IF(VALUE(C1897)=0,"ЭТАЖ НЕ ОПРЕДЕЛЕН. ПРИНЯТ ПО ДОПУЩЕНИЮ 1",VLOOKUP(C1897,'Справочник соответствий'!A$2:D$2981,3,FALSE)))</f>
        <v>ЭТАЖ ЗАДАН ЧИСЛОМ</v>
      </c>
      <c r="M1897" s="13" t="b">
        <f t="shared" si="204"/>
        <v>0</v>
      </c>
      <c r="N1897" s="13">
        <f t="shared" si="205"/>
        <v>1</v>
      </c>
      <c r="O1897" s="13" t="str">
        <f t="shared" si="206"/>
        <v>ЭТАЖ ЗАДАН ЧИСЛОМ</v>
      </c>
      <c r="P1897" s="13" t="str">
        <f t="shared" si="207"/>
        <v>ЭТАЖ ЗАДАН ЧИСЛОМ</v>
      </c>
      <c r="Q1897" s="13" t="str">
        <f t="shared" si="208"/>
        <v>ГОТОВ_ИЗМЕНЕН</v>
      </c>
      <c r="R1897" s="13">
        <f>IFERROR(VLOOKUP(P1897,Лист1!A$1:B$20,2,FALSE),0)</f>
        <v>784</v>
      </c>
      <c r="S1897" s="13">
        <f t="shared" si="209"/>
        <v>0</v>
      </c>
    </row>
    <row r="1898" spans="1:19" x14ac:dyDescent="0.25">
      <c r="A1898" s="24" t="s">
        <v>3025</v>
      </c>
      <c r="B1898" s="4" t="s">
        <v>1063</v>
      </c>
      <c r="C1898" s="25" t="s">
        <v>5</v>
      </c>
      <c r="G1898" s="25" t="s">
        <v>1080</v>
      </c>
      <c r="H1898" s="24" t="s">
        <v>1061</v>
      </c>
      <c r="I1898" s="3" t="str">
        <f>IFERROR(VLOOKUP(C1898,'Справочник соответствий'!A$2:D$2981,2,FALSE),IF(VALUE(C1898)=0,1,VLOOKUP(C1898,'Справочник соответствий'!A$2:D$2981,2,FALSE)))</f>
        <v>1</v>
      </c>
      <c r="J1898" s="3">
        <f>IFERROR(VLOOKUP(D1898,'Справочник соответствий'!A$2:D$2981,2,FALSE),IF(VALUE(D1898)=0,0,VLOOKUP(D1898,'Справочник соответствий'!A$2:D$2981,2,FALSE)))</f>
        <v>0</v>
      </c>
      <c r="K1898" s="3" t="str">
        <f t="shared" si="203"/>
        <v>1</v>
      </c>
      <c r="L1898" s="13" t="str">
        <f>IFERROR(VLOOKUP(C1898,'Справочник соответствий'!A$2:D$2981,3,FALSE),IF(VALUE(C1898)=0,"ЭТАЖ НЕ ОПРЕДЕЛЕН. ПРИНЯТ ПО ДОПУЩЕНИЮ 1",VLOOKUP(C1898,'Справочник соответствий'!A$2:D$2981,3,FALSE)))</f>
        <v>ЭТАЖ ЗАДАН ЧИСЛОМ</v>
      </c>
      <c r="M1898" s="13" t="b">
        <f t="shared" si="204"/>
        <v>0</v>
      </c>
      <c r="N1898" s="13">
        <f t="shared" si="205"/>
        <v>1</v>
      </c>
      <c r="O1898" s="13" t="str">
        <f t="shared" si="206"/>
        <v>ЭТАЖ ЗАДАН ЧИСЛОМ</v>
      </c>
      <c r="P1898" s="13" t="str">
        <f t="shared" si="207"/>
        <v>ЭТАЖ ЗАДАН ЧИСЛОМ</v>
      </c>
      <c r="Q1898" s="13" t="str">
        <f t="shared" si="208"/>
        <v>ГОТОВ_ИЗМЕНЕН</v>
      </c>
      <c r="R1898" s="13">
        <f>IFERROR(VLOOKUP(P1898,Лист1!A$1:B$20,2,FALSE),0)</f>
        <v>784</v>
      </c>
      <c r="S1898" s="13">
        <f t="shared" si="209"/>
        <v>0</v>
      </c>
    </row>
    <row r="1899" spans="1:19" x14ac:dyDescent="0.25">
      <c r="A1899" s="24" t="s">
        <v>3026</v>
      </c>
      <c r="B1899" s="4" t="s">
        <v>1059</v>
      </c>
      <c r="C1899" s="25" t="s">
        <v>5</v>
      </c>
      <c r="G1899" s="25" t="s">
        <v>1077</v>
      </c>
      <c r="H1899" s="24" t="s">
        <v>1061</v>
      </c>
      <c r="I1899" s="3" t="str">
        <f>IFERROR(VLOOKUP(C1899,'Справочник соответствий'!A$2:D$2981,2,FALSE),IF(VALUE(C1899)=0,1,VLOOKUP(C1899,'Справочник соответствий'!A$2:D$2981,2,FALSE)))</f>
        <v>1</v>
      </c>
      <c r="J1899" s="3">
        <f>IFERROR(VLOOKUP(D1899,'Справочник соответствий'!A$2:D$2981,2,FALSE),IF(VALUE(D1899)=0,0,VLOOKUP(D1899,'Справочник соответствий'!A$2:D$2981,2,FALSE)))</f>
        <v>0</v>
      </c>
      <c r="K1899" s="3" t="str">
        <f t="shared" si="203"/>
        <v>1</v>
      </c>
      <c r="L1899" s="13" t="str">
        <f>IFERROR(VLOOKUP(C1899,'Справочник соответствий'!A$2:D$2981,3,FALSE),IF(VALUE(C1899)=0,"ЭТАЖ НЕ ОПРЕДЕЛЕН. ПРИНЯТ ПО ДОПУЩЕНИЮ 1",VLOOKUP(C1899,'Справочник соответствий'!A$2:D$2981,3,FALSE)))</f>
        <v>ЭТАЖ ЗАДАН ЧИСЛОМ</v>
      </c>
      <c r="M1899" s="13" t="b">
        <f t="shared" si="204"/>
        <v>0</v>
      </c>
      <c r="N1899" s="13">
        <f t="shared" si="205"/>
        <v>1</v>
      </c>
      <c r="O1899" s="13" t="str">
        <f t="shared" si="206"/>
        <v>ЭТАЖ ЗАДАН ЧИСЛОМ</v>
      </c>
      <c r="P1899" s="13" t="str">
        <f t="shared" si="207"/>
        <v>ЭТАЖ ЗАДАН ЧИСЛОМ</v>
      </c>
      <c r="Q1899" s="13" t="str">
        <f t="shared" si="208"/>
        <v>ГОТОВ_ИЗМЕНЕН</v>
      </c>
      <c r="R1899" s="13">
        <f>IFERROR(VLOOKUP(P1899,Лист1!A$1:B$20,2,FALSE),0)</f>
        <v>784</v>
      </c>
      <c r="S1899" s="13">
        <f t="shared" si="209"/>
        <v>0</v>
      </c>
    </row>
    <row r="1900" spans="1:19" x14ac:dyDescent="0.25">
      <c r="A1900" s="24" t="s">
        <v>3027</v>
      </c>
      <c r="B1900" s="4" t="s">
        <v>1059</v>
      </c>
      <c r="C1900" s="25" t="s">
        <v>7</v>
      </c>
      <c r="G1900" s="25" t="s">
        <v>1077</v>
      </c>
      <c r="H1900" s="24" t="s">
        <v>1061</v>
      </c>
      <c r="I1900" s="3" t="str">
        <f>IFERROR(VLOOKUP(C1900,'Справочник соответствий'!A$2:D$2981,2,FALSE),IF(VALUE(C1900)=0,1,VLOOKUP(C1900,'Справочник соответствий'!A$2:D$2981,2,FALSE)))</f>
        <v>2</v>
      </c>
      <c r="J1900" s="3">
        <f>IFERROR(VLOOKUP(D1900,'Справочник соответствий'!A$2:D$2981,2,FALSE),IF(VALUE(D1900)=0,0,VLOOKUP(D1900,'Справочник соответствий'!A$2:D$2981,2,FALSE)))</f>
        <v>0</v>
      </c>
      <c r="K1900" s="3" t="str">
        <f t="shared" si="203"/>
        <v>2</v>
      </c>
      <c r="L1900" s="13" t="str">
        <f>IFERROR(VLOOKUP(C1900,'Справочник соответствий'!A$2:D$2981,3,FALSE),IF(VALUE(C1900)=0,"ЭТАЖ НЕ ОПРЕДЕЛЕН. ПРИНЯТ ПО ДОПУЩЕНИЮ 1",VLOOKUP(C1900,'Справочник соответствий'!A$2:D$2981,3,FALSE)))</f>
        <v>ЭТАЖ ЗАДАН ЧИСЛОМ</v>
      </c>
      <c r="M1900" s="13" t="b">
        <f t="shared" si="204"/>
        <v>0</v>
      </c>
      <c r="N1900" s="13">
        <f t="shared" si="205"/>
        <v>2</v>
      </c>
      <c r="O1900" s="13" t="str">
        <f t="shared" si="206"/>
        <v>ЭТАЖ ЗАДАН ЧИСЛОМ</v>
      </c>
      <c r="P1900" s="13" t="str">
        <f t="shared" si="207"/>
        <v>ЭТАЖ ЗАДАН ЧИСЛОМ</v>
      </c>
      <c r="Q1900" s="13" t="str">
        <f t="shared" si="208"/>
        <v>ГОТОВ_ИЗМЕНЕН</v>
      </c>
      <c r="R1900" s="13">
        <f>IFERROR(VLOOKUP(P1900,Лист1!A$1:B$20,2,FALSE),0)</f>
        <v>784</v>
      </c>
      <c r="S1900" s="13">
        <f t="shared" si="209"/>
        <v>0</v>
      </c>
    </row>
    <row r="1901" spans="1:19" x14ac:dyDescent="0.25">
      <c r="A1901" s="24" t="s">
        <v>3028</v>
      </c>
      <c r="B1901" s="4" t="s">
        <v>1063</v>
      </c>
      <c r="C1901" s="25" t="s">
        <v>5</v>
      </c>
      <c r="G1901" s="25" t="s">
        <v>1077</v>
      </c>
      <c r="H1901" s="24" t="s">
        <v>1061</v>
      </c>
      <c r="I1901" s="3" t="str">
        <f>IFERROR(VLOOKUP(C1901,'Справочник соответствий'!A$2:D$2981,2,FALSE),IF(VALUE(C1901)=0,1,VLOOKUP(C1901,'Справочник соответствий'!A$2:D$2981,2,FALSE)))</f>
        <v>1</v>
      </c>
      <c r="J1901" s="3">
        <f>IFERROR(VLOOKUP(D1901,'Справочник соответствий'!A$2:D$2981,2,FALSE),IF(VALUE(D1901)=0,0,VLOOKUP(D1901,'Справочник соответствий'!A$2:D$2981,2,FALSE)))</f>
        <v>0</v>
      </c>
      <c r="K1901" s="3" t="str">
        <f t="shared" si="203"/>
        <v>1</v>
      </c>
      <c r="L1901" s="13" t="str">
        <f>IFERROR(VLOOKUP(C1901,'Справочник соответствий'!A$2:D$2981,3,FALSE),IF(VALUE(C1901)=0,"ЭТАЖ НЕ ОПРЕДЕЛЕН. ПРИНЯТ ПО ДОПУЩЕНИЮ 1",VLOOKUP(C1901,'Справочник соответствий'!A$2:D$2981,3,FALSE)))</f>
        <v>ЭТАЖ ЗАДАН ЧИСЛОМ</v>
      </c>
      <c r="M1901" s="13" t="b">
        <f t="shared" si="204"/>
        <v>0</v>
      </c>
      <c r="N1901" s="13">
        <f t="shared" si="205"/>
        <v>1</v>
      </c>
      <c r="O1901" s="13" t="str">
        <f t="shared" si="206"/>
        <v>ЭТАЖ ЗАДАН ЧИСЛОМ</v>
      </c>
      <c r="P1901" s="13" t="str">
        <f t="shared" si="207"/>
        <v>ЭТАЖ ЗАДАН ЧИСЛОМ</v>
      </c>
      <c r="Q1901" s="13" t="str">
        <f t="shared" si="208"/>
        <v>ГОТОВ_ИЗМЕНЕН</v>
      </c>
      <c r="R1901" s="13">
        <f>IFERROR(VLOOKUP(P1901,Лист1!A$1:B$20,2,FALSE),0)</f>
        <v>784</v>
      </c>
      <c r="S1901" s="13">
        <f t="shared" si="209"/>
        <v>0</v>
      </c>
    </row>
    <row r="1902" spans="1:19" x14ac:dyDescent="0.25">
      <c r="A1902" s="24" t="s">
        <v>3029</v>
      </c>
      <c r="B1902" s="4" t="s">
        <v>1031</v>
      </c>
      <c r="C1902" s="25" t="s">
        <v>112</v>
      </c>
      <c r="D1902" s="25" t="s">
        <v>5</v>
      </c>
      <c r="G1902" s="25" t="s">
        <v>1067</v>
      </c>
      <c r="H1902" s="24" t="s">
        <v>1061</v>
      </c>
      <c r="I1902" s="3" t="str">
        <f>IFERROR(VLOOKUP(C1902,'Справочник соответствий'!A$2:D$2981,2,FALSE),IF(VALUE(C1902)=0,1,VLOOKUP(C1902,'Справочник соответствий'!A$2:D$2981,2,FALSE)))</f>
        <v>21</v>
      </c>
      <c r="J1902" s="3" t="str">
        <f>IFERROR(VLOOKUP(D1902,'Справочник соответствий'!A$2:D$2981,2,FALSE),IF(VALUE(D1902)=0,0,VLOOKUP(D1902,'Справочник соответствий'!A$2:D$2981,2,FALSE)))</f>
        <v>1</v>
      </c>
      <c r="K1902" s="3">
        <f t="shared" si="203"/>
        <v>20</v>
      </c>
      <c r="L1902" s="13" t="str">
        <f>IFERROR(VLOOKUP(C1902,'Справочник соответствий'!A$2:D$2981,3,FALSE),IF(VALUE(C1902)=0,"ЭТАЖ НЕ ОПРЕДЕЛЕН. ПРИНЯТ ПО ДОПУЩЕНИЮ 1",VLOOKUP(C1902,'Справочник соответствий'!A$2:D$2981,3,FALSE)))</f>
        <v>ЭТАЖ ЗАДАН ЧИСЛОМ</v>
      </c>
      <c r="M1902" s="13" t="b">
        <f t="shared" si="204"/>
        <v>0</v>
      </c>
      <c r="N1902" s="13">
        <f t="shared" si="205"/>
        <v>20</v>
      </c>
      <c r="O1902" s="13" t="str">
        <f t="shared" si="206"/>
        <v>ЭТАЖ ЗАДАН ЧИСЛОМ</v>
      </c>
      <c r="P1902" s="13" t="str">
        <f t="shared" si="207"/>
        <v>МКД_ЭТАЖ ЗАДАН ЧИСЛОМ</v>
      </c>
      <c r="Q1902" s="13" t="str">
        <f t="shared" si="208"/>
        <v>ГОТОВ_ИЗМЕНЕН</v>
      </c>
      <c r="R1902" s="13">
        <f>IFERROR(VLOOKUP(P1902,Лист1!A$1:B$20,2,FALSE),0)</f>
        <v>786</v>
      </c>
      <c r="S1902" s="13">
        <f t="shared" si="209"/>
        <v>0</v>
      </c>
    </row>
    <row r="1903" spans="1:19" x14ac:dyDescent="0.25">
      <c r="A1903" s="24" t="s">
        <v>3030</v>
      </c>
      <c r="B1903" s="4" t="s">
        <v>1063</v>
      </c>
      <c r="C1903" s="25" t="s">
        <v>5</v>
      </c>
      <c r="G1903" s="25" t="s">
        <v>1150</v>
      </c>
      <c r="H1903" s="24" t="s">
        <v>1061</v>
      </c>
      <c r="I1903" s="3" t="str">
        <f>IFERROR(VLOOKUP(C1903,'Справочник соответствий'!A$2:D$2981,2,FALSE),IF(VALUE(C1903)=0,1,VLOOKUP(C1903,'Справочник соответствий'!A$2:D$2981,2,FALSE)))</f>
        <v>1</v>
      </c>
      <c r="J1903" s="3">
        <f>IFERROR(VLOOKUP(D1903,'Справочник соответствий'!A$2:D$2981,2,FALSE),IF(VALUE(D1903)=0,0,VLOOKUP(D1903,'Справочник соответствий'!A$2:D$2981,2,FALSE)))</f>
        <v>0</v>
      </c>
      <c r="K1903" s="3" t="str">
        <f t="shared" si="203"/>
        <v>1</v>
      </c>
      <c r="L1903" s="13" t="str">
        <f>IFERROR(VLOOKUP(C1903,'Справочник соответствий'!A$2:D$2981,3,FALSE),IF(VALUE(C1903)=0,"ЭТАЖ НЕ ОПРЕДЕЛЕН. ПРИНЯТ ПО ДОПУЩЕНИЮ 1",VLOOKUP(C1903,'Справочник соответствий'!A$2:D$2981,3,FALSE)))</f>
        <v>ЭТАЖ ЗАДАН ЧИСЛОМ</v>
      </c>
      <c r="M1903" s="13" t="b">
        <f t="shared" si="204"/>
        <v>0</v>
      </c>
      <c r="N1903" s="13">
        <f t="shared" si="205"/>
        <v>1</v>
      </c>
      <c r="O1903" s="13" t="str">
        <f t="shared" si="206"/>
        <v>ЭТАЖ ЗАДАН ЧИСЛОМ</v>
      </c>
      <c r="P1903" s="13" t="str">
        <f t="shared" si="207"/>
        <v>ЭТАЖ ЗАДАН ЧИСЛОМ</v>
      </c>
      <c r="Q1903" s="13" t="str">
        <f t="shared" si="208"/>
        <v>ГОТОВ_ИЗМЕНЕН</v>
      </c>
      <c r="R1903" s="13">
        <f>IFERROR(VLOOKUP(P1903,Лист1!A$1:B$20,2,FALSE),0)</f>
        <v>784</v>
      </c>
      <c r="S1903" s="13">
        <f t="shared" si="209"/>
        <v>0</v>
      </c>
    </row>
    <row r="1904" spans="1:19" x14ac:dyDescent="0.25">
      <c r="A1904" s="24" t="s">
        <v>3031</v>
      </c>
      <c r="B1904" s="4" t="s">
        <v>1059</v>
      </c>
      <c r="C1904" s="25" t="s">
        <v>5</v>
      </c>
      <c r="G1904" s="25" t="s">
        <v>1086</v>
      </c>
      <c r="H1904" s="24" t="s">
        <v>1061</v>
      </c>
      <c r="I1904" s="3" t="str">
        <f>IFERROR(VLOOKUP(C1904,'Справочник соответствий'!A$2:D$2981,2,FALSE),IF(VALUE(C1904)=0,1,VLOOKUP(C1904,'Справочник соответствий'!A$2:D$2981,2,FALSE)))</f>
        <v>1</v>
      </c>
      <c r="J1904" s="3">
        <f>IFERROR(VLOOKUP(D1904,'Справочник соответствий'!A$2:D$2981,2,FALSE),IF(VALUE(D1904)=0,0,VLOOKUP(D1904,'Справочник соответствий'!A$2:D$2981,2,FALSE)))</f>
        <v>0</v>
      </c>
      <c r="K1904" s="3" t="str">
        <f t="shared" si="203"/>
        <v>1</v>
      </c>
      <c r="L1904" s="13" t="str">
        <f>IFERROR(VLOOKUP(C1904,'Справочник соответствий'!A$2:D$2981,3,FALSE),IF(VALUE(C1904)=0,"ЭТАЖ НЕ ОПРЕДЕЛЕН. ПРИНЯТ ПО ДОПУЩЕНИЮ 1",VLOOKUP(C1904,'Справочник соответствий'!A$2:D$2981,3,FALSE)))</f>
        <v>ЭТАЖ ЗАДАН ЧИСЛОМ</v>
      </c>
      <c r="M1904" s="13" t="b">
        <f t="shared" si="204"/>
        <v>0</v>
      </c>
      <c r="N1904" s="13">
        <f t="shared" si="205"/>
        <v>1</v>
      </c>
      <c r="O1904" s="13" t="str">
        <f t="shared" si="206"/>
        <v>ЭТАЖ ЗАДАН ЧИСЛОМ</v>
      </c>
      <c r="P1904" s="13" t="str">
        <f t="shared" si="207"/>
        <v>ЭТАЖ ЗАДАН ЧИСЛОМ</v>
      </c>
      <c r="Q1904" s="13" t="str">
        <f t="shared" si="208"/>
        <v>ГОТОВ_ИЗМЕНЕН</v>
      </c>
      <c r="R1904" s="13">
        <f>IFERROR(VLOOKUP(P1904,Лист1!A$1:B$20,2,FALSE),0)</f>
        <v>784</v>
      </c>
      <c r="S1904" s="13">
        <f t="shared" si="209"/>
        <v>0</v>
      </c>
    </row>
    <row r="1905" spans="1:19" x14ac:dyDescent="0.25">
      <c r="A1905" s="24" t="s">
        <v>3032</v>
      </c>
      <c r="B1905" s="4" t="s">
        <v>1063</v>
      </c>
      <c r="C1905" s="25" t="s">
        <v>5</v>
      </c>
      <c r="G1905" s="25" t="s">
        <v>1086</v>
      </c>
      <c r="H1905" s="24" t="s">
        <v>1061</v>
      </c>
      <c r="I1905" s="3" t="str">
        <f>IFERROR(VLOOKUP(C1905,'Справочник соответствий'!A$2:D$2981,2,FALSE),IF(VALUE(C1905)=0,1,VLOOKUP(C1905,'Справочник соответствий'!A$2:D$2981,2,FALSE)))</f>
        <v>1</v>
      </c>
      <c r="J1905" s="3">
        <f>IFERROR(VLOOKUP(D1905,'Справочник соответствий'!A$2:D$2981,2,FALSE),IF(VALUE(D1905)=0,0,VLOOKUP(D1905,'Справочник соответствий'!A$2:D$2981,2,FALSE)))</f>
        <v>0</v>
      </c>
      <c r="K1905" s="3" t="str">
        <f t="shared" si="203"/>
        <v>1</v>
      </c>
      <c r="L1905" s="13" t="str">
        <f>IFERROR(VLOOKUP(C1905,'Справочник соответствий'!A$2:D$2981,3,FALSE),IF(VALUE(C1905)=0,"ЭТАЖ НЕ ОПРЕДЕЛЕН. ПРИНЯТ ПО ДОПУЩЕНИЮ 1",VLOOKUP(C1905,'Справочник соответствий'!A$2:D$2981,3,FALSE)))</f>
        <v>ЭТАЖ ЗАДАН ЧИСЛОМ</v>
      </c>
      <c r="M1905" s="13" t="b">
        <f t="shared" si="204"/>
        <v>0</v>
      </c>
      <c r="N1905" s="13">
        <f t="shared" si="205"/>
        <v>1</v>
      </c>
      <c r="O1905" s="13" t="str">
        <f t="shared" si="206"/>
        <v>ЭТАЖ ЗАДАН ЧИСЛОМ</v>
      </c>
      <c r="P1905" s="13" t="str">
        <f t="shared" si="207"/>
        <v>ЭТАЖ ЗАДАН ЧИСЛОМ</v>
      </c>
      <c r="Q1905" s="13" t="str">
        <f t="shared" si="208"/>
        <v>ГОТОВ_ИЗМЕНЕН</v>
      </c>
      <c r="R1905" s="13">
        <f>IFERROR(VLOOKUP(P1905,Лист1!A$1:B$20,2,FALSE),0)</f>
        <v>784</v>
      </c>
      <c r="S1905" s="13">
        <f t="shared" si="209"/>
        <v>0</v>
      </c>
    </row>
    <row r="1906" spans="1:19" x14ac:dyDescent="0.25">
      <c r="A1906" s="24" t="s">
        <v>3033</v>
      </c>
      <c r="B1906" s="4" t="s">
        <v>1059</v>
      </c>
      <c r="C1906" s="25" t="s">
        <v>5</v>
      </c>
      <c r="G1906" s="25" t="s">
        <v>1150</v>
      </c>
      <c r="H1906" s="24" t="s">
        <v>1061</v>
      </c>
      <c r="I1906" s="3" t="str">
        <f>IFERROR(VLOOKUP(C1906,'Справочник соответствий'!A$2:D$2981,2,FALSE),IF(VALUE(C1906)=0,1,VLOOKUP(C1906,'Справочник соответствий'!A$2:D$2981,2,FALSE)))</f>
        <v>1</v>
      </c>
      <c r="J1906" s="3">
        <f>IFERROR(VLOOKUP(D1906,'Справочник соответствий'!A$2:D$2981,2,FALSE),IF(VALUE(D1906)=0,0,VLOOKUP(D1906,'Справочник соответствий'!A$2:D$2981,2,FALSE)))</f>
        <v>0</v>
      </c>
      <c r="K1906" s="3" t="str">
        <f t="shared" si="203"/>
        <v>1</v>
      </c>
      <c r="L1906" s="13" t="str">
        <f>IFERROR(VLOOKUP(C1906,'Справочник соответствий'!A$2:D$2981,3,FALSE),IF(VALUE(C1906)=0,"ЭТАЖ НЕ ОПРЕДЕЛЕН. ПРИНЯТ ПО ДОПУЩЕНИЮ 1",VLOOKUP(C1906,'Справочник соответствий'!A$2:D$2981,3,FALSE)))</f>
        <v>ЭТАЖ ЗАДАН ЧИСЛОМ</v>
      </c>
      <c r="M1906" s="13" t="b">
        <f t="shared" si="204"/>
        <v>0</v>
      </c>
      <c r="N1906" s="13">
        <f t="shared" si="205"/>
        <v>1</v>
      </c>
      <c r="O1906" s="13" t="str">
        <f t="shared" si="206"/>
        <v>ЭТАЖ ЗАДАН ЧИСЛОМ</v>
      </c>
      <c r="P1906" s="13" t="str">
        <f t="shared" si="207"/>
        <v>ЭТАЖ ЗАДАН ЧИСЛОМ</v>
      </c>
      <c r="Q1906" s="13" t="str">
        <f t="shared" si="208"/>
        <v>ГОТОВ_ИЗМЕНЕН</v>
      </c>
      <c r="R1906" s="13">
        <f>IFERROR(VLOOKUP(P1906,Лист1!A$1:B$20,2,FALSE),0)</f>
        <v>784</v>
      </c>
      <c r="S1906" s="13">
        <f t="shared" si="209"/>
        <v>0</v>
      </c>
    </row>
    <row r="1907" spans="1:19" x14ac:dyDescent="0.25">
      <c r="A1907" s="24" t="s">
        <v>3034</v>
      </c>
      <c r="B1907" s="4" t="s">
        <v>1059</v>
      </c>
      <c r="C1907" s="25" t="s">
        <v>5</v>
      </c>
      <c r="G1907" s="25" t="s">
        <v>1086</v>
      </c>
      <c r="H1907" s="24" t="s">
        <v>1061</v>
      </c>
      <c r="I1907" s="3" t="str">
        <f>IFERROR(VLOOKUP(C1907,'Справочник соответствий'!A$2:D$2981,2,FALSE),IF(VALUE(C1907)=0,1,VLOOKUP(C1907,'Справочник соответствий'!A$2:D$2981,2,FALSE)))</f>
        <v>1</v>
      </c>
      <c r="J1907" s="3">
        <f>IFERROR(VLOOKUP(D1907,'Справочник соответствий'!A$2:D$2981,2,FALSE),IF(VALUE(D1907)=0,0,VLOOKUP(D1907,'Справочник соответствий'!A$2:D$2981,2,FALSE)))</f>
        <v>0</v>
      </c>
      <c r="K1907" s="3" t="str">
        <f t="shared" si="203"/>
        <v>1</v>
      </c>
      <c r="L1907" s="13" t="str">
        <f>IFERROR(VLOOKUP(C1907,'Справочник соответствий'!A$2:D$2981,3,FALSE),IF(VALUE(C1907)=0,"ЭТАЖ НЕ ОПРЕДЕЛЕН. ПРИНЯТ ПО ДОПУЩЕНИЮ 1",VLOOKUP(C1907,'Справочник соответствий'!A$2:D$2981,3,FALSE)))</f>
        <v>ЭТАЖ ЗАДАН ЧИСЛОМ</v>
      </c>
      <c r="M1907" s="13" t="b">
        <f t="shared" si="204"/>
        <v>0</v>
      </c>
      <c r="N1907" s="13">
        <f t="shared" si="205"/>
        <v>1</v>
      </c>
      <c r="O1907" s="13" t="str">
        <f t="shared" si="206"/>
        <v>ЭТАЖ ЗАДАН ЧИСЛОМ</v>
      </c>
      <c r="P1907" s="13" t="str">
        <f t="shared" si="207"/>
        <v>ЭТАЖ ЗАДАН ЧИСЛОМ</v>
      </c>
      <c r="Q1907" s="13" t="str">
        <f t="shared" si="208"/>
        <v>ГОТОВ_ИЗМЕНЕН</v>
      </c>
      <c r="R1907" s="13">
        <f>IFERROR(VLOOKUP(P1907,Лист1!A$1:B$20,2,FALSE),0)</f>
        <v>784</v>
      </c>
      <c r="S1907" s="13">
        <f t="shared" si="209"/>
        <v>0</v>
      </c>
    </row>
    <row r="1908" spans="1:19" x14ac:dyDescent="0.25">
      <c r="A1908" s="24" t="s">
        <v>3035</v>
      </c>
      <c r="B1908" s="4" t="s">
        <v>1059</v>
      </c>
      <c r="C1908" s="25" t="s">
        <v>5</v>
      </c>
      <c r="G1908" s="25" t="s">
        <v>1086</v>
      </c>
      <c r="H1908" s="24" t="s">
        <v>1061</v>
      </c>
      <c r="I1908" s="3" t="str">
        <f>IFERROR(VLOOKUP(C1908,'Справочник соответствий'!A$2:D$2981,2,FALSE),IF(VALUE(C1908)=0,1,VLOOKUP(C1908,'Справочник соответствий'!A$2:D$2981,2,FALSE)))</f>
        <v>1</v>
      </c>
      <c r="J1908" s="3">
        <f>IFERROR(VLOOKUP(D1908,'Справочник соответствий'!A$2:D$2981,2,FALSE),IF(VALUE(D1908)=0,0,VLOOKUP(D1908,'Справочник соответствий'!A$2:D$2981,2,FALSE)))</f>
        <v>0</v>
      </c>
      <c r="K1908" s="3" t="str">
        <f t="shared" si="203"/>
        <v>1</v>
      </c>
      <c r="L1908" s="13" t="str">
        <f>IFERROR(VLOOKUP(C1908,'Справочник соответствий'!A$2:D$2981,3,FALSE),IF(VALUE(C1908)=0,"ЭТАЖ НЕ ОПРЕДЕЛЕН. ПРИНЯТ ПО ДОПУЩЕНИЮ 1",VLOOKUP(C1908,'Справочник соответствий'!A$2:D$2981,3,FALSE)))</f>
        <v>ЭТАЖ ЗАДАН ЧИСЛОМ</v>
      </c>
      <c r="M1908" s="13" t="b">
        <f t="shared" si="204"/>
        <v>0</v>
      </c>
      <c r="N1908" s="13">
        <f t="shared" si="205"/>
        <v>1</v>
      </c>
      <c r="O1908" s="13" t="str">
        <f t="shared" si="206"/>
        <v>ЭТАЖ ЗАДАН ЧИСЛОМ</v>
      </c>
      <c r="P1908" s="13" t="str">
        <f t="shared" si="207"/>
        <v>ЭТАЖ ЗАДАН ЧИСЛОМ</v>
      </c>
      <c r="Q1908" s="13" t="str">
        <f t="shared" si="208"/>
        <v>ГОТОВ_ИЗМЕНЕН</v>
      </c>
      <c r="R1908" s="13">
        <f>IFERROR(VLOOKUP(P1908,Лист1!A$1:B$20,2,FALSE),0)</f>
        <v>784</v>
      </c>
      <c r="S1908" s="13">
        <f t="shared" si="209"/>
        <v>0</v>
      </c>
    </row>
    <row r="1909" spans="1:19" x14ac:dyDescent="0.25">
      <c r="A1909" s="24" t="s">
        <v>3036</v>
      </c>
      <c r="B1909" s="4" t="s">
        <v>1059</v>
      </c>
      <c r="C1909" s="25" t="s">
        <v>5</v>
      </c>
      <c r="G1909" s="25" t="s">
        <v>1086</v>
      </c>
      <c r="H1909" s="24" t="s">
        <v>1061</v>
      </c>
      <c r="I1909" s="3" t="str">
        <f>IFERROR(VLOOKUP(C1909,'Справочник соответствий'!A$2:D$2981,2,FALSE),IF(VALUE(C1909)=0,1,VLOOKUP(C1909,'Справочник соответствий'!A$2:D$2981,2,FALSE)))</f>
        <v>1</v>
      </c>
      <c r="J1909" s="3">
        <f>IFERROR(VLOOKUP(D1909,'Справочник соответствий'!A$2:D$2981,2,FALSE),IF(VALUE(D1909)=0,0,VLOOKUP(D1909,'Справочник соответствий'!A$2:D$2981,2,FALSE)))</f>
        <v>0</v>
      </c>
      <c r="K1909" s="3" t="str">
        <f t="shared" si="203"/>
        <v>1</v>
      </c>
      <c r="L1909" s="13" t="str">
        <f>IFERROR(VLOOKUP(C1909,'Справочник соответствий'!A$2:D$2981,3,FALSE),IF(VALUE(C1909)=0,"ЭТАЖ НЕ ОПРЕДЕЛЕН. ПРИНЯТ ПО ДОПУЩЕНИЮ 1",VLOOKUP(C1909,'Справочник соответствий'!A$2:D$2981,3,FALSE)))</f>
        <v>ЭТАЖ ЗАДАН ЧИСЛОМ</v>
      </c>
      <c r="M1909" s="13" t="b">
        <f t="shared" si="204"/>
        <v>0</v>
      </c>
      <c r="N1909" s="13">
        <f t="shared" si="205"/>
        <v>1</v>
      </c>
      <c r="O1909" s="13" t="str">
        <f t="shared" si="206"/>
        <v>ЭТАЖ ЗАДАН ЧИСЛОМ</v>
      </c>
      <c r="P1909" s="13" t="str">
        <f t="shared" si="207"/>
        <v>ЭТАЖ ЗАДАН ЧИСЛОМ</v>
      </c>
      <c r="Q1909" s="13" t="str">
        <f t="shared" si="208"/>
        <v>ГОТОВ_ИЗМЕНЕН</v>
      </c>
      <c r="R1909" s="13">
        <f>IFERROR(VLOOKUP(P1909,Лист1!A$1:B$20,2,FALSE),0)</f>
        <v>784</v>
      </c>
      <c r="S1909" s="13">
        <f t="shared" si="209"/>
        <v>0</v>
      </c>
    </row>
    <row r="1910" spans="1:19" x14ac:dyDescent="0.25">
      <c r="A1910" s="24" t="s">
        <v>3037</v>
      </c>
      <c r="B1910" s="4" t="s">
        <v>1059</v>
      </c>
      <c r="C1910" s="25" t="s">
        <v>7</v>
      </c>
      <c r="G1910" s="25" t="s">
        <v>1086</v>
      </c>
      <c r="H1910" s="24" t="s">
        <v>1061</v>
      </c>
      <c r="I1910" s="3" t="str">
        <f>IFERROR(VLOOKUP(C1910,'Справочник соответствий'!A$2:D$2981,2,FALSE),IF(VALUE(C1910)=0,1,VLOOKUP(C1910,'Справочник соответствий'!A$2:D$2981,2,FALSE)))</f>
        <v>2</v>
      </c>
      <c r="J1910" s="3">
        <f>IFERROR(VLOOKUP(D1910,'Справочник соответствий'!A$2:D$2981,2,FALSE),IF(VALUE(D1910)=0,0,VLOOKUP(D1910,'Справочник соответствий'!A$2:D$2981,2,FALSE)))</f>
        <v>0</v>
      </c>
      <c r="K1910" s="3" t="str">
        <f t="shared" si="203"/>
        <v>2</v>
      </c>
      <c r="L1910" s="13" t="str">
        <f>IFERROR(VLOOKUP(C1910,'Справочник соответствий'!A$2:D$2981,3,FALSE),IF(VALUE(C1910)=0,"ЭТАЖ НЕ ОПРЕДЕЛЕН. ПРИНЯТ ПО ДОПУЩЕНИЮ 1",VLOOKUP(C1910,'Справочник соответствий'!A$2:D$2981,3,FALSE)))</f>
        <v>ЭТАЖ ЗАДАН ЧИСЛОМ</v>
      </c>
      <c r="M1910" s="13" t="b">
        <f t="shared" si="204"/>
        <v>0</v>
      </c>
      <c r="N1910" s="13">
        <f t="shared" si="205"/>
        <v>2</v>
      </c>
      <c r="O1910" s="13" t="str">
        <f t="shared" si="206"/>
        <v>ЭТАЖ ЗАДАН ЧИСЛОМ</v>
      </c>
      <c r="P1910" s="13" t="str">
        <f t="shared" si="207"/>
        <v>ЭТАЖ ЗАДАН ЧИСЛОМ</v>
      </c>
      <c r="Q1910" s="13" t="str">
        <f t="shared" si="208"/>
        <v>ГОТОВ_ИЗМЕНЕН</v>
      </c>
      <c r="R1910" s="13">
        <f>IFERROR(VLOOKUP(P1910,Лист1!A$1:B$20,2,FALSE),0)</f>
        <v>784</v>
      </c>
      <c r="S1910" s="13">
        <f t="shared" si="209"/>
        <v>0</v>
      </c>
    </row>
    <row r="1911" spans="1:19" x14ac:dyDescent="0.25">
      <c r="A1911" s="24" t="s">
        <v>3038</v>
      </c>
      <c r="B1911" s="4" t="s">
        <v>1059</v>
      </c>
      <c r="C1911" s="25" t="s">
        <v>5</v>
      </c>
      <c r="G1911" s="25" t="s">
        <v>1150</v>
      </c>
      <c r="H1911" s="24" t="s">
        <v>1061</v>
      </c>
      <c r="I1911" s="3" t="str">
        <f>IFERROR(VLOOKUP(C1911,'Справочник соответствий'!A$2:D$2981,2,FALSE),IF(VALUE(C1911)=0,1,VLOOKUP(C1911,'Справочник соответствий'!A$2:D$2981,2,FALSE)))</f>
        <v>1</v>
      </c>
      <c r="J1911" s="3">
        <f>IFERROR(VLOOKUP(D1911,'Справочник соответствий'!A$2:D$2981,2,FALSE),IF(VALUE(D1911)=0,0,VLOOKUP(D1911,'Справочник соответствий'!A$2:D$2981,2,FALSE)))</f>
        <v>0</v>
      </c>
      <c r="K1911" s="3" t="str">
        <f t="shared" si="203"/>
        <v>1</v>
      </c>
      <c r="L1911" s="13" t="str">
        <f>IFERROR(VLOOKUP(C1911,'Справочник соответствий'!A$2:D$2981,3,FALSE),IF(VALUE(C1911)=0,"ЭТАЖ НЕ ОПРЕДЕЛЕН. ПРИНЯТ ПО ДОПУЩЕНИЮ 1",VLOOKUP(C1911,'Справочник соответствий'!A$2:D$2981,3,FALSE)))</f>
        <v>ЭТАЖ ЗАДАН ЧИСЛОМ</v>
      </c>
      <c r="M1911" s="13" t="b">
        <f t="shared" si="204"/>
        <v>0</v>
      </c>
      <c r="N1911" s="13">
        <f t="shared" si="205"/>
        <v>1</v>
      </c>
      <c r="O1911" s="13" t="str">
        <f t="shared" si="206"/>
        <v>ЭТАЖ ЗАДАН ЧИСЛОМ</v>
      </c>
      <c r="P1911" s="13" t="str">
        <f t="shared" si="207"/>
        <v>ЭТАЖ ЗАДАН ЧИСЛОМ</v>
      </c>
      <c r="Q1911" s="13" t="str">
        <f t="shared" si="208"/>
        <v>ГОТОВ_ИЗМЕНЕН</v>
      </c>
      <c r="R1911" s="13">
        <f>IFERROR(VLOOKUP(P1911,Лист1!A$1:B$20,2,FALSE),0)</f>
        <v>784</v>
      </c>
      <c r="S1911" s="13">
        <f t="shared" si="209"/>
        <v>0</v>
      </c>
    </row>
    <row r="1912" spans="1:19" x14ac:dyDescent="0.25">
      <c r="A1912" s="24" t="s">
        <v>3039</v>
      </c>
      <c r="B1912" s="4" t="s">
        <v>1059</v>
      </c>
      <c r="C1912" s="25" t="s">
        <v>7</v>
      </c>
      <c r="G1912" s="25" t="s">
        <v>1382</v>
      </c>
      <c r="H1912" s="24" t="s">
        <v>1061</v>
      </c>
      <c r="I1912" s="3" t="str">
        <f>IFERROR(VLOOKUP(C1912,'Справочник соответствий'!A$2:D$2981,2,FALSE),IF(VALUE(C1912)=0,1,VLOOKUP(C1912,'Справочник соответствий'!A$2:D$2981,2,FALSE)))</f>
        <v>2</v>
      </c>
      <c r="J1912" s="3">
        <f>IFERROR(VLOOKUP(D1912,'Справочник соответствий'!A$2:D$2981,2,FALSE),IF(VALUE(D1912)=0,0,VLOOKUP(D1912,'Справочник соответствий'!A$2:D$2981,2,FALSE)))</f>
        <v>0</v>
      </c>
      <c r="K1912" s="3" t="str">
        <f t="shared" si="203"/>
        <v>2</v>
      </c>
      <c r="L1912" s="13" t="str">
        <f>IFERROR(VLOOKUP(C1912,'Справочник соответствий'!A$2:D$2981,3,FALSE),IF(VALUE(C1912)=0,"ЭТАЖ НЕ ОПРЕДЕЛЕН. ПРИНЯТ ПО ДОПУЩЕНИЮ 1",VLOOKUP(C1912,'Справочник соответствий'!A$2:D$2981,3,FALSE)))</f>
        <v>ЭТАЖ ЗАДАН ЧИСЛОМ</v>
      </c>
      <c r="M1912" s="13" t="b">
        <f t="shared" si="204"/>
        <v>0</v>
      </c>
      <c r="N1912" s="13">
        <f t="shared" si="205"/>
        <v>2</v>
      </c>
      <c r="O1912" s="13" t="str">
        <f t="shared" si="206"/>
        <v>ЭТАЖ ЗАДАН ЧИСЛОМ</v>
      </c>
      <c r="P1912" s="13" t="str">
        <f t="shared" si="207"/>
        <v>ЭТАЖ ЗАДАН ЧИСЛОМ</v>
      </c>
      <c r="Q1912" s="13" t="str">
        <f t="shared" si="208"/>
        <v>ГОТОВ_ИЗМЕНЕН</v>
      </c>
      <c r="R1912" s="13">
        <f>IFERROR(VLOOKUP(P1912,Лист1!A$1:B$20,2,FALSE),0)</f>
        <v>784</v>
      </c>
      <c r="S1912" s="13">
        <f t="shared" si="209"/>
        <v>0</v>
      </c>
    </row>
    <row r="1913" spans="1:19" x14ac:dyDescent="0.25">
      <c r="A1913" s="24" t="s">
        <v>3040</v>
      </c>
      <c r="B1913" s="4" t="s">
        <v>1059</v>
      </c>
      <c r="C1913" s="25" t="s">
        <v>5</v>
      </c>
      <c r="G1913" s="25" t="s">
        <v>1382</v>
      </c>
      <c r="H1913" s="24" t="s">
        <v>1061</v>
      </c>
      <c r="I1913" s="3" t="str">
        <f>IFERROR(VLOOKUP(C1913,'Справочник соответствий'!A$2:D$2981,2,FALSE),IF(VALUE(C1913)=0,1,VLOOKUP(C1913,'Справочник соответствий'!A$2:D$2981,2,FALSE)))</f>
        <v>1</v>
      </c>
      <c r="J1913" s="3">
        <f>IFERROR(VLOOKUP(D1913,'Справочник соответствий'!A$2:D$2981,2,FALSE),IF(VALUE(D1913)=0,0,VLOOKUP(D1913,'Справочник соответствий'!A$2:D$2981,2,FALSE)))</f>
        <v>0</v>
      </c>
      <c r="K1913" s="3" t="str">
        <f t="shared" si="203"/>
        <v>1</v>
      </c>
      <c r="L1913" s="13" t="str">
        <f>IFERROR(VLOOKUP(C1913,'Справочник соответствий'!A$2:D$2981,3,FALSE),IF(VALUE(C1913)=0,"ЭТАЖ НЕ ОПРЕДЕЛЕН. ПРИНЯТ ПО ДОПУЩЕНИЮ 1",VLOOKUP(C1913,'Справочник соответствий'!A$2:D$2981,3,FALSE)))</f>
        <v>ЭТАЖ ЗАДАН ЧИСЛОМ</v>
      </c>
      <c r="M1913" s="13" t="b">
        <f t="shared" si="204"/>
        <v>0</v>
      </c>
      <c r="N1913" s="13">
        <f t="shared" si="205"/>
        <v>1</v>
      </c>
      <c r="O1913" s="13" t="str">
        <f t="shared" si="206"/>
        <v>ЭТАЖ ЗАДАН ЧИСЛОМ</v>
      </c>
      <c r="P1913" s="13" t="str">
        <f t="shared" si="207"/>
        <v>ЭТАЖ ЗАДАН ЧИСЛОМ</v>
      </c>
      <c r="Q1913" s="13" t="str">
        <f t="shared" si="208"/>
        <v>ГОТОВ_ИЗМЕНЕН</v>
      </c>
      <c r="R1913" s="13">
        <f>IFERROR(VLOOKUP(P1913,Лист1!A$1:B$20,2,FALSE),0)</f>
        <v>784</v>
      </c>
      <c r="S1913" s="13">
        <f t="shared" si="209"/>
        <v>0</v>
      </c>
    </row>
    <row r="1914" spans="1:19" x14ac:dyDescent="0.25">
      <c r="A1914" s="24" t="s">
        <v>3041</v>
      </c>
      <c r="B1914" s="4" t="s">
        <v>1063</v>
      </c>
      <c r="C1914" s="25" t="s">
        <v>7</v>
      </c>
      <c r="G1914" s="25" t="s">
        <v>1382</v>
      </c>
      <c r="H1914" s="24" t="s">
        <v>1061</v>
      </c>
      <c r="I1914" s="3" t="str">
        <f>IFERROR(VLOOKUP(C1914,'Справочник соответствий'!A$2:D$2981,2,FALSE),IF(VALUE(C1914)=0,1,VLOOKUP(C1914,'Справочник соответствий'!A$2:D$2981,2,FALSE)))</f>
        <v>2</v>
      </c>
      <c r="J1914" s="3">
        <f>IFERROR(VLOOKUP(D1914,'Справочник соответствий'!A$2:D$2981,2,FALSE),IF(VALUE(D1914)=0,0,VLOOKUP(D1914,'Справочник соответствий'!A$2:D$2981,2,FALSE)))</f>
        <v>0</v>
      </c>
      <c r="K1914" s="3" t="str">
        <f t="shared" si="203"/>
        <v>2</v>
      </c>
      <c r="L1914" s="13" t="str">
        <f>IFERROR(VLOOKUP(C1914,'Справочник соответствий'!A$2:D$2981,3,FALSE),IF(VALUE(C1914)=0,"ЭТАЖ НЕ ОПРЕДЕЛЕН. ПРИНЯТ ПО ДОПУЩЕНИЮ 1",VLOOKUP(C1914,'Справочник соответствий'!A$2:D$2981,3,FALSE)))</f>
        <v>ЭТАЖ ЗАДАН ЧИСЛОМ</v>
      </c>
      <c r="M1914" s="13" t="b">
        <f t="shared" si="204"/>
        <v>0</v>
      </c>
      <c r="N1914" s="13">
        <f t="shared" si="205"/>
        <v>2</v>
      </c>
      <c r="O1914" s="13" t="str">
        <f t="shared" si="206"/>
        <v>ЭТАЖ ЗАДАН ЧИСЛОМ</v>
      </c>
      <c r="P1914" s="13" t="str">
        <f t="shared" si="207"/>
        <v>ЭТАЖ ЗАДАН ЧИСЛОМ</v>
      </c>
      <c r="Q1914" s="13" t="str">
        <f t="shared" si="208"/>
        <v>ГОТОВ_ИЗМЕНЕН</v>
      </c>
      <c r="R1914" s="13">
        <f>IFERROR(VLOOKUP(P1914,Лист1!A$1:B$20,2,FALSE),0)</f>
        <v>784</v>
      </c>
      <c r="S1914" s="13">
        <f t="shared" si="209"/>
        <v>0</v>
      </c>
    </row>
    <row r="1915" spans="1:19" x14ac:dyDescent="0.25">
      <c r="A1915" s="24" t="s">
        <v>3042</v>
      </c>
      <c r="B1915" s="4" t="s">
        <v>1063</v>
      </c>
      <c r="C1915" s="25" t="s">
        <v>5</v>
      </c>
      <c r="G1915" s="25" t="s">
        <v>1072</v>
      </c>
      <c r="H1915" s="24" t="s">
        <v>1061</v>
      </c>
      <c r="I1915" s="3" t="str">
        <f>IFERROR(VLOOKUP(C1915,'Справочник соответствий'!A$2:D$2981,2,FALSE),IF(VALUE(C1915)=0,1,VLOOKUP(C1915,'Справочник соответствий'!A$2:D$2981,2,FALSE)))</f>
        <v>1</v>
      </c>
      <c r="J1915" s="3">
        <f>IFERROR(VLOOKUP(D1915,'Справочник соответствий'!A$2:D$2981,2,FALSE),IF(VALUE(D1915)=0,0,VLOOKUP(D1915,'Справочник соответствий'!A$2:D$2981,2,FALSE)))</f>
        <v>0</v>
      </c>
      <c r="K1915" s="3" t="str">
        <f t="shared" si="203"/>
        <v>1</v>
      </c>
      <c r="L1915" s="13" t="str">
        <f>IFERROR(VLOOKUP(C1915,'Справочник соответствий'!A$2:D$2981,3,FALSE),IF(VALUE(C1915)=0,"ЭТАЖ НЕ ОПРЕДЕЛЕН. ПРИНЯТ ПО ДОПУЩЕНИЮ 1",VLOOKUP(C1915,'Справочник соответствий'!A$2:D$2981,3,FALSE)))</f>
        <v>ЭТАЖ ЗАДАН ЧИСЛОМ</v>
      </c>
      <c r="M1915" s="13" t="b">
        <f t="shared" si="204"/>
        <v>0</v>
      </c>
      <c r="N1915" s="13">
        <f t="shared" si="205"/>
        <v>1</v>
      </c>
      <c r="O1915" s="13" t="str">
        <f t="shared" si="206"/>
        <v>ЭТАЖ ЗАДАН ЧИСЛОМ</v>
      </c>
      <c r="P1915" s="13" t="str">
        <f t="shared" si="207"/>
        <v>ЭТАЖ ЗАДАН ЧИСЛОМ</v>
      </c>
      <c r="Q1915" s="13" t="str">
        <f t="shared" si="208"/>
        <v>ГОТОВ_ИЗМЕНЕН</v>
      </c>
      <c r="R1915" s="13">
        <f>IFERROR(VLOOKUP(P1915,Лист1!A$1:B$20,2,FALSE),0)</f>
        <v>784</v>
      </c>
      <c r="S1915" s="13">
        <f t="shared" si="209"/>
        <v>0</v>
      </c>
    </row>
    <row r="1916" spans="1:19" x14ac:dyDescent="0.25">
      <c r="A1916" s="24" t="s">
        <v>3043</v>
      </c>
      <c r="B1916" s="4" t="s">
        <v>1063</v>
      </c>
      <c r="C1916" s="25" t="s">
        <v>7</v>
      </c>
      <c r="G1916" s="25" t="s">
        <v>1161</v>
      </c>
      <c r="H1916" s="24" t="s">
        <v>1061</v>
      </c>
      <c r="I1916" s="3" t="str">
        <f>IFERROR(VLOOKUP(C1916,'Справочник соответствий'!A$2:D$2981,2,FALSE),IF(VALUE(C1916)=0,1,VLOOKUP(C1916,'Справочник соответствий'!A$2:D$2981,2,FALSE)))</f>
        <v>2</v>
      </c>
      <c r="J1916" s="3">
        <f>IFERROR(VLOOKUP(D1916,'Справочник соответствий'!A$2:D$2981,2,FALSE),IF(VALUE(D1916)=0,0,VLOOKUP(D1916,'Справочник соответствий'!A$2:D$2981,2,FALSE)))</f>
        <v>0</v>
      </c>
      <c r="K1916" s="3" t="str">
        <f t="shared" si="203"/>
        <v>2</v>
      </c>
      <c r="L1916" s="13" t="str">
        <f>IFERROR(VLOOKUP(C1916,'Справочник соответствий'!A$2:D$2981,3,FALSE),IF(VALUE(C1916)=0,"ЭТАЖ НЕ ОПРЕДЕЛЕН. ПРИНЯТ ПО ДОПУЩЕНИЮ 1",VLOOKUP(C1916,'Справочник соответствий'!A$2:D$2981,3,FALSE)))</f>
        <v>ЭТАЖ ЗАДАН ЧИСЛОМ</v>
      </c>
      <c r="M1916" s="13" t="b">
        <f t="shared" si="204"/>
        <v>0</v>
      </c>
      <c r="N1916" s="13">
        <f t="shared" si="205"/>
        <v>2</v>
      </c>
      <c r="O1916" s="13" t="str">
        <f t="shared" si="206"/>
        <v>ЭТАЖ ЗАДАН ЧИСЛОМ</v>
      </c>
      <c r="P1916" s="13" t="str">
        <f t="shared" si="207"/>
        <v>ЭТАЖ ЗАДАН ЧИСЛОМ</v>
      </c>
      <c r="Q1916" s="13" t="str">
        <f t="shared" si="208"/>
        <v>ГОТОВ_ИЗМЕНЕН</v>
      </c>
      <c r="R1916" s="13">
        <f>IFERROR(VLOOKUP(P1916,Лист1!A$1:B$20,2,FALSE),0)</f>
        <v>784</v>
      </c>
      <c r="S1916" s="13">
        <f t="shared" si="209"/>
        <v>0</v>
      </c>
    </row>
    <row r="1917" spans="1:19" x14ac:dyDescent="0.25">
      <c r="A1917" s="24" t="s">
        <v>3044</v>
      </c>
      <c r="B1917" s="4" t="s">
        <v>1063</v>
      </c>
      <c r="C1917" s="25" t="s">
        <v>5</v>
      </c>
      <c r="G1917" s="25" t="s">
        <v>1388</v>
      </c>
      <c r="H1917" s="24" t="s">
        <v>1061</v>
      </c>
      <c r="I1917" s="3" t="str">
        <f>IFERROR(VLOOKUP(C1917,'Справочник соответствий'!A$2:D$2981,2,FALSE),IF(VALUE(C1917)=0,1,VLOOKUP(C1917,'Справочник соответствий'!A$2:D$2981,2,FALSE)))</f>
        <v>1</v>
      </c>
      <c r="J1917" s="3">
        <f>IFERROR(VLOOKUP(D1917,'Справочник соответствий'!A$2:D$2981,2,FALSE),IF(VALUE(D1917)=0,0,VLOOKUP(D1917,'Справочник соответствий'!A$2:D$2981,2,FALSE)))</f>
        <v>0</v>
      </c>
      <c r="K1917" s="3" t="str">
        <f t="shared" si="203"/>
        <v>1</v>
      </c>
      <c r="L1917" s="13" t="str">
        <f>IFERROR(VLOOKUP(C1917,'Справочник соответствий'!A$2:D$2981,3,FALSE),IF(VALUE(C1917)=0,"ЭТАЖ НЕ ОПРЕДЕЛЕН. ПРИНЯТ ПО ДОПУЩЕНИЮ 1",VLOOKUP(C1917,'Справочник соответствий'!A$2:D$2981,3,FALSE)))</f>
        <v>ЭТАЖ ЗАДАН ЧИСЛОМ</v>
      </c>
      <c r="M1917" s="13" t="b">
        <f t="shared" si="204"/>
        <v>0</v>
      </c>
      <c r="N1917" s="13">
        <f t="shared" si="205"/>
        <v>1</v>
      </c>
      <c r="O1917" s="13" t="str">
        <f t="shared" si="206"/>
        <v>ЭТАЖ ЗАДАН ЧИСЛОМ</v>
      </c>
      <c r="P1917" s="13" t="str">
        <f t="shared" si="207"/>
        <v>ЭТАЖ ЗАДАН ЧИСЛОМ</v>
      </c>
      <c r="Q1917" s="13" t="str">
        <f t="shared" si="208"/>
        <v>ГОТОВ_ИЗМЕНЕН</v>
      </c>
      <c r="R1917" s="13">
        <f>IFERROR(VLOOKUP(P1917,Лист1!A$1:B$20,2,FALSE),0)</f>
        <v>784</v>
      </c>
      <c r="S1917" s="13">
        <f t="shared" si="209"/>
        <v>0</v>
      </c>
    </row>
    <row r="1918" spans="1:19" x14ac:dyDescent="0.25">
      <c r="A1918" s="24" t="s">
        <v>3045</v>
      </c>
      <c r="B1918" s="4" t="s">
        <v>1059</v>
      </c>
      <c r="C1918" s="25" t="s">
        <v>7</v>
      </c>
      <c r="G1918" s="25" t="s">
        <v>1072</v>
      </c>
      <c r="H1918" s="24" t="s">
        <v>1061</v>
      </c>
      <c r="I1918" s="3" t="str">
        <f>IFERROR(VLOOKUP(C1918,'Справочник соответствий'!A$2:D$2981,2,FALSE),IF(VALUE(C1918)=0,1,VLOOKUP(C1918,'Справочник соответствий'!A$2:D$2981,2,FALSE)))</f>
        <v>2</v>
      </c>
      <c r="J1918" s="3">
        <f>IFERROR(VLOOKUP(D1918,'Справочник соответствий'!A$2:D$2981,2,FALSE),IF(VALUE(D1918)=0,0,VLOOKUP(D1918,'Справочник соответствий'!A$2:D$2981,2,FALSE)))</f>
        <v>0</v>
      </c>
      <c r="K1918" s="3" t="str">
        <f t="shared" si="203"/>
        <v>2</v>
      </c>
      <c r="L1918" s="13" t="str">
        <f>IFERROR(VLOOKUP(C1918,'Справочник соответствий'!A$2:D$2981,3,FALSE),IF(VALUE(C1918)=0,"ЭТАЖ НЕ ОПРЕДЕЛЕН. ПРИНЯТ ПО ДОПУЩЕНИЮ 1",VLOOKUP(C1918,'Справочник соответствий'!A$2:D$2981,3,FALSE)))</f>
        <v>ЭТАЖ ЗАДАН ЧИСЛОМ</v>
      </c>
      <c r="M1918" s="13" t="b">
        <f t="shared" si="204"/>
        <v>0</v>
      </c>
      <c r="N1918" s="13">
        <f t="shared" si="205"/>
        <v>2</v>
      </c>
      <c r="O1918" s="13" t="str">
        <f t="shared" si="206"/>
        <v>ЭТАЖ ЗАДАН ЧИСЛОМ</v>
      </c>
      <c r="P1918" s="13" t="str">
        <f t="shared" si="207"/>
        <v>ЭТАЖ ЗАДАН ЧИСЛОМ</v>
      </c>
      <c r="Q1918" s="13" t="str">
        <f t="shared" si="208"/>
        <v>ГОТОВ_ИЗМЕНЕН</v>
      </c>
      <c r="R1918" s="13">
        <f>IFERROR(VLOOKUP(P1918,Лист1!A$1:B$20,2,FALSE),0)</f>
        <v>784</v>
      </c>
      <c r="S1918" s="13">
        <f t="shared" si="209"/>
        <v>0</v>
      </c>
    </row>
    <row r="1919" spans="1:19" x14ac:dyDescent="0.25">
      <c r="A1919" s="24" t="s">
        <v>3046</v>
      </c>
      <c r="B1919" s="4" t="s">
        <v>1059</v>
      </c>
      <c r="C1919" s="25" t="s">
        <v>7</v>
      </c>
      <c r="G1919" s="25" t="s">
        <v>1072</v>
      </c>
      <c r="H1919" s="24" t="s">
        <v>1061</v>
      </c>
      <c r="I1919" s="3" t="str">
        <f>IFERROR(VLOOKUP(C1919,'Справочник соответствий'!A$2:D$2981,2,FALSE),IF(VALUE(C1919)=0,1,VLOOKUP(C1919,'Справочник соответствий'!A$2:D$2981,2,FALSE)))</f>
        <v>2</v>
      </c>
      <c r="J1919" s="3">
        <f>IFERROR(VLOOKUP(D1919,'Справочник соответствий'!A$2:D$2981,2,FALSE),IF(VALUE(D1919)=0,0,VLOOKUP(D1919,'Справочник соответствий'!A$2:D$2981,2,FALSE)))</f>
        <v>0</v>
      </c>
      <c r="K1919" s="3" t="str">
        <f t="shared" si="203"/>
        <v>2</v>
      </c>
      <c r="L1919" s="13" t="str">
        <f>IFERROR(VLOOKUP(C1919,'Справочник соответствий'!A$2:D$2981,3,FALSE),IF(VALUE(C1919)=0,"ЭТАЖ НЕ ОПРЕДЕЛЕН. ПРИНЯТ ПО ДОПУЩЕНИЮ 1",VLOOKUP(C1919,'Справочник соответствий'!A$2:D$2981,3,FALSE)))</f>
        <v>ЭТАЖ ЗАДАН ЧИСЛОМ</v>
      </c>
      <c r="M1919" s="13" t="b">
        <f t="shared" si="204"/>
        <v>0</v>
      </c>
      <c r="N1919" s="13">
        <f t="shared" si="205"/>
        <v>2</v>
      </c>
      <c r="O1919" s="13" t="str">
        <f t="shared" si="206"/>
        <v>ЭТАЖ ЗАДАН ЧИСЛОМ</v>
      </c>
      <c r="P1919" s="13" t="str">
        <f t="shared" si="207"/>
        <v>ЭТАЖ ЗАДАН ЧИСЛОМ</v>
      </c>
      <c r="Q1919" s="13" t="str">
        <f t="shared" si="208"/>
        <v>ГОТОВ_ИЗМЕНЕН</v>
      </c>
      <c r="R1919" s="13">
        <f>IFERROR(VLOOKUP(P1919,Лист1!A$1:B$20,2,FALSE),0)</f>
        <v>784</v>
      </c>
      <c r="S1919" s="13">
        <f t="shared" si="209"/>
        <v>0</v>
      </c>
    </row>
    <row r="1920" spans="1:19" x14ac:dyDescent="0.25">
      <c r="A1920" s="24" t="s">
        <v>3047</v>
      </c>
      <c r="B1920" s="4" t="s">
        <v>1059</v>
      </c>
      <c r="C1920" s="25" t="s">
        <v>5</v>
      </c>
      <c r="G1920" s="25" t="s">
        <v>1072</v>
      </c>
      <c r="H1920" s="24" t="s">
        <v>1061</v>
      </c>
      <c r="I1920" s="3" t="str">
        <f>IFERROR(VLOOKUP(C1920,'Справочник соответствий'!A$2:D$2981,2,FALSE),IF(VALUE(C1920)=0,1,VLOOKUP(C1920,'Справочник соответствий'!A$2:D$2981,2,FALSE)))</f>
        <v>1</v>
      </c>
      <c r="J1920" s="3">
        <f>IFERROR(VLOOKUP(D1920,'Справочник соответствий'!A$2:D$2981,2,FALSE),IF(VALUE(D1920)=0,0,VLOOKUP(D1920,'Справочник соответствий'!A$2:D$2981,2,FALSE)))</f>
        <v>0</v>
      </c>
      <c r="K1920" s="3" t="str">
        <f t="shared" si="203"/>
        <v>1</v>
      </c>
      <c r="L1920" s="13" t="str">
        <f>IFERROR(VLOOKUP(C1920,'Справочник соответствий'!A$2:D$2981,3,FALSE),IF(VALUE(C1920)=0,"ЭТАЖ НЕ ОПРЕДЕЛЕН. ПРИНЯТ ПО ДОПУЩЕНИЮ 1",VLOOKUP(C1920,'Справочник соответствий'!A$2:D$2981,3,FALSE)))</f>
        <v>ЭТАЖ ЗАДАН ЧИСЛОМ</v>
      </c>
      <c r="M1920" s="13" t="b">
        <f t="shared" si="204"/>
        <v>0</v>
      </c>
      <c r="N1920" s="13">
        <f t="shared" si="205"/>
        <v>1</v>
      </c>
      <c r="O1920" s="13" t="str">
        <f t="shared" si="206"/>
        <v>ЭТАЖ ЗАДАН ЧИСЛОМ</v>
      </c>
      <c r="P1920" s="13" t="str">
        <f t="shared" si="207"/>
        <v>ЭТАЖ ЗАДАН ЧИСЛОМ</v>
      </c>
      <c r="Q1920" s="13" t="str">
        <f t="shared" si="208"/>
        <v>ГОТОВ_ИЗМЕНЕН</v>
      </c>
      <c r="R1920" s="13">
        <f>IFERROR(VLOOKUP(P1920,Лист1!A$1:B$20,2,FALSE),0)</f>
        <v>784</v>
      </c>
      <c r="S1920" s="13">
        <f t="shared" si="209"/>
        <v>0</v>
      </c>
    </row>
    <row r="1921" spans="1:19" x14ac:dyDescent="0.25">
      <c r="A1921" s="24" t="s">
        <v>3048</v>
      </c>
      <c r="B1921" s="4" t="s">
        <v>1059</v>
      </c>
      <c r="C1921" s="25" t="s">
        <v>5</v>
      </c>
      <c r="G1921" s="25" t="s">
        <v>1072</v>
      </c>
      <c r="H1921" s="24" t="s">
        <v>1061</v>
      </c>
      <c r="I1921" s="3" t="str">
        <f>IFERROR(VLOOKUP(C1921,'Справочник соответствий'!A$2:D$2981,2,FALSE),IF(VALUE(C1921)=0,1,VLOOKUP(C1921,'Справочник соответствий'!A$2:D$2981,2,FALSE)))</f>
        <v>1</v>
      </c>
      <c r="J1921" s="3">
        <f>IFERROR(VLOOKUP(D1921,'Справочник соответствий'!A$2:D$2981,2,FALSE),IF(VALUE(D1921)=0,0,VLOOKUP(D1921,'Справочник соответствий'!A$2:D$2981,2,FALSE)))</f>
        <v>0</v>
      </c>
      <c r="K1921" s="3" t="str">
        <f t="shared" si="203"/>
        <v>1</v>
      </c>
      <c r="L1921" s="13" t="str">
        <f>IFERROR(VLOOKUP(C1921,'Справочник соответствий'!A$2:D$2981,3,FALSE),IF(VALUE(C1921)=0,"ЭТАЖ НЕ ОПРЕДЕЛЕН. ПРИНЯТ ПО ДОПУЩЕНИЮ 1",VLOOKUP(C1921,'Справочник соответствий'!A$2:D$2981,3,FALSE)))</f>
        <v>ЭТАЖ ЗАДАН ЧИСЛОМ</v>
      </c>
      <c r="M1921" s="13" t="b">
        <f t="shared" si="204"/>
        <v>0</v>
      </c>
      <c r="N1921" s="13">
        <f t="shared" si="205"/>
        <v>1</v>
      </c>
      <c r="O1921" s="13" t="str">
        <f t="shared" si="206"/>
        <v>ЭТАЖ ЗАДАН ЧИСЛОМ</v>
      </c>
      <c r="P1921" s="13" t="str">
        <f t="shared" si="207"/>
        <v>ЭТАЖ ЗАДАН ЧИСЛОМ</v>
      </c>
      <c r="Q1921" s="13" t="str">
        <f t="shared" si="208"/>
        <v>ГОТОВ_ИЗМЕНЕН</v>
      </c>
      <c r="R1921" s="13">
        <f>IFERROR(VLOOKUP(P1921,Лист1!A$1:B$20,2,FALSE),0)</f>
        <v>784</v>
      </c>
      <c r="S1921" s="13">
        <f t="shared" si="209"/>
        <v>0</v>
      </c>
    </row>
    <row r="1922" spans="1:19" x14ac:dyDescent="0.25">
      <c r="A1922" s="24" t="s">
        <v>3049</v>
      </c>
      <c r="B1922" s="4" t="s">
        <v>1059</v>
      </c>
      <c r="C1922" s="25" t="s">
        <v>5</v>
      </c>
      <c r="G1922" s="25" t="s">
        <v>1167</v>
      </c>
      <c r="H1922" s="24" t="s">
        <v>1061</v>
      </c>
      <c r="I1922" s="3" t="str">
        <f>IFERROR(VLOOKUP(C1922,'Справочник соответствий'!A$2:D$2981,2,FALSE),IF(VALUE(C1922)=0,1,VLOOKUP(C1922,'Справочник соответствий'!A$2:D$2981,2,FALSE)))</f>
        <v>1</v>
      </c>
      <c r="J1922" s="3">
        <f>IFERROR(VLOOKUP(D1922,'Справочник соответствий'!A$2:D$2981,2,FALSE),IF(VALUE(D1922)=0,0,VLOOKUP(D1922,'Справочник соответствий'!A$2:D$2981,2,FALSE)))</f>
        <v>0</v>
      </c>
      <c r="K1922" s="3" t="str">
        <f t="shared" si="203"/>
        <v>1</v>
      </c>
      <c r="L1922" s="13" t="str">
        <f>IFERROR(VLOOKUP(C1922,'Справочник соответствий'!A$2:D$2981,3,FALSE),IF(VALUE(C1922)=0,"ЭТАЖ НЕ ОПРЕДЕЛЕН. ПРИНЯТ ПО ДОПУЩЕНИЮ 1",VLOOKUP(C1922,'Справочник соответствий'!A$2:D$2981,3,FALSE)))</f>
        <v>ЭТАЖ ЗАДАН ЧИСЛОМ</v>
      </c>
      <c r="M1922" s="13" t="b">
        <f t="shared" si="204"/>
        <v>0</v>
      </c>
      <c r="N1922" s="13">
        <f t="shared" si="205"/>
        <v>1</v>
      </c>
      <c r="O1922" s="13" t="str">
        <f t="shared" si="206"/>
        <v>ЭТАЖ ЗАДАН ЧИСЛОМ</v>
      </c>
      <c r="P1922" s="13" t="str">
        <f t="shared" si="207"/>
        <v>ЭТАЖ ЗАДАН ЧИСЛОМ</v>
      </c>
      <c r="Q1922" s="13" t="str">
        <f t="shared" si="208"/>
        <v>ГОТОВ_ИЗМЕНЕН</v>
      </c>
      <c r="R1922" s="13">
        <f>IFERROR(VLOOKUP(P1922,Лист1!A$1:B$20,2,FALSE),0)</f>
        <v>784</v>
      </c>
      <c r="S1922" s="13">
        <f t="shared" si="209"/>
        <v>0</v>
      </c>
    </row>
    <row r="1923" spans="1:19" x14ac:dyDescent="0.25">
      <c r="A1923" s="24" t="s">
        <v>3050</v>
      </c>
      <c r="B1923" s="4" t="s">
        <v>1059</v>
      </c>
      <c r="C1923" s="25" t="s">
        <v>5</v>
      </c>
      <c r="G1923" s="25" t="s">
        <v>1089</v>
      </c>
      <c r="H1923" s="24" t="s">
        <v>1061</v>
      </c>
      <c r="I1923" s="3" t="str">
        <f>IFERROR(VLOOKUP(C1923,'Справочник соответствий'!A$2:D$2981,2,FALSE),IF(VALUE(C1923)=0,1,VLOOKUP(C1923,'Справочник соответствий'!A$2:D$2981,2,FALSE)))</f>
        <v>1</v>
      </c>
      <c r="J1923" s="3">
        <f>IFERROR(VLOOKUP(D1923,'Справочник соответствий'!A$2:D$2981,2,FALSE),IF(VALUE(D1923)=0,0,VLOOKUP(D1923,'Справочник соответствий'!A$2:D$2981,2,FALSE)))</f>
        <v>0</v>
      </c>
      <c r="K1923" s="3" t="str">
        <f t="shared" si="203"/>
        <v>1</v>
      </c>
      <c r="L1923" s="13" t="str">
        <f>IFERROR(VLOOKUP(C1923,'Справочник соответствий'!A$2:D$2981,3,FALSE),IF(VALUE(C1923)=0,"ЭТАЖ НЕ ОПРЕДЕЛЕН. ПРИНЯТ ПО ДОПУЩЕНИЮ 1",VLOOKUP(C1923,'Справочник соответствий'!A$2:D$2981,3,FALSE)))</f>
        <v>ЭТАЖ ЗАДАН ЧИСЛОМ</v>
      </c>
      <c r="M1923" s="13" t="b">
        <f t="shared" si="204"/>
        <v>0</v>
      </c>
      <c r="N1923" s="13">
        <f t="shared" si="205"/>
        <v>1</v>
      </c>
      <c r="O1923" s="13" t="str">
        <f t="shared" si="206"/>
        <v>ЭТАЖ ЗАДАН ЧИСЛОМ</v>
      </c>
      <c r="P1923" s="13" t="str">
        <f t="shared" si="207"/>
        <v>ЭТАЖ ЗАДАН ЧИСЛОМ</v>
      </c>
      <c r="Q1923" s="13" t="str">
        <f t="shared" si="208"/>
        <v>ГОТОВ_ИЗМЕНЕН</v>
      </c>
      <c r="R1923" s="13">
        <f>IFERROR(VLOOKUP(P1923,Лист1!A$1:B$20,2,FALSE),0)</f>
        <v>784</v>
      </c>
      <c r="S1923" s="13">
        <f t="shared" si="209"/>
        <v>0</v>
      </c>
    </row>
    <row r="1924" spans="1:19" x14ac:dyDescent="0.25">
      <c r="A1924" s="24" t="s">
        <v>3051</v>
      </c>
      <c r="B1924" s="4" t="s">
        <v>1059</v>
      </c>
      <c r="C1924" s="25" t="s">
        <v>5</v>
      </c>
      <c r="G1924" s="25" t="s">
        <v>1069</v>
      </c>
      <c r="H1924" s="24" t="s">
        <v>1061</v>
      </c>
      <c r="I1924" s="3" t="str">
        <f>IFERROR(VLOOKUP(C1924,'Справочник соответствий'!A$2:D$2981,2,FALSE),IF(VALUE(C1924)=0,1,VLOOKUP(C1924,'Справочник соответствий'!A$2:D$2981,2,FALSE)))</f>
        <v>1</v>
      </c>
      <c r="J1924" s="3">
        <f>IFERROR(VLOOKUP(D1924,'Справочник соответствий'!A$2:D$2981,2,FALSE),IF(VALUE(D1924)=0,0,VLOOKUP(D1924,'Справочник соответствий'!A$2:D$2981,2,FALSE)))</f>
        <v>0</v>
      </c>
      <c r="K1924" s="3" t="str">
        <f t="shared" si="203"/>
        <v>1</v>
      </c>
      <c r="L1924" s="13" t="str">
        <f>IFERROR(VLOOKUP(C1924,'Справочник соответствий'!A$2:D$2981,3,FALSE),IF(VALUE(C1924)=0,"ЭТАЖ НЕ ОПРЕДЕЛЕН. ПРИНЯТ ПО ДОПУЩЕНИЮ 1",VLOOKUP(C1924,'Справочник соответствий'!A$2:D$2981,3,FALSE)))</f>
        <v>ЭТАЖ ЗАДАН ЧИСЛОМ</v>
      </c>
      <c r="M1924" s="13" t="b">
        <f t="shared" si="204"/>
        <v>0</v>
      </c>
      <c r="N1924" s="13">
        <f t="shared" si="205"/>
        <v>1</v>
      </c>
      <c r="O1924" s="13" t="str">
        <f t="shared" si="206"/>
        <v>ЭТАЖ ЗАДАН ЧИСЛОМ</v>
      </c>
      <c r="P1924" s="13" t="str">
        <f t="shared" si="207"/>
        <v>ЭТАЖ ЗАДАН ЧИСЛОМ</v>
      </c>
      <c r="Q1924" s="13" t="str">
        <f t="shared" si="208"/>
        <v>ГОТОВ_ИЗМЕНЕН</v>
      </c>
      <c r="R1924" s="13">
        <f>IFERROR(VLOOKUP(P1924,Лист1!A$1:B$20,2,FALSE),0)</f>
        <v>784</v>
      </c>
      <c r="S1924" s="13">
        <f t="shared" si="209"/>
        <v>0</v>
      </c>
    </row>
    <row r="1925" spans="1:19" x14ac:dyDescent="0.25">
      <c r="A1925" s="24" t="s">
        <v>3052</v>
      </c>
      <c r="B1925" s="4" t="s">
        <v>1059</v>
      </c>
      <c r="C1925" s="25" t="s">
        <v>5</v>
      </c>
      <c r="G1925" s="25" t="s">
        <v>1174</v>
      </c>
      <c r="H1925" s="24" t="s">
        <v>1061</v>
      </c>
      <c r="I1925" s="3" t="str">
        <f>IFERROR(VLOOKUP(C1925,'Справочник соответствий'!A$2:D$2981,2,FALSE),IF(VALUE(C1925)=0,1,VLOOKUP(C1925,'Справочник соответствий'!A$2:D$2981,2,FALSE)))</f>
        <v>1</v>
      </c>
      <c r="J1925" s="3">
        <f>IFERROR(VLOOKUP(D1925,'Справочник соответствий'!A$2:D$2981,2,FALSE),IF(VALUE(D1925)=0,0,VLOOKUP(D1925,'Справочник соответствий'!A$2:D$2981,2,FALSE)))</f>
        <v>0</v>
      </c>
      <c r="K1925" s="3" t="str">
        <f t="shared" ref="K1925:K1988" si="210">IF(B1925="Многоквартирный дом",IF(I1925-J1925&gt;0,I1925-J1925,1),I1925)</f>
        <v>1</v>
      </c>
      <c r="L1925" s="13" t="str">
        <f>IFERROR(VLOOKUP(C1925,'Справочник соответствий'!A$2:D$2981,3,FALSE),IF(VALUE(C1925)=0,"ЭТАЖ НЕ ОПРЕДЕЛЕН. ПРИНЯТ ПО ДОПУЩЕНИЮ 1",VLOOKUP(C1925,'Справочник соответствий'!A$2:D$2981,3,FALSE)))</f>
        <v>ЭТАЖ ЗАДАН ЧИСЛОМ</v>
      </c>
      <c r="M1925" s="13" t="b">
        <f t="shared" ref="M1925:M1988" si="211">I1925=E1925</f>
        <v>0</v>
      </c>
      <c r="N1925" s="13">
        <f t="shared" ref="N1925:N1988" si="212">IF(VALUE(E1925)=0,VALUE(K1925),IF(L1925="ЭТАЖ НЕ ОПРЕДЕЛЕН. ПРИНЯТ ПО ДОПУЩЕНИЮ 1",VALUE(E1925),VALUE(K1925)))</f>
        <v>1</v>
      </c>
      <c r="O1925" s="13" t="str">
        <f t="shared" ref="O1925:O1988" si="213">IF(VALUE(E1925)=0,L1925,IF(L1925="ЭТАЖ НЕ ОПРЕДЕЛЕН. ПРИНЯТ ПО ДОПУЩЕНИЮ 1",F1925,L1925))</f>
        <v>ЭТАЖ ЗАДАН ЧИСЛОМ</v>
      </c>
      <c r="P1925" s="13" t="str">
        <f t="shared" ref="P1925:P1988" si="214">IF(B1925="Многоквартирный дом",CONCATENATE("МКД_",O1925),O1925)</f>
        <v>ЭТАЖ ЗАДАН ЧИСЛОМ</v>
      </c>
      <c r="Q1925" s="13" t="str">
        <f t="shared" ref="Q1925:Q1988" si="215">IFERROR(IF(N1925&gt;0,IF(N1925=VALUE(E1925),"ГОТОВ","ГОТОВ_ИЗМЕНЕН"),"НЕ ГОТОВ"),"НЕ ГОТОВ")</f>
        <v>ГОТОВ_ИЗМЕНЕН</v>
      </c>
      <c r="R1925" s="13">
        <f>IFERROR(VLOOKUP(P1925,Лист1!A$1:B$20,2,FALSE),0)</f>
        <v>784</v>
      </c>
      <c r="S1925" s="13">
        <f t="shared" ref="S1925:S1988" si="216">VALUE(E1925)</f>
        <v>0</v>
      </c>
    </row>
    <row r="1926" spans="1:19" x14ac:dyDescent="0.25">
      <c r="A1926" s="24" t="s">
        <v>3053</v>
      </c>
      <c r="B1926" s="4" t="s">
        <v>1059</v>
      </c>
      <c r="C1926" s="25" t="s">
        <v>5</v>
      </c>
      <c r="G1926" s="25" t="s">
        <v>1069</v>
      </c>
      <c r="H1926" s="24" t="s">
        <v>1061</v>
      </c>
      <c r="I1926" s="3" t="str">
        <f>IFERROR(VLOOKUP(C1926,'Справочник соответствий'!A$2:D$2981,2,FALSE),IF(VALUE(C1926)=0,1,VLOOKUP(C1926,'Справочник соответствий'!A$2:D$2981,2,FALSE)))</f>
        <v>1</v>
      </c>
      <c r="J1926" s="3">
        <f>IFERROR(VLOOKUP(D1926,'Справочник соответствий'!A$2:D$2981,2,FALSE),IF(VALUE(D1926)=0,0,VLOOKUP(D1926,'Справочник соответствий'!A$2:D$2981,2,FALSE)))</f>
        <v>0</v>
      </c>
      <c r="K1926" s="3" t="str">
        <f t="shared" si="210"/>
        <v>1</v>
      </c>
      <c r="L1926" s="13" t="str">
        <f>IFERROR(VLOOKUP(C1926,'Справочник соответствий'!A$2:D$2981,3,FALSE),IF(VALUE(C1926)=0,"ЭТАЖ НЕ ОПРЕДЕЛЕН. ПРИНЯТ ПО ДОПУЩЕНИЮ 1",VLOOKUP(C1926,'Справочник соответствий'!A$2:D$2981,3,FALSE)))</f>
        <v>ЭТАЖ ЗАДАН ЧИСЛОМ</v>
      </c>
      <c r="M1926" s="13" t="b">
        <f t="shared" si="211"/>
        <v>0</v>
      </c>
      <c r="N1926" s="13">
        <f t="shared" si="212"/>
        <v>1</v>
      </c>
      <c r="O1926" s="13" t="str">
        <f t="shared" si="213"/>
        <v>ЭТАЖ ЗАДАН ЧИСЛОМ</v>
      </c>
      <c r="P1926" s="13" t="str">
        <f t="shared" si="214"/>
        <v>ЭТАЖ ЗАДАН ЧИСЛОМ</v>
      </c>
      <c r="Q1926" s="13" t="str">
        <f t="shared" si="215"/>
        <v>ГОТОВ_ИЗМЕНЕН</v>
      </c>
      <c r="R1926" s="13">
        <f>IFERROR(VLOOKUP(P1926,Лист1!A$1:B$20,2,FALSE),0)</f>
        <v>784</v>
      </c>
      <c r="S1926" s="13">
        <f t="shared" si="216"/>
        <v>0</v>
      </c>
    </row>
    <row r="1927" spans="1:19" x14ac:dyDescent="0.25">
      <c r="A1927" s="24" t="s">
        <v>3054</v>
      </c>
      <c r="B1927" s="4" t="s">
        <v>1063</v>
      </c>
      <c r="C1927" s="25" t="s">
        <v>5</v>
      </c>
      <c r="G1927" s="25" t="s">
        <v>1072</v>
      </c>
      <c r="H1927" s="24" t="s">
        <v>1061</v>
      </c>
      <c r="I1927" s="3" t="str">
        <f>IFERROR(VLOOKUP(C1927,'Справочник соответствий'!A$2:D$2981,2,FALSE),IF(VALUE(C1927)=0,1,VLOOKUP(C1927,'Справочник соответствий'!A$2:D$2981,2,FALSE)))</f>
        <v>1</v>
      </c>
      <c r="J1927" s="3">
        <f>IFERROR(VLOOKUP(D1927,'Справочник соответствий'!A$2:D$2981,2,FALSE),IF(VALUE(D1927)=0,0,VLOOKUP(D1927,'Справочник соответствий'!A$2:D$2981,2,FALSE)))</f>
        <v>0</v>
      </c>
      <c r="K1927" s="3" t="str">
        <f t="shared" si="210"/>
        <v>1</v>
      </c>
      <c r="L1927" s="13" t="str">
        <f>IFERROR(VLOOKUP(C1927,'Справочник соответствий'!A$2:D$2981,3,FALSE),IF(VALUE(C1927)=0,"ЭТАЖ НЕ ОПРЕДЕЛЕН. ПРИНЯТ ПО ДОПУЩЕНИЮ 1",VLOOKUP(C1927,'Справочник соответствий'!A$2:D$2981,3,FALSE)))</f>
        <v>ЭТАЖ ЗАДАН ЧИСЛОМ</v>
      </c>
      <c r="M1927" s="13" t="b">
        <f t="shared" si="211"/>
        <v>0</v>
      </c>
      <c r="N1927" s="13">
        <f t="shared" si="212"/>
        <v>1</v>
      </c>
      <c r="O1927" s="13" t="str">
        <f t="shared" si="213"/>
        <v>ЭТАЖ ЗАДАН ЧИСЛОМ</v>
      </c>
      <c r="P1927" s="13" t="str">
        <f t="shared" si="214"/>
        <v>ЭТАЖ ЗАДАН ЧИСЛОМ</v>
      </c>
      <c r="Q1927" s="13" t="str">
        <f t="shared" si="215"/>
        <v>ГОТОВ_ИЗМЕНЕН</v>
      </c>
      <c r="R1927" s="13">
        <f>IFERROR(VLOOKUP(P1927,Лист1!A$1:B$20,2,FALSE),0)</f>
        <v>784</v>
      </c>
      <c r="S1927" s="13">
        <f t="shared" si="216"/>
        <v>0</v>
      </c>
    </row>
    <row r="1928" spans="1:19" x14ac:dyDescent="0.25">
      <c r="A1928" s="24" t="s">
        <v>3055</v>
      </c>
      <c r="B1928" s="4" t="s">
        <v>1059</v>
      </c>
      <c r="C1928" s="25" t="s">
        <v>5</v>
      </c>
      <c r="D1928" s="25" t="s">
        <v>5</v>
      </c>
      <c r="G1928" s="25" t="s">
        <v>1072</v>
      </c>
      <c r="H1928" s="24" t="s">
        <v>1061</v>
      </c>
      <c r="I1928" s="3" t="str">
        <f>IFERROR(VLOOKUP(C1928,'Справочник соответствий'!A$2:D$2981,2,FALSE),IF(VALUE(C1928)=0,1,VLOOKUP(C1928,'Справочник соответствий'!A$2:D$2981,2,FALSE)))</f>
        <v>1</v>
      </c>
      <c r="J1928" s="3" t="str">
        <f>IFERROR(VLOOKUP(D1928,'Справочник соответствий'!A$2:D$2981,2,FALSE),IF(VALUE(D1928)=0,0,VLOOKUP(D1928,'Справочник соответствий'!A$2:D$2981,2,FALSE)))</f>
        <v>1</v>
      </c>
      <c r="K1928" s="3" t="str">
        <f t="shared" si="210"/>
        <v>1</v>
      </c>
      <c r="L1928" s="13" t="str">
        <f>IFERROR(VLOOKUP(C1928,'Справочник соответствий'!A$2:D$2981,3,FALSE),IF(VALUE(C1928)=0,"ЭТАЖ НЕ ОПРЕДЕЛЕН. ПРИНЯТ ПО ДОПУЩЕНИЮ 1",VLOOKUP(C1928,'Справочник соответствий'!A$2:D$2981,3,FALSE)))</f>
        <v>ЭТАЖ ЗАДАН ЧИСЛОМ</v>
      </c>
      <c r="M1928" s="13" t="b">
        <f t="shared" si="211"/>
        <v>0</v>
      </c>
      <c r="N1928" s="13">
        <f t="shared" si="212"/>
        <v>1</v>
      </c>
      <c r="O1928" s="13" t="str">
        <f t="shared" si="213"/>
        <v>ЭТАЖ ЗАДАН ЧИСЛОМ</v>
      </c>
      <c r="P1928" s="13" t="str">
        <f t="shared" si="214"/>
        <v>ЭТАЖ ЗАДАН ЧИСЛОМ</v>
      </c>
      <c r="Q1928" s="13" t="str">
        <f t="shared" si="215"/>
        <v>ГОТОВ_ИЗМЕНЕН</v>
      </c>
      <c r="R1928" s="13">
        <f>IFERROR(VLOOKUP(P1928,Лист1!A$1:B$20,2,FALSE),0)</f>
        <v>784</v>
      </c>
      <c r="S1928" s="13">
        <f t="shared" si="216"/>
        <v>0</v>
      </c>
    </row>
    <row r="1929" spans="1:19" x14ac:dyDescent="0.25">
      <c r="A1929" s="24" t="s">
        <v>3056</v>
      </c>
      <c r="B1929" s="4" t="s">
        <v>1059</v>
      </c>
      <c r="C1929" s="25" t="s">
        <v>8</v>
      </c>
      <c r="G1929" s="25" t="s">
        <v>1072</v>
      </c>
      <c r="H1929" s="24" t="s">
        <v>1061</v>
      </c>
      <c r="I1929" s="3" t="str">
        <f>IFERROR(VLOOKUP(C1929,'Справочник соответствий'!A$2:D$2981,2,FALSE),IF(VALUE(C1929)=0,1,VLOOKUP(C1929,'Справочник соответствий'!A$2:D$2981,2,FALSE)))</f>
        <v>3</v>
      </c>
      <c r="J1929" s="3">
        <f>IFERROR(VLOOKUP(D1929,'Справочник соответствий'!A$2:D$2981,2,FALSE),IF(VALUE(D1929)=0,0,VLOOKUP(D1929,'Справочник соответствий'!A$2:D$2981,2,FALSE)))</f>
        <v>0</v>
      </c>
      <c r="K1929" s="3" t="str">
        <f t="shared" si="210"/>
        <v>3</v>
      </c>
      <c r="L1929" s="13" t="str">
        <f>IFERROR(VLOOKUP(C1929,'Справочник соответствий'!A$2:D$2981,3,FALSE),IF(VALUE(C1929)=0,"ЭТАЖ НЕ ОПРЕДЕЛЕН. ПРИНЯТ ПО ДОПУЩЕНИЮ 1",VLOOKUP(C1929,'Справочник соответствий'!A$2:D$2981,3,FALSE)))</f>
        <v>ЭТАЖ ЗАДАН ЧИСЛОМ</v>
      </c>
      <c r="M1929" s="13" t="b">
        <f t="shared" si="211"/>
        <v>0</v>
      </c>
      <c r="N1929" s="13">
        <f t="shared" si="212"/>
        <v>3</v>
      </c>
      <c r="O1929" s="13" t="str">
        <f t="shared" si="213"/>
        <v>ЭТАЖ ЗАДАН ЧИСЛОМ</v>
      </c>
      <c r="P1929" s="13" t="str">
        <f t="shared" si="214"/>
        <v>ЭТАЖ ЗАДАН ЧИСЛОМ</v>
      </c>
      <c r="Q1929" s="13" t="str">
        <f t="shared" si="215"/>
        <v>ГОТОВ_ИЗМЕНЕН</v>
      </c>
      <c r="R1929" s="13">
        <f>IFERROR(VLOOKUP(P1929,Лист1!A$1:B$20,2,FALSE),0)</f>
        <v>784</v>
      </c>
      <c r="S1929" s="13">
        <f t="shared" si="216"/>
        <v>0</v>
      </c>
    </row>
    <row r="1930" spans="1:19" x14ac:dyDescent="0.25">
      <c r="A1930" s="24" t="s">
        <v>3057</v>
      </c>
      <c r="B1930" s="4" t="s">
        <v>1059</v>
      </c>
      <c r="C1930" s="25" t="s">
        <v>5</v>
      </c>
      <c r="G1930" s="25" t="s">
        <v>1174</v>
      </c>
      <c r="H1930" s="24" t="s">
        <v>1061</v>
      </c>
      <c r="I1930" s="3" t="str">
        <f>IFERROR(VLOOKUP(C1930,'Справочник соответствий'!A$2:D$2981,2,FALSE),IF(VALUE(C1930)=0,1,VLOOKUP(C1930,'Справочник соответствий'!A$2:D$2981,2,FALSE)))</f>
        <v>1</v>
      </c>
      <c r="J1930" s="3">
        <f>IFERROR(VLOOKUP(D1930,'Справочник соответствий'!A$2:D$2981,2,FALSE),IF(VALUE(D1930)=0,0,VLOOKUP(D1930,'Справочник соответствий'!A$2:D$2981,2,FALSE)))</f>
        <v>0</v>
      </c>
      <c r="K1930" s="3" t="str">
        <f t="shared" si="210"/>
        <v>1</v>
      </c>
      <c r="L1930" s="13" t="str">
        <f>IFERROR(VLOOKUP(C1930,'Справочник соответствий'!A$2:D$2981,3,FALSE),IF(VALUE(C1930)=0,"ЭТАЖ НЕ ОПРЕДЕЛЕН. ПРИНЯТ ПО ДОПУЩЕНИЮ 1",VLOOKUP(C1930,'Справочник соответствий'!A$2:D$2981,3,FALSE)))</f>
        <v>ЭТАЖ ЗАДАН ЧИСЛОМ</v>
      </c>
      <c r="M1930" s="13" t="b">
        <f t="shared" si="211"/>
        <v>0</v>
      </c>
      <c r="N1930" s="13">
        <f t="shared" si="212"/>
        <v>1</v>
      </c>
      <c r="O1930" s="13" t="str">
        <f t="shared" si="213"/>
        <v>ЭТАЖ ЗАДАН ЧИСЛОМ</v>
      </c>
      <c r="P1930" s="13" t="str">
        <f t="shared" si="214"/>
        <v>ЭТАЖ ЗАДАН ЧИСЛОМ</v>
      </c>
      <c r="Q1930" s="13" t="str">
        <f t="shared" si="215"/>
        <v>ГОТОВ_ИЗМЕНЕН</v>
      </c>
      <c r="R1930" s="13">
        <f>IFERROR(VLOOKUP(P1930,Лист1!A$1:B$20,2,FALSE),0)</f>
        <v>784</v>
      </c>
      <c r="S1930" s="13">
        <f t="shared" si="216"/>
        <v>0</v>
      </c>
    </row>
    <row r="1931" spans="1:19" x14ac:dyDescent="0.25">
      <c r="A1931" s="24" t="s">
        <v>3058</v>
      </c>
      <c r="B1931" s="4" t="s">
        <v>1063</v>
      </c>
      <c r="C1931" s="25" t="s">
        <v>5</v>
      </c>
      <c r="G1931" s="25" t="s">
        <v>1174</v>
      </c>
      <c r="H1931" s="24" t="s">
        <v>1061</v>
      </c>
      <c r="I1931" s="3" t="str">
        <f>IFERROR(VLOOKUP(C1931,'Справочник соответствий'!A$2:D$2981,2,FALSE),IF(VALUE(C1931)=0,1,VLOOKUP(C1931,'Справочник соответствий'!A$2:D$2981,2,FALSE)))</f>
        <v>1</v>
      </c>
      <c r="J1931" s="3">
        <f>IFERROR(VLOOKUP(D1931,'Справочник соответствий'!A$2:D$2981,2,FALSE),IF(VALUE(D1931)=0,0,VLOOKUP(D1931,'Справочник соответствий'!A$2:D$2981,2,FALSE)))</f>
        <v>0</v>
      </c>
      <c r="K1931" s="3" t="str">
        <f t="shared" si="210"/>
        <v>1</v>
      </c>
      <c r="L1931" s="13" t="str">
        <f>IFERROR(VLOOKUP(C1931,'Справочник соответствий'!A$2:D$2981,3,FALSE),IF(VALUE(C1931)=0,"ЭТАЖ НЕ ОПРЕДЕЛЕН. ПРИНЯТ ПО ДОПУЩЕНИЮ 1",VLOOKUP(C1931,'Справочник соответствий'!A$2:D$2981,3,FALSE)))</f>
        <v>ЭТАЖ ЗАДАН ЧИСЛОМ</v>
      </c>
      <c r="M1931" s="13" t="b">
        <f t="shared" si="211"/>
        <v>0</v>
      </c>
      <c r="N1931" s="13">
        <f t="shared" si="212"/>
        <v>1</v>
      </c>
      <c r="O1931" s="13" t="str">
        <f t="shared" si="213"/>
        <v>ЭТАЖ ЗАДАН ЧИСЛОМ</v>
      </c>
      <c r="P1931" s="13" t="str">
        <f t="shared" si="214"/>
        <v>ЭТАЖ ЗАДАН ЧИСЛОМ</v>
      </c>
      <c r="Q1931" s="13" t="str">
        <f t="shared" si="215"/>
        <v>ГОТОВ_ИЗМЕНЕН</v>
      </c>
      <c r="R1931" s="13">
        <f>IFERROR(VLOOKUP(P1931,Лист1!A$1:B$20,2,FALSE),0)</f>
        <v>784</v>
      </c>
      <c r="S1931" s="13">
        <f t="shared" si="216"/>
        <v>0</v>
      </c>
    </row>
    <row r="1932" spans="1:19" x14ac:dyDescent="0.25">
      <c r="A1932" s="24" t="s">
        <v>3059</v>
      </c>
      <c r="B1932" s="4" t="s">
        <v>1059</v>
      </c>
      <c r="C1932" s="25" t="s">
        <v>5</v>
      </c>
      <c r="G1932" s="25" t="s">
        <v>1193</v>
      </c>
      <c r="H1932" s="24" t="s">
        <v>1061</v>
      </c>
      <c r="I1932" s="3" t="str">
        <f>IFERROR(VLOOKUP(C1932,'Справочник соответствий'!A$2:D$2981,2,FALSE),IF(VALUE(C1932)=0,1,VLOOKUP(C1932,'Справочник соответствий'!A$2:D$2981,2,FALSE)))</f>
        <v>1</v>
      </c>
      <c r="J1932" s="3">
        <f>IFERROR(VLOOKUP(D1932,'Справочник соответствий'!A$2:D$2981,2,FALSE),IF(VALUE(D1932)=0,0,VLOOKUP(D1932,'Справочник соответствий'!A$2:D$2981,2,FALSE)))</f>
        <v>0</v>
      </c>
      <c r="K1932" s="3" t="str">
        <f t="shared" si="210"/>
        <v>1</v>
      </c>
      <c r="L1932" s="13" t="str">
        <f>IFERROR(VLOOKUP(C1932,'Справочник соответствий'!A$2:D$2981,3,FALSE),IF(VALUE(C1932)=0,"ЭТАЖ НЕ ОПРЕДЕЛЕН. ПРИНЯТ ПО ДОПУЩЕНИЮ 1",VLOOKUP(C1932,'Справочник соответствий'!A$2:D$2981,3,FALSE)))</f>
        <v>ЭТАЖ ЗАДАН ЧИСЛОМ</v>
      </c>
      <c r="M1932" s="13" t="b">
        <f t="shared" si="211"/>
        <v>0</v>
      </c>
      <c r="N1932" s="13">
        <f t="shared" si="212"/>
        <v>1</v>
      </c>
      <c r="O1932" s="13" t="str">
        <f t="shared" si="213"/>
        <v>ЭТАЖ ЗАДАН ЧИСЛОМ</v>
      </c>
      <c r="P1932" s="13" t="str">
        <f t="shared" si="214"/>
        <v>ЭТАЖ ЗАДАН ЧИСЛОМ</v>
      </c>
      <c r="Q1932" s="13" t="str">
        <f t="shared" si="215"/>
        <v>ГОТОВ_ИЗМЕНЕН</v>
      </c>
      <c r="R1932" s="13">
        <f>IFERROR(VLOOKUP(P1932,Лист1!A$1:B$20,2,FALSE),0)</f>
        <v>784</v>
      </c>
      <c r="S1932" s="13">
        <f t="shared" si="216"/>
        <v>0</v>
      </c>
    </row>
    <row r="1933" spans="1:19" x14ac:dyDescent="0.25">
      <c r="A1933" s="24" t="s">
        <v>3060</v>
      </c>
      <c r="B1933" s="4" t="s">
        <v>1059</v>
      </c>
      <c r="C1933" s="25" t="s">
        <v>5</v>
      </c>
      <c r="G1933" s="25" t="s">
        <v>1069</v>
      </c>
      <c r="H1933" s="24" t="s">
        <v>1061</v>
      </c>
      <c r="I1933" s="3" t="str">
        <f>IFERROR(VLOOKUP(C1933,'Справочник соответствий'!A$2:D$2981,2,FALSE),IF(VALUE(C1933)=0,1,VLOOKUP(C1933,'Справочник соответствий'!A$2:D$2981,2,FALSE)))</f>
        <v>1</v>
      </c>
      <c r="J1933" s="3">
        <f>IFERROR(VLOOKUP(D1933,'Справочник соответствий'!A$2:D$2981,2,FALSE),IF(VALUE(D1933)=0,0,VLOOKUP(D1933,'Справочник соответствий'!A$2:D$2981,2,FALSE)))</f>
        <v>0</v>
      </c>
      <c r="K1933" s="3" t="str">
        <f t="shared" si="210"/>
        <v>1</v>
      </c>
      <c r="L1933" s="13" t="str">
        <f>IFERROR(VLOOKUP(C1933,'Справочник соответствий'!A$2:D$2981,3,FALSE),IF(VALUE(C1933)=0,"ЭТАЖ НЕ ОПРЕДЕЛЕН. ПРИНЯТ ПО ДОПУЩЕНИЮ 1",VLOOKUP(C1933,'Справочник соответствий'!A$2:D$2981,3,FALSE)))</f>
        <v>ЭТАЖ ЗАДАН ЧИСЛОМ</v>
      </c>
      <c r="M1933" s="13" t="b">
        <f t="shared" si="211"/>
        <v>0</v>
      </c>
      <c r="N1933" s="13">
        <f t="shared" si="212"/>
        <v>1</v>
      </c>
      <c r="O1933" s="13" t="str">
        <f t="shared" si="213"/>
        <v>ЭТАЖ ЗАДАН ЧИСЛОМ</v>
      </c>
      <c r="P1933" s="13" t="str">
        <f t="shared" si="214"/>
        <v>ЭТАЖ ЗАДАН ЧИСЛОМ</v>
      </c>
      <c r="Q1933" s="13" t="str">
        <f t="shared" si="215"/>
        <v>ГОТОВ_ИЗМЕНЕН</v>
      </c>
      <c r="R1933" s="13">
        <f>IFERROR(VLOOKUP(P1933,Лист1!A$1:B$20,2,FALSE),0)</f>
        <v>784</v>
      </c>
      <c r="S1933" s="13">
        <f t="shared" si="216"/>
        <v>0</v>
      </c>
    </row>
    <row r="1934" spans="1:19" x14ac:dyDescent="0.25">
      <c r="A1934" s="24" t="s">
        <v>3061</v>
      </c>
      <c r="B1934" s="4" t="s">
        <v>1059</v>
      </c>
      <c r="C1934" s="25" t="s">
        <v>7</v>
      </c>
      <c r="D1934" s="25" t="s">
        <v>5</v>
      </c>
      <c r="G1934" s="25" t="s">
        <v>1108</v>
      </c>
      <c r="H1934" s="24" t="s">
        <v>1061</v>
      </c>
      <c r="I1934" s="3" t="str">
        <f>IFERROR(VLOOKUP(C1934,'Справочник соответствий'!A$2:D$2981,2,FALSE),IF(VALUE(C1934)=0,1,VLOOKUP(C1934,'Справочник соответствий'!A$2:D$2981,2,FALSE)))</f>
        <v>2</v>
      </c>
      <c r="J1934" s="3" t="str">
        <f>IFERROR(VLOOKUP(D1934,'Справочник соответствий'!A$2:D$2981,2,FALSE),IF(VALUE(D1934)=0,0,VLOOKUP(D1934,'Справочник соответствий'!A$2:D$2981,2,FALSE)))</f>
        <v>1</v>
      </c>
      <c r="K1934" s="3" t="str">
        <f t="shared" si="210"/>
        <v>2</v>
      </c>
      <c r="L1934" s="13" t="str">
        <f>IFERROR(VLOOKUP(C1934,'Справочник соответствий'!A$2:D$2981,3,FALSE),IF(VALUE(C1934)=0,"ЭТАЖ НЕ ОПРЕДЕЛЕН. ПРИНЯТ ПО ДОПУЩЕНИЮ 1",VLOOKUP(C1934,'Справочник соответствий'!A$2:D$2981,3,FALSE)))</f>
        <v>ЭТАЖ ЗАДАН ЧИСЛОМ</v>
      </c>
      <c r="M1934" s="13" t="b">
        <f t="shared" si="211"/>
        <v>0</v>
      </c>
      <c r="N1934" s="13">
        <f t="shared" si="212"/>
        <v>2</v>
      </c>
      <c r="O1934" s="13" t="str">
        <f t="shared" si="213"/>
        <v>ЭТАЖ ЗАДАН ЧИСЛОМ</v>
      </c>
      <c r="P1934" s="13" t="str">
        <f t="shared" si="214"/>
        <v>ЭТАЖ ЗАДАН ЧИСЛОМ</v>
      </c>
      <c r="Q1934" s="13" t="str">
        <f t="shared" si="215"/>
        <v>ГОТОВ_ИЗМЕНЕН</v>
      </c>
      <c r="R1934" s="13">
        <f>IFERROR(VLOOKUP(P1934,Лист1!A$1:B$20,2,FALSE),0)</f>
        <v>784</v>
      </c>
      <c r="S1934" s="13">
        <f t="shared" si="216"/>
        <v>0</v>
      </c>
    </row>
    <row r="1935" spans="1:19" x14ac:dyDescent="0.25">
      <c r="A1935" s="24" t="s">
        <v>3062</v>
      </c>
      <c r="B1935" s="4" t="s">
        <v>1059</v>
      </c>
      <c r="C1935" s="25" t="s">
        <v>5</v>
      </c>
      <c r="G1935" s="25" t="s">
        <v>1108</v>
      </c>
      <c r="H1935" s="24" t="s">
        <v>1061</v>
      </c>
      <c r="I1935" s="3" t="str">
        <f>IFERROR(VLOOKUP(C1935,'Справочник соответствий'!A$2:D$2981,2,FALSE),IF(VALUE(C1935)=0,1,VLOOKUP(C1935,'Справочник соответствий'!A$2:D$2981,2,FALSE)))</f>
        <v>1</v>
      </c>
      <c r="J1935" s="3">
        <f>IFERROR(VLOOKUP(D1935,'Справочник соответствий'!A$2:D$2981,2,FALSE),IF(VALUE(D1935)=0,0,VLOOKUP(D1935,'Справочник соответствий'!A$2:D$2981,2,FALSE)))</f>
        <v>0</v>
      </c>
      <c r="K1935" s="3" t="str">
        <f t="shared" si="210"/>
        <v>1</v>
      </c>
      <c r="L1935" s="13" t="str">
        <f>IFERROR(VLOOKUP(C1935,'Справочник соответствий'!A$2:D$2981,3,FALSE),IF(VALUE(C1935)=0,"ЭТАЖ НЕ ОПРЕДЕЛЕН. ПРИНЯТ ПО ДОПУЩЕНИЮ 1",VLOOKUP(C1935,'Справочник соответствий'!A$2:D$2981,3,FALSE)))</f>
        <v>ЭТАЖ ЗАДАН ЧИСЛОМ</v>
      </c>
      <c r="M1935" s="13" t="b">
        <f t="shared" si="211"/>
        <v>0</v>
      </c>
      <c r="N1935" s="13">
        <f t="shared" si="212"/>
        <v>1</v>
      </c>
      <c r="O1935" s="13" t="str">
        <f t="shared" si="213"/>
        <v>ЭТАЖ ЗАДАН ЧИСЛОМ</v>
      </c>
      <c r="P1935" s="13" t="str">
        <f t="shared" si="214"/>
        <v>ЭТАЖ ЗАДАН ЧИСЛОМ</v>
      </c>
      <c r="Q1935" s="13" t="str">
        <f t="shared" si="215"/>
        <v>ГОТОВ_ИЗМЕНЕН</v>
      </c>
      <c r="R1935" s="13">
        <f>IFERROR(VLOOKUP(P1935,Лист1!A$1:B$20,2,FALSE),0)</f>
        <v>784</v>
      </c>
      <c r="S1935" s="13">
        <f t="shared" si="216"/>
        <v>0</v>
      </c>
    </row>
    <row r="1936" spans="1:19" x14ac:dyDescent="0.25">
      <c r="A1936" s="24" t="s">
        <v>3063</v>
      </c>
      <c r="B1936" s="4" t="s">
        <v>1063</v>
      </c>
      <c r="C1936" s="25" t="s">
        <v>7</v>
      </c>
      <c r="G1936" s="25" t="s">
        <v>1108</v>
      </c>
      <c r="H1936" s="24" t="s">
        <v>1061</v>
      </c>
      <c r="I1936" s="3" t="str">
        <f>IFERROR(VLOOKUP(C1936,'Справочник соответствий'!A$2:D$2981,2,FALSE),IF(VALUE(C1936)=0,1,VLOOKUP(C1936,'Справочник соответствий'!A$2:D$2981,2,FALSE)))</f>
        <v>2</v>
      </c>
      <c r="J1936" s="3">
        <f>IFERROR(VLOOKUP(D1936,'Справочник соответствий'!A$2:D$2981,2,FALSE),IF(VALUE(D1936)=0,0,VLOOKUP(D1936,'Справочник соответствий'!A$2:D$2981,2,FALSE)))</f>
        <v>0</v>
      </c>
      <c r="K1936" s="3" t="str">
        <f t="shared" si="210"/>
        <v>2</v>
      </c>
      <c r="L1936" s="13" t="str">
        <f>IFERROR(VLOOKUP(C1936,'Справочник соответствий'!A$2:D$2981,3,FALSE),IF(VALUE(C1936)=0,"ЭТАЖ НЕ ОПРЕДЕЛЕН. ПРИНЯТ ПО ДОПУЩЕНИЮ 1",VLOOKUP(C1936,'Справочник соответствий'!A$2:D$2981,3,FALSE)))</f>
        <v>ЭТАЖ ЗАДАН ЧИСЛОМ</v>
      </c>
      <c r="M1936" s="13" t="b">
        <f t="shared" si="211"/>
        <v>0</v>
      </c>
      <c r="N1936" s="13">
        <f t="shared" si="212"/>
        <v>2</v>
      </c>
      <c r="O1936" s="13" t="str">
        <f t="shared" si="213"/>
        <v>ЭТАЖ ЗАДАН ЧИСЛОМ</v>
      </c>
      <c r="P1936" s="13" t="str">
        <f t="shared" si="214"/>
        <v>ЭТАЖ ЗАДАН ЧИСЛОМ</v>
      </c>
      <c r="Q1936" s="13" t="str">
        <f t="shared" si="215"/>
        <v>ГОТОВ_ИЗМЕНЕН</v>
      </c>
      <c r="R1936" s="13">
        <f>IFERROR(VLOOKUP(P1936,Лист1!A$1:B$20,2,FALSE),0)</f>
        <v>784</v>
      </c>
      <c r="S1936" s="13">
        <f t="shared" si="216"/>
        <v>0</v>
      </c>
    </row>
    <row r="1937" spans="1:19" x14ac:dyDescent="0.25">
      <c r="A1937" s="24" t="s">
        <v>3064</v>
      </c>
      <c r="B1937" s="4" t="s">
        <v>1063</v>
      </c>
      <c r="C1937" s="25" t="s">
        <v>5</v>
      </c>
      <c r="G1937" s="25" t="s">
        <v>1108</v>
      </c>
      <c r="H1937" s="24" t="s">
        <v>1061</v>
      </c>
      <c r="I1937" s="3" t="str">
        <f>IFERROR(VLOOKUP(C1937,'Справочник соответствий'!A$2:D$2981,2,FALSE),IF(VALUE(C1937)=0,1,VLOOKUP(C1937,'Справочник соответствий'!A$2:D$2981,2,FALSE)))</f>
        <v>1</v>
      </c>
      <c r="J1937" s="3">
        <f>IFERROR(VLOOKUP(D1937,'Справочник соответствий'!A$2:D$2981,2,FALSE),IF(VALUE(D1937)=0,0,VLOOKUP(D1937,'Справочник соответствий'!A$2:D$2981,2,FALSE)))</f>
        <v>0</v>
      </c>
      <c r="K1937" s="3" t="str">
        <f t="shared" si="210"/>
        <v>1</v>
      </c>
      <c r="L1937" s="13" t="str">
        <f>IFERROR(VLOOKUP(C1937,'Справочник соответствий'!A$2:D$2981,3,FALSE),IF(VALUE(C1937)=0,"ЭТАЖ НЕ ОПРЕДЕЛЕН. ПРИНЯТ ПО ДОПУЩЕНИЮ 1",VLOOKUP(C1937,'Справочник соответствий'!A$2:D$2981,3,FALSE)))</f>
        <v>ЭТАЖ ЗАДАН ЧИСЛОМ</v>
      </c>
      <c r="M1937" s="13" t="b">
        <f t="shared" si="211"/>
        <v>0</v>
      </c>
      <c r="N1937" s="13">
        <f t="shared" si="212"/>
        <v>1</v>
      </c>
      <c r="O1937" s="13" t="str">
        <f t="shared" si="213"/>
        <v>ЭТАЖ ЗАДАН ЧИСЛОМ</v>
      </c>
      <c r="P1937" s="13" t="str">
        <f t="shared" si="214"/>
        <v>ЭТАЖ ЗАДАН ЧИСЛОМ</v>
      </c>
      <c r="Q1937" s="13" t="str">
        <f t="shared" si="215"/>
        <v>ГОТОВ_ИЗМЕНЕН</v>
      </c>
      <c r="R1937" s="13">
        <f>IFERROR(VLOOKUP(P1937,Лист1!A$1:B$20,2,FALSE),0)</f>
        <v>784</v>
      </c>
      <c r="S1937" s="13">
        <f t="shared" si="216"/>
        <v>0</v>
      </c>
    </row>
    <row r="1938" spans="1:19" x14ac:dyDescent="0.25">
      <c r="A1938" s="24" t="s">
        <v>3065</v>
      </c>
      <c r="B1938" s="4" t="s">
        <v>1059</v>
      </c>
      <c r="C1938" s="25" t="s">
        <v>7</v>
      </c>
      <c r="G1938" s="25" t="s">
        <v>1108</v>
      </c>
      <c r="H1938" s="24" t="s">
        <v>1061</v>
      </c>
      <c r="I1938" s="3" t="str">
        <f>IFERROR(VLOOKUP(C1938,'Справочник соответствий'!A$2:D$2981,2,FALSE),IF(VALUE(C1938)=0,1,VLOOKUP(C1938,'Справочник соответствий'!A$2:D$2981,2,FALSE)))</f>
        <v>2</v>
      </c>
      <c r="J1938" s="3">
        <f>IFERROR(VLOOKUP(D1938,'Справочник соответствий'!A$2:D$2981,2,FALSE),IF(VALUE(D1938)=0,0,VLOOKUP(D1938,'Справочник соответствий'!A$2:D$2981,2,FALSE)))</f>
        <v>0</v>
      </c>
      <c r="K1938" s="3" t="str">
        <f t="shared" si="210"/>
        <v>2</v>
      </c>
      <c r="L1938" s="13" t="str">
        <f>IFERROR(VLOOKUP(C1938,'Справочник соответствий'!A$2:D$2981,3,FALSE),IF(VALUE(C1938)=0,"ЭТАЖ НЕ ОПРЕДЕЛЕН. ПРИНЯТ ПО ДОПУЩЕНИЮ 1",VLOOKUP(C1938,'Справочник соответствий'!A$2:D$2981,3,FALSE)))</f>
        <v>ЭТАЖ ЗАДАН ЧИСЛОМ</v>
      </c>
      <c r="M1938" s="13" t="b">
        <f t="shared" si="211"/>
        <v>0</v>
      </c>
      <c r="N1938" s="13">
        <f t="shared" si="212"/>
        <v>2</v>
      </c>
      <c r="O1938" s="13" t="str">
        <f t="shared" si="213"/>
        <v>ЭТАЖ ЗАДАН ЧИСЛОМ</v>
      </c>
      <c r="P1938" s="13" t="str">
        <f t="shared" si="214"/>
        <v>ЭТАЖ ЗАДАН ЧИСЛОМ</v>
      </c>
      <c r="Q1938" s="13" t="str">
        <f t="shared" si="215"/>
        <v>ГОТОВ_ИЗМЕНЕН</v>
      </c>
      <c r="R1938" s="13">
        <f>IFERROR(VLOOKUP(P1938,Лист1!A$1:B$20,2,FALSE),0)</f>
        <v>784</v>
      </c>
      <c r="S1938" s="13">
        <f t="shared" si="216"/>
        <v>0</v>
      </c>
    </row>
    <row r="1939" spans="1:19" x14ac:dyDescent="0.25">
      <c r="A1939" s="24" t="s">
        <v>3066</v>
      </c>
      <c r="B1939" s="4" t="s">
        <v>1059</v>
      </c>
      <c r="C1939" s="25" t="s">
        <v>7</v>
      </c>
      <c r="G1939" s="25" t="s">
        <v>1108</v>
      </c>
      <c r="H1939" s="24" t="s">
        <v>1061</v>
      </c>
      <c r="I1939" s="3" t="str">
        <f>IFERROR(VLOOKUP(C1939,'Справочник соответствий'!A$2:D$2981,2,FALSE),IF(VALUE(C1939)=0,1,VLOOKUP(C1939,'Справочник соответствий'!A$2:D$2981,2,FALSE)))</f>
        <v>2</v>
      </c>
      <c r="J1939" s="3">
        <f>IFERROR(VLOOKUP(D1939,'Справочник соответствий'!A$2:D$2981,2,FALSE),IF(VALUE(D1939)=0,0,VLOOKUP(D1939,'Справочник соответствий'!A$2:D$2981,2,FALSE)))</f>
        <v>0</v>
      </c>
      <c r="K1939" s="3" t="str">
        <f t="shared" si="210"/>
        <v>2</v>
      </c>
      <c r="L1939" s="13" t="str">
        <f>IFERROR(VLOOKUP(C1939,'Справочник соответствий'!A$2:D$2981,3,FALSE),IF(VALUE(C1939)=0,"ЭТАЖ НЕ ОПРЕДЕЛЕН. ПРИНЯТ ПО ДОПУЩЕНИЮ 1",VLOOKUP(C1939,'Справочник соответствий'!A$2:D$2981,3,FALSE)))</f>
        <v>ЭТАЖ ЗАДАН ЧИСЛОМ</v>
      </c>
      <c r="M1939" s="13" t="b">
        <f t="shared" si="211"/>
        <v>0</v>
      </c>
      <c r="N1939" s="13">
        <f t="shared" si="212"/>
        <v>2</v>
      </c>
      <c r="O1939" s="13" t="str">
        <f t="shared" si="213"/>
        <v>ЭТАЖ ЗАДАН ЧИСЛОМ</v>
      </c>
      <c r="P1939" s="13" t="str">
        <f t="shared" si="214"/>
        <v>ЭТАЖ ЗАДАН ЧИСЛОМ</v>
      </c>
      <c r="Q1939" s="13" t="str">
        <f t="shared" si="215"/>
        <v>ГОТОВ_ИЗМЕНЕН</v>
      </c>
      <c r="R1939" s="13">
        <f>IFERROR(VLOOKUP(P1939,Лист1!A$1:B$20,2,FALSE),0)</f>
        <v>784</v>
      </c>
      <c r="S1939" s="13">
        <f t="shared" si="216"/>
        <v>0</v>
      </c>
    </row>
    <row r="1940" spans="1:19" x14ac:dyDescent="0.25">
      <c r="A1940" s="24" t="s">
        <v>3067</v>
      </c>
      <c r="B1940" s="4" t="s">
        <v>1059</v>
      </c>
      <c r="C1940" s="25" t="s">
        <v>7</v>
      </c>
      <c r="G1940" s="25" t="s">
        <v>1089</v>
      </c>
      <c r="H1940" s="24" t="s">
        <v>1061</v>
      </c>
      <c r="I1940" s="3" t="str">
        <f>IFERROR(VLOOKUP(C1940,'Справочник соответствий'!A$2:D$2981,2,FALSE),IF(VALUE(C1940)=0,1,VLOOKUP(C1940,'Справочник соответствий'!A$2:D$2981,2,FALSE)))</f>
        <v>2</v>
      </c>
      <c r="J1940" s="3">
        <f>IFERROR(VLOOKUP(D1940,'Справочник соответствий'!A$2:D$2981,2,FALSE),IF(VALUE(D1940)=0,0,VLOOKUP(D1940,'Справочник соответствий'!A$2:D$2981,2,FALSE)))</f>
        <v>0</v>
      </c>
      <c r="K1940" s="3" t="str">
        <f t="shared" si="210"/>
        <v>2</v>
      </c>
      <c r="L1940" s="13" t="str">
        <f>IFERROR(VLOOKUP(C1940,'Справочник соответствий'!A$2:D$2981,3,FALSE),IF(VALUE(C1940)=0,"ЭТАЖ НЕ ОПРЕДЕЛЕН. ПРИНЯТ ПО ДОПУЩЕНИЮ 1",VLOOKUP(C1940,'Справочник соответствий'!A$2:D$2981,3,FALSE)))</f>
        <v>ЭТАЖ ЗАДАН ЧИСЛОМ</v>
      </c>
      <c r="M1940" s="13" t="b">
        <f t="shared" si="211"/>
        <v>0</v>
      </c>
      <c r="N1940" s="13">
        <f t="shared" si="212"/>
        <v>2</v>
      </c>
      <c r="O1940" s="13" t="str">
        <f t="shared" si="213"/>
        <v>ЭТАЖ ЗАДАН ЧИСЛОМ</v>
      </c>
      <c r="P1940" s="13" t="str">
        <f t="shared" si="214"/>
        <v>ЭТАЖ ЗАДАН ЧИСЛОМ</v>
      </c>
      <c r="Q1940" s="13" t="str">
        <f t="shared" si="215"/>
        <v>ГОТОВ_ИЗМЕНЕН</v>
      </c>
      <c r="R1940" s="13">
        <f>IFERROR(VLOOKUP(P1940,Лист1!A$1:B$20,2,FALSE),0)</f>
        <v>784</v>
      </c>
      <c r="S1940" s="13">
        <f t="shared" si="216"/>
        <v>0</v>
      </c>
    </row>
    <row r="1941" spans="1:19" x14ac:dyDescent="0.25">
      <c r="A1941" s="24" t="s">
        <v>3068</v>
      </c>
      <c r="B1941" s="4" t="s">
        <v>1059</v>
      </c>
      <c r="C1941" s="25" t="s">
        <v>5</v>
      </c>
      <c r="G1941" s="25" t="s">
        <v>1174</v>
      </c>
      <c r="H1941" s="24" t="s">
        <v>1061</v>
      </c>
      <c r="I1941" s="3" t="str">
        <f>IFERROR(VLOOKUP(C1941,'Справочник соответствий'!A$2:D$2981,2,FALSE),IF(VALUE(C1941)=0,1,VLOOKUP(C1941,'Справочник соответствий'!A$2:D$2981,2,FALSE)))</f>
        <v>1</v>
      </c>
      <c r="J1941" s="3">
        <f>IFERROR(VLOOKUP(D1941,'Справочник соответствий'!A$2:D$2981,2,FALSE),IF(VALUE(D1941)=0,0,VLOOKUP(D1941,'Справочник соответствий'!A$2:D$2981,2,FALSE)))</f>
        <v>0</v>
      </c>
      <c r="K1941" s="3" t="str">
        <f t="shared" si="210"/>
        <v>1</v>
      </c>
      <c r="L1941" s="13" t="str">
        <f>IFERROR(VLOOKUP(C1941,'Справочник соответствий'!A$2:D$2981,3,FALSE),IF(VALUE(C1941)=0,"ЭТАЖ НЕ ОПРЕДЕЛЕН. ПРИНЯТ ПО ДОПУЩЕНИЮ 1",VLOOKUP(C1941,'Справочник соответствий'!A$2:D$2981,3,FALSE)))</f>
        <v>ЭТАЖ ЗАДАН ЧИСЛОМ</v>
      </c>
      <c r="M1941" s="13" t="b">
        <f t="shared" si="211"/>
        <v>0</v>
      </c>
      <c r="N1941" s="13">
        <f t="shared" si="212"/>
        <v>1</v>
      </c>
      <c r="O1941" s="13" t="str">
        <f t="shared" si="213"/>
        <v>ЭТАЖ ЗАДАН ЧИСЛОМ</v>
      </c>
      <c r="P1941" s="13" t="str">
        <f t="shared" si="214"/>
        <v>ЭТАЖ ЗАДАН ЧИСЛОМ</v>
      </c>
      <c r="Q1941" s="13" t="str">
        <f t="shared" si="215"/>
        <v>ГОТОВ_ИЗМЕНЕН</v>
      </c>
      <c r="R1941" s="13">
        <f>IFERROR(VLOOKUP(P1941,Лист1!A$1:B$20,2,FALSE),0)</f>
        <v>784</v>
      </c>
      <c r="S1941" s="13">
        <f t="shared" si="216"/>
        <v>0</v>
      </c>
    </row>
    <row r="1942" spans="1:19" x14ac:dyDescent="0.25">
      <c r="A1942" s="24" t="s">
        <v>3069</v>
      </c>
      <c r="B1942" s="4" t="s">
        <v>1063</v>
      </c>
      <c r="C1942" s="25" t="s">
        <v>5</v>
      </c>
      <c r="G1942" s="25" t="s">
        <v>1391</v>
      </c>
      <c r="H1942" s="24" t="s">
        <v>1061</v>
      </c>
      <c r="I1942" s="3" t="str">
        <f>IFERROR(VLOOKUP(C1942,'Справочник соответствий'!A$2:D$2981,2,FALSE),IF(VALUE(C1942)=0,1,VLOOKUP(C1942,'Справочник соответствий'!A$2:D$2981,2,FALSE)))</f>
        <v>1</v>
      </c>
      <c r="J1942" s="3">
        <f>IFERROR(VLOOKUP(D1942,'Справочник соответствий'!A$2:D$2981,2,FALSE),IF(VALUE(D1942)=0,0,VLOOKUP(D1942,'Справочник соответствий'!A$2:D$2981,2,FALSE)))</f>
        <v>0</v>
      </c>
      <c r="K1942" s="3" t="str">
        <f t="shared" si="210"/>
        <v>1</v>
      </c>
      <c r="L1942" s="13" t="str">
        <f>IFERROR(VLOOKUP(C1942,'Справочник соответствий'!A$2:D$2981,3,FALSE),IF(VALUE(C1942)=0,"ЭТАЖ НЕ ОПРЕДЕЛЕН. ПРИНЯТ ПО ДОПУЩЕНИЮ 1",VLOOKUP(C1942,'Справочник соответствий'!A$2:D$2981,3,FALSE)))</f>
        <v>ЭТАЖ ЗАДАН ЧИСЛОМ</v>
      </c>
      <c r="M1942" s="13" t="b">
        <f t="shared" si="211"/>
        <v>0</v>
      </c>
      <c r="N1942" s="13">
        <f t="shared" si="212"/>
        <v>1</v>
      </c>
      <c r="O1942" s="13" t="str">
        <f t="shared" si="213"/>
        <v>ЭТАЖ ЗАДАН ЧИСЛОМ</v>
      </c>
      <c r="P1942" s="13" t="str">
        <f t="shared" si="214"/>
        <v>ЭТАЖ ЗАДАН ЧИСЛОМ</v>
      </c>
      <c r="Q1942" s="13" t="str">
        <f t="shared" si="215"/>
        <v>ГОТОВ_ИЗМЕНЕН</v>
      </c>
      <c r="R1942" s="13">
        <f>IFERROR(VLOOKUP(P1942,Лист1!A$1:B$20,2,FALSE),0)</f>
        <v>784</v>
      </c>
      <c r="S1942" s="13">
        <f t="shared" si="216"/>
        <v>0</v>
      </c>
    </row>
    <row r="1943" spans="1:19" x14ac:dyDescent="0.25">
      <c r="A1943" s="24" t="s">
        <v>3070</v>
      </c>
      <c r="B1943" s="4" t="s">
        <v>1063</v>
      </c>
      <c r="G1943" s="25" t="s">
        <v>1089</v>
      </c>
      <c r="H1943" s="24" t="s">
        <v>1061</v>
      </c>
      <c r="I1943" s="3">
        <f>IFERROR(VLOOKUP(C1943,'Справочник соответствий'!A$2:D$2981,2,FALSE),IF(VALUE(C1943)=0,1,VLOOKUP(C1943,'Справочник соответствий'!A$2:D$2981,2,FALSE)))</f>
        <v>1</v>
      </c>
      <c r="J1943" s="3">
        <f>IFERROR(VLOOKUP(D1943,'Справочник соответствий'!A$2:D$2981,2,FALSE),IF(VALUE(D1943)=0,0,VLOOKUP(D1943,'Справочник соответствий'!A$2:D$2981,2,FALSE)))</f>
        <v>0</v>
      </c>
      <c r="K1943" s="3">
        <f t="shared" si="210"/>
        <v>1</v>
      </c>
      <c r="L1943" s="13" t="str">
        <f>IFERROR(VLOOKUP(C1943,'Справочник соответствий'!A$2:D$2981,3,FALSE),IF(VALUE(C1943)=0,"ЭТАЖ НЕ ОПРЕДЕЛЕН. ПРИНЯТ ПО ДОПУЩЕНИЮ 1",VLOOKUP(C1943,'Справочник соответствий'!A$2:D$2981,3,FALSE)))</f>
        <v>ЭТАЖ НЕ ОПРЕДЕЛЕН. ПРИНЯТ ПО ДОПУЩЕНИЮ 1</v>
      </c>
      <c r="M1943" s="13" t="b">
        <f t="shared" si="211"/>
        <v>0</v>
      </c>
      <c r="N1943" s="13">
        <f t="shared" si="212"/>
        <v>1</v>
      </c>
      <c r="O1943" s="13" t="str">
        <f t="shared" si="213"/>
        <v>ЭТАЖ НЕ ОПРЕДЕЛЕН. ПРИНЯТ ПО ДОПУЩЕНИЮ 1</v>
      </c>
      <c r="P1943" s="13" t="str">
        <f t="shared" si="214"/>
        <v>ЭТАЖ НЕ ОПРЕДЕЛЕН. ПРИНЯТ ПО ДОПУЩЕНИЮ 1</v>
      </c>
      <c r="Q1943" s="13" t="str">
        <f t="shared" si="215"/>
        <v>ГОТОВ_ИЗМЕНЕН</v>
      </c>
      <c r="R1943" s="13">
        <f>IFERROR(VLOOKUP(P1943,Лист1!A$1:B$20,2,FALSE),0)</f>
        <v>788</v>
      </c>
      <c r="S1943" s="13">
        <f t="shared" si="216"/>
        <v>0</v>
      </c>
    </row>
    <row r="1944" spans="1:19" x14ac:dyDescent="0.25">
      <c r="A1944" s="24" t="s">
        <v>3071</v>
      </c>
      <c r="B1944" s="4" t="s">
        <v>1063</v>
      </c>
      <c r="C1944" s="25" t="s">
        <v>5</v>
      </c>
      <c r="G1944" s="25" t="s">
        <v>1108</v>
      </c>
      <c r="H1944" s="24" t="s">
        <v>1061</v>
      </c>
      <c r="I1944" s="3" t="str">
        <f>IFERROR(VLOOKUP(C1944,'Справочник соответствий'!A$2:D$2981,2,FALSE),IF(VALUE(C1944)=0,1,VLOOKUP(C1944,'Справочник соответствий'!A$2:D$2981,2,FALSE)))</f>
        <v>1</v>
      </c>
      <c r="J1944" s="3">
        <f>IFERROR(VLOOKUP(D1944,'Справочник соответствий'!A$2:D$2981,2,FALSE),IF(VALUE(D1944)=0,0,VLOOKUP(D1944,'Справочник соответствий'!A$2:D$2981,2,FALSE)))</f>
        <v>0</v>
      </c>
      <c r="K1944" s="3" t="str">
        <f t="shared" si="210"/>
        <v>1</v>
      </c>
      <c r="L1944" s="13" t="str">
        <f>IFERROR(VLOOKUP(C1944,'Справочник соответствий'!A$2:D$2981,3,FALSE),IF(VALUE(C1944)=0,"ЭТАЖ НЕ ОПРЕДЕЛЕН. ПРИНЯТ ПО ДОПУЩЕНИЮ 1",VLOOKUP(C1944,'Справочник соответствий'!A$2:D$2981,3,FALSE)))</f>
        <v>ЭТАЖ ЗАДАН ЧИСЛОМ</v>
      </c>
      <c r="M1944" s="13" t="b">
        <f t="shared" si="211"/>
        <v>0</v>
      </c>
      <c r="N1944" s="13">
        <f t="shared" si="212"/>
        <v>1</v>
      </c>
      <c r="O1944" s="13" t="str">
        <f t="shared" si="213"/>
        <v>ЭТАЖ ЗАДАН ЧИСЛОМ</v>
      </c>
      <c r="P1944" s="13" t="str">
        <f t="shared" si="214"/>
        <v>ЭТАЖ ЗАДАН ЧИСЛОМ</v>
      </c>
      <c r="Q1944" s="13" t="str">
        <f t="shared" si="215"/>
        <v>ГОТОВ_ИЗМЕНЕН</v>
      </c>
      <c r="R1944" s="13">
        <f>IFERROR(VLOOKUP(P1944,Лист1!A$1:B$20,2,FALSE),0)</f>
        <v>784</v>
      </c>
      <c r="S1944" s="13">
        <f t="shared" si="216"/>
        <v>0</v>
      </c>
    </row>
    <row r="1945" spans="1:19" x14ac:dyDescent="0.25">
      <c r="A1945" s="24" t="s">
        <v>3072</v>
      </c>
      <c r="B1945" s="4" t="s">
        <v>1059</v>
      </c>
      <c r="C1945" s="25" t="s">
        <v>7</v>
      </c>
      <c r="G1945" s="25" t="s">
        <v>1108</v>
      </c>
      <c r="H1945" s="24" t="s">
        <v>1061</v>
      </c>
      <c r="I1945" s="3" t="str">
        <f>IFERROR(VLOOKUP(C1945,'Справочник соответствий'!A$2:D$2981,2,FALSE),IF(VALUE(C1945)=0,1,VLOOKUP(C1945,'Справочник соответствий'!A$2:D$2981,2,FALSE)))</f>
        <v>2</v>
      </c>
      <c r="J1945" s="3">
        <f>IFERROR(VLOOKUP(D1945,'Справочник соответствий'!A$2:D$2981,2,FALSE),IF(VALUE(D1945)=0,0,VLOOKUP(D1945,'Справочник соответствий'!A$2:D$2981,2,FALSE)))</f>
        <v>0</v>
      </c>
      <c r="K1945" s="3" t="str">
        <f t="shared" si="210"/>
        <v>2</v>
      </c>
      <c r="L1945" s="13" t="str">
        <f>IFERROR(VLOOKUP(C1945,'Справочник соответствий'!A$2:D$2981,3,FALSE),IF(VALUE(C1945)=0,"ЭТАЖ НЕ ОПРЕДЕЛЕН. ПРИНЯТ ПО ДОПУЩЕНИЮ 1",VLOOKUP(C1945,'Справочник соответствий'!A$2:D$2981,3,FALSE)))</f>
        <v>ЭТАЖ ЗАДАН ЧИСЛОМ</v>
      </c>
      <c r="M1945" s="13" t="b">
        <f t="shared" si="211"/>
        <v>0</v>
      </c>
      <c r="N1945" s="13">
        <f t="shared" si="212"/>
        <v>2</v>
      </c>
      <c r="O1945" s="13" t="str">
        <f t="shared" si="213"/>
        <v>ЭТАЖ ЗАДАН ЧИСЛОМ</v>
      </c>
      <c r="P1945" s="13" t="str">
        <f t="shared" si="214"/>
        <v>ЭТАЖ ЗАДАН ЧИСЛОМ</v>
      </c>
      <c r="Q1945" s="13" t="str">
        <f t="shared" si="215"/>
        <v>ГОТОВ_ИЗМЕНЕН</v>
      </c>
      <c r="R1945" s="13">
        <f>IFERROR(VLOOKUP(P1945,Лист1!A$1:B$20,2,FALSE),0)</f>
        <v>784</v>
      </c>
      <c r="S1945" s="13">
        <f t="shared" si="216"/>
        <v>0</v>
      </c>
    </row>
    <row r="1946" spans="1:19" x14ac:dyDescent="0.25">
      <c r="A1946" s="24" t="s">
        <v>3073</v>
      </c>
      <c r="B1946" s="4" t="s">
        <v>1059</v>
      </c>
      <c r="G1946" s="25" t="s">
        <v>1195</v>
      </c>
      <c r="H1946" s="24" t="s">
        <v>1061</v>
      </c>
      <c r="I1946" s="3">
        <f>IFERROR(VLOOKUP(C1946,'Справочник соответствий'!A$2:D$2981,2,FALSE),IF(VALUE(C1946)=0,1,VLOOKUP(C1946,'Справочник соответствий'!A$2:D$2981,2,FALSE)))</f>
        <v>1</v>
      </c>
      <c r="J1946" s="3">
        <f>IFERROR(VLOOKUP(D1946,'Справочник соответствий'!A$2:D$2981,2,FALSE),IF(VALUE(D1946)=0,0,VLOOKUP(D1946,'Справочник соответствий'!A$2:D$2981,2,FALSE)))</f>
        <v>0</v>
      </c>
      <c r="K1946" s="3">
        <f t="shared" si="210"/>
        <v>1</v>
      </c>
      <c r="L1946" s="13" t="str">
        <f>IFERROR(VLOOKUP(C1946,'Справочник соответствий'!A$2:D$2981,3,FALSE),IF(VALUE(C1946)=0,"ЭТАЖ НЕ ОПРЕДЕЛЕН. ПРИНЯТ ПО ДОПУЩЕНИЮ 1",VLOOKUP(C1946,'Справочник соответствий'!A$2:D$2981,3,FALSE)))</f>
        <v>ЭТАЖ НЕ ОПРЕДЕЛЕН. ПРИНЯТ ПО ДОПУЩЕНИЮ 1</v>
      </c>
      <c r="M1946" s="13" t="b">
        <f t="shared" si="211"/>
        <v>0</v>
      </c>
      <c r="N1946" s="13">
        <f t="shared" si="212"/>
        <v>1</v>
      </c>
      <c r="O1946" s="13" t="str">
        <f t="shared" si="213"/>
        <v>ЭТАЖ НЕ ОПРЕДЕЛЕН. ПРИНЯТ ПО ДОПУЩЕНИЮ 1</v>
      </c>
      <c r="P1946" s="13" t="str">
        <f t="shared" si="214"/>
        <v>ЭТАЖ НЕ ОПРЕДЕЛЕН. ПРИНЯТ ПО ДОПУЩЕНИЮ 1</v>
      </c>
      <c r="Q1946" s="13" t="str">
        <f t="shared" si="215"/>
        <v>ГОТОВ_ИЗМЕНЕН</v>
      </c>
      <c r="R1946" s="13">
        <f>IFERROR(VLOOKUP(P1946,Лист1!A$1:B$20,2,FALSE),0)</f>
        <v>788</v>
      </c>
      <c r="S1946" s="13">
        <f t="shared" si="216"/>
        <v>0</v>
      </c>
    </row>
    <row r="1947" spans="1:19" x14ac:dyDescent="0.25">
      <c r="A1947" s="24" t="s">
        <v>3074</v>
      </c>
      <c r="B1947" s="4" t="s">
        <v>1059</v>
      </c>
      <c r="C1947" s="25" t="s">
        <v>5</v>
      </c>
      <c r="G1947" s="25" t="s">
        <v>1195</v>
      </c>
      <c r="H1947" s="24" t="s">
        <v>1061</v>
      </c>
      <c r="I1947" s="3" t="str">
        <f>IFERROR(VLOOKUP(C1947,'Справочник соответствий'!A$2:D$2981,2,FALSE),IF(VALUE(C1947)=0,1,VLOOKUP(C1947,'Справочник соответствий'!A$2:D$2981,2,FALSE)))</f>
        <v>1</v>
      </c>
      <c r="J1947" s="3">
        <f>IFERROR(VLOOKUP(D1947,'Справочник соответствий'!A$2:D$2981,2,FALSE),IF(VALUE(D1947)=0,0,VLOOKUP(D1947,'Справочник соответствий'!A$2:D$2981,2,FALSE)))</f>
        <v>0</v>
      </c>
      <c r="K1947" s="3" t="str">
        <f t="shared" si="210"/>
        <v>1</v>
      </c>
      <c r="L1947" s="13" t="str">
        <f>IFERROR(VLOOKUP(C1947,'Справочник соответствий'!A$2:D$2981,3,FALSE),IF(VALUE(C1947)=0,"ЭТАЖ НЕ ОПРЕДЕЛЕН. ПРИНЯТ ПО ДОПУЩЕНИЮ 1",VLOOKUP(C1947,'Справочник соответствий'!A$2:D$2981,3,FALSE)))</f>
        <v>ЭТАЖ ЗАДАН ЧИСЛОМ</v>
      </c>
      <c r="M1947" s="13" t="b">
        <f t="shared" si="211"/>
        <v>0</v>
      </c>
      <c r="N1947" s="13">
        <f t="shared" si="212"/>
        <v>1</v>
      </c>
      <c r="O1947" s="13" t="str">
        <f t="shared" si="213"/>
        <v>ЭТАЖ ЗАДАН ЧИСЛОМ</v>
      </c>
      <c r="P1947" s="13" t="str">
        <f t="shared" si="214"/>
        <v>ЭТАЖ ЗАДАН ЧИСЛОМ</v>
      </c>
      <c r="Q1947" s="13" t="str">
        <f t="shared" si="215"/>
        <v>ГОТОВ_ИЗМЕНЕН</v>
      </c>
      <c r="R1947" s="13">
        <f>IFERROR(VLOOKUP(P1947,Лист1!A$1:B$20,2,FALSE),0)</f>
        <v>784</v>
      </c>
      <c r="S1947" s="13">
        <f t="shared" si="216"/>
        <v>0</v>
      </c>
    </row>
    <row r="1948" spans="1:19" x14ac:dyDescent="0.25">
      <c r="A1948" s="24" t="s">
        <v>3075</v>
      </c>
      <c r="B1948" s="4" t="s">
        <v>1059</v>
      </c>
      <c r="C1948" s="25" t="s">
        <v>5</v>
      </c>
      <c r="G1948" s="25" t="s">
        <v>1195</v>
      </c>
      <c r="H1948" s="24" t="s">
        <v>1061</v>
      </c>
      <c r="I1948" s="3" t="str">
        <f>IFERROR(VLOOKUP(C1948,'Справочник соответствий'!A$2:D$2981,2,FALSE),IF(VALUE(C1948)=0,1,VLOOKUP(C1948,'Справочник соответствий'!A$2:D$2981,2,FALSE)))</f>
        <v>1</v>
      </c>
      <c r="J1948" s="3">
        <f>IFERROR(VLOOKUP(D1948,'Справочник соответствий'!A$2:D$2981,2,FALSE),IF(VALUE(D1948)=0,0,VLOOKUP(D1948,'Справочник соответствий'!A$2:D$2981,2,FALSE)))</f>
        <v>0</v>
      </c>
      <c r="K1948" s="3" t="str">
        <f t="shared" si="210"/>
        <v>1</v>
      </c>
      <c r="L1948" s="13" t="str">
        <f>IFERROR(VLOOKUP(C1948,'Справочник соответствий'!A$2:D$2981,3,FALSE),IF(VALUE(C1948)=0,"ЭТАЖ НЕ ОПРЕДЕЛЕН. ПРИНЯТ ПО ДОПУЩЕНИЮ 1",VLOOKUP(C1948,'Справочник соответствий'!A$2:D$2981,3,FALSE)))</f>
        <v>ЭТАЖ ЗАДАН ЧИСЛОМ</v>
      </c>
      <c r="M1948" s="13" t="b">
        <f t="shared" si="211"/>
        <v>0</v>
      </c>
      <c r="N1948" s="13">
        <f t="shared" si="212"/>
        <v>1</v>
      </c>
      <c r="O1948" s="13" t="str">
        <f t="shared" si="213"/>
        <v>ЭТАЖ ЗАДАН ЧИСЛОМ</v>
      </c>
      <c r="P1948" s="13" t="str">
        <f t="shared" si="214"/>
        <v>ЭТАЖ ЗАДАН ЧИСЛОМ</v>
      </c>
      <c r="Q1948" s="13" t="str">
        <f t="shared" si="215"/>
        <v>ГОТОВ_ИЗМЕНЕН</v>
      </c>
      <c r="R1948" s="13">
        <f>IFERROR(VLOOKUP(P1948,Лист1!A$1:B$20,2,FALSE),0)</f>
        <v>784</v>
      </c>
      <c r="S1948" s="13">
        <f t="shared" si="216"/>
        <v>0</v>
      </c>
    </row>
    <row r="1949" spans="1:19" x14ac:dyDescent="0.25">
      <c r="A1949" s="24" t="s">
        <v>3076</v>
      </c>
      <c r="B1949" s="4" t="s">
        <v>1059</v>
      </c>
      <c r="C1949" s="25" t="s">
        <v>7</v>
      </c>
      <c r="G1949" s="25" t="s">
        <v>1195</v>
      </c>
      <c r="H1949" s="24" t="s">
        <v>1061</v>
      </c>
      <c r="I1949" s="3" t="str">
        <f>IFERROR(VLOOKUP(C1949,'Справочник соответствий'!A$2:D$2981,2,FALSE),IF(VALUE(C1949)=0,1,VLOOKUP(C1949,'Справочник соответствий'!A$2:D$2981,2,FALSE)))</f>
        <v>2</v>
      </c>
      <c r="J1949" s="3">
        <f>IFERROR(VLOOKUP(D1949,'Справочник соответствий'!A$2:D$2981,2,FALSE),IF(VALUE(D1949)=0,0,VLOOKUP(D1949,'Справочник соответствий'!A$2:D$2981,2,FALSE)))</f>
        <v>0</v>
      </c>
      <c r="K1949" s="3" t="str">
        <f t="shared" si="210"/>
        <v>2</v>
      </c>
      <c r="L1949" s="13" t="str">
        <f>IFERROR(VLOOKUP(C1949,'Справочник соответствий'!A$2:D$2981,3,FALSE),IF(VALUE(C1949)=0,"ЭТАЖ НЕ ОПРЕДЕЛЕН. ПРИНЯТ ПО ДОПУЩЕНИЮ 1",VLOOKUP(C1949,'Справочник соответствий'!A$2:D$2981,3,FALSE)))</f>
        <v>ЭТАЖ ЗАДАН ЧИСЛОМ</v>
      </c>
      <c r="M1949" s="13" t="b">
        <f t="shared" si="211"/>
        <v>0</v>
      </c>
      <c r="N1949" s="13">
        <f t="shared" si="212"/>
        <v>2</v>
      </c>
      <c r="O1949" s="13" t="str">
        <f t="shared" si="213"/>
        <v>ЭТАЖ ЗАДАН ЧИСЛОМ</v>
      </c>
      <c r="P1949" s="13" t="str">
        <f t="shared" si="214"/>
        <v>ЭТАЖ ЗАДАН ЧИСЛОМ</v>
      </c>
      <c r="Q1949" s="13" t="str">
        <f t="shared" si="215"/>
        <v>ГОТОВ_ИЗМЕНЕН</v>
      </c>
      <c r="R1949" s="13">
        <f>IFERROR(VLOOKUP(P1949,Лист1!A$1:B$20,2,FALSE),0)</f>
        <v>784</v>
      </c>
      <c r="S1949" s="13">
        <f t="shared" si="216"/>
        <v>0</v>
      </c>
    </row>
    <row r="1950" spans="1:19" x14ac:dyDescent="0.25">
      <c r="A1950" s="24" t="s">
        <v>3077</v>
      </c>
      <c r="B1950" s="4" t="s">
        <v>1063</v>
      </c>
      <c r="G1950" s="25" t="s">
        <v>1195</v>
      </c>
      <c r="H1950" s="24" t="s">
        <v>1061</v>
      </c>
      <c r="I1950" s="3">
        <f>IFERROR(VLOOKUP(C1950,'Справочник соответствий'!A$2:D$2981,2,FALSE),IF(VALUE(C1950)=0,1,VLOOKUP(C1950,'Справочник соответствий'!A$2:D$2981,2,FALSE)))</f>
        <v>1</v>
      </c>
      <c r="J1950" s="3">
        <f>IFERROR(VLOOKUP(D1950,'Справочник соответствий'!A$2:D$2981,2,FALSE),IF(VALUE(D1950)=0,0,VLOOKUP(D1950,'Справочник соответствий'!A$2:D$2981,2,FALSE)))</f>
        <v>0</v>
      </c>
      <c r="K1950" s="3">
        <f t="shared" si="210"/>
        <v>1</v>
      </c>
      <c r="L1950" s="13" t="str">
        <f>IFERROR(VLOOKUP(C1950,'Справочник соответствий'!A$2:D$2981,3,FALSE),IF(VALUE(C1950)=0,"ЭТАЖ НЕ ОПРЕДЕЛЕН. ПРИНЯТ ПО ДОПУЩЕНИЮ 1",VLOOKUP(C1950,'Справочник соответствий'!A$2:D$2981,3,FALSE)))</f>
        <v>ЭТАЖ НЕ ОПРЕДЕЛЕН. ПРИНЯТ ПО ДОПУЩЕНИЮ 1</v>
      </c>
      <c r="M1950" s="13" t="b">
        <f t="shared" si="211"/>
        <v>0</v>
      </c>
      <c r="N1950" s="13">
        <f t="shared" si="212"/>
        <v>1</v>
      </c>
      <c r="O1950" s="13" t="str">
        <f t="shared" si="213"/>
        <v>ЭТАЖ НЕ ОПРЕДЕЛЕН. ПРИНЯТ ПО ДОПУЩЕНИЮ 1</v>
      </c>
      <c r="P1950" s="13" t="str">
        <f t="shared" si="214"/>
        <v>ЭТАЖ НЕ ОПРЕДЕЛЕН. ПРИНЯТ ПО ДОПУЩЕНИЮ 1</v>
      </c>
      <c r="Q1950" s="13" t="str">
        <f t="shared" si="215"/>
        <v>ГОТОВ_ИЗМЕНЕН</v>
      </c>
      <c r="R1950" s="13">
        <f>IFERROR(VLOOKUP(P1950,Лист1!A$1:B$20,2,FALSE),0)</f>
        <v>788</v>
      </c>
      <c r="S1950" s="13">
        <f t="shared" si="216"/>
        <v>0</v>
      </c>
    </row>
    <row r="1951" spans="1:19" x14ac:dyDescent="0.25">
      <c r="A1951" s="24" t="s">
        <v>3078</v>
      </c>
      <c r="B1951" s="4" t="s">
        <v>1063</v>
      </c>
      <c r="C1951" s="25" t="s">
        <v>5</v>
      </c>
      <c r="G1951" s="25" t="s">
        <v>1195</v>
      </c>
      <c r="H1951" s="24" t="s">
        <v>1061</v>
      </c>
      <c r="I1951" s="3" t="str">
        <f>IFERROR(VLOOKUP(C1951,'Справочник соответствий'!A$2:D$2981,2,FALSE),IF(VALUE(C1951)=0,1,VLOOKUP(C1951,'Справочник соответствий'!A$2:D$2981,2,FALSE)))</f>
        <v>1</v>
      </c>
      <c r="J1951" s="3">
        <f>IFERROR(VLOOKUP(D1951,'Справочник соответствий'!A$2:D$2981,2,FALSE),IF(VALUE(D1951)=0,0,VLOOKUP(D1951,'Справочник соответствий'!A$2:D$2981,2,FALSE)))</f>
        <v>0</v>
      </c>
      <c r="K1951" s="3" t="str">
        <f t="shared" si="210"/>
        <v>1</v>
      </c>
      <c r="L1951" s="13" t="str">
        <f>IFERROR(VLOOKUP(C1951,'Справочник соответствий'!A$2:D$2981,3,FALSE),IF(VALUE(C1951)=0,"ЭТАЖ НЕ ОПРЕДЕЛЕН. ПРИНЯТ ПО ДОПУЩЕНИЮ 1",VLOOKUP(C1951,'Справочник соответствий'!A$2:D$2981,3,FALSE)))</f>
        <v>ЭТАЖ ЗАДАН ЧИСЛОМ</v>
      </c>
      <c r="M1951" s="13" t="b">
        <f t="shared" si="211"/>
        <v>0</v>
      </c>
      <c r="N1951" s="13">
        <f t="shared" si="212"/>
        <v>1</v>
      </c>
      <c r="O1951" s="13" t="str">
        <f t="shared" si="213"/>
        <v>ЭТАЖ ЗАДАН ЧИСЛОМ</v>
      </c>
      <c r="P1951" s="13" t="str">
        <f t="shared" si="214"/>
        <v>ЭТАЖ ЗАДАН ЧИСЛОМ</v>
      </c>
      <c r="Q1951" s="13" t="str">
        <f t="shared" si="215"/>
        <v>ГОТОВ_ИЗМЕНЕН</v>
      </c>
      <c r="R1951" s="13">
        <f>IFERROR(VLOOKUP(P1951,Лист1!A$1:B$20,2,FALSE),0)</f>
        <v>784</v>
      </c>
      <c r="S1951" s="13">
        <f t="shared" si="216"/>
        <v>0</v>
      </c>
    </row>
    <row r="1952" spans="1:19" x14ac:dyDescent="0.25">
      <c r="A1952" s="24" t="s">
        <v>3079</v>
      </c>
      <c r="B1952" s="4" t="s">
        <v>1059</v>
      </c>
      <c r="C1952" s="25" t="s">
        <v>5</v>
      </c>
      <c r="G1952" s="25" t="s">
        <v>1203</v>
      </c>
      <c r="H1952" s="24" t="s">
        <v>1061</v>
      </c>
      <c r="I1952" s="3" t="str">
        <f>IFERROR(VLOOKUP(C1952,'Справочник соответствий'!A$2:D$2981,2,FALSE),IF(VALUE(C1952)=0,1,VLOOKUP(C1952,'Справочник соответствий'!A$2:D$2981,2,FALSE)))</f>
        <v>1</v>
      </c>
      <c r="J1952" s="3">
        <f>IFERROR(VLOOKUP(D1952,'Справочник соответствий'!A$2:D$2981,2,FALSE),IF(VALUE(D1952)=0,0,VLOOKUP(D1952,'Справочник соответствий'!A$2:D$2981,2,FALSE)))</f>
        <v>0</v>
      </c>
      <c r="K1952" s="3" t="str">
        <f t="shared" si="210"/>
        <v>1</v>
      </c>
      <c r="L1952" s="13" t="str">
        <f>IFERROR(VLOOKUP(C1952,'Справочник соответствий'!A$2:D$2981,3,FALSE),IF(VALUE(C1952)=0,"ЭТАЖ НЕ ОПРЕДЕЛЕН. ПРИНЯТ ПО ДОПУЩЕНИЮ 1",VLOOKUP(C1952,'Справочник соответствий'!A$2:D$2981,3,FALSE)))</f>
        <v>ЭТАЖ ЗАДАН ЧИСЛОМ</v>
      </c>
      <c r="M1952" s="13" t="b">
        <f t="shared" si="211"/>
        <v>0</v>
      </c>
      <c r="N1952" s="13">
        <f t="shared" si="212"/>
        <v>1</v>
      </c>
      <c r="O1952" s="13" t="str">
        <f t="shared" si="213"/>
        <v>ЭТАЖ ЗАДАН ЧИСЛОМ</v>
      </c>
      <c r="P1952" s="13" t="str">
        <f t="shared" si="214"/>
        <v>ЭТАЖ ЗАДАН ЧИСЛОМ</v>
      </c>
      <c r="Q1952" s="13" t="str">
        <f t="shared" si="215"/>
        <v>ГОТОВ_ИЗМЕНЕН</v>
      </c>
      <c r="R1952" s="13">
        <f>IFERROR(VLOOKUP(P1952,Лист1!A$1:B$20,2,FALSE),0)</f>
        <v>784</v>
      </c>
      <c r="S1952" s="13">
        <f t="shared" si="216"/>
        <v>0</v>
      </c>
    </row>
    <row r="1953" spans="1:19" x14ac:dyDescent="0.25">
      <c r="A1953" s="24" t="s">
        <v>3080</v>
      </c>
      <c r="B1953" s="4" t="s">
        <v>1059</v>
      </c>
      <c r="C1953" s="25" t="s">
        <v>7</v>
      </c>
      <c r="G1953" s="25" t="s">
        <v>1203</v>
      </c>
      <c r="H1953" s="24" t="s">
        <v>1061</v>
      </c>
      <c r="I1953" s="3" t="str">
        <f>IFERROR(VLOOKUP(C1953,'Справочник соответствий'!A$2:D$2981,2,FALSE),IF(VALUE(C1953)=0,1,VLOOKUP(C1953,'Справочник соответствий'!A$2:D$2981,2,FALSE)))</f>
        <v>2</v>
      </c>
      <c r="J1953" s="3">
        <f>IFERROR(VLOOKUP(D1953,'Справочник соответствий'!A$2:D$2981,2,FALSE),IF(VALUE(D1953)=0,0,VLOOKUP(D1953,'Справочник соответствий'!A$2:D$2981,2,FALSE)))</f>
        <v>0</v>
      </c>
      <c r="K1953" s="3" t="str">
        <f t="shared" si="210"/>
        <v>2</v>
      </c>
      <c r="L1953" s="13" t="str">
        <f>IFERROR(VLOOKUP(C1953,'Справочник соответствий'!A$2:D$2981,3,FALSE),IF(VALUE(C1953)=0,"ЭТАЖ НЕ ОПРЕДЕЛЕН. ПРИНЯТ ПО ДОПУЩЕНИЮ 1",VLOOKUP(C1953,'Справочник соответствий'!A$2:D$2981,3,FALSE)))</f>
        <v>ЭТАЖ ЗАДАН ЧИСЛОМ</v>
      </c>
      <c r="M1953" s="13" t="b">
        <f t="shared" si="211"/>
        <v>0</v>
      </c>
      <c r="N1953" s="13">
        <f t="shared" si="212"/>
        <v>2</v>
      </c>
      <c r="O1953" s="13" t="str">
        <f t="shared" si="213"/>
        <v>ЭТАЖ ЗАДАН ЧИСЛОМ</v>
      </c>
      <c r="P1953" s="13" t="str">
        <f t="shared" si="214"/>
        <v>ЭТАЖ ЗАДАН ЧИСЛОМ</v>
      </c>
      <c r="Q1953" s="13" t="str">
        <f t="shared" si="215"/>
        <v>ГОТОВ_ИЗМЕНЕН</v>
      </c>
      <c r="R1953" s="13">
        <f>IFERROR(VLOOKUP(P1953,Лист1!A$1:B$20,2,FALSE),0)</f>
        <v>784</v>
      </c>
      <c r="S1953" s="13">
        <f t="shared" si="216"/>
        <v>0</v>
      </c>
    </row>
    <row r="1954" spans="1:19" x14ac:dyDescent="0.25">
      <c r="A1954" s="24" t="s">
        <v>3081</v>
      </c>
      <c r="B1954" s="4" t="s">
        <v>1063</v>
      </c>
      <c r="C1954" s="25" t="s">
        <v>7</v>
      </c>
      <c r="G1954" s="25" t="s">
        <v>1205</v>
      </c>
      <c r="H1954" s="24" t="s">
        <v>1061</v>
      </c>
      <c r="I1954" s="3" t="str">
        <f>IFERROR(VLOOKUP(C1954,'Справочник соответствий'!A$2:D$2981,2,FALSE),IF(VALUE(C1954)=0,1,VLOOKUP(C1954,'Справочник соответствий'!A$2:D$2981,2,FALSE)))</f>
        <v>2</v>
      </c>
      <c r="J1954" s="3">
        <f>IFERROR(VLOOKUP(D1954,'Справочник соответствий'!A$2:D$2981,2,FALSE),IF(VALUE(D1954)=0,0,VLOOKUP(D1954,'Справочник соответствий'!A$2:D$2981,2,FALSE)))</f>
        <v>0</v>
      </c>
      <c r="K1954" s="3" t="str">
        <f t="shared" si="210"/>
        <v>2</v>
      </c>
      <c r="L1954" s="13" t="str">
        <f>IFERROR(VLOOKUP(C1954,'Справочник соответствий'!A$2:D$2981,3,FALSE),IF(VALUE(C1954)=0,"ЭТАЖ НЕ ОПРЕДЕЛЕН. ПРИНЯТ ПО ДОПУЩЕНИЮ 1",VLOOKUP(C1954,'Справочник соответствий'!A$2:D$2981,3,FALSE)))</f>
        <v>ЭТАЖ ЗАДАН ЧИСЛОМ</v>
      </c>
      <c r="M1954" s="13" t="b">
        <f t="shared" si="211"/>
        <v>0</v>
      </c>
      <c r="N1954" s="13">
        <f t="shared" si="212"/>
        <v>2</v>
      </c>
      <c r="O1954" s="13" t="str">
        <f t="shared" si="213"/>
        <v>ЭТАЖ ЗАДАН ЧИСЛОМ</v>
      </c>
      <c r="P1954" s="13" t="str">
        <f t="shared" si="214"/>
        <v>ЭТАЖ ЗАДАН ЧИСЛОМ</v>
      </c>
      <c r="Q1954" s="13" t="str">
        <f t="shared" si="215"/>
        <v>ГОТОВ_ИЗМЕНЕН</v>
      </c>
      <c r="R1954" s="13">
        <f>IFERROR(VLOOKUP(P1954,Лист1!A$1:B$20,2,FALSE),0)</f>
        <v>784</v>
      </c>
      <c r="S1954" s="13">
        <f t="shared" si="216"/>
        <v>0</v>
      </c>
    </row>
    <row r="1955" spans="1:19" x14ac:dyDescent="0.25">
      <c r="A1955" s="24" t="s">
        <v>3082</v>
      </c>
      <c r="B1955" s="4" t="s">
        <v>1063</v>
      </c>
      <c r="C1955" s="25" t="s">
        <v>5</v>
      </c>
      <c r="G1955" s="25" t="s">
        <v>1205</v>
      </c>
      <c r="H1955" s="24" t="s">
        <v>1061</v>
      </c>
      <c r="I1955" s="3" t="str">
        <f>IFERROR(VLOOKUP(C1955,'Справочник соответствий'!A$2:D$2981,2,FALSE),IF(VALUE(C1955)=0,1,VLOOKUP(C1955,'Справочник соответствий'!A$2:D$2981,2,FALSE)))</f>
        <v>1</v>
      </c>
      <c r="J1955" s="3">
        <f>IFERROR(VLOOKUP(D1955,'Справочник соответствий'!A$2:D$2981,2,FALSE),IF(VALUE(D1955)=0,0,VLOOKUP(D1955,'Справочник соответствий'!A$2:D$2981,2,FALSE)))</f>
        <v>0</v>
      </c>
      <c r="K1955" s="3" t="str">
        <f t="shared" si="210"/>
        <v>1</v>
      </c>
      <c r="L1955" s="13" t="str">
        <f>IFERROR(VLOOKUP(C1955,'Справочник соответствий'!A$2:D$2981,3,FALSE),IF(VALUE(C1955)=0,"ЭТАЖ НЕ ОПРЕДЕЛЕН. ПРИНЯТ ПО ДОПУЩЕНИЮ 1",VLOOKUP(C1955,'Справочник соответствий'!A$2:D$2981,3,FALSE)))</f>
        <v>ЭТАЖ ЗАДАН ЧИСЛОМ</v>
      </c>
      <c r="M1955" s="13" t="b">
        <f t="shared" si="211"/>
        <v>0</v>
      </c>
      <c r="N1955" s="13">
        <f t="shared" si="212"/>
        <v>1</v>
      </c>
      <c r="O1955" s="13" t="str">
        <f t="shared" si="213"/>
        <v>ЭТАЖ ЗАДАН ЧИСЛОМ</v>
      </c>
      <c r="P1955" s="13" t="str">
        <f t="shared" si="214"/>
        <v>ЭТАЖ ЗАДАН ЧИСЛОМ</v>
      </c>
      <c r="Q1955" s="13" t="str">
        <f t="shared" si="215"/>
        <v>ГОТОВ_ИЗМЕНЕН</v>
      </c>
      <c r="R1955" s="13">
        <f>IFERROR(VLOOKUP(P1955,Лист1!A$1:B$20,2,FALSE),0)</f>
        <v>784</v>
      </c>
      <c r="S1955" s="13">
        <f t="shared" si="216"/>
        <v>0</v>
      </c>
    </row>
    <row r="1956" spans="1:19" x14ac:dyDescent="0.25">
      <c r="A1956" s="24" t="s">
        <v>3083</v>
      </c>
      <c r="B1956" s="4" t="s">
        <v>1059</v>
      </c>
      <c r="C1956" s="25" t="s">
        <v>5</v>
      </c>
      <c r="G1956" s="25" t="s">
        <v>1174</v>
      </c>
      <c r="H1956" s="24" t="s">
        <v>1061</v>
      </c>
      <c r="I1956" s="3" t="str">
        <f>IFERROR(VLOOKUP(C1956,'Справочник соответствий'!A$2:D$2981,2,FALSE),IF(VALUE(C1956)=0,1,VLOOKUP(C1956,'Справочник соответствий'!A$2:D$2981,2,FALSE)))</f>
        <v>1</v>
      </c>
      <c r="J1956" s="3">
        <f>IFERROR(VLOOKUP(D1956,'Справочник соответствий'!A$2:D$2981,2,FALSE),IF(VALUE(D1956)=0,0,VLOOKUP(D1956,'Справочник соответствий'!A$2:D$2981,2,FALSE)))</f>
        <v>0</v>
      </c>
      <c r="K1956" s="3" t="str">
        <f t="shared" si="210"/>
        <v>1</v>
      </c>
      <c r="L1956" s="13" t="str">
        <f>IFERROR(VLOOKUP(C1956,'Справочник соответствий'!A$2:D$2981,3,FALSE),IF(VALUE(C1956)=0,"ЭТАЖ НЕ ОПРЕДЕЛЕН. ПРИНЯТ ПО ДОПУЩЕНИЮ 1",VLOOKUP(C1956,'Справочник соответствий'!A$2:D$2981,3,FALSE)))</f>
        <v>ЭТАЖ ЗАДАН ЧИСЛОМ</v>
      </c>
      <c r="M1956" s="13" t="b">
        <f t="shared" si="211"/>
        <v>0</v>
      </c>
      <c r="N1956" s="13">
        <f t="shared" si="212"/>
        <v>1</v>
      </c>
      <c r="O1956" s="13" t="str">
        <f t="shared" si="213"/>
        <v>ЭТАЖ ЗАДАН ЧИСЛОМ</v>
      </c>
      <c r="P1956" s="13" t="str">
        <f t="shared" si="214"/>
        <v>ЭТАЖ ЗАДАН ЧИСЛОМ</v>
      </c>
      <c r="Q1956" s="13" t="str">
        <f t="shared" si="215"/>
        <v>ГОТОВ_ИЗМЕНЕН</v>
      </c>
      <c r="R1956" s="13">
        <f>IFERROR(VLOOKUP(P1956,Лист1!A$1:B$20,2,FALSE),0)</f>
        <v>784</v>
      </c>
      <c r="S1956" s="13">
        <f t="shared" si="216"/>
        <v>0</v>
      </c>
    </row>
    <row r="1957" spans="1:19" x14ac:dyDescent="0.25">
      <c r="A1957" s="24" t="s">
        <v>3084</v>
      </c>
      <c r="B1957" s="4" t="s">
        <v>1059</v>
      </c>
      <c r="C1957" s="25" t="s">
        <v>5</v>
      </c>
      <c r="G1957" s="25" t="s">
        <v>1205</v>
      </c>
      <c r="H1957" s="24" t="s">
        <v>1061</v>
      </c>
      <c r="I1957" s="3" t="str">
        <f>IFERROR(VLOOKUP(C1957,'Справочник соответствий'!A$2:D$2981,2,FALSE),IF(VALUE(C1957)=0,1,VLOOKUP(C1957,'Справочник соответствий'!A$2:D$2981,2,FALSE)))</f>
        <v>1</v>
      </c>
      <c r="J1957" s="3">
        <f>IFERROR(VLOOKUP(D1957,'Справочник соответствий'!A$2:D$2981,2,FALSE),IF(VALUE(D1957)=0,0,VLOOKUP(D1957,'Справочник соответствий'!A$2:D$2981,2,FALSE)))</f>
        <v>0</v>
      </c>
      <c r="K1957" s="3" t="str">
        <f t="shared" si="210"/>
        <v>1</v>
      </c>
      <c r="L1957" s="13" t="str">
        <f>IFERROR(VLOOKUP(C1957,'Справочник соответствий'!A$2:D$2981,3,FALSE),IF(VALUE(C1957)=0,"ЭТАЖ НЕ ОПРЕДЕЛЕН. ПРИНЯТ ПО ДОПУЩЕНИЮ 1",VLOOKUP(C1957,'Справочник соответствий'!A$2:D$2981,3,FALSE)))</f>
        <v>ЭТАЖ ЗАДАН ЧИСЛОМ</v>
      </c>
      <c r="M1957" s="13" t="b">
        <f t="shared" si="211"/>
        <v>0</v>
      </c>
      <c r="N1957" s="13">
        <f t="shared" si="212"/>
        <v>1</v>
      </c>
      <c r="O1957" s="13" t="str">
        <f t="shared" si="213"/>
        <v>ЭТАЖ ЗАДАН ЧИСЛОМ</v>
      </c>
      <c r="P1957" s="13" t="str">
        <f t="shared" si="214"/>
        <v>ЭТАЖ ЗАДАН ЧИСЛОМ</v>
      </c>
      <c r="Q1957" s="13" t="str">
        <f t="shared" si="215"/>
        <v>ГОТОВ_ИЗМЕНЕН</v>
      </c>
      <c r="R1957" s="13">
        <f>IFERROR(VLOOKUP(P1957,Лист1!A$1:B$20,2,FALSE),0)</f>
        <v>784</v>
      </c>
      <c r="S1957" s="13">
        <f t="shared" si="216"/>
        <v>0</v>
      </c>
    </row>
    <row r="1958" spans="1:19" x14ac:dyDescent="0.25">
      <c r="A1958" s="24" t="s">
        <v>3085</v>
      </c>
      <c r="B1958" s="4" t="s">
        <v>1059</v>
      </c>
      <c r="C1958" s="25" t="s">
        <v>7</v>
      </c>
      <c r="G1958" s="25" t="s">
        <v>1205</v>
      </c>
      <c r="H1958" s="24" t="s">
        <v>1061</v>
      </c>
      <c r="I1958" s="3" t="str">
        <f>IFERROR(VLOOKUP(C1958,'Справочник соответствий'!A$2:D$2981,2,FALSE),IF(VALUE(C1958)=0,1,VLOOKUP(C1958,'Справочник соответствий'!A$2:D$2981,2,FALSE)))</f>
        <v>2</v>
      </c>
      <c r="J1958" s="3">
        <f>IFERROR(VLOOKUP(D1958,'Справочник соответствий'!A$2:D$2981,2,FALSE),IF(VALUE(D1958)=0,0,VLOOKUP(D1958,'Справочник соответствий'!A$2:D$2981,2,FALSE)))</f>
        <v>0</v>
      </c>
      <c r="K1958" s="3" t="str">
        <f t="shared" si="210"/>
        <v>2</v>
      </c>
      <c r="L1958" s="13" t="str">
        <f>IFERROR(VLOOKUP(C1958,'Справочник соответствий'!A$2:D$2981,3,FALSE),IF(VALUE(C1958)=0,"ЭТАЖ НЕ ОПРЕДЕЛЕН. ПРИНЯТ ПО ДОПУЩЕНИЮ 1",VLOOKUP(C1958,'Справочник соответствий'!A$2:D$2981,3,FALSE)))</f>
        <v>ЭТАЖ ЗАДАН ЧИСЛОМ</v>
      </c>
      <c r="M1958" s="13" t="b">
        <f t="shared" si="211"/>
        <v>0</v>
      </c>
      <c r="N1958" s="13">
        <f t="shared" si="212"/>
        <v>2</v>
      </c>
      <c r="O1958" s="13" t="str">
        <f t="shared" si="213"/>
        <v>ЭТАЖ ЗАДАН ЧИСЛОМ</v>
      </c>
      <c r="P1958" s="13" t="str">
        <f t="shared" si="214"/>
        <v>ЭТАЖ ЗАДАН ЧИСЛОМ</v>
      </c>
      <c r="Q1958" s="13" t="str">
        <f t="shared" si="215"/>
        <v>ГОТОВ_ИЗМЕНЕН</v>
      </c>
      <c r="R1958" s="13">
        <f>IFERROR(VLOOKUP(P1958,Лист1!A$1:B$20,2,FALSE),0)</f>
        <v>784</v>
      </c>
      <c r="S1958" s="13">
        <f t="shared" si="216"/>
        <v>0</v>
      </c>
    </row>
    <row r="1959" spans="1:19" x14ac:dyDescent="0.25">
      <c r="A1959" s="24" t="s">
        <v>3086</v>
      </c>
      <c r="B1959" s="4" t="s">
        <v>1059</v>
      </c>
      <c r="C1959" s="25" t="s">
        <v>5</v>
      </c>
      <c r="G1959" s="25" t="s">
        <v>1205</v>
      </c>
      <c r="H1959" s="24" t="s">
        <v>1061</v>
      </c>
      <c r="I1959" s="3" t="str">
        <f>IFERROR(VLOOKUP(C1959,'Справочник соответствий'!A$2:D$2981,2,FALSE),IF(VALUE(C1959)=0,1,VLOOKUP(C1959,'Справочник соответствий'!A$2:D$2981,2,FALSE)))</f>
        <v>1</v>
      </c>
      <c r="J1959" s="3">
        <f>IFERROR(VLOOKUP(D1959,'Справочник соответствий'!A$2:D$2981,2,FALSE),IF(VALUE(D1959)=0,0,VLOOKUP(D1959,'Справочник соответствий'!A$2:D$2981,2,FALSE)))</f>
        <v>0</v>
      </c>
      <c r="K1959" s="3" t="str">
        <f t="shared" si="210"/>
        <v>1</v>
      </c>
      <c r="L1959" s="13" t="str">
        <f>IFERROR(VLOOKUP(C1959,'Справочник соответствий'!A$2:D$2981,3,FALSE),IF(VALUE(C1959)=0,"ЭТАЖ НЕ ОПРЕДЕЛЕН. ПРИНЯТ ПО ДОПУЩЕНИЮ 1",VLOOKUP(C1959,'Справочник соответствий'!A$2:D$2981,3,FALSE)))</f>
        <v>ЭТАЖ ЗАДАН ЧИСЛОМ</v>
      </c>
      <c r="M1959" s="13" t="b">
        <f t="shared" si="211"/>
        <v>0</v>
      </c>
      <c r="N1959" s="13">
        <f t="shared" si="212"/>
        <v>1</v>
      </c>
      <c r="O1959" s="13" t="str">
        <f t="shared" si="213"/>
        <v>ЭТАЖ ЗАДАН ЧИСЛОМ</v>
      </c>
      <c r="P1959" s="13" t="str">
        <f t="shared" si="214"/>
        <v>ЭТАЖ ЗАДАН ЧИСЛОМ</v>
      </c>
      <c r="Q1959" s="13" t="str">
        <f t="shared" si="215"/>
        <v>ГОТОВ_ИЗМЕНЕН</v>
      </c>
      <c r="R1959" s="13">
        <f>IFERROR(VLOOKUP(P1959,Лист1!A$1:B$20,2,FALSE),0)</f>
        <v>784</v>
      </c>
      <c r="S1959" s="13">
        <f t="shared" si="216"/>
        <v>0</v>
      </c>
    </row>
    <row r="1960" spans="1:19" x14ac:dyDescent="0.25">
      <c r="A1960" s="24" t="s">
        <v>3087</v>
      </c>
      <c r="B1960" s="4" t="s">
        <v>1063</v>
      </c>
      <c r="C1960" s="25" t="s">
        <v>5</v>
      </c>
      <c r="G1960" s="25" t="s">
        <v>1205</v>
      </c>
      <c r="H1960" s="24" t="s">
        <v>1061</v>
      </c>
      <c r="I1960" s="3" t="str">
        <f>IFERROR(VLOOKUP(C1960,'Справочник соответствий'!A$2:D$2981,2,FALSE),IF(VALUE(C1960)=0,1,VLOOKUP(C1960,'Справочник соответствий'!A$2:D$2981,2,FALSE)))</f>
        <v>1</v>
      </c>
      <c r="J1960" s="3">
        <f>IFERROR(VLOOKUP(D1960,'Справочник соответствий'!A$2:D$2981,2,FALSE),IF(VALUE(D1960)=0,0,VLOOKUP(D1960,'Справочник соответствий'!A$2:D$2981,2,FALSE)))</f>
        <v>0</v>
      </c>
      <c r="K1960" s="3" t="str">
        <f t="shared" si="210"/>
        <v>1</v>
      </c>
      <c r="L1960" s="13" t="str">
        <f>IFERROR(VLOOKUP(C1960,'Справочник соответствий'!A$2:D$2981,3,FALSE),IF(VALUE(C1960)=0,"ЭТАЖ НЕ ОПРЕДЕЛЕН. ПРИНЯТ ПО ДОПУЩЕНИЮ 1",VLOOKUP(C1960,'Справочник соответствий'!A$2:D$2981,3,FALSE)))</f>
        <v>ЭТАЖ ЗАДАН ЧИСЛОМ</v>
      </c>
      <c r="M1960" s="13" t="b">
        <f t="shared" si="211"/>
        <v>0</v>
      </c>
      <c r="N1960" s="13">
        <f t="shared" si="212"/>
        <v>1</v>
      </c>
      <c r="O1960" s="13" t="str">
        <f t="shared" si="213"/>
        <v>ЭТАЖ ЗАДАН ЧИСЛОМ</v>
      </c>
      <c r="P1960" s="13" t="str">
        <f t="shared" si="214"/>
        <v>ЭТАЖ ЗАДАН ЧИСЛОМ</v>
      </c>
      <c r="Q1960" s="13" t="str">
        <f t="shared" si="215"/>
        <v>ГОТОВ_ИЗМЕНЕН</v>
      </c>
      <c r="R1960" s="13">
        <f>IFERROR(VLOOKUP(P1960,Лист1!A$1:B$20,2,FALSE),0)</f>
        <v>784</v>
      </c>
      <c r="S1960" s="13">
        <f t="shared" si="216"/>
        <v>0</v>
      </c>
    </row>
    <row r="1961" spans="1:19" x14ac:dyDescent="0.25">
      <c r="A1961" s="24" t="s">
        <v>3088</v>
      </c>
      <c r="B1961" s="4" t="s">
        <v>1059</v>
      </c>
      <c r="C1961" s="25" t="s">
        <v>8</v>
      </c>
      <c r="G1961" s="25" t="s">
        <v>1205</v>
      </c>
      <c r="H1961" s="24" t="s">
        <v>1061</v>
      </c>
      <c r="I1961" s="3" t="str">
        <f>IFERROR(VLOOKUP(C1961,'Справочник соответствий'!A$2:D$2981,2,FALSE),IF(VALUE(C1961)=0,1,VLOOKUP(C1961,'Справочник соответствий'!A$2:D$2981,2,FALSE)))</f>
        <v>3</v>
      </c>
      <c r="J1961" s="3">
        <f>IFERROR(VLOOKUP(D1961,'Справочник соответствий'!A$2:D$2981,2,FALSE),IF(VALUE(D1961)=0,0,VLOOKUP(D1961,'Справочник соответствий'!A$2:D$2981,2,FALSE)))</f>
        <v>0</v>
      </c>
      <c r="K1961" s="3" t="str">
        <f t="shared" si="210"/>
        <v>3</v>
      </c>
      <c r="L1961" s="13" t="str">
        <f>IFERROR(VLOOKUP(C1961,'Справочник соответствий'!A$2:D$2981,3,FALSE),IF(VALUE(C1961)=0,"ЭТАЖ НЕ ОПРЕДЕЛЕН. ПРИНЯТ ПО ДОПУЩЕНИЮ 1",VLOOKUP(C1961,'Справочник соответствий'!A$2:D$2981,3,FALSE)))</f>
        <v>ЭТАЖ ЗАДАН ЧИСЛОМ</v>
      </c>
      <c r="M1961" s="13" t="b">
        <f t="shared" si="211"/>
        <v>0</v>
      </c>
      <c r="N1961" s="13">
        <f t="shared" si="212"/>
        <v>3</v>
      </c>
      <c r="O1961" s="13" t="str">
        <f t="shared" si="213"/>
        <v>ЭТАЖ ЗАДАН ЧИСЛОМ</v>
      </c>
      <c r="P1961" s="13" t="str">
        <f t="shared" si="214"/>
        <v>ЭТАЖ ЗАДАН ЧИСЛОМ</v>
      </c>
      <c r="Q1961" s="13" t="str">
        <f t="shared" si="215"/>
        <v>ГОТОВ_ИЗМЕНЕН</v>
      </c>
      <c r="R1961" s="13">
        <f>IFERROR(VLOOKUP(P1961,Лист1!A$1:B$20,2,FALSE),0)</f>
        <v>784</v>
      </c>
      <c r="S1961" s="13">
        <f t="shared" si="216"/>
        <v>0</v>
      </c>
    </row>
    <row r="1962" spans="1:19" x14ac:dyDescent="0.25">
      <c r="A1962" s="24" t="s">
        <v>3089</v>
      </c>
      <c r="B1962" s="4" t="s">
        <v>1059</v>
      </c>
      <c r="C1962" s="25" t="s">
        <v>5</v>
      </c>
      <c r="G1962" s="25" t="s">
        <v>1205</v>
      </c>
      <c r="H1962" s="24" t="s">
        <v>1061</v>
      </c>
      <c r="I1962" s="3" t="str">
        <f>IFERROR(VLOOKUP(C1962,'Справочник соответствий'!A$2:D$2981,2,FALSE),IF(VALUE(C1962)=0,1,VLOOKUP(C1962,'Справочник соответствий'!A$2:D$2981,2,FALSE)))</f>
        <v>1</v>
      </c>
      <c r="J1962" s="3">
        <f>IFERROR(VLOOKUP(D1962,'Справочник соответствий'!A$2:D$2981,2,FALSE),IF(VALUE(D1962)=0,0,VLOOKUP(D1962,'Справочник соответствий'!A$2:D$2981,2,FALSE)))</f>
        <v>0</v>
      </c>
      <c r="K1962" s="3" t="str">
        <f t="shared" si="210"/>
        <v>1</v>
      </c>
      <c r="L1962" s="13" t="str">
        <f>IFERROR(VLOOKUP(C1962,'Справочник соответствий'!A$2:D$2981,3,FALSE),IF(VALUE(C1962)=0,"ЭТАЖ НЕ ОПРЕДЕЛЕН. ПРИНЯТ ПО ДОПУЩЕНИЮ 1",VLOOKUP(C1962,'Справочник соответствий'!A$2:D$2981,3,FALSE)))</f>
        <v>ЭТАЖ ЗАДАН ЧИСЛОМ</v>
      </c>
      <c r="M1962" s="13" t="b">
        <f t="shared" si="211"/>
        <v>0</v>
      </c>
      <c r="N1962" s="13">
        <f t="shared" si="212"/>
        <v>1</v>
      </c>
      <c r="O1962" s="13" t="str">
        <f t="shared" si="213"/>
        <v>ЭТАЖ ЗАДАН ЧИСЛОМ</v>
      </c>
      <c r="P1962" s="13" t="str">
        <f t="shared" si="214"/>
        <v>ЭТАЖ ЗАДАН ЧИСЛОМ</v>
      </c>
      <c r="Q1962" s="13" t="str">
        <f t="shared" si="215"/>
        <v>ГОТОВ_ИЗМЕНЕН</v>
      </c>
      <c r="R1962" s="13">
        <f>IFERROR(VLOOKUP(P1962,Лист1!A$1:B$20,2,FALSE),0)</f>
        <v>784</v>
      </c>
      <c r="S1962" s="13">
        <f t="shared" si="216"/>
        <v>0</v>
      </c>
    </row>
    <row r="1963" spans="1:19" x14ac:dyDescent="0.25">
      <c r="A1963" s="24" t="s">
        <v>3090</v>
      </c>
      <c r="B1963" s="4" t="s">
        <v>1059</v>
      </c>
      <c r="C1963" s="25" t="s">
        <v>7</v>
      </c>
      <c r="G1963" s="25" t="s">
        <v>1174</v>
      </c>
      <c r="H1963" s="24" t="s">
        <v>1061</v>
      </c>
      <c r="I1963" s="3" t="str">
        <f>IFERROR(VLOOKUP(C1963,'Справочник соответствий'!A$2:D$2981,2,FALSE),IF(VALUE(C1963)=0,1,VLOOKUP(C1963,'Справочник соответствий'!A$2:D$2981,2,FALSE)))</f>
        <v>2</v>
      </c>
      <c r="J1963" s="3">
        <f>IFERROR(VLOOKUP(D1963,'Справочник соответствий'!A$2:D$2981,2,FALSE),IF(VALUE(D1963)=0,0,VLOOKUP(D1963,'Справочник соответствий'!A$2:D$2981,2,FALSE)))</f>
        <v>0</v>
      </c>
      <c r="K1963" s="3" t="str">
        <f t="shared" si="210"/>
        <v>2</v>
      </c>
      <c r="L1963" s="13" t="str">
        <f>IFERROR(VLOOKUP(C1963,'Справочник соответствий'!A$2:D$2981,3,FALSE),IF(VALUE(C1963)=0,"ЭТАЖ НЕ ОПРЕДЕЛЕН. ПРИНЯТ ПО ДОПУЩЕНИЮ 1",VLOOKUP(C1963,'Справочник соответствий'!A$2:D$2981,3,FALSE)))</f>
        <v>ЭТАЖ ЗАДАН ЧИСЛОМ</v>
      </c>
      <c r="M1963" s="13" t="b">
        <f t="shared" si="211"/>
        <v>0</v>
      </c>
      <c r="N1963" s="13">
        <f t="shared" si="212"/>
        <v>2</v>
      </c>
      <c r="O1963" s="13" t="str">
        <f t="shared" si="213"/>
        <v>ЭТАЖ ЗАДАН ЧИСЛОМ</v>
      </c>
      <c r="P1963" s="13" t="str">
        <f t="shared" si="214"/>
        <v>ЭТАЖ ЗАДАН ЧИСЛОМ</v>
      </c>
      <c r="Q1963" s="13" t="str">
        <f t="shared" si="215"/>
        <v>ГОТОВ_ИЗМЕНЕН</v>
      </c>
      <c r="R1963" s="13">
        <f>IFERROR(VLOOKUP(P1963,Лист1!A$1:B$20,2,FALSE),0)</f>
        <v>784</v>
      </c>
      <c r="S1963" s="13">
        <f t="shared" si="216"/>
        <v>0</v>
      </c>
    </row>
    <row r="1964" spans="1:19" x14ac:dyDescent="0.25">
      <c r="A1964" s="24" t="s">
        <v>3091</v>
      </c>
      <c r="B1964" s="4" t="s">
        <v>1063</v>
      </c>
      <c r="C1964" s="25" t="s">
        <v>5</v>
      </c>
      <c r="G1964" s="25" t="s">
        <v>1205</v>
      </c>
      <c r="H1964" s="24" t="s">
        <v>1061</v>
      </c>
      <c r="I1964" s="3" t="str">
        <f>IFERROR(VLOOKUP(C1964,'Справочник соответствий'!A$2:D$2981,2,FALSE),IF(VALUE(C1964)=0,1,VLOOKUP(C1964,'Справочник соответствий'!A$2:D$2981,2,FALSE)))</f>
        <v>1</v>
      </c>
      <c r="J1964" s="3">
        <f>IFERROR(VLOOKUP(D1964,'Справочник соответствий'!A$2:D$2981,2,FALSE),IF(VALUE(D1964)=0,0,VLOOKUP(D1964,'Справочник соответствий'!A$2:D$2981,2,FALSE)))</f>
        <v>0</v>
      </c>
      <c r="K1964" s="3" t="str">
        <f t="shared" si="210"/>
        <v>1</v>
      </c>
      <c r="L1964" s="13" t="str">
        <f>IFERROR(VLOOKUP(C1964,'Справочник соответствий'!A$2:D$2981,3,FALSE),IF(VALUE(C1964)=0,"ЭТАЖ НЕ ОПРЕДЕЛЕН. ПРИНЯТ ПО ДОПУЩЕНИЮ 1",VLOOKUP(C1964,'Справочник соответствий'!A$2:D$2981,3,FALSE)))</f>
        <v>ЭТАЖ ЗАДАН ЧИСЛОМ</v>
      </c>
      <c r="M1964" s="13" t="b">
        <f t="shared" si="211"/>
        <v>0</v>
      </c>
      <c r="N1964" s="13">
        <f t="shared" si="212"/>
        <v>1</v>
      </c>
      <c r="O1964" s="13" t="str">
        <f t="shared" si="213"/>
        <v>ЭТАЖ ЗАДАН ЧИСЛОМ</v>
      </c>
      <c r="P1964" s="13" t="str">
        <f t="shared" si="214"/>
        <v>ЭТАЖ ЗАДАН ЧИСЛОМ</v>
      </c>
      <c r="Q1964" s="13" t="str">
        <f t="shared" si="215"/>
        <v>ГОТОВ_ИЗМЕНЕН</v>
      </c>
      <c r="R1964" s="13">
        <f>IFERROR(VLOOKUP(P1964,Лист1!A$1:B$20,2,FALSE),0)</f>
        <v>784</v>
      </c>
      <c r="S1964" s="13">
        <f t="shared" si="216"/>
        <v>0</v>
      </c>
    </row>
    <row r="1965" spans="1:19" x14ac:dyDescent="0.25">
      <c r="A1965" s="24" t="s">
        <v>3092</v>
      </c>
      <c r="B1965" s="4" t="s">
        <v>1063</v>
      </c>
      <c r="G1965" s="25" t="s">
        <v>1205</v>
      </c>
      <c r="H1965" s="24" t="s">
        <v>1061</v>
      </c>
      <c r="I1965" s="3">
        <f>IFERROR(VLOOKUP(C1965,'Справочник соответствий'!A$2:D$2981,2,FALSE),IF(VALUE(C1965)=0,1,VLOOKUP(C1965,'Справочник соответствий'!A$2:D$2981,2,FALSE)))</f>
        <v>1</v>
      </c>
      <c r="J1965" s="3">
        <f>IFERROR(VLOOKUP(D1965,'Справочник соответствий'!A$2:D$2981,2,FALSE),IF(VALUE(D1965)=0,0,VLOOKUP(D1965,'Справочник соответствий'!A$2:D$2981,2,FALSE)))</f>
        <v>0</v>
      </c>
      <c r="K1965" s="3">
        <f t="shared" si="210"/>
        <v>1</v>
      </c>
      <c r="L1965" s="13" t="str">
        <f>IFERROR(VLOOKUP(C1965,'Справочник соответствий'!A$2:D$2981,3,FALSE),IF(VALUE(C1965)=0,"ЭТАЖ НЕ ОПРЕДЕЛЕН. ПРИНЯТ ПО ДОПУЩЕНИЮ 1",VLOOKUP(C1965,'Справочник соответствий'!A$2:D$2981,3,FALSE)))</f>
        <v>ЭТАЖ НЕ ОПРЕДЕЛЕН. ПРИНЯТ ПО ДОПУЩЕНИЮ 1</v>
      </c>
      <c r="M1965" s="13" t="b">
        <f t="shared" si="211"/>
        <v>0</v>
      </c>
      <c r="N1965" s="13">
        <f t="shared" si="212"/>
        <v>1</v>
      </c>
      <c r="O1965" s="13" t="str">
        <f t="shared" si="213"/>
        <v>ЭТАЖ НЕ ОПРЕДЕЛЕН. ПРИНЯТ ПО ДОПУЩЕНИЮ 1</v>
      </c>
      <c r="P1965" s="13" t="str">
        <f t="shared" si="214"/>
        <v>ЭТАЖ НЕ ОПРЕДЕЛЕН. ПРИНЯТ ПО ДОПУЩЕНИЮ 1</v>
      </c>
      <c r="Q1965" s="13" t="str">
        <f t="shared" si="215"/>
        <v>ГОТОВ_ИЗМЕНЕН</v>
      </c>
      <c r="R1965" s="13">
        <f>IFERROR(VLOOKUP(P1965,Лист1!A$1:B$20,2,FALSE),0)</f>
        <v>788</v>
      </c>
      <c r="S1965" s="13">
        <f t="shared" si="216"/>
        <v>0</v>
      </c>
    </row>
    <row r="1966" spans="1:19" x14ac:dyDescent="0.25">
      <c r="A1966" s="24" t="s">
        <v>3093</v>
      </c>
      <c r="B1966" s="4" t="s">
        <v>1059</v>
      </c>
      <c r="C1966" s="25" t="s">
        <v>5</v>
      </c>
      <c r="G1966" s="25" t="s">
        <v>1224</v>
      </c>
      <c r="H1966" s="24" t="s">
        <v>1061</v>
      </c>
      <c r="I1966" s="3" t="str">
        <f>IFERROR(VLOOKUP(C1966,'Справочник соответствий'!A$2:D$2981,2,FALSE),IF(VALUE(C1966)=0,1,VLOOKUP(C1966,'Справочник соответствий'!A$2:D$2981,2,FALSE)))</f>
        <v>1</v>
      </c>
      <c r="J1966" s="3">
        <f>IFERROR(VLOOKUP(D1966,'Справочник соответствий'!A$2:D$2981,2,FALSE),IF(VALUE(D1966)=0,0,VLOOKUP(D1966,'Справочник соответствий'!A$2:D$2981,2,FALSE)))</f>
        <v>0</v>
      </c>
      <c r="K1966" s="3" t="str">
        <f t="shared" si="210"/>
        <v>1</v>
      </c>
      <c r="L1966" s="13" t="str">
        <f>IFERROR(VLOOKUP(C1966,'Справочник соответствий'!A$2:D$2981,3,FALSE),IF(VALUE(C1966)=0,"ЭТАЖ НЕ ОПРЕДЕЛЕН. ПРИНЯТ ПО ДОПУЩЕНИЮ 1",VLOOKUP(C1966,'Справочник соответствий'!A$2:D$2981,3,FALSE)))</f>
        <v>ЭТАЖ ЗАДАН ЧИСЛОМ</v>
      </c>
      <c r="M1966" s="13" t="b">
        <f t="shared" si="211"/>
        <v>0</v>
      </c>
      <c r="N1966" s="13">
        <f t="shared" si="212"/>
        <v>1</v>
      </c>
      <c r="O1966" s="13" t="str">
        <f t="shared" si="213"/>
        <v>ЭТАЖ ЗАДАН ЧИСЛОМ</v>
      </c>
      <c r="P1966" s="13" t="str">
        <f t="shared" si="214"/>
        <v>ЭТАЖ ЗАДАН ЧИСЛОМ</v>
      </c>
      <c r="Q1966" s="13" t="str">
        <f t="shared" si="215"/>
        <v>ГОТОВ_ИЗМЕНЕН</v>
      </c>
      <c r="R1966" s="13">
        <f>IFERROR(VLOOKUP(P1966,Лист1!A$1:B$20,2,FALSE),0)</f>
        <v>784</v>
      </c>
      <c r="S1966" s="13">
        <f t="shared" si="216"/>
        <v>0</v>
      </c>
    </row>
    <row r="1967" spans="1:19" x14ac:dyDescent="0.25">
      <c r="A1967" s="24" t="s">
        <v>3094</v>
      </c>
      <c r="B1967" s="4" t="s">
        <v>1059</v>
      </c>
      <c r="C1967" s="25" t="s">
        <v>5</v>
      </c>
      <c r="G1967" s="25" t="s">
        <v>1174</v>
      </c>
      <c r="H1967" s="24" t="s">
        <v>1061</v>
      </c>
      <c r="I1967" s="3" t="str">
        <f>IFERROR(VLOOKUP(C1967,'Справочник соответствий'!A$2:D$2981,2,FALSE),IF(VALUE(C1967)=0,1,VLOOKUP(C1967,'Справочник соответствий'!A$2:D$2981,2,FALSE)))</f>
        <v>1</v>
      </c>
      <c r="J1967" s="3">
        <f>IFERROR(VLOOKUP(D1967,'Справочник соответствий'!A$2:D$2981,2,FALSE),IF(VALUE(D1967)=0,0,VLOOKUP(D1967,'Справочник соответствий'!A$2:D$2981,2,FALSE)))</f>
        <v>0</v>
      </c>
      <c r="K1967" s="3" t="str">
        <f t="shared" si="210"/>
        <v>1</v>
      </c>
      <c r="L1967" s="13" t="str">
        <f>IFERROR(VLOOKUP(C1967,'Справочник соответствий'!A$2:D$2981,3,FALSE),IF(VALUE(C1967)=0,"ЭТАЖ НЕ ОПРЕДЕЛЕН. ПРИНЯТ ПО ДОПУЩЕНИЮ 1",VLOOKUP(C1967,'Справочник соответствий'!A$2:D$2981,3,FALSE)))</f>
        <v>ЭТАЖ ЗАДАН ЧИСЛОМ</v>
      </c>
      <c r="M1967" s="13" t="b">
        <f t="shared" si="211"/>
        <v>0</v>
      </c>
      <c r="N1967" s="13">
        <f t="shared" si="212"/>
        <v>1</v>
      </c>
      <c r="O1967" s="13" t="str">
        <f t="shared" si="213"/>
        <v>ЭТАЖ ЗАДАН ЧИСЛОМ</v>
      </c>
      <c r="P1967" s="13" t="str">
        <f t="shared" si="214"/>
        <v>ЭТАЖ ЗАДАН ЧИСЛОМ</v>
      </c>
      <c r="Q1967" s="13" t="str">
        <f t="shared" si="215"/>
        <v>ГОТОВ_ИЗМЕНЕН</v>
      </c>
      <c r="R1967" s="13">
        <f>IFERROR(VLOOKUP(P1967,Лист1!A$1:B$20,2,FALSE),0)</f>
        <v>784</v>
      </c>
      <c r="S1967" s="13">
        <f t="shared" si="216"/>
        <v>0</v>
      </c>
    </row>
    <row r="1968" spans="1:19" x14ac:dyDescent="0.25">
      <c r="A1968" s="24" t="s">
        <v>3095</v>
      </c>
      <c r="B1968" s="4" t="s">
        <v>1059</v>
      </c>
      <c r="C1968" s="25" t="s">
        <v>8</v>
      </c>
      <c r="D1968" s="25" t="s">
        <v>5</v>
      </c>
      <c r="G1968" s="25" t="s">
        <v>1224</v>
      </c>
      <c r="H1968" s="24" t="s">
        <v>1061</v>
      </c>
      <c r="I1968" s="3" t="str">
        <f>IFERROR(VLOOKUP(C1968,'Справочник соответствий'!A$2:D$2981,2,FALSE),IF(VALUE(C1968)=0,1,VLOOKUP(C1968,'Справочник соответствий'!A$2:D$2981,2,FALSE)))</f>
        <v>3</v>
      </c>
      <c r="J1968" s="3" t="str">
        <f>IFERROR(VLOOKUP(D1968,'Справочник соответствий'!A$2:D$2981,2,FALSE),IF(VALUE(D1968)=0,0,VLOOKUP(D1968,'Справочник соответствий'!A$2:D$2981,2,FALSE)))</f>
        <v>1</v>
      </c>
      <c r="K1968" s="3" t="str">
        <f t="shared" si="210"/>
        <v>3</v>
      </c>
      <c r="L1968" s="13" t="str">
        <f>IFERROR(VLOOKUP(C1968,'Справочник соответствий'!A$2:D$2981,3,FALSE),IF(VALUE(C1968)=0,"ЭТАЖ НЕ ОПРЕДЕЛЕН. ПРИНЯТ ПО ДОПУЩЕНИЮ 1",VLOOKUP(C1968,'Справочник соответствий'!A$2:D$2981,3,FALSE)))</f>
        <v>ЭТАЖ ЗАДАН ЧИСЛОМ</v>
      </c>
      <c r="M1968" s="13" t="b">
        <f t="shared" si="211"/>
        <v>0</v>
      </c>
      <c r="N1968" s="13">
        <f t="shared" si="212"/>
        <v>3</v>
      </c>
      <c r="O1968" s="13" t="str">
        <f t="shared" si="213"/>
        <v>ЭТАЖ ЗАДАН ЧИСЛОМ</v>
      </c>
      <c r="P1968" s="13" t="str">
        <f t="shared" si="214"/>
        <v>ЭТАЖ ЗАДАН ЧИСЛОМ</v>
      </c>
      <c r="Q1968" s="13" t="str">
        <f t="shared" si="215"/>
        <v>ГОТОВ_ИЗМЕНЕН</v>
      </c>
      <c r="R1968" s="13">
        <f>IFERROR(VLOOKUP(P1968,Лист1!A$1:B$20,2,FALSE),0)</f>
        <v>784</v>
      </c>
      <c r="S1968" s="13">
        <f t="shared" si="216"/>
        <v>0</v>
      </c>
    </row>
    <row r="1969" spans="1:19" x14ac:dyDescent="0.25">
      <c r="A1969" s="24" t="s">
        <v>3096</v>
      </c>
      <c r="B1969" s="4" t="s">
        <v>1059</v>
      </c>
      <c r="C1969" s="25" t="s">
        <v>5</v>
      </c>
      <c r="G1969" s="25" t="s">
        <v>1224</v>
      </c>
      <c r="H1969" s="24" t="s">
        <v>1061</v>
      </c>
      <c r="I1969" s="3" t="str">
        <f>IFERROR(VLOOKUP(C1969,'Справочник соответствий'!A$2:D$2981,2,FALSE),IF(VALUE(C1969)=0,1,VLOOKUP(C1969,'Справочник соответствий'!A$2:D$2981,2,FALSE)))</f>
        <v>1</v>
      </c>
      <c r="J1969" s="3">
        <f>IFERROR(VLOOKUP(D1969,'Справочник соответствий'!A$2:D$2981,2,FALSE),IF(VALUE(D1969)=0,0,VLOOKUP(D1969,'Справочник соответствий'!A$2:D$2981,2,FALSE)))</f>
        <v>0</v>
      </c>
      <c r="K1969" s="3" t="str">
        <f t="shared" si="210"/>
        <v>1</v>
      </c>
      <c r="L1969" s="13" t="str">
        <f>IFERROR(VLOOKUP(C1969,'Справочник соответствий'!A$2:D$2981,3,FALSE),IF(VALUE(C1969)=0,"ЭТАЖ НЕ ОПРЕДЕЛЕН. ПРИНЯТ ПО ДОПУЩЕНИЮ 1",VLOOKUP(C1969,'Справочник соответствий'!A$2:D$2981,3,FALSE)))</f>
        <v>ЭТАЖ ЗАДАН ЧИСЛОМ</v>
      </c>
      <c r="M1969" s="13" t="b">
        <f t="shared" si="211"/>
        <v>0</v>
      </c>
      <c r="N1969" s="13">
        <f t="shared" si="212"/>
        <v>1</v>
      </c>
      <c r="O1969" s="13" t="str">
        <f t="shared" si="213"/>
        <v>ЭТАЖ ЗАДАН ЧИСЛОМ</v>
      </c>
      <c r="P1969" s="13" t="str">
        <f t="shared" si="214"/>
        <v>ЭТАЖ ЗАДАН ЧИСЛОМ</v>
      </c>
      <c r="Q1969" s="13" t="str">
        <f t="shared" si="215"/>
        <v>ГОТОВ_ИЗМЕНЕН</v>
      </c>
      <c r="R1969" s="13">
        <f>IFERROR(VLOOKUP(P1969,Лист1!A$1:B$20,2,FALSE),0)</f>
        <v>784</v>
      </c>
      <c r="S1969" s="13">
        <f t="shared" si="216"/>
        <v>0</v>
      </c>
    </row>
    <row r="1970" spans="1:19" x14ac:dyDescent="0.25">
      <c r="A1970" s="24" t="s">
        <v>3097</v>
      </c>
      <c r="B1970" s="4" t="s">
        <v>1063</v>
      </c>
      <c r="C1970" s="25" t="s">
        <v>5</v>
      </c>
      <c r="G1970" s="25" t="s">
        <v>1174</v>
      </c>
      <c r="H1970" s="24" t="s">
        <v>1061</v>
      </c>
      <c r="I1970" s="3" t="str">
        <f>IFERROR(VLOOKUP(C1970,'Справочник соответствий'!A$2:D$2981,2,FALSE),IF(VALUE(C1970)=0,1,VLOOKUP(C1970,'Справочник соответствий'!A$2:D$2981,2,FALSE)))</f>
        <v>1</v>
      </c>
      <c r="J1970" s="3">
        <f>IFERROR(VLOOKUP(D1970,'Справочник соответствий'!A$2:D$2981,2,FALSE),IF(VALUE(D1970)=0,0,VLOOKUP(D1970,'Справочник соответствий'!A$2:D$2981,2,FALSE)))</f>
        <v>0</v>
      </c>
      <c r="K1970" s="3" t="str">
        <f t="shared" si="210"/>
        <v>1</v>
      </c>
      <c r="L1970" s="13" t="str">
        <f>IFERROR(VLOOKUP(C1970,'Справочник соответствий'!A$2:D$2981,3,FALSE),IF(VALUE(C1970)=0,"ЭТАЖ НЕ ОПРЕДЕЛЕН. ПРИНЯТ ПО ДОПУЩЕНИЮ 1",VLOOKUP(C1970,'Справочник соответствий'!A$2:D$2981,3,FALSE)))</f>
        <v>ЭТАЖ ЗАДАН ЧИСЛОМ</v>
      </c>
      <c r="M1970" s="13" t="b">
        <f t="shared" si="211"/>
        <v>0</v>
      </c>
      <c r="N1970" s="13">
        <f t="shared" si="212"/>
        <v>1</v>
      </c>
      <c r="O1970" s="13" t="str">
        <f t="shared" si="213"/>
        <v>ЭТАЖ ЗАДАН ЧИСЛОМ</v>
      </c>
      <c r="P1970" s="13" t="str">
        <f t="shared" si="214"/>
        <v>ЭТАЖ ЗАДАН ЧИСЛОМ</v>
      </c>
      <c r="Q1970" s="13" t="str">
        <f t="shared" si="215"/>
        <v>ГОТОВ_ИЗМЕНЕН</v>
      </c>
      <c r="R1970" s="13">
        <f>IFERROR(VLOOKUP(P1970,Лист1!A$1:B$20,2,FALSE),0)</f>
        <v>784</v>
      </c>
      <c r="S1970" s="13">
        <f t="shared" si="216"/>
        <v>0</v>
      </c>
    </row>
    <row r="1971" spans="1:19" x14ac:dyDescent="0.25">
      <c r="A1971" s="24" t="s">
        <v>3098</v>
      </c>
      <c r="B1971" s="4" t="s">
        <v>1059</v>
      </c>
      <c r="C1971" s="25" t="s">
        <v>7</v>
      </c>
      <c r="G1971" s="25" t="s">
        <v>1174</v>
      </c>
      <c r="H1971" s="24" t="s">
        <v>1061</v>
      </c>
      <c r="I1971" s="3" t="str">
        <f>IFERROR(VLOOKUP(C1971,'Справочник соответствий'!A$2:D$2981,2,FALSE),IF(VALUE(C1971)=0,1,VLOOKUP(C1971,'Справочник соответствий'!A$2:D$2981,2,FALSE)))</f>
        <v>2</v>
      </c>
      <c r="J1971" s="3">
        <f>IFERROR(VLOOKUP(D1971,'Справочник соответствий'!A$2:D$2981,2,FALSE),IF(VALUE(D1971)=0,0,VLOOKUP(D1971,'Справочник соответствий'!A$2:D$2981,2,FALSE)))</f>
        <v>0</v>
      </c>
      <c r="K1971" s="3" t="str">
        <f t="shared" si="210"/>
        <v>2</v>
      </c>
      <c r="L1971" s="13" t="str">
        <f>IFERROR(VLOOKUP(C1971,'Справочник соответствий'!A$2:D$2981,3,FALSE),IF(VALUE(C1971)=0,"ЭТАЖ НЕ ОПРЕДЕЛЕН. ПРИНЯТ ПО ДОПУЩЕНИЮ 1",VLOOKUP(C1971,'Справочник соответствий'!A$2:D$2981,3,FALSE)))</f>
        <v>ЭТАЖ ЗАДАН ЧИСЛОМ</v>
      </c>
      <c r="M1971" s="13" t="b">
        <f t="shared" si="211"/>
        <v>0</v>
      </c>
      <c r="N1971" s="13">
        <f t="shared" si="212"/>
        <v>2</v>
      </c>
      <c r="O1971" s="13" t="str">
        <f t="shared" si="213"/>
        <v>ЭТАЖ ЗАДАН ЧИСЛОМ</v>
      </c>
      <c r="P1971" s="13" t="str">
        <f t="shared" si="214"/>
        <v>ЭТАЖ ЗАДАН ЧИСЛОМ</v>
      </c>
      <c r="Q1971" s="13" t="str">
        <f t="shared" si="215"/>
        <v>ГОТОВ_ИЗМЕНЕН</v>
      </c>
      <c r="R1971" s="13">
        <f>IFERROR(VLOOKUP(P1971,Лист1!A$1:B$20,2,FALSE),0)</f>
        <v>784</v>
      </c>
      <c r="S1971" s="13">
        <f t="shared" si="216"/>
        <v>0</v>
      </c>
    </row>
    <row r="1972" spans="1:19" x14ac:dyDescent="0.25">
      <c r="A1972" s="24" t="s">
        <v>3099</v>
      </c>
      <c r="B1972" s="4" t="s">
        <v>1063</v>
      </c>
      <c r="C1972" s="25" t="s">
        <v>5</v>
      </c>
      <c r="G1972" s="25" t="s">
        <v>1224</v>
      </c>
      <c r="H1972" s="24" t="s">
        <v>1061</v>
      </c>
      <c r="I1972" s="3" t="str">
        <f>IFERROR(VLOOKUP(C1972,'Справочник соответствий'!A$2:D$2981,2,FALSE),IF(VALUE(C1972)=0,1,VLOOKUP(C1972,'Справочник соответствий'!A$2:D$2981,2,FALSE)))</f>
        <v>1</v>
      </c>
      <c r="J1972" s="3">
        <f>IFERROR(VLOOKUP(D1972,'Справочник соответствий'!A$2:D$2981,2,FALSE),IF(VALUE(D1972)=0,0,VLOOKUP(D1972,'Справочник соответствий'!A$2:D$2981,2,FALSE)))</f>
        <v>0</v>
      </c>
      <c r="K1972" s="3" t="str">
        <f t="shared" si="210"/>
        <v>1</v>
      </c>
      <c r="L1972" s="13" t="str">
        <f>IFERROR(VLOOKUP(C1972,'Справочник соответствий'!A$2:D$2981,3,FALSE),IF(VALUE(C1972)=0,"ЭТАЖ НЕ ОПРЕДЕЛЕН. ПРИНЯТ ПО ДОПУЩЕНИЮ 1",VLOOKUP(C1972,'Справочник соответствий'!A$2:D$2981,3,FALSE)))</f>
        <v>ЭТАЖ ЗАДАН ЧИСЛОМ</v>
      </c>
      <c r="M1972" s="13" t="b">
        <f t="shared" si="211"/>
        <v>0</v>
      </c>
      <c r="N1972" s="13">
        <f t="shared" si="212"/>
        <v>1</v>
      </c>
      <c r="O1972" s="13" t="str">
        <f t="shared" si="213"/>
        <v>ЭТАЖ ЗАДАН ЧИСЛОМ</v>
      </c>
      <c r="P1972" s="13" t="str">
        <f t="shared" si="214"/>
        <v>ЭТАЖ ЗАДАН ЧИСЛОМ</v>
      </c>
      <c r="Q1972" s="13" t="str">
        <f t="shared" si="215"/>
        <v>ГОТОВ_ИЗМЕНЕН</v>
      </c>
      <c r="R1972" s="13">
        <f>IFERROR(VLOOKUP(P1972,Лист1!A$1:B$20,2,FALSE),0)</f>
        <v>784</v>
      </c>
      <c r="S1972" s="13">
        <f t="shared" si="216"/>
        <v>0</v>
      </c>
    </row>
    <row r="1973" spans="1:19" x14ac:dyDescent="0.25">
      <c r="A1973" s="24" t="s">
        <v>3100</v>
      </c>
      <c r="B1973" s="4" t="s">
        <v>1031</v>
      </c>
      <c r="C1973" s="25" t="s">
        <v>318</v>
      </c>
      <c r="D1973" s="25" t="s">
        <v>5</v>
      </c>
      <c r="G1973" s="25" t="s">
        <v>1224</v>
      </c>
      <c r="H1973" s="24" t="s">
        <v>1061</v>
      </c>
      <c r="I1973" s="3" t="str">
        <f>IFERROR(VLOOKUP(C1973,'Справочник соответствий'!A$2:D$2981,2,FALSE),IF(VALUE(C1973)=0,1,VLOOKUP(C1973,'Справочник соответствий'!A$2:D$2981,2,FALSE)))</f>
        <v>9</v>
      </c>
      <c r="J1973" s="3" t="str">
        <f>IFERROR(VLOOKUP(D1973,'Справочник соответствий'!A$2:D$2981,2,FALSE),IF(VALUE(D1973)=0,0,VLOOKUP(D1973,'Справочник соответствий'!A$2:D$2981,2,FALSE)))</f>
        <v>1</v>
      </c>
      <c r="K1973" s="3">
        <f t="shared" si="210"/>
        <v>8</v>
      </c>
      <c r="L1973" s="13" t="str">
        <f>IFERROR(VLOOKUP(C1973,'Справочник соответствий'!A$2:D$2981,3,FALSE),IF(VALUE(C1973)=0,"ЭТАЖ НЕ ОПРЕДЕЛЕН. ПРИНЯТ ПО ДОПУЩЕНИЮ 1",VLOOKUP(C1973,'Справочник соответствий'!A$2:D$2981,3,FALSE)))</f>
        <v>СПРАВОЧНИК ЭТАЖНОСТИ</v>
      </c>
      <c r="M1973" s="13" t="b">
        <f t="shared" si="211"/>
        <v>0</v>
      </c>
      <c r="N1973" s="13">
        <f t="shared" si="212"/>
        <v>8</v>
      </c>
      <c r="O1973" s="13" t="str">
        <f t="shared" si="213"/>
        <v>СПРАВОЧНИК ЭТАЖНОСТИ</v>
      </c>
      <c r="P1973" s="13" t="str">
        <f t="shared" si="214"/>
        <v>МКД_СПРАВОЧНИК ЭТАЖНОСТИ</v>
      </c>
      <c r="Q1973" s="13" t="str">
        <f t="shared" si="215"/>
        <v>ГОТОВ_ИЗМЕНЕН</v>
      </c>
      <c r="R1973" s="13">
        <f>IFERROR(VLOOKUP(P1973,Лист1!A$1:B$20,2,FALSE),0)</f>
        <v>787</v>
      </c>
      <c r="S1973" s="13">
        <f t="shared" si="216"/>
        <v>0</v>
      </c>
    </row>
    <row r="1974" spans="1:19" x14ac:dyDescent="0.25">
      <c r="A1974" s="24" t="s">
        <v>3101</v>
      </c>
      <c r="B1974" s="4" t="s">
        <v>1059</v>
      </c>
      <c r="C1974" s="25" t="s">
        <v>5</v>
      </c>
      <c r="G1974" s="25" t="s">
        <v>1230</v>
      </c>
      <c r="H1974" s="24" t="s">
        <v>1061</v>
      </c>
      <c r="I1974" s="3" t="str">
        <f>IFERROR(VLOOKUP(C1974,'Справочник соответствий'!A$2:D$2981,2,FALSE),IF(VALUE(C1974)=0,1,VLOOKUP(C1974,'Справочник соответствий'!A$2:D$2981,2,FALSE)))</f>
        <v>1</v>
      </c>
      <c r="J1974" s="3">
        <f>IFERROR(VLOOKUP(D1974,'Справочник соответствий'!A$2:D$2981,2,FALSE),IF(VALUE(D1974)=0,0,VLOOKUP(D1974,'Справочник соответствий'!A$2:D$2981,2,FALSE)))</f>
        <v>0</v>
      </c>
      <c r="K1974" s="3" t="str">
        <f t="shared" si="210"/>
        <v>1</v>
      </c>
      <c r="L1974" s="13" t="str">
        <f>IFERROR(VLOOKUP(C1974,'Справочник соответствий'!A$2:D$2981,3,FALSE),IF(VALUE(C1974)=0,"ЭТАЖ НЕ ОПРЕДЕЛЕН. ПРИНЯТ ПО ДОПУЩЕНИЮ 1",VLOOKUP(C1974,'Справочник соответствий'!A$2:D$2981,3,FALSE)))</f>
        <v>ЭТАЖ ЗАДАН ЧИСЛОМ</v>
      </c>
      <c r="M1974" s="13" t="b">
        <f t="shared" si="211"/>
        <v>0</v>
      </c>
      <c r="N1974" s="13">
        <f t="shared" si="212"/>
        <v>1</v>
      </c>
      <c r="O1974" s="13" t="str">
        <f t="shared" si="213"/>
        <v>ЭТАЖ ЗАДАН ЧИСЛОМ</v>
      </c>
      <c r="P1974" s="13" t="str">
        <f t="shared" si="214"/>
        <v>ЭТАЖ ЗАДАН ЧИСЛОМ</v>
      </c>
      <c r="Q1974" s="13" t="str">
        <f t="shared" si="215"/>
        <v>ГОТОВ_ИЗМЕНЕН</v>
      </c>
      <c r="R1974" s="13">
        <f>IFERROR(VLOOKUP(P1974,Лист1!A$1:B$20,2,FALSE),0)</f>
        <v>784</v>
      </c>
      <c r="S1974" s="13">
        <f t="shared" si="216"/>
        <v>0</v>
      </c>
    </row>
    <row r="1975" spans="1:19" x14ac:dyDescent="0.25">
      <c r="A1975" s="24" t="s">
        <v>3102</v>
      </c>
      <c r="B1975" s="4" t="s">
        <v>1059</v>
      </c>
      <c r="C1975" s="25" t="s">
        <v>5</v>
      </c>
      <c r="G1975" s="25" t="s">
        <v>1453</v>
      </c>
      <c r="H1975" s="24" t="s">
        <v>1061</v>
      </c>
      <c r="I1975" s="3" t="str">
        <f>IFERROR(VLOOKUP(C1975,'Справочник соответствий'!A$2:D$2981,2,FALSE),IF(VALUE(C1975)=0,1,VLOOKUP(C1975,'Справочник соответствий'!A$2:D$2981,2,FALSE)))</f>
        <v>1</v>
      </c>
      <c r="J1975" s="3">
        <f>IFERROR(VLOOKUP(D1975,'Справочник соответствий'!A$2:D$2981,2,FALSE),IF(VALUE(D1975)=0,0,VLOOKUP(D1975,'Справочник соответствий'!A$2:D$2981,2,FALSE)))</f>
        <v>0</v>
      </c>
      <c r="K1975" s="3" t="str">
        <f t="shared" si="210"/>
        <v>1</v>
      </c>
      <c r="L1975" s="13" t="str">
        <f>IFERROR(VLOOKUP(C1975,'Справочник соответствий'!A$2:D$2981,3,FALSE),IF(VALUE(C1975)=0,"ЭТАЖ НЕ ОПРЕДЕЛЕН. ПРИНЯТ ПО ДОПУЩЕНИЮ 1",VLOOKUP(C1975,'Справочник соответствий'!A$2:D$2981,3,FALSE)))</f>
        <v>ЭТАЖ ЗАДАН ЧИСЛОМ</v>
      </c>
      <c r="M1975" s="13" t="b">
        <f t="shared" si="211"/>
        <v>0</v>
      </c>
      <c r="N1975" s="13">
        <f t="shared" si="212"/>
        <v>1</v>
      </c>
      <c r="O1975" s="13" t="str">
        <f t="shared" si="213"/>
        <v>ЭТАЖ ЗАДАН ЧИСЛОМ</v>
      </c>
      <c r="P1975" s="13" t="str">
        <f t="shared" si="214"/>
        <v>ЭТАЖ ЗАДАН ЧИСЛОМ</v>
      </c>
      <c r="Q1975" s="13" t="str">
        <f t="shared" si="215"/>
        <v>ГОТОВ_ИЗМЕНЕН</v>
      </c>
      <c r="R1975" s="13">
        <f>IFERROR(VLOOKUP(P1975,Лист1!A$1:B$20,2,FALSE),0)</f>
        <v>784</v>
      </c>
      <c r="S1975" s="13">
        <f t="shared" si="216"/>
        <v>0</v>
      </c>
    </row>
    <row r="1976" spans="1:19" x14ac:dyDescent="0.25">
      <c r="A1976" s="24" t="s">
        <v>3103</v>
      </c>
      <c r="B1976" s="4" t="s">
        <v>1063</v>
      </c>
      <c r="C1976" s="25" t="s">
        <v>5</v>
      </c>
      <c r="G1976" s="25" t="s">
        <v>1230</v>
      </c>
      <c r="H1976" s="24" t="s">
        <v>1061</v>
      </c>
      <c r="I1976" s="3" t="str">
        <f>IFERROR(VLOOKUP(C1976,'Справочник соответствий'!A$2:D$2981,2,FALSE),IF(VALUE(C1976)=0,1,VLOOKUP(C1976,'Справочник соответствий'!A$2:D$2981,2,FALSE)))</f>
        <v>1</v>
      </c>
      <c r="J1976" s="3">
        <f>IFERROR(VLOOKUP(D1976,'Справочник соответствий'!A$2:D$2981,2,FALSE),IF(VALUE(D1976)=0,0,VLOOKUP(D1976,'Справочник соответствий'!A$2:D$2981,2,FALSE)))</f>
        <v>0</v>
      </c>
      <c r="K1976" s="3" t="str">
        <f t="shared" si="210"/>
        <v>1</v>
      </c>
      <c r="L1976" s="13" t="str">
        <f>IFERROR(VLOOKUP(C1976,'Справочник соответствий'!A$2:D$2981,3,FALSE),IF(VALUE(C1976)=0,"ЭТАЖ НЕ ОПРЕДЕЛЕН. ПРИНЯТ ПО ДОПУЩЕНИЮ 1",VLOOKUP(C1976,'Справочник соответствий'!A$2:D$2981,3,FALSE)))</f>
        <v>ЭТАЖ ЗАДАН ЧИСЛОМ</v>
      </c>
      <c r="M1976" s="13" t="b">
        <f t="shared" si="211"/>
        <v>0</v>
      </c>
      <c r="N1976" s="13">
        <f t="shared" si="212"/>
        <v>1</v>
      </c>
      <c r="O1976" s="13" t="str">
        <f t="shared" si="213"/>
        <v>ЭТАЖ ЗАДАН ЧИСЛОМ</v>
      </c>
      <c r="P1976" s="13" t="str">
        <f t="shared" si="214"/>
        <v>ЭТАЖ ЗАДАН ЧИСЛОМ</v>
      </c>
      <c r="Q1976" s="13" t="str">
        <f t="shared" si="215"/>
        <v>ГОТОВ_ИЗМЕНЕН</v>
      </c>
      <c r="R1976" s="13">
        <f>IFERROR(VLOOKUP(P1976,Лист1!A$1:B$20,2,FALSE),0)</f>
        <v>784</v>
      </c>
      <c r="S1976" s="13">
        <f t="shared" si="216"/>
        <v>0</v>
      </c>
    </row>
    <row r="1977" spans="1:19" x14ac:dyDescent="0.25">
      <c r="A1977" s="24" t="s">
        <v>3104</v>
      </c>
      <c r="B1977" s="4" t="s">
        <v>1063</v>
      </c>
      <c r="C1977" s="25" t="s">
        <v>5</v>
      </c>
      <c r="G1977" s="25" t="s">
        <v>1230</v>
      </c>
      <c r="H1977" s="24" t="s">
        <v>1061</v>
      </c>
      <c r="I1977" s="3" t="str">
        <f>IFERROR(VLOOKUP(C1977,'Справочник соответствий'!A$2:D$2981,2,FALSE),IF(VALUE(C1977)=0,1,VLOOKUP(C1977,'Справочник соответствий'!A$2:D$2981,2,FALSE)))</f>
        <v>1</v>
      </c>
      <c r="J1977" s="3">
        <f>IFERROR(VLOOKUP(D1977,'Справочник соответствий'!A$2:D$2981,2,FALSE),IF(VALUE(D1977)=0,0,VLOOKUP(D1977,'Справочник соответствий'!A$2:D$2981,2,FALSE)))</f>
        <v>0</v>
      </c>
      <c r="K1977" s="3" t="str">
        <f t="shared" si="210"/>
        <v>1</v>
      </c>
      <c r="L1977" s="13" t="str">
        <f>IFERROR(VLOOKUP(C1977,'Справочник соответствий'!A$2:D$2981,3,FALSE),IF(VALUE(C1977)=0,"ЭТАЖ НЕ ОПРЕДЕЛЕН. ПРИНЯТ ПО ДОПУЩЕНИЮ 1",VLOOKUP(C1977,'Справочник соответствий'!A$2:D$2981,3,FALSE)))</f>
        <v>ЭТАЖ ЗАДАН ЧИСЛОМ</v>
      </c>
      <c r="M1977" s="13" t="b">
        <f t="shared" si="211"/>
        <v>0</v>
      </c>
      <c r="N1977" s="13">
        <f t="shared" si="212"/>
        <v>1</v>
      </c>
      <c r="O1977" s="13" t="str">
        <f t="shared" si="213"/>
        <v>ЭТАЖ ЗАДАН ЧИСЛОМ</v>
      </c>
      <c r="P1977" s="13" t="str">
        <f t="shared" si="214"/>
        <v>ЭТАЖ ЗАДАН ЧИСЛОМ</v>
      </c>
      <c r="Q1977" s="13" t="str">
        <f t="shared" si="215"/>
        <v>ГОТОВ_ИЗМЕНЕН</v>
      </c>
      <c r="R1977" s="13">
        <f>IFERROR(VLOOKUP(P1977,Лист1!A$1:B$20,2,FALSE),0)</f>
        <v>784</v>
      </c>
      <c r="S1977" s="13">
        <f t="shared" si="216"/>
        <v>0</v>
      </c>
    </row>
    <row r="1978" spans="1:19" x14ac:dyDescent="0.25">
      <c r="A1978" s="24" t="s">
        <v>3105</v>
      </c>
      <c r="B1978" s="4" t="s">
        <v>1031</v>
      </c>
      <c r="C1978" s="25" t="s">
        <v>285</v>
      </c>
      <c r="D1978" s="25" t="s">
        <v>5</v>
      </c>
      <c r="G1978" s="25" t="s">
        <v>1230</v>
      </c>
      <c r="H1978" s="24" t="s">
        <v>1061</v>
      </c>
      <c r="I1978" s="3" t="str">
        <f>IFERROR(VLOOKUP(C1978,'Справочник соответствий'!A$2:D$2981,2,FALSE),IF(VALUE(C1978)=0,1,VLOOKUP(C1978,'Справочник соответствий'!A$2:D$2981,2,FALSE)))</f>
        <v>21</v>
      </c>
      <c r="J1978" s="3" t="str">
        <f>IFERROR(VLOOKUP(D1978,'Справочник соответствий'!A$2:D$2981,2,FALSE),IF(VALUE(D1978)=0,0,VLOOKUP(D1978,'Справочник соответствий'!A$2:D$2981,2,FALSE)))</f>
        <v>1</v>
      </c>
      <c r="K1978" s="3">
        <f t="shared" si="210"/>
        <v>20</v>
      </c>
      <c r="L1978" s="13" t="str">
        <f>IFERROR(VLOOKUP(C1978,'Справочник соответствий'!A$2:D$2981,3,FALSE),IF(VALUE(C1978)=0,"ЭТАЖ НЕ ОПРЕДЕЛЕН. ПРИНЯТ ПО ДОПУЩЕНИЮ 1",VLOOKUP(C1978,'Справочник соответствий'!A$2:D$2981,3,FALSE)))</f>
        <v>СПРАВОЧНИК ЭТАЖНОСТИ</v>
      </c>
      <c r="M1978" s="13" t="b">
        <f t="shared" si="211"/>
        <v>0</v>
      </c>
      <c r="N1978" s="13">
        <f t="shared" si="212"/>
        <v>20</v>
      </c>
      <c r="O1978" s="13" t="str">
        <f t="shared" si="213"/>
        <v>СПРАВОЧНИК ЭТАЖНОСТИ</v>
      </c>
      <c r="P1978" s="13" t="str">
        <f t="shared" si="214"/>
        <v>МКД_СПРАВОЧНИК ЭТАЖНОСТИ</v>
      </c>
      <c r="Q1978" s="13" t="str">
        <f t="shared" si="215"/>
        <v>ГОТОВ_ИЗМЕНЕН</v>
      </c>
      <c r="R1978" s="13">
        <f>IFERROR(VLOOKUP(P1978,Лист1!A$1:B$20,2,FALSE),0)</f>
        <v>787</v>
      </c>
      <c r="S1978" s="13">
        <f t="shared" si="216"/>
        <v>0</v>
      </c>
    </row>
    <row r="1979" spans="1:19" x14ac:dyDescent="0.25">
      <c r="A1979" s="24" t="s">
        <v>3106</v>
      </c>
      <c r="B1979" s="4" t="s">
        <v>1059</v>
      </c>
      <c r="C1979" s="25" t="s">
        <v>5</v>
      </c>
      <c r="G1979" s="25" t="s">
        <v>1230</v>
      </c>
      <c r="H1979" s="24" t="s">
        <v>1061</v>
      </c>
      <c r="I1979" s="3" t="str">
        <f>IFERROR(VLOOKUP(C1979,'Справочник соответствий'!A$2:D$2981,2,FALSE),IF(VALUE(C1979)=0,1,VLOOKUP(C1979,'Справочник соответствий'!A$2:D$2981,2,FALSE)))</f>
        <v>1</v>
      </c>
      <c r="J1979" s="3">
        <f>IFERROR(VLOOKUP(D1979,'Справочник соответствий'!A$2:D$2981,2,FALSE),IF(VALUE(D1979)=0,0,VLOOKUP(D1979,'Справочник соответствий'!A$2:D$2981,2,FALSE)))</f>
        <v>0</v>
      </c>
      <c r="K1979" s="3" t="str">
        <f t="shared" si="210"/>
        <v>1</v>
      </c>
      <c r="L1979" s="13" t="str">
        <f>IFERROR(VLOOKUP(C1979,'Справочник соответствий'!A$2:D$2981,3,FALSE),IF(VALUE(C1979)=0,"ЭТАЖ НЕ ОПРЕДЕЛЕН. ПРИНЯТ ПО ДОПУЩЕНИЮ 1",VLOOKUP(C1979,'Справочник соответствий'!A$2:D$2981,3,FALSE)))</f>
        <v>ЭТАЖ ЗАДАН ЧИСЛОМ</v>
      </c>
      <c r="M1979" s="13" t="b">
        <f t="shared" si="211"/>
        <v>0</v>
      </c>
      <c r="N1979" s="13">
        <f t="shared" si="212"/>
        <v>1</v>
      </c>
      <c r="O1979" s="13" t="str">
        <f t="shared" si="213"/>
        <v>ЭТАЖ ЗАДАН ЧИСЛОМ</v>
      </c>
      <c r="P1979" s="13" t="str">
        <f t="shared" si="214"/>
        <v>ЭТАЖ ЗАДАН ЧИСЛОМ</v>
      </c>
      <c r="Q1979" s="13" t="str">
        <f t="shared" si="215"/>
        <v>ГОТОВ_ИЗМЕНЕН</v>
      </c>
      <c r="R1979" s="13">
        <f>IFERROR(VLOOKUP(P1979,Лист1!A$1:B$20,2,FALSE),0)</f>
        <v>784</v>
      </c>
      <c r="S1979" s="13">
        <f t="shared" si="216"/>
        <v>0</v>
      </c>
    </row>
    <row r="1980" spans="1:19" x14ac:dyDescent="0.25">
      <c r="A1980" s="24" t="s">
        <v>3107</v>
      </c>
      <c r="B1980" s="4" t="s">
        <v>1063</v>
      </c>
      <c r="G1980" s="25" t="s">
        <v>1230</v>
      </c>
      <c r="H1980" s="24" t="s">
        <v>1061</v>
      </c>
      <c r="I1980" s="3">
        <f>IFERROR(VLOOKUP(C1980,'Справочник соответствий'!A$2:D$2981,2,FALSE),IF(VALUE(C1980)=0,1,VLOOKUP(C1980,'Справочник соответствий'!A$2:D$2981,2,FALSE)))</f>
        <v>1</v>
      </c>
      <c r="J1980" s="3">
        <f>IFERROR(VLOOKUP(D1980,'Справочник соответствий'!A$2:D$2981,2,FALSE),IF(VALUE(D1980)=0,0,VLOOKUP(D1980,'Справочник соответствий'!A$2:D$2981,2,FALSE)))</f>
        <v>0</v>
      </c>
      <c r="K1980" s="3">
        <f t="shared" si="210"/>
        <v>1</v>
      </c>
      <c r="L1980" s="13" t="str">
        <f>IFERROR(VLOOKUP(C1980,'Справочник соответствий'!A$2:D$2981,3,FALSE),IF(VALUE(C1980)=0,"ЭТАЖ НЕ ОПРЕДЕЛЕН. ПРИНЯТ ПО ДОПУЩЕНИЮ 1",VLOOKUP(C1980,'Справочник соответствий'!A$2:D$2981,3,FALSE)))</f>
        <v>ЭТАЖ НЕ ОПРЕДЕЛЕН. ПРИНЯТ ПО ДОПУЩЕНИЮ 1</v>
      </c>
      <c r="M1980" s="13" t="b">
        <f t="shared" si="211"/>
        <v>0</v>
      </c>
      <c r="N1980" s="13">
        <f t="shared" si="212"/>
        <v>1</v>
      </c>
      <c r="O1980" s="13" t="str">
        <f t="shared" si="213"/>
        <v>ЭТАЖ НЕ ОПРЕДЕЛЕН. ПРИНЯТ ПО ДОПУЩЕНИЮ 1</v>
      </c>
      <c r="P1980" s="13" t="str">
        <f t="shared" si="214"/>
        <v>ЭТАЖ НЕ ОПРЕДЕЛЕН. ПРИНЯТ ПО ДОПУЩЕНИЮ 1</v>
      </c>
      <c r="Q1980" s="13" t="str">
        <f t="shared" si="215"/>
        <v>ГОТОВ_ИЗМЕНЕН</v>
      </c>
      <c r="R1980" s="13">
        <f>IFERROR(VLOOKUP(P1980,Лист1!A$1:B$20,2,FALSE),0)</f>
        <v>788</v>
      </c>
      <c r="S1980" s="13">
        <f t="shared" si="216"/>
        <v>0</v>
      </c>
    </row>
    <row r="1981" spans="1:19" x14ac:dyDescent="0.25">
      <c r="A1981" s="24" t="s">
        <v>3108</v>
      </c>
      <c r="B1981" s="4" t="s">
        <v>1059</v>
      </c>
      <c r="C1981" s="25" t="s">
        <v>7</v>
      </c>
      <c r="G1981" s="25" t="s">
        <v>1193</v>
      </c>
      <c r="H1981" s="24" t="s">
        <v>1061</v>
      </c>
      <c r="I1981" s="3" t="str">
        <f>IFERROR(VLOOKUP(C1981,'Справочник соответствий'!A$2:D$2981,2,FALSE),IF(VALUE(C1981)=0,1,VLOOKUP(C1981,'Справочник соответствий'!A$2:D$2981,2,FALSE)))</f>
        <v>2</v>
      </c>
      <c r="J1981" s="3">
        <f>IFERROR(VLOOKUP(D1981,'Справочник соответствий'!A$2:D$2981,2,FALSE),IF(VALUE(D1981)=0,0,VLOOKUP(D1981,'Справочник соответствий'!A$2:D$2981,2,FALSE)))</f>
        <v>0</v>
      </c>
      <c r="K1981" s="3" t="str">
        <f t="shared" si="210"/>
        <v>2</v>
      </c>
      <c r="L1981" s="13" t="str">
        <f>IFERROR(VLOOKUP(C1981,'Справочник соответствий'!A$2:D$2981,3,FALSE),IF(VALUE(C1981)=0,"ЭТАЖ НЕ ОПРЕДЕЛЕН. ПРИНЯТ ПО ДОПУЩЕНИЮ 1",VLOOKUP(C1981,'Справочник соответствий'!A$2:D$2981,3,FALSE)))</f>
        <v>ЭТАЖ ЗАДАН ЧИСЛОМ</v>
      </c>
      <c r="M1981" s="13" t="b">
        <f t="shared" si="211"/>
        <v>0</v>
      </c>
      <c r="N1981" s="13">
        <f t="shared" si="212"/>
        <v>2</v>
      </c>
      <c r="O1981" s="13" t="str">
        <f t="shared" si="213"/>
        <v>ЭТАЖ ЗАДАН ЧИСЛОМ</v>
      </c>
      <c r="P1981" s="13" t="str">
        <f t="shared" si="214"/>
        <v>ЭТАЖ ЗАДАН ЧИСЛОМ</v>
      </c>
      <c r="Q1981" s="13" t="str">
        <f t="shared" si="215"/>
        <v>ГОТОВ_ИЗМЕНЕН</v>
      </c>
      <c r="R1981" s="13">
        <f>IFERROR(VLOOKUP(P1981,Лист1!A$1:B$20,2,FALSE),0)</f>
        <v>784</v>
      </c>
      <c r="S1981" s="13">
        <f t="shared" si="216"/>
        <v>0</v>
      </c>
    </row>
    <row r="1982" spans="1:19" x14ac:dyDescent="0.25">
      <c r="A1982" s="24" t="s">
        <v>3109</v>
      </c>
      <c r="B1982" s="4" t="s">
        <v>1059</v>
      </c>
      <c r="C1982" s="25" t="s">
        <v>7</v>
      </c>
      <c r="D1982" s="25" t="s">
        <v>5</v>
      </c>
      <c r="G1982" s="25" t="s">
        <v>1067</v>
      </c>
      <c r="H1982" s="24" t="s">
        <v>1061</v>
      </c>
      <c r="I1982" s="3" t="str">
        <f>IFERROR(VLOOKUP(C1982,'Справочник соответствий'!A$2:D$2981,2,FALSE),IF(VALUE(C1982)=0,1,VLOOKUP(C1982,'Справочник соответствий'!A$2:D$2981,2,FALSE)))</f>
        <v>2</v>
      </c>
      <c r="J1982" s="3" t="str">
        <f>IFERROR(VLOOKUP(D1982,'Справочник соответствий'!A$2:D$2981,2,FALSE),IF(VALUE(D1982)=0,0,VLOOKUP(D1982,'Справочник соответствий'!A$2:D$2981,2,FALSE)))</f>
        <v>1</v>
      </c>
      <c r="K1982" s="3" t="str">
        <f t="shared" si="210"/>
        <v>2</v>
      </c>
      <c r="L1982" s="13" t="str">
        <f>IFERROR(VLOOKUP(C1982,'Справочник соответствий'!A$2:D$2981,3,FALSE),IF(VALUE(C1982)=0,"ЭТАЖ НЕ ОПРЕДЕЛЕН. ПРИНЯТ ПО ДОПУЩЕНИЮ 1",VLOOKUP(C1982,'Справочник соответствий'!A$2:D$2981,3,FALSE)))</f>
        <v>ЭТАЖ ЗАДАН ЧИСЛОМ</v>
      </c>
      <c r="M1982" s="13" t="b">
        <f t="shared" si="211"/>
        <v>0</v>
      </c>
      <c r="N1982" s="13">
        <f t="shared" si="212"/>
        <v>2</v>
      </c>
      <c r="O1982" s="13" t="str">
        <f t="shared" si="213"/>
        <v>ЭТАЖ ЗАДАН ЧИСЛОМ</v>
      </c>
      <c r="P1982" s="13" t="str">
        <f t="shared" si="214"/>
        <v>ЭТАЖ ЗАДАН ЧИСЛОМ</v>
      </c>
      <c r="Q1982" s="13" t="str">
        <f t="shared" si="215"/>
        <v>ГОТОВ_ИЗМЕНЕН</v>
      </c>
      <c r="R1982" s="13">
        <f>IFERROR(VLOOKUP(P1982,Лист1!A$1:B$20,2,FALSE),0)</f>
        <v>784</v>
      </c>
      <c r="S1982" s="13">
        <f t="shared" si="216"/>
        <v>0</v>
      </c>
    </row>
    <row r="1983" spans="1:19" x14ac:dyDescent="0.25">
      <c r="A1983" s="24" t="s">
        <v>3110</v>
      </c>
      <c r="B1983" s="4" t="s">
        <v>1059</v>
      </c>
      <c r="C1983" s="25" t="s">
        <v>7</v>
      </c>
      <c r="G1983" s="25" t="s">
        <v>1072</v>
      </c>
      <c r="H1983" s="24" t="s">
        <v>1061</v>
      </c>
      <c r="I1983" s="3" t="str">
        <f>IFERROR(VLOOKUP(C1983,'Справочник соответствий'!A$2:D$2981,2,FALSE),IF(VALUE(C1983)=0,1,VLOOKUP(C1983,'Справочник соответствий'!A$2:D$2981,2,FALSE)))</f>
        <v>2</v>
      </c>
      <c r="J1983" s="3">
        <f>IFERROR(VLOOKUP(D1983,'Справочник соответствий'!A$2:D$2981,2,FALSE),IF(VALUE(D1983)=0,0,VLOOKUP(D1983,'Справочник соответствий'!A$2:D$2981,2,FALSE)))</f>
        <v>0</v>
      </c>
      <c r="K1983" s="3" t="str">
        <f t="shared" si="210"/>
        <v>2</v>
      </c>
      <c r="L1983" s="13" t="str">
        <f>IFERROR(VLOOKUP(C1983,'Справочник соответствий'!A$2:D$2981,3,FALSE),IF(VALUE(C1983)=0,"ЭТАЖ НЕ ОПРЕДЕЛЕН. ПРИНЯТ ПО ДОПУЩЕНИЮ 1",VLOOKUP(C1983,'Справочник соответствий'!A$2:D$2981,3,FALSE)))</f>
        <v>ЭТАЖ ЗАДАН ЧИСЛОМ</v>
      </c>
      <c r="M1983" s="13" t="b">
        <f t="shared" si="211"/>
        <v>0</v>
      </c>
      <c r="N1983" s="13">
        <f t="shared" si="212"/>
        <v>2</v>
      </c>
      <c r="O1983" s="13" t="str">
        <f t="shared" si="213"/>
        <v>ЭТАЖ ЗАДАН ЧИСЛОМ</v>
      </c>
      <c r="P1983" s="13" t="str">
        <f t="shared" si="214"/>
        <v>ЭТАЖ ЗАДАН ЧИСЛОМ</v>
      </c>
      <c r="Q1983" s="13" t="str">
        <f t="shared" si="215"/>
        <v>ГОТОВ_ИЗМЕНЕН</v>
      </c>
      <c r="R1983" s="13">
        <f>IFERROR(VLOOKUP(P1983,Лист1!A$1:B$20,2,FALSE),0)</f>
        <v>784</v>
      </c>
      <c r="S1983" s="13">
        <f t="shared" si="216"/>
        <v>0</v>
      </c>
    </row>
    <row r="1984" spans="1:19" x14ac:dyDescent="0.25">
      <c r="A1984" s="24" t="s">
        <v>3111</v>
      </c>
      <c r="B1984" s="4" t="s">
        <v>1059</v>
      </c>
      <c r="C1984" s="25" t="s">
        <v>5</v>
      </c>
      <c r="G1984" s="25" t="s">
        <v>1067</v>
      </c>
      <c r="H1984" s="24" t="s">
        <v>1061</v>
      </c>
      <c r="I1984" s="3" t="str">
        <f>IFERROR(VLOOKUP(C1984,'Справочник соответствий'!A$2:D$2981,2,FALSE),IF(VALUE(C1984)=0,1,VLOOKUP(C1984,'Справочник соответствий'!A$2:D$2981,2,FALSE)))</f>
        <v>1</v>
      </c>
      <c r="J1984" s="3">
        <f>IFERROR(VLOOKUP(D1984,'Справочник соответствий'!A$2:D$2981,2,FALSE),IF(VALUE(D1984)=0,0,VLOOKUP(D1984,'Справочник соответствий'!A$2:D$2981,2,FALSE)))</f>
        <v>0</v>
      </c>
      <c r="K1984" s="3" t="str">
        <f t="shared" si="210"/>
        <v>1</v>
      </c>
      <c r="L1984" s="13" t="str">
        <f>IFERROR(VLOOKUP(C1984,'Справочник соответствий'!A$2:D$2981,3,FALSE),IF(VALUE(C1984)=0,"ЭТАЖ НЕ ОПРЕДЕЛЕН. ПРИНЯТ ПО ДОПУЩЕНИЮ 1",VLOOKUP(C1984,'Справочник соответствий'!A$2:D$2981,3,FALSE)))</f>
        <v>ЭТАЖ ЗАДАН ЧИСЛОМ</v>
      </c>
      <c r="M1984" s="13" t="b">
        <f t="shared" si="211"/>
        <v>0</v>
      </c>
      <c r="N1984" s="13">
        <f t="shared" si="212"/>
        <v>1</v>
      </c>
      <c r="O1984" s="13" t="str">
        <f t="shared" si="213"/>
        <v>ЭТАЖ ЗАДАН ЧИСЛОМ</v>
      </c>
      <c r="P1984" s="13" t="str">
        <f t="shared" si="214"/>
        <v>ЭТАЖ ЗАДАН ЧИСЛОМ</v>
      </c>
      <c r="Q1984" s="13" t="str">
        <f t="shared" si="215"/>
        <v>ГОТОВ_ИЗМЕНЕН</v>
      </c>
      <c r="R1984" s="13">
        <f>IFERROR(VLOOKUP(P1984,Лист1!A$1:B$20,2,FALSE),0)</f>
        <v>784</v>
      </c>
      <c r="S1984" s="13">
        <f t="shared" si="216"/>
        <v>0</v>
      </c>
    </row>
    <row r="1985" spans="1:19" x14ac:dyDescent="0.25">
      <c r="A1985" s="24" t="s">
        <v>3112</v>
      </c>
      <c r="B1985" s="4" t="s">
        <v>1063</v>
      </c>
      <c r="C1985" s="25" t="s">
        <v>5</v>
      </c>
      <c r="G1985" s="25" t="s">
        <v>1067</v>
      </c>
      <c r="H1985" s="24" t="s">
        <v>1061</v>
      </c>
      <c r="I1985" s="3" t="str">
        <f>IFERROR(VLOOKUP(C1985,'Справочник соответствий'!A$2:D$2981,2,FALSE),IF(VALUE(C1985)=0,1,VLOOKUP(C1985,'Справочник соответствий'!A$2:D$2981,2,FALSE)))</f>
        <v>1</v>
      </c>
      <c r="J1985" s="3">
        <f>IFERROR(VLOOKUP(D1985,'Справочник соответствий'!A$2:D$2981,2,FALSE),IF(VALUE(D1985)=0,0,VLOOKUP(D1985,'Справочник соответствий'!A$2:D$2981,2,FALSE)))</f>
        <v>0</v>
      </c>
      <c r="K1985" s="3" t="str">
        <f t="shared" si="210"/>
        <v>1</v>
      </c>
      <c r="L1985" s="13" t="str">
        <f>IFERROR(VLOOKUP(C1985,'Справочник соответствий'!A$2:D$2981,3,FALSE),IF(VALUE(C1985)=0,"ЭТАЖ НЕ ОПРЕДЕЛЕН. ПРИНЯТ ПО ДОПУЩЕНИЮ 1",VLOOKUP(C1985,'Справочник соответствий'!A$2:D$2981,3,FALSE)))</f>
        <v>ЭТАЖ ЗАДАН ЧИСЛОМ</v>
      </c>
      <c r="M1985" s="13" t="b">
        <f t="shared" si="211"/>
        <v>0</v>
      </c>
      <c r="N1985" s="13">
        <f t="shared" si="212"/>
        <v>1</v>
      </c>
      <c r="O1985" s="13" t="str">
        <f t="shared" si="213"/>
        <v>ЭТАЖ ЗАДАН ЧИСЛОМ</v>
      </c>
      <c r="P1985" s="13" t="str">
        <f t="shared" si="214"/>
        <v>ЭТАЖ ЗАДАН ЧИСЛОМ</v>
      </c>
      <c r="Q1985" s="13" t="str">
        <f t="shared" si="215"/>
        <v>ГОТОВ_ИЗМЕНЕН</v>
      </c>
      <c r="R1985" s="13">
        <f>IFERROR(VLOOKUP(P1985,Лист1!A$1:B$20,2,FALSE),0)</f>
        <v>784</v>
      </c>
      <c r="S1985" s="13">
        <f t="shared" si="216"/>
        <v>0</v>
      </c>
    </row>
    <row r="1986" spans="1:19" x14ac:dyDescent="0.25">
      <c r="A1986" s="24" t="s">
        <v>3113</v>
      </c>
      <c r="B1986" s="4" t="s">
        <v>1059</v>
      </c>
      <c r="C1986" s="25" t="s">
        <v>7</v>
      </c>
      <c r="G1986" s="25" t="s">
        <v>1067</v>
      </c>
      <c r="H1986" s="24" t="s">
        <v>1061</v>
      </c>
      <c r="I1986" s="3" t="str">
        <f>IFERROR(VLOOKUP(C1986,'Справочник соответствий'!A$2:D$2981,2,FALSE),IF(VALUE(C1986)=0,1,VLOOKUP(C1986,'Справочник соответствий'!A$2:D$2981,2,FALSE)))</f>
        <v>2</v>
      </c>
      <c r="J1986" s="3">
        <f>IFERROR(VLOOKUP(D1986,'Справочник соответствий'!A$2:D$2981,2,FALSE),IF(VALUE(D1986)=0,0,VLOOKUP(D1986,'Справочник соответствий'!A$2:D$2981,2,FALSE)))</f>
        <v>0</v>
      </c>
      <c r="K1986" s="3" t="str">
        <f t="shared" si="210"/>
        <v>2</v>
      </c>
      <c r="L1986" s="13" t="str">
        <f>IFERROR(VLOOKUP(C1986,'Справочник соответствий'!A$2:D$2981,3,FALSE),IF(VALUE(C1986)=0,"ЭТАЖ НЕ ОПРЕДЕЛЕН. ПРИНЯТ ПО ДОПУЩЕНИЮ 1",VLOOKUP(C1986,'Справочник соответствий'!A$2:D$2981,3,FALSE)))</f>
        <v>ЭТАЖ ЗАДАН ЧИСЛОМ</v>
      </c>
      <c r="M1986" s="13" t="b">
        <f t="shared" si="211"/>
        <v>0</v>
      </c>
      <c r="N1986" s="13">
        <f t="shared" si="212"/>
        <v>2</v>
      </c>
      <c r="O1986" s="13" t="str">
        <f t="shared" si="213"/>
        <v>ЭТАЖ ЗАДАН ЧИСЛОМ</v>
      </c>
      <c r="P1986" s="13" t="str">
        <f t="shared" si="214"/>
        <v>ЭТАЖ ЗАДАН ЧИСЛОМ</v>
      </c>
      <c r="Q1986" s="13" t="str">
        <f t="shared" si="215"/>
        <v>ГОТОВ_ИЗМЕНЕН</v>
      </c>
      <c r="R1986" s="13">
        <f>IFERROR(VLOOKUP(P1986,Лист1!A$1:B$20,2,FALSE),0)</f>
        <v>784</v>
      </c>
      <c r="S1986" s="13">
        <f t="shared" si="216"/>
        <v>0</v>
      </c>
    </row>
    <row r="1987" spans="1:19" x14ac:dyDescent="0.25">
      <c r="A1987" s="24" t="s">
        <v>3114</v>
      </c>
      <c r="B1987" s="4" t="s">
        <v>1059</v>
      </c>
      <c r="C1987" s="25" t="s">
        <v>7</v>
      </c>
      <c r="G1987" s="25" t="s">
        <v>1067</v>
      </c>
      <c r="H1987" s="24" t="s">
        <v>1061</v>
      </c>
      <c r="I1987" s="3" t="str">
        <f>IFERROR(VLOOKUP(C1987,'Справочник соответствий'!A$2:D$2981,2,FALSE),IF(VALUE(C1987)=0,1,VLOOKUP(C1987,'Справочник соответствий'!A$2:D$2981,2,FALSE)))</f>
        <v>2</v>
      </c>
      <c r="J1987" s="3">
        <f>IFERROR(VLOOKUP(D1987,'Справочник соответствий'!A$2:D$2981,2,FALSE),IF(VALUE(D1987)=0,0,VLOOKUP(D1987,'Справочник соответствий'!A$2:D$2981,2,FALSE)))</f>
        <v>0</v>
      </c>
      <c r="K1987" s="3" t="str">
        <f t="shared" si="210"/>
        <v>2</v>
      </c>
      <c r="L1987" s="13" t="str">
        <f>IFERROR(VLOOKUP(C1987,'Справочник соответствий'!A$2:D$2981,3,FALSE),IF(VALUE(C1987)=0,"ЭТАЖ НЕ ОПРЕДЕЛЕН. ПРИНЯТ ПО ДОПУЩЕНИЮ 1",VLOOKUP(C1987,'Справочник соответствий'!A$2:D$2981,3,FALSE)))</f>
        <v>ЭТАЖ ЗАДАН ЧИСЛОМ</v>
      </c>
      <c r="M1987" s="13" t="b">
        <f t="shared" si="211"/>
        <v>0</v>
      </c>
      <c r="N1987" s="13">
        <f t="shared" si="212"/>
        <v>2</v>
      </c>
      <c r="O1987" s="13" t="str">
        <f t="shared" si="213"/>
        <v>ЭТАЖ ЗАДАН ЧИСЛОМ</v>
      </c>
      <c r="P1987" s="13" t="str">
        <f t="shared" si="214"/>
        <v>ЭТАЖ ЗАДАН ЧИСЛОМ</v>
      </c>
      <c r="Q1987" s="13" t="str">
        <f t="shared" si="215"/>
        <v>ГОТОВ_ИЗМЕНЕН</v>
      </c>
      <c r="R1987" s="13">
        <f>IFERROR(VLOOKUP(P1987,Лист1!A$1:B$20,2,FALSE),0)</f>
        <v>784</v>
      </c>
      <c r="S1987" s="13">
        <f t="shared" si="216"/>
        <v>0</v>
      </c>
    </row>
    <row r="1988" spans="1:19" x14ac:dyDescent="0.25">
      <c r="A1988" s="24" t="s">
        <v>3115</v>
      </c>
      <c r="B1988" s="4" t="s">
        <v>1059</v>
      </c>
      <c r="C1988" s="25" t="s">
        <v>5</v>
      </c>
      <c r="G1988" s="25" t="s">
        <v>1067</v>
      </c>
      <c r="H1988" s="24" t="s">
        <v>1061</v>
      </c>
      <c r="I1988" s="3" t="str">
        <f>IFERROR(VLOOKUP(C1988,'Справочник соответствий'!A$2:D$2981,2,FALSE),IF(VALUE(C1988)=0,1,VLOOKUP(C1988,'Справочник соответствий'!A$2:D$2981,2,FALSE)))</f>
        <v>1</v>
      </c>
      <c r="J1988" s="3">
        <f>IFERROR(VLOOKUP(D1988,'Справочник соответствий'!A$2:D$2981,2,FALSE),IF(VALUE(D1988)=0,0,VLOOKUP(D1988,'Справочник соответствий'!A$2:D$2981,2,FALSE)))</f>
        <v>0</v>
      </c>
      <c r="K1988" s="3" t="str">
        <f t="shared" si="210"/>
        <v>1</v>
      </c>
      <c r="L1988" s="13" t="str">
        <f>IFERROR(VLOOKUP(C1988,'Справочник соответствий'!A$2:D$2981,3,FALSE),IF(VALUE(C1988)=0,"ЭТАЖ НЕ ОПРЕДЕЛЕН. ПРИНЯТ ПО ДОПУЩЕНИЮ 1",VLOOKUP(C1988,'Справочник соответствий'!A$2:D$2981,3,FALSE)))</f>
        <v>ЭТАЖ ЗАДАН ЧИСЛОМ</v>
      </c>
      <c r="M1988" s="13" t="b">
        <f t="shared" si="211"/>
        <v>0</v>
      </c>
      <c r="N1988" s="13">
        <f t="shared" si="212"/>
        <v>1</v>
      </c>
      <c r="O1988" s="13" t="str">
        <f t="shared" si="213"/>
        <v>ЭТАЖ ЗАДАН ЧИСЛОМ</v>
      </c>
      <c r="P1988" s="13" t="str">
        <f t="shared" si="214"/>
        <v>ЭТАЖ ЗАДАН ЧИСЛОМ</v>
      </c>
      <c r="Q1988" s="13" t="str">
        <f t="shared" si="215"/>
        <v>ГОТОВ_ИЗМЕНЕН</v>
      </c>
      <c r="R1988" s="13">
        <f>IFERROR(VLOOKUP(P1988,Лист1!A$1:B$20,2,FALSE),0)</f>
        <v>784</v>
      </c>
      <c r="S1988" s="13">
        <f t="shared" si="216"/>
        <v>0</v>
      </c>
    </row>
    <row r="1989" spans="1:19" x14ac:dyDescent="0.25">
      <c r="A1989" s="24" t="s">
        <v>3116</v>
      </c>
      <c r="B1989" s="4" t="s">
        <v>1059</v>
      </c>
      <c r="C1989" s="25" t="s">
        <v>5</v>
      </c>
      <c r="G1989" s="25" t="s">
        <v>1067</v>
      </c>
      <c r="H1989" s="24" t="s">
        <v>1061</v>
      </c>
      <c r="I1989" s="3" t="str">
        <f>IFERROR(VLOOKUP(C1989,'Справочник соответствий'!A$2:D$2981,2,FALSE),IF(VALUE(C1989)=0,1,VLOOKUP(C1989,'Справочник соответствий'!A$2:D$2981,2,FALSE)))</f>
        <v>1</v>
      </c>
      <c r="J1989" s="3">
        <f>IFERROR(VLOOKUP(D1989,'Справочник соответствий'!A$2:D$2981,2,FALSE),IF(VALUE(D1989)=0,0,VLOOKUP(D1989,'Справочник соответствий'!A$2:D$2981,2,FALSE)))</f>
        <v>0</v>
      </c>
      <c r="K1989" s="3" t="str">
        <f t="shared" ref="K1989:K2052" si="217">IF(B1989="Многоквартирный дом",IF(I1989-J1989&gt;0,I1989-J1989,1),I1989)</f>
        <v>1</v>
      </c>
      <c r="L1989" s="13" t="str">
        <f>IFERROR(VLOOKUP(C1989,'Справочник соответствий'!A$2:D$2981,3,FALSE),IF(VALUE(C1989)=0,"ЭТАЖ НЕ ОПРЕДЕЛЕН. ПРИНЯТ ПО ДОПУЩЕНИЮ 1",VLOOKUP(C1989,'Справочник соответствий'!A$2:D$2981,3,FALSE)))</f>
        <v>ЭТАЖ ЗАДАН ЧИСЛОМ</v>
      </c>
      <c r="M1989" s="13" t="b">
        <f t="shared" ref="M1989:M2052" si="218">I1989=E1989</f>
        <v>0</v>
      </c>
      <c r="N1989" s="13">
        <f t="shared" ref="N1989:N2052" si="219">IF(VALUE(E1989)=0,VALUE(K1989),IF(L1989="ЭТАЖ НЕ ОПРЕДЕЛЕН. ПРИНЯТ ПО ДОПУЩЕНИЮ 1",VALUE(E1989),VALUE(K1989)))</f>
        <v>1</v>
      </c>
      <c r="O1989" s="13" t="str">
        <f t="shared" ref="O1989:O2052" si="220">IF(VALUE(E1989)=0,L1989,IF(L1989="ЭТАЖ НЕ ОПРЕДЕЛЕН. ПРИНЯТ ПО ДОПУЩЕНИЮ 1",F1989,L1989))</f>
        <v>ЭТАЖ ЗАДАН ЧИСЛОМ</v>
      </c>
      <c r="P1989" s="13" t="str">
        <f t="shared" ref="P1989:P2052" si="221">IF(B1989="Многоквартирный дом",CONCATENATE("МКД_",O1989),O1989)</f>
        <v>ЭТАЖ ЗАДАН ЧИСЛОМ</v>
      </c>
      <c r="Q1989" s="13" t="str">
        <f t="shared" ref="Q1989:Q2052" si="222">IFERROR(IF(N1989&gt;0,IF(N1989=VALUE(E1989),"ГОТОВ","ГОТОВ_ИЗМЕНЕН"),"НЕ ГОТОВ"),"НЕ ГОТОВ")</f>
        <v>ГОТОВ_ИЗМЕНЕН</v>
      </c>
      <c r="R1989" s="13">
        <f>IFERROR(VLOOKUP(P1989,Лист1!A$1:B$20,2,FALSE),0)</f>
        <v>784</v>
      </c>
      <c r="S1989" s="13">
        <f t="shared" ref="S1989:S2052" si="223">VALUE(E1989)</f>
        <v>0</v>
      </c>
    </row>
    <row r="1990" spans="1:19" x14ac:dyDescent="0.25">
      <c r="A1990" s="24" t="s">
        <v>3117</v>
      </c>
      <c r="B1990" s="4" t="s">
        <v>1063</v>
      </c>
      <c r="G1990" s="25" t="s">
        <v>1086</v>
      </c>
      <c r="H1990" s="24" t="s">
        <v>1061</v>
      </c>
      <c r="I1990" s="3">
        <f>IFERROR(VLOOKUP(C1990,'Справочник соответствий'!A$2:D$2981,2,FALSE),IF(VALUE(C1990)=0,1,VLOOKUP(C1990,'Справочник соответствий'!A$2:D$2981,2,FALSE)))</f>
        <v>1</v>
      </c>
      <c r="J1990" s="3">
        <f>IFERROR(VLOOKUP(D1990,'Справочник соответствий'!A$2:D$2981,2,FALSE),IF(VALUE(D1990)=0,0,VLOOKUP(D1990,'Справочник соответствий'!A$2:D$2981,2,FALSE)))</f>
        <v>0</v>
      </c>
      <c r="K1990" s="3">
        <f t="shared" si="217"/>
        <v>1</v>
      </c>
      <c r="L1990" s="13" t="str">
        <f>IFERROR(VLOOKUP(C1990,'Справочник соответствий'!A$2:D$2981,3,FALSE),IF(VALUE(C1990)=0,"ЭТАЖ НЕ ОПРЕДЕЛЕН. ПРИНЯТ ПО ДОПУЩЕНИЮ 1",VLOOKUP(C1990,'Справочник соответствий'!A$2:D$2981,3,FALSE)))</f>
        <v>ЭТАЖ НЕ ОПРЕДЕЛЕН. ПРИНЯТ ПО ДОПУЩЕНИЮ 1</v>
      </c>
      <c r="M1990" s="13" t="b">
        <f t="shared" si="218"/>
        <v>0</v>
      </c>
      <c r="N1990" s="13">
        <f t="shared" si="219"/>
        <v>1</v>
      </c>
      <c r="O1990" s="13" t="str">
        <f t="shared" si="220"/>
        <v>ЭТАЖ НЕ ОПРЕДЕЛЕН. ПРИНЯТ ПО ДОПУЩЕНИЮ 1</v>
      </c>
      <c r="P1990" s="13" t="str">
        <f t="shared" si="221"/>
        <v>ЭТАЖ НЕ ОПРЕДЕЛЕН. ПРИНЯТ ПО ДОПУЩЕНИЮ 1</v>
      </c>
      <c r="Q1990" s="13" t="str">
        <f t="shared" si="222"/>
        <v>ГОТОВ_ИЗМЕНЕН</v>
      </c>
      <c r="R1990" s="13">
        <f>IFERROR(VLOOKUP(P1990,Лист1!A$1:B$20,2,FALSE),0)</f>
        <v>788</v>
      </c>
      <c r="S1990" s="13">
        <f t="shared" si="223"/>
        <v>0</v>
      </c>
    </row>
    <row r="1991" spans="1:19" x14ac:dyDescent="0.25">
      <c r="A1991" s="24" t="s">
        <v>3118</v>
      </c>
      <c r="B1991" s="4" t="s">
        <v>1063</v>
      </c>
      <c r="C1991" s="25" t="s">
        <v>5</v>
      </c>
      <c r="G1991" s="25" t="s">
        <v>1117</v>
      </c>
      <c r="H1991" s="24" t="s">
        <v>1061</v>
      </c>
      <c r="I1991" s="3" t="str">
        <f>IFERROR(VLOOKUP(C1991,'Справочник соответствий'!A$2:D$2981,2,FALSE),IF(VALUE(C1991)=0,1,VLOOKUP(C1991,'Справочник соответствий'!A$2:D$2981,2,FALSE)))</f>
        <v>1</v>
      </c>
      <c r="J1991" s="3">
        <f>IFERROR(VLOOKUP(D1991,'Справочник соответствий'!A$2:D$2981,2,FALSE),IF(VALUE(D1991)=0,0,VLOOKUP(D1991,'Справочник соответствий'!A$2:D$2981,2,FALSE)))</f>
        <v>0</v>
      </c>
      <c r="K1991" s="3" t="str">
        <f t="shared" si="217"/>
        <v>1</v>
      </c>
      <c r="L1991" s="13" t="str">
        <f>IFERROR(VLOOKUP(C1991,'Справочник соответствий'!A$2:D$2981,3,FALSE),IF(VALUE(C1991)=0,"ЭТАЖ НЕ ОПРЕДЕЛЕН. ПРИНЯТ ПО ДОПУЩЕНИЮ 1",VLOOKUP(C1991,'Справочник соответствий'!A$2:D$2981,3,FALSE)))</f>
        <v>ЭТАЖ ЗАДАН ЧИСЛОМ</v>
      </c>
      <c r="M1991" s="13" t="b">
        <f t="shared" si="218"/>
        <v>0</v>
      </c>
      <c r="N1991" s="13">
        <f t="shared" si="219"/>
        <v>1</v>
      </c>
      <c r="O1991" s="13" t="str">
        <f t="shared" si="220"/>
        <v>ЭТАЖ ЗАДАН ЧИСЛОМ</v>
      </c>
      <c r="P1991" s="13" t="str">
        <f t="shared" si="221"/>
        <v>ЭТАЖ ЗАДАН ЧИСЛОМ</v>
      </c>
      <c r="Q1991" s="13" t="str">
        <f t="shared" si="222"/>
        <v>ГОТОВ_ИЗМЕНЕН</v>
      </c>
      <c r="R1991" s="13">
        <f>IFERROR(VLOOKUP(P1991,Лист1!A$1:B$20,2,FALSE),0)</f>
        <v>784</v>
      </c>
      <c r="S1991" s="13">
        <f t="shared" si="223"/>
        <v>0</v>
      </c>
    </row>
    <row r="1992" spans="1:19" x14ac:dyDescent="0.25">
      <c r="A1992" s="24" t="s">
        <v>3119</v>
      </c>
      <c r="B1992" s="4" t="s">
        <v>1063</v>
      </c>
      <c r="C1992" s="25" t="s">
        <v>5</v>
      </c>
      <c r="G1992" s="25" t="s">
        <v>1086</v>
      </c>
      <c r="H1992" s="24" t="s">
        <v>1061</v>
      </c>
      <c r="I1992" s="3" t="str">
        <f>IFERROR(VLOOKUP(C1992,'Справочник соответствий'!A$2:D$2981,2,FALSE),IF(VALUE(C1992)=0,1,VLOOKUP(C1992,'Справочник соответствий'!A$2:D$2981,2,FALSE)))</f>
        <v>1</v>
      </c>
      <c r="J1992" s="3">
        <f>IFERROR(VLOOKUP(D1992,'Справочник соответствий'!A$2:D$2981,2,FALSE),IF(VALUE(D1992)=0,0,VLOOKUP(D1992,'Справочник соответствий'!A$2:D$2981,2,FALSE)))</f>
        <v>0</v>
      </c>
      <c r="K1992" s="3" t="str">
        <f t="shared" si="217"/>
        <v>1</v>
      </c>
      <c r="L1992" s="13" t="str">
        <f>IFERROR(VLOOKUP(C1992,'Справочник соответствий'!A$2:D$2981,3,FALSE),IF(VALUE(C1992)=0,"ЭТАЖ НЕ ОПРЕДЕЛЕН. ПРИНЯТ ПО ДОПУЩЕНИЮ 1",VLOOKUP(C1992,'Справочник соответствий'!A$2:D$2981,3,FALSE)))</f>
        <v>ЭТАЖ ЗАДАН ЧИСЛОМ</v>
      </c>
      <c r="M1992" s="13" t="b">
        <f t="shared" si="218"/>
        <v>0</v>
      </c>
      <c r="N1992" s="13">
        <f t="shared" si="219"/>
        <v>1</v>
      </c>
      <c r="O1992" s="13" t="str">
        <f t="shared" si="220"/>
        <v>ЭТАЖ ЗАДАН ЧИСЛОМ</v>
      </c>
      <c r="P1992" s="13" t="str">
        <f t="shared" si="221"/>
        <v>ЭТАЖ ЗАДАН ЧИСЛОМ</v>
      </c>
      <c r="Q1992" s="13" t="str">
        <f t="shared" si="222"/>
        <v>ГОТОВ_ИЗМЕНЕН</v>
      </c>
      <c r="R1992" s="13">
        <f>IFERROR(VLOOKUP(P1992,Лист1!A$1:B$20,2,FALSE),0)</f>
        <v>784</v>
      </c>
      <c r="S1992" s="13">
        <f t="shared" si="223"/>
        <v>0</v>
      </c>
    </row>
    <row r="1993" spans="1:19" x14ac:dyDescent="0.25">
      <c r="A1993" s="24" t="s">
        <v>3120</v>
      </c>
      <c r="B1993" s="4" t="s">
        <v>1063</v>
      </c>
      <c r="C1993" s="25" t="s">
        <v>5</v>
      </c>
      <c r="G1993" s="25" t="s">
        <v>1086</v>
      </c>
      <c r="H1993" s="24" t="s">
        <v>1061</v>
      </c>
      <c r="I1993" s="3" t="str">
        <f>IFERROR(VLOOKUP(C1993,'Справочник соответствий'!A$2:D$2981,2,FALSE),IF(VALUE(C1993)=0,1,VLOOKUP(C1993,'Справочник соответствий'!A$2:D$2981,2,FALSE)))</f>
        <v>1</v>
      </c>
      <c r="J1993" s="3">
        <f>IFERROR(VLOOKUP(D1993,'Справочник соответствий'!A$2:D$2981,2,FALSE),IF(VALUE(D1993)=0,0,VLOOKUP(D1993,'Справочник соответствий'!A$2:D$2981,2,FALSE)))</f>
        <v>0</v>
      </c>
      <c r="K1993" s="3" t="str">
        <f t="shared" si="217"/>
        <v>1</v>
      </c>
      <c r="L1993" s="13" t="str">
        <f>IFERROR(VLOOKUP(C1993,'Справочник соответствий'!A$2:D$2981,3,FALSE),IF(VALUE(C1993)=0,"ЭТАЖ НЕ ОПРЕДЕЛЕН. ПРИНЯТ ПО ДОПУЩЕНИЮ 1",VLOOKUP(C1993,'Справочник соответствий'!A$2:D$2981,3,FALSE)))</f>
        <v>ЭТАЖ ЗАДАН ЧИСЛОМ</v>
      </c>
      <c r="M1993" s="13" t="b">
        <f t="shared" si="218"/>
        <v>0</v>
      </c>
      <c r="N1993" s="13">
        <f t="shared" si="219"/>
        <v>1</v>
      </c>
      <c r="O1993" s="13" t="str">
        <f t="shared" si="220"/>
        <v>ЭТАЖ ЗАДАН ЧИСЛОМ</v>
      </c>
      <c r="P1993" s="13" t="str">
        <f t="shared" si="221"/>
        <v>ЭТАЖ ЗАДАН ЧИСЛОМ</v>
      </c>
      <c r="Q1993" s="13" t="str">
        <f t="shared" si="222"/>
        <v>ГОТОВ_ИЗМЕНЕН</v>
      </c>
      <c r="R1993" s="13">
        <f>IFERROR(VLOOKUP(P1993,Лист1!A$1:B$20,2,FALSE),0)</f>
        <v>784</v>
      </c>
      <c r="S1993" s="13">
        <f t="shared" si="223"/>
        <v>0</v>
      </c>
    </row>
    <row r="1994" spans="1:19" x14ac:dyDescent="0.25">
      <c r="A1994" s="24" t="s">
        <v>3121</v>
      </c>
      <c r="B1994" s="4" t="s">
        <v>1059</v>
      </c>
      <c r="C1994" s="25" t="s">
        <v>5</v>
      </c>
      <c r="G1994" s="25" t="s">
        <v>1086</v>
      </c>
      <c r="H1994" s="24" t="s">
        <v>1061</v>
      </c>
      <c r="I1994" s="3" t="str">
        <f>IFERROR(VLOOKUP(C1994,'Справочник соответствий'!A$2:D$2981,2,FALSE),IF(VALUE(C1994)=0,1,VLOOKUP(C1994,'Справочник соответствий'!A$2:D$2981,2,FALSE)))</f>
        <v>1</v>
      </c>
      <c r="J1994" s="3">
        <f>IFERROR(VLOOKUP(D1994,'Справочник соответствий'!A$2:D$2981,2,FALSE),IF(VALUE(D1994)=0,0,VLOOKUP(D1994,'Справочник соответствий'!A$2:D$2981,2,FALSE)))</f>
        <v>0</v>
      </c>
      <c r="K1994" s="3" t="str">
        <f t="shared" si="217"/>
        <v>1</v>
      </c>
      <c r="L1994" s="13" t="str">
        <f>IFERROR(VLOOKUP(C1994,'Справочник соответствий'!A$2:D$2981,3,FALSE),IF(VALUE(C1994)=0,"ЭТАЖ НЕ ОПРЕДЕЛЕН. ПРИНЯТ ПО ДОПУЩЕНИЮ 1",VLOOKUP(C1994,'Справочник соответствий'!A$2:D$2981,3,FALSE)))</f>
        <v>ЭТАЖ ЗАДАН ЧИСЛОМ</v>
      </c>
      <c r="M1994" s="13" t="b">
        <f t="shared" si="218"/>
        <v>0</v>
      </c>
      <c r="N1994" s="13">
        <f t="shared" si="219"/>
        <v>1</v>
      </c>
      <c r="O1994" s="13" t="str">
        <f t="shared" si="220"/>
        <v>ЭТАЖ ЗАДАН ЧИСЛОМ</v>
      </c>
      <c r="P1994" s="13" t="str">
        <f t="shared" si="221"/>
        <v>ЭТАЖ ЗАДАН ЧИСЛОМ</v>
      </c>
      <c r="Q1994" s="13" t="str">
        <f t="shared" si="222"/>
        <v>ГОТОВ_ИЗМЕНЕН</v>
      </c>
      <c r="R1994" s="13">
        <f>IFERROR(VLOOKUP(P1994,Лист1!A$1:B$20,2,FALSE),0)</f>
        <v>784</v>
      </c>
      <c r="S1994" s="13">
        <f t="shared" si="223"/>
        <v>0</v>
      </c>
    </row>
    <row r="1995" spans="1:19" x14ac:dyDescent="0.25">
      <c r="A1995" s="24" t="s">
        <v>3122</v>
      </c>
      <c r="B1995" s="4" t="s">
        <v>1063</v>
      </c>
      <c r="G1995" s="25" t="s">
        <v>1086</v>
      </c>
      <c r="H1995" s="24" t="s">
        <v>1061</v>
      </c>
      <c r="I1995" s="3">
        <f>IFERROR(VLOOKUP(C1995,'Справочник соответствий'!A$2:D$2981,2,FALSE),IF(VALUE(C1995)=0,1,VLOOKUP(C1995,'Справочник соответствий'!A$2:D$2981,2,FALSE)))</f>
        <v>1</v>
      </c>
      <c r="J1995" s="3">
        <f>IFERROR(VLOOKUP(D1995,'Справочник соответствий'!A$2:D$2981,2,FALSE),IF(VALUE(D1995)=0,0,VLOOKUP(D1995,'Справочник соответствий'!A$2:D$2981,2,FALSE)))</f>
        <v>0</v>
      </c>
      <c r="K1995" s="3">
        <f t="shared" si="217"/>
        <v>1</v>
      </c>
      <c r="L1995" s="13" t="str">
        <f>IFERROR(VLOOKUP(C1995,'Справочник соответствий'!A$2:D$2981,3,FALSE),IF(VALUE(C1995)=0,"ЭТАЖ НЕ ОПРЕДЕЛЕН. ПРИНЯТ ПО ДОПУЩЕНИЮ 1",VLOOKUP(C1995,'Справочник соответствий'!A$2:D$2981,3,FALSE)))</f>
        <v>ЭТАЖ НЕ ОПРЕДЕЛЕН. ПРИНЯТ ПО ДОПУЩЕНИЮ 1</v>
      </c>
      <c r="M1995" s="13" t="b">
        <f t="shared" si="218"/>
        <v>0</v>
      </c>
      <c r="N1995" s="13">
        <f t="shared" si="219"/>
        <v>1</v>
      </c>
      <c r="O1995" s="13" t="str">
        <f t="shared" si="220"/>
        <v>ЭТАЖ НЕ ОПРЕДЕЛЕН. ПРИНЯТ ПО ДОПУЩЕНИЮ 1</v>
      </c>
      <c r="P1995" s="13" t="str">
        <f t="shared" si="221"/>
        <v>ЭТАЖ НЕ ОПРЕДЕЛЕН. ПРИНЯТ ПО ДОПУЩЕНИЮ 1</v>
      </c>
      <c r="Q1995" s="13" t="str">
        <f t="shared" si="222"/>
        <v>ГОТОВ_ИЗМЕНЕН</v>
      </c>
      <c r="R1995" s="13">
        <f>IFERROR(VLOOKUP(P1995,Лист1!A$1:B$20,2,FALSE),0)</f>
        <v>788</v>
      </c>
      <c r="S1995" s="13">
        <f t="shared" si="223"/>
        <v>0</v>
      </c>
    </row>
    <row r="1996" spans="1:19" x14ac:dyDescent="0.25">
      <c r="A1996" s="24" t="s">
        <v>3123</v>
      </c>
      <c r="B1996" s="4" t="s">
        <v>1063</v>
      </c>
      <c r="G1996" s="25" t="s">
        <v>1086</v>
      </c>
      <c r="H1996" s="24" t="s">
        <v>1061</v>
      </c>
      <c r="I1996" s="3">
        <f>IFERROR(VLOOKUP(C1996,'Справочник соответствий'!A$2:D$2981,2,FALSE),IF(VALUE(C1996)=0,1,VLOOKUP(C1996,'Справочник соответствий'!A$2:D$2981,2,FALSE)))</f>
        <v>1</v>
      </c>
      <c r="J1996" s="3">
        <f>IFERROR(VLOOKUP(D1996,'Справочник соответствий'!A$2:D$2981,2,FALSE),IF(VALUE(D1996)=0,0,VLOOKUP(D1996,'Справочник соответствий'!A$2:D$2981,2,FALSE)))</f>
        <v>0</v>
      </c>
      <c r="K1996" s="3">
        <f t="shared" si="217"/>
        <v>1</v>
      </c>
      <c r="L1996" s="13" t="str">
        <f>IFERROR(VLOOKUP(C1996,'Справочник соответствий'!A$2:D$2981,3,FALSE),IF(VALUE(C1996)=0,"ЭТАЖ НЕ ОПРЕДЕЛЕН. ПРИНЯТ ПО ДОПУЩЕНИЮ 1",VLOOKUP(C1996,'Справочник соответствий'!A$2:D$2981,3,FALSE)))</f>
        <v>ЭТАЖ НЕ ОПРЕДЕЛЕН. ПРИНЯТ ПО ДОПУЩЕНИЮ 1</v>
      </c>
      <c r="M1996" s="13" t="b">
        <f t="shared" si="218"/>
        <v>0</v>
      </c>
      <c r="N1996" s="13">
        <f t="shared" si="219"/>
        <v>1</v>
      </c>
      <c r="O1996" s="13" t="str">
        <f t="shared" si="220"/>
        <v>ЭТАЖ НЕ ОПРЕДЕЛЕН. ПРИНЯТ ПО ДОПУЩЕНИЮ 1</v>
      </c>
      <c r="P1996" s="13" t="str">
        <f t="shared" si="221"/>
        <v>ЭТАЖ НЕ ОПРЕДЕЛЕН. ПРИНЯТ ПО ДОПУЩЕНИЮ 1</v>
      </c>
      <c r="Q1996" s="13" t="str">
        <f t="shared" si="222"/>
        <v>ГОТОВ_ИЗМЕНЕН</v>
      </c>
      <c r="R1996" s="13">
        <f>IFERROR(VLOOKUP(P1996,Лист1!A$1:B$20,2,FALSE),0)</f>
        <v>788</v>
      </c>
      <c r="S1996" s="13">
        <f t="shared" si="223"/>
        <v>0</v>
      </c>
    </row>
    <row r="1997" spans="1:19" x14ac:dyDescent="0.25">
      <c r="A1997" s="24" t="s">
        <v>3124</v>
      </c>
      <c r="B1997" s="4" t="s">
        <v>1059</v>
      </c>
      <c r="C1997" s="25" t="s">
        <v>5</v>
      </c>
      <c r="G1997" s="25" t="s">
        <v>1086</v>
      </c>
      <c r="H1997" s="24" t="s">
        <v>1061</v>
      </c>
      <c r="I1997" s="3" t="str">
        <f>IFERROR(VLOOKUP(C1997,'Справочник соответствий'!A$2:D$2981,2,FALSE),IF(VALUE(C1997)=0,1,VLOOKUP(C1997,'Справочник соответствий'!A$2:D$2981,2,FALSE)))</f>
        <v>1</v>
      </c>
      <c r="J1997" s="3">
        <f>IFERROR(VLOOKUP(D1997,'Справочник соответствий'!A$2:D$2981,2,FALSE),IF(VALUE(D1997)=0,0,VLOOKUP(D1997,'Справочник соответствий'!A$2:D$2981,2,FALSE)))</f>
        <v>0</v>
      </c>
      <c r="K1997" s="3" t="str">
        <f t="shared" si="217"/>
        <v>1</v>
      </c>
      <c r="L1997" s="13" t="str">
        <f>IFERROR(VLOOKUP(C1997,'Справочник соответствий'!A$2:D$2981,3,FALSE),IF(VALUE(C1997)=0,"ЭТАЖ НЕ ОПРЕДЕЛЕН. ПРИНЯТ ПО ДОПУЩЕНИЮ 1",VLOOKUP(C1997,'Справочник соответствий'!A$2:D$2981,3,FALSE)))</f>
        <v>ЭТАЖ ЗАДАН ЧИСЛОМ</v>
      </c>
      <c r="M1997" s="13" t="b">
        <f t="shared" si="218"/>
        <v>0</v>
      </c>
      <c r="N1997" s="13">
        <f t="shared" si="219"/>
        <v>1</v>
      </c>
      <c r="O1997" s="13" t="str">
        <f t="shared" si="220"/>
        <v>ЭТАЖ ЗАДАН ЧИСЛОМ</v>
      </c>
      <c r="P1997" s="13" t="str">
        <f t="shared" si="221"/>
        <v>ЭТАЖ ЗАДАН ЧИСЛОМ</v>
      </c>
      <c r="Q1997" s="13" t="str">
        <f t="shared" si="222"/>
        <v>ГОТОВ_ИЗМЕНЕН</v>
      </c>
      <c r="R1997" s="13">
        <f>IFERROR(VLOOKUP(P1997,Лист1!A$1:B$20,2,FALSE),0)</f>
        <v>784</v>
      </c>
      <c r="S1997" s="13">
        <f t="shared" si="223"/>
        <v>0</v>
      </c>
    </row>
    <row r="1998" spans="1:19" x14ac:dyDescent="0.25">
      <c r="A1998" s="24" t="s">
        <v>3125</v>
      </c>
      <c r="B1998" s="4" t="s">
        <v>1059</v>
      </c>
      <c r="C1998" s="25" t="s">
        <v>8</v>
      </c>
      <c r="G1998" s="25" t="s">
        <v>1080</v>
      </c>
      <c r="H1998" s="24" t="s">
        <v>1061</v>
      </c>
      <c r="I1998" s="3" t="str">
        <f>IFERROR(VLOOKUP(C1998,'Справочник соответствий'!A$2:D$2981,2,FALSE),IF(VALUE(C1998)=0,1,VLOOKUP(C1998,'Справочник соответствий'!A$2:D$2981,2,FALSE)))</f>
        <v>3</v>
      </c>
      <c r="J1998" s="3">
        <f>IFERROR(VLOOKUP(D1998,'Справочник соответствий'!A$2:D$2981,2,FALSE),IF(VALUE(D1998)=0,0,VLOOKUP(D1998,'Справочник соответствий'!A$2:D$2981,2,FALSE)))</f>
        <v>0</v>
      </c>
      <c r="K1998" s="3" t="str">
        <f t="shared" si="217"/>
        <v>3</v>
      </c>
      <c r="L1998" s="13" t="str">
        <f>IFERROR(VLOOKUP(C1998,'Справочник соответствий'!A$2:D$2981,3,FALSE),IF(VALUE(C1998)=0,"ЭТАЖ НЕ ОПРЕДЕЛЕН. ПРИНЯТ ПО ДОПУЩЕНИЮ 1",VLOOKUP(C1998,'Справочник соответствий'!A$2:D$2981,3,FALSE)))</f>
        <v>ЭТАЖ ЗАДАН ЧИСЛОМ</v>
      </c>
      <c r="M1998" s="13" t="b">
        <f t="shared" si="218"/>
        <v>0</v>
      </c>
      <c r="N1998" s="13">
        <f t="shared" si="219"/>
        <v>3</v>
      </c>
      <c r="O1998" s="13" t="str">
        <f t="shared" si="220"/>
        <v>ЭТАЖ ЗАДАН ЧИСЛОМ</v>
      </c>
      <c r="P1998" s="13" t="str">
        <f t="shared" si="221"/>
        <v>ЭТАЖ ЗАДАН ЧИСЛОМ</v>
      </c>
      <c r="Q1998" s="13" t="str">
        <f t="shared" si="222"/>
        <v>ГОТОВ_ИЗМЕНЕН</v>
      </c>
      <c r="R1998" s="13">
        <f>IFERROR(VLOOKUP(P1998,Лист1!A$1:B$20,2,FALSE),0)</f>
        <v>784</v>
      </c>
      <c r="S1998" s="13">
        <f t="shared" si="223"/>
        <v>0</v>
      </c>
    </row>
    <row r="1999" spans="1:19" x14ac:dyDescent="0.25">
      <c r="A1999" s="24" t="s">
        <v>3126</v>
      </c>
      <c r="B1999" s="4" t="s">
        <v>1059</v>
      </c>
      <c r="C1999" s="25" t="s">
        <v>7</v>
      </c>
      <c r="G1999" s="25" t="s">
        <v>1080</v>
      </c>
      <c r="H1999" s="24" t="s">
        <v>1061</v>
      </c>
      <c r="I1999" s="3" t="str">
        <f>IFERROR(VLOOKUP(C1999,'Справочник соответствий'!A$2:D$2981,2,FALSE),IF(VALUE(C1999)=0,1,VLOOKUP(C1999,'Справочник соответствий'!A$2:D$2981,2,FALSE)))</f>
        <v>2</v>
      </c>
      <c r="J1999" s="3">
        <f>IFERROR(VLOOKUP(D1999,'Справочник соответствий'!A$2:D$2981,2,FALSE),IF(VALUE(D1999)=0,0,VLOOKUP(D1999,'Справочник соответствий'!A$2:D$2981,2,FALSE)))</f>
        <v>0</v>
      </c>
      <c r="K1999" s="3" t="str">
        <f t="shared" si="217"/>
        <v>2</v>
      </c>
      <c r="L1999" s="13" t="str">
        <f>IFERROR(VLOOKUP(C1999,'Справочник соответствий'!A$2:D$2981,3,FALSE),IF(VALUE(C1999)=0,"ЭТАЖ НЕ ОПРЕДЕЛЕН. ПРИНЯТ ПО ДОПУЩЕНИЮ 1",VLOOKUP(C1999,'Справочник соответствий'!A$2:D$2981,3,FALSE)))</f>
        <v>ЭТАЖ ЗАДАН ЧИСЛОМ</v>
      </c>
      <c r="M1999" s="13" t="b">
        <f t="shared" si="218"/>
        <v>0</v>
      </c>
      <c r="N1999" s="13">
        <f t="shared" si="219"/>
        <v>2</v>
      </c>
      <c r="O1999" s="13" t="str">
        <f t="shared" si="220"/>
        <v>ЭТАЖ ЗАДАН ЧИСЛОМ</v>
      </c>
      <c r="P1999" s="13" t="str">
        <f t="shared" si="221"/>
        <v>ЭТАЖ ЗАДАН ЧИСЛОМ</v>
      </c>
      <c r="Q1999" s="13" t="str">
        <f t="shared" si="222"/>
        <v>ГОТОВ_ИЗМЕНЕН</v>
      </c>
      <c r="R1999" s="13">
        <f>IFERROR(VLOOKUP(P1999,Лист1!A$1:B$20,2,FALSE),0)</f>
        <v>784</v>
      </c>
      <c r="S1999" s="13">
        <f t="shared" si="223"/>
        <v>0</v>
      </c>
    </row>
    <row r="2000" spans="1:19" x14ac:dyDescent="0.25">
      <c r="A2000" s="24" t="s">
        <v>3127</v>
      </c>
      <c r="B2000" s="4" t="s">
        <v>1059</v>
      </c>
      <c r="C2000" s="25" t="s">
        <v>7</v>
      </c>
      <c r="G2000" s="25" t="s">
        <v>1222</v>
      </c>
      <c r="H2000" s="24" t="s">
        <v>1061</v>
      </c>
      <c r="I2000" s="3" t="str">
        <f>IFERROR(VLOOKUP(C2000,'Справочник соответствий'!A$2:D$2981,2,FALSE),IF(VALUE(C2000)=0,1,VLOOKUP(C2000,'Справочник соответствий'!A$2:D$2981,2,FALSE)))</f>
        <v>2</v>
      </c>
      <c r="J2000" s="3">
        <f>IFERROR(VLOOKUP(D2000,'Справочник соответствий'!A$2:D$2981,2,FALSE),IF(VALUE(D2000)=0,0,VLOOKUP(D2000,'Справочник соответствий'!A$2:D$2981,2,FALSE)))</f>
        <v>0</v>
      </c>
      <c r="K2000" s="3" t="str">
        <f t="shared" si="217"/>
        <v>2</v>
      </c>
      <c r="L2000" s="13" t="str">
        <f>IFERROR(VLOOKUP(C2000,'Справочник соответствий'!A$2:D$2981,3,FALSE),IF(VALUE(C2000)=0,"ЭТАЖ НЕ ОПРЕДЕЛЕН. ПРИНЯТ ПО ДОПУЩЕНИЮ 1",VLOOKUP(C2000,'Справочник соответствий'!A$2:D$2981,3,FALSE)))</f>
        <v>ЭТАЖ ЗАДАН ЧИСЛОМ</v>
      </c>
      <c r="M2000" s="13" t="b">
        <f t="shared" si="218"/>
        <v>0</v>
      </c>
      <c r="N2000" s="13">
        <f t="shared" si="219"/>
        <v>2</v>
      </c>
      <c r="O2000" s="13" t="str">
        <f t="shared" si="220"/>
        <v>ЭТАЖ ЗАДАН ЧИСЛОМ</v>
      </c>
      <c r="P2000" s="13" t="str">
        <f t="shared" si="221"/>
        <v>ЭТАЖ ЗАДАН ЧИСЛОМ</v>
      </c>
      <c r="Q2000" s="13" t="str">
        <f t="shared" si="222"/>
        <v>ГОТОВ_ИЗМЕНЕН</v>
      </c>
      <c r="R2000" s="13">
        <f>IFERROR(VLOOKUP(P2000,Лист1!A$1:B$20,2,FALSE),0)</f>
        <v>784</v>
      </c>
      <c r="S2000" s="13">
        <f t="shared" si="223"/>
        <v>0</v>
      </c>
    </row>
    <row r="2001" spans="1:19" x14ac:dyDescent="0.25">
      <c r="A2001" s="24" t="s">
        <v>3128</v>
      </c>
      <c r="B2001" s="4" t="s">
        <v>1063</v>
      </c>
      <c r="C2001" s="25" t="s">
        <v>5</v>
      </c>
      <c r="G2001" s="25" t="s">
        <v>1080</v>
      </c>
      <c r="H2001" s="24" t="s">
        <v>1061</v>
      </c>
      <c r="I2001" s="3" t="str">
        <f>IFERROR(VLOOKUP(C2001,'Справочник соответствий'!A$2:D$2981,2,FALSE),IF(VALUE(C2001)=0,1,VLOOKUP(C2001,'Справочник соответствий'!A$2:D$2981,2,FALSE)))</f>
        <v>1</v>
      </c>
      <c r="J2001" s="3">
        <f>IFERROR(VLOOKUP(D2001,'Справочник соответствий'!A$2:D$2981,2,FALSE),IF(VALUE(D2001)=0,0,VLOOKUP(D2001,'Справочник соответствий'!A$2:D$2981,2,FALSE)))</f>
        <v>0</v>
      </c>
      <c r="K2001" s="3" t="str">
        <f t="shared" si="217"/>
        <v>1</v>
      </c>
      <c r="L2001" s="13" t="str">
        <f>IFERROR(VLOOKUP(C2001,'Справочник соответствий'!A$2:D$2981,3,FALSE),IF(VALUE(C2001)=0,"ЭТАЖ НЕ ОПРЕДЕЛЕН. ПРИНЯТ ПО ДОПУЩЕНИЮ 1",VLOOKUP(C2001,'Справочник соответствий'!A$2:D$2981,3,FALSE)))</f>
        <v>ЭТАЖ ЗАДАН ЧИСЛОМ</v>
      </c>
      <c r="M2001" s="13" t="b">
        <f t="shared" si="218"/>
        <v>0</v>
      </c>
      <c r="N2001" s="13">
        <f t="shared" si="219"/>
        <v>1</v>
      </c>
      <c r="O2001" s="13" t="str">
        <f t="shared" si="220"/>
        <v>ЭТАЖ ЗАДАН ЧИСЛОМ</v>
      </c>
      <c r="P2001" s="13" t="str">
        <f t="shared" si="221"/>
        <v>ЭТАЖ ЗАДАН ЧИСЛОМ</v>
      </c>
      <c r="Q2001" s="13" t="str">
        <f t="shared" si="222"/>
        <v>ГОТОВ_ИЗМЕНЕН</v>
      </c>
      <c r="R2001" s="13">
        <f>IFERROR(VLOOKUP(P2001,Лист1!A$1:B$20,2,FALSE),0)</f>
        <v>784</v>
      </c>
      <c r="S2001" s="13">
        <f t="shared" si="223"/>
        <v>0</v>
      </c>
    </row>
    <row r="2002" spans="1:19" x14ac:dyDescent="0.25">
      <c r="A2002" s="24" t="s">
        <v>3129</v>
      </c>
      <c r="B2002" s="4" t="s">
        <v>1063</v>
      </c>
      <c r="C2002" s="25" t="s">
        <v>5</v>
      </c>
      <c r="G2002" s="25" t="s">
        <v>1222</v>
      </c>
      <c r="H2002" s="24" t="s">
        <v>1061</v>
      </c>
      <c r="I2002" s="3" t="str">
        <f>IFERROR(VLOOKUP(C2002,'Справочник соответствий'!A$2:D$2981,2,FALSE),IF(VALUE(C2002)=0,1,VLOOKUP(C2002,'Справочник соответствий'!A$2:D$2981,2,FALSE)))</f>
        <v>1</v>
      </c>
      <c r="J2002" s="3">
        <f>IFERROR(VLOOKUP(D2002,'Справочник соответствий'!A$2:D$2981,2,FALSE),IF(VALUE(D2002)=0,0,VLOOKUP(D2002,'Справочник соответствий'!A$2:D$2981,2,FALSE)))</f>
        <v>0</v>
      </c>
      <c r="K2002" s="3" t="str">
        <f t="shared" si="217"/>
        <v>1</v>
      </c>
      <c r="L2002" s="13" t="str">
        <f>IFERROR(VLOOKUP(C2002,'Справочник соответствий'!A$2:D$2981,3,FALSE),IF(VALUE(C2002)=0,"ЭТАЖ НЕ ОПРЕДЕЛЕН. ПРИНЯТ ПО ДОПУЩЕНИЮ 1",VLOOKUP(C2002,'Справочник соответствий'!A$2:D$2981,3,FALSE)))</f>
        <v>ЭТАЖ ЗАДАН ЧИСЛОМ</v>
      </c>
      <c r="M2002" s="13" t="b">
        <f t="shared" si="218"/>
        <v>0</v>
      </c>
      <c r="N2002" s="13">
        <f t="shared" si="219"/>
        <v>1</v>
      </c>
      <c r="O2002" s="13" t="str">
        <f t="shared" si="220"/>
        <v>ЭТАЖ ЗАДАН ЧИСЛОМ</v>
      </c>
      <c r="P2002" s="13" t="str">
        <f t="shared" si="221"/>
        <v>ЭТАЖ ЗАДАН ЧИСЛОМ</v>
      </c>
      <c r="Q2002" s="13" t="str">
        <f t="shared" si="222"/>
        <v>ГОТОВ_ИЗМЕНЕН</v>
      </c>
      <c r="R2002" s="13">
        <f>IFERROR(VLOOKUP(P2002,Лист1!A$1:B$20,2,FALSE),0)</f>
        <v>784</v>
      </c>
      <c r="S2002" s="13">
        <f t="shared" si="223"/>
        <v>0</v>
      </c>
    </row>
    <row r="2003" spans="1:19" x14ac:dyDescent="0.25">
      <c r="A2003" s="24" t="s">
        <v>3130</v>
      </c>
      <c r="B2003" s="4" t="s">
        <v>1059</v>
      </c>
      <c r="C2003" s="25" t="s">
        <v>12</v>
      </c>
      <c r="D2003" s="25" t="s">
        <v>5</v>
      </c>
      <c r="G2003" s="25" t="s">
        <v>1080</v>
      </c>
      <c r="H2003" s="24" t="s">
        <v>1061</v>
      </c>
      <c r="I2003" s="3" t="str">
        <f>IFERROR(VLOOKUP(C2003,'Справочник соответствий'!A$2:D$2981,2,FALSE),IF(VALUE(C2003)=0,1,VLOOKUP(C2003,'Справочник соответствий'!A$2:D$2981,2,FALSE)))</f>
        <v>4</v>
      </c>
      <c r="J2003" s="3" t="str">
        <f>IFERROR(VLOOKUP(D2003,'Справочник соответствий'!A$2:D$2981,2,FALSE),IF(VALUE(D2003)=0,0,VLOOKUP(D2003,'Справочник соответствий'!A$2:D$2981,2,FALSE)))</f>
        <v>1</v>
      </c>
      <c r="K2003" s="3" t="str">
        <f t="shared" si="217"/>
        <v>4</v>
      </c>
      <c r="L2003" s="13" t="str">
        <f>IFERROR(VLOOKUP(C2003,'Справочник соответствий'!A$2:D$2981,3,FALSE),IF(VALUE(C2003)=0,"ЭТАЖ НЕ ОПРЕДЕЛЕН. ПРИНЯТ ПО ДОПУЩЕНИЮ 1",VLOOKUP(C2003,'Справочник соответствий'!A$2:D$2981,3,FALSE)))</f>
        <v>ЭТАЖ ЗАДАН ЧИСЛОМ</v>
      </c>
      <c r="M2003" s="13" t="b">
        <f t="shared" si="218"/>
        <v>0</v>
      </c>
      <c r="N2003" s="13">
        <f t="shared" si="219"/>
        <v>4</v>
      </c>
      <c r="O2003" s="13" t="str">
        <f t="shared" si="220"/>
        <v>ЭТАЖ ЗАДАН ЧИСЛОМ</v>
      </c>
      <c r="P2003" s="13" t="str">
        <f t="shared" si="221"/>
        <v>ЭТАЖ ЗАДАН ЧИСЛОМ</v>
      </c>
      <c r="Q2003" s="13" t="str">
        <f t="shared" si="222"/>
        <v>ГОТОВ_ИЗМЕНЕН</v>
      </c>
      <c r="R2003" s="13">
        <f>IFERROR(VLOOKUP(P2003,Лист1!A$1:B$20,2,FALSE),0)</f>
        <v>784</v>
      </c>
      <c r="S2003" s="13">
        <f t="shared" si="223"/>
        <v>0</v>
      </c>
    </row>
    <row r="2004" spans="1:19" x14ac:dyDescent="0.25">
      <c r="A2004" s="24" t="s">
        <v>3131</v>
      </c>
      <c r="B2004" s="4" t="s">
        <v>1059</v>
      </c>
      <c r="C2004" s="25" t="s">
        <v>7</v>
      </c>
      <c r="G2004" s="25" t="s">
        <v>1080</v>
      </c>
      <c r="H2004" s="24" t="s">
        <v>1061</v>
      </c>
      <c r="I2004" s="3" t="str">
        <f>IFERROR(VLOOKUP(C2004,'Справочник соответствий'!A$2:D$2981,2,FALSE),IF(VALUE(C2004)=0,1,VLOOKUP(C2004,'Справочник соответствий'!A$2:D$2981,2,FALSE)))</f>
        <v>2</v>
      </c>
      <c r="J2004" s="3">
        <f>IFERROR(VLOOKUP(D2004,'Справочник соответствий'!A$2:D$2981,2,FALSE),IF(VALUE(D2004)=0,0,VLOOKUP(D2004,'Справочник соответствий'!A$2:D$2981,2,FALSE)))</f>
        <v>0</v>
      </c>
      <c r="K2004" s="3" t="str">
        <f t="shared" si="217"/>
        <v>2</v>
      </c>
      <c r="L2004" s="13" t="str">
        <f>IFERROR(VLOOKUP(C2004,'Справочник соответствий'!A$2:D$2981,3,FALSE),IF(VALUE(C2004)=0,"ЭТАЖ НЕ ОПРЕДЕЛЕН. ПРИНЯТ ПО ДОПУЩЕНИЮ 1",VLOOKUP(C2004,'Справочник соответствий'!A$2:D$2981,3,FALSE)))</f>
        <v>ЭТАЖ ЗАДАН ЧИСЛОМ</v>
      </c>
      <c r="M2004" s="13" t="b">
        <f t="shared" si="218"/>
        <v>0</v>
      </c>
      <c r="N2004" s="13">
        <f t="shared" si="219"/>
        <v>2</v>
      </c>
      <c r="O2004" s="13" t="str">
        <f t="shared" si="220"/>
        <v>ЭТАЖ ЗАДАН ЧИСЛОМ</v>
      </c>
      <c r="P2004" s="13" t="str">
        <f t="shared" si="221"/>
        <v>ЭТАЖ ЗАДАН ЧИСЛОМ</v>
      </c>
      <c r="Q2004" s="13" t="str">
        <f t="shared" si="222"/>
        <v>ГОТОВ_ИЗМЕНЕН</v>
      </c>
      <c r="R2004" s="13">
        <f>IFERROR(VLOOKUP(P2004,Лист1!A$1:B$20,2,FALSE),0)</f>
        <v>784</v>
      </c>
      <c r="S2004" s="13">
        <f t="shared" si="223"/>
        <v>0</v>
      </c>
    </row>
    <row r="2005" spans="1:19" x14ac:dyDescent="0.25">
      <c r="A2005" s="24" t="s">
        <v>3132</v>
      </c>
      <c r="B2005" s="4" t="s">
        <v>1059</v>
      </c>
      <c r="C2005" s="25" t="s">
        <v>5</v>
      </c>
      <c r="G2005" s="25" t="s">
        <v>1080</v>
      </c>
      <c r="H2005" s="24" t="s">
        <v>1061</v>
      </c>
      <c r="I2005" s="3" t="str">
        <f>IFERROR(VLOOKUP(C2005,'Справочник соответствий'!A$2:D$2981,2,FALSE),IF(VALUE(C2005)=0,1,VLOOKUP(C2005,'Справочник соответствий'!A$2:D$2981,2,FALSE)))</f>
        <v>1</v>
      </c>
      <c r="J2005" s="3">
        <f>IFERROR(VLOOKUP(D2005,'Справочник соответствий'!A$2:D$2981,2,FALSE),IF(VALUE(D2005)=0,0,VLOOKUP(D2005,'Справочник соответствий'!A$2:D$2981,2,FALSE)))</f>
        <v>0</v>
      </c>
      <c r="K2005" s="3" t="str">
        <f t="shared" si="217"/>
        <v>1</v>
      </c>
      <c r="L2005" s="13" t="str">
        <f>IFERROR(VLOOKUP(C2005,'Справочник соответствий'!A$2:D$2981,3,FALSE),IF(VALUE(C2005)=0,"ЭТАЖ НЕ ОПРЕДЕЛЕН. ПРИНЯТ ПО ДОПУЩЕНИЮ 1",VLOOKUP(C2005,'Справочник соответствий'!A$2:D$2981,3,FALSE)))</f>
        <v>ЭТАЖ ЗАДАН ЧИСЛОМ</v>
      </c>
      <c r="M2005" s="13" t="b">
        <f t="shared" si="218"/>
        <v>0</v>
      </c>
      <c r="N2005" s="13">
        <f t="shared" si="219"/>
        <v>1</v>
      </c>
      <c r="O2005" s="13" t="str">
        <f t="shared" si="220"/>
        <v>ЭТАЖ ЗАДАН ЧИСЛОМ</v>
      </c>
      <c r="P2005" s="13" t="str">
        <f t="shared" si="221"/>
        <v>ЭТАЖ ЗАДАН ЧИСЛОМ</v>
      </c>
      <c r="Q2005" s="13" t="str">
        <f t="shared" si="222"/>
        <v>ГОТОВ_ИЗМЕНЕН</v>
      </c>
      <c r="R2005" s="13">
        <f>IFERROR(VLOOKUP(P2005,Лист1!A$1:B$20,2,FALSE),0)</f>
        <v>784</v>
      </c>
      <c r="S2005" s="13">
        <f t="shared" si="223"/>
        <v>0</v>
      </c>
    </row>
    <row r="2006" spans="1:19" x14ac:dyDescent="0.25">
      <c r="A2006" s="24" t="s">
        <v>3133</v>
      </c>
      <c r="B2006" s="4" t="s">
        <v>1063</v>
      </c>
      <c r="C2006" s="25" t="s">
        <v>5</v>
      </c>
      <c r="G2006" s="25" t="s">
        <v>1083</v>
      </c>
      <c r="H2006" s="24" t="s">
        <v>1061</v>
      </c>
      <c r="I2006" s="3" t="str">
        <f>IFERROR(VLOOKUP(C2006,'Справочник соответствий'!A$2:D$2981,2,FALSE),IF(VALUE(C2006)=0,1,VLOOKUP(C2006,'Справочник соответствий'!A$2:D$2981,2,FALSE)))</f>
        <v>1</v>
      </c>
      <c r="J2006" s="3">
        <f>IFERROR(VLOOKUP(D2006,'Справочник соответствий'!A$2:D$2981,2,FALSE),IF(VALUE(D2006)=0,0,VLOOKUP(D2006,'Справочник соответствий'!A$2:D$2981,2,FALSE)))</f>
        <v>0</v>
      </c>
      <c r="K2006" s="3" t="str">
        <f t="shared" si="217"/>
        <v>1</v>
      </c>
      <c r="L2006" s="13" t="str">
        <f>IFERROR(VLOOKUP(C2006,'Справочник соответствий'!A$2:D$2981,3,FALSE),IF(VALUE(C2006)=0,"ЭТАЖ НЕ ОПРЕДЕЛЕН. ПРИНЯТ ПО ДОПУЩЕНИЮ 1",VLOOKUP(C2006,'Справочник соответствий'!A$2:D$2981,3,FALSE)))</f>
        <v>ЭТАЖ ЗАДАН ЧИСЛОМ</v>
      </c>
      <c r="M2006" s="13" t="b">
        <f t="shared" si="218"/>
        <v>0</v>
      </c>
      <c r="N2006" s="13">
        <f t="shared" si="219"/>
        <v>1</v>
      </c>
      <c r="O2006" s="13" t="str">
        <f t="shared" si="220"/>
        <v>ЭТАЖ ЗАДАН ЧИСЛОМ</v>
      </c>
      <c r="P2006" s="13" t="str">
        <f t="shared" si="221"/>
        <v>ЭТАЖ ЗАДАН ЧИСЛОМ</v>
      </c>
      <c r="Q2006" s="13" t="str">
        <f t="shared" si="222"/>
        <v>ГОТОВ_ИЗМЕНЕН</v>
      </c>
      <c r="R2006" s="13">
        <f>IFERROR(VLOOKUP(P2006,Лист1!A$1:B$20,2,FALSE),0)</f>
        <v>784</v>
      </c>
      <c r="S2006" s="13">
        <f t="shared" si="223"/>
        <v>0</v>
      </c>
    </row>
    <row r="2007" spans="1:19" x14ac:dyDescent="0.25">
      <c r="A2007" s="24" t="s">
        <v>3134</v>
      </c>
      <c r="B2007" s="4" t="s">
        <v>1063</v>
      </c>
      <c r="C2007" s="25" t="s">
        <v>5</v>
      </c>
      <c r="G2007" s="25" t="s">
        <v>1080</v>
      </c>
      <c r="H2007" s="24" t="s">
        <v>1061</v>
      </c>
      <c r="I2007" s="3" t="str">
        <f>IFERROR(VLOOKUP(C2007,'Справочник соответствий'!A$2:D$2981,2,FALSE),IF(VALUE(C2007)=0,1,VLOOKUP(C2007,'Справочник соответствий'!A$2:D$2981,2,FALSE)))</f>
        <v>1</v>
      </c>
      <c r="J2007" s="3">
        <f>IFERROR(VLOOKUP(D2007,'Справочник соответствий'!A$2:D$2981,2,FALSE),IF(VALUE(D2007)=0,0,VLOOKUP(D2007,'Справочник соответствий'!A$2:D$2981,2,FALSE)))</f>
        <v>0</v>
      </c>
      <c r="K2007" s="3" t="str">
        <f t="shared" si="217"/>
        <v>1</v>
      </c>
      <c r="L2007" s="13" t="str">
        <f>IFERROR(VLOOKUP(C2007,'Справочник соответствий'!A$2:D$2981,3,FALSE),IF(VALUE(C2007)=0,"ЭТАЖ НЕ ОПРЕДЕЛЕН. ПРИНЯТ ПО ДОПУЩЕНИЮ 1",VLOOKUP(C2007,'Справочник соответствий'!A$2:D$2981,3,FALSE)))</f>
        <v>ЭТАЖ ЗАДАН ЧИСЛОМ</v>
      </c>
      <c r="M2007" s="13" t="b">
        <f t="shared" si="218"/>
        <v>0</v>
      </c>
      <c r="N2007" s="13">
        <f t="shared" si="219"/>
        <v>1</v>
      </c>
      <c r="O2007" s="13" t="str">
        <f t="shared" si="220"/>
        <v>ЭТАЖ ЗАДАН ЧИСЛОМ</v>
      </c>
      <c r="P2007" s="13" t="str">
        <f t="shared" si="221"/>
        <v>ЭТАЖ ЗАДАН ЧИСЛОМ</v>
      </c>
      <c r="Q2007" s="13" t="str">
        <f t="shared" si="222"/>
        <v>ГОТОВ_ИЗМЕНЕН</v>
      </c>
      <c r="R2007" s="13">
        <f>IFERROR(VLOOKUP(P2007,Лист1!A$1:B$20,2,FALSE),0)</f>
        <v>784</v>
      </c>
      <c r="S2007" s="13">
        <f t="shared" si="223"/>
        <v>0</v>
      </c>
    </row>
    <row r="2008" spans="1:19" x14ac:dyDescent="0.25">
      <c r="A2008" s="24" t="s">
        <v>3135</v>
      </c>
      <c r="B2008" s="4" t="s">
        <v>1063</v>
      </c>
      <c r="C2008" s="25" t="s">
        <v>7</v>
      </c>
      <c r="D2008" s="25" t="s">
        <v>5</v>
      </c>
      <c r="G2008" s="25" t="s">
        <v>1072</v>
      </c>
      <c r="H2008" s="24" t="s">
        <v>1061</v>
      </c>
      <c r="I2008" s="3" t="str">
        <f>IFERROR(VLOOKUP(C2008,'Справочник соответствий'!A$2:D$2981,2,FALSE),IF(VALUE(C2008)=0,1,VLOOKUP(C2008,'Справочник соответствий'!A$2:D$2981,2,FALSE)))</f>
        <v>2</v>
      </c>
      <c r="J2008" s="3" t="str">
        <f>IFERROR(VLOOKUP(D2008,'Справочник соответствий'!A$2:D$2981,2,FALSE),IF(VALUE(D2008)=0,0,VLOOKUP(D2008,'Справочник соответствий'!A$2:D$2981,2,FALSE)))</f>
        <v>1</v>
      </c>
      <c r="K2008" s="3" t="str">
        <f t="shared" si="217"/>
        <v>2</v>
      </c>
      <c r="L2008" s="13" t="str">
        <f>IFERROR(VLOOKUP(C2008,'Справочник соответствий'!A$2:D$2981,3,FALSE),IF(VALUE(C2008)=0,"ЭТАЖ НЕ ОПРЕДЕЛЕН. ПРИНЯТ ПО ДОПУЩЕНИЮ 1",VLOOKUP(C2008,'Справочник соответствий'!A$2:D$2981,3,FALSE)))</f>
        <v>ЭТАЖ ЗАДАН ЧИСЛОМ</v>
      </c>
      <c r="M2008" s="13" t="b">
        <f t="shared" si="218"/>
        <v>0</v>
      </c>
      <c r="N2008" s="13">
        <f t="shared" si="219"/>
        <v>2</v>
      </c>
      <c r="O2008" s="13" t="str">
        <f t="shared" si="220"/>
        <v>ЭТАЖ ЗАДАН ЧИСЛОМ</v>
      </c>
      <c r="P2008" s="13" t="str">
        <f t="shared" si="221"/>
        <v>ЭТАЖ ЗАДАН ЧИСЛОМ</v>
      </c>
      <c r="Q2008" s="13" t="str">
        <f t="shared" si="222"/>
        <v>ГОТОВ_ИЗМЕНЕН</v>
      </c>
      <c r="R2008" s="13">
        <f>IFERROR(VLOOKUP(P2008,Лист1!A$1:B$20,2,FALSE),0)</f>
        <v>784</v>
      </c>
      <c r="S2008" s="13">
        <f t="shared" si="223"/>
        <v>0</v>
      </c>
    </row>
    <row r="2009" spans="1:19" x14ac:dyDescent="0.25">
      <c r="A2009" s="24" t="s">
        <v>3136</v>
      </c>
      <c r="B2009" s="4" t="s">
        <v>1059</v>
      </c>
      <c r="C2009" s="25" t="s">
        <v>7</v>
      </c>
      <c r="G2009" s="25" t="s">
        <v>1072</v>
      </c>
      <c r="H2009" s="24" t="s">
        <v>1061</v>
      </c>
      <c r="I2009" s="3" t="str">
        <f>IFERROR(VLOOKUP(C2009,'Справочник соответствий'!A$2:D$2981,2,FALSE),IF(VALUE(C2009)=0,1,VLOOKUP(C2009,'Справочник соответствий'!A$2:D$2981,2,FALSE)))</f>
        <v>2</v>
      </c>
      <c r="J2009" s="3">
        <f>IFERROR(VLOOKUP(D2009,'Справочник соответствий'!A$2:D$2981,2,FALSE),IF(VALUE(D2009)=0,0,VLOOKUP(D2009,'Справочник соответствий'!A$2:D$2981,2,FALSE)))</f>
        <v>0</v>
      </c>
      <c r="K2009" s="3" t="str">
        <f t="shared" si="217"/>
        <v>2</v>
      </c>
      <c r="L2009" s="13" t="str">
        <f>IFERROR(VLOOKUP(C2009,'Справочник соответствий'!A$2:D$2981,3,FALSE),IF(VALUE(C2009)=0,"ЭТАЖ НЕ ОПРЕДЕЛЕН. ПРИНЯТ ПО ДОПУЩЕНИЮ 1",VLOOKUP(C2009,'Справочник соответствий'!A$2:D$2981,3,FALSE)))</f>
        <v>ЭТАЖ ЗАДАН ЧИСЛОМ</v>
      </c>
      <c r="M2009" s="13" t="b">
        <f t="shared" si="218"/>
        <v>0</v>
      </c>
      <c r="N2009" s="13">
        <f t="shared" si="219"/>
        <v>2</v>
      </c>
      <c r="O2009" s="13" t="str">
        <f t="shared" si="220"/>
        <v>ЭТАЖ ЗАДАН ЧИСЛОМ</v>
      </c>
      <c r="P2009" s="13" t="str">
        <f t="shared" si="221"/>
        <v>ЭТАЖ ЗАДАН ЧИСЛОМ</v>
      </c>
      <c r="Q2009" s="13" t="str">
        <f t="shared" si="222"/>
        <v>ГОТОВ_ИЗМЕНЕН</v>
      </c>
      <c r="R2009" s="13">
        <f>IFERROR(VLOOKUP(P2009,Лист1!A$1:B$20,2,FALSE),0)</f>
        <v>784</v>
      </c>
      <c r="S2009" s="13">
        <f t="shared" si="223"/>
        <v>0</v>
      </c>
    </row>
    <row r="2010" spans="1:19" x14ac:dyDescent="0.25">
      <c r="A2010" s="24" t="s">
        <v>3137</v>
      </c>
      <c r="B2010" s="4" t="s">
        <v>1059</v>
      </c>
      <c r="C2010" s="25" t="s">
        <v>7</v>
      </c>
      <c r="G2010" s="25" t="s">
        <v>1072</v>
      </c>
      <c r="H2010" s="24" t="s">
        <v>1061</v>
      </c>
      <c r="I2010" s="3" t="str">
        <f>IFERROR(VLOOKUP(C2010,'Справочник соответствий'!A$2:D$2981,2,FALSE),IF(VALUE(C2010)=0,1,VLOOKUP(C2010,'Справочник соответствий'!A$2:D$2981,2,FALSE)))</f>
        <v>2</v>
      </c>
      <c r="J2010" s="3">
        <f>IFERROR(VLOOKUP(D2010,'Справочник соответствий'!A$2:D$2981,2,FALSE),IF(VALUE(D2010)=0,0,VLOOKUP(D2010,'Справочник соответствий'!A$2:D$2981,2,FALSE)))</f>
        <v>0</v>
      </c>
      <c r="K2010" s="3" t="str">
        <f t="shared" si="217"/>
        <v>2</v>
      </c>
      <c r="L2010" s="13" t="str">
        <f>IFERROR(VLOOKUP(C2010,'Справочник соответствий'!A$2:D$2981,3,FALSE),IF(VALUE(C2010)=0,"ЭТАЖ НЕ ОПРЕДЕЛЕН. ПРИНЯТ ПО ДОПУЩЕНИЮ 1",VLOOKUP(C2010,'Справочник соответствий'!A$2:D$2981,3,FALSE)))</f>
        <v>ЭТАЖ ЗАДАН ЧИСЛОМ</v>
      </c>
      <c r="M2010" s="13" t="b">
        <f t="shared" si="218"/>
        <v>0</v>
      </c>
      <c r="N2010" s="13">
        <f t="shared" si="219"/>
        <v>2</v>
      </c>
      <c r="O2010" s="13" t="str">
        <f t="shared" si="220"/>
        <v>ЭТАЖ ЗАДАН ЧИСЛОМ</v>
      </c>
      <c r="P2010" s="13" t="str">
        <f t="shared" si="221"/>
        <v>ЭТАЖ ЗАДАН ЧИСЛОМ</v>
      </c>
      <c r="Q2010" s="13" t="str">
        <f t="shared" si="222"/>
        <v>ГОТОВ_ИЗМЕНЕН</v>
      </c>
      <c r="R2010" s="13">
        <f>IFERROR(VLOOKUP(P2010,Лист1!A$1:B$20,2,FALSE),0)</f>
        <v>784</v>
      </c>
      <c r="S2010" s="13">
        <f t="shared" si="223"/>
        <v>0</v>
      </c>
    </row>
    <row r="2011" spans="1:19" x14ac:dyDescent="0.25">
      <c r="A2011" s="24" t="s">
        <v>3138</v>
      </c>
      <c r="B2011" s="4" t="s">
        <v>1059</v>
      </c>
      <c r="C2011" s="25" t="s">
        <v>8</v>
      </c>
      <c r="D2011" s="25" t="s">
        <v>5</v>
      </c>
      <c r="G2011" s="25" t="s">
        <v>1072</v>
      </c>
      <c r="H2011" s="24" t="s">
        <v>1061</v>
      </c>
      <c r="I2011" s="3" t="str">
        <f>IFERROR(VLOOKUP(C2011,'Справочник соответствий'!A$2:D$2981,2,FALSE),IF(VALUE(C2011)=0,1,VLOOKUP(C2011,'Справочник соответствий'!A$2:D$2981,2,FALSE)))</f>
        <v>3</v>
      </c>
      <c r="J2011" s="3" t="str">
        <f>IFERROR(VLOOKUP(D2011,'Справочник соответствий'!A$2:D$2981,2,FALSE),IF(VALUE(D2011)=0,0,VLOOKUP(D2011,'Справочник соответствий'!A$2:D$2981,2,FALSE)))</f>
        <v>1</v>
      </c>
      <c r="K2011" s="3" t="str">
        <f t="shared" si="217"/>
        <v>3</v>
      </c>
      <c r="L2011" s="13" t="str">
        <f>IFERROR(VLOOKUP(C2011,'Справочник соответствий'!A$2:D$2981,3,FALSE),IF(VALUE(C2011)=0,"ЭТАЖ НЕ ОПРЕДЕЛЕН. ПРИНЯТ ПО ДОПУЩЕНИЮ 1",VLOOKUP(C2011,'Справочник соответствий'!A$2:D$2981,3,FALSE)))</f>
        <v>ЭТАЖ ЗАДАН ЧИСЛОМ</v>
      </c>
      <c r="M2011" s="13" t="b">
        <f t="shared" si="218"/>
        <v>0</v>
      </c>
      <c r="N2011" s="13">
        <f t="shared" si="219"/>
        <v>3</v>
      </c>
      <c r="O2011" s="13" t="str">
        <f t="shared" si="220"/>
        <v>ЭТАЖ ЗАДАН ЧИСЛОМ</v>
      </c>
      <c r="P2011" s="13" t="str">
        <f t="shared" si="221"/>
        <v>ЭТАЖ ЗАДАН ЧИСЛОМ</v>
      </c>
      <c r="Q2011" s="13" t="str">
        <f t="shared" si="222"/>
        <v>ГОТОВ_ИЗМЕНЕН</v>
      </c>
      <c r="R2011" s="13">
        <f>IFERROR(VLOOKUP(P2011,Лист1!A$1:B$20,2,FALSE),0)</f>
        <v>784</v>
      </c>
      <c r="S2011" s="13">
        <f t="shared" si="223"/>
        <v>0</v>
      </c>
    </row>
    <row r="2012" spans="1:19" x14ac:dyDescent="0.25">
      <c r="A2012" s="24" t="s">
        <v>3139</v>
      </c>
      <c r="B2012" s="4" t="s">
        <v>1059</v>
      </c>
      <c r="C2012" s="25" t="s">
        <v>7</v>
      </c>
      <c r="G2012" s="25" t="s">
        <v>1072</v>
      </c>
      <c r="H2012" s="24" t="s">
        <v>1061</v>
      </c>
      <c r="I2012" s="3" t="str">
        <f>IFERROR(VLOOKUP(C2012,'Справочник соответствий'!A$2:D$2981,2,FALSE),IF(VALUE(C2012)=0,1,VLOOKUP(C2012,'Справочник соответствий'!A$2:D$2981,2,FALSE)))</f>
        <v>2</v>
      </c>
      <c r="J2012" s="3">
        <f>IFERROR(VLOOKUP(D2012,'Справочник соответствий'!A$2:D$2981,2,FALSE),IF(VALUE(D2012)=0,0,VLOOKUP(D2012,'Справочник соответствий'!A$2:D$2981,2,FALSE)))</f>
        <v>0</v>
      </c>
      <c r="K2012" s="3" t="str">
        <f t="shared" si="217"/>
        <v>2</v>
      </c>
      <c r="L2012" s="13" t="str">
        <f>IFERROR(VLOOKUP(C2012,'Справочник соответствий'!A$2:D$2981,3,FALSE),IF(VALUE(C2012)=0,"ЭТАЖ НЕ ОПРЕДЕЛЕН. ПРИНЯТ ПО ДОПУЩЕНИЮ 1",VLOOKUP(C2012,'Справочник соответствий'!A$2:D$2981,3,FALSE)))</f>
        <v>ЭТАЖ ЗАДАН ЧИСЛОМ</v>
      </c>
      <c r="M2012" s="13" t="b">
        <f t="shared" si="218"/>
        <v>0</v>
      </c>
      <c r="N2012" s="13">
        <f t="shared" si="219"/>
        <v>2</v>
      </c>
      <c r="O2012" s="13" t="str">
        <f t="shared" si="220"/>
        <v>ЭТАЖ ЗАДАН ЧИСЛОМ</v>
      </c>
      <c r="P2012" s="13" t="str">
        <f t="shared" si="221"/>
        <v>ЭТАЖ ЗАДАН ЧИСЛОМ</v>
      </c>
      <c r="Q2012" s="13" t="str">
        <f t="shared" si="222"/>
        <v>ГОТОВ_ИЗМЕНЕН</v>
      </c>
      <c r="R2012" s="13">
        <f>IFERROR(VLOOKUP(P2012,Лист1!A$1:B$20,2,FALSE),0)</f>
        <v>784</v>
      </c>
      <c r="S2012" s="13">
        <f t="shared" si="223"/>
        <v>0</v>
      </c>
    </row>
    <row r="2013" spans="1:19" x14ac:dyDescent="0.25">
      <c r="A2013" s="24" t="s">
        <v>3140</v>
      </c>
      <c r="B2013" s="4" t="s">
        <v>1063</v>
      </c>
      <c r="C2013" s="25" t="s">
        <v>5</v>
      </c>
      <c r="G2013" s="25" t="s">
        <v>1072</v>
      </c>
      <c r="H2013" s="24" t="s">
        <v>1061</v>
      </c>
      <c r="I2013" s="3" t="str">
        <f>IFERROR(VLOOKUP(C2013,'Справочник соответствий'!A$2:D$2981,2,FALSE),IF(VALUE(C2013)=0,1,VLOOKUP(C2013,'Справочник соответствий'!A$2:D$2981,2,FALSE)))</f>
        <v>1</v>
      </c>
      <c r="J2013" s="3">
        <f>IFERROR(VLOOKUP(D2013,'Справочник соответствий'!A$2:D$2981,2,FALSE),IF(VALUE(D2013)=0,0,VLOOKUP(D2013,'Справочник соответствий'!A$2:D$2981,2,FALSE)))</f>
        <v>0</v>
      </c>
      <c r="K2013" s="3" t="str">
        <f t="shared" si="217"/>
        <v>1</v>
      </c>
      <c r="L2013" s="13" t="str">
        <f>IFERROR(VLOOKUP(C2013,'Справочник соответствий'!A$2:D$2981,3,FALSE),IF(VALUE(C2013)=0,"ЭТАЖ НЕ ОПРЕДЕЛЕН. ПРИНЯТ ПО ДОПУЩЕНИЮ 1",VLOOKUP(C2013,'Справочник соответствий'!A$2:D$2981,3,FALSE)))</f>
        <v>ЭТАЖ ЗАДАН ЧИСЛОМ</v>
      </c>
      <c r="M2013" s="13" t="b">
        <f t="shared" si="218"/>
        <v>0</v>
      </c>
      <c r="N2013" s="13">
        <f t="shared" si="219"/>
        <v>1</v>
      </c>
      <c r="O2013" s="13" t="str">
        <f t="shared" si="220"/>
        <v>ЭТАЖ ЗАДАН ЧИСЛОМ</v>
      </c>
      <c r="P2013" s="13" t="str">
        <f t="shared" si="221"/>
        <v>ЭТАЖ ЗАДАН ЧИСЛОМ</v>
      </c>
      <c r="Q2013" s="13" t="str">
        <f t="shared" si="222"/>
        <v>ГОТОВ_ИЗМЕНЕН</v>
      </c>
      <c r="R2013" s="13">
        <f>IFERROR(VLOOKUP(P2013,Лист1!A$1:B$20,2,FALSE),0)</f>
        <v>784</v>
      </c>
      <c r="S2013" s="13">
        <f t="shared" si="223"/>
        <v>0</v>
      </c>
    </row>
    <row r="2014" spans="1:19" x14ac:dyDescent="0.25">
      <c r="A2014" s="24" t="s">
        <v>3141</v>
      </c>
      <c r="B2014" s="4" t="s">
        <v>1059</v>
      </c>
      <c r="G2014" s="25" t="s">
        <v>1072</v>
      </c>
      <c r="H2014" s="24" t="s">
        <v>1061</v>
      </c>
      <c r="I2014" s="3">
        <f>IFERROR(VLOOKUP(C2014,'Справочник соответствий'!A$2:D$2981,2,FALSE),IF(VALUE(C2014)=0,1,VLOOKUP(C2014,'Справочник соответствий'!A$2:D$2981,2,FALSE)))</f>
        <v>1</v>
      </c>
      <c r="J2014" s="3">
        <f>IFERROR(VLOOKUP(D2014,'Справочник соответствий'!A$2:D$2981,2,FALSE),IF(VALUE(D2014)=0,0,VLOOKUP(D2014,'Справочник соответствий'!A$2:D$2981,2,FALSE)))</f>
        <v>0</v>
      </c>
      <c r="K2014" s="3">
        <f t="shared" si="217"/>
        <v>1</v>
      </c>
      <c r="L2014" s="13" t="str">
        <f>IFERROR(VLOOKUP(C2014,'Справочник соответствий'!A$2:D$2981,3,FALSE),IF(VALUE(C2014)=0,"ЭТАЖ НЕ ОПРЕДЕЛЕН. ПРИНЯТ ПО ДОПУЩЕНИЮ 1",VLOOKUP(C2014,'Справочник соответствий'!A$2:D$2981,3,FALSE)))</f>
        <v>ЭТАЖ НЕ ОПРЕДЕЛЕН. ПРИНЯТ ПО ДОПУЩЕНИЮ 1</v>
      </c>
      <c r="M2014" s="13" t="b">
        <f t="shared" si="218"/>
        <v>0</v>
      </c>
      <c r="N2014" s="13">
        <f t="shared" si="219"/>
        <v>1</v>
      </c>
      <c r="O2014" s="13" t="str">
        <f t="shared" si="220"/>
        <v>ЭТАЖ НЕ ОПРЕДЕЛЕН. ПРИНЯТ ПО ДОПУЩЕНИЮ 1</v>
      </c>
      <c r="P2014" s="13" t="str">
        <f t="shared" si="221"/>
        <v>ЭТАЖ НЕ ОПРЕДЕЛЕН. ПРИНЯТ ПО ДОПУЩЕНИЮ 1</v>
      </c>
      <c r="Q2014" s="13" t="str">
        <f t="shared" si="222"/>
        <v>ГОТОВ_ИЗМЕНЕН</v>
      </c>
      <c r="R2014" s="13">
        <f>IFERROR(VLOOKUP(P2014,Лист1!A$1:B$20,2,FALSE),0)</f>
        <v>788</v>
      </c>
      <c r="S2014" s="13">
        <f t="shared" si="223"/>
        <v>0</v>
      </c>
    </row>
    <row r="2015" spans="1:19" x14ac:dyDescent="0.25">
      <c r="A2015" s="24" t="s">
        <v>3142</v>
      </c>
      <c r="B2015" s="4" t="s">
        <v>1063</v>
      </c>
      <c r="C2015" s="25" t="s">
        <v>5</v>
      </c>
      <c r="G2015" s="25" t="s">
        <v>1072</v>
      </c>
      <c r="H2015" s="24" t="s">
        <v>1061</v>
      </c>
      <c r="I2015" s="3" t="str">
        <f>IFERROR(VLOOKUP(C2015,'Справочник соответствий'!A$2:D$2981,2,FALSE),IF(VALUE(C2015)=0,1,VLOOKUP(C2015,'Справочник соответствий'!A$2:D$2981,2,FALSE)))</f>
        <v>1</v>
      </c>
      <c r="J2015" s="3">
        <f>IFERROR(VLOOKUP(D2015,'Справочник соответствий'!A$2:D$2981,2,FALSE),IF(VALUE(D2015)=0,0,VLOOKUP(D2015,'Справочник соответствий'!A$2:D$2981,2,FALSE)))</f>
        <v>0</v>
      </c>
      <c r="K2015" s="3" t="str">
        <f t="shared" si="217"/>
        <v>1</v>
      </c>
      <c r="L2015" s="13" t="str">
        <f>IFERROR(VLOOKUP(C2015,'Справочник соответствий'!A$2:D$2981,3,FALSE),IF(VALUE(C2015)=0,"ЭТАЖ НЕ ОПРЕДЕЛЕН. ПРИНЯТ ПО ДОПУЩЕНИЮ 1",VLOOKUP(C2015,'Справочник соответствий'!A$2:D$2981,3,FALSE)))</f>
        <v>ЭТАЖ ЗАДАН ЧИСЛОМ</v>
      </c>
      <c r="M2015" s="13" t="b">
        <f t="shared" si="218"/>
        <v>0</v>
      </c>
      <c r="N2015" s="13">
        <f t="shared" si="219"/>
        <v>1</v>
      </c>
      <c r="O2015" s="13" t="str">
        <f t="shared" si="220"/>
        <v>ЭТАЖ ЗАДАН ЧИСЛОМ</v>
      </c>
      <c r="P2015" s="13" t="str">
        <f t="shared" si="221"/>
        <v>ЭТАЖ ЗАДАН ЧИСЛОМ</v>
      </c>
      <c r="Q2015" s="13" t="str">
        <f t="shared" si="222"/>
        <v>ГОТОВ_ИЗМЕНЕН</v>
      </c>
      <c r="R2015" s="13">
        <f>IFERROR(VLOOKUP(P2015,Лист1!A$1:B$20,2,FALSE),0)</f>
        <v>784</v>
      </c>
      <c r="S2015" s="13">
        <f t="shared" si="223"/>
        <v>0</v>
      </c>
    </row>
    <row r="2016" spans="1:19" x14ac:dyDescent="0.25">
      <c r="A2016" s="24" t="s">
        <v>3143</v>
      </c>
      <c r="B2016" s="4" t="s">
        <v>1059</v>
      </c>
      <c r="C2016" s="25" t="s">
        <v>5</v>
      </c>
      <c r="G2016" s="25" t="s">
        <v>1276</v>
      </c>
      <c r="H2016" s="24" t="s">
        <v>1061</v>
      </c>
      <c r="I2016" s="3" t="str">
        <f>IFERROR(VLOOKUP(C2016,'Справочник соответствий'!A$2:D$2981,2,FALSE),IF(VALUE(C2016)=0,1,VLOOKUP(C2016,'Справочник соответствий'!A$2:D$2981,2,FALSE)))</f>
        <v>1</v>
      </c>
      <c r="J2016" s="3">
        <f>IFERROR(VLOOKUP(D2016,'Справочник соответствий'!A$2:D$2981,2,FALSE),IF(VALUE(D2016)=0,0,VLOOKUP(D2016,'Справочник соответствий'!A$2:D$2981,2,FALSE)))</f>
        <v>0</v>
      </c>
      <c r="K2016" s="3" t="str">
        <f t="shared" si="217"/>
        <v>1</v>
      </c>
      <c r="L2016" s="13" t="str">
        <f>IFERROR(VLOOKUP(C2016,'Справочник соответствий'!A$2:D$2981,3,FALSE),IF(VALUE(C2016)=0,"ЭТАЖ НЕ ОПРЕДЕЛЕН. ПРИНЯТ ПО ДОПУЩЕНИЮ 1",VLOOKUP(C2016,'Справочник соответствий'!A$2:D$2981,3,FALSE)))</f>
        <v>ЭТАЖ ЗАДАН ЧИСЛОМ</v>
      </c>
      <c r="M2016" s="13" t="b">
        <f t="shared" si="218"/>
        <v>0</v>
      </c>
      <c r="N2016" s="13">
        <f t="shared" si="219"/>
        <v>1</v>
      </c>
      <c r="O2016" s="13" t="str">
        <f t="shared" si="220"/>
        <v>ЭТАЖ ЗАДАН ЧИСЛОМ</v>
      </c>
      <c r="P2016" s="13" t="str">
        <f t="shared" si="221"/>
        <v>ЭТАЖ ЗАДАН ЧИСЛОМ</v>
      </c>
      <c r="Q2016" s="13" t="str">
        <f t="shared" si="222"/>
        <v>ГОТОВ_ИЗМЕНЕН</v>
      </c>
      <c r="R2016" s="13">
        <f>IFERROR(VLOOKUP(P2016,Лист1!A$1:B$20,2,FALSE),0)</f>
        <v>784</v>
      </c>
      <c r="S2016" s="13">
        <f t="shared" si="223"/>
        <v>0</v>
      </c>
    </row>
    <row r="2017" spans="1:19" x14ac:dyDescent="0.25">
      <c r="A2017" s="24" t="s">
        <v>3144</v>
      </c>
      <c r="B2017" s="4" t="s">
        <v>1063</v>
      </c>
      <c r="C2017" s="25" t="s">
        <v>5</v>
      </c>
      <c r="G2017" s="25" t="s">
        <v>1072</v>
      </c>
      <c r="H2017" s="24" t="s">
        <v>1061</v>
      </c>
      <c r="I2017" s="3" t="str">
        <f>IFERROR(VLOOKUP(C2017,'Справочник соответствий'!A$2:D$2981,2,FALSE),IF(VALUE(C2017)=0,1,VLOOKUP(C2017,'Справочник соответствий'!A$2:D$2981,2,FALSE)))</f>
        <v>1</v>
      </c>
      <c r="J2017" s="3">
        <f>IFERROR(VLOOKUP(D2017,'Справочник соответствий'!A$2:D$2981,2,FALSE),IF(VALUE(D2017)=0,0,VLOOKUP(D2017,'Справочник соответствий'!A$2:D$2981,2,FALSE)))</f>
        <v>0</v>
      </c>
      <c r="K2017" s="3" t="str">
        <f t="shared" si="217"/>
        <v>1</v>
      </c>
      <c r="L2017" s="13" t="str">
        <f>IFERROR(VLOOKUP(C2017,'Справочник соответствий'!A$2:D$2981,3,FALSE),IF(VALUE(C2017)=0,"ЭТАЖ НЕ ОПРЕДЕЛЕН. ПРИНЯТ ПО ДОПУЩЕНИЮ 1",VLOOKUP(C2017,'Справочник соответствий'!A$2:D$2981,3,FALSE)))</f>
        <v>ЭТАЖ ЗАДАН ЧИСЛОМ</v>
      </c>
      <c r="M2017" s="13" t="b">
        <f t="shared" si="218"/>
        <v>0</v>
      </c>
      <c r="N2017" s="13">
        <f t="shared" si="219"/>
        <v>1</v>
      </c>
      <c r="O2017" s="13" t="str">
        <f t="shared" si="220"/>
        <v>ЭТАЖ ЗАДАН ЧИСЛОМ</v>
      </c>
      <c r="P2017" s="13" t="str">
        <f t="shared" si="221"/>
        <v>ЭТАЖ ЗАДАН ЧИСЛОМ</v>
      </c>
      <c r="Q2017" s="13" t="str">
        <f t="shared" si="222"/>
        <v>ГОТОВ_ИЗМЕНЕН</v>
      </c>
      <c r="R2017" s="13">
        <f>IFERROR(VLOOKUP(P2017,Лист1!A$1:B$20,2,FALSE),0)</f>
        <v>784</v>
      </c>
      <c r="S2017" s="13">
        <f t="shared" si="223"/>
        <v>0</v>
      </c>
    </row>
    <row r="2018" spans="1:19" x14ac:dyDescent="0.25">
      <c r="A2018" s="24" t="s">
        <v>3145</v>
      </c>
      <c r="B2018" s="4" t="s">
        <v>1059</v>
      </c>
      <c r="C2018" s="25" t="s">
        <v>7</v>
      </c>
      <c r="G2018" s="25" t="s">
        <v>1072</v>
      </c>
      <c r="H2018" s="24" t="s">
        <v>1061</v>
      </c>
      <c r="I2018" s="3" t="str">
        <f>IFERROR(VLOOKUP(C2018,'Справочник соответствий'!A$2:D$2981,2,FALSE),IF(VALUE(C2018)=0,1,VLOOKUP(C2018,'Справочник соответствий'!A$2:D$2981,2,FALSE)))</f>
        <v>2</v>
      </c>
      <c r="J2018" s="3">
        <f>IFERROR(VLOOKUP(D2018,'Справочник соответствий'!A$2:D$2981,2,FALSE),IF(VALUE(D2018)=0,0,VLOOKUP(D2018,'Справочник соответствий'!A$2:D$2981,2,FALSE)))</f>
        <v>0</v>
      </c>
      <c r="K2018" s="3" t="str">
        <f t="shared" si="217"/>
        <v>2</v>
      </c>
      <c r="L2018" s="13" t="str">
        <f>IFERROR(VLOOKUP(C2018,'Справочник соответствий'!A$2:D$2981,3,FALSE),IF(VALUE(C2018)=0,"ЭТАЖ НЕ ОПРЕДЕЛЕН. ПРИНЯТ ПО ДОПУЩЕНИЮ 1",VLOOKUP(C2018,'Справочник соответствий'!A$2:D$2981,3,FALSE)))</f>
        <v>ЭТАЖ ЗАДАН ЧИСЛОМ</v>
      </c>
      <c r="M2018" s="13" t="b">
        <f t="shared" si="218"/>
        <v>0</v>
      </c>
      <c r="N2018" s="13">
        <f t="shared" si="219"/>
        <v>2</v>
      </c>
      <c r="O2018" s="13" t="str">
        <f t="shared" si="220"/>
        <v>ЭТАЖ ЗАДАН ЧИСЛОМ</v>
      </c>
      <c r="P2018" s="13" t="str">
        <f t="shared" si="221"/>
        <v>ЭТАЖ ЗАДАН ЧИСЛОМ</v>
      </c>
      <c r="Q2018" s="13" t="str">
        <f t="shared" si="222"/>
        <v>ГОТОВ_ИЗМЕНЕН</v>
      </c>
      <c r="R2018" s="13">
        <f>IFERROR(VLOOKUP(P2018,Лист1!A$1:B$20,2,FALSE),0)</f>
        <v>784</v>
      </c>
      <c r="S2018" s="13">
        <f t="shared" si="223"/>
        <v>0</v>
      </c>
    </row>
    <row r="2019" spans="1:19" x14ac:dyDescent="0.25">
      <c r="A2019" s="24" t="s">
        <v>3146</v>
      </c>
      <c r="B2019" s="4" t="s">
        <v>1063</v>
      </c>
      <c r="C2019" s="25" t="s">
        <v>5</v>
      </c>
      <c r="G2019" s="25" t="s">
        <v>1072</v>
      </c>
      <c r="H2019" s="24" t="s">
        <v>1061</v>
      </c>
      <c r="I2019" s="3" t="str">
        <f>IFERROR(VLOOKUP(C2019,'Справочник соответствий'!A$2:D$2981,2,FALSE),IF(VALUE(C2019)=0,1,VLOOKUP(C2019,'Справочник соответствий'!A$2:D$2981,2,FALSE)))</f>
        <v>1</v>
      </c>
      <c r="J2019" s="3">
        <f>IFERROR(VLOOKUP(D2019,'Справочник соответствий'!A$2:D$2981,2,FALSE),IF(VALUE(D2019)=0,0,VLOOKUP(D2019,'Справочник соответствий'!A$2:D$2981,2,FALSE)))</f>
        <v>0</v>
      </c>
      <c r="K2019" s="3" t="str">
        <f t="shared" si="217"/>
        <v>1</v>
      </c>
      <c r="L2019" s="13" t="str">
        <f>IFERROR(VLOOKUP(C2019,'Справочник соответствий'!A$2:D$2981,3,FALSE),IF(VALUE(C2019)=0,"ЭТАЖ НЕ ОПРЕДЕЛЕН. ПРИНЯТ ПО ДОПУЩЕНИЮ 1",VLOOKUP(C2019,'Справочник соответствий'!A$2:D$2981,3,FALSE)))</f>
        <v>ЭТАЖ ЗАДАН ЧИСЛОМ</v>
      </c>
      <c r="M2019" s="13" t="b">
        <f t="shared" si="218"/>
        <v>0</v>
      </c>
      <c r="N2019" s="13">
        <f t="shared" si="219"/>
        <v>1</v>
      </c>
      <c r="O2019" s="13" t="str">
        <f t="shared" si="220"/>
        <v>ЭТАЖ ЗАДАН ЧИСЛОМ</v>
      </c>
      <c r="P2019" s="13" t="str">
        <f t="shared" si="221"/>
        <v>ЭТАЖ ЗАДАН ЧИСЛОМ</v>
      </c>
      <c r="Q2019" s="13" t="str">
        <f t="shared" si="222"/>
        <v>ГОТОВ_ИЗМЕНЕН</v>
      </c>
      <c r="R2019" s="13">
        <f>IFERROR(VLOOKUP(P2019,Лист1!A$1:B$20,2,FALSE),0)</f>
        <v>784</v>
      </c>
      <c r="S2019" s="13">
        <f t="shared" si="223"/>
        <v>0</v>
      </c>
    </row>
    <row r="2020" spans="1:19" x14ac:dyDescent="0.25">
      <c r="A2020" s="24" t="s">
        <v>3147</v>
      </c>
      <c r="B2020" s="4" t="s">
        <v>1063</v>
      </c>
      <c r="C2020" s="25" t="s">
        <v>5</v>
      </c>
      <c r="G2020" s="25" t="s">
        <v>1072</v>
      </c>
      <c r="H2020" s="24" t="s">
        <v>1061</v>
      </c>
      <c r="I2020" s="3" t="str">
        <f>IFERROR(VLOOKUP(C2020,'Справочник соответствий'!A$2:D$2981,2,FALSE),IF(VALUE(C2020)=0,1,VLOOKUP(C2020,'Справочник соответствий'!A$2:D$2981,2,FALSE)))</f>
        <v>1</v>
      </c>
      <c r="J2020" s="3">
        <f>IFERROR(VLOOKUP(D2020,'Справочник соответствий'!A$2:D$2981,2,FALSE),IF(VALUE(D2020)=0,0,VLOOKUP(D2020,'Справочник соответствий'!A$2:D$2981,2,FALSE)))</f>
        <v>0</v>
      </c>
      <c r="K2020" s="3" t="str">
        <f t="shared" si="217"/>
        <v>1</v>
      </c>
      <c r="L2020" s="13" t="str">
        <f>IFERROR(VLOOKUP(C2020,'Справочник соответствий'!A$2:D$2981,3,FALSE),IF(VALUE(C2020)=0,"ЭТАЖ НЕ ОПРЕДЕЛЕН. ПРИНЯТ ПО ДОПУЩЕНИЮ 1",VLOOKUP(C2020,'Справочник соответствий'!A$2:D$2981,3,FALSE)))</f>
        <v>ЭТАЖ ЗАДАН ЧИСЛОМ</v>
      </c>
      <c r="M2020" s="13" t="b">
        <f t="shared" si="218"/>
        <v>0</v>
      </c>
      <c r="N2020" s="13">
        <f t="shared" si="219"/>
        <v>1</v>
      </c>
      <c r="O2020" s="13" t="str">
        <f t="shared" si="220"/>
        <v>ЭТАЖ ЗАДАН ЧИСЛОМ</v>
      </c>
      <c r="P2020" s="13" t="str">
        <f t="shared" si="221"/>
        <v>ЭТАЖ ЗАДАН ЧИСЛОМ</v>
      </c>
      <c r="Q2020" s="13" t="str">
        <f t="shared" si="222"/>
        <v>ГОТОВ_ИЗМЕНЕН</v>
      </c>
      <c r="R2020" s="13">
        <f>IFERROR(VLOOKUP(P2020,Лист1!A$1:B$20,2,FALSE),0)</f>
        <v>784</v>
      </c>
      <c r="S2020" s="13">
        <f t="shared" si="223"/>
        <v>0</v>
      </c>
    </row>
    <row r="2021" spans="1:19" x14ac:dyDescent="0.25">
      <c r="A2021" s="24" t="s">
        <v>3148</v>
      </c>
      <c r="B2021" s="4" t="s">
        <v>1059</v>
      </c>
      <c r="C2021" s="25" t="s">
        <v>8</v>
      </c>
      <c r="G2021" s="25" t="s">
        <v>1072</v>
      </c>
      <c r="H2021" s="24" t="s">
        <v>1061</v>
      </c>
      <c r="I2021" s="3" t="str">
        <f>IFERROR(VLOOKUP(C2021,'Справочник соответствий'!A$2:D$2981,2,FALSE),IF(VALUE(C2021)=0,1,VLOOKUP(C2021,'Справочник соответствий'!A$2:D$2981,2,FALSE)))</f>
        <v>3</v>
      </c>
      <c r="J2021" s="3">
        <f>IFERROR(VLOOKUP(D2021,'Справочник соответствий'!A$2:D$2981,2,FALSE),IF(VALUE(D2021)=0,0,VLOOKUP(D2021,'Справочник соответствий'!A$2:D$2981,2,FALSE)))</f>
        <v>0</v>
      </c>
      <c r="K2021" s="3" t="str">
        <f t="shared" si="217"/>
        <v>3</v>
      </c>
      <c r="L2021" s="13" t="str">
        <f>IFERROR(VLOOKUP(C2021,'Справочник соответствий'!A$2:D$2981,3,FALSE),IF(VALUE(C2021)=0,"ЭТАЖ НЕ ОПРЕДЕЛЕН. ПРИНЯТ ПО ДОПУЩЕНИЮ 1",VLOOKUP(C2021,'Справочник соответствий'!A$2:D$2981,3,FALSE)))</f>
        <v>ЭТАЖ ЗАДАН ЧИСЛОМ</v>
      </c>
      <c r="M2021" s="13" t="b">
        <f t="shared" si="218"/>
        <v>0</v>
      </c>
      <c r="N2021" s="13">
        <f t="shared" si="219"/>
        <v>3</v>
      </c>
      <c r="O2021" s="13" t="str">
        <f t="shared" si="220"/>
        <v>ЭТАЖ ЗАДАН ЧИСЛОМ</v>
      </c>
      <c r="P2021" s="13" t="str">
        <f t="shared" si="221"/>
        <v>ЭТАЖ ЗАДАН ЧИСЛОМ</v>
      </c>
      <c r="Q2021" s="13" t="str">
        <f t="shared" si="222"/>
        <v>ГОТОВ_ИЗМЕНЕН</v>
      </c>
      <c r="R2021" s="13">
        <f>IFERROR(VLOOKUP(P2021,Лист1!A$1:B$20,2,FALSE),0)</f>
        <v>784</v>
      </c>
      <c r="S2021" s="13">
        <f t="shared" si="223"/>
        <v>0</v>
      </c>
    </row>
    <row r="2022" spans="1:19" x14ac:dyDescent="0.25">
      <c r="A2022" s="24" t="s">
        <v>3149</v>
      </c>
      <c r="B2022" s="4" t="s">
        <v>1059</v>
      </c>
      <c r="C2022" s="25" t="s">
        <v>5</v>
      </c>
      <c r="G2022" s="25" t="s">
        <v>1106</v>
      </c>
      <c r="H2022" s="24" t="s">
        <v>1061</v>
      </c>
      <c r="I2022" s="3" t="str">
        <f>IFERROR(VLOOKUP(C2022,'Справочник соответствий'!A$2:D$2981,2,FALSE),IF(VALUE(C2022)=0,1,VLOOKUP(C2022,'Справочник соответствий'!A$2:D$2981,2,FALSE)))</f>
        <v>1</v>
      </c>
      <c r="J2022" s="3">
        <f>IFERROR(VLOOKUP(D2022,'Справочник соответствий'!A$2:D$2981,2,FALSE),IF(VALUE(D2022)=0,0,VLOOKUP(D2022,'Справочник соответствий'!A$2:D$2981,2,FALSE)))</f>
        <v>0</v>
      </c>
      <c r="K2022" s="3" t="str">
        <f t="shared" si="217"/>
        <v>1</v>
      </c>
      <c r="L2022" s="13" t="str">
        <f>IFERROR(VLOOKUP(C2022,'Справочник соответствий'!A$2:D$2981,3,FALSE),IF(VALUE(C2022)=0,"ЭТАЖ НЕ ОПРЕДЕЛЕН. ПРИНЯТ ПО ДОПУЩЕНИЮ 1",VLOOKUP(C2022,'Справочник соответствий'!A$2:D$2981,3,FALSE)))</f>
        <v>ЭТАЖ ЗАДАН ЧИСЛОМ</v>
      </c>
      <c r="M2022" s="13" t="b">
        <f t="shared" si="218"/>
        <v>0</v>
      </c>
      <c r="N2022" s="13">
        <f t="shared" si="219"/>
        <v>1</v>
      </c>
      <c r="O2022" s="13" t="str">
        <f t="shared" si="220"/>
        <v>ЭТАЖ ЗАДАН ЧИСЛОМ</v>
      </c>
      <c r="P2022" s="13" t="str">
        <f t="shared" si="221"/>
        <v>ЭТАЖ ЗАДАН ЧИСЛОМ</v>
      </c>
      <c r="Q2022" s="13" t="str">
        <f t="shared" si="222"/>
        <v>ГОТОВ_ИЗМЕНЕН</v>
      </c>
      <c r="R2022" s="13">
        <f>IFERROR(VLOOKUP(P2022,Лист1!A$1:B$20,2,FALSE),0)</f>
        <v>784</v>
      </c>
      <c r="S2022" s="13">
        <f t="shared" si="223"/>
        <v>0</v>
      </c>
    </row>
    <row r="2023" spans="1:19" x14ac:dyDescent="0.25">
      <c r="A2023" s="24" t="s">
        <v>3150</v>
      </c>
      <c r="B2023" s="4" t="s">
        <v>1059</v>
      </c>
      <c r="C2023" s="25" t="s">
        <v>5</v>
      </c>
      <c r="G2023" s="25" t="s">
        <v>1106</v>
      </c>
      <c r="H2023" s="24" t="s">
        <v>1061</v>
      </c>
      <c r="I2023" s="3" t="str">
        <f>IFERROR(VLOOKUP(C2023,'Справочник соответствий'!A$2:D$2981,2,FALSE),IF(VALUE(C2023)=0,1,VLOOKUP(C2023,'Справочник соответствий'!A$2:D$2981,2,FALSE)))</f>
        <v>1</v>
      </c>
      <c r="J2023" s="3">
        <f>IFERROR(VLOOKUP(D2023,'Справочник соответствий'!A$2:D$2981,2,FALSE),IF(VALUE(D2023)=0,0,VLOOKUP(D2023,'Справочник соответствий'!A$2:D$2981,2,FALSE)))</f>
        <v>0</v>
      </c>
      <c r="K2023" s="3" t="str">
        <f t="shared" si="217"/>
        <v>1</v>
      </c>
      <c r="L2023" s="13" t="str">
        <f>IFERROR(VLOOKUP(C2023,'Справочник соответствий'!A$2:D$2981,3,FALSE),IF(VALUE(C2023)=0,"ЭТАЖ НЕ ОПРЕДЕЛЕН. ПРИНЯТ ПО ДОПУЩЕНИЮ 1",VLOOKUP(C2023,'Справочник соответствий'!A$2:D$2981,3,FALSE)))</f>
        <v>ЭТАЖ ЗАДАН ЧИСЛОМ</v>
      </c>
      <c r="M2023" s="13" t="b">
        <f t="shared" si="218"/>
        <v>0</v>
      </c>
      <c r="N2023" s="13">
        <f t="shared" si="219"/>
        <v>1</v>
      </c>
      <c r="O2023" s="13" t="str">
        <f t="shared" si="220"/>
        <v>ЭТАЖ ЗАДАН ЧИСЛОМ</v>
      </c>
      <c r="P2023" s="13" t="str">
        <f t="shared" si="221"/>
        <v>ЭТАЖ ЗАДАН ЧИСЛОМ</v>
      </c>
      <c r="Q2023" s="13" t="str">
        <f t="shared" si="222"/>
        <v>ГОТОВ_ИЗМЕНЕН</v>
      </c>
      <c r="R2023" s="13">
        <f>IFERROR(VLOOKUP(P2023,Лист1!A$1:B$20,2,FALSE),0)</f>
        <v>784</v>
      </c>
      <c r="S2023" s="13">
        <f t="shared" si="223"/>
        <v>0</v>
      </c>
    </row>
    <row r="2024" spans="1:19" x14ac:dyDescent="0.25">
      <c r="A2024" s="24" t="s">
        <v>3151</v>
      </c>
      <c r="B2024" s="4" t="s">
        <v>1063</v>
      </c>
      <c r="C2024" s="25" t="s">
        <v>5</v>
      </c>
      <c r="G2024" s="25" t="s">
        <v>1106</v>
      </c>
      <c r="H2024" s="24" t="s">
        <v>1061</v>
      </c>
      <c r="I2024" s="3" t="str">
        <f>IFERROR(VLOOKUP(C2024,'Справочник соответствий'!A$2:D$2981,2,FALSE),IF(VALUE(C2024)=0,1,VLOOKUP(C2024,'Справочник соответствий'!A$2:D$2981,2,FALSE)))</f>
        <v>1</v>
      </c>
      <c r="J2024" s="3">
        <f>IFERROR(VLOOKUP(D2024,'Справочник соответствий'!A$2:D$2981,2,FALSE),IF(VALUE(D2024)=0,0,VLOOKUP(D2024,'Справочник соответствий'!A$2:D$2981,2,FALSE)))</f>
        <v>0</v>
      </c>
      <c r="K2024" s="3" t="str">
        <f t="shared" si="217"/>
        <v>1</v>
      </c>
      <c r="L2024" s="13" t="str">
        <f>IFERROR(VLOOKUP(C2024,'Справочник соответствий'!A$2:D$2981,3,FALSE),IF(VALUE(C2024)=0,"ЭТАЖ НЕ ОПРЕДЕЛЕН. ПРИНЯТ ПО ДОПУЩЕНИЮ 1",VLOOKUP(C2024,'Справочник соответствий'!A$2:D$2981,3,FALSE)))</f>
        <v>ЭТАЖ ЗАДАН ЧИСЛОМ</v>
      </c>
      <c r="M2024" s="13" t="b">
        <f t="shared" si="218"/>
        <v>0</v>
      </c>
      <c r="N2024" s="13">
        <f t="shared" si="219"/>
        <v>1</v>
      </c>
      <c r="O2024" s="13" t="str">
        <f t="shared" si="220"/>
        <v>ЭТАЖ ЗАДАН ЧИСЛОМ</v>
      </c>
      <c r="P2024" s="13" t="str">
        <f t="shared" si="221"/>
        <v>ЭТАЖ ЗАДАН ЧИСЛОМ</v>
      </c>
      <c r="Q2024" s="13" t="str">
        <f t="shared" si="222"/>
        <v>ГОТОВ_ИЗМЕНЕН</v>
      </c>
      <c r="R2024" s="13">
        <f>IFERROR(VLOOKUP(P2024,Лист1!A$1:B$20,2,FALSE),0)</f>
        <v>784</v>
      </c>
      <c r="S2024" s="13">
        <f t="shared" si="223"/>
        <v>0</v>
      </c>
    </row>
    <row r="2025" spans="1:19" x14ac:dyDescent="0.25">
      <c r="A2025" s="24" t="s">
        <v>3152</v>
      </c>
      <c r="B2025" s="4" t="s">
        <v>1063</v>
      </c>
      <c r="C2025" s="25" t="s">
        <v>5</v>
      </c>
      <c r="G2025" s="25" t="s">
        <v>1106</v>
      </c>
      <c r="H2025" s="24" t="s">
        <v>1061</v>
      </c>
      <c r="I2025" s="3" t="str">
        <f>IFERROR(VLOOKUP(C2025,'Справочник соответствий'!A$2:D$2981,2,FALSE),IF(VALUE(C2025)=0,1,VLOOKUP(C2025,'Справочник соответствий'!A$2:D$2981,2,FALSE)))</f>
        <v>1</v>
      </c>
      <c r="J2025" s="3">
        <f>IFERROR(VLOOKUP(D2025,'Справочник соответствий'!A$2:D$2981,2,FALSE),IF(VALUE(D2025)=0,0,VLOOKUP(D2025,'Справочник соответствий'!A$2:D$2981,2,FALSE)))</f>
        <v>0</v>
      </c>
      <c r="K2025" s="3" t="str">
        <f t="shared" si="217"/>
        <v>1</v>
      </c>
      <c r="L2025" s="13" t="str">
        <f>IFERROR(VLOOKUP(C2025,'Справочник соответствий'!A$2:D$2981,3,FALSE),IF(VALUE(C2025)=0,"ЭТАЖ НЕ ОПРЕДЕЛЕН. ПРИНЯТ ПО ДОПУЩЕНИЮ 1",VLOOKUP(C2025,'Справочник соответствий'!A$2:D$2981,3,FALSE)))</f>
        <v>ЭТАЖ ЗАДАН ЧИСЛОМ</v>
      </c>
      <c r="M2025" s="13" t="b">
        <f t="shared" si="218"/>
        <v>0</v>
      </c>
      <c r="N2025" s="13">
        <f t="shared" si="219"/>
        <v>1</v>
      </c>
      <c r="O2025" s="13" t="str">
        <f t="shared" si="220"/>
        <v>ЭТАЖ ЗАДАН ЧИСЛОМ</v>
      </c>
      <c r="P2025" s="13" t="str">
        <f t="shared" si="221"/>
        <v>ЭТАЖ ЗАДАН ЧИСЛОМ</v>
      </c>
      <c r="Q2025" s="13" t="str">
        <f t="shared" si="222"/>
        <v>ГОТОВ_ИЗМЕНЕН</v>
      </c>
      <c r="R2025" s="13">
        <f>IFERROR(VLOOKUP(P2025,Лист1!A$1:B$20,2,FALSE),0)</f>
        <v>784</v>
      </c>
      <c r="S2025" s="13">
        <f t="shared" si="223"/>
        <v>0</v>
      </c>
    </row>
    <row r="2026" spans="1:19" x14ac:dyDescent="0.25">
      <c r="A2026" s="24" t="s">
        <v>3153</v>
      </c>
      <c r="B2026" s="4" t="s">
        <v>1059</v>
      </c>
      <c r="C2026" s="25" t="s">
        <v>5</v>
      </c>
      <c r="G2026" s="25" t="s">
        <v>1106</v>
      </c>
      <c r="H2026" s="24" t="s">
        <v>1061</v>
      </c>
      <c r="I2026" s="3" t="str">
        <f>IFERROR(VLOOKUP(C2026,'Справочник соответствий'!A$2:D$2981,2,FALSE),IF(VALUE(C2026)=0,1,VLOOKUP(C2026,'Справочник соответствий'!A$2:D$2981,2,FALSE)))</f>
        <v>1</v>
      </c>
      <c r="J2026" s="3">
        <f>IFERROR(VLOOKUP(D2026,'Справочник соответствий'!A$2:D$2981,2,FALSE),IF(VALUE(D2026)=0,0,VLOOKUP(D2026,'Справочник соответствий'!A$2:D$2981,2,FALSE)))</f>
        <v>0</v>
      </c>
      <c r="K2026" s="3" t="str">
        <f t="shared" si="217"/>
        <v>1</v>
      </c>
      <c r="L2026" s="13" t="str">
        <f>IFERROR(VLOOKUP(C2026,'Справочник соответствий'!A$2:D$2981,3,FALSE),IF(VALUE(C2026)=0,"ЭТАЖ НЕ ОПРЕДЕЛЕН. ПРИНЯТ ПО ДОПУЩЕНИЮ 1",VLOOKUP(C2026,'Справочник соответствий'!A$2:D$2981,3,FALSE)))</f>
        <v>ЭТАЖ ЗАДАН ЧИСЛОМ</v>
      </c>
      <c r="M2026" s="13" t="b">
        <f t="shared" si="218"/>
        <v>0</v>
      </c>
      <c r="N2026" s="13">
        <f t="shared" si="219"/>
        <v>1</v>
      </c>
      <c r="O2026" s="13" t="str">
        <f t="shared" si="220"/>
        <v>ЭТАЖ ЗАДАН ЧИСЛОМ</v>
      </c>
      <c r="P2026" s="13" t="str">
        <f t="shared" si="221"/>
        <v>ЭТАЖ ЗАДАН ЧИСЛОМ</v>
      </c>
      <c r="Q2026" s="13" t="str">
        <f t="shared" si="222"/>
        <v>ГОТОВ_ИЗМЕНЕН</v>
      </c>
      <c r="R2026" s="13">
        <f>IFERROR(VLOOKUP(P2026,Лист1!A$1:B$20,2,FALSE),0)</f>
        <v>784</v>
      </c>
      <c r="S2026" s="13">
        <f t="shared" si="223"/>
        <v>0</v>
      </c>
    </row>
    <row r="2027" spans="1:19" x14ac:dyDescent="0.25">
      <c r="A2027" s="24" t="s">
        <v>3154</v>
      </c>
      <c r="B2027" s="4" t="s">
        <v>1059</v>
      </c>
      <c r="C2027" s="25" t="s">
        <v>7</v>
      </c>
      <c r="G2027" s="25" t="s">
        <v>1106</v>
      </c>
      <c r="H2027" s="24" t="s">
        <v>1061</v>
      </c>
      <c r="I2027" s="3" t="str">
        <f>IFERROR(VLOOKUP(C2027,'Справочник соответствий'!A$2:D$2981,2,FALSE),IF(VALUE(C2027)=0,1,VLOOKUP(C2027,'Справочник соответствий'!A$2:D$2981,2,FALSE)))</f>
        <v>2</v>
      </c>
      <c r="J2027" s="3">
        <f>IFERROR(VLOOKUP(D2027,'Справочник соответствий'!A$2:D$2981,2,FALSE),IF(VALUE(D2027)=0,0,VLOOKUP(D2027,'Справочник соответствий'!A$2:D$2981,2,FALSE)))</f>
        <v>0</v>
      </c>
      <c r="K2027" s="3" t="str">
        <f t="shared" si="217"/>
        <v>2</v>
      </c>
      <c r="L2027" s="13" t="str">
        <f>IFERROR(VLOOKUP(C2027,'Справочник соответствий'!A$2:D$2981,3,FALSE),IF(VALUE(C2027)=0,"ЭТАЖ НЕ ОПРЕДЕЛЕН. ПРИНЯТ ПО ДОПУЩЕНИЮ 1",VLOOKUP(C2027,'Справочник соответствий'!A$2:D$2981,3,FALSE)))</f>
        <v>ЭТАЖ ЗАДАН ЧИСЛОМ</v>
      </c>
      <c r="M2027" s="13" t="b">
        <f t="shared" si="218"/>
        <v>0</v>
      </c>
      <c r="N2027" s="13">
        <f t="shared" si="219"/>
        <v>2</v>
      </c>
      <c r="O2027" s="13" t="str">
        <f t="shared" si="220"/>
        <v>ЭТАЖ ЗАДАН ЧИСЛОМ</v>
      </c>
      <c r="P2027" s="13" t="str">
        <f t="shared" si="221"/>
        <v>ЭТАЖ ЗАДАН ЧИСЛОМ</v>
      </c>
      <c r="Q2027" s="13" t="str">
        <f t="shared" si="222"/>
        <v>ГОТОВ_ИЗМЕНЕН</v>
      </c>
      <c r="R2027" s="13">
        <f>IFERROR(VLOOKUP(P2027,Лист1!A$1:B$20,2,FALSE),0)</f>
        <v>784</v>
      </c>
      <c r="S2027" s="13">
        <f t="shared" si="223"/>
        <v>0</v>
      </c>
    </row>
    <row r="2028" spans="1:19" x14ac:dyDescent="0.25">
      <c r="A2028" s="24" t="s">
        <v>3155</v>
      </c>
      <c r="B2028" s="4" t="s">
        <v>1059</v>
      </c>
      <c r="C2028" s="25" t="s">
        <v>7</v>
      </c>
      <c r="G2028" s="25" t="s">
        <v>1106</v>
      </c>
      <c r="H2028" s="24" t="s">
        <v>1061</v>
      </c>
      <c r="I2028" s="3" t="str">
        <f>IFERROR(VLOOKUP(C2028,'Справочник соответствий'!A$2:D$2981,2,FALSE),IF(VALUE(C2028)=0,1,VLOOKUP(C2028,'Справочник соответствий'!A$2:D$2981,2,FALSE)))</f>
        <v>2</v>
      </c>
      <c r="J2028" s="3">
        <f>IFERROR(VLOOKUP(D2028,'Справочник соответствий'!A$2:D$2981,2,FALSE),IF(VALUE(D2028)=0,0,VLOOKUP(D2028,'Справочник соответствий'!A$2:D$2981,2,FALSE)))</f>
        <v>0</v>
      </c>
      <c r="K2028" s="3" t="str">
        <f t="shared" si="217"/>
        <v>2</v>
      </c>
      <c r="L2028" s="13" t="str">
        <f>IFERROR(VLOOKUP(C2028,'Справочник соответствий'!A$2:D$2981,3,FALSE),IF(VALUE(C2028)=0,"ЭТАЖ НЕ ОПРЕДЕЛЕН. ПРИНЯТ ПО ДОПУЩЕНИЮ 1",VLOOKUP(C2028,'Справочник соответствий'!A$2:D$2981,3,FALSE)))</f>
        <v>ЭТАЖ ЗАДАН ЧИСЛОМ</v>
      </c>
      <c r="M2028" s="13" t="b">
        <f t="shared" si="218"/>
        <v>0</v>
      </c>
      <c r="N2028" s="13">
        <f t="shared" si="219"/>
        <v>2</v>
      </c>
      <c r="O2028" s="13" t="str">
        <f t="shared" si="220"/>
        <v>ЭТАЖ ЗАДАН ЧИСЛОМ</v>
      </c>
      <c r="P2028" s="13" t="str">
        <f t="shared" si="221"/>
        <v>ЭТАЖ ЗАДАН ЧИСЛОМ</v>
      </c>
      <c r="Q2028" s="13" t="str">
        <f t="shared" si="222"/>
        <v>ГОТОВ_ИЗМЕНЕН</v>
      </c>
      <c r="R2028" s="13">
        <f>IFERROR(VLOOKUP(P2028,Лист1!A$1:B$20,2,FALSE),0)</f>
        <v>784</v>
      </c>
      <c r="S2028" s="13">
        <f t="shared" si="223"/>
        <v>0</v>
      </c>
    </row>
    <row r="2029" spans="1:19" x14ac:dyDescent="0.25">
      <c r="A2029" s="24" t="s">
        <v>3156</v>
      </c>
      <c r="B2029" s="4" t="s">
        <v>1059</v>
      </c>
      <c r="G2029" s="25" t="s">
        <v>1106</v>
      </c>
      <c r="H2029" s="24" t="s">
        <v>1061</v>
      </c>
      <c r="I2029" s="3">
        <f>IFERROR(VLOOKUP(C2029,'Справочник соответствий'!A$2:D$2981,2,FALSE),IF(VALUE(C2029)=0,1,VLOOKUP(C2029,'Справочник соответствий'!A$2:D$2981,2,FALSE)))</f>
        <v>1</v>
      </c>
      <c r="J2029" s="3">
        <f>IFERROR(VLOOKUP(D2029,'Справочник соответствий'!A$2:D$2981,2,FALSE),IF(VALUE(D2029)=0,0,VLOOKUP(D2029,'Справочник соответствий'!A$2:D$2981,2,FALSE)))</f>
        <v>0</v>
      </c>
      <c r="K2029" s="3">
        <f t="shared" si="217"/>
        <v>1</v>
      </c>
      <c r="L2029" s="13" t="str">
        <f>IFERROR(VLOOKUP(C2029,'Справочник соответствий'!A$2:D$2981,3,FALSE),IF(VALUE(C2029)=0,"ЭТАЖ НЕ ОПРЕДЕЛЕН. ПРИНЯТ ПО ДОПУЩЕНИЮ 1",VLOOKUP(C2029,'Справочник соответствий'!A$2:D$2981,3,FALSE)))</f>
        <v>ЭТАЖ НЕ ОПРЕДЕЛЕН. ПРИНЯТ ПО ДОПУЩЕНИЮ 1</v>
      </c>
      <c r="M2029" s="13" t="b">
        <f t="shared" si="218"/>
        <v>0</v>
      </c>
      <c r="N2029" s="13">
        <f t="shared" si="219"/>
        <v>1</v>
      </c>
      <c r="O2029" s="13" t="str">
        <f t="shared" si="220"/>
        <v>ЭТАЖ НЕ ОПРЕДЕЛЕН. ПРИНЯТ ПО ДОПУЩЕНИЮ 1</v>
      </c>
      <c r="P2029" s="13" t="str">
        <f t="shared" si="221"/>
        <v>ЭТАЖ НЕ ОПРЕДЕЛЕН. ПРИНЯТ ПО ДОПУЩЕНИЮ 1</v>
      </c>
      <c r="Q2029" s="13" t="str">
        <f t="shared" si="222"/>
        <v>ГОТОВ_ИЗМЕНЕН</v>
      </c>
      <c r="R2029" s="13">
        <f>IFERROR(VLOOKUP(P2029,Лист1!A$1:B$20,2,FALSE),0)</f>
        <v>788</v>
      </c>
      <c r="S2029" s="13">
        <f t="shared" si="223"/>
        <v>0</v>
      </c>
    </row>
    <row r="2030" spans="1:19" x14ac:dyDescent="0.25">
      <c r="A2030" s="24" t="s">
        <v>3157</v>
      </c>
      <c r="B2030" s="4" t="s">
        <v>1063</v>
      </c>
      <c r="C2030" s="25" t="s">
        <v>5</v>
      </c>
      <c r="G2030" s="25" t="s">
        <v>1106</v>
      </c>
      <c r="H2030" s="24" t="s">
        <v>1061</v>
      </c>
      <c r="I2030" s="3" t="str">
        <f>IFERROR(VLOOKUP(C2030,'Справочник соответствий'!A$2:D$2981,2,FALSE),IF(VALUE(C2030)=0,1,VLOOKUP(C2030,'Справочник соответствий'!A$2:D$2981,2,FALSE)))</f>
        <v>1</v>
      </c>
      <c r="J2030" s="3">
        <f>IFERROR(VLOOKUP(D2030,'Справочник соответствий'!A$2:D$2981,2,FALSE),IF(VALUE(D2030)=0,0,VLOOKUP(D2030,'Справочник соответствий'!A$2:D$2981,2,FALSE)))</f>
        <v>0</v>
      </c>
      <c r="K2030" s="3" t="str">
        <f t="shared" si="217"/>
        <v>1</v>
      </c>
      <c r="L2030" s="13" t="str">
        <f>IFERROR(VLOOKUP(C2030,'Справочник соответствий'!A$2:D$2981,3,FALSE),IF(VALUE(C2030)=0,"ЭТАЖ НЕ ОПРЕДЕЛЕН. ПРИНЯТ ПО ДОПУЩЕНИЮ 1",VLOOKUP(C2030,'Справочник соответствий'!A$2:D$2981,3,FALSE)))</f>
        <v>ЭТАЖ ЗАДАН ЧИСЛОМ</v>
      </c>
      <c r="M2030" s="13" t="b">
        <f t="shared" si="218"/>
        <v>0</v>
      </c>
      <c r="N2030" s="13">
        <f t="shared" si="219"/>
        <v>1</v>
      </c>
      <c r="O2030" s="13" t="str">
        <f t="shared" si="220"/>
        <v>ЭТАЖ ЗАДАН ЧИСЛОМ</v>
      </c>
      <c r="P2030" s="13" t="str">
        <f t="shared" si="221"/>
        <v>ЭТАЖ ЗАДАН ЧИСЛОМ</v>
      </c>
      <c r="Q2030" s="13" t="str">
        <f t="shared" si="222"/>
        <v>ГОТОВ_ИЗМЕНЕН</v>
      </c>
      <c r="R2030" s="13">
        <f>IFERROR(VLOOKUP(P2030,Лист1!A$1:B$20,2,FALSE),0)</f>
        <v>784</v>
      </c>
      <c r="S2030" s="13">
        <f t="shared" si="223"/>
        <v>0</v>
      </c>
    </row>
    <row r="2031" spans="1:19" x14ac:dyDescent="0.25">
      <c r="A2031" s="24" t="s">
        <v>3158</v>
      </c>
      <c r="B2031" s="4" t="s">
        <v>1063</v>
      </c>
      <c r="C2031" s="25" t="s">
        <v>5</v>
      </c>
      <c r="G2031" s="25" t="s">
        <v>1106</v>
      </c>
      <c r="H2031" s="24" t="s">
        <v>1061</v>
      </c>
      <c r="I2031" s="3" t="str">
        <f>IFERROR(VLOOKUP(C2031,'Справочник соответствий'!A$2:D$2981,2,FALSE),IF(VALUE(C2031)=0,1,VLOOKUP(C2031,'Справочник соответствий'!A$2:D$2981,2,FALSE)))</f>
        <v>1</v>
      </c>
      <c r="J2031" s="3">
        <f>IFERROR(VLOOKUP(D2031,'Справочник соответствий'!A$2:D$2981,2,FALSE),IF(VALUE(D2031)=0,0,VLOOKUP(D2031,'Справочник соответствий'!A$2:D$2981,2,FALSE)))</f>
        <v>0</v>
      </c>
      <c r="K2031" s="3" t="str">
        <f t="shared" si="217"/>
        <v>1</v>
      </c>
      <c r="L2031" s="13" t="str">
        <f>IFERROR(VLOOKUP(C2031,'Справочник соответствий'!A$2:D$2981,3,FALSE),IF(VALUE(C2031)=0,"ЭТАЖ НЕ ОПРЕДЕЛЕН. ПРИНЯТ ПО ДОПУЩЕНИЮ 1",VLOOKUP(C2031,'Справочник соответствий'!A$2:D$2981,3,FALSE)))</f>
        <v>ЭТАЖ ЗАДАН ЧИСЛОМ</v>
      </c>
      <c r="M2031" s="13" t="b">
        <f t="shared" si="218"/>
        <v>0</v>
      </c>
      <c r="N2031" s="13">
        <f t="shared" si="219"/>
        <v>1</v>
      </c>
      <c r="O2031" s="13" t="str">
        <f t="shared" si="220"/>
        <v>ЭТАЖ ЗАДАН ЧИСЛОМ</v>
      </c>
      <c r="P2031" s="13" t="str">
        <f t="shared" si="221"/>
        <v>ЭТАЖ ЗАДАН ЧИСЛОМ</v>
      </c>
      <c r="Q2031" s="13" t="str">
        <f t="shared" si="222"/>
        <v>ГОТОВ_ИЗМЕНЕН</v>
      </c>
      <c r="R2031" s="13">
        <f>IFERROR(VLOOKUP(P2031,Лист1!A$1:B$20,2,FALSE),0)</f>
        <v>784</v>
      </c>
      <c r="S2031" s="13">
        <f t="shared" si="223"/>
        <v>0</v>
      </c>
    </row>
    <row r="2032" spans="1:19" x14ac:dyDescent="0.25">
      <c r="A2032" s="24" t="s">
        <v>3159</v>
      </c>
      <c r="B2032" s="4" t="s">
        <v>1059</v>
      </c>
      <c r="C2032" s="25" t="s">
        <v>7</v>
      </c>
      <c r="G2032" s="25" t="s">
        <v>1083</v>
      </c>
      <c r="H2032" s="24" t="s">
        <v>1061</v>
      </c>
      <c r="I2032" s="3" t="str">
        <f>IFERROR(VLOOKUP(C2032,'Справочник соответствий'!A$2:D$2981,2,FALSE),IF(VALUE(C2032)=0,1,VLOOKUP(C2032,'Справочник соответствий'!A$2:D$2981,2,FALSE)))</f>
        <v>2</v>
      </c>
      <c r="J2032" s="3">
        <f>IFERROR(VLOOKUP(D2032,'Справочник соответствий'!A$2:D$2981,2,FALSE),IF(VALUE(D2032)=0,0,VLOOKUP(D2032,'Справочник соответствий'!A$2:D$2981,2,FALSE)))</f>
        <v>0</v>
      </c>
      <c r="K2032" s="3" t="str">
        <f t="shared" si="217"/>
        <v>2</v>
      </c>
      <c r="L2032" s="13" t="str">
        <f>IFERROR(VLOOKUP(C2032,'Справочник соответствий'!A$2:D$2981,3,FALSE),IF(VALUE(C2032)=0,"ЭТАЖ НЕ ОПРЕДЕЛЕН. ПРИНЯТ ПО ДОПУЩЕНИЮ 1",VLOOKUP(C2032,'Справочник соответствий'!A$2:D$2981,3,FALSE)))</f>
        <v>ЭТАЖ ЗАДАН ЧИСЛОМ</v>
      </c>
      <c r="M2032" s="13" t="b">
        <f t="shared" si="218"/>
        <v>0</v>
      </c>
      <c r="N2032" s="13">
        <f t="shared" si="219"/>
        <v>2</v>
      </c>
      <c r="O2032" s="13" t="str">
        <f t="shared" si="220"/>
        <v>ЭТАЖ ЗАДАН ЧИСЛОМ</v>
      </c>
      <c r="P2032" s="13" t="str">
        <f t="shared" si="221"/>
        <v>ЭТАЖ ЗАДАН ЧИСЛОМ</v>
      </c>
      <c r="Q2032" s="13" t="str">
        <f t="shared" si="222"/>
        <v>ГОТОВ_ИЗМЕНЕН</v>
      </c>
      <c r="R2032" s="13">
        <f>IFERROR(VLOOKUP(P2032,Лист1!A$1:B$20,2,FALSE),0)</f>
        <v>784</v>
      </c>
      <c r="S2032" s="13">
        <f t="shared" si="223"/>
        <v>0</v>
      </c>
    </row>
    <row r="2033" spans="1:19" x14ac:dyDescent="0.25">
      <c r="A2033" s="24" t="s">
        <v>3160</v>
      </c>
      <c r="B2033" s="4" t="s">
        <v>1063</v>
      </c>
      <c r="C2033" s="25" t="s">
        <v>5</v>
      </c>
      <c r="G2033" s="25" t="s">
        <v>1083</v>
      </c>
      <c r="H2033" s="24" t="s">
        <v>1061</v>
      </c>
      <c r="I2033" s="3" t="str">
        <f>IFERROR(VLOOKUP(C2033,'Справочник соответствий'!A$2:D$2981,2,FALSE),IF(VALUE(C2033)=0,1,VLOOKUP(C2033,'Справочник соответствий'!A$2:D$2981,2,FALSE)))</f>
        <v>1</v>
      </c>
      <c r="J2033" s="3">
        <f>IFERROR(VLOOKUP(D2033,'Справочник соответствий'!A$2:D$2981,2,FALSE),IF(VALUE(D2033)=0,0,VLOOKUP(D2033,'Справочник соответствий'!A$2:D$2981,2,FALSE)))</f>
        <v>0</v>
      </c>
      <c r="K2033" s="3" t="str">
        <f t="shared" si="217"/>
        <v>1</v>
      </c>
      <c r="L2033" s="13" t="str">
        <f>IFERROR(VLOOKUP(C2033,'Справочник соответствий'!A$2:D$2981,3,FALSE),IF(VALUE(C2033)=0,"ЭТАЖ НЕ ОПРЕДЕЛЕН. ПРИНЯТ ПО ДОПУЩЕНИЮ 1",VLOOKUP(C2033,'Справочник соответствий'!A$2:D$2981,3,FALSE)))</f>
        <v>ЭТАЖ ЗАДАН ЧИСЛОМ</v>
      </c>
      <c r="M2033" s="13" t="b">
        <f t="shared" si="218"/>
        <v>0</v>
      </c>
      <c r="N2033" s="13">
        <f t="shared" si="219"/>
        <v>1</v>
      </c>
      <c r="O2033" s="13" t="str">
        <f t="shared" si="220"/>
        <v>ЭТАЖ ЗАДАН ЧИСЛОМ</v>
      </c>
      <c r="P2033" s="13" t="str">
        <f t="shared" si="221"/>
        <v>ЭТАЖ ЗАДАН ЧИСЛОМ</v>
      </c>
      <c r="Q2033" s="13" t="str">
        <f t="shared" si="222"/>
        <v>ГОТОВ_ИЗМЕНЕН</v>
      </c>
      <c r="R2033" s="13">
        <f>IFERROR(VLOOKUP(P2033,Лист1!A$1:B$20,2,FALSE),0)</f>
        <v>784</v>
      </c>
      <c r="S2033" s="13">
        <f t="shared" si="223"/>
        <v>0</v>
      </c>
    </row>
    <row r="2034" spans="1:19" x14ac:dyDescent="0.25">
      <c r="A2034" s="24" t="s">
        <v>3161</v>
      </c>
      <c r="B2034" s="4" t="s">
        <v>1059</v>
      </c>
      <c r="C2034" s="25" t="s">
        <v>5</v>
      </c>
      <c r="G2034" s="25" t="s">
        <v>1083</v>
      </c>
      <c r="H2034" s="24" t="s">
        <v>1061</v>
      </c>
      <c r="I2034" s="3" t="str">
        <f>IFERROR(VLOOKUP(C2034,'Справочник соответствий'!A$2:D$2981,2,FALSE),IF(VALUE(C2034)=0,1,VLOOKUP(C2034,'Справочник соответствий'!A$2:D$2981,2,FALSE)))</f>
        <v>1</v>
      </c>
      <c r="J2034" s="3">
        <f>IFERROR(VLOOKUP(D2034,'Справочник соответствий'!A$2:D$2981,2,FALSE),IF(VALUE(D2034)=0,0,VLOOKUP(D2034,'Справочник соответствий'!A$2:D$2981,2,FALSE)))</f>
        <v>0</v>
      </c>
      <c r="K2034" s="3" t="str">
        <f t="shared" si="217"/>
        <v>1</v>
      </c>
      <c r="L2034" s="13" t="str">
        <f>IFERROR(VLOOKUP(C2034,'Справочник соответствий'!A$2:D$2981,3,FALSE),IF(VALUE(C2034)=0,"ЭТАЖ НЕ ОПРЕДЕЛЕН. ПРИНЯТ ПО ДОПУЩЕНИЮ 1",VLOOKUP(C2034,'Справочник соответствий'!A$2:D$2981,3,FALSE)))</f>
        <v>ЭТАЖ ЗАДАН ЧИСЛОМ</v>
      </c>
      <c r="M2034" s="13" t="b">
        <f t="shared" si="218"/>
        <v>0</v>
      </c>
      <c r="N2034" s="13">
        <f t="shared" si="219"/>
        <v>1</v>
      </c>
      <c r="O2034" s="13" t="str">
        <f t="shared" si="220"/>
        <v>ЭТАЖ ЗАДАН ЧИСЛОМ</v>
      </c>
      <c r="P2034" s="13" t="str">
        <f t="shared" si="221"/>
        <v>ЭТАЖ ЗАДАН ЧИСЛОМ</v>
      </c>
      <c r="Q2034" s="13" t="str">
        <f t="shared" si="222"/>
        <v>ГОТОВ_ИЗМЕНЕН</v>
      </c>
      <c r="R2034" s="13">
        <f>IFERROR(VLOOKUP(P2034,Лист1!A$1:B$20,2,FALSE),0)</f>
        <v>784</v>
      </c>
      <c r="S2034" s="13">
        <f t="shared" si="223"/>
        <v>0</v>
      </c>
    </row>
    <row r="2035" spans="1:19" x14ac:dyDescent="0.25">
      <c r="A2035" s="24" t="s">
        <v>3162</v>
      </c>
      <c r="B2035" s="4" t="s">
        <v>1063</v>
      </c>
      <c r="C2035" s="25" t="s">
        <v>5</v>
      </c>
      <c r="G2035" s="25" t="s">
        <v>1289</v>
      </c>
      <c r="H2035" s="24" t="s">
        <v>1061</v>
      </c>
      <c r="I2035" s="3" t="str">
        <f>IFERROR(VLOOKUP(C2035,'Справочник соответствий'!A$2:D$2981,2,FALSE),IF(VALUE(C2035)=0,1,VLOOKUP(C2035,'Справочник соответствий'!A$2:D$2981,2,FALSE)))</f>
        <v>1</v>
      </c>
      <c r="J2035" s="3">
        <f>IFERROR(VLOOKUP(D2035,'Справочник соответствий'!A$2:D$2981,2,FALSE),IF(VALUE(D2035)=0,0,VLOOKUP(D2035,'Справочник соответствий'!A$2:D$2981,2,FALSE)))</f>
        <v>0</v>
      </c>
      <c r="K2035" s="3" t="str">
        <f t="shared" si="217"/>
        <v>1</v>
      </c>
      <c r="L2035" s="13" t="str">
        <f>IFERROR(VLOOKUP(C2035,'Справочник соответствий'!A$2:D$2981,3,FALSE),IF(VALUE(C2035)=0,"ЭТАЖ НЕ ОПРЕДЕЛЕН. ПРИНЯТ ПО ДОПУЩЕНИЮ 1",VLOOKUP(C2035,'Справочник соответствий'!A$2:D$2981,3,FALSE)))</f>
        <v>ЭТАЖ ЗАДАН ЧИСЛОМ</v>
      </c>
      <c r="M2035" s="13" t="b">
        <f t="shared" si="218"/>
        <v>0</v>
      </c>
      <c r="N2035" s="13">
        <f t="shared" si="219"/>
        <v>1</v>
      </c>
      <c r="O2035" s="13" t="str">
        <f t="shared" si="220"/>
        <v>ЭТАЖ ЗАДАН ЧИСЛОМ</v>
      </c>
      <c r="P2035" s="13" t="str">
        <f t="shared" si="221"/>
        <v>ЭТАЖ ЗАДАН ЧИСЛОМ</v>
      </c>
      <c r="Q2035" s="13" t="str">
        <f t="shared" si="222"/>
        <v>ГОТОВ_ИЗМЕНЕН</v>
      </c>
      <c r="R2035" s="13">
        <f>IFERROR(VLOOKUP(P2035,Лист1!A$1:B$20,2,FALSE),0)</f>
        <v>784</v>
      </c>
      <c r="S2035" s="13">
        <f t="shared" si="223"/>
        <v>0</v>
      </c>
    </row>
    <row r="2036" spans="1:19" x14ac:dyDescent="0.25">
      <c r="A2036" s="24" t="s">
        <v>3163</v>
      </c>
      <c r="B2036" s="4" t="s">
        <v>1059</v>
      </c>
      <c r="C2036" s="25" t="s">
        <v>5</v>
      </c>
      <c r="G2036" s="25" t="s">
        <v>1083</v>
      </c>
      <c r="H2036" s="24" t="s">
        <v>1061</v>
      </c>
      <c r="I2036" s="3" t="str">
        <f>IFERROR(VLOOKUP(C2036,'Справочник соответствий'!A$2:D$2981,2,FALSE),IF(VALUE(C2036)=0,1,VLOOKUP(C2036,'Справочник соответствий'!A$2:D$2981,2,FALSE)))</f>
        <v>1</v>
      </c>
      <c r="J2036" s="3">
        <f>IFERROR(VLOOKUP(D2036,'Справочник соответствий'!A$2:D$2981,2,FALSE),IF(VALUE(D2036)=0,0,VLOOKUP(D2036,'Справочник соответствий'!A$2:D$2981,2,FALSE)))</f>
        <v>0</v>
      </c>
      <c r="K2036" s="3" t="str">
        <f t="shared" si="217"/>
        <v>1</v>
      </c>
      <c r="L2036" s="13" t="str">
        <f>IFERROR(VLOOKUP(C2036,'Справочник соответствий'!A$2:D$2981,3,FALSE),IF(VALUE(C2036)=0,"ЭТАЖ НЕ ОПРЕДЕЛЕН. ПРИНЯТ ПО ДОПУЩЕНИЮ 1",VLOOKUP(C2036,'Справочник соответствий'!A$2:D$2981,3,FALSE)))</f>
        <v>ЭТАЖ ЗАДАН ЧИСЛОМ</v>
      </c>
      <c r="M2036" s="13" t="b">
        <f t="shared" si="218"/>
        <v>0</v>
      </c>
      <c r="N2036" s="13">
        <f t="shared" si="219"/>
        <v>1</v>
      </c>
      <c r="O2036" s="13" t="str">
        <f t="shared" si="220"/>
        <v>ЭТАЖ ЗАДАН ЧИСЛОМ</v>
      </c>
      <c r="P2036" s="13" t="str">
        <f t="shared" si="221"/>
        <v>ЭТАЖ ЗАДАН ЧИСЛОМ</v>
      </c>
      <c r="Q2036" s="13" t="str">
        <f t="shared" si="222"/>
        <v>ГОТОВ_ИЗМЕНЕН</v>
      </c>
      <c r="R2036" s="13">
        <f>IFERROR(VLOOKUP(P2036,Лист1!A$1:B$20,2,FALSE),0)</f>
        <v>784</v>
      </c>
      <c r="S2036" s="13">
        <f t="shared" si="223"/>
        <v>0</v>
      </c>
    </row>
    <row r="2037" spans="1:19" x14ac:dyDescent="0.25">
      <c r="A2037" s="24" t="s">
        <v>3164</v>
      </c>
      <c r="B2037" s="4" t="s">
        <v>1063</v>
      </c>
      <c r="C2037" s="25" t="s">
        <v>5</v>
      </c>
      <c r="G2037" s="25" t="s">
        <v>1083</v>
      </c>
      <c r="H2037" s="24" t="s">
        <v>1061</v>
      </c>
      <c r="I2037" s="3" t="str">
        <f>IFERROR(VLOOKUP(C2037,'Справочник соответствий'!A$2:D$2981,2,FALSE),IF(VALUE(C2037)=0,1,VLOOKUP(C2037,'Справочник соответствий'!A$2:D$2981,2,FALSE)))</f>
        <v>1</v>
      </c>
      <c r="J2037" s="3">
        <f>IFERROR(VLOOKUP(D2037,'Справочник соответствий'!A$2:D$2981,2,FALSE),IF(VALUE(D2037)=0,0,VLOOKUP(D2037,'Справочник соответствий'!A$2:D$2981,2,FALSE)))</f>
        <v>0</v>
      </c>
      <c r="K2037" s="3" t="str">
        <f t="shared" si="217"/>
        <v>1</v>
      </c>
      <c r="L2037" s="13" t="str">
        <f>IFERROR(VLOOKUP(C2037,'Справочник соответствий'!A$2:D$2981,3,FALSE),IF(VALUE(C2037)=0,"ЭТАЖ НЕ ОПРЕДЕЛЕН. ПРИНЯТ ПО ДОПУЩЕНИЮ 1",VLOOKUP(C2037,'Справочник соответствий'!A$2:D$2981,3,FALSE)))</f>
        <v>ЭТАЖ ЗАДАН ЧИСЛОМ</v>
      </c>
      <c r="M2037" s="13" t="b">
        <f t="shared" si="218"/>
        <v>0</v>
      </c>
      <c r="N2037" s="13">
        <f t="shared" si="219"/>
        <v>1</v>
      </c>
      <c r="O2037" s="13" t="str">
        <f t="shared" si="220"/>
        <v>ЭТАЖ ЗАДАН ЧИСЛОМ</v>
      </c>
      <c r="P2037" s="13" t="str">
        <f t="shared" si="221"/>
        <v>ЭТАЖ ЗАДАН ЧИСЛОМ</v>
      </c>
      <c r="Q2037" s="13" t="str">
        <f t="shared" si="222"/>
        <v>ГОТОВ_ИЗМЕНЕН</v>
      </c>
      <c r="R2037" s="13">
        <f>IFERROR(VLOOKUP(P2037,Лист1!A$1:B$20,2,FALSE),0)</f>
        <v>784</v>
      </c>
      <c r="S2037" s="13">
        <f t="shared" si="223"/>
        <v>0</v>
      </c>
    </row>
    <row r="2038" spans="1:19" x14ac:dyDescent="0.25">
      <c r="A2038" s="24" t="s">
        <v>3165</v>
      </c>
      <c r="B2038" s="4" t="s">
        <v>1059</v>
      </c>
      <c r="C2038" s="25" t="s">
        <v>5</v>
      </c>
      <c r="G2038" s="25" t="s">
        <v>1083</v>
      </c>
      <c r="H2038" s="24" t="s">
        <v>1061</v>
      </c>
      <c r="I2038" s="3" t="str">
        <f>IFERROR(VLOOKUP(C2038,'Справочник соответствий'!A$2:D$2981,2,FALSE),IF(VALUE(C2038)=0,1,VLOOKUP(C2038,'Справочник соответствий'!A$2:D$2981,2,FALSE)))</f>
        <v>1</v>
      </c>
      <c r="J2038" s="3">
        <f>IFERROR(VLOOKUP(D2038,'Справочник соответствий'!A$2:D$2981,2,FALSE),IF(VALUE(D2038)=0,0,VLOOKUP(D2038,'Справочник соответствий'!A$2:D$2981,2,FALSE)))</f>
        <v>0</v>
      </c>
      <c r="K2038" s="3" t="str">
        <f t="shared" si="217"/>
        <v>1</v>
      </c>
      <c r="L2038" s="13" t="str">
        <f>IFERROR(VLOOKUP(C2038,'Справочник соответствий'!A$2:D$2981,3,FALSE),IF(VALUE(C2038)=0,"ЭТАЖ НЕ ОПРЕДЕЛЕН. ПРИНЯТ ПО ДОПУЩЕНИЮ 1",VLOOKUP(C2038,'Справочник соответствий'!A$2:D$2981,3,FALSE)))</f>
        <v>ЭТАЖ ЗАДАН ЧИСЛОМ</v>
      </c>
      <c r="M2038" s="13" t="b">
        <f t="shared" si="218"/>
        <v>0</v>
      </c>
      <c r="N2038" s="13">
        <f t="shared" si="219"/>
        <v>1</v>
      </c>
      <c r="O2038" s="13" t="str">
        <f t="shared" si="220"/>
        <v>ЭТАЖ ЗАДАН ЧИСЛОМ</v>
      </c>
      <c r="P2038" s="13" t="str">
        <f t="shared" si="221"/>
        <v>ЭТАЖ ЗАДАН ЧИСЛОМ</v>
      </c>
      <c r="Q2038" s="13" t="str">
        <f t="shared" si="222"/>
        <v>ГОТОВ_ИЗМЕНЕН</v>
      </c>
      <c r="R2038" s="13">
        <f>IFERROR(VLOOKUP(P2038,Лист1!A$1:B$20,2,FALSE),0)</f>
        <v>784</v>
      </c>
      <c r="S2038" s="13">
        <f t="shared" si="223"/>
        <v>0</v>
      </c>
    </row>
    <row r="2039" spans="1:19" x14ac:dyDescent="0.25">
      <c r="A2039" s="24" t="s">
        <v>3166</v>
      </c>
      <c r="B2039" s="4" t="s">
        <v>1063</v>
      </c>
      <c r="C2039" s="25" t="s">
        <v>5</v>
      </c>
      <c r="G2039" s="25" t="s">
        <v>1083</v>
      </c>
      <c r="H2039" s="24" t="s">
        <v>1061</v>
      </c>
      <c r="I2039" s="3" t="str">
        <f>IFERROR(VLOOKUP(C2039,'Справочник соответствий'!A$2:D$2981,2,FALSE),IF(VALUE(C2039)=0,1,VLOOKUP(C2039,'Справочник соответствий'!A$2:D$2981,2,FALSE)))</f>
        <v>1</v>
      </c>
      <c r="J2039" s="3">
        <f>IFERROR(VLOOKUP(D2039,'Справочник соответствий'!A$2:D$2981,2,FALSE),IF(VALUE(D2039)=0,0,VLOOKUP(D2039,'Справочник соответствий'!A$2:D$2981,2,FALSE)))</f>
        <v>0</v>
      </c>
      <c r="K2039" s="3" t="str">
        <f t="shared" si="217"/>
        <v>1</v>
      </c>
      <c r="L2039" s="13" t="str">
        <f>IFERROR(VLOOKUP(C2039,'Справочник соответствий'!A$2:D$2981,3,FALSE),IF(VALUE(C2039)=0,"ЭТАЖ НЕ ОПРЕДЕЛЕН. ПРИНЯТ ПО ДОПУЩЕНИЮ 1",VLOOKUP(C2039,'Справочник соответствий'!A$2:D$2981,3,FALSE)))</f>
        <v>ЭТАЖ ЗАДАН ЧИСЛОМ</v>
      </c>
      <c r="M2039" s="13" t="b">
        <f t="shared" si="218"/>
        <v>0</v>
      </c>
      <c r="N2039" s="13">
        <f t="shared" si="219"/>
        <v>1</v>
      </c>
      <c r="O2039" s="13" t="str">
        <f t="shared" si="220"/>
        <v>ЭТАЖ ЗАДАН ЧИСЛОМ</v>
      </c>
      <c r="P2039" s="13" t="str">
        <f t="shared" si="221"/>
        <v>ЭТАЖ ЗАДАН ЧИСЛОМ</v>
      </c>
      <c r="Q2039" s="13" t="str">
        <f t="shared" si="222"/>
        <v>ГОТОВ_ИЗМЕНЕН</v>
      </c>
      <c r="R2039" s="13">
        <f>IFERROR(VLOOKUP(P2039,Лист1!A$1:B$20,2,FALSE),0)</f>
        <v>784</v>
      </c>
      <c r="S2039" s="13">
        <f t="shared" si="223"/>
        <v>0</v>
      </c>
    </row>
    <row r="2040" spans="1:19" x14ac:dyDescent="0.25">
      <c r="A2040" s="24" t="s">
        <v>3167</v>
      </c>
      <c r="B2040" s="4" t="s">
        <v>1059</v>
      </c>
      <c r="C2040" s="25" t="s">
        <v>7</v>
      </c>
      <c r="G2040" s="25" t="s">
        <v>1083</v>
      </c>
      <c r="H2040" s="24" t="s">
        <v>1061</v>
      </c>
      <c r="I2040" s="3" t="str">
        <f>IFERROR(VLOOKUP(C2040,'Справочник соответствий'!A$2:D$2981,2,FALSE),IF(VALUE(C2040)=0,1,VLOOKUP(C2040,'Справочник соответствий'!A$2:D$2981,2,FALSE)))</f>
        <v>2</v>
      </c>
      <c r="J2040" s="3">
        <f>IFERROR(VLOOKUP(D2040,'Справочник соответствий'!A$2:D$2981,2,FALSE),IF(VALUE(D2040)=0,0,VLOOKUP(D2040,'Справочник соответствий'!A$2:D$2981,2,FALSE)))</f>
        <v>0</v>
      </c>
      <c r="K2040" s="3" t="str">
        <f t="shared" si="217"/>
        <v>2</v>
      </c>
      <c r="L2040" s="13" t="str">
        <f>IFERROR(VLOOKUP(C2040,'Справочник соответствий'!A$2:D$2981,3,FALSE),IF(VALUE(C2040)=0,"ЭТАЖ НЕ ОПРЕДЕЛЕН. ПРИНЯТ ПО ДОПУЩЕНИЮ 1",VLOOKUP(C2040,'Справочник соответствий'!A$2:D$2981,3,FALSE)))</f>
        <v>ЭТАЖ ЗАДАН ЧИСЛОМ</v>
      </c>
      <c r="M2040" s="13" t="b">
        <f t="shared" si="218"/>
        <v>0</v>
      </c>
      <c r="N2040" s="13">
        <f t="shared" si="219"/>
        <v>2</v>
      </c>
      <c r="O2040" s="13" t="str">
        <f t="shared" si="220"/>
        <v>ЭТАЖ ЗАДАН ЧИСЛОМ</v>
      </c>
      <c r="P2040" s="13" t="str">
        <f t="shared" si="221"/>
        <v>ЭТАЖ ЗАДАН ЧИСЛОМ</v>
      </c>
      <c r="Q2040" s="13" t="str">
        <f t="shared" si="222"/>
        <v>ГОТОВ_ИЗМЕНЕН</v>
      </c>
      <c r="R2040" s="13">
        <f>IFERROR(VLOOKUP(P2040,Лист1!A$1:B$20,2,FALSE),0)</f>
        <v>784</v>
      </c>
      <c r="S2040" s="13">
        <f t="shared" si="223"/>
        <v>0</v>
      </c>
    </row>
    <row r="2041" spans="1:19" x14ac:dyDescent="0.25">
      <c r="A2041" s="24" t="s">
        <v>3168</v>
      </c>
      <c r="B2041" s="4" t="s">
        <v>1063</v>
      </c>
      <c r="G2041" s="25" t="s">
        <v>1083</v>
      </c>
      <c r="H2041" s="24" t="s">
        <v>1061</v>
      </c>
      <c r="I2041" s="3">
        <f>IFERROR(VLOOKUP(C2041,'Справочник соответствий'!A$2:D$2981,2,FALSE),IF(VALUE(C2041)=0,1,VLOOKUP(C2041,'Справочник соответствий'!A$2:D$2981,2,FALSE)))</f>
        <v>1</v>
      </c>
      <c r="J2041" s="3">
        <f>IFERROR(VLOOKUP(D2041,'Справочник соответствий'!A$2:D$2981,2,FALSE),IF(VALUE(D2041)=0,0,VLOOKUP(D2041,'Справочник соответствий'!A$2:D$2981,2,FALSE)))</f>
        <v>0</v>
      </c>
      <c r="K2041" s="3">
        <f t="shared" si="217"/>
        <v>1</v>
      </c>
      <c r="L2041" s="13" t="str">
        <f>IFERROR(VLOOKUP(C2041,'Справочник соответствий'!A$2:D$2981,3,FALSE),IF(VALUE(C2041)=0,"ЭТАЖ НЕ ОПРЕДЕЛЕН. ПРИНЯТ ПО ДОПУЩЕНИЮ 1",VLOOKUP(C2041,'Справочник соответствий'!A$2:D$2981,3,FALSE)))</f>
        <v>ЭТАЖ НЕ ОПРЕДЕЛЕН. ПРИНЯТ ПО ДОПУЩЕНИЮ 1</v>
      </c>
      <c r="M2041" s="13" t="b">
        <f t="shared" si="218"/>
        <v>0</v>
      </c>
      <c r="N2041" s="13">
        <f t="shared" si="219"/>
        <v>1</v>
      </c>
      <c r="O2041" s="13" t="str">
        <f t="shared" si="220"/>
        <v>ЭТАЖ НЕ ОПРЕДЕЛЕН. ПРИНЯТ ПО ДОПУЩЕНИЮ 1</v>
      </c>
      <c r="P2041" s="13" t="str">
        <f t="shared" si="221"/>
        <v>ЭТАЖ НЕ ОПРЕДЕЛЕН. ПРИНЯТ ПО ДОПУЩЕНИЮ 1</v>
      </c>
      <c r="Q2041" s="13" t="str">
        <f t="shared" si="222"/>
        <v>ГОТОВ_ИЗМЕНЕН</v>
      </c>
      <c r="R2041" s="13">
        <f>IFERROR(VLOOKUP(P2041,Лист1!A$1:B$20,2,FALSE),0)</f>
        <v>788</v>
      </c>
      <c r="S2041" s="13">
        <f t="shared" si="223"/>
        <v>0</v>
      </c>
    </row>
    <row r="2042" spans="1:19" x14ac:dyDescent="0.25">
      <c r="A2042" s="24" t="s">
        <v>3169</v>
      </c>
      <c r="B2042" s="4" t="s">
        <v>1059</v>
      </c>
      <c r="C2042" s="25" t="s">
        <v>7</v>
      </c>
      <c r="G2042" s="25" t="s">
        <v>1083</v>
      </c>
      <c r="H2042" s="24" t="s">
        <v>1061</v>
      </c>
      <c r="I2042" s="3" t="str">
        <f>IFERROR(VLOOKUP(C2042,'Справочник соответствий'!A$2:D$2981,2,FALSE),IF(VALUE(C2042)=0,1,VLOOKUP(C2042,'Справочник соответствий'!A$2:D$2981,2,FALSE)))</f>
        <v>2</v>
      </c>
      <c r="J2042" s="3">
        <f>IFERROR(VLOOKUP(D2042,'Справочник соответствий'!A$2:D$2981,2,FALSE),IF(VALUE(D2042)=0,0,VLOOKUP(D2042,'Справочник соответствий'!A$2:D$2981,2,FALSE)))</f>
        <v>0</v>
      </c>
      <c r="K2042" s="3" t="str">
        <f t="shared" si="217"/>
        <v>2</v>
      </c>
      <c r="L2042" s="13" t="str">
        <f>IFERROR(VLOOKUP(C2042,'Справочник соответствий'!A$2:D$2981,3,FALSE),IF(VALUE(C2042)=0,"ЭТАЖ НЕ ОПРЕДЕЛЕН. ПРИНЯТ ПО ДОПУЩЕНИЮ 1",VLOOKUP(C2042,'Справочник соответствий'!A$2:D$2981,3,FALSE)))</f>
        <v>ЭТАЖ ЗАДАН ЧИСЛОМ</v>
      </c>
      <c r="M2042" s="13" t="b">
        <f t="shared" si="218"/>
        <v>0</v>
      </c>
      <c r="N2042" s="13">
        <f t="shared" si="219"/>
        <v>2</v>
      </c>
      <c r="O2042" s="13" t="str">
        <f t="shared" si="220"/>
        <v>ЭТАЖ ЗАДАН ЧИСЛОМ</v>
      </c>
      <c r="P2042" s="13" t="str">
        <f t="shared" si="221"/>
        <v>ЭТАЖ ЗАДАН ЧИСЛОМ</v>
      </c>
      <c r="Q2042" s="13" t="str">
        <f t="shared" si="222"/>
        <v>ГОТОВ_ИЗМЕНЕН</v>
      </c>
      <c r="R2042" s="13">
        <f>IFERROR(VLOOKUP(P2042,Лист1!A$1:B$20,2,FALSE),0)</f>
        <v>784</v>
      </c>
      <c r="S2042" s="13">
        <f t="shared" si="223"/>
        <v>0</v>
      </c>
    </row>
    <row r="2043" spans="1:19" x14ac:dyDescent="0.25">
      <c r="A2043" s="24" t="s">
        <v>3170</v>
      </c>
      <c r="B2043" s="4" t="s">
        <v>1059</v>
      </c>
      <c r="C2043" s="25" t="s">
        <v>5</v>
      </c>
      <c r="G2043" s="25" t="s">
        <v>1089</v>
      </c>
      <c r="H2043" s="24" t="s">
        <v>1061</v>
      </c>
      <c r="I2043" s="3" t="str">
        <f>IFERROR(VLOOKUP(C2043,'Справочник соответствий'!A$2:D$2981,2,FALSE),IF(VALUE(C2043)=0,1,VLOOKUP(C2043,'Справочник соответствий'!A$2:D$2981,2,FALSE)))</f>
        <v>1</v>
      </c>
      <c r="J2043" s="3">
        <f>IFERROR(VLOOKUP(D2043,'Справочник соответствий'!A$2:D$2981,2,FALSE),IF(VALUE(D2043)=0,0,VLOOKUP(D2043,'Справочник соответствий'!A$2:D$2981,2,FALSE)))</f>
        <v>0</v>
      </c>
      <c r="K2043" s="3" t="str">
        <f t="shared" si="217"/>
        <v>1</v>
      </c>
      <c r="L2043" s="13" t="str">
        <f>IFERROR(VLOOKUP(C2043,'Справочник соответствий'!A$2:D$2981,3,FALSE),IF(VALUE(C2043)=0,"ЭТАЖ НЕ ОПРЕДЕЛЕН. ПРИНЯТ ПО ДОПУЩЕНИЮ 1",VLOOKUP(C2043,'Справочник соответствий'!A$2:D$2981,3,FALSE)))</f>
        <v>ЭТАЖ ЗАДАН ЧИСЛОМ</v>
      </c>
      <c r="M2043" s="13" t="b">
        <f t="shared" si="218"/>
        <v>0</v>
      </c>
      <c r="N2043" s="13">
        <f t="shared" si="219"/>
        <v>1</v>
      </c>
      <c r="O2043" s="13" t="str">
        <f t="shared" si="220"/>
        <v>ЭТАЖ ЗАДАН ЧИСЛОМ</v>
      </c>
      <c r="P2043" s="13" t="str">
        <f t="shared" si="221"/>
        <v>ЭТАЖ ЗАДАН ЧИСЛОМ</v>
      </c>
      <c r="Q2043" s="13" t="str">
        <f t="shared" si="222"/>
        <v>ГОТОВ_ИЗМЕНЕН</v>
      </c>
      <c r="R2043" s="13">
        <f>IFERROR(VLOOKUP(P2043,Лист1!A$1:B$20,2,FALSE),0)</f>
        <v>784</v>
      </c>
      <c r="S2043" s="13">
        <f t="shared" si="223"/>
        <v>0</v>
      </c>
    </row>
    <row r="2044" spans="1:19" x14ac:dyDescent="0.25">
      <c r="A2044" s="24" t="s">
        <v>3171</v>
      </c>
      <c r="B2044" s="4" t="s">
        <v>1063</v>
      </c>
      <c r="C2044" s="25" t="s">
        <v>5</v>
      </c>
      <c r="E2044" s="3">
        <v>1</v>
      </c>
      <c r="F2044" s="24" t="s">
        <v>1045</v>
      </c>
      <c r="G2044" s="25" t="s">
        <v>1698</v>
      </c>
      <c r="H2044" s="24" t="s">
        <v>1061</v>
      </c>
      <c r="I2044" s="3" t="str">
        <f>IFERROR(VLOOKUP(C2044,'Справочник соответствий'!A$2:D$2981,2,FALSE),IF(VALUE(C2044)=0,1,VLOOKUP(C2044,'Справочник соответствий'!A$2:D$2981,2,FALSE)))</f>
        <v>1</v>
      </c>
      <c r="J2044" s="3">
        <f>IFERROR(VLOOKUP(D2044,'Справочник соответствий'!A$2:D$2981,2,FALSE),IF(VALUE(D2044)=0,0,VLOOKUP(D2044,'Справочник соответствий'!A$2:D$2981,2,FALSE)))</f>
        <v>0</v>
      </c>
      <c r="K2044" s="3" t="str">
        <f t="shared" si="217"/>
        <v>1</v>
      </c>
      <c r="L2044" s="13" t="str">
        <f>IFERROR(VLOOKUP(C2044,'Справочник соответствий'!A$2:D$2981,3,FALSE),IF(VALUE(C2044)=0,"ЭТАЖ НЕ ОПРЕДЕЛЕН. ПРИНЯТ ПО ДОПУЩЕНИЮ 1",VLOOKUP(C2044,'Справочник соответствий'!A$2:D$2981,3,FALSE)))</f>
        <v>ЭТАЖ ЗАДАН ЧИСЛОМ</v>
      </c>
      <c r="M2044" s="13" t="b">
        <f t="shared" si="218"/>
        <v>0</v>
      </c>
      <c r="N2044" s="13">
        <f t="shared" si="219"/>
        <v>1</v>
      </c>
      <c r="O2044" s="13" t="str">
        <f t="shared" si="220"/>
        <v>ЭТАЖ ЗАДАН ЧИСЛОМ</v>
      </c>
      <c r="P2044" s="13" t="str">
        <f t="shared" si="221"/>
        <v>ЭТАЖ ЗАДАН ЧИСЛОМ</v>
      </c>
      <c r="Q2044" s="13" t="str">
        <f t="shared" si="222"/>
        <v>ГОТОВ</v>
      </c>
      <c r="R2044" s="13">
        <f>IFERROR(VLOOKUP(P2044,Лист1!A$1:B$20,2,FALSE),0)</f>
        <v>784</v>
      </c>
      <c r="S2044" s="13">
        <f t="shared" si="223"/>
        <v>1</v>
      </c>
    </row>
    <row r="2045" spans="1:19" x14ac:dyDescent="0.25">
      <c r="A2045" s="24" t="s">
        <v>3172</v>
      </c>
      <c r="B2045" s="4" t="s">
        <v>1063</v>
      </c>
      <c r="C2045" s="25" t="s">
        <v>7</v>
      </c>
      <c r="E2045" s="3">
        <v>2</v>
      </c>
      <c r="F2045" s="24" t="s">
        <v>1045</v>
      </c>
      <c r="G2045" s="25" t="s">
        <v>1114</v>
      </c>
      <c r="H2045" s="24" t="s">
        <v>1061</v>
      </c>
      <c r="I2045" s="3" t="str">
        <f>IFERROR(VLOOKUP(C2045,'Справочник соответствий'!A$2:D$2981,2,FALSE),IF(VALUE(C2045)=0,1,VLOOKUP(C2045,'Справочник соответствий'!A$2:D$2981,2,FALSE)))</f>
        <v>2</v>
      </c>
      <c r="J2045" s="3">
        <f>IFERROR(VLOOKUP(D2045,'Справочник соответствий'!A$2:D$2981,2,FALSE),IF(VALUE(D2045)=0,0,VLOOKUP(D2045,'Справочник соответствий'!A$2:D$2981,2,FALSE)))</f>
        <v>0</v>
      </c>
      <c r="K2045" s="3" t="str">
        <f t="shared" si="217"/>
        <v>2</v>
      </c>
      <c r="L2045" s="13" t="str">
        <f>IFERROR(VLOOKUP(C2045,'Справочник соответствий'!A$2:D$2981,3,FALSE),IF(VALUE(C2045)=0,"ЭТАЖ НЕ ОПРЕДЕЛЕН. ПРИНЯТ ПО ДОПУЩЕНИЮ 1",VLOOKUP(C2045,'Справочник соответствий'!A$2:D$2981,3,FALSE)))</f>
        <v>ЭТАЖ ЗАДАН ЧИСЛОМ</v>
      </c>
      <c r="M2045" s="13" t="b">
        <f t="shared" si="218"/>
        <v>0</v>
      </c>
      <c r="N2045" s="13">
        <f t="shared" si="219"/>
        <v>2</v>
      </c>
      <c r="O2045" s="13" t="str">
        <f t="shared" si="220"/>
        <v>ЭТАЖ ЗАДАН ЧИСЛОМ</v>
      </c>
      <c r="P2045" s="13" t="str">
        <f t="shared" si="221"/>
        <v>ЭТАЖ ЗАДАН ЧИСЛОМ</v>
      </c>
      <c r="Q2045" s="13" t="str">
        <f t="shared" si="222"/>
        <v>ГОТОВ</v>
      </c>
      <c r="R2045" s="13">
        <f>IFERROR(VLOOKUP(P2045,Лист1!A$1:B$20,2,FALSE),0)</f>
        <v>784</v>
      </c>
      <c r="S2045" s="13">
        <f t="shared" si="223"/>
        <v>2</v>
      </c>
    </row>
    <row r="2046" spans="1:19" x14ac:dyDescent="0.25">
      <c r="A2046" s="24" t="s">
        <v>3173</v>
      </c>
      <c r="B2046" s="4" t="s">
        <v>1059</v>
      </c>
      <c r="C2046" s="25" t="s">
        <v>5</v>
      </c>
      <c r="D2046" s="25" t="s">
        <v>24</v>
      </c>
      <c r="E2046" s="3">
        <v>1</v>
      </c>
      <c r="F2046" s="24" t="s">
        <v>1045</v>
      </c>
      <c r="G2046" s="25" t="s">
        <v>1072</v>
      </c>
      <c r="H2046" s="24" t="s">
        <v>1061</v>
      </c>
      <c r="I2046" s="3" t="str">
        <f>IFERROR(VLOOKUP(C2046,'Справочник соответствий'!A$2:D$2981,2,FALSE),IF(VALUE(C2046)=0,1,VLOOKUP(C2046,'Справочник соответствий'!A$2:D$2981,2,FALSE)))</f>
        <v>1</v>
      </c>
      <c r="J2046" s="3" t="str">
        <f>IFERROR(VLOOKUP(D2046,'Справочник соответствий'!A$2:D$2981,2,FALSE),IF(VALUE(D2046)=0,0,VLOOKUP(D2046,'Справочник соответствий'!A$2:D$2981,2,FALSE)))</f>
        <v>1</v>
      </c>
      <c r="K2046" s="3" t="str">
        <f t="shared" si="217"/>
        <v>1</v>
      </c>
      <c r="L2046" s="13" t="str">
        <f>IFERROR(VLOOKUP(C2046,'Справочник соответствий'!A$2:D$2981,3,FALSE),IF(VALUE(C2046)=0,"ЭТАЖ НЕ ОПРЕДЕЛЕН. ПРИНЯТ ПО ДОПУЩЕНИЮ 1",VLOOKUP(C2046,'Справочник соответствий'!A$2:D$2981,3,FALSE)))</f>
        <v>ЭТАЖ ЗАДАН ЧИСЛОМ</v>
      </c>
      <c r="M2046" s="13" t="b">
        <f t="shared" si="218"/>
        <v>0</v>
      </c>
      <c r="N2046" s="13">
        <f t="shared" si="219"/>
        <v>1</v>
      </c>
      <c r="O2046" s="13" t="str">
        <f t="shared" si="220"/>
        <v>ЭТАЖ ЗАДАН ЧИСЛОМ</v>
      </c>
      <c r="P2046" s="13" t="str">
        <f t="shared" si="221"/>
        <v>ЭТАЖ ЗАДАН ЧИСЛОМ</v>
      </c>
      <c r="Q2046" s="13" t="str">
        <f t="shared" si="222"/>
        <v>ГОТОВ</v>
      </c>
      <c r="R2046" s="13">
        <f>IFERROR(VLOOKUP(P2046,Лист1!A$1:B$20,2,FALSE),0)</f>
        <v>784</v>
      </c>
      <c r="S2046" s="13">
        <f t="shared" si="223"/>
        <v>1</v>
      </c>
    </row>
    <row r="2047" spans="1:19" x14ac:dyDescent="0.25">
      <c r="A2047" s="24" t="s">
        <v>3174</v>
      </c>
      <c r="B2047" s="4" t="s">
        <v>1063</v>
      </c>
      <c r="C2047" s="25" t="s">
        <v>7</v>
      </c>
      <c r="D2047" s="25" t="s">
        <v>5</v>
      </c>
      <c r="E2047" s="3">
        <v>2</v>
      </c>
      <c r="F2047" s="24" t="s">
        <v>1304</v>
      </c>
      <c r="G2047" s="25" t="s">
        <v>1089</v>
      </c>
      <c r="H2047" s="24" t="s">
        <v>1061</v>
      </c>
      <c r="I2047" s="3" t="str">
        <f>IFERROR(VLOOKUP(C2047,'Справочник соответствий'!A$2:D$2981,2,FALSE),IF(VALUE(C2047)=0,1,VLOOKUP(C2047,'Справочник соответствий'!A$2:D$2981,2,FALSE)))</f>
        <v>2</v>
      </c>
      <c r="J2047" s="3" t="str">
        <f>IFERROR(VLOOKUP(D2047,'Справочник соответствий'!A$2:D$2981,2,FALSE),IF(VALUE(D2047)=0,0,VLOOKUP(D2047,'Справочник соответствий'!A$2:D$2981,2,FALSE)))</f>
        <v>1</v>
      </c>
      <c r="K2047" s="3" t="str">
        <f t="shared" si="217"/>
        <v>2</v>
      </c>
      <c r="L2047" s="13" t="str">
        <f>IFERROR(VLOOKUP(C2047,'Справочник соответствий'!A$2:D$2981,3,FALSE),IF(VALUE(C2047)=0,"ЭТАЖ НЕ ОПРЕДЕЛЕН. ПРИНЯТ ПО ДОПУЩЕНИЮ 1",VLOOKUP(C2047,'Справочник соответствий'!A$2:D$2981,3,FALSE)))</f>
        <v>ЭТАЖ ЗАДАН ЧИСЛОМ</v>
      </c>
      <c r="M2047" s="13" t="b">
        <f t="shared" si="218"/>
        <v>0</v>
      </c>
      <c r="N2047" s="13">
        <f t="shared" si="219"/>
        <v>2</v>
      </c>
      <c r="O2047" s="13" t="str">
        <f t="shared" si="220"/>
        <v>ЭТАЖ ЗАДАН ЧИСЛОМ</v>
      </c>
      <c r="P2047" s="13" t="str">
        <f t="shared" si="221"/>
        <v>ЭТАЖ ЗАДАН ЧИСЛОМ</v>
      </c>
      <c r="Q2047" s="13" t="str">
        <f t="shared" si="222"/>
        <v>ГОТОВ</v>
      </c>
      <c r="R2047" s="13">
        <f>IFERROR(VLOOKUP(P2047,Лист1!A$1:B$20,2,FALSE),0)</f>
        <v>784</v>
      </c>
      <c r="S2047" s="13">
        <f t="shared" si="223"/>
        <v>2</v>
      </c>
    </row>
    <row r="2048" spans="1:19" x14ac:dyDescent="0.25">
      <c r="A2048" s="24" t="s">
        <v>3175</v>
      </c>
      <c r="B2048" s="4" t="s">
        <v>1063</v>
      </c>
      <c r="C2048" s="25" t="s">
        <v>5</v>
      </c>
      <c r="D2048" s="25" t="s">
        <v>24</v>
      </c>
      <c r="E2048" s="3">
        <v>1</v>
      </c>
      <c r="F2048" s="24" t="s">
        <v>1045</v>
      </c>
      <c r="G2048" s="25" t="s">
        <v>1174</v>
      </c>
      <c r="H2048" s="24" t="s">
        <v>1061</v>
      </c>
      <c r="I2048" s="3" t="str">
        <f>IFERROR(VLOOKUP(C2048,'Справочник соответствий'!A$2:D$2981,2,FALSE),IF(VALUE(C2048)=0,1,VLOOKUP(C2048,'Справочник соответствий'!A$2:D$2981,2,FALSE)))</f>
        <v>1</v>
      </c>
      <c r="J2048" s="3" t="str">
        <f>IFERROR(VLOOKUP(D2048,'Справочник соответствий'!A$2:D$2981,2,FALSE),IF(VALUE(D2048)=0,0,VLOOKUP(D2048,'Справочник соответствий'!A$2:D$2981,2,FALSE)))</f>
        <v>1</v>
      </c>
      <c r="K2048" s="3" t="str">
        <f t="shared" si="217"/>
        <v>1</v>
      </c>
      <c r="L2048" s="13" t="str">
        <f>IFERROR(VLOOKUP(C2048,'Справочник соответствий'!A$2:D$2981,3,FALSE),IF(VALUE(C2048)=0,"ЭТАЖ НЕ ОПРЕДЕЛЕН. ПРИНЯТ ПО ДОПУЩЕНИЮ 1",VLOOKUP(C2048,'Справочник соответствий'!A$2:D$2981,3,FALSE)))</f>
        <v>ЭТАЖ ЗАДАН ЧИСЛОМ</v>
      </c>
      <c r="M2048" s="13" t="b">
        <f t="shared" si="218"/>
        <v>0</v>
      </c>
      <c r="N2048" s="13">
        <f t="shared" si="219"/>
        <v>1</v>
      </c>
      <c r="O2048" s="13" t="str">
        <f t="shared" si="220"/>
        <v>ЭТАЖ ЗАДАН ЧИСЛОМ</v>
      </c>
      <c r="P2048" s="13" t="str">
        <f t="shared" si="221"/>
        <v>ЭТАЖ ЗАДАН ЧИСЛОМ</v>
      </c>
      <c r="Q2048" s="13" t="str">
        <f t="shared" si="222"/>
        <v>ГОТОВ</v>
      </c>
      <c r="R2048" s="13">
        <f>IFERROR(VLOOKUP(P2048,Лист1!A$1:B$20,2,FALSE),0)</f>
        <v>784</v>
      </c>
      <c r="S2048" s="13">
        <f t="shared" si="223"/>
        <v>1</v>
      </c>
    </row>
    <row r="2049" spans="1:19" x14ac:dyDescent="0.25">
      <c r="A2049" s="24" t="s">
        <v>3176</v>
      </c>
      <c r="B2049" s="4" t="s">
        <v>1059</v>
      </c>
      <c r="C2049" s="25" t="s">
        <v>5</v>
      </c>
      <c r="E2049" s="3">
        <v>1</v>
      </c>
      <c r="F2049" s="24" t="s">
        <v>1045</v>
      </c>
      <c r="G2049" s="25" t="s">
        <v>1347</v>
      </c>
      <c r="H2049" s="24" t="s">
        <v>1061</v>
      </c>
      <c r="I2049" s="3" t="str">
        <f>IFERROR(VLOOKUP(C2049,'Справочник соответствий'!A$2:D$2981,2,FALSE),IF(VALUE(C2049)=0,1,VLOOKUP(C2049,'Справочник соответствий'!A$2:D$2981,2,FALSE)))</f>
        <v>1</v>
      </c>
      <c r="J2049" s="3">
        <f>IFERROR(VLOOKUP(D2049,'Справочник соответствий'!A$2:D$2981,2,FALSE),IF(VALUE(D2049)=0,0,VLOOKUP(D2049,'Справочник соответствий'!A$2:D$2981,2,FALSE)))</f>
        <v>0</v>
      </c>
      <c r="K2049" s="3" t="str">
        <f t="shared" si="217"/>
        <v>1</v>
      </c>
      <c r="L2049" s="13" t="str">
        <f>IFERROR(VLOOKUP(C2049,'Справочник соответствий'!A$2:D$2981,3,FALSE),IF(VALUE(C2049)=0,"ЭТАЖ НЕ ОПРЕДЕЛЕН. ПРИНЯТ ПО ДОПУЩЕНИЮ 1",VLOOKUP(C2049,'Справочник соответствий'!A$2:D$2981,3,FALSE)))</f>
        <v>ЭТАЖ ЗАДАН ЧИСЛОМ</v>
      </c>
      <c r="M2049" s="13" t="b">
        <f t="shared" si="218"/>
        <v>0</v>
      </c>
      <c r="N2049" s="13">
        <f t="shared" si="219"/>
        <v>1</v>
      </c>
      <c r="O2049" s="13" t="str">
        <f t="shared" si="220"/>
        <v>ЭТАЖ ЗАДАН ЧИСЛОМ</v>
      </c>
      <c r="P2049" s="13" t="str">
        <f t="shared" si="221"/>
        <v>ЭТАЖ ЗАДАН ЧИСЛОМ</v>
      </c>
      <c r="Q2049" s="13" t="str">
        <f t="shared" si="222"/>
        <v>ГОТОВ</v>
      </c>
      <c r="R2049" s="13">
        <f>IFERROR(VLOOKUP(P2049,Лист1!A$1:B$20,2,FALSE),0)</f>
        <v>784</v>
      </c>
      <c r="S2049" s="13">
        <f t="shared" si="223"/>
        <v>1</v>
      </c>
    </row>
    <row r="2050" spans="1:19" x14ac:dyDescent="0.25">
      <c r="A2050" s="24" t="s">
        <v>3177</v>
      </c>
      <c r="B2050" s="4" t="s">
        <v>1063</v>
      </c>
      <c r="C2050" s="25" t="s">
        <v>7</v>
      </c>
      <c r="E2050" s="3">
        <v>2</v>
      </c>
      <c r="F2050" s="24" t="s">
        <v>1760</v>
      </c>
      <c r="G2050" s="25" t="s">
        <v>1089</v>
      </c>
      <c r="H2050" s="24" t="s">
        <v>1061</v>
      </c>
      <c r="I2050" s="3" t="str">
        <f>IFERROR(VLOOKUP(C2050,'Справочник соответствий'!A$2:D$2981,2,FALSE),IF(VALUE(C2050)=0,1,VLOOKUP(C2050,'Справочник соответствий'!A$2:D$2981,2,FALSE)))</f>
        <v>2</v>
      </c>
      <c r="J2050" s="3">
        <f>IFERROR(VLOOKUP(D2050,'Справочник соответствий'!A$2:D$2981,2,FALSE),IF(VALUE(D2050)=0,0,VLOOKUP(D2050,'Справочник соответствий'!A$2:D$2981,2,FALSE)))</f>
        <v>0</v>
      </c>
      <c r="K2050" s="3" t="str">
        <f t="shared" si="217"/>
        <v>2</v>
      </c>
      <c r="L2050" s="13" t="str">
        <f>IFERROR(VLOOKUP(C2050,'Справочник соответствий'!A$2:D$2981,3,FALSE),IF(VALUE(C2050)=0,"ЭТАЖ НЕ ОПРЕДЕЛЕН. ПРИНЯТ ПО ДОПУЩЕНИЮ 1",VLOOKUP(C2050,'Справочник соответствий'!A$2:D$2981,3,FALSE)))</f>
        <v>ЭТАЖ ЗАДАН ЧИСЛОМ</v>
      </c>
      <c r="M2050" s="13" t="b">
        <f t="shared" si="218"/>
        <v>0</v>
      </c>
      <c r="N2050" s="13">
        <f t="shared" si="219"/>
        <v>2</v>
      </c>
      <c r="O2050" s="13" t="str">
        <f t="shared" si="220"/>
        <v>ЭТАЖ ЗАДАН ЧИСЛОМ</v>
      </c>
      <c r="P2050" s="13" t="str">
        <f t="shared" si="221"/>
        <v>ЭТАЖ ЗАДАН ЧИСЛОМ</v>
      </c>
      <c r="Q2050" s="13" t="str">
        <f t="shared" si="222"/>
        <v>ГОТОВ</v>
      </c>
      <c r="R2050" s="13">
        <f>IFERROR(VLOOKUP(P2050,Лист1!A$1:B$20,2,FALSE),0)</f>
        <v>784</v>
      </c>
      <c r="S2050" s="13">
        <f t="shared" si="223"/>
        <v>2</v>
      </c>
    </row>
    <row r="2051" spans="1:19" x14ac:dyDescent="0.25">
      <c r="A2051" s="24" t="s">
        <v>3178</v>
      </c>
      <c r="B2051" s="4" t="s">
        <v>1063</v>
      </c>
      <c r="C2051" s="25" t="s">
        <v>7</v>
      </c>
      <c r="E2051" s="3">
        <v>2</v>
      </c>
      <c r="F2051" s="24" t="s">
        <v>1760</v>
      </c>
      <c r="G2051" s="25" t="s">
        <v>1089</v>
      </c>
      <c r="H2051" s="24" t="s">
        <v>1061</v>
      </c>
      <c r="I2051" s="3" t="str">
        <f>IFERROR(VLOOKUP(C2051,'Справочник соответствий'!A$2:D$2981,2,FALSE),IF(VALUE(C2051)=0,1,VLOOKUP(C2051,'Справочник соответствий'!A$2:D$2981,2,FALSE)))</f>
        <v>2</v>
      </c>
      <c r="J2051" s="3">
        <f>IFERROR(VLOOKUP(D2051,'Справочник соответствий'!A$2:D$2981,2,FALSE),IF(VALUE(D2051)=0,0,VLOOKUP(D2051,'Справочник соответствий'!A$2:D$2981,2,FALSE)))</f>
        <v>0</v>
      </c>
      <c r="K2051" s="3" t="str">
        <f t="shared" si="217"/>
        <v>2</v>
      </c>
      <c r="L2051" s="13" t="str">
        <f>IFERROR(VLOOKUP(C2051,'Справочник соответствий'!A$2:D$2981,3,FALSE),IF(VALUE(C2051)=0,"ЭТАЖ НЕ ОПРЕДЕЛЕН. ПРИНЯТ ПО ДОПУЩЕНИЮ 1",VLOOKUP(C2051,'Справочник соответствий'!A$2:D$2981,3,FALSE)))</f>
        <v>ЭТАЖ ЗАДАН ЧИСЛОМ</v>
      </c>
      <c r="M2051" s="13" t="b">
        <f t="shared" si="218"/>
        <v>0</v>
      </c>
      <c r="N2051" s="13">
        <f t="shared" si="219"/>
        <v>2</v>
      </c>
      <c r="O2051" s="13" t="str">
        <f t="shared" si="220"/>
        <v>ЭТАЖ ЗАДАН ЧИСЛОМ</v>
      </c>
      <c r="P2051" s="13" t="str">
        <f t="shared" si="221"/>
        <v>ЭТАЖ ЗАДАН ЧИСЛОМ</v>
      </c>
      <c r="Q2051" s="13" t="str">
        <f t="shared" si="222"/>
        <v>ГОТОВ</v>
      </c>
      <c r="R2051" s="13">
        <f>IFERROR(VLOOKUP(P2051,Лист1!A$1:B$20,2,FALSE),0)</f>
        <v>784</v>
      </c>
      <c r="S2051" s="13">
        <f t="shared" si="223"/>
        <v>2</v>
      </c>
    </row>
    <row r="2052" spans="1:19" x14ac:dyDescent="0.25">
      <c r="A2052" s="24" t="s">
        <v>3179</v>
      </c>
      <c r="B2052" s="4" t="s">
        <v>1059</v>
      </c>
      <c r="C2052" s="25" t="s">
        <v>7</v>
      </c>
      <c r="E2052" s="3">
        <v>1</v>
      </c>
      <c r="F2052" s="24" t="s">
        <v>1045</v>
      </c>
      <c r="G2052" s="25" t="s">
        <v>1086</v>
      </c>
      <c r="H2052" s="24" t="s">
        <v>1061</v>
      </c>
      <c r="I2052" s="3" t="str">
        <f>IFERROR(VLOOKUP(C2052,'Справочник соответствий'!A$2:D$2981,2,FALSE),IF(VALUE(C2052)=0,1,VLOOKUP(C2052,'Справочник соответствий'!A$2:D$2981,2,FALSE)))</f>
        <v>2</v>
      </c>
      <c r="J2052" s="3">
        <f>IFERROR(VLOOKUP(D2052,'Справочник соответствий'!A$2:D$2981,2,FALSE),IF(VALUE(D2052)=0,0,VLOOKUP(D2052,'Справочник соответствий'!A$2:D$2981,2,FALSE)))</f>
        <v>0</v>
      </c>
      <c r="K2052" s="3" t="str">
        <f t="shared" si="217"/>
        <v>2</v>
      </c>
      <c r="L2052" s="13" t="str">
        <f>IFERROR(VLOOKUP(C2052,'Справочник соответствий'!A$2:D$2981,3,FALSE),IF(VALUE(C2052)=0,"ЭТАЖ НЕ ОПРЕДЕЛЕН. ПРИНЯТ ПО ДОПУЩЕНИЮ 1",VLOOKUP(C2052,'Справочник соответствий'!A$2:D$2981,3,FALSE)))</f>
        <v>ЭТАЖ ЗАДАН ЧИСЛОМ</v>
      </c>
      <c r="M2052" s="13" t="b">
        <f t="shared" si="218"/>
        <v>0</v>
      </c>
      <c r="N2052" s="13">
        <f t="shared" si="219"/>
        <v>2</v>
      </c>
      <c r="O2052" s="13" t="str">
        <f t="shared" si="220"/>
        <v>ЭТАЖ ЗАДАН ЧИСЛОМ</v>
      </c>
      <c r="P2052" s="13" t="str">
        <f t="shared" si="221"/>
        <v>ЭТАЖ ЗАДАН ЧИСЛОМ</v>
      </c>
      <c r="Q2052" s="13" t="str">
        <f t="shared" si="222"/>
        <v>ГОТОВ_ИЗМЕНЕН</v>
      </c>
      <c r="R2052" s="13">
        <f>IFERROR(VLOOKUP(P2052,Лист1!A$1:B$20,2,FALSE),0)</f>
        <v>784</v>
      </c>
      <c r="S2052" s="13">
        <f t="shared" si="223"/>
        <v>1</v>
      </c>
    </row>
    <row r="2053" spans="1:19" x14ac:dyDescent="0.25">
      <c r="A2053" s="24" t="s">
        <v>3180</v>
      </c>
      <c r="B2053" s="4" t="s">
        <v>1031</v>
      </c>
      <c r="C2053" s="25" t="s">
        <v>7</v>
      </c>
      <c r="E2053" s="3">
        <v>2</v>
      </c>
      <c r="F2053" s="24" t="s">
        <v>1045</v>
      </c>
      <c r="G2053" s="25" t="s">
        <v>1096</v>
      </c>
      <c r="H2053" s="24" t="s">
        <v>1061</v>
      </c>
      <c r="I2053" s="3" t="str">
        <f>IFERROR(VLOOKUP(C2053,'Справочник соответствий'!A$2:D$2981,2,FALSE),IF(VALUE(C2053)=0,1,VLOOKUP(C2053,'Справочник соответствий'!A$2:D$2981,2,FALSE)))</f>
        <v>2</v>
      </c>
      <c r="J2053" s="3">
        <f>IFERROR(VLOOKUP(D2053,'Справочник соответствий'!A$2:D$2981,2,FALSE),IF(VALUE(D2053)=0,0,VLOOKUP(D2053,'Справочник соответствий'!A$2:D$2981,2,FALSE)))</f>
        <v>0</v>
      </c>
      <c r="K2053" s="3">
        <f t="shared" ref="K2053:K2116" si="224">IF(B2053="Многоквартирный дом",IF(I2053-J2053&gt;0,I2053-J2053,1),I2053)</f>
        <v>2</v>
      </c>
      <c r="L2053" s="13" t="str">
        <f>IFERROR(VLOOKUP(C2053,'Справочник соответствий'!A$2:D$2981,3,FALSE),IF(VALUE(C2053)=0,"ЭТАЖ НЕ ОПРЕДЕЛЕН. ПРИНЯТ ПО ДОПУЩЕНИЮ 1",VLOOKUP(C2053,'Справочник соответствий'!A$2:D$2981,3,FALSE)))</f>
        <v>ЭТАЖ ЗАДАН ЧИСЛОМ</v>
      </c>
      <c r="M2053" s="13" t="b">
        <f t="shared" ref="M2053:M2116" si="225">I2053=E2053</f>
        <v>0</v>
      </c>
      <c r="N2053" s="13">
        <f t="shared" ref="N2053:N2116" si="226">IF(VALUE(E2053)=0,VALUE(K2053),IF(L2053="ЭТАЖ НЕ ОПРЕДЕЛЕН. ПРИНЯТ ПО ДОПУЩЕНИЮ 1",VALUE(E2053),VALUE(K2053)))</f>
        <v>2</v>
      </c>
      <c r="O2053" s="13" t="str">
        <f t="shared" ref="O2053:O2116" si="227">IF(VALUE(E2053)=0,L2053,IF(L2053="ЭТАЖ НЕ ОПРЕДЕЛЕН. ПРИНЯТ ПО ДОПУЩЕНИЮ 1",F2053,L2053))</f>
        <v>ЭТАЖ ЗАДАН ЧИСЛОМ</v>
      </c>
      <c r="P2053" s="13" t="str">
        <f t="shared" ref="P2053:P2116" si="228">IF(B2053="Многоквартирный дом",CONCATENATE("МКД_",O2053),O2053)</f>
        <v>МКД_ЭТАЖ ЗАДАН ЧИСЛОМ</v>
      </c>
      <c r="Q2053" s="13" t="str">
        <f t="shared" ref="Q2053:Q2116" si="229">IFERROR(IF(N2053&gt;0,IF(N2053=VALUE(E2053),"ГОТОВ","ГОТОВ_ИЗМЕНЕН"),"НЕ ГОТОВ"),"НЕ ГОТОВ")</f>
        <v>ГОТОВ</v>
      </c>
      <c r="R2053" s="13">
        <f>IFERROR(VLOOKUP(P2053,Лист1!A$1:B$20,2,FALSE),0)</f>
        <v>786</v>
      </c>
      <c r="S2053" s="13">
        <f t="shared" ref="S2053:S2116" si="230">VALUE(E2053)</f>
        <v>2</v>
      </c>
    </row>
    <row r="2054" spans="1:19" x14ac:dyDescent="0.25">
      <c r="A2054" s="24" t="s">
        <v>3181</v>
      </c>
      <c r="B2054" s="4" t="s">
        <v>1063</v>
      </c>
      <c r="C2054" s="25" t="s">
        <v>5</v>
      </c>
      <c r="E2054" s="3">
        <v>1</v>
      </c>
      <c r="F2054" s="24" t="s">
        <v>1045</v>
      </c>
      <c r="G2054" s="25" t="s">
        <v>1077</v>
      </c>
      <c r="H2054" s="24" t="s">
        <v>1061</v>
      </c>
      <c r="I2054" s="3" t="str">
        <f>IFERROR(VLOOKUP(C2054,'Справочник соответствий'!A$2:D$2981,2,FALSE),IF(VALUE(C2054)=0,1,VLOOKUP(C2054,'Справочник соответствий'!A$2:D$2981,2,FALSE)))</f>
        <v>1</v>
      </c>
      <c r="J2054" s="3">
        <f>IFERROR(VLOOKUP(D2054,'Справочник соответствий'!A$2:D$2981,2,FALSE),IF(VALUE(D2054)=0,0,VLOOKUP(D2054,'Справочник соответствий'!A$2:D$2981,2,FALSE)))</f>
        <v>0</v>
      </c>
      <c r="K2054" s="3" t="str">
        <f t="shared" si="224"/>
        <v>1</v>
      </c>
      <c r="L2054" s="13" t="str">
        <f>IFERROR(VLOOKUP(C2054,'Справочник соответствий'!A$2:D$2981,3,FALSE),IF(VALUE(C2054)=0,"ЭТАЖ НЕ ОПРЕДЕЛЕН. ПРИНЯТ ПО ДОПУЩЕНИЮ 1",VLOOKUP(C2054,'Справочник соответствий'!A$2:D$2981,3,FALSE)))</f>
        <v>ЭТАЖ ЗАДАН ЧИСЛОМ</v>
      </c>
      <c r="M2054" s="13" t="b">
        <f t="shared" si="225"/>
        <v>0</v>
      </c>
      <c r="N2054" s="13">
        <f t="shared" si="226"/>
        <v>1</v>
      </c>
      <c r="O2054" s="13" t="str">
        <f t="shared" si="227"/>
        <v>ЭТАЖ ЗАДАН ЧИСЛОМ</v>
      </c>
      <c r="P2054" s="13" t="str">
        <f t="shared" si="228"/>
        <v>ЭТАЖ ЗАДАН ЧИСЛОМ</v>
      </c>
      <c r="Q2054" s="13" t="str">
        <f t="shared" si="229"/>
        <v>ГОТОВ</v>
      </c>
      <c r="R2054" s="13">
        <f>IFERROR(VLOOKUP(P2054,Лист1!A$1:B$20,2,FALSE),0)</f>
        <v>784</v>
      </c>
      <c r="S2054" s="13">
        <f t="shared" si="230"/>
        <v>1</v>
      </c>
    </row>
    <row r="2055" spans="1:19" x14ac:dyDescent="0.25">
      <c r="A2055" s="24" t="s">
        <v>3182</v>
      </c>
      <c r="B2055" s="4" t="s">
        <v>1063</v>
      </c>
      <c r="C2055" s="25" t="s">
        <v>7</v>
      </c>
      <c r="E2055" s="3">
        <v>2</v>
      </c>
      <c r="F2055" s="24" t="s">
        <v>1045</v>
      </c>
      <c r="G2055" s="25" t="s">
        <v>1067</v>
      </c>
      <c r="H2055" s="24" t="s">
        <v>1061</v>
      </c>
      <c r="I2055" s="3" t="str">
        <f>IFERROR(VLOOKUP(C2055,'Справочник соответствий'!A$2:D$2981,2,FALSE),IF(VALUE(C2055)=0,1,VLOOKUP(C2055,'Справочник соответствий'!A$2:D$2981,2,FALSE)))</f>
        <v>2</v>
      </c>
      <c r="J2055" s="3">
        <f>IFERROR(VLOOKUP(D2055,'Справочник соответствий'!A$2:D$2981,2,FALSE),IF(VALUE(D2055)=0,0,VLOOKUP(D2055,'Справочник соответствий'!A$2:D$2981,2,FALSE)))</f>
        <v>0</v>
      </c>
      <c r="K2055" s="3" t="str">
        <f t="shared" si="224"/>
        <v>2</v>
      </c>
      <c r="L2055" s="13" t="str">
        <f>IFERROR(VLOOKUP(C2055,'Справочник соответствий'!A$2:D$2981,3,FALSE),IF(VALUE(C2055)=0,"ЭТАЖ НЕ ОПРЕДЕЛЕН. ПРИНЯТ ПО ДОПУЩЕНИЮ 1",VLOOKUP(C2055,'Справочник соответствий'!A$2:D$2981,3,FALSE)))</f>
        <v>ЭТАЖ ЗАДАН ЧИСЛОМ</v>
      </c>
      <c r="M2055" s="13" t="b">
        <f t="shared" si="225"/>
        <v>0</v>
      </c>
      <c r="N2055" s="13">
        <f t="shared" si="226"/>
        <v>2</v>
      </c>
      <c r="O2055" s="13" t="str">
        <f t="shared" si="227"/>
        <v>ЭТАЖ ЗАДАН ЧИСЛОМ</v>
      </c>
      <c r="P2055" s="13" t="str">
        <f t="shared" si="228"/>
        <v>ЭТАЖ ЗАДАН ЧИСЛОМ</v>
      </c>
      <c r="Q2055" s="13" t="str">
        <f t="shared" si="229"/>
        <v>ГОТОВ</v>
      </c>
      <c r="R2055" s="13">
        <f>IFERROR(VLOOKUP(P2055,Лист1!A$1:B$20,2,FALSE),0)</f>
        <v>784</v>
      </c>
      <c r="S2055" s="13">
        <f t="shared" si="230"/>
        <v>2</v>
      </c>
    </row>
    <row r="2056" spans="1:19" x14ac:dyDescent="0.25">
      <c r="A2056" s="24" t="s">
        <v>3183</v>
      </c>
      <c r="B2056" s="4" t="s">
        <v>1063</v>
      </c>
      <c r="C2056" s="25" t="s">
        <v>5</v>
      </c>
      <c r="D2056" s="25" t="s">
        <v>24</v>
      </c>
      <c r="E2056" s="3">
        <v>1</v>
      </c>
      <c r="F2056" s="24" t="s">
        <v>1045</v>
      </c>
      <c r="G2056" s="25" t="s">
        <v>1089</v>
      </c>
      <c r="H2056" s="24" t="s">
        <v>1061</v>
      </c>
      <c r="I2056" s="3" t="str">
        <f>IFERROR(VLOOKUP(C2056,'Справочник соответствий'!A$2:D$2981,2,FALSE),IF(VALUE(C2056)=0,1,VLOOKUP(C2056,'Справочник соответствий'!A$2:D$2981,2,FALSE)))</f>
        <v>1</v>
      </c>
      <c r="J2056" s="3" t="str">
        <f>IFERROR(VLOOKUP(D2056,'Справочник соответствий'!A$2:D$2981,2,FALSE),IF(VALUE(D2056)=0,0,VLOOKUP(D2056,'Справочник соответствий'!A$2:D$2981,2,FALSE)))</f>
        <v>1</v>
      </c>
      <c r="K2056" s="3" t="str">
        <f t="shared" si="224"/>
        <v>1</v>
      </c>
      <c r="L2056" s="13" t="str">
        <f>IFERROR(VLOOKUP(C2056,'Справочник соответствий'!A$2:D$2981,3,FALSE),IF(VALUE(C2056)=0,"ЭТАЖ НЕ ОПРЕДЕЛЕН. ПРИНЯТ ПО ДОПУЩЕНИЮ 1",VLOOKUP(C2056,'Справочник соответствий'!A$2:D$2981,3,FALSE)))</f>
        <v>ЭТАЖ ЗАДАН ЧИСЛОМ</v>
      </c>
      <c r="M2056" s="13" t="b">
        <f t="shared" si="225"/>
        <v>0</v>
      </c>
      <c r="N2056" s="13">
        <f t="shared" si="226"/>
        <v>1</v>
      </c>
      <c r="O2056" s="13" t="str">
        <f t="shared" si="227"/>
        <v>ЭТАЖ ЗАДАН ЧИСЛОМ</v>
      </c>
      <c r="P2056" s="13" t="str">
        <f t="shared" si="228"/>
        <v>ЭТАЖ ЗАДАН ЧИСЛОМ</v>
      </c>
      <c r="Q2056" s="13" t="str">
        <f t="shared" si="229"/>
        <v>ГОТОВ</v>
      </c>
      <c r="R2056" s="13">
        <f>IFERROR(VLOOKUP(P2056,Лист1!A$1:B$20,2,FALSE),0)</f>
        <v>784</v>
      </c>
      <c r="S2056" s="13">
        <f t="shared" si="230"/>
        <v>1</v>
      </c>
    </row>
    <row r="2057" spans="1:19" x14ac:dyDescent="0.25">
      <c r="A2057" s="24" t="s">
        <v>3184</v>
      </c>
      <c r="B2057" s="4" t="s">
        <v>1063</v>
      </c>
      <c r="E2057" s="3">
        <v>1</v>
      </c>
      <c r="F2057" s="24" t="s">
        <v>1038</v>
      </c>
      <c r="G2057" s="25" t="s">
        <v>3185</v>
      </c>
      <c r="H2057" s="24" t="s">
        <v>1061</v>
      </c>
      <c r="I2057" s="3">
        <f>IFERROR(VLOOKUP(C2057,'Справочник соответствий'!A$2:D$2981,2,FALSE),IF(VALUE(C2057)=0,1,VLOOKUP(C2057,'Справочник соответствий'!A$2:D$2981,2,FALSE)))</f>
        <v>1</v>
      </c>
      <c r="J2057" s="3">
        <f>IFERROR(VLOOKUP(D2057,'Справочник соответствий'!A$2:D$2981,2,FALSE),IF(VALUE(D2057)=0,0,VLOOKUP(D2057,'Справочник соответствий'!A$2:D$2981,2,FALSE)))</f>
        <v>0</v>
      </c>
      <c r="K2057" s="3">
        <f t="shared" si="224"/>
        <v>1</v>
      </c>
      <c r="L2057" s="13" t="str">
        <f>IFERROR(VLOOKUP(C2057,'Справочник соответствий'!A$2:D$2981,3,FALSE),IF(VALUE(C2057)=0,"ЭТАЖ НЕ ОПРЕДЕЛЕН. ПРИНЯТ ПО ДОПУЩЕНИЮ 1",VLOOKUP(C2057,'Справочник соответствий'!A$2:D$2981,3,FALSE)))</f>
        <v>ЭТАЖ НЕ ОПРЕДЕЛЕН. ПРИНЯТ ПО ДОПУЩЕНИЮ 1</v>
      </c>
      <c r="M2057" s="13" t="b">
        <f t="shared" si="225"/>
        <v>1</v>
      </c>
      <c r="N2057" s="13">
        <f t="shared" si="226"/>
        <v>1</v>
      </c>
      <c r="O2057" s="13" t="str">
        <f t="shared" si="227"/>
        <v>Сведения ЕГРН по состоянию на 01.01.2019</v>
      </c>
      <c r="P2057" s="13" t="str">
        <f t="shared" si="228"/>
        <v>Сведения ЕГРН по состоянию на 01.01.2019</v>
      </c>
      <c r="Q2057" s="13" t="str">
        <f t="shared" si="229"/>
        <v>ГОТОВ</v>
      </c>
      <c r="R2057" s="13">
        <f>IFERROR(VLOOKUP(P2057,Лист1!A$1:B$20,2,FALSE),0)</f>
        <v>0</v>
      </c>
      <c r="S2057" s="13">
        <f t="shared" si="230"/>
        <v>1</v>
      </c>
    </row>
    <row r="2058" spans="1:19" x14ac:dyDescent="0.25">
      <c r="A2058" s="24" t="s">
        <v>3186</v>
      </c>
      <c r="B2058" s="4" t="s">
        <v>1063</v>
      </c>
      <c r="C2058" s="25" t="s">
        <v>5</v>
      </c>
      <c r="E2058" s="3">
        <v>1</v>
      </c>
      <c r="F2058" s="24" t="s">
        <v>1045</v>
      </c>
      <c r="G2058" s="25" t="s">
        <v>1060</v>
      </c>
      <c r="H2058" s="24" t="s">
        <v>1061</v>
      </c>
      <c r="I2058" s="3" t="str">
        <f>IFERROR(VLOOKUP(C2058,'Справочник соответствий'!A$2:D$2981,2,FALSE),IF(VALUE(C2058)=0,1,VLOOKUP(C2058,'Справочник соответствий'!A$2:D$2981,2,FALSE)))</f>
        <v>1</v>
      </c>
      <c r="J2058" s="3">
        <f>IFERROR(VLOOKUP(D2058,'Справочник соответствий'!A$2:D$2981,2,FALSE),IF(VALUE(D2058)=0,0,VLOOKUP(D2058,'Справочник соответствий'!A$2:D$2981,2,FALSE)))</f>
        <v>0</v>
      </c>
      <c r="K2058" s="3" t="str">
        <f t="shared" si="224"/>
        <v>1</v>
      </c>
      <c r="L2058" s="13" t="str">
        <f>IFERROR(VLOOKUP(C2058,'Справочник соответствий'!A$2:D$2981,3,FALSE),IF(VALUE(C2058)=0,"ЭТАЖ НЕ ОПРЕДЕЛЕН. ПРИНЯТ ПО ДОПУЩЕНИЮ 1",VLOOKUP(C2058,'Справочник соответствий'!A$2:D$2981,3,FALSE)))</f>
        <v>ЭТАЖ ЗАДАН ЧИСЛОМ</v>
      </c>
      <c r="M2058" s="13" t="b">
        <f t="shared" si="225"/>
        <v>0</v>
      </c>
      <c r="N2058" s="13">
        <f t="shared" si="226"/>
        <v>1</v>
      </c>
      <c r="O2058" s="13" t="str">
        <f t="shared" si="227"/>
        <v>ЭТАЖ ЗАДАН ЧИСЛОМ</v>
      </c>
      <c r="P2058" s="13" t="str">
        <f t="shared" si="228"/>
        <v>ЭТАЖ ЗАДАН ЧИСЛОМ</v>
      </c>
      <c r="Q2058" s="13" t="str">
        <f t="shared" si="229"/>
        <v>ГОТОВ</v>
      </c>
      <c r="R2058" s="13">
        <f>IFERROR(VLOOKUP(P2058,Лист1!A$1:B$20,2,FALSE),0)</f>
        <v>784</v>
      </c>
      <c r="S2058" s="13">
        <f t="shared" si="230"/>
        <v>1</v>
      </c>
    </row>
    <row r="2059" spans="1:19" x14ac:dyDescent="0.25">
      <c r="A2059" s="24" t="s">
        <v>3187</v>
      </c>
      <c r="B2059" s="4" t="s">
        <v>1059</v>
      </c>
      <c r="C2059" s="25" t="s">
        <v>5</v>
      </c>
      <c r="E2059" s="3">
        <v>1</v>
      </c>
      <c r="F2059" s="24" t="s">
        <v>1045</v>
      </c>
      <c r="G2059" s="25" t="s">
        <v>1089</v>
      </c>
      <c r="H2059" s="24" t="s">
        <v>1061</v>
      </c>
      <c r="I2059" s="3" t="str">
        <f>IFERROR(VLOOKUP(C2059,'Справочник соответствий'!A$2:D$2981,2,FALSE),IF(VALUE(C2059)=0,1,VLOOKUP(C2059,'Справочник соответствий'!A$2:D$2981,2,FALSE)))</f>
        <v>1</v>
      </c>
      <c r="J2059" s="3">
        <f>IFERROR(VLOOKUP(D2059,'Справочник соответствий'!A$2:D$2981,2,FALSE),IF(VALUE(D2059)=0,0,VLOOKUP(D2059,'Справочник соответствий'!A$2:D$2981,2,FALSE)))</f>
        <v>0</v>
      </c>
      <c r="K2059" s="3" t="str">
        <f t="shared" si="224"/>
        <v>1</v>
      </c>
      <c r="L2059" s="13" t="str">
        <f>IFERROR(VLOOKUP(C2059,'Справочник соответствий'!A$2:D$2981,3,FALSE),IF(VALUE(C2059)=0,"ЭТАЖ НЕ ОПРЕДЕЛЕН. ПРИНЯТ ПО ДОПУЩЕНИЮ 1",VLOOKUP(C2059,'Справочник соответствий'!A$2:D$2981,3,FALSE)))</f>
        <v>ЭТАЖ ЗАДАН ЧИСЛОМ</v>
      </c>
      <c r="M2059" s="13" t="b">
        <f t="shared" si="225"/>
        <v>0</v>
      </c>
      <c r="N2059" s="13">
        <f t="shared" si="226"/>
        <v>1</v>
      </c>
      <c r="O2059" s="13" t="str">
        <f t="shared" si="227"/>
        <v>ЭТАЖ ЗАДАН ЧИСЛОМ</v>
      </c>
      <c r="P2059" s="13" t="str">
        <f t="shared" si="228"/>
        <v>ЭТАЖ ЗАДАН ЧИСЛОМ</v>
      </c>
      <c r="Q2059" s="13" t="str">
        <f t="shared" si="229"/>
        <v>ГОТОВ</v>
      </c>
      <c r="R2059" s="13">
        <f>IFERROR(VLOOKUP(P2059,Лист1!A$1:B$20,2,FALSE),0)</f>
        <v>784</v>
      </c>
      <c r="S2059" s="13">
        <f t="shared" si="230"/>
        <v>1</v>
      </c>
    </row>
    <row r="2060" spans="1:19" x14ac:dyDescent="0.25">
      <c r="A2060" s="24" t="s">
        <v>3188</v>
      </c>
      <c r="B2060" s="4" t="s">
        <v>1031</v>
      </c>
      <c r="C2060" s="25" t="s">
        <v>7</v>
      </c>
      <c r="E2060" s="3">
        <v>2</v>
      </c>
      <c r="F2060" s="24" t="s">
        <v>1074</v>
      </c>
      <c r="G2060" s="25" t="s">
        <v>1075</v>
      </c>
      <c r="H2060" s="24" t="s">
        <v>1061</v>
      </c>
      <c r="I2060" s="3" t="str">
        <f>IFERROR(VLOOKUP(C2060,'Справочник соответствий'!A$2:D$2981,2,FALSE),IF(VALUE(C2060)=0,1,VLOOKUP(C2060,'Справочник соответствий'!A$2:D$2981,2,FALSE)))</f>
        <v>2</v>
      </c>
      <c r="J2060" s="3">
        <f>IFERROR(VLOOKUP(D2060,'Справочник соответствий'!A$2:D$2981,2,FALSE),IF(VALUE(D2060)=0,0,VLOOKUP(D2060,'Справочник соответствий'!A$2:D$2981,2,FALSE)))</f>
        <v>0</v>
      </c>
      <c r="K2060" s="3">
        <f t="shared" si="224"/>
        <v>2</v>
      </c>
      <c r="L2060" s="13" t="str">
        <f>IFERROR(VLOOKUP(C2060,'Справочник соответствий'!A$2:D$2981,3,FALSE),IF(VALUE(C2060)=0,"ЭТАЖ НЕ ОПРЕДЕЛЕН. ПРИНЯТ ПО ДОПУЩЕНИЮ 1",VLOOKUP(C2060,'Справочник соответствий'!A$2:D$2981,3,FALSE)))</f>
        <v>ЭТАЖ ЗАДАН ЧИСЛОМ</v>
      </c>
      <c r="M2060" s="13" t="b">
        <f t="shared" si="225"/>
        <v>0</v>
      </c>
      <c r="N2060" s="13">
        <f t="shared" si="226"/>
        <v>2</v>
      </c>
      <c r="O2060" s="13" t="str">
        <f t="shared" si="227"/>
        <v>ЭТАЖ ЗАДАН ЧИСЛОМ</v>
      </c>
      <c r="P2060" s="13" t="str">
        <f t="shared" si="228"/>
        <v>МКД_ЭТАЖ ЗАДАН ЧИСЛОМ</v>
      </c>
      <c r="Q2060" s="13" t="str">
        <f t="shared" si="229"/>
        <v>ГОТОВ</v>
      </c>
      <c r="R2060" s="13">
        <f>IFERROR(VLOOKUP(P2060,Лист1!A$1:B$20,2,FALSE),0)</f>
        <v>786</v>
      </c>
      <c r="S2060" s="13">
        <f t="shared" si="230"/>
        <v>2</v>
      </c>
    </row>
    <row r="2061" spans="1:19" x14ac:dyDescent="0.25">
      <c r="A2061" s="24" t="s">
        <v>3189</v>
      </c>
      <c r="B2061" s="4" t="s">
        <v>1059</v>
      </c>
      <c r="C2061" s="25" t="s">
        <v>7</v>
      </c>
      <c r="E2061" s="3">
        <v>1</v>
      </c>
      <c r="F2061" s="24" t="s">
        <v>1045</v>
      </c>
      <c r="G2061" s="25" t="s">
        <v>1698</v>
      </c>
      <c r="H2061" s="24" t="s">
        <v>1061</v>
      </c>
      <c r="I2061" s="3" t="str">
        <f>IFERROR(VLOOKUP(C2061,'Справочник соответствий'!A$2:D$2981,2,FALSE),IF(VALUE(C2061)=0,1,VLOOKUP(C2061,'Справочник соответствий'!A$2:D$2981,2,FALSE)))</f>
        <v>2</v>
      </c>
      <c r="J2061" s="3">
        <f>IFERROR(VLOOKUP(D2061,'Справочник соответствий'!A$2:D$2981,2,FALSE),IF(VALUE(D2061)=0,0,VLOOKUP(D2061,'Справочник соответствий'!A$2:D$2981,2,FALSE)))</f>
        <v>0</v>
      </c>
      <c r="K2061" s="3" t="str">
        <f t="shared" si="224"/>
        <v>2</v>
      </c>
      <c r="L2061" s="13" t="str">
        <f>IFERROR(VLOOKUP(C2061,'Справочник соответствий'!A$2:D$2981,3,FALSE),IF(VALUE(C2061)=0,"ЭТАЖ НЕ ОПРЕДЕЛЕН. ПРИНЯТ ПО ДОПУЩЕНИЮ 1",VLOOKUP(C2061,'Справочник соответствий'!A$2:D$2981,3,FALSE)))</f>
        <v>ЭТАЖ ЗАДАН ЧИСЛОМ</v>
      </c>
      <c r="M2061" s="13" t="b">
        <f t="shared" si="225"/>
        <v>0</v>
      </c>
      <c r="N2061" s="13">
        <f t="shared" si="226"/>
        <v>2</v>
      </c>
      <c r="O2061" s="13" t="str">
        <f t="shared" si="227"/>
        <v>ЭТАЖ ЗАДАН ЧИСЛОМ</v>
      </c>
      <c r="P2061" s="13" t="str">
        <f t="shared" si="228"/>
        <v>ЭТАЖ ЗАДАН ЧИСЛОМ</v>
      </c>
      <c r="Q2061" s="13" t="str">
        <f t="shared" si="229"/>
        <v>ГОТОВ_ИЗМЕНЕН</v>
      </c>
      <c r="R2061" s="13">
        <f>IFERROR(VLOOKUP(P2061,Лист1!A$1:B$20,2,FALSE),0)</f>
        <v>784</v>
      </c>
      <c r="S2061" s="13">
        <f t="shared" si="230"/>
        <v>1</v>
      </c>
    </row>
    <row r="2062" spans="1:19" x14ac:dyDescent="0.25">
      <c r="A2062" s="24" t="s">
        <v>3190</v>
      </c>
      <c r="B2062" s="4" t="s">
        <v>1031</v>
      </c>
      <c r="C2062" s="25" t="s">
        <v>5</v>
      </c>
      <c r="E2062" s="3">
        <v>1</v>
      </c>
      <c r="F2062" s="24" t="s">
        <v>1082</v>
      </c>
      <c r="G2062" s="25" t="s">
        <v>1060</v>
      </c>
      <c r="H2062" s="24" t="s">
        <v>1061</v>
      </c>
      <c r="I2062" s="3" t="str">
        <f>IFERROR(VLOOKUP(C2062,'Справочник соответствий'!A$2:D$2981,2,FALSE),IF(VALUE(C2062)=0,1,VLOOKUP(C2062,'Справочник соответствий'!A$2:D$2981,2,FALSE)))</f>
        <v>1</v>
      </c>
      <c r="J2062" s="3">
        <f>IFERROR(VLOOKUP(D2062,'Справочник соответствий'!A$2:D$2981,2,FALSE),IF(VALUE(D2062)=0,0,VLOOKUP(D2062,'Справочник соответствий'!A$2:D$2981,2,FALSE)))</f>
        <v>0</v>
      </c>
      <c r="K2062" s="3">
        <f t="shared" si="224"/>
        <v>1</v>
      </c>
      <c r="L2062" s="13" t="str">
        <f>IFERROR(VLOOKUP(C2062,'Справочник соответствий'!A$2:D$2981,3,FALSE),IF(VALUE(C2062)=0,"ЭТАЖ НЕ ОПРЕДЕЛЕН. ПРИНЯТ ПО ДОПУЩЕНИЮ 1",VLOOKUP(C2062,'Справочник соответствий'!A$2:D$2981,3,FALSE)))</f>
        <v>ЭТАЖ ЗАДАН ЧИСЛОМ</v>
      </c>
      <c r="M2062" s="13" t="b">
        <f t="shared" si="225"/>
        <v>0</v>
      </c>
      <c r="N2062" s="13">
        <f t="shared" si="226"/>
        <v>1</v>
      </c>
      <c r="O2062" s="13" t="str">
        <f t="shared" si="227"/>
        <v>ЭТАЖ ЗАДАН ЧИСЛОМ</v>
      </c>
      <c r="P2062" s="13" t="str">
        <f t="shared" si="228"/>
        <v>МКД_ЭТАЖ ЗАДАН ЧИСЛОМ</v>
      </c>
      <c r="Q2062" s="13" t="str">
        <f t="shared" si="229"/>
        <v>ГОТОВ</v>
      </c>
      <c r="R2062" s="13">
        <f>IFERROR(VLOOKUP(P2062,Лист1!A$1:B$20,2,FALSE),0)</f>
        <v>786</v>
      </c>
      <c r="S2062" s="13">
        <f t="shared" si="230"/>
        <v>1</v>
      </c>
    </row>
    <row r="2063" spans="1:19" x14ac:dyDescent="0.25">
      <c r="A2063" s="24" t="s">
        <v>3191</v>
      </c>
      <c r="B2063" s="4" t="s">
        <v>1059</v>
      </c>
      <c r="C2063" s="25" t="s">
        <v>7</v>
      </c>
      <c r="E2063" s="3">
        <v>2</v>
      </c>
      <c r="F2063" s="24" t="s">
        <v>1038</v>
      </c>
      <c r="G2063" s="25" t="s">
        <v>1174</v>
      </c>
      <c r="H2063" s="24" t="s">
        <v>1061</v>
      </c>
      <c r="I2063" s="3" t="str">
        <f>IFERROR(VLOOKUP(C2063,'Справочник соответствий'!A$2:D$2981,2,FALSE),IF(VALUE(C2063)=0,1,VLOOKUP(C2063,'Справочник соответствий'!A$2:D$2981,2,FALSE)))</f>
        <v>2</v>
      </c>
      <c r="J2063" s="3">
        <f>IFERROR(VLOOKUP(D2063,'Справочник соответствий'!A$2:D$2981,2,FALSE),IF(VALUE(D2063)=0,0,VLOOKUP(D2063,'Справочник соответствий'!A$2:D$2981,2,FALSE)))</f>
        <v>0</v>
      </c>
      <c r="K2063" s="3" t="str">
        <f t="shared" si="224"/>
        <v>2</v>
      </c>
      <c r="L2063" s="13" t="str">
        <f>IFERROR(VLOOKUP(C2063,'Справочник соответствий'!A$2:D$2981,3,FALSE),IF(VALUE(C2063)=0,"ЭТАЖ НЕ ОПРЕДЕЛЕН. ПРИНЯТ ПО ДОПУЩЕНИЮ 1",VLOOKUP(C2063,'Справочник соответствий'!A$2:D$2981,3,FALSE)))</f>
        <v>ЭТАЖ ЗАДАН ЧИСЛОМ</v>
      </c>
      <c r="M2063" s="13" t="b">
        <f t="shared" si="225"/>
        <v>0</v>
      </c>
      <c r="N2063" s="13">
        <f t="shared" si="226"/>
        <v>2</v>
      </c>
      <c r="O2063" s="13" t="str">
        <f t="shared" si="227"/>
        <v>ЭТАЖ ЗАДАН ЧИСЛОМ</v>
      </c>
      <c r="P2063" s="13" t="str">
        <f t="shared" si="228"/>
        <v>ЭТАЖ ЗАДАН ЧИСЛОМ</v>
      </c>
      <c r="Q2063" s="13" t="str">
        <f t="shared" si="229"/>
        <v>ГОТОВ</v>
      </c>
      <c r="R2063" s="13">
        <f>IFERROR(VLOOKUP(P2063,Лист1!A$1:B$20,2,FALSE),0)</f>
        <v>784</v>
      </c>
      <c r="S2063" s="13">
        <f t="shared" si="230"/>
        <v>2</v>
      </c>
    </row>
    <row r="2064" spans="1:19" x14ac:dyDescent="0.25">
      <c r="A2064" s="24" t="s">
        <v>3192</v>
      </c>
      <c r="B2064" s="4" t="s">
        <v>1059</v>
      </c>
      <c r="C2064" s="25" t="s">
        <v>5</v>
      </c>
      <c r="E2064" s="3">
        <v>1</v>
      </c>
      <c r="F2064" s="24" t="s">
        <v>1045</v>
      </c>
      <c r="G2064" s="25" t="s">
        <v>1072</v>
      </c>
      <c r="H2064" s="24" t="s">
        <v>1061</v>
      </c>
      <c r="I2064" s="3" t="str">
        <f>IFERROR(VLOOKUP(C2064,'Справочник соответствий'!A$2:D$2981,2,FALSE),IF(VALUE(C2064)=0,1,VLOOKUP(C2064,'Справочник соответствий'!A$2:D$2981,2,FALSE)))</f>
        <v>1</v>
      </c>
      <c r="J2064" s="3">
        <f>IFERROR(VLOOKUP(D2064,'Справочник соответствий'!A$2:D$2981,2,FALSE),IF(VALUE(D2064)=0,0,VLOOKUP(D2064,'Справочник соответствий'!A$2:D$2981,2,FALSE)))</f>
        <v>0</v>
      </c>
      <c r="K2064" s="3" t="str">
        <f t="shared" si="224"/>
        <v>1</v>
      </c>
      <c r="L2064" s="13" t="str">
        <f>IFERROR(VLOOKUP(C2064,'Справочник соответствий'!A$2:D$2981,3,FALSE),IF(VALUE(C2064)=0,"ЭТАЖ НЕ ОПРЕДЕЛЕН. ПРИНЯТ ПО ДОПУЩЕНИЮ 1",VLOOKUP(C2064,'Справочник соответствий'!A$2:D$2981,3,FALSE)))</f>
        <v>ЭТАЖ ЗАДАН ЧИСЛОМ</v>
      </c>
      <c r="M2064" s="13" t="b">
        <f t="shared" si="225"/>
        <v>0</v>
      </c>
      <c r="N2064" s="13">
        <f t="shared" si="226"/>
        <v>1</v>
      </c>
      <c r="O2064" s="13" t="str">
        <f t="shared" si="227"/>
        <v>ЭТАЖ ЗАДАН ЧИСЛОМ</v>
      </c>
      <c r="P2064" s="13" t="str">
        <f t="shared" si="228"/>
        <v>ЭТАЖ ЗАДАН ЧИСЛОМ</v>
      </c>
      <c r="Q2064" s="13" t="str">
        <f t="shared" si="229"/>
        <v>ГОТОВ</v>
      </c>
      <c r="R2064" s="13">
        <f>IFERROR(VLOOKUP(P2064,Лист1!A$1:B$20,2,FALSE),0)</f>
        <v>784</v>
      </c>
      <c r="S2064" s="13">
        <f t="shared" si="230"/>
        <v>1</v>
      </c>
    </row>
    <row r="2065" spans="1:19" x14ac:dyDescent="0.25">
      <c r="A2065" s="24" t="s">
        <v>3193</v>
      </c>
      <c r="B2065" s="4" t="s">
        <v>1059</v>
      </c>
      <c r="C2065" s="25" t="s">
        <v>5</v>
      </c>
      <c r="E2065" s="3">
        <v>1</v>
      </c>
      <c r="F2065" s="24" t="s">
        <v>1045</v>
      </c>
      <c r="G2065" s="25" t="s">
        <v>1083</v>
      </c>
      <c r="H2065" s="24" t="s">
        <v>1061</v>
      </c>
      <c r="I2065" s="3" t="str">
        <f>IFERROR(VLOOKUP(C2065,'Справочник соответствий'!A$2:D$2981,2,FALSE),IF(VALUE(C2065)=0,1,VLOOKUP(C2065,'Справочник соответствий'!A$2:D$2981,2,FALSE)))</f>
        <v>1</v>
      </c>
      <c r="J2065" s="3">
        <f>IFERROR(VLOOKUP(D2065,'Справочник соответствий'!A$2:D$2981,2,FALSE),IF(VALUE(D2065)=0,0,VLOOKUP(D2065,'Справочник соответствий'!A$2:D$2981,2,FALSE)))</f>
        <v>0</v>
      </c>
      <c r="K2065" s="3" t="str">
        <f t="shared" si="224"/>
        <v>1</v>
      </c>
      <c r="L2065" s="13" t="str">
        <f>IFERROR(VLOOKUP(C2065,'Справочник соответствий'!A$2:D$2981,3,FALSE),IF(VALUE(C2065)=0,"ЭТАЖ НЕ ОПРЕДЕЛЕН. ПРИНЯТ ПО ДОПУЩЕНИЮ 1",VLOOKUP(C2065,'Справочник соответствий'!A$2:D$2981,3,FALSE)))</f>
        <v>ЭТАЖ ЗАДАН ЧИСЛОМ</v>
      </c>
      <c r="M2065" s="13" t="b">
        <f t="shared" si="225"/>
        <v>0</v>
      </c>
      <c r="N2065" s="13">
        <f t="shared" si="226"/>
        <v>1</v>
      </c>
      <c r="O2065" s="13" t="str">
        <f t="shared" si="227"/>
        <v>ЭТАЖ ЗАДАН ЧИСЛОМ</v>
      </c>
      <c r="P2065" s="13" t="str">
        <f t="shared" si="228"/>
        <v>ЭТАЖ ЗАДАН ЧИСЛОМ</v>
      </c>
      <c r="Q2065" s="13" t="str">
        <f t="shared" si="229"/>
        <v>ГОТОВ</v>
      </c>
      <c r="R2065" s="13">
        <f>IFERROR(VLOOKUP(P2065,Лист1!A$1:B$20,2,FALSE),0)</f>
        <v>784</v>
      </c>
      <c r="S2065" s="13">
        <f t="shared" si="230"/>
        <v>1</v>
      </c>
    </row>
    <row r="2066" spans="1:19" x14ac:dyDescent="0.25">
      <c r="A2066" s="24" t="s">
        <v>3194</v>
      </c>
      <c r="B2066" s="4" t="s">
        <v>1059</v>
      </c>
      <c r="C2066" s="25" t="s">
        <v>5</v>
      </c>
      <c r="E2066" s="3">
        <v>1</v>
      </c>
      <c r="F2066" s="24" t="s">
        <v>1045</v>
      </c>
      <c r="G2066" s="25" t="s">
        <v>1205</v>
      </c>
      <c r="H2066" s="24" t="s">
        <v>1061</v>
      </c>
      <c r="I2066" s="3" t="str">
        <f>IFERROR(VLOOKUP(C2066,'Справочник соответствий'!A$2:D$2981,2,FALSE),IF(VALUE(C2066)=0,1,VLOOKUP(C2066,'Справочник соответствий'!A$2:D$2981,2,FALSE)))</f>
        <v>1</v>
      </c>
      <c r="J2066" s="3">
        <f>IFERROR(VLOOKUP(D2066,'Справочник соответствий'!A$2:D$2981,2,FALSE),IF(VALUE(D2066)=0,0,VLOOKUP(D2066,'Справочник соответствий'!A$2:D$2981,2,FALSE)))</f>
        <v>0</v>
      </c>
      <c r="K2066" s="3" t="str">
        <f t="shared" si="224"/>
        <v>1</v>
      </c>
      <c r="L2066" s="13" t="str">
        <f>IFERROR(VLOOKUP(C2066,'Справочник соответствий'!A$2:D$2981,3,FALSE),IF(VALUE(C2066)=0,"ЭТАЖ НЕ ОПРЕДЕЛЕН. ПРИНЯТ ПО ДОПУЩЕНИЮ 1",VLOOKUP(C2066,'Справочник соответствий'!A$2:D$2981,3,FALSE)))</f>
        <v>ЭТАЖ ЗАДАН ЧИСЛОМ</v>
      </c>
      <c r="M2066" s="13" t="b">
        <f t="shared" si="225"/>
        <v>0</v>
      </c>
      <c r="N2066" s="13">
        <f t="shared" si="226"/>
        <v>1</v>
      </c>
      <c r="O2066" s="13" t="str">
        <f t="shared" si="227"/>
        <v>ЭТАЖ ЗАДАН ЧИСЛОМ</v>
      </c>
      <c r="P2066" s="13" t="str">
        <f t="shared" si="228"/>
        <v>ЭТАЖ ЗАДАН ЧИСЛОМ</v>
      </c>
      <c r="Q2066" s="13" t="str">
        <f t="shared" si="229"/>
        <v>ГОТОВ</v>
      </c>
      <c r="R2066" s="13">
        <f>IFERROR(VLOOKUP(P2066,Лист1!A$1:B$20,2,FALSE),0)</f>
        <v>784</v>
      </c>
      <c r="S2066" s="13">
        <f t="shared" si="230"/>
        <v>1</v>
      </c>
    </row>
    <row r="2067" spans="1:19" x14ac:dyDescent="0.25">
      <c r="A2067" s="24" t="s">
        <v>3195</v>
      </c>
      <c r="B2067" s="4" t="s">
        <v>1031</v>
      </c>
      <c r="C2067" s="25" t="s">
        <v>7</v>
      </c>
      <c r="E2067" s="3">
        <v>2</v>
      </c>
      <c r="F2067" s="24" t="s">
        <v>1045</v>
      </c>
      <c r="G2067" s="25" t="s">
        <v>1075</v>
      </c>
      <c r="H2067" s="24" t="s">
        <v>1061</v>
      </c>
      <c r="I2067" s="3" t="str">
        <f>IFERROR(VLOOKUP(C2067,'Справочник соответствий'!A$2:D$2981,2,FALSE),IF(VALUE(C2067)=0,1,VLOOKUP(C2067,'Справочник соответствий'!A$2:D$2981,2,FALSE)))</f>
        <v>2</v>
      </c>
      <c r="J2067" s="3">
        <f>IFERROR(VLOOKUP(D2067,'Справочник соответствий'!A$2:D$2981,2,FALSE),IF(VALUE(D2067)=0,0,VLOOKUP(D2067,'Справочник соответствий'!A$2:D$2981,2,FALSE)))</f>
        <v>0</v>
      </c>
      <c r="K2067" s="3">
        <f t="shared" si="224"/>
        <v>2</v>
      </c>
      <c r="L2067" s="13" t="str">
        <f>IFERROR(VLOOKUP(C2067,'Справочник соответствий'!A$2:D$2981,3,FALSE),IF(VALUE(C2067)=0,"ЭТАЖ НЕ ОПРЕДЕЛЕН. ПРИНЯТ ПО ДОПУЩЕНИЮ 1",VLOOKUP(C2067,'Справочник соответствий'!A$2:D$2981,3,FALSE)))</f>
        <v>ЭТАЖ ЗАДАН ЧИСЛОМ</v>
      </c>
      <c r="M2067" s="13" t="b">
        <f t="shared" si="225"/>
        <v>0</v>
      </c>
      <c r="N2067" s="13">
        <f t="shared" si="226"/>
        <v>2</v>
      </c>
      <c r="O2067" s="13" t="str">
        <f t="shared" si="227"/>
        <v>ЭТАЖ ЗАДАН ЧИСЛОМ</v>
      </c>
      <c r="P2067" s="13" t="str">
        <f t="shared" si="228"/>
        <v>МКД_ЭТАЖ ЗАДАН ЧИСЛОМ</v>
      </c>
      <c r="Q2067" s="13" t="str">
        <f t="shared" si="229"/>
        <v>ГОТОВ</v>
      </c>
      <c r="R2067" s="13">
        <f>IFERROR(VLOOKUP(P2067,Лист1!A$1:B$20,2,FALSE),0)</f>
        <v>786</v>
      </c>
      <c r="S2067" s="13">
        <f t="shared" si="230"/>
        <v>2</v>
      </c>
    </row>
    <row r="2068" spans="1:19" x14ac:dyDescent="0.25">
      <c r="A2068" s="24" t="s">
        <v>3196</v>
      </c>
      <c r="B2068" s="4" t="s">
        <v>1031</v>
      </c>
      <c r="C2068" s="25" t="s">
        <v>8</v>
      </c>
      <c r="E2068" s="3">
        <v>3</v>
      </c>
      <c r="F2068" s="24" t="s">
        <v>1045</v>
      </c>
      <c r="G2068" s="25" t="s">
        <v>1075</v>
      </c>
      <c r="H2068" s="24" t="s">
        <v>1061</v>
      </c>
      <c r="I2068" s="3" t="str">
        <f>IFERROR(VLOOKUP(C2068,'Справочник соответствий'!A$2:D$2981,2,FALSE),IF(VALUE(C2068)=0,1,VLOOKUP(C2068,'Справочник соответствий'!A$2:D$2981,2,FALSE)))</f>
        <v>3</v>
      </c>
      <c r="J2068" s="3">
        <f>IFERROR(VLOOKUP(D2068,'Справочник соответствий'!A$2:D$2981,2,FALSE),IF(VALUE(D2068)=0,0,VLOOKUP(D2068,'Справочник соответствий'!A$2:D$2981,2,FALSE)))</f>
        <v>0</v>
      </c>
      <c r="K2068" s="3">
        <f t="shared" si="224"/>
        <v>3</v>
      </c>
      <c r="L2068" s="13" t="str">
        <f>IFERROR(VLOOKUP(C2068,'Справочник соответствий'!A$2:D$2981,3,FALSE),IF(VALUE(C2068)=0,"ЭТАЖ НЕ ОПРЕДЕЛЕН. ПРИНЯТ ПО ДОПУЩЕНИЮ 1",VLOOKUP(C2068,'Справочник соответствий'!A$2:D$2981,3,FALSE)))</f>
        <v>ЭТАЖ ЗАДАН ЧИСЛОМ</v>
      </c>
      <c r="M2068" s="13" t="b">
        <f t="shared" si="225"/>
        <v>0</v>
      </c>
      <c r="N2068" s="13">
        <f t="shared" si="226"/>
        <v>3</v>
      </c>
      <c r="O2068" s="13" t="str">
        <f t="shared" si="227"/>
        <v>ЭТАЖ ЗАДАН ЧИСЛОМ</v>
      </c>
      <c r="P2068" s="13" t="str">
        <f t="shared" si="228"/>
        <v>МКД_ЭТАЖ ЗАДАН ЧИСЛОМ</v>
      </c>
      <c r="Q2068" s="13" t="str">
        <f t="shared" si="229"/>
        <v>ГОТОВ</v>
      </c>
      <c r="R2068" s="13">
        <f>IFERROR(VLOOKUP(P2068,Лист1!A$1:B$20,2,FALSE),0)</f>
        <v>786</v>
      </c>
      <c r="S2068" s="13">
        <f t="shared" si="230"/>
        <v>3</v>
      </c>
    </row>
    <row r="2069" spans="1:19" x14ac:dyDescent="0.25">
      <c r="A2069" s="24" t="s">
        <v>3197</v>
      </c>
      <c r="B2069" s="4" t="s">
        <v>1059</v>
      </c>
      <c r="C2069" s="25" t="s">
        <v>5</v>
      </c>
      <c r="E2069" s="3">
        <v>1</v>
      </c>
      <c r="F2069" s="24" t="s">
        <v>1045</v>
      </c>
      <c r="G2069" s="25" t="s">
        <v>1072</v>
      </c>
      <c r="H2069" s="24" t="s">
        <v>1061</v>
      </c>
      <c r="I2069" s="3" t="str">
        <f>IFERROR(VLOOKUP(C2069,'Справочник соответствий'!A$2:D$2981,2,FALSE),IF(VALUE(C2069)=0,1,VLOOKUP(C2069,'Справочник соответствий'!A$2:D$2981,2,FALSE)))</f>
        <v>1</v>
      </c>
      <c r="J2069" s="3">
        <f>IFERROR(VLOOKUP(D2069,'Справочник соответствий'!A$2:D$2981,2,FALSE),IF(VALUE(D2069)=0,0,VLOOKUP(D2069,'Справочник соответствий'!A$2:D$2981,2,FALSE)))</f>
        <v>0</v>
      </c>
      <c r="K2069" s="3" t="str">
        <f t="shared" si="224"/>
        <v>1</v>
      </c>
      <c r="L2069" s="13" t="str">
        <f>IFERROR(VLOOKUP(C2069,'Справочник соответствий'!A$2:D$2981,3,FALSE),IF(VALUE(C2069)=0,"ЭТАЖ НЕ ОПРЕДЕЛЕН. ПРИНЯТ ПО ДОПУЩЕНИЮ 1",VLOOKUP(C2069,'Справочник соответствий'!A$2:D$2981,3,FALSE)))</f>
        <v>ЭТАЖ ЗАДАН ЧИСЛОМ</v>
      </c>
      <c r="M2069" s="13" t="b">
        <f t="shared" si="225"/>
        <v>0</v>
      </c>
      <c r="N2069" s="13">
        <f t="shared" si="226"/>
        <v>1</v>
      </c>
      <c r="O2069" s="13" t="str">
        <f t="shared" si="227"/>
        <v>ЭТАЖ ЗАДАН ЧИСЛОМ</v>
      </c>
      <c r="P2069" s="13" t="str">
        <f t="shared" si="228"/>
        <v>ЭТАЖ ЗАДАН ЧИСЛОМ</v>
      </c>
      <c r="Q2069" s="13" t="str">
        <f t="shared" si="229"/>
        <v>ГОТОВ</v>
      </c>
      <c r="R2069" s="13">
        <f>IFERROR(VLOOKUP(P2069,Лист1!A$1:B$20,2,FALSE),0)</f>
        <v>784</v>
      </c>
      <c r="S2069" s="13">
        <f t="shared" si="230"/>
        <v>1</v>
      </c>
    </row>
    <row r="2070" spans="1:19" x14ac:dyDescent="0.25">
      <c r="A2070" s="24" t="s">
        <v>3198</v>
      </c>
      <c r="B2070" s="4" t="s">
        <v>1059</v>
      </c>
      <c r="E2070" s="3">
        <v>1</v>
      </c>
      <c r="F2070" s="24" t="s">
        <v>1045</v>
      </c>
      <c r="G2070" s="25" t="s">
        <v>1072</v>
      </c>
      <c r="H2070" s="24" t="s">
        <v>1061</v>
      </c>
      <c r="I2070" s="3">
        <f>IFERROR(VLOOKUP(C2070,'Справочник соответствий'!A$2:D$2981,2,FALSE),IF(VALUE(C2070)=0,1,VLOOKUP(C2070,'Справочник соответствий'!A$2:D$2981,2,FALSE)))</f>
        <v>1</v>
      </c>
      <c r="J2070" s="3">
        <f>IFERROR(VLOOKUP(D2070,'Справочник соответствий'!A$2:D$2981,2,FALSE),IF(VALUE(D2070)=0,0,VLOOKUP(D2070,'Справочник соответствий'!A$2:D$2981,2,FALSE)))</f>
        <v>0</v>
      </c>
      <c r="K2070" s="3">
        <f t="shared" si="224"/>
        <v>1</v>
      </c>
      <c r="L2070" s="13" t="str">
        <f>IFERROR(VLOOKUP(C2070,'Справочник соответствий'!A$2:D$2981,3,FALSE),IF(VALUE(C2070)=0,"ЭТАЖ НЕ ОПРЕДЕЛЕН. ПРИНЯТ ПО ДОПУЩЕНИЮ 1",VLOOKUP(C2070,'Справочник соответствий'!A$2:D$2981,3,FALSE)))</f>
        <v>ЭТАЖ НЕ ОПРЕДЕЛЕН. ПРИНЯТ ПО ДОПУЩЕНИЮ 1</v>
      </c>
      <c r="M2070" s="13" t="b">
        <f t="shared" si="225"/>
        <v>1</v>
      </c>
      <c r="N2070" s="13">
        <f t="shared" si="226"/>
        <v>1</v>
      </c>
      <c r="O2070" s="13" t="str">
        <f t="shared" si="227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2070" s="13" t="str">
        <f t="shared" si="22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2070" s="13" t="str">
        <f t="shared" si="229"/>
        <v>ГОТОВ</v>
      </c>
      <c r="R2070" s="13">
        <f>IFERROR(VLOOKUP(P2070,Лист1!A$1:B$20,2,FALSE),0)</f>
        <v>214</v>
      </c>
      <c r="S2070" s="13">
        <f t="shared" si="230"/>
        <v>1</v>
      </c>
    </row>
    <row r="2071" spans="1:19" x14ac:dyDescent="0.25">
      <c r="A2071" s="24" t="s">
        <v>3199</v>
      </c>
      <c r="B2071" s="4" t="s">
        <v>1063</v>
      </c>
      <c r="C2071" s="25" t="s">
        <v>5</v>
      </c>
      <c r="E2071" s="3">
        <v>1</v>
      </c>
      <c r="F2071" s="24" t="s">
        <v>1045</v>
      </c>
      <c r="G2071" s="25" t="s">
        <v>1106</v>
      </c>
      <c r="H2071" s="24" t="s">
        <v>1061</v>
      </c>
      <c r="I2071" s="3" t="str">
        <f>IFERROR(VLOOKUP(C2071,'Справочник соответствий'!A$2:D$2981,2,FALSE),IF(VALUE(C2071)=0,1,VLOOKUP(C2071,'Справочник соответствий'!A$2:D$2981,2,FALSE)))</f>
        <v>1</v>
      </c>
      <c r="J2071" s="3">
        <f>IFERROR(VLOOKUP(D2071,'Справочник соответствий'!A$2:D$2981,2,FALSE),IF(VALUE(D2071)=0,0,VLOOKUP(D2071,'Справочник соответствий'!A$2:D$2981,2,FALSE)))</f>
        <v>0</v>
      </c>
      <c r="K2071" s="3" t="str">
        <f t="shared" si="224"/>
        <v>1</v>
      </c>
      <c r="L2071" s="13" t="str">
        <f>IFERROR(VLOOKUP(C2071,'Справочник соответствий'!A$2:D$2981,3,FALSE),IF(VALUE(C2071)=0,"ЭТАЖ НЕ ОПРЕДЕЛЕН. ПРИНЯТ ПО ДОПУЩЕНИЮ 1",VLOOKUP(C2071,'Справочник соответствий'!A$2:D$2981,3,FALSE)))</f>
        <v>ЭТАЖ ЗАДАН ЧИСЛОМ</v>
      </c>
      <c r="M2071" s="13" t="b">
        <f t="shared" si="225"/>
        <v>0</v>
      </c>
      <c r="N2071" s="13">
        <f t="shared" si="226"/>
        <v>1</v>
      </c>
      <c r="O2071" s="13" t="str">
        <f t="shared" si="227"/>
        <v>ЭТАЖ ЗАДАН ЧИСЛОМ</v>
      </c>
      <c r="P2071" s="13" t="str">
        <f t="shared" si="228"/>
        <v>ЭТАЖ ЗАДАН ЧИСЛОМ</v>
      </c>
      <c r="Q2071" s="13" t="str">
        <f t="shared" si="229"/>
        <v>ГОТОВ</v>
      </c>
      <c r="R2071" s="13">
        <f>IFERROR(VLOOKUP(P2071,Лист1!A$1:B$20,2,FALSE),0)</f>
        <v>784</v>
      </c>
      <c r="S2071" s="13">
        <f t="shared" si="230"/>
        <v>1</v>
      </c>
    </row>
    <row r="2072" spans="1:19" x14ac:dyDescent="0.25">
      <c r="A2072" s="24" t="s">
        <v>3200</v>
      </c>
      <c r="B2072" s="4" t="s">
        <v>1059</v>
      </c>
      <c r="C2072" s="25" t="s">
        <v>5</v>
      </c>
      <c r="D2072" s="25" t="s">
        <v>24</v>
      </c>
      <c r="E2072" s="3">
        <v>1</v>
      </c>
      <c r="F2072" s="24" t="s">
        <v>1045</v>
      </c>
      <c r="G2072" s="25" t="s">
        <v>1106</v>
      </c>
      <c r="H2072" s="24" t="s">
        <v>1061</v>
      </c>
      <c r="I2072" s="3" t="str">
        <f>IFERROR(VLOOKUP(C2072,'Справочник соответствий'!A$2:D$2981,2,FALSE),IF(VALUE(C2072)=0,1,VLOOKUP(C2072,'Справочник соответствий'!A$2:D$2981,2,FALSE)))</f>
        <v>1</v>
      </c>
      <c r="J2072" s="3" t="str">
        <f>IFERROR(VLOOKUP(D2072,'Справочник соответствий'!A$2:D$2981,2,FALSE),IF(VALUE(D2072)=0,0,VLOOKUP(D2072,'Справочник соответствий'!A$2:D$2981,2,FALSE)))</f>
        <v>1</v>
      </c>
      <c r="K2072" s="3" t="str">
        <f t="shared" si="224"/>
        <v>1</v>
      </c>
      <c r="L2072" s="13" t="str">
        <f>IFERROR(VLOOKUP(C2072,'Справочник соответствий'!A$2:D$2981,3,FALSE),IF(VALUE(C2072)=0,"ЭТАЖ НЕ ОПРЕДЕЛЕН. ПРИНЯТ ПО ДОПУЩЕНИЮ 1",VLOOKUP(C2072,'Справочник соответствий'!A$2:D$2981,3,FALSE)))</f>
        <v>ЭТАЖ ЗАДАН ЧИСЛОМ</v>
      </c>
      <c r="M2072" s="13" t="b">
        <f t="shared" si="225"/>
        <v>0</v>
      </c>
      <c r="N2072" s="13">
        <f t="shared" si="226"/>
        <v>1</v>
      </c>
      <c r="O2072" s="13" t="str">
        <f t="shared" si="227"/>
        <v>ЭТАЖ ЗАДАН ЧИСЛОМ</v>
      </c>
      <c r="P2072" s="13" t="str">
        <f t="shared" si="228"/>
        <v>ЭТАЖ ЗАДАН ЧИСЛОМ</v>
      </c>
      <c r="Q2072" s="13" t="str">
        <f t="shared" si="229"/>
        <v>ГОТОВ</v>
      </c>
      <c r="R2072" s="13">
        <f>IFERROR(VLOOKUP(P2072,Лист1!A$1:B$20,2,FALSE),0)</f>
        <v>784</v>
      </c>
      <c r="S2072" s="13">
        <f t="shared" si="230"/>
        <v>1</v>
      </c>
    </row>
    <row r="2073" spans="1:19" x14ac:dyDescent="0.25">
      <c r="A2073" s="24" t="s">
        <v>3201</v>
      </c>
      <c r="B2073" s="4" t="s">
        <v>1059</v>
      </c>
      <c r="C2073" s="25" t="s">
        <v>5</v>
      </c>
      <c r="E2073" s="3">
        <v>1</v>
      </c>
      <c r="F2073" s="24" t="s">
        <v>1045</v>
      </c>
      <c r="G2073" s="25" t="s">
        <v>1167</v>
      </c>
      <c r="H2073" s="24" t="s">
        <v>1061</v>
      </c>
      <c r="I2073" s="3" t="str">
        <f>IFERROR(VLOOKUP(C2073,'Справочник соответствий'!A$2:D$2981,2,FALSE),IF(VALUE(C2073)=0,1,VLOOKUP(C2073,'Справочник соответствий'!A$2:D$2981,2,FALSE)))</f>
        <v>1</v>
      </c>
      <c r="J2073" s="3">
        <f>IFERROR(VLOOKUP(D2073,'Справочник соответствий'!A$2:D$2981,2,FALSE),IF(VALUE(D2073)=0,0,VLOOKUP(D2073,'Справочник соответствий'!A$2:D$2981,2,FALSE)))</f>
        <v>0</v>
      </c>
      <c r="K2073" s="3" t="str">
        <f t="shared" si="224"/>
        <v>1</v>
      </c>
      <c r="L2073" s="13" t="str">
        <f>IFERROR(VLOOKUP(C2073,'Справочник соответствий'!A$2:D$2981,3,FALSE),IF(VALUE(C2073)=0,"ЭТАЖ НЕ ОПРЕДЕЛЕН. ПРИНЯТ ПО ДОПУЩЕНИЮ 1",VLOOKUP(C2073,'Справочник соответствий'!A$2:D$2981,3,FALSE)))</f>
        <v>ЭТАЖ ЗАДАН ЧИСЛОМ</v>
      </c>
      <c r="M2073" s="13" t="b">
        <f t="shared" si="225"/>
        <v>0</v>
      </c>
      <c r="N2073" s="13">
        <f t="shared" si="226"/>
        <v>1</v>
      </c>
      <c r="O2073" s="13" t="str">
        <f t="shared" si="227"/>
        <v>ЭТАЖ ЗАДАН ЧИСЛОМ</v>
      </c>
      <c r="P2073" s="13" t="str">
        <f t="shared" si="228"/>
        <v>ЭТАЖ ЗАДАН ЧИСЛОМ</v>
      </c>
      <c r="Q2073" s="13" t="str">
        <f t="shared" si="229"/>
        <v>ГОТОВ</v>
      </c>
      <c r="R2073" s="13">
        <f>IFERROR(VLOOKUP(P2073,Лист1!A$1:B$20,2,FALSE),0)</f>
        <v>784</v>
      </c>
      <c r="S2073" s="13">
        <f t="shared" si="230"/>
        <v>1</v>
      </c>
    </row>
    <row r="2074" spans="1:19" x14ac:dyDescent="0.25">
      <c r="A2074" s="24" t="s">
        <v>3202</v>
      </c>
      <c r="B2074" s="4" t="s">
        <v>1059</v>
      </c>
      <c r="C2074" s="25" t="s">
        <v>5</v>
      </c>
      <c r="E2074" s="3">
        <v>1</v>
      </c>
      <c r="F2074" s="24" t="s">
        <v>1045</v>
      </c>
      <c r="G2074" s="25" t="s">
        <v>1072</v>
      </c>
      <c r="H2074" s="24" t="s">
        <v>1061</v>
      </c>
      <c r="I2074" s="3" t="str">
        <f>IFERROR(VLOOKUP(C2074,'Справочник соответствий'!A$2:D$2981,2,FALSE),IF(VALUE(C2074)=0,1,VLOOKUP(C2074,'Справочник соответствий'!A$2:D$2981,2,FALSE)))</f>
        <v>1</v>
      </c>
      <c r="J2074" s="3">
        <f>IFERROR(VLOOKUP(D2074,'Справочник соответствий'!A$2:D$2981,2,FALSE),IF(VALUE(D2074)=0,0,VLOOKUP(D2074,'Справочник соответствий'!A$2:D$2981,2,FALSE)))</f>
        <v>0</v>
      </c>
      <c r="K2074" s="3" t="str">
        <f t="shared" si="224"/>
        <v>1</v>
      </c>
      <c r="L2074" s="13" t="str">
        <f>IFERROR(VLOOKUP(C2074,'Справочник соответствий'!A$2:D$2981,3,FALSE),IF(VALUE(C2074)=0,"ЭТАЖ НЕ ОПРЕДЕЛЕН. ПРИНЯТ ПО ДОПУЩЕНИЮ 1",VLOOKUP(C2074,'Справочник соответствий'!A$2:D$2981,3,FALSE)))</f>
        <v>ЭТАЖ ЗАДАН ЧИСЛОМ</v>
      </c>
      <c r="M2074" s="13" t="b">
        <f t="shared" si="225"/>
        <v>0</v>
      </c>
      <c r="N2074" s="13">
        <f t="shared" si="226"/>
        <v>1</v>
      </c>
      <c r="O2074" s="13" t="str">
        <f t="shared" si="227"/>
        <v>ЭТАЖ ЗАДАН ЧИСЛОМ</v>
      </c>
      <c r="P2074" s="13" t="str">
        <f t="shared" si="228"/>
        <v>ЭТАЖ ЗАДАН ЧИСЛОМ</v>
      </c>
      <c r="Q2074" s="13" t="str">
        <f t="shared" si="229"/>
        <v>ГОТОВ</v>
      </c>
      <c r="R2074" s="13">
        <f>IFERROR(VLOOKUP(P2074,Лист1!A$1:B$20,2,FALSE),0)</f>
        <v>784</v>
      </c>
      <c r="S2074" s="13">
        <f t="shared" si="230"/>
        <v>1</v>
      </c>
    </row>
    <row r="2075" spans="1:19" x14ac:dyDescent="0.25">
      <c r="A2075" s="24" t="s">
        <v>3203</v>
      </c>
      <c r="B2075" s="4" t="s">
        <v>1063</v>
      </c>
      <c r="C2075" s="25" t="s">
        <v>5</v>
      </c>
      <c r="D2075" s="25" t="s">
        <v>24</v>
      </c>
      <c r="E2075" s="3">
        <v>1</v>
      </c>
      <c r="F2075" s="24" t="s">
        <v>1045</v>
      </c>
      <c r="G2075" s="25" t="s">
        <v>1089</v>
      </c>
      <c r="H2075" s="24" t="s">
        <v>1061</v>
      </c>
      <c r="I2075" s="3" t="str">
        <f>IFERROR(VLOOKUP(C2075,'Справочник соответствий'!A$2:D$2981,2,FALSE),IF(VALUE(C2075)=0,1,VLOOKUP(C2075,'Справочник соответствий'!A$2:D$2981,2,FALSE)))</f>
        <v>1</v>
      </c>
      <c r="J2075" s="3" t="str">
        <f>IFERROR(VLOOKUP(D2075,'Справочник соответствий'!A$2:D$2981,2,FALSE),IF(VALUE(D2075)=0,0,VLOOKUP(D2075,'Справочник соответствий'!A$2:D$2981,2,FALSE)))</f>
        <v>1</v>
      </c>
      <c r="K2075" s="3" t="str">
        <f t="shared" si="224"/>
        <v>1</v>
      </c>
      <c r="L2075" s="13" t="str">
        <f>IFERROR(VLOOKUP(C2075,'Справочник соответствий'!A$2:D$2981,3,FALSE),IF(VALUE(C2075)=0,"ЭТАЖ НЕ ОПРЕДЕЛЕН. ПРИНЯТ ПО ДОПУЩЕНИЮ 1",VLOOKUP(C2075,'Справочник соответствий'!A$2:D$2981,3,FALSE)))</f>
        <v>ЭТАЖ ЗАДАН ЧИСЛОМ</v>
      </c>
      <c r="M2075" s="13" t="b">
        <f t="shared" si="225"/>
        <v>0</v>
      </c>
      <c r="N2075" s="13">
        <f t="shared" si="226"/>
        <v>1</v>
      </c>
      <c r="O2075" s="13" t="str">
        <f t="shared" si="227"/>
        <v>ЭТАЖ ЗАДАН ЧИСЛОМ</v>
      </c>
      <c r="P2075" s="13" t="str">
        <f t="shared" si="228"/>
        <v>ЭТАЖ ЗАДАН ЧИСЛОМ</v>
      </c>
      <c r="Q2075" s="13" t="str">
        <f t="shared" si="229"/>
        <v>ГОТОВ</v>
      </c>
      <c r="R2075" s="13">
        <f>IFERROR(VLOOKUP(P2075,Лист1!A$1:B$20,2,FALSE),0)</f>
        <v>784</v>
      </c>
      <c r="S2075" s="13">
        <f t="shared" si="230"/>
        <v>1</v>
      </c>
    </row>
    <row r="2076" spans="1:19" x14ac:dyDescent="0.25">
      <c r="A2076" s="24" t="s">
        <v>3204</v>
      </c>
      <c r="B2076" s="4" t="s">
        <v>1063</v>
      </c>
      <c r="C2076" s="25" t="s">
        <v>5</v>
      </c>
      <c r="E2076" s="3">
        <v>1</v>
      </c>
      <c r="F2076" s="24" t="s">
        <v>1045</v>
      </c>
      <c r="G2076" s="25" t="s">
        <v>1106</v>
      </c>
      <c r="H2076" s="24" t="s">
        <v>1061</v>
      </c>
      <c r="I2076" s="3" t="str">
        <f>IFERROR(VLOOKUP(C2076,'Справочник соответствий'!A$2:D$2981,2,FALSE),IF(VALUE(C2076)=0,1,VLOOKUP(C2076,'Справочник соответствий'!A$2:D$2981,2,FALSE)))</f>
        <v>1</v>
      </c>
      <c r="J2076" s="3">
        <f>IFERROR(VLOOKUP(D2076,'Справочник соответствий'!A$2:D$2981,2,FALSE),IF(VALUE(D2076)=0,0,VLOOKUP(D2076,'Справочник соответствий'!A$2:D$2981,2,FALSE)))</f>
        <v>0</v>
      </c>
      <c r="K2076" s="3" t="str">
        <f t="shared" si="224"/>
        <v>1</v>
      </c>
      <c r="L2076" s="13" t="str">
        <f>IFERROR(VLOOKUP(C2076,'Справочник соответствий'!A$2:D$2981,3,FALSE),IF(VALUE(C2076)=0,"ЭТАЖ НЕ ОПРЕДЕЛЕН. ПРИНЯТ ПО ДОПУЩЕНИЮ 1",VLOOKUP(C2076,'Справочник соответствий'!A$2:D$2981,3,FALSE)))</f>
        <v>ЭТАЖ ЗАДАН ЧИСЛОМ</v>
      </c>
      <c r="M2076" s="13" t="b">
        <f t="shared" si="225"/>
        <v>0</v>
      </c>
      <c r="N2076" s="13">
        <f t="shared" si="226"/>
        <v>1</v>
      </c>
      <c r="O2076" s="13" t="str">
        <f t="shared" si="227"/>
        <v>ЭТАЖ ЗАДАН ЧИСЛОМ</v>
      </c>
      <c r="P2076" s="13" t="str">
        <f t="shared" si="228"/>
        <v>ЭТАЖ ЗАДАН ЧИСЛОМ</v>
      </c>
      <c r="Q2076" s="13" t="str">
        <f t="shared" si="229"/>
        <v>ГОТОВ</v>
      </c>
      <c r="R2076" s="13">
        <f>IFERROR(VLOOKUP(P2076,Лист1!A$1:B$20,2,FALSE),0)</f>
        <v>784</v>
      </c>
      <c r="S2076" s="13">
        <f t="shared" si="230"/>
        <v>1</v>
      </c>
    </row>
    <row r="2077" spans="1:19" x14ac:dyDescent="0.25">
      <c r="A2077" s="24" t="s">
        <v>3205</v>
      </c>
      <c r="B2077" s="4" t="s">
        <v>1031</v>
      </c>
      <c r="C2077" s="25" t="s">
        <v>5</v>
      </c>
      <c r="E2077" s="3">
        <v>1</v>
      </c>
      <c r="F2077" s="24" t="s">
        <v>1045</v>
      </c>
      <c r="G2077" s="25" t="s">
        <v>1060</v>
      </c>
      <c r="H2077" s="24" t="s">
        <v>1061</v>
      </c>
      <c r="I2077" s="3" t="str">
        <f>IFERROR(VLOOKUP(C2077,'Справочник соответствий'!A$2:D$2981,2,FALSE),IF(VALUE(C2077)=0,1,VLOOKUP(C2077,'Справочник соответствий'!A$2:D$2981,2,FALSE)))</f>
        <v>1</v>
      </c>
      <c r="J2077" s="3">
        <f>IFERROR(VLOOKUP(D2077,'Справочник соответствий'!A$2:D$2981,2,FALSE),IF(VALUE(D2077)=0,0,VLOOKUP(D2077,'Справочник соответствий'!A$2:D$2981,2,FALSE)))</f>
        <v>0</v>
      </c>
      <c r="K2077" s="3">
        <f t="shared" si="224"/>
        <v>1</v>
      </c>
      <c r="L2077" s="13" t="str">
        <f>IFERROR(VLOOKUP(C2077,'Справочник соответствий'!A$2:D$2981,3,FALSE),IF(VALUE(C2077)=0,"ЭТАЖ НЕ ОПРЕДЕЛЕН. ПРИНЯТ ПО ДОПУЩЕНИЮ 1",VLOOKUP(C2077,'Справочник соответствий'!A$2:D$2981,3,FALSE)))</f>
        <v>ЭТАЖ ЗАДАН ЧИСЛОМ</v>
      </c>
      <c r="M2077" s="13" t="b">
        <f t="shared" si="225"/>
        <v>0</v>
      </c>
      <c r="N2077" s="13">
        <f t="shared" si="226"/>
        <v>1</v>
      </c>
      <c r="O2077" s="13" t="str">
        <f t="shared" si="227"/>
        <v>ЭТАЖ ЗАДАН ЧИСЛОМ</v>
      </c>
      <c r="P2077" s="13" t="str">
        <f t="shared" si="228"/>
        <v>МКД_ЭТАЖ ЗАДАН ЧИСЛОМ</v>
      </c>
      <c r="Q2077" s="13" t="str">
        <f t="shared" si="229"/>
        <v>ГОТОВ</v>
      </c>
      <c r="R2077" s="13">
        <f>IFERROR(VLOOKUP(P2077,Лист1!A$1:B$20,2,FALSE),0)</f>
        <v>786</v>
      </c>
      <c r="S2077" s="13">
        <f t="shared" si="230"/>
        <v>1</v>
      </c>
    </row>
    <row r="2078" spans="1:19" x14ac:dyDescent="0.25">
      <c r="A2078" s="24" t="s">
        <v>3206</v>
      </c>
      <c r="B2078" s="4" t="s">
        <v>1063</v>
      </c>
      <c r="C2078" s="25" t="s">
        <v>5</v>
      </c>
      <c r="E2078" s="3">
        <v>1</v>
      </c>
      <c r="F2078" s="24" t="s">
        <v>1045</v>
      </c>
      <c r="G2078" s="25" t="s">
        <v>1219</v>
      </c>
      <c r="H2078" s="24" t="s">
        <v>1061</v>
      </c>
      <c r="I2078" s="3" t="str">
        <f>IFERROR(VLOOKUP(C2078,'Справочник соответствий'!A$2:D$2981,2,FALSE),IF(VALUE(C2078)=0,1,VLOOKUP(C2078,'Справочник соответствий'!A$2:D$2981,2,FALSE)))</f>
        <v>1</v>
      </c>
      <c r="J2078" s="3">
        <f>IFERROR(VLOOKUP(D2078,'Справочник соответствий'!A$2:D$2981,2,FALSE),IF(VALUE(D2078)=0,0,VLOOKUP(D2078,'Справочник соответствий'!A$2:D$2981,2,FALSE)))</f>
        <v>0</v>
      </c>
      <c r="K2078" s="3" t="str">
        <f t="shared" si="224"/>
        <v>1</v>
      </c>
      <c r="L2078" s="13" t="str">
        <f>IFERROR(VLOOKUP(C2078,'Справочник соответствий'!A$2:D$2981,3,FALSE),IF(VALUE(C2078)=0,"ЭТАЖ НЕ ОПРЕДЕЛЕН. ПРИНЯТ ПО ДОПУЩЕНИЮ 1",VLOOKUP(C2078,'Справочник соответствий'!A$2:D$2981,3,FALSE)))</f>
        <v>ЭТАЖ ЗАДАН ЧИСЛОМ</v>
      </c>
      <c r="M2078" s="13" t="b">
        <f t="shared" si="225"/>
        <v>0</v>
      </c>
      <c r="N2078" s="13">
        <f t="shared" si="226"/>
        <v>1</v>
      </c>
      <c r="O2078" s="13" t="str">
        <f t="shared" si="227"/>
        <v>ЭТАЖ ЗАДАН ЧИСЛОМ</v>
      </c>
      <c r="P2078" s="13" t="str">
        <f t="shared" si="228"/>
        <v>ЭТАЖ ЗАДАН ЧИСЛОМ</v>
      </c>
      <c r="Q2078" s="13" t="str">
        <f t="shared" si="229"/>
        <v>ГОТОВ</v>
      </c>
      <c r="R2078" s="13">
        <f>IFERROR(VLOOKUP(P2078,Лист1!A$1:B$20,2,FALSE),0)</f>
        <v>784</v>
      </c>
      <c r="S2078" s="13">
        <f t="shared" si="230"/>
        <v>1</v>
      </c>
    </row>
    <row r="2079" spans="1:19" x14ac:dyDescent="0.25">
      <c r="A2079" s="24" t="s">
        <v>3207</v>
      </c>
      <c r="B2079" s="4" t="s">
        <v>1059</v>
      </c>
      <c r="C2079" s="25" t="s">
        <v>5</v>
      </c>
      <c r="E2079" s="3">
        <v>1</v>
      </c>
      <c r="F2079" s="24" t="s">
        <v>1045</v>
      </c>
      <c r="G2079" s="25" t="s">
        <v>1104</v>
      </c>
      <c r="H2079" s="24" t="s">
        <v>1061</v>
      </c>
      <c r="I2079" s="3" t="str">
        <f>IFERROR(VLOOKUP(C2079,'Справочник соответствий'!A$2:D$2981,2,FALSE),IF(VALUE(C2079)=0,1,VLOOKUP(C2079,'Справочник соответствий'!A$2:D$2981,2,FALSE)))</f>
        <v>1</v>
      </c>
      <c r="J2079" s="3">
        <f>IFERROR(VLOOKUP(D2079,'Справочник соответствий'!A$2:D$2981,2,FALSE),IF(VALUE(D2079)=0,0,VLOOKUP(D2079,'Справочник соответствий'!A$2:D$2981,2,FALSE)))</f>
        <v>0</v>
      </c>
      <c r="K2079" s="3" t="str">
        <f t="shared" si="224"/>
        <v>1</v>
      </c>
      <c r="L2079" s="13" t="str">
        <f>IFERROR(VLOOKUP(C2079,'Справочник соответствий'!A$2:D$2981,3,FALSE),IF(VALUE(C2079)=0,"ЭТАЖ НЕ ОПРЕДЕЛЕН. ПРИНЯТ ПО ДОПУЩЕНИЮ 1",VLOOKUP(C2079,'Справочник соответствий'!A$2:D$2981,3,FALSE)))</f>
        <v>ЭТАЖ ЗАДАН ЧИСЛОМ</v>
      </c>
      <c r="M2079" s="13" t="b">
        <f t="shared" si="225"/>
        <v>0</v>
      </c>
      <c r="N2079" s="13">
        <f t="shared" si="226"/>
        <v>1</v>
      </c>
      <c r="O2079" s="13" t="str">
        <f t="shared" si="227"/>
        <v>ЭТАЖ ЗАДАН ЧИСЛОМ</v>
      </c>
      <c r="P2079" s="13" t="str">
        <f t="shared" si="228"/>
        <v>ЭТАЖ ЗАДАН ЧИСЛОМ</v>
      </c>
      <c r="Q2079" s="13" t="str">
        <f t="shared" si="229"/>
        <v>ГОТОВ</v>
      </c>
      <c r="R2079" s="13">
        <f>IFERROR(VLOOKUP(P2079,Лист1!A$1:B$20,2,FALSE),0)</f>
        <v>784</v>
      </c>
      <c r="S2079" s="13">
        <f t="shared" si="230"/>
        <v>1</v>
      </c>
    </row>
    <row r="2080" spans="1:19" x14ac:dyDescent="0.25">
      <c r="A2080" s="24" t="s">
        <v>3208</v>
      </c>
      <c r="B2080" s="4" t="s">
        <v>1059</v>
      </c>
      <c r="C2080" s="25" t="s">
        <v>5</v>
      </c>
      <c r="E2080" s="3">
        <v>1</v>
      </c>
      <c r="F2080" s="24" t="s">
        <v>2761</v>
      </c>
      <c r="G2080" s="25" t="s">
        <v>1089</v>
      </c>
      <c r="H2080" s="24" t="s">
        <v>1061</v>
      </c>
      <c r="I2080" s="3" t="str">
        <f>IFERROR(VLOOKUP(C2080,'Справочник соответствий'!A$2:D$2981,2,FALSE),IF(VALUE(C2080)=0,1,VLOOKUP(C2080,'Справочник соответствий'!A$2:D$2981,2,FALSE)))</f>
        <v>1</v>
      </c>
      <c r="J2080" s="3">
        <f>IFERROR(VLOOKUP(D2080,'Справочник соответствий'!A$2:D$2981,2,FALSE),IF(VALUE(D2080)=0,0,VLOOKUP(D2080,'Справочник соответствий'!A$2:D$2981,2,FALSE)))</f>
        <v>0</v>
      </c>
      <c r="K2080" s="3" t="str">
        <f t="shared" si="224"/>
        <v>1</v>
      </c>
      <c r="L2080" s="13" t="str">
        <f>IFERROR(VLOOKUP(C2080,'Справочник соответствий'!A$2:D$2981,3,FALSE),IF(VALUE(C2080)=0,"ЭТАЖ НЕ ОПРЕДЕЛЕН. ПРИНЯТ ПО ДОПУЩЕНИЮ 1",VLOOKUP(C2080,'Справочник соответствий'!A$2:D$2981,3,FALSE)))</f>
        <v>ЭТАЖ ЗАДАН ЧИСЛОМ</v>
      </c>
      <c r="M2080" s="13" t="b">
        <f t="shared" si="225"/>
        <v>0</v>
      </c>
      <c r="N2080" s="13">
        <f t="shared" si="226"/>
        <v>1</v>
      </c>
      <c r="O2080" s="13" t="str">
        <f t="shared" si="227"/>
        <v>ЭТАЖ ЗАДАН ЧИСЛОМ</v>
      </c>
      <c r="P2080" s="13" t="str">
        <f t="shared" si="228"/>
        <v>ЭТАЖ ЗАДАН ЧИСЛОМ</v>
      </c>
      <c r="Q2080" s="13" t="str">
        <f t="shared" si="229"/>
        <v>ГОТОВ</v>
      </c>
      <c r="R2080" s="13">
        <f>IFERROR(VLOOKUP(P2080,Лист1!A$1:B$20,2,FALSE),0)</f>
        <v>784</v>
      </c>
      <c r="S2080" s="13">
        <f t="shared" si="230"/>
        <v>1</v>
      </c>
    </row>
    <row r="2081" spans="1:19" x14ac:dyDescent="0.25">
      <c r="A2081" s="24" t="s">
        <v>3209</v>
      </c>
      <c r="B2081" s="4" t="s">
        <v>1063</v>
      </c>
      <c r="C2081" s="25" t="s">
        <v>5</v>
      </c>
      <c r="G2081" s="25" t="s">
        <v>1069</v>
      </c>
      <c r="H2081" s="24" t="s">
        <v>1061</v>
      </c>
      <c r="I2081" s="3" t="str">
        <f>IFERROR(VLOOKUP(C2081,'Справочник соответствий'!A$2:D$2981,2,FALSE),IF(VALUE(C2081)=0,1,VLOOKUP(C2081,'Справочник соответствий'!A$2:D$2981,2,FALSE)))</f>
        <v>1</v>
      </c>
      <c r="J2081" s="3">
        <f>IFERROR(VLOOKUP(D2081,'Справочник соответствий'!A$2:D$2981,2,FALSE),IF(VALUE(D2081)=0,0,VLOOKUP(D2081,'Справочник соответствий'!A$2:D$2981,2,FALSE)))</f>
        <v>0</v>
      </c>
      <c r="K2081" s="3" t="str">
        <f t="shared" si="224"/>
        <v>1</v>
      </c>
      <c r="L2081" s="13" t="str">
        <f>IFERROR(VLOOKUP(C2081,'Справочник соответствий'!A$2:D$2981,3,FALSE),IF(VALUE(C2081)=0,"ЭТАЖ НЕ ОПРЕДЕЛЕН. ПРИНЯТ ПО ДОПУЩЕНИЮ 1",VLOOKUP(C2081,'Справочник соответствий'!A$2:D$2981,3,FALSE)))</f>
        <v>ЭТАЖ ЗАДАН ЧИСЛОМ</v>
      </c>
      <c r="M2081" s="13" t="b">
        <f t="shared" si="225"/>
        <v>0</v>
      </c>
      <c r="N2081" s="13">
        <f t="shared" si="226"/>
        <v>1</v>
      </c>
      <c r="O2081" s="13" t="str">
        <f t="shared" si="227"/>
        <v>ЭТАЖ ЗАДАН ЧИСЛОМ</v>
      </c>
      <c r="P2081" s="13" t="str">
        <f t="shared" si="228"/>
        <v>ЭТАЖ ЗАДАН ЧИСЛОМ</v>
      </c>
      <c r="Q2081" s="13" t="str">
        <f t="shared" si="229"/>
        <v>ГОТОВ_ИЗМЕНЕН</v>
      </c>
      <c r="R2081" s="13">
        <f>IFERROR(VLOOKUP(P2081,Лист1!A$1:B$20,2,FALSE),0)</f>
        <v>784</v>
      </c>
      <c r="S2081" s="13">
        <f t="shared" si="230"/>
        <v>0</v>
      </c>
    </row>
    <row r="2082" spans="1:19" x14ac:dyDescent="0.25">
      <c r="A2082" s="24" t="s">
        <v>3210</v>
      </c>
      <c r="B2082" s="4" t="s">
        <v>1063</v>
      </c>
      <c r="C2082" s="25" t="s">
        <v>7</v>
      </c>
      <c r="D2082" s="25" t="s">
        <v>5</v>
      </c>
      <c r="G2082" s="25" t="s">
        <v>1086</v>
      </c>
      <c r="H2082" s="24" t="s">
        <v>1061</v>
      </c>
      <c r="I2082" s="3" t="str">
        <f>IFERROR(VLOOKUP(C2082,'Справочник соответствий'!A$2:D$2981,2,FALSE),IF(VALUE(C2082)=0,1,VLOOKUP(C2082,'Справочник соответствий'!A$2:D$2981,2,FALSE)))</f>
        <v>2</v>
      </c>
      <c r="J2082" s="3" t="str">
        <f>IFERROR(VLOOKUP(D2082,'Справочник соответствий'!A$2:D$2981,2,FALSE),IF(VALUE(D2082)=0,0,VLOOKUP(D2082,'Справочник соответствий'!A$2:D$2981,2,FALSE)))</f>
        <v>1</v>
      </c>
      <c r="K2082" s="3" t="str">
        <f t="shared" si="224"/>
        <v>2</v>
      </c>
      <c r="L2082" s="13" t="str">
        <f>IFERROR(VLOOKUP(C2082,'Справочник соответствий'!A$2:D$2981,3,FALSE),IF(VALUE(C2082)=0,"ЭТАЖ НЕ ОПРЕДЕЛЕН. ПРИНЯТ ПО ДОПУЩЕНИЮ 1",VLOOKUP(C2082,'Справочник соответствий'!A$2:D$2981,3,FALSE)))</f>
        <v>ЭТАЖ ЗАДАН ЧИСЛОМ</v>
      </c>
      <c r="M2082" s="13" t="b">
        <f t="shared" si="225"/>
        <v>0</v>
      </c>
      <c r="N2082" s="13">
        <f t="shared" si="226"/>
        <v>2</v>
      </c>
      <c r="O2082" s="13" t="str">
        <f t="shared" si="227"/>
        <v>ЭТАЖ ЗАДАН ЧИСЛОМ</v>
      </c>
      <c r="P2082" s="13" t="str">
        <f t="shared" si="228"/>
        <v>ЭТАЖ ЗАДАН ЧИСЛОМ</v>
      </c>
      <c r="Q2082" s="13" t="str">
        <f t="shared" si="229"/>
        <v>ГОТОВ_ИЗМЕНЕН</v>
      </c>
      <c r="R2082" s="13">
        <f>IFERROR(VLOOKUP(P2082,Лист1!A$1:B$20,2,FALSE),0)</f>
        <v>784</v>
      </c>
      <c r="S2082" s="13">
        <f t="shared" si="230"/>
        <v>0</v>
      </c>
    </row>
    <row r="2083" spans="1:19" x14ac:dyDescent="0.25">
      <c r="A2083" s="24" t="s">
        <v>3211</v>
      </c>
      <c r="B2083" s="4" t="s">
        <v>1059</v>
      </c>
      <c r="C2083" s="25" t="s">
        <v>5</v>
      </c>
      <c r="G2083" s="25" t="s">
        <v>1086</v>
      </c>
      <c r="H2083" s="24" t="s">
        <v>1061</v>
      </c>
      <c r="I2083" s="3" t="str">
        <f>IFERROR(VLOOKUP(C2083,'Справочник соответствий'!A$2:D$2981,2,FALSE),IF(VALUE(C2083)=0,1,VLOOKUP(C2083,'Справочник соответствий'!A$2:D$2981,2,FALSE)))</f>
        <v>1</v>
      </c>
      <c r="J2083" s="3">
        <f>IFERROR(VLOOKUP(D2083,'Справочник соответствий'!A$2:D$2981,2,FALSE),IF(VALUE(D2083)=0,0,VLOOKUP(D2083,'Справочник соответствий'!A$2:D$2981,2,FALSE)))</f>
        <v>0</v>
      </c>
      <c r="K2083" s="3" t="str">
        <f t="shared" si="224"/>
        <v>1</v>
      </c>
      <c r="L2083" s="13" t="str">
        <f>IFERROR(VLOOKUP(C2083,'Справочник соответствий'!A$2:D$2981,3,FALSE),IF(VALUE(C2083)=0,"ЭТАЖ НЕ ОПРЕДЕЛЕН. ПРИНЯТ ПО ДОПУЩЕНИЮ 1",VLOOKUP(C2083,'Справочник соответствий'!A$2:D$2981,3,FALSE)))</f>
        <v>ЭТАЖ ЗАДАН ЧИСЛОМ</v>
      </c>
      <c r="M2083" s="13" t="b">
        <f t="shared" si="225"/>
        <v>0</v>
      </c>
      <c r="N2083" s="13">
        <f t="shared" si="226"/>
        <v>1</v>
      </c>
      <c r="O2083" s="13" t="str">
        <f t="shared" si="227"/>
        <v>ЭТАЖ ЗАДАН ЧИСЛОМ</v>
      </c>
      <c r="P2083" s="13" t="str">
        <f t="shared" si="228"/>
        <v>ЭТАЖ ЗАДАН ЧИСЛОМ</v>
      </c>
      <c r="Q2083" s="13" t="str">
        <f t="shared" si="229"/>
        <v>ГОТОВ_ИЗМЕНЕН</v>
      </c>
      <c r="R2083" s="13">
        <f>IFERROR(VLOOKUP(P2083,Лист1!A$1:B$20,2,FALSE),0)</f>
        <v>784</v>
      </c>
      <c r="S2083" s="13">
        <f t="shared" si="230"/>
        <v>0</v>
      </c>
    </row>
    <row r="2084" spans="1:19" x14ac:dyDescent="0.25">
      <c r="A2084" s="24" t="s">
        <v>3212</v>
      </c>
      <c r="B2084" s="4" t="s">
        <v>1059</v>
      </c>
      <c r="C2084" s="25" t="s">
        <v>7</v>
      </c>
      <c r="G2084" s="25" t="s">
        <v>1086</v>
      </c>
      <c r="H2084" s="24" t="s">
        <v>1061</v>
      </c>
      <c r="I2084" s="3" t="str">
        <f>IFERROR(VLOOKUP(C2084,'Справочник соответствий'!A$2:D$2981,2,FALSE),IF(VALUE(C2084)=0,1,VLOOKUP(C2084,'Справочник соответствий'!A$2:D$2981,2,FALSE)))</f>
        <v>2</v>
      </c>
      <c r="J2084" s="3">
        <f>IFERROR(VLOOKUP(D2084,'Справочник соответствий'!A$2:D$2981,2,FALSE),IF(VALUE(D2084)=0,0,VLOOKUP(D2084,'Справочник соответствий'!A$2:D$2981,2,FALSE)))</f>
        <v>0</v>
      </c>
      <c r="K2084" s="3" t="str">
        <f t="shared" si="224"/>
        <v>2</v>
      </c>
      <c r="L2084" s="13" t="str">
        <f>IFERROR(VLOOKUP(C2084,'Справочник соответствий'!A$2:D$2981,3,FALSE),IF(VALUE(C2084)=0,"ЭТАЖ НЕ ОПРЕДЕЛЕН. ПРИНЯТ ПО ДОПУЩЕНИЮ 1",VLOOKUP(C2084,'Справочник соответствий'!A$2:D$2981,3,FALSE)))</f>
        <v>ЭТАЖ ЗАДАН ЧИСЛОМ</v>
      </c>
      <c r="M2084" s="13" t="b">
        <f t="shared" si="225"/>
        <v>0</v>
      </c>
      <c r="N2084" s="13">
        <f t="shared" si="226"/>
        <v>2</v>
      </c>
      <c r="O2084" s="13" t="str">
        <f t="shared" si="227"/>
        <v>ЭТАЖ ЗАДАН ЧИСЛОМ</v>
      </c>
      <c r="P2084" s="13" t="str">
        <f t="shared" si="228"/>
        <v>ЭТАЖ ЗАДАН ЧИСЛОМ</v>
      </c>
      <c r="Q2084" s="13" t="str">
        <f t="shared" si="229"/>
        <v>ГОТОВ_ИЗМЕНЕН</v>
      </c>
      <c r="R2084" s="13">
        <f>IFERROR(VLOOKUP(P2084,Лист1!A$1:B$20,2,FALSE),0)</f>
        <v>784</v>
      </c>
      <c r="S2084" s="13">
        <f t="shared" si="230"/>
        <v>0</v>
      </c>
    </row>
    <row r="2085" spans="1:19" x14ac:dyDescent="0.25">
      <c r="A2085" s="24" t="s">
        <v>3213</v>
      </c>
      <c r="B2085" s="4" t="s">
        <v>1059</v>
      </c>
      <c r="C2085" s="25" t="s">
        <v>5</v>
      </c>
      <c r="G2085" s="25" t="s">
        <v>1077</v>
      </c>
      <c r="H2085" s="24" t="s">
        <v>1061</v>
      </c>
      <c r="I2085" s="3" t="str">
        <f>IFERROR(VLOOKUP(C2085,'Справочник соответствий'!A$2:D$2981,2,FALSE),IF(VALUE(C2085)=0,1,VLOOKUP(C2085,'Справочник соответствий'!A$2:D$2981,2,FALSE)))</f>
        <v>1</v>
      </c>
      <c r="J2085" s="3">
        <f>IFERROR(VLOOKUP(D2085,'Справочник соответствий'!A$2:D$2981,2,FALSE),IF(VALUE(D2085)=0,0,VLOOKUP(D2085,'Справочник соответствий'!A$2:D$2981,2,FALSE)))</f>
        <v>0</v>
      </c>
      <c r="K2085" s="3" t="str">
        <f t="shared" si="224"/>
        <v>1</v>
      </c>
      <c r="L2085" s="13" t="str">
        <f>IFERROR(VLOOKUP(C2085,'Справочник соответствий'!A$2:D$2981,3,FALSE),IF(VALUE(C2085)=0,"ЭТАЖ НЕ ОПРЕДЕЛЕН. ПРИНЯТ ПО ДОПУЩЕНИЮ 1",VLOOKUP(C2085,'Справочник соответствий'!A$2:D$2981,3,FALSE)))</f>
        <v>ЭТАЖ ЗАДАН ЧИСЛОМ</v>
      </c>
      <c r="M2085" s="13" t="b">
        <f t="shared" si="225"/>
        <v>0</v>
      </c>
      <c r="N2085" s="13">
        <f t="shared" si="226"/>
        <v>1</v>
      </c>
      <c r="O2085" s="13" t="str">
        <f t="shared" si="227"/>
        <v>ЭТАЖ ЗАДАН ЧИСЛОМ</v>
      </c>
      <c r="P2085" s="13" t="str">
        <f t="shared" si="228"/>
        <v>ЭТАЖ ЗАДАН ЧИСЛОМ</v>
      </c>
      <c r="Q2085" s="13" t="str">
        <f t="shared" si="229"/>
        <v>ГОТОВ_ИЗМЕНЕН</v>
      </c>
      <c r="R2085" s="13">
        <f>IFERROR(VLOOKUP(P2085,Лист1!A$1:B$20,2,FALSE),0)</f>
        <v>784</v>
      </c>
      <c r="S2085" s="13">
        <f t="shared" si="230"/>
        <v>0</v>
      </c>
    </row>
    <row r="2086" spans="1:19" x14ac:dyDescent="0.25">
      <c r="A2086" s="24" t="s">
        <v>3214</v>
      </c>
      <c r="B2086" s="4" t="s">
        <v>1063</v>
      </c>
      <c r="C2086" s="25" t="s">
        <v>5</v>
      </c>
      <c r="G2086" s="25" t="s">
        <v>1086</v>
      </c>
      <c r="H2086" s="24" t="s">
        <v>1061</v>
      </c>
      <c r="I2086" s="3" t="str">
        <f>IFERROR(VLOOKUP(C2086,'Справочник соответствий'!A$2:D$2981,2,FALSE),IF(VALUE(C2086)=0,1,VLOOKUP(C2086,'Справочник соответствий'!A$2:D$2981,2,FALSE)))</f>
        <v>1</v>
      </c>
      <c r="J2086" s="3">
        <f>IFERROR(VLOOKUP(D2086,'Справочник соответствий'!A$2:D$2981,2,FALSE),IF(VALUE(D2086)=0,0,VLOOKUP(D2086,'Справочник соответствий'!A$2:D$2981,2,FALSE)))</f>
        <v>0</v>
      </c>
      <c r="K2086" s="3" t="str">
        <f t="shared" si="224"/>
        <v>1</v>
      </c>
      <c r="L2086" s="13" t="str">
        <f>IFERROR(VLOOKUP(C2086,'Справочник соответствий'!A$2:D$2981,3,FALSE),IF(VALUE(C2086)=0,"ЭТАЖ НЕ ОПРЕДЕЛЕН. ПРИНЯТ ПО ДОПУЩЕНИЮ 1",VLOOKUP(C2086,'Справочник соответствий'!A$2:D$2981,3,FALSE)))</f>
        <v>ЭТАЖ ЗАДАН ЧИСЛОМ</v>
      </c>
      <c r="M2086" s="13" t="b">
        <f t="shared" si="225"/>
        <v>0</v>
      </c>
      <c r="N2086" s="13">
        <f t="shared" si="226"/>
        <v>1</v>
      </c>
      <c r="O2086" s="13" t="str">
        <f t="shared" si="227"/>
        <v>ЭТАЖ ЗАДАН ЧИСЛОМ</v>
      </c>
      <c r="P2086" s="13" t="str">
        <f t="shared" si="228"/>
        <v>ЭТАЖ ЗАДАН ЧИСЛОМ</v>
      </c>
      <c r="Q2086" s="13" t="str">
        <f t="shared" si="229"/>
        <v>ГОТОВ_ИЗМЕНЕН</v>
      </c>
      <c r="R2086" s="13">
        <f>IFERROR(VLOOKUP(P2086,Лист1!A$1:B$20,2,FALSE),0)</f>
        <v>784</v>
      </c>
      <c r="S2086" s="13">
        <f t="shared" si="230"/>
        <v>0</v>
      </c>
    </row>
    <row r="2087" spans="1:19" x14ac:dyDescent="0.25">
      <c r="A2087" s="24" t="s">
        <v>3215</v>
      </c>
      <c r="B2087" s="4" t="s">
        <v>1063</v>
      </c>
      <c r="C2087" s="25" t="s">
        <v>5</v>
      </c>
      <c r="G2087" s="25" t="s">
        <v>1086</v>
      </c>
      <c r="H2087" s="24" t="s">
        <v>1061</v>
      </c>
      <c r="I2087" s="3" t="str">
        <f>IFERROR(VLOOKUP(C2087,'Справочник соответствий'!A$2:D$2981,2,FALSE),IF(VALUE(C2087)=0,1,VLOOKUP(C2087,'Справочник соответствий'!A$2:D$2981,2,FALSE)))</f>
        <v>1</v>
      </c>
      <c r="J2087" s="3">
        <f>IFERROR(VLOOKUP(D2087,'Справочник соответствий'!A$2:D$2981,2,FALSE),IF(VALUE(D2087)=0,0,VLOOKUP(D2087,'Справочник соответствий'!A$2:D$2981,2,FALSE)))</f>
        <v>0</v>
      </c>
      <c r="K2087" s="3" t="str">
        <f t="shared" si="224"/>
        <v>1</v>
      </c>
      <c r="L2087" s="13" t="str">
        <f>IFERROR(VLOOKUP(C2087,'Справочник соответствий'!A$2:D$2981,3,FALSE),IF(VALUE(C2087)=0,"ЭТАЖ НЕ ОПРЕДЕЛЕН. ПРИНЯТ ПО ДОПУЩЕНИЮ 1",VLOOKUP(C2087,'Справочник соответствий'!A$2:D$2981,3,FALSE)))</f>
        <v>ЭТАЖ ЗАДАН ЧИСЛОМ</v>
      </c>
      <c r="M2087" s="13" t="b">
        <f t="shared" si="225"/>
        <v>0</v>
      </c>
      <c r="N2087" s="13">
        <f t="shared" si="226"/>
        <v>1</v>
      </c>
      <c r="O2087" s="13" t="str">
        <f t="shared" si="227"/>
        <v>ЭТАЖ ЗАДАН ЧИСЛОМ</v>
      </c>
      <c r="P2087" s="13" t="str">
        <f t="shared" si="228"/>
        <v>ЭТАЖ ЗАДАН ЧИСЛОМ</v>
      </c>
      <c r="Q2087" s="13" t="str">
        <f t="shared" si="229"/>
        <v>ГОТОВ_ИЗМЕНЕН</v>
      </c>
      <c r="R2087" s="13">
        <f>IFERROR(VLOOKUP(P2087,Лист1!A$1:B$20,2,FALSE),0)</f>
        <v>784</v>
      </c>
      <c r="S2087" s="13">
        <f t="shared" si="230"/>
        <v>0</v>
      </c>
    </row>
    <row r="2088" spans="1:19" x14ac:dyDescent="0.25">
      <c r="A2088" s="24" t="s">
        <v>3216</v>
      </c>
      <c r="B2088" s="4" t="s">
        <v>1059</v>
      </c>
      <c r="C2088" s="25" t="s">
        <v>5</v>
      </c>
      <c r="G2088" s="25" t="s">
        <v>1086</v>
      </c>
      <c r="H2088" s="24" t="s">
        <v>1061</v>
      </c>
      <c r="I2088" s="3" t="str">
        <f>IFERROR(VLOOKUP(C2088,'Справочник соответствий'!A$2:D$2981,2,FALSE),IF(VALUE(C2088)=0,1,VLOOKUP(C2088,'Справочник соответствий'!A$2:D$2981,2,FALSE)))</f>
        <v>1</v>
      </c>
      <c r="J2088" s="3">
        <f>IFERROR(VLOOKUP(D2088,'Справочник соответствий'!A$2:D$2981,2,FALSE),IF(VALUE(D2088)=0,0,VLOOKUP(D2088,'Справочник соответствий'!A$2:D$2981,2,FALSE)))</f>
        <v>0</v>
      </c>
      <c r="K2088" s="3" t="str">
        <f t="shared" si="224"/>
        <v>1</v>
      </c>
      <c r="L2088" s="13" t="str">
        <f>IFERROR(VLOOKUP(C2088,'Справочник соответствий'!A$2:D$2981,3,FALSE),IF(VALUE(C2088)=0,"ЭТАЖ НЕ ОПРЕДЕЛЕН. ПРИНЯТ ПО ДОПУЩЕНИЮ 1",VLOOKUP(C2088,'Справочник соответствий'!A$2:D$2981,3,FALSE)))</f>
        <v>ЭТАЖ ЗАДАН ЧИСЛОМ</v>
      </c>
      <c r="M2088" s="13" t="b">
        <f t="shared" si="225"/>
        <v>0</v>
      </c>
      <c r="N2088" s="13">
        <f t="shared" si="226"/>
        <v>1</v>
      </c>
      <c r="O2088" s="13" t="str">
        <f t="shared" si="227"/>
        <v>ЭТАЖ ЗАДАН ЧИСЛОМ</v>
      </c>
      <c r="P2088" s="13" t="str">
        <f t="shared" si="228"/>
        <v>ЭТАЖ ЗАДАН ЧИСЛОМ</v>
      </c>
      <c r="Q2088" s="13" t="str">
        <f t="shared" si="229"/>
        <v>ГОТОВ_ИЗМЕНЕН</v>
      </c>
      <c r="R2088" s="13">
        <f>IFERROR(VLOOKUP(P2088,Лист1!A$1:B$20,2,FALSE),0)</f>
        <v>784</v>
      </c>
      <c r="S2088" s="13">
        <f t="shared" si="230"/>
        <v>0</v>
      </c>
    </row>
    <row r="2089" spans="1:19" x14ac:dyDescent="0.25">
      <c r="A2089" s="24" t="s">
        <v>3217</v>
      </c>
      <c r="B2089" s="4" t="s">
        <v>1031</v>
      </c>
      <c r="C2089" s="25" t="s">
        <v>5</v>
      </c>
      <c r="G2089" s="25" t="s">
        <v>1077</v>
      </c>
      <c r="H2089" s="24" t="s">
        <v>1061</v>
      </c>
      <c r="I2089" s="3" t="str">
        <f>IFERROR(VLOOKUP(C2089,'Справочник соответствий'!A$2:D$2981,2,FALSE),IF(VALUE(C2089)=0,1,VLOOKUP(C2089,'Справочник соответствий'!A$2:D$2981,2,FALSE)))</f>
        <v>1</v>
      </c>
      <c r="J2089" s="3">
        <f>IFERROR(VLOOKUP(D2089,'Справочник соответствий'!A$2:D$2981,2,FALSE),IF(VALUE(D2089)=0,0,VLOOKUP(D2089,'Справочник соответствий'!A$2:D$2981,2,FALSE)))</f>
        <v>0</v>
      </c>
      <c r="K2089" s="3">
        <f t="shared" si="224"/>
        <v>1</v>
      </c>
      <c r="L2089" s="13" t="str">
        <f>IFERROR(VLOOKUP(C2089,'Справочник соответствий'!A$2:D$2981,3,FALSE),IF(VALUE(C2089)=0,"ЭТАЖ НЕ ОПРЕДЕЛЕН. ПРИНЯТ ПО ДОПУЩЕНИЮ 1",VLOOKUP(C2089,'Справочник соответствий'!A$2:D$2981,3,FALSE)))</f>
        <v>ЭТАЖ ЗАДАН ЧИСЛОМ</v>
      </c>
      <c r="M2089" s="13" t="b">
        <f t="shared" si="225"/>
        <v>0</v>
      </c>
      <c r="N2089" s="13">
        <f t="shared" si="226"/>
        <v>1</v>
      </c>
      <c r="O2089" s="13" t="str">
        <f t="shared" si="227"/>
        <v>ЭТАЖ ЗАДАН ЧИСЛОМ</v>
      </c>
      <c r="P2089" s="13" t="str">
        <f t="shared" si="228"/>
        <v>МКД_ЭТАЖ ЗАДАН ЧИСЛОМ</v>
      </c>
      <c r="Q2089" s="13" t="str">
        <f t="shared" si="229"/>
        <v>ГОТОВ_ИЗМЕНЕН</v>
      </c>
      <c r="R2089" s="13">
        <f>IFERROR(VLOOKUP(P2089,Лист1!A$1:B$20,2,FALSE),0)</f>
        <v>786</v>
      </c>
      <c r="S2089" s="13">
        <f t="shared" si="230"/>
        <v>0</v>
      </c>
    </row>
    <row r="2090" spans="1:19" x14ac:dyDescent="0.25">
      <c r="A2090" s="24" t="s">
        <v>3218</v>
      </c>
      <c r="B2090" s="4" t="s">
        <v>1059</v>
      </c>
      <c r="C2090" s="25" t="s">
        <v>5</v>
      </c>
      <c r="G2090" s="25" t="s">
        <v>1080</v>
      </c>
      <c r="H2090" s="24" t="s">
        <v>1061</v>
      </c>
      <c r="I2090" s="3" t="str">
        <f>IFERROR(VLOOKUP(C2090,'Справочник соответствий'!A$2:D$2981,2,FALSE),IF(VALUE(C2090)=0,1,VLOOKUP(C2090,'Справочник соответствий'!A$2:D$2981,2,FALSE)))</f>
        <v>1</v>
      </c>
      <c r="J2090" s="3">
        <f>IFERROR(VLOOKUP(D2090,'Справочник соответствий'!A$2:D$2981,2,FALSE),IF(VALUE(D2090)=0,0,VLOOKUP(D2090,'Справочник соответствий'!A$2:D$2981,2,FALSE)))</f>
        <v>0</v>
      </c>
      <c r="K2090" s="3" t="str">
        <f t="shared" si="224"/>
        <v>1</v>
      </c>
      <c r="L2090" s="13" t="str">
        <f>IFERROR(VLOOKUP(C2090,'Справочник соответствий'!A$2:D$2981,3,FALSE),IF(VALUE(C2090)=0,"ЭТАЖ НЕ ОПРЕДЕЛЕН. ПРИНЯТ ПО ДОПУЩЕНИЮ 1",VLOOKUP(C2090,'Справочник соответствий'!A$2:D$2981,3,FALSE)))</f>
        <v>ЭТАЖ ЗАДАН ЧИСЛОМ</v>
      </c>
      <c r="M2090" s="13" t="b">
        <f t="shared" si="225"/>
        <v>0</v>
      </c>
      <c r="N2090" s="13">
        <f t="shared" si="226"/>
        <v>1</v>
      </c>
      <c r="O2090" s="13" t="str">
        <f t="shared" si="227"/>
        <v>ЭТАЖ ЗАДАН ЧИСЛОМ</v>
      </c>
      <c r="P2090" s="13" t="str">
        <f t="shared" si="228"/>
        <v>ЭТАЖ ЗАДАН ЧИСЛОМ</v>
      </c>
      <c r="Q2090" s="13" t="str">
        <f t="shared" si="229"/>
        <v>ГОТОВ_ИЗМЕНЕН</v>
      </c>
      <c r="R2090" s="13">
        <f>IFERROR(VLOOKUP(P2090,Лист1!A$1:B$20,2,FALSE),0)</f>
        <v>784</v>
      </c>
      <c r="S2090" s="13">
        <f t="shared" si="230"/>
        <v>0</v>
      </c>
    </row>
    <row r="2091" spans="1:19" x14ac:dyDescent="0.25">
      <c r="A2091" s="24" t="s">
        <v>3219</v>
      </c>
      <c r="B2091" s="4" t="s">
        <v>1059</v>
      </c>
      <c r="C2091" s="25" t="s">
        <v>5</v>
      </c>
      <c r="G2091" s="25" t="s">
        <v>1080</v>
      </c>
      <c r="H2091" s="24" t="s">
        <v>1061</v>
      </c>
      <c r="I2091" s="3" t="str">
        <f>IFERROR(VLOOKUP(C2091,'Справочник соответствий'!A$2:D$2981,2,FALSE),IF(VALUE(C2091)=0,1,VLOOKUP(C2091,'Справочник соответствий'!A$2:D$2981,2,FALSE)))</f>
        <v>1</v>
      </c>
      <c r="J2091" s="3">
        <f>IFERROR(VLOOKUP(D2091,'Справочник соответствий'!A$2:D$2981,2,FALSE),IF(VALUE(D2091)=0,0,VLOOKUP(D2091,'Справочник соответствий'!A$2:D$2981,2,FALSE)))</f>
        <v>0</v>
      </c>
      <c r="K2091" s="3" t="str">
        <f t="shared" si="224"/>
        <v>1</v>
      </c>
      <c r="L2091" s="13" t="str">
        <f>IFERROR(VLOOKUP(C2091,'Справочник соответствий'!A$2:D$2981,3,FALSE),IF(VALUE(C2091)=0,"ЭТАЖ НЕ ОПРЕДЕЛЕН. ПРИНЯТ ПО ДОПУЩЕНИЮ 1",VLOOKUP(C2091,'Справочник соответствий'!A$2:D$2981,3,FALSE)))</f>
        <v>ЭТАЖ ЗАДАН ЧИСЛОМ</v>
      </c>
      <c r="M2091" s="13" t="b">
        <f t="shared" si="225"/>
        <v>0</v>
      </c>
      <c r="N2091" s="13">
        <f t="shared" si="226"/>
        <v>1</v>
      </c>
      <c r="O2091" s="13" t="str">
        <f t="shared" si="227"/>
        <v>ЭТАЖ ЗАДАН ЧИСЛОМ</v>
      </c>
      <c r="P2091" s="13" t="str">
        <f t="shared" si="228"/>
        <v>ЭТАЖ ЗАДАН ЧИСЛОМ</v>
      </c>
      <c r="Q2091" s="13" t="str">
        <f t="shared" si="229"/>
        <v>ГОТОВ_ИЗМЕНЕН</v>
      </c>
      <c r="R2091" s="13">
        <f>IFERROR(VLOOKUP(P2091,Лист1!A$1:B$20,2,FALSE),0)</f>
        <v>784</v>
      </c>
      <c r="S2091" s="13">
        <f t="shared" si="230"/>
        <v>0</v>
      </c>
    </row>
    <row r="2092" spans="1:19" x14ac:dyDescent="0.25">
      <c r="A2092" s="24" t="s">
        <v>3220</v>
      </c>
      <c r="B2092" s="4" t="s">
        <v>1063</v>
      </c>
      <c r="C2092" s="25" t="s">
        <v>5</v>
      </c>
      <c r="G2092" s="25" t="s">
        <v>1080</v>
      </c>
      <c r="H2092" s="24" t="s">
        <v>1061</v>
      </c>
      <c r="I2092" s="3" t="str">
        <f>IFERROR(VLOOKUP(C2092,'Справочник соответствий'!A$2:D$2981,2,FALSE),IF(VALUE(C2092)=0,1,VLOOKUP(C2092,'Справочник соответствий'!A$2:D$2981,2,FALSE)))</f>
        <v>1</v>
      </c>
      <c r="J2092" s="3">
        <f>IFERROR(VLOOKUP(D2092,'Справочник соответствий'!A$2:D$2981,2,FALSE),IF(VALUE(D2092)=0,0,VLOOKUP(D2092,'Справочник соответствий'!A$2:D$2981,2,FALSE)))</f>
        <v>0</v>
      </c>
      <c r="K2092" s="3" t="str">
        <f t="shared" si="224"/>
        <v>1</v>
      </c>
      <c r="L2092" s="13" t="str">
        <f>IFERROR(VLOOKUP(C2092,'Справочник соответствий'!A$2:D$2981,3,FALSE),IF(VALUE(C2092)=0,"ЭТАЖ НЕ ОПРЕДЕЛЕН. ПРИНЯТ ПО ДОПУЩЕНИЮ 1",VLOOKUP(C2092,'Справочник соответствий'!A$2:D$2981,3,FALSE)))</f>
        <v>ЭТАЖ ЗАДАН ЧИСЛОМ</v>
      </c>
      <c r="M2092" s="13" t="b">
        <f t="shared" si="225"/>
        <v>0</v>
      </c>
      <c r="N2092" s="13">
        <f t="shared" si="226"/>
        <v>1</v>
      </c>
      <c r="O2092" s="13" t="str">
        <f t="shared" si="227"/>
        <v>ЭТАЖ ЗАДАН ЧИСЛОМ</v>
      </c>
      <c r="P2092" s="13" t="str">
        <f t="shared" si="228"/>
        <v>ЭТАЖ ЗАДАН ЧИСЛОМ</v>
      </c>
      <c r="Q2092" s="13" t="str">
        <f t="shared" si="229"/>
        <v>ГОТОВ_ИЗМЕНЕН</v>
      </c>
      <c r="R2092" s="13">
        <f>IFERROR(VLOOKUP(P2092,Лист1!A$1:B$20,2,FALSE),0)</f>
        <v>784</v>
      </c>
      <c r="S2092" s="13">
        <f t="shared" si="230"/>
        <v>0</v>
      </c>
    </row>
    <row r="2093" spans="1:19" x14ac:dyDescent="0.25">
      <c r="A2093" s="24" t="s">
        <v>3221</v>
      </c>
      <c r="B2093" s="4" t="s">
        <v>1063</v>
      </c>
      <c r="C2093" s="25" t="s">
        <v>5</v>
      </c>
      <c r="G2093" s="25" t="s">
        <v>1080</v>
      </c>
      <c r="H2093" s="24" t="s">
        <v>1061</v>
      </c>
      <c r="I2093" s="3" t="str">
        <f>IFERROR(VLOOKUP(C2093,'Справочник соответствий'!A$2:D$2981,2,FALSE),IF(VALUE(C2093)=0,1,VLOOKUP(C2093,'Справочник соответствий'!A$2:D$2981,2,FALSE)))</f>
        <v>1</v>
      </c>
      <c r="J2093" s="3">
        <f>IFERROR(VLOOKUP(D2093,'Справочник соответствий'!A$2:D$2981,2,FALSE),IF(VALUE(D2093)=0,0,VLOOKUP(D2093,'Справочник соответствий'!A$2:D$2981,2,FALSE)))</f>
        <v>0</v>
      </c>
      <c r="K2093" s="3" t="str">
        <f t="shared" si="224"/>
        <v>1</v>
      </c>
      <c r="L2093" s="13" t="str">
        <f>IFERROR(VLOOKUP(C2093,'Справочник соответствий'!A$2:D$2981,3,FALSE),IF(VALUE(C2093)=0,"ЭТАЖ НЕ ОПРЕДЕЛЕН. ПРИНЯТ ПО ДОПУЩЕНИЮ 1",VLOOKUP(C2093,'Справочник соответствий'!A$2:D$2981,3,FALSE)))</f>
        <v>ЭТАЖ ЗАДАН ЧИСЛОМ</v>
      </c>
      <c r="M2093" s="13" t="b">
        <f t="shared" si="225"/>
        <v>0</v>
      </c>
      <c r="N2093" s="13">
        <f t="shared" si="226"/>
        <v>1</v>
      </c>
      <c r="O2093" s="13" t="str">
        <f t="shared" si="227"/>
        <v>ЭТАЖ ЗАДАН ЧИСЛОМ</v>
      </c>
      <c r="P2093" s="13" t="str">
        <f t="shared" si="228"/>
        <v>ЭТАЖ ЗАДАН ЧИСЛОМ</v>
      </c>
      <c r="Q2093" s="13" t="str">
        <f t="shared" si="229"/>
        <v>ГОТОВ_ИЗМЕНЕН</v>
      </c>
      <c r="R2093" s="13">
        <f>IFERROR(VLOOKUP(P2093,Лист1!A$1:B$20,2,FALSE),0)</f>
        <v>784</v>
      </c>
      <c r="S2093" s="13">
        <f t="shared" si="230"/>
        <v>0</v>
      </c>
    </row>
    <row r="2094" spans="1:19" x14ac:dyDescent="0.25">
      <c r="A2094" s="24" t="s">
        <v>3222</v>
      </c>
      <c r="B2094" s="4" t="s">
        <v>1063</v>
      </c>
      <c r="C2094" s="25" t="s">
        <v>5</v>
      </c>
      <c r="G2094" s="25" t="s">
        <v>1086</v>
      </c>
      <c r="H2094" s="24" t="s">
        <v>1061</v>
      </c>
      <c r="I2094" s="3" t="str">
        <f>IFERROR(VLOOKUP(C2094,'Справочник соответствий'!A$2:D$2981,2,FALSE),IF(VALUE(C2094)=0,1,VLOOKUP(C2094,'Справочник соответствий'!A$2:D$2981,2,FALSE)))</f>
        <v>1</v>
      </c>
      <c r="J2094" s="3">
        <f>IFERROR(VLOOKUP(D2094,'Справочник соответствий'!A$2:D$2981,2,FALSE),IF(VALUE(D2094)=0,0,VLOOKUP(D2094,'Справочник соответствий'!A$2:D$2981,2,FALSE)))</f>
        <v>0</v>
      </c>
      <c r="K2094" s="3" t="str">
        <f t="shared" si="224"/>
        <v>1</v>
      </c>
      <c r="L2094" s="13" t="str">
        <f>IFERROR(VLOOKUP(C2094,'Справочник соответствий'!A$2:D$2981,3,FALSE),IF(VALUE(C2094)=0,"ЭТАЖ НЕ ОПРЕДЕЛЕН. ПРИНЯТ ПО ДОПУЩЕНИЮ 1",VLOOKUP(C2094,'Справочник соответствий'!A$2:D$2981,3,FALSE)))</f>
        <v>ЭТАЖ ЗАДАН ЧИСЛОМ</v>
      </c>
      <c r="M2094" s="13" t="b">
        <f t="shared" si="225"/>
        <v>0</v>
      </c>
      <c r="N2094" s="13">
        <f t="shared" si="226"/>
        <v>1</v>
      </c>
      <c r="O2094" s="13" t="str">
        <f t="shared" si="227"/>
        <v>ЭТАЖ ЗАДАН ЧИСЛОМ</v>
      </c>
      <c r="P2094" s="13" t="str">
        <f t="shared" si="228"/>
        <v>ЭТАЖ ЗАДАН ЧИСЛОМ</v>
      </c>
      <c r="Q2094" s="13" t="str">
        <f t="shared" si="229"/>
        <v>ГОТОВ_ИЗМЕНЕН</v>
      </c>
      <c r="R2094" s="13">
        <f>IFERROR(VLOOKUP(P2094,Лист1!A$1:B$20,2,FALSE),0)</f>
        <v>784</v>
      </c>
      <c r="S2094" s="13">
        <f t="shared" si="230"/>
        <v>0</v>
      </c>
    </row>
    <row r="2095" spans="1:19" x14ac:dyDescent="0.25">
      <c r="A2095" s="24" t="s">
        <v>3223</v>
      </c>
      <c r="B2095" s="4" t="s">
        <v>1059</v>
      </c>
      <c r="C2095" s="25" t="s">
        <v>5</v>
      </c>
      <c r="G2095" s="25" t="s">
        <v>1080</v>
      </c>
      <c r="H2095" s="24" t="s">
        <v>1061</v>
      </c>
      <c r="I2095" s="3" t="str">
        <f>IFERROR(VLOOKUP(C2095,'Справочник соответствий'!A$2:D$2981,2,FALSE),IF(VALUE(C2095)=0,1,VLOOKUP(C2095,'Справочник соответствий'!A$2:D$2981,2,FALSE)))</f>
        <v>1</v>
      </c>
      <c r="J2095" s="3">
        <f>IFERROR(VLOOKUP(D2095,'Справочник соответствий'!A$2:D$2981,2,FALSE),IF(VALUE(D2095)=0,0,VLOOKUP(D2095,'Справочник соответствий'!A$2:D$2981,2,FALSE)))</f>
        <v>0</v>
      </c>
      <c r="K2095" s="3" t="str">
        <f t="shared" si="224"/>
        <v>1</v>
      </c>
      <c r="L2095" s="13" t="str">
        <f>IFERROR(VLOOKUP(C2095,'Справочник соответствий'!A$2:D$2981,3,FALSE),IF(VALUE(C2095)=0,"ЭТАЖ НЕ ОПРЕДЕЛЕН. ПРИНЯТ ПО ДОПУЩЕНИЮ 1",VLOOKUP(C2095,'Справочник соответствий'!A$2:D$2981,3,FALSE)))</f>
        <v>ЭТАЖ ЗАДАН ЧИСЛОМ</v>
      </c>
      <c r="M2095" s="13" t="b">
        <f t="shared" si="225"/>
        <v>0</v>
      </c>
      <c r="N2095" s="13">
        <f t="shared" si="226"/>
        <v>1</v>
      </c>
      <c r="O2095" s="13" t="str">
        <f t="shared" si="227"/>
        <v>ЭТАЖ ЗАДАН ЧИСЛОМ</v>
      </c>
      <c r="P2095" s="13" t="str">
        <f t="shared" si="228"/>
        <v>ЭТАЖ ЗАДАН ЧИСЛОМ</v>
      </c>
      <c r="Q2095" s="13" t="str">
        <f t="shared" si="229"/>
        <v>ГОТОВ_ИЗМЕНЕН</v>
      </c>
      <c r="R2095" s="13">
        <f>IFERROR(VLOOKUP(P2095,Лист1!A$1:B$20,2,FALSE),0)</f>
        <v>784</v>
      </c>
      <c r="S2095" s="13">
        <f t="shared" si="230"/>
        <v>0</v>
      </c>
    </row>
    <row r="2096" spans="1:19" x14ac:dyDescent="0.25">
      <c r="A2096" s="24" t="s">
        <v>3224</v>
      </c>
      <c r="B2096" s="4" t="s">
        <v>1059</v>
      </c>
      <c r="C2096" s="25" t="s">
        <v>5</v>
      </c>
      <c r="G2096" s="25" t="s">
        <v>1077</v>
      </c>
      <c r="H2096" s="24" t="s">
        <v>1061</v>
      </c>
      <c r="I2096" s="3" t="str">
        <f>IFERROR(VLOOKUP(C2096,'Справочник соответствий'!A$2:D$2981,2,FALSE),IF(VALUE(C2096)=0,1,VLOOKUP(C2096,'Справочник соответствий'!A$2:D$2981,2,FALSE)))</f>
        <v>1</v>
      </c>
      <c r="J2096" s="3">
        <f>IFERROR(VLOOKUP(D2096,'Справочник соответствий'!A$2:D$2981,2,FALSE),IF(VALUE(D2096)=0,0,VLOOKUP(D2096,'Справочник соответствий'!A$2:D$2981,2,FALSE)))</f>
        <v>0</v>
      </c>
      <c r="K2096" s="3" t="str">
        <f t="shared" si="224"/>
        <v>1</v>
      </c>
      <c r="L2096" s="13" t="str">
        <f>IFERROR(VLOOKUP(C2096,'Справочник соответствий'!A$2:D$2981,3,FALSE),IF(VALUE(C2096)=0,"ЭТАЖ НЕ ОПРЕДЕЛЕН. ПРИНЯТ ПО ДОПУЩЕНИЮ 1",VLOOKUP(C2096,'Справочник соответствий'!A$2:D$2981,3,FALSE)))</f>
        <v>ЭТАЖ ЗАДАН ЧИСЛОМ</v>
      </c>
      <c r="M2096" s="13" t="b">
        <f t="shared" si="225"/>
        <v>0</v>
      </c>
      <c r="N2096" s="13">
        <f t="shared" si="226"/>
        <v>1</v>
      </c>
      <c r="O2096" s="13" t="str">
        <f t="shared" si="227"/>
        <v>ЭТАЖ ЗАДАН ЧИСЛОМ</v>
      </c>
      <c r="P2096" s="13" t="str">
        <f t="shared" si="228"/>
        <v>ЭТАЖ ЗАДАН ЧИСЛОМ</v>
      </c>
      <c r="Q2096" s="13" t="str">
        <f t="shared" si="229"/>
        <v>ГОТОВ_ИЗМЕНЕН</v>
      </c>
      <c r="R2096" s="13">
        <f>IFERROR(VLOOKUP(P2096,Лист1!A$1:B$20,2,FALSE),0)</f>
        <v>784</v>
      </c>
      <c r="S2096" s="13">
        <f t="shared" si="230"/>
        <v>0</v>
      </c>
    </row>
    <row r="2097" spans="1:19" x14ac:dyDescent="0.25">
      <c r="A2097" s="24" t="s">
        <v>3225</v>
      </c>
      <c r="B2097" s="4" t="s">
        <v>1059</v>
      </c>
      <c r="C2097" s="25" t="s">
        <v>7</v>
      </c>
      <c r="G2097" s="25" t="s">
        <v>1077</v>
      </c>
      <c r="H2097" s="24" t="s">
        <v>1061</v>
      </c>
      <c r="I2097" s="3" t="str">
        <f>IFERROR(VLOOKUP(C2097,'Справочник соответствий'!A$2:D$2981,2,FALSE),IF(VALUE(C2097)=0,1,VLOOKUP(C2097,'Справочник соответствий'!A$2:D$2981,2,FALSE)))</f>
        <v>2</v>
      </c>
      <c r="J2097" s="3">
        <f>IFERROR(VLOOKUP(D2097,'Справочник соответствий'!A$2:D$2981,2,FALSE),IF(VALUE(D2097)=0,0,VLOOKUP(D2097,'Справочник соответствий'!A$2:D$2981,2,FALSE)))</f>
        <v>0</v>
      </c>
      <c r="K2097" s="3" t="str">
        <f t="shared" si="224"/>
        <v>2</v>
      </c>
      <c r="L2097" s="13" t="str">
        <f>IFERROR(VLOOKUP(C2097,'Справочник соответствий'!A$2:D$2981,3,FALSE),IF(VALUE(C2097)=0,"ЭТАЖ НЕ ОПРЕДЕЛЕН. ПРИНЯТ ПО ДОПУЩЕНИЮ 1",VLOOKUP(C2097,'Справочник соответствий'!A$2:D$2981,3,FALSE)))</f>
        <v>ЭТАЖ ЗАДАН ЧИСЛОМ</v>
      </c>
      <c r="M2097" s="13" t="b">
        <f t="shared" si="225"/>
        <v>0</v>
      </c>
      <c r="N2097" s="13">
        <f t="shared" si="226"/>
        <v>2</v>
      </c>
      <c r="O2097" s="13" t="str">
        <f t="shared" si="227"/>
        <v>ЭТАЖ ЗАДАН ЧИСЛОМ</v>
      </c>
      <c r="P2097" s="13" t="str">
        <f t="shared" si="228"/>
        <v>ЭТАЖ ЗАДАН ЧИСЛОМ</v>
      </c>
      <c r="Q2097" s="13" t="str">
        <f t="shared" si="229"/>
        <v>ГОТОВ_ИЗМЕНЕН</v>
      </c>
      <c r="R2097" s="13">
        <f>IFERROR(VLOOKUP(P2097,Лист1!A$1:B$20,2,FALSE),0)</f>
        <v>784</v>
      </c>
      <c r="S2097" s="13">
        <f t="shared" si="230"/>
        <v>0</v>
      </c>
    </row>
    <row r="2098" spans="1:19" x14ac:dyDescent="0.25">
      <c r="A2098" s="24" t="s">
        <v>3226</v>
      </c>
      <c r="B2098" s="4" t="s">
        <v>1063</v>
      </c>
      <c r="G2098" s="25" t="s">
        <v>1077</v>
      </c>
      <c r="H2098" s="24" t="s">
        <v>1061</v>
      </c>
      <c r="I2098" s="3">
        <f>IFERROR(VLOOKUP(C2098,'Справочник соответствий'!A$2:D$2981,2,FALSE),IF(VALUE(C2098)=0,1,VLOOKUP(C2098,'Справочник соответствий'!A$2:D$2981,2,FALSE)))</f>
        <v>1</v>
      </c>
      <c r="J2098" s="3">
        <f>IFERROR(VLOOKUP(D2098,'Справочник соответствий'!A$2:D$2981,2,FALSE),IF(VALUE(D2098)=0,0,VLOOKUP(D2098,'Справочник соответствий'!A$2:D$2981,2,FALSE)))</f>
        <v>0</v>
      </c>
      <c r="K2098" s="3">
        <f t="shared" si="224"/>
        <v>1</v>
      </c>
      <c r="L2098" s="13" t="str">
        <f>IFERROR(VLOOKUP(C2098,'Справочник соответствий'!A$2:D$2981,3,FALSE),IF(VALUE(C2098)=0,"ЭТАЖ НЕ ОПРЕДЕЛЕН. ПРИНЯТ ПО ДОПУЩЕНИЮ 1",VLOOKUP(C2098,'Справочник соответствий'!A$2:D$2981,3,FALSE)))</f>
        <v>ЭТАЖ НЕ ОПРЕДЕЛЕН. ПРИНЯТ ПО ДОПУЩЕНИЮ 1</v>
      </c>
      <c r="M2098" s="13" t="b">
        <f t="shared" si="225"/>
        <v>0</v>
      </c>
      <c r="N2098" s="13">
        <f t="shared" si="226"/>
        <v>1</v>
      </c>
      <c r="O2098" s="13" t="str">
        <f t="shared" si="227"/>
        <v>ЭТАЖ НЕ ОПРЕДЕЛЕН. ПРИНЯТ ПО ДОПУЩЕНИЮ 1</v>
      </c>
      <c r="P2098" s="13" t="str">
        <f t="shared" si="228"/>
        <v>ЭТАЖ НЕ ОПРЕДЕЛЕН. ПРИНЯТ ПО ДОПУЩЕНИЮ 1</v>
      </c>
      <c r="Q2098" s="13" t="str">
        <f t="shared" si="229"/>
        <v>ГОТОВ_ИЗМЕНЕН</v>
      </c>
      <c r="R2098" s="13">
        <f>IFERROR(VLOOKUP(P2098,Лист1!A$1:B$20,2,FALSE),0)</f>
        <v>788</v>
      </c>
      <c r="S2098" s="13">
        <f t="shared" si="230"/>
        <v>0</v>
      </c>
    </row>
    <row r="2099" spans="1:19" x14ac:dyDescent="0.25">
      <c r="A2099" s="24" t="s">
        <v>3227</v>
      </c>
      <c r="B2099" s="4" t="s">
        <v>1059</v>
      </c>
      <c r="C2099" s="25" t="s">
        <v>7</v>
      </c>
      <c r="G2099" s="25" t="s">
        <v>1080</v>
      </c>
      <c r="H2099" s="24" t="s">
        <v>1061</v>
      </c>
      <c r="I2099" s="3" t="str">
        <f>IFERROR(VLOOKUP(C2099,'Справочник соответствий'!A$2:D$2981,2,FALSE),IF(VALUE(C2099)=0,1,VLOOKUP(C2099,'Справочник соответствий'!A$2:D$2981,2,FALSE)))</f>
        <v>2</v>
      </c>
      <c r="J2099" s="3">
        <f>IFERROR(VLOOKUP(D2099,'Справочник соответствий'!A$2:D$2981,2,FALSE),IF(VALUE(D2099)=0,0,VLOOKUP(D2099,'Справочник соответствий'!A$2:D$2981,2,FALSE)))</f>
        <v>0</v>
      </c>
      <c r="K2099" s="3" t="str">
        <f t="shared" si="224"/>
        <v>2</v>
      </c>
      <c r="L2099" s="13" t="str">
        <f>IFERROR(VLOOKUP(C2099,'Справочник соответствий'!A$2:D$2981,3,FALSE),IF(VALUE(C2099)=0,"ЭТАЖ НЕ ОПРЕДЕЛЕН. ПРИНЯТ ПО ДОПУЩЕНИЮ 1",VLOOKUP(C2099,'Справочник соответствий'!A$2:D$2981,3,FALSE)))</f>
        <v>ЭТАЖ ЗАДАН ЧИСЛОМ</v>
      </c>
      <c r="M2099" s="13" t="b">
        <f t="shared" si="225"/>
        <v>0</v>
      </c>
      <c r="N2099" s="13">
        <f t="shared" si="226"/>
        <v>2</v>
      </c>
      <c r="O2099" s="13" t="str">
        <f t="shared" si="227"/>
        <v>ЭТАЖ ЗАДАН ЧИСЛОМ</v>
      </c>
      <c r="P2099" s="13" t="str">
        <f t="shared" si="228"/>
        <v>ЭТАЖ ЗАДАН ЧИСЛОМ</v>
      </c>
      <c r="Q2099" s="13" t="str">
        <f t="shared" si="229"/>
        <v>ГОТОВ_ИЗМЕНЕН</v>
      </c>
      <c r="R2099" s="13">
        <f>IFERROR(VLOOKUP(P2099,Лист1!A$1:B$20,2,FALSE),0)</f>
        <v>784</v>
      </c>
      <c r="S2099" s="13">
        <f t="shared" si="230"/>
        <v>0</v>
      </c>
    </row>
    <row r="2100" spans="1:19" x14ac:dyDescent="0.25">
      <c r="A2100" s="24" t="s">
        <v>3228</v>
      </c>
      <c r="B2100" s="4" t="s">
        <v>1059</v>
      </c>
      <c r="C2100" s="25" t="s">
        <v>5</v>
      </c>
      <c r="G2100" s="25" t="s">
        <v>1080</v>
      </c>
      <c r="H2100" s="24" t="s">
        <v>1061</v>
      </c>
      <c r="I2100" s="3" t="str">
        <f>IFERROR(VLOOKUP(C2100,'Справочник соответствий'!A$2:D$2981,2,FALSE),IF(VALUE(C2100)=0,1,VLOOKUP(C2100,'Справочник соответствий'!A$2:D$2981,2,FALSE)))</f>
        <v>1</v>
      </c>
      <c r="J2100" s="3">
        <f>IFERROR(VLOOKUP(D2100,'Справочник соответствий'!A$2:D$2981,2,FALSE),IF(VALUE(D2100)=0,0,VLOOKUP(D2100,'Справочник соответствий'!A$2:D$2981,2,FALSE)))</f>
        <v>0</v>
      </c>
      <c r="K2100" s="3" t="str">
        <f t="shared" si="224"/>
        <v>1</v>
      </c>
      <c r="L2100" s="13" t="str">
        <f>IFERROR(VLOOKUP(C2100,'Справочник соответствий'!A$2:D$2981,3,FALSE),IF(VALUE(C2100)=0,"ЭТАЖ НЕ ОПРЕДЕЛЕН. ПРИНЯТ ПО ДОПУЩЕНИЮ 1",VLOOKUP(C2100,'Справочник соответствий'!A$2:D$2981,3,FALSE)))</f>
        <v>ЭТАЖ ЗАДАН ЧИСЛОМ</v>
      </c>
      <c r="M2100" s="13" t="b">
        <f t="shared" si="225"/>
        <v>0</v>
      </c>
      <c r="N2100" s="13">
        <f t="shared" si="226"/>
        <v>1</v>
      </c>
      <c r="O2100" s="13" t="str">
        <f t="shared" si="227"/>
        <v>ЭТАЖ ЗАДАН ЧИСЛОМ</v>
      </c>
      <c r="P2100" s="13" t="str">
        <f t="shared" si="228"/>
        <v>ЭТАЖ ЗАДАН ЧИСЛОМ</v>
      </c>
      <c r="Q2100" s="13" t="str">
        <f t="shared" si="229"/>
        <v>ГОТОВ_ИЗМЕНЕН</v>
      </c>
      <c r="R2100" s="13">
        <f>IFERROR(VLOOKUP(P2100,Лист1!A$1:B$20,2,FALSE),0)</f>
        <v>784</v>
      </c>
      <c r="S2100" s="13">
        <f t="shared" si="230"/>
        <v>0</v>
      </c>
    </row>
    <row r="2101" spans="1:19" x14ac:dyDescent="0.25">
      <c r="A2101" s="24" t="s">
        <v>3229</v>
      </c>
      <c r="B2101" s="4" t="s">
        <v>1059</v>
      </c>
      <c r="C2101" s="25" t="s">
        <v>5</v>
      </c>
      <c r="G2101" s="25" t="s">
        <v>1080</v>
      </c>
      <c r="H2101" s="24" t="s">
        <v>1061</v>
      </c>
      <c r="I2101" s="3" t="str">
        <f>IFERROR(VLOOKUP(C2101,'Справочник соответствий'!A$2:D$2981,2,FALSE),IF(VALUE(C2101)=0,1,VLOOKUP(C2101,'Справочник соответствий'!A$2:D$2981,2,FALSE)))</f>
        <v>1</v>
      </c>
      <c r="J2101" s="3">
        <f>IFERROR(VLOOKUP(D2101,'Справочник соответствий'!A$2:D$2981,2,FALSE),IF(VALUE(D2101)=0,0,VLOOKUP(D2101,'Справочник соответствий'!A$2:D$2981,2,FALSE)))</f>
        <v>0</v>
      </c>
      <c r="K2101" s="3" t="str">
        <f t="shared" si="224"/>
        <v>1</v>
      </c>
      <c r="L2101" s="13" t="str">
        <f>IFERROR(VLOOKUP(C2101,'Справочник соответствий'!A$2:D$2981,3,FALSE),IF(VALUE(C2101)=0,"ЭТАЖ НЕ ОПРЕДЕЛЕН. ПРИНЯТ ПО ДОПУЩЕНИЮ 1",VLOOKUP(C2101,'Справочник соответствий'!A$2:D$2981,3,FALSE)))</f>
        <v>ЭТАЖ ЗАДАН ЧИСЛОМ</v>
      </c>
      <c r="M2101" s="13" t="b">
        <f t="shared" si="225"/>
        <v>0</v>
      </c>
      <c r="N2101" s="13">
        <f t="shared" si="226"/>
        <v>1</v>
      </c>
      <c r="O2101" s="13" t="str">
        <f t="shared" si="227"/>
        <v>ЭТАЖ ЗАДАН ЧИСЛОМ</v>
      </c>
      <c r="P2101" s="13" t="str">
        <f t="shared" si="228"/>
        <v>ЭТАЖ ЗАДАН ЧИСЛОМ</v>
      </c>
      <c r="Q2101" s="13" t="str">
        <f t="shared" si="229"/>
        <v>ГОТОВ_ИЗМЕНЕН</v>
      </c>
      <c r="R2101" s="13">
        <f>IFERROR(VLOOKUP(P2101,Лист1!A$1:B$20,2,FALSE),0)</f>
        <v>784</v>
      </c>
      <c r="S2101" s="13">
        <f t="shared" si="230"/>
        <v>0</v>
      </c>
    </row>
    <row r="2102" spans="1:19" x14ac:dyDescent="0.25">
      <c r="A2102" s="24" t="s">
        <v>3230</v>
      </c>
      <c r="B2102" s="4" t="s">
        <v>1059</v>
      </c>
      <c r="C2102" s="25" t="s">
        <v>5</v>
      </c>
      <c r="G2102" s="25" t="s">
        <v>1080</v>
      </c>
      <c r="H2102" s="24" t="s">
        <v>1061</v>
      </c>
      <c r="I2102" s="3" t="str">
        <f>IFERROR(VLOOKUP(C2102,'Справочник соответствий'!A$2:D$2981,2,FALSE),IF(VALUE(C2102)=0,1,VLOOKUP(C2102,'Справочник соответствий'!A$2:D$2981,2,FALSE)))</f>
        <v>1</v>
      </c>
      <c r="J2102" s="3">
        <f>IFERROR(VLOOKUP(D2102,'Справочник соответствий'!A$2:D$2981,2,FALSE),IF(VALUE(D2102)=0,0,VLOOKUP(D2102,'Справочник соответствий'!A$2:D$2981,2,FALSE)))</f>
        <v>0</v>
      </c>
      <c r="K2102" s="3" t="str">
        <f t="shared" si="224"/>
        <v>1</v>
      </c>
      <c r="L2102" s="13" t="str">
        <f>IFERROR(VLOOKUP(C2102,'Справочник соответствий'!A$2:D$2981,3,FALSE),IF(VALUE(C2102)=0,"ЭТАЖ НЕ ОПРЕДЕЛЕН. ПРИНЯТ ПО ДОПУЩЕНИЮ 1",VLOOKUP(C2102,'Справочник соответствий'!A$2:D$2981,3,FALSE)))</f>
        <v>ЭТАЖ ЗАДАН ЧИСЛОМ</v>
      </c>
      <c r="M2102" s="13" t="b">
        <f t="shared" si="225"/>
        <v>0</v>
      </c>
      <c r="N2102" s="13">
        <f t="shared" si="226"/>
        <v>1</v>
      </c>
      <c r="O2102" s="13" t="str">
        <f t="shared" si="227"/>
        <v>ЭТАЖ ЗАДАН ЧИСЛОМ</v>
      </c>
      <c r="P2102" s="13" t="str">
        <f t="shared" si="228"/>
        <v>ЭТАЖ ЗАДАН ЧИСЛОМ</v>
      </c>
      <c r="Q2102" s="13" t="str">
        <f t="shared" si="229"/>
        <v>ГОТОВ_ИЗМЕНЕН</v>
      </c>
      <c r="R2102" s="13">
        <f>IFERROR(VLOOKUP(P2102,Лист1!A$1:B$20,2,FALSE),0)</f>
        <v>784</v>
      </c>
      <c r="S2102" s="13">
        <f t="shared" si="230"/>
        <v>0</v>
      </c>
    </row>
    <row r="2103" spans="1:19" x14ac:dyDescent="0.25">
      <c r="A2103" s="24" t="s">
        <v>3231</v>
      </c>
      <c r="B2103" s="4" t="s">
        <v>1059</v>
      </c>
      <c r="C2103" s="25" t="s">
        <v>7</v>
      </c>
      <c r="G2103" s="25" t="s">
        <v>1077</v>
      </c>
      <c r="H2103" s="24" t="s">
        <v>1061</v>
      </c>
      <c r="I2103" s="3" t="str">
        <f>IFERROR(VLOOKUP(C2103,'Справочник соответствий'!A$2:D$2981,2,FALSE),IF(VALUE(C2103)=0,1,VLOOKUP(C2103,'Справочник соответствий'!A$2:D$2981,2,FALSE)))</f>
        <v>2</v>
      </c>
      <c r="J2103" s="3">
        <f>IFERROR(VLOOKUP(D2103,'Справочник соответствий'!A$2:D$2981,2,FALSE),IF(VALUE(D2103)=0,0,VLOOKUP(D2103,'Справочник соответствий'!A$2:D$2981,2,FALSE)))</f>
        <v>0</v>
      </c>
      <c r="K2103" s="3" t="str">
        <f t="shared" si="224"/>
        <v>2</v>
      </c>
      <c r="L2103" s="13" t="str">
        <f>IFERROR(VLOOKUP(C2103,'Справочник соответствий'!A$2:D$2981,3,FALSE),IF(VALUE(C2103)=0,"ЭТАЖ НЕ ОПРЕДЕЛЕН. ПРИНЯТ ПО ДОПУЩЕНИЮ 1",VLOOKUP(C2103,'Справочник соответствий'!A$2:D$2981,3,FALSE)))</f>
        <v>ЭТАЖ ЗАДАН ЧИСЛОМ</v>
      </c>
      <c r="M2103" s="13" t="b">
        <f t="shared" si="225"/>
        <v>0</v>
      </c>
      <c r="N2103" s="13">
        <f t="shared" si="226"/>
        <v>2</v>
      </c>
      <c r="O2103" s="13" t="str">
        <f t="shared" si="227"/>
        <v>ЭТАЖ ЗАДАН ЧИСЛОМ</v>
      </c>
      <c r="P2103" s="13" t="str">
        <f t="shared" si="228"/>
        <v>ЭТАЖ ЗАДАН ЧИСЛОМ</v>
      </c>
      <c r="Q2103" s="13" t="str">
        <f t="shared" si="229"/>
        <v>ГОТОВ_ИЗМЕНЕН</v>
      </c>
      <c r="R2103" s="13">
        <f>IFERROR(VLOOKUP(P2103,Лист1!A$1:B$20,2,FALSE),0)</f>
        <v>784</v>
      </c>
      <c r="S2103" s="13">
        <f t="shared" si="230"/>
        <v>0</v>
      </c>
    </row>
    <row r="2104" spans="1:19" x14ac:dyDescent="0.25">
      <c r="A2104" s="24" t="s">
        <v>3232</v>
      </c>
      <c r="B2104" s="4" t="s">
        <v>1059</v>
      </c>
      <c r="C2104" s="25" t="s">
        <v>7</v>
      </c>
      <c r="G2104" s="25" t="s">
        <v>1077</v>
      </c>
      <c r="H2104" s="24" t="s">
        <v>1061</v>
      </c>
      <c r="I2104" s="3" t="str">
        <f>IFERROR(VLOOKUP(C2104,'Справочник соответствий'!A$2:D$2981,2,FALSE),IF(VALUE(C2104)=0,1,VLOOKUP(C2104,'Справочник соответствий'!A$2:D$2981,2,FALSE)))</f>
        <v>2</v>
      </c>
      <c r="J2104" s="3">
        <f>IFERROR(VLOOKUP(D2104,'Справочник соответствий'!A$2:D$2981,2,FALSE),IF(VALUE(D2104)=0,0,VLOOKUP(D2104,'Справочник соответствий'!A$2:D$2981,2,FALSE)))</f>
        <v>0</v>
      </c>
      <c r="K2104" s="3" t="str">
        <f t="shared" si="224"/>
        <v>2</v>
      </c>
      <c r="L2104" s="13" t="str">
        <f>IFERROR(VLOOKUP(C2104,'Справочник соответствий'!A$2:D$2981,3,FALSE),IF(VALUE(C2104)=0,"ЭТАЖ НЕ ОПРЕДЕЛЕН. ПРИНЯТ ПО ДОПУЩЕНИЮ 1",VLOOKUP(C2104,'Справочник соответствий'!A$2:D$2981,3,FALSE)))</f>
        <v>ЭТАЖ ЗАДАН ЧИСЛОМ</v>
      </c>
      <c r="M2104" s="13" t="b">
        <f t="shared" si="225"/>
        <v>0</v>
      </c>
      <c r="N2104" s="13">
        <f t="shared" si="226"/>
        <v>2</v>
      </c>
      <c r="O2104" s="13" t="str">
        <f t="shared" si="227"/>
        <v>ЭТАЖ ЗАДАН ЧИСЛОМ</v>
      </c>
      <c r="P2104" s="13" t="str">
        <f t="shared" si="228"/>
        <v>ЭТАЖ ЗАДАН ЧИСЛОМ</v>
      </c>
      <c r="Q2104" s="13" t="str">
        <f t="shared" si="229"/>
        <v>ГОТОВ_ИЗМЕНЕН</v>
      </c>
      <c r="R2104" s="13">
        <f>IFERROR(VLOOKUP(P2104,Лист1!A$1:B$20,2,FALSE),0)</f>
        <v>784</v>
      </c>
      <c r="S2104" s="13">
        <f t="shared" si="230"/>
        <v>0</v>
      </c>
    </row>
    <row r="2105" spans="1:19" x14ac:dyDescent="0.25">
      <c r="A2105" s="24" t="s">
        <v>3233</v>
      </c>
      <c r="B2105" s="4" t="s">
        <v>1059</v>
      </c>
      <c r="C2105" s="25" t="s">
        <v>5</v>
      </c>
      <c r="G2105" s="25" t="s">
        <v>1077</v>
      </c>
      <c r="H2105" s="24" t="s">
        <v>1061</v>
      </c>
      <c r="I2105" s="3" t="str">
        <f>IFERROR(VLOOKUP(C2105,'Справочник соответствий'!A$2:D$2981,2,FALSE),IF(VALUE(C2105)=0,1,VLOOKUP(C2105,'Справочник соответствий'!A$2:D$2981,2,FALSE)))</f>
        <v>1</v>
      </c>
      <c r="J2105" s="3">
        <f>IFERROR(VLOOKUP(D2105,'Справочник соответствий'!A$2:D$2981,2,FALSE),IF(VALUE(D2105)=0,0,VLOOKUP(D2105,'Справочник соответствий'!A$2:D$2981,2,FALSE)))</f>
        <v>0</v>
      </c>
      <c r="K2105" s="3" t="str">
        <f t="shared" si="224"/>
        <v>1</v>
      </c>
      <c r="L2105" s="13" t="str">
        <f>IFERROR(VLOOKUP(C2105,'Справочник соответствий'!A$2:D$2981,3,FALSE),IF(VALUE(C2105)=0,"ЭТАЖ НЕ ОПРЕДЕЛЕН. ПРИНЯТ ПО ДОПУЩЕНИЮ 1",VLOOKUP(C2105,'Справочник соответствий'!A$2:D$2981,3,FALSE)))</f>
        <v>ЭТАЖ ЗАДАН ЧИСЛОМ</v>
      </c>
      <c r="M2105" s="13" t="b">
        <f t="shared" si="225"/>
        <v>0</v>
      </c>
      <c r="N2105" s="13">
        <f t="shared" si="226"/>
        <v>1</v>
      </c>
      <c r="O2105" s="13" t="str">
        <f t="shared" si="227"/>
        <v>ЭТАЖ ЗАДАН ЧИСЛОМ</v>
      </c>
      <c r="P2105" s="13" t="str">
        <f t="shared" si="228"/>
        <v>ЭТАЖ ЗАДАН ЧИСЛОМ</v>
      </c>
      <c r="Q2105" s="13" t="str">
        <f t="shared" si="229"/>
        <v>ГОТОВ_ИЗМЕНЕН</v>
      </c>
      <c r="R2105" s="13">
        <f>IFERROR(VLOOKUP(P2105,Лист1!A$1:B$20,2,FALSE),0)</f>
        <v>784</v>
      </c>
      <c r="S2105" s="13">
        <f t="shared" si="230"/>
        <v>0</v>
      </c>
    </row>
    <row r="2106" spans="1:19" x14ac:dyDescent="0.25">
      <c r="A2106" s="24" t="s">
        <v>3234</v>
      </c>
      <c r="B2106" s="4" t="s">
        <v>1059</v>
      </c>
      <c r="C2106" s="25" t="s">
        <v>9</v>
      </c>
      <c r="G2106" s="25" t="s">
        <v>1077</v>
      </c>
      <c r="H2106" s="24" t="s">
        <v>1061</v>
      </c>
      <c r="I2106" s="3" t="str">
        <f>IFERROR(VLOOKUP(C2106,'Справочник соответствий'!A$2:D$2981,2,FALSE),IF(VALUE(C2106)=0,1,VLOOKUP(C2106,'Справочник соответствий'!A$2:D$2981,2,FALSE)))</f>
        <v>3</v>
      </c>
      <c r="J2106" s="3">
        <f>IFERROR(VLOOKUP(D2106,'Справочник соответствий'!A$2:D$2981,2,FALSE),IF(VALUE(D2106)=0,0,VLOOKUP(D2106,'Справочник соответствий'!A$2:D$2981,2,FALSE)))</f>
        <v>0</v>
      </c>
      <c r="K2106" s="3" t="str">
        <f t="shared" si="224"/>
        <v>3</v>
      </c>
      <c r="L2106" s="13" t="str">
        <f>IFERROR(VLOOKUP(C2106,'Справочник соответствий'!A$2:D$2981,3,FALSE),IF(VALUE(C2106)=0,"ЭТАЖ НЕ ОПРЕДЕЛЕН. ПРИНЯТ ПО ДОПУЩЕНИЮ 1",VLOOKUP(C2106,'Справочник соответствий'!A$2:D$2981,3,FALSE)))</f>
        <v>СПРАВОЧНИК ЭТАЖНОСТИ</v>
      </c>
      <c r="M2106" s="13" t="b">
        <f t="shared" si="225"/>
        <v>0</v>
      </c>
      <c r="N2106" s="13">
        <f t="shared" si="226"/>
        <v>3</v>
      </c>
      <c r="O2106" s="13" t="str">
        <f t="shared" si="227"/>
        <v>СПРАВОЧНИК ЭТАЖНОСТИ</v>
      </c>
      <c r="P2106" s="13" t="str">
        <f t="shared" si="228"/>
        <v>СПРАВОЧНИК ЭТАЖНОСТИ</v>
      </c>
      <c r="Q2106" s="13" t="str">
        <f t="shared" si="229"/>
        <v>ГОТОВ_ИЗМЕНЕН</v>
      </c>
      <c r="R2106" s="13">
        <f>IFERROR(VLOOKUP(P2106,Лист1!A$1:B$20,2,FALSE),0)</f>
        <v>785</v>
      </c>
      <c r="S2106" s="13">
        <f t="shared" si="230"/>
        <v>0</v>
      </c>
    </row>
    <row r="2107" spans="1:19" x14ac:dyDescent="0.25">
      <c r="A2107" s="24" t="s">
        <v>3235</v>
      </c>
      <c r="B2107" s="4" t="s">
        <v>1063</v>
      </c>
      <c r="C2107" s="25" t="s">
        <v>5</v>
      </c>
      <c r="G2107" s="25" t="s">
        <v>1086</v>
      </c>
      <c r="H2107" s="24" t="s">
        <v>1061</v>
      </c>
      <c r="I2107" s="3" t="str">
        <f>IFERROR(VLOOKUP(C2107,'Справочник соответствий'!A$2:D$2981,2,FALSE),IF(VALUE(C2107)=0,1,VLOOKUP(C2107,'Справочник соответствий'!A$2:D$2981,2,FALSE)))</f>
        <v>1</v>
      </c>
      <c r="J2107" s="3">
        <f>IFERROR(VLOOKUP(D2107,'Справочник соответствий'!A$2:D$2981,2,FALSE),IF(VALUE(D2107)=0,0,VLOOKUP(D2107,'Справочник соответствий'!A$2:D$2981,2,FALSE)))</f>
        <v>0</v>
      </c>
      <c r="K2107" s="3" t="str">
        <f t="shared" si="224"/>
        <v>1</v>
      </c>
      <c r="L2107" s="13" t="str">
        <f>IFERROR(VLOOKUP(C2107,'Справочник соответствий'!A$2:D$2981,3,FALSE),IF(VALUE(C2107)=0,"ЭТАЖ НЕ ОПРЕДЕЛЕН. ПРИНЯТ ПО ДОПУЩЕНИЮ 1",VLOOKUP(C2107,'Справочник соответствий'!A$2:D$2981,3,FALSE)))</f>
        <v>ЭТАЖ ЗАДАН ЧИСЛОМ</v>
      </c>
      <c r="M2107" s="13" t="b">
        <f t="shared" si="225"/>
        <v>0</v>
      </c>
      <c r="N2107" s="13">
        <f t="shared" si="226"/>
        <v>1</v>
      </c>
      <c r="O2107" s="13" t="str">
        <f t="shared" si="227"/>
        <v>ЭТАЖ ЗАДАН ЧИСЛОМ</v>
      </c>
      <c r="P2107" s="13" t="str">
        <f t="shared" si="228"/>
        <v>ЭТАЖ ЗАДАН ЧИСЛОМ</v>
      </c>
      <c r="Q2107" s="13" t="str">
        <f t="shared" si="229"/>
        <v>ГОТОВ_ИЗМЕНЕН</v>
      </c>
      <c r="R2107" s="13">
        <f>IFERROR(VLOOKUP(P2107,Лист1!A$1:B$20,2,FALSE),0)</f>
        <v>784</v>
      </c>
      <c r="S2107" s="13">
        <f t="shared" si="230"/>
        <v>0</v>
      </c>
    </row>
    <row r="2108" spans="1:19" x14ac:dyDescent="0.25">
      <c r="A2108" s="24" t="s">
        <v>3236</v>
      </c>
      <c r="B2108" s="4" t="s">
        <v>1059</v>
      </c>
      <c r="C2108" s="25" t="s">
        <v>7</v>
      </c>
      <c r="G2108" s="25" t="s">
        <v>1086</v>
      </c>
      <c r="H2108" s="24" t="s">
        <v>1061</v>
      </c>
      <c r="I2108" s="3" t="str">
        <f>IFERROR(VLOOKUP(C2108,'Справочник соответствий'!A$2:D$2981,2,FALSE),IF(VALUE(C2108)=0,1,VLOOKUP(C2108,'Справочник соответствий'!A$2:D$2981,2,FALSE)))</f>
        <v>2</v>
      </c>
      <c r="J2108" s="3">
        <f>IFERROR(VLOOKUP(D2108,'Справочник соответствий'!A$2:D$2981,2,FALSE),IF(VALUE(D2108)=0,0,VLOOKUP(D2108,'Справочник соответствий'!A$2:D$2981,2,FALSE)))</f>
        <v>0</v>
      </c>
      <c r="K2108" s="3" t="str">
        <f t="shared" si="224"/>
        <v>2</v>
      </c>
      <c r="L2108" s="13" t="str">
        <f>IFERROR(VLOOKUP(C2108,'Справочник соответствий'!A$2:D$2981,3,FALSE),IF(VALUE(C2108)=0,"ЭТАЖ НЕ ОПРЕДЕЛЕН. ПРИНЯТ ПО ДОПУЩЕНИЮ 1",VLOOKUP(C2108,'Справочник соответствий'!A$2:D$2981,3,FALSE)))</f>
        <v>ЭТАЖ ЗАДАН ЧИСЛОМ</v>
      </c>
      <c r="M2108" s="13" t="b">
        <f t="shared" si="225"/>
        <v>0</v>
      </c>
      <c r="N2108" s="13">
        <f t="shared" si="226"/>
        <v>2</v>
      </c>
      <c r="O2108" s="13" t="str">
        <f t="shared" si="227"/>
        <v>ЭТАЖ ЗАДАН ЧИСЛОМ</v>
      </c>
      <c r="P2108" s="13" t="str">
        <f t="shared" si="228"/>
        <v>ЭТАЖ ЗАДАН ЧИСЛОМ</v>
      </c>
      <c r="Q2108" s="13" t="str">
        <f t="shared" si="229"/>
        <v>ГОТОВ_ИЗМЕНЕН</v>
      </c>
      <c r="R2108" s="13">
        <f>IFERROR(VLOOKUP(P2108,Лист1!A$1:B$20,2,FALSE),0)</f>
        <v>784</v>
      </c>
      <c r="S2108" s="13">
        <f t="shared" si="230"/>
        <v>0</v>
      </c>
    </row>
    <row r="2109" spans="1:19" x14ac:dyDescent="0.25">
      <c r="A2109" s="24" t="s">
        <v>3237</v>
      </c>
      <c r="B2109" s="4" t="s">
        <v>1063</v>
      </c>
      <c r="C2109" s="25" t="s">
        <v>5</v>
      </c>
      <c r="G2109" s="25" t="s">
        <v>1150</v>
      </c>
      <c r="H2109" s="24" t="s">
        <v>1061</v>
      </c>
      <c r="I2109" s="3" t="str">
        <f>IFERROR(VLOOKUP(C2109,'Справочник соответствий'!A$2:D$2981,2,FALSE),IF(VALUE(C2109)=0,1,VLOOKUP(C2109,'Справочник соответствий'!A$2:D$2981,2,FALSE)))</f>
        <v>1</v>
      </c>
      <c r="J2109" s="3">
        <f>IFERROR(VLOOKUP(D2109,'Справочник соответствий'!A$2:D$2981,2,FALSE),IF(VALUE(D2109)=0,0,VLOOKUP(D2109,'Справочник соответствий'!A$2:D$2981,2,FALSE)))</f>
        <v>0</v>
      </c>
      <c r="K2109" s="3" t="str">
        <f t="shared" si="224"/>
        <v>1</v>
      </c>
      <c r="L2109" s="13" t="str">
        <f>IFERROR(VLOOKUP(C2109,'Справочник соответствий'!A$2:D$2981,3,FALSE),IF(VALUE(C2109)=0,"ЭТАЖ НЕ ОПРЕДЕЛЕН. ПРИНЯТ ПО ДОПУЩЕНИЮ 1",VLOOKUP(C2109,'Справочник соответствий'!A$2:D$2981,3,FALSE)))</f>
        <v>ЭТАЖ ЗАДАН ЧИСЛОМ</v>
      </c>
      <c r="M2109" s="13" t="b">
        <f t="shared" si="225"/>
        <v>0</v>
      </c>
      <c r="N2109" s="13">
        <f t="shared" si="226"/>
        <v>1</v>
      </c>
      <c r="O2109" s="13" t="str">
        <f t="shared" si="227"/>
        <v>ЭТАЖ ЗАДАН ЧИСЛОМ</v>
      </c>
      <c r="P2109" s="13" t="str">
        <f t="shared" si="228"/>
        <v>ЭТАЖ ЗАДАН ЧИСЛОМ</v>
      </c>
      <c r="Q2109" s="13" t="str">
        <f t="shared" si="229"/>
        <v>ГОТОВ_ИЗМЕНЕН</v>
      </c>
      <c r="R2109" s="13">
        <f>IFERROR(VLOOKUP(P2109,Лист1!A$1:B$20,2,FALSE),0)</f>
        <v>784</v>
      </c>
      <c r="S2109" s="13">
        <f t="shared" si="230"/>
        <v>0</v>
      </c>
    </row>
    <row r="2110" spans="1:19" x14ac:dyDescent="0.25">
      <c r="A2110" s="24" t="s">
        <v>3238</v>
      </c>
      <c r="B2110" s="4" t="s">
        <v>1059</v>
      </c>
      <c r="C2110" s="25" t="s">
        <v>7</v>
      </c>
      <c r="G2110" s="25" t="s">
        <v>1086</v>
      </c>
      <c r="H2110" s="24" t="s">
        <v>1061</v>
      </c>
      <c r="I2110" s="3" t="str">
        <f>IFERROR(VLOOKUP(C2110,'Справочник соответствий'!A$2:D$2981,2,FALSE),IF(VALUE(C2110)=0,1,VLOOKUP(C2110,'Справочник соответствий'!A$2:D$2981,2,FALSE)))</f>
        <v>2</v>
      </c>
      <c r="J2110" s="3">
        <f>IFERROR(VLOOKUP(D2110,'Справочник соответствий'!A$2:D$2981,2,FALSE),IF(VALUE(D2110)=0,0,VLOOKUP(D2110,'Справочник соответствий'!A$2:D$2981,2,FALSE)))</f>
        <v>0</v>
      </c>
      <c r="K2110" s="3" t="str">
        <f t="shared" si="224"/>
        <v>2</v>
      </c>
      <c r="L2110" s="13" t="str">
        <f>IFERROR(VLOOKUP(C2110,'Справочник соответствий'!A$2:D$2981,3,FALSE),IF(VALUE(C2110)=0,"ЭТАЖ НЕ ОПРЕДЕЛЕН. ПРИНЯТ ПО ДОПУЩЕНИЮ 1",VLOOKUP(C2110,'Справочник соответствий'!A$2:D$2981,3,FALSE)))</f>
        <v>ЭТАЖ ЗАДАН ЧИСЛОМ</v>
      </c>
      <c r="M2110" s="13" t="b">
        <f t="shared" si="225"/>
        <v>0</v>
      </c>
      <c r="N2110" s="13">
        <f t="shared" si="226"/>
        <v>2</v>
      </c>
      <c r="O2110" s="13" t="str">
        <f t="shared" si="227"/>
        <v>ЭТАЖ ЗАДАН ЧИСЛОМ</v>
      </c>
      <c r="P2110" s="13" t="str">
        <f t="shared" si="228"/>
        <v>ЭТАЖ ЗАДАН ЧИСЛОМ</v>
      </c>
      <c r="Q2110" s="13" t="str">
        <f t="shared" si="229"/>
        <v>ГОТОВ_ИЗМЕНЕН</v>
      </c>
      <c r="R2110" s="13">
        <f>IFERROR(VLOOKUP(P2110,Лист1!A$1:B$20,2,FALSE),0)</f>
        <v>784</v>
      </c>
      <c r="S2110" s="13">
        <f t="shared" si="230"/>
        <v>0</v>
      </c>
    </row>
    <row r="2111" spans="1:19" x14ac:dyDescent="0.25">
      <c r="A2111" s="24" t="s">
        <v>3239</v>
      </c>
      <c r="B2111" s="4" t="s">
        <v>1059</v>
      </c>
      <c r="C2111" s="25" t="s">
        <v>7</v>
      </c>
      <c r="G2111" s="25" t="s">
        <v>1086</v>
      </c>
      <c r="H2111" s="24" t="s">
        <v>1061</v>
      </c>
      <c r="I2111" s="3" t="str">
        <f>IFERROR(VLOOKUP(C2111,'Справочник соответствий'!A$2:D$2981,2,FALSE),IF(VALUE(C2111)=0,1,VLOOKUP(C2111,'Справочник соответствий'!A$2:D$2981,2,FALSE)))</f>
        <v>2</v>
      </c>
      <c r="J2111" s="3">
        <f>IFERROR(VLOOKUP(D2111,'Справочник соответствий'!A$2:D$2981,2,FALSE),IF(VALUE(D2111)=0,0,VLOOKUP(D2111,'Справочник соответствий'!A$2:D$2981,2,FALSE)))</f>
        <v>0</v>
      </c>
      <c r="K2111" s="3" t="str">
        <f t="shared" si="224"/>
        <v>2</v>
      </c>
      <c r="L2111" s="13" t="str">
        <f>IFERROR(VLOOKUP(C2111,'Справочник соответствий'!A$2:D$2981,3,FALSE),IF(VALUE(C2111)=0,"ЭТАЖ НЕ ОПРЕДЕЛЕН. ПРИНЯТ ПО ДОПУЩЕНИЮ 1",VLOOKUP(C2111,'Справочник соответствий'!A$2:D$2981,3,FALSE)))</f>
        <v>ЭТАЖ ЗАДАН ЧИСЛОМ</v>
      </c>
      <c r="M2111" s="13" t="b">
        <f t="shared" si="225"/>
        <v>0</v>
      </c>
      <c r="N2111" s="13">
        <f t="shared" si="226"/>
        <v>2</v>
      </c>
      <c r="O2111" s="13" t="str">
        <f t="shared" si="227"/>
        <v>ЭТАЖ ЗАДАН ЧИСЛОМ</v>
      </c>
      <c r="P2111" s="13" t="str">
        <f t="shared" si="228"/>
        <v>ЭТАЖ ЗАДАН ЧИСЛОМ</v>
      </c>
      <c r="Q2111" s="13" t="str">
        <f t="shared" si="229"/>
        <v>ГОТОВ_ИЗМЕНЕН</v>
      </c>
      <c r="R2111" s="13">
        <f>IFERROR(VLOOKUP(P2111,Лист1!A$1:B$20,2,FALSE),0)</f>
        <v>784</v>
      </c>
      <c r="S2111" s="13">
        <f t="shared" si="230"/>
        <v>0</v>
      </c>
    </row>
    <row r="2112" spans="1:19" x14ac:dyDescent="0.25">
      <c r="A2112" s="24" t="s">
        <v>3240</v>
      </c>
      <c r="B2112" s="4" t="s">
        <v>1063</v>
      </c>
      <c r="C2112" s="25" t="s">
        <v>5</v>
      </c>
      <c r="G2112" s="25" t="s">
        <v>1150</v>
      </c>
      <c r="H2112" s="24" t="s">
        <v>1061</v>
      </c>
      <c r="I2112" s="3" t="str">
        <f>IFERROR(VLOOKUP(C2112,'Справочник соответствий'!A$2:D$2981,2,FALSE),IF(VALUE(C2112)=0,1,VLOOKUP(C2112,'Справочник соответствий'!A$2:D$2981,2,FALSE)))</f>
        <v>1</v>
      </c>
      <c r="J2112" s="3">
        <f>IFERROR(VLOOKUP(D2112,'Справочник соответствий'!A$2:D$2981,2,FALSE),IF(VALUE(D2112)=0,0,VLOOKUP(D2112,'Справочник соответствий'!A$2:D$2981,2,FALSE)))</f>
        <v>0</v>
      </c>
      <c r="K2112" s="3" t="str">
        <f t="shared" si="224"/>
        <v>1</v>
      </c>
      <c r="L2112" s="13" t="str">
        <f>IFERROR(VLOOKUP(C2112,'Справочник соответствий'!A$2:D$2981,3,FALSE),IF(VALUE(C2112)=0,"ЭТАЖ НЕ ОПРЕДЕЛЕН. ПРИНЯТ ПО ДОПУЩЕНИЮ 1",VLOOKUP(C2112,'Справочник соответствий'!A$2:D$2981,3,FALSE)))</f>
        <v>ЭТАЖ ЗАДАН ЧИСЛОМ</v>
      </c>
      <c r="M2112" s="13" t="b">
        <f t="shared" si="225"/>
        <v>0</v>
      </c>
      <c r="N2112" s="13">
        <f t="shared" si="226"/>
        <v>1</v>
      </c>
      <c r="O2112" s="13" t="str">
        <f t="shared" si="227"/>
        <v>ЭТАЖ ЗАДАН ЧИСЛОМ</v>
      </c>
      <c r="P2112" s="13" t="str">
        <f t="shared" si="228"/>
        <v>ЭТАЖ ЗАДАН ЧИСЛОМ</v>
      </c>
      <c r="Q2112" s="13" t="str">
        <f t="shared" si="229"/>
        <v>ГОТОВ_ИЗМЕНЕН</v>
      </c>
      <c r="R2112" s="13">
        <f>IFERROR(VLOOKUP(P2112,Лист1!A$1:B$20,2,FALSE),0)</f>
        <v>784</v>
      </c>
      <c r="S2112" s="13">
        <f t="shared" si="230"/>
        <v>0</v>
      </c>
    </row>
    <row r="2113" spans="1:19" x14ac:dyDescent="0.25">
      <c r="A2113" s="24" t="s">
        <v>3241</v>
      </c>
      <c r="B2113" s="4" t="s">
        <v>1063</v>
      </c>
      <c r="C2113" s="25" t="s">
        <v>5</v>
      </c>
      <c r="G2113" s="25" t="s">
        <v>1086</v>
      </c>
      <c r="H2113" s="24" t="s">
        <v>1061</v>
      </c>
      <c r="I2113" s="3" t="str">
        <f>IFERROR(VLOOKUP(C2113,'Справочник соответствий'!A$2:D$2981,2,FALSE),IF(VALUE(C2113)=0,1,VLOOKUP(C2113,'Справочник соответствий'!A$2:D$2981,2,FALSE)))</f>
        <v>1</v>
      </c>
      <c r="J2113" s="3">
        <f>IFERROR(VLOOKUP(D2113,'Справочник соответствий'!A$2:D$2981,2,FALSE),IF(VALUE(D2113)=0,0,VLOOKUP(D2113,'Справочник соответствий'!A$2:D$2981,2,FALSE)))</f>
        <v>0</v>
      </c>
      <c r="K2113" s="3" t="str">
        <f t="shared" si="224"/>
        <v>1</v>
      </c>
      <c r="L2113" s="13" t="str">
        <f>IFERROR(VLOOKUP(C2113,'Справочник соответствий'!A$2:D$2981,3,FALSE),IF(VALUE(C2113)=0,"ЭТАЖ НЕ ОПРЕДЕЛЕН. ПРИНЯТ ПО ДОПУЩЕНИЮ 1",VLOOKUP(C2113,'Справочник соответствий'!A$2:D$2981,3,FALSE)))</f>
        <v>ЭТАЖ ЗАДАН ЧИСЛОМ</v>
      </c>
      <c r="M2113" s="13" t="b">
        <f t="shared" si="225"/>
        <v>0</v>
      </c>
      <c r="N2113" s="13">
        <f t="shared" si="226"/>
        <v>1</v>
      </c>
      <c r="O2113" s="13" t="str">
        <f t="shared" si="227"/>
        <v>ЭТАЖ ЗАДАН ЧИСЛОМ</v>
      </c>
      <c r="P2113" s="13" t="str">
        <f t="shared" si="228"/>
        <v>ЭТАЖ ЗАДАН ЧИСЛОМ</v>
      </c>
      <c r="Q2113" s="13" t="str">
        <f t="shared" si="229"/>
        <v>ГОТОВ_ИЗМЕНЕН</v>
      </c>
      <c r="R2113" s="13">
        <f>IFERROR(VLOOKUP(P2113,Лист1!A$1:B$20,2,FALSE),0)</f>
        <v>784</v>
      </c>
      <c r="S2113" s="13">
        <f t="shared" si="230"/>
        <v>0</v>
      </c>
    </row>
    <row r="2114" spans="1:19" x14ac:dyDescent="0.25">
      <c r="A2114" s="24" t="s">
        <v>3242</v>
      </c>
      <c r="B2114" s="4" t="s">
        <v>1059</v>
      </c>
      <c r="C2114" s="25" t="s">
        <v>5</v>
      </c>
      <c r="G2114" s="25" t="s">
        <v>1150</v>
      </c>
      <c r="H2114" s="24" t="s">
        <v>1061</v>
      </c>
      <c r="I2114" s="3" t="str">
        <f>IFERROR(VLOOKUP(C2114,'Справочник соответствий'!A$2:D$2981,2,FALSE),IF(VALUE(C2114)=0,1,VLOOKUP(C2114,'Справочник соответствий'!A$2:D$2981,2,FALSE)))</f>
        <v>1</v>
      </c>
      <c r="J2114" s="3">
        <f>IFERROR(VLOOKUP(D2114,'Справочник соответствий'!A$2:D$2981,2,FALSE),IF(VALUE(D2114)=0,0,VLOOKUP(D2114,'Справочник соответствий'!A$2:D$2981,2,FALSE)))</f>
        <v>0</v>
      </c>
      <c r="K2114" s="3" t="str">
        <f t="shared" si="224"/>
        <v>1</v>
      </c>
      <c r="L2114" s="13" t="str">
        <f>IFERROR(VLOOKUP(C2114,'Справочник соответствий'!A$2:D$2981,3,FALSE),IF(VALUE(C2114)=0,"ЭТАЖ НЕ ОПРЕДЕЛЕН. ПРИНЯТ ПО ДОПУЩЕНИЮ 1",VLOOKUP(C2114,'Справочник соответствий'!A$2:D$2981,3,FALSE)))</f>
        <v>ЭТАЖ ЗАДАН ЧИСЛОМ</v>
      </c>
      <c r="M2114" s="13" t="b">
        <f t="shared" si="225"/>
        <v>0</v>
      </c>
      <c r="N2114" s="13">
        <f t="shared" si="226"/>
        <v>1</v>
      </c>
      <c r="O2114" s="13" t="str">
        <f t="shared" si="227"/>
        <v>ЭТАЖ ЗАДАН ЧИСЛОМ</v>
      </c>
      <c r="P2114" s="13" t="str">
        <f t="shared" si="228"/>
        <v>ЭТАЖ ЗАДАН ЧИСЛОМ</v>
      </c>
      <c r="Q2114" s="13" t="str">
        <f t="shared" si="229"/>
        <v>ГОТОВ_ИЗМЕНЕН</v>
      </c>
      <c r="R2114" s="13">
        <f>IFERROR(VLOOKUP(P2114,Лист1!A$1:B$20,2,FALSE),0)</f>
        <v>784</v>
      </c>
      <c r="S2114" s="13">
        <f t="shared" si="230"/>
        <v>0</v>
      </c>
    </row>
    <row r="2115" spans="1:19" x14ac:dyDescent="0.25">
      <c r="A2115" s="24" t="s">
        <v>3243</v>
      </c>
      <c r="B2115" s="4" t="s">
        <v>1059</v>
      </c>
      <c r="C2115" s="25" t="s">
        <v>5</v>
      </c>
      <c r="G2115" s="25" t="s">
        <v>1086</v>
      </c>
      <c r="H2115" s="24" t="s">
        <v>1061</v>
      </c>
      <c r="I2115" s="3" t="str">
        <f>IFERROR(VLOOKUP(C2115,'Справочник соответствий'!A$2:D$2981,2,FALSE),IF(VALUE(C2115)=0,1,VLOOKUP(C2115,'Справочник соответствий'!A$2:D$2981,2,FALSE)))</f>
        <v>1</v>
      </c>
      <c r="J2115" s="3">
        <f>IFERROR(VLOOKUP(D2115,'Справочник соответствий'!A$2:D$2981,2,FALSE),IF(VALUE(D2115)=0,0,VLOOKUP(D2115,'Справочник соответствий'!A$2:D$2981,2,FALSE)))</f>
        <v>0</v>
      </c>
      <c r="K2115" s="3" t="str">
        <f t="shared" si="224"/>
        <v>1</v>
      </c>
      <c r="L2115" s="13" t="str">
        <f>IFERROR(VLOOKUP(C2115,'Справочник соответствий'!A$2:D$2981,3,FALSE),IF(VALUE(C2115)=0,"ЭТАЖ НЕ ОПРЕДЕЛЕН. ПРИНЯТ ПО ДОПУЩЕНИЮ 1",VLOOKUP(C2115,'Справочник соответствий'!A$2:D$2981,3,FALSE)))</f>
        <v>ЭТАЖ ЗАДАН ЧИСЛОМ</v>
      </c>
      <c r="M2115" s="13" t="b">
        <f t="shared" si="225"/>
        <v>0</v>
      </c>
      <c r="N2115" s="13">
        <f t="shared" si="226"/>
        <v>1</v>
      </c>
      <c r="O2115" s="13" t="str">
        <f t="shared" si="227"/>
        <v>ЭТАЖ ЗАДАН ЧИСЛОМ</v>
      </c>
      <c r="P2115" s="13" t="str">
        <f t="shared" si="228"/>
        <v>ЭТАЖ ЗАДАН ЧИСЛОМ</v>
      </c>
      <c r="Q2115" s="13" t="str">
        <f t="shared" si="229"/>
        <v>ГОТОВ_ИЗМЕНЕН</v>
      </c>
      <c r="R2115" s="13">
        <f>IFERROR(VLOOKUP(P2115,Лист1!A$1:B$20,2,FALSE),0)</f>
        <v>784</v>
      </c>
      <c r="S2115" s="13">
        <f t="shared" si="230"/>
        <v>0</v>
      </c>
    </row>
    <row r="2116" spans="1:19" x14ac:dyDescent="0.25">
      <c r="A2116" s="24" t="s">
        <v>3244</v>
      </c>
      <c r="B2116" s="4" t="s">
        <v>1059</v>
      </c>
      <c r="C2116" s="25" t="s">
        <v>5</v>
      </c>
      <c r="G2116" s="25" t="s">
        <v>1086</v>
      </c>
      <c r="H2116" s="24" t="s">
        <v>1061</v>
      </c>
      <c r="I2116" s="3" t="str">
        <f>IFERROR(VLOOKUP(C2116,'Справочник соответствий'!A$2:D$2981,2,FALSE),IF(VALUE(C2116)=0,1,VLOOKUP(C2116,'Справочник соответствий'!A$2:D$2981,2,FALSE)))</f>
        <v>1</v>
      </c>
      <c r="J2116" s="3">
        <f>IFERROR(VLOOKUP(D2116,'Справочник соответствий'!A$2:D$2981,2,FALSE),IF(VALUE(D2116)=0,0,VLOOKUP(D2116,'Справочник соответствий'!A$2:D$2981,2,FALSE)))</f>
        <v>0</v>
      </c>
      <c r="K2116" s="3" t="str">
        <f t="shared" si="224"/>
        <v>1</v>
      </c>
      <c r="L2116" s="13" t="str">
        <f>IFERROR(VLOOKUP(C2116,'Справочник соответствий'!A$2:D$2981,3,FALSE),IF(VALUE(C2116)=0,"ЭТАЖ НЕ ОПРЕДЕЛЕН. ПРИНЯТ ПО ДОПУЩЕНИЮ 1",VLOOKUP(C2116,'Справочник соответствий'!A$2:D$2981,3,FALSE)))</f>
        <v>ЭТАЖ ЗАДАН ЧИСЛОМ</v>
      </c>
      <c r="M2116" s="13" t="b">
        <f t="shared" si="225"/>
        <v>0</v>
      </c>
      <c r="N2116" s="13">
        <f t="shared" si="226"/>
        <v>1</v>
      </c>
      <c r="O2116" s="13" t="str">
        <f t="shared" si="227"/>
        <v>ЭТАЖ ЗАДАН ЧИСЛОМ</v>
      </c>
      <c r="P2116" s="13" t="str">
        <f t="shared" si="228"/>
        <v>ЭТАЖ ЗАДАН ЧИСЛОМ</v>
      </c>
      <c r="Q2116" s="13" t="str">
        <f t="shared" si="229"/>
        <v>ГОТОВ_ИЗМЕНЕН</v>
      </c>
      <c r="R2116" s="13">
        <f>IFERROR(VLOOKUP(P2116,Лист1!A$1:B$20,2,FALSE),0)</f>
        <v>784</v>
      </c>
      <c r="S2116" s="13">
        <f t="shared" si="230"/>
        <v>0</v>
      </c>
    </row>
    <row r="2117" spans="1:19" x14ac:dyDescent="0.25">
      <c r="A2117" s="24" t="s">
        <v>3245</v>
      </c>
      <c r="B2117" s="4" t="s">
        <v>1059</v>
      </c>
      <c r="C2117" s="25" t="s">
        <v>5</v>
      </c>
      <c r="G2117" s="25" t="s">
        <v>1382</v>
      </c>
      <c r="H2117" s="24" t="s">
        <v>1061</v>
      </c>
      <c r="I2117" s="3" t="str">
        <f>IFERROR(VLOOKUP(C2117,'Справочник соответствий'!A$2:D$2981,2,FALSE),IF(VALUE(C2117)=0,1,VLOOKUP(C2117,'Справочник соответствий'!A$2:D$2981,2,FALSE)))</f>
        <v>1</v>
      </c>
      <c r="J2117" s="3">
        <f>IFERROR(VLOOKUP(D2117,'Справочник соответствий'!A$2:D$2981,2,FALSE),IF(VALUE(D2117)=0,0,VLOOKUP(D2117,'Справочник соответствий'!A$2:D$2981,2,FALSE)))</f>
        <v>0</v>
      </c>
      <c r="K2117" s="3" t="str">
        <f t="shared" ref="K2117:K2180" si="231">IF(B2117="Многоквартирный дом",IF(I2117-J2117&gt;0,I2117-J2117,1),I2117)</f>
        <v>1</v>
      </c>
      <c r="L2117" s="13" t="str">
        <f>IFERROR(VLOOKUP(C2117,'Справочник соответствий'!A$2:D$2981,3,FALSE),IF(VALUE(C2117)=0,"ЭТАЖ НЕ ОПРЕДЕЛЕН. ПРИНЯТ ПО ДОПУЩЕНИЮ 1",VLOOKUP(C2117,'Справочник соответствий'!A$2:D$2981,3,FALSE)))</f>
        <v>ЭТАЖ ЗАДАН ЧИСЛОМ</v>
      </c>
      <c r="M2117" s="13" t="b">
        <f t="shared" ref="M2117:M2180" si="232">I2117=E2117</f>
        <v>0</v>
      </c>
      <c r="N2117" s="13">
        <f t="shared" ref="N2117:N2180" si="233">IF(VALUE(E2117)=0,VALUE(K2117),IF(L2117="ЭТАЖ НЕ ОПРЕДЕЛЕН. ПРИНЯТ ПО ДОПУЩЕНИЮ 1",VALUE(E2117),VALUE(K2117)))</f>
        <v>1</v>
      </c>
      <c r="O2117" s="13" t="str">
        <f t="shared" ref="O2117:O2180" si="234">IF(VALUE(E2117)=0,L2117,IF(L2117="ЭТАЖ НЕ ОПРЕДЕЛЕН. ПРИНЯТ ПО ДОПУЩЕНИЮ 1",F2117,L2117))</f>
        <v>ЭТАЖ ЗАДАН ЧИСЛОМ</v>
      </c>
      <c r="P2117" s="13" t="str">
        <f t="shared" ref="P2117:P2180" si="235">IF(B2117="Многоквартирный дом",CONCATENATE("МКД_",O2117),O2117)</f>
        <v>ЭТАЖ ЗАДАН ЧИСЛОМ</v>
      </c>
      <c r="Q2117" s="13" t="str">
        <f t="shared" ref="Q2117:Q2180" si="236">IFERROR(IF(N2117&gt;0,IF(N2117=VALUE(E2117),"ГОТОВ","ГОТОВ_ИЗМЕНЕН"),"НЕ ГОТОВ"),"НЕ ГОТОВ")</f>
        <v>ГОТОВ_ИЗМЕНЕН</v>
      </c>
      <c r="R2117" s="13">
        <f>IFERROR(VLOOKUP(P2117,Лист1!A$1:B$20,2,FALSE),0)</f>
        <v>784</v>
      </c>
      <c r="S2117" s="13">
        <f t="shared" ref="S2117:S2180" si="237">VALUE(E2117)</f>
        <v>0</v>
      </c>
    </row>
    <row r="2118" spans="1:19" x14ac:dyDescent="0.25">
      <c r="A2118" s="24" t="s">
        <v>3246</v>
      </c>
      <c r="B2118" s="4" t="s">
        <v>1059</v>
      </c>
      <c r="C2118" s="25" t="s">
        <v>7</v>
      </c>
      <c r="G2118" s="25" t="s">
        <v>1382</v>
      </c>
      <c r="H2118" s="24" t="s">
        <v>1061</v>
      </c>
      <c r="I2118" s="3" t="str">
        <f>IFERROR(VLOOKUP(C2118,'Справочник соответствий'!A$2:D$2981,2,FALSE),IF(VALUE(C2118)=0,1,VLOOKUP(C2118,'Справочник соответствий'!A$2:D$2981,2,FALSE)))</f>
        <v>2</v>
      </c>
      <c r="J2118" s="3">
        <f>IFERROR(VLOOKUP(D2118,'Справочник соответствий'!A$2:D$2981,2,FALSE),IF(VALUE(D2118)=0,0,VLOOKUP(D2118,'Справочник соответствий'!A$2:D$2981,2,FALSE)))</f>
        <v>0</v>
      </c>
      <c r="K2118" s="3" t="str">
        <f t="shared" si="231"/>
        <v>2</v>
      </c>
      <c r="L2118" s="13" t="str">
        <f>IFERROR(VLOOKUP(C2118,'Справочник соответствий'!A$2:D$2981,3,FALSE),IF(VALUE(C2118)=0,"ЭТАЖ НЕ ОПРЕДЕЛЕН. ПРИНЯТ ПО ДОПУЩЕНИЮ 1",VLOOKUP(C2118,'Справочник соответствий'!A$2:D$2981,3,FALSE)))</f>
        <v>ЭТАЖ ЗАДАН ЧИСЛОМ</v>
      </c>
      <c r="M2118" s="13" t="b">
        <f t="shared" si="232"/>
        <v>0</v>
      </c>
      <c r="N2118" s="13">
        <f t="shared" si="233"/>
        <v>2</v>
      </c>
      <c r="O2118" s="13" t="str">
        <f t="shared" si="234"/>
        <v>ЭТАЖ ЗАДАН ЧИСЛОМ</v>
      </c>
      <c r="P2118" s="13" t="str">
        <f t="shared" si="235"/>
        <v>ЭТАЖ ЗАДАН ЧИСЛОМ</v>
      </c>
      <c r="Q2118" s="13" t="str">
        <f t="shared" si="236"/>
        <v>ГОТОВ_ИЗМЕНЕН</v>
      </c>
      <c r="R2118" s="13">
        <f>IFERROR(VLOOKUP(P2118,Лист1!A$1:B$20,2,FALSE),0)</f>
        <v>784</v>
      </c>
      <c r="S2118" s="13">
        <f t="shared" si="237"/>
        <v>0</v>
      </c>
    </row>
    <row r="2119" spans="1:19" x14ac:dyDescent="0.25">
      <c r="A2119" s="24" t="s">
        <v>3247</v>
      </c>
      <c r="B2119" s="4" t="s">
        <v>1059</v>
      </c>
      <c r="C2119" s="25" t="s">
        <v>7</v>
      </c>
      <c r="G2119" s="25" t="s">
        <v>1382</v>
      </c>
      <c r="H2119" s="24" t="s">
        <v>1061</v>
      </c>
      <c r="I2119" s="3" t="str">
        <f>IFERROR(VLOOKUP(C2119,'Справочник соответствий'!A$2:D$2981,2,FALSE),IF(VALUE(C2119)=0,1,VLOOKUP(C2119,'Справочник соответствий'!A$2:D$2981,2,FALSE)))</f>
        <v>2</v>
      </c>
      <c r="J2119" s="3">
        <f>IFERROR(VLOOKUP(D2119,'Справочник соответствий'!A$2:D$2981,2,FALSE),IF(VALUE(D2119)=0,0,VLOOKUP(D2119,'Справочник соответствий'!A$2:D$2981,2,FALSE)))</f>
        <v>0</v>
      </c>
      <c r="K2119" s="3" t="str">
        <f t="shared" si="231"/>
        <v>2</v>
      </c>
      <c r="L2119" s="13" t="str">
        <f>IFERROR(VLOOKUP(C2119,'Справочник соответствий'!A$2:D$2981,3,FALSE),IF(VALUE(C2119)=0,"ЭТАЖ НЕ ОПРЕДЕЛЕН. ПРИНЯТ ПО ДОПУЩЕНИЮ 1",VLOOKUP(C2119,'Справочник соответствий'!A$2:D$2981,3,FALSE)))</f>
        <v>ЭТАЖ ЗАДАН ЧИСЛОМ</v>
      </c>
      <c r="M2119" s="13" t="b">
        <f t="shared" si="232"/>
        <v>0</v>
      </c>
      <c r="N2119" s="13">
        <f t="shared" si="233"/>
        <v>2</v>
      </c>
      <c r="O2119" s="13" t="str">
        <f t="shared" si="234"/>
        <v>ЭТАЖ ЗАДАН ЧИСЛОМ</v>
      </c>
      <c r="P2119" s="13" t="str">
        <f t="shared" si="235"/>
        <v>ЭТАЖ ЗАДАН ЧИСЛОМ</v>
      </c>
      <c r="Q2119" s="13" t="str">
        <f t="shared" si="236"/>
        <v>ГОТОВ_ИЗМЕНЕН</v>
      </c>
      <c r="R2119" s="13">
        <f>IFERROR(VLOOKUP(P2119,Лист1!A$1:B$20,2,FALSE),0)</f>
        <v>784</v>
      </c>
      <c r="S2119" s="13">
        <f t="shared" si="237"/>
        <v>0</v>
      </c>
    </row>
    <row r="2120" spans="1:19" x14ac:dyDescent="0.25">
      <c r="A2120" s="24" t="s">
        <v>3248</v>
      </c>
      <c r="B2120" s="4" t="s">
        <v>1063</v>
      </c>
      <c r="C2120" s="25" t="s">
        <v>5</v>
      </c>
      <c r="G2120" s="25" t="s">
        <v>1072</v>
      </c>
      <c r="H2120" s="24" t="s">
        <v>1061</v>
      </c>
      <c r="I2120" s="3" t="str">
        <f>IFERROR(VLOOKUP(C2120,'Справочник соответствий'!A$2:D$2981,2,FALSE),IF(VALUE(C2120)=0,1,VLOOKUP(C2120,'Справочник соответствий'!A$2:D$2981,2,FALSE)))</f>
        <v>1</v>
      </c>
      <c r="J2120" s="3">
        <f>IFERROR(VLOOKUP(D2120,'Справочник соответствий'!A$2:D$2981,2,FALSE),IF(VALUE(D2120)=0,0,VLOOKUP(D2120,'Справочник соответствий'!A$2:D$2981,2,FALSE)))</f>
        <v>0</v>
      </c>
      <c r="K2120" s="3" t="str">
        <f t="shared" si="231"/>
        <v>1</v>
      </c>
      <c r="L2120" s="13" t="str">
        <f>IFERROR(VLOOKUP(C2120,'Справочник соответствий'!A$2:D$2981,3,FALSE),IF(VALUE(C2120)=0,"ЭТАЖ НЕ ОПРЕДЕЛЕН. ПРИНЯТ ПО ДОПУЩЕНИЮ 1",VLOOKUP(C2120,'Справочник соответствий'!A$2:D$2981,3,FALSE)))</f>
        <v>ЭТАЖ ЗАДАН ЧИСЛОМ</v>
      </c>
      <c r="M2120" s="13" t="b">
        <f t="shared" si="232"/>
        <v>0</v>
      </c>
      <c r="N2120" s="13">
        <f t="shared" si="233"/>
        <v>1</v>
      </c>
      <c r="O2120" s="13" t="str">
        <f t="shared" si="234"/>
        <v>ЭТАЖ ЗАДАН ЧИСЛОМ</v>
      </c>
      <c r="P2120" s="13" t="str">
        <f t="shared" si="235"/>
        <v>ЭТАЖ ЗАДАН ЧИСЛОМ</v>
      </c>
      <c r="Q2120" s="13" t="str">
        <f t="shared" si="236"/>
        <v>ГОТОВ_ИЗМЕНЕН</v>
      </c>
      <c r="R2120" s="13">
        <f>IFERROR(VLOOKUP(P2120,Лист1!A$1:B$20,2,FALSE),0)</f>
        <v>784</v>
      </c>
      <c r="S2120" s="13">
        <f t="shared" si="237"/>
        <v>0</v>
      </c>
    </row>
    <row r="2121" spans="1:19" x14ac:dyDescent="0.25">
      <c r="A2121" s="24" t="s">
        <v>3249</v>
      </c>
      <c r="B2121" s="4" t="s">
        <v>1059</v>
      </c>
      <c r="C2121" s="25" t="s">
        <v>7</v>
      </c>
      <c r="G2121" s="25" t="s">
        <v>1161</v>
      </c>
      <c r="H2121" s="24" t="s">
        <v>1061</v>
      </c>
      <c r="I2121" s="3" t="str">
        <f>IFERROR(VLOOKUP(C2121,'Справочник соответствий'!A$2:D$2981,2,FALSE),IF(VALUE(C2121)=0,1,VLOOKUP(C2121,'Справочник соответствий'!A$2:D$2981,2,FALSE)))</f>
        <v>2</v>
      </c>
      <c r="J2121" s="3">
        <f>IFERROR(VLOOKUP(D2121,'Справочник соответствий'!A$2:D$2981,2,FALSE),IF(VALUE(D2121)=0,0,VLOOKUP(D2121,'Справочник соответствий'!A$2:D$2981,2,FALSE)))</f>
        <v>0</v>
      </c>
      <c r="K2121" s="3" t="str">
        <f t="shared" si="231"/>
        <v>2</v>
      </c>
      <c r="L2121" s="13" t="str">
        <f>IFERROR(VLOOKUP(C2121,'Справочник соответствий'!A$2:D$2981,3,FALSE),IF(VALUE(C2121)=0,"ЭТАЖ НЕ ОПРЕДЕЛЕН. ПРИНЯТ ПО ДОПУЩЕНИЮ 1",VLOOKUP(C2121,'Справочник соответствий'!A$2:D$2981,3,FALSE)))</f>
        <v>ЭТАЖ ЗАДАН ЧИСЛОМ</v>
      </c>
      <c r="M2121" s="13" t="b">
        <f t="shared" si="232"/>
        <v>0</v>
      </c>
      <c r="N2121" s="13">
        <f t="shared" si="233"/>
        <v>2</v>
      </c>
      <c r="O2121" s="13" t="str">
        <f t="shared" si="234"/>
        <v>ЭТАЖ ЗАДАН ЧИСЛОМ</v>
      </c>
      <c r="P2121" s="13" t="str">
        <f t="shared" si="235"/>
        <v>ЭТАЖ ЗАДАН ЧИСЛОМ</v>
      </c>
      <c r="Q2121" s="13" t="str">
        <f t="shared" si="236"/>
        <v>ГОТОВ_ИЗМЕНЕН</v>
      </c>
      <c r="R2121" s="13">
        <f>IFERROR(VLOOKUP(P2121,Лист1!A$1:B$20,2,FALSE),0)</f>
        <v>784</v>
      </c>
      <c r="S2121" s="13">
        <f t="shared" si="237"/>
        <v>0</v>
      </c>
    </row>
    <row r="2122" spans="1:19" x14ac:dyDescent="0.25">
      <c r="A2122" s="24" t="s">
        <v>3250</v>
      </c>
      <c r="B2122" s="4" t="s">
        <v>1059</v>
      </c>
      <c r="C2122" s="25" t="s">
        <v>5</v>
      </c>
      <c r="G2122" s="25" t="s">
        <v>1391</v>
      </c>
      <c r="H2122" s="24" t="s">
        <v>1061</v>
      </c>
      <c r="I2122" s="3" t="str">
        <f>IFERROR(VLOOKUP(C2122,'Справочник соответствий'!A$2:D$2981,2,FALSE),IF(VALUE(C2122)=0,1,VLOOKUP(C2122,'Справочник соответствий'!A$2:D$2981,2,FALSE)))</f>
        <v>1</v>
      </c>
      <c r="J2122" s="3">
        <f>IFERROR(VLOOKUP(D2122,'Справочник соответствий'!A$2:D$2981,2,FALSE),IF(VALUE(D2122)=0,0,VLOOKUP(D2122,'Справочник соответствий'!A$2:D$2981,2,FALSE)))</f>
        <v>0</v>
      </c>
      <c r="K2122" s="3" t="str">
        <f t="shared" si="231"/>
        <v>1</v>
      </c>
      <c r="L2122" s="13" t="str">
        <f>IFERROR(VLOOKUP(C2122,'Справочник соответствий'!A$2:D$2981,3,FALSE),IF(VALUE(C2122)=0,"ЭТАЖ НЕ ОПРЕДЕЛЕН. ПРИНЯТ ПО ДОПУЩЕНИЮ 1",VLOOKUP(C2122,'Справочник соответствий'!A$2:D$2981,3,FALSE)))</f>
        <v>ЭТАЖ ЗАДАН ЧИСЛОМ</v>
      </c>
      <c r="M2122" s="13" t="b">
        <f t="shared" si="232"/>
        <v>0</v>
      </c>
      <c r="N2122" s="13">
        <f t="shared" si="233"/>
        <v>1</v>
      </c>
      <c r="O2122" s="13" t="str">
        <f t="shared" si="234"/>
        <v>ЭТАЖ ЗАДАН ЧИСЛОМ</v>
      </c>
      <c r="P2122" s="13" t="str">
        <f t="shared" si="235"/>
        <v>ЭТАЖ ЗАДАН ЧИСЛОМ</v>
      </c>
      <c r="Q2122" s="13" t="str">
        <f t="shared" si="236"/>
        <v>ГОТОВ_ИЗМЕНЕН</v>
      </c>
      <c r="R2122" s="13">
        <f>IFERROR(VLOOKUP(P2122,Лист1!A$1:B$20,2,FALSE),0)</f>
        <v>784</v>
      </c>
      <c r="S2122" s="13">
        <f t="shared" si="237"/>
        <v>0</v>
      </c>
    </row>
    <row r="2123" spans="1:19" x14ac:dyDescent="0.25">
      <c r="A2123" s="24" t="s">
        <v>3251</v>
      </c>
      <c r="B2123" s="4" t="s">
        <v>1059</v>
      </c>
      <c r="C2123" s="25" t="s">
        <v>5</v>
      </c>
      <c r="G2123" s="25" t="s">
        <v>1072</v>
      </c>
      <c r="H2123" s="24" t="s">
        <v>1061</v>
      </c>
      <c r="I2123" s="3" t="str">
        <f>IFERROR(VLOOKUP(C2123,'Справочник соответствий'!A$2:D$2981,2,FALSE),IF(VALUE(C2123)=0,1,VLOOKUP(C2123,'Справочник соответствий'!A$2:D$2981,2,FALSE)))</f>
        <v>1</v>
      </c>
      <c r="J2123" s="3">
        <f>IFERROR(VLOOKUP(D2123,'Справочник соответствий'!A$2:D$2981,2,FALSE),IF(VALUE(D2123)=0,0,VLOOKUP(D2123,'Справочник соответствий'!A$2:D$2981,2,FALSE)))</f>
        <v>0</v>
      </c>
      <c r="K2123" s="3" t="str">
        <f t="shared" si="231"/>
        <v>1</v>
      </c>
      <c r="L2123" s="13" t="str">
        <f>IFERROR(VLOOKUP(C2123,'Справочник соответствий'!A$2:D$2981,3,FALSE),IF(VALUE(C2123)=0,"ЭТАЖ НЕ ОПРЕДЕЛЕН. ПРИНЯТ ПО ДОПУЩЕНИЮ 1",VLOOKUP(C2123,'Справочник соответствий'!A$2:D$2981,3,FALSE)))</f>
        <v>ЭТАЖ ЗАДАН ЧИСЛОМ</v>
      </c>
      <c r="M2123" s="13" t="b">
        <f t="shared" si="232"/>
        <v>0</v>
      </c>
      <c r="N2123" s="13">
        <f t="shared" si="233"/>
        <v>1</v>
      </c>
      <c r="O2123" s="13" t="str">
        <f t="shared" si="234"/>
        <v>ЭТАЖ ЗАДАН ЧИСЛОМ</v>
      </c>
      <c r="P2123" s="13" t="str">
        <f t="shared" si="235"/>
        <v>ЭТАЖ ЗАДАН ЧИСЛОМ</v>
      </c>
      <c r="Q2123" s="13" t="str">
        <f t="shared" si="236"/>
        <v>ГОТОВ_ИЗМЕНЕН</v>
      </c>
      <c r="R2123" s="13">
        <f>IFERROR(VLOOKUP(P2123,Лист1!A$1:B$20,2,FALSE),0)</f>
        <v>784</v>
      </c>
      <c r="S2123" s="13">
        <f t="shared" si="237"/>
        <v>0</v>
      </c>
    </row>
    <row r="2124" spans="1:19" x14ac:dyDescent="0.25">
      <c r="A2124" s="24" t="s">
        <v>3252</v>
      </c>
      <c r="B2124" s="4" t="s">
        <v>1059</v>
      </c>
      <c r="C2124" s="25" t="s">
        <v>7</v>
      </c>
      <c r="G2124" s="25" t="s">
        <v>1072</v>
      </c>
      <c r="H2124" s="24" t="s">
        <v>1061</v>
      </c>
      <c r="I2124" s="3" t="str">
        <f>IFERROR(VLOOKUP(C2124,'Справочник соответствий'!A$2:D$2981,2,FALSE),IF(VALUE(C2124)=0,1,VLOOKUP(C2124,'Справочник соответствий'!A$2:D$2981,2,FALSE)))</f>
        <v>2</v>
      </c>
      <c r="J2124" s="3">
        <f>IFERROR(VLOOKUP(D2124,'Справочник соответствий'!A$2:D$2981,2,FALSE),IF(VALUE(D2124)=0,0,VLOOKUP(D2124,'Справочник соответствий'!A$2:D$2981,2,FALSE)))</f>
        <v>0</v>
      </c>
      <c r="K2124" s="3" t="str">
        <f t="shared" si="231"/>
        <v>2</v>
      </c>
      <c r="L2124" s="13" t="str">
        <f>IFERROR(VLOOKUP(C2124,'Справочник соответствий'!A$2:D$2981,3,FALSE),IF(VALUE(C2124)=0,"ЭТАЖ НЕ ОПРЕДЕЛЕН. ПРИНЯТ ПО ДОПУЩЕНИЮ 1",VLOOKUP(C2124,'Справочник соответствий'!A$2:D$2981,3,FALSE)))</f>
        <v>ЭТАЖ ЗАДАН ЧИСЛОМ</v>
      </c>
      <c r="M2124" s="13" t="b">
        <f t="shared" si="232"/>
        <v>0</v>
      </c>
      <c r="N2124" s="13">
        <f t="shared" si="233"/>
        <v>2</v>
      </c>
      <c r="O2124" s="13" t="str">
        <f t="shared" si="234"/>
        <v>ЭТАЖ ЗАДАН ЧИСЛОМ</v>
      </c>
      <c r="P2124" s="13" t="str">
        <f t="shared" si="235"/>
        <v>ЭТАЖ ЗАДАН ЧИСЛОМ</v>
      </c>
      <c r="Q2124" s="13" t="str">
        <f t="shared" si="236"/>
        <v>ГОТОВ_ИЗМЕНЕН</v>
      </c>
      <c r="R2124" s="13">
        <f>IFERROR(VLOOKUP(P2124,Лист1!A$1:B$20,2,FALSE),0)</f>
        <v>784</v>
      </c>
      <c r="S2124" s="13">
        <f t="shared" si="237"/>
        <v>0</v>
      </c>
    </row>
    <row r="2125" spans="1:19" x14ac:dyDescent="0.25">
      <c r="A2125" s="24" t="s">
        <v>3253</v>
      </c>
      <c r="B2125" s="4" t="s">
        <v>1059</v>
      </c>
      <c r="C2125" s="25" t="s">
        <v>5</v>
      </c>
      <c r="G2125" s="25" t="s">
        <v>1072</v>
      </c>
      <c r="H2125" s="24" t="s">
        <v>1061</v>
      </c>
      <c r="I2125" s="3" t="str">
        <f>IFERROR(VLOOKUP(C2125,'Справочник соответствий'!A$2:D$2981,2,FALSE),IF(VALUE(C2125)=0,1,VLOOKUP(C2125,'Справочник соответствий'!A$2:D$2981,2,FALSE)))</f>
        <v>1</v>
      </c>
      <c r="J2125" s="3">
        <f>IFERROR(VLOOKUP(D2125,'Справочник соответствий'!A$2:D$2981,2,FALSE),IF(VALUE(D2125)=0,0,VLOOKUP(D2125,'Справочник соответствий'!A$2:D$2981,2,FALSE)))</f>
        <v>0</v>
      </c>
      <c r="K2125" s="3" t="str">
        <f t="shared" si="231"/>
        <v>1</v>
      </c>
      <c r="L2125" s="13" t="str">
        <f>IFERROR(VLOOKUP(C2125,'Справочник соответствий'!A$2:D$2981,3,FALSE),IF(VALUE(C2125)=0,"ЭТАЖ НЕ ОПРЕДЕЛЕН. ПРИНЯТ ПО ДОПУЩЕНИЮ 1",VLOOKUP(C2125,'Справочник соответствий'!A$2:D$2981,3,FALSE)))</f>
        <v>ЭТАЖ ЗАДАН ЧИСЛОМ</v>
      </c>
      <c r="M2125" s="13" t="b">
        <f t="shared" si="232"/>
        <v>0</v>
      </c>
      <c r="N2125" s="13">
        <f t="shared" si="233"/>
        <v>1</v>
      </c>
      <c r="O2125" s="13" t="str">
        <f t="shared" si="234"/>
        <v>ЭТАЖ ЗАДАН ЧИСЛОМ</v>
      </c>
      <c r="P2125" s="13" t="str">
        <f t="shared" si="235"/>
        <v>ЭТАЖ ЗАДАН ЧИСЛОМ</v>
      </c>
      <c r="Q2125" s="13" t="str">
        <f t="shared" si="236"/>
        <v>ГОТОВ_ИЗМЕНЕН</v>
      </c>
      <c r="R2125" s="13">
        <f>IFERROR(VLOOKUP(P2125,Лист1!A$1:B$20,2,FALSE),0)</f>
        <v>784</v>
      </c>
      <c r="S2125" s="13">
        <f t="shared" si="237"/>
        <v>0</v>
      </c>
    </row>
    <row r="2126" spans="1:19" x14ac:dyDescent="0.25">
      <c r="A2126" s="24" t="s">
        <v>3254</v>
      </c>
      <c r="B2126" s="4" t="s">
        <v>1059</v>
      </c>
      <c r="C2126" s="25" t="s">
        <v>5</v>
      </c>
      <c r="G2126" s="25" t="s">
        <v>1072</v>
      </c>
      <c r="H2126" s="24" t="s">
        <v>1061</v>
      </c>
      <c r="I2126" s="3" t="str">
        <f>IFERROR(VLOOKUP(C2126,'Справочник соответствий'!A$2:D$2981,2,FALSE),IF(VALUE(C2126)=0,1,VLOOKUP(C2126,'Справочник соответствий'!A$2:D$2981,2,FALSE)))</f>
        <v>1</v>
      </c>
      <c r="J2126" s="3">
        <f>IFERROR(VLOOKUP(D2126,'Справочник соответствий'!A$2:D$2981,2,FALSE),IF(VALUE(D2126)=0,0,VLOOKUP(D2126,'Справочник соответствий'!A$2:D$2981,2,FALSE)))</f>
        <v>0</v>
      </c>
      <c r="K2126" s="3" t="str">
        <f t="shared" si="231"/>
        <v>1</v>
      </c>
      <c r="L2126" s="13" t="str">
        <f>IFERROR(VLOOKUP(C2126,'Справочник соответствий'!A$2:D$2981,3,FALSE),IF(VALUE(C2126)=0,"ЭТАЖ НЕ ОПРЕДЕЛЕН. ПРИНЯТ ПО ДОПУЩЕНИЮ 1",VLOOKUP(C2126,'Справочник соответствий'!A$2:D$2981,3,FALSE)))</f>
        <v>ЭТАЖ ЗАДАН ЧИСЛОМ</v>
      </c>
      <c r="M2126" s="13" t="b">
        <f t="shared" si="232"/>
        <v>0</v>
      </c>
      <c r="N2126" s="13">
        <f t="shared" si="233"/>
        <v>1</v>
      </c>
      <c r="O2126" s="13" t="str">
        <f t="shared" si="234"/>
        <v>ЭТАЖ ЗАДАН ЧИСЛОМ</v>
      </c>
      <c r="P2126" s="13" t="str">
        <f t="shared" si="235"/>
        <v>ЭТАЖ ЗАДАН ЧИСЛОМ</v>
      </c>
      <c r="Q2126" s="13" t="str">
        <f t="shared" si="236"/>
        <v>ГОТОВ_ИЗМЕНЕН</v>
      </c>
      <c r="R2126" s="13">
        <f>IFERROR(VLOOKUP(P2126,Лист1!A$1:B$20,2,FALSE),0)</f>
        <v>784</v>
      </c>
      <c r="S2126" s="13">
        <f t="shared" si="237"/>
        <v>0</v>
      </c>
    </row>
    <row r="2127" spans="1:19" x14ac:dyDescent="0.25">
      <c r="A2127" s="24" t="s">
        <v>3255</v>
      </c>
      <c r="B2127" s="4" t="s">
        <v>1063</v>
      </c>
      <c r="C2127" s="25" t="s">
        <v>5</v>
      </c>
      <c r="G2127" s="25" t="s">
        <v>1072</v>
      </c>
      <c r="H2127" s="24" t="s">
        <v>1061</v>
      </c>
      <c r="I2127" s="3" t="str">
        <f>IFERROR(VLOOKUP(C2127,'Справочник соответствий'!A$2:D$2981,2,FALSE),IF(VALUE(C2127)=0,1,VLOOKUP(C2127,'Справочник соответствий'!A$2:D$2981,2,FALSE)))</f>
        <v>1</v>
      </c>
      <c r="J2127" s="3">
        <f>IFERROR(VLOOKUP(D2127,'Справочник соответствий'!A$2:D$2981,2,FALSE),IF(VALUE(D2127)=0,0,VLOOKUP(D2127,'Справочник соответствий'!A$2:D$2981,2,FALSE)))</f>
        <v>0</v>
      </c>
      <c r="K2127" s="3" t="str">
        <f t="shared" si="231"/>
        <v>1</v>
      </c>
      <c r="L2127" s="13" t="str">
        <f>IFERROR(VLOOKUP(C2127,'Справочник соответствий'!A$2:D$2981,3,FALSE),IF(VALUE(C2127)=0,"ЭТАЖ НЕ ОПРЕДЕЛЕН. ПРИНЯТ ПО ДОПУЩЕНИЮ 1",VLOOKUP(C2127,'Справочник соответствий'!A$2:D$2981,3,FALSE)))</f>
        <v>ЭТАЖ ЗАДАН ЧИСЛОМ</v>
      </c>
      <c r="M2127" s="13" t="b">
        <f t="shared" si="232"/>
        <v>0</v>
      </c>
      <c r="N2127" s="13">
        <f t="shared" si="233"/>
        <v>1</v>
      </c>
      <c r="O2127" s="13" t="str">
        <f t="shared" si="234"/>
        <v>ЭТАЖ ЗАДАН ЧИСЛОМ</v>
      </c>
      <c r="P2127" s="13" t="str">
        <f t="shared" si="235"/>
        <v>ЭТАЖ ЗАДАН ЧИСЛОМ</v>
      </c>
      <c r="Q2127" s="13" t="str">
        <f t="shared" si="236"/>
        <v>ГОТОВ_ИЗМЕНЕН</v>
      </c>
      <c r="R2127" s="13">
        <f>IFERROR(VLOOKUP(P2127,Лист1!A$1:B$20,2,FALSE),0)</f>
        <v>784</v>
      </c>
      <c r="S2127" s="13">
        <f t="shared" si="237"/>
        <v>0</v>
      </c>
    </row>
    <row r="2128" spans="1:19" x14ac:dyDescent="0.25">
      <c r="A2128" s="24" t="s">
        <v>3256</v>
      </c>
      <c r="B2128" s="4" t="s">
        <v>1063</v>
      </c>
      <c r="C2128" s="25" t="s">
        <v>3257</v>
      </c>
      <c r="D2128" s="25" t="s">
        <v>5</v>
      </c>
      <c r="G2128" s="25" t="s">
        <v>1089</v>
      </c>
      <c r="H2128" s="24" t="s">
        <v>1061</v>
      </c>
      <c r="I2128" s="3" t="e">
        <f>IFERROR(VLOOKUP(C2128,'Справочник соответствий'!A$2:D$2981,2,FALSE),IF(VALUE(C2128)=0,1,VLOOKUP(C2128,'Справочник соответствий'!A$2:D$2981,2,FALSE)))</f>
        <v>#N/A</v>
      </c>
      <c r="J2128" s="3" t="str">
        <f>IFERROR(VLOOKUP(D2128,'Справочник соответствий'!A$2:D$2981,2,FALSE),IF(VALUE(D2128)=0,0,VLOOKUP(D2128,'Справочник соответствий'!A$2:D$2981,2,FALSE)))</f>
        <v>1</v>
      </c>
      <c r="K2128" s="3" t="e">
        <f t="shared" si="231"/>
        <v>#N/A</v>
      </c>
      <c r="L2128" s="13" t="e">
        <f>IFERROR(VLOOKUP(C2128,'Справочник соответствий'!A$2:D$2981,3,FALSE),IF(VALUE(C2128)=0,"ЭТАЖ НЕ ОПРЕДЕЛЕН. ПРИНЯТ ПО ДОПУЩЕНИЮ 1",VLOOKUP(C2128,'Справочник соответствий'!A$2:D$2981,3,FALSE)))</f>
        <v>#N/A</v>
      </c>
      <c r="M2128" s="13" t="e">
        <f t="shared" si="232"/>
        <v>#N/A</v>
      </c>
      <c r="N2128" s="13" t="e">
        <f t="shared" si="233"/>
        <v>#N/A</v>
      </c>
      <c r="O2128" s="13" t="e">
        <f t="shared" si="234"/>
        <v>#N/A</v>
      </c>
      <c r="P2128" s="13" t="e">
        <f t="shared" si="235"/>
        <v>#N/A</v>
      </c>
      <c r="Q2128" s="13" t="str">
        <f t="shared" si="236"/>
        <v>НЕ ГОТОВ</v>
      </c>
      <c r="R2128" s="13">
        <f>IFERROR(VLOOKUP(P2128,Лист1!A$1:B$20,2,FALSE),0)</f>
        <v>0</v>
      </c>
      <c r="S2128" s="13">
        <f t="shared" si="237"/>
        <v>0</v>
      </c>
    </row>
    <row r="2129" spans="1:19" x14ac:dyDescent="0.25">
      <c r="A2129" s="24" t="s">
        <v>3258</v>
      </c>
      <c r="B2129" s="4" t="s">
        <v>1059</v>
      </c>
      <c r="C2129" s="25" t="s">
        <v>5</v>
      </c>
      <c r="G2129" s="25" t="s">
        <v>1069</v>
      </c>
      <c r="H2129" s="24" t="s">
        <v>1061</v>
      </c>
      <c r="I2129" s="3" t="str">
        <f>IFERROR(VLOOKUP(C2129,'Справочник соответствий'!A$2:D$2981,2,FALSE),IF(VALUE(C2129)=0,1,VLOOKUP(C2129,'Справочник соответствий'!A$2:D$2981,2,FALSE)))</f>
        <v>1</v>
      </c>
      <c r="J2129" s="3">
        <f>IFERROR(VLOOKUP(D2129,'Справочник соответствий'!A$2:D$2981,2,FALSE),IF(VALUE(D2129)=0,0,VLOOKUP(D2129,'Справочник соответствий'!A$2:D$2981,2,FALSE)))</f>
        <v>0</v>
      </c>
      <c r="K2129" s="3" t="str">
        <f t="shared" si="231"/>
        <v>1</v>
      </c>
      <c r="L2129" s="13" t="str">
        <f>IFERROR(VLOOKUP(C2129,'Справочник соответствий'!A$2:D$2981,3,FALSE),IF(VALUE(C2129)=0,"ЭТАЖ НЕ ОПРЕДЕЛЕН. ПРИНЯТ ПО ДОПУЩЕНИЮ 1",VLOOKUP(C2129,'Справочник соответствий'!A$2:D$2981,3,FALSE)))</f>
        <v>ЭТАЖ ЗАДАН ЧИСЛОМ</v>
      </c>
      <c r="M2129" s="13" t="b">
        <f t="shared" si="232"/>
        <v>0</v>
      </c>
      <c r="N2129" s="13">
        <f t="shared" si="233"/>
        <v>1</v>
      </c>
      <c r="O2129" s="13" t="str">
        <f t="shared" si="234"/>
        <v>ЭТАЖ ЗАДАН ЧИСЛОМ</v>
      </c>
      <c r="P2129" s="13" t="str">
        <f t="shared" si="235"/>
        <v>ЭТАЖ ЗАДАН ЧИСЛОМ</v>
      </c>
      <c r="Q2129" s="13" t="str">
        <f t="shared" si="236"/>
        <v>ГОТОВ_ИЗМЕНЕН</v>
      </c>
      <c r="R2129" s="13">
        <f>IFERROR(VLOOKUP(P2129,Лист1!A$1:B$20,2,FALSE),0)</f>
        <v>784</v>
      </c>
      <c r="S2129" s="13">
        <f t="shared" si="237"/>
        <v>0</v>
      </c>
    </row>
    <row r="2130" spans="1:19" x14ac:dyDescent="0.25">
      <c r="A2130" s="24" t="s">
        <v>3259</v>
      </c>
      <c r="B2130" s="4" t="s">
        <v>1059</v>
      </c>
      <c r="C2130" s="25" t="s">
        <v>7</v>
      </c>
      <c r="G2130" s="25" t="s">
        <v>1069</v>
      </c>
      <c r="H2130" s="24" t="s">
        <v>1061</v>
      </c>
      <c r="I2130" s="3" t="str">
        <f>IFERROR(VLOOKUP(C2130,'Справочник соответствий'!A$2:D$2981,2,FALSE),IF(VALUE(C2130)=0,1,VLOOKUP(C2130,'Справочник соответствий'!A$2:D$2981,2,FALSE)))</f>
        <v>2</v>
      </c>
      <c r="J2130" s="3">
        <f>IFERROR(VLOOKUP(D2130,'Справочник соответствий'!A$2:D$2981,2,FALSE),IF(VALUE(D2130)=0,0,VLOOKUP(D2130,'Справочник соответствий'!A$2:D$2981,2,FALSE)))</f>
        <v>0</v>
      </c>
      <c r="K2130" s="3" t="str">
        <f t="shared" si="231"/>
        <v>2</v>
      </c>
      <c r="L2130" s="13" t="str">
        <f>IFERROR(VLOOKUP(C2130,'Справочник соответствий'!A$2:D$2981,3,FALSE),IF(VALUE(C2130)=0,"ЭТАЖ НЕ ОПРЕДЕЛЕН. ПРИНЯТ ПО ДОПУЩЕНИЮ 1",VLOOKUP(C2130,'Справочник соответствий'!A$2:D$2981,3,FALSE)))</f>
        <v>ЭТАЖ ЗАДАН ЧИСЛОМ</v>
      </c>
      <c r="M2130" s="13" t="b">
        <f t="shared" si="232"/>
        <v>0</v>
      </c>
      <c r="N2130" s="13">
        <f t="shared" si="233"/>
        <v>2</v>
      </c>
      <c r="O2130" s="13" t="str">
        <f t="shared" si="234"/>
        <v>ЭТАЖ ЗАДАН ЧИСЛОМ</v>
      </c>
      <c r="P2130" s="13" t="str">
        <f t="shared" si="235"/>
        <v>ЭТАЖ ЗАДАН ЧИСЛОМ</v>
      </c>
      <c r="Q2130" s="13" t="str">
        <f t="shared" si="236"/>
        <v>ГОТОВ_ИЗМЕНЕН</v>
      </c>
      <c r="R2130" s="13">
        <f>IFERROR(VLOOKUP(P2130,Лист1!A$1:B$20,2,FALSE),0)</f>
        <v>784</v>
      </c>
      <c r="S2130" s="13">
        <f t="shared" si="237"/>
        <v>0</v>
      </c>
    </row>
    <row r="2131" spans="1:19" x14ac:dyDescent="0.25">
      <c r="A2131" s="24" t="s">
        <v>3260</v>
      </c>
      <c r="B2131" s="4" t="s">
        <v>1059</v>
      </c>
      <c r="C2131" s="25" t="s">
        <v>5</v>
      </c>
      <c r="G2131" s="25" t="s">
        <v>1174</v>
      </c>
      <c r="H2131" s="24" t="s">
        <v>1061</v>
      </c>
      <c r="I2131" s="3" t="str">
        <f>IFERROR(VLOOKUP(C2131,'Справочник соответствий'!A$2:D$2981,2,FALSE),IF(VALUE(C2131)=0,1,VLOOKUP(C2131,'Справочник соответствий'!A$2:D$2981,2,FALSE)))</f>
        <v>1</v>
      </c>
      <c r="J2131" s="3">
        <f>IFERROR(VLOOKUP(D2131,'Справочник соответствий'!A$2:D$2981,2,FALSE),IF(VALUE(D2131)=0,0,VLOOKUP(D2131,'Справочник соответствий'!A$2:D$2981,2,FALSE)))</f>
        <v>0</v>
      </c>
      <c r="K2131" s="3" t="str">
        <f t="shared" si="231"/>
        <v>1</v>
      </c>
      <c r="L2131" s="13" t="str">
        <f>IFERROR(VLOOKUP(C2131,'Справочник соответствий'!A$2:D$2981,3,FALSE),IF(VALUE(C2131)=0,"ЭТАЖ НЕ ОПРЕДЕЛЕН. ПРИНЯТ ПО ДОПУЩЕНИЮ 1",VLOOKUP(C2131,'Справочник соответствий'!A$2:D$2981,3,FALSE)))</f>
        <v>ЭТАЖ ЗАДАН ЧИСЛОМ</v>
      </c>
      <c r="M2131" s="13" t="b">
        <f t="shared" si="232"/>
        <v>0</v>
      </c>
      <c r="N2131" s="13">
        <f t="shared" si="233"/>
        <v>1</v>
      </c>
      <c r="O2131" s="13" t="str">
        <f t="shared" si="234"/>
        <v>ЭТАЖ ЗАДАН ЧИСЛОМ</v>
      </c>
      <c r="P2131" s="13" t="str">
        <f t="shared" si="235"/>
        <v>ЭТАЖ ЗАДАН ЧИСЛОМ</v>
      </c>
      <c r="Q2131" s="13" t="str">
        <f t="shared" si="236"/>
        <v>ГОТОВ_ИЗМЕНЕН</v>
      </c>
      <c r="R2131" s="13">
        <f>IFERROR(VLOOKUP(P2131,Лист1!A$1:B$20,2,FALSE),0)</f>
        <v>784</v>
      </c>
      <c r="S2131" s="13">
        <f t="shared" si="237"/>
        <v>0</v>
      </c>
    </row>
    <row r="2132" spans="1:19" x14ac:dyDescent="0.25">
      <c r="A2132" s="24" t="s">
        <v>3261</v>
      </c>
      <c r="B2132" s="4" t="s">
        <v>1059</v>
      </c>
      <c r="C2132" s="25" t="s">
        <v>7</v>
      </c>
      <c r="G2132" s="25" t="s">
        <v>1072</v>
      </c>
      <c r="H2132" s="24" t="s">
        <v>1061</v>
      </c>
      <c r="I2132" s="3" t="str">
        <f>IFERROR(VLOOKUP(C2132,'Справочник соответствий'!A$2:D$2981,2,FALSE),IF(VALUE(C2132)=0,1,VLOOKUP(C2132,'Справочник соответствий'!A$2:D$2981,2,FALSE)))</f>
        <v>2</v>
      </c>
      <c r="J2132" s="3">
        <f>IFERROR(VLOOKUP(D2132,'Справочник соответствий'!A$2:D$2981,2,FALSE),IF(VALUE(D2132)=0,0,VLOOKUP(D2132,'Справочник соответствий'!A$2:D$2981,2,FALSE)))</f>
        <v>0</v>
      </c>
      <c r="K2132" s="3" t="str">
        <f t="shared" si="231"/>
        <v>2</v>
      </c>
      <c r="L2132" s="13" t="str">
        <f>IFERROR(VLOOKUP(C2132,'Справочник соответствий'!A$2:D$2981,3,FALSE),IF(VALUE(C2132)=0,"ЭТАЖ НЕ ОПРЕДЕЛЕН. ПРИНЯТ ПО ДОПУЩЕНИЮ 1",VLOOKUP(C2132,'Справочник соответствий'!A$2:D$2981,3,FALSE)))</f>
        <v>ЭТАЖ ЗАДАН ЧИСЛОМ</v>
      </c>
      <c r="M2132" s="13" t="b">
        <f t="shared" si="232"/>
        <v>0</v>
      </c>
      <c r="N2132" s="13">
        <f t="shared" si="233"/>
        <v>2</v>
      </c>
      <c r="O2132" s="13" t="str">
        <f t="shared" si="234"/>
        <v>ЭТАЖ ЗАДАН ЧИСЛОМ</v>
      </c>
      <c r="P2132" s="13" t="str">
        <f t="shared" si="235"/>
        <v>ЭТАЖ ЗАДАН ЧИСЛОМ</v>
      </c>
      <c r="Q2132" s="13" t="str">
        <f t="shared" si="236"/>
        <v>ГОТОВ_ИЗМЕНЕН</v>
      </c>
      <c r="R2132" s="13">
        <f>IFERROR(VLOOKUP(P2132,Лист1!A$1:B$20,2,FALSE),0)</f>
        <v>784</v>
      </c>
      <c r="S2132" s="13">
        <f t="shared" si="237"/>
        <v>0</v>
      </c>
    </row>
    <row r="2133" spans="1:19" x14ac:dyDescent="0.25">
      <c r="A2133" s="24" t="s">
        <v>3262</v>
      </c>
      <c r="B2133" s="4" t="s">
        <v>1063</v>
      </c>
      <c r="C2133" s="25" t="s">
        <v>5</v>
      </c>
      <c r="G2133" s="25" t="s">
        <v>1069</v>
      </c>
      <c r="H2133" s="24" t="s">
        <v>1061</v>
      </c>
      <c r="I2133" s="3" t="str">
        <f>IFERROR(VLOOKUP(C2133,'Справочник соответствий'!A$2:D$2981,2,FALSE),IF(VALUE(C2133)=0,1,VLOOKUP(C2133,'Справочник соответствий'!A$2:D$2981,2,FALSE)))</f>
        <v>1</v>
      </c>
      <c r="J2133" s="3">
        <f>IFERROR(VLOOKUP(D2133,'Справочник соответствий'!A$2:D$2981,2,FALSE),IF(VALUE(D2133)=0,0,VLOOKUP(D2133,'Справочник соответствий'!A$2:D$2981,2,FALSE)))</f>
        <v>0</v>
      </c>
      <c r="K2133" s="3" t="str">
        <f t="shared" si="231"/>
        <v>1</v>
      </c>
      <c r="L2133" s="13" t="str">
        <f>IFERROR(VLOOKUP(C2133,'Справочник соответствий'!A$2:D$2981,3,FALSE),IF(VALUE(C2133)=0,"ЭТАЖ НЕ ОПРЕДЕЛЕН. ПРИНЯТ ПО ДОПУЩЕНИЮ 1",VLOOKUP(C2133,'Справочник соответствий'!A$2:D$2981,3,FALSE)))</f>
        <v>ЭТАЖ ЗАДАН ЧИСЛОМ</v>
      </c>
      <c r="M2133" s="13" t="b">
        <f t="shared" si="232"/>
        <v>0</v>
      </c>
      <c r="N2133" s="13">
        <f t="shared" si="233"/>
        <v>1</v>
      </c>
      <c r="O2133" s="13" t="str">
        <f t="shared" si="234"/>
        <v>ЭТАЖ ЗАДАН ЧИСЛОМ</v>
      </c>
      <c r="P2133" s="13" t="str">
        <f t="shared" si="235"/>
        <v>ЭТАЖ ЗАДАН ЧИСЛОМ</v>
      </c>
      <c r="Q2133" s="13" t="str">
        <f t="shared" si="236"/>
        <v>ГОТОВ_ИЗМЕНЕН</v>
      </c>
      <c r="R2133" s="13">
        <f>IFERROR(VLOOKUP(P2133,Лист1!A$1:B$20,2,FALSE),0)</f>
        <v>784</v>
      </c>
      <c r="S2133" s="13">
        <f t="shared" si="237"/>
        <v>0</v>
      </c>
    </row>
    <row r="2134" spans="1:19" x14ac:dyDescent="0.25">
      <c r="A2134" s="24" t="s">
        <v>3263</v>
      </c>
      <c r="B2134" s="4" t="s">
        <v>1059</v>
      </c>
      <c r="C2134" s="25" t="s">
        <v>8</v>
      </c>
      <c r="G2134" s="25" t="s">
        <v>1174</v>
      </c>
      <c r="H2134" s="24" t="s">
        <v>1061</v>
      </c>
      <c r="I2134" s="3" t="str">
        <f>IFERROR(VLOOKUP(C2134,'Справочник соответствий'!A$2:D$2981,2,FALSE),IF(VALUE(C2134)=0,1,VLOOKUP(C2134,'Справочник соответствий'!A$2:D$2981,2,FALSE)))</f>
        <v>3</v>
      </c>
      <c r="J2134" s="3">
        <f>IFERROR(VLOOKUP(D2134,'Справочник соответствий'!A$2:D$2981,2,FALSE),IF(VALUE(D2134)=0,0,VLOOKUP(D2134,'Справочник соответствий'!A$2:D$2981,2,FALSE)))</f>
        <v>0</v>
      </c>
      <c r="K2134" s="3" t="str">
        <f t="shared" si="231"/>
        <v>3</v>
      </c>
      <c r="L2134" s="13" t="str">
        <f>IFERROR(VLOOKUP(C2134,'Справочник соответствий'!A$2:D$2981,3,FALSE),IF(VALUE(C2134)=0,"ЭТАЖ НЕ ОПРЕДЕЛЕН. ПРИНЯТ ПО ДОПУЩЕНИЮ 1",VLOOKUP(C2134,'Справочник соответствий'!A$2:D$2981,3,FALSE)))</f>
        <v>ЭТАЖ ЗАДАН ЧИСЛОМ</v>
      </c>
      <c r="M2134" s="13" t="b">
        <f t="shared" si="232"/>
        <v>0</v>
      </c>
      <c r="N2134" s="13">
        <f t="shared" si="233"/>
        <v>3</v>
      </c>
      <c r="O2134" s="13" t="str">
        <f t="shared" si="234"/>
        <v>ЭТАЖ ЗАДАН ЧИСЛОМ</v>
      </c>
      <c r="P2134" s="13" t="str">
        <f t="shared" si="235"/>
        <v>ЭТАЖ ЗАДАН ЧИСЛОМ</v>
      </c>
      <c r="Q2134" s="13" t="str">
        <f t="shared" si="236"/>
        <v>ГОТОВ_ИЗМЕНЕН</v>
      </c>
      <c r="R2134" s="13">
        <f>IFERROR(VLOOKUP(P2134,Лист1!A$1:B$20,2,FALSE),0)</f>
        <v>784</v>
      </c>
      <c r="S2134" s="13">
        <f t="shared" si="237"/>
        <v>0</v>
      </c>
    </row>
    <row r="2135" spans="1:19" x14ac:dyDescent="0.25">
      <c r="A2135" s="24" t="s">
        <v>3264</v>
      </c>
      <c r="B2135" s="4" t="s">
        <v>1059</v>
      </c>
      <c r="C2135" s="25" t="s">
        <v>5</v>
      </c>
      <c r="G2135" s="25" t="s">
        <v>1174</v>
      </c>
      <c r="H2135" s="24" t="s">
        <v>1061</v>
      </c>
      <c r="I2135" s="3" t="str">
        <f>IFERROR(VLOOKUP(C2135,'Справочник соответствий'!A$2:D$2981,2,FALSE),IF(VALUE(C2135)=0,1,VLOOKUP(C2135,'Справочник соответствий'!A$2:D$2981,2,FALSE)))</f>
        <v>1</v>
      </c>
      <c r="J2135" s="3">
        <f>IFERROR(VLOOKUP(D2135,'Справочник соответствий'!A$2:D$2981,2,FALSE),IF(VALUE(D2135)=0,0,VLOOKUP(D2135,'Справочник соответствий'!A$2:D$2981,2,FALSE)))</f>
        <v>0</v>
      </c>
      <c r="K2135" s="3" t="str">
        <f t="shared" si="231"/>
        <v>1</v>
      </c>
      <c r="L2135" s="13" t="str">
        <f>IFERROR(VLOOKUP(C2135,'Справочник соответствий'!A$2:D$2981,3,FALSE),IF(VALUE(C2135)=0,"ЭТАЖ НЕ ОПРЕДЕЛЕН. ПРИНЯТ ПО ДОПУЩЕНИЮ 1",VLOOKUP(C2135,'Справочник соответствий'!A$2:D$2981,3,FALSE)))</f>
        <v>ЭТАЖ ЗАДАН ЧИСЛОМ</v>
      </c>
      <c r="M2135" s="13" t="b">
        <f t="shared" si="232"/>
        <v>0</v>
      </c>
      <c r="N2135" s="13">
        <f t="shared" si="233"/>
        <v>1</v>
      </c>
      <c r="O2135" s="13" t="str">
        <f t="shared" si="234"/>
        <v>ЭТАЖ ЗАДАН ЧИСЛОМ</v>
      </c>
      <c r="P2135" s="13" t="str">
        <f t="shared" si="235"/>
        <v>ЭТАЖ ЗАДАН ЧИСЛОМ</v>
      </c>
      <c r="Q2135" s="13" t="str">
        <f t="shared" si="236"/>
        <v>ГОТОВ_ИЗМЕНЕН</v>
      </c>
      <c r="R2135" s="13">
        <f>IFERROR(VLOOKUP(P2135,Лист1!A$1:B$20,2,FALSE),0)</f>
        <v>784</v>
      </c>
      <c r="S2135" s="13">
        <f t="shared" si="237"/>
        <v>0</v>
      </c>
    </row>
    <row r="2136" spans="1:19" x14ac:dyDescent="0.25">
      <c r="A2136" s="24" t="s">
        <v>3265</v>
      </c>
      <c r="B2136" s="4" t="s">
        <v>1063</v>
      </c>
      <c r="C2136" s="25" t="s">
        <v>5</v>
      </c>
      <c r="G2136" s="25" t="s">
        <v>1069</v>
      </c>
      <c r="H2136" s="24" t="s">
        <v>1061</v>
      </c>
      <c r="I2136" s="3" t="str">
        <f>IFERROR(VLOOKUP(C2136,'Справочник соответствий'!A$2:D$2981,2,FALSE),IF(VALUE(C2136)=0,1,VLOOKUP(C2136,'Справочник соответствий'!A$2:D$2981,2,FALSE)))</f>
        <v>1</v>
      </c>
      <c r="J2136" s="3">
        <f>IFERROR(VLOOKUP(D2136,'Справочник соответствий'!A$2:D$2981,2,FALSE),IF(VALUE(D2136)=0,0,VLOOKUP(D2136,'Справочник соответствий'!A$2:D$2981,2,FALSE)))</f>
        <v>0</v>
      </c>
      <c r="K2136" s="3" t="str">
        <f t="shared" si="231"/>
        <v>1</v>
      </c>
      <c r="L2136" s="13" t="str">
        <f>IFERROR(VLOOKUP(C2136,'Справочник соответствий'!A$2:D$2981,3,FALSE),IF(VALUE(C2136)=0,"ЭТАЖ НЕ ОПРЕДЕЛЕН. ПРИНЯТ ПО ДОПУЩЕНИЮ 1",VLOOKUP(C2136,'Справочник соответствий'!A$2:D$2981,3,FALSE)))</f>
        <v>ЭТАЖ ЗАДАН ЧИСЛОМ</v>
      </c>
      <c r="M2136" s="13" t="b">
        <f t="shared" si="232"/>
        <v>0</v>
      </c>
      <c r="N2136" s="13">
        <f t="shared" si="233"/>
        <v>1</v>
      </c>
      <c r="O2136" s="13" t="str">
        <f t="shared" si="234"/>
        <v>ЭТАЖ ЗАДАН ЧИСЛОМ</v>
      </c>
      <c r="P2136" s="13" t="str">
        <f t="shared" si="235"/>
        <v>ЭТАЖ ЗАДАН ЧИСЛОМ</v>
      </c>
      <c r="Q2136" s="13" t="str">
        <f t="shared" si="236"/>
        <v>ГОТОВ_ИЗМЕНЕН</v>
      </c>
      <c r="R2136" s="13">
        <f>IFERROR(VLOOKUP(P2136,Лист1!A$1:B$20,2,FALSE),0)</f>
        <v>784</v>
      </c>
      <c r="S2136" s="13">
        <f t="shared" si="237"/>
        <v>0</v>
      </c>
    </row>
    <row r="2137" spans="1:19" x14ac:dyDescent="0.25">
      <c r="A2137" s="24" t="s">
        <v>3266</v>
      </c>
      <c r="B2137" s="4" t="s">
        <v>1059</v>
      </c>
      <c r="C2137" s="25" t="s">
        <v>5</v>
      </c>
      <c r="G2137" s="25" t="s">
        <v>1072</v>
      </c>
      <c r="H2137" s="24" t="s">
        <v>1061</v>
      </c>
      <c r="I2137" s="3" t="str">
        <f>IFERROR(VLOOKUP(C2137,'Справочник соответствий'!A$2:D$2981,2,FALSE),IF(VALUE(C2137)=0,1,VLOOKUP(C2137,'Справочник соответствий'!A$2:D$2981,2,FALSE)))</f>
        <v>1</v>
      </c>
      <c r="J2137" s="3">
        <f>IFERROR(VLOOKUP(D2137,'Справочник соответствий'!A$2:D$2981,2,FALSE),IF(VALUE(D2137)=0,0,VLOOKUP(D2137,'Справочник соответствий'!A$2:D$2981,2,FALSE)))</f>
        <v>0</v>
      </c>
      <c r="K2137" s="3" t="str">
        <f t="shared" si="231"/>
        <v>1</v>
      </c>
      <c r="L2137" s="13" t="str">
        <f>IFERROR(VLOOKUP(C2137,'Справочник соответствий'!A$2:D$2981,3,FALSE),IF(VALUE(C2137)=0,"ЭТАЖ НЕ ОПРЕДЕЛЕН. ПРИНЯТ ПО ДОПУЩЕНИЮ 1",VLOOKUP(C2137,'Справочник соответствий'!A$2:D$2981,3,FALSE)))</f>
        <v>ЭТАЖ ЗАДАН ЧИСЛОМ</v>
      </c>
      <c r="M2137" s="13" t="b">
        <f t="shared" si="232"/>
        <v>0</v>
      </c>
      <c r="N2137" s="13">
        <f t="shared" si="233"/>
        <v>1</v>
      </c>
      <c r="O2137" s="13" t="str">
        <f t="shared" si="234"/>
        <v>ЭТАЖ ЗАДАН ЧИСЛОМ</v>
      </c>
      <c r="P2137" s="13" t="str">
        <f t="shared" si="235"/>
        <v>ЭТАЖ ЗАДАН ЧИСЛОМ</v>
      </c>
      <c r="Q2137" s="13" t="str">
        <f t="shared" si="236"/>
        <v>ГОТОВ_ИЗМЕНЕН</v>
      </c>
      <c r="R2137" s="13">
        <f>IFERROR(VLOOKUP(P2137,Лист1!A$1:B$20,2,FALSE),0)</f>
        <v>784</v>
      </c>
      <c r="S2137" s="13">
        <f t="shared" si="237"/>
        <v>0</v>
      </c>
    </row>
    <row r="2138" spans="1:19" x14ac:dyDescent="0.25">
      <c r="A2138" s="24" t="s">
        <v>3267</v>
      </c>
      <c r="B2138" s="4" t="s">
        <v>1063</v>
      </c>
      <c r="G2138" s="25" t="s">
        <v>1089</v>
      </c>
      <c r="H2138" s="24" t="s">
        <v>1061</v>
      </c>
      <c r="I2138" s="3">
        <f>IFERROR(VLOOKUP(C2138,'Справочник соответствий'!A$2:D$2981,2,FALSE),IF(VALUE(C2138)=0,1,VLOOKUP(C2138,'Справочник соответствий'!A$2:D$2981,2,FALSE)))</f>
        <v>1</v>
      </c>
      <c r="J2138" s="3">
        <f>IFERROR(VLOOKUP(D2138,'Справочник соответствий'!A$2:D$2981,2,FALSE),IF(VALUE(D2138)=0,0,VLOOKUP(D2138,'Справочник соответствий'!A$2:D$2981,2,FALSE)))</f>
        <v>0</v>
      </c>
      <c r="K2138" s="3">
        <f t="shared" si="231"/>
        <v>1</v>
      </c>
      <c r="L2138" s="13" t="str">
        <f>IFERROR(VLOOKUP(C2138,'Справочник соответствий'!A$2:D$2981,3,FALSE),IF(VALUE(C2138)=0,"ЭТАЖ НЕ ОПРЕДЕЛЕН. ПРИНЯТ ПО ДОПУЩЕНИЮ 1",VLOOKUP(C2138,'Справочник соответствий'!A$2:D$2981,3,FALSE)))</f>
        <v>ЭТАЖ НЕ ОПРЕДЕЛЕН. ПРИНЯТ ПО ДОПУЩЕНИЮ 1</v>
      </c>
      <c r="M2138" s="13" t="b">
        <f t="shared" si="232"/>
        <v>0</v>
      </c>
      <c r="N2138" s="13">
        <f t="shared" si="233"/>
        <v>1</v>
      </c>
      <c r="O2138" s="13" t="str">
        <f t="shared" si="234"/>
        <v>ЭТАЖ НЕ ОПРЕДЕЛЕН. ПРИНЯТ ПО ДОПУЩЕНИЮ 1</v>
      </c>
      <c r="P2138" s="13" t="str">
        <f t="shared" si="235"/>
        <v>ЭТАЖ НЕ ОПРЕДЕЛЕН. ПРИНЯТ ПО ДОПУЩЕНИЮ 1</v>
      </c>
      <c r="Q2138" s="13" t="str">
        <f t="shared" si="236"/>
        <v>ГОТОВ_ИЗМЕНЕН</v>
      </c>
      <c r="R2138" s="13">
        <f>IFERROR(VLOOKUP(P2138,Лист1!A$1:B$20,2,FALSE),0)</f>
        <v>788</v>
      </c>
      <c r="S2138" s="13">
        <f t="shared" si="237"/>
        <v>0</v>
      </c>
    </row>
    <row r="2139" spans="1:19" x14ac:dyDescent="0.25">
      <c r="A2139" s="24" t="s">
        <v>3268</v>
      </c>
      <c r="B2139" s="4" t="s">
        <v>1059</v>
      </c>
      <c r="C2139" s="25" t="s">
        <v>5</v>
      </c>
      <c r="G2139" s="25" t="s">
        <v>1174</v>
      </c>
      <c r="H2139" s="24" t="s">
        <v>1061</v>
      </c>
      <c r="I2139" s="3" t="str">
        <f>IFERROR(VLOOKUP(C2139,'Справочник соответствий'!A$2:D$2981,2,FALSE),IF(VALUE(C2139)=0,1,VLOOKUP(C2139,'Справочник соответствий'!A$2:D$2981,2,FALSE)))</f>
        <v>1</v>
      </c>
      <c r="J2139" s="3">
        <f>IFERROR(VLOOKUP(D2139,'Справочник соответствий'!A$2:D$2981,2,FALSE),IF(VALUE(D2139)=0,0,VLOOKUP(D2139,'Справочник соответствий'!A$2:D$2981,2,FALSE)))</f>
        <v>0</v>
      </c>
      <c r="K2139" s="3" t="str">
        <f t="shared" si="231"/>
        <v>1</v>
      </c>
      <c r="L2139" s="13" t="str">
        <f>IFERROR(VLOOKUP(C2139,'Справочник соответствий'!A$2:D$2981,3,FALSE),IF(VALUE(C2139)=0,"ЭТАЖ НЕ ОПРЕДЕЛЕН. ПРИНЯТ ПО ДОПУЩЕНИЮ 1",VLOOKUP(C2139,'Справочник соответствий'!A$2:D$2981,3,FALSE)))</f>
        <v>ЭТАЖ ЗАДАН ЧИСЛОМ</v>
      </c>
      <c r="M2139" s="13" t="b">
        <f t="shared" si="232"/>
        <v>0</v>
      </c>
      <c r="N2139" s="13">
        <f t="shared" si="233"/>
        <v>1</v>
      </c>
      <c r="O2139" s="13" t="str">
        <f t="shared" si="234"/>
        <v>ЭТАЖ ЗАДАН ЧИСЛОМ</v>
      </c>
      <c r="P2139" s="13" t="str">
        <f t="shared" si="235"/>
        <v>ЭТАЖ ЗАДАН ЧИСЛОМ</v>
      </c>
      <c r="Q2139" s="13" t="str">
        <f t="shared" si="236"/>
        <v>ГОТОВ_ИЗМЕНЕН</v>
      </c>
      <c r="R2139" s="13">
        <f>IFERROR(VLOOKUP(P2139,Лист1!A$1:B$20,2,FALSE),0)</f>
        <v>784</v>
      </c>
      <c r="S2139" s="13">
        <f t="shared" si="237"/>
        <v>0</v>
      </c>
    </row>
    <row r="2140" spans="1:19" x14ac:dyDescent="0.25">
      <c r="A2140" s="24" t="s">
        <v>3269</v>
      </c>
      <c r="B2140" s="4" t="s">
        <v>1059</v>
      </c>
      <c r="C2140" s="25" t="s">
        <v>5</v>
      </c>
      <c r="G2140" s="25" t="s">
        <v>1108</v>
      </c>
      <c r="H2140" s="24" t="s">
        <v>1061</v>
      </c>
      <c r="I2140" s="3" t="str">
        <f>IFERROR(VLOOKUP(C2140,'Справочник соответствий'!A$2:D$2981,2,FALSE),IF(VALUE(C2140)=0,1,VLOOKUP(C2140,'Справочник соответствий'!A$2:D$2981,2,FALSE)))</f>
        <v>1</v>
      </c>
      <c r="J2140" s="3">
        <f>IFERROR(VLOOKUP(D2140,'Справочник соответствий'!A$2:D$2981,2,FALSE),IF(VALUE(D2140)=0,0,VLOOKUP(D2140,'Справочник соответствий'!A$2:D$2981,2,FALSE)))</f>
        <v>0</v>
      </c>
      <c r="K2140" s="3" t="str">
        <f t="shared" si="231"/>
        <v>1</v>
      </c>
      <c r="L2140" s="13" t="str">
        <f>IFERROR(VLOOKUP(C2140,'Справочник соответствий'!A$2:D$2981,3,FALSE),IF(VALUE(C2140)=0,"ЭТАЖ НЕ ОПРЕДЕЛЕН. ПРИНЯТ ПО ДОПУЩЕНИЮ 1",VLOOKUP(C2140,'Справочник соответствий'!A$2:D$2981,3,FALSE)))</f>
        <v>ЭТАЖ ЗАДАН ЧИСЛОМ</v>
      </c>
      <c r="M2140" s="13" t="b">
        <f t="shared" si="232"/>
        <v>0</v>
      </c>
      <c r="N2140" s="13">
        <f t="shared" si="233"/>
        <v>1</v>
      </c>
      <c r="O2140" s="13" t="str">
        <f t="shared" si="234"/>
        <v>ЭТАЖ ЗАДАН ЧИСЛОМ</v>
      </c>
      <c r="P2140" s="13" t="str">
        <f t="shared" si="235"/>
        <v>ЭТАЖ ЗАДАН ЧИСЛОМ</v>
      </c>
      <c r="Q2140" s="13" t="str">
        <f t="shared" si="236"/>
        <v>ГОТОВ_ИЗМЕНЕН</v>
      </c>
      <c r="R2140" s="13">
        <f>IFERROR(VLOOKUP(P2140,Лист1!A$1:B$20,2,FALSE),0)</f>
        <v>784</v>
      </c>
      <c r="S2140" s="13">
        <f t="shared" si="237"/>
        <v>0</v>
      </c>
    </row>
    <row r="2141" spans="1:19" x14ac:dyDescent="0.25">
      <c r="A2141" s="24" t="s">
        <v>3270</v>
      </c>
      <c r="B2141" s="4" t="s">
        <v>1059</v>
      </c>
      <c r="C2141" s="25" t="s">
        <v>7</v>
      </c>
      <c r="G2141" s="25" t="s">
        <v>1108</v>
      </c>
      <c r="H2141" s="24" t="s">
        <v>1061</v>
      </c>
      <c r="I2141" s="3" t="str">
        <f>IFERROR(VLOOKUP(C2141,'Справочник соответствий'!A$2:D$2981,2,FALSE),IF(VALUE(C2141)=0,1,VLOOKUP(C2141,'Справочник соответствий'!A$2:D$2981,2,FALSE)))</f>
        <v>2</v>
      </c>
      <c r="J2141" s="3">
        <f>IFERROR(VLOOKUP(D2141,'Справочник соответствий'!A$2:D$2981,2,FALSE),IF(VALUE(D2141)=0,0,VLOOKUP(D2141,'Справочник соответствий'!A$2:D$2981,2,FALSE)))</f>
        <v>0</v>
      </c>
      <c r="K2141" s="3" t="str">
        <f t="shared" si="231"/>
        <v>2</v>
      </c>
      <c r="L2141" s="13" t="str">
        <f>IFERROR(VLOOKUP(C2141,'Справочник соответствий'!A$2:D$2981,3,FALSE),IF(VALUE(C2141)=0,"ЭТАЖ НЕ ОПРЕДЕЛЕН. ПРИНЯТ ПО ДОПУЩЕНИЮ 1",VLOOKUP(C2141,'Справочник соответствий'!A$2:D$2981,3,FALSE)))</f>
        <v>ЭТАЖ ЗАДАН ЧИСЛОМ</v>
      </c>
      <c r="M2141" s="13" t="b">
        <f t="shared" si="232"/>
        <v>0</v>
      </c>
      <c r="N2141" s="13">
        <f t="shared" si="233"/>
        <v>2</v>
      </c>
      <c r="O2141" s="13" t="str">
        <f t="shared" si="234"/>
        <v>ЭТАЖ ЗАДАН ЧИСЛОМ</v>
      </c>
      <c r="P2141" s="13" t="str">
        <f t="shared" si="235"/>
        <v>ЭТАЖ ЗАДАН ЧИСЛОМ</v>
      </c>
      <c r="Q2141" s="13" t="str">
        <f t="shared" si="236"/>
        <v>ГОТОВ_ИЗМЕНЕН</v>
      </c>
      <c r="R2141" s="13">
        <f>IFERROR(VLOOKUP(P2141,Лист1!A$1:B$20,2,FALSE),0)</f>
        <v>784</v>
      </c>
      <c r="S2141" s="13">
        <f t="shared" si="237"/>
        <v>0</v>
      </c>
    </row>
    <row r="2142" spans="1:19" x14ac:dyDescent="0.25">
      <c r="A2142" s="24" t="s">
        <v>3271</v>
      </c>
      <c r="B2142" s="4" t="s">
        <v>1063</v>
      </c>
      <c r="C2142" s="25" t="s">
        <v>7</v>
      </c>
      <c r="G2142" s="25" t="s">
        <v>1108</v>
      </c>
      <c r="H2142" s="24" t="s">
        <v>1061</v>
      </c>
      <c r="I2142" s="3" t="str">
        <f>IFERROR(VLOOKUP(C2142,'Справочник соответствий'!A$2:D$2981,2,FALSE),IF(VALUE(C2142)=0,1,VLOOKUP(C2142,'Справочник соответствий'!A$2:D$2981,2,FALSE)))</f>
        <v>2</v>
      </c>
      <c r="J2142" s="3">
        <f>IFERROR(VLOOKUP(D2142,'Справочник соответствий'!A$2:D$2981,2,FALSE),IF(VALUE(D2142)=0,0,VLOOKUP(D2142,'Справочник соответствий'!A$2:D$2981,2,FALSE)))</f>
        <v>0</v>
      </c>
      <c r="K2142" s="3" t="str">
        <f t="shared" si="231"/>
        <v>2</v>
      </c>
      <c r="L2142" s="13" t="str">
        <f>IFERROR(VLOOKUP(C2142,'Справочник соответствий'!A$2:D$2981,3,FALSE),IF(VALUE(C2142)=0,"ЭТАЖ НЕ ОПРЕДЕЛЕН. ПРИНЯТ ПО ДОПУЩЕНИЮ 1",VLOOKUP(C2142,'Справочник соответствий'!A$2:D$2981,3,FALSE)))</f>
        <v>ЭТАЖ ЗАДАН ЧИСЛОМ</v>
      </c>
      <c r="M2142" s="13" t="b">
        <f t="shared" si="232"/>
        <v>0</v>
      </c>
      <c r="N2142" s="13">
        <f t="shared" si="233"/>
        <v>2</v>
      </c>
      <c r="O2142" s="13" t="str">
        <f t="shared" si="234"/>
        <v>ЭТАЖ ЗАДАН ЧИСЛОМ</v>
      </c>
      <c r="P2142" s="13" t="str">
        <f t="shared" si="235"/>
        <v>ЭТАЖ ЗАДАН ЧИСЛОМ</v>
      </c>
      <c r="Q2142" s="13" t="str">
        <f t="shared" si="236"/>
        <v>ГОТОВ_ИЗМЕНЕН</v>
      </c>
      <c r="R2142" s="13">
        <f>IFERROR(VLOOKUP(P2142,Лист1!A$1:B$20,2,FALSE),0)</f>
        <v>784</v>
      </c>
      <c r="S2142" s="13">
        <f t="shared" si="237"/>
        <v>0</v>
      </c>
    </row>
    <row r="2143" spans="1:19" x14ac:dyDescent="0.25">
      <c r="A2143" s="24" t="s">
        <v>3272</v>
      </c>
      <c r="B2143" s="4" t="s">
        <v>1059</v>
      </c>
      <c r="C2143" s="25" t="s">
        <v>7</v>
      </c>
      <c r="G2143" s="25" t="s">
        <v>1276</v>
      </c>
      <c r="H2143" s="24" t="s">
        <v>1061</v>
      </c>
      <c r="I2143" s="3" t="str">
        <f>IFERROR(VLOOKUP(C2143,'Справочник соответствий'!A$2:D$2981,2,FALSE),IF(VALUE(C2143)=0,1,VLOOKUP(C2143,'Справочник соответствий'!A$2:D$2981,2,FALSE)))</f>
        <v>2</v>
      </c>
      <c r="J2143" s="3">
        <f>IFERROR(VLOOKUP(D2143,'Справочник соответствий'!A$2:D$2981,2,FALSE),IF(VALUE(D2143)=0,0,VLOOKUP(D2143,'Справочник соответствий'!A$2:D$2981,2,FALSE)))</f>
        <v>0</v>
      </c>
      <c r="K2143" s="3" t="str">
        <f t="shared" si="231"/>
        <v>2</v>
      </c>
      <c r="L2143" s="13" t="str">
        <f>IFERROR(VLOOKUP(C2143,'Справочник соответствий'!A$2:D$2981,3,FALSE),IF(VALUE(C2143)=0,"ЭТАЖ НЕ ОПРЕДЕЛЕН. ПРИНЯТ ПО ДОПУЩЕНИЮ 1",VLOOKUP(C2143,'Справочник соответствий'!A$2:D$2981,3,FALSE)))</f>
        <v>ЭТАЖ ЗАДАН ЧИСЛОМ</v>
      </c>
      <c r="M2143" s="13" t="b">
        <f t="shared" si="232"/>
        <v>0</v>
      </c>
      <c r="N2143" s="13">
        <f t="shared" si="233"/>
        <v>2</v>
      </c>
      <c r="O2143" s="13" t="str">
        <f t="shared" si="234"/>
        <v>ЭТАЖ ЗАДАН ЧИСЛОМ</v>
      </c>
      <c r="P2143" s="13" t="str">
        <f t="shared" si="235"/>
        <v>ЭТАЖ ЗАДАН ЧИСЛОМ</v>
      </c>
      <c r="Q2143" s="13" t="str">
        <f t="shared" si="236"/>
        <v>ГОТОВ_ИЗМЕНЕН</v>
      </c>
      <c r="R2143" s="13">
        <f>IFERROR(VLOOKUP(P2143,Лист1!A$1:B$20,2,FALSE),0)</f>
        <v>784</v>
      </c>
      <c r="S2143" s="13">
        <f t="shared" si="237"/>
        <v>0</v>
      </c>
    </row>
    <row r="2144" spans="1:19" x14ac:dyDescent="0.25">
      <c r="A2144" s="24" t="s">
        <v>3273</v>
      </c>
      <c r="B2144" s="4" t="s">
        <v>1063</v>
      </c>
      <c r="C2144" s="25" t="s">
        <v>5</v>
      </c>
      <c r="G2144" s="25" t="s">
        <v>1108</v>
      </c>
      <c r="H2144" s="24" t="s">
        <v>1061</v>
      </c>
      <c r="I2144" s="3" t="str">
        <f>IFERROR(VLOOKUP(C2144,'Справочник соответствий'!A$2:D$2981,2,FALSE),IF(VALUE(C2144)=0,1,VLOOKUP(C2144,'Справочник соответствий'!A$2:D$2981,2,FALSE)))</f>
        <v>1</v>
      </c>
      <c r="J2144" s="3">
        <f>IFERROR(VLOOKUP(D2144,'Справочник соответствий'!A$2:D$2981,2,FALSE),IF(VALUE(D2144)=0,0,VLOOKUP(D2144,'Справочник соответствий'!A$2:D$2981,2,FALSE)))</f>
        <v>0</v>
      </c>
      <c r="K2144" s="3" t="str">
        <f t="shared" si="231"/>
        <v>1</v>
      </c>
      <c r="L2144" s="13" t="str">
        <f>IFERROR(VLOOKUP(C2144,'Справочник соответствий'!A$2:D$2981,3,FALSE),IF(VALUE(C2144)=0,"ЭТАЖ НЕ ОПРЕДЕЛЕН. ПРИНЯТ ПО ДОПУЩЕНИЮ 1",VLOOKUP(C2144,'Справочник соответствий'!A$2:D$2981,3,FALSE)))</f>
        <v>ЭТАЖ ЗАДАН ЧИСЛОМ</v>
      </c>
      <c r="M2144" s="13" t="b">
        <f t="shared" si="232"/>
        <v>0</v>
      </c>
      <c r="N2144" s="13">
        <f t="shared" si="233"/>
        <v>1</v>
      </c>
      <c r="O2144" s="13" t="str">
        <f t="shared" si="234"/>
        <v>ЭТАЖ ЗАДАН ЧИСЛОМ</v>
      </c>
      <c r="P2144" s="13" t="str">
        <f t="shared" si="235"/>
        <v>ЭТАЖ ЗАДАН ЧИСЛОМ</v>
      </c>
      <c r="Q2144" s="13" t="str">
        <f t="shared" si="236"/>
        <v>ГОТОВ_ИЗМЕНЕН</v>
      </c>
      <c r="R2144" s="13">
        <f>IFERROR(VLOOKUP(P2144,Лист1!A$1:B$20,2,FALSE),0)</f>
        <v>784</v>
      </c>
      <c r="S2144" s="13">
        <f t="shared" si="237"/>
        <v>0</v>
      </c>
    </row>
    <row r="2145" spans="1:19" x14ac:dyDescent="0.25">
      <c r="A2145" s="24" t="s">
        <v>3274</v>
      </c>
      <c r="B2145" s="4" t="s">
        <v>1059</v>
      </c>
      <c r="C2145" s="25" t="s">
        <v>7</v>
      </c>
      <c r="G2145" s="25" t="s">
        <v>1089</v>
      </c>
      <c r="H2145" s="24" t="s">
        <v>1061</v>
      </c>
      <c r="I2145" s="3" t="str">
        <f>IFERROR(VLOOKUP(C2145,'Справочник соответствий'!A$2:D$2981,2,FALSE),IF(VALUE(C2145)=0,1,VLOOKUP(C2145,'Справочник соответствий'!A$2:D$2981,2,FALSE)))</f>
        <v>2</v>
      </c>
      <c r="J2145" s="3">
        <f>IFERROR(VLOOKUP(D2145,'Справочник соответствий'!A$2:D$2981,2,FALSE),IF(VALUE(D2145)=0,0,VLOOKUP(D2145,'Справочник соответствий'!A$2:D$2981,2,FALSE)))</f>
        <v>0</v>
      </c>
      <c r="K2145" s="3" t="str">
        <f t="shared" si="231"/>
        <v>2</v>
      </c>
      <c r="L2145" s="13" t="str">
        <f>IFERROR(VLOOKUP(C2145,'Справочник соответствий'!A$2:D$2981,3,FALSE),IF(VALUE(C2145)=0,"ЭТАЖ НЕ ОПРЕДЕЛЕН. ПРИНЯТ ПО ДОПУЩЕНИЮ 1",VLOOKUP(C2145,'Справочник соответствий'!A$2:D$2981,3,FALSE)))</f>
        <v>ЭТАЖ ЗАДАН ЧИСЛОМ</v>
      </c>
      <c r="M2145" s="13" t="b">
        <f t="shared" si="232"/>
        <v>0</v>
      </c>
      <c r="N2145" s="13">
        <f t="shared" si="233"/>
        <v>2</v>
      </c>
      <c r="O2145" s="13" t="str">
        <f t="shared" si="234"/>
        <v>ЭТАЖ ЗАДАН ЧИСЛОМ</v>
      </c>
      <c r="P2145" s="13" t="str">
        <f t="shared" si="235"/>
        <v>ЭТАЖ ЗАДАН ЧИСЛОМ</v>
      </c>
      <c r="Q2145" s="13" t="str">
        <f t="shared" si="236"/>
        <v>ГОТОВ_ИЗМЕНЕН</v>
      </c>
      <c r="R2145" s="13">
        <f>IFERROR(VLOOKUP(P2145,Лист1!A$1:B$20,2,FALSE),0)</f>
        <v>784</v>
      </c>
      <c r="S2145" s="13">
        <f t="shared" si="237"/>
        <v>0</v>
      </c>
    </row>
    <row r="2146" spans="1:19" x14ac:dyDescent="0.25">
      <c r="A2146" s="24" t="s">
        <v>3275</v>
      </c>
      <c r="B2146" s="4" t="s">
        <v>1063</v>
      </c>
      <c r="C2146" s="25" t="s">
        <v>5</v>
      </c>
      <c r="G2146" s="25" t="s">
        <v>1108</v>
      </c>
      <c r="H2146" s="24" t="s">
        <v>1061</v>
      </c>
      <c r="I2146" s="3" t="str">
        <f>IFERROR(VLOOKUP(C2146,'Справочник соответствий'!A$2:D$2981,2,FALSE),IF(VALUE(C2146)=0,1,VLOOKUP(C2146,'Справочник соответствий'!A$2:D$2981,2,FALSE)))</f>
        <v>1</v>
      </c>
      <c r="J2146" s="3">
        <f>IFERROR(VLOOKUP(D2146,'Справочник соответствий'!A$2:D$2981,2,FALSE),IF(VALUE(D2146)=0,0,VLOOKUP(D2146,'Справочник соответствий'!A$2:D$2981,2,FALSE)))</f>
        <v>0</v>
      </c>
      <c r="K2146" s="3" t="str">
        <f t="shared" si="231"/>
        <v>1</v>
      </c>
      <c r="L2146" s="13" t="str">
        <f>IFERROR(VLOOKUP(C2146,'Справочник соответствий'!A$2:D$2981,3,FALSE),IF(VALUE(C2146)=0,"ЭТАЖ НЕ ОПРЕДЕЛЕН. ПРИНЯТ ПО ДОПУЩЕНИЮ 1",VLOOKUP(C2146,'Справочник соответствий'!A$2:D$2981,3,FALSE)))</f>
        <v>ЭТАЖ ЗАДАН ЧИСЛОМ</v>
      </c>
      <c r="M2146" s="13" t="b">
        <f t="shared" si="232"/>
        <v>0</v>
      </c>
      <c r="N2146" s="13">
        <f t="shared" si="233"/>
        <v>1</v>
      </c>
      <c r="O2146" s="13" t="str">
        <f t="shared" si="234"/>
        <v>ЭТАЖ ЗАДАН ЧИСЛОМ</v>
      </c>
      <c r="P2146" s="13" t="str">
        <f t="shared" si="235"/>
        <v>ЭТАЖ ЗАДАН ЧИСЛОМ</v>
      </c>
      <c r="Q2146" s="13" t="str">
        <f t="shared" si="236"/>
        <v>ГОТОВ_ИЗМЕНЕН</v>
      </c>
      <c r="R2146" s="13">
        <f>IFERROR(VLOOKUP(P2146,Лист1!A$1:B$20,2,FALSE),0)</f>
        <v>784</v>
      </c>
      <c r="S2146" s="13">
        <f t="shared" si="237"/>
        <v>0</v>
      </c>
    </row>
    <row r="2147" spans="1:19" x14ac:dyDescent="0.25">
      <c r="A2147" s="24" t="s">
        <v>3276</v>
      </c>
      <c r="B2147" s="4" t="s">
        <v>1063</v>
      </c>
      <c r="G2147" s="25" t="s">
        <v>1108</v>
      </c>
      <c r="H2147" s="24" t="s">
        <v>1061</v>
      </c>
      <c r="I2147" s="3">
        <f>IFERROR(VLOOKUP(C2147,'Справочник соответствий'!A$2:D$2981,2,FALSE),IF(VALUE(C2147)=0,1,VLOOKUP(C2147,'Справочник соответствий'!A$2:D$2981,2,FALSE)))</f>
        <v>1</v>
      </c>
      <c r="J2147" s="3">
        <f>IFERROR(VLOOKUP(D2147,'Справочник соответствий'!A$2:D$2981,2,FALSE),IF(VALUE(D2147)=0,0,VLOOKUP(D2147,'Справочник соответствий'!A$2:D$2981,2,FALSE)))</f>
        <v>0</v>
      </c>
      <c r="K2147" s="3">
        <f t="shared" si="231"/>
        <v>1</v>
      </c>
      <c r="L2147" s="13" t="str">
        <f>IFERROR(VLOOKUP(C2147,'Справочник соответствий'!A$2:D$2981,3,FALSE),IF(VALUE(C2147)=0,"ЭТАЖ НЕ ОПРЕДЕЛЕН. ПРИНЯТ ПО ДОПУЩЕНИЮ 1",VLOOKUP(C2147,'Справочник соответствий'!A$2:D$2981,3,FALSE)))</f>
        <v>ЭТАЖ НЕ ОПРЕДЕЛЕН. ПРИНЯТ ПО ДОПУЩЕНИЮ 1</v>
      </c>
      <c r="M2147" s="13" t="b">
        <f t="shared" si="232"/>
        <v>0</v>
      </c>
      <c r="N2147" s="13">
        <f t="shared" si="233"/>
        <v>1</v>
      </c>
      <c r="O2147" s="13" t="str">
        <f t="shared" si="234"/>
        <v>ЭТАЖ НЕ ОПРЕДЕЛЕН. ПРИНЯТ ПО ДОПУЩЕНИЮ 1</v>
      </c>
      <c r="P2147" s="13" t="str">
        <f t="shared" si="235"/>
        <v>ЭТАЖ НЕ ОПРЕДЕЛЕН. ПРИНЯТ ПО ДОПУЩЕНИЮ 1</v>
      </c>
      <c r="Q2147" s="13" t="str">
        <f t="shared" si="236"/>
        <v>ГОТОВ_ИЗМЕНЕН</v>
      </c>
      <c r="R2147" s="13">
        <f>IFERROR(VLOOKUP(P2147,Лист1!A$1:B$20,2,FALSE),0)</f>
        <v>788</v>
      </c>
      <c r="S2147" s="13">
        <f t="shared" si="237"/>
        <v>0</v>
      </c>
    </row>
    <row r="2148" spans="1:19" x14ac:dyDescent="0.25">
      <c r="A2148" s="24" t="s">
        <v>3277</v>
      </c>
      <c r="B2148" s="4" t="s">
        <v>1063</v>
      </c>
      <c r="G2148" s="25" t="s">
        <v>1193</v>
      </c>
      <c r="H2148" s="24" t="s">
        <v>1061</v>
      </c>
      <c r="I2148" s="3">
        <f>IFERROR(VLOOKUP(C2148,'Справочник соответствий'!A$2:D$2981,2,FALSE),IF(VALUE(C2148)=0,1,VLOOKUP(C2148,'Справочник соответствий'!A$2:D$2981,2,FALSE)))</f>
        <v>1</v>
      </c>
      <c r="J2148" s="3">
        <f>IFERROR(VLOOKUP(D2148,'Справочник соответствий'!A$2:D$2981,2,FALSE),IF(VALUE(D2148)=0,0,VLOOKUP(D2148,'Справочник соответствий'!A$2:D$2981,2,FALSE)))</f>
        <v>0</v>
      </c>
      <c r="K2148" s="3">
        <f t="shared" si="231"/>
        <v>1</v>
      </c>
      <c r="L2148" s="13" t="str">
        <f>IFERROR(VLOOKUP(C2148,'Справочник соответствий'!A$2:D$2981,3,FALSE),IF(VALUE(C2148)=0,"ЭТАЖ НЕ ОПРЕДЕЛЕН. ПРИНЯТ ПО ДОПУЩЕНИЮ 1",VLOOKUP(C2148,'Справочник соответствий'!A$2:D$2981,3,FALSE)))</f>
        <v>ЭТАЖ НЕ ОПРЕДЕЛЕН. ПРИНЯТ ПО ДОПУЩЕНИЮ 1</v>
      </c>
      <c r="M2148" s="13" t="b">
        <f t="shared" si="232"/>
        <v>0</v>
      </c>
      <c r="N2148" s="13">
        <f t="shared" si="233"/>
        <v>1</v>
      </c>
      <c r="O2148" s="13" t="str">
        <f t="shared" si="234"/>
        <v>ЭТАЖ НЕ ОПРЕДЕЛЕН. ПРИНЯТ ПО ДОПУЩЕНИЮ 1</v>
      </c>
      <c r="P2148" s="13" t="str">
        <f t="shared" si="235"/>
        <v>ЭТАЖ НЕ ОПРЕДЕЛЕН. ПРИНЯТ ПО ДОПУЩЕНИЮ 1</v>
      </c>
      <c r="Q2148" s="13" t="str">
        <f t="shared" si="236"/>
        <v>ГОТОВ_ИЗМЕНЕН</v>
      </c>
      <c r="R2148" s="13">
        <f>IFERROR(VLOOKUP(P2148,Лист1!A$1:B$20,2,FALSE),0)</f>
        <v>788</v>
      </c>
      <c r="S2148" s="13">
        <f t="shared" si="237"/>
        <v>0</v>
      </c>
    </row>
    <row r="2149" spans="1:19" x14ac:dyDescent="0.25">
      <c r="A2149" s="24" t="s">
        <v>3278</v>
      </c>
      <c r="B2149" s="4" t="s">
        <v>1059</v>
      </c>
      <c r="C2149" s="25" t="s">
        <v>7</v>
      </c>
      <c r="G2149" s="25" t="s">
        <v>1089</v>
      </c>
      <c r="H2149" s="24" t="s">
        <v>1061</v>
      </c>
      <c r="I2149" s="3" t="str">
        <f>IFERROR(VLOOKUP(C2149,'Справочник соответствий'!A$2:D$2981,2,FALSE),IF(VALUE(C2149)=0,1,VLOOKUP(C2149,'Справочник соответствий'!A$2:D$2981,2,FALSE)))</f>
        <v>2</v>
      </c>
      <c r="J2149" s="3">
        <f>IFERROR(VLOOKUP(D2149,'Справочник соответствий'!A$2:D$2981,2,FALSE),IF(VALUE(D2149)=0,0,VLOOKUP(D2149,'Справочник соответствий'!A$2:D$2981,2,FALSE)))</f>
        <v>0</v>
      </c>
      <c r="K2149" s="3" t="str">
        <f t="shared" si="231"/>
        <v>2</v>
      </c>
      <c r="L2149" s="13" t="str">
        <f>IFERROR(VLOOKUP(C2149,'Справочник соответствий'!A$2:D$2981,3,FALSE),IF(VALUE(C2149)=0,"ЭТАЖ НЕ ОПРЕДЕЛЕН. ПРИНЯТ ПО ДОПУЩЕНИЮ 1",VLOOKUP(C2149,'Справочник соответствий'!A$2:D$2981,3,FALSE)))</f>
        <v>ЭТАЖ ЗАДАН ЧИСЛОМ</v>
      </c>
      <c r="M2149" s="13" t="b">
        <f t="shared" si="232"/>
        <v>0</v>
      </c>
      <c r="N2149" s="13">
        <f t="shared" si="233"/>
        <v>2</v>
      </c>
      <c r="O2149" s="13" t="str">
        <f t="shared" si="234"/>
        <v>ЭТАЖ ЗАДАН ЧИСЛОМ</v>
      </c>
      <c r="P2149" s="13" t="str">
        <f t="shared" si="235"/>
        <v>ЭТАЖ ЗАДАН ЧИСЛОМ</v>
      </c>
      <c r="Q2149" s="13" t="str">
        <f t="shared" si="236"/>
        <v>ГОТОВ_ИЗМЕНЕН</v>
      </c>
      <c r="R2149" s="13">
        <f>IFERROR(VLOOKUP(P2149,Лист1!A$1:B$20,2,FALSE),0)</f>
        <v>784</v>
      </c>
      <c r="S2149" s="13">
        <f t="shared" si="237"/>
        <v>0</v>
      </c>
    </row>
    <row r="2150" spans="1:19" x14ac:dyDescent="0.25">
      <c r="A2150" s="24" t="s">
        <v>3279</v>
      </c>
      <c r="B2150" s="4" t="s">
        <v>1059</v>
      </c>
      <c r="G2150" s="25" t="s">
        <v>1108</v>
      </c>
      <c r="H2150" s="24" t="s">
        <v>1061</v>
      </c>
      <c r="I2150" s="3">
        <f>IFERROR(VLOOKUP(C2150,'Справочник соответствий'!A$2:D$2981,2,FALSE),IF(VALUE(C2150)=0,1,VLOOKUP(C2150,'Справочник соответствий'!A$2:D$2981,2,FALSE)))</f>
        <v>1</v>
      </c>
      <c r="J2150" s="3">
        <f>IFERROR(VLOOKUP(D2150,'Справочник соответствий'!A$2:D$2981,2,FALSE),IF(VALUE(D2150)=0,0,VLOOKUP(D2150,'Справочник соответствий'!A$2:D$2981,2,FALSE)))</f>
        <v>0</v>
      </c>
      <c r="K2150" s="3">
        <f t="shared" si="231"/>
        <v>1</v>
      </c>
      <c r="L2150" s="13" t="str">
        <f>IFERROR(VLOOKUP(C2150,'Справочник соответствий'!A$2:D$2981,3,FALSE),IF(VALUE(C2150)=0,"ЭТАЖ НЕ ОПРЕДЕЛЕН. ПРИНЯТ ПО ДОПУЩЕНИЮ 1",VLOOKUP(C2150,'Справочник соответствий'!A$2:D$2981,3,FALSE)))</f>
        <v>ЭТАЖ НЕ ОПРЕДЕЛЕН. ПРИНЯТ ПО ДОПУЩЕНИЮ 1</v>
      </c>
      <c r="M2150" s="13" t="b">
        <f t="shared" si="232"/>
        <v>0</v>
      </c>
      <c r="N2150" s="13">
        <f t="shared" si="233"/>
        <v>1</v>
      </c>
      <c r="O2150" s="13" t="str">
        <f t="shared" si="234"/>
        <v>ЭТАЖ НЕ ОПРЕДЕЛЕН. ПРИНЯТ ПО ДОПУЩЕНИЮ 1</v>
      </c>
      <c r="P2150" s="13" t="str">
        <f t="shared" si="235"/>
        <v>ЭТАЖ НЕ ОПРЕДЕЛЕН. ПРИНЯТ ПО ДОПУЩЕНИЮ 1</v>
      </c>
      <c r="Q2150" s="13" t="str">
        <f t="shared" si="236"/>
        <v>ГОТОВ_ИЗМЕНЕН</v>
      </c>
      <c r="R2150" s="13">
        <f>IFERROR(VLOOKUP(P2150,Лист1!A$1:B$20,2,FALSE),0)</f>
        <v>788</v>
      </c>
      <c r="S2150" s="13">
        <f t="shared" si="237"/>
        <v>0</v>
      </c>
    </row>
    <row r="2151" spans="1:19" x14ac:dyDescent="0.25">
      <c r="A2151" s="24" t="s">
        <v>3280</v>
      </c>
      <c r="B2151" s="4" t="s">
        <v>1059</v>
      </c>
      <c r="C2151" s="25" t="s">
        <v>5</v>
      </c>
      <c r="G2151" s="25" t="s">
        <v>1195</v>
      </c>
      <c r="H2151" s="24" t="s">
        <v>1061</v>
      </c>
      <c r="I2151" s="3" t="str">
        <f>IFERROR(VLOOKUP(C2151,'Справочник соответствий'!A$2:D$2981,2,FALSE),IF(VALUE(C2151)=0,1,VLOOKUP(C2151,'Справочник соответствий'!A$2:D$2981,2,FALSE)))</f>
        <v>1</v>
      </c>
      <c r="J2151" s="3">
        <f>IFERROR(VLOOKUP(D2151,'Справочник соответствий'!A$2:D$2981,2,FALSE),IF(VALUE(D2151)=0,0,VLOOKUP(D2151,'Справочник соответствий'!A$2:D$2981,2,FALSE)))</f>
        <v>0</v>
      </c>
      <c r="K2151" s="3" t="str">
        <f t="shared" si="231"/>
        <v>1</v>
      </c>
      <c r="L2151" s="13" t="str">
        <f>IFERROR(VLOOKUP(C2151,'Справочник соответствий'!A$2:D$2981,3,FALSE),IF(VALUE(C2151)=0,"ЭТАЖ НЕ ОПРЕДЕЛЕН. ПРИНЯТ ПО ДОПУЩЕНИЮ 1",VLOOKUP(C2151,'Справочник соответствий'!A$2:D$2981,3,FALSE)))</f>
        <v>ЭТАЖ ЗАДАН ЧИСЛОМ</v>
      </c>
      <c r="M2151" s="13" t="b">
        <f t="shared" si="232"/>
        <v>0</v>
      </c>
      <c r="N2151" s="13">
        <f t="shared" si="233"/>
        <v>1</v>
      </c>
      <c r="O2151" s="13" t="str">
        <f t="shared" si="234"/>
        <v>ЭТАЖ ЗАДАН ЧИСЛОМ</v>
      </c>
      <c r="P2151" s="13" t="str">
        <f t="shared" si="235"/>
        <v>ЭТАЖ ЗАДАН ЧИСЛОМ</v>
      </c>
      <c r="Q2151" s="13" t="str">
        <f t="shared" si="236"/>
        <v>ГОТОВ_ИЗМЕНЕН</v>
      </c>
      <c r="R2151" s="13">
        <f>IFERROR(VLOOKUP(P2151,Лист1!A$1:B$20,2,FALSE),0)</f>
        <v>784</v>
      </c>
      <c r="S2151" s="13">
        <f t="shared" si="237"/>
        <v>0</v>
      </c>
    </row>
    <row r="2152" spans="1:19" x14ac:dyDescent="0.25">
      <c r="A2152" s="24" t="s">
        <v>3281</v>
      </c>
      <c r="B2152" s="4" t="s">
        <v>1059</v>
      </c>
      <c r="C2152" s="25" t="s">
        <v>5</v>
      </c>
      <c r="G2152" s="25" t="s">
        <v>1195</v>
      </c>
      <c r="H2152" s="24" t="s">
        <v>1061</v>
      </c>
      <c r="I2152" s="3" t="str">
        <f>IFERROR(VLOOKUP(C2152,'Справочник соответствий'!A$2:D$2981,2,FALSE),IF(VALUE(C2152)=0,1,VLOOKUP(C2152,'Справочник соответствий'!A$2:D$2981,2,FALSE)))</f>
        <v>1</v>
      </c>
      <c r="J2152" s="3">
        <f>IFERROR(VLOOKUP(D2152,'Справочник соответствий'!A$2:D$2981,2,FALSE),IF(VALUE(D2152)=0,0,VLOOKUP(D2152,'Справочник соответствий'!A$2:D$2981,2,FALSE)))</f>
        <v>0</v>
      </c>
      <c r="K2152" s="3" t="str">
        <f t="shared" si="231"/>
        <v>1</v>
      </c>
      <c r="L2152" s="13" t="str">
        <f>IFERROR(VLOOKUP(C2152,'Справочник соответствий'!A$2:D$2981,3,FALSE),IF(VALUE(C2152)=0,"ЭТАЖ НЕ ОПРЕДЕЛЕН. ПРИНЯТ ПО ДОПУЩЕНИЮ 1",VLOOKUP(C2152,'Справочник соответствий'!A$2:D$2981,3,FALSE)))</f>
        <v>ЭТАЖ ЗАДАН ЧИСЛОМ</v>
      </c>
      <c r="M2152" s="13" t="b">
        <f t="shared" si="232"/>
        <v>0</v>
      </c>
      <c r="N2152" s="13">
        <f t="shared" si="233"/>
        <v>1</v>
      </c>
      <c r="O2152" s="13" t="str">
        <f t="shared" si="234"/>
        <v>ЭТАЖ ЗАДАН ЧИСЛОМ</v>
      </c>
      <c r="P2152" s="13" t="str">
        <f t="shared" si="235"/>
        <v>ЭТАЖ ЗАДАН ЧИСЛОМ</v>
      </c>
      <c r="Q2152" s="13" t="str">
        <f t="shared" si="236"/>
        <v>ГОТОВ_ИЗМЕНЕН</v>
      </c>
      <c r="R2152" s="13">
        <f>IFERROR(VLOOKUP(P2152,Лист1!A$1:B$20,2,FALSE),0)</f>
        <v>784</v>
      </c>
      <c r="S2152" s="13">
        <f t="shared" si="237"/>
        <v>0</v>
      </c>
    </row>
    <row r="2153" spans="1:19" x14ac:dyDescent="0.25">
      <c r="A2153" s="24" t="s">
        <v>3282</v>
      </c>
      <c r="B2153" s="4" t="s">
        <v>1059</v>
      </c>
      <c r="C2153" s="25" t="s">
        <v>5</v>
      </c>
      <c r="G2153" s="25" t="s">
        <v>1195</v>
      </c>
      <c r="H2153" s="24" t="s">
        <v>1061</v>
      </c>
      <c r="I2153" s="3" t="str">
        <f>IFERROR(VLOOKUP(C2153,'Справочник соответствий'!A$2:D$2981,2,FALSE),IF(VALUE(C2153)=0,1,VLOOKUP(C2153,'Справочник соответствий'!A$2:D$2981,2,FALSE)))</f>
        <v>1</v>
      </c>
      <c r="J2153" s="3">
        <f>IFERROR(VLOOKUP(D2153,'Справочник соответствий'!A$2:D$2981,2,FALSE),IF(VALUE(D2153)=0,0,VLOOKUP(D2153,'Справочник соответствий'!A$2:D$2981,2,FALSE)))</f>
        <v>0</v>
      </c>
      <c r="K2153" s="3" t="str">
        <f t="shared" si="231"/>
        <v>1</v>
      </c>
      <c r="L2153" s="13" t="str">
        <f>IFERROR(VLOOKUP(C2153,'Справочник соответствий'!A$2:D$2981,3,FALSE),IF(VALUE(C2153)=0,"ЭТАЖ НЕ ОПРЕДЕЛЕН. ПРИНЯТ ПО ДОПУЩЕНИЮ 1",VLOOKUP(C2153,'Справочник соответствий'!A$2:D$2981,3,FALSE)))</f>
        <v>ЭТАЖ ЗАДАН ЧИСЛОМ</v>
      </c>
      <c r="M2153" s="13" t="b">
        <f t="shared" si="232"/>
        <v>0</v>
      </c>
      <c r="N2153" s="13">
        <f t="shared" si="233"/>
        <v>1</v>
      </c>
      <c r="O2153" s="13" t="str">
        <f t="shared" si="234"/>
        <v>ЭТАЖ ЗАДАН ЧИСЛОМ</v>
      </c>
      <c r="P2153" s="13" t="str">
        <f t="shared" si="235"/>
        <v>ЭТАЖ ЗАДАН ЧИСЛОМ</v>
      </c>
      <c r="Q2153" s="13" t="str">
        <f t="shared" si="236"/>
        <v>ГОТОВ_ИЗМЕНЕН</v>
      </c>
      <c r="R2153" s="13">
        <f>IFERROR(VLOOKUP(P2153,Лист1!A$1:B$20,2,FALSE),0)</f>
        <v>784</v>
      </c>
      <c r="S2153" s="13">
        <f t="shared" si="237"/>
        <v>0</v>
      </c>
    </row>
    <row r="2154" spans="1:19" x14ac:dyDescent="0.25">
      <c r="A2154" s="24" t="s">
        <v>3283</v>
      </c>
      <c r="B2154" s="4" t="s">
        <v>1059</v>
      </c>
      <c r="C2154" s="25" t="s">
        <v>8</v>
      </c>
      <c r="G2154" s="25" t="s">
        <v>1195</v>
      </c>
      <c r="H2154" s="24" t="s">
        <v>1061</v>
      </c>
      <c r="I2154" s="3" t="str">
        <f>IFERROR(VLOOKUP(C2154,'Справочник соответствий'!A$2:D$2981,2,FALSE),IF(VALUE(C2154)=0,1,VLOOKUP(C2154,'Справочник соответствий'!A$2:D$2981,2,FALSE)))</f>
        <v>3</v>
      </c>
      <c r="J2154" s="3">
        <f>IFERROR(VLOOKUP(D2154,'Справочник соответствий'!A$2:D$2981,2,FALSE),IF(VALUE(D2154)=0,0,VLOOKUP(D2154,'Справочник соответствий'!A$2:D$2981,2,FALSE)))</f>
        <v>0</v>
      </c>
      <c r="K2154" s="3" t="str">
        <f t="shared" si="231"/>
        <v>3</v>
      </c>
      <c r="L2154" s="13" t="str">
        <f>IFERROR(VLOOKUP(C2154,'Справочник соответствий'!A$2:D$2981,3,FALSE),IF(VALUE(C2154)=0,"ЭТАЖ НЕ ОПРЕДЕЛЕН. ПРИНЯТ ПО ДОПУЩЕНИЮ 1",VLOOKUP(C2154,'Справочник соответствий'!A$2:D$2981,3,FALSE)))</f>
        <v>ЭТАЖ ЗАДАН ЧИСЛОМ</v>
      </c>
      <c r="M2154" s="13" t="b">
        <f t="shared" si="232"/>
        <v>0</v>
      </c>
      <c r="N2154" s="13">
        <f t="shared" si="233"/>
        <v>3</v>
      </c>
      <c r="O2154" s="13" t="str">
        <f t="shared" si="234"/>
        <v>ЭТАЖ ЗАДАН ЧИСЛОМ</v>
      </c>
      <c r="P2154" s="13" t="str">
        <f t="shared" si="235"/>
        <v>ЭТАЖ ЗАДАН ЧИСЛОМ</v>
      </c>
      <c r="Q2154" s="13" t="str">
        <f t="shared" si="236"/>
        <v>ГОТОВ_ИЗМЕНЕН</v>
      </c>
      <c r="R2154" s="13">
        <f>IFERROR(VLOOKUP(P2154,Лист1!A$1:B$20,2,FALSE),0)</f>
        <v>784</v>
      </c>
      <c r="S2154" s="13">
        <f t="shared" si="237"/>
        <v>0</v>
      </c>
    </row>
    <row r="2155" spans="1:19" x14ac:dyDescent="0.25">
      <c r="A2155" s="24" t="s">
        <v>3284</v>
      </c>
      <c r="B2155" s="4" t="s">
        <v>1063</v>
      </c>
      <c r="C2155" s="25" t="s">
        <v>5</v>
      </c>
      <c r="G2155" s="25" t="s">
        <v>1195</v>
      </c>
      <c r="H2155" s="24" t="s">
        <v>1061</v>
      </c>
      <c r="I2155" s="3" t="str">
        <f>IFERROR(VLOOKUP(C2155,'Справочник соответствий'!A$2:D$2981,2,FALSE),IF(VALUE(C2155)=0,1,VLOOKUP(C2155,'Справочник соответствий'!A$2:D$2981,2,FALSE)))</f>
        <v>1</v>
      </c>
      <c r="J2155" s="3">
        <f>IFERROR(VLOOKUP(D2155,'Справочник соответствий'!A$2:D$2981,2,FALSE),IF(VALUE(D2155)=0,0,VLOOKUP(D2155,'Справочник соответствий'!A$2:D$2981,2,FALSE)))</f>
        <v>0</v>
      </c>
      <c r="K2155" s="3" t="str">
        <f t="shared" si="231"/>
        <v>1</v>
      </c>
      <c r="L2155" s="13" t="str">
        <f>IFERROR(VLOOKUP(C2155,'Справочник соответствий'!A$2:D$2981,3,FALSE),IF(VALUE(C2155)=0,"ЭТАЖ НЕ ОПРЕДЕЛЕН. ПРИНЯТ ПО ДОПУЩЕНИЮ 1",VLOOKUP(C2155,'Справочник соответствий'!A$2:D$2981,3,FALSE)))</f>
        <v>ЭТАЖ ЗАДАН ЧИСЛОМ</v>
      </c>
      <c r="M2155" s="13" t="b">
        <f t="shared" si="232"/>
        <v>0</v>
      </c>
      <c r="N2155" s="13">
        <f t="shared" si="233"/>
        <v>1</v>
      </c>
      <c r="O2155" s="13" t="str">
        <f t="shared" si="234"/>
        <v>ЭТАЖ ЗАДАН ЧИСЛОМ</v>
      </c>
      <c r="P2155" s="13" t="str">
        <f t="shared" si="235"/>
        <v>ЭТАЖ ЗАДАН ЧИСЛОМ</v>
      </c>
      <c r="Q2155" s="13" t="str">
        <f t="shared" si="236"/>
        <v>ГОТОВ_ИЗМЕНЕН</v>
      </c>
      <c r="R2155" s="13">
        <f>IFERROR(VLOOKUP(P2155,Лист1!A$1:B$20,2,FALSE),0)</f>
        <v>784</v>
      </c>
      <c r="S2155" s="13">
        <f t="shared" si="237"/>
        <v>0</v>
      </c>
    </row>
    <row r="2156" spans="1:19" x14ac:dyDescent="0.25">
      <c r="A2156" s="24" t="s">
        <v>3285</v>
      </c>
      <c r="B2156" s="4" t="s">
        <v>1063</v>
      </c>
      <c r="C2156" s="25" t="s">
        <v>5</v>
      </c>
      <c r="D2156" s="25" t="s">
        <v>24</v>
      </c>
      <c r="G2156" s="25" t="s">
        <v>1195</v>
      </c>
      <c r="H2156" s="24" t="s">
        <v>1061</v>
      </c>
      <c r="I2156" s="3" t="str">
        <f>IFERROR(VLOOKUP(C2156,'Справочник соответствий'!A$2:D$2981,2,FALSE),IF(VALUE(C2156)=0,1,VLOOKUP(C2156,'Справочник соответствий'!A$2:D$2981,2,FALSE)))</f>
        <v>1</v>
      </c>
      <c r="J2156" s="3" t="str">
        <f>IFERROR(VLOOKUP(D2156,'Справочник соответствий'!A$2:D$2981,2,FALSE),IF(VALUE(D2156)=0,0,VLOOKUP(D2156,'Справочник соответствий'!A$2:D$2981,2,FALSE)))</f>
        <v>1</v>
      </c>
      <c r="K2156" s="3" t="str">
        <f t="shared" si="231"/>
        <v>1</v>
      </c>
      <c r="L2156" s="13" t="str">
        <f>IFERROR(VLOOKUP(C2156,'Справочник соответствий'!A$2:D$2981,3,FALSE),IF(VALUE(C2156)=0,"ЭТАЖ НЕ ОПРЕДЕЛЕН. ПРИНЯТ ПО ДОПУЩЕНИЮ 1",VLOOKUP(C2156,'Справочник соответствий'!A$2:D$2981,3,FALSE)))</f>
        <v>ЭТАЖ ЗАДАН ЧИСЛОМ</v>
      </c>
      <c r="M2156" s="13" t="b">
        <f t="shared" si="232"/>
        <v>0</v>
      </c>
      <c r="N2156" s="13">
        <f t="shared" si="233"/>
        <v>1</v>
      </c>
      <c r="O2156" s="13" t="str">
        <f t="shared" si="234"/>
        <v>ЭТАЖ ЗАДАН ЧИСЛОМ</v>
      </c>
      <c r="P2156" s="13" t="str">
        <f t="shared" si="235"/>
        <v>ЭТАЖ ЗАДАН ЧИСЛОМ</v>
      </c>
      <c r="Q2156" s="13" t="str">
        <f t="shared" si="236"/>
        <v>ГОТОВ_ИЗМЕНЕН</v>
      </c>
      <c r="R2156" s="13">
        <f>IFERROR(VLOOKUP(P2156,Лист1!A$1:B$20,2,FALSE),0)</f>
        <v>784</v>
      </c>
      <c r="S2156" s="13">
        <f t="shared" si="237"/>
        <v>0</v>
      </c>
    </row>
    <row r="2157" spans="1:19" x14ac:dyDescent="0.25">
      <c r="A2157" s="24" t="s">
        <v>3286</v>
      </c>
      <c r="B2157" s="4" t="s">
        <v>1063</v>
      </c>
      <c r="C2157" s="25" t="s">
        <v>5</v>
      </c>
      <c r="G2157" s="25" t="s">
        <v>1203</v>
      </c>
      <c r="H2157" s="24" t="s">
        <v>1061</v>
      </c>
      <c r="I2157" s="3" t="str">
        <f>IFERROR(VLOOKUP(C2157,'Справочник соответствий'!A$2:D$2981,2,FALSE),IF(VALUE(C2157)=0,1,VLOOKUP(C2157,'Справочник соответствий'!A$2:D$2981,2,FALSE)))</f>
        <v>1</v>
      </c>
      <c r="J2157" s="3">
        <f>IFERROR(VLOOKUP(D2157,'Справочник соответствий'!A$2:D$2981,2,FALSE),IF(VALUE(D2157)=0,0,VLOOKUP(D2157,'Справочник соответствий'!A$2:D$2981,2,FALSE)))</f>
        <v>0</v>
      </c>
      <c r="K2157" s="3" t="str">
        <f t="shared" si="231"/>
        <v>1</v>
      </c>
      <c r="L2157" s="13" t="str">
        <f>IFERROR(VLOOKUP(C2157,'Справочник соответствий'!A$2:D$2981,3,FALSE),IF(VALUE(C2157)=0,"ЭТАЖ НЕ ОПРЕДЕЛЕН. ПРИНЯТ ПО ДОПУЩЕНИЮ 1",VLOOKUP(C2157,'Справочник соответствий'!A$2:D$2981,3,FALSE)))</f>
        <v>ЭТАЖ ЗАДАН ЧИСЛОМ</v>
      </c>
      <c r="M2157" s="13" t="b">
        <f t="shared" si="232"/>
        <v>0</v>
      </c>
      <c r="N2157" s="13">
        <f t="shared" si="233"/>
        <v>1</v>
      </c>
      <c r="O2157" s="13" t="str">
        <f t="shared" si="234"/>
        <v>ЭТАЖ ЗАДАН ЧИСЛОМ</v>
      </c>
      <c r="P2157" s="13" t="str">
        <f t="shared" si="235"/>
        <v>ЭТАЖ ЗАДАН ЧИСЛОМ</v>
      </c>
      <c r="Q2157" s="13" t="str">
        <f t="shared" si="236"/>
        <v>ГОТОВ_ИЗМЕНЕН</v>
      </c>
      <c r="R2157" s="13">
        <f>IFERROR(VLOOKUP(P2157,Лист1!A$1:B$20,2,FALSE),0)</f>
        <v>784</v>
      </c>
      <c r="S2157" s="13">
        <f t="shared" si="237"/>
        <v>0</v>
      </c>
    </row>
    <row r="2158" spans="1:19" x14ac:dyDescent="0.25">
      <c r="A2158" s="24" t="s">
        <v>3287</v>
      </c>
      <c r="B2158" s="4" t="s">
        <v>1059</v>
      </c>
      <c r="C2158" s="25" t="s">
        <v>7</v>
      </c>
      <c r="D2158" s="25" t="s">
        <v>69</v>
      </c>
      <c r="G2158" s="25" t="s">
        <v>1205</v>
      </c>
      <c r="H2158" s="24" t="s">
        <v>1061</v>
      </c>
      <c r="I2158" s="3" t="str">
        <f>IFERROR(VLOOKUP(C2158,'Справочник соответствий'!A$2:D$2981,2,FALSE),IF(VALUE(C2158)=0,1,VLOOKUP(C2158,'Справочник соответствий'!A$2:D$2981,2,FALSE)))</f>
        <v>2</v>
      </c>
      <c r="J2158" s="3" t="str">
        <f>IFERROR(VLOOKUP(D2158,'Справочник соответствий'!A$2:D$2981,2,FALSE),IF(VALUE(D2158)=0,0,VLOOKUP(D2158,'Справочник соответствий'!A$2:D$2981,2,FALSE)))</f>
        <v>1</v>
      </c>
      <c r="K2158" s="3" t="str">
        <f t="shared" si="231"/>
        <v>2</v>
      </c>
      <c r="L2158" s="13" t="str">
        <f>IFERROR(VLOOKUP(C2158,'Справочник соответствий'!A$2:D$2981,3,FALSE),IF(VALUE(C2158)=0,"ЭТАЖ НЕ ОПРЕДЕЛЕН. ПРИНЯТ ПО ДОПУЩЕНИЮ 1",VLOOKUP(C2158,'Справочник соответствий'!A$2:D$2981,3,FALSE)))</f>
        <v>ЭТАЖ ЗАДАН ЧИСЛОМ</v>
      </c>
      <c r="M2158" s="13" t="b">
        <f t="shared" si="232"/>
        <v>0</v>
      </c>
      <c r="N2158" s="13">
        <f t="shared" si="233"/>
        <v>2</v>
      </c>
      <c r="O2158" s="13" t="str">
        <f t="shared" si="234"/>
        <v>ЭТАЖ ЗАДАН ЧИСЛОМ</v>
      </c>
      <c r="P2158" s="13" t="str">
        <f t="shared" si="235"/>
        <v>ЭТАЖ ЗАДАН ЧИСЛОМ</v>
      </c>
      <c r="Q2158" s="13" t="str">
        <f t="shared" si="236"/>
        <v>ГОТОВ_ИЗМЕНЕН</v>
      </c>
      <c r="R2158" s="13">
        <f>IFERROR(VLOOKUP(P2158,Лист1!A$1:B$20,2,FALSE),0)</f>
        <v>784</v>
      </c>
      <c r="S2158" s="13">
        <f t="shared" si="237"/>
        <v>0</v>
      </c>
    </row>
    <row r="2159" spans="1:19" x14ac:dyDescent="0.25">
      <c r="A2159" s="24" t="s">
        <v>3288</v>
      </c>
      <c r="B2159" s="4" t="s">
        <v>1059</v>
      </c>
      <c r="C2159" s="25" t="s">
        <v>7</v>
      </c>
      <c r="G2159" s="25" t="s">
        <v>1205</v>
      </c>
      <c r="H2159" s="24" t="s">
        <v>1061</v>
      </c>
      <c r="I2159" s="3" t="str">
        <f>IFERROR(VLOOKUP(C2159,'Справочник соответствий'!A$2:D$2981,2,FALSE),IF(VALUE(C2159)=0,1,VLOOKUP(C2159,'Справочник соответствий'!A$2:D$2981,2,FALSE)))</f>
        <v>2</v>
      </c>
      <c r="J2159" s="3">
        <f>IFERROR(VLOOKUP(D2159,'Справочник соответствий'!A$2:D$2981,2,FALSE),IF(VALUE(D2159)=0,0,VLOOKUP(D2159,'Справочник соответствий'!A$2:D$2981,2,FALSE)))</f>
        <v>0</v>
      </c>
      <c r="K2159" s="3" t="str">
        <f t="shared" si="231"/>
        <v>2</v>
      </c>
      <c r="L2159" s="13" t="str">
        <f>IFERROR(VLOOKUP(C2159,'Справочник соответствий'!A$2:D$2981,3,FALSE),IF(VALUE(C2159)=0,"ЭТАЖ НЕ ОПРЕДЕЛЕН. ПРИНЯТ ПО ДОПУЩЕНИЮ 1",VLOOKUP(C2159,'Справочник соответствий'!A$2:D$2981,3,FALSE)))</f>
        <v>ЭТАЖ ЗАДАН ЧИСЛОМ</v>
      </c>
      <c r="M2159" s="13" t="b">
        <f t="shared" si="232"/>
        <v>0</v>
      </c>
      <c r="N2159" s="13">
        <f t="shared" si="233"/>
        <v>2</v>
      </c>
      <c r="O2159" s="13" t="str">
        <f t="shared" si="234"/>
        <v>ЭТАЖ ЗАДАН ЧИСЛОМ</v>
      </c>
      <c r="P2159" s="13" t="str">
        <f t="shared" si="235"/>
        <v>ЭТАЖ ЗАДАН ЧИСЛОМ</v>
      </c>
      <c r="Q2159" s="13" t="str">
        <f t="shared" si="236"/>
        <v>ГОТОВ_ИЗМЕНЕН</v>
      </c>
      <c r="R2159" s="13">
        <f>IFERROR(VLOOKUP(P2159,Лист1!A$1:B$20,2,FALSE),0)</f>
        <v>784</v>
      </c>
      <c r="S2159" s="13">
        <f t="shared" si="237"/>
        <v>0</v>
      </c>
    </row>
    <row r="2160" spans="1:19" x14ac:dyDescent="0.25">
      <c r="A2160" s="24" t="s">
        <v>3289</v>
      </c>
      <c r="B2160" s="4" t="s">
        <v>1059</v>
      </c>
      <c r="C2160" s="25" t="s">
        <v>5</v>
      </c>
      <c r="G2160" s="25" t="s">
        <v>1205</v>
      </c>
      <c r="H2160" s="24" t="s">
        <v>1061</v>
      </c>
      <c r="I2160" s="3" t="str">
        <f>IFERROR(VLOOKUP(C2160,'Справочник соответствий'!A$2:D$2981,2,FALSE),IF(VALUE(C2160)=0,1,VLOOKUP(C2160,'Справочник соответствий'!A$2:D$2981,2,FALSE)))</f>
        <v>1</v>
      </c>
      <c r="J2160" s="3">
        <f>IFERROR(VLOOKUP(D2160,'Справочник соответствий'!A$2:D$2981,2,FALSE),IF(VALUE(D2160)=0,0,VLOOKUP(D2160,'Справочник соответствий'!A$2:D$2981,2,FALSE)))</f>
        <v>0</v>
      </c>
      <c r="K2160" s="3" t="str">
        <f t="shared" si="231"/>
        <v>1</v>
      </c>
      <c r="L2160" s="13" t="str">
        <f>IFERROR(VLOOKUP(C2160,'Справочник соответствий'!A$2:D$2981,3,FALSE),IF(VALUE(C2160)=0,"ЭТАЖ НЕ ОПРЕДЕЛЕН. ПРИНЯТ ПО ДОПУЩЕНИЮ 1",VLOOKUP(C2160,'Справочник соответствий'!A$2:D$2981,3,FALSE)))</f>
        <v>ЭТАЖ ЗАДАН ЧИСЛОМ</v>
      </c>
      <c r="M2160" s="13" t="b">
        <f t="shared" si="232"/>
        <v>0</v>
      </c>
      <c r="N2160" s="13">
        <f t="shared" si="233"/>
        <v>1</v>
      </c>
      <c r="O2160" s="13" t="str">
        <f t="shared" si="234"/>
        <v>ЭТАЖ ЗАДАН ЧИСЛОМ</v>
      </c>
      <c r="P2160" s="13" t="str">
        <f t="shared" si="235"/>
        <v>ЭТАЖ ЗАДАН ЧИСЛОМ</v>
      </c>
      <c r="Q2160" s="13" t="str">
        <f t="shared" si="236"/>
        <v>ГОТОВ_ИЗМЕНЕН</v>
      </c>
      <c r="R2160" s="13">
        <f>IFERROR(VLOOKUP(P2160,Лист1!A$1:B$20,2,FALSE),0)</f>
        <v>784</v>
      </c>
      <c r="S2160" s="13">
        <f t="shared" si="237"/>
        <v>0</v>
      </c>
    </row>
    <row r="2161" spans="1:19" x14ac:dyDescent="0.25">
      <c r="A2161" s="24" t="s">
        <v>3290</v>
      </c>
      <c r="B2161" s="4" t="s">
        <v>1063</v>
      </c>
      <c r="G2161" s="25" t="s">
        <v>1072</v>
      </c>
      <c r="H2161" s="24" t="s">
        <v>1061</v>
      </c>
      <c r="I2161" s="3">
        <f>IFERROR(VLOOKUP(C2161,'Справочник соответствий'!A$2:D$2981,2,FALSE),IF(VALUE(C2161)=0,1,VLOOKUP(C2161,'Справочник соответствий'!A$2:D$2981,2,FALSE)))</f>
        <v>1</v>
      </c>
      <c r="J2161" s="3">
        <f>IFERROR(VLOOKUP(D2161,'Справочник соответствий'!A$2:D$2981,2,FALSE),IF(VALUE(D2161)=0,0,VLOOKUP(D2161,'Справочник соответствий'!A$2:D$2981,2,FALSE)))</f>
        <v>0</v>
      </c>
      <c r="K2161" s="3">
        <f t="shared" si="231"/>
        <v>1</v>
      </c>
      <c r="L2161" s="13" t="str">
        <f>IFERROR(VLOOKUP(C2161,'Справочник соответствий'!A$2:D$2981,3,FALSE),IF(VALUE(C2161)=0,"ЭТАЖ НЕ ОПРЕДЕЛЕН. ПРИНЯТ ПО ДОПУЩЕНИЮ 1",VLOOKUP(C2161,'Справочник соответствий'!A$2:D$2981,3,FALSE)))</f>
        <v>ЭТАЖ НЕ ОПРЕДЕЛЕН. ПРИНЯТ ПО ДОПУЩЕНИЮ 1</v>
      </c>
      <c r="M2161" s="13" t="b">
        <f t="shared" si="232"/>
        <v>0</v>
      </c>
      <c r="N2161" s="13">
        <f t="shared" si="233"/>
        <v>1</v>
      </c>
      <c r="O2161" s="13" t="str">
        <f t="shared" si="234"/>
        <v>ЭТАЖ НЕ ОПРЕДЕЛЕН. ПРИНЯТ ПО ДОПУЩЕНИЮ 1</v>
      </c>
      <c r="P2161" s="13" t="str">
        <f t="shared" si="235"/>
        <v>ЭТАЖ НЕ ОПРЕДЕЛЕН. ПРИНЯТ ПО ДОПУЩЕНИЮ 1</v>
      </c>
      <c r="Q2161" s="13" t="str">
        <f t="shared" si="236"/>
        <v>ГОТОВ_ИЗМЕНЕН</v>
      </c>
      <c r="R2161" s="13">
        <f>IFERROR(VLOOKUP(P2161,Лист1!A$1:B$20,2,FALSE),0)</f>
        <v>788</v>
      </c>
      <c r="S2161" s="13">
        <f t="shared" si="237"/>
        <v>0</v>
      </c>
    </row>
    <row r="2162" spans="1:19" x14ac:dyDescent="0.25">
      <c r="A2162" s="24" t="s">
        <v>3291</v>
      </c>
      <c r="B2162" s="4" t="s">
        <v>1059</v>
      </c>
      <c r="C2162" s="25" t="s">
        <v>7</v>
      </c>
      <c r="G2162" s="25" t="s">
        <v>1205</v>
      </c>
      <c r="H2162" s="24" t="s">
        <v>1061</v>
      </c>
      <c r="I2162" s="3" t="str">
        <f>IFERROR(VLOOKUP(C2162,'Справочник соответствий'!A$2:D$2981,2,FALSE),IF(VALUE(C2162)=0,1,VLOOKUP(C2162,'Справочник соответствий'!A$2:D$2981,2,FALSE)))</f>
        <v>2</v>
      </c>
      <c r="J2162" s="3">
        <f>IFERROR(VLOOKUP(D2162,'Справочник соответствий'!A$2:D$2981,2,FALSE),IF(VALUE(D2162)=0,0,VLOOKUP(D2162,'Справочник соответствий'!A$2:D$2981,2,FALSE)))</f>
        <v>0</v>
      </c>
      <c r="K2162" s="3" t="str">
        <f t="shared" si="231"/>
        <v>2</v>
      </c>
      <c r="L2162" s="13" t="str">
        <f>IFERROR(VLOOKUP(C2162,'Справочник соответствий'!A$2:D$2981,3,FALSE),IF(VALUE(C2162)=0,"ЭТАЖ НЕ ОПРЕДЕЛЕН. ПРИНЯТ ПО ДОПУЩЕНИЮ 1",VLOOKUP(C2162,'Справочник соответствий'!A$2:D$2981,3,FALSE)))</f>
        <v>ЭТАЖ ЗАДАН ЧИСЛОМ</v>
      </c>
      <c r="M2162" s="13" t="b">
        <f t="shared" si="232"/>
        <v>0</v>
      </c>
      <c r="N2162" s="13">
        <f t="shared" si="233"/>
        <v>2</v>
      </c>
      <c r="O2162" s="13" t="str">
        <f t="shared" si="234"/>
        <v>ЭТАЖ ЗАДАН ЧИСЛОМ</v>
      </c>
      <c r="P2162" s="13" t="str">
        <f t="shared" si="235"/>
        <v>ЭТАЖ ЗАДАН ЧИСЛОМ</v>
      </c>
      <c r="Q2162" s="13" t="str">
        <f t="shared" si="236"/>
        <v>ГОТОВ_ИЗМЕНЕН</v>
      </c>
      <c r="R2162" s="13">
        <f>IFERROR(VLOOKUP(P2162,Лист1!A$1:B$20,2,FALSE),0)</f>
        <v>784</v>
      </c>
      <c r="S2162" s="13">
        <f t="shared" si="237"/>
        <v>0</v>
      </c>
    </row>
    <row r="2163" spans="1:19" x14ac:dyDescent="0.25">
      <c r="A2163" s="24" t="s">
        <v>3292</v>
      </c>
      <c r="B2163" s="4" t="s">
        <v>1059</v>
      </c>
      <c r="C2163" s="25" t="s">
        <v>8</v>
      </c>
      <c r="D2163" s="25" t="s">
        <v>5</v>
      </c>
      <c r="G2163" s="25" t="s">
        <v>1205</v>
      </c>
      <c r="H2163" s="24" t="s">
        <v>1061</v>
      </c>
      <c r="I2163" s="3" t="str">
        <f>IFERROR(VLOOKUP(C2163,'Справочник соответствий'!A$2:D$2981,2,FALSE),IF(VALUE(C2163)=0,1,VLOOKUP(C2163,'Справочник соответствий'!A$2:D$2981,2,FALSE)))</f>
        <v>3</v>
      </c>
      <c r="J2163" s="3" t="str">
        <f>IFERROR(VLOOKUP(D2163,'Справочник соответствий'!A$2:D$2981,2,FALSE),IF(VALUE(D2163)=0,0,VLOOKUP(D2163,'Справочник соответствий'!A$2:D$2981,2,FALSE)))</f>
        <v>1</v>
      </c>
      <c r="K2163" s="3" t="str">
        <f t="shared" si="231"/>
        <v>3</v>
      </c>
      <c r="L2163" s="13" t="str">
        <f>IFERROR(VLOOKUP(C2163,'Справочник соответствий'!A$2:D$2981,3,FALSE),IF(VALUE(C2163)=0,"ЭТАЖ НЕ ОПРЕДЕЛЕН. ПРИНЯТ ПО ДОПУЩЕНИЮ 1",VLOOKUP(C2163,'Справочник соответствий'!A$2:D$2981,3,FALSE)))</f>
        <v>ЭТАЖ ЗАДАН ЧИСЛОМ</v>
      </c>
      <c r="M2163" s="13" t="b">
        <f t="shared" si="232"/>
        <v>0</v>
      </c>
      <c r="N2163" s="13">
        <f t="shared" si="233"/>
        <v>3</v>
      </c>
      <c r="O2163" s="13" t="str">
        <f t="shared" si="234"/>
        <v>ЭТАЖ ЗАДАН ЧИСЛОМ</v>
      </c>
      <c r="P2163" s="13" t="str">
        <f t="shared" si="235"/>
        <v>ЭТАЖ ЗАДАН ЧИСЛОМ</v>
      </c>
      <c r="Q2163" s="13" t="str">
        <f t="shared" si="236"/>
        <v>ГОТОВ_ИЗМЕНЕН</v>
      </c>
      <c r="R2163" s="13">
        <f>IFERROR(VLOOKUP(P2163,Лист1!A$1:B$20,2,FALSE),0)</f>
        <v>784</v>
      </c>
      <c r="S2163" s="13">
        <f t="shared" si="237"/>
        <v>0</v>
      </c>
    </row>
    <row r="2164" spans="1:19" x14ac:dyDescent="0.25">
      <c r="A2164" s="24" t="s">
        <v>3293</v>
      </c>
      <c r="B2164" s="4" t="s">
        <v>1059</v>
      </c>
      <c r="C2164" s="25" t="s">
        <v>7</v>
      </c>
      <c r="D2164" s="25" t="s">
        <v>5</v>
      </c>
      <c r="G2164" s="25" t="s">
        <v>1205</v>
      </c>
      <c r="H2164" s="24" t="s">
        <v>1061</v>
      </c>
      <c r="I2164" s="3" t="str">
        <f>IFERROR(VLOOKUP(C2164,'Справочник соответствий'!A$2:D$2981,2,FALSE),IF(VALUE(C2164)=0,1,VLOOKUP(C2164,'Справочник соответствий'!A$2:D$2981,2,FALSE)))</f>
        <v>2</v>
      </c>
      <c r="J2164" s="3" t="str">
        <f>IFERROR(VLOOKUP(D2164,'Справочник соответствий'!A$2:D$2981,2,FALSE),IF(VALUE(D2164)=0,0,VLOOKUP(D2164,'Справочник соответствий'!A$2:D$2981,2,FALSE)))</f>
        <v>1</v>
      </c>
      <c r="K2164" s="3" t="str">
        <f t="shared" si="231"/>
        <v>2</v>
      </c>
      <c r="L2164" s="13" t="str">
        <f>IFERROR(VLOOKUP(C2164,'Справочник соответствий'!A$2:D$2981,3,FALSE),IF(VALUE(C2164)=0,"ЭТАЖ НЕ ОПРЕДЕЛЕН. ПРИНЯТ ПО ДОПУЩЕНИЮ 1",VLOOKUP(C2164,'Справочник соответствий'!A$2:D$2981,3,FALSE)))</f>
        <v>ЭТАЖ ЗАДАН ЧИСЛОМ</v>
      </c>
      <c r="M2164" s="13" t="b">
        <f t="shared" si="232"/>
        <v>0</v>
      </c>
      <c r="N2164" s="13">
        <f t="shared" si="233"/>
        <v>2</v>
      </c>
      <c r="O2164" s="13" t="str">
        <f t="shared" si="234"/>
        <v>ЭТАЖ ЗАДАН ЧИСЛОМ</v>
      </c>
      <c r="P2164" s="13" t="str">
        <f t="shared" si="235"/>
        <v>ЭТАЖ ЗАДАН ЧИСЛОМ</v>
      </c>
      <c r="Q2164" s="13" t="str">
        <f t="shared" si="236"/>
        <v>ГОТОВ_ИЗМЕНЕН</v>
      </c>
      <c r="R2164" s="13">
        <f>IFERROR(VLOOKUP(P2164,Лист1!A$1:B$20,2,FALSE),0)</f>
        <v>784</v>
      </c>
      <c r="S2164" s="13">
        <f t="shared" si="237"/>
        <v>0</v>
      </c>
    </row>
    <row r="2165" spans="1:19" x14ac:dyDescent="0.25">
      <c r="A2165" s="24" t="s">
        <v>3294</v>
      </c>
      <c r="B2165" s="4" t="s">
        <v>1059</v>
      </c>
      <c r="C2165" s="25" t="s">
        <v>7</v>
      </c>
      <c r="G2165" s="25" t="s">
        <v>1205</v>
      </c>
      <c r="H2165" s="24" t="s">
        <v>1061</v>
      </c>
      <c r="I2165" s="3" t="str">
        <f>IFERROR(VLOOKUP(C2165,'Справочник соответствий'!A$2:D$2981,2,FALSE),IF(VALUE(C2165)=0,1,VLOOKUP(C2165,'Справочник соответствий'!A$2:D$2981,2,FALSE)))</f>
        <v>2</v>
      </c>
      <c r="J2165" s="3">
        <f>IFERROR(VLOOKUP(D2165,'Справочник соответствий'!A$2:D$2981,2,FALSE),IF(VALUE(D2165)=0,0,VLOOKUP(D2165,'Справочник соответствий'!A$2:D$2981,2,FALSE)))</f>
        <v>0</v>
      </c>
      <c r="K2165" s="3" t="str">
        <f t="shared" si="231"/>
        <v>2</v>
      </c>
      <c r="L2165" s="13" t="str">
        <f>IFERROR(VLOOKUP(C2165,'Справочник соответствий'!A$2:D$2981,3,FALSE),IF(VALUE(C2165)=0,"ЭТАЖ НЕ ОПРЕДЕЛЕН. ПРИНЯТ ПО ДОПУЩЕНИЮ 1",VLOOKUP(C2165,'Справочник соответствий'!A$2:D$2981,3,FALSE)))</f>
        <v>ЭТАЖ ЗАДАН ЧИСЛОМ</v>
      </c>
      <c r="M2165" s="13" t="b">
        <f t="shared" si="232"/>
        <v>0</v>
      </c>
      <c r="N2165" s="13">
        <f t="shared" si="233"/>
        <v>2</v>
      </c>
      <c r="O2165" s="13" t="str">
        <f t="shared" si="234"/>
        <v>ЭТАЖ ЗАДАН ЧИСЛОМ</v>
      </c>
      <c r="P2165" s="13" t="str">
        <f t="shared" si="235"/>
        <v>ЭТАЖ ЗАДАН ЧИСЛОМ</v>
      </c>
      <c r="Q2165" s="13" t="str">
        <f t="shared" si="236"/>
        <v>ГОТОВ_ИЗМЕНЕН</v>
      </c>
      <c r="R2165" s="13">
        <f>IFERROR(VLOOKUP(P2165,Лист1!A$1:B$20,2,FALSE),0)</f>
        <v>784</v>
      </c>
      <c r="S2165" s="13">
        <f t="shared" si="237"/>
        <v>0</v>
      </c>
    </row>
    <row r="2166" spans="1:19" x14ac:dyDescent="0.25">
      <c r="A2166" s="24" t="s">
        <v>3295</v>
      </c>
      <c r="B2166" s="4" t="s">
        <v>1059</v>
      </c>
      <c r="C2166" s="25" t="s">
        <v>7</v>
      </c>
      <c r="G2166" s="25" t="s">
        <v>1205</v>
      </c>
      <c r="H2166" s="24" t="s">
        <v>1061</v>
      </c>
      <c r="I2166" s="3" t="str">
        <f>IFERROR(VLOOKUP(C2166,'Справочник соответствий'!A$2:D$2981,2,FALSE),IF(VALUE(C2166)=0,1,VLOOKUP(C2166,'Справочник соответствий'!A$2:D$2981,2,FALSE)))</f>
        <v>2</v>
      </c>
      <c r="J2166" s="3">
        <f>IFERROR(VLOOKUP(D2166,'Справочник соответствий'!A$2:D$2981,2,FALSE),IF(VALUE(D2166)=0,0,VLOOKUP(D2166,'Справочник соответствий'!A$2:D$2981,2,FALSE)))</f>
        <v>0</v>
      </c>
      <c r="K2166" s="3" t="str">
        <f t="shared" si="231"/>
        <v>2</v>
      </c>
      <c r="L2166" s="13" t="str">
        <f>IFERROR(VLOOKUP(C2166,'Справочник соответствий'!A$2:D$2981,3,FALSE),IF(VALUE(C2166)=0,"ЭТАЖ НЕ ОПРЕДЕЛЕН. ПРИНЯТ ПО ДОПУЩЕНИЮ 1",VLOOKUP(C2166,'Справочник соответствий'!A$2:D$2981,3,FALSE)))</f>
        <v>ЭТАЖ ЗАДАН ЧИСЛОМ</v>
      </c>
      <c r="M2166" s="13" t="b">
        <f t="shared" si="232"/>
        <v>0</v>
      </c>
      <c r="N2166" s="13">
        <f t="shared" si="233"/>
        <v>2</v>
      </c>
      <c r="O2166" s="13" t="str">
        <f t="shared" si="234"/>
        <v>ЭТАЖ ЗАДАН ЧИСЛОМ</v>
      </c>
      <c r="P2166" s="13" t="str">
        <f t="shared" si="235"/>
        <v>ЭТАЖ ЗАДАН ЧИСЛОМ</v>
      </c>
      <c r="Q2166" s="13" t="str">
        <f t="shared" si="236"/>
        <v>ГОТОВ_ИЗМЕНЕН</v>
      </c>
      <c r="R2166" s="13">
        <f>IFERROR(VLOOKUP(P2166,Лист1!A$1:B$20,2,FALSE),0)</f>
        <v>784</v>
      </c>
      <c r="S2166" s="13">
        <f t="shared" si="237"/>
        <v>0</v>
      </c>
    </row>
    <row r="2167" spans="1:19" x14ac:dyDescent="0.25">
      <c r="A2167" s="24" t="s">
        <v>3296</v>
      </c>
      <c r="B2167" s="4" t="s">
        <v>1059</v>
      </c>
      <c r="C2167" s="25" t="s">
        <v>8</v>
      </c>
      <c r="G2167" s="25" t="s">
        <v>1205</v>
      </c>
      <c r="H2167" s="24" t="s">
        <v>1061</v>
      </c>
      <c r="I2167" s="3" t="str">
        <f>IFERROR(VLOOKUP(C2167,'Справочник соответствий'!A$2:D$2981,2,FALSE),IF(VALUE(C2167)=0,1,VLOOKUP(C2167,'Справочник соответствий'!A$2:D$2981,2,FALSE)))</f>
        <v>3</v>
      </c>
      <c r="J2167" s="3">
        <f>IFERROR(VLOOKUP(D2167,'Справочник соответствий'!A$2:D$2981,2,FALSE),IF(VALUE(D2167)=0,0,VLOOKUP(D2167,'Справочник соответствий'!A$2:D$2981,2,FALSE)))</f>
        <v>0</v>
      </c>
      <c r="K2167" s="3" t="str">
        <f t="shared" si="231"/>
        <v>3</v>
      </c>
      <c r="L2167" s="13" t="str">
        <f>IFERROR(VLOOKUP(C2167,'Справочник соответствий'!A$2:D$2981,3,FALSE),IF(VALUE(C2167)=0,"ЭТАЖ НЕ ОПРЕДЕЛЕН. ПРИНЯТ ПО ДОПУЩЕНИЮ 1",VLOOKUP(C2167,'Справочник соответствий'!A$2:D$2981,3,FALSE)))</f>
        <v>ЭТАЖ ЗАДАН ЧИСЛОМ</v>
      </c>
      <c r="M2167" s="13" t="b">
        <f t="shared" si="232"/>
        <v>0</v>
      </c>
      <c r="N2167" s="13">
        <f t="shared" si="233"/>
        <v>3</v>
      </c>
      <c r="O2167" s="13" t="str">
        <f t="shared" si="234"/>
        <v>ЭТАЖ ЗАДАН ЧИСЛОМ</v>
      </c>
      <c r="P2167" s="13" t="str">
        <f t="shared" si="235"/>
        <v>ЭТАЖ ЗАДАН ЧИСЛОМ</v>
      </c>
      <c r="Q2167" s="13" t="str">
        <f t="shared" si="236"/>
        <v>ГОТОВ_ИЗМЕНЕН</v>
      </c>
      <c r="R2167" s="13">
        <f>IFERROR(VLOOKUP(P2167,Лист1!A$1:B$20,2,FALSE),0)</f>
        <v>784</v>
      </c>
      <c r="S2167" s="13">
        <f t="shared" si="237"/>
        <v>0</v>
      </c>
    </row>
    <row r="2168" spans="1:19" x14ac:dyDescent="0.25">
      <c r="A2168" s="24" t="s">
        <v>3297</v>
      </c>
      <c r="B2168" s="4" t="s">
        <v>1059</v>
      </c>
      <c r="C2168" s="25" t="s">
        <v>5</v>
      </c>
      <c r="G2168" s="25" t="s">
        <v>1222</v>
      </c>
      <c r="H2168" s="24" t="s">
        <v>1061</v>
      </c>
      <c r="I2168" s="3" t="str">
        <f>IFERROR(VLOOKUP(C2168,'Справочник соответствий'!A$2:D$2981,2,FALSE),IF(VALUE(C2168)=0,1,VLOOKUP(C2168,'Справочник соответствий'!A$2:D$2981,2,FALSE)))</f>
        <v>1</v>
      </c>
      <c r="J2168" s="3">
        <f>IFERROR(VLOOKUP(D2168,'Справочник соответствий'!A$2:D$2981,2,FALSE),IF(VALUE(D2168)=0,0,VLOOKUP(D2168,'Справочник соответствий'!A$2:D$2981,2,FALSE)))</f>
        <v>0</v>
      </c>
      <c r="K2168" s="3" t="str">
        <f t="shared" si="231"/>
        <v>1</v>
      </c>
      <c r="L2168" s="13" t="str">
        <f>IFERROR(VLOOKUP(C2168,'Справочник соответствий'!A$2:D$2981,3,FALSE),IF(VALUE(C2168)=0,"ЭТАЖ НЕ ОПРЕДЕЛЕН. ПРИНЯТ ПО ДОПУЩЕНИЮ 1",VLOOKUP(C2168,'Справочник соответствий'!A$2:D$2981,3,FALSE)))</f>
        <v>ЭТАЖ ЗАДАН ЧИСЛОМ</v>
      </c>
      <c r="M2168" s="13" t="b">
        <f t="shared" si="232"/>
        <v>0</v>
      </c>
      <c r="N2168" s="13">
        <f t="shared" si="233"/>
        <v>1</v>
      </c>
      <c r="O2168" s="13" t="str">
        <f t="shared" si="234"/>
        <v>ЭТАЖ ЗАДАН ЧИСЛОМ</v>
      </c>
      <c r="P2168" s="13" t="str">
        <f t="shared" si="235"/>
        <v>ЭТАЖ ЗАДАН ЧИСЛОМ</v>
      </c>
      <c r="Q2168" s="13" t="str">
        <f t="shared" si="236"/>
        <v>ГОТОВ_ИЗМЕНЕН</v>
      </c>
      <c r="R2168" s="13">
        <f>IFERROR(VLOOKUP(P2168,Лист1!A$1:B$20,2,FALSE),0)</f>
        <v>784</v>
      </c>
      <c r="S2168" s="13">
        <f t="shared" si="237"/>
        <v>0</v>
      </c>
    </row>
    <row r="2169" spans="1:19" x14ac:dyDescent="0.25">
      <c r="A2169" s="24" t="s">
        <v>3298</v>
      </c>
      <c r="B2169" s="4" t="s">
        <v>1059</v>
      </c>
      <c r="C2169" s="25" t="s">
        <v>5</v>
      </c>
      <c r="G2169" s="25" t="s">
        <v>1205</v>
      </c>
      <c r="H2169" s="24" t="s">
        <v>1061</v>
      </c>
      <c r="I2169" s="3" t="str">
        <f>IFERROR(VLOOKUP(C2169,'Справочник соответствий'!A$2:D$2981,2,FALSE),IF(VALUE(C2169)=0,1,VLOOKUP(C2169,'Справочник соответствий'!A$2:D$2981,2,FALSE)))</f>
        <v>1</v>
      </c>
      <c r="J2169" s="3">
        <f>IFERROR(VLOOKUP(D2169,'Справочник соответствий'!A$2:D$2981,2,FALSE),IF(VALUE(D2169)=0,0,VLOOKUP(D2169,'Справочник соответствий'!A$2:D$2981,2,FALSE)))</f>
        <v>0</v>
      </c>
      <c r="K2169" s="3" t="str">
        <f t="shared" si="231"/>
        <v>1</v>
      </c>
      <c r="L2169" s="13" t="str">
        <f>IFERROR(VLOOKUP(C2169,'Справочник соответствий'!A$2:D$2981,3,FALSE),IF(VALUE(C2169)=0,"ЭТАЖ НЕ ОПРЕДЕЛЕН. ПРИНЯТ ПО ДОПУЩЕНИЮ 1",VLOOKUP(C2169,'Справочник соответствий'!A$2:D$2981,3,FALSE)))</f>
        <v>ЭТАЖ ЗАДАН ЧИСЛОМ</v>
      </c>
      <c r="M2169" s="13" t="b">
        <f t="shared" si="232"/>
        <v>0</v>
      </c>
      <c r="N2169" s="13">
        <f t="shared" si="233"/>
        <v>1</v>
      </c>
      <c r="O2169" s="13" t="str">
        <f t="shared" si="234"/>
        <v>ЭТАЖ ЗАДАН ЧИСЛОМ</v>
      </c>
      <c r="P2169" s="13" t="str">
        <f t="shared" si="235"/>
        <v>ЭТАЖ ЗАДАН ЧИСЛОМ</v>
      </c>
      <c r="Q2169" s="13" t="str">
        <f t="shared" si="236"/>
        <v>ГОТОВ_ИЗМЕНЕН</v>
      </c>
      <c r="R2169" s="13">
        <f>IFERROR(VLOOKUP(P2169,Лист1!A$1:B$20,2,FALSE),0)</f>
        <v>784</v>
      </c>
      <c r="S2169" s="13">
        <f t="shared" si="237"/>
        <v>0</v>
      </c>
    </row>
    <row r="2170" spans="1:19" x14ac:dyDescent="0.25">
      <c r="A2170" s="24" t="s">
        <v>3299</v>
      </c>
      <c r="B2170" s="4" t="s">
        <v>1059</v>
      </c>
      <c r="G2170" s="25" t="s">
        <v>1205</v>
      </c>
      <c r="H2170" s="24" t="s">
        <v>1061</v>
      </c>
      <c r="I2170" s="3">
        <f>IFERROR(VLOOKUP(C2170,'Справочник соответствий'!A$2:D$2981,2,FALSE),IF(VALUE(C2170)=0,1,VLOOKUP(C2170,'Справочник соответствий'!A$2:D$2981,2,FALSE)))</f>
        <v>1</v>
      </c>
      <c r="J2170" s="3">
        <f>IFERROR(VLOOKUP(D2170,'Справочник соответствий'!A$2:D$2981,2,FALSE),IF(VALUE(D2170)=0,0,VLOOKUP(D2170,'Справочник соответствий'!A$2:D$2981,2,FALSE)))</f>
        <v>0</v>
      </c>
      <c r="K2170" s="3">
        <f t="shared" si="231"/>
        <v>1</v>
      </c>
      <c r="L2170" s="13" t="str">
        <f>IFERROR(VLOOKUP(C2170,'Справочник соответствий'!A$2:D$2981,3,FALSE),IF(VALUE(C2170)=0,"ЭТАЖ НЕ ОПРЕДЕЛЕН. ПРИНЯТ ПО ДОПУЩЕНИЮ 1",VLOOKUP(C2170,'Справочник соответствий'!A$2:D$2981,3,FALSE)))</f>
        <v>ЭТАЖ НЕ ОПРЕДЕЛЕН. ПРИНЯТ ПО ДОПУЩЕНИЮ 1</v>
      </c>
      <c r="M2170" s="13" t="b">
        <f t="shared" si="232"/>
        <v>0</v>
      </c>
      <c r="N2170" s="13">
        <f t="shared" si="233"/>
        <v>1</v>
      </c>
      <c r="O2170" s="13" t="str">
        <f t="shared" si="234"/>
        <v>ЭТАЖ НЕ ОПРЕДЕЛЕН. ПРИНЯТ ПО ДОПУЩЕНИЮ 1</v>
      </c>
      <c r="P2170" s="13" t="str">
        <f t="shared" si="235"/>
        <v>ЭТАЖ НЕ ОПРЕДЕЛЕН. ПРИНЯТ ПО ДОПУЩЕНИЮ 1</v>
      </c>
      <c r="Q2170" s="13" t="str">
        <f t="shared" si="236"/>
        <v>ГОТОВ_ИЗМЕНЕН</v>
      </c>
      <c r="R2170" s="13">
        <f>IFERROR(VLOOKUP(P2170,Лист1!A$1:B$20,2,FALSE),0)</f>
        <v>788</v>
      </c>
      <c r="S2170" s="13">
        <f t="shared" si="237"/>
        <v>0</v>
      </c>
    </row>
    <row r="2171" spans="1:19" x14ac:dyDescent="0.25">
      <c r="A2171" s="24" t="s">
        <v>3300</v>
      </c>
      <c r="B2171" s="4" t="s">
        <v>1059</v>
      </c>
      <c r="C2171" s="25" t="s">
        <v>5</v>
      </c>
      <c r="G2171" s="25" t="s">
        <v>1219</v>
      </c>
      <c r="H2171" s="24" t="s">
        <v>1061</v>
      </c>
      <c r="I2171" s="3" t="str">
        <f>IFERROR(VLOOKUP(C2171,'Справочник соответствий'!A$2:D$2981,2,FALSE),IF(VALUE(C2171)=0,1,VLOOKUP(C2171,'Справочник соответствий'!A$2:D$2981,2,FALSE)))</f>
        <v>1</v>
      </c>
      <c r="J2171" s="3">
        <f>IFERROR(VLOOKUP(D2171,'Справочник соответствий'!A$2:D$2981,2,FALSE),IF(VALUE(D2171)=0,0,VLOOKUP(D2171,'Справочник соответствий'!A$2:D$2981,2,FALSE)))</f>
        <v>0</v>
      </c>
      <c r="K2171" s="3" t="str">
        <f t="shared" si="231"/>
        <v>1</v>
      </c>
      <c r="L2171" s="13" t="str">
        <f>IFERROR(VLOOKUP(C2171,'Справочник соответствий'!A$2:D$2981,3,FALSE),IF(VALUE(C2171)=0,"ЭТАЖ НЕ ОПРЕДЕЛЕН. ПРИНЯТ ПО ДОПУЩЕНИЮ 1",VLOOKUP(C2171,'Справочник соответствий'!A$2:D$2981,3,FALSE)))</f>
        <v>ЭТАЖ ЗАДАН ЧИСЛОМ</v>
      </c>
      <c r="M2171" s="13" t="b">
        <f t="shared" si="232"/>
        <v>0</v>
      </c>
      <c r="N2171" s="13">
        <f t="shared" si="233"/>
        <v>1</v>
      </c>
      <c r="O2171" s="13" t="str">
        <f t="shared" si="234"/>
        <v>ЭТАЖ ЗАДАН ЧИСЛОМ</v>
      </c>
      <c r="P2171" s="13" t="str">
        <f t="shared" si="235"/>
        <v>ЭТАЖ ЗАДАН ЧИСЛОМ</v>
      </c>
      <c r="Q2171" s="13" t="str">
        <f t="shared" si="236"/>
        <v>ГОТОВ_ИЗМЕНЕН</v>
      </c>
      <c r="R2171" s="13">
        <f>IFERROR(VLOOKUP(P2171,Лист1!A$1:B$20,2,FALSE),0)</f>
        <v>784</v>
      </c>
      <c r="S2171" s="13">
        <f t="shared" si="237"/>
        <v>0</v>
      </c>
    </row>
    <row r="2172" spans="1:19" x14ac:dyDescent="0.25">
      <c r="A2172" s="24" t="s">
        <v>3301</v>
      </c>
      <c r="B2172" s="4" t="s">
        <v>1059</v>
      </c>
      <c r="C2172" s="25" t="s">
        <v>5</v>
      </c>
      <c r="G2172" s="25" t="s">
        <v>1224</v>
      </c>
      <c r="H2172" s="24" t="s">
        <v>1061</v>
      </c>
      <c r="I2172" s="3" t="str">
        <f>IFERROR(VLOOKUP(C2172,'Справочник соответствий'!A$2:D$2981,2,FALSE),IF(VALUE(C2172)=0,1,VLOOKUP(C2172,'Справочник соответствий'!A$2:D$2981,2,FALSE)))</f>
        <v>1</v>
      </c>
      <c r="J2172" s="3">
        <f>IFERROR(VLOOKUP(D2172,'Справочник соответствий'!A$2:D$2981,2,FALSE),IF(VALUE(D2172)=0,0,VLOOKUP(D2172,'Справочник соответствий'!A$2:D$2981,2,FALSE)))</f>
        <v>0</v>
      </c>
      <c r="K2172" s="3" t="str">
        <f t="shared" si="231"/>
        <v>1</v>
      </c>
      <c r="L2172" s="13" t="str">
        <f>IFERROR(VLOOKUP(C2172,'Справочник соответствий'!A$2:D$2981,3,FALSE),IF(VALUE(C2172)=0,"ЭТАЖ НЕ ОПРЕДЕЛЕН. ПРИНЯТ ПО ДОПУЩЕНИЮ 1",VLOOKUP(C2172,'Справочник соответствий'!A$2:D$2981,3,FALSE)))</f>
        <v>ЭТАЖ ЗАДАН ЧИСЛОМ</v>
      </c>
      <c r="M2172" s="13" t="b">
        <f t="shared" si="232"/>
        <v>0</v>
      </c>
      <c r="N2172" s="13">
        <f t="shared" si="233"/>
        <v>1</v>
      </c>
      <c r="O2172" s="13" t="str">
        <f t="shared" si="234"/>
        <v>ЭТАЖ ЗАДАН ЧИСЛОМ</v>
      </c>
      <c r="P2172" s="13" t="str">
        <f t="shared" si="235"/>
        <v>ЭТАЖ ЗАДАН ЧИСЛОМ</v>
      </c>
      <c r="Q2172" s="13" t="str">
        <f t="shared" si="236"/>
        <v>ГОТОВ_ИЗМЕНЕН</v>
      </c>
      <c r="R2172" s="13">
        <f>IFERROR(VLOOKUP(P2172,Лист1!A$1:B$20,2,FALSE),0)</f>
        <v>784</v>
      </c>
      <c r="S2172" s="13">
        <f t="shared" si="237"/>
        <v>0</v>
      </c>
    </row>
    <row r="2173" spans="1:19" x14ac:dyDescent="0.25">
      <c r="A2173" s="24" t="s">
        <v>3302</v>
      </c>
      <c r="B2173" s="4" t="s">
        <v>1059</v>
      </c>
      <c r="C2173" s="25" t="s">
        <v>5</v>
      </c>
      <c r="G2173" s="25" t="s">
        <v>1174</v>
      </c>
      <c r="H2173" s="24" t="s">
        <v>1061</v>
      </c>
      <c r="I2173" s="3" t="str">
        <f>IFERROR(VLOOKUP(C2173,'Справочник соответствий'!A$2:D$2981,2,FALSE),IF(VALUE(C2173)=0,1,VLOOKUP(C2173,'Справочник соответствий'!A$2:D$2981,2,FALSE)))</f>
        <v>1</v>
      </c>
      <c r="J2173" s="3">
        <f>IFERROR(VLOOKUP(D2173,'Справочник соответствий'!A$2:D$2981,2,FALSE),IF(VALUE(D2173)=0,0,VLOOKUP(D2173,'Справочник соответствий'!A$2:D$2981,2,FALSE)))</f>
        <v>0</v>
      </c>
      <c r="K2173" s="3" t="str">
        <f t="shared" si="231"/>
        <v>1</v>
      </c>
      <c r="L2173" s="13" t="str">
        <f>IFERROR(VLOOKUP(C2173,'Справочник соответствий'!A$2:D$2981,3,FALSE),IF(VALUE(C2173)=0,"ЭТАЖ НЕ ОПРЕДЕЛЕН. ПРИНЯТ ПО ДОПУЩЕНИЮ 1",VLOOKUP(C2173,'Справочник соответствий'!A$2:D$2981,3,FALSE)))</f>
        <v>ЭТАЖ ЗАДАН ЧИСЛОМ</v>
      </c>
      <c r="M2173" s="13" t="b">
        <f t="shared" si="232"/>
        <v>0</v>
      </c>
      <c r="N2173" s="13">
        <f t="shared" si="233"/>
        <v>1</v>
      </c>
      <c r="O2173" s="13" t="str">
        <f t="shared" si="234"/>
        <v>ЭТАЖ ЗАДАН ЧИСЛОМ</v>
      </c>
      <c r="P2173" s="13" t="str">
        <f t="shared" si="235"/>
        <v>ЭТАЖ ЗАДАН ЧИСЛОМ</v>
      </c>
      <c r="Q2173" s="13" t="str">
        <f t="shared" si="236"/>
        <v>ГОТОВ_ИЗМЕНЕН</v>
      </c>
      <c r="R2173" s="13">
        <f>IFERROR(VLOOKUP(P2173,Лист1!A$1:B$20,2,FALSE),0)</f>
        <v>784</v>
      </c>
      <c r="S2173" s="13">
        <f t="shared" si="237"/>
        <v>0</v>
      </c>
    </row>
    <row r="2174" spans="1:19" x14ac:dyDescent="0.25">
      <c r="A2174" s="24" t="s">
        <v>3303</v>
      </c>
      <c r="B2174" s="4" t="s">
        <v>1063</v>
      </c>
      <c r="G2174" s="25" t="s">
        <v>1219</v>
      </c>
      <c r="H2174" s="24" t="s">
        <v>1061</v>
      </c>
      <c r="I2174" s="3">
        <f>IFERROR(VLOOKUP(C2174,'Справочник соответствий'!A$2:D$2981,2,FALSE),IF(VALUE(C2174)=0,1,VLOOKUP(C2174,'Справочник соответствий'!A$2:D$2981,2,FALSE)))</f>
        <v>1</v>
      </c>
      <c r="J2174" s="3">
        <f>IFERROR(VLOOKUP(D2174,'Справочник соответствий'!A$2:D$2981,2,FALSE),IF(VALUE(D2174)=0,0,VLOOKUP(D2174,'Справочник соответствий'!A$2:D$2981,2,FALSE)))</f>
        <v>0</v>
      </c>
      <c r="K2174" s="3">
        <f t="shared" si="231"/>
        <v>1</v>
      </c>
      <c r="L2174" s="13" t="str">
        <f>IFERROR(VLOOKUP(C2174,'Справочник соответствий'!A$2:D$2981,3,FALSE),IF(VALUE(C2174)=0,"ЭТАЖ НЕ ОПРЕДЕЛЕН. ПРИНЯТ ПО ДОПУЩЕНИЮ 1",VLOOKUP(C2174,'Справочник соответствий'!A$2:D$2981,3,FALSE)))</f>
        <v>ЭТАЖ НЕ ОПРЕДЕЛЕН. ПРИНЯТ ПО ДОПУЩЕНИЮ 1</v>
      </c>
      <c r="M2174" s="13" t="b">
        <f t="shared" si="232"/>
        <v>0</v>
      </c>
      <c r="N2174" s="13">
        <f t="shared" si="233"/>
        <v>1</v>
      </c>
      <c r="O2174" s="13" t="str">
        <f t="shared" si="234"/>
        <v>ЭТАЖ НЕ ОПРЕДЕЛЕН. ПРИНЯТ ПО ДОПУЩЕНИЮ 1</v>
      </c>
      <c r="P2174" s="13" t="str">
        <f t="shared" si="235"/>
        <v>ЭТАЖ НЕ ОПРЕДЕЛЕН. ПРИНЯТ ПО ДОПУЩЕНИЮ 1</v>
      </c>
      <c r="Q2174" s="13" t="str">
        <f t="shared" si="236"/>
        <v>ГОТОВ_ИЗМЕНЕН</v>
      </c>
      <c r="R2174" s="13">
        <f>IFERROR(VLOOKUP(P2174,Лист1!A$1:B$20,2,FALSE),0)</f>
        <v>788</v>
      </c>
      <c r="S2174" s="13">
        <f t="shared" si="237"/>
        <v>0</v>
      </c>
    </row>
    <row r="2175" spans="1:19" x14ac:dyDescent="0.25">
      <c r="A2175" s="24" t="s">
        <v>3304</v>
      </c>
      <c r="B2175" s="4" t="s">
        <v>1059</v>
      </c>
      <c r="C2175" s="25" t="s">
        <v>8</v>
      </c>
      <c r="G2175" s="25" t="s">
        <v>1174</v>
      </c>
      <c r="H2175" s="24" t="s">
        <v>1061</v>
      </c>
      <c r="I2175" s="3" t="str">
        <f>IFERROR(VLOOKUP(C2175,'Справочник соответствий'!A$2:D$2981,2,FALSE),IF(VALUE(C2175)=0,1,VLOOKUP(C2175,'Справочник соответствий'!A$2:D$2981,2,FALSE)))</f>
        <v>3</v>
      </c>
      <c r="J2175" s="3">
        <f>IFERROR(VLOOKUP(D2175,'Справочник соответствий'!A$2:D$2981,2,FALSE),IF(VALUE(D2175)=0,0,VLOOKUP(D2175,'Справочник соответствий'!A$2:D$2981,2,FALSE)))</f>
        <v>0</v>
      </c>
      <c r="K2175" s="3" t="str">
        <f t="shared" si="231"/>
        <v>3</v>
      </c>
      <c r="L2175" s="13" t="str">
        <f>IFERROR(VLOOKUP(C2175,'Справочник соответствий'!A$2:D$2981,3,FALSE),IF(VALUE(C2175)=0,"ЭТАЖ НЕ ОПРЕДЕЛЕН. ПРИНЯТ ПО ДОПУЩЕНИЮ 1",VLOOKUP(C2175,'Справочник соответствий'!A$2:D$2981,3,FALSE)))</f>
        <v>ЭТАЖ ЗАДАН ЧИСЛОМ</v>
      </c>
      <c r="M2175" s="13" t="b">
        <f t="shared" si="232"/>
        <v>0</v>
      </c>
      <c r="N2175" s="13">
        <f t="shared" si="233"/>
        <v>3</v>
      </c>
      <c r="O2175" s="13" t="str">
        <f t="shared" si="234"/>
        <v>ЭТАЖ ЗАДАН ЧИСЛОМ</v>
      </c>
      <c r="P2175" s="13" t="str">
        <f t="shared" si="235"/>
        <v>ЭТАЖ ЗАДАН ЧИСЛОМ</v>
      </c>
      <c r="Q2175" s="13" t="str">
        <f t="shared" si="236"/>
        <v>ГОТОВ_ИЗМЕНЕН</v>
      </c>
      <c r="R2175" s="13">
        <f>IFERROR(VLOOKUP(P2175,Лист1!A$1:B$20,2,FALSE),0)</f>
        <v>784</v>
      </c>
      <c r="S2175" s="13">
        <f t="shared" si="237"/>
        <v>0</v>
      </c>
    </row>
    <row r="2176" spans="1:19" x14ac:dyDescent="0.25">
      <c r="A2176" s="24" t="s">
        <v>3305</v>
      </c>
      <c r="B2176" s="4" t="s">
        <v>1059</v>
      </c>
      <c r="C2176" s="25" t="s">
        <v>5</v>
      </c>
      <c r="G2176" s="25" t="s">
        <v>1174</v>
      </c>
      <c r="H2176" s="24" t="s">
        <v>1061</v>
      </c>
      <c r="I2176" s="3" t="str">
        <f>IFERROR(VLOOKUP(C2176,'Справочник соответствий'!A$2:D$2981,2,FALSE),IF(VALUE(C2176)=0,1,VLOOKUP(C2176,'Справочник соответствий'!A$2:D$2981,2,FALSE)))</f>
        <v>1</v>
      </c>
      <c r="J2176" s="3">
        <f>IFERROR(VLOOKUP(D2176,'Справочник соответствий'!A$2:D$2981,2,FALSE),IF(VALUE(D2176)=0,0,VLOOKUP(D2176,'Справочник соответствий'!A$2:D$2981,2,FALSE)))</f>
        <v>0</v>
      </c>
      <c r="K2176" s="3" t="str">
        <f t="shared" si="231"/>
        <v>1</v>
      </c>
      <c r="L2176" s="13" t="str">
        <f>IFERROR(VLOOKUP(C2176,'Справочник соответствий'!A$2:D$2981,3,FALSE),IF(VALUE(C2176)=0,"ЭТАЖ НЕ ОПРЕДЕЛЕН. ПРИНЯТ ПО ДОПУЩЕНИЮ 1",VLOOKUP(C2176,'Справочник соответствий'!A$2:D$2981,3,FALSE)))</f>
        <v>ЭТАЖ ЗАДАН ЧИСЛОМ</v>
      </c>
      <c r="M2176" s="13" t="b">
        <f t="shared" si="232"/>
        <v>0</v>
      </c>
      <c r="N2176" s="13">
        <f t="shared" si="233"/>
        <v>1</v>
      </c>
      <c r="O2176" s="13" t="str">
        <f t="shared" si="234"/>
        <v>ЭТАЖ ЗАДАН ЧИСЛОМ</v>
      </c>
      <c r="P2176" s="13" t="str">
        <f t="shared" si="235"/>
        <v>ЭТАЖ ЗАДАН ЧИСЛОМ</v>
      </c>
      <c r="Q2176" s="13" t="str">
        <f t="shared" si="236"/>
        <v>ГОТОВ_ИЗМЕНЕН</v>
      </c>
      <c r="R2176" s="13">
        <f>IFERROR(VLOOKUP(P2176,Лист1!A$1:B$20,2,FALSE),0)</f>
        <v>784</v>
      </c>
      <c r="S2176" s="13">
        <f t="shared" si="237"/>
        <v>0</v>
      </c>
    </row>
    <row r="2177" spans="1:19" x14ac:dyDescent="0.25">
      <c r="A2177" s="24" t="s">
        <v>3306</v>
      </c>
      <c r="B2177" s="4" t="s">
        <v>1063</v>
      </c>
      <c r="C2177" s="25" t="s">
        <v>7</v>
      </c>
      <c r="G2177" s="25" t="s">
        <v>1224</v>
      </c>
      <c r="H2177" s="24" t="s">
        <v>1061</v>
      </c>
      <c r="I2177" s="3" t="str">
        <f>IFERROR(VLOOKUP(C2177,'Справочник соответствий'!A$2:D$2981,2,FALSE),IF(VALUE(C2177)=0,1,VLOOKUP(C2177,'Справочник соответствий'!A$2:D$2981,2,FALSE)))</f>
        <v>2</v>
      </c>
      <c r="J2177" s="3">
        <f>IFERROR(VLOOKUP(D2177,'Справочник соответствий'!A$2:D$2981,2,FALSE),IF(VALUE(D2177)=0,0,VLOOKUP(D2177,'Справочник соответствий'!A$2:D$2981,2,FALSE)))</f>
        <v>0</v>
      </c>
      <c r="K2177" s="3" t="str">
        <f t="shared" si="231"/>
        <v>2</v>
      </c>
      <c r="L2177" s="13" t="str">
        <f>IFERROR(VLOOKUP(C2177,'Справочник соответствий'!A$2:D$2981,3,FALSE),IF(VALUE(C2177)=0,"ЭТАЖ НЕ ОПРЕДЕЛЕН. ПРИНЯТ ПО ДОПУЩЕНИЮ 1",VLOOKUP(C2177,'Справочник соответствий'!A$2:D$2981,3,FALSE)))</f>
        <v>ЭТАЖ ЗАДАН ЧИСЛОМ</v>
      </c>
      <c r="M2177" s="13" t="b">
        <f t="shared" si="232"/>
        <v>0</v>
      </c>
      <c r="N2177" s="13">
        <f t="shared" si="233"/>
        <v>2</v>
      </c>
      <c r="O2177" s="13" t="str">
        <f t="shared" si="234"/>
        <v>ЭТАЖ ЗАДАН ЧИСЛОМ</v>
      </c>
      <c r="P2177" s="13" t="str">
        <f t="shared" si="235"/>
        <v>ЭТАЖ ЗАДАН ЧИСЛОМ</v>
      </c>
      <c r="Q2177" s="13" t="str">
        <f t="shared" si="236"/>
        <v>ГОТОВ_ИЗМЕНЕН</v>
      </c>
      <c r="R2177" s="13">
        <f>IFERROR(VLOOKUP(P2177,Лист1!A$1:B$20,2,FALSE),0)</f>
        <v>784</v>
      </c>
      <c r="S2177" s="13">
        <f t="shared" si="237"/>
        <v>0</v>
      </c>
    </row>
    <row r="2178" spans="1:19" x14ac:dyDescent="0.25">
      <c r="A2178" s="24" t="s">
        <v>3307</v>
      </c>
      <c r="B2178" s="4" t="s">
        <v>1059</v>
      </c>
      <c r="C2178" s="25" t="s">
        <v>7</v>
      </c>
      <c r="G2178" s="25" t="s">
        <v>1224</v>
      </c>
      <c r="H2178" s="24" t="s">
        <v>1061</v>
      </c>
      <c r="I2178" s="3" t="str">
        <f>IFERROR(VLOOKUP(C2178,'Справочник соответствий'!A$2:D$2981,2,FALSE),IF(VALUE(C2178)=0,1,VLOOKUP(C2178,'Справочник соответствий'!A$2:D$2981,2,FALSE)))</f>
        <v>2</v>
      </c>
      <c r="J2178" s="3">
        <f>IFERROR(VLOOKUP(D2178,'Справочник соответствий'!A$2:D$2981,2,FALSE),IF(VALUE(D2178)=0,0,VLOOKUP(D2178,'Справочник соответствий'!A$2:D$2981,2,FALSE)))</f>
        <v>0</v>
      </c>
      <c r="K2178" s="3" t="str">
        <f t="shared" si="231"/>
        <v>2</v>
      </c>
      <c r="L2178" s="13" t="str">
        <f>IFERROR(VLOOKUP(C2178,'Справочник соответствий'!A$2:D$2981,3,FALSE),IF(VALUE(C2178)=0,"ЭТАЖ НЕ ОПРЕДЕЛЕН. ПРИНЯТ ПО ДОПУЩЕНИЮ 1",VLOOKUP(C2178,'Справочник соответствий'!A$2:D$2981,3,FALSE)))</f>
        <v>ЭТАЖ ЗАДАН ЧИСЛОМ</v>
      </c>
      <c r="M2178" s="13" t="b">
        <f t="shared" si="232"/>
        <v>0</v>
      </c>
      <c r="N2178" s="13">
        <f t="shared" si="233"/>
        <v>2</v>
      </c>
      <c r="O2178" s="13" t="str">
        <f t="shared" si="234"/>
        <v>ЭТАЖ ЗАДАН ЧИСЛОМ</v>
      </c>
      <c r="P2178" s="13" t="str">
        <f t="shared" si="235"/>
        <v>ЭТАЖ ЗАДАН ЧИСЛОМ</v>
      </c>
      <c r="Q2178" s="13" t="str">
        <f t="shared" si="236"/>
        <v>ГОТОВ_ИЗМЕНЕН</v>
      </c>
      <c r="R2178" s="13">
        <f>IFERROR(VLOOKUP(P2178,Лист1!A$1:B$20,2,FALSE),0)</f>
        <v>784</v>
      </c>
      <c r="S2178" s="13">
        <f t="shared" si="237"/>
        <v>0</v>
      </c>
    </row>
    <row r="2179" spans="1:19" x14ac:dyDescent="0.25">
      <c r="A2179" s="24" t="s">
        <v>3308</v>
      </c>
      <c r="B2179" s="4" t="s">
        <v>1059</v>
      </c>
      <c r="C2179" s="25" t="s">
        <v>7</v>
      </c>
      <c r="D2179" s="25" t="s">
        <v>5</v>
      </c>
      <c r="G2179" s="25" t="s">
        <v>1230</v>
      </c>
      <c r="H2179" s="24" t="s">
        <v>1061</v>
      </c>
      <c r="I2179" s="3" t="str">
        <f>IFERROR(VLOOKUP(C2179,'Справочник соответствий'!A$2:D$2981,2,FALSE),IF(VALUE(C2179)=0,1,VLOOKUP(C2179,'Справочник соответствий'!A$2:D$2981,2,FALSE)))</f>
        <v>2</v>
      </c>
      <c r="J2179" s="3" t="str">
        <f>IFERROR(VLOOKUP(D2179,'Справочник соответствий'!A$2:D$2981,2,FALSE),IF(VALUE(D2179)=0,0,VLOOKUP(D2179,'Справочник соответствий'!A$2:D$2981,2,FALSE)))</f>
        <v>1</v>
      </c>
      <c r="K2179" s="3" t="str">
        <f t="shared" si="231"/>
        <v>2</v>
      </c>
      <c r="L2179" s="13" t="str">
        <f>IFERROR(VLOOKUP(C2179,'Справочник соответствий'!A$2:D$2981,3,FALSE),IF(VALUE(C2179)=0,"ЭТАЖ НЕ ОПРЕДЕЛЕН. ПРИНЯТ ПО ДОПУЩЕНИЮ 1",VLOOKUP(C2179,'Справочник соответствий'!A$2:D$2981,3,FALSE)))</f>
        <v>ЭТАЖ ЗАДАН ЧИСЛОМ</v>
      </c>
      <c r="M2179" s="13" t="b">
        <f t="shared" si="232"/>
        <v>0</v>
      </c>
      <c r="N2179" s="13">
        <f t="shared" si="233"/>
        <v>2</v>
      </c>
      <c r="O2179" s="13" t="str">
        <f t="shared" si="234"/>
        <v>ЭТАЖ ЗАДАН ЧИСЛОМ</v>
      </c>
      <c r="P2179" s="13" t="str">
        <f t="shared" si="235"/>
        <v>ЭТАЖ ЗАДАН ЧИСЛОМ</v>
      </c>
      <c r="Q2179" s="13" t="str">
        <f t="shared" si="236"/>
        <v>ГОТОВ_ИЗМЕНЕН</v>
      </c>
      <c r="R2179" s="13">
        <f>IFERROR(VLOOKUP(P2179,Лист1!A$1:B$20,2,FALSE),0)</f>
        <v>784</v>
      </c>
      <c r="S2179" s="13">
        <f t="shared" si="237"/>
        <v>0</v>
      </c>
    </row>
    <row r="2180" spans="1:19" x14ac:dyDescent="0.25">
      <c r="A2180" s="24" t="s">
        <v>3309</v>
      </c>
      <c r="B2180" s="4" t="s">
        <v>1059</v>
      </c>
      <c r="C2180" s="25" t="s">
        <v>5</v>
      </c>
      <c r="G2180" s="25" t="s">
        <v>1228</v>
      </c>
      <c r="H2180" s="24" t="s">
        <v>1061</v>
      </c>
      <c r="I2180" s="3" t="str">
        <f>IFERROR(VLOOKUP(C2180,'Справочник соответствий'!A$2:D$2981,2,FALSE),IF(VALUE(C2180)=0,1,VLOOKUP(C2180,'Справочник соответствий'!A$2:D$2981,2,FALSE)))</f>
        <v>1</v>
      </c>
      <c r="J2180" s="3">
        <f>IFERROR(VLOOKUP(D2180,'Справочник соответствий'!A$2:D$2981,2,FALSE),IF(VALUE(D2180)=0,0,VLOOKUP(D2180,'Справочник соответствий'!A$2:D$2981,2,FALSE)))</f>
        <v>0</v>
      </c>
      <c r="K2180" s="3" t="str">
        <f t="shared" si="231"/>
        <v>1</v>
      </c>
      <c r="L2180" s="13" t="str">
        <f>IFERROR(VLOOKUP(C2180,'Справочник соответствий'!A$2:D$2981,3,FALSE),IF(VALUE(C2180)=0,"ЭТАЖ НЕ ОПРЕДЕЛЕН. ПРИНЯТ ПО ДОПУЩЕНИЮ 1",VLOOKUP(C2180,'Справочник соответствий'!A$2:D$2981,3,FALSE)))</f>
        <v>ЭТАЖ ЗАДАН ЧИСЛОМ</v>
      </c>
      <c r="M2180" s="13" t="b">
        <f t="shared" si="232"/>
        <v>0</v>
      </c>
      <c r="N2180" s="13">
        <f t="shared" si="233"/>
        <v>1</v>
      </c>
      <c r="O2180" s="13" t="str">
        <f t="shared" si="234"/>
        <v>ЭТАЖ ЗАДАН ЧИСЛОМ</v>
      </c>
      <c r="P2180" s="13" t="str">
        <f t="shared" si="235"/>
        <v>ЭТАЖ ЗАДАН ЧИСЛОМ</v>
      </c>
      <c r="Q2180" s="13" t="str">
        <f t="shared" si="236"/>
        <v>ГОТОВ_ИЗМЕНЕН</v>
      </c>
      <c r="R2180" s="13">
        <f>IFERROR(VLOOKUP(P2180,Лист1!A$1:B$20,2,FALSE),0)</f>
        <v>784</v>
      </c>
      <c r="S2180" s="13">
        <f t="shared" si="237"/>
        <v>0</v>
      </c>
    </row>
    <row r="2181" spans="1:19" x14ac:dyDescent="0.25">
      <c r="A2181" s="24" t="s">
        <v>3310</v>
      </c>
      <c r="B2181" s="4" t="s">
        <v>1063</v>
      </c>
      <c r="C2181" s="25" t="s">
        <v>5</v>
      </c>
      <c r="G2181" s="25" t="s">
        <v>1230</v>
      </c>
      <c r="H2181" s="24" t="s">
        <v>1061</v>
      </c>
      <c r="I2181" s="3" t="str">
        <f>IFERROR(VLOOKUP(C2181,'Справочник соответствий'!A$2:D$2981,2,FALSE),IF(VALUE(C2181)=0,1,VLOOKUP(C2181,'Справочник соответствий'!A$2:D$2981,2,FALSE)))</f>
        <v>1</v>
      </c>
      <c r="J2181" s="3">
        <f>IFERROR(VLOOKUP(D2181,'Справочник соответствий'!A$2:D$2981,2,FALSE),IF(VALUE(D2181)=0,0,VLOOKUP(D2181,'Справочник соответствий'!A$2:D$2981,2,FALSE)))</f>
        <v>0</v>
      </c>
      <c r="K2181" s="3" t="str">
        <f t="shared" ref="K2181:K2244" si="238">IF(B2181="Многоквартирный дом",IF(I2181-J2181&gt;0,I2181-J2181,1),I2181)</f>
        <v>1</v>
      </c>
      <c r="L2181" s="13" t="str">
        <f>IFERROR(VLOOKUP(C2181,'Справочник соответствий'!A$2:D$2981,3,FALSE),IF(VALUE(C2181)=0,"ЭТАЖ НЕ ОПРЕДЕЛЕН. ПРИНЯТ ПО ДОПУЩЕНИЮ 1",VLOOKUP(C2181,'Справочник соответствий'!A$2:D$2981,3,FALSE)))</f>
        <v>ЭТАЖ ЗАДАН ЧИСЛОМ</v>
      </c>
      <c r="M2181" s="13" t="b">
        <f t="shared" ref="M2181:M2244" si="239">I2181=E2181</f>
        <v>0</v>
      </c>
      <c r="N2181" s="13">
        <f t="shared" ref="N2181:N2244" si="240">IF(VALUE(E2181)=0,VALUE(K2181),IF(L2181="ЭТАЖ НЕ ОПРЕДЕЛЕН. ПРИНЯТ ПО ДОПУЩЕНИЮ 1",VALUE(E2181),VALUE(K2181)))</f>
        <v>1</v>
      </c>
      <c r="O2181" s="13" t="str">
        <f t="shared" ref="O2181:O2244" si="241">IF(VALUE(E2181)=0,L2181,IF(L2181="ЭТАЖ НЕ ОПРЕДЕЛЕН. ПРИНЯТ ПО ДОПУЩЕНИЮ 1",F2181,L2181))</f>
        <v>ЭТАЖ ЗАДАН ЧИСЛОМ</v>
      </c>
      <c r="P2181" s="13" t="str">
        <f t="shared" ref="P2181:P2244" si="242">IF(B2181="Многоквартирный дом",CONCATENATE("МКД_",O2181),O2181)</f>
        <v>ЭТАЖ ЗАДАН ЧИСЛОМ</v>
      </c>
      <c r="Q2181" s="13" t="str">
        <f t="shared" ref="Q2181:Q2244" si="243">IFERROR(IF(N2181&gt;0,IF(N2181=VALUE(E2181),"ГОТОВ","ГОТОВ_ИЗМЕНЕН"),"НЕ ГОТОВ"),"НЕ ГОТОВ")</f>
        <v>ГОТОВ_ИЗМЕНЕН</v>
      </c>
      <c r="R2181" s="13">
        <f>IFERROR(VLOOKUP(P2181,Лист1!A$1:B$20,2,FALSE),0)</f>
        <v>784</v>
      </c>
      <c r="S2181" s="13">
        <f t="shared" ref="S2181:S2244" si="244">VALUE(E2181)</f>
        <v>0</v>
      </c>
    </row>
    <row r="2182" spans="1:19" x14ac:dyDescent="0.25">
      <c r="A2182" s="24" t="s">
        <v>3311</v>
      </c>
      <c r="B2182" s="4" t="s">
        <v>1059</v>
      </c>
      <c r="C2182" s="25" t="s">
        <v>7</v>
      </c>
      <c r="G2182" s="25" t="s">
        <v>1193</v>
      </c>
      <c r="H2182" s="24" t="s">
        <v>1061</v>
      </c>
      <c r="I2182" s="3" t="str">
        <f>IFERROR(VLOOKUP(C2182,'Справочник соответствий'!A$2:D$2981,2,FALSE),IF(VALUE(C2182)=0,1,VLOOKUP(C2182,'Справочник соответствий'!A$2:D$2981,2,FALSE)))</f>
        <v>2</v>
      </c>
      <c r="J2182" s="3">
        <f>IFERROR(VLOOKUP(D2182,'Справочник соответствий'!A$2:D$2981,2,FALSE),IF(VALUE(D2182)=0,0,VLOOKUP(D2182,'Справочник соответствий'!A$2:D$2981,2,FALSE)))</f>
        <v>0</v>
      </c>
      <c r="K2182" s="3" t="str">
        <f t="shared" si="238"/>
        <v>2</v>
      </c>
      <c r="L2182" s="13" t="str">
        <f>IFERROR(VLOOKUP(C2182,'Справочник соответствий'!A$2:D$2981,3,FALSE),IF(VALUE(C2182)=0,"ЭТАЖ НЕ ОПРЕДЕЛЕН. ПРИНЯТ ПО ДОПУЩЕНИЮ 1",VLOOKUP(C2182,'Справочник соответствий'!A$2:D$2981,3,FALSE)))</f>
        <v>ЭТАЖ ЗАДАН ЧИСЛОМ</v>
      </c>
      <c r="M2182" s="13" t="b">
        <f t="shared" si="239"/>
        <v>0</v>
      </c>
      <c r="N2182" s="13">
        <f t="shared" si="240"/>
        <v>2</v>
      </c>
      <c r="O2182" s="13" t="str">
        <f t="shared" si="241"/>
        <v>ЭТАЖ ЗАДАН ЧИСЛОМ</v>
      </c>
      <c r="P2182" s="13" t="str">
        <f t="shared" si="242"/>
        <v>ЭТАЖ ЗАДАН ЧИСЛОМ</v>
      </c>
      <c r="Q2182" s="13" t="str">
        <f t="shared" si="243"/>
        <v>ГОТОВ_ИЗМЕНЕН</v>
      </c>
      <c r="R2182" s="13">
        <f>IFERROR(VLOOKUP(P2182,Лист1!A$1:B$20,2,FALSE),0)</f>
        <v>784</v>
      </c>
      <c r="S2182" s="13">
        <f t="shared" si="244"/>
        <v>0</v>
      </c>
    </row>
    <row r="2183" spans="1:19" x14ac:dyDescent="0.25">
      <c r="A2183" s="24" t="s">
        <v>3312</v>
      </c>
      <c r="B2183" s="4" t="s">
        <v>1059</v>
      </c>
      <c r="C2183" s="25" t="s">
        <v>5</v>
      </c>
      <c r="G2183" s="25" t="s">
        <v>1230</v>
      </c>
      <c r="H2183" s="24" t="s">
        <v>1061</v>
      </c>
      <c r="I2183" s="3" t="str">
        <f>IFERROR(VLOOKUP(C2183,'Справочник соответствий'!A$2:D$2981,2,FALSE),IF(VALUE(C2183)=0,1,VLOOKUP(C2183,'Справочник соответствий'!A$2:D$2981,2,FALSE)))</f>
        <v>1</v>
      </c>
      <c r="J2183" s="3">
        <f>IFERROR(VLOOKUP(D2183,'Справочник соответствий'!A$2:D$2981,2,FALSE),IF(VALUE(D2183)=0,0,VLOOKUP(D2183,'Справочник соответствий'!A$2:D$2981,2,FALSE)))</f>
        <v>0</v>
      </c>
      <c r="K2183" s="3" t="str">
        <f t="shared" si="238"/>
        <v>1</v>
      </c>
      <c r="L2183" s="13" t="str">
        <f>IFERROR(VLOOKUP(C2183,'Справочник соответствий'!A$2:D$2981,3,FALSE),IF(VALUE(C2183)=0,"ЭТАЖ НЕ ОПРЕДЕЛЕН. ПРИНЯТ ПО ДОПУЩЕНИЮ 1",VLOOKUP(C2183,'Справочник соответствий'!A$2:D$2981,3,FALSE)))</f>
        <v>ЭТАЖ ЗАДАН ЧИСЛОМ</v>
      </c>
      <c r="M2183" s="13" t="b">
        <f t="shared" si="239"/>
        <v>0</v>
      </c>
      <c r="N2183" s="13">
        <f t="shared" si="240"/>
        <v>1</v>
      </c>
      <c r="O2183" s="13" t="str">
        <f t="shared" si="241"/>
        <v>ЭТАЖ ЗАДАН ЧИСЛОМ</v>
      </c>
      <c r="P2183" s="13" t="str">
        <f t="shared" si="242"/>
        <v>ЭТАЖ ЗАДАН ЧИСЛОМ</v>
      </c>
      <c r="Q2183" s="13" t="str">
        <f t="shared" si="243"/>
        <v>ГОТОВ_ИЗМЕНЕН</v>
      </c>
      <c r="R2183" s="13">
        <f>IFERROR(VLOOKUP(P2183,Лист1!A$1:B$20,2,FALSE),0)</f>
        <v>784</v>
      </c>
      <c r="S2183" s="13">
        <f t="shared" si="244"/>
        <v>0</v>
      </c>
    </row>
    <row r="2184" spans="1:19" x14ac:dyDescent="0.25">
      <c r="A2184" s="24" t="s">
        <v>3313</v>
      </c>
      <c r="B2184" s="4" t="s">
        <v>1059</v>
      </c>
      <c r="C2184" s="25" t="s">
        <v>5</v>
      </c>
      <c r="G2184" s="25" t="s">
        <v>1230</v>
      </c>
      <c r="H2184" s="24" t="s">
        <v>1061</v>
      </c>
      <c r="I2184" s="3" t="str">
        <f>IFERROR(VLOOKUP(C2184,'Справочник соответствий'!A$2:D$2981,2,FALSE),IF(VALUE(C2184)=0,1,VLOOKUP(C2184,'Справочник соответствий'!A$2:D$2981,2,FALSE)))</f>
        <v>1</v>
      </c>
      <c r="J2184" s="3">
        <f>IFERROR(VLOOKUP(D2184,'Справочник соответствий'!A$2:D$2981,2,FALSE),IF(VALUE(D2184)=0,0,VLOOKUP(D2184,'Справочник соответствий'!A$2:D$2981,2,FALSE)))</f>
        <v>0</v>
      </c>
      <c r="K2184" s="3" t="str">
        <f t="shared" si="238"/>
        <v>1</v>
      </c>
      <c r="L2184" s="13" t="str">
        <f>IFERROR(VLOOKUP(C2184,'Справочник соответствий'!A$2:D$2981,3,FALSE),IF(VALUE(C2184)=0,"ЭТАЖ НЕ ОПРЕДЕЛЕН. ПРИНЯТ ПО ДОПУЩЕНИЮ 1",VLOOKUP(C2184,'Справочник соответствий'!A$2:D$2981,3,FALSE)))</f>
        <v>ЭТАЖ ЗАДАН ЧИСЛОМ</v>
      </c>
      <c r="M2184" s="13" t="b">
        <f t="shared" si="239"/>
        <v>0</v>
      </c>
      <c r="N2184" s="13">
        <f t="shared" si="240"/>
        <v>1</v>
      </c>
      <c r="O2184" s="13" t="str">
        <f t="shared" si="241"/>
        <v>ЭТАЖ ЗАДАН ЧИСЛОМ</v>
      </c>
      <c r="P2184" s="13" t="str">
        <f t="shared" si="242"/>
        <v>ЭТАЖ ЗАДАН ЧИСЛОМ</v>
      </c>
      <c r="Q2184" s="13" t="str">
        <f t="shared" si="243"/>
        <v>ГОТОВ_ИЗМЕНЕН</v>
      </c>
      <c r="R2184" s="13">
        <f>IFERROR(VLOOKUP(P2184,Лист1!A$1:B$20,2,FALSE),0)</f>
        <v>784</v>
      </c>
      <c r="S2184" s="13">
        <f t="shared" si="244"/>
        <v>0</v>
      </c>
    </row>
    <row r="2185" spans="1:19" x14ac:dyDescent="0.25">
      <c r="A2185" s="24" t="s">
        <v>3314</v>
      </c>
      <c r="B2185" s="4" t="s">
        <v>1063</v>
      </c>
      <c r="C2185" s="25" t="s">
        <v>5</v>
      </c>
      <c r="G2185" s="25" t="s">
        <v>1230</v>
      </c>
      <c r="H2185" s="24" t="s">
        <v>1061</v>
      </c>
      <c r="I2185" s="3" t="str">
        <f>IFERROR(VLOOKUP(C2185,'Справочник соответствий'!A$2:D$2981,2,FALSE),IF(VALUE(C2185)=0,1,VLOOKUP(C2185,'Справочник соответствий'!A$2:D$2981,2,FALSE)))</f>
        <v>1</v>
      </c>
      <c r="J2185" s="3">
        <f>IFERROR(VLOOKUP(D2185,'Справочник соответствий'!A$2:D$2981,2,FALSE),IF(VALUE(D2185)=0,0,VLOOKUP(D2185,'Справочник соответствий'!A$2:D$2981,2,FALSE)))</f>
        <v>0</v>
      </c>
      <c r="K2185" s="3" t="str">
        <f t="shared" si="238"/>
        <v>1</v>
      </c>
      <c r="L2185" s="13" t="str">
        <f>IFERROR(VLOOKUP(C2185,'Справочник соответствий'!A$2:D$2981,3,FALSE),IF(VALUE(C2185)=0,"ЭТАЖ НЕ ОПРЕДЕЛЕН. ПРИНЯТ ПО ДОПУЩЕНИЮ 1",VLOOKUP(C2185,'Справочник соответствий'!A$2:D$2981,3,FALSE)))</f>
        <v>ЭТАЖ ЗАДАН ЧИСЛОМ</v>
      </c>
      <c r="M2185" s="13" t="b">
        <f t="shared" si="239"/>
        <v>0</v>
      </c>
      <c r="N2185" s="13">
        <f t="shared" si="240"/>
        <v>1</v>
      </c>
      <c r="O2185" s="13" t="str">
        <f t="shared" si="241"/>
        <v>ЭТАЖ ЗАДАН ЧИСЛОМ</v>
      </c>
      <c r="P2185" s="13" t="str">
        <f t="shared" si="242"/>
        <v>ЭТАЖ ЗАДАН ЧИСЛОМ</v>
      </c>
      <c r="Q2185" s="13" t="str">
        <f t="shared" si="243"/>
        <v>ГОТОВ_ИЗМЕНЕН</v>
      </c>
      <c r="R2185" s="13">
        <f>IFERROR(VLOOKUP(P2185,Лист1!A$1:B$20,2,FALSE),0)</f>
        <v>784</v>
      </c>
      <c r="S2185" s="13">
        <f t="shared" si="244"/>
        <v>0</v>
      </c>
    </row>
    <row r="2186" spans="1:19" x14ac:dyDescent="0.25">
      <c r="A2186" s="24" t="s">
        <v>3315</v>
      </c>
      <c r="B2186" s="4" t="s">
        <v>1063</v>
      </c>
      <c r="C2186" s="25" t="s">
        <v>7</v>
      </c>
      <c r="G2186" s="25" t="s">
        <v>1230</v>
      </c>
      <c r="H2186" s="24" t="s">
        <v>1061</v>
      </c>
      <c r="I2186" s="3" t="str">
        <f>IFERROR(VLOOKUP(C2186,'Справочник соответствий'!A$2:D$2981,2,FALSE),IF(VALUE(C2186)=0,1,VLOOKUP(C2186,'Справочник соответствий'!A$2:D$2981,2,FALSE)))</f>
        <v>2</v>
      </c>
      <c r="J2186" s="3">
        <f>IFERROR(VLOOKUP(D2186,'Справочник соответствий'!A$2:D$2981,2,FALSE),IF(VALUE(D2186)=0,0,VLOOKUP(D2186,'Справочник соответствий'!A$2:D$2981,2,FALSE)))</f>
        <v>0</v>
      </c>
      <c r="K2186" s="3" t="str">
        <f t="shared" si="238"/>
        <v>2</v>
      </c>
      <c r="L2186" s="13" t="str">
        <f>IFERROR(VLOOKUP(C2186,'Справочник соответствий'!A$2:D$2981,3,FALSE),IF(VALUE(C2186)=0,"ЭТАЖ НЕ ОПРЕДЕЛЕН. ПРИНЯТ ПО ДОПУЩЕНИЮ 1",VLOOKUP(C2186,'Справочник соответствий'!A$2:D$2981,3,FALSE)))</f>
        <v>ЭТАЖ ЗАДАН ЧИСЛОМ</v>
      </c>
      <c r="M2186" s="13" t="b">
        <f t="shared" si="239"/>
        <v>0</v>
      </c>
      <c r="N2186" s="13">
        <f t="shared" si="240"/>
        <v>2</v>
      </c>
      <c r="O2186" s="13" t="str">
        <f t="shared" si="241"/>
        <v>ЭТАЖ ЗАДАН ЧИСЛОМ</v>
      </c>
      <c r="P2186" s="13" t="str">
        <f t="shared" si="242"/>
        <v>ЭТАЖ ЗАДАН ЧИСЛОМ</v>
      </c>
      <c r="Q2186" s="13" t="str">
        <f t="shared" si="243"/>
        <v>ГОТОВ_ИЗМЕНЕН</v>
      </c>
      <c r="R2186" s="13">
        <f>IFERROR(VLOOKUP(P2186,Лист1!A$1:B$20,2,FALSE),0)</f>
        <v>784</v>
      </c>
      <c r="S2186" s="13">
        <f t="shared" si="244"/>
        <v>0</v>
      </c>
    </row>
    <row r="2187" spans="1:19" x14ac:dyDescent="0.25">
      <c r="A2187" s="24" t="s">
        <v>3316</v>
      </c>
      <c r="B2187" s="4" t="s">
        <v>1059</v>
      </c>
      <c r="C2187" s="25" t="s">
        <v>5</v>
      </c>
      <c r="G2187" s="25" t="s">
        <v>1067</v>
      </c>
      <c r="H2187" s="24" t="s">
        <v>1061</v>
      </c>
      <c r="I2187" s="3" t="str">
        <f>IFERROR(VLOOKUP(C2187,'Справочник соответствий'!A$2:D$2981,2,FALSE),IF(VALUE(C2187)=0,1,VLOOKUP(C2187,'Справочник соответствий'!A$2:D$2981,2,FALSE)))</f>
        <v>1</v>
      </c>
      <c r="J2187" s="3">
        <f>IFERROR(VLOOKUP(D2187,'Справочник соответствий'!A$2:D$2981,2,FALSE),IF(VALUE(D2187)=0,0,VLOOKUP(D2187,'Справочник соответствий'!A$2:D$2981,2,FALSE)))</f>
        <v>0</v>
      </c>
      <c r="K2187" s="3" t="str">
        <f t="shared" si="238"/>
        <v>1</v>
      </c>
      <c r="L2187" s="13" t="str">
        <f>IFERROR(VLOOKUP(C2187,'Справочник соответствий'!A$2:D$2981,3,FALSE),IF(VALUE(C2187)=0,"ЭТАЖ НЕ ОПРЕДЕЛЕН. ПРИНЯТ ПО ДОПУЩЕНИЮ 1",VLOOKUP(C2187,'Справочник соответствий'!A$2:D$2981,3,FALSE)))</f>
        <v>ЭТАЖ ЗАДАН ЧИСЛОМ</v>
      </c>
      <c r="M2187" s="13" t="b">
        <f t="shared" si="239"/>
        <v>0</v>
      </c>
      <c r="N2187" s="13">
        <f t="shared" si="240"/>
        <v>1</v>
      </c>
      <c r="O2187" s="13" t="str">
        <f t="shared" si="241"/>
        <v>ЭТАЖ ЗАДАН ЧИСЛОМ</v>
      </c>
      <c r="P2187" s="13" t="str">
        <f t="shared" si="242"/>
        <v>ЭТАЖ ЗАДАН ЧИСЛОМ</v>
      </c>
      <c r="Q2187" s="13" t="str">
        <f t="shared" si="243"/>
        <v>ГОТОВ_ИЗМЕНЕН</v>
      </c>
      <c r="R2187" s="13">
        <f>IFERROR(VLOOKUP(P2187,Лист1!A$1:B$20,2,FALSE),0)</f>
        <v>784</v>
      </c>
      <c r="S2187" s="13">
        <f t="shared" si="244"/>
        <v>0</v>
      </c>
    </row>
    <row r="2188" spans="1:19" x14ac:dyDescent="0.25">
      <c r="A2188" s="24" t="s">
        <v>3317</v>
      </c>
      <c r="B2188" s="4" t="s">
        <v>1059</v>
      </c>
      <c r="C2188" s="25" t="s">
        <v>5</v>
      </c>
      <c r="G2188" s="25" t="s">
        <v>1067</v>
      </c>
      <c r="H2188" s="24" t="s">
        <v>1061</v>
      </c>
      <c r="I2188" s="3" t="str">
        <f>IFERROR(VLOOKUP(C2188,'Справочник соответствий'!A$2:D$2981,2,FALSE),IF(VALUE(C2188)=0,1,VLOOKUP(C2188,'Справочник соответствий'!A$2:D$2981,2,FALSE)))</f>
        <v>1</v>
      </c>
      <c r="J2188" s="3">
        <f>IFERROR(VLOOKUP(D2188,'Справочник соответствий'!A$2:D$2981,2,FALSE),IF(VALUE(D2188)=0,0,VLOOKUP(D2188,'Справочник соответствий'!A$2:D$2981,2,FALSE)))</f>
        <v>0</v>
      </c>
      <c r="K2188" s="3" t="str">
        <f t="shared" si="238"/>
        <v>1</v>
      </c>
      <c r="L2188" s="13" t="str">
        <f>IFERROR(VLOOKUP(C2188,'Справочник соответствий'!A$2:D$2981,3,FALSE),IF(VALUE(C2188)=0,"ЭТАЖ НЕ ОПРЕДЕЛЕН. ПРИНЯТ ПО ДОПУЩЕНИЮ 1",VLOOKUP(C2188,'Справочник соответствий'!A$2:D$2981,3,FALSE)))</f>
        <v>ЭТАЖ ЗАДАН ЧИСЛОМ</v>
      </c>
      <c r="M2188" s="13" t="b">
        <f t="shared" si="239"/>
        <v>0</v>
      </c>
      <c r="N2188" s="13">
        <f t="shared" si="240"/>
        <v>1</v>
      </c>
      <c r="O2188" s="13" t="str">
        <f t="shared" si="241"/>
        <v>ЭТАЖ ЗАДАН ЧИСЛОМ</v>
      </c>
      <c r="P2188" s="13" t="str">
        <f t="shared" si="242"/>
        <v>ЭТАЖ ЗАДАН ЧИСЛОМ</v>
      </c>
      <c r="Q2188" s="13" t="str">
        <f t="shared" si="243"/>
        <v>ГОТОВ_ИЗМЕНЕН</v>
      </c>
      <c r="R2188" s="13">
        <f>IFERROR(VLOOKUP(P2188,Лист1!A$1:B$20,2,FALSE),0)</f>
        <v>784</v>
      </c>
      <c r="S2188" s="13">
        <f t="shared" si="244"/>
        <v>0</v>
      </c>
    </row>
    <row r="2189" spans="1:19" x14ac:dyDescent="0.25">
      <c r="A2189" s="24" t="s">
        <v>3318</v>
      </c>
      <c r="B2189" s="4" t="s">
        <v>1059</v>
      </c>
      <c r="C2189" s="25" t="s">
        <v>7</v>
      </c>
      <c r="G2189" s="25" t="s">
        <v>1067</v>
      </c>
      <c r="H2189" s="24" t="s">
        <v>1061</v>
      </c>
      <c r="I2189" s="3" t="str">
        <f>IFERROR(VLOOKUP(C2189,'Справочник соответствий'!A$2:D$2981,2,FALSE),IF(VALUE(C2189)=0,1,VLOOKUP(C2189,'Справочник соответствий'!A$2:D$2981,2,FALSE)))</f>
        <v>2</v>
      </c>
      <c r="J2189" s="3">
        <f>IFERROR(VLOOKUP(D2189,'Справочник соответствий'!A$2:D$2981,2,FALSE),IF(VALUE(D2189)=0,0,VLOOKUP(D2189,'Справочник соответствий'!A$2:D$2981,2,FALSE)))</f>
        <v>0</v>
      </c>
      <c r="K2189" s="3" t="str">
        <f t="shared" si="238"/>
        <v>2</v>
      </c>
      <c r="L2189" s="13" t="str">
        <f>IFERROR(VLOOKUP(C2189,'Справочник соответствий'!A$2:D$2981,3,FALSE),IF(VALUE(C2189)=0,"ЭТАЖ НЕ ОПРЕДЕЛЕН. ПРИНЯТ ПО ДОПУЩЕНИЮ 1",VLOOKUP(C2189,'Справочник соответствий'!A$2:D$2981,3,FALSE)))</f>
        <v>ЭТАЖ ЗАДАН ЧИСЛОМ</v>
      </c>
      <c r="M2189" s="13" t="b">
        <f t="shared" si="239"/>
        <v>0</v>
      </c>
      <c r="N2189" s="13">
        <f t="shared" si="240"/>
        <v>2</v>
      </c>
      <c r="O2189" s="13" t="str">
        <f t="shared" si="241"/>
        <v>ЭТАЖ ЗАДАН ЧИСЛОМ</v>
      </c>
      <c r="P2189" s="13" t="str">
        <f t="shared" si="242"/>
        <v>ЭТАЖ ЗАДАН ЧИСЛОМ</v>
      </c>
      <c r="Q2189" s="13" t="str">
        <f t="shared" si="243"/>
        <v>ГОТОВ_ИЗМЕНЕН</v>
      </c>
      <c r="R2189" s="13">
        <f>IFERROR(VLOOKUP(P2189,Лист1!A$1:B$20,2,FALSE),0)</f>
        <v>784</v>
      </c>
      <c r="S2189" s="13">
        <f t="shared" si="244"/>
        <v>0</v>
      </c>
    </row>
    <row r="2190" spans="1:19" x14ac:dyDescent="0.25">
      <c r="A2190" s="24" t="s">
        <v>3319</v>
      </c>
      <c r="B2190" s="4" t="s">
        <v>1059</v>
      </c>
      <c r="C2190" s="25" t="s">
        <v>7</v>
      </c>
      <c r="G2190" s="25" t="s">
        <v>1067</v>
      </c>
      <c r="H2190" s="24" t="s">
        <v>1061</v>
      </c>
      <c r="I2190" s="3" t="str">
        <f>IFERROR(VLOOKUP(C2190,'Справочник соответствий'!A$2:D$2981,2,FALSE),IF(VALUE(C2190)=0,1,VLOOKUP(C2190,'Справочник соответствий'!A$2:D$2981,2,FALSE)))</f>
        <v>2</v>
      </c>
      <c r="J2190" s="3">
        <f>IFERROR(VLOOKUP(D2190,'Справочник соответствий'!A$2:D$2981,2,FALSE),IF(VALUE(D2190)=0,0,VLOOKUP(D2190,'Справочник соответствий'!A$2:D$2981,2,FALSE)))</f>
        <v>0</v>
      </c>
      <c r="K2190" s="3" t="str">
        <f t="shared" si="238"/>
        <v>2</v>
      </c>
      <c r="L2190" s="13" t="str">
        <f>IFERROR(VLOOKUP(C2190,'Справочник соответствий'!A$2:D$2981,3,FALSE),IF(VALUE(C2190)=0,"ЭТАЖ НЕ ОПРЕДЕЛЕН. ПРИНЯТ ПО ДОПУЩЕНИЮ 1",VLOOKUP(C2190,'Справочник соответствий'!A$2:D$2981,3,FALSE)))</f>
        <v>ЭТАЖ ЗАДАН ЧИСЛОМ</v>
      </c>
      <c r="M2190" s="13" t="b">
        <f t="shared" si="239"/>
        <v>0</v>
      </c>
      <c r="N2190" s="13">
        <f t="shared" si="240"/>
        <v>2</v>
      </c>
      <c r="O2190" s="13" t="str">
        <f t="shared" si="241"/>
        <v>ЭТАЖ ЗАДАН ЧИСЛОМ</v>
      </c>
      <c r="P2190" s="13" t="str">
        <f t="shared" si="242"/>
        <v>ЭТАЖ ЗАДАН ЧИСЛОМ</v>
      </c>
      <c r="Q2190" s="13" t="str">
        <f t="shared" si="243"/>
        <v>ГОТОВ_ИЗМЕНЕН</v>
      </c>
      <c r="R2190" s="13">
        <f>IFERROR(VLOOKUP(P2190,Лист1!A$1:B$20,2,FALSE),0)</f>
        <v>784</v>
      </c>
      <c r="S2190" s="13">
        <f t="shared" si="244"/>
        <v>0</v>
      </c>
    </row>
    <row r="2191" spans="1:19" x14ac:dyDescent="0.25">
      <c r="A2191" s="24" t="s">
        <v>3320</v>
      </c>
      <c r="B2191" s="4" t="s">
        <v>1059</v>
      </c>
      <c r="C2191" s="25" t="s">
        <v>7</v>
      </c>
      <c r="G2191" s="25" t="s">
        <v>1067</v>
      </c>
      <c r="H2191" s="24" t="s">
        <v>1061</v>
      </c>
      <c r="I2191" s="3" t="str">
        <f>IFERROR(VLOOKUP(C2191,'Справочник соответствий'!A$2:D$2981,2,FALSE),IF(VALUE(C2191)=0,1,VLOOKUP(C2191,'Справочник соответствий'!A$2:D$2981,2,FALSE)))</f>
        <v>2</v>
      </c>
      <c r="J2191" s="3">
        <f>IFERROR(VLOOKUP(D2191,'Справочник соответствий'!A$2:D$2981,2,FALSE),IF(VALUE(D2191)=0,0,VLOOKUP(D2191,'Справочник соответствий'!A$2:D$2981,2,FALSE)))</f>
        <v>0</v>
      </c>
      <c r="K2191" s="3" t="str">
        <f t="shared" si="238"/>
        <v>2</v>
      </c>
      <c r="L2191" s="13" t="str">
        <f>IFERROR(VLOOKUP(C2191,'Справочник соответствий'!A$2:D$2981,3,FALSE),IF(VALUE(C2191)=0,"ЭТАЖ НЕ ОПРЕДЕЛЕН. ПРИНЯТ ПО ДОПУЩЕНИЮ 1",VLOOKUP(C2191,'Справочник соответствий'!A$2:D$2981,3,FALSE)))</f>
        <v>ЭТАЖ ЗАДАН ЧИСЛОМ</v>
      </c>
      <c r="M2191" s="13" t="b">
        <f t="shared" si="239"/>
        <v>0</v>
      </c>
      <c r="N2191" s="13">
        <f t="shared" si="240"/>
        <v>2</v>
      </c>
      <c r="O2191" s="13" t="str">
        <f t="shared" si="241"/>
        <v>ЭТАЖ ЗАДАН ЧИСЛОМ</v>
      </c>
      <c r="P2191" s="13" t="str">
        <f t="shared" si="242"/>
        <v>ЭТАЖ ЗАДАН ЧИСЛОМ</v>
      </c>
      <c r="Q2191" s="13" t="str">
        <f t="shared" si="243"/>
        <v>ГОТОВ_ИЗМЕНЕН</v>
      </c>
      <c r="R2191" s="13">
        <f>IFERROR(VLOOKUP(P2191,Лист1!A$1:B$20,2,FALSE),0)</f>
        <v>784</v>
      </c>
      <c r="S2191" s="13">
        <f t="shared" si="244"/>
        <v>0</v>
      </c>
    </row>
    <row r="2192" spans="1:19" x14ac:dyDescent="0.25">
      <c r="A2192" s="24" t="s">
        <v>3321</v>
      </c>
      <c r="B2192" s="4" t="s">
        <v>1063</v>
      </c>
      <c r="G2192" s="25" t="s">
        <v>1067</v>
      </c>
      <c r="H2192" s="24" t="s">
        <v>1061</v>
      </c>
      <c r="I2192" s="3">
        <f>IFERROR(VLOOKUP(C2192,'Справочник соответствий'!A$2:D$2981,2,FALSE),IF(VALUE(C2192)=0,1,VLOOKUP(C2192,'Справочник соответствий'!A$2:D$2981,2,FALSE)))</f>
        <v>1</v>
      </c>
      <c r="J2192" s="3">
        <f>IFERROR(VLOOKUP(D2192,'Справочник соответствий'!A$2:D$2981,2,FALSE),IF(VALUE(D2192)=0,0,VLOOKUP(D2192,'Справочник соответствий'!A$2:D$2981,2,FALSE)))</f>
        <v>0</v>
      </c>
      <c r="K2192" s="3">
        <f t="shared" si="238"/>
        <v>1</v>
      </c>
      <c r="L2192" s="13" t="str">
        <f>IFERROR(VLOOKUP(C2192,'Справочник соответствий'!A$2:D$2981,3,FALSE),IF(VALUE(C2192)=0,"ЭТАЖ НЕ ОПРЕДЕЛЕН. ПРИНЯТ ПО ДОПУЩЕНИЮ 1",VLOOKUP(C2192,'Справочник соответствий'!A$2:D$2981,3,FALSE)))</f>
        <v>ЭТАЖ НЕ ОПРЕДЕЛЕН. ПРИНЯТ ПО ДОПУЩЕНИЮ 1</v>
      </c>
      <c r="M2192" s="13" t="b">
        <f t="shared" si="239"/>
        <v>0</v>
      </c>
      <c r="N2192" s="13">
        <f t="shared" si="240"/>
        <v>1</v>
      </c>
      <c r="O2192" s="13" t="str">
        <f t="shared" si="241"/>
        <v>ЭТАЖ НЕ ОПРЕДЕЛЕН. ПРИНЯТ ПО ДОПУЩЕНИЮ 1</v>
      </c>
      <c r="P2192" s="13" t="str">
        <f t="shared" si="242"/>
        <v>ЭТАЖ НЕ ОПРЕДЕЛЕН. ПРИНЯТ ПО ДОПУЩЕНИЮ 1</v>
      </c>
      <c r="Q2192" s="13" t="str">
        <f t="shared" si="243"/>
        <v>ГОТОВ_ИЗМЕНЕН</v>
      </c>
      <c r="R2192" s="13">
        <f>IFERROR(VLOOKUP(P2192,Лист1!A$1:B$20,2,FALSE),0)</f>
        <v>788</v>
      </c>
      <c r="S2192" s="13">
        <f t="shared" si="244"/>
        <v>0</v>
      </c>
    </row>
    <row r="2193" spans="1:19" x14ac:dyDescent="0.25">
      <c r="A2193" s="24" t="s">
        <v>3322</v>
      </c>
      <c r="B2193" s="4" t="s">
        <v>1059</v>
      </c>
      <c r="C2193" s="25" t="s">
        <v>5</v>
      </c>
      <c r="G2193" s="25" t="s">
        <v>1072</v>
      </c>
      <c r="H2193" s="24" t="s">
        <v>1061</v>
      </c>
      <c r="I2193" s="3" t="str">
        <f>IFERROR(VLOOKUP(C2193,'Справочник соответствий'!A$2:D$2981,2,FALSE),IF(VALUE(C2193)=0,1,VLOOKUP(C2193,'Справочник соответствий'!A$2:D$2981,2,FALSE)))</f>
        <v>1</v>
      </c>
      <c r="J2193" s="3">
        <f>IFERROR(VLOOKUP(D2193,'Справочник соответствий'!A$2:D$2981,2,FALSE),IF(VALUE(D2193)=0,0,VLOOKUP(D2193,'Справочник соответствий'!A$2:D$2981,2,FALSE)))</f>
        <v>0</v>
      </c>
      <c r="K2193" s="3" t="str">
        <f t="shared" si="238"/>
        <v>1</v>
      </c>
      <c r="L2193" s="13" t="str">
        <f>IFERROR(VLOOKUP(C2193,'Справочник соответствий'!A$2:D$2981,3,FALSE),IF(VALUE(C2193)=0,"ЭТАЖ НЕ ОПРЕДЕЛЕН. ПРИНЯТ ПО ДОПУЩЕНИЮ 1",VLOOKUP(C2193,'Справочник соответствий'!A$2:D$2981,3,FALSE)))</f>
        <v>ЭТАЖ ЗАДАН ЧИСЛОМ</v>
      </c>
      <c r="M2193" s="13" t="b">
        <f t="shared" si="239"/>
        <v>0</v>
      </c>
      <c r="N2193" s="13">
        <f t="shared" si="240"/>
        <v>1</v>
      </c>
      <c r="O2193" s="13" t="str">
        <f t="shared" si="241"/>
        <v>ЭТАЖ ЗАДАН ЧИСЛОМ</v>
      </c>
      <c r="P2193" s="13" t="str">
        <f t="shared" si="242"/>
        <v>ЭТАЖ ЗАДАН ЧИСЛОМ</v>
      </c>
      <c r="Q2193" s="13" t="str">
        <f t="shared" si="243"/>
        <v>ГОТОВ_ИЗМЕНЕН</v>
      </c>
      <c r="R2193" s="13">
        <f>IFERROR(VLOOKUP(P2193,Лист1!A$1:B$20,2,FALSE),0)</f>
        <v>784</v>
      </c>
      <c r="S2193" s="13">
        <f t="shared" si="244"/>
        <v>0</v>
      </c>
    </row>
    <row r="2194" spans="1:19" x14ac:dyDescent="0.25">
      <c r="A2194" s="24" t="s">
        <v>3323</v>
      </c>
      <c r="B2194" s="4" t="s">
        <v>1063</v>
      </c>
      <c r="C2194" s="25" t="s">
        <v>7</v>
      </c>
      <c r="D2194" s="25" t="s">
        <v>5</v>
      </c>
      <c r="G2194" s="25" t="s">
        <v>1067</v>
      </c>
      <c r="H2194" s="24" t="s">
        <v>1061</v>
      </c>
      <c r="I2194" s="3" t="str">
        <f>IFERROR(VLOOKUP(C2194,'Справочник соответствий'!A$2:D$2981,2,FALSE),IF(VALUE(C2194)=0,1,VLOOKUP(C2194,'Справочник соответствий'!A$2:D$2981,2,FALSE)))</f>
        <v>2</v>
      </c>
      <c r="J2194" s="3" t="str">
        <f>IFERROR(VLOOKUP(D2194,'Справочник соответствий'!A$2:D$2981,2,FALSE),IF(VALUE(D2194)=0,0,VLOOKUP(D2194,'Справочник соответствий'!A$2:D$2981,2,FALSE)))</f>
        <v>1</v>
      </c>
      <c r="K2194" s="3" t="str">
        <f t="shared" si="238"/>
        <v>2</v>
      </c>
      <c r="L2194" s="13" t="str">
        <f>IFERROR(VLOOKUP(C2194,'Справочник соответствий'!A$2:D$2981,3,FALSE),IF(VALUE(C2194)=0,"ЭТАЖ НЕ ОПРЕДЕЛЕН. ПРИНЯТ ПО ДОПУЩЕНИЮ 1",VLOOKUP(C2194,'Справочник соответствий'!A$2:D$2981,3,FALSE)))</f>
        <v>ЭТАЖ ЗАДАН ЧИСЛОМ</v>
      </c>
      <c r="M2194" s="13" t="b">
        <f t="shared" si="239"/>
        <v>0</v>
      </c>
      <c r="N2194" s="13">
        <f t="shared" si="240"/>
        <v>2</v>
      </c>
      <c r="O2194" s="13" t="str">
        <f t="shared" si="241"/>
        <v>ЭТАЖ ЗАДАН ЧИСЛОМ</v>
      </c>
      <c r="P2194" s="13" t="str">
        <f t="shared" si="242"/>
        <v>ЭТАЖ ЗАДАН ЧИСЛОМ</v>
      </c>
      <c r="Q2194" s="13" t="str">
        <f t="shared" si="243"/>
        <v>ГОТОВ_ИЗМЕНЕН</v>
      </c>
      <c r="R2194" s="13">
        <f>IFERROR(VLOOKUP(P2194,Лист1!A$1:B$20,2,FALSE),0)</f>
        <v>784</v>
      </c>
      <c r="S2194" s="13">
        <f t="shared" si="244"/>
        <v>0</v>
      </c>
    </row>
    <row r="2195" spans="1:19" x14ac:dyDescent="0.25">
      <c r="A2195" s="24" t="s">
        <v>3324</v>
      </c>
      <c r="B2195" s="4" t="s">
        <v>1063</v>
      </c>
      <c r="C2195" s="25" t="s">
        <v>5</v>
      </c>
      <c r="G2195" s="25" t="s">
        <v>1086</v>
      </c>
      <c r="H2195" s="24" t="s">
        <v>1061</v>
      </c>
      <c r="I2195" s="3" t="str">
        <f>IFERROR(VLOOKUP(C2195,'Справочник соответствий'!A$2:D$2981,2,FALSE),IF(VALUE(C2195)=0,1,VLOOKUP(C2195,'Справочник соответствий'!A$2:D$2981,2,FALSE)))</f>
        <v>1</v>
      </c>
      <c r="J2195" s="3">
        <f>IFERROR(VLOOKUP(D2195,'Справочник соответствий'!A$2:D$2981,2,FALSE),IF(VALUE(D2195)=0,0,VLOOKUP(D2195,'Справочник соответствий'!A$2:D$2981,2,FALSE)))</f>
        <v>0</v>
      </c>
      <c r="K2195" s="3" t="str">
        <f t="shared" si="238"/>
        <v>1</v>
      </c>
      <c r="L2195" s="13" t="str">
        <f>IFERROR(VLOOKUP(C2195,'Справочник соответствий'!A$2:D$2981,3,FALSE),IF(VALUE(C2195)=0,"ЭТАЖ НЕ ОПРЕДЕЛЕН. ПРИНЯТ ПО ДОПУЩЕНИЮ 1",VLOOKUP(C2195,'Справочник соответствий'!A$2:D$2981,3,FALSE)))</f>
        <v>ЭТАЖ ЗАДАН ЧИСЛОМ</v>
      </c>
      <c r="M2195" s="13" t="b">
        <f t="shared" si="239"/>
        <v>0</v>
      </c>
      <c r="N2195" s="13">
        <f t="shared" si="240"/>
        <v>1</v>
      </c>
      <c r="O2195" s="13" t="str">
        <f t="shared" si="241"/>
        <v>ЭТАЖ ЗАДАН ЧИСЛОМ</v>
      </c>
      <c r="P2195" s="13" t="str">
        <f t="shared" si="242"/>
        <v>ЭТАЖ ЗАДАН ЧИСЛОМ</v>
      </c>
      <c r="Q2195" s="13" t="str">
        <f t="shared" si="243"/>
        <v>ГОТОВ_ИЗМЕНЕН</v>
      </c>
      <c r="R2195" s="13">
        <f>IFERROR(VLOOKUP(P2195,Лист1!A$1:B$20,2,FALSE),0)</f>
        <v>784</v>
      </c>
      <c r="S2195" s="13">
        <f t="shared" si="244"/>
        <v>0</v>
      </c>
    </row>
    <row r="2196" spans="1:19" x14ac:dyDescent="0.25">
      <c r="A2196" s="24" t="s">
        <v>3325</v>
      </c>
      <c r="B2196" s="4" t="s">
        <v>1063</v>
      </c>
      <c r="G2196" s="25" t="s">
        <v>1086</v>
      </c>
      <c r="H2196" s="24" t="s">
        <v>1061</v>
      </c>
      <c r="I2196" s="3">
        <f>IFERROR(VLOOKUP(C2196,'Справочник соответствий'!A$2:D$2981,2,FALSE),IF(VALUE(C2196)=0,1,VLOOKUP(C2196,'Справочник соответствий'!A$2:D$2981,2,FALSE)))</f>
        <v>1</v>
      </c>
      <c r="J2196" s="3">
        <f>IFERROR(VLOOKUP(D2196,'Справочник соответствий'!A$2:D$2981,2,FALSE),IF(VALUE(D2196)=0,0,VLOOKUP(D2196,'Справочник соответствий'!A$2:D$2981,2,FALSE)))</f>
        <v>0</v>
      </c>
      <c r="K2196" s="3">
        <f t="shared" si="238"/>
        <v>1</v>
      </c>
      <c r="L2196" s="13" t="str">
        <f>IFERROR(VLOOKUP(C2196,'Справочник соответствий'!A$2:D$2981,3,FALSE),IF(VALUE(C2196)=0,"ЭТАЖ НЕ ОПРЕДЕЛЕН. ПРИНЯТ ПО ДОПУЩЕНИЮ 1",VLOOKUP(C2196,'Справочник соответствий'!A$2:D$2981,3,FALSE)))</f>
        <v>ЭТАЖ НЕ ОПРЕДЕЛЕН. ПРИНЯТ ПО ДОПУЩЕНИЮ 1</v>
      </c>
      <c r="M2196" s="13" t="b">
        <f t="shared" si="239"/>
        <v>0</v>
      </c>
      <c r="N2196" s="13">
        <f t="shared" si="240"/>
        <v>1</v>
      </c>
      <c r="O2196" s="13" t="str">
        <f t="shared" si="241"/>
        <v>ЭТАЖ НЕ ОПРЕДЕЛЕН. ПРИНЯТ ПО ДОПУЩЕНИЮ 1</v>
      </c>
      <c r="P2196" s="13" t="str">
        <f t="shared" si="242"/>
        <v>ЭТАЖ НЕ ОПРЕДЕЛЕН. ПРИНЯТ ПО ДОПУЩЕНИЮ 1</v>
      </c>
      <c r="Q2196" s="13" t="str">
        <f t="shared" si="243"/>
        <v>ГОТОВ_ИЗМЕНЕН</v>
      </c>
      <c r="R2196" s="13">
        <f>IFERROR(VLOOKUP(P2196,Лист1!A$1:B$20,2,FALSE),0)</f>
        <v>788</v>
      </c>
      <c r="S2196" s="13">
        <f t="shared" si="244"/>
        <v>0</v>
      </c>
    </row>
    <row r="2197" spans="1:19" x14ac:dyDescent="0.25">
      <c r="A2197" s="24" t="s">
        <v>3326</v>
      </c>
      <c r="B2197" s="4" t="s">
        <v>1059</v>
      </c>
      <c r="C2197" s="25" t="s">
        <v>7</v>
      </c>
      <c r="G2197" s="25" t="s">
        <v>1086</v>
      </c>
      <c r="H2197" s="24" t="s">
        <v>1061</v>
      </c>
      <c r="I2197" s="3" t="str">
        <f>IFERROR(VLOOKUP(C2197,'Справочник соответствий'!A$2:D$2981,2,FALSE),IF(VALUE(C2197)=0,1,VLOOKUP(C2197,'Справочник соответствий'!A$2:D$2981,2,FALSE)))</f>
        <v>2</v>
      </c>
      <c r="J2197" s="3">
        <f>IFERROR(VLOOKUP(D2197,'Справочник соответствий'!A$2:D$2981,2,FALSE),IF(VALUE(D2197)=0,0,VLOOKUP(D2197,'Справочник соответствий'!A$2:D$2981,2,FALSE)))</f>
        <v>0</v>
      </c>
      <c r="K2197" s="3" t="str">
        <f t="shared" si="238"/>
        <v>2</v>
      </c>
      <c r="L2197" s="13" t="str">
        <f>IFERROR(VLOOKUP(C2197,'Справочник соответствий'!A$2:D$2981,3,FALSE),IF(VALUE(C2197)=0,"ЭТАЖ НЕ ОПРЕДЕЛЕН. ПРИНЯТ ПО ДОПУЩЕНИЮ 1",VLOOKUP(C2197,'Справочник соответствий'!A$2:D$2981,3,FALSE)))</f>
        <v>ЭТАЖ ЗАДАН ЧИСЛОМ</v>
      </c>
      <c r="M2197" s="13" t="b">
        <f t="shared" si="239"/>
        <v>0</v>
      </c>
      <c r="N2197" s="13">
        <f t="shared" si="240"/>
        <v>2</v>
      </c>
      <c r="O2197" s="13" t="str">
        <f t="shared" si="241"/>
        <v>ЭТАЖ ЗАДАН ЧИСЛОМ</v>
      </c>
      <c r="P2197" s="13" t="str">
        <f t="shared" si="242"/>
        <v>ЭТАЖ ЗАДАН ЧИСЛОМ</v>
      </c>
      <c r="Q2197" s="13" t="str">
        <f t="shared" si="243"/>
        <v>ГОТОВ_ИЗМЕНЕН</v>
      </c>
      <c r="R2197" s="13">
        <f>IFERROR(VLOOKUP(P2197,Лист1!A$1:B$20,2,FALSE),0)</f>
        <v>784</v>
      </c>
      <c r="S2197" s="13">
        <f t="shared" si="244"/>
        <v>0</v>
      </c>
    </row>
    <row r="2198" spans="1:19" x14ac:dyDescent="0.25">
      <c r="A2198" s="24" t="s">
        <v>3327</v>
      </c>
      <c r="B2198" s="4" t="s">
        <v>1063</v>
      </c>
      <c r="C2198" s="25" t="s">
        <v>5</v>
      </c>
      <c r="G2198" s="25" t="s">
        <v>1086</v>
      </c>
      <c r="H2198" s="24" t="s">
        <v>1061</v>
      </c>
      <c r="I2198" s="3" t="str">
        <f>IFERROR(VLOOKUP(C2198,'Справочник соответствий'!A$2:D$2981,2,FALSE),IF(VALUE(C2198)=0,1,VLOOKUP(C2198,'Справочник соответствий'!A$2:D$2981,2,FALSE)))</f>
        <v>1</v>
      </c>
      <c r="J2198" s="3">
        <f>IFERROR(VLOOKUP(D2198,'Справочник соответствий'!A$2:D$2981,2,FALSE),IF(VALUE(D2198)=0,0,VLOOKUP(D2198,'Справочник соответствий'!A$2:D$2981,2,FALSE)))</f>
        <v>0</v>
      </c>
      <c r="K2198" s="3" t="str">
        <f t="shared" si="238"/>
        <v>1</v>
      </c>
      <c r="L2198" s="13" t="str">
        <f>IFERROR(VLOOKUP(C2198,'Справочник соответствий'!A$2:D$2981,3,FALSE),IF(VALUE(C2198)=0,"ЭТАЖ НЕ ОПРЕДЕЛЕН. ПРИНЯТ ПО ДОПУЩЕНИЮ 1",VLOOKUP(C2198,'Справочник соответствий'!A$2:D$2981,3,FALSE)))</f>
        <v>ЭТАЖ ЗАДАН ЧИСЛОМ</v>
      </c>
      <c r="M2198" s="13" t="b">
        <f t="shared" si="239"/>
        <v>0</v>
      </c>
      <c r="N2198" s="13">
        <f t="shared" si="240"/>
        <v>1</v>
      </c>
      <c r="O2198" s="13" t="str">
        <f t="shared" si="241"/>
        <v>ЭТАЖ ЗАДАН ЧИСЛОМ</v>
      </c>
      <c r="P2198" s="13" t="str">
        <f t="shared" si="242"/>
        <v>ЭТАЖ ЗАДАН ЧИСЛОМ</v>
      </c>
      <c r="Q2198" s="13" t="str">
        <f t="shared" si="243"/>
        <v>ГОТОВ_ИЗМЕНЕН</v>
      </c>
      <c r="R2198" s="13">
        <f>IFERROR(VLOOKUP(P2198,Лист1!A$1:B$20,2,FALSE),0)</f>
        <v>784</v>
      </c>
      <c r="S2198" s="13">
        <f t="shared" si="244"/>
        <v>0</v>
      </c>
    </row>
    <row r="2199" spans="1:19" x14ac:dyDescent="0.25">
      <c r="A2199" s="24" t="s">
        <v>3328</v>
      </c>
      <c r="B2199" s="4" t="s">
        <v>1063</v>
      </c>
      <c r="C2199" s="25" t="s">
        <v>5</v>
      </c>
      <c r="G2199" s="25" t="s">
        <v>1086</v>
      </c>
      <c r="H2199" s="24" t="s">
        <v>1061</v>
      </c>
      <c r="I2199" s="3" t="str">
        <f>IFERROR(VLOOKUP(C2199,'Справочник соответствий'!A$2:D$2981,2,FALSE),IF(VALUE(C2199)=0,1,VLOOKUP(C2199,'Справочник соответствий'!A$2:D$2981,2,FALSE)))</f>
        <v>1</v>
      </c>
      <c r="J2199" s="3">
        <f>IFERROR(VLOOKUP(D2199,'Справочник соответствий'!A$2:D$2981,2,FALSE),IF(VALUE(D2199)=0,0,VLOOKUP(D2199,'Справочник соответствий'!A$2:D$2981,2,FALSE)))</f>
        <v>0</v>
      </c>
      <c r="K2199" s="3" t="str">
        <f t="shared" si="238"/>
        <v>1</v>
      </c>
      <c r="L2199" s="13" t="str">
        <f>IFERROR(VLOOKUP(C2199,'Справочник соответствий'!A$2:D$2981,3,FALSE),IF(VALUE(C2199)=0,"ЭТАЖ НЕ ОПРЕДЕЛЕН. ПРИНЯТ ПО ДОПУЩЕНИЮ 1",VLOOKUP(C2199,'Справочник соответствий'!A$2:D$2981,3,FALSE)))</f>
        <v>ЭТАЖ ЗАДАН ЧИСЛОМ</v>
      </c>
      <c r="M2199" s="13" t="b">
        <f t="shared" si="239"/>
        <v>0</v>
      </c>
      <c r="N2199" s="13">
        <f t="shared" si="240"/>
        <v>1</v>
      </c>
      <c r="O2199" s="13" t="str">
        <f t="shared" si="241"/>
        <v>ЭТАЖ ЗАДАН ЧИСЛОМ</v>
      </c>
      <c r="P2199" s="13" t="str">
        <f t="shared" si="242"/>
        <v>ЭТАЖ ЗАДАН ЧИСЛОМ</v>
      </c>
      <c r="Q2199" s="13" t="str">
        <f t="shared" si="243"/>
        <v>ГОТОВ_ИЗМЕНЕН</v>
      </c>
      <c r="R2199" s="13">
        <f>IFERROR(VLOOKUP(P2199,Лист1!A$1:B$20,2,FALSE),0)</f>
        <v>784</v>
      </c>
      <c r="S2199" s="13">
        <f t="shared" si="244"/>
        <v>0</v>
      </c>
    </row>
    <row r="2200" spans="1:19" x14ac:dyDescent="0.25">
      <c r="A2200" s="24" t="s">
        <v>3329</v>
      </c>
      <c r="B2200" s="4" t="s">
        <v>1063</v>
      </c>
      <c r="C2200" s="25" t="s">
        <v>5</v>
      </c>
      <c r="G2200" s="25" t="s">
        <v>1086</v>
      </c>
      <c r="H2200" s="24" t="s">
        <v>1061</v>
      </c>
      <c r="I2200" s="3" t="str">
        <f>IFERROR(VLOOKUP(C2200,'Справочник соответствий'!A$2:D$2981,2,FALSE),IF(VALUE(C2200)=0,1,VLOOKUP(C2200,'Справочник соответствий'!A$2:D$2981,2,FALSE)))</f>
        <v>1</v>
      </c>
      <c r="J2200" s="3">
        <f>IFERROR(VLOOKUP(D2200,'Справочник соответствий'!A$2:D$2981,2,FALSE),IF(VALUE(D2200)=0,0,VLOOKUP(D2200,'Справочник соответствий'!A$2:D$2981,2,FALSE)))</f>
        <v>0</v>
      </c>
      <c r="K2200" s="3" t="str">
        <f t="shared" si="238"/>
        <v>1</v>
      </c>
      <c r="L2200" s="13" t="str">
        <f>IFERROR(VLOOKUP(C2200,'Справочник соответствий'!A$2:D$2981,3,FALSE),IF(VALUE(C2200)=0,"ЭТАЖ НЕ ОПРЕДЕЛЕН. ПРИНЯТ ПО ДОПУЩЕНИЮ 1",VLOOKUP(C2200,'Справочник соответствий'!A$2:D$2981,3,FALSE)))</f>
        <v>ЭТАЖ ЗАДАН ЧИСЛОМ</v>
      </c>
      <c r="M2200" s="13" t="b">
        <f t="shared" si="239"/>
        <v>0</v>
      </c>
      <c r="N2200" s="13">
        <f t="shared" si="240"/>
        <v>1</v>
      </c>
      <c r="O2200" s="13" t="str">
        <f t="shared" si="241"/>
        <v>ЭТАЖ ЗАДАН ЧИСЛОМ</v>
      </c>
      <c r="P2200" s="13" t="str">
        <f t="shared" si="242"/>
        <v>ЭТАЖ ЗАДАН ЧИСЛОМ</v>
      </c>
      <c r="Q2200" s="13" t="str">
        <f t="shared" si="243"/>
        <v>ГОТОВ_ИЗМЕНЕН</v>
      </c>
      <c r="R2200" s="13">
        <f>IFERROR(VLOOKUP(P2200,Лист1!A$1:B$20,2,FALSE),0)</f>
        <v>784</v>
      </c>
      <c r="S2200" s="13">
        <f t="shared" si="244"/>
        <v>0</v>
      </c>
    </row>
    <row r="2201" spans="1:19" x14ac:dyDescent="0.25">
      <c r="A2201" s="24" t="s">
        <v>3330</v>
      </c>
      <c r="B2201" s="4" t="s">
        <v>1059</v>
      </c>
      <c r="C2201" s="25" t="s">
        <v>5</v>
      </c>
      <c r="G2201" s="25" t="s">
        <v>1086</v>
      </c>
      <c r="H2201" s="24" t="s">
        <v>1061</v>
      </c>
      <c r="I2201" s="3" t="str">
        <f>IFERROR(VLOOKUP(C2201,'Справочник соответствий'!A$2:D$2981,2,FALSE),IF(VALUE(C2201)=0,1,VLOOKUP(C2201,'Справочник соответствий'!A$2:D$2981,2,FALSE)))</f>
        <v>1</v>
      </c>
      <c r="J2201" s="3">
        <f>IFERROR(VLOOKUP(D2201,'Справочник соответствий'!A$2:D$2981,2,FALSE),IF(VALUE(D2201)=0,0,VLOOKUP(D2201,'Справочник соответствий'!A$2:D$2981,2,FALSE)))</f>
        <v>0</v>
      </c>
      <c r="K2201" s="3" t="str">
        <f t="shared" si="238"/>
        <v>1</v>
      </c>
      <c r="L2201" s="13" t="str">
        <f>IFERROR(VLOOKUP(C2201,'Справочник соответствий'!A$2:D$2981,3,FALSE),IF(VALUE(C2201)=0,"ЭТАЖ НЕ ОПРЕДЕЛЕН. ПРИНЯТ ПО ДОПУЩЕНИЮ 1",VLOOKUP(C2201,'Справочник соответствий'!A$2:D$2981,3,FALSE)))</f>
        <v>ЭТАЖ ЗАДАН ЧИСЛОМ</v>
      </c>
      <c r="M2201" s="13" t="b">
        <f t="shared" si="239"/>
        <v>0</v>
      </c>
      <c r="N2201" s="13">
        <f t="shared" si="240"/>
        <v>1</v>
      </c>
      <c r="O2201" s="13" t="str">
        <f t="shared" si="241"/>
        <v>ЭТАЖ ЗАДАН ЧИСЛОМ</v>
      </c>
      <c r="P2201" s="13" t="str">
        <f t="shared" si="242"/>
        <v>ЭТАЖ ЗАДАН ЧИСЛОМ</v>
      </c>
      <c r="Q2201" s="13" t="str">
        <f t="shared" si="243"/>
        <v>ГОТОВ_ИЗМЕНЕН</v>
      </c>
      <c r="R2201" s="13">
        <f>IFERROR(VLOOKUP(P2201,Лист1!A$1:B$20,2,FALSE),0)</f>
        <v>784</v>
      </c>
      <c r="S2201" s="13">
        <f t="shared" si="244"/>
        <v>0</v>
      </c>
    </row>
    <row r="2202" spans="1:19" x14ac:dyDescent="0.25">
      <c r="A2202" s="24" t="s">
        <v>3331</v>
      </c>
      <c r="B2202" s="4" t="s">
        <v>1063</v>
      </c>
      <c r="C2202" s="25" t="s">
        <v>7</v>
      </c>
      <c r="G2202" s="25" t="s">
        <v>1086</v>
      </c>
      <c r="H2202" s="24" t="s">
        <v>1061</v>
      </c>
      <c r="I2202" s="3" t="str">
        <f>IFERROR(VLOOKUP(C2202,'Справочник соответствий'!A$2:D$2981,2,FALSE),IF(VALUE(C2202)=0,1,VLOOKUP(C2202,'Справочник соответствий'!A$2:D$2981,2,FALSE)))</f>
        <v>2</v>
      </c>
      <c r="J2202" s="3">
        <f>IFERROR(VLOOKUP(D2202,'Справочник соответствий'!A$2:D$2981,2,FALSE),IF(VALUE(D2202)=0,0,VLOOKUP(D2202,'Справочник соответствий'!A$2:D$2981,2,FALSE)))</f>
        <v>0</v>
      </c>
      <c r="K2202" s="3" t="str">
        <f t="shared" si="238"/>
        <v>2</v>
      </c>
      <c r="L2202" s="13" t="str">
        <f>IFERROR(VLOOKUP(C2202,'Справочник соответствий'!A$2:D$2981,3,FALSE),IF(VALUE(C2202)=0,"ЭТАЖ НЕ ОПРЕДЕЛЕН. ПРИНЯТ ПО ДОПУЩЕНИЮ 1",VLOOKUP(C2202,'Справочник соответствий'!A$2:D$2981,3,FALSE)))</f>
        <v>ЭТАЖ ЗАДАН ЧИСЛОМ</v>
      </c>
      <c r="M2202" s="13" t="b">
        <f t="shared" si="239"/>
        <v>0</v>
      </c>
      <c r="N2202" s="13">
        <f t="shared" si="240"/>
        <v>2</v>
      </c>
      <c r="O2202" s="13" t="str">
        <f t="shared" si="241"/>
        <v>ЭТАЖ ЗАДАН ЧИСЛОМ</v>
      </c>
      <c r="P2202" s="13" t="str">
        <f t="shared" si="242"/>
        <v>ЭТАЖ ЗАДАН ЧИСЛОМ</v>
      </c>
      <c r="Q2202" s="13" t="str">
        <f t="shared" si="243"/>
        <v>ГОТОВ_ИЗМЕНЕН</v>
      </c>
      <c r="R2202" s="13">
        <f>IFERROR(VLOOKUP(P2202,Лист1!A$1:B$20,2,FALSE),0)</f>
        <v>784</v>
      </c>
      <c r="S2202" s="13">
        <f t="shared" si="244"/>
        <v>0</v>
      </c>
    </row>
    <row r="2203" spans="1:19" x14ac:dyDescent="0.25">
      <c r="A2203" s="24" t="s">
        <v>3332</v>
      </c>
      <c r="B2203" s="4" t="s">
        <v>1059</v>
      </c>
      <c r="C2203" s="25" t="s">
        <v>5</v>
      </c>
      <c r="G2203" s="25" t="s">
        <v>1080</v>
      </c>
      <c r="H2203" s="24" t="s">
        <v>1061</v>
      </c>
      <c r="I2203" s="3" t="str">
        <f>IFERROR(VLOOKUP(C2203,'Справочник соответствий'!A$2:D$2981,2,FALSE),IF(VALUE(C2203)=0,1,VLOOKUP(C2203,'Справочник соответствий'!A$2:D$2981,2,FALSE)))</f>
        <v>1</v>
      </c>
      <c r="J2203" s="3">
        <f>IFERROR(VLOOKUP(D2203,'Справочник соответствий'!A$2:D$2981,2,FALSE),IF(VALUE(D2203)=0,0,VLOOKUP(D2203,'Справочник соответствий'!A$2:D$2981,2,FALSE)))</f>
        <v>0</v>
      </c>
      <c r="K2203" s="3" t="str">
        <f t="shared" si="238"/>
        <v>1</v>
      </c>
      <c r="L2203" s="13" t="str">
        <f>IFERROR(VLOOKUP(C2203,'Справочник соответствий'!A$2:D$2981,3,FALSE),IF(VALUE(C2203)=0,"ЭТАЖ НЕ ОПРЕДЕЛЕН. ПРИНЯТ ПО ДОПУЩЕНИЮ 1",VLOOKUP(C2203,'Справочник соответствий'!A$2:D$2981,3,FALSE)))</f>
        <v>ЭТАЖ ЗАДАН ЧИСЛОМ</v>
      </c>
      <c r="M2203" s="13" t="b">
        <f t="shared" si="239"/>
        <v>0</v>
      </c>
      <c r="N2203" s="13">
        <f t="shared" si="240"/>
        <v>1</v>
      </c>
      <c r="O2203" s="13" t="str">
        <f t="shared" si="241"/>
        <v>ЭТАЖ ЗАДАН ЧИСЛОМ</v>
      </c>
      <c r="P2203" s="13" t="str">
        <f t="shared" si="242"/>
        <v>ЭТАЖ ЗАДАН ЧИСЛОМ</v>
      </c>
      <c r="Q2203" s="13" t="str">
        <f t="shared" si="243"/>
        <v>ГОТОВ_ИЗМЕНЕН</v>
      </c>
      <c r="R2203" s="13">
        <f>IFERROR(VLOOKUP(P2203,Лист1!A$1:B$20,2,FALSE),0)</f>
        <v>784</v>
      </c>
      <c r="S2203" s="13">
        <f t="shared" si="244"/>
        <v>0</v>
      </c>
    </row>
    <row r="2204" spans="1:19" x14ac:dyDescent="0.25">
      <c r="A2204" s="24" t="s">
        <v>3333</v>
      </c>
      <c r="B2204" s="4" t="s">
        <v>1059</v>
      </c>
      <c r="C2204" s="25" t="s">
        <v>5</v>
      </c>
      <c r="G2204" s="25" t="s">
        <v>1080</v>
      </c>
      <c r="H2204" s="24" t="s">
        <v>1061</v>
      </c>
      <c r="I2204" s="3" t="str">
        <f>IFERROR(VLOOKUP(C2204,'Справочник соответствий'!A$2:D$2981,2,FALSE),IF(VALUE(C2204)=0,1,VLOOKUP(C2204,'Справочник соответствий'!A$2:D$2981,2,FALSE)))</f>
        <v>1</v>
      </c>
      <c r="J2204" s="3">
        <f>IFERROR(VLOOKUP(D2204,'Справочник соответствий'!A$2:D$2981,2,FALSE),IF(VALUE(D2204)=0,0,VLOOKUP(D2204,'Справочник соответствий'!A$2:D$2981,2,FALSE)))</f>
        <v>0</v>
      </c>
      <c r="K2204" s="3" t="str">
        <f t="shared" si="238"/>
        <v>1</v>
      </c>
      <c r="L2204" s="13" t="str">
        <f>IFERROR(VLOOKUP(C2204,'Справочник соответствий'!A$2:D$2981,3,FALSE),IF(VALUE(C2204)=0,"ЭТАЖ НЕ ОПРЕДЕЛЕН. ПРИНЯТ ПО ДОПУЩЕНИЮ 1",VLOOKUP(C2204,'Справочник соответствий'!A$2:D$2981,3,FALSE)))</f>
        <v>ЭТАЖ ЗАДАН ЧИСЛОМ</v>
      </c>
      <c r="M2204" s="13" t="b">
        <f t="shared" si="239"/>
        <v>0</v>
      </c>
      <c r="N2204" s="13">
        <f t="shared" si="240"/>
        <v>1</v>
      </c>
      <c r="O2204" s="13" t="str">
        <f t="shared" si="241"/>
        <v>ЭТАЖ ЗАДАН ЧИСЛОМ</v>
      </c>
      <c r="P2204" s="13" t="str">
        <f t="shared" si="242"/>
        <v>ЭТАЖ ЗАДАН ЧИСЛОМ</v>
      </c>
      <c r="Q2204" s="13" t="str">
        <f t="shared" si="243"/>
        <v>ГОТОВ_ИЗМЕНЕН</v>
      </c>
      <c r="R2204" s="13">
        <f>IFERROR(VLOOKUP(P2204,Лист1!A$1:B$20,2,FALSE),0)</f>
        <v>784</v>
      </c>
      <c r="S2204" s="13">
        <f t="shared" si="244"/>
        <v>0</v>
      </c>
    </row>
    <row r="2205" spans="1:19" x14ac:dyDescent="0.25">
      <c r="A2205" s="24" t="s">
        <v>3334</v>
      </c>
      <c r="B2205" s="4" t="s">
        <v>1059</v>
      </c>
      <c r="C2205" s="25" t="s">
        <v>5</v>
      </c>
      <c r="G2205" s="25" t="s">
        <v>1080</v>
      </c>
      <c r="H2205" s="24" t="s">
        <v>1061</v>
      </c>
      <c r="I2205" s="3" t="str">
        <f>IFERROR(VLOOKUP(C2205,'Справочник соответствий'!A$2:D$2981,2,FALSE),IF(VALUE(C2205)=0,1,VLOOKUP(C2205,'Справочник соответствий'!A$2:D$2981,2,FALSE)))</f>
        <v>1</v>
      </c>
      <c r="J2205" s="3">
        <f>IFERROR(VLOOKUP(D2205,'Справочник соответствий'!A$2:D$2981,2,FALSE),IF(VALUE(D2205)=0,0,VLOOKUP(D2205,'Справочник соответствий'!A$2:D$2981,2,FALSE)))</f>
        <v>0</v>
      </c>
      <c r="K2205" s="3" t="str">
        <f t="shared" si="238"/>
        <v>1</v>
      </c>
      <c r="L2205" s="13" t="str">
        <f>IFERROR(VLOOKUP(C2205,'Справочник соответствий'!A$2:D$2981,3,FALSE),IF(VALUE(C2205)=0,"ЭТАЖ НЕ ОПРЕДЕЛЕН. ПРИНЯТ ПО ДОПУЩЕНИЮ 1",VLOOKUP(C2205,'Справочник соответствий'!A$2:D$2981,3,FALSE)))</f>
        <v>ЭТАЖ ЗАДАН ЧИСЛОМ</v>
      </c>
      <c r="M2205" s="13" t="b">
        <f t="shared" si="239"/>
        <v>0</v>
      </c>
      <c r="N2205" s="13">
        <f t="shared" si="240"/>
        <v>1</v>
      </c>
      <c r="O2205" s="13" t="str">
        <f t="shared" si="241"/>
        <v>ЭТАЖ ЗАДАН ЧИСЛОМ</v>
      </c>
      <c r="P2205" s="13" t="str">
        <f t="shared" si="242"/>
        <v>ЭТАЖ ЗАДАН ЧИСЛОМ</v>
      </c>
      <c r="Q2205" s="13" t="str">
        <f t="shared" si="243"/>
        <v>ГОТОВ_ИЗМЕНЕН</v>
      </c>
      <c r="R2205" s="13">
        <f>IFERROR(VLOOKUP(P2205,Лист1!A$1:B$20,2,FALSE),0)</f>
        <v>784</v>
      </c>
      <c r="S2205" s="13">
        <f t="shared" si="244"/>
        <v>0</v>
      </c>
    </row>
    <row r="2206" spans="1:19" x14ac:dyDescent="0.25">
      <c r="A2206" s="24" t="s">
        <v>3335</v>
      </c>
      <c r="B2206" s="4" t="s">
        <v>1059</v>
      </c>
      <c r="C2206" s="25" t="s">
        <v>7</v>
      </c>
      <c r="G2206" s="25" t="s">
        <v>1080</v>
      </c>
      <c r="H2206" s="24" t="s">
        <v>1061</v>
      </c>
      <c r="I2206" s="3" t="str">
        <f>IFERROR(VLOOKUP(C2206,'Справочник соответствий'!A$2:D$2981,2,FALSE),IF(VALUE(C2206)=0,1,VLOOKUP(C2206,'Справочник соответствий'!A$2:D$2981,2,FALSE)))</f>
        <v>2</v>
      </c>
      <c r="J2206" s="3">
        <f>IFERROR(VLOOKUP(D2206,'Справочник соответствий'!A$2:D$2981,2,FALSE),IF(VALUE(D2206)=0,0,VLOOKUP(D2206,'Справочник соответствий'!A$2:D$2981,2,FALSE)))</f>
        <v>0</v>
      </c>
      <c r="K2206" s="3" t="str">
        <f t="shared" si="238"/>
        <v>2</v>
      </c>
      <c r="L2206" s="13" t="str">
        <f>IFERROR(VLOOKUP(C2206,'Справочник соответствий'!A$2:D$2981,3,FALSE),IF(VALUE(C2206)=0,"ЭТАЖ НЕ ОПРЕДЕЛЕН. ПРИНЯТ ПО ДОПУЩЕНИЮ 1",VLOOKUP(C2206,'Справочник соответствий'!A$2:D$2981,3,FALSE)))</f>
        <v>ЭТАЖ ЗАДАН ЧИСЛОМ</v>
      </c>
      <c r="M2206" s="13" t="b">
        <f t="shared" si="239"/>
        <v>0</v>
      </c>
      <c r="N2206" s="13">
        <f t="shared" si="240"/>
        <v>2</v>
      </c>
      <c r="O2206" s="13" t="str">
        <f t="shared" si="241"/>
        <v>ЭТАЖ ЗАДАН ЧИСЛОМ</v>
      </c>
      <c r="P2206" s="13" t="str">
        <f t="shared" si="242"/>
        <v>ЭТАЖ ЗАДАН ЧИСЛОМ</v>
      </c>
      <c r="Q2206" s="13" t="str">
        <f t="shared" si="243"/>
        <v>ГОТОВ_ИЗМЕНЕН</v>
      </c>
      <c r="R2206" s="13">
        <f>IFERROR(VLOOKUP(P2206,Лист1!A$1:B$20,2,FALSE),0)</f>
        <v>784</v>
      </c>
      <c r="S2206" s="13">
        <f t="shared" si="244"/>
        <v>0</v>
      </c>
    </row>
    <row r="2207" spans="1:19" x14ac:dyDescent="0.25">
      <c r="A2207" s="24" t="s">
        <v>3336</v>
      </c>
      <c r="B2207" s="4" t="s">
        <v>1059</v>
      </c>
      <c r="C2207" s="25" t="s">
        <v>5</v>
      </c>
      <c r="G2207" s="25" t="s">
        <v>1080</v>
      </c>
      <c r="H2207" s="24" t="s">
        <v>1061</v>
      </c>
      <c r="I2207" s="3" t="str">
        <f>IFERROR(VLOOKUP(C2207,'Справочник соответствий'!A$2:D$2981,2,FALSE),IF(VALUE(C2207)=0,1,VLOOKUP(C2207,'Справочник соответствий'!A$2:D$2981,2,FALSE)))</f>
        <v>1</v>
      </c>
      <c r="J2207" s="3">
        <f>IFERROR(VLOOKUP(D2207,'Справочник соответствий'!A$2:D$2981,2,FALSE),IF(VALUE(D2207)=0,0,VLOOKUP(D2207,'Справочник соответствий'!A$2:D$2981,2,FALSE)))</f>
        <v>0</v>
      </c>
      <c r="K2207" s="3" t="str">
        <f t="shared" si="238"/>
        <v>1</v>
      </c>
      <c r="L2207" s="13" t="str">
        <f>IFERROR(VLOOKUP(C2207,'Справочник соответствий'!A$2:D$2981,3,FALSE),IF(VALUE(C2207)=0,"ЭТАЖ НЕ ОПРЕДЕЛЕН. ПРИНЯТ ПО ДОПУЩЕНИЮ 1",VLOOKUP(C2207,'Справочник соответствий'!A$2:D$2981,3,FALSE)))</f>
        <v>ЭТАЖ ЗАДАН ЧИСЛОМ</v>
      </c>
      <c r="M2207" s="13" t="b">
        <f t="shared" si="239"/>
        <v>0</v>
      </c>
      <c r="N2207" s="13">
        <f t="shared" si="240"/>
        <v>1</v>
      </c>
      <c r="O2207" s="13" t="str">
        <f t="shared" si="241"/>
        <v>ЭТАЖ ЗАДАН ЧИСЛОМ</v>
      </c>
      <c r="P2207" s="13" t="str">
        <f t="shared" si="242"/>
        <v>ЭТАЖ ЗАДАН ЧИСЛОМ</v>
      </c>
      <c r="Q2207" s="13" t="str">
        <f t="shared" si="243"/>
        <v>ГОТОВ_ИЗМЕНЕН</v>
      </c>
      <c r="R2207" s="13">
        <f>IFERROR(VLOOKUP(P2207,Лист1!A$1:B$20,2,FALSE),0)</f>
        <v>784</v>
      </c>
      <c r="S2207" s="13">
        <f t="shared" si="244"/>
        <v>0</v>
      </c>
    </row>
    <row r="2208" spans="1:19" x14ac:dyDescent="0.25">
      <c r="A2208" s="24" t="s">
        <v>3337</v>
      </c>
      <c r="B2208" s="4" t="s">
        <v>1063</v>
      </c>
      <c r="C2208" s="25" t="s">
        <v>5</v>
      </c>
      <c r="G2208" s="25" t="s">
        <v>1080</v>
      </c>
      <c r="H2208" s="24" t="s">
        <v>1061</v>
      </c>
      <c r="I2208" s="3" t="str">
        <f>IFERROR(VLOOKUP(C2208,'Справочник соответствий'!A$2:D$2981,2,FALSE),IF(VALUE(C2208)=0,1,VLOOKUP(C2208,'Справочник соответствий'!A$2:D$2981,2,FALSE)))</f>
        <v>1</v>
      </c>
      <c r="J2208" s="3">
        <f>IFERROR(VLOOKUP(D2208,'Справочник соответствий'!A$2:D$2981,2,FALSE),IF(VALUE(D2208)=0,0,VLOOKUP(D2208,'Справочник соответствий'!A$2:D$2981,2,FALSE)))</f>
        <v>0</v>
      </c>
      <c r="K2208" s="3" t="str">
        <f t="shared" si="238"/>
        <v>1</v>
      </c>
      <c r="L2208" s="13" t="str">
        <f>IFERROR(VLOOKUP(C2208,'Справочник соответствий'!A$2:D$2981,3,FALSE),IF(VALUE(C2208)=0,"ЭТАЖ НЕ ОПРЕДЕЛЕН. ПРИНЯТ ПО ДОПУЩЕНИЮ 1",VLOOKUP(C2208,'Справочник соответствий'!A$2:D$2981,3,FALSE)))</f>
        <v>ЭТАЖ ЗАДАН ЧИСЛОМ</v>
      </c>
      <c r="M2208" s="13" t="b">
        <f t="shared" si="239"/>
        <v>0</v>
      </c>
      <c r="N2208" s="13">
        <f t="shared" si="240"/>
        <v>1</v>
      </c>
      <c r="O2208" s="13" t="str">
        <f t="shared" si="241"/>
        <v>ЭТАЖ ЗАДАН ЧИСЛОМ</v>
      </c>
      <c r="P2208" s="13" t="str">
        <f t="shared" si="242"/>
        <v>ЭТАЖ ЗАДАН ЧИСЛОМ</v>
      </c>
      <c r="Q2208" s="13" t="str">
        <f t="shared" si="243"/>
        <v>ГОТОВ_ИЗМЕНЕН</v>
      </c>
      <c r="R2208" s="13">
        <f>IFERROR(VLOOKUP(P2208,Лист1!A$1:B$20,2,FALSE),0)</f>
        <v>784</v>
      </c>
      <c r="S2208" s="13">
        <f t="shared" si="244"/>
        <v>0</v>
      </c>
    </row>
    <row r="2209" spans="1:19" x14ac:dyDescent="0.25">
      <c r="A2209" s="24" t="s">
        <v>3338</v>
      </c>
      <c r="B2209" s="4" t="s">
        <v>1059</v>
      </c>
      <c r="C2209" s="25" t="s">
        <v>7</v>
      </c>
      <c r="G2209" s="25" t="s">
        <v>1080</v>
      </c>
      <c r="H2209" s="24" t="s">
        <v>1061</v>
      </c>
      <c r="I2209" s="3" t="str">
        <f>IFERROR(VLOOKUP(C2209,'Справочник соответствий'!A$2:D$2981,2,FALSE),IF(VALUE(C2209)=0,1,VLOOKUP(C2209,'Справочник соответствий'!A$2:D$2981,2,FALSE)))</f>
        <v>2</v>
      </c>
      <c r="J2209" s="3">
        <f>IFERROR(VLOOKUP(D2209,'Справочник соответствий'!A$2:D$2981,2,FALSE),IF(VALUE(D2209)=0,0,VLOOKUP(D2209,'Справочник соответствий'!A$2:D$2981,2,FALSE)))</f>
        <v>0</v>
      </c>
      <c r="K2209" s="3" t="str">
        <f t="shared" si="238"/>
        <v>2</v>
      </c>
      <c r="L2209" s="13" t="str">
        <f>IFERROR(VLOOKUP(C2209,'Справочник соответствий'!A$2:D$2981,3,FALSE),IF(VALUE(C2209)=0,"ЭТАЖ НЕ ОПРЕДЕЛЕН. ПРИНЯТ ПО ДОПУЩЕНИЮ 1",VLOOKUP(C2209,'Справочник соответствий'!A$2:D$2981,3,FALSE)))</f>
        <v>ЭТАЖ ЗАДАН ЧИСЛОМ</v>
      </c>
      <c r="M2209" s="13" t="b">
        <f t="shared" si="239"/>
        <v>0</v>
      </c>
      <c r="N2209" s="13">
        <f t="shared" si="240"/>
        <v>2</v>
      </c>
      <c r="O2209" s="13" t="str">
        <f t="shared" si="241"/>
        <v>ЭТАЖ ЗАДАН ЧИСЛОМ</v>
      </c>
      <c r="P2209" s="13" t="str">
        <f t="shared" si="242"/>
        <v>ЭТАЖ ЗАДАН ЧИСЛОМ</v>
      </c>
      <c r="Q2209" s="13" t="str">
        <f t="shared" si="243"/>
        <v>ГОТОВ_ИЗМЕНЕН</v>
      </c>
      <c r="R2209" s="13">
        <f>IFERROR(VLOOKUP(P2209,Лист1!A$1:B$20,2,FALSE),0)</f>
        <v>784</v>
      </c>
      <c r="S2209" s="13">
        <f t="shared" si="244"/>
        <v>0</v>
      </c>
    </row>
    <row r="2210" spans="1:19" x14ac:dyDescent="0.25">
      <c r="A2210" s="24" t="s">
        <v>3339</v>
      </c>
      <c r="B2210" s="4" t="s">
        <v>1063</v>
      </c>
      <c r="C2210" s="25" t="s">
        <v>5</v>
      </c>
      <c r="G2210" s="25" t="s">
        <v>1080</v>
      </c>
      <c r="H2210" s="24" t="s">
        <v>1061</v>
      </c>
      <c r="I2210" s="3" t="str">
        <f>IFERROR(VLOOKUP(C2210,'Справочник соответствий'!A$2:D$2981,2,FALSE),IF(VALUE(C2210)=0,1,VLOOKUP(C2210,'Справочник соответствий'!A$2:D$2981,2,FALSE)))</f>
        <v>1</v>
      </c>
      <c r="J2210" s="3">
        <f>IFERROR(VLOOKUP(D2210,'Справочник соответствий'!A$2:D$2981,2,FALSE),IF(VALUE(D2210)=0,0,VLOOKUP(D2210,'Справочник соответствий'!A$2:D$2981,2,FALSE)))</f>
        <v>0</v>
      </c>
      <c r="K2210" s="3" t="str">
        <f t="shared" si="238"/>
        <v>1</v>
      </c>
      <c r="L2210" s="13" t="str">
        <f>IFERROR(VLOOKUP(C2210,'Справочник соответствий'!A$2:D$2981,3,FALSE),IF(VALUE(C2210)=0,"ЭТАЖ НЕ ОПРЕДЕЛЕН. ПРИНЯТ ПО ДОПУЩЕНИЮ 1",VLOOKUP(C2210,'Справочник соответствий'!A$2:D$2981,3,FALSE)))</f>
        <v>ЭТАЖ ЗАДАН ЧИСЛОМ</v>
      </c>
      <c r="M2210" s="13" t="b">
        <f t="shared" si="239"/>
        <v>0</v>
      </c>
      <c r="N2210" s="13">
        <f t="shared" si="240"/>
        <v>1</v>
      </c>
      <c r="O2210" s="13" t="str">
        <f t="shared" si="241"/>
        <v>ЭТАЖ ЗАДАН ЧИСЛОМ</v>
      </c>
      <c r="P2210" s="13" t="str">
        <f t="shared" si="242"/>
        <v>ЭТАЖ ЗАДАН ЧИСЛОМ</v>
      </c>
      <c r="Q2210" s="13" t="str">
        <f t="shared" si="243"/>
        <v>ГОТОВ_ИЗМЕНЕН</v>
      </c>
      <c r="R2210" s="13">
        <f>IFERROR(VLOOKUP(P2210,Лист1!A$1:B$20,2,FALSE),0)</f>
        <v>784</v>
      </c>
      <c r="S2210" s="13">
        <f t="shared" si="244"/>
        <v>0</v>
      </c>
    </row>
    <row r="2211" spans="1:19" x14ac:dyDescent="0.25">
      <c r="A2211" s="24" t="s">
        <v>3340</v>
      </c>
      <c r="B2211" s="4" t="s">
        <v>1059</v>
      </c>
      <c r="C2211" s="25" t="s">
        <v>7</v>
      </c>
      <c r="G2211" s="25" t="s">
        <v>1080</v>
      </c>
      <c r="H2211" s="24" t="s">
        <v>1061</v>
      </c>
      <c r="I2211" s="3" t="str">
        <f>IFERROR(VLOOKUP(C2211,'Справочник соответствий'!A$2:D$2981,2,FALSE),IF(VALUE(C2211)=0,1,VLOOKUP(C2211,'Справочник соответствий'!A$2:D$2981,2,FALSE)))</f>
        <v>2</v>
      </c>
      <c r="J2211" s="3">
        <f>IFERROR(VLOOKUP(D2211,'Справочник соответствий'!A$2:D$2981,2,FALSE),IF(VALUE(D2211)=0,0,VLOOKUP(D2211,'Справочник соответствий'!A$2:D$2981,2,FALSE)))</f>
        <v>0</v>
      </c>
      <c r="K2211" s="3" t="str">
        <f t="shared" si="238"/>
        <v>2</v>
      </c>
      <c r="L2211" s="13" t="str">
        <f>IFERROR(VLOOKUP(C2211,'Справочник соответствий'!A$2:D$2981,3,FALSE),IF(VALUE(C2211)=0,"ЭТАЖ НЕ ОПРЕДЕЛЕН. ПРИНЯТ ПО ДОПУЩЕНИЮ 1",VLOOKUP(C2211,'Справочник соответствий'!A$2:D$2981,3,FALSE)))</f>
        <v>ЭТАЖ ЗАДАН ЧИСЛОМ</v>
      </c>
      <c r="M2211" s="13" t="b">
        <f t="shared" si="239"/>
        <v>0</v>
      </c>
      <c r="N2211" s="13">
        <f t="shared" si="240"/>
        <v>2</v>
      </c>
      <c r="O2211" s="13" t="str">
        <f t="shared" si="241"/>
        <v>ЭТАЖ ЗАДАН ЧИСЛОМ</v>
      </c>
      <c r="P2211" s="13" t="str">
        <f t="shared" si="242"/>
        <v>ЭТАЖ ЗАДАН ЧИСЛОМ</v>
      </c>
      <c r="Q2211" s="13" t="str">
        <f t="shared" si="243"/>
        <v>ГОТОВ_ИЗМЕНЕН</v>
      </c>
      <c r="R2211" s="13">
        <f>IFERROR(VLOOKUP(P2211,Лист1!A$1:B$20,2,FALSE),0)</f>
        <v>784</v>
      </c>
      <c r="S2211" s="13">
        <f t="shared" si="244"/>
        <v>0</v>
      </c>
    </row>
    <row r="2212" spans="1:19" x14ac:dyDescent="0.25">
      <c r="A2212" s="24" t="s">
        <v>3341</v>
      </c>
      <c r="B2212" s="4" t="s">
        <v>1059</v>
      </c>
      <c r="C2212" s="25" t="s">
        <v>5</v>
      </c>
      <c r="G2212" s="25" t="s">
        <v>1080</v>
      </c>
      <c r="H2212" s="24" t="s">
        <v>1061</v>
      </c>
      <c r="I2212" s="3" t="str">
        <f>IFERROR(VLOOKUP(C2212,'Справочник соответствий'!A$2:D$2981,2,FALSE),IF(VALUE(C2212)=0,1,VLOOKUP(C2212,'Справочник соответствий'!A$2:D$2981,2,FALSE)))</f>
        <v>1</v>
      </c>
      <c r="J2212" s="3">
        <f>IFERROR(VLOOKUP(D2212,'Справочник соответствий'!A$2:D$2981,2,FALSE),IF(VALUE(D2212)=0,0,VLOOKUP(D2212,'Справочник соответствий'!A$2:D$2981,2,FALSE)))</f>
        <v>0</v>
      </c>
      <c r="K2212" s="3" t="str">
        <f t="shared" si="238"/>
        <v>1</v>
      </c>
      <c r="L2212" s="13" t="str">
        <f>IFERROR(VLOOKUP(C2212,'Справочник соответствий'!A$2:D$2981,3,FALSE),IF(VALUE(C2212)=0,"ЭТАЖ НЕ ОПРЕДЕЛЕН. ПРИНЯТ ПО ДОПУЩЕНИЮ 1",VLOOKUP(C2212,'Справочник соответствий'!A$2:D$2981,3,FALSE)))</f>
        <v>ЭТАЖ ЗАДАН ЧИСЛОМ</v>
      </c>
      <c r="M2212" s="13" t="b">
        <f t="shared" si="239"/>
        <v>0</v>
      </c>
      <c r="N2212" s="13">
        <f t="shared" si="240"/>
        <v>1</v>
      </c>
      <c r="O2212" s="13" t="str">
        <f t="shared" si="241"/>
        <v>ЭТАЖ ЗАДАН ЧИСЛОМ</v>
      </c>
      <c r="P2212" s="13" t="str">
        <f t="shared" si="242"/>
        <v>ЭТАЖ ЗАДАН ЧИСЛОМ</v>
      </c>
      <c r="Q2212" s="13" t="str">
        <f t="shared" si="243"/>
        <v>ГОТОВ_ИЗМЕНЕН</v>
      </c>
      <c r="R2212" s="13">
        <f>IFERROR(VLOOKUP(P2212,Лист1!A$1:B$20,2,FALSE),0)</f>
        <v>784</v>
      </c>
      <c r="S2212" s="13">
        <f t="shared" si="244"/>
        <v>0</v>
      </c>
    </row>
    <row r="2213" spans="1:19" x14ac:dyDescent="0.25">
      <c r="A2213" s="24" t="s">
        <v>3342</v>
      </c>
      <c r="B2213" s="4" t="s">
        <v>1059</v>
      </c>
      <c r="C2213" s="25" t="s">
        <v>5</v>
      </c>
      <c r="G2213" s="25" t="s">
        <v>1072</v>
      </c>
      <c r="H2213" s="24" t="s">
        <v>1061</v>
      </c>
      <c r="I2213" s="3" t="str">
        <f>IFERROR(VLOOKUP(C2213,'Справочник соответствий'!A$2:D$2981,2,FALSE),IF(VALUE(C2213)=0,1,VLOOKUP(C2213,'Справочник соответствий'!A$2:D$2981,2,FALSE)))</f>
        <v>1</v>
      </c>
      <c r="J2213" s="3">
        <f>IFERROR(VLOOKUP(D2213,'Справочник соответствий'!A$2:D$2981,2,FALSE),IF(VALUE(D2213)=0,0,VLOOKUP(D2213,'Справочник соответствий'!A$2:D$2981,2,FALSE)))</f>
        <v>0</v>
      </c>
      <c r="K2213" s="3" t="str">
        <f t="shared" si="238"/>
        <v>1</v>
      </c>
      <c r="L2213" s="13" t="str">
        <f>IFERROR(VLOOKUP(C2213,'Справочник соответствий'!A$2:D$2981,3,FALSE),IF(VALUE(C2213)=0,"ЭТАЖ НЕ ОПРЕДЕЛЕН. ПРИНЯТ ПО ДОПУЩЕНИЮ 1",VLOOKUP(C2213,'Справочник соответствий'!A$2:D$2981,3,FALSE)))</f>
        <v>ЭТАЖ ЗАДАН ЧИСЛОМ</v>
      </c>
      <c r="M2213" s="13" t="b">
        <f t="shared" si="239"/>
        <v>0</v>
      </c>
      <c r="N2213" s="13">
        <f t="shared" si="240"/>
        <v>1</v>
      </c>
      <c r="O2213" s="13" t="str">
        <f t="shared" si="241"/>
        <v>ЭТАЖ ЗАДАН ЧИСЛОМ</v>
      </c>
      <c r="P2213" s="13" t="str">
        <f t="shared" si="242"/>
        <v>ЭТАЖ ЗАДАН ЧИСЛОМ</v>
      </c>
      <c r="Q2213" s="13" t="str">
        <f t="shared" si="243"/>
        <v>ГОТОВ_ИЗМЕНЕН</v>
      </c>
      <c r="R2213" s="13">
        <f>IFERROR(VLOOKUP(P2213,Лист1!A$1:B$20,2,FALSE),0)</f>
        <v>784</v>
      </c>
      <c r="S2213" s="13">
        <f t="shared" si="244"/>
        <v>0</v>
      </c>
    </row>
    <row r="2214" spans="1:19" x14ac:dyDescent="0.25">
      <c r="A2214" s="24" t="s">
        <v>3343</v>
      </c>
      <c r="B2214" s="4" t="s">
        <v>1063</v>
      </c>
      <c r="C2214" s="25" t="s">
        <v>5</v>
      </c>
      <c r="G2214" s="25" t="s">
        <v>1072</v>
      </c>
      <c r="H2214" s="24" t="s">
        <v>1061</v>
      </c>
      <c r="I2214" s="3" t="str">
        <f>IFERROR(VLOOKUP(C2214,'Справочник соответствий'!A$2:D$2981,2,FALSE),IF(VALUE(C2214)=0,1,VLOOKUP(C2214,'Справочник соответствий'!A$2:D$2981,2,FALSE)))</f>
        <v>1</v>
      </c>
      <c r="J2214" s="3">
        <f>IFERROR(VLOOKUP(D2214,'Справочник соответствий'!A$2:D$2981,2,FALSE),IF(VALUE(D2214)=0,0,VLOOKUP(D2214,'Справочник соответствий'!A$2:D$2981,2,FALSE)))</f>
        <v>0</v>
      </c>
      <c r="K2214" s="3" t="str">
        <f t="shared" si="238"/>
        <v>1</v>
      </c>
      <c r="L2214" s="13" t="str">
        <f>IFERROR(VLOOKUP(C2214,'Справочник соответствий'!A$2:D$2981,3,FALSE),IF(VALUE(C2214)=0,"ЭТАЖ НЕ ОПРЕДЕЛЕН. ПРИНЯТ ПО ДОПУЩЕНИЮ 1",VLOOKUP(C2214,'Справочник соответствий'!A$2:D$2981,3,FALSE)))</f>
        <v>ЭТАЖ ЗАДАН ЧИСЛОМ</v>
      </c>
      <c r="M2214" s="13" t="b">
        <f t="shared" si="239"/>
        <v>0</v>
      </c>
      <c r="N2214" s="13">
        <f t="shared" si="240"/>
        <v>1</v>
      </c>
      <c r="O2214" s="13" t="str">
        <f t="shared" si="241"/>
        <v>ЭТАЖ ЗАДАН ЧИСЛОМ</v>
      </c>
      <c r="P2214" s="13" t="str">
        <f t="shared" si="242"/>
        <v>ЭТАЖ ЗАДАН ЧИСЛОМ</v>
      </c>
      <c r="Q2214" s="13" t="str">
        <f t="shared" si="243"/>
        <v>ГОТОВ_ИЗМЕНЕН</v>
      </c>
      <c r="R2214" s="13">
        <f>IFERROR(VLOOKUP(P2214,Лист1!A$1:B$20,2,FALSE),0)</f>
        <v>784</v>
      </c>
      <c r="S2214" s="13">
        <f t="shared" si="244"/>
        <v>0</v>
      </c>
    </row>
    <row r="2215" spans="1:19" x14ac:dyDescent="0.25">
      <c r="A2215" s="24" t="s">
        <v>3344</v>
      </c>
      <c r="B2215" s="4" t="s">
        <v>1063</v>
      </c>
      <c r="C2215" s="25" t="s">
        <v>12</v>
      </c>
      <c r="D2215" s="25" t="s">
        <v>5</v>
      </c>
      <c r="G2215" s="25" t="s">
        <v>1072</v>
      </c>
      <c r="H2215" s="24" t="s">
        <v>1061</v>
      </c>
      <c r="I2215" s="3" t="str">
        <f>IFERROR(VLOOKUP(C2215,'Справочник соответствий'!A$2:D$2981,2,FALSE),IF(VALUE(C2215)=0,1,VLOOKUP(C2215,'Справочник соответствий'!A$2:D$2981,2,FALSE)))</f>
        <v>4</v>
      </c>
      <c r="J2215" s="3" t="str">
        <f>IFERROR(VLOOKUP(D2215,'Справочник соответствий'!A$2:D$2981,2,FALSE),IF(VALUE(D2215)=0,0,VLOOKUP(D2215,'Справочник соответствий'!A$2:D$2981,2,FALSE)))</f>
        <v>1</v>
      </c>
      <c r="K2215" s="3" t="str">
        <f t="shared" si="238"/>
        <v>4</v>
      </c>
      <c r="L2215" s="13" t="str">
        <f>IFERROR(VLOOKUP(C2215,'Справочник соответствий'!A$2:D$2981,3,FALSE),IF(VALUE(C2215)=0,"ЭТАЖ НЕ ОПРЕДЕЛЕН. ПРИНЯТ ПО ДОПУЩЕНИЮ 1",VLOOKUP(C2215,'Справочник соответствий'!A$2:D$2981,3,FALSE)))</f>
        <v>ЭТАЖ ЗАДАН ЧИСЛОМ</v>
      </c>
      <c r="M2215" s="13" t="b">
        <f t="shared" si="239"/>
        <v>0</v>
      </c>
      <c r="N2215" s="13">
        <f t="shared" si="240"/>
        <v>4</v>
      </c>
      <c r="O2215" s="13" t="str">
        <f t="shared" si="241"/>
        <v>ЭТАЖ ЗАДАН ЧИСЛОМ</v>
      </c>
      <c r="P2215" s="13" t="str">
        <f t="shared" si="242"/>
        <v>ЭТАЖ ЗАДАН ЧИСЛОМ</v>
      </c>
      <c r="Q2215" s="13" t="str">
        <f t="shared" si="243"/>
        <v>ГОТОВ_ИЗМЕНЕН</v>
      </c>
      <c r="R2215" s="13">
        <f>IFERROR(VLOOKUP(P2215,Лист1!A$1:B$20,2,FALSE),0)</f>
        <v>784</v>
      </c>
      <c r="S2215" s="13">
        <f t="shared" si="244"/>
        <v>0</v>
      </c>
    </row>
    <row r="2216" spans="1:19" x14ac:dyDescent="0.25">
      <c r="A2216" s="24" t="s">
        <v>3345</v>
      </c>
      <c r="B2216" s="4" t="s">
        <v>1059</v>
      </c>
      <c r="C2216" s="25" t="s">
        <v>5</v>
      </c>
      <c r="G2216" s="25" t="s">
        <v>1072</v>
      </c>
      <c r="H2216" s="24" t="s">
        <v>1061</v>
      </c>
      <c r="I2216" s="3" t="str">
        <f>IFERROR(VLOOKUP(C2216,'Справочник соответствий'!A$2:D$2981,2,FALSE),IF(VALUE(C2216)=0,1,VLOOKUP(C2216,'Справочник соответствий'!A$2:D$2981,2,FALSE)))</f>
        <v>1</v>
      </c>
      <c r="J2216" s="3">
        <f>IFERROR(VLOOKUP(D2216,'Справочник соответствий'!A$2:D$2981,2,FALSE),IF(VALUE(D2216)=0,0,VLOOKUP(D2216,'Справочник соответствий'!A$2:D$2981,2,FALSE)))</f>
        <v>0</v>
      </c>
      <c r="K2216" s="3" t="str">
        <f t="shared" si="238"/>
        <v>1</v>
      </c>
      <c r="L2216" s="13" t="str">
        <f>IFERROR(VLOOKUP(C2216,'Справочник соответствий'!A$2:D$2981,3,FALSE),IF(VALUE(C2216)=0,"ЭТАЖ НЕ ОПРЕДЕЛЕН. ПРИНЯТ ПО ДОПУЩЕНИЮ 1",VLOOKUP(C2216,'Справочник соответствий'!A$2:D$2981,3,FALSE)))</f>
        <v>ЭТАЖ ЗАДАН ЧИСЛОМ</v>
      </c>
      <c r="M2216" s="13" t="b">
        <f t="shared" si="239"/>
        <v>0</v>
      </c>
      <c r="N2216" s="13">
        <f t="shared" si="240"/>
        <v>1</v>
      </c>
      <c r="O2216" s="13" t="str">
        <f t="shared" si="241"/>
        <v>ЭТАЖ ЗАДАН ЧИСЛОМ</v>
      </c>
      <c r="P2216" s="13" t="str">
        <f t="shared" si="242"/>
        <v>ЭТАЖ ЗАДАН ЧИСЛОМ</v>
      </c>
      <c r="Q2216" s="13" t="str">
        <f t="shared" si="243"/>
        <v>ГОТОВ_ИЗМЕНЕН</v>
      </c>
      <c r="R2216" s="13">
        <f>IFERROR(VLOOKUP(P2216,Лист1!A$1:B$20,2,FALSE),0)</f>
        <v>784</v>
      </c>
      <c r="S2216" s="13">
        <f t="shared" si="244"/>
        <v>0</v>
      </c>
    </row>
    <row r="2217" spans="1:19" x14ac:dyDescent="0.25">
      <c r="A2217" s="24" t="s">
        <v>3346</v>
      </c>
      <c r="B2217" s="4" t="s">
        <v>1059</v>
      </c>
      <c r="C2217" s="25" t="s">
        <v>5</v>
      </c>
      <c r="G2217" s="25" t="s">
        <v>1072</v>
      </c>
      <c r="H2217" s="24" t="s">
        <v>1061</v>
      </c>
      <c r="I2217" s="3" t="str">
        <f>IFERROR(VLOOKUP(C2217,'Справочник соответствий'!A$2:D$2981,2,FALSE),IF(VALUE(C2217)=0,1,VLOOKUP(C2217,'Справочник соответствий'!A$2:D$2981,2,FALSE)))</f>
        <v>1</v>
      </c>
      <c r="J2217" s="3">
        <f>IFERROR(VLOOKUP(D2217,'Справочник соответствий'!A$2:D$2981,2,FALSE),IF(VALUE(D2217)=0,0,VLOOKUP(D2217,'Справочник соответствий'!A$2:D$2981,2,FALSE)))</f>
        <v>0</v>
      </c>
      <c r="K2217" s="3" t="str">
        <f t="shared" si="238"/>
        <v>1</v>
      </c>
      <c r="L2217" s="13" t="str">
        <f>IFERROR(VLOOKUP(C2217,'Справочник соответствий'!A$2:D$2981,3,FALSE),IF(VALUE(C2217)=0,"ЭТАЖ НЕ ОПРЕДЕЛЕН. ПРИНЯТ ПО ДОПУЩЕНИЮ 1",VLOOKUP(C2217,'Справочник соответствий'!A$2:D$2981,3,FALSE)))</f>
        <v>ЭТАЖ ЗАДАН ЧИСЛОМ</v>
      </c>
      <c r="M2217" s="13" t="b">
        <f t="shared" si="239"/>
        <v>0</v>
      </c>
      <c r="N2217" s="13">
        <f t="shared" si="240"/>
        <v>1</v>
      </c>
      <c r="O2217" s="13" t="str">
        <f t="shared" si="241"/>
        <v>ЭТАЖ ЗАДАН ЧИСЛОМ</v>
      </c>
      <c r="P2217" s="13" t="str">
        <f t="shared" si="242"/>
        <v>ЭТАЖ ЗАДАН ЧИСЛОМ</v>
      </c>
      <c r="Q2217" s="13" t="str">
        <f t="shared" si="243"/>
        <v>ГОТОВ_ИЗМЕНЕН</v>
      </c>
      <c r="R2217" s="13">
        <f>IFERROR(VLOOKUP(P2217,Лист1!A$1:B$20,2,FALSE),0)</f>
        <v>784</v>
      </c>
      <c r="S2217" s="13">
        <f t="shared" si="244"/>
        <v>0</v>
      </c>
    </row>
    <row r="2218" spans="1:19" x14ac:dyDescent="0.25">
      <c r="A2218" s="24" t="s">
        <v>3347</v>
      </c>
      <c r="B2218" s="4" t="s">
        <v>1059</v>
      </c>
      <c r="C2218" s="25" t="s">
        <v>7</v>
      </c>
      <c r="D2218" s="25" t="s">
        <v>5</v>
      </c>
      <c r="G2218" s="25" t="s">
        <v>1072</v>
      </c>
      <c r="H2218" s="24" t="s">
        <v>1061</v>
      </c>
      <c r="I2218" s="3" t="str">
        <f>IFERROR(VLOOKUP(C2218,'Справочник соответствий'!A$2:D$2981,2,FALSE),IF(VALUE(C2218)=0,1,VLOOKUP(C2218,'Справочник соответствий'!A$2:D$2981,2,FALSE)))</f>
        <v>2</v>
      </c>
      <c r="J2218" s="3" t="str">
        <f>IFERROR(VLOOKUP(D2218,'Справочник соответствий'!A$2:D$2981,2,FALSE),IF(VALUE(D2218)=0,0,VLOOKUP(D2218,'Справочник соответствий'!A$2:D$2981,2,FALSE)))</f>
        <v>1</v>
      </c>
      <c r="K2218" s="3" t="str">
        <f t="shared" si="238"/>
        <v>2</v>
      </c>
      <c r="L2218" s="13" t="str">
        <f>IFERROR(VLOOKUP(C2218,'Справочник соответствий'!A$2:D$2981,3,FALSE),IF(VALUE(C2218)=0,"ЭТАЖ НЕ ОПРЕДЕЛЕН. ПРИНЯТ ПО ДОПУЩЕНИЮ 1",VLOOKUP(C2218,'Справочник соответствий'!A$2:D$2981,3,FALSE)))</f>
        <v>ЭТАЖ ЗАДАН ЧИСЛОМ</v>
      </c>
      <c r="M2218" s="13" t="b">
        <f t="shared" si="239"/>
        <v>0</v>
      </c>
      <c r="N2218" s="13">
        <f t="shared" si="240"/>
        <v>2</v>
      </c>
      <c r="O2218" s="13" t="str">
        <f t="shared" si="241"/>
        <v>ЭТАЖ ЗАДАН ЧИСЛОМ</v>
      </c>
      <c r="P2218" s="13" t="str">
        <f t="shared" si="242"/>
        <v>ЭТАЖ ЗАДАН ЧИСЛОМ</v>
      </c>
      <c r="Q2218" s="13" t="str">
        <f t="shared" si="243"/>
        <v>ГОТОВ_ИЗМЕНЕН</v>
      </c>
      <c r="R2218" s="13">
        <f>IFERROR(VLOOKUP(P2218,Лист1!A$1:B$20,2,FALSE),0)</f>
        <v>784</v>
      </c>
      <c r="S2218" s="13">
        <f t="shared" si="244"/>
        <v>0</v>
      </c>
    </row>
    <row r="2219" spans="1:19" x14ac:dyDescent="0.25">
      <c r="A2219" s="24" t="s">
        <v>3348</v>
      </c>
      <c r="B2219" s="4" t="s">
        <v>1059</v>
      </c>
      <c r="G2219" s="25" t="s">
        <v>1072</v>
      </c>
      <c r="H2219" s="24" t="s">
        <v>1061</v>
      </c>
      <c r="I2219" s="3">
        <f>IFERROR(VLOOKUP(C2219,'Справочник соответствий'!A$2:D$2981,2,FALSE),IF(VALUE(C2219)=0,1,VLOOKUP(C2219,'Справочник соответствий'!A$2:D$2981,2,FALSE)))</f>
        <v>1</v>
      </c>
      <c r="J2219" s="3">
        <f>IFERROR(VLOOKUP(D2219,'Справочник соответствий'!A$2:D$2981,2,FALSE),IF(VALUE(D2219)=0,0,VLOOKUP(D2219,'Справочник соответствий'!A$2:D$2981,2,FALSE)))</f>
        <v>0</v>
      </c>
      <c r="K2219" s="3">
        <f t="shared" si="238"/>
        <v>1</v>
      </c>
      <c r="L2219" s="13" t="str">
        <f>IFERROR(VLOOKUP(C2219,'Справочник соответствий'!A$2:D$2981,3,FALSE),IF(VALUE(C2219)=0,"ЭТАЖ НЕ ОПРЕДЕЛЕН. ПРИНЯТ ПО ДОПУЩЕНИЮ 1",VLOOKUP(C2219,'Справочник соответствий'!A$2:D$2981,3,FALSE)))</f>
        <v>ЭТАЖ НЕ ОПРЕДЕЛЕН. ПРИНЯТ ПО ДОПУЩЕНИЮ 1</v>
      </c>
      <c r="M2219" s="13" t="b">
        <f t="shared" si="239"/>
        <v>0</v>
      </c>
      <c r="N2219" s="13">
        <f t="shared" si="240"/>
        <v>1</v>
      </c>
      <c r="O2219" s="13" t="str">
        <f t="shared" si="241"/>
        <v>ЭТАЖ НЕ ОПРЕДЕЛЕН. ПРИНЯТ ПО ДОПУЩЕНИЮ 1</v>
      </c>
      <c r="P2219" s="13" t="str">
        <f t="shared" si="242"/>
        <v>ЭТАЖ НЕ ОПРЕДЕЛЕН. ПРИНЯТ ПО ДОПУЩЕНИЮ 1</v>
      </c>
      <c r="Q2219" s="13" t="str">
        <f t="shared" si="243"/>
        <v>ГОТОВ_ИЗМЕНЕН</v>
      </c>
      <c r="R2219" s="13">
        <f>IFERROR(VLOOKUP(P2219,Лист1!A$1:B$20,2,FALSE),0)</f>
        <v>788</v>
      </c>
      <c r="S2219" s="13">
        <f t="shared" si="244"/>
        <v>0</v>
      </c>
    </row>
    <row r="2220" spans="1:19" x14ac:dyDescent="0.25">
      <c r="A2220" s="24" t="s">
        <v>3349</v>
      </c>
      <c r="B2220" s="4" t="s">
        <v>1063</v>
      </c>
      <c r="C2220" s="25" t="s">
        <v>5</v>
      </c>
      <c r="G2220" s="25" t="s">
        <v>1072</v>
      </c>
      <c r="H2220" s="24" t="s">
        <v>1061</v>
      </c>
      <c r="I2220" s="3" t="str">
        <f>IFERROR(VLOOKUP(C2220,'Справочник соответствий'!A$2:D$2981,2,FALSE),IF(VALUE(C2220)=0,1,VLOOKUP(C2220,'Справочник соответствий'!A$2:D$2981,2,FALSE)))</f>
        <v>1</v>
      </c>
      <c r="J2220" s="3">
        <f>IFERROR(VLOOKUP(D2220,'Справочник соответствий'!A$2:D$2981,2,FALSE),IF(VALUE(D2220)=0,0,VLOOKUP(D2220,'Справочник соответствий'!A$2:D$2981,2,FALSE)))</f>
        <v>0</v>
      </c>
      <c r="K2220" s="3" t="str">
        <f t="shared" si="238"/>
        <v>1</v>
      </c>
      <c r="L2220" s="13" t="str">
        <f>IFERROR(VLOOKUP(C2220,'Справочник соответствий'!A$2:D$2981,3,FALSE),IF(VALUE(C2220)=0,"ЭТАЖ НЕ ОПРЕДЕЛЕН. ПРИНЯТ ПО ДОПУЩЕНИЮ 1",VLOOKUP(C2220,'Справочник соответствий'!A$2:D$2981,3,FALSE)))</f>
        <v>ЭТАЖ ЗАДАН ЧИСЛОМ</v>
      </c>
      <c r="M2220" s="13" t="b">
        <f t="shared" si="239"/>
        <v>0</v>
      </c>
      <c r="N2220" s="13">
        <f t="shared" si="240"/>
        <v>1</v>
      </c>
      <c r="O2220" s="13" t="str">
        <f t="shared" si="241"/>
        <v>ЭТАЖ ЗАДАН ЧИСЛОМ</v>
      </c>
      <c r="P2220" s="13" t="str">
        <f t="shared" si="242"/>
        <v>ЭТАЖ ЗАДАН ЧИСЛОМ</v>
      </c>
      <c r="Q2220" s="13" t="str">
        <f t="shared" si="243"/>
        <v>ГОТОВ_ИЗМЕНЕН</v>
      </c>
      <c r="R2220" s="13">
        <f>IFERROR(VLOOKUP(P2220,Лист1!A$1:B$20,2,FALSE),0)</f>
        <v>784</v>
      </c>
      <c r="S2220" s="13">
        <f t="shared" si="244"/>
        <v>0</v>
      </c>
    </row>
    <row r="2221" spans="1:19" x14ac:dyDescent="0.25">
      <c r="A2221" s="24" t="s">
        <v>3350</v>
      </c>
      <c r="B2221" s="4" t="s">
        <v>1059</v>
      </c>
      <c r="C2221" s="25" t="s">
        <v>5</v>
      </c>
      <c r="G2221" s="25" t="s">
        <v>1276</v>
      </c>
      <c r="H2221" s="24" t="s">
        <v>1061</v>
      </c>
      <c r="I2221" s="3" t="str">
        <f>IFERROR(VLOOKUP(C2221,'Справочник соответствий'!A$2:D$2981,2,FALSE),IF(VALUE(C2221)=0,1,VLOOKUP(C2221,'Справочник соответствий'!A$2:D$2981,2,FALSE)))</f>
        <v>1</v>
      </c>
      <c r="J2221" s="3">
        <f>IFERROR(VLOOKUP(D2221,'Справочник соответствий'!A$2:D$2981,2,FALSE),IF(VALUE(D2221)=0,0,VLOOKUP(D2221,'Справочник соответствий'!A$2:D$2981,2,FALSE)))</f>
        <v>0</v>
      </c>
      <c r="K2221" s="3" t="str">
        <f t="shared" si="238"/>
        <v>1</v>
      </c>
      <c r="L2221" s="13" t="str">
        <f>IFERROR(VLOOKUP(C2221,'Справочник соответствий'!A$2:D$2981,3,FALSE),IF(VALUE(C2221)=0,"ЭТАЖ НЕ ОПРЕДЕЛЕН. ПРИНЯТ ПО ДОПУЩЕНИЮ 1",VLOOKUP(C2221,'Справочник соответствий'!A$2:D$2981,3,FALSE)))</f>
        <v>ЭТАЖ ЗАДАН ЧИСЛОМ</v>
      </c>
      <c r="M2221" s="13" t="b">
        <f t="shared" si="239"/>
        <v>0</v>
      </c>
      <c r="N2221" s="13">
        <f t="shared" si="240"/>
        <v>1</v>
      </c>
      <c r="O2221" s="13" t="str">
        <f t="shared" si="241"/>
        <v>ЭТАЖ ЗАДАН ЧИСЛОМ</v>
      </c>
      <c r="P2221" s="13" t="str">
        <f t="shared" si="242"/>
        <v>ЭТАЖ ЗАДАН ЧИСЛОМ</v>
      </c>
      <c r="Q2221" s="13" t="str">
        <f t="shared" si="243"/>
        <v>ГОТОВ_ИЗМЕНЕН</v>
      </c>
      <c r="R2221" s="13">
        <f>IFERROR(VLOOKUP(P2221,Лист1!A$1:B$20,2,FALSE),0)</f>
        <v>784</v>
      </c>
      <c r="S2221" s="13">
        <f t="shared" si="244"/>
        <v>0</v>
      </c>
    </row>
    <row r="2222" spans="1:19" x14ac:dyDescent="0.25">
      <c r="A2222" s="24" t="s">
        <v>3351</v>
      </c>
      <c r="B2222" s="4" t="s">
        <v>1059</v>
      </c>
      <c r="C2222" s="25" t="s">
        <v>7</v>
      </c>
      <c r="G2222" s="25" t="s">
        <v>1072</v>
      </c>
      <c r="H2222" s="24" t="s">
        <v>1061</v>
      </c>
      <c r="I2222" s="3" t="str">
        <f>IFERROR(VLOOKUP(C2222,'Справочник соответствий'!A$2:D$2981,2,FALSE),IF(VALUE(C2222)=0,1,VLOOKUP(C2222,'Справочник соответствий'!A$2:D$2981,2,FALSE)))</f>
        <v>2</v>
      </c>
      <c r="J2222" s="3">
        <f>IFERROR(VLOOKUP(D2222,'Справочник соответствий'!A$2:D$2981,2,FALSE),IF(VALUE(D2222)=0,0,VLOOKUP(D2222,'Справочник соответствий'!A$2:D$2981,2,FALSE)))</f>
        <v>0</v>
      </c>
      <c r="K2222" s="3" t="str">
        <f t="shared" si="238"/>
        <v>2</v>
      </c>
      <c r="L2222" s="13" t="str">
        <f>IFERROR(VLOOKUP(C2222,'Справочник соответствий'!A$2:D$2981,3,FALSE),IF(VALUE(C2222)=0,"ЭТАЖ НЕ ОПРЕДЕЛЕН. ПРИНЯТ ПО ДОПУЩЕНИЮ 1",VLOOKUP(C2222,'Справочник соответствий'!A$2:D$2981,3,FALSE)))</f>
        <v>ЭТАЖ ЗАДАН ЧИСЛОМ</v>
      </c>
      <c r="M2222" s="13" t="b">
        <f t="shared" si="239"/>
        <v>0</v>
      </c>
      <c r="N2222" s="13">
        <f t="shared" si="240"/>
        <v>2</v>
      </c>
      <c r="O2222" s="13" t="str">
        <f t="shared" si="241"/>
        <v>ЭТАЖ ЗАДАН ЧИСЛОМ</v>
      </c>
      <c r="P2222" s="13" t="str">
        <f t="shared" si="242"/>
        <v>ЭТАЖ ЗАДАН ЧИСЛОМ</v>
      </c>
      <c r="Q2222" s="13" t="str">
        <f t="shared" si="243"/>
        <v>ГОТОВ_ИЗМЕНЕН</v>
      </c>
      <c r="R2222" s="13">
        <f>IFERROR(VLOOKUP(P2222,Лист1!A$1:B$20,2,FALSE),0)</f>
        <v>784</v>
      </c>
      <c r="S2222" s="13">
        <f t="shared" si="244"/>
        <v>0</v>
      </c>
    </row>
    <row r="2223" spans="1:19" x14ac:dyDescent="0.25">
      <c r="A2223" s="24" t="s">
        <v>3352</v>
      </c>
      <c r="B2223" s="4" t="s">
        <v>1063</v>
      </c>
      <c r="C2223" s="25" t="s">
        <v>5</v>
      </c>
      <c r="G2223" s="25" t="s">
        <v>1072</v>
      </c>
      <c r="H2223" s="24" t="s">
        <v>1061</v>
      </c>
      <c r="I2223" s="3" t="str">
        <f>IFERROR(VLOOKUP(C2223,'Справочник соответствий'!A$2:D$2981,2,FALSE),IF(VALUE(C2223)=0,1,VLOOKUP(C2223,'Справочник соответствий'!A$2:D$2981,2,FALSE)))</f>
        <v>1</v>
      </c>
      <c r="J2223" s="3">
        <f>IFERROR(VLOOKUP(D2223,'Справочник соответствий'!A$2:D$2981,2,FALSE),IF(VALUE(D2223)=0,0,VLOOKUP(D2223,'Справочник соответствий'!A$2:D$2981,2,FALSE)))</f>
        <v>0</v>
      </c>
      <c r="K2223" s="3" t="str">
        <f t="shared" si="238"/>
        <v>1</v>
      </c>
      <c r="L2223" s="13" t="str">
        <f>IFERROR(VLOOKUP(C2223,'Справочник соответствий'!A$2:D$2981,3,FALSE),IF(VALUE(C2223)=0,"ЭТАЖ НЕ ОПРЕДЕЛЕН. ПРИНЯТ ПО ДОПУЩЕНИЮ 1",VLOOKUP(C2223,'Справочник соответствий'!A$2:D$2981,3,FALSE)))</f>
        <v>ЭТАЖ ЗАДАН ЧИСЛОМ</v>
      </c>
      <c r="M2223" s="13" t="b">
        <f t="shared" si="239"/>
        <v>0</v>
      </c>
      <c r="N2223" s="13">
        <f t="shared" si="240"/>
        <v>1</v>
      </c>
      <c r="O2223" s="13" t="str">
        <f t="shared" si="241"/>
        <v>ЭТАЖ ЗАДАН ЧИСЛОМ</v>
      </c>
      <c r="P2223" s="13" t="str">
        <f t="shared" si="242"/>
        <v>ЭТАЖ ЗАДАН ЧИСЛОМ</v>
      </c>
      <c r="Q2223" s="13" t="str">
        <f t="shared" si="243"/>
        <v>ГОТОВ_ИЗМЕНЕН</v>
      </c>
      <c r="R2223" s="13">
        <f>IFERROR(VLOOKUP(P2223,Лист1!A$1:B$20,2,FALSE),0)</f>
        <v>784</v>
      </c>
      <c r="S2223" s="13">
        <f t="shared" si="244"/>
        <v>0</v>
      </c>
    </row>
    <row r="2224" spans="1:19" x14ac:dyDescent="0.25">
      <c r="A2224" s="24" t="s">
        <v>3353</v>
      </c>
      <c r="B2224" s="4" t="s">
        <v>1063</v>
      </c>
      <c r="C2224" s="25" t="s">
        <v>7</v>
      </c>
      <c r="D2224" s="25" t="s">
        <v>5</v>
      </c>
      <c r="G2224" s="25" t="s">
        <v>1072</v>
      </c>
      <c r="H2224" s="24" t="s">
        <v>1061</v>
      </c>
      <c r="I2224" s="3" t="str">
        <f>IFERROR(VLOOKUP(C2224,'Справочник соответствий'!A$2:D$2981,2,FALSE),IF(VALUE(C2224)=0,1,VLOOKUP(C2224,'Справочник соответствий'!A$2:D$2981,2,FALSE)))</f>
        <v>2</v>
      </c>
      <c r="J2224" s="3" t="str">
        <f>IFERROR(VLOOKUP(D2224,'Справочник соответствий'!A$2:D$2981,2,FALSE),IF(VALUE(D2224)=0,0,VLOOKUP(D2224,'Справочник соответствий'!A$2:D$2981,2,FALSE)))</f>
        <v>1</v>
      </c>
      <c r="K2224" s="3" t="str">
        <f t="shared" si="238"/>
        <v>2</v>
      </c>
      <c r="L2224" s="13" t="str">
        <f>IFERROR(VLOOKUP(C2224,'Справочник соответствий'!A$2:D$2981,3,FALSE),IF(VALUE(C2224)=0,"ЭТАЖ НЕ ОПРЕДЕЛЕН. ПРИНЯТ ПО ДОПУЩЕНИЮ 1",VLOOKUP(C2224,'Справочник соответствий'!A$2:D$2981,3,FALSE)))</f>
        <v>ЭТАЖ ЗАДАН ЧИСЛОМ</v>
      </c>
      <c r="M2224" s="13" t="b">
        <f t="shared" si="239"/>
        <v>0</v>
      </c>
      <c r="N2224" s="13">
        <f t="shared" si="240"/>
        <v>2</v>
      </c>
      <c r="O2224" s="13" t="str">
        <f t="shared" si="241"/>
        <v>ЭТАЖ ЗАДАН ЧИСЛОМ</v>
      </c>
      <c r="P2224" s="13" t="str">
        <f t="shared" si="242"/>
        <v>ЭТАЖ ЗАДАН ЧИСЛОМ</v>
      </c>
      <c r="Q2224" s="13" t="str">
        <f t="shared" si="243"/>
        <v>ГОТОВ_ИЗМЕНЕН</v>
      </c>
      <c r="R2224" s="13">
        <f>IFERROR(VLOOKUP(P2224,Лист1!A$1:B$20,2,FALSE),0)</f>
        <v>784</v>
      </c>
      <c r="S2224" s="13">
        <f t="shared" si="244"/>
        <v>0</v>
      </c>
    </row>
    <row r="2225" spans="1:19" x14ac:dyDescent="0.25">
      <c r="A2225" s="24" t="s">
        <v>3354</v>
      </c>
      <c r="B2225" s="4" t="s">
        <v>1059</v>
      </c>
      <c r="C2225" s="25" t="s">
        <v>5</v>
      </c>
      <c r="G2225" s="25" t="s">
        <v>1072</v>
      </c>
      <c r="H2225" s="24" t="s">
        <v>1061</v>
      </c>
      <c r="I2225" s="3" t="str">
        <f>IFERROR(VLOOKUP(C2225,'Справочник соответствий'!A$2:D$2981,2,FALSE),IF(VALUE(C2225)=0,1,VLOOKUP(C2225,'Справочник соответствий'!A$2:D$2981,2,FALSE)))</f>
        <v>1</v>
      </c>
      <c r="J2225" s="3">
        <f>IFERROR(VLOOKUP(D2225,'Справочник соответствий'!A$2:D$2981,2,FALSE),IF(VALUE(D2225)=0,0,VLOOKUP(D2225,'Справочник соответствий'!A$2:D$2981,2,FALSE)))</f>
        <v>0</v>
      </c>
      <c r="K2225" s="3" t="str">
        <f t="shared" si="238"/>
        <v>1</v>
      </c>
      <c r="L2225" s="13" t="str">
        <f>IFERROR(VLOOKUP(C2225,'Справочник соответствий'!A$2:D$2981,3,FALSE),IF(VALUE(C2225)=0,"ЭТАЖ НЕ ОПРЕДЕЛЕН. ПРИНЯТ ПО ДОПУЩЕНИЮ 1",VLOOKUP(C2225,'Справочник соответствий'!A$2:D$2981,3,FALSE)))</f>
        <v>ЭТАЖ ЗАДАН ЧИСЛОМ</v>
      </c>
      <c r="M2225" s="13" t="b">
        <f t="shared" si="239"/>
        <v>0</v>
      </c>
      <c r="N2225" s="13">
        <f t="shared" si="240"/>
        <v>1</v>
      </c>
      <c r="O2225" s="13" t="str">
        <f t="shared" si="241"/>
        <v>ЭТАЖ ЗАДАН ЧИСЛОМ</v>
      </c>
      <c r="P2225" s="13" t="str">
        <f t="shared" si="242"/>
        <v>ЭТАЖ ЗАДАН ЧИСЛОМ</v>
      </c>
      <c r="Q2225" s="13" t="str">
        <f t="shared" si="243"/>
        <v>ГОТОВ_ИЗМЕНЕН</v>
      </c>
      <c r="R2225" s="13">
        <f>IFERROR(VLOOKUP(P2225,Лист1!A$1:B$20,2,FALSE),0)</f>
        <v>784</v>
      </c>
      <c r="S2225" s="13">
        <f t="shared" si="244"/>
        <v>0</v>
      </c>
    </row>
    <row r="2226" spans="1:19" x14ac:dyDescent="0.25">
      <c r="A2226" s="24" t="s">
        <v>3355</v>
      </c>
      <c r="B2226" s="4" t="s">
        <v>1059</v>
      </c>
      <c r="C2226" s="25" t="s">
        <v>5</v>
      </c>
      <c r="G2226" s="25" t="s">
        <v>1072</v>
      </c>
      <c r="H2226" s="24" t="s">
        <v>1061</v>
      </c>
      <c r="I2226" s="3" t="str">
        <f>IFERROR(VLOOKUP(C2226,'Справочник соответствий'!A$2:D$2981,2,FALSE),IF(VALUE(C2226)=0,1,VLOOKUP(C2226,'Справочник соответствий'!A$2:D$2981,2,FALSE)))</f>
        <v>1</v>
      </c>
      <c r="J2226" s="3">
        <f>IFERROR(VLOOKUP(D2226,'Справочник соответствий'!A$2:D$2981,2,FALSE),IF(VALUE(D2226)=0,0,VLOOKUP(D2226,'Справочник соответствий'!A$2:D$2981,2,FALSE)))</f>
        <v>0</v>
      </c>
      <c r="K2226" s="3" t="str">
        <f t="shared" si="238"/>
        <v>1</v>
      </c>
      <c r="L2226" s="13" t="str">
        <f>IFERROR(VLOOKUP(C2226,'Справочник соответствий'!A$2:D$2981,3,FALSE),IF(VALUE(C2226)=0,"ЭТАЖ НЕ ОПРЕДЕЛЕН. ПРИНЯТ ПО ДОПУЩЕНИЮ 1",VLOOKUP(C2226,'Справочник соответствий'!A$2:D$2981,3,FALSE)))</f>
        <v>ЭТАЖ ЗАДАН ЧИСЛОМ</v>
      </c>
      <c r="M2226" s="13" t="b">
        <f t="shared" si="239"/>
        <v>0</v>
      </c>
      <c r="N2226" s="13">
        <f t="shared" si="240"/>
        <v>1</v>
      </c>
      <c r="O2226" s="13" t="str">
        <f t="shared" si="241"/>
        <v>ЭТАЖ ЗАДАН ЧИСЛОМ</v>
      </c>
      <c r="P2226" s="13" t="str">
        <f t="shared" si="242"/>
        <v>ЭТАЖ ЗАДАН ЧИСЛОМ</v>
      </c>
      <c r="Q2226" s="13" t="str">
        <f t="shared" si="243"/>
        <v>ГОТОВ_ИЗМЕНЕН</v>
      </c>
      <c r="R2226" s="13">
        <f>IFERROR(VLOOKUP(P2226,Лист1!A$1:B$20,2,FALSE),0)</f>
        <v>784</v>
      </c>
      <c r="S2226" s="13">
        <f t="shared" si="244"/>
        <v>0</v>
      </c>
    </row>
    <row r="2227" spans="1:19" x14ac:dyDescent="0.25">
      <c r="A2227" s="24" t="s">
        <v>3356</v>
      </c>
      <c r="B2227" s="4" t="s">
        <v>1059</v>
      </c>
      <c r="C2227" s="25" t="s">
        <v>5</v>
      </c>
      <c r="G2227" s="25" t="s">
        <v>1106</v>
      </c>
      <c r="H2227" s="24" t="s">
        <v>1061</v>
      </c>
      <c r="I2227" s="3" t="str">
        <f>IFERROR(VLOOKUP(C2227,'Справочник соответствий'!A$2:D$2981,2,FALSE),IF(VALUE(C2227)=0,1,VLOOKUP(C2227,'Справочник соответствий'!A$2:D$2981,2,FALSE)))</f>
        <v>1</v>
      </c>
      <c r="J2227" s="3">
        <f>IFERROR(VLOOKUP(D2227,'Справочник соответствий'!A$2:D$2981,2,FALSE),IF(VALUE(D2227)=0,0,VLOOKUP(D2227,'Справочник соответствий'!A$2:D$2981,2,FALSE)))</f>
        <v>0</v>
      </c>
      <c r="K2227" s="3" t="str">
        <f t="shared" si="238"/>
        <v>1</v>
      </c>
      <c r="L2227" s="13" t="str">
        <f>IFERROR(VLOOKUP(C2227,'Справочник соответствий'!A$2:D$2981,3,FALSE),IF(VALUE(C2227)=0,"ЭТАЖ НЕ ОПРЕДЕЛЕН. ПРИНЯТ ПО ДОПУЩЕНИЮ 1",VLOOKUP(C2227,'Справочник соответствий'!A$2:D$2981,3,FALSE)))</f>
        <v>ЭТАЖ ЗАДАН ЧИСЛОМ</v>
      </c>
      <c r="M2227" s="13" t="b">
        <f t="shared" si="239"/>
        <v>0</v>
      </c>
      <c r="N2227" s="13">
        <f t="shared" si="240"/>
        <v>1</v>
      </c>
      <c r="O2227" s="13" t="str">
        <f t="shared" si="241"/>
        <v>ЭТАЖ ЗАДАН ЧИСЛОМ</v>
      </c>
      <c r="P2227" s="13" t="str">
        <f t="shared" si="242"/>
        <v>ЭТАЖ ЗАДАН ЧИСЛОМ</v>
      </c>
      <c r="Q2227" s="13" t="str">
        <f t="shared" si="243"/>
        <v>ГОТОВ_ИЗМЕНЕН</v>
      </c>
      <c r="R2227" s="13">
        <f>IFERROR(VLOOKUP(P2227,Лист1!A$1:B$20,2,FALSE),0)</f>
        <v>784</v>
      </c>
      <c r="S2227" s="13">
        <f t="shared" si="244"/>
        <v>0</v>
      </c>
    </row>
    <row r="2228" spans="1:19" x14ac:dyDescent="0.25">
      <c r="A2228" s="24" t="s">
        <v>3357</v>
      </c>
      <c r="B2228" s="4" t="s">
        <v>1059</v>
      </c>
      <c r="C2228" s="25" t="s">
        <v>5</v>
      </c>
      <c r="G2228" s="25" t="s">
        <v>1106</v>
      </c>
      <c r="H2228" s="24" t="s">
        <v>1061</v>
      </c>
      <c r="I2228" s="3" t="str">
        <f>IFERROR(VLOOKUP(C2228,'Справочник соответствий'!A$2:D$2981,2,FALSE),IF(VALUE(C2228)=0,1,VLOOKUP(C2228,'Справочник соответствий'!A$2:D$2981,2,FALSE)))</f>
        <v>1</v>
      </c>
      <c r="J2228" s="3">
        <f>IFERROR(VLOOKUP(D2228,'Справочник соответствий'!A$2:D$2981,2,FALSE),IF(VALUE(D2228)=0,0,VLOOKUP(D2228,'Справочник соответствий'!A$2:D$2981,2,FALSE)))</f>
        <v>0</v>
      </c>
      <c r="K2228" s="3" t="str">
        <f t="shared" si="238"/>
        <v>1</v>
      </c>
      <c r="L2228" s="13" t="str">
        <f>IFERROR(VLOOKUP(C2228,'Справочник соответствий'!A$2:D$2981,3,FALSE),IF(VALUE(C2228)=0,"ЭТАЖ НЕ ОПРЕДЕЛЕН. ПРИНЯТ ПО ДОПУЩЕНИЮ 1",VLOOKUP(C2228,'Справочник соответствий'!A$2:D$2981,3,FALSE)))</f>
        <v>ЭТАЖ ЗАДАН ЧИСЛОМ</v>
      </c>
      <c r="M2228" s="13" t="b">
        <f t="shared" si="239"/>
        <v>0</v>
      </c>
      <c r="N2228" s="13">
        <f t="shared" si="240"/>
        <v>1</v>
      </c>
      <c r="O2228" s="13" t="str">
        <f t="shared" si="241"/>
        <v>ЭТАЖ ЗАДАН ЧИСЛОМ</v>
      </c>
      <c r="P2228" s="13" t="str">
        <f t="shared" si="242"/>
        <v>ЭТАЖ ЗАДАН ЧИСЛОМ</v>
      </c>
      <c r="Q2228" s="13" t="str">
        <f t="shared" si="243"/>
        <v>ГОТОВ_ИЗМЕНЕН</v>
      </c>
      <c r="R2228" s="13">
        <f>IFERROR(VLOOKUP(P2228,Лист1!A$1:B$20,2,FALSE),0)</f>
        <v>784</v>
      </c>
      <c r="S2228" s="13">
        <f t="shared" si="244"/>
        <v>0</v>
      </c>
    </row>
    <row r="2229" spans="1:19" x14ac:dyDescent="0.25">
      <c r="A2229" s="24" t="s">
        <v>3358</v>
      </c>
      <c r="B2229" s="4" t="s">
        <v>1059</v>
      </c>
      <c r="G2229" s="25" t="s">
        <v>1106</v>
      </c>
      <c r="H2229" s="24" t="s">
        <v>1061</v>
      </c>
      <c r="I2229" s="3">
        <f>IFERROR(VLOOKUP(C2229,'Справочник соответствий'!A$2:D$2981,2,FALSE),IF(VALUE(C2229)=0,1,VLOOKUP(C2229,'Справочник соответствий'!A$2:D$2981,2,FALSE)))</f>
        <v>1</v>
      </c>
      <c r="J2229" s="3">
        <f>IFERROR(VLOOKUP(D2229,'Справочник соответствий'!A$2:D$2981,2,FALSE),IF(VALUE(D2229)=0,0,VLOOKUP(D2229,'Справочник соответствий'!A$2:D$2981,2,FALSE)))</f>
        <v>0</v>
      </c>
      <c r="K2229" s="3">
        <f t="shared" si="238"/>
        <v>1</v>
      </c>
      <c r="L2229" s="13" t="str">
        <f>IFERROR(VLOOKUP(C2229,'Справочник соответствий'!A$2:D$2981,3,FALSE),IF(VALUE(C2229)=0,"ЭТАЖ НЕ ОПРЕДЕЛЕН. ПРИНЯТ ПО ДОПУЩЕНИЮ 1",VLOOKUP(C2229,'Справочник соответствий'!A$2:D$2981,3,FALSE)))</f>
        <v>ЭТАЖ НЕ ОПРЕДЕЛЕН. ПРИНЯТ ПО ДОПУЩЕНИЮ 1</v>
      </c>
      <c r="M2229" s="13" t="b">
        <f t="shared" si="239"/>
        <v>0</v>
      </c>
      <c r="N2229" s="13">
        <f t="shared" si="240"/>
        <v>1</v>
      </c>
      <c r="O2229" s="13" t="str">
        <f t="shared" si="241"/>
        <v>ЭТАЖ НЕ ОПРЕДЕЛЕН. ПРИНЯТ ПО ДОПУЩЕНИЮ 1</v>
      </c>
      <c r="P2229" s="13" t="str">
        <f t="shared" si="242"/>
        <v>ЭТАЖ НЕ ОПРЕДЕЛЕН. ПРИНЯТ ПО ДОПУЩЕНИЮ 1</v>
      </c>
      <c r="Q2229" s="13" t="str">
        <f t="shared" si="243"/>
        <v>ГОТОВ_ИЗМЕНЕН</v>
      </c>
      <c r="R2229" s="13">
        <f>IFERROR(VLOOKUP(P2229,Лист1!A$1:B$20,2,FALSE),0)</f>
        <v>788</v>
      </c>
      <c r="S2229" s="13">
        <f t="shared" si="244"/>
        <v>0</v>
      </c>
    </row>
    <row r="2230" spans="1:19" x14ac:dyDescent="0.25">
      <c r="A2230" s="24" t="s">
        <v>3359</v>
      </c>
      <c r="B2230" s="4" t="s">
        <v>1059</v>
      </c>
      <c r="C2230" s="25" t="s">
        <v>7</v>
      </c>
      <c r="G2230" s="25" t="s">
        <v>1106</v>
      </c>
      <c r="H2230" s="24" t="s">
        <v>1061</v>
      </c>
      <c r="I2230" s="3" t="str">
        <f>IFERROR(VLOOKUP(C2230,'Справочник соответствий'!A$2:D$2981,2,FALSE),IF(VALUE(C2230)=0,1,VLOOKUP(C2230,'Справочник соответствий'!A$2:D$2981,2,FALSE)))</f>
        <v>2</v>
      </c>
      <c r="J2230" s="3">
        <f>IFERROR(VLOOKUP(D2230,'Справочник соответствий'!A$2:D$2981,2,FALSE),IF(VALUE(D2230)=0,0,VLOOKUP(D2230,'Справочник соответствий'!A$2:D$2981,2,FALSE)))</f>
        <v>0</v>
      </c>
      <c r="K2230" s="3" t="str">
        <f t="shared" si="238"/>
        <v>2</v>
      </c>
      <c r="L2230" s="13" t="str">
        <f>IFERROR(VLOOKUP(C2230,'Справочник соответствий'!A$2:D$2981,3,FALSE),IF(VALUE(C2230)=0,"ЭТАЖ НЕ ОПРЕДЕЛЕН. ПРИНЯТ ПО ДОПУЩЕНИЮ 1",VLOOKUP(C2230,'Справочник соответствий'!A$2:D$2981,3,FALSE)))</f>
        <v>ЭТАЖ ЗАДАН ЧИСЛОМ</v>
      </c>
      <c r="M2230" s="13" t="b">
        <f t="shared" si="239"/>
        <v>0</v>
      </c>
      <c r="N2230" s="13">
        <f t="shared" si="240"/>
        <v>2</v>
      </c>
      <c r="O2230" s="13" t="str">
        <f t="shared" si="241"/>
        <v>ЭТАЖ ЗАДАН ЧИСЛОМ</v>
      </c>
      <c r="P2230" s="13" t="str">
        <f t="shared" si="242"/>
        <v>ЭТАЖ ЗАДАН ЧИСЛОМ</v>
      </c>
      <c r="Q2230" s="13" t="str">
        <f t="shared" si="243"/>
        <v>ГОТОВ_ИЗМЕНЕН</v>
      </c>
      <c r="R2230" s="13">
        <f>IFERROR(VLOOKUP(P2230,Лист1!A$1:B$20,2,FALSE),0)</f>
        <v>784</v>
      </c>
      <c r="S2230" s="13">
        <f t="shared" si="244"/>
        <v>0</v>
      </c>
    </row>
    <row r="2231" spans="1:19" x14ac:dyDescent="0.25">
      <c r="A2231" s="24" t="s">
        <v>3360</v>
      </c>
      <c r="B2231" s="4" t="s">
        <v>1059</v>
      </c>
      <c r="C2231" s="25" t="s">
        <v>5</v>
      </c>
      <c r="G2231" s="25" t="s">
        <v>1106</v>
      </c>
      <c r="H2231" s="24" t="s">
        <v>1061</v>
      </c>
      <c r="I2231" s="3" t="str">
        <f>IFERROR(VLOOKUP(C2231,'Справочник соответствий'!A$2:D$2981,2,FALSE),IF(VALUE(C2231)=0,1,VLOOKUP(C2231,'Справочник соответствий'!A$2:D$2981,2,FALSE)))</f>
        <v>1</v>
      </c>
      <c r="J2231" s="3">
        <f>IFERROR(VLOOKUP(D2231,'Справочник соответствий'!A$2:D$2981,2,FALSE),IF(VALUE(D2231)=0,0,VLOOKUP(D2231,'Справочник соответствий'!A$2:D$2981,2,FALSE)))</f>
        <v>0</v>
      </c>
      <c r="K2231" s="3" t="str">
        <f t="shared" si="238"/>
        <v>1</v>
      </c>
      <c r="L2231" s="13" t="str">
        <f>IFERROR(VLOOKUP(C2231,'Справочник соответствий'!A$2:D$2981,3,FALSE),IF(VALUE(C2231)=0,"ЭТАЖ НЕ ОПРЕДЕЛЕН. ПРИНЯТ ПО ДОПУЩЕНИЮ 1",VLOOKUP(C2231,'Справочник соответствий'!A$2:D$2981,3,FALSE)))</f>
        <v>ЭТАЖ ЗАДАН ЧИСЛОМ</v>
      </c>
      <c r="M2231" s="13" t="b">
        <f t="shared" si="239"/>
        <v>0</v>
      </c>
      <c r="N2231" s="13">
        <f t="shared" si="240"/>
        <v>1</v>
      </c>
      <c r="O2231" s="13" t="str">
        <f t="shared" si="241"/>
        <v>ЭТАЖ ЗАДАН ЧИСЛОМ</v>
      </c>
      <c r="P2231" s="13" t="str">
        <f t="shared" si="242"/>
        <v>ЭТАЖ ЗАДАН ЧИСЛОМ</v>
      </c>
      <c r="Q2231" s="13" t="str">
        <f t="shared" si="243"/>
        <v>ГОТОВ_ИЗМЕНЕН</v>
      </c>
      <c r="R2231" s="13">
        <f>IFERROR(VLOOKUP(P2231,Лист1!A$1:B$20,2,FALSE),0)</f>
        <v>784</v>
      </c>
      <c r="S2231" s="13">
        <f t="shared" si="244"/>
        <v>0</v>
      </c>
    </row>
    <row r="2232" spans="1:19" x14ac:dyDescent="0.25">
      <c r="A2232" s="24" t="s">
        <v>3361</v>
      </c>
      <c r="B2232" s="4" t="s">
        <v>1059</v>
      </c>
      <c r="C2232" s="25" t="s">
        <v>7</v>
      </c>
      <c r="G2232" s="25" t="s">
        <v>1106</v>
      </c>
      <c r="H2232" s="24" t="s">
        <v>1061</v>
      </c>
      <c r="I2232" s="3" t="str">
        <f>IFERROR(VLOOKUP(C2232,'Справочник соответствий'!A$2:D$2981,2,FALSE),IF(VALUE(C2232)=0,1,VLOOKUP(C2232,'Справочник соответствий'!A$2:D$2981,2,FALSE)))</f>
        <v>2</v>
      </c>
      <c r="J2232" s="3">
        <f>IFERROR(VLOOKUP(D2232,'Справочник соответствий'!A$2:D$2981,2,FALSE),IF(VALUE(D2232)=0,0,VLOOKUP(D2232,'Справочник соответствий'!A$2:D$2981,2,FALSE)))</f>
        <v>0</v>
      </c>
      <c r="K2232" s="3" t="str">
        <f t="shared" si="238"/>
        <v>2</v>
      </c>
      <c r="L2232" s="13" t="str">
        <f>IFERROR(VLOOKUP(C2232,'Справочник соответствий'!A$2:D$2981,3,FALSE),IF(VALUE(C2232)=0,"ЭТАЖ НЕ ОПРЕДЕЛЕН. ПРИНЯТ ПО ДОПУЩЕНИЮ 1",VLOOKUP(C2232,'Справочник соответствий'!A$2:D$2981,3,FALSE)))</f>
        <v>ЭТАЖ ЗАДАН ЧИСЛОМ</v>
      </c>
      <c r="M2232" s="13" t="b">
        <f t="shared" si="239"/>
        <v>0</v>
      </c>
      <c r="N2232" s="13">
        <f t="shared" si="240"/>
        <v>2</v>
      </c>
      <c r="O2232" s="13" t="str">
        <f t="shared" si="241"/>
        <v>ЭТАЖ ЗАДАН ЧИСЛОМ</v>
      </c>
      <c r="P2232" s="13" t="str">
        <f t="shared" si="242"/>
        <v>ЭТАЖ ЗАДАН ЧИСЛОМ</v>
      </c>
      <c r="Q2232" s="13" t="str">
        <f t="shared" si="243"/>
        <v>ГОТОВ_ИЗМЕНЕН</v>
      </c>
      <c r="R2232" s="13">
        <f>IFERROR(VLOOKUP(P2232,Лист1!A$1:B$20,2,FALSE),0)</f>
        <v>784</v>
      </c>
      <c r="S2232" s="13">
        <f t="shared" si="244"/>
        <v>0</v>
      </c>
    </row>
    <row r="2233" spans="1:19" x14ac:dyDescent="0.25">
      <c r="A2233" s="24" t="s">
        <v>3362</v>
      </c>
      <c r="B2233" s="4" t="s">
        <v>1059</v>
      </c>
      <c r="C2233" s="25" t="s">
        <v>5</v>
      </c>
      <c r="G2233" s="25" t="s">
        <v>1106</v>
      </c>
      <c r="H2233" s="24" t="s">
        <v>1061</v>
      </c>
      <c r="I2233" s="3" t="str">
        <f>IFERROR(VLOOKUP(C2233,'Справочник соответствий'!A$2:D$2981,2,FALSE),IF(VALUE(C2233)=0,1,VLOOKUP(C2233,'Справочник соответствий'!A$2:D$2981,2,FALSE)))</f>
        <v>1</v>
      </c>
      <c r="J2233" s="3">
        <f>IFERROR(VLOOKUP(D2233,'Справочник соответствий'!A$2:D$2981,2,FALSE),IF(VALUE(D2233)=0,0,VLOOKUP(D2233,'Справочник соответствий'!A$2:D$2981,2,FALSE)))</f>
        <v>0</v>
      </c>
      <c r="K2233" s="3" t="str">
        <f t="shared" si="238"/>
        <v>1</v>
      </c>
      <c r="L2233" s="13" t="str">
        <f>IFERROR(VLOOKUP(C2233,'Справочник соответствий'!A$2:D$2981,3,FALSE),IF(VALUE(C2233)=0,"ЭТАЖ НЕ ОПРЕДЕЛЕН. ПРИНЯТ ПО ДОПУЩЕНИЮ 1",VLOOKUP(C2233,'Справочник соответствий'!A$2:D$2981,3,FALSE)))</f>
        <v>ЭТАЖ ЗАДАН ЧИСЛОМ</v>
      </c>
      <c r="M2233" s="13" t="b">
        <f t="shared" si="239"/>
        <v>0</v>
      </c>
      <c r="N2233" s="13">
        <f t="shared" si="240"/>
        <v>1</v>
      </c>
      <c r="O2233" s="13" t="str">
        <f t="shared" si="241"/>
        <v>ЭТАЖ ЗАДАН ЧИСЛОМ</v>
      </c>
      <c r="P2233" s="13" t="str">
        <f t="shared" si="242"/>
        <v>ЭТАЖ ЗАДАН ЧИСЛОМ</v>
      </c>
      <c r="Q2233" s="13" t="str">
        <f t="shared" si="243"/>
        <v>ГОТОВ_ИЗМЕНЕН</v>
      </c>
      <c r="R2233" s="13">
        <f>IFERROR(VLOOKUP(P2233,Лист1!A$1:B$20,2,FALSE),0)</f>
        <v>784</v>
      </c>
      <c r="S2233" s="13">
        <f t="shared" si="244"/>
        <v>0</v>
      </c>
    </row>
    <row r="2234" spans="1:19" x14ac:dyDescent="0.25">
      <c r="A2234" s="24" t="s">
        <v>3363</v>
      </c>
      <c r="B2234" s="4" t="s">
        <v>1063</v>
      </c>
      <c r="G2234" s="25" t="s">
        <v>1106</v>
      </c>
      <c r="H2234" s="24" t="s">
        <v>1061</v>
      </c>
      <c r="I2234" s="3">
        <f>IFERROR(VLOOKUP(C2234,'Справочник соответствий'!A$2:D$2981,2,FALSE),IF(VALUE(C2234)=0,1,VLOOKUP(C2234,'Справочник соответствий'!A$2:D$2981,2,FALSE)))</f>
        <v>1</v>
      </c>
      <c r="J2234" s="3">
        <f>IFERROR(VLOOKUP(D2234,'Справочник соответствий'!A$2:D$2981,2,FALSE),IF(VALUE(D2234)=0,0,VLOOKUP(D2234,'Справочник соответствий'!A$2:D$2981,2,FALSE)))</f>
        <v>0</v>
      </c>
      <c r="K2234" s="3">
        <f t="shared" si="238"/>
        <v>1</v>
      </c>
      <c r="L2234" s="13" t="str">
        <f>IFERROR(VLOOKUP(C2234,'Справочник соответствий'!A$2:D$2981,3,FALSE),IF(VALUE(C2234)=0,"ЭТАЖ НЕ ОПРЕДЕЛЕН. ПРИНЯТ ПО ДОПУЩЕНИЮ 1",VLOOKUP(C2234,'Справочник соответствий'!A$2:D$2981,3,FALSE)))</f>
        <v>ЭТАЖ НЕ ОПРЕДЕЛЕН. ПРИНЯТ ПО ДОПУЩЕНИЮ 1</v>
      </c>
      <c r="M2234" s="13" t="b">
        <f t="shared" si="239"/>
        <v>0</v>
      </c>
      <c r="N2234" s="13">
        <f t="shared" si="240"/>
        <v>1</v>
      </c>
      <c r="O2234" s="13" t="str">
        <f t="shared" si="241"/>
        <v>ЭТАЖ НЕ ОПРЕДЕЛЕН. ПРИНЯТ ПО ДОПУЩЕНИЮ 1</v>
      </c>
      <c r="P2234" s="13" t="str">
        <f t="shared" si="242"/>
        <v>ЭТАЖ НЕ ОПРЕДЕЛЕН. ПРИНЯТ ПО ДОПУЩЕНИЮ 1</v>
      </c>
      <c r="Q2234" s="13" t="str">
        <f t="shared" si="243"/>
        <v>ГОТОВ_ИЗМЕНЕН</v>
      </c>
      <c r="R2234" s="13">
        <f>IFERROR(VLOOKUP(P2234,Лист1!A$1:B$20,2,FALSE),0)</f>
        <v>788</v>
      </c>
      <c r="S2234" s="13">
        <f t="shared" si="244"/>
        <v>0</v>
      </c>
    </row>
    <row r="2235" spans="1:19" x14ac:dyDescent="0.25">
      <c r="A2235" s="24" t="s">
        <v>3364</v>
      </c>
      <c r="B2235" s="4" t="s">
        <v>1063</v>
      </c>
      <c r="C2235" s="25" t="s">
        <v>7</v>
      </c>
      <c r="G2235" s="25" t="s">
        <v>1106</v>
      </c>
      <c r="H2235" s="24" t="s">
        <v>1061</v>
      </c>
      <c r="I2235" s="3" t="str">
        <f>IFERROR(VLOOKUP(C2235,'Справочник соответствий'!A$2:D$2981,2,FALSE),IF(VALUE(C2235)=0,1,VLOOKUP(C2235,'Справочник соответствий'!A$2:D$2981,2,FALSE)))</f>
        <v>2</v>
      </c>
      <c r="J2235" s="3">
        <f>IFERROR(VLOOKUP(D2235,'Справочник соответствий'!A$2:D$2981,2,FALSE),IF(VALUE(D2235)=0,0,VLOOKUP(D2235,'Справочник соответствий'!A$2:D$2981,2,FALSE)))</f>
        <v>0</v>
      </c>
      <c r="K2235" s="3" t="str">
        <f t="shared" si="238"/>
        <v>2</v>
      </c>
      <c r="L2235" s="13" t="str">
        <f>IFERROR(VLOOKUP(C2235,'Справочник соответствий'!A$2:D$2981,3,FALSE),IF(VALUE(C2235)=0,"ЭТАЖ НЕ ОПРЕДЕЛЕН. ПРИНЯТ ПО ДОПУЩЕНИЮ 1",VLOOKUP(C2235,'Справочник соответствий'!A$2:D$2981,3,FALSE)))</f>
        <v>ЭТАЖ ЗАДАН ЧИСЛОМ</v>
      </c>
      <c r="M2235" s="13" t="b">
        <f t="shared" si="239"/>
        <v>0</v>
      </c>
      <c r="N2235" s="13">
        <f t="shared" si="240"/>
        <v>2</v>
      </c>
      <c r="O2235" s="13" t="str">
        <f t="shared" si="241"/>
        <v>ЭТАЖ ЗАДАН ЧИСЛОМ</v>
      </c>
      <c r="P2235" s="13" t="str">
        <f t="shared" si="242"/>
        <v>ЭТАЖ ЗАДАН ЧИСЛОМ</v>
      </c>
      <c r="Q2235" s="13" t="str">
        <f t="shared" si="243"/>
        <v>ГОТОВ_ИЗМЕНЕН</v>
      </c>
      <c r="R2235" s="13">
        <f>IFERROR(VLOOKUP(P2235,Лист1!A$1:B$20,2,FALSE),0)</f>
        <v>784</v>
      </c>
      <c r="S2235" s="13">
        <f t="shared" si="244"/>
        <v>0</v>
      </c>
    </row>
    <row r="2236" spans="1:19" x14ac:dyDescent="0.25">
      <c r="A2236" s="24" t="s">
        <v>3365</v>
      </c>
      <c r="B2236" s="4" t="s">
        <v>1059</v>
      </c>
      <c r="C2236" s="25" t="s">
        <v>7</v>
      </c>
      <c r="G2236" s="25" t="s">
        <v>1064</v>
      </c>
      <c r="H2236" s="24" t="s">
        <v>1061</v>
      </c>
      <c r="I2236" s="3" t="str">
        <f>IFERROR(VLOOKUP(C2236,'Справочник соответствий'!A$2:D$2981,2,FALSE),IF(VALUE(C2236)=0,1,VLOOKUP(C2236,'Справочник соответствий'!A$2:D$2981,2,FALSE)))</f>
        <v>2</v>
      </c>
      <c r="J2236" s="3">
        <f>IFERROR(VLOOKUP(D2236,'Справочник соответствий'!A$2:D$2981,2,FALSE),IF(VALUE(D2236)=0,0,VLOOKUP(D2236,'Справочник соответствий'!A$2:D$2981,2,FALSE)))</f>
        <v>0</v>
      </c>
      <c r="K2236" s="3" t="str">
        <f t="shared" si="238"/>
        <v>2</v>
      </c>
      <c r="L2236" s="13" t="str">
        <f>IFERROR(VLOOKUP(C2236,'Справочник соответствий'!A$2:D$2981,3,FALSE),IF(VALUE(C2236)=0,"ЭТАЖ НЕ ОПРЕДЕЛЕН. ПРИНЯТ ПО ДОПУЩЕНИЮ 1",VLOOKUP(C2236,'Справочник соответствий'!A$2:D$2981,3,FALSE)))</f>
        <v>ЭТАЖ ЗАДАН ЧИСЛОМ</v>
      </c>
      <c r="M2236" s="13" t="b">
        <f t="shared" si="239"/>
        <v>0</v>
      </c>
      <c r="N2236" s="13">
        <f t="shared" si="240"/>
        <v>2</v>
      </c>
      <c r="O2236" s="13" t="str">
        <f t="shared" si="241"/>
        <v>ЭТАЖ ЗАДАН ЧИСЛОМ</v>
      </c>
      <c r="P2236" s="13" t="str">
        <f t="shared" si="242"/>
        <v>ЭТАЖ ЗАДАН ЧИСЛОМ</v>
      </c>
      <c r="Q2236" s="13" t="str">
        <f t="shared" si="243"/>
        <v>ГОТОВ_ИЗМЕНЕН</v>
      </c>
      <c r="R2236" s="13">
        <f>IFERROR(VLOOKUP(P2236,Лист1!A$1:B$20,2,FALSE),0)</f>
        <v>784</v>
      </c>
      <c r="S2236" s="13">
        <f t="shared" si="244"/>
        <v>0</v>
      </c>
    </row>
    <row r="2237" spans="1:19" x14ac:dyDescent="0.25">
      <c r="A2237" s="24" t="s">
        <v>3366</v>
      </c>
      <c r="B2237" s="4" t="s">
        <v>1063</v>
      </c>
      <c r="C2237" s="25" t="s">
        <v>5</v>
      </c>
      <c r="G2237" s="25" t="s">
        <v>1083</v>
      </c>
      <c r="H2237" s="24" t="s">
        <v>1061</v>
      </c>
      <c r="I2237" s="3" t="str">
        <f>IFERROR(VLOOKUP(C2237,'Справочник соответствий'!A$2:D$2981,2,FALSE),IF(VALUE(C2237)=0,1,VLOOKUP(C2237,'Справочник соответствий'!A$2:D$2981,2,FALSE)))</f>
        <v>1</v>
      </c>
      <c r="J2237" s="3">
        <f>IFERROR(VLOOKUP(D2237,'Справочник соответствий'!A$2:D$2981,2,FALSE),IF(VALUE(D2237)=0,0,VLOOKUP(D2237,'Справочник соответствий'!A$2:D$2981,2,FALSE)))</f>
        <v>0</v>
      </c>
      <c r="K2237" s="3" t="str">
        <f t="shared" si="238"/>
        <v>1</v>
      </c>
      <c r="L2237" s="13" t="str">
        <f>IFERROR(VLOOKUP(C2237,'Справочник соответствий'!A$2:D$2981,3,FALSE),IF(VALUE(C2237)=0,"ЭТАЖ НЕ ОПРЕДЕЛЕН. ПРИНЯТ ПО ДОПУЩЕНИЮ 1",VLOOKUP(C2237,'Справочник соответствий'!A$2:D$2981,3,FALSE)))</f>
        <v>ЭТАЖ ЗАДАН ЧИСЛОМ</v>
      </c>
      <c r="M2237" s="13" t="b">
        <f t="shared" si="239"/>
        <v>0</v>
      </c>
      <c r="N2237" s="13">
        <f t="shared" si="240"/>
        <v>1</v>
      </c>
      <c r="O2237" s="13" t="str">
        <f t="shared" si="241"/>
        <v>ЭТАЖ ЗАДАН ЧИСЛОМ</v>
      </c>
      <c r="P2237" s="13" t="str">
        <f t="shared" si="242"/>
        <v>ЭТАЖ ЗАДАН ЧИСЛОМ</v>
      </c>
      <c r="Q2237" s="13" t="str">
        <f t="shared" si="243"/>
        <v>ГОТОВ_ИЗМЕНЕН</v>
      </c>
      <c r="R2237" s="13">
        <f>IFERROR(VLOOKUP(P2237,Лист1!A$1:B$20,2,FALSE),0)</f>
        <v>784</v>
      </c>
      <c r="S2237" s="13">
        <f t="shared" si="244"/>
        <v>0</v>
      </c>
    </row>
    <row r="2238" spans="1:19" x14ac:dyDescent="0.25">
      <c r="A2238" s="24" t="s">
        <v>3367</v>
      </c>
      <c r="B2238" s="4" t="s">
        <v>1063</v>
      </c>
      <c r="C2238" s="25" t="s">
        <v>5</v>
      </c>
      <c r="G2238" s="25" t="s">
        <v>1083</v>
      </c>
      <c r="H2238" s="24" t="s">
        <v>1061</v>
      </c>
      <c r="I2238" s="3" t="str">
        <f>IFERROR(VLOOKUP(C2238,'Справочник соответствий'!A$2:D$2981,2,FALSE),IF(VALUE(C2238)=0,1,VLOOKUP(C2238,'Справочник соответствий'!A$2:D$2981,2,FALSE)))</f>
        <v>1</v>
      </c>
      <c r="J2238" s="3">
        <f>IFERROR(VLOOKUP(D2238,'Справочник соответствий'!A$2:D$2981,2,FALSE),IF(VALUE(D2238)=0,0,VLOOKUP(D2238,'Справочник соответствий'!A$2:D$2981,2,FALSE)))</f>
        <v>0</v>
      </c>
      <c r="K2238" s="3" t="str">
        <f t="shared" si="238"/>
        <v>1</v>
      </c>
      <c r="L2238" s="13" t="str">
        <f>IFERROR(VLOOKUP(C2238,'Справочник соответствий'!A$2:D$2981,3,FALSE),IF(VALUE(C2238)=0,"ЭТАЖ НЕ ОПРЕДЕЛЕН. ПРИНЯТ ПО ДОПУЩЕНИЮ 1",VLOOKUP(C2238,'Справочник соответствий'!A$2:D$2981,3,FALSE)))</f>
        <v>ЭТАЖ ЗАДАН ЧИСЛОМ</v>
      </c>
      <c r="M2238" s="13" t="b">
        <f t="shared" si="239"/>
        <v>0</v>
      </c>
      <c r="N2238" s="13">
        <f t="shared" si="240"/>
        <v>1</v>
      </c>
      <c r="O2238" s="13" t="str">
        <f t="shared" si="241"/>
        <v>ЭТАЖ ЗАДАН ЧИСЛОМ</v>
      </c>
      <c r="P2238" s="13" t="str">
        <f t="shared" si="242"/>
        <v>ЭТАЖ ЗАДАН ЧИСЛОМ</v>
      </c>
      <c r="Q2238" s="13" t="str">
        <f t="shared" si="243"/>
        <v>ГОТОВ_ИЗМЕНЕН</v>
      </c>
      <c r="R2238" s="13">
        <f>IFERROR(VLOOKUP(P2238,Лист1!A$1:B$20,2,FALSE),0)</f>
        <v>784</v>
      </c>
      <c r="S2238" s="13">
        <f t="shared" si="244"/>
        <v>0</v>
      </c>
    </row>
    <row r="2239" spans="1:19" x14ac:dyDescent="0.25">
      <c r="A2239" s="24" t="s">
        <v>3368</v>
      </c>
      <c r="B2239" s="4" t="s">
        <v>1059</v>
      </c>
      <c r="C2239" s="25" t="s">
        <v>5</v>
      </c>
      <c r="G2239" s="25" t="s">
        <v>1083</v>
      </c>
      <c r="H2239" s="24" t="s">
        <v>1061</v>
      </c>
      <c r="I2239" s="3" t="str">
        <f>IFERROR(VLOOKUP(C2239,'Справочник соответствий'!A$2:D$2981,2,FALSE),IF(VALUE(C2239)=0,1,VLOOKUP(C2239,'Справочник соответствий'!A$2:D$2981,2,FALSE)))</f>
        <v>1</v>
      </c>
      <c r="J2239" s="3">
        <f>IFERROR(VLOOKUP(D2239,'Справочник соответствий'!A$2:D$2981,2,FALSE),IF(VALUE(D2239)=0,0,VLOOKUP(D2239,'Справочник соответствий'!A$2:D$2981,2,FALSE)))</f>
        <v>0</v>
      </c>
      <c r="K2239" s="3" t="str">
        <f t="shared" si="238"/>
        <v>1</v>
      </c>
      <c r="L2239" s="13" t="str">
        <f>IFERROR(VLOOKUP(C2239,'Справочник соответствий'!A$2:D$2981,3,FALSE),IF(VALUE(C2239)=0,"ЭТАЖ НЕ ОПРЕДЕЛЕН. ПРИНЯТ ПО ДОПУЩЕНИЮ 1",VLOOKUP(C2239,'Справочник соответствий'!A$2:D$2981,3,FALSE)))</f>
        <v>ЭТАЖ ЗАДАН ЧИСЛОМ</v>
      </c>
      <c r="M2239" s="13" t="b">
        <f t="shared" si="239"/>
        <v>0</v>
      </c>
      <c r="N2239" s="13">
        <f t="shared" si="240"/>
        <v>1</v>
      </c>
      <c r="O2239" s="13" t="str">
        <f t="shared" si="241"/>
        <v>ЭТАЖ ЗАДАН ЧИСЛОМ</v>
      </c>
      <c r="P2239" s="13" t="str">
        <f t="shared" si="242"/>
        <v>ЭТАЖ ЗАДАН ЧИСЛОМ</v>
      </c>
      <c r="Q2239" s="13" t="str">
        <f t="shared" si="243"/>
        <v>ГОТОВ_ИЗМЕНЕН</v>
      </c>
      <c r="R2239" s="13">
        <f>IFERROR(VLOOKUP(P2239,Лист1!A$1:B$20,2,FALSE),0)</f>
        <v>784</v>
      </c>
      <c r="S2239" s="13">
        <f t="shared" si="244"/>
        <v>0</v>
      </c>
    </row>
    <row r="2240" spans="1:19" x14ac:dyDescent="0.25">
      <c r="A2240" s="24" t="s">
        <v>3369</v>
      </c>
      <c r="B2240" s="4" t="s">
        <v>1063</v>
      </c>
      <c r="C2240" s="25" t="s">
        <v>7</v>
      </c>
      <c r="G2240" s="25" t="s">
        <v>1083</v>
      </c>
      <c r="H2240" s="24" t="s">
        <v>1061</v>
      </c>
      <c r="I2240" s="3" t="str">
        <f>IFERROR(VLOOKUP(C2240,'Справочник соответствий'!A$2:D$2981,2,FALSE),IF(VALUE(C2240)=0,1,VLOOKUP(C2240,'Справочник соответствий'!A$2:D$2981,2,FALSE)))</f>
        <v>2</v>
      </c>
      <c r="J2240" s="3">
        <f>IFERROR(VLOOKUP(D2240,'Справочник соответствий'!A$2:D$2981,2,FALSE),IF(VALUE(D2240)=0,0,VLOOKUP(D2240,'Справочник соответствий'!A$2:D$2981,2,FALSE)))</f>
        <v>0</v>
      </c>
      <c r="K2240" s="3" t="str">
        <f t="shared" si="238"/>
        <v>2</v>
      </c>
      <c r="L2240" s="13" t="str">
        <f>IFERROR(VLOOKUP(C2240,'Справочник соответствий'!A$2:D$2981,3,FALSE),IF(VALUE(C2240)=0,"ЭТАЖ НЕ ОПРЕДЕЛЕН. ПРИНЯТ ПО ДОПУЩЕНИЮ 1",VLOOKUP(C2240,'Справочник соответствий'!A$2:D$2981,3,FALSE)))</f>
        <v>ЭТАЖ ЗАДАН ЧИСЛОМ</v>
      </c>
      <c r="M2240" s="13" t="b">
        <f t="shared" si="239"/>
        <v>0</v>
      </c>
      <c r="N2240" s="13">
        <f t="shared" si="240"/>
        <v>2</v>
      </c>
      <c r="O2240" s="13" t="str">
        <f t="shared" si="241"/>
        <v>ЭТАЖ ЗАДАН ЧИСЛОМ</v>
      </c>
      <c r="P2240" s="13" t="str">
        <f t="shared" si="242"/>
        <v>ЭТАЖ ЗАДАН ЧИСЛОМ</v>
      </c>
      <c r="Q2240" s="13" t="str">
        <f t="shared" si="243"/>
        <v>ГОТОВ_ИЗМЕНЕН</v>
      </c>
      <c r="R2240" s="13">
        <f>IFERROR(VLOOKUP(P2240,Лист1!A$1:B$20,2,FALSE),0)</f>
        <v>784</v>
      </c>
      <c r="S2240" s="13">
        <f t="shared" si="244"/>
        <v>0</v>
      </c>
    </row>
    <row r="2241" spans="1:19" x14ac:dyDescent="0.25">
      <c r="A2241" s="24" t="s">
        <v>3370</v>
      </c>
      <c r="B2241" s="4" t="s">
        <v>1063</v>
      </c>
      <c r="C2241" s="25" t="s">
        <v>5</v>
      </c>
      <c r="G2241" s="25" t="s">
        <v>1083</v>
      </c>
      <c r="H2241" s="24" t="s">
        <v>1061</v>
      </c>
      <c r="I2241" s="3" t="str">
        <f>IFERROR(VLOOKUP(C2241,'Справочник соответствий'!A$2:D$2981,2,FALSE),IF(VALUE(C2241)=0,1,VLOOKUP(C2241,'Справочник соответствий'!A$2:D$2981,2,FALSE)))</f>
        <v>1</v>
      </c>
      <c r="J2241" s="3">
        <f>IFERROR(VLOOKUP(D2241,'Справочник соответствий'!A$2:D$2981,2,FALSE),IF(VALUE(D2241)=0,0,VLOOKUP(D2241,'Справочник соответствий'!A$2:D$2981,2,FALSE)))</f>
        <v>0</v>
      </c>
      <c r="K2241" s="3" t="str">
        <f t="shared" si="238"/>
        <v>1</v>
      </c>
      <c r="L2241" s="13" t="str">
        <f>IFERROR(VLOOKUP(C2241,'Справочник соответствий'!A$2:D$2981,3,FALSE),IF(VALUE(C2241)=0,"ЭТАЖ НЕ ОПРЕДЕЛЕН. ПРИНЯТ ПО ДОПУЩЕНИЮ 1",VLOOKUP(C2241,'Справочник соответствий'!A$2:D$2981,3,FALSE)))</f>
        <v>ЭТАЖ ЗАДАН ЧИСЛОМ</v>
      </c>
      <c r="M2241" s="13" t="b">
        <f t="shared" si="239"/>
        <v>0</v>
      </c>
      <c r="N2241" s="13">
        <f t="shared" si="240"/>
        <v>1</v>
      </c>
      <c r="O2241" s="13" t="str">
        <f t="shared" si="241"/>
        <v>ЭТАЖ ЗАДАН ЧИСЛОМ</v>
      </c>
      <c r="P2241" s="13" t="str">
        <f t="shared" si="242"/>
        <v>ЭТАЖ ЗАДАН ЧИСЛОМ</v>
      </c>
      <c r="Q2241" s="13" t="str">
        <f t="shared" si="243"/>
        <v>ГОТОВ_ИЗМЕНЕН</v>
      </c>
      <c r="R2241" s="13">
        <f>IFERROR(VLOOKUP(P2241,Лист1!A$1:B$20,2,FALSE),0)</f>
        <v>784</v>
      </c>
      <c r="S2241" s="13">
        <f t="shared" si="244"/>
        <v>0</v>
      </c>
    </row>
    <row r="2242" spans="1:19" x14ac:dyDescent="0.25">
      <c r="A2242" s="24" t="s">
        <v>3371</v>
      </c>
      <c r="B2242" s="4" t="s">
        <v>1059</v>
      </c>
      <c r="C2242" s="25" t="s">
        <v>5</v>
      </c>
      <c r="G2242" s="25" t="s">
        <v>1083</v>
      </c>
      <c r="H2242" s="24" t="s">
        <v>1061</v>
      </c>
      <c r="I2242" s="3" t="str">
        <f>IFERROR(VLOOKUP(C2242,'Справочник соответствий'!A$2:D$2981,2,FALSE),IF(VALUE(C2242)=0,1,VLOOKUP(C2242,'Справочник соответствий'!A$2:D$2981,2,FALSE)))</f>
        <v>1</v>
      </c>
      <c r="J2242" s="3">
        <f>IFERROR(VLOOKUP(D2242,'Справочник соответствий'!A$2:D$2981,2,FALSE),IF(VALUE(D2242)=0,0,VLOOKUP(D2242,'Справочник соответствий'!A$2:D$2981,2,FALSE)))</f>
        <v>0</v>
      </c>
      <c r="K2242" s="3" t="str">
        <f t="shared" si="238"/>
        <v>1</v>
      </c>
      <c r="L2242" s="13" t="str">
        <f>IFERROR(VLOOKUP(C2242,'Справочник соответствий'!A$2:D$2981,3,FALSE),IF(VALUE(C2242)=0,"ЭТАЖ НЕ ОПРЕДЕЛЕН. ПРИНЯТ ПО ДОПУЩЕНИЮ 1",VLOOKUP(C2242,'Справочник соответствий'!A$2:D$2981,3,FALSE)))</f>
        <v>ЭТАЖ ЗАДАН ЧИСЛОМ</v>
      </c>
      <c r="M2242" s="13" t="b">
        <f t="shared" si="239"/>
        <v>0</v>
      </c>
      <c r="N2242" s="13">
        <f t="shared" si="240"/>
        <v>1</v>
      </c>
      <c r="O2242" s="13" t="str">
        <f t="shared" si="241"/>
        <v>ЭТАЖ ЗАДАН ЧИСЛОМ</v>
      </c>
      <c r="P2242" s="13" t="str">
        <f t="shared" si="242"/>
        <v>ЭТАЖ ЗАДАН ЧИСЛОМ</v>
      </c>
      <c r="Q2242" s="13" t="str">
        <f t="shared" si="243"/>
        <v>ГОТОВ_ИЗМЕНЕН</v>
      </c>
      <c r="R2242" s="13">
        <f>IFERROR(VLOOKUP(P2242,Лист1!A$1:B$20,2,FALSE),0)</f>
        <v>784</v>
      </c>
      <c r="S2242" s="13">
        <f t="shared" si="244"/>
        <v>0</v>
      </c>
    </row>
    <row r="2243" spans="1:19" x14ac:dyDescent="0.25">
      <c r="A2243" s="24" t="s">
        <v>3372</v>
      </c>
      <c r="B2243" s="4" t="s">
        <v>1059</v>
      </c>
      <c r="C2243" s="25" t="s">
        <v>7</v>
      </c>
      <c r="G2243" s="25" t="s">
        <v>1083</v>
      </c>
      <c r="H2243" s="24" t="s">
        <v>1061</v>
      </c>
      <c r="I2243" s="3" t="str">
        <f>IFERROR(VLOOKUP(C2243,'Справочник соответствий'!A$2:D$2981,2,FALSE),IF(VALUE(C2243)=0,1,VLOOKUP(C2243,'Справочник соответствий'!A$2:D$2981,2,FALSE)))</f>
        <v>2</v>
      </c>
      <c r="J2243" s="3">
        <f>IFERROR(VLOOKUP(D2243,'Справочник соответствий'!A$2:D$2981,2,FALSE),IF(VALUE(D2243)=0,0,VLOOKUP(D2243,'Справочник соответствий'!A$2:D$2981,2,FALSE)))</f>
        <v>0</v>
      </c>
      <c r="K2243" s="3" t="str">
        <f t="shared" si="238"/>
        <v>2</v>
      </c>
      <c r="L2243" s="13" t="str">
        <f>IFERROR(VLOOKUP(C2243,'Справочник соответствий'!A$2:D$2981,3,FALSE),IF(VALUE(C2243)=0,"ЭТАЖ НЕ ОПРЕДЕЛЕН. ПРИНЯТ ПО ДОПУЩЕНИЮ 1",VLOOKUP(C2243,'Справочник соответствий'!A$2:D$2981,3,FALSE)))</f>
        <v>ЭТАЖ ЗАДАН ЧИСЛОМ</v>
      </c>
      <c r="M2243" s="13" t="b">
        <f t="shared" si="239"/>
        <v>0</v>
      </c>
      <c r="N2243" s="13">
        <f t="shared" si="240"/>
        <v>2</v>
      </c>
      <c r="O2243" s="13" t="str">
        <f t="shared" si="241"/>
        <v>ЭТАЖ ЗАДАН ЧИСЛОМ</v>
      </c>
      <c r="P2243" s="13" t="str">
        <f t="shared" si="242"/>
        <v>ЭТАЖ ЗАДАН ЧИСЛОМ</v>
      </c>
      <c r="Q2243" s="13" t="str">
        <f t="shared" si="243"/>
        <v>ГОТОВ_ИЗМЕНЕН</v>
      </c>
      <c r="R2243" s="13">
        <f>IFERROR(VLOOKUP(P2243,Лист1!A$1:B$20,2,FALSE),0)</f>
        <v>784</v>
      </c>
      <c r="S2243" s="13">
        <f t="shared" si="244"/>
        <v>0</v>
      </c>
    </row>
    <row r="2244" spans="1:19" x14ac:dyDescent="0.25">
      <c r="A2244" s="24" t="s">
        <v>3373</v>
      </c>
      <c r="B2244" s="4" t="s">
        <v>1059</v>
      </c>
      <c r="C2244" s="25" t="s">
        <v>5</v>
      </c>
      <c r="G2244" s="25" t="s">
        <v>1083</v>
      </c>
      <c r="H2244" s="24" t="s">
        <v>1061</v>
      </c>
      <c r="I2244" s="3" t="str">
        <f>IFERROR(VLOOKUP(C2244,'Справочник соответствий'!A$2:D$2981,2,FALSE),IF(VALUE(C2244)=0,1,VLOOKUP(C2244,'Справочник соответствий'!A$2:D$2981,2,FALSE)))</f>
        <v>1</v>
      </c>
      <c r="J2244" s="3">
        <f>IFERROR(VLOOKUP(D2244,'Справочник соответствий'!A$2:D$2981,2,FALSE),IF(VALUE(D2244)=0,0,VLOOKUP(D2244,'Справочник соответствий'!A$2:D$2981,2,FALSE)))</f>
        <v>0</v>
      </c>
      <c r="K2244" s="3" t="str">
        <f t="shared" si="238"/>
        <v>1</v>
      </c>
      <c r="L2244" s="13" t="str">
        <f>IFERROR(VLOOKUP(C2244,'Справочник соответствий'!A$2:D$2981,3,FALSE),IF(VALUE(C2244)=0,"ЭТАЖ НЕ ОПРЕДЕЛЕН. ПРИНЯТ ПО ДОПУЩЕНИЮ 1",VLOOKUP(C2244,'Справочник соответствий'!A$2:D$2981,3,FALSE)))</f>
        <v>ЭТАЖ ЗАДАН ЧИСЛОМ</v>
      </c>
      <c r="M2244" s="13" t="b">
        <f t="shared" si="239"/>
        <v>0</v>
      </c>
      <c r="N2244" s="13">
        <f t="shared" si="240"/>
        <v>1</v>
      </c>
      <c r="O2244" s="13" t="str">
        <f t="shared" si="241"/>
        <v>ЭТАЖ ЗАДАН ЧИСЛОМ</v>
      </c>
      <c r="P2244" s="13" t="str">
        <f t="shared" si="242"/>
        <v>ЭТАЖ ЗАДАН ЧИСЛОМ</v>
      </c>
      <c r="Q2244" s="13" t="str">
        <f t="shared" si="243"/>
        <v>ГОТОВ_ИЗМЕНЕН</v>
      </c>
      <c r="R2244" s="13">
        <f>IFERROR(VLOOKUP(P2244,Лист1!A$1:B$20,2,FALSE),0)</f>
        <v>784</v>
      </c>
      <c r="S2244" s="13">
        <f t="shared" si="244"/>
        <v>0</v>
      </c>
    </row>
    <row r="2245" spans="1:19" x14ac:dyDescent="0.25">
      <c r="A2245" s="24" t="s">
        <v>3374</v>
      </c>
      <c r="B2245" s="4" t="s">
        <v>1063</v>
      </c>
      <c r="C2245" s="25" t="s">
        <v>5</v>
      </c>
      <c r="G2245" s="25" t="s">
        <v>1083</v>
      </c>
      <c r="H2245" s="24" t="s">
        <v>1061</v>
      </c>
      <c r="I2245" s="3" t="str">
        <f>IFERROR(VLOOKUP(C2245,'Справочник соответствий'!A$2:D$2981,2,FALSE),IF(VALUE(C2245)=0,1,VLOOKUP(C2245,'Справочник соответствий'!A$2:D$2981,2,FALSE)))</f>
        <v>1</v>
      </c>
      <c r="J2245" s="3">
        <f>IFERROR(VLOOKUP(D2245,'Справочник соответствий'!A$2:D$2981,2,FALSE),IF(VALUE(D2245)=0,0,VLOOKUP(D2245,'Справочник соответствий'!A$2:D$2981,2,FALSE)))</f>
        <v>0</v>
      </c>
      <c r="K2245" s="3" t="str">
        <f t="shared" ref="K2245:K2308" si="245">IF(B2245="Многоквартирный дом",IF(I2245-J2245&gt;0,I2245-J2245,1),I2245)</f>
        <v>1</v>
      </c>
      <c r="L2245" s="13" t="str">
        <f>IFERROR(VLOOKUP(C2245,'Справочник соответствий'!A$2:D$2981,3,FALSE),IF(VALUE(C2245)=0,"ЭТАЖ НЕ ОПРЕДЕЛЕН. ПРИНЯТ ПО ДОПУЩЕНИЮ 1",VLOOKUP(C2245,'Справочник соответствий'!A$2:D$2981,3,FALSE)))</f>
        <v>ЭТАЖ ЗАДАН ЧИСЛОМ</v>
      </c>
      <c r="M2245" s="13" t="b">
        <f t="shared" ref="M2245:M2308" si="246">I2245=E2245</f>
        <v>0</v>
      </c>
      <c r="N2245" s="13">
        <f t="shared" ref="N2245:N2308" si="247">IF(VALUE(E2245)=0,VALUE(K2245),IF(L2245="ЭТАЖ НЕ ОПРЕДЕЛЕН. ПРИНЯТ ПО ДОПУЩЕНИЮ 1",VALUE(E2245),VALUE(K2245)))</f>
        <v>1</v>
      </c>
      <c r="O2245" s="13" t="str">
        <f t="shared" ref="O2245:O2308" si="248">IF(VALUE(E2245)=0,L2245,IF(L2245="ЭТАЖ НЕ ОПРЕДЕЛЕН. ПРИНЯТ ПО ДОПУЩЕНИЮ 1",F2245,L2245))</f>
        <v>ЭТАЖ ЗАДАН ЧИСЛОМ</v>
      </c>
      <c r="P2245" s="13" t="str">
        <f t="shared" ref="P2245:P2308" si="249">IF(B2245="Многоквартирный дом",CONCATENATE("МКД_",O2245),O2245)</f>
        <v>ЭТАЖ ЗАДАН ЧИСЛОМ</v>
      </c>
      <c r="Q2245" s="13" t="str">
        <f t="shared" ref="Q2245:Q2308" si="250">IFERROR(IF(N2245&gt;0,IF(N2245=VALUE(E2245),"ГОТОВ","ГОТОВ_ИЗМЕНЕН"),"НЕ ГОТОВ"),"НЕ ГОТОВ")</f>
        <v>ГОТОВ_ИЗМЕНЕН</v>
      </c>
      <c r="R2245" s="13">
        <f>IFERROR(VLOOKUP(P2245,Лист1!A$1:B$20,2,FALSE),0)</f>
        <v>784</v>
      </c>
      <c r="S2245" s="13">
        <f t="shared" ref="S2245:S2308" si="251">VALUE(E2245)</f>
        <v>0</v>
      </c>
    </row>
    <row r="2246" spans="1:19" x14ac:dyDescent="0.25">
      <c r="A2246" s="24" t="s">
        <v>3375</v>
      </c>
      <c r="B2246" s="4" t="s">
        <v>1059</v>
      </c>
      <c r="C2246" s="25" t="s">
        <v>5</v>
      </c>
      <c r="G2246" s="25" t="s">
        <v>1083</v>
      </c>
      <c r="H2246" s="24" t="s">
        <v>1061</v>
      </c>
      <c r="I2246" s="3" t="str">
        <f>IFERROR(VLOOKUP(C2246,'Справочник соответствий'!A$2:D$2981,2,FALSE),IF(VALUE(C2246)=0,1,VLOOKUP(C2246,'Справочник соответствий'!A$2:D$2981,2,FALSE)))</f>
        <v>1</v>
      </c>
      <c r="J2246" s="3">
        <f>IFERROR(VLOOKUP(D2246,'Справочник соответствий'!A$2:D$2981,2,FALSE),IF(VALUE(D2246)=0,0,VLOOKUP(D2246,'Справочник соответствий'!A$2:D$2981,2,FALSE)))</f>
        <v>0</v>
      </c>
      <c r="K2246" s="3" t="str">
        <f t="shared" si="245"/>
        <v>1</v>
      </c>
      <c r="L2246" s="13" t="str">
        <f>IFERROR(VLOOKUP(C2246,'Справочник соответствий'!A$2:D$2981,3,FALSE),IF(VALUE(C2246)=0,"ЭТАЖ НЕ ОПРЕДЕЛЕН. ПРИНЯТ ПО ДОПУЩЕНИЮ 1",VLOOKUP(C2246,'Справочник соответствий'!A$2:D$2981,3,FALSE)))</f>
        <v>ЭТАЖ ЗАДАН ЧИСЛОМ</v>
      </c>
      <c r="M2246" s="13" t="b">
        <f t="shared" si="246"/>
        <v>0</v>
      </c>
      <c r="N2246" s="13">
        <f t="shared" si="247"/>
        <v>1</v>
      </c>
      <c r="O2246" s="13" t="str">
        <f t="shared" si="248"/>
        <v>ЭТАЖ ЗАДАН ЧИСЛОМ</v>
      </c>
      <c r="P2246" s="13" t="str">
        <f t="shared" si="249"/>
        <v>ЭТАЖ ЗАДАН ЧИСЛОМ</v>
      </c>
      <c r="Q2246" s="13" t="str">
        <f t="shared" si="250"/>
        <v>ГОТОВ_ИЗМЕНЕН</v>
      </c>
      <c r="R2246" s="13">
        <f>IFERROR(VLOOKUP(P2246,Лист1!A$1:B$20,2,FALSE),0)</f>
        <v>784</v>
      </c>
      <c r="S2246" s="13">
        <f t="shared" si="251"/>
        <v>0</v>
      </c>
    </row>
    <row r="2247" spans="1:19" x14ac:dyDescent="0.25">
      <c r="A2247" s="24" t="s">
        <v>3376</v>
      </c>
      <c r="B2247" s="4" t="s">
        <v>1063</v>
      </c>
      <c r="C2247" s="25" t="s">
        <v>5</v>
      </c>
      <c r="G2247" s="25" t="s">
        <v>1083</v>
      </c>
      <c r="H2247" s="24" t="s">
        <v>1061</v>
      </c>
      <c r="I2247" s="3" t="str">
        <f>IFERROR(VLOOKUP(C2247,'Справочник соответствий'!A$2:D$2981,2,FALSE),IF(VALUE(C2247)=0,1,VLOOKUP(C2247,'Справочник соответствий'!A$2:D$2981,2,FALSE)))</f>
        <v>1</v>
      </c>
      <c r="J2247" s="3">
        <f>IFERROR(VLOOKUP(D2247,'Справочник соответствий'!A$2:D$2981,2,FALSE),IF(VALUE(D2247)=0,0,VLOOKUP(D2247,'Справочник соответствий'!A$2:D$2981,2,FALSE)))</f>
        <v>0</v>
      </c>
      <c r="K2247" s="3" t="str">
        <f t="shared" si="245"/>
        <v>1</v>
      </c>
      <c r="L2247" s="13" t="str">
        <f>IFERROR(VLOOKUP(C2247,'Справочник соответствий'!A$2:D$2981,3,FALSE),IF(VALUE(C2247)=0,"ЭТАЖ НЕ ОПРЕДЕЛЕН. ПРИНЯТ ПО ДОПУЩЕНИЮ 1",VLOOKUP(C2247,'Справочник соответствий'!A$2:D$2981,3,FALSE)))</f>
        <v>ЭТАЖ ЗАДАН ЧИСЛОМ</v>
      </c>
      <c r="M2247" s="13" t="b">
        <f t="shared" si="246"/>
        <v>0</v>
      </c>
      <c r="N2247" s="13">
        <f t="shared" si="247"/>
        <v>1</v>
      </c>
      <c r="O2247" s="13" t="str">
        <f t="shared" si="248"/>
        <v>ЭТАЖ ЗАДАН ЧИСЛОМ</v>
      </c>
      <c r="P2247" s="13" t="str">
        <f t="shared" si="249"/>
        <v>ЭТАЖ ЗАДАН ЧИСЛОМ</v>
      </c>
      <c r="Q2247" s="13" t="str">
        <f t="shared" si="250"/>
        <v>ГОТОВ_ИЗМЕНЕН</v>
      </c>
      <c r="R2247" s="13">
        <f>IFERROR(VLOOKUP(P2247,Лист1!A$1:B$20,2,FALSE),0)</f>
        <v>784</v>
      </c>
      <c r="S2247" s="13">
        <f t="shared" si="251"/>
        <v>0</v>
      </c>
    </row>
    <row r="2248" spans="1:19" x14ac:dyDescent="0.25">
      <c r="A2248" s="24" t="s">
        <v>3377</v>
      </c>
      <c r="B2248" s="4" t="s">
        <v>1063</v>
      </c>
      <c r="C2248" s="25" t="s">
        <v>7</v>
      </c>
      <c r="D2248" s="25" t="s">
        <v>5</v>
      </c>
      <c r="E2248" s="3">
        <v>1</v>
      </c>
      <c r="F2248" s="24" t="s">
        <v>1045</v>
      </c>
      <c r="G2248" s="25" t="s">
        <v>1099</v>
      </c>
      <c r="H2248" s="24" t="s">
        <v>1061</v>
      </c>
      <c r="I2248" s="3" t="str">
        <f>IFERROR(VLOOKUP(C2248,'Справочник соответствий'!A$2:D$2981,2,FALSE),IF(VALUE(C2248)=0,1,VLOOKUP(C2248,'Справочник соответствий'!A$2:D$2981,2,FALSE)))</f>
        <v>2</v>
      </c>
      <c r="J2248" s="3" t="str">
        <f>IFERROR(VLOOKUP(D2248,'Справочник соответствий'!A$2:D$2981,2,FALSE),IF(VALUE(D2248)=0,0,VLOOKUP(D2248,'Справочник соответствий'!A$2:D$2981,2,FALSE)))</f>
        <v>1</v>
      </c>
      <c r="K2248" s="3" t="str">
        <f t="shared" si="245"/>
        <v>2</v>
      </c>
      <c r="L2248" s="13" t="str">
        <f>IFERROR(VLOOKUP(C2248,'Справочник соответствий'!A$2:D$2981,3,FALSE),IF(VALUE(C2248)=0,"ЭТАЖ НЕ ОПРЕДЕЛЕН. ПРИНЯТ ПО ДОПУЩЕНИЮ 1",VLOOKUP(C2248,'Справочник соответствий'!A$2:D$2981,3,FALSE)))</f>
        <v>ЭТАЖ ЗАДАН ЧИСЛОМ</v>
      </c>
      <c r="M2248" s="13" t="b">
        <f t="shared" si="246"/>
        <v>0</v>
      </c>
      <c r="N2248" s="13">
        <f t="shared" si="247"/>
        <v>2</v>
      </c>
      <c r="O2248" s="13" t="str">
        <f t="shared" si="248"/>
        <v>ЭТАЖ ЗАДАН ЧИСЛОМ</v>
      </c>
      <c r="P2248" s="13" t="str">
        <f t="shared" si="249"/>
        <v>ЭТАЖ ЗАДАН ЧИСЛОМ</v>
      </c>
      <c r="Q2248" s="13" t="str">
        <f t="shared" si="250"/>
        <v>ГОТОВ_ИЗМЕНЕН</v>
      </c>
      <c r="R2248" s="13">
        <f>IFERROR(VLOOKUP(P2248,Лист1!A$1:B$20,2,FALSE),0)</f>
        <v>784</v>
      </c>
      <c r="S2248" s="13">
        <f t="shared" si="251"/>
        <v>1</v>
      </c>
    </row>
    <row r="2249" spans="1:19" x14ac:dyDescent="0.25">
      <c r="A2249" s="24" t="s">
        <v>3378</v>
      </c>
      <c r="B2249" s="4" t="s">
        <v>1031</v>
      </c>
      <c r="C2249" s="25" t="s">
        <v>7</v>
      </c>
      <c r="E2249" s="3">
        <v>2</v>
      </c>
      <c r="F2249" s="24" t="s">
        <v>1074</v>
      </c>
      <c r="G2249" s="25" t="s">
        <v>1075</v>
      </c>
      <c r="H2249" s="24" t="s">
        <v>1061</v>
      </c>
      <c r="I2249" s="3" t="str">
        <f>IFERROR(VLOOKUP(C2249,'Справочник соответствий'!A$2:D$2981,2,FALSE),IF(VALUE(C2249)=0,1,VLOOKUP(C2249,'Справочник соответствий'!A$2:D$2981,2,FALSE)))</f>
        <v>2</v>
      </c>
      <c r="J2249" s="3">
        <f>IFERROR(VLOOKUP(D2249,'Справочник соответствий'!A$2:D$2981,2,FALSE),IF(VALUE(D2249)=0,0,VLOOKUP(D2249,'Справочник соответствий'!A$2:D$2981,2,FALSE)))</f>
        <v>0</v>
      </c>
      <c r="K2249" s="3">
        <f t="shared" si="245"/>
        <v>2</v>
      </c>
      <c r="L2249" s="13" t="str">
        <f>IFERROR(VLOOKUP(C2249,'Справочник соответствий'!A$2:D$2981,3,FALSE),IF(VALUE(C2249)=0,"ЭТАЖ НЕ ОПРЕДЕЛЕН. ПРИНЯТ ПО ДОПУЩЕНИЮ 1",VLOOKUP(C2249,'Справочник соответствий'!A$2:D$2981,3,FALSE)))</f>
        <v>ЭТАЖ ЗАДАН ЧИСЛОМ</v>
      </c>
      <c r="M2249" s="13" t="b">
        <f t="shared" si="246"/>
        <v>0</v>
      </c>
      <c r="N2249" s="13">
        <f t="shared" si="247"/>
        <v>2</v>
      </c>
      <c r="O2249" s="13" t="str">
        <f t="shared" si="248"/>
        <v>ЭТАЖ ЗАДАН ЧИСЛОМ</v>
      </c>
      <c r="P2249" s="13" t="str">
        <f t="shared" si="249"/>
        <v>МКД_ЭТАЖ ЗАДАН ЧИСЛОМ</v>
      </c>
      <c r="Q2249" s="13" t="str">
        <f t="shared" si="250"/>
        <v>ГОТОВ</v>
      </c>
      <c r="R2249" s="13">
        <f>IFERROR(VLOOKUP(P2249,Лист1!A$1:B$20,2,FALSE),0)</f>
        <v>786</v>
      </c>
      <c r="S2249" s="13">
        <f t="shared" si="251"/>
        <v>2</v>
      </c>
    </row>
    <row r="2250" spans="1:19" x14ac:dyDescent="0.25">
      <c r="A2250" s="24" t="s">
        <v>3379</v>
      </c>
      <c r="B2250" s="4" t="s">
        <v>1059</v>
      </c>
      <c r="C2250" s="25" t="s">
        <v>5</v>
      </c>
      <c r="D2250" s="25" t="s">
        <v>5</v>
      </c>
      <c r="E2250" s="3">
        <v>1</v>
      </c>
      <c r="F2250" s="24" t="s">
        <v>1045</v>
      </c>
      <c r="G2250" s="25" t="s">
        <v>1077</v>
      </c>
      <c r="H2250" s="24" t="s">
        <v>1061</v>
      </c>
      <c r="I2250" s="3" t="str">
        <f>IFERROR(VLOOKUP(C2250,'Справочник соответствий'!A$2:D$2981,2,FALSE),IF(VALUE(C2250)=0,1,VLOOKUP(C2250,'Справочник соответствий'!A$2:D$2981,2,FALSE)))</f>
        <v>1</v>
      </c>
      <c r="J2250" s="3" t="str">
        <f>IFERROR(VLOOKUP(D2250,'Справочник соответствий'!A$2:D$2981,2,FALSE),IF(VALUE(D2250)=0,0,VLOOKUP(D2250,'Справочник соответствий'!A$2:D$2981,2,FALSE)))</f>
        <v>1</v>
      </c>
      <c r="K2250" s="3" t="str">
        <f t="shared" si="245"/>
        <v>1</v>
      </c>
      <c r="L2250" s="13" t="str">
        <f>IFERROR(VLOOKUP(C2250,'Справочник соответствий'!A$2:D$2981,3,FALSE),IF(VALUE(C2250)=0,"ЭТАЖ НЕ ОПРЕДЕЛЕН. ПРИНЯТ ПО ДОПУЩЕНИЮ 1",VLOOKUP(C2250,'Справочник соответствий'!A$2:D$2981,3,FALSE)))</f>
        <v>ЭТАЖ ЗАДАН ЧИСЛОМ</v>
      </c>
      <c r="M2250" s="13" t="b">
        <f t="shared" si="246"/>
        <v>0</v>
      </c>
      <c r="N2250" s="13">
        <f t="shared" si="247"/>
        <v>1</v>
      </c>
      <c r="O2250" s="13" t="str">
        <f t="shared" si="248"/>
        <v>ЭТАЖ ЗАДАН ЧИСЛОМ</v>
      </c>
      <c r="P2250" s="13" t="str">
        <f t="shared" si="249"/>
        <v>ЭТАЖ ЗАДАН ЧИСЛОМ</v>
      </c>
      <c r="Q2250" s="13" t="str">
        <f t="shared" si="250"/>
        <v>ГОТОВ</v>
      </c>
      <c r="R2250" s="13">
        <f>IFERROR(VLOOKUP(P2250,Лист1!A$1:B$20,2,FALSE),0)</f>
        <v>784</v>
      </c>
      <c r="S2250" s="13">
        <f t="shared" si="251"/>
        <v>1</v>
      </c>
    </row>
    <row r="2251" spans="1:19" x14ac:dyDescent="0.25">
      <c r="A2251" s="24" t="s">
        <v>3380</v>
      </c>
      <c r="B2251" s="4" t="s">
        <v>1059</v>
      </c>
      <c r="C2251" s="25" t="s">
        <v>7</v>
      </c>
      <c r="E2251" s="3">
        <v>2</v>
      </c>
      <c r="F2251" s="24" t="s">
        <v>1045</v>
      </c>
      <c r="G2251" s="25" t="s">
        <v>1069</v>
      </c>
      <c r="H2251" s="24" t="s">
        <v>1061</v>
      </c>
      <c r="I2251" s="3" t="str">
        <f>IFERROR(VLOOKUP(C2251,'Справочник соответствий'!A$2:D$2981,2,FALSE),IF(VALUE(C2251)=0,1,VLOOKUP(C2251,'Справочник соответствий'!A$2:D$2981,2,FALSE)))</f>
        <v>2</v>
      </c>
      <c r="J2251" s="3">
        <f>IFERROR(VLOOKUP(D2251,'Справочник соответствий'!A$2:D$2981,2,FALSE),IF(VALUE(D2251)=0,0,VLOOKUP(D2251,'Справочник соответствий'!A$2:D$2981,2,FALSE)))</f>
        <v>0</v>
      </c>
      <c r="K2251" s="3" t="str">
        <f t="shared" si="245"/>
        <v>2</v>
      </c>
      <c r="L2251" s="13" t="str">
        <f>IFERROR(VLOOKUP(C2251,'Справочник соответствий'!A$2:D$2981,3,FALSE),IF(VALUE(C2251)=0,"ЭТАЖ НЕ ОПРЕДЕЛЕН. ПРИНЯТ ПО ДОПУЩЕНИЮ 1",VLOOKUP(C2251,'Справочник соответствий'!A$2:D$2981,3,FALSE)))</f>
        <v>ЭТАЖ ЗАДАН ЧИСЛОМ</v>
      </c>
      <c r="M2251" s="13" t="b">
        <f t="shared" si="246"/>
        <v>0</v>
      </c>
      <c r="N2251" s="13">
        <f t="shared" si="247"/>
        <v>2</v>
      </c>
      <c r="O2251" s="13" t="str">
        <f t="shared" si="248"/>
        <v>ЭТАЖ ЗАДАН ЧИСЛОМ</v>
      </c>
      <c r="P2251" s="13" t="str">
        <f t="shared" si="249"/>
        <v>ЭТАЖ ЗАДАН ЧИСЛОМ</v>
      </c>
      <c r="Q2251" s="13" t="str">
        <f t="shared" si="250"/>
        <v>ГОТОВ</v>
      </c>
      <c r="R2251" s="13">
        <f>IFERROR(VLOOKUP(P2251,Лист1!A$1:B$20,2,FALSE),0)</f>
        <v>784</v>
      </c>
      <c r="S2251" s="13">
        <f t="shared" si="251"/>
        <v>2</v>
      </c>
    </row>
    <row r="2252" spans="1:19" x14ac:dyDescent="0.25">
      <c r="A2252" s="24" t="s">
        <v>3381</v>
      </c>
      <c r="B2252" s="4" t="s">
        <v>1063</v>
      </c>
      <c r="C2252" s="25" t="s">
        <v>5</v>
      </c>
      <c r="E2252" s="3">
        <v>1</v>
      </c>
      <c r="F2252" s="24" t="s">
        <v>1045</v>
      </c>
      <c r="G2252" s="25" t="s">
        <v>1069</v>
      </c>
      <c r="H2252" s="24" t="s">
        <v>1061</v>
      </c>
      <c r="I2252" s="3" t="str">
        <f>IFERROR(VLOOKUP(C2252,'Справочник соответствий'!A$2:D$2981,2,FALSE),IF(VALUE(C2252)=0,1,VLOOKUP(C2252,'Справочник соответствий'!A$2:D$2981,2,FALSE)))</f>
        <v>1</v>
      </c>
      <c r="J2252" s="3">
        <f>IFERROR(VLOOKUP(D2252,'Справочник соответствий'!A$2:D$2981,2,FALSE),IF(VALUE(D2252)=0,0,VLOOKUP(D2252,'Справочник соответствий'!A$2:D$2981,2,FALSE)))</f>
        <v>0</v>
      </c>
      <c r="K2252" s="3" t="str">
        <f t="shared" si="245"/>
        <v>1</v>
      </c>
      <c r="L2252" s="13" t="str">
        <f>IFERROR(VLOOKUP(C2252,'Справочник соответствий'!A$2:D$2981,3,FALSE),IF(VALUE(C2252)=0,"ЭТАЖ НЕ ОПРЕДЕЛЕН. ПРИНЯТ ПО ДОПУЩЕНИЮ 1",VLOOKUP(C2252,'Справочник соответствий'!A$2:D$2981,3,FALSE)))</f>
        <v>ЭТАЖ ЗАДАН ЧИСЛОМ</v>
      </c>
      <c r="M2252" s="13" t="b">
        <f t="shared" si="246"/>
        <v>0</v>
      </c>
      <c r="N2252" s="13">
        <f t="shared" si="247"/>
        <v>1</v>
      </c>
      <c r="O2252" s="13" t="str">
        <f t="shared" si="248"/>
        <v>ЭТАЖ ЗАДАН ЧИСЛОМ</v>
      </c>
      <c r="P2252" s="13" t="str">
        <f t="shared" si="249"/>
        <v>ЭТАЖ ЗАДАН ЧИСЛОМ</v>
      </c>
      <c r="Q2252" s="13" t="str">
        <f t="shared" si="250"/>
        <v>ГОТОВ</v>
      </c>
      <c r="R2252" s="13">
        <f>IFERROR(VLOOKUP(P2252,Лист1!A$1:B$20,2,FALSE),0)</f>
        <v>784</v>
      </c>
      <c r="S2252" s="13">
        <f t="shared" si="251"/>
        <v>1</v>
      </c>
    </row>
    <row r="2253" spans="1:19" x14ac:dyDescent="0.25">
      <c r="A2253" s="24" t="s">
        <v>3382</v>
      </c>
      <c r="B2253" s="4" t="s">
        <v>1063</v>
      </c>
      <c r="C2253" s="25" t="s">
        <v>69</v>
      </c>
      <c r="E2253" s="3">
        <v>2</v>
      </c>
      <c r="F2253" s="24" t="s">
        <v>1045</v>
      </c>
      <c r="G2253" s="25" t="s">
        <v>1067</v>
      </c>
      <c r="H2253" s="24" t="s">
        <v>1061</v>
      </c>
      <c r="I2253" s="3" t="str">
        <f>IFERROR(VLOOKUP(C2253,'Справочник соответствий'!A$2:D$2981,2,FALSE),IF(VALUE(C2253)=0,1,VLOOKUP(C2253,'Справочник соответствий'!A$2:D$2981,2,FALSE)))</f>
        <v>1</v>
      </c>
      <c r="J2253" s="3">
        <f>IFERROR(VLOOKUP(D2253,'Справочник соответствий'!A$2:D$2981,2,FALSE),IF(VALUE(D2253)=0,0,VLOOKUP(D2253,'Справочник соответствий'!A$2:D$2981,2,FALSE)))</f>
        <v>0</v>
      </c>
      <c r="K2253" s="3" t="str">
        <f t="shared" si="245"/>
        <v>1</v>
      </c>
      <c r="L2253" s="13" t="str">
        <f>IFERROR(VLOOKUP(C2253,'Справочник соответствий'!A$2:D$2981,3,FALSE),IF(VALUE(C2253)=0,"ЭТАЖ НЕ ОПРЕДЕЛЕН. ПРИНЯТ ПО ДОПУЩЕНИЮ 1",VLOOKUP(C2253,'Справочник соответствий'!A$2:D$2981,3,FALSE)))</f>
        <v>ЭТАЖ НЕ ОПРЕДЕЛЕН. ПРИНЯТ ПО ДОПУЩЕНИЮ 1</v>
      </c>
      <c r="M2253" s="13" t="b">
        <f t="shared" si="246"/>
        <v>0</v>
      </c>
      <c r="N2253" s="13">
        <f t="shared" si="247"/>
        <v>2</v>
      </c>
      <c r="O2253" s="13" t="str">
        <f t="shared" si="24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2253" s="13" t="str">
        <f t="shared" si="24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2253" s="13" t="str">
        <f t="shared" si="250"/>
        <v>ГОТОВ</v>
      </c>
      <c r="R2253" s="13">
        <f>IFERROR(VLOOKUP(P2253,Лист1!A$1:B$20,2,FALSE),0)</f>
        <v>214</v>
      </c>
      <c r="S2253" s="13">
        <f t="shared" si="251"/>
        <v>2</v>
      </c>
    </row>
    <row r="2254" spans="1:19" x14ac:dyDescent="0.25">
      <c r="A2254" s="24" t="s">
        <v>3383</v>
      </c>
      <c r="B2254" s="4" t="s">
        <v>1059</v>
      </c>
      <c r="E2254" s="3">
        <v>1</v>
      </c>
      <c r="F2254" s="24" t="s">
        <v>1045</v>
      </c>
      <c r="G2254" s="25" t="s">
        <v>1072</v>
      </c>
      <c r="H2254" s="24" t="s">
        <v>1061</v>
      </c>
      <c r="I2254" s="3">
        <f>IFERROR(VLOOKUP(C2254,'Справочник соответствий'!A$2:D$2981,2,FALSE),IF(VALUE(C2254)=0,1,VLOOKUP(C2254,'Справочник соответствий'!A$2:D$2981,2,FALSE)))</f>
        <v>1</v>
      </c>
      <c r="J2254" s="3">
        <f>IFERROR(VLOOKUP(D2254,'Справочник соответствий'!A$2:D$2981,2,FALSE),IF(VALUE(D2254)=0,0,VLOOKUP(D2254,'Справочник соответствий'!A$2:D$2981,2,FALSE)))</f>
        <v>0</v>
      </c>
      <c r="K2254" s="3">
        <f t="shared" si="245"/>
        <v>1</v>
      </c>
      <c r="L2254" s="13" t="str">
        <f>IFERROR(VLOOKUP(C2254,'Справочник соответствий'!A$2:D$2981,3,FALSE),IF(VALUE(C2254)=0,"ЭТАЖ НЕ ОПРЕДЕЛЕН. ПРИНЯТ ПО ДОПУЩЕНИЮ 1",VLOOKUP(C2254,'Справочник соответствий'!A$2:D$2981,3,FALSE)))</f>
        <v>ЭТАЖ НЕ ОПРЕДЕЛЕН. ПРИНЯТ ПО ДОПУЩЕНИЮ 1</v>
      </c>
      <c r="M2254" s="13" t="b">
        <f t="shared" si="246"/>
        <v>1</v>
      </c>
      <c r="N2254" s="13">
        <f t="shared" si="247"/>
        <v>1</v>
      </c>
      <c r="O2254" s="13" t="str">
        <f t="shared" si="248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2254" s="13" t="str">
        <f t="shared" si="24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2254" s="13" t="str">
        <f t="shared" si="250"/>
        <v>ГОТОВ</v>
      </c>
      <c r="R2254" s="13">
        <f>IFERROR(VLOOKUP(P2254,Лист1!A$1:B$20,2,FALSE),0)</f>
        <v>214</v>
      </c>
      <c r="S2254" s="13">
        <f t="shared" si="251"/>
        <v>1</v>
      </c>
    </row>
    <row r="2255" spans="1:19" x14ac:dyDescent="0.25">
      <c r="A2255" s="24" t="s">
        <v>3384</v>
      </c>
      <c r="B2255" s="4" t="s">
        <v>1031</v>
      </c>
      <c r="C2255" s="25" t="s">
        <v>16</v>
      </c>
      <c r="E2255" s="3">
        <v>5</v>
      </c>
      <c r="F2255" s="24" t="s">
        <v>1074</v>
      </c>
      <c r="G2255" s="25" t="s">
        <v>1075</v>
      </c>
      <c r="H2255" s="24" t="s">
        <v>1061</v>
      </c>
      <c r="I2255" s="3" t="str">
        <f>IFERROR(VLOOKUP(C2255,'Справочник соответствий'!A$2:D$2981,2,FALSE),IF(VALUE(C2255)=0,1,VLOOKUP(C2255,'Справочник соответствий'!A$2:D$2981,2,FALSE)))</f>
        <v>5</v>
      </c>
      <c r="J2255" s="3">
        <f>IFERROR(VLOOKUP(D2255,'Справочник соответствий'!A$2:D$2981,2,FALSE),IF(VALUE(D2255)=0,0,VLOOKUP(D2255,'Справочник соответствий'!A$2:D$2981,2,FALSE)))</f>
        <v>0</v>
      </c>
      <c r="K2255" s="3">
        <f t="shared" si="245"/>
        <v>5</v>
      </c>
      <c r="L2255" s="13" t="str">
        <f>IFERROR(VLOOKUP(C2255,'Справочник соответствий'!A$2:D$2981,3,FALSE),IF(VALUE(C2255)=0,"ЭТАЖ НЕ ОПРЕДЕЛЕН. ПРИНЯТ ПО ДОПУЩЕНИЮ 1",VLOOKUP(C2255,'Справочник соответствий'!A$2:D$2981,3,FALSE)))</f>
        <v>ЭТАЖ ЗАДАН ЧИСЛОМ</v>
      </c>
      <c r="M2255" s="13" t="b">
        <f t="shared" si="246"/>
        <v>0</v>
      </c>
      <c r="N2255" s="13">
        <f t="shared" si="247"/>
        <v>5</v>
      </c>
      <c r="O2255" s="13" t="str">
        <f t="shared" si="248"/>
        <v>ЭТАЖ ЗАДАН ЧИСЛОМ</v>
      </c>
      <c r="P2255" s="13" t="str">
        <f t="shared" si="249"/>
        <v>МКД_ЭТАЖ ЗАДАН ЧИСЛОМ</v>
      </c>
      <c r="Q2255" s="13" t="str">
        <f t="shared" si="250"/>
        <v>ГОТОВ</v>
      </c>
      <c r="R2255" s="13">
        <f>IFERROR(VLOOKUP(P2255,Лист1!A$1:B$20,2,FALSE),0)</f>
        <v>786</v>
      </c>
      <c r="S2255" s="13">
        <f t="shared" si="251"/>
        <v>5</v>
      </c>
    </row>
    <row r="2256" spans="1:19" x14ac:dyDescent="0.25">
      <c r="A2256" s="24" t="s">
        <v>3385</v>
      </c>
      <c r="B2256" s="4" t="s">
        <v>1059</v>
      </c>
      <c r="C2256" s="25" t="s">
        <v>5</v>
      </c>
      <c r="E2256" s="3">
        <v>1</v>
      </c>
      <c r="F2256" s="24" t="s">
        <v>1045</v>
      </c>
      <c r="G2256" s="25" t="s">
        <v>1072</v>
      </c>
      <c r="H2256" s="24" t="s">
        <v>1061</v>
      </c>
      <c r="I2256" s="3" t="str">
        <f>IFERROR(VLOOKUP(C2256,'Справочник соответствий'!A$2:D$2981,2,FALSE),IF(VALUE(C2256)=0,1,VLOOKUP(C2256,'Справочник соответствий'!A$2:D$2981,2,FALSE)))</f>
        <v>1</v>
      </c>
      <c r="J2256" s="3">
        <f>IFERROR(VLOOKUP(D2256,'Справочник соответствий'!A$2:D$2981,2,FALSE),IF(VALUE(D2256)=0,0,VLOOKUP(D2256,'Справочник соответствий'!A$2:D$2981,2,FALSE)))</f>
        <v>0</v>
      </c>
      <c r="K2256" s="3" t="str">
        <f t="shared" si="245"/>
        <v>1</v>
      </c>
      <c r="L2256" s="13" t="str">
        <f>IFERROR(VLOOKUP(C2256,'Справочник соответствий'!A$2:D$2981,3,FALSE),IF(VALUE(C2256)=0,"ЭТАЖ НЕ ОПРЕДЕЛЕН. ПРИНЯТ ПО ДОПУЩЕНИЮ 1",VLOOKUP(C2256,'Справочник соответствий'!A$2:D$2981,3,FALSE)))</f>
        <v>ЭТАЖ ЗАДАН ЧИСЛОМ</v>
      </c>
      <c r="M2256" s="13" t="b">
        <f t="shared" si="246"/>
        <v>0</v>
      </c>
      <c r="N2256" s="13">
        <f t="shared" si="247"/>
        <v>1</v>
      </c>
      <c r="O2256" s="13" t="str">
        <f t="shared" si="248"/>
        <v>ЭТАЖ ЗАДАН ЧИСЛОМ</v>
      </c>
      <c r="P2256" s="13" t="str">
        <f t="shared" si="249"/>
        <v>ЭТАЖ ЗАДАН ЧИСЛОМ</v>
      </c>
      <c r="Q2256" s="13" t="str">
        <f t="shared" si="250"/>
        <v>ГОТОВ</v>
      </c>
      <c r="R2256" s="13">
        <f>IFERROR(VLOOKUP(P2256,Лист1!A$1:B$20,2,FALSE),0)</f>
        <v>784</v>
      </c>
      <c r="S2256" s="13">
        <f t="shared" si="251"/>
        <v>1</v>
      </c>
    </row>
    <row r="2257" spans="1:19" x14ac:dyDescent="0.25">
      <c r="A2257" s="24" t="s">
        <v>3386</v>
      </c>
      <c r="B2257" s="4" t="s">
        <v>1063</v>
      </c>
      <c r="C2257" s="25" t="s">
        <v>5</v>
      </c>
      <c r="E2257" s="3">
        <v>1</v>
      </c>
      <c r="F2257" s="24" t="s">
        <v>1045</v>
      </c>
      <c r="G2257" s="25" t="s">
        <v>1089</v>
      </c>
      <c r="H2257" s="24" t="s">
        <v>1061</v>
      </c>
      <c r="I2257" s="3" t="str">
        <f>IFERROR(VLOOKUP(C2257,'Справочник соответствий'!A$2:D$2981,2,FALSE),IF(VALUE(C2257)=0,1,VLOOKUP(C2257,'Справочник соответствий'!A$2:D$2981,2,FALSE)))</f>
        <v>1</v>
      </c>
      <c r="J2257" s="3">
        <f>IFERROR(VLOOKUP(D2257,'Справочник соответствий'!A$2:D$2981,2,FALSE),IF(VALUE(D2257)=0,0,VLOOKUP(D2257,'Справочник соответствий'!A$2:D$2981,2,FALSE)))</f>
        <v>0</v>
      </c>
      <c r="K2257" s="3" t="str">
        <f t="shared" si="245"/>
        <v>1</v>
      </c>
      <c r="L2257" s="13" t="str">
        <f>IFERROR(VLOOKUP(C2257,'Справочник соответствий'!A$2:D$2981,3,FALSE),IF(VALUE(C2257)=0,"ЭТАЖ НЕ ОПРЕДЕЛЕН. ПРИНЯТ ПО ДОПУЩЕНИЮ 1",VLOOKUP(C2257,'Справочник соответствий'!A$2:D$2981,3,FALSE)))</f>
        <v>ЭТАЖ ЗАДАН ЧИСЛОМ</v>
      </c>
      <c r="M2257" s="13" t="b">
        <f t="shared" si="246"/>
        <v>0</v>
      </c>
      <c r="N2257" s="13">
        <f t="shared" si="247"/>
        <v>1</v>
      </c>
      <c r="O2257" s="13" t="str">
        <f t="shared" si="248"/>
        <v>ЭТАЖ ЗАДАН ЧИСЛОМ</v>
      </c>
      <c r="P2257" s="13" t="str">
        <f t="shared" si="249"/>
        <v>ЭТАЖ ЗАДАН ЧИСЛОМ</v>
      </c>
      <c r="Q2257" s="13" t="str">
        <f t="shared" si="250"/>
        <v>ГОТОВ</v>
      </c>
      <c r="R2257" s="13">
        <f>IFERROR(VLOOKUP(P2257,Лист1!A$1:B$20,2,FALSE),0)</f>
        <v>784</v>
      </c>
      <c r="S2257" s="13">
        <f t="shared" si="251"/>
        <v>1</v>
      </c>
    </row>
    <row r="2258" spans="1:19" x14ac:dyDescent="0.25">
      <c r="A2258" s="24" t="s">
        <v>3387</v>
      </c>
      <c r="B2258" s="4" t="s">
        <v>1059</v>
      </c>
      <c r="C2258" s="25" t="s">
        <v>5</v>
      </c>
      <c r="E2258" s="3">
        <v>1</v>
      </c>
      <c r="F2258" s="24" t="s">
        <v>1045</v>
      </c>
      <c r="G2258" s="25" t="s">
        <v>1222</v>
      </c>
      <c r="H2258" s="24" t="s">
        <v>1061</v>
      </c>
      <c r="I2258" s="3" t="str">
        <f>IFERROR(VLOOKUP(C2258,'Справочник соответствий'!A$2:D$2981,2,FALSE),IF(VALUE(C2258)=0,1,VLOOKUP(C2258,'Справочник соответствий'!A$2:D$2981,2,FALSE)))</f>
        <v>1</v>
      </c>
      <c r="J2258" s="3">
        <f>IFERROR(VLOOKUP(D2258,'Справочник соответствий'!A$2:D$2981,2,FALSE),IF(VALUE(D2258)=0,0,VLOOKUP(D2258,'Справочник соответствий'!A$2:D$2981,2,FALSE)))</f>
        <v>0</v>
      </c>
      <c r="K2258" s="3" t="str">
        <f t="shared" si="245"/>
        <v>1</v>
      </c>
      <c r="L2258" s="13" t="str">
        <f>IFERROR(VLOOKUP(C2258,'Справочник соответствий'!A$2:D$2981,3,FALSE),IF(VALUE(C2258)=0,"ЭТАЖ НЕ ОПРЕДЕЛЕН. ПРИНЯТ ПО ДОПУЩЕНИЮ 1",VLOOKUP(C2258,'Справочник соответствий'!A$2:D$2981,3,FALSE)))</f>
        <v>ЭТАЖ ЗАДАН ЧИСЛОМ</v>
      </c>
      <c r="M2258" s="13" t="b">
        <f t="shared" si="246"/>
        <v>0</v>
      </c>
      <c r="N2258" s="13">
        <f t="shared" si="247"/>
        <v>1</v>
      </c>
      <c r="O2258" s="13" t="str">
        <f t="shared" si="248"/>
        <v>ЭТАЖ ЗАДАН ЧИСЛОМ</v>
      </c>
      <c r="P2258" s="13" t="str">
        <f t="shared" si="249"/>
        <v>ЭТАЖ ЗАДАН ЧИСЛОМ</v>
      </c>
      <c r="Q2258" s="13" t="str">
        <f t="shared" si="250"/>
        <v>ГОТОВ</v>
      </c>
      <c r="R2258" s="13">
        <f>IFERROR(VLOOKUP(P2258,Лист1!A$1:B$20,2,FALSE),0)</f>
        <v>784</v>
      </c>
      <c r="S2258" s="13">
        <f t="shared" si="251"/>
        <v>1</v>
      </c>
    </row>
    <row r="2259" spans="1:19" x14ac:dyDescent="0.25">
      <c r="A2259" s="24" t="s">
        <v>3388</v>
      </c>
      <c r="B2259" s="4" t="s">
        <v>1063</v>
      </c>
      <c r="C2259" s="25" t="s">
        <v>5</v>
      </c>
      <c r="E2259" s="3">
        <v>1</v>
      </c>
      <c r="F2259" s="24" t="s">
        <v>1045</v>
      </c>
      <c r="G2259" s="25" t="s">
        <v>1195</v>
      </c>
      <c r="H2259" s="24" t="s">
        <v>1061</v>
      </c>
      <c r="I2259" s="3" t="str">
        <f>IFERROR(VLOOKUP(C2259,'Справочник соответствий'!A$2:D$2981,2,FALSE),IF(VALUE(C2259)=0,1,VLOOKUP(C2259,'Справочник соответствий'!A$2:D$2981,2,FALSE)))</f>
        <v>1</v>
      </c>
      <c r="J2259" s="3">
        <f>IFERROR(VLOOKUP(D2259,'Справочник соответствий'!A$2:D$2981,2,FALSE),IF(VALUE(D2259)=0,0,VLOOKUP(D2259,'Справочник соответствий'!A$2:D$2981,2,FALSE)))</f>
        <v>0</v>
      </c>
      <c r="K2259" s="3" t="str">
        <f t="shared" si="245"/>
        <v>1</v>
      </c>
      <c r="L2259" s="13" t="str">
        <f>IFERROR(VLOOKUP(C2259,'Справочник соответствий'!A$2:D$2981,3,FALSE),IF(VALUE(C2259)=0,"ЭТАЖ НЕ ОПРЕДЕЛЕН. ПРИНЯТ ПО ДОПУЩЕНИЮ 1",VLOOKUP(C2259,'Справочник соответствий'!A$2:D$2981,3,FALSE)))</f>
        <v>ЭТАЖ ЗАДАН ЧИСЛОМ</v>
      </c>
      <c r="M2259" s="13" t="b">
        <f t="shared" si="246"/>
        <v>0</v>
      </c>
      <c r="N2259" s="13">
        <f t="shared" si="247"/>
        <v>1</v>
      </c>
      <c r="O2259" s="13" t="str">
        <f t="shared" si="248"/>
        <v>ЭТАЖ ЗАДАН ЧИСЛОМ</v>
      </c>
      <c r="P2259" s="13" t="str">
        <f t="shared" si="249"/>
        <v>ЭТАЖ ЗАДАН ЧИСЛОМ</v>
      </c>
      <c r="Q2259" s="13" t="str">
        <f t="shared" si="250"/>
        <v>ГОТОВ</v>
      </c>
      <c r="R2259" s="13">
        <f>IFERROR(VLOOKUP(P2259,Лист1!A$1:B$20,2,FALSE),0)</f>
        <v>784</v>
      </c>
      <c r="S2259" s="13">
        <f t="shared" si="251"/>
        <v>1</v>
      </c>
    </row>
    <row r="2260" spans="1:19" x14ac:dyDescent="0.25">
      <c r="A2260" s="24" t="s">
        <v>3389</v>
      </c>
      <c r="B2260" s="4" t="s">
        <v>1063</v>
      </c>
      <c r="C2260" s="25" t="s">
        <v>7</v>
      </c>
      <c r="D2260" s="25" t="s">
        <v>5</v>
      </c>
      <c r="E2260" s="3">
        <v>2</v>
      </c>
      <c r="F2260" s="24" t="s">
        <v>1045</v>
      </c>
      <c r="G2260" s="25" t="s">
        <v>1086</v>
      </c>
      <c r="H2260" s="24" t="s">
        <v>1061</v>
      </c>
      <c r="I2260" s="3" t="str">
        <f>IFERROR(VLOOKUP(C2260,'Справочник соответствий'!A$2:D$2981,2,FALSE),IF(VALUE(C2260)=0,1,VLOOKUP(C2260,'Справочник соответствий'!A$2:D$2981,2,FALSE)))</f>
        <v>2</v>
      </c>
      <c r="J2260" s="3" t="str">
        <f>IFERROR(VLOOKUP(D2260,'Справочник соответствий'!A$2:D$2981,2,FALSE),IF(VALUE(D2260)=0,0,VLOOKUP(D2260,'Справочник соответствий'!A$2:D$2981,2,FALSE)))</f>
        <v>1</v>
      </c>
      <c r="K2260" s="3" t="str">
        <f t="shared" si="245"/>
        <v>2</v>
      </c>
      <c r="L2260" s="13" t="str">
        <f>IFERROR(VLOOKUP(C2260,'Справочник соответствий'!A$2:D$2981,3,FALSE),IF(VALUE(C2260)=0,"ЭТАЖ НЕ ОПРЕДЕЛЕН. ПРИНЯТ ПО ДОПУЩЕНИЮ 1",VLOOKUP(C2260,'Справочник соответствий'!A$2:D$2981,3,FALSE)))</f>
        <v>ЭТАЖ ЗАДАН ЧИСЛОМ</v>
      </c>
      <c r="M2260" s="13" t="b">
        <f t="shared" si="246"/>
        <v>0</v>
      </c>
      <c r="N2260" s="13">
        <f t="shared" si="247"/>
        <v>2</v>
      </c>
      <c r="O2260" s="13" t="str">
        <f t="shared" si="248"/>
        <v>ЭТАЖ ЗАДАН ЧИСЛОМ</v>
      </c>
      <c r="P2260" s="13" t="str">
        <f t="shared" si="249"/>
        <v>ЭТАЖ ЗАДАН ЧИСЛОМ</v>
      </c>
      <c r="Q2260" s="13" t="str">
        <f t="shared" si="250"/>
        <v>ГОТОВ</v>
      </c>
      <c r="R2260" s="13">
        <f>IFERROR(VLOOKUP(P2260,Лист1!A$1:B$20,2,FALSE),0)</f>
        <v>784</v>
      </c>
      <c r="S2260" s="13">
        <f t="shared" si="251"/>
        <v>2</v>
      </c>
    </row>
    <row r="2261" spans="1:19" x14ac:dyDescent="0.25">
      <c r="A2261" s="24" t="s">
        <v>3390</v>
      </c>
      <c r="B2261" s="4" t="s">
        <v>1059</v>
      </c>
      <c r="C2261" s="25" t="s">
        <v>7</v>
      </c>
      <c r="E2261" s="3">
        <v>1</v>
      </c>
      <c r="F2261" s="24" t="s">
        <v>1045</v>
      </c>
      <c r="G2261" s="25" t="s">
        <v>1382</v>
      </c>
      <c r="H2261" s="24" t="s">
        <v>1061</v>
      </c>
      <c r="I2261" s="3" t="str">
        <f>IFERROR(VLOOKUP(C2261,'Справочник соответствий'!A$2:D$2981,2,FALSE),IF(VALUE(C2261)=0,1,VLOOKUP(C2261,'Справочник соответствий'!A$2:D$2981,2,FALSE)))</f>
        <v>2</v>
      </c>
      <c r="J2261" s="3">
        <f>IFERROR(VLOOKUP(D2261,'Справочник соответствий'!A$2:D$2981,2,FALSE),IF(VALUE(D2261)=0,0,VLOOKUP(D2261,'Справочник соответствий'!A$2:D$2981,2,FALSE)))</f>
        <v>0</v>
      </c>
      <c r="K2261" s="3" t="str">
        <f t="shared" si="245"/>
        <v>2</v>
      </c>
      <c r="L2261" s="13" t="str">
        <f>IFERROR(VLOOKUP(C2261,'Справочник соответствий'!A$2:D$2981,3,FALSE),IF(VALUE(C2261)=0,"ЭТАЖ НЕ ОПРЕДЕЛЕН. ПРИНЯТ ПО ДОПУЩЕНИЮ 1",VLOOKUP(C2261,'Справочник соответствий'!A$2:D$2981,3,FALSE)))</f>
        <v>ЭТАЖ ЗАДАН ЧИСЛОМ</v>
      </c>
      <c r="M2261" s="13" t="b">
        <f t="shared" si="246"/>
        <v>0</v>
      </c>
      <c r="N2261" s="13">
        <f t="shared" si="247"/>
        <v>2</v>
      </c>
      <c r="O2261" s="13" t="str">
        <f t="shared" si="248"/>
        <v>ЭТАЖ ЗАДАН ЧИСЛОМ</v>
      </c>
      <c r="P2261" s="13" t="str">
        <f t="shared" si="249"/>
        <v>ЭТАЖ ЗАДАН ЧИСЛОМ</v>
      </c>
      <c r="Q2261" s="13" t="str">
        <f t="shared" si="250"/>
        <v>ГОТОВ_ИЗМЕНЕН</v>
      </c>
      <c r="R2261" s="13">
        <f>IFERROR(VLOOKUP(P2261,Лист1!A$1:B$20,2,FALSE),0)</f>
        <v>784</v>
      </c>
      <c r="S2261" s="13">
        <f t="shared" si="251"/>
        <v>1</v>
      </c>
    </row>
    <row r="2262" spans="1:19" x14ac:dyDescent="0.25">
      <c r="A2262" s="24" t="s">
        <v>3391</v>
      </c>
      <c r="B2262" s="4" t="s">
        <v>1031</v>
      </c>
      <c r="C2262" s="25" t="s">
        <v>7</v>
      </c>
      <c r="E2262" s="3">
        <v>1</v>
      </c>
      <c r="F2262" s="24" t="s">
        <v>1045</v>
      </c>
      <c r="G2262" s="25" t="s">
        <v>1075</v>
      </c>
      <c r="H2262" s="24" t="s">
        <v>1061</v>
      </c>
      <c r="I2262" s="3" t="str">
        <f>IFERROR(VLOOKUP(C2262,'Справочник соответствий'!A$2:D$2981,2,FALSE),IF(VALUE(C2262)=0,1,VLOOKUP(C2262,'Справочник соответствий'!A$2:D$2981,2,FALSE)))</f>
        <v>2</v>
      </c>
      <c r="J2262" s="3">
        <f>IFERROR(VLOOKUP(D2262,'Справочник соответствий'!A$2:D$2981,2,FALSE),IF(VALUE(D2262)=0,0,VLOOKUP(D2262,'Справочник соответствий'!A$2:D$2981,2,FALSE)))</f>
        <v>0</v>
      </c>
      <c r="K2262" s="3">
        <f t="shared" si="245"/>
        <v>2</v>
      </c>
      <c r="L2262" s="13" t="str">
        <f>IFERROR(VLOOKUP(C2262,'Справочник соответствий'!A$2:D$2981,3,FALSE),IF(VALUE(C2262)=0,"ЭТАЖ НЕ ОПРЕДЕЛЕН. ПРИНЯТ ПО ДОПУЩЕНИЮ 1",VLOOKUP(C2262,'Справочник соответствий'!A$2:D$2981,3,FALSE)))</f>
        <v>ЭТАЖ ЗАДАН ЧИСЛОМ</v>
      </c>
      <c r="M2262" s="13" t="b">
        <f t="shared" si="246"/>
        <v>0</v>
      </c>
      <c r="N2262" s="13">
        <f t="shared" si="247"/>
        <v>2</v>
      </c>
      <c r="O2262" s="13" t="str">
        <f t="shared" si="248"/>
        <v>ЭТАЖ ЗАДАН ЧИСЛОМ</v>
      </c>
      <c r="P2262" s="13" t="str">
        <f t="shared" si="249"/>
        <v>МКД_ЭТАЖ ЗАДАН ЧИСЛОМ</v>
      </c>
      <c r="Q2262" s="13" t="str">
        <f t="shared" si="250"/>
        <v>ГОТОВ_ИЗМЕНЕН</v>
      </c>
      <c r="R2262" s="13">
        <f>IFERROR(VLOOKUP(P2262,Лист1!A$1:B$20,2,FALSE),0)</f>
        <v>786</v>
      </c>
      <c r="S2262" s="13">
        <f t="shared" si="251"/>
        <v>1</v>
      </c>
    </row>
    <row r="2263" spans="1:19" x14ac:dyDescent="0.25">
      <c r="A2263" s="24" t="s">
        <v>3392</v>
      </c>
      <c r="B2263" s="4" t="s">
        <v>1063</v>
      </c>
      <c r="C2263" s="25" t="s">
        <v>5</v>
      </c>
      <c r="E2263" s="3">
        <v>1</v>
      </c>
      <c r="F2263" s="24" t="s">
        <v>1045</v>
      </c>
      <c r="G2263" s="25" t="s">
        <v>1114</v>
      </c>
      <c r="H2263" s="24" t="s">
        <v>1061</v>
      </c>
      <c r="I2263" s="3" t="str">
        <f>IFERROR(VLOOKUP(C2263,'Справочник соответствий'!A$2:D$2981,2,FALSE),IF(VALUE(C2263)=0,1,VLOOKUP(C2263,'Справочник соответствий'!A$2:D$2981,2,FALSE)))</f>
        <v>1</v>
      </c>
      <c r="J2263" s="3">
        <f>IFERROR(VLOOKUP(D2263,'Справочник соответствий'!A$2:D$2981,2,FALSE),IF(VALUE(D2263)=0,0,VLOOKUP(D2263,'Справочник соответствий'!A$2:D$2981,2,FALSE)))</f>
        <v>0</v>
      </c>
      <c r="K2263" s="3" t="str">
        <f t="shared" si="245"/>
        <v>1</v>
      </c>
      <c r="L2263" s="13" t="str">
        <f>IFERROR(VLOOKUP(C2263,'Справочник соответствий'!A$2:D$2981,3,FALSE),IF(VALUE(C2263)=0,"ЭТАЖ НЕ ОПРЕДЕЛЕН. ПРИНЯТ ПО ДОПУЩЕНИЮ 1",VLOOKUP(C2263,'Справочник соответствий'!A$2:D$2981,3,FALSE)))</f>
        <v>ЭТАЖ ЗАДАН ЧИСЛОМ</v>
      </c>
      <c r="M2263" s="13" t="b">
        <f t="shared" si="246"/>
        <v>0</v>
      </c>
      <c r="N2263" s="13">
        <f t="shared" si="247"/>
        <v>1</v>
      </c>
      <c r="O2263" s="13" t="str">
        <f t="shared" si="248"/>
        <v>ЭТАЖ ЗАДАН ЧИСЛОМ</v>
      </c>
      <c r="P2263" s="13" t="str">
        <f t="shared" si="249"/>
        <v>ЭТАЖ ЗАДАН ЧИСЛОМ</v>
      </c>
      <c r="Q2263" s="13" t="str">
        <f t="shared" si="250"/>
        <v>ГОТОВ</v>
      </c>
      <c r="R2263" s="13">
        <f>IFERROR(VLOOKUP(P2263,Лист1!A$1:B$20,2,FALSE),0)</f>
        <v>784</v>
      </c>
      <c r="S2263" s="13">
        <f t="shared" si="251"/>
        <v>1</v>
      </c>
    </row>
    <row r="2264" spans="1:19" x14ac:dyDescent="0.25">
      <c r="A2264" s="24" t="s">
        <v>3393</v>
      </c>
      <c r="B2264" s="4" t="s">
        <v>1059</v>
      </c>
      <c r="C2264" s="25" t="s">
        <v>5</v>
      </c>
      <c r="E2264" s="3">
        <v>1</v>
      </c>
      <c r="F2264" s="24" t="s">
        <v>1045</v>
      </c>
      <c r="G2264" s="25" t="s">
        <v>1072</v>
      </c>
      <c r="H2264" s="24" t="s">
        <v>1061</v>
      </c>
      <c r="I2264" s="3" t="str">
        <f>IFERROR(VLOOKUP(C2264,'Справочник соответствий'!A$2:D$2981,2,FALSE),IF(VALUE(C2264)=0,1,VLOOKUP(C2264,'Справочник соответствий'!A$2:D$2981,2,FALSE)))</f>
        <v>1</v>
      </c>
      <c r="J2264" s="3">
        <f>IFERROR(VLOOKUP(D2264,'Справочник соответствий'!A$2:D$2981,2,FALSE),IF(VALUE(D2264)=0,0,VLOOKUP(D2264,'Справочник соответствий'!A$2:D$2981,2,FALSE)))</f>
        <v>0</v>
      </c>
      <c r="K2264" s="3" t="str">
        <f t="shared" si="245"/>
        <v>1</v>
      </c>
      <c r="L2264" s="13" t="str">
        <f>IFERROR(VLOOKUP(C2264,'Справочник соответствий'!A$2:D$2981,3,FALSE),IF(VALUE(C2264)=0,"ЭТАЖ НЕ ОПРЕДЕЛЕН. ПРИНЯТ ПО ДОПУЩЕНИЮ 1",VLOOKUP(C2264,'Справочник соответствий'!A$2:D$2981,3,FALSE)))</f>
        <v>ЭТАЖ ЗАДАН ЧИСЛОМ</v>
      </c>
      <c r="M2264" s="13" t="b">
        <f t="shared" si="246"/>
        <v>0</v>
      </c>
      <c r="N2264" s="13">
        <f t="shared" si="247"/>
        <v>1</v>
      </c>
      <c r="O2264" s="13" t="str">
        <f t="shared" si="248"/>
        <v>ЭТАЖ ЗАДАН ЧИСЛОМ</v>
      </c>
      <c r="P2264" s="13" t="str">
        <f t="shared" si="249"/>
        <v>ЭТАЖ ЗАДАН ЧИСЛОМ</v>
      </c>
      <c r="Q2264" s="13" t="str">
        <f t="shared" si="250"/>
        <v>ГОТОВ</v>
      </c>
      <c r="R2264" s="13">
        <f>IFERROR(VLOOKUP(P2264,Лист1!A$1:B$20,2,FALSE),0)</f>
        <v>784</v>
      </c>
      <c r="S2264" s="13">
        <f t="shared" si="251"/>
        <v>1</v>
      </c>
    </row>
    <row r="2265" spans="1:19" x14ac:dyDescent="0.25">
      <c r="A2265" s="24" t="s">
        <v>3394</v>
      </c>
      <c r="B2265" s="4" t="s">
        <v>1059</v>
      </c>
      <c r="C2265" s="25" t="s">
        <v>5</v>
      </c>
      <c r="E2265" s="3">
        <v>1</v>
      </c>
      <c r="F2265" s="24" t="s">
        <v>1045</v>
      </c>
      <c r="G2265" s="25" t="s">
        <v>1104</v>
      </c>
      <c r="H2265" s="24" t="s">
        <v>1061</v>
      </c>
      <c r="I2265" s="3" t="str">
        <f>IFERROR(VLOOKUP(C2265,'Справочник соответствий'!A$2:D$2981,2,FALSE),IF(VALUE(C2265)=0,1,VLOOKUP(C2265,'Справочник соответствий'!A$2:D$2981,2,FALSE)))</f>
        <v>1</v>
      </c>
      <c r="J2265" s="3">
        <f>IFERROR(VLOOKUP(D2265,'Справочник соответствий'!A$2:D$2981,2,FALSE),IF(VALUE(D2265)=0,0,VLOOKUP(D2265,'Справочник соответствий'!A$2:D$2981,2,FALSE)))</f>
        <v>0</v>
      </c>
      <c r="K2265" s="3" t="str">
        <f t="shared" si="245"/>
        <v>1</v>
      </c>
      <c r="L2265" s="13" t="str">
        <f>IFERROR(VLOOKUP(C2265,'Справочник соответствий'!A$2:D$2981,3,FALSE),IF(VALUE(C2265)=0,"ЭТАЖ НЕ ОПРЕДЕЛЕН. ПРИНЯТ ПО ДОПУЩЕНИЮ 1",VLOOKUP(C2265,'Справочник соответствий'!A$2:D$2981,3,FALSE)))</f>
        <v>ЭТАЖ ЗАДАН ЧИСЛОМ</v>
      </c>
      <c r="M2265" s="13" t="b">
        <f t="shared" si="246"/>
        <v>0</v>
      </c>
      <c r="N2265" s="13">
        <f t="shared" si="247"/>
        <v>1</v>
      </c>
      <c r="O2265" s="13" t="str">
        <f t="shared" si="248"/>
        <v>ЭТАЖ ЗАДАН ЧИСЛОМ</v>
      </c>
      <c r="P2265" s="13" t="str">
        <f t="shared" si="249"/>
        <v>ЭТАЖ ЗАДАН ЧИСЛОМ</v>
      </c>
      <c r="Q2265" s="13" t="str">
        <f t="shared" si="250"/>
        <v>ГОТОВ</v>
      </c>
      <c r="R2265" s="13">
        <f>IFERROR(VLOOKUP(P2265,Лист1!A$1:B$20,2,FALSE),0)</f>
        <v>784</v>
      </c>
      <c r="S2265" s="13">
        <f t="shared" si="251"/>
        <v>1</v>
      </c>
    </row>
    <row r="2266" spans="1:19" x14ac:dyDescent="0.25">
      <c r="A2266" s="24" t="s">
        <v>3395</v>
      </c>
      <c r="B2266" s="4" t="s">
        <v>1059</v>
      </c>
      <c r="C2266" s="25" t="s">
        <v>5</v>
      </c>
      <c r="E2266" s="3">
        <v>1</v>
      </c>
      <c r="F2266" s="24" t="s">
        <v>1045</v>
      </c>
      <c r="G2266" s="25" t="s">
        <v>1072</v>
      </c>
      <c r="H2266" s="24" t="s">
        <v>1061</v>
      </c>
      <c r="I2266" s="3" t="str">
        <f>IFERROR(VLOOKUP(C2266,'Справочник соответствий'!A$2:D$2981,2,FALSE),IF(VALUE(C2266)=0,1,VLOOKUP(C2266,'Справочник соответствий'!A$2:D$2981,2,FALSE)))</f>
        <v>1</v>
      </c>
      <c r="J2266" s="3">
        <f>IFERROR(VLOOKUP(D2266,'Справочник соответствий'!A$2:D$2981,2,FALSE),IF(VALUE(D2266)=0,0,VLOOKUP(D2266,'Справочник соответствий'!A$2:D$2981,2,FALSE)))</f>
        <v>0</v>
      </c>
      <c r="K2266" s="3" t="str">
        <f t="shared" si="245"/>
        <v>1</v>
      </c>
      <c r="L2266" s="13" t="str">
        <f>IFERROR(VLOOKUP(C2266,'Справочник соответствий'!A$2:D$2981,3,FALSE),IF(VALUE(C2266)=0,"ЭТАЖ НЕ ОПРЕДЕЛЕН. ПРИНЯТ ПО ДОПУЩЕНИЮ 1",VLOOKUP(C2266,'Справочник соответствий'!A$2:D$2981,3,FALSE)))</f>
        <v>ЭТАЖ ЗАДАН ЧИСЛОМ</v>
      </c>
      <c r="M2266" s="13" t="b">
        <f t="shared" si="246"/>
        <v>0</v>
      </c>
      <c r="N2266" s="13">
        <f t="shared" si="247"/>
        <v>1</v>
      </c>
      <c r="O2266" s="13" t="str">
        <f t="shared" si="248"/>
        <v>ЭТАЖ ЗАДАН ЧИСЛОМ</v>
      </c>
      <c r="P2266" s="13" t="str">
        <f t="shared" si="249"/>
        <v>ЭТАЖ ЗАДАН ЧИСЛОМ</v>
      </c>
      <c r="Q2266" s="13" t="str">
        <f t="shared" si="250"/>
        <v>ГОТОВ</v>
      </c>
      <c r="R2266" s="13">
        <f>IFERROR(VLOOKUP(P2266,Лист1!A$1:B$20,2,FALSE),0)</f>
        <v>784</v>
      </c>
      <c r="S2266" s="13">
        <f t="shared" si="251"/>
        <v>1</v>
      </c>
    </row>
    <row r="2267" spans="1:19" x14ac:dyDescent="0.25">
      <c r="A2267" s="24" t="s">
        <v>3396</v>
      </c>
      <c r="B2267" s="4" t="s">
        <v>1059</v>
      </c>
      <c r="E2267" s="3">
        <v>1</v>
      </c>
      <c r="F2267" s="24" t="s">
        <v>1082</v>
      </c>
      <c r="G2267" s="25" t="s">
        <v>1072</v>
      </c>
      <c r="H2267" s="24" t="s">
        <v>1061</v>
      </c>
      <c r="I2267" s="3">
        <f>IFERROR(VLOOKUP(C2267,'Справочник соответствий'!A$2:D$2981,2,FALSE),IF(VALUE(C2267)=0,1,VLOOKUP(C2267,'Справочник соответствий'!A$2:D$2981,2,FALSE)))</f>
        <v>1</v>
      </c>
      <c r="J2267" s="3">
        <f>IFERROR(VLOOKUP(D2267,'Справочник соответствий'!A$2:D$2981,2,FALSE),IF(VALUE(D2267)=0,0,VLOOKUP(D2267,'Справочник соответствий'!A$2:D$2981,2,FALSE)))</f>
        <v>0</v>
      </c>
      <c r="K2267" s="3">
        <f t="shared" si="245"/>
        <v>1</v>
      </c>
      <c r="L2267" s="13" t="str">
        <f>IFERROR(VLOOKUP(C2267,'Справочник соответствий'!A$2:D$2981,3,FALSE),IF(VALUE(C2267)=0,"ЭТАЖ НЕ ОПРЕДЕЛЕН. ПРИНЯТ ПО ДОПУЩЕНИЮ 1",VLOOKUP(C2267,'Справочник соответствий'!A$2:D$2981,3,FALSE)))</f>
        <v>ЭТАЖ НЕ ОПРЕДЕЛЕН. ПРИНЯТ ПО ДОПУЩЕНИЮ 1</v>
      </c>
      <c r="M2267" s="13" t="b">
        <f t="shared" si="246"/>
        <v>1</v>
      </c>
      <c r="N2267" s="13">
        <f t="shared" si="247"/>
        <v>1</v>
      </c>
      <c r="O2267" s="13" t="str">
        <f t="shared" si="248"/>
        <v>По допущению год постановки на КУ</v>
      </c>
      <c r="P2267" s="13" t="str">
        <f t="shared" si="249"/>
        <v>По допущению год постановки на КУ</v>
      </c>
      <c r="Q2267" s="13" t="str">
        <f t="shared" si="250"/>
        <v>ГОТОВ</v>
      </c>
      <c r="R2267" s="13">
        <f>IFERROR(VLOOKUP(P2267,Лист1!A$1:B$20,2,FALSE),0)</f>
        <v>0</v>
      </c>
      <c r="S2267" s="13">
        <f t="shared" si="251"/>
        <v>1</v>
      </c>
    </row>
    <row r="2268" spans="1:19" x14ac:dyDescent="0.25">
      <c r="A2268" s="24" t="s">
        <v>3397</v>
      </c>
      <c r="B2268" s="4" t="s">
        <v>1031</v>
      </c>
      <c r="C2268" s="25" t="s">
        <v>7</v>
      </c>
      <c r="E2268" s="3">
        <v>2</v>
      </c>
      <c r="F2268" s="24" t="s">
        <v>1045</v>
      </c>
      <c r="G2268" s="25" t="s">
        <v>1075</v>
      </c>
      <c r="H2268" s="24" t="s">
        <v>1061</v>
      </c>
      <c r="I2268" s="3" t="str">
        <f>IFERROR(VLOOKUP(C2268,'Справочник соответствий'!A$2:D$2981,2,FALSE),IF(VALUE(C2268)=0,1,VLOOKUP(C2268,'Справочник соответствий'!A$2:D$2981,2,FALSE)))</f>
        <v>2</v>
      </c>
      <c r="J2268" s="3">
        <f>IFERROR(VLOOKUP(D2268,'Справочник соответствий'!A$2:D$2981,2,FALSE),IF(VALUE(D2268)=0,0,VLOOKUP(D2268,'Справочник соответствий'!A$2:D$2981,2,FALSE)))</f>
        <v>0</v>
      </c>
      <c r="K2268" s="3">
        <f t="shared" si="245"/>
        <v>2</v>
      </c>
      <c r="L2268" s="13" t="str">
        <f>IFERROR(VLOOKUP(C2268,'Справочник соответствий'!A$2:D$2981,3,FALSE),IF(VALUE(C2268)=0,"ЭТАЖ НЕ ОПРЕДЕЛЕН. ПРИНЯТ ПО ДОПУЩЕНИЮ 1",VLOOKUP(C2268,'Справочник соответствий'!A$2:D$2981,3,FALSE)))</f>
        <v>ЭТАЖ ЗАДАН ЧИСЛОМ</v>
      </c>
      <c r="M2268" s="13" t="b">
        <f t="shared" si="246"/>
        <v>0</v>
      </c>
      <c r="N2268" s="13">
        <f t="shared" si="247"/>
        <v>2</v>
      </c>
      <c r="O2268" s="13" t="str">
        <f t="shared" si="248"/>
        <v>ЭТАЖ ЗАДАН ЧИСЛОМ</v>
      </c>
      <c r="P2268" s="13" t="str">
        <f t="shared" si="249"/>
        <v>МКД_ЭТАЖ ЗАДАН ЧИСЛОМ</v>
      </c>
      <c r="Q2268" s="13" t="str">
        <f t="shared" si="250"/>
        <v>ГОТОВ</v>
      </c>
      <c r="R2268" s="13">
        <f>IFERROR(VLOOKUP(P2268,Лист1!A$1:B$20,2,FALSE),0)</f>
        <v>786</v>
      </c>
      <c r="S2268" s="13">
        <f t="shared" si="251"/>
        <v>2</v>
      </c>
    </row>
    <row r="2269" spans="1:19" x14ac:dyDescent="0.25">
      <c r="A2269" s="24" t="s">
        <v>3398</v>
      </c>
      <c r="B2269" s="4" t="s">
        <v>1059</v>
      </c>
      <c r="C2269" s="25" t="s">
        <v>5</v>
      </c>
      <c r="E2269" s="3">
        <v>1</v>
      </c>
      <c r="F2269" s="24" t="s">
        <v>1045</v>
      </c>
      <c r="G2269" s="25" t="s">
        <v>1072</v>
      </c>
      <c r="H2269" s="24" t="s">
        <v>1061</v>
      </c>
      <c r="I2269" s="3" t="str">
        <f>IFERROR(VLOOKUP(C2269,'Справочник соответствий'!A$2:D$2981,2,FALSE),IF(VALUE(C2269)=0,1,VLOOKUP(C2269,'Справочник соответствий'!A$2:D$2981,2,FALSE)))</f>
        <v>1</v>
      </c>
      <c r="J2269" s="3">
        <f>IFERROR(VLOOKUP(D2269,'Справочник соответствий'!A$2:D$2981,2,FALSE),IF(VALUE(D2269)=0,0,VLOOKUP(D2269,'Справочник соответствий'!A$2:D$2981,2,FALSE)))</f>
        <v>0</v>
      </c>
      <c r="K2269" s="3" t="str">
        <f t="shared" si="245"/>
        <v>1</v>
      </c>
      <c r="L2269" s="13" t="str">
        <f>IFERROR(VLOOKUP(C2269,'Справочник соответствий'!A$2:D$2981,3,FALSE),IF(VALUE(C2269)=0,"ЭТАЖ НЕ ОПРЕДЕЛЕН. ПРИНЯТ ПО ДОПУЩЕНИЮ 1",VLOOKUP(C2269,'Справочник соответствий'!A$2:D$2981,3,FALSE)))</f>
        <v>ЭТАЖ ЗАДАН ЧИСЛОМ</v>
      </c>
      <c r="M2269" s="13" t="b">
        <f t="shared" si="246"/>
        <v>0</v>
      </c>
      <c r="N2269" s="13">
        <f t="shared" si="247"/>
        <v>1</v>
      </c>
      <c r="O2269" s="13" t="str">
        <f t="shared" si="248"/>
        <v>ЭТАЖ ЗАДАН ЧИСЛОМ</v>
      </c>
      <c r="P2269" s="13" t="str">
        <f t="shared" si="249"/>
        <v>ЭТАЖ ЗАДАН ЧИСЛОМ</v>
      </c>
      <c r="Q2269" s="13" t="str">
        <f t="shared" si="250"/>
        <v>ГОТОВ</v>
      </c>
      <c r="R2269" s="13">
        <f>IFERROR(VLOOKUP(P2269,Лист1!A$1:B$20,2,FALSE),0)</f>
        <v>784</v>
      </c>
      <c r="S2269" s="13">
        <f t="shared" si="251"/>
        <v>1</v>
      </c>
    </row>
    <row r="2270" spans="1:19" x14ac:dyDescent="0.25">
      <c r="A2270" s="24" t="s">
        <v>3399</v>
      </c>
      <c r="B2270" s="4" t="s">
        <v>1059</v>
      </c>
      <c r="C2270" s="25" t="s">
        <v>5</v>
      </c>
      <c r="E2270" s="3">
        <v>1</v>
      </c>
      <c r="F2270" s="24" t="s">
        <v>1045</v>
      </c>
      <c r="G2270" s="25" t="s">
        <v>1077</v>
      </c>
      <c r="H2270" s="24" t="s">
        <v>1061</v>
      </c>
      <c r="I2270" s="3" t="str">
        <f>IFERROR(VLOOKUP(C2270,'Справочник соответствий'!A$2:D$2981,2,FALSE),IF(VALUE(C2270)=0,1,VLOOKUP(C2270,'Справочник соответствий'!A$2:D$2981,2,FALSE)))</f>
        <v>1</v>
      </c>
      <c r="J2270" s="3">
        <f>IFERROR(VLOOKUP(D2270,'Справочник соответствий'!A$2:D$2981,2,FALSE),IF(VALUE(D2270)=0,0,VLOOKUP(D2270,'Справочник соответствий'!A$2:D$2981,2,FALSE)))</f>
        <v>0</v>
      </c>
      <c r="K2270" s="3" t="str">
        <f t="shared" si="245"/>
        <v>1</v>
      </c>
      <c r="L2270" s="13" t="str">
        <f>IFERROR(VLOOKUP(C2270,'Справочник соответствий'!A$2:D$2981,3,FALSE),IF(VALUE(C2270)=0,"ЭТАЖ НЕ ОПРЕДЕЛЕН. ПРИНЯТ ПО ДОПУЩЕНИЮ 1",VLOOKUP(C2270,'Справочник соответствий'!A$2:D$2981,3,FALSE)))</f>
        <v>ЭТАЖ ЗАДАН ЧИСЛОМ</v>
      </c>
      <c r="M2270" s="13" t="b">
        <f t="shared" si="246"/>
        <v>0</v>
      </c>
      <c r="N2270" s="13">
        <f t="shared" si="247"/>
        <v>1</v>
      </c>
      <c r="O2270" s="13" t="str">
        <f t="shared" si="248"/>
        <v>ЭТАЖ ЗАДАН ЧИСЛОМ</v>
      </c>
      <c r="P2270" s="13" t="str">
        <f t="shared" si="249"/>
        <v>ЭТАЖ ЗАДАН ЧИСЛОМ</v>
      </c>
      <c r="Q2270" s="13" t="str">
        <f t="shared" si="250"/>
        <v>ГОТОВ</v>
      </c>
      <c r="R2270" s="13">
        <f>IFERROR(VLOOKUP(P2270,Лист1!A$1:B$20,2,FALSE),0)</f>
        <v>784</v>
      </c>
      <c r="S2270" s="13">
        <f t="shared" si="251"/>
        <v>1</v>
      </c>
    </row>
    <row r="2271" spans="1:19" x14ac:dyDescent="0.25">
      <c r="A2271" s="24" t="s">
        <v>3400</v>
      </c>
      <c r="B2271" s="4" t="s">
        <v>1063</v>
      </c>
      <c r="C2271" s="25" t="s">
        <v>5</v>
      </c>
      <c r="E2271" s="3">
        <v>1</v>
      </c>
      <c r="F2271" s="24" t="s">
        <v>1045</v>
      </c>
      <c r="G2271" s="25" t="s">
        <v>1072</v>
      </c>
      <c r="H2271" s="24" t="s">
        <v>1061</v>
      </c>
      <c r="I2271" s="3" t="str">
        <f>IFERROR(VLOOKUP(C2271,'Справочник соответствий'!A$2:D$2981,2,FALSE),IF(VALUE(C2271)=0,1,VLOOKUP(C2271,'Справочник соответствий'!A$2:D$2981,2,FALSE)))</f>
        <v>1</v>
      </c>
      <c r="J2271" s="3">
        <f>IFERROR(VLOOKUP(D2271,'Справочник соответствий'!A$2:D$2981,2,FALSE),IF(VALUE(D2271)=0,0,VLOOKUP(D2271,'Справочник соответствий'!A$2:D$2981,2,FALSE)))</f>
        <v>0</v>
      </c>
      <c r="K2271" s="3" t="str">
        <f t="shared" si="245"/>
        <v>1</v>
      </c>
      <c r="L2271" s="13" t="str">
        <f>IFERROR(VLOOKUP(C2271,'Справочник соответствий'!A$2:D$2981,3,FALSE),IF(VALUE(C2271)=0,"ЭТАЖ НЕ ОПРЕДЕЛЕН. ПРИНЯТ ПО ДОПУЩЕНИЮ 1",VLOOKUP(C2271,'Справочник соответствий'!A$2:D$2981,3,FALSE)))</f>
        <v>ЭТАЖ ЗАДАН ЧИСЛОМ</v>
      </c>
      <c r="M2271" s="13" t="b">
        <f t="shared" si="246"/>
        <v>0</v>
      </c>
      <c r="N2271" s="13">
        <f t="shared" si="247"/>
        <v>1</v>
      </c>
      <c r="O2271" s="13" t="str">
        <f t="shared" si="248"/>
        <v>ЭТАЖ ЗАДАН ЧИСЛОМ</v>
      </c>
      <c r="P2271" s="13" t="str">
        <f t="shared" si="249"/>
        <v>ЭТАЖ ЗАДАН ЧИСЛОМ</v>
      </c>
      <c r="Q2271" s="13" t="str">
        <f t="shared" si="250"/>
        <v>ГОТОВ</v>
      </c>
      <c r="R2271" s="13">
        <f>IFERROR(VLOOKUP(P2271,Лист1!A$1:B$20,2,FALSE),0)</f>
        <v>784</v>
      </c>
      <c r="S2271" s="13">
        <f t="shared" si="251"/>
        <v>1</v>
      </c>
    </row>
    <row r="2272" spans="1:19" x14ac:dyDescent="0.25">
      <c r="A2272" s="24" t="s">
        <v>3401</v>
      </c>
      <c r="B2272" s="4" t="s">
        <v>1063</v>
      </c>
      <c r="C2272" s="25" t="s">
        <v>5</v>
      </c>
      <c r="E2272" s="3">
        <v>1</v>
      </c>
      <c r="F2272" s="24" t="s">
        <v>1045</v>
      </c>
      <c r="G2272" s="25" t="s">
        <v>1069</v>
      </c>
      <c r="H2272" s="24" t="s">
        <v>1061</v>
      </c>
      <c r="I2272" s="3" t="str">
        <f>IFERROR(VLOOKUP(C2272,'Справочник соответствий'!A$2:D$2981,2,FALSE),IF(VALUE(C2272)=0,1,VLOOKUP(C2272,'Справочник соответствий'!A$2:D$2981,2,FALSE)))</f>
        <v>1</v>
      </c>
      <c r="J2272" s="3">
        <f>IFERROR(VLOOKUP(D2272,'Справочник соответствий'!A$2:D$2981,2,FALSE),IF(VALUE(D2272)=0,0,VLOOKUP(D2272,'Справочник соответствий'!A$2:D$2981,2,FALSE)))</f>
        <v>0</v>
      </c>
      <c r="K2272" s="3" t="str">
        <f t="shared" si="245"/>
        <v>1</v>
      </c>
      <c r="L2272" s="13" t="str">
        <f>IFERROR(VLOOKUP(C2272,'Справочник соответствий'!A$2:D$2981,3,FALSE),IF(VALUE(C2272)=0,"ЭТАЖ НЕ ОПРЕДЕЛЕН. ПРИНЯТ ПО ДОПУЩЕНИЮ 1",VLOOKUP(C2272,'Справочник соответствий'!A$2:D$2981,3,FALSE)))</f>
        <v>ЭТАЖ ЗАДАН ЧИСЛОМ</v>
      </c>
      <c r="M2272" s="13" t="b">
        <f t="shared" si="246"/>
        <v>0</v>
      </c>
      <c r="N2272" s="13">
        <f t="shared" si="247"/>
        <v>1</v>
      </c>
      <c r="O2272" s="13" t="str">
        <f t="shared" si="248"/>
        <v>ЭТАЖ ЗАДАН ЧИСЛОМ</v>
      </c>
      <c r="P2272" s="13" t="str">
        <f t="shared" si="249"/>
        <v>ЭТАЖ ЗАДАН ЧИСЛОМ</v>
      </c>
      <c r="Q2272" s="13" t="str">
        <f t="shared" si="250"/>
        <v>ГОТОВ</v>
      </c>
      <c r="R2272" s="13">
        <f>IFERROR(VLOOKUP(P2272,Лист1!A$1:B$20,2,FALSE),0)</f>
        <v>784</v>
      </c>
      <c r="S2272" s="13">
        <f t="shared" si="251"/>
        <v>1</v>
      </c>
    </row>
    <row r="2273" spans="1:19" x14ac:dyDescent="0.25">
      <c r="A2273" s="24" t="s">
        <v>3402</v>
      </c>
      <c r="B2273" s="4" t="s">
        <v>1031</v>
      </c>
      <c r="C2273" s="25" t="s">
        <v>7</v>
      </c>
      <c r="E2273" s="3">
        <v>2</v>
      </c>
      <c r="F2273" s="24" t="s">
        <v>1045</v>
      </c>
      <c r="G2273" s="25" t="s">
        <v>1075</v>
      </c>
      <c r="H2273" s="24" t="s">
        <v>1061</v>
      </c>
      <c r="I2273" s="3" t="str">
        <f>IFERROR(VLOOKUP(C2273,'Справочник соответствий'!A$2:D$2981,2,FALSE),IF(VALUE(C2273)=0,1,VLOOKUP(C2273,'Справочник соответствий'!A$2:D$2981,2,FALSE)))</f>
        <v>2</v>
      </c>
      <c r="J2273" s="3">
        <f>IFERROR(VLOOKUP(D2273,'Справочник соответствий'!A$2:D$2981,2,FALSE),IF(VALUE(D2273)=0,0,VLOOKUP(D2273,'Справочник соответствий'!A$2:D$2981,2,FALSE)))</f>
        <v>0</v>
      </c>
      <c r="K2273" s="3">
        <f t="shared" si="245"/>
        <v>2</v>
      </c>
      <c r="L2273" s="13" t="str">
        <f>IFERROR(VLOOKUP(C2273,'Справочник соответствий'!A$2:D$2981,3,FALSE),IF(VALUE(C2273)=0,"ЭТАЖ НЕ ОПРЕДЕЛЕН. ПРИНЯТ ПО ДОПУЩЕНИЮ 1",VLOOKUP(C2273,'Справочник соответствий'!A$2:D$2981,3,FALSE)))</f>
        <v>ЭТАЖ ЗАДАН ЧИСЛОМ</v>
      </c>
      <c r="M2273" s="13" t="b">
        <f t="shared" si="246"/>
        <v>0</v>
      </c>
      <c r="N2273" s="13">
        <f t="shared" si="247"/>
        <v>2</v>
      </c>
      <c r="O2273" s="13" t="str">
        <f t="shared" si="248"/>
        <v>ЭТАЖ ЗАДАН ЧИСЛОМ</v>
      </c>
      <c r="P2273" s="13" t="str">
        <f t="shared" si="249"/>
        <v>МКД_ЭТАЖ ЗАДАН ЧИСЛОМ</v>
      </c>
      <c r="Q2273" s="13" t="str">
        <f t="shared" si="250"/>
        <v>ГОТОВ</v>
      </c>
      <c r="R2273" s="13">
        <f>IFERROR(VLOOKUP(P2273,Лист1!A$1:B$20,2,FALSE),0)</f>
        <v>786</v>
      </c>
      <c r="S2273" s="13">
        <f t="shared" si="251"/>
        <v>2</v>
      </c>
    </row>
    <row r="2274" spans="1:19" x14ac:dyDescent="0.25">
      <c r="A2274" s="24" t="s">
        <v>3403</v>
      </c>
      <c r="B2274" s="4" t="s">
        <v>1031</v>
      </c>
      <c r="C2274" s="25" t="s">
        <v>5</v>
      </c>
      <c r="E2274" s="3">
        <v>1</v>
      </c>
      <c r="F2274" s="24" t="s">
        <v>1045</v>
      </c>
      <c r="G2274" s="25" t="s">
        <v>1075</v>
      </c>
      <c r="H2274" s="24" t="s">
        <v>1061</v>
      </c>
      <c r="I2274" s="3" t="str">
        <f>IFERROR(VLOOKUP(C2274,'Справочник соответствий'!A$2:D$2981,2,FALSE),IF(VALUE(C2274)=0,1,VLOOKUP(C2274,'Справочник соответствий'!A$2:D$2981,2,FALSE)))</f>
        <v>1</v>
      </c>
      <c r="J2274" s="3">
        <f>IFERROR(VLOOKUP(D2274,'Справочник соответствий'!A$2:D$2981,2,FALSE),IF(VALUE(D2274)=0,0,VLOOKUP(D2274,'Справочник соответствий'!A$2:D$2981,2,FALSE)))</f>
        <v>0</v>
      </c>
      <c r="K2274" s="3">
        <f t="shared" si="245"/>
        <v>1</v>
      </c>
      <c r="L2274" s="13" t="str">
        <f>IFERROR(VLOOKUP(C2274,'Справочник соответствий'!A$2:D$2981,3,FALSE),IF(VALUE(C2274)=0,"ЭТАЖ НЕ ОПРЕДЕЛЕН. ПРИНЯТ ПО ДОПУЩЕНИЮ 1",VLOOKUP(C2274,'Справочник соответствий'!A$2:D$2981,3,FALSE)))</f>
        <v>ЭТАЖ ЗАДАН ЧИСЛОМ</v>
      </c>
      <c r="M2274" s="13" t="b">
        <f t="shared" si="246"/>
        <v>0</v>
      </c>
      <c r="N2274" s="13">
        <f t="shared" si="247"/>
        <v>1</v>
      </c>
      <c r="O2274" s="13" t="str">
        <f t="shared" si="248"/>
        <v>ЭТАЖ ЗАДАН ЧИСЛОМ</v>
      </c>
      <c r="P2274" s="13" t="str">
        <f t="shared" si="249"/>
        <v>МКД_ЭТАЖ ЗАДАН ЧИСЛОМ</v>
      </c>
      <c r="Q2274" s="13" t="str">
        <f t="shared" si="250"/>
        <v>ГОТОВ</v>
      </c>
      <c r="R2274" s="13">
        <f>IFERROR(VLOOKUP(P2274,Лист1!A$1:B$20,2,FALSE),0)</f>
        <v>786</v>
      </c>
      <c r="S2274" s="13">
        <f t="shared" si="251"/>
        <v>1</v>
      </c>
    </row>
    <row r="2275" spans="1:19" x14ac:dyDescent="0.25">
      <c r="A2275" s="24" t="s">
        <v>3404</v>
      </c>
      <c r="B2275" s="4" t="s">
        <v>1059</v>
      </c>
      <c r="C2275" s="25" t="s">
        <v>5</v>
      </c>
      <c r="E2275" s="3">
        <v>1</v>
      </c>
      <c r="F2275" s="24" t="s">
        <v>1045</v>
      </c>
      <c r="G2275" s="25" t="s">
        <v>1104</v>
      </c>
      <c r="H2275" s="24" t="s">
        <v>1061</v>
      </c>
      <c r="I2275" s="3" t="str">
        <f>IFERROR(VLOOKUP(C2275,'Справочник соответствий'!A$2:D$2981,2,FALSE),IF(VALUE(C2275)=0,1,VLOOKUP(C2275,'Справочник соответствий'!A$2:D$2981,2,FALSE)))</f>
        <v>1</v>
      </c>
      <c r="J2275" s="3">
        <f>IFERROR(VLOOKUP(D2275,'Справочник соответствий'!A$2:D$2981,2,FALSE),IF(VALUE(D2275)=0,0,VLOOKUP(D2275,'Справочник соответствий'!A$2:D$2981,2,FALSE)))</f>
        <v>0</v>
      </c>
      <c r="K2275" s="3" t="str">
        <f t="shared" si="245"/>
        <v>1</v>
      </c>
      <c r="L2275" s="13" t="str">
        <f>IFERROR(VLOOKUP(C2275,'Справочник соответствий'!A$2:D$2981,3,FALSE),IF(VALUE(C2275)=0,"ЭТАЖ НЕ ОПРЕДЕЛЕН. ПРИНЯТ ПО ДОПУЩЕНИЮ 1",VLOOKUP(C2275,'Справочник соответствий'!A$2:D$2981,3,FALSE)))</f>
        <v>ЭТАЖ ЗАДАН ЧИСЛОМ</v>
      </c>
      <c r="M2275" s="13" t="b">
        <f t="shared" si="246"/>
        <v>0</v>
      </c>
      <c r="N2275" s="13">
        <f t="shared" si="247"/>
        <v>1</v>
      </c>
      <c r="O2275" s="13" t="str">
        <f t="shared" si="248"/>
        <v>ЭТАЖ ЗАДАН ЧИСЛОМ</v>
      </c>
      <c r="P2275" s="13" t="str">
        <f t="shared" si="249"/>
        <v>ЭТАЖ ЗАДАН ЧИСЛОМ</v>
      </c>
      <c r="Q2275" s="13" t="str">
        <f t="shared" si="250"/>
        <v>ГОТОВ</v>
      </c>
      <c r="R2275" s="13">
        <f>IFERROR(VLOOKUP(P2275,Лист1!A$1:B$20,2,FALSE),0)</f>
        <v>784</v>
      </c>
      <c r="S2275" s="13">
        <f t="shared" si="251"/>
        <v>1</v>
      </c>
    </row>
    <row r="2276" spans="1:19" x14ac:dyDescent="0.25">
      <c r="A2276" s="24" t="s">
        <v>3405</v>
      </c>
      <c r="B2276" s="4" t="s">
        <v>1063</v>
      </c>
      <c r="C2276" s="25" t="s">
        <v>5</v>
      </c>
      <c r="E2276" s="3">
        <v>1</v>
      </c>
      <c r="F2276" s="24" t="s">
        <v>1045</v>
      </c>
      <c r="G2276" s="25" t="s">
        <v>1072</v>
      </c>
      <c r="H2276" s="24" t="s">
        <v>1061</v>
      </c>
      <c r="I2276" s="3" t="str">
        <f>IFERROR(VLOOKUP(C2276,'Справочник соответствий'!A$2:D$2981,2,FALSE),IF(VALUE(C2276)=0,1,VLOOKUP(C2276,'Справочник соответствий'!A$2:D$2981,2,FALSE)))</f>
        <v>1</v>
      </c>
      <c r="J2276" s="3">
        <f>IFERROR(VLOOKUP(D2276,'Справочник соответствий'!A$2:D$2981,2,FALSE),IF(VALUE(D2276)=0,0,VLOOKUP(D2276,'Справочник соответствий'!A$2:D$2981,2,FALSE)))</f>
        <v>0</v>
      </c>
      <c r="K2276" s="3" t="str">
        <f t="shared" si="245"/>
        <v>1</v>
      </c>
      <c r="L2276" s="13" t="str">
        <f>IFERROR(VLOOKUP(C2276,'Справочник соответствий'!A$2:D$2981,3,FALSE),IF(VALUE(C2276)=0,"ЭТАЖ НЕ ОПРЕДЕЛЕН. ПРИНЯТ ПО ДОПУЩЕНИЮ 1",VLOOKUP(C2276,'Справочник соответствий'!A$2:D$2981,3,FALSE)))</f>
        <v>ЭТАЖ ЗАДАН ЧИСЛОМ</v>
      </c>
      <c r="M2276" s="13" t="b">
        <f t="shared" si="246"/>
        <v>0</v>
      </c>
      <c r="N2276" s="13">
        <f t="shared" si="247"/>
        <v>1</v>
      </c>
      <c r="O2276" s="13" t="str">
        <f t="shared" si="248"/>
        <v>ЭТАЖ ЗАДАН ЧИСЛОМ</v>
      </c>
      <c r="P2276" s="13" t="str">
        <f t="shared" si="249"/>
        <v>ЭТАЖ ЗАДАН ЧИСЛОМ</v>
      </c>
      <c r="Q2276" s="13" t="str">
        <f t="shared" si="250"/>
        <v>ГОТОВ</v>
      </c>
      <c r="R2276" s="13">
        <f>IFERROR(VLOOKUP(P2276,Лист1!A$1:B$20,2,FALSE),0)</f>
        <v>784</v>
      </c>
      <c r="S2276" s="13">
        <f t="shared" si="251"/>
        <v>1</v>
      </c>
    </row>
    <row r="2277" spans="1:19" x14ac:dyDescent="0.25">
      <c r="A2277" s="24" t="s">
        <v>3406</v>
      </c>
      <c r="B2277" s="4" t="s">
        <v>1063</v>
      </c>
      <c r="C2277" s="25" t="s">
        <v>5</v>
      </c>
      <c r="E2277" s="3">
        <v>1</v>
      </c>
      <c r="F2277" s="24" t="s">
        <v>1045</v>
      </c>
      <c r="G2277" s="25" t="s">
        <v>1117</v>
      </c>
      <c r="H2277" s="24" t="s">
        <v>1061</v>
      </c>
      <c r="I2277" s="3" t="str">
        <f>IFERROR(VLOOKUP(C2277,'Справочник соответствий'!A$2:D$2981,2,FALSE),IF(VALUE(C2277)=0,1,VLOOKUP(C2277,'Справочник соответствий'!A$2:D$2981,2,FALSE)))</f>
        <v>1</v>
      </c>
      <c r="J2277" s="3">
        <f>IFERROR(VLOOKUP(D2277,'Справочник соответствий'!A$2:D$2981,2,FALSE),IF(VALUE(D2277)=0,0,VLOOKUP(D2277,'Справочник соответствий'!A$2:D$2981,2,FALSE)))</f>
        <v>0</v>
      </c>
      <c r="K2277" s="3" t="str">
        <f t="shared" si="245"/>
        <v>1</v>
      </c>
      <c r="L2277" s="13" t="str">
        <f>IFERROR(VLOOKUP(C2277,'Справочник соответствий'!A$2:D$2981,3,FALSE),IF(VALUE(C2277)=0,"ЭТАЖ НЕ ОПРЕДЕЛЕН. ПРИНЯТ ПО ДОПУЩЕНИЮ 1",VLOOKUP(C2277,'Справочник соответствий'!A$2:D$2981,3,FALSE)))</f>
        <v>ЭТАЖ ЗАДАН ЧИСЛОМ</v>
      </c>
      <c r="M2277" s="13" t="b">
        <f t="shared" si="246"/>
        <v>0</v>
      </c>
      <c r="N2277" s="13">
        <f t="shared" si="247"/>
        <v>1</v>
      </c>
      <c r="O2277" s="13" t="str">
        <f t="shared" si="248"/>
        <v>ЭТАЖ ЗАДАН ЧИСЛОМ</v>
      </c>
      <c r="P2277" s="13" t="str">
        <f t="shared" si="249"/>
        <v>ЭТАЖ ЗАДАН ЧИСЛОМ</v>
      </c>
      <c r="Q2277" s="13" t="str">
        <f t="shared" si="250"/>
        <v>ГОТОВ</v>
      </c>
      <c r="R2277" s="13">
        <f>IFERROR(VLOOKUP(P2277,Лист1!A$1:B$20,2,FALSE),0)</f>
        <v>784</v>
      </c>
      <c r="S2277" s="13">
        <f t="shared" si="251"/>
        <v>1</v>
      </c>
    </row>
    <row r="2278" spans="1:19" x14ac:dyDescent="0.25">
      <c r="A2278" s="24" t="s">
        <v>3407</v>
      </c>
      <c r="B2278" s="4" t="s">
        <v>1059</v>
      </c>
      <c r="C2278" s="25" t="s">
        <v>5</v>
      </c>
      <c r="E2278" s="3">
        <v>1</v>
      </c>
      <c r="F2278" s="24" t="s">
        <v>1045</v>
      </c>
      <c r="G2278" s="25" t="s">
        <v>1104</v>
      </c>
      <c r="H2278" s="24" t="s">
        <v>1061</v>
      </c>
      <c r="I2278" s="3" t="str">
        <f>IFERROR(VLOOKUP(C2278,'Справочник соответствий'!A$2:D$2981,2,FALSE),IF(VALUE(C2278)=0,1,VLOOKUP(C2278,'Справочник соответствий'!A$2:D$2981,2,FALSE)))</f>
        <v>1</v>
      </c>
      <c r="J2278" s="3">
        <f>IFERROR(VLOOKUP(D2278,'Справочник соответствий'!A$2:D$2981,2,FALSE),IF(VALUE(D2278)=0,0,VLOOKUP(D2278,'Справочник соответствий'!A$2:D$2981,2,FALSE)))</f>
        <v>0</v>
      </c>
      <c r="K2278" s="3" t="str">
        <f t="shared" si="245"/>
        <v>1</v>
      </c>
      <c r="L2278" s="13" t="str">
        <f>IFERROR(VLOOKUP(C2278,'Справочник соответствий'!A$2:D$2981,3,FALSE),IF(VALUE(C2278)=0,"ЭТАЖ НЕ ОПРЕДЕЛЕН. ПРИНЯТ ПО ДОПУЩЕНИЮ 1",VLOOKUP(C2278,'Справочник соответствий'!A$2:D$2981,3,FALSE)))</f>
        <v>ЭТАЖ ЗАДАН ЧИСЛОМ</v>
      </c>
      <c r="M2278" s="13" t="b">
        <f t="shared" si="246"/>
        <v>0</v>
      </c>
      <c r="N2278" s="13">
        <f t="shared" si="247"/>
        <v>1</v>
      </c>
      <c r="O2278" s="13" t="str">
        <f t="shared" si="248"/>
        <v>ЭТАЖ ЗАДАН ЧИСЛОМ</v>
      </c>
      <c r="P2278" s="13" t="str">
        <f t="shared" si="249"/>
        <v>ЭТАЖ ЗАДАН ЧИСЛОМ</v>
      </c>
      <c r="Q2278" s="13" t="str">
        <f t="shared" si="250"/>
        <v>ГОТОВ</v>
      </c>
      <c r="R2278" s="13">
        <f>IFERROR(VLOOKUP(P2278,Лист1!A$1:B$20,2,FALSE),0)</f>
        <v>784</v>
      </c>
      <c r="S2278" s="13">
        <f t="shared" si="251"/>
        <v>1</v>
      </c>
    </row>
    <row r="2279" spans="1:19" x14ac:dyDescent="0.25">
      <c r="A2279" s="24" t="s">
        <v>3408</v>
      </c>
      <c r="B2279" s="4" t="s">
        <v>1059</v>
      </c>
      <c r="C2279" s="25" t="s">
        <v>5</v>
      </c>
      <c r="E2279" s="3">
        <v>1</v>
      </c>
      <c r="F2279" s="24" t="s">
        <v>1045</v>
      </c>
      <c r="G2279" s="25" t="s">
        <v>1072</v>
      </c>
      <c r="H2279" s="24" t="s">
        <v>1061</v>
      </c>
      <c r="I2279" s="3" t="str">
        <f>IFERROR(VLOOKUP(C2279,'Справочник соответствий'!A$2:D$2981,2,FALSE),IF(VALUE(C2279)=0,1,VLOOKUP(C2279,'Справочник соответствий'!A$2:D$2981,2,FALSE)))</f>
        <v>1</v>
      </c>
      <c r="J2279" s="3">
        <f>IFERROR(VLOOKUP(D2279,'Справочник соответствий'!A$2:D$2981,2,FALSE),IF(VALUE(D2279)=0,0,VLOOKUP(D2279,'Справочник соответствий'!A$2:D$2981,2,FALSE)))</f>
        <v>0</v>
      </c>
      <c r="K2279" s="3" t="str">
        <f t="shared" si="245"/>
        <v>1</v>
      </c>
      <c r="L2279" s="13" t="str">
        <f>IFERROR(VLOOKUP(C2279,'Справочник соответствий'!A$2:D$2981,3,FALSE),IF(VALUE(C2279)=0,"ЭТАЖ НЕ ОПРЕДЕЛЕН. ПРИНЯТ ПО ДОПУЩЕНИЮ 1",VLOOKUP(C2279,'Справочник соответствий'!A$2:D$2981,3,FALSE)))</f>
        <v>ЭТАЖ ЗАДАН ЧИСЛОМ</v>
      </c>
      <c r="M2279" s="13" t="b">
        <f t="shared" si="246"/>
        <v>0</v>
      </c>
      <c r="N2279" s="13">
        <f t="shared" si="247"/>
        <v>1</v>
      </c>
      <c r="O2279" s="13" t="str">
        <f t="shared" si="248"/>
        <v>ЭТАЖ ЗАДАН ЧИСЛОМ</v>
      </c>
      <c r="P2279" s="13" t="str">
        <f t="shared" si="249"/>
        <v>ЭТАЖ ЗАДАН ЧИСЛОМ</v>
      </c>
      <c r="Q2279" s="13" t="str">
        <f t="shared" si="250"/>
        <v>ГОТОВ</v>
      </c>
      <c r="R2279" s="13">
        <f>IFERROR(VLOOKUP(P2279,Лист1!A$1:B$20,2,FALSE),0)</f>
        <v>784</v>
      </c>
      <c r="S2279" s="13">
        <f t="shared" si="251"/>
        <v>1</v>
      </c>
    </row>
    <row r="2280" spans="1:19" x14ac:dyDescent="0.25">
      <c r="A2280" s="24" t="s">
        <v>3409</v>
      </c>
      <c r="B2280" s="4" t="s">
        <v>1059</v>
      </c>
      <c r="C2280" s="25" t="s">
        <v>5</v>
      </c>
      <c r="E2280" s="3">
        <v>1</v>
      </c>
      <c r="F2280" s="24" t="s">
        <v>1045</v>
      </c>
      <c r="G2280" s="25" t="s">
        <v>1104</v>
      </c>
      <c r="H2280" s="24" t="s">
        <v>1061</v>
      </c>
      <c r="I2280" s="3" t="str">
        <f>IFERROR(VLOOKUP(C2280,'Справочник соответствий'!A$2:D$2981,2,FALSE),IF(VALUE(C2280)=0,1,VLOOKUP(C2280,'Справочник соответствий'!A$2:D$2981,2,FALSE)))</f>
        <v>1</v>
      </c>
      <c r="J2280" s="3">
        <f>IFERROR(VLOOKUP(D2280,'Справочник соответствий'!A$2:D$2981,2,FALSE),IF(VALUE(D2280)=0,0,VLOOKUP(D2280,'Справочник соответствий'!A$2:D$2981,2,FALSE)))</f>
        <v>0</v>
      </c>
      <c r="K2280" s="3" t="str">
        <f t="shared" si="245"/>
        <v>1</v>
      </c>
      <c r="L2280" s="13" t="str">
        <f>IFERROR(VLOOKUP(C2280,'Справочник соответствий'!A$2:D$2981,3,FALSE),IF(VALUE(C2280)=0,"ЭТАЖ НЕ ОПРЕДЕЛЕН. ПРИНЯТ ПО ДОПУЩЕНИЮ 1",VLOOKUP(C2280,'Справочник соответствий'!A$2:D$2981,3,FALSE)))</f>
        <v>ЭТАЖ ЗАДАН ЧИСЛОМ</v>
      </c>
      <c r="M2280" s="13" t="b">
        <f t="shared" si="246"/>
        <v>0</v>
      </c>
      <c r="N2280" s="13">
        <f t="shared" si="247"/>
        <v>1</v>
      </c>
      <c r="O2280" s="13" t="str">
        <f t="shared" si="248"/>
        <v>ЭТАЖ ЗАДАН ЧИСЛОМ</v>
      </c>
      <c r="P2280" s="13" t="str">
        <f t="shared" si="249"/>
        <v>ЭТАЖ ЗАДАН ЧИСЛОМ</v>
      </c>
      <c r="Q2280" s="13" t="str">
        <f t="shared" si="250"/>
        <v>ГОТОВ</v>
      </c>
      <c r="R2280" s="13">
        <f>IFERROR(VLOOKUP(P2280,Лист1!A$1:B$20,2,FALSE),0)</f>
        <v>784</v>
      </c>
      <c r="S2280" s="13">
        <f t="shared" si="251"/>
        <v>1</v>
      </c>
    </row>
    <row r="2281" spans="1:19" x14ac:dyDescent="0.25">
      <c r="A2281" s="24" t="s">
        <v>3410</v>
      </c>
      <c r="B2281" s="4" t="s">
        <v>1063</v>
      </c>
      <c r="C2281" s="25" t="s">
        <v>5</v>
      </c>
      <c r="E2281" s="3">
        <v>1</v>
      </c>
      <c r="F2281" s="24" t="s">
        <v>1045</v>
      </c>
      <c r="G2281" s="25" t="s">
        <v>1114</v>
      </c>
      <c r="H2281" s="24" t="s">
        <v>1061</v>
      </c>
      <c r="I2281" s="3" t="str">
        <f>IFERROR(VLOOKUP(C2281,'Справочник соответствий'!A$2:D$2981,2,FALSE),IF(VALUE(C2281)=0,1,VLOOKUP(C2281,'Справочник соответствий'!A$2:D$2981,2,FALSE)))</f>
        <v>1</v>
      </c>
      <c r="J2281" s="3">
        <f>IFERROR(VLOOKUP(D2281,'Справочник соответствий'!A$2:D$2981,2,FALSE),IF(VALUE(D2281)=0,0,VLOOKUP(D2281,'Справочник соответствий'!A$2:D$2981,2,FALSE)))</f>
        <v>0</v>
      </c>
      <c r="K2281" s="3" t="str">
        <f t="shared" si="245"/>
        <v>1</v>
      </c>
      <c r="L2281" s="13" t="str">
        <f>IFERROR(VLOOKUP(C2281,'Справочник соответствий'!A$2:D$2981,3,FALSE),IF(VALUE(C2281)=0,"ЭТАЖ НЕ ОПРЕДЕЛЕН. ПРИНЯТ ПО ДОПУЩЕНИЮ 1",VLOOKUP(C2281,'Справочник соответствий'!A$2:D$2981,3,FALSE)))</f>
        <v>ЭТАЖ ЗАДАН ЧИСЛОМ</v>
      </c>
      <c r="M2281" s="13" t="b">
        <f t="shared" si="246"/>
        <v>0</v>
      </c>
      <c r="N2281" s="13">
        <f t="shared" si="247"/>
        <v>1</v>
      </c>
      <c r="O2281" s="13" t="str">
        <f t="shared" si="248"/>
        <v>ЭТАЖ ЗАДАН ЧИСЛОМ</v>
      </c>
      <c r="P2281" s="13" t="str">
        <f t="shared" si="249"/>
        <v>ЭТАЖ ЗАДАН ЧИСЛОМ</v>
      </c>
      <c r="Q2281" s="13" t="str">
        <f t="shared" si="250"/>
        <v>ГОТОВ</v>
      </c>
      <c r="R2281" s="13">
        <f>IFERROR(VLOOKUP(P2281,Лист1!A$1:B$20,2,FALSE),0)</f>
        <v>784</v>
      </c>
      <c r="S2281" s="13">
        <f t="shared" si="251"/>
        <v>1</v>
      </c>
    </row>
    <row r="2282" spans="1:19" x14ac:dyDescent="0.25">
      <c r="A2282" s="24" t="s">
        <v>3411</v>
      </c>
      <c r="B2282" s="4" t="s">
        <v>1063</v>
      </c>
      <c r="C2282" s="25" t="s">
        <v>5</v>
      </c>
      <c r="E2282" s="3">
        <v>1</v>
      </c>
      <c r="F2282" s="24" t="s">
        <v>1045</v>
      </c>
      <c r="G2282" s="25" t="s">
        <v>1289</v>
      </c>
      <c r="H2282" s="24" t="s">
        <v>1061</v>
      </c>
      <c r="I2282" s="3" t="str">
        <f>IFERROR(VLOOKUP(C2282,'Справочник соответствий'!A$2:D$2981,2,FALSE),IF(VALUE(C2282)=0,1,VLOOKUP(C2282,'Справочник соответствий'!A$2:D$2981,2,FALSE)))</f>
        <v>1</v>
      </c>
      <c r="J2282" s="3">
        <f>IFERROR(VLOOKUP(D2282,'Справочник соответствий'!A$2:D$2981,2,FALSE),IF(VALUE(D2282)=0,0,VLOOKUP(D2282,'Справочник соответствий'!A$2:D$2981,2,FALSE)))</f>
        <v>0</v>
      </c>
      <c r="K2282" s="3" t="str">
        <f t="shared" si="245"/>
        <v>1</v>
      </c>
      <c r="L2282" s="13" t="str">
        <f>IFERROR(VLOOKUP(C2282,'Справочник соответствий'!A$2:D$2981,3,FALSE),IF(VALUE(C2282)=0,"ЭТАЖ НЕ ОПРЕДЕЛЕН. ПРИНЯТ ПО ДОПУЩЕНИЮ 1",VLOOKUP(C2282,'Справочник соответствий'!A$2:D$2981,3,FALSE)))</f>
        <v>ЭТАЖ ЗАДАН ЧИСЛОМ</v>
      </c>
      <c r="M2282" s="13" t="b">
        <f t="shared" si="246"/>
        <v>0</v>
      </c>
      <c r="N2282" s="13">
        <f t="shared" si="247"/>
        <v>1</v>
      </c>
      <c r="O2282" s="13" t="str">
        <f t="shared" si="248"/>
        <v>ЭТАЖ ЗАДАН ЧИСЛОМ</v>
      </c>
      <c r="P2282" s="13" t="str">
        <f t="shared" si="249"/>
        <v>ЭТАЖ ЗАДАН ЧИСЛОМ</v>
      </c>
      <c r="Q2282" s="13" t="str">
        <f t="shared" si="250"/>
        <v>ГОТОВ</v>
      </c>
      <c r="R2282" s="13">
        <f>IFERROR(VLOOKUP(P2282,Лист1!A$1:B$20,2,FALSE),0)</f>
        <v>784</v>
      </c>
      <c r="S2282" s="13">
        <f t="shared" si="251"/>
        <v>1</v>
      </c>
    </row>
    <row r="2283" spans="1:19" x14ac:dyDescent="0.25">
      <c r="A2283" s="24" t="s">
        <v>3412</v>
      </c>
      <c r="B2283" s="4" t="s">
        <v>1059</v>
      </c>
      <c r="C2283" s="25" t="s">
        <v>5</v>
      </c>
      <c r="E2283" s="3">
        <v>1</v>
      </c>
      <c r="F2283" s="24" t="s">
        <v>1045</v>
      </c>
      <c r="G2283" s="25" t="s">
        <v>1060</v>
      </c>
      <c r="H2283" s="24" t="s">
        <v>1061</v>
      </c>
      <c r="I2283" s="3" t="str">
        <f>IFERROR(VLOOKUP(C2283,'Справочник соответствий'!A$2:D$2981,2,FALSE),IF(VALUE(C2283)=0,1,VLOOKUP(C2283,'Справочник соответствий'!A$2:D$2981,2,FALSE)))</f>
        <v>1</v>
      </c>
      <c r="J2283" s="3">
        <f>IFERROR(VLOOKUP(D2283,'Справочник соответствий'!A$2:D$2981,2,FALSE),IF(VALUE(D2283)=0,0,VLOOKUP(D2283,'Справочник соответствий'!A$2:D$2981,2,FALSE)))</f>
        <v>0</v>
      </c>
      <c r="K2283" s="3" t="str">
        <f t="shared" si="245"/>
        <v>1</v>
      </c>
      <c r="L2283" s="13" t="str">
        <f>IFERROR(VLOOKUP(C2283,'Справочник соответствий'!A$2:D$2981,3,FALSE),IF(VALUE(C2283)=0,"ЭТАЖ НЕ ОПРЕДЕЛЕН. ПРИНЯТ ПО ДОПУЩЕНИЮ 1",VLOOKUP(C2283,'Справочник соответствий'!A$2:D$2981,3,FALSE)))</f>
        <v>ЭТАЖ ЗАДАН ЧИСЛОМ</v>
      </c>
      <c r="M2283" s="13" t="b">
        <f t="shared" si="246"/>
        <v>0</v>
      </c>
      <c r="N2283" s="13">
        <f t="shared" si="247"/>
        <v>1</v>
      </c>
      <c r="O2283" s="13" t="str">
        <f t="shared" si="248"/>
        <v>ЭТАЖ ЗАДАН ЧИСЛОМ</v>
      </c>
      <c r="P2283" s="13" t="str">
        <f t="shared" si="249"/>
        <v>ЭТАЖ ЗАДАН ЧИСЛОМ</v>
      </c>
      <c r="Q2283" s="13" t="str">
        <f t="shared" si="250"/>
        <v>ГОТОВ</v>
      </c>
      <c r="R2283" s="13">
        <f>IFERROR(VLOOKUP(P2283,Лист1!A$1:B$20,2,FALSE),0)</f>
        <v>784</v>
      </c>
      <c r="S2283" s="13">
        <f t="shared" si="251"/>
        <v>1</v>
      </c>
    </row>
    <row r="2284" spans="1:19" x14ac:dyDescent="0.25">
      <c r="A2284" s="24" t="s">
        <v>3413</v>
      </c>
      <c r="B2284" s="4" t="s">
        <v>1063</v>
      </c>
      <c r="C2284" s="25" t="s">
        <v>5</v>
      </c>
      <c r="E2284" s="3">
        <v>1</v>
      </c>
      <c r="F2284" s="24" t="s">
        <v>1045</v>
      </c>
      <c r="G2284" s="25" t="s">
        <v>1089</v>
      </c>
      <c r="H2284" s="24" t="s">
        <v>1061</v>
      </c>
      <c r="I2284" s="3" t="str">
        <f>IFERROR(VLOOKUP(C2284,'Справочник соответствий'!A$2:D$2981,2,FALSE),IF(VALUE(C2284)=0,1,VLOOKUP(C2284,'Справочник соответствий'!A$2:D$2981,2,FALSE)))</f>
        <v>1</v>
      </c>
      <c r="J2284" s="3">
        <f>IFERROR(VLOOKUP(D2284,'Справочник соответствий'!A$2:D$2981,2,FALSE),IF(VALUE(D2284)=0,0,VLOOKUP(D2284,'Справочник соответствий'!A$2:D$2981,2,FALSE)))</f>
        <v>0</v>
      </c>
      <c r="K2284" s="3" t="str">
        <f t="shared" si="245"/>
        <v>1</v>
      </c>
      <c r="L2284" s="13" t="str">
        <f>IFERROR(VLOOKUP(C2284,'Справочник соответствий'!A$2:D$2981,3,FALSE),IF(VALUE(C2284)=0,"ЭТАЖ НЕ ОПРЕДЕЛЕН. ПРИНЯТ ПО ДОПУЩЕНИЮ 1",VLOOKUP(C2284,'Справочник соответствий'!A$2:D$2981,3,FALSE)))</f>
        <v>ЭТАЖ ЗАДАН ЧИСЛОМ</v>
      </c>
      <c r="M2284" s="13" t="b">
        <f t="shared" si="246"/>
        <v>0</v>
      </c>
      <c r="N2284" s="13">
        <f t="shared" si="247"/>
        <v>1</v>
      </c>
      <c r="O2284" s="13" t="str">
        <f t="shared" si="248"/>
        <v>ЭТАЖ ЗАДАН ЧИСЛОМ</v>
      </c>
      <c r="P2284" s="13" t="str">
        <f t="shared" si="249"/>
        <v>ЭТАЖ ЗАДАН ЧИСЛОМ</v>
      </c>
      <c r="Q2284" s="13" t="str">
        <f t="shared" si="250"/>
        <v>ГОТОВ</v>
      </c>
      <c r="R2284" s="13">
        <f>IFERROR(VLOOKUP(P2284,Лист1!A$1:B$20,2,FALSE),0)</f>
        <v>784</v>
      </c>
      <c r="S2284" s="13">
        <f t="shared" si="251"/>
        <v>1</v>
      </c>
    </row>
    <row r="2285" spans="1:19" x14ac:dyDescent="0.25">
      <c r="A2285" s="24" t="s">
        <v>3414</v>
      </c>
      <c r="B2285" s="4" t="s">
        <v>1059</v>
      </c>
      <c r="C2285" s="25" t="s">
        <v>5</v>
      </c>
      <c r="E2285" s="3">
        <v>1</v>
      </c>
      <c r="F2285" s="24" t="s">
        <v>1045</v>
      </c>
      <c r="G2285" s="25" t="s">
        <v>1086</v>
      </c>
      <c r="H2285" s="24" t="s">
        <v>1061</v>
      </c>
      <c r="I2285" s="3" t="str">
        <f>IFERROR(VLOOKUP(C2285,'Справочник соответствий'!A$2:D$2981,2,FALSE),IF(VALUE(C2285)=0,1,VLOOKUP(C2285,'Справочник соответствий'!A$2:D$2981,2,FALSE)))</f>
        <v>1</v>
      </c>
      <c r="J2285" s="3">
        <f>IFERROR(VLOOKUP(D2285,'Справочник соответствий'!A$2:D$2981,2,FALSE),IF(VALUE(D2285)=0,0,VLOOKUP(D2285,'Справочник соответствий'!A$2:D$2981,2,FALSE)))</f>
        <v>0</v>
      </c>
      <c r="K2285" s="3" t="str">
        <f t="shared" si="245"/>
        <v>1</v>
      </c>
      <c r="L2285" s="13" t="str">
        <f>IFERROR(VLOOKUP(C2285,'Справочник соответствий'!A$2:D$2981,3,FALSE),IF(VALUE(C2285)=0,"ЭТАЖ НЕ ОПРЕДЕЛЕН. ПРИНЯТ ПО ДОПУЩЕНИЮ 1",VLOOKUP(C2285,'Справочник соответствий'!A$2:D$2981,3,FALSE)))</f>
        <v>ЭТАЖ ЗАДАН ЧИСЛОМ</v>
      </c>
      <c r="M2285" s="13" t="b">
        <f t="shared" si="246"/>
        <v>0</v>
      </c>
      <c r="N2285" s="13">
        <f t="shared" si="247"/>
        <v>1</v>
      </c>
      <c r="O2285" s="13" t="str">
        <f t="shared" si="248"/>
        <v>ЭТАЖ ЗАДАН ЧИСЛОМ</v>
      </c>
      <c r="P2285" s="13" t="str">
        <f t="shared" si="249"/>
        <v>ЭТАЖ ЗАДАН ЧИСЛОМ</v>
      </c>
      <c r="Q2285" s="13" t="str">
        <f t="shared" si="250"/>
        <v>ГОТОВ</v>
      </c>
      <c r="R2285" s="13">
        <f>IFERROR(VLOOKUP(P2285,Лист1!A$1:B$20,2,FALSE),0)</f>
        <v>784</v>
      </c>
      <c r="S2285" s="13">
        <f t="shared" si="251"/>
        <v>1</v>
      </c>
    </row>
    <row r="2286" spans="1:19" x14ac:dyDescent="0.25">
      <c r="A2286" s="24" t="s">
        <v>3415</v>
      </c>
      <c r="B2286" s="4" t="s">
        <v>1059</v>
      </c>
      <c r="C2286" s="25" t="s">
        <v>5</v>
      </c>
      <c r="D2286" s="25" t="s">
        <v>24</v>
      </c>
      <c r="E2286" s="3">
        <v>1</v>
      </c>
      <c r="F2286" s="24" t="s">
        <v>1045</v>
      </c>
      <c r="G2286" s="25" t="s">
        <v>1108</v>
      </c>
      <c r="H2286" s="24" t="s">
        <v>1061</v>
      </c>
      <c r="I2286" s="3" t="str">
        <f>IFERROR(VLOOKUP(C2286,'Справочник соответствий'!A$2:D$2981,2,FALSE),IF(VALUE(C2286)=0,1,VLOOKUP(C2286,'Справочник соответствий'!A$2:D$2981,2,FALSE)))</f>
        <v>1</v>
      </c>
      <c r="J2286" s="3" t="str">
        <f>IFERROR(VLOOKUP(D2286,'Справочник соответствий'!A$2:D$2981,2,FALSE),IF(VALUE(D2286)=0,0,VLOOKUP(D2286,'Справочник соответствий'!A$2:D$2981,2,FALSE)))</f>
        <v>1</v>
      </c>
      <c r="K2286" s="3" t="str">
        <f t="shared" si="245"/>
        <v>1</v>
      </c>
      <c r="L2286" s="13" t="str">
        <f>IFERROR(VLOOKUP(C2286,'Справочник соответствий'!A$2:D$2981,3,FALSE),IF(VALUE(C2286)=0,"ЭТАЖ НЕ ОПРЕДЕЛЕН. ПРИНЯТ ПО ДОПУЩЕНИЮ 1",VLOOKUP(C2286,'Справочник соответствий'!A$2:D$2981,3,FALSE)))</f>
        <v>ЭТАЖ ЗАДАН ЧИСЛОМ</v>
      </c>
      <c r="M2286" s="13" t="b">
        <f t="shared" si="246"/>
        <v>0</v>
      </c>
      <c r="N2286" s="13">
        <f t="shared" si="247"/>
        <v>1</v>
      </c>
      <c r="O2286" s="13" t="str">
        <f t="shared" si="248"/>
        <v>ЭТАЖ ЗАДАН ЧИСЛОМ</v>
      </c>
      <c r="P2286" s="13" t="str">
        <f t="shared" si="249"/>
        <v>ЭТАЖ ЗАДАН ЧИСЛОМ</v>
      </c>
      <c r="Q2286" s="13" t="str">
        <f t="shared" si="250"/>
        <v>ГОТОВ</v>
      </c>
      <c r="R2286" s="13">
        <f>IFERROR(VLOOKUP(P2286,Лист1!A$1:B$20,2,FALSE),0)</f>
        <v>784</v>
      </c>
      <c r="S2286" s="13">
        <f t="shared" si="251"/>
        <v>1</v>
      </c>
    </row>
    <row r="2287" spans="1:19" x14ac:dyDescent="0.25">
      <c r="A2287" s="24" t="s">
        <v>3416</v>
      </c>
      <c r="B2287" s="4" t="s">
        <v>1059</v>
      </c>
      <c r="C2287" s="25" t="s">
        <v>7</v>
      </c>
      <c r="G2287" s="25" t="s">
        <v>2431</v>
      </c>
      <c r="H2287" s="24" t="s">
        <v>1061</v>
      </c>
      <c r="I2287" s="3" t="str">
        <f>IFERROR(VLOOKUP(C2287,'Справочник соответствий'!A$2:D$2981,2,FALSE),IF(VALUE(C2287)=0,1,VLOOKUP(C2287,'Справочник соответствий'!A$2:D$2981,2,FALSE)))</f>
        <v>2</v>
      </c>
      <c r="J2287" s="3">
        <f>IFERROR(VLOOKUP(D2287,'Справочник соответствий'!A$2:D$2981,2,FALSE),IF(VALUE(D2287)=0,0,VLOOKUP(D2287,'Справочник соответствий'!A$2:D$2981,2,FALSE)))</f>
        <v>0</v>
      </c>
      <c r="K2287" s="3" t="str">
        <f t="shared" si="245"/>
        <v>2</v>
      </c>
      <c r="L2287" s="13" t="str">
        <f>IFERROR(VLOOKUP(C2287,'Справочник соответствий'!A$2:D$2981,3,FALSE),IF(VALUE(C2287)=0,"ЭТАЖ НЕ ОПРЕДЕЛЕН. ПРИНЯТ ПО ДОПУЩЕНИЮ 1",VLOOKUP(C2287,'Справочник соответствий'!A$2:D$2981,3,FALSE)))</f>
        <v>ЭТАЖ ЗАДАН ЧИСЛОМ</v>
      </c>
      <c r="M2287" s="13" t="b">
        <f t="shared" si="246"/>
        <v>0</v>
      </c>
      <c r="N2287" s="13">
        <f t="shared" si="247"/>
        <v>2</v>
      </c>
      <c r="O2287" s="13" t="str">
        <f t="shared" si="248"/>
        <v>ЭТАЖ ЗАДАН ЧИСЛОМ</v>
      </c>
      <c r="P2287" s="13" t="str">
        <f t="shared" si="249"/>
        <v>ЭТАЖ ЗАДАН ЧИСЛОМ</v>
      </c>
      <c r="Q2287" s="13" t="str">
        <f t="shared" si="250"/>
        <v>ГОТОВ_ИЗМЕНЕН</v>
      </c>
      <c r="R2287" s="13">
        <f>IFERROR(VLOOKUP(P2287,Лист1!A$1:B$20,2,FALSE),0)</f>
        <v>784</v>
      </c>
      <c r="S2287" s="13">
        <f t="shared" si="251"/>
        <v>0</v>
      </c>
    </row>
    <row r="2288" spans="1:19" x14ac:dyDescent="0.25">
      <c r="A2288" s="24" t="s">
        <v>3417</v>
      </c>
      <c r="B2288" s="4" t="s">
        <v>1059</v>
      </c>
      <c r="C2288" s="25" t="s">
        <v>7</v>
      </c>
      <c r="G2288" s="25" t="s">
        <v>1077</v>
      </c>
      <c r="H2288" s="24" t="s">
        <v>1061</v>
      </c>
      <c r="I2288" s="3" t="str">
        <f>IFERROR(VLOOKUP(C2288,'Справочник соответствий'!A$2:D$2981,2,FALSE),IF(VALUE(C2288)=0,1,VLOOKUP(C2288,'Справочник соответствий'!A$2:D$2981,2,FALSE)))</f>
        <v>2</v>
      </c>
      <c r="J2288" s="3">
        <f>IFERROR(VLOOKUP(D2288,'Справочник соответствий'!A$2:D$2981,2,FALSE),IF(VALUE(D2288)=0,0,VLOOKUP(D2288,'Справочник соответствий'!A$2:D$2981,2,FALSE)))</f>
        <v>0</v>
      </c>
      <c r="K2288" s="3" t="str">
        <f t="shared" si="245"/>
        <v>2</v>
      </c>
      <c r="L2288" s="13" t="str">
        <f>IFERROR(VLOOKUP(C2288,'Справочник соответствий'!A$2:D$2981,3,FALSE),IF(VALUE(C2288)=0,"ЭТАЖ НЕ ОПРЕДЕЛЕН. ПРИНЯТ ПО ДОПУЩЕНИЮ 1",VLOOKUP(C2288,'Справочник соответствий'!A$2:D$2981,3,FALSE)))</f>
        <v>ЭТАЖ ЗАДАН ЧИСЛОМ</v>
      </c>
      <c r="M2288" s="13" t="b">
        <f t="shared" si="246"/>
        <v>0</v>
      </c>
      <c r="N2288" s="13">
        <f t="shared" si="247"/>
        <v>2</v>
      </c>
      <c r="O2288" s="13" t="str">
        <f t="shared" si="248"/>
        <v>ЭТАЖ ЗАДАН ЧИСЛОМ</v>
      </c>
      <c r="P2288" s="13" t="str">
        <f t="shared" si="249"/>
        <v>ЭТАЖ ЗАДАН ЧИСЛОМ</v>
      </c>
      <c r="Q2288" s="13" t="str">
        <f t="shared" si="250"/>
        <v>ГОТОВ_ИЗМЕНЕН</v>
      </c>
      <c r="R2288" s="13">
        <f>IFERROR(VLOOKUP(P2288,Лист1!A$1:B$20,2,FALSE),0)</f>
        <v>784</v>
      </c>
      <c r="S2288" s="13">
        <f t="shared" si="251"/>
        <v>0</v>
      </c>
    </row>
    <row r="2289" spans="1:19" x14ac:dyDescent="0.25">
      <c r="A2289" s="24" t="s">
        <v>3418</v>
      </c>
      <c r="B2289" s="4" t="s">
        <v>1063</v>
      </c>
      <c r="C2289" s="25" t="s">
        <v>5</v>
      </c>
      <c r="G2289" s="25" t="s">
        <v>1086</v>
      </c>
      <c r="H2289" s="24" t="s">
        <v>1061</v>
      </c>
      <c r="I2289" s="3" t="str">
        <f>IFERROR(VLOOKUP(C2289,'Справочник соответствий'!A$2:D$2981,2,FALSE),IF(VALUE(C2289)=0,1,VLOOKUP(C2289,'Справочник соответствий'!A$2:D$2981,2,FALSE)))</f>
        <v>1</v>
      </c>
      <c r="J2289" s="3">
        <f>IFERROR(VLOOKUP(D2289,'Справочник соответствий'!A$2:D$2981,2,FALSE),IF(VALUE(D2289)=0,0,VLOOKUP(D2289,'Справочник соответствий'!A$2:D$2981,2,FALSE)))</f>
        <v>0</v>
      </c>
      <c r="K2289" s="3" t="str">
        <f t="shared" si="245"/>
        <v>1</v>
      </c>
      <c r="L2289" s="13" t="str">
        <f>IFERROR(VLOOKUP(C2289,'Справочник соответствий'!A$2:D$2981,3,FALSE),IF(VALUE(C2289)=0,"ЭТАЖ НЕ ОПРЕДЕЛЕН. ПРИНЯТ ПО ДОПУЩЕНИЮ 1",VLOOKUP(C2289,'Справочник соответствий'!A$2:D$2981,3,FALSE)))</f>
        <v>ЭТАЖ ЗАДАН ЧИСЛОМ</v>
      </c>
      <c r="M2289" s="13" t="b">
        <f t="shared" si="246"/>
        <v>0</v>
      </c>
      <c r="N2289" s="13">
        <f t="shared" si="247"/>
        <v>1</v>
      </c>
      <c r="O2289" s="13" t="str">
        <f t="shared" si="248"/>
        <v>ЭТАЖ ЗАДАН ЧИСЛОМ</v>
      </c>
      <c r="P2289" s="13" t="str">
        <f t="shared" si="249"/>
        <v>ЭТАЖ ЗАДАН ЧИСЛОМ</v>
      </c>
      <c r="Q2289" s="13" t="str">
        <f t="shared" si="250"/>
        <v>ГОТОВ_ИЗМЕНЕН</v>
      </c>
      <c r="R2289" s="13">
        <f>IFERROR(VLOOKUP(P2289,Лист1!A$1:B$20,2,FALSE),0)</f>
        <v>784</v>
      </c>
      <c r="S2289" s="13">
        <f t="shared" si="251"/>
        <v>0</v>
      </c>
    </row>
    <row r="2290" spans="1:19" x14ac:dyDescent="0.25">
      <c r="A2290" s="24" t="s">
        <v>3419</v>
      </c>
      <c r="B2290" s="4" t="s">
        <v>1059</v>
      </c>
      <c r="C2290" s="25" t="s">
        <v>7</v>
      </c>
      <c r="G2290" s="25" t="s">
        <v>1086</v>
      </c>
      <c r="H2290" s="24" t="s">
        <v>1061</v>
      </c>
      <c r="I2290" s="3" t="str">
        <f>IFERROR(VLOOKUP(C2290,'Справочник соответствий'!A$2:D$2981,2,FALSE),IF(VALUE(C2290)=0,1,VLOOKUP(C2290,'Справочник соответствий'!A$2:D$2981,2,FALSE)))</f>
        <v>2</v>
      </c>
      <c r="J2290" s="3">
        <f>IFERROR(VLOOKUP(D2290,'Справочник соответствий'!A$2:D$2981,2,FALSE),IF(VALUE(D2290)=0,0,VLOOKUP(D2290,'Справочник соответствий'!A$2:D$2981,2,FALSE)))</f>
        <v>0</v>
      </c>
      <c r="K2290" s="3" t="str">
        <f t="shared" si="245"/>
        <v>2</v>
      </c>
      <c r="L2290" s="13" t="str">
        <f>IFERROR(VLOOKUP(C2290,'Справочник соответствий'!A$2:D$2981,3,FALSE),IF(VALUE(C2290)=0,"ЭТАЖ НЕ ОПРЕДЕЛЕН. ПРИНЯТ ПО ДОПУЩЕНИЮ 1",VLOOKUP(C2290,'Справочник соответствий'!A$2:D$2981,3,FALSE)))</f>
        <v>ЭТАЖ ЗАДАН ЧИСЛОМ</v>
      </c>
      <c r="M2290" s="13" t="b">
        <f t="shared" si="246"/>
        <v>0</v>
      </c>
      <c r="N2290" s="13">
        <f t="shared" si="247"/>
        <v>2</v>
      </c>
      <c r="O2290" s="13" t="str">
        <f t="shared" si="248"/>
        <v>ЭТАЖ ЗАДАН ЧИСЛОМ</v>
      </c>
      <c r="P2290" s="13" t="str">
        <f t="shared" si="249"/>
        <v>ЭТАЖ ЗАДАН ЧИСЛОМ</v>
      </c>
      <c r="Q2290" s="13" t="str">
        <f t="shared" si="250"/>
        <v>ГОТОВ_ИЗМЕНЕН</v>
      </c>
      <c r="R2290" s="13">
        <f>IFERROR(VLOOKUP(P2290,Лист1!A$1:B$20,2,FALSE),0)</f>
        <v>784</v>
      </c>
      <c r="S2290" s="13">
        <f t="shared" si="251"/>
        <v>0</v>
      </c>
    </row>
    <row r="2291" spans="1:19" x14ac:dyDescent="0.25">
      <c r="A2291" s="24" t="s">
        <v>3420</v>
      </c>
      <c r="B2291" s="4" t="s">
        <v>1059</v>
      </c>
      <c r="C2291" s="25" t="s">
        <v>5</v>
      </c>
      <c r="G2291" s="25" t="s">
        <v>1086</v>
      </c>
      <c r="H2291" s="24" t="s">
        <v>1061</v>
      </c>
      <c r="I2291" s="3" t="str">
        <f>IFERROR(VLOOKUP(C2291,'Справочник соответствий'!A$2:D$2981,2,FALSE),IF(VALUE(C2291)=0,1,VLOOKUP(C2291,'Справочник соответствий'!A$2:D$2981,2,FALSE)))</f>
        <v>1</v>
      </c>
      <c r="J2291" s="3">
        <f>IFERROR(VLOOKUP(D2291,'Справочник соответствий'!A$2:D$2981,2,FALSE),IF(VALUE(D2291)=0,0,VLOOKUP(D2291,'Справочник соответствий'!A$2:D$2981,2,FALSE)))</f>
        <v>0</v>
      </c>
      <c r="K2291" s="3" t="str">
        <f t="shared" si="245"/>
        <v>1</v>
      </c>
      <c r="L2291" s="13" t="str">
        <f>IFERROR(VLOOKUP(C2291,'Справочник соответствий'!A$2:D$2981,3,FALSE),IF(VALUE(C2291)=0,"ЭТАЖ НЕ ОПРЕДЕЛЕН. ПРИНЯТ ПО ДОПУЩЕНИЮ 1",VLOOKUP(C2291,'Справочник соответствий'!A$2:D$2981,3,FALSE)))</f>
        <v>ЭТАЖ ЗАДАН ЧИСЛОМ</v>
      </c>
      <c r="M2291" s="13" t="b">
        <f t="shared" si="246"/>
        <v>0</v>
      </c>
      <c r="N2291" s="13">
        <f t="shared" si="247"/>
        <v>1</v>
      </c>
      <c r="O2291" s="13" t="str">
        <f t="shared" si="248"/>
        <v>ЭТАЖ ЗАДАН ЧИСЛОМ</v>
      </c>
      <c r="P2291" s="13" t="str">
        <f t="shared" si="249"/>
        <v>ЭТАЖ ЗАДАН ЧИСЛОМ</v>
      </c>
      <c r="Q2291" s="13" t="str">
        <f t="shared" si="250"/>
        <v>ГОТОВ_ИЗМЕНЕН</v>
      </c>
      <c r="R2291" s="13">
        <f>IFERROR(VLOOKUP(P2291,Лист1!A$1:B$20,2,FALSE),0)</f>
        <v>784</v>
      </c>
      <c r="S2291" s="13">
        <f t="shared" si="251"/>
        <v>0</v>
      </c>
    </row>
    <row r="2292" spans="1:19" x14ac:dyDescent="0.25">
      <c r="A2292" s="24" t="s">
        <v>3421</v>
      </c>
      <c r="B2292" s="4" t="s">
        <v>1059</v>
      </c>
      <c r="C2292" s="25" t="s">
        <v>7</v>
      </c>
      <c r="G2292" s="25" t="s">
        <v>1086</v>
      </c>
      <c r="H2292" s="24" t="s">
        <v>1061</v>
      </c>
      <c r="I2292" s="3" t="str">
        <f>IFERROR(VLOOKUP(C2292,'Справочник соответствий'!A$2:D$2981,2,FALSE),IF(VALUE(C2292)=0,1,VLOOKUP(C2292,'Справочник соответствий'!A$2:D$2981,2,FALSE)))</f>
        <v>2</v>
      </c>
      <c r="J2292" s="3">
        <f>IFERROR(VLOOKUP(D2292,'Справочник соответствий'!A$2:D$2981,2,FALSE),IF(VALUE(D2292)=0,0,VLOOKUP(D2292,'Справочник соответствий'!A$2:D$2981,2,FALSE)))</f>
        <v>0</v>
      </c>
      <c r="K2292" s="3" t="str">
        <f t="shared" si="245"/>
        <v>2</v>
      </c>
      <c r="L2292" s="13" t="str">
        <f>IFERROR(VLOOKUP(C2292,'Справочник соответствий'!A$2:D$2981,3,FALSE),IF(VALUE(C2292)=0,"ЭТАЖ НЕ ОПРЕДЕЛЕН. ПРИНЯТ ПО ДОПУЩЕНИЮ 1",VLOOKUP(C2292,'Справочник соответствий'!A$2:D$2981,3,FALSE)))</f>
        <v>ЭТАЖ ЗАДАН ЧИСЛОМ</v>
      </c>
      <c r="M2292" s="13" t="b">
        <f t="shared" si="246"/>
        <v>0</v>
      </c>
      <c r="N2292" s="13">
        <f t="shared" si="247"/>
        <v>2</v>
      </c>
      <c r="O2292" s="13" t="str">
        <f t="shared" si="248"/>
        <v>ЭТАЖ ЗАДАН ЧИСЛОМ</v>
      </c>
      <c r="P2292" s="13" t="str">
        <f t="shared" si="249"/>
        <v>ЭТАЖ ЗАДАН ЧИСЛОМ</v>
      </c>
      <c r="Q2292" s="13" t="str">
        <f t="shared" si="250"/>
        <v>ГОТОВ_ИЗМЕНЕН</v>
      </c>
      <c r="R2292" s="13">
        <f>IFERROR(VLOOKUP(P2292,Лист1!A$1:B$20,2,FALSE),0)</f>
        <v>784</v>
      </c>
      <c r="S2292" s="13">
        <f t="shared" si="251"/>
        <v>0</v>
      </c>
    </row>
    <row r="2293" spans="1:19" x14ac:dyDescent="0.25">
      <c r="A2293" s="24" t="s">
        <v>3422</v>
      </c>
      <c r="B2293" s="4" t="s">
        <v>1059</v>
      </c>
      <c r="C2293" s="25" t="s">
        <v>5</v>
      </c>
      <c r="G2293" s="25" t="s">
        <v>1086</v>
      </c>
      <c r="H2293" s="24" t="s">
        <v>1061</v>
      </c>
      <c r="I2293" s="3" t="str">
        <f>IFERROR(VLOOKUP(C2293,'Справочник соответствий'!A$2:D$2981,2,FALSE),IF(VALUE(C2293)=0,1,VLOOKUP(C2293,'Справочник соответствий'!A$2:D$2981,2,FALSE)))</f>
        <v>1</v>
      </c>
      <c r="J2293" s="3">
        <f>IFERROR(VLOOKUP(D2293,'Справочник соответствий'!A$2:D$2981,2,FALSE),IF(VALUE(D2293)=0,0,VLOOKUP(D2293,'Справочник соответствий'!A$2:D$2981,2,FALSE)))</f>
        <v>0</v>
      </c>
      <c r="K2293" s="3" t="str">
        <f t="shared" si="245"/>
        <v>1</v>
      </c>
      <c r="L2293" s="13" t="str">
        <f>IFERROR(VLOOKUP(C2293,'Справочник соответствий'!A$2:D$2981,3,FALSE),IF(VALUE(C2293)=0,"ЭТАЖ НЕ ОПРЕДЕЛЕН. ПРИНЯТ ПО ДОПУЩЕНИЮ 1",VLOOKUP(C2293,'Справочник соответствий'!A$2:D$2981,3,FALSE)))</f>
        <v>ЭТАЖ ЗАДАН ЧИСЛОМ</v>
      </c>
      <c r="M2293" s="13" t="b">
        <f t="shared" si="246"/>
        <v>0</v>
      </c>
      <c r="N2293" s="13">
        <f t="shared" si="247"/>
        <v>1</v>
      </c>
      <c r="O2293" s="13" t="str">
        <f t="shared" si="248"/>
        <v>ЭТАЖ ЗАДАН ЧИСЛОМ</v>
      </c>
      <c r="P2293" s="13" t="str">
        <f t="shared" si="249"/>
        <v>ЭТАЖ ЗАДАН ЧИСЛОМ</v>
      </c>
      <c r="Q2293" s="13" t="str">
        <f t="shared" si="250"/>
        <v>ГОТОВ_ИЗМЕНЕН</v>
      </c>
      <c r="R2293" s="13">
        <f>IFERROR(VLOOKUP(P2293,Лист1!A$1:B$20,2,FALSE),0)</f>
        <v>784</v>
      </c>
      <c r="S2293" s="13">
        <f t="shared" si="251"/>
        <v>0</v>
      </c>
    </row>
    <row r="2294" spans="1:19" x14ac:dyDescent="0.25">
      <c r="A2294" s="24" t="s">
        <v>3423</v>
      </c>
      <c r="B2294" s="4" t="s">
        <v>1063</v>
      </c>
      <c r="C2294" s="25" t="s">
        <v>7</v>
      </c>
      <c r="G2294" s="25" t="s">
        <v>1086</v>
      </c>
      <c r="H2294" s="24" t="s">
        <v>1061</v>
      </c>
      <c r="I2294" s="3" t="str">
        <f>IFERROR(VLOOKUP(C2294,'Справочник соответствий'!A$2:D$2981,2,FALSE),IF(VALUE(C2294)=0,1,VLOOKUP(C2294,'Справочник соответствий'!A$2:D$2981,2,FALSE)))</f>
        <v>2</v>
      </c>
      <c r="J2294" s="3">
        <f>IFERROR(VLOOKUP(D2294,'Справочник соответствий'!A$2:D$2981,2,FALSE),IF(VALUE(D2294)=0,0,VLOOKUP(D2294,'Справочник соответствий'!A$2:D$2981,2,FALSE)))</f>
        <v>0</v>
      </c>
      <c r="K2294" s="3" t="str">
        <f t="shared" si="245"/>
        <v>2</v>
      </c>
      <c r="L2294" s="13" t="str">
        <f>IFERROR(VLOOKUP(C2294,'Справочник соответствий'!A$2:D$2981,3,FALSE),IF(VALUE(C2294)=0,"ЭТАЖ НЕ ОПРЕДЕЛЕН. ПРИНЯТ ПО ДОПУЩЕНИЮ 1",VLOOKUP(C2294,'Справочник соответствий'!A$2:D$2981,3,FALSE)))</f>
        <v>ЭТАЖ ЗАДАН ЧИСЛОМ</v>
      </c>
      <c r="M2294" s="13" t="b">
        <f t="shared" si="246"/>
        <v>0</v>
      </c>
      <c r="N2294" s="13">
        <f t="shared" si="247"/>
        <v>2</v>
      </c>
      <c r="O2294" s="13" t="str">
        <f t="shared" si="248"/>
        <v>ЭТАЖ ЗАДАН ЧИСЛОМ</v>
      </c>
      <c r="P2294" s="13" t="str">
        <f t="shared" si="249"/>
        <v>ЭТАЖ ЗАДАН ЧИСЛОМ</v>
      </c>
      <c r="Q2294" s="13" t="str">
        <f t="shared" si="250"/>
        <v>ГОТОВ_ИЗМЕНЕН</v>
      </c>
      <c r="R2294" s="13">
        <f>IFERROR(VLOOKUP(P2294,Лист1!A$1:B$20,2,FALSE),0)</f>
        <v>784</v>
      </c>
      <c r="S2294" s="13">
        <f t="shared" si="251"/>
        <v>0</v>
      </c>
    </row>
    <row r="2295" spans="1:19" x14ac:dyDescent="0.25">
      <c r="A2295" s="24" t="s">
        <v>3424</v>
      </c>
      <c r="B2295" s="4" t="s">
        <v>1059</v>
      </c>
      <c r="C2295" s="25" t="s">
        <v>5</v>
      </c>
      <c r="G2295" s="25" t="s">
        <v>1080</v>
      </c>
      <c r="H2295" s="24" t="s">
        <v>1061</v>
      </c>
      <c r="I2295" s="3" t="str">
        <f>IFERROR(VLOOKUP(C2295,'Справочник соответствий'!A$2:D$2981,2,FALSE),IF(VALUE(C2295)=0,1,VLOOKUP(C2295,'Справочник соответствий'!A$2:D$2981,2,FALSE)))</f>
        <v>1</v>
      </c>
      <c r="J2295" s="3">
        <f>IFERROR(VLOOKUP(D2295,'Справочник соответствий'!A$2:D$2981,2,FALSE),IF(VALUE(D2295)=0,0,VLOOKUP(D2295,'Справочник соответствий'!A$2:D$2981,2,FALSE)))</f>
        <v>0</v>
      </c>
      <c r="K2295" s="3" t="str">
        <f t="shared" si="245"/>
        <v>1</v>
      </c>
      <c r="L2295" s="13" t="str">
        <f>IFERROR(VLOOKUP(C2295,'Справочник соответствий'!A$2:D$2981,3,FALSE),IF(VALUE(C2295)=0,"ЭТАЖ НЕ ОПРЕДЕЛЕН. ПРИНЯТ ПО ДОПУЩЕНИЮ 1",VLOOKUP(C2295,'Справочник соответствий'!A$2:D$2981,3,FALSE)))</f>
        <v>ЭТАЖ ЗАДАН ЧИСЛОМ</v>
      </c>
      <c r="M2295" s="13" t="b">
        <f t="shared" si="246"/>
        <v>0</v>
      </c>
      <c r="N2295" s="13">
        <f t="shared" si="247"/>
        <v>1</v>
      </c>
      <c r="O2295" s="13" t="str">
        <f t="shared" si="248"/>
        <v>ЭТАЖ ЗАДАН ЧИСЛОМ</v>
      </c>
      <c r="P2295" s="13" t="str">
        <f t="shared" si="249"/>
        <v>ЭТАЖ ЗАДАН ЧИСЛОМ</v>
      </c>
      <c r="Q2295" s="13" t="str">
        <f t="shared" si="250"/>
        <v>ГОТОВ_ИЗМЕНЕН</v>
      </c>
      <c r="R2295" s="13">
        <f>IFERROR(VLOOKUP(P2295,Лист1!A$1:B$20,2,FALSE),0)</f>
        <v>784</v>
      </c>
      <c r="S2295" s="13">
        <f t="shared" si="251"/>
        <v>0</v>
      </c>
    </row>
    <row r="2296" spans="1:19" x14ac:dyDescent="0.25">
      <c r="A2296" s="24" t="s">
        <v>3425</v>
      </c>
      <c r="B2296" s="4" t="s">
        <v>1063</v>
      </c>
      <c r="C2296" s="25" t="s">
        <v>5</v>
      </c>
      <c r="G2296" s="25" t="s">
        <v>1080</v>
      </c>
      <c r="H2296" s="24" t="s">
        <v>1061</v>
      </c>
      <c r="I2296" s="3" t="str">
        <f>IFERROR(VLOOKUP(C2296,'Справочник соответствий'!A$2:D$2981,2,FALSE),IF(VALUE(C2296)=0,1,VLOOKUP(C2296,'Справочник соответствий'!A$2:D$2981,2,FALSE)))</f>
        <v>1</v>
      </c>
      <c r="J2296" s="3">
        <f>IFERROR(VLOOKUP(D2296,'Справочник соответствий'!A$2:D$2981,2,FALSE),IF(VALUE(D2296)=0,0,VLOOKUP(D2296,'Справочник соответствий'!A$2:D$2981,2,FALSE)))</f>
        <v>0</v>
      </c>
      <c r="K2296" s="3" t="str">
        <f t="shared" si="245"/>
        <v>1</v>
      </c>
      <c r="L2296" s="13" t="str">
        <f>IFERROR(VLOOKUP(C2296,'Справочник соответствий'!A$2:D$2981,3,FALSE),IF(VALUE(C2296)=0,"ЭТАЖ НЕ ОПРЕДЕЛЕН. ПРИНЯТ ПО ДОПУЩЕНИЮ 1",VLOOKUP(C2296,'Справочник соответствий'!A$2:D$2981,3,FALSE)))</f>
        <v>ЭТАЖ ЗАДАН ЧИСЛОМ</v>
      </c>
      <c r="M2296" s="13" t="b">
        <f t="shared" si="246"/>
        <v>0</v>
      </c>
      <c r="N2296" s="13">
        <f t="shared" si="247"/>
        <v>1</v>
      </c>
      <c r="O2296" s="13" t="str">
        <f t="shared" si="248"/>
        <v>ЭТАЖ ЗАДАН ЧИСЛОМ</v>
      </c>
      <c r="P2296" s="13" t="str">
        <f t="shared" si="249"/>
        <v>ЭТАЖ ЗАДАН ЧИСЛОМ</v>
      </c>
      <c r="Q2296" s="13" t="str">
        <f t="shared" si="250"/>
        <v>ГОТОВ_ИЗМЕНЕН</v>
      </c>
      <c r="R2296" s="13">
        <f>IFERROR(VLOOKUP(P2296,Лист1!A$1:B$20,2,FALSE),0)</f>
        <v>784</v>
      </c>
      <c r="S2296" s="13">
        <f t="shared" si="251"/>
        <v>0</v>
      </c>
    </row>
    <row r="2297" spans="1:19" x14ac:dyDescent="0.25">
      <c r="A2297" s="24" t="s">
        <v>3426</v>
      </c>
      <c r="B2297" s="4" t="s">
        <v>1063</v>
      </c>
      <c r="C2297" s="25" t="s">
        <v>5</v>
      </c>
      <c r="G2297" s="25" t="s">
        <v>1077</v>
      </c>
      <c r="H2297" s="24" t="s">
        <v>1061</v>
      </c>
      <c r="I2297" s="3" t="str">
        <f>IFERROR(VLOOKUP(C2297,'Справочник соответствий'!A$2:D$2981,2,FALSE),IF(VALUE(C2297)=0,1,VLOOKUP(C2297,'Справочник соответствий'!A$2:D$2981,2,FALSE)))</f>
        <v>1</v>
      </c>
      <c r="J2297" s="3">
        <f>IFERROR(VLOOKUP(D2297,'Справочник соответствий'!A$2:D$2981,2,FALSE),IF(VALUE(D2297)=0,0,VLOOKUP(D2297,'Справочник соответствий'!A$2:D$2981,2,FALSE)))</f>
        <v>0</v>
      </c>
      <c r="K2297" s="3" t="str">
        <f t="shared" si="245"/>
        <v>1</v>
      </c>
      <c r="L2297" s="13" t="str">
        <f>IFERROR(VLOOKUP(C2297,'Справочник соответствий'!A$2:D$2981,3,FALSE),IF(VALUE(C2297)=0,"ЭТАЖ НЕ ОПРЕДЕЛЕН. ПРИНЯТ ПО ДОПУЩЕНИЮ 1",VLOOKUP(C2297,'Справочник соответствий'!A$2:D$2981,3,FALSE)))</f>
        <v>ЭТАЖ ЗАДАН ЧИСЛОМ</v>
      </c>
      <c r="M2297" s="13" t="b">
        <f t="shared" si="246"/>
        <v>0</v>
      </c>
      <c r="N2297" s="13">
        <f t="shared" si="247"/>
        <v>1</v>
      </c>
      <c r="O2297" s="13" t="str">
        <f t="shared" si="248"/>
        <v>ЭТАЖ ЗАДАН ЧИСЛОМ</v>
      </c>
      <c r="P2297" s="13" t="str">
        <f t="shared" si="249"/>
        <v>ЭТАЖ ЗАДАН ЧИСЛОМ</v>
      </c>
      <c r="Q2297" s="13" t="str">
        <f t="shared" si="250"/>
        <v>ГОТОВ_ИЗМЕНЕН</v>
      </c>
      <c r="R2297" s="13">
        <f>IFERROR(VLOOKUP(P2297,Лист1!A$1:B$20,2,FALSE),0)</f>
        <v>784</v>
      </c>
      <c r="S2297" s="13">
        <f t="shared" si="251"/>
        <v>0</v>
      </c>
    </row>
    <row r="2298" spans="1:19" x14ac:dyDescent="0.25">
      <c r="A2298" s="24" t="s">
        <v>3427</v>
      </c>
      <c r="B2298" s="4" t="s">
        <v>1059</v>
      </c>
      <c r="C2298" s="25" t="s">
        <v>8</v>
      </c>
      <c r="G2298" s="25" t="s">
        <v>1080</v>
      </c>
      <c r="H2298" s="24" t="s">
        <v>1061</v>
      </c>
      <c r="I2298" s="3" t="str">
        <f>IFERROR(VLOOKUP(C2298,'Справочник соответствий'!A$2:D$2981,2,FALSE),IF(VALUE(C2298)=0,1,VLOOKUP(C2298,'Справочник соответствий'!A$2:D$2981,2,FALSE)))</f>
        <v>3</v>
      </c>
      <c r="J2298" s="3">
        <f>IFERROR(VLOOKUP(D2298,'Справочник соответствий'!A$2:D$2981,2,FALSE),IF(VALUE(D2298)=0,0,VLOOKUP(D2298,'Справочник соответствий'!A$2:D$2981,2,FALSE)))</f>
        <v>0</v>
      </c>
      <c r="K2298" s="3" t="str">
        <f t="shared" si="245"/>
        <v>3</v>
      </c>
      <c r="L2298" s="13" t="str">
        <f>IFERROR(VLOOKUP(C2298,'Справочник соответствий'!A$2:D$2981,3,FALSE),IF(VALUE(C2298)=0,"ЭТАЖ НЕ ОПРЕДЕЛЕН. ПРИНЯТ ПО ДОПУЩЕНИЮ 1",VLOOKUP(C2298,'Справочник соответствий'!A$2:D$2981,3,FALSE)))</f>
        <v>ЭТАЖ ЗАДАН ЧИСЛОМ</v>
      </c>
      <c r="M2298" s="13" t="b">
        <f t="shared" si="246"/>
        <v>0</v>
      </c>
      <c r="N2298" s="13">
        <f t="shared" si="247"/>
        <v>3</v>
      </c>
      <c r="O2298" s="13" t="str">
        <f t="shared" si="248"/>
        <v>ЭТАЖ ЗАДАН ЧИСЛОМ</v>
      </c>
      <c r="P2298" s="13" t="str">
        <f t="shared" si="249"/>
        <v>ЭТАЖ ЗАДАН ЧИСЛОМ</v>
      </c>
      <c r="Q2298" s="13" t="str">
        <f t="shared" si="250"/>
        <v>ГОТОВ_ИЗМЕНЕН</v>
      </c>
      <c r="R2298" s="13">
        <f>IFERROR(VLOOKUP(P2298,Лист1!A$1:B$20,2,FALSE),0)</f>
        <v>784</v>
      </c>
      <c r="S2298" s="13">
        <f t="shared" si="251"/>
        <v>0</v>
      </c>
    </row>
    <row r="2299" spans="1:19" x14ac:dyDescent="0.25">
      <c r="A2299" s="24" t="s">
        <v>3428</v>
      </c>
      <c r="B2299" s="4" t="s">
        <v>1063</v>
      </c>
      <c r="C2299" s="25" t="s">
        <v>5</v>
      </c>
      <c r="G2299" s="25" t="s">
        <v>1080</v>
      </c>
      <c r="H2299" s="24" t="s">
        <v>1061</v>
      </c>
      <c r="I2299" s="3" t="str">
        <f>IFERROR(VLOOKUP(C2299,'Справочник соответствий'!A$2:D$2981,2,FALSE),IF(VALUE(C2299)=0,1,VLOOKUP(C2299,'Справочник соответствий'!A$2:D$2981,2,FALSE)))</f>
        <v>1</v>
      </c>
      <c r="J2299" s="3">
        <f>IFERROR(VLOOKUP(D2299,'Справочник соответствий'!A$2:D$2981,2,FALSE),IF(VALUE(D2299)=0,0,VLOOKUP(D2299,'Справочник соответствий'!A$2:D$2981,2,FALSE)))</f>
        <v>0</v>
      </c>
      <c r="K2299" s="3" t="str">
        <f t="shared" si="245"/>
        <v>1</v>
      </c>
      <c r="L2299" s="13" t="str">
        <f>IFERROR(VLOOKUP(C2299,'Справочник соответствий'!A$2:D$2981,3,FALSE),IF(VALUE(C2299)=0,"ЭТАЖ НЕ ОПРЕДЕЛЕН. ПРИНЯТ ПО ДОПУЩЕНИЮ 1",VLOOKUP(C2299,'Справочник соответствий'!A$2:D$2981,3,FALSE)))</f>
        <v>ЭТАЖ ЗАДАН ЧИСЛОМ</v>
      </c>
      <c r="M2299" s="13" t="b">
        <f t="shared" si="246"/>
        <v>0</v>
      </c>
      <c r="N2299" s="13">
        <f t="shared" si="247"/>
        <v>1</v>
      </c>
      <c r="O2299" s="13" t="str">
        <f t="shared" si="248"/>
        <v>ЭТАЖ ЗАДАН ЧИСЛОМ</v>
      </c>
      <c r="P2299" s="13" t="str">
        <f t="shared" si="249"/>
        <v>ЭТАЖ ЗАДАН ЧИСЛОМ</v>
      </c>
      <c r="Q2299" s="13" t="str">
        <f t="shared" si="250"/>
        <v>ГОТОВ_ИЗМЕНЕН</v>
      </c>
      <c r="R2299" s="13">
        <f>IFERROR(VLOOKUP(P2299,Лист1!A$1:B$20,2,FALSE),0)</f>
        <v>784</v>
      </c>
      <c r="S2299" s="13">
        <f t="shared" si="251"/>
        <v>0</v>
      </c>
    </row>
    <row r="2300" spans="1:19" x14ac:dyDescent="0.25">
      <c r="A2300" s="24" t="s">
        <v>3429</v>
      </c>
      <c r="B2300" s="4" t="s">
        <v>1063</v>
      </c>
      <c r="C2300" s="25" t="s">
        <v>5</v>
      </c>
      <c r="G2300" s="25" t="s">
        <v>1086</v>
      </c>
      <c r="H2300" s="24" t="s">
        <v>1061</v>
      </c>
      <c r="I2300" s="3" t="str">
        <f>IFERROR(VLOOKUP(C2300,'Справочник соответствий'!A$2:D$2981,2,FALSE),IF(VALUE(C2300)=0,1,VLOOKUP(C2300,'Справочник соответствий'!A$2:D$2981,2,FALSE)))</f>
        <v>1</v>
      </c>
      <c r="J2300" s="3">
        <f>IFERROR(VLOOKUP(D2300,'Справочник соответствий'!A$2:D$2981,2,FALSE),IF(VALUE(D2300)=0,0,VLOOKUP(D2300,'Справочник соответствий'!A$2:D$2981,2,FALSE)))</f>
        <v>0</v>
      </c>
      <c r="K2300" s="3" t="str">
        <f t="shared" si="245"/>
        <v>1</v>
      </c>
      <c r="L2300" s="13" t="str">
        <f>IFERROR(VLOOKUP(C2300,'Справочник соответствий'!A$2:D$2981,3,FALSE),IF(VALUE(C2300)=0,"ЭТАЖ НЕ ОПРЕДЕЛЕН. ПРИНЯТ ПО ДОПУЩЕНИЮ 1",VLOOKUP(C2300,'Справочник соответствий'!A$2:D$2981,3,FALSE)))</f>
        <v>ЭТАЖ ЗАДАН ЧИСЛОМ</v>
      </c>
      <c r="M2300" s="13" t="b">
        <f t="shared" si="246"/>
        <v>0</v>
      </c>
      <c r="N2300" s="13">
        <f t="shared" si="247"/>
        <v>1</v>
      </c>
      <c r="O2300" s="13" t="str">
        <f t="shared" si="248"/>
        <v>ЭТАЖ ЗАДАН ЧИСЛОМ</v>
      </c>
      <c r="P2300" s="13" t="str">
        <f t="shared" si="249"/>
        <v>ЭТАЖ ЗАДАН ЧИСЛОМ</v>
      </c>
      <c r="Q2300" s="13" t="str">
        <f t="shared" si="250"/>
        <v>ГОТОВ_ИЗМЕНЕН</v>
      </c>
      <c r="R2300" s="13">
        <f>IFERROR(VLOOKUP(P2300,Лист1!A$1:B$20,2,FALSE),0)</f>
        <v>784</v>
      </c>
      <c r="S2300" s="13">
        <f t="shared" si="251"/>
        <v>0</v>
      </c>
    </row>
    <row r="2301" spans="1:19" x14ac:dyDescent="0.25">
      <c r="A2301" s="24" t="s">
        <v>3430</v>
      </c>
      <c r="B2301" s="4" t="s">
        <v>1031</v>
      </c>
      <c r="C2301" s="25" t="s">
        <v>102</v>
      </c>
      <c r="D2301" s="25" t="s">
        <v>5</v>
      </c>
      <c r="G2301" s="25" t="s">
        <v>1080</v>
      </c>
      <c r="H2301" s="24" t="s">
        <v>1061</v>
      </c>
      <c r="I2301" s="3" t="str">
        <f>IFERROR(VLOOKUP(C2301,'Справочник соответствий'!A$2:D$2981,2,FALSE),IF(VALUE(C2301)=0,1,VLOOKUP(C2301,'Справочник соответствий'!A$2:D$2981,2,FALSE)))</f>
        <v>19</v>
      </c>
      <c r="J2301" s="3" t="str">
        <f>IFERROR(VLOOKUP(D2301,'Справочник соответствий'!A$2:D$2981,2,FALSE),IF(VALUE(D2301)=0,0,VLOOKUP(D2301,'Справочник соответствий'!A$2:D$2981,2,FALSE)))</f>
        <v>1</v>
      </c>
      <c r="K2301" s="3">
        <f t="shared" si="245"/>
        <v>18</v>
      </c>
      <c r="L2301" s="13" t="str">
        <f>IFERROR(VLOOKUP(C2301,'Справочник соответствий'!A$2:D$2981,3,FALSE),IF(VALUE(C2301)=0,"ЭТАЖ НЕ ОПРЕДЕЛЕН. ПРИНЯТ ПО ДОПУЩЕНИЮ 1",VLOOKUP(C2301,'Справочник соответствий'!A$2:D$2981,3,FALSE)))</f>
        <v>ЭТАЖ ЗАДАН ЧИСЛОМ</v>
      </c>
      <c r="M2301" s="13" t="b">
        <f t="shared" si="246"/>
        <v>0</v>
      </c>
      <c r="N2301" s="13">
        <f t="shared" si="247"/>
        <v>18</v>
      </c>
      <c r="O2301" s="13" t="str">
        <f t="shared" si="248"/>
        <v>ЭТАЖ ЗАДАН ЧИСЛОМ</v>
      </c>
      <c r="P2301" s="13" t="str">
        <f t="shared" si="249"/>
        <v>МКД_ЭТАЖ ЗАДАН ЧИСЛОМ</v>
      </c>
      <c r="Q2301" s="13" t="str">
        <f t="shared" si="250"/>
        <v>ГОТОВ_ИЗМЕНЕН</v>
      </c>
      <c r="R2301" s="13">
        <f>IFERROR(VLOOKUP(P2301,Лист1!A$1:B$20,2,FALSE),0)</f>
        <v>786</v>
      </c>
      <c r="S2301" s="13">
        <f t="shared" si="251"/>
        <v>0</v>
      </c>
    </row>
    <row r="2302" spans="1:19" x14ac:dyDescent="0.25">
      <c r="A2302" s="24" t="s">
        <v>3431</v>
      </c>
      <c r="B2302" s="4" t="s">
        <v>1059</v>
      </c>
      <c r="C2302" s="25" t="s">
        <v>7</v>
      </c>
      <c r="G2302" s="25" t="s">
        <v>1077</v>
      </c>
      <c r="H2302" s="24" t="s">
        <v>1061</v>
      </c>
      <c r="I2302" s="3" t="str">
        <f>IFERROR(VLOOKUP(C2302,'Справочник соответствий'!A$2:D$2981,2,FALSE),IF(VALUE(C2302)=0,1,VLOOKUP(C2302,'Справочник соответствий'!A$2:D$2981,2,FALSE)))</f>
        <v>2</v>
      </c>
      <c r="J2302" s="3">
        <f>IFERROR(VLOOKUP(D2302,'Справочник соответствий'!A$2:D$2981,2,FALSE),IF(VALUE(D2302)=0,0,VLOOKUP(D2302,'Справочник соответствий'!A$2:D$2981,2,FALSE)))</f>
        <v>0</v>
      </c>
      <c r="K2302" s="3" t="str">
        <f t="shared" si="245"/>
        <v>2</v>
      </c>
      <c r="L2302" s="13" t="str">
        <f>IFERROR(VLOOKUP(C2302,'Справочник соответствий'!A$2:D$2981,3,FALSE),IF(VALUE(C2302)=0,"ЭТАЖ НЕ ОПРЕДЕЛЕН. ПРИНЯТ ПО ДОПУЩЕНИЮ 1",VLOOKUP(C2302,'Справочник соответствий'!A$2:D$2981,3,FALSE)))</f>
        <v>ЭТАЖ ЗАДАН ЧИСЛОМ</v>
      </c>
      <c r="M2302" s="13" t="b">
        <f t="shared" si="246"/>
        <v>0</v>
      </c>
      <c r="N2302" s="13">
        <f t="shared" si="247"/>
        <v>2</v>
      </c>
      <c r="O2302" s="13" t="str">
        <f t="shared" si="248"/>
        <v>ЭТАЖ ЗАДАН ЧИСЛОМ</v>
      </c>
      <c r="P2302" s="13" t="str">
        <f t="shared" si="249"/>
        <v>ЭТАЖ ЗАДАН ЧИСЛОМ</v>
      </c>
      <c r="Q2302" s="13" t="str">
        <f t="shared" si="250"/>
        <v>ГОТОВ_ИЗМЕНЕН</v>
      </c>
      <c r="R2302" s="13">
        <f>IFERROR(VLOOKUP(P2302,Лист1!A$1:B$20,2,FALSE),0)</f>
        <v>784</v>
      </c>
      <c r="S2302" s="13">
        <f t="shared" si="251"/>
        <v>0</v>
      </c>
    </row>
    <row r="2303" spans="1:19" x14ac:dyDescent="0.25">
      <c r="A2303" s="24" t="s">
        <v>3432</v>
      </c>
      <c r="B2303" s="4" t="s">
        <v>1059</v>
      </c>
      <c r="C2303" s="25" t="s">
        <v>5</v>
      </c>
      <c r="G2303" s="25" t="s">
        <v>1077</v>
      </c>
      <c r="H2303" s="24" t="s">
        <v>1061</v>
      </c>
      <c r="I2303" s="3" t="str">
        <f>IFERROR(VLOOKUP(C2303,'Справочник соответствий'!A$2:D$2981,2,FALSE),IF(VALUE(C2303)=0,1,VLOOKUP(C2303,'Справочник соответствий'!A$2:D$2981,2,FALSE)))</f>
        <v>1</v>
      </c>
      <c r="J2303" s="3">
        <f>IFERROR(VLOOKUP(D2303,'Справочник соответствий'!A$2:D$2981,2,FALSE),IF(VALUE(D2303)=0,0,VLOOKUP(D2303,'Справочник соответствий'!A$2:D$2981,2,FALSE)))</f>
        <v>0</v>
      </c>
      <c r="K2303" s="3" t="str">
        <f t="shared" si="245"/>
        <v>1</v>
      </c>
      <c r="L2303" s="13" t="str">
        <f>IFERROR(VLOOKUP(C2303,'Справочник соответствий'!A$2:D$2981,3,FALSE),IF(VALUE(C2303)=0,"ЭТАЖ НЕ ОПРЕДЕЛЕН. ПРИНЯТ ПО ДОПУЩЕНИЮ 1",VLOOKUP(C2303,'Справочник соответствий'!A$2:D$2981,3,FALSE)))</f>
        <v>ЭТАЖ ЗАДАН ЧИСЛОМ</v>
      </c>
      <c r="M2303" s="13" t="b">
        <f t="shared" si="246"/>
        <v>0</v>
      </c>
      <c r="N2303" s="13">
        <f t="shared" si="247"/>
        <v>1</v>
      </c>
      <c r="O2303" s="13" t="str">
        <f t="shared" si="248"/>
        <v>ЭТАЖ ЗАДАН ЧИСЛОМ</v>
      </c>
      <c r="P2303" s="13" t="str">
        <f t="shared" si="249"/>
        <v>ЭТАЖ ЗАДАН ЧИСЛОМ</v>
      </c>
      <c r="Q2303" s="13" t="str">
        <f t="shared" si="250"/>
        <v>ГОТОВ_ИЗМЕНЕН</v>
      </c>
      <c r="R2303" s="13">
        <f>IFERROR(VLOOKUP(P2303,Лист1!A$1:B$20,2,FALSE),0)</f>
        <v>784</v>
      </c>
      <c r="S2303" s="13">
        <f t="shared" si="251"/>
        <v>0</v>
      </c>
    </row>
    <row r="2304" spans="1:19" x14ac:dyDescent="0.25">
      <c r="A2304" s="24" t="s">
        <v>3433</v>
      </c>
      <c r="B2304" s="4" t="s">
        <v>1063</v>
      </c>
      <c r="C2304" s="25" t="s">
        <v>5</v>
      </c>
      <c r="G2304" s="25" t="s">
        <v>1077</v>
      </c>
      <c r="H2304" s="24" t="s">
        <v>1061</v>
      </c>
      <c r="I2304" s="3" t="str">
        <f>IFERROR(VLOOKUP(C2304,'Справочник соответствий'!A$2:D$2981,2,FALSE),IF(VALUE(C2304)=0,1,VLOOKUP(C2304,'Справочник соответствий'!A$2:D$2981,2,FALSE)))</f>
        <v>1</v>
      </c>
      <c r="J2304" s="3">
        <f>IFERROR(VLOOKUP(D2304,'Справочник соответствий'!A$2:D$2981,2,FALSE),IF(VALUE(D2304)=0,0,VLOOKUP(D2304,'Справочник соответствий'!A$2:D$2981,2,FALSE)))</f>
        <v>0</v>
      </c>
      <c r="K2304" s="3" t="str">
        <f t="shared" si="245"/>
        <v>1</v>
      </c>
      <c r="L2304" s="13" t="str">
        <f>IFERROR(VLOOKUP(C2304,'Справочник соответствий'!A$2:D$2981,3,FALSE),IF(VALUE(C2304)=0,"ЭТАЖ НЕ ОПРЕДЕЛЕН. ПРИНЯТ ПО ДОПУЩЕНИЮ 1",VLOOKUP(C2304,'Справочник соответствий'!A$2:D$2981,3,FALSE)))</f>
        <v>ЭТАЖ ЗАДАН ЧИСЛОМ</v>
      </c>
      <c r="M2304" s="13" t="b">
        <f t="shared" si="246"/>
        <v>0</v>
      </c>
      <c r="N2304" s="13">
        <f t="shared" si="247"/>
        <v>1</v>
      </c>
      <c r="O2304" s="13" t="str">
        <f t="shared" si="248"/>
        <v>ЭТАЖ ЗАДАН ЧИСЛОМ</v>
      </c>
      <c r="P2304" s="13" t="str">
        <f t="shared" si="249"/>
        <v>ЭТАЖ ЗАДАН ЧИСЛОМ</v>
      </c>
      <c r="Q2304" s="13" t="str">
        <f t="shared" si="250"/>
        <v>ГОТОВ_ИЗМЕНЕН</v>
      </c>
      <c r="R2304" s="13">
        <f>IFERROR(VLOOKUP(P2304,Лист1!A$1:B$20,2,FALSE),0)</f>
        <v>784</v>
      </c>
      <c r="S2304" s="13">
        <f t="shared" si="251"/>
        <v>0</v>
      </c>
    </row>
    <row r="2305" spans="1:19" x14ac:dyDescent="0.25">
      <c r="A2305" s="24" t="s">
        <v>3434</v>
      </c>
      <c r="B2305" s="4" t="s">
        <v>1059</v>
      </c>
      <c r="C2305" s="25" t="s">
        <v>7</v>
      </c>
      <c r="G2305" s="25" t="s">
        <v>1080</v>
      </c>
      <c r="H2305" s="24" t="s">
        <v>1061</v>
      </c>
      <c r="I2305" s="3" t="str">
        <f>IFERROR(VLOOKUP(C2305,'Справочник соответствий'!A$2:D$2981,2,FALSE),IF(VALUE(C2305)=0,1,VLOOKUP(C2305,'Справочник соответствий'!A$2:D$2981,2,FALSE)))</f>
        <v>2</v>
      </c>
      <c r="J2305" s="3">
        <f>IFERROR(VLOOKUP(D2305,'Справочник соответствий'!A$2:D$2981,2,FALSE),IF(VALUE(D2305)=0,0,VLOOKUP(D2305,'Справочник соответствий'!A$2:D$2981,2,FALSE)))</f>
        <v>0</v>
      </c>
      <c r="K2305" s="3" t="str">
        <f t="shared" si="245"/>
        <v>2</v>
      </c>
      <c r="L2305" s="13" t="str">
        <f>IFERROR(VLOOKUP(C2305,'Справочник соответствий'!A$2:D$2981,3,FALSE),IF(VALUE(C2305)=0,"ЭТАЖ НЕ ОПРЕДЕЛЕН. ПРИНЯТ ПО ДОПУЩЕНИЮ 1",VLOOKUP(C2305,'Справочник соответствий'!A$2:D$2981,3,FALSE)))</f>
        <v>ЭТАЖ ЗАДАН ЧИСЛОМ</v>
      </c>
      <c r="M2305" s="13" t="b">
        <f t="shared" si="246"/>
        <v>0</v>
      </c>
      <c r="N2305" s="13">
        <f t="shared" si="247"/>
        <v>2</v>
      </c>
      <c r="O2305" s="13" t="str">
        <f t="shared" si="248"/>
        <v>ЭТАЖ ЗАДАН ЧИСЛОМ</v>
      </c>
      <c r="P2305" s="13" t="str">
        <f t="shared" si="249"/>
        <v>ЭТАЖ ЗАДАН ЧИСЛОМ</v>
      </c>
      <c r="Q2305" s="13" t="str">
        <f t="shared" si="250"/>
        <v>ГОТОВ_ИЗМЕНЕН</v>
      </c>
      <c r="R2305" s="13">
        <f>IFERROR(VLOOKUP(P2305,Лист1!A$1:B$20,2,FALSE),0)</f>
        <v>784</v>
      </c>
      <c r="S2305" s="13">
        <f t="shared" si="251"/>
        <v>0</v>
      </c>
    </row>
    <row r="2306" spans="1:19" x14ac:dyDescent="0.25">
      <c r="A2306" s="24" t="s">
        <v>3435</v>
      </c>
      <c r="B2306" s="4" t="s">
        <v>1063</v>
      </c>
      <c r="C2306" s="25" t="s">
        <v>5</v>
      </c>
      <c r="G2306" s="25" t="s">
        <v>1080</v>
      </c>
      <c r="H2306" s="24" t="s">
        <v>1061</v>
      </c>
      <c r="I2306" s="3" t="str">
        <f>IFERROR(VLOOKUP(C2306,'Справочник соответствий'!A$2:D$2981,2,FALSE),IF(VALUE(C2306)=0,1,VLOOKUP(C2306,'Справочник соответствий'!A$2:D$2981,2,FALSE)))</f>
        <v>1</v>
      </c>
      <c r="J2306" s="3">
        <f>IFERROR(VLOOKUP(D2306,'Справочник соответствий'!A$2:D$2981,2,FALSE),IF(VALUE(D2306)=0,0,VLOOKUP(D2306,'Справочник соответствий'!A$2:D$2981,2,FALSE)))</f>
        <v>0</v>
      </c>
      <c r="K2306" s="3" t="str">
        <f t="shared" si="245"/>
        <v>1</v>
      </c>
      <c r="L2306" s="13" t="str">
        <f>IFERROR(VLOOKUP(C2306,'Справочник соответствий'!A$2:D$2981,3,FALSE),IF(VALUE(C2306)=0,"ЭТАЖ НЕ ОПРЕДЕЛЕН. ПРИНЯТ ПО ДОПУЩЕНИЮ 1",VLOOKUP(C2306,'Справочник соответствий'!A$2:D$2981,3,FALSE)))</f>
        <v>ЭТАЖ ЗАДАН ЧИСЛОМ</v>
      </c>
      <c r="M2306" s="13" t="b">
        <f t="shared" si="246"/>
        <v>0</v>
      </c>
      <c r="N2306" s="13">
        <f t="shared" si="247"/>
        <v>1</v>
      </c>
      <c r="O2306" s="13" t="str">
        <f t="shared" si="248"/>
        <v>ЭТАЖ ЗАДАН ЧИСЛОМ</v>
      </c>
      <c r="P2306" s="13" t="str">
        <f t="shared" si="249"/>
        <v>ЭТАЖ ЗАДАН ЧИСЛОМ</v>
      </c>
      <c r="Q2306" s="13" t="str">
        <f t="shared" si="250"/>
        <v>ГОТОВ_ИЗМЕНЕН</v>
      </c>
      <c r="R2306" s="13">
        <f>IFERROR(VLOOKUP(P2306,Лист1!A$1:B$20,2,FALSE),0)</f>
        <v>784</v>
      </c>
      <c r="S2306" s="13">
        <f t="shared" si="251"/>
        <v>0</v>
      </c>
    </row>
    <row r="2307" spans="1:19" x14ac:dyDescent="0.25">
      <c r="A2307" s="24" t="s">
        <v>3436</v>
      </c>
      <c r="B2307" s="4" t="s">
        <v>1059</v>
      </c>
      <c r="C2307" s="25" t="s">
        <v>7</v>
      </c>
      <c r="G2307" s="25" t="s">
        <v>1080</v>
      </c>
      <c r="H2307" s="24" t="s">
        <v>1061</v>
      </c>
      <c r="I2307" s="3" t="str">
        <f>IFERROR(VLOOKUP(C2307,'Справочник соответствий'!A$2:D$2981,2,FALSE),IF(VALUE(C2307)=0,1,VLOOKUP(C2307,'Справочник соответствий'!A$2:D$2981,2,FALSE)))</f>
        <v>2</v>
      </c>
      <c r="J2307" s="3">
        <f>IFERROR(VLOOKUP(D2307,'Справочник соответствий'!A$2:D$2981,2,FALSE),IF(VALUE(D2307)=0,0,VLOOKUP(D2307,'Справочник соответствий'!A$2:D$2981,2,FALSE)))</f>
        <v>0</v>
      </c>
      <c r="K2307" s="3" t="str">
        <f t="shared" si="245"/>
        <v>2</v>
      </c>
      <c r="L2307" s="13" t="str">
        <f>IFERROR(VLOOKUP(C2307,'Справочник соответствий'!A$2:D$2981,3,FALSE),IF(VALUE(C2307)=0,"ЭТАЖ НЕ ОПРЕДЕЛЕН. ПРИНЯТ ПО ДОПУЩЕНИЮ 1",VLOOKUP(C2307,'Справочник соответствий'!A$2:D$2981,3,FALSE)))</f>
        <v>ЭТАЖ ЗАДАН ЧИСЛОМ</v>
      </c>
      <c r="M2307" s="13" t="b">
        <f t="shared" si="246"/>
        <v>0</v>
      </c>
      <c r="N2307" s="13">
        <f t="shared" si="247"/>
        <v>2</v>
      </c>
      <c r="O2307" s="13" t="str">
        <f t="shared" si="248"/>
        <v>ЭТАЖ ЗАДАН ЧИСЛОМ</v>
      </c>
      <c r="P2307" s="13" t="str">
        <f t="shared" si="249"/>
        <v>ЭТАЖ ЗАДАН ЧИСЛОМ</v>
      </c>
      <c r="Q2307" s="13" t="str">
        <f t="shared" si="250"/>
        <v>ГОТОВ_ИЗМЕНЕН</v>
      </c>
      <c r="R2307" s="13">
        <f>IFERROR(VLOOKUP(P2307,Лист1!A$1:B$20,2,FALSE),0)</f>
        <v>784</v>
      </c>
      <c r="S2307" s="13">
        <f t="shared" si="251"/>
        <v>0</v>
      </c>
    </row>
    <row r="2308" spans="1:19" x14ac:dyDescent="0.25">
      <c r="A2308" s="24" t="s">
        <v>3437</v>
      </c>
      <c r="B2308" s="4" t="s">
        <v>1063</v>
      </c>
      <c r="C2308" s="25" t="s">
        <v>5</v>
      </c>
      <c r="G2308" s="25" t="s">
        <v>1080</v>
      </c>
      <c r="H2308" s="24" t="s">
        <v>1061</v>
      </c>
      <c r="I2308" s="3" t="str">
        <f>IFERROR(VLOOKUP(C2308,'Справочник соответствий'!A$2:D$2981,2,FALSE),IF(VALUE(C2308)=0,1,VLOOKUP(C2308,'Справочник соответствий'!A$2:D$2981,2,FALSE)))</f>
        <v>1</v>
      </c>
      <c r="J2308" s="3">
        <f>IFERROR(VLOOKUP(D2308,'Справочник соответствий'!A$2:D$2981,2,FALSE),IF(VALUE(D2308)=0,0,VLOOKUP(D2308,'Справочник соответствий'!A$2:D$2981,2,FALSE)))</f>
        <v>0</v>
      </c>
      <c r="K2308" s="3" t="str">
        <f t="shared" si="245"/>
        <v>1</v>
      </c>
      <c r="L2308" s="13" t="str">
        <f>IFERROR(VLOOKUP(C2308,'Справочник соответствий'!A$2:D$2981,3,FALSE),IF(VALUE(C2308)=0,"ЭТАЖ НЕ ОПРЕДЕЛЕН. ПРИНЯТ ПО ДОПУЩЕНИЮ 1",VLOOKUP(C2308,'Справочник соответствий'!A$2:D$2981,3,FALSE)))</f>
        <v>ЭТАЖ ЗАДАН ЧИСЛОМ</v>
      </c>
      <c r="M2308" s="13" t="b">
        <f t="shared" si="246"/>
        <v>0</v>
      </c>
      <c r="N2308" s="13">
        <f t="shared" si="247"/>
        <v>1</v>
      </c>
      <c r="O2308" s="13" t="str">
        <f t="shared" si="248"/>
        <v>ЭТАЖ ЗАДАН ЧИСЛОМ</v>
      </c>
      <c r="P2308" s="13" t="str">
        <f t="shared" si="249"/>
        <v>ЭТАЖ ЗАДАН ЧИСЛОМ</v>
      </c>
      <c r="Q2308" s="13" t="str">
        <f t="shared" si="250"/>
        <v>ГОТОВ_ИЗМЕНЕН</v>
      </c>
      <c r="R2308" s="13">
        <f>IFERROR(VLOOKUP(P2308,Лист1!A$1:B$20,2,FALSE),0)</f>
        <v>784</v>
      </c>
      <c r="S2308" s="13">
        <f t="shared" si="251"/>
        <v>0</v>
      </c>
    </row>
    <row r="2309" spans="1:19" x14ac:dyDescent="0.25">
      <c r="A2309" s="24" t="s">
        <v>3438</v>
      </c>
      <c r="B2309" s="4" t="s">
        <v>1063</v>
      </c>
      <c r="G2309" s="25" t="s">
        <v>1077</v>
      </c>
      <c r="H2309" s="24" t="s">
        <v>1061</v>
      </c>
      <c r="I2309" s="3">
        <f>IFERROR(VLOOKUP(C2309,'Справочник соответствий'!A$2:D$2981,2,FALSE),IF(VALUE(C2309)=0,1,VLOOKUP(C2309,'Справочник соответствий'!A$2:D$2981,2,FALSE)))</f>
        <v>1</v>
      </c>
      <c r="J2309" s="3">
        <f>IFERROR(VLOOKUP(D2309,'Справочник соответствий'!A$2:D$2981,2,FALSE),IF(VALUE(D2309)=0,0,VLOOKUP(D2309,'Справочник соответствий'!A$2:D$2981,2,FALSE)))</f>
        <v>0</v>
      </c>
      <c r="K2309" s="3">
        <f t="shared" ref="K2309:K2372" si="252">IF(B2309="Многоквартирный дом",IF(I2309-J2309&gt;0,I2309-J2309,1),I2309)</f>
        <v>1</v>
      </c>
      <c r="L2309" s="13" t="str">
        <f>IFERROR(VLOOKUP(C2309,'Справочник соответствий'!A$2:D$2981,3,FALSE),IF(VALUE(C2309)=0,"ЭТАЖ НЕ ОПРЕДЕЛЕН. ПРИНЯТ ПО ДОПУЩЕНИЮ 1",VLOOKUP(C2309,'Справочник соответствий'!A$2:D$2981,3,FALSE)))</f>
        <v>ЭТАЖ НЕ ОПРЕДЕЛЕН. ПРИНЯТ ПО ДОПУЩЕНИЮ 1</v>
      </c>
      <c r="M2309" s="13" t="b">
        <f t="shared" ref="M2309:M2372" si="253">I2309=E2309</f>
        <v>0</v>
      </c>
      <c r="N2309" s="13">
        <f t="shared" ref="N2309:N2372" si="254">IF(VALUE(E2309)=0,VALUE(K2309),IF(L2309="ЭТАЖ НЕ ОПРЕДЕЛЕН. ПРИНЯТ ПО ДОПУЩЕНИЮ 1",VALUE(E2309),VALUE(K2309)))</f>
        <v>1</v>
      </c>
      <c r="O2309" s="13" t="str">
        <f t="shared" ref="O2309:O2372" si="255">IF(VALUE(E2309)=0,L2309,IF(L2309="ЭТАЖ НЕ ОПРЕДЕЛЕН. ПРИНЯТ ПО ДОПУЩЕНИЮ 1",F2309,L2309))</f>
        <v>ЭТАЖ НЕ ОПРЕДЕЛЕН. ПРИНЯТ ПО ДОПУЩЕНИЮ 1</v>
      </c>
      <c r="P2309" s="13" t="str">
        <f t="shared" ref="P2309:P2372" si="256">IF(B2309="Многоквартирный дом",CONCATENATE("МКД_",O2309),O2309)</f>
        <v>ЭТАЖ НЕ ОПРЕДЕЛЕН. ПРИНЯТ ПО ДОПУЩЕНИЮ 1</v>
      </c>
      <c r="Q2309" s="13" t="str">
        <f t="shared" ref="Q2309:Q2372" si="257">IFERROR(IF(N2309&gt;0,IF(N2309=VALUE(E2309),"ГОТОВ","ГОТОВ_ИЗМЕНЕН"),"НЕ ГОТОВ"),"НЕ ГОТОВ")</f>
        <v>ГОТОВ_ИЗМЕНЕН</v>
      </c>
      <c r="R2309" s="13">
        <f>IFERROR(VLOOKUP(P2309,Лист1!A$1:B$20,2,FALSE),0)</f>
        <v>788</v>
      </c>
      <c r="S2309" s="13">
        <f t="shared" ref="S2309:S2372" si="258">VALUE(E2309)</f>
        <v>0</v>
      </c>
    </row>
    <row r="2310" spans="1:19" x14ac:dyDescent="0.25">
      <c r="A2310" s="24" t="s">
        <v>3439</v>
      </c>
      <c r="B2310" s="4" t="s">
        <v>1059</v>
      </c>
      <c r="C2310" s="25" t="s">
        <v>7</v>
      </c>
      <c r="G2310" s="25" t="s">
        <v>1077</v>
      </c>
      <c r="H2310" s="24" t="s">
        <v>1061</v>
      </c>
      <c r="I2310" s="3" t="str">
        <f>IFERROR(VLOOKUP(C2310,'Справочник соответствий'!A$2:D$2981,2,FALSE),IF(VALUE(C2310)=0,1,VLOOKUP(C2310,'Справочник соответствий'!A$2:D$2981,2,FALSE)))</f>
        <v>2</v>
      </c>
      <c r="J2310" s="3">
        <f>IFERROR(VLOOKUP(D2310,'Справочник соответствий'!A$2:D$2981,2,FALSE),IF(VALUE(D2310)=0,0,VLOOKUP(D2310,'Справочник соответствий'!A$2:D$2981,2,FALSE)))</f>
        <v>0</v>
      </c>
      <c r="K2310" s="3" t="str">
        <f t="shared" si="252"/>
        <v>2</v>
      </c>
      <c r="L2310" s="13" t="str">
        <f>IFERROR(VLOOKUP(C2310,'Справочник соответствий'!A$2:D$2981,3,FALSE),IF(VALUE(C2310)=0,"ЭТАЖ НЕ ОПРЕДЕЛЕН. ПРИНЯТ ПО ДОПУЩЕНИЮ 1",VLOOKUP(C2310,'Справочник соответствий'!A$2:D$2981,3,FALSE)))</f>
        <v>ЭТАЖ ЗАДАН ЧИСЛОМ</v>
      </c>
      <c r="M2310" s="13" t="b">
        <f t="shared" si="253"/>
        <v>0</v>
      </c>
      <c r="N2310" s="13">
        <f t="shared" si="254"/>
        <v>2</v>
      </c>
      <c r="O2310" s="13" t="str">
        <f t="shared" si="255"/>
        <v>ЭТАЖ ЗАДАН ЧИСЛОМ</v>
      </c>
      <c r="P2310" s="13" t="str">
        <f t="shared" si="256"/>
        <v>ЭТАЖ ЗАДАН ЧИСЛОМ</v>
      </c>
      <c r="Q2310" s="13" t="str">
        <f t="shared" si="257"/>
        <v>ГОТОВ_ИЗМЕНЕН</v>
      </c>
      <c r="R2310" s="13">
        <f>IFERROR(VLOOKUP(P2310,Лист1!A$1:B$20,2,FALSE),0)</f>
        <v>784</v>
      </c>
      <c r="S2310" s="13">
        <f t="shared" si="258"/>
        <v>0</v>
      </c>
    </row>
    <row r="2311" spans="1:19" x14ac:dyDescent="0.25">
      <c r="A2311" s="24" t="s">
        <v>3440</v>
      </c>
      <c r="B2311" s="4" t="s">
        <v>1063</v>
      </c>
      <c r="C2311" s="25" t="s">
        <v>5</v>
      </c>
      <c r="G2311" s="25" t="s">
        <v>1086</v>
      </c>
      <c r="H2311" s="24" t="s">
        <v>1061</v>
      </c>
      <c r="I2311" s="3" t="str">
        <f>IFERROR(VLOOKUP(C2311,'Справочник соответствий'!A$2:D$2981,2,FALSE),IF(VALUE(C2311)=0,1,VLOOKUP(C2311,'Справочник соответствий'!A$2:D$2981,2,FALSE)))</f>
        <v>1</v>
      </c>
      <c r="J2311" s="3">
        <f>IFERROR(VLOOKUP(D2311,'Справочник соответствий'!A$2:D$2981,2,FALSE),IF(VALUE(D2311)=0,0,VLOOKUP(D2311,'Справочник соответствий'!A$2:D$2981,2,FALSE)))</f>
        <v>0</v>
      </c>
      <c r="K2311" s="3" t="str">
        <f t="shared" si="252"/>
        <v>1</v>
      </c>
      <c r="L2311" s="13" t="str">
        <f>IFERROR(VLOOKUP(C2311,'Справочник соответствий'!A$2:D$2981,3,FALSE),IF(VALUE(C2311)=0,"ЭТАЖ НЕ ОПРЕДЕЛЕН. ПРИНЯТ ПО ДОПУЩЕНИЮ 1",VLOOKUP(C2311,'Справочник соответствий'!A$2:D$2981,3,FALSE)))</f>
        <v>ЭТАЖ ЗАДАН ЧИСЛОМ</v>
      </c>
      <c r="M2311" s="13" t="b">
        <f t="shared" si="253"/>
        <v>0</v>
      </c>
      <c r="N2311" s="13">
        <f t="shared" si="254"/>
        <v>1</v>
      </c>
      <c r="O2311" s="13" t="str">
        <f t="shared" si="255"/>
        <v>ЭТАЖ ЗАДАН ЧИСЛОМ</v>
      </c>
      <c r="P2311" s="13" t="str">
        <f t="shared" si="256"/>
        <v>ЭТАЖ ЗАДАН ЧИСЛОМ</v>
      </c>
      <c r="Q2311" s="13" t="str">
        <f t="shared" si="257"/>
        <v>ГОТОВ_ИЗМЕНЕН</v>
      </c>
      <c r="R2311" s="13">
        <f>IFERROR(VLOOKUP(P2311,Лист1!A$1:B$20,2,FALSE),0)</f>
        <v>784</v>
      </c>
      <c r="S2311" s="13">
        <f t="shared" si="258"/>
        <v>0</v>
      </c>
    </row>
    <row r="2312" spans="1:19" x14ac:dyDescent="0.25">
      <c r="A2312" s="24" t="s">
        <v>3441</v>
      </c>
      <c r="B2312" s="4" t="s">
        <v>1059</v>
      </c>
      <c r="C2312" s="25" t="s">
        <v>5</v>
      </c>
      <c r="G2312" s="25" t="s">
        <v>1077</v>
      </c>
      <c r="H2312" s="24" t="s">
        <v>1061</v>
      </c>
      <c r="I2312" s="3" t="str">
        <f>IFERROR(VLOOKUP(C2312,'Справочник соответствий'!A$2:D$2981,2,FALSE),IF(VALUE(C2312)=0,1,VLOOKUP(C2312,'Справочник соответствий'!A$2:D$2981,2,FALSE)))</f>
        <v>1</v>
      </c>
      <c r="J2312" s="3">
        <f>IFERROR(VLOOKUP(D2312,'Справочник соответствий'!A$2:D$2981,2,FALSE),IF(VALUE(D2312)=0,0,VLOOKUP(D2312,'Справочник соответствий'!A$2:D$2981,2,FALSE)))</f>
        <v>0</v>
      </c>
      <c r="K2312" s="3" t="str">
        <f t="shared" si="252"/>
        <v>1</v>
      </c>
      <c r="L2312" s="13" t="str">
        <f>IFERROR(VLOOKUP(C2312,'Справочник соответствий'!A$2:D$2981,3,FALSE),IF(VALUE(C2312)=0,"ЭТАЖ НЕ ОПРЕДЕЛЕН. ПРИНЯТ ПО ДОПУЩЕНИЮ 1",VLOOKUP(C2312,'Справочник соответствий'!A$2:D$2981,3,FALSE)))</f>
        <v>ЭТАЖ ЗАДАН ЧИСЛОМ</v>
      </c>
      <c r="M2312" s="13" t="b">
        <f t="shared" si="253"/>
        <v>0</v>
      </c>
      <c r="N2312" s="13">
        <f t="shared" si="254"/>
        <v>1</v>
      </c>
      <c r="O2312" s="13" t="str">
        <f t="shared" si="255"/>
        <v>ЭТАЖ ЗАДАН ЧИСЛОМ</v>
      </c>
      <c r="P2312" s="13" t="str">
        <f t="shared" si="256"/>
        <v>ЭТАЖ ЗАДАН ЧИСЛОМ</v>
      </c>
      <c r="Q2312" s="13" t="str">
        <f t="shared" si="257"/>
        <v>ГОТОВ_ИЗМЕНЕН</v>
      </c>
      <c r="R2312" s="13">
        <f>IFERROR(VLOOKUP(P2312,Лист1!A$1:B$20,2,FALSE),0)</f>
        <v>784</v>
      </c>
      <c r="S2312" s="13">
        <f t="shared" si="258"/>
        <v>0</v>
      </c>
    </row>
    <row r="2313" spans="1:19" x14ac:dyDescent="0.25">
      <c r="A2313" s="24" t="s">
        <v>3442</v>
      </c>
      <c r="B2313" s="4" t="s">
        <v>1059</v>
      </c>
      <c r="C2313" s="25" t="s">
        <v>7</v>
      </c>
      <c r="D2313" s="25" t="s">
        <v>5</v>
      </c>
      <c r="G2313" s="25" t="s">
        <v>1086</v>
      </c>
      <c r="H2313" s="24" t="s">
        <v>1061</v>
      </c>
      <c r="I2313" s="3" t="str">
        <f>IFERROR(VLOOKUP(C2313,'Справочник соответствий'!A$2:D$2981,2,FALSE),IF(VALUE(C2313)=0,1,VLOOKUP(C2313,'Справочник соответствий'!A$2:D$2981,2,FALSE)))</f>
        <v>2</v>
      </c>
      <c r="J2313" s="3" t="str">
        <f>IFERROR(VLOOKUP(D2313,'Справочник соответствий'!A$2:D$2981,2,FALSE),IF(VALUE(D2313)=0,0,VLOOKUP(D2313,'Справочник соответствий'!A$2:D$2981,2,FALSE)))</f>
        <v>1</v>
      </c>
      <c r="K2313" s="3" t="str">
        <f t="shared" si="252"/>
        <v>2</v>
      </c>
      <c r="L2313" s="13" t="str">
        <f>IFERROR(VLOOKUP(C2313,'Справочник соответствий'!A$2:D$2981,3,FALSE),IF(VALUE(C2313)=0,"ЭТАЖ НЕ ОПРЕДЕЛЕН. ПРИНЯТ ПО ДОПУЩЕНИЮ 1",VLOOKUP(C2313,'Справочник соответствий'!A$2:D$2981,3,FALSE)))</f>
        <v>ЭТАЖ ЗАДАН ЧИСЛОМ</v>
      </c>
      <c r="M2313" s="13" t="b">
        <f t="shared" si="253"/>
        <v>0</v>
      </c>
      <c r="N2313" s="13">
        <f t="shared" si="254"/>
        <v>2</v>
      </c>
      <c r="O2313" s="13" t="str">
        <f t="shared" si="255"/>
        <v>ЭТАЖ ЗАДАН ЧИСЛОМ</v>
      </c>
      <c r="P2313" s="13" t="str">
        <f t="shared" si="256"/>
        <v>ЭТАЖ ЗАДАН ЧИСЛОМ</v>
      </c>
      <c r="Q2313" s="13" t="str">
        <f t="shared" si="257"/>
        <v>ГОТОВ_ИЗМЕНЕН</v>
      </c>
      <c r="R2313" s="13">
        <f>IFERROR(VLOOKUP(P2313,Лист1!A$1:B$20,2,FALSE),0)</f>
        <v>784</v>
      </c>
      <c r="S2313" s="13">
        <f t="shared" si="258"/>
        <v>0</v>
      </c>
    </row>
    <row r="2314" spans="1:19" x14ac:dyDescent="0.25">
      <c r="A2314" s="24" t="s">
        <v>3443</v>
      </c>
      <c r="B2314" s="4" t="s">
        <v>1059</v>
      </c>
      <c r="C2314" s="25" t="s">
        <v>5</v>
      </c>
      <c r="G2314" s="25" t="s">
        <v>1086</v>
      </c>
      <c r="H2314" s="24" t="s">
        <v>1061</v>
      </c>
      <c r="I2314" s="3" t="str">
        <f>IFERROR(VLOOKUP(C2314,'Справочник соответствий'!A$2:D$2981,2,FALSE),IF(VALUE(C2314)=0,1,VLOOKUP(C2314,'Справочник соответствий'!A$2:D$2981,2,FALSE)))</f>
        <v>1</v>
      </c>
      <c r="J2314" s="3">
        <f>IFERROR(VLOOKUP(D2314,'Справочник соответствий'!A$2:D$2981,2,FALSE),IF(VALUE(D2314)=0,0,VLOOKUP(D2314,'Справочник соответствий'!A$2:D$2981,2,FALSE)))</f>
        <v>0</v>
      </c>
      <c r="K2314" s="3" t="str">
        <f t="shared" si="252"/>
        <v>1</v>
      </c>
      <c r="L2314" s="13" t="str">
        <f>IFERROR(VLOOKUP(C2314,'Справочник соответствий'!A$2:D$2981,3,FALSE),IF(VALUE(C2314)=0,"ЭТАЖ НЕ ОПРЕДЕЛЕН. ПРИНЯТ ПО ДОПУЩЕНИЮ 1",VLOOKUP(C2314,'Справочник соответствий'!A$2:D$2981,3,FALSE)))</f>
        <v>ЭТАЖ ЗАДАН ЧИСЛОМ</v>
      </c>
      <c r="M2314" s="13" t="b">
        <f t="shared" si="253"/>
        <v>0</v>
      </c>
      <c r="N2314" s="13">
        <f t="shared" si="254"/>
        <v>1</v>
      </c>
      <c r="O2314" s="13" t="str">
        <f t="shared" si="255"/>
        <v>ЭТАЖ ЗАДАН ЧИСЛОМ</v>
      </c>
      <c r="P2314" s="13" t="str">
        <f t="shared" si="256"/>
        <v>ЭТАЖ ЗАДАН ЧИСЛОМ</v>
      </c>
      <c r="Q2314" s="13" t="str">
        <f t="shared" si="257"/>
        <v>ГОТОВ_ИЗМЕНЕН</v>
      </c>
      <c r="R2314" s="13">
        <f>IFERROR(VLOOKUP(P2314,Лист1!A$1:B$20,2,FALSE),0)</f>
        <v>784</v>
      </c>
      <c r="S2314" s="13">
        <f t="shared" si="258"/>
        <v>0</v>
      </c>
    </row>
    <row r="2315" spans="1:19" x14ac:dyDescent="0.25">
      <c r="A2315" s="24" t="s">
        <v>3444</v>
      </c>
      <c r="B2315" s="4" t="s">
        <v>1059</v>
      </c>
      <c r="C2315" s="25" t="s">
        <v>5</v>
      </c>
      <c r="G2315" s="25" t="s">
        <v>1086</v>
      </c>
      <c r="H2315" s="24" t="s">
        <v>1061</v>
      </c>
      <c r="I2315" s="3" t="str">
        <f>IFERROR(VLOOKUP(C2315,'Справочник соответствий'!A$2:D$2981,2,FALSE),IF(VALUE(C2315)=0,1,VLOOKUP(C2315,'Справочник соответствий'!A$2:D$2981,2,FALSE)))</f>
        <v>1</v>
      </c>
      <c r="J2315" s="3">
        <f>IFERROR(VLOOKUP(D2315,'Справочник соответствий'!A$2:D$2981,2,FALSE),IF(VALUE(D2315)=0,0,VLOOKUP(D2315,'Справочник соответствий'!A$2:D$2981,2,FALSE)))</f>
        <v>0</v>
      </c>
      <c r="K2315" s="3" t="str">
        <f t="shared" si="252"/>
        <v>1</v>
      </c>
      <c r="L2315" s="13" t="str">
        <f>IFERROR(VLOOKUP(C2315,'Справочник соответствий'!A$2:D$2981,3,FALSE),IF(VALUE(C2315)=0,"ЭТАЖ НЕ ОПРЕДЕЛЕН. ПРИНЯТ ПО ДОПУЩЕНИЮ 1",VLOOKUP(C2315,'Справочник соответствий'!A$2:D$2981,3,FALSE)))</f>
        <v>ЭТАЖ ЗАДАН ЧИСЛОМ</v>
      </c>
      <c r="M2315" s="13" t="b">
        <f t="shared" si="253"/>
        <v>0</v>
      </c>
      <c r="N2315" s="13">
        <f t="shared" si="254"/>
        <v>1</v>
      </c>
      <c r="O2315" s="13" t="str">
        <f t="shared" si="255"/>
        <v>ЭТАЖ ЗАДАН ЧИСЛОМ</v>
      </c>
      <c r="P2315" s="13" t="str">
        <f t="shared" si="256"/>
        <v>ЭТАЖ ЗАДАН ЧИСЛОМ</v>
      </c>
      <c r="Q2315" s="13" t="str">
        <f t="shared" si="257"/>
        <v>ГОТОВ_ИЗМЕНЕН</v>
      </c>
      <c r="R2315" s="13">
        <f>IFERROR(VLOOKUP(P2315,Лист1!A$1:B$20,2,FALSE),0)</f>
        <v>784</v>
      </c>
      <c r="S2315" s="13">
        <f t="shared" si="258"/>
        <v>0</v>
      </c>
    </row>
    <row r="2316" spans="1:19" x14ac:dyDescent="0.25">
      <c r="A2316" s="24" t="s">
        <v>3445</v>
      </c>
      <c r="B2316" s="4" t="s">
        <v>1063</v>
      </c>
      <c r="C2316" s="25" t="s">
        <v>5</v>
      </c>
      <c r="G2316" s="25" t="s">
        <v>1086</v>
      </c>
      <c r="H2316" s="24" t="s">
        <v>1061</v>
      </c>
      <c r="I2316" s="3" t="str">
        <f>IFERROR(VLOOKUP(C2316,'Справочник соответствий'!A$2:D$2981,2,FALSE),IF(VALUE(C2316)=0,1,VLOOKUP(C2316,'Справочник соответствий'!A$2:D$2981,2,FALSE)))</f>
        <v>1</v>
      </c>
      <c r="J2316" s="3">
        <f>IFERROR(VLOOKUP(D2316,'Справочник соответствий'!A$2:D$2981,2,FALSE),IF(VALUE(D2316)=0,0,VLOOKUP(D2316,'Справочник соответствий'!A$2:D$2981,2,FALSE)))</f>
        <v>0</v>
      </c>
      <c r="K2316" s="3" t="str">
        <f t="shared" si="252"/>
        <v>1</v>
      </c>
      <c r="L2316" s="13" t="str">
        <f>IFERROR(VLOOKUP(C2316,'Справочник соответствий'!A$2:D$2981,3,FALSE),IF(VALUE(C2316)=0,"ЭТАЖ НЕ ОПРЕДЕЛЕН. ПРИНЯТ ПО ДОПУЩЕНИЮ 1",VLOOKUP(C2316,'Справочник соответствий'!A$2:D$2981,3,FALSE)))</f>
        <v>ЭТАЖ ЗАДАН ЧИСЛОМ</v>
      </c>
      <c r="M2316" s="13" t="b">
        <f t="shared" si="253"/>
        <v>0</v>
      </c>
      <c r="N2316" s="13">
        <f t="shared" si="254"/>
        <v>1</v>
      </c>
      <c r="O2316" s="13" t="str">
        <f t="shared" si="255"/>
        <v>ЭТАЖ ЗАДАН ЧИСЛОМ</v>
      </c>
      <c r="P2316" s="13" t="str">
        <f t="shared" si="256"/>
        <v>ЭТАЖ ЗАДАН ЧИСЛОМ</v>
      </c>
      <c r="Q2316" s="13" t="str">
        <f t="shared" si="257"/>
        <v>ГОТОВ_ИЗМЕНЕН</v>
      </c>
      <c r="R2316" s="13">
        <f>IFERROR(VLOOKUP(P2316,Лист1!A$1:B$20,2,FALSE),0)</f>
        <v>784</v>
      </c>
      <c r="S2316" s="13">
        <f t="shared" si="258"/>
        <v>0</v>
      </c>
    </row>
    <row r="2317" spans="1:19" x14ac:dyDescent="0.25">
      <c r="A2317" s="24" t="s">
        <v>3446</v>
      </c>
      <c r="B2317" s="4" t="s">
        <v>1059</v>
      </c>
      <c r="C2317" s="25" t="s">
        <v>5</v>
      </c>
      <c r="G2317" s="25" t="s">
        <v>1086</v>
      </c>
      <c r="H2317" s="24" t="s">
        <v>1061</v>
      </c>
      <c r="I2317" s="3" t="str">
        <f>IFERROR(VLOOKUP(C2317,'Справочник соответствий'!A$2:D$2981,2,FALSE),IF(VALUE(C2317)=0,1,VLOOKUP(C2317,'Справочник соответствий'!A$2:D$2981,2,FALSE)))</f>
        <v>1</v>
      </c>
      <c r="J2317" s="3">
        <f>IFERROR(VLOOKUP(D2317,'Справочник соответствий'!A$2:D$2981,2,FALSE),IF(VALUE(D2317)=0,0,VLOOKUP(D2317,'Справочник соответствий'!A$2:D$2981,2,FALSE)))</f>
        <v>0</v>
      </c>
      <c r="K2317" s="3" t="str">
        <f t="shared" si="252"/>
        <v>1</v>
      </c>
      <c r="L2317" s="13" t="str">
        <f>IFERROR(VLOOKUP(C2317,'Справочник соответствий'!A$2:D$2981,3,FALSE),IF(VALUE(C2317)=0,"ЭТАЖ НЕ ОПРЕДЕЛЕН. ПРИНЯТ ПО ДОПУЩЕНИЮ 1",VLOOKUP(C2317,'Справочник соответствий'!A$2:D$2981,3,FALSE)))</f>
        <v>ЭТАЖ ЗАДАН ЧИСЛОМ</v>
      </c>
      <c r="M2317" s="13" t="b">
        <f t="shared" si="253"/>
        <v>0</v>
      </c>
      <c r="N2317" s="13">
        <f t="shared" si="254"/>
        <v>1</v>
      </c>
      <c r="O2317" s="13" t="str">
        <f t="shared" si="255"/>
        <v>ЭТАЖ ЗАДАН ЧИСЛОМ</v>
      </c>
      <c r="P2317" s="13" t="str">
        <f t="shared" si="256"/>
        <v>ЭТАЖ ЗАДАН ЧИСЛОМ</v>
      </c>
      <c r="Q2317" s="13" t="str">
        <f t="shared" si="257"/>
        <v>ГОТОВ_ИЗМЕНЕН</v>
      </c>
      <c r="R2317" s="13">
        <f>IFERROR(VLOOKUP(P2317,Лист1!A$1:B$20,2,FALSE),0)</f>
        <v>784</v>
      </c>
      <c r="S2317" s="13">
        <f t="shared" si="258"/>
        <v>0</v>
      </c>
    </row>
    <row r="2318" spans="1:19" x14ac:dyDescent="0.25">
      <c r="A2318" s="24" t="s">
        <v>3447</v>
      </c>
      <c r="B2318" s="4" t="s">
        <v>1063</v>
      </c>
      <c r="G2318" s="25" t="s">
        <v>1086</v>
      </c>
      <c r="H2318" s="24" t="s">
        <v>1061</v>
      </c>
      <c r="I2318" s="3">
        <f>IFERROR(VLOOKUP(C2318,'Справочник соответствий'!A$2:D$2981,2,FALSE),IF(VALUE(C2318)=0,1,VLOOKUP(C2318,'Справочник соответствий'!A$2:D$2981,2,FALSE)))</f>
        <v>1</v>
      </c>
      <c r="J2318" s="3">
        <f>IFERROR(VLOOKUP(D2318,'Справочник соответствий'!A$2:D$2981,2,FALSE),IF(VALUE(D2318)=0,0,VLOOKUP(D2318,'Справочник соответствий'!A$2:D$2981,2,FALSE)))</f>
        <v>0</v>
      </c>
      <c r="K2318" s="3">
        <f t="shared" si="252"/>
        <v>1</v>
      </c>
      <c r="L2318" s="13" t="str">
        <f>IFERROR(VLOOKUP(C2318,'Справочник соответствий'!A$2:D$2981,3,FALSE),IF(VALUE(C2318)=0,"ЭТАЖ НЕ ОПРЕДЕЛЕН. ПРИНЯТ ПО ДОПУЩЕНИЮ 1",VLOOKUP(C2318,'Справочник соответствий'!A$2:D$2981,3,FALSE)))</f>
        <v>ЭТАЖ НЕ ОПРЕДЕЛЕН. ПРИНЯТ ПО ДОПУЩЕНИЮ 1</v>
      </c>
      <c r="M2318" s="13" t="b">
        <f t="shared" si="253"/>
        <v>0</v>
      </c>
      <c r="N2318" s="13">
        <f t="shared" si="254"/>
        <v>1</v>
      </c>
      <c r="O2318" s="13" t="str">
        <f t="shared" si="255"/>
        <v>ЭТАЖ НЕ ОПРЕДЕЛЕН. ПРИНЯТ ПО ДОПУЩЕНИЮ 1</v>
      </c>
      <c r="P2318" s="13" t="str">
        <f t="shared" si="256"/>
        <v>ЭТАЖ НЕ ОПРЕДЕЛЕН. ПРИНЯТ ПО ДОПУЩЕНИЮ 1</v>
      </c>
      <c r="Q2318" s="13" t="str">
        <f t="shared" si="257"/>
        <v>ГОТОВ_ИЗМЕНЕН</v>
      </c>
      <c r="R2318" s="13">
        <f>IFERROR(VLOOKUP(P2318,Лист1!A$1:B$20,2,FALSE),0)</f>
        <v>788</v>
      </c>
      <c r="S2318" s="13">
        <f t="shared" si="258"/>
        <v>0</v>
      </c>
    </row>
    <row r="2319" spans="1:19" x14ac:dyDescent="0.25">
      <c r="A2319" s="24" t="s">
        <v>3448</v>
      </c>
      <c r="B2319" s="4" t="s">
        <v>1059</v>
      </c>
      <c r="C2319" s="25" t="s">
        <v>5</v>
      </c>
      <c r="G2319" s="25" t="s">
        <v>1150</v>
      </c>
      <c r="H2319" s="24" t="s">
        <v>1061</v>
      </c>
      <c r="I2319" s="3" t="str">
        <f>IFERROR(VLOOKUP(C2319,'Справочник соответствий'!A$2:D$2981,2,FALSE),IF(VALUE(C2319)=0,1,VLOOKUP(C2319,'Справочник соответствий'!A$2:D$2981,2,FALSE)))</f>
        <v>1</v>
      </c>
      <c r="J2319" s="3">
        <f>IFERROR(VLOOKUP(D2319,'Справочник соответствий'!A$2:D$2981,2,FALSE),IF(VALUE(D2319)=0,0,VLOOKUP(D2319,'Справочник соответствий'!A$2:D$2981,2,FALSE)))</f>
        <v>0</v>
      </c>
      <c r="K2319" s="3" t="str">
        <f t="shared" si="252"/>
        <v>1</v>
      </c>
      <c r="L2319" s="13" t="str">
        <f>IFERROR(VLOOKUP(C2319,'Справочник соответствий'!A$2:D$2981,3,FALSE),IF(VALUE(C2319)=0,"ЭТАЖ НЕ ОПРЕДЕЛЕН. ПРИНЯТ ПО ДОПУЩЕНИЮ 1",VLOOKUP(C2319,'Справочник соответствий'!A$2:D$2981,3,FALSE)))</f>
        <v>ЭТАЖ ЗАДАН ЧИСЛОМ</v>
      </c>
      <c r="M2319" s="13" t="b">
        <f t="shared" si="253"/>
        <v>0</v>
      </c>
      <c r="N2319" s="13">
        <f t="shared" si="254"/>
        <v>1</v>
      </c>
      <c r="O2319" s="13" t="str">
        <f t="shared" si="255"/>
        <v>ЭТАЖ ЗАДАН ЧИСЛОМ</v>
      </c>
      <c r="P2319" s="13" t="str">
        <f t="shared" si="256"/>
        <v>ЭТАЖ ЗАДАН ЧИСЛОМ</v>
      </c>
      <c r="Q2319" s="13" t="str">
        <f t="shared" si="257"/>
        <v>ГОТОВ_ИЗМЕНЕН</v>
      </c>
      <c r="R2319" s="13">
        <f>IFERROR(VLOOKUP(P2319,Лист1!A$1:B$20,2,FALSE),0)</f>
        <v>784</v>
      </c>
      <c r="S2319" s="13">
        <f t="shared" si="258"/>
        <v>0</v>
      </c>
    </row>
    <row r="2320" spans="1:19" x14ac:dyDescent="0.25">
      <c r="A2320" s="24" t="s">
        <v>3449</v>
      </c>
      <c r="B2320" s="4" t="s">
        <v>1059</v>
      </c>
      <c r="C2320" s="25" t="s">
        <v>5</v>
      </c>
      <c r="G2320" s="25" t="s">
        <v>1391</v>
      </c>
      <c r="H2320" s="24" t="s">
        <v>1061</v>
      </c>
      <c r="I2320" s="3" t="str">
        <f>IFERROR(VLOOKUP(C2320,'Справочник соответствий'!A$2:D$2981,2,FALSE),IF(VALUE(C2320)=0,1,VLOOKUP(C2320,'Справочник соответствий'!A$2:D$2981,2,FALSE)))</f>
        <v>1</v>
      </c>
      <c r="J2320" s="3">
        <f>IFERROR(VLOOKUP(D2320,'Справочник соответствий'!A$2:D$2981,2,FALSE),IF(VALUE(D2320)=0,0,VLOOKUP(D2320,'Справочник соответствий'!A$2:D$2981,2,FALSE)))</f>
        <v>0</v>
      </c>
      <c r="K2320" s="3" t="str">
        <f t="shared" si="252"/>
        <v>1</v>
      </c>
      <c r="L2320" s="13" t="str">
        <f>IFERROR(VLOOKUP(C2320,'Справочник соответствий'!A$2:D$2981,3,FALSE),IF(VALUE(C2320)=0,"ЭТАЖ НЕ ОПРЕДЕЛЕН. ПРИНЯТ ПО ДОПУЩЕНИЮ 1",VLOOKUP(C2320,'Справочник соответствий'!A$2:D$2981,3,FALSE)))</f>
        <v>ЭТАЖ ЗАДАН ЧИСЛОМ</v>
      </c>
      <c r="M2320" s="13" t="b">
        <f t="shared" si="253"/>
        <v>0</v>
      </c>
      <c r="N2320" s="13">
        <f t="shared" si="254"/>
        <v>1</v>
      </c>
      <c r="O2320" s="13" t="str">
        <f t="shared" si="255"/>
        <v>ЭТАЖ ЗАДАН ЧИСЛОМ</v>
      </c>
      <c r="P2320" s="13" t="str">
        <f t="shared" si="256"/>
        <v>ЭТАЖ ЗАДАН ЧИСЛОМ</v>
      </c>
      <c r="Q2320" s="13" t="str">
        <f t="shared" si="257"/>
        <v>ГОТОВ_ИЗМЕНЕН</v>
      </c>
      <c r="R2320" s="13">
        <f>IFERROR(VLOOKUP(P2320,Лист1!A$1:B$20,2,FALSE),0)</f>
        <v>784</v>
      </c>
      <c r="S2320" s="13">
        <f t="shared" si="258"/>
        <v>0</v>
      </c>
    </row>
    <row r="2321" spans="1:19" x14ac:dyDescent="0.25">
      <c r="A2321" s="24" t="s">
        <v>3450</v>
      </c>
      <c r="B2321" s="4" t="s">
        <v>1059</v>
      </c>
      <c r="C2321" s="25" t="s">
        <v>7</v>
      </c>
      <c r="G2321" s="25" t="s">
        <v>1086</v>
      </c>
      <c r="H2321" s="24" t="s">
        <v>1061</v>
      </c>
      <c r="I2321" s="3" t="str">
        <f>IFERROR(VLOOKUP(C2321,'Справочник соответствий'!A$2:D$2981,2,FALSE),IF(VALUE(C2321)=0,1,VLOOKUP(C2321,'Справочник соответствий'!A$2:D$2981,2,FALSE)))</f>
        <v>2</v>
      </c>
      <c r="J2321" s="3">
        <f>IFERROR(VLOOKUP(D2321,'Справочник соответствий'!A$2:D$2981,2,FALSE),IF(VALUE(D2321)=0,0,VLOOKUP(D2321,'Справочник соответствий'!A$2:D$2981,2,FALSE)))</f>
        <v>0</v>
      </c>
      <c r="K2321" s="3" t="str">
        <f t="shared" si="252"/>
        <v>2</v>
      </c>
      <c r="L2321" s="13" t="str">
        <f>IFERROR(VLOOKUP(C2321,'Справочник соответствий'!A$2:D$2981,3,FALSE),IF(VALUE(C2321)=0,"ЭТАЖ НЕ ОПРЕДЕЛЕН. ПРИНЯТ ПО ДОПУЩЕНИЮ 1",VLOOKUP(C2321,'Справочник соответствий'!A$2:D$2981,3,FALSE)))</f>
        <v>ЭТАЖ ЗАДАН ЧИСЛОМ</v>
      </c>
      <c r="M2321" s="13" t="b">
        <f t="shared" si="253"/>
        <v>0</v>
      </c>
      <c r="N2321" s="13">
        <f t="shared" si="254"/>
        <v>2</v>
      </c>
      <c r="O2321" s="13" t="str">
        <f t="shared" si="255"/>
        <v>ЭТАЖ ЗАДАН ЧИСЛОМ</v>
      </c>
      <c r="P2321" s="13" t="str">
        <f t="shared" si="256"/>
        <v>ЭТАЖ ЗАДАН ЧИСЛОМ</v>
      </c>
      <c r="Q2321" s="13" t="str">
        <f t="shared" si="257"/>
        <v>ГОТОВ_ИЗМЕНЕН</v>
      </c>
      <c r="R2321" s="13">
        <f>IFERROR(VLOOKUP(P2321,Лист1!A$1:B$20,2,FALSE),0)</f>
        <v>784</v>
      </c>
      <c r="S2321" s="13">
        <f t="shared" si="258"/>
        <v>0</v>
      </c>
    </row>
    <row r="2322" spans="1:19" x14ac:dyDescent="0.25">
      <c r="A2322" s="24" t="s">
        <v>3451</v>
      </c>
      <c r="B2322" s="4" t="s">
        <v>1063</v>
      </c>
      <c r="C2322" s="25" t="s">
        <v>16</v>
      </c>
      <c r="G2322" s="25" t="s">
        <v>1382</v>
      </c>
      <c r="H2322" s="24" t="s">
        <v>1061</v>
      </c>
      <c r="I2322" s="3" t="str">
        <f>IFERROR(VLOOKUP(C2322,'Справочник соответствий'!A$2:D$2981,2,FALSE),IF(VALUE(C2322)=0,1,VLOOKUP(C2322,'Справочник соответствий'!A$2:D$2981,2,FALSE)))</f>
        <v>5</v>
      </c>
      <c r="J2322" s="3">
        <f>IFERROR(VLOOKUP(D2322,'Справочник соответствий'!A$2:D$2981,2,FALSE),IF(VALUE(D2322)=0,0,VLOOKUP(D2322,'Справочник соответствий'!A$2:D$2981,2,FALSE)))</f>
        <v>0</v>
      </c>
      <c r="K2322" s="3" t="str">
        <f t="shared" si="252"/>
        <v>5</v>
      </c>
      <c r="L2322" s="13" t="str">
        <f>IFERROR(VLOOKUP(C2322,'Справочник соответствий'!A$2:D$2981,3,FALSE),IF(VALUE(C2322)=0,"ЭТАЖ НЕ ОПРЕДЕЛЕН. ПРИНЯТ ПО ДОПУЩЕНИЮ 1",VLOOKUP(C2322,'Справочник соответствий'!A$2:D$2981,3,FALSE)))</f>
        <v>ЭТАЖ ЗАДАН ЧИСЛОМ</v>
      </c>
      <c r="M2322" s="13" t="b">
        <f t="shared" si="253"/>
        <v>0</v>
      </c>
      <c r="N2322" s="13">
        <f t="shared" si="254"/>
        <v>5</v>
      </c>
      <c r="O2322" s="13" t="str">
        <f t="shared" si="255"/>
        <v>ЭТАЖ ЗАДАН ЧИСЛОМ</v>
      </c>
      <c r="P2322" s="13" t="str">
        <f t="shared" si="256"/>
        <v>ЭТАЖ ЗАДАН ЧИСЛОМ</v>
      </c>
      <c r="Q2322" s="13" t="str">
        <f t="shared" si="257"/>
        <v>ГОТОВ_ИЗМЕНЕН</v>
      </c>
      <c r="R2322" s="13">
        <f>IFERROR(VLOOKUP(P2322,Лист1!A$1:B$20,2,FALSE),0)</f>
        <v>784</v>
      </c>
      <c r="S2322" s="13">
        <f t="shared" si="258"/>
        <v>0</v>
      </c>
    </row>
    <row r="2323" spans="1:19" x14ac:dyDescent="0.25">
      <c r="A2323" s="24" t="s">
        <v>3452</v>
      </c>
      <c r="B2323" s="4" t="s">
        <v>1059</v>
      </c>
      <c r="C2323" s="25" t="s">
        <v>5</v>
      </c>
      <c r="G2323" s="25" t="s">
        <v>1382</v>
      </c>
      <c r="H2323" s="24" t="s">
        <v>1061</v>
      </c>
      <c r="I2323" s="3" t="str">
        <f>IFERROR(VLOOKUP(C2323,'Справочник соответствий'!A$2:D$2981,2,FALSE),IF(VALUE(C2323)=0,1,VLOOKUP(C2323,'Справочник соответствий'!A$2:D$2981,2,FALSE)))</f>
        <v>1</v>
      </c>
      <c r="J2323" s="3">
        <f>IFERROR(VLOOKUP(D2323,'Справочник соответствий'!A$2:D$2981,2,FALSE),IF(VALUE(D2323)=0,0,VLOOKUP(D2323,'Справочник соответствий'!A$2:D$2981,2,FALSE)))</f>
        <v>0</v>
      </c>
      <c r="K2323" s="3" t="str">
        <f t="shared" si="252"/>
        <v>1</v>
      </c>
      <c r="L2323" s="13" t="str">
        <f>IFERROR(VLOOKUP(C2323,'Справочник соответствий'!A$2:D$2981,3,FALSE),IF(VALUE(C2323)=0,"ЭТАЖ НЕ ОПРЕДЕЛЕН. ПРИНЯТ ПО ДОПУЩЕНИЮ 1",VLOOKUP(C2323,'Справочник соответствий'!A$2:D$2981,3,FALSE)))</f>
        <v>ЭТАЖ ЗАДАН ЧИСЛОМ</v>
      </c>
      <c r="M2323" s="13" t="b">
        <f t="shared" si="253"/>
        <v>0</v>
      </c>
      <c r="N2323" s="13">
        <f t="shared" si="254"/>
        <v>1</v>
      </c>
      <c r="O2323" s="13" t="str">
        <f t="shared" si="255"/>
        <v>ЭТАЖ ЗАДАН ЧИСЛОМ</v>
      </c>
      <c r="P2323" s="13" t="str">
        <f t="shared" si="256"/>
        <v>ЭТАЖ ЗАДАН ЧИСЛОМ</v>
      </c>
      <c r="Q2323" s="13" t="str">
        <f t="shared" si="257"/>
        <v>ГОТОВ_ИЗМЕНЕН</v>
      </c>
      <c r="R2323" s="13">
        <f>IFERROR(VLOOKUP(P2323,Лист1!A$1:B$20,2,FALSE),0)</f>
        <v>784</v>
      </c>
      <c r="S2323" s="13">
        <f t="shared" si="258"/>
        <v>0</v>
      </c>
    </row>
    <row r="2324" spans="1:19" x14ac:dyDescent="0.25">
      <c r="A2324" s="24" t="s">
        <v>3453</v>
      </c>
      <c r="B2324" s="4" t="s">
        <v>1063</v>
      </c>
      <c r="C2324" s="25" t="s">
        <v>5</v>
      </c>
      <c r="G2324" s="25" t="s">
        <v>1698</v>
      </c>
      <c r="H2324" s="24" t="s">
        <v>1061</v>
      </c>
      <c r="I2324" s="3" t="str">
        <f>IFERROR(VLOOKUP(C2324,'Справочник соответствий'!A$2:D$2981,2,FALSE),IF(VALUE(C2324)=0,1,VLOOKUP(C2324,'Справочник соответствий'!A$2:D$2981,2,FALSE)))</f>
        <v>1</v>
      </c>
      <c r="J2324" s="3">
        <f>IFERROR(VLOOKUP(D2324,'Справочник соответствий'!A$2:D$2981,2,FALSE),IF(VALUE(D2324)=0,0,VLOOKUP(D2324,'Справочник соответствий'!A$2:D$2981,2,FALSE)))</f>
        <v>0</v>
      </c>
      <c r="K2324" s="3" t="str">
        <f t="shared" si="252"/>
        <v>1</v>
      </c>
      <c r="L2324" s="13" t="str">
        <f>IFERROR(VLOOKUP(C2324,'Справочник соответствий'!A$2:D$2981,3,FALSE),IF(VALUE(C2324)=0,"ЭТАЖ НЕ ОПРЕДЕЛЕН. ПРИНЯТ ПО ДОПУЩЕНИЮ 1",VLOOKUP(C2324,'Справочник соответствий'!A$2:D$2981,3,FALSE)))</f>
        <v>ЭТАЖ ЗАДАН ЧИСЛОМ</v>
      </c>
      <c r="M2324" s="13" t="b">
        <f t="shared" si="253"/>
        <v>0</v>
      </c>
      <c r="N2324" s="13">
        <f t="shared" si="254"/>
        <v>1</v>
      </c>
      <c r="O2324" s="13" t="str">
        <f t="shared" si="255"/>
        <v>ЭТАЖ ЗАДАН ЧИСЛОМ</v>
      </c>
      <c r="P2324" s="13" t="str">
        <f t="shared" si="256"/>
        <v>ЭТАЖ ЗАДАН ЧИСЛОМ</v>
      </c>
      <c r="Q2324" s="13" t="str">
        <f t="shared" si="257"/>
        <v>ГОТОВ_ИЗМЕНЕН</v>
      </c>
      <c r="R2324" s="13">
        <f>IFERROR(VLOOKUP(P2324,Лист1!A$1:B$20,2,FALSE),0)</f>
        <v>784</v>
      </c>
      <c r="S2324" s="13">
        <f t="shared" si="258"/>
        <v>0</v>
      </c>
    </row>
    <row r="2325" spans="1:19" x14ac:dyDescent="0.25">
      <c r="A2325" s="24" t="s">
        <v>3454</v>
      </c>
      <c r="B2325" s="4" t="s">
        <v>1059</v>
      </c>
      <c r="C2325" s="25" t="s">
        <v>5</v>
      </c>
      <c r="G2325" s="25" t="s">
        <v>1161</v>
      </c>
      <c r="H2325" s="24" t="s">
        <v>1061</v>
      </c>
      <c r="I2325" s="3" t="str">
        <f>IFERROR(VLOOKUP(C2325,'Справочник соответствий'!A$2:D$2981,2,FALSE),IF(VALUE(C2325)=0,1,VLOOKUP(C2325,'Справочник соответствий'!A$2:D$2981,2,FALSE)))</f>
        <v>1</v>
      </c>
      <c r="J2325" s="3">
        <f>IFERROR(VLOOKUP(D2325,'Справочник соответствий'!A$2:D$2981,2,FALSE),IF(VALUE(D2325)=0,0,VLOOKUP(D2325,'Справочник соответствий'!A$2:D$2981,2,FALSE)))</f>
        <v>0</v>
      </c>
      <c r="K2325" s="3" t="str">
        <f t="shared" si="252"/>
        <v>1</v>
      </c>
      <c r="L2325" s="13" t="str">
        <f>IFERROR(VLOOKUP(C2325,'Справочник соответствий'!A$2:D$2981,3,FALSE),IF(VALUE(C2325)=0,"ЭТАЖ НЕ ОПРЕДЕЛЕН. ПРИНЯТ ПО ДОПУЩЕНИЮ 1",VLOOKUP(C2325,'Справочник соответствий'!A$2:D$2981,3,FALSE)))</f>
        <v>ЭТАЖ ЗАДАН ЧИСЛОМ</v>
      </c>
      <c r="M2325" s="13" t="b">
        <f t="shared" si="253"/>
        <v>0</v>
      </c>
      <c r="N2325" s="13">
        <f t="shared" si="254"/>
        <v>1</v>
      </c>
      <c r="O2325" s="13" t="str">
        <f t="shared" si="255"/>
        <v>ЭТАЖ ЗАДАН ЧИСЛОМ</v>
      </c>
      <c r="P2325" s="13" t="str">
        <f t="shared" si="256"/>
        <v>ЭТАЖ ЗАДАН ЧИСЛОМ</v>
      </c>
      <c r="Q2325" s="13" t="str">
        <f t="shared" si="257"/>
        <v>ГОТОВ_ИЗМЕНЕН</v>
      </c>
      <c r="R2325" s="13">
        <f>IFERROR(VLOOKUP(P2325,Лист1!A$1:B$20,2,FALSE),0)</f>
        <v>784</v>
      </c>
      <c r="S2325" s="13">
        <f t="shared" si="258"/>
        <v>0</v>
      </c>
    </row>
    <row r="2326" spans="1:19" x14ac:dyDescent="0.25">
      <c r="A2326" s="24" t="s">
        <v>3455</v>
      </c>
      <c r="B2326" s="4" t="s">
        <v>1063</v>
      </c>
      <c r="C2326" s="25" t="s">
        <v>7</v>
      </c>
      <c r="G2326" s="25" t="s">
        <v>1072</v>
      </c>
      <c r="H2326" s="24" t="s">
        <v>1061</v>
      </c>
      <c r="I2326" s="3" t="str">
        <f>IFERROR(VLOOKUP(C2326,'Справочник соответствий'!A$2:D$2981,2,FALSE),IF(VALUE(C2326)=0,1,VLOOKUP(C2326,'Справочник соответствий'!A$2:D$2981,2,FALSE)))</f>
        <v>2</v>
      </c>
      <c r="J2326" s="3">
        <f>IFERROR(VLOOKUP(D2326,'Справочник соответствий'!A$2:D$2981,2,FALSE),IF(VALUE(D2326)=0,0,VLOOKUP(D2326,'Справочник соответствий'!A$2:D$2981,2,FALSE)))</f>
        <v>0</v>
      </c>
      <c r="K2326" s="3" t="str">
        <f t="shared" si="252"/>
        <v>2</v>
      </c>
      <c r="L2326" s="13" t="str">
        <f>IFERROR(VLOOKUP(C2326,'Справочник соответствий'!A$2:D$2981,3,FALSE),IF(VALUE(C2326)=0,"ЭТАЖ НЕ ОПРЕДЕЛЕН. ПРИНЯТ ПО ДОПУЩЕНИЮ 1",VLOOKUP(C2326,'Справочник соответствий'!A$2:D$2981,3,FALSE)))</f>
        <v>ЭТАЖ ЗАДАН ЧИСЛОМ</v>
      </c>
      <c r="M2326" s="13" t="b">
        <f t="shared" si="253"/>
        <v>0</v>
      </c>
      <c r="N2326" s="13">
        <f t="shared" si="254"/>
        <v>2</v>
      </c>
      <c r="O2326" s="13" t="str">
        <f t="shared" si="255"/>
        <v>ЭТАЖ ЗАДАН ЧИСЛОМ</v>
      </c>
      <c r="P2326" s="13" t="str">
        <f t="shared" si="256"/>
        <v>ЭТАЖ ЗАДАН ЧИСЛОМ</v>
      </c>
      <c r="Q2326" s="13" t="str">
        <f t="shared" si="257"/>
        <v>ГОТОВ_ИЗМЕНЕН</v>
      </c>
      <c r="R2326" s="13">
        <f>IFERROR(VLOOKUP(P2326,Лист1!A$1:B$20,2,FALSE),0)</f>
        <v>784</v>
      </c>
      <c r="S2326" s="13">
        <f t="shared" si="258"/>
        <v>0</v>
      </c>
    </row>
    <row r="2327" spans="1:19" x14ac:dyDescent="0.25">
      <c r="A2327" s="24" t="s">
        <v>3456</v>
      </c>
      <c r="B2327" s="4" t="s">
        <v>1059</v>
      </c>
      <c r="C2327" s="25" t="s">
        <v>7</v>
      </c>
      <c r="G2327" s="25" t="s">
        <v>1072</v>
      </c>
      <c r="H2327" s="24" t="s">
        <v>1061</v>
      </c>
      <c r="I2327" s="3" t="str">
        <f>IFERROR(VLOOKUP(C2327,'Справочник соответствий'!A$2:D$2981,2,FALSE),IF(VALUE(C2327)=0,1,VLOOKUP(C2327,'Справочник соответствий'!A$2:D$2981,2,FALSE)))</f>
        <v>2</v>
      </c>
      <c r="J2327" s="3">
        <f>IFERROR(VLOOKUP(D2327,'Справочник соответствий'!A$2:D$2981,2,FALSE),IF(VALUE(D2327)=0,0,VLOOKUP(D2327,'Справочник соответствий'!A$2:D$2981,2,FALSE)))</f>
        <v>0</v>
      </c>
      <c r="K2327" s="3" t="str">
        <f t="shared" si="252"/>
        <v>2</v>
      </c>
      <c r="L2327" s="13" t="str">
        <f>IFERROR(VLOOKUP(C2327,'Справочник соответствий'!A$2:D$2981,3,FALSE),IF(VALUE(C2327)=0,"ЭТАЖ НЕ ОПРЕДЕЛЕН. ПРИНЯТ ПО ДОПУЩЕНИЮ 1",VLOOKUP(C2327,'Справочник соответствий'!A$2:D$2981,3,FALSE)))</f>
        <v>ЭТАЖ ЗАДАН ЧИСЛОМ</v>
      </c>
      <c r="M2327" s="13" t="b">
        <f t="shared" si="253"/>
        <v>0</v>
      </c>
      <c r="N2327" s="13">
        <f t="shared" si="254"/>
        <v>2</v>
      </c>
      <c r="O2327" s="13" t="str">
        <f t="shared" si="255"/>
        <v>ЭТАЖ ЗАДАН ЧИСЛОМ</v>
      </c>
      <c r="P2327" s="13" t="str">
        <f t="shared" si="256"/>
        <v>ЭТАЖ ЗАДАН ЧИСЛОМ</v>
      </c>
      <c r="Q2327" s="13" t="str">
        <f t="shared" si="257"/>
        <v>ГОТОВ_ИЗМЕНЕН</v>
      </c>
      <c r="R2327" s="13">
        <f>IFERROR(VLOOKUP(P2327,Лист1!A$1:B$20,2,FALSE),0)</f>
        <v>784</v>
      </c>
      <c r="S2327" s="13">
        <f t="shared" si="258"/>
        <v>0</v>
      </c>
    </row>
    <row r="2328" spans="1:19" x14ac:dyDescent="0.25">
      <c r="A2328" s="24" t="s">
        <v>3457</v>
      </c>
      <c r="B2328" s="4" t="s">
        <v>1063</v>
      </c>
      <c r="C2328" s="25" t="s">
        <v>5</v>
      </c>
      <c r="G2328" s="25" t="s">
        <v>1069</v>
      </c>
      <c r="H2328" s="24" t="s">
        <v>1061</v>
      </c>
      <c r="I2328" s="3" t="str">
        <f>IFERROR(VLOOKUP(C2328,'Справочник соответствий'!A$2:D$2981,2,FALSE),IF(VALUE(C2328)=0,1,VLOOKUP(C2328,'Справочник соответствий'!A$2:D$2981,2,FALSE)))</f>
        <v>1</v>
      </c>
      <c r="J2328" s="3">
        <f>IFERROR(VLOOKUP(D2328,'Справочник соответствий'!A$2:D$2981,2,FALSE),IF(VALUE(D2328)=0,0,VLOOKUP(D2328,'Справочник соответствий'!A$2:D$2981,2,FALSE)))</f>
        <v>0</v>
      </c>
      <c r="K2328" s="3" t="str">
        <f t="shared" si="252"/>
        <v>1</v>
      </c>
      <c r="L2328" s="13" t="str">
        <f>IFERROR(VLOOKUP(C2328,'Справочник соответствий'!A$2:D$2981,3,FALSE),IF(VALUE(C2328)=0,"ЭТАЖ НЕ ОПРЕДЕЛЕН. ПРИНЯТ ПО ДОПУЩЕНИЮ 1",VLOOKUP(C2328,'Справочник соответствий'!A$2:D$2981,3,FALSE)))</f>
        <v>ЭТАЖ ЗАДАН ЧИСЛОМ</v>
      </c>
      <c r="M2328" s="13" t="b">
        <f t="shared" si="253"/>
        <v>0</v>
      </c>
      <c r="N2328" s="13">
        <f t="shared" si="254"/>
        <v>1</v>
      </c>
      <c r="O2328" s="13" t="str">
        <f t="shared" si="255"/>
        <v>ЭТАЖ ЗАДАН ЧИСЛОМ</v>
      </c>
      <c r="P2328" s="13" t="str">
        <f t="shared" si="256"/>
        <v>ЭТАЖ ЗАДАН ЧИСЛОМ</v>
      </c>
      <c r="Q2328" s="13" t="str">
        <f t="shared" si="257"/>
        <v>ГОТОВ_ИЗМЕНЕН</v>
      </c>
      <c r="R2328" s="13">
        <f>IFERROR(VLOOKUP(P2328,Лист1!A$1:B$20,2,FALSE),0)</f>
        <v>784</v>
      </c>
      <c r="S2328" s="13">
        <f t="shared" si="258"/>
        <v>0</v>
      </c>
    </row>
    <row r="2329" spans="1:19" x14ac:dyDescent="0.25">
      <c r="A2329" s="24" t="s">
        <v>3458</v>
      </c>
      <c r="B2329" s="4" t="s">
        <v>1063</v>
      </c>
      <c r="C2329" s="25" t="s">
        <v>7</v>
      </c>
      <c r="D2329" s="25" t="s">
        <v>5</v>
      </c>
      <c r="G2329" s="25" t="s">
        <v>1072</v>
      </c>
      <c r="H2329" s="24" t="s">
        <v>1061</v>
      </c>
      <c r="I2329" s="3" t="str">
        <f>IFERROR(VLOOKUP(C2329,'Справочник соответствий'!A$2:D$2981,2,FALSE),IF(VALUE(C2329)=0,1,VLOOKUP(C2329,'Справочник соответствий'!A$2:D$2981,2,FALSE)))</f>
        <v>2</v>
      </c>
      <c r="J2329" s="3" t="str">
        <f>IFERROR(VLOOKUP(D2329,'Справочник соответствий'!A$2:D$2981,2,FALSE),IF(VALUE(D2329)=0,0,VLOOKUP(D2329,'Справочник соответствий'!A$2:D$2981,2,FALSE)))</f>
        <v>1</v>
      </c>
      <c r="K2329" s="3" t="str">
        <f t="shared" si="252"/>
        <v>2</v>
      </c>
      <c r="L2329" s="13" t="str">
        <f>IFERROR(VLOOKUP(C2329,'Справочник соответствий'!A$2:D$2981,3,FALSE),IF(VALUE(C2329)=0,"ЭТАЖ НЕ ОПРЕДЕЛЕН. ПРИНЯТ ПО ДОПУЩЕНИЮ 1",VLOOKUP(C2329,'Справочник соответствий'!A$2:D$2981,3,FALSE)))</f>
        <v>ЭТАЖ ЗАДАН ЧИСЛОМ</v>
      </c>
      <c r="M2329" s="13" t="b">
        <f t="shared" si="253"/>
        <v>0</v>
      </c>
      <c r="N2329" s="13">
        <f t="shared" si="254"/>
        <v>2</v>
      </c>
      <c r="O2329" s="13" t="str">
        <f t="shared" si="255"/>
        <v>ЭТАЖ ЗАДАН ЧИСЛОМ</v>
      </c>
      <c r="P2329" s="13" t="str">
        <f t="shared" si="256"/>
        <v>ЭТАЖ ЗАДАН ЧИСЛОМ</v>
      </c>
      <c r="Q2329" s="13" t="str">
        <f t="shared" si="257"/>
        <v>ГОТОВ_ИЗМЕНЕН</v>
      </c>
      <c r="R2329" s="13">
        <f>IFERROR(VLOOKUP(P2329,Лист1!A$1:B$20,2,FALSE),0)</f>
        <v>784</v>
      </c>
      <c r="S2329" s="13">
        <f t="shared" si="258"/>
        <v>0</v>
      </c>
    </row>
    <row r="2330" spans="1:19" x14ac:dyDescent="0.25">
      <c r="A2330" s="24" t="s">
        <v>3459</v>
      </c>
      <c r="B2330" s="4" t="s">
        <v>1063</v>
      </c>
      <c r="C2330" s="25" t="s">
        <v>5</v>
      </c>
      <c r="G2330" s="25" t="s">
        <v>1104</v>
      </c>
      <c r="H2330" s="24" t="s">
        <v>1061</v>
      </c>
      <c r="I2330" s="3" t="str">
        <f>IFERROR(VLOOKUP(C2330,'Справочник соответствий'!A$2:D$2981,2,FALSE),IF(VALUE(C2330)=0,1,VLOOKUP(C2330,'Справочник соответствий'!A$2:D$2981,2,FALSE)))</f>
        <v>1</v>
      </c>
      <c r="J2330" s="3">
        <f>IFERROR(VLOOKUP(D2330,'Справочник соответствий'!A$2:D$2981,2,FALSE),IF(VALUE(D2330)=0,0,VLOOKUP(D2330,'Справочник соответствий'!A$2:D$2981,2,FALSE)))</f>
        <v>0</v>
      </c>
      <c r="K2330" s="3" t="str">
        <f t="shared" si="252"/>
        <v>1</v>
      </c>
      <c r="L2330" s="13" t="str">
        <f>IFERROR(VLOOKUP(C2330,'Справочник соответствий'!A$2:D$2981,3,FALSE),IF(VALUE(C2330)=0,"ЭТАЖ НЕ ОПРЕДЕЛЕН. ПРИНЯТ ПО ДОПУЩЕНИЮ 1",VLOOKUP(C2330,'Справочник соответствий'!A$2:D$2981,3,FALSE)))</f>
        <v>ЭТАЖ ЗАДАН ЧИСЛОМ</v>
      </c>
      <c r="M2330" s="13" t="b">
        <f t="shared" si="253"/>
        <v>0</v>
      </c>
      <c r="N2330" s="13">
        <f t="shared" si="254"/>
        <v>1</v>
      </c>
      <c r="O2330" s="13" t="str">
        <f t="shared" si="255"/>
        <v>ЭТАЖ ЗАДАН ЧИСЛОМ</v>
      </c>
      <c r="P2330" s="13" t="str">
        <f t="shared" si="256"/>
        <v>ЭТАЖ ЗАДАН ЧИСЛОМ</v>
      </c>
      <c r="Q2330" s="13" t="str">
        <f t="shared" si="257"/>
        <v>ГОТОВ_ИЗМЕНЕН</v>
      </c>
      <c r="R2330" s="13">
        <f>IFERROR(VLOOKUP(P2330,Лист1!A$1:B$20,2,FALSE),0)</f>
        <v>784</v>
      </c>
      <c r="S2330" s="13">
        <f t="shared" si="258"/>
        <v>0</v>
      </c>
    </row>
    <row r="2331" spans="1:19" x14ac:dyDescent="0.25">
      <c r="A2331" s="24" t="s">
        <v>3460</v>
      </c>
      <c r="B2331" s="4" t="s">
        <v>1059</v>
      </c>
      <c r="C2331" s="25" t="s">
        <v>5</v>
      </c>
      <c r="G2331" s="25" t="s">
        <v>1072</v>
      </c>
      <c r="H2331" s="24" t="s">
        <v>1061</v>
      </c>
      <c r="I2331" s="3" t="str">
        <f>IFERROR(VLOOKUP(C2331,'Справочник соответствий'!A$2:D$2981,2,FALSE),IF(VALUE(C2331)=0,1,VLOOKUP(C2331,'Справочник соответствий'!A$2:D$2981,2,FALSE)))</f>
        <v>1</v>
      </c>
      <c r="J2331" s="3">
        <f>IFERROR(VLOOKUP(D2331,'Справочник соответствий'!A$2:D$2981,2,FALSE),IF(VALUE(D2331)=0,0,VLOOKUP(D2331,'Справочник соответствий'!A$2:D$2981,2,FALSE)))</f>
        <v>0</v>
      </c>
      <c r="K2331" s="3" t="str">
        <f t="shared" si="252"/>
        <v>1</v>
      </c>
      <c r="L2331" s="13" t="str">
        <f>IFERROR(VLOOKUP(C2331,'Справочник соответствий'!A$2:D$2981,3,FALSE),IF(VALUE(C2331)=0,"ЭТАЖ НЕ ОПРЕДЕЛЕН. ПРИНЯТ ПО ДОПУЩЕНИЮ 1",VLOOKUP(C2331,'Справочник соответствий'!A$2:D$2981,3,FALSE)))</f>
        <v>ЭТАЖ ЗАДАН ЧИСЛОМ</v>
      </c>
      <c r="M2331" s="13" t="b">
        <f t="shared" si="253"/>
        <v>0</v>
      </c>
      <c r="N2331" s="13">
        <f t="shared" si="254"/>
        <v>1</v>
      </c>
      <c r="O2331" s="13" t="str">
        <f t="shared" si="255"/>
        <v>ЭТАЖ ЗАДАН ЧИСЛОМ</v>
      </c>
      <c r="P2331" s="13" t="str">
        <f t="shared" si="256"/>
        <v>ЭТАЖ ЗАДАН ЧИСЛОМ</v>
      </c>
      <c r="Q2331" s="13" t="str">
        <f t="shared" si="257"/>
        <v>ГОТОВ_ИЗМЕНЕН</v>
      </c>
      <c r="R2331" s="13">
        <f>IFERROR(VLOOKUP(P2331,Лист1!A$1:B$20,2,FALSE),0)</f>
        <v>784</v>
      </c>
      <c r="S2331" s="13">
        <f t="shared" si="258"/>
        <v>0</v>
      </c>
    </row>
    <row r="2332" spans="1:19" x14ac:dyDescent="0.25">
      <c r="A2332" s="24" t="s">
        <v>3461</v>
      </c>
      <c r="B2332" s="4" t="s">
        <v>1063</v>
      </c>
      <c r="C2332" s="25" t="s">
        <v>5</v>
      </c>
      <c r="G2332" s="25" t="s">
        <v>1072</v>
      </c>
      <c r="H2332" s="24" t="s">
        <v>1061</v>
      </c>
      <c r="I2332" s="3" t="str">
        <f>IFERROR(VLOOKUP(C2332,'Справочник соответствий'!A$2:D$2981,2,FALSE),IF(VALUE(C2332)=0,1,VLOOKUP(C2332,'Справочник соответствий'!A$2:D$2981,2,FALSE)))</f>
        <v>1</v>
      </c>
      <c r="J2332" s="3">
        <f>IFERROR(VLOOKUP(D2332,'Справочник соответствий'!A$2:D$2981,2,FALSE),IF(VALUE(D2332)=0,0,VLOOKUP(D2332,'Справочник соответствий'!A$2:D$2981,2,FALSE)))</f>
        <v>0</v>
      </c>
      <c r="K2332" s="3" t="str">
        <f t="shared" si="252"/>
        <v>1</v>
      </c>
      <c r="L2332" s="13" t="str">
        <f>IFERROR(VLOOKUP(C2332,'Справочник соответствий'!A$2:D$2981,3,FALSE),IF(VALUE(C2332)=0,"ЭТАЖ НЕ ОПРЕДЕЛЕН. ПРИНЯТ ПО ДОПУЩЕНИЮ 1",VLOOKUP(C2332,'Справочник соответствий'!A$2:D$2981,3,FALSE)))</f>
        <v>ЭТАЖ ЗАДАН ЧИСЛОМ</v>
      </c>
      <c r="M2332" s="13" t="b">
        <f t="shared" si="253"/>
        <v>0</v>
      </c>
      <c r="N2332" s="13">
        <f t="shared" si="254"/>
        <v>1</v>
      </c>
      <c r="O2332" s="13" t="str">
        <f t="shared" si="255"/>
        <v>ЭТАЖ ЗАДАН ЧИСЛОМ</v>
      </c>
      <c r="P2332" s="13" t="str">
        <f t="shared" si="256"/>
        <v>ЭТАЖ ЗАДАН ЧИСЛОМ</v>
      </c>
      <c r="Q2332" s="13" t="str">
        <f t="shared" si="257"/>
        <v>ГОТОВ_ИЗМЕНЕН</v>
      </c>
      <c r="R2332" s="13">
        <f>IFERROR(VLOOKUP(P2332,Лист1!A$1:B$20,2,FALSE),0)</f>
        <v>784</v>
      </c>
      <c r="S2332" s="13">
        <f t="shared" si="258"/>
        <v>0</v>
      </c>
    </row>
    <row r="2333" spans="1:19" x14ac:dyDescent="0.25">
      <c r="A2333" s="24" t="s">
        <v>3462</v>
      </c>
      <c r="B2333" s="4" t="s">
        <v>1059</v>
      </c>
      <c r="C2333" s="25" t="s">
        <v>5</v>
      </c>
      <c r="G2333" s="25" t="s">
        <v>1167</v>
      </c>
      <c r="H2333" s="24" t="s">
        <v>1061</v>
      </c>
      <c r="I2333" s="3" t="str">
        <f>IFERROR(VLOOKUP(C2333,'Справочник соответствий'!A$2:D$2981,2,FALSE),IF(VALUE(C2333)=0,1,VLOOKUP(C2333,'Справочник соответствий'!A$2:D$2981,2,FALSE)))</f>
        <v>1</v>
      </c>
      <c r="J2333" s="3">
        <f>IFERROR(VLOOKUP(D2333,'Справочник соответствий'!A$2:D$2981,2,FALSE),IF(VALUE(D2333)=0,0,VLOOKUP(D2333,'Справочник соответствий'!A$2:D$2981,2,FALSE)))</f>
        <v>0</v>
      </c>
      <c r="K2333" s="3" t="str">
        <f t="shared" si="252"/>
        <v>1</v>
      </c>
      <c r="L2333" s="13" t="str">
        <f>IFERROR(VLOOKUP(C2333,'Справочник соответствий'!A$2:D$2981,3,FALSE),IF(VALUE(C2333)=0,"ЭТАЖ НЕ ОПРЕДЕЛЕН. ПРИНЯТ ПО ДОПУЩЕНИЮ 1",VLOOKUP(C2333,'Справочник соответствий'!A$2:D$2981,3,FALSE)))</f>
        <v>ЭТАЖ ЗАДАН ЧИСЛОМ</v>
      </c>
      <c r="M2333" s="13" t="b">
        <f t="shared" si="253"/>
        <v>0</v>
      </c>
      <c r="N2333" s="13">
        <f t="shared" si="254"/>
        <v>1</v>
      </c>
      <c r="O2333" s="13" t="str">
        <f t="shared" si="255"/>
        <v>ЭТАЖ ЗАДАН ЧИСЛОМ</v>
      </c>
      <c r="P2333" s="13" t="str">
        <f t="shared" si="256"/>
        <v>ЭТАЖ ЗАДАН ЧИСЛОМ</v>
      </c>
      <c r="Q2333" s="13" t="str">
        <f t="shared" si="257"/>
        <v>ГОТОВ_ИЗМЕНЕН</v>
      </c>
      <c r="R2333" s="13">
        <f>IFERROR(VLOOKUP(P2333,Лист1!A$1:B$20,2,FALSE),0)</f>
        <v>784</v>
      </c>
      <c r="S2333" s="13">
        <f t="shared" si="258"/>
        <v>0</v>
      </c>
    </row>
    <row r="2334" spans="1:19" x14ac:dyDescent="0.25">
      <c r="A2334" s="24" t="s">
        <v>3463</v>
      </c>
      <c r="B2334" s="4" t="s">
        <v>1031</v>
      </c>
      <c r="C2334" s="25" t="s">
        <v>12</v>
      </c>
      <c r="G2334" s="25" t="s">
        <v>1089</v>
      </c>
      <c r="H2334" s="24" t="s">
        <v>1061</v>
      </c>
      <c r="I2334" s="3" t="str">
        <f>IFERROR(VLOOKUP(C2334,'Справочник соответствий'!A$2:D$2981,2,FALSE),IF(VALUE(C2334)=0,1,VLOOKUP(C2334,'Справочник соответствий'!A$2:D$2981,2,FALSE)))</f>
        <v>4</v>
      </c>
      <c r="J2334" s="3">
        <f>IFERROR(VLOOKUP(D2334,'Справочник соответствий'!A$2:D$2981,2,FALSE),IF(VALUE(D2334)=0,0,VLOOKUP(D2334,'Справочник соответствий'!A$2:D$2981,2,FALSE)))</f>
        <v>0</v>
      </c>
      <c r="K2334" s="3">
        <f t="shared" si="252"/>
        <v>4</v>
      </c>
      <c r="L2334" s="13" t="str">
        <f>IFERROR(VLOOKUP(C2334,'Справочник соответствий'!A$2:D$2981,3,FALSE),IF(VALUE(C2334)=0,"ЭТАЖ НЕ ОПРЕДЕЛЕН. ПРИНЯТ ПО ДОПУЩЕНИЮ 1",VLOOKUP(C2334,'Справочник соответствий'!A$2:D$2981,3,FALSE)))</f>
        <v>ЭТАЖ ЗАДАН ЧИСЛОМ</v>
      </c>
      <c r="M2334" s="13" t="b">
        <f t="shared" si="253"/>
        <v>0</v>
      </c>
      <c r="N2334" s="13">
        <f t="shared" si="254"/>
        <v>4</v>
      </c>
      <c r="O2334" s="13" t="str">
        <f t="shared" si="255"/>
        <v>ЭТАЖ ЗАДАН ЧИСЛОМ</v>
      </c>
      <c r="P2334" s="13" t="str">
        <f t="shared" si="256"/>
        <v>МКД_ЭТАЖ ЗАДАН ЧИСЛОМ</v>
      </c>
      <c r="Q2334" s="13" t="str">
        <f t="shared" si="257"/>
        <v>ГОТОВ_ИЗМЕНЕН</v>
      </c>
      <c r="R2334" s="13">
        <f>IFERROR(VLOOKUP(P2334,Лист1!A$1:B$20,2,FALSE),0)</f>
        <v>786</v>
      </c>
      <c r="S2334" s="13">
        <f t="shared" si="258"/>
        <v>0</v>
      </c>
    </row>
    <row r="2335" spans="1:19" x14ac:dyDescent="0.25">
      <c r="A2335" s="24" t="s">
        <v>3464</v>
      </c>
      <c r="B2335" s="4" t="s">
        <v>1063</v>
      </c>
      <c r="C2335" s="25" t="s">
        <v>5</v>
      </c>
      <c r="G2335" s="25" t="s">
        <v>1069</v>
      </c>
      <c r="H2335" s="24" t="s">
        <v>1061</v>
      </c>
      <c r="I2335" s="3" t="str">
        <f>IFERROR(VLOOKUP(C2335,'Справочник соответствий'!A$2:D$2981,2,FALSE),IF(VALUE(C2335)=0,1,VLOOKUP(C2335,'Справочник соответствий'!A$2:D$2981,2,FALSE)))</f>
        <v>1</v>
      </c>
      <c r="J2335" s="3">
        <f>IFERROR(VLOOKUP(D2335,'Справочник соответствий'!A$2:D$2981,2,FALSE),IF(VALUE(D2335)=0,0,VLOOKUP(D2335,'Справочник соответствий'!A$2:D$2981,2,FALSE)))</f>
        <v>0</v>
      </c>
      <c r="K2335" s="3" t="str">
        <f t="shared" si="252"/>
        <v>1</v>
      </c>
      <c r="L2335" s="13" t="str">
        <f>IFERROR(VLOOKUP(C2335,'Справочник соответствий'!A$2:D$2981,3,FALSE),IF(VALUE(C2335)=0,"ЭТАЖ НЕ ОПРЕДЕЛЕН. ПРИНЯТ ПО ДОПУЩЕНИЮ 1",VLOOKUP(C2335,'Справочник соответствий'!A$2:D$2981,3,FALSE)))</f>
        <v>ЭТАЖ ЗАДАН ЧИСЛОМ</v>
      </c>
      <c r="M2335" s="13" t="b">
        <f t="shared" si="253"/>
        <v>0</v>
      </c>
      <c r="N2335" s="13">
        <f t="shared" si="254"/>
        <v>1</v>
      </c>
      <c r="O2335" s="13" t="str">
        <f t="shared" si="255"/>
        <v>ЭТАЖ ЗАДАН ЧИСЛОМ</v>
      </c>
      <c r="P2335" s="13" t="str">
        <f t="shared" si="256"/>
        <v>ЭТАЖ ЗАДАН ЧИСЛОМ</v>
      </c>
      <c r="Q2335" s="13" t="str">
        <f t="shared" si="257"/>
        <v>ГОТОВ_ИЗМЕНЕН</v>
      </c>
      <c r="R2335" s="13">
        <f>IFERROR(VLOOKUP(P2335,Лист1!A$1:B$20,2,FALSE),0)</f>
        <v>784</v>
      </c>
      <c r="S2335" s="13">
        <f t="shared" si="258"/>
        <v>0</v>
      </c>
    </row>
    <row r="2336" spans="1:19" x14ac:dyDescent="0.25">
      <c r="A2336" s="24" t="s">
        <v>3465</v>
      </c>
      <c r="B2336" s="4" t="s">
        <v>1059</v>
      </c>
      <c r="C2336" s="25" t="s">
        <v>5</v>
      </c>
      <c r="G2336" s="25" t="s">
        <v>1072</v>
      </c>
      <c r="H2336" s="24" t="s">
        <v>1061</v>
      </c>
      <c r="I2336" s="3" t="str">
        <f>IFERROR(VLOOKUP(C2336,'Справочник соответствий'!A$2:D$2981,2,FALSE),IF(VALUE(C2336)=0,1,VLOOKUP(C2336,'Справочник соответствий'!A$2:D$2981,2,FALSE)))</f>
        <v>1</v>
      </c>
      <c r="J2336" s="3">
        <f>IFERROR(VLOOKUP(D2336,'Справочник соответствий'!A$2:D$2981,2,FALSE),IF(VALUE(D2336)=0,0,VLOOKUP(D2336,'Справочник соответствий'!A$2:D$2981,2,FALSE)))</f>
        <v>0</v>
      </c>
      <c r="K2336" s="3" t="str">
        <f t="shared" si="252"/>
        <v>1</v>
      </c>
      <c r="L2336" s="13" t="str">
        <f>IFERROR(VLOOKUP(C2336,'Справочник соответствий'!A$2:D$2981,3,FALSE),IF(VALUE(C2336)=0,"ЭТАЖ НЕ ОПРЕДЕЛЕН. ПРИНЯТ ПО ДОПУЩЕНИЮ 1",VLOOKUP(C2336,'Справочник соответствий'!A$2:D$2981,3,FALSE)))</f>
        <v>ЭТАЖ ЗАДАН ЧИСЛОМ</v>
      </c>
      <c r="M2336" s="13" t="b">
        <f t="shared" si="253"/>
        <v>0</v>
      </c>
      <c r="N2336" s="13">
        <f t="shared" si="254"/>
        <v>1</v>
      </c>
      <c r="O2336" s="13" t="str">
        <f t="shared" si="255"/>
        <v>ЭТАЖ ЗАДАН ЧИСЛОМ</v>
      </c>
      <c r="P2336" s="13" t="str">
        <f t="shared" si="256"/>
        <v>ЭТАЖ ЗАДАН ЧИСЛОМ</v>
      </c>
      <c r="Q2336" s="13" t="str">
        <f t="shared" si="257"/>
        <v>ГОТОВ_ИЗМЕНЕН</v>
      </c>
      <c r="R2336" s="13">
        <f>IFERROR(VLOOKUP(P2336,Лист1!A$1:B$20,2,FALSE),0)</f>
        <v>784</v>
      </c>
      <c r="S2336" s="13">
        <f t="shared" si="258"/>
        <v>0</v>
      </c>
    </row>
    <row r="2337" spans="1:19" x14ac:dyDescent="0.25">
      <c r="A2337" s="24" t="s">
        <v>3466</v>
      </c>
      <c r="B2337" s="4" t="s">
        <v>1063</v>
      </c>
      <c r="C2337" s="25" t="s">
        <v>5</v>
      </c>
      <c r="G2337" s="25" t="s">
        <v>1069</v>
      </c>
      <c r="H2337" s="24" t="s">
        <v>1061</v>
      </c>
      <c r="I2337" s="3" t="str">
        <f>IFERROR(VLOOKUP(C2337,'Справочник соответствий'!A$2:D$2981,2,FALSE),IF(VALUE(C2337)=0,1,VLOOKUP(C2337,'Справочник соответствий'!A$2:D$2981,2,FALSE)))</f>
        <v>1</v>
      </c>
      <c r="J2337" s="3">
        <f>IFERROR(VLOOKUP(D2337,'Справочник соответствий'!A$2:D$2981,2,FALSE),IF(VALUE(D2337)=0,0,VLOOKUP(D2337,'Справочник соответствий'!A$2:D$2981,2,FALSE)))</f>
        <v>0</v>
      </c>
      <c r="K2337" s="3" t="str">
        <f t="shared" si="252"/>
        <v>1</v>
      </c>
      <c r="L2337" s="13" t="str">
        <f>IFERROR(VLOOKUP(C2337,'Справочник соответствий'!A$2:D$2981,3,FALSE),IF(VALUE(C2337)=0,"ЭТАЖ НЕ ОПРЕДЕЛЕН. ПРИНЯТ ПО ДОПУЩЕНИЮ 1",VLOOKUP(C2337,'Справочник соответствий'!A$2:D$2981,3,FALSE)))</f>
        <v>ЭТАЖ ЗАДАН ЧИСЛОМ</v>
      </c>
      <c r="M2337" s="13" t="b">
        <f t="shared" si="253"/>
        <v>0</v>
      </c>
      <c r="N2337" s="13">
        <f t="shared" si="254"/>
        <v>1</v>
      </c>
      <c r="O2337" s="13" t="str">
        <f t="shared" si="255"/>
        <v>ЭТАЖ ЗАДАН ЧИСЛОМ</v>
      </c>
      <c r="P2337" s="13" t="str">
        <f t="shared" si="256"/>
        <v>ЭТАЖ ЗАДАН ЧИСЛОМ</v>
      </c>
      <c r="Q2337" s="13" t="str">
        <f t="shared" si="257"/>
        <v>ГОТОВ_ИЗМЕНЕН</v>
      </c>
      <c r="R2337" s="13">
        <f>IFERROR(VLOOKUP(P2337,Лист1!A$1:B$20,2,FALSE),0)</f>
        <v>784</v>
      </c>
      <c r="S2337" s="13">
        <f t="shared" si="258"/>
        <v>0</v>
      </c>
    </row>
    <row r="2338" spans="1:19" x14ac:dyDescent="0.25">
      <c r="A2338" s="24" t="s">
        <v>3467</v>
      </c>
      <c r="B2338" s="4" t="s">
        <v>1059</v>
      </c>
      <c r="C2338" s="25" t="s">
        <v>7</v>
      </c>
      <c r="G2338" s="25" t="s">
        <v>1174</v>
      </c>
      <c r="H2338" s="24" t="s">
        <v>1061</v>
      </c>
      <c r="I2338" s="3" t="str">
        <f>IFERROR(VLOOKUP(C2338,'Справочник соответствий'!A$2:D$2981,2,FALSE),IF(VALUE(C2338)=0,1,VLOOKUP(C2338,'Справочник соответствий'!A$2:D$2981,2,FALSE)))</f>
        <v>2</v>
      </c>
      <c r="J2338" s="3">
        <f>IFERROR(VLOOKUP(D2338,'Справочник соответствий'!A$2:D$2981,2,FALSE),IF(VALUE(D2338)=0,0,VLOOKUP(D2338,'Справочник соответствий'!A$2:D$2981,2,FALSE)))</f>
        <v>0</v>
      </c>
      <c r="K2338" s="3" t="str">
        <f t="shared" si="252"/>
        <v>2</v>
      </c>
      <c r="L2338" s="13" t="str">
        <f>IFERROR(VLOOKUP(C2338,'Справочник соответствий'!A$2:D$2981,3,FALSE),IF(VALUE(C2338)=0,"ЭТАЖ НЕ ОПРЕДЕЛЕН. ПРИНЯТ ПО ДОПУЩЕНИЮ 1",VLOOKUP(C2338,'Справочник соответствий'!A$2:D$2981,3,FALSE)))</f>
        <v>ЭТАЖ ЗАДАН ЧИСЛОМ</v>
      </c>
      <c r="M2338" s="13" t="b">
        <f t="shared" si="253"/>
        <v>0</v>
      </c>
      <c r="N2338" s="13">
        <f t="shared" si="254"/>
        <v>2</v>
      </c>
      <c r="O2338" s="13" t="str">
        <f t="shared" si="255"/>
        <v>ЭТАЖ ЗАДАН ЧИСЛОМ</v>
      </c>
      <c r="P2338" s="13" t="str">
        <f t="shared" si="256"/>
        <v>ЭТАЖ ЗАДАН ЧИСЛОМ</v>
      </c>
      <c r="Q2338" s="13" t="str">
        <f t="shared" si="257"/>
        <v>ГОТОВ_ИЗМЕНЕН</v>
      </c>
      <c r="R2338" s="13">
        <f>IFERROR(VLOOKUP(P2338,Лист1!A$1:B$20,2,FALSE),0)</f>
        <v>784</v>
      </c>
      <c r="S2338" s="13">
        <f t="shared" si="258"/>
        <v>0</v>
      </c>
    </row>
    <row r="2339" spans="1:19" x14ac:dyDescent="0.25">
      <c r="A2339" s="24" t="s">
        <v>3468</v>
      </c>
      <c r="B2339" s="4" t="s">
        <v>1059</v>
      </c>
      <c r="C2339" s="25" t="s">
        <v>7</v>
      </c>
      <c r="G2339" s="25" t="s">
        <v>1069</v>
      </c>
      <c r="H2339" s="24" t="s">
        <v>1061</v>
      </c>
      <c r="I2339" s="3" t="str">
        <f>IFERROR(VLOOKUP(C2339,'Справочник соответствий'!A$2:D$2981,2,FALSE),IF(VALUE(C2339)=0,1,VLOOKUP(C2339,'Справочник соответствий'!A$2:D$2981,2,FALSE)))</f>
        <v>2</v>
      </c>
      <c r="J2339" s="3">
        <f>IFERROR(VLOOKUP(D2339,'Справочник соответствий'!A$2:D$2981,2,FALSE),IF(VALUE(D2339)=0,0,VLOOKUP(D2339,'Справочник соответствий'!A$2:D$2981,2,FALSE)))</f>
        <v>0</v>
      </c>
      <c r="K2339" s="3" t="str">
        <f t="shared" si="252"/>
        <v>2</v>
      </c>
      <c r="L2339" s="13" t="str">
        <f>IFERROR(VLOOKUP(C2339,'Справочник соответствий'!A$2:D$2981,3,FALSE),IF(VALUE(C2339)=0,"ЭТАЖ НЕ ОПРЕДЕЛЕН. ПРИНЯТ ПО ДОПУЩЕНИЮ 1",VLOOKUP(C2339,'Справочник соответствий'!A$2:D$2981,3,FALSE)))</f>
        <v>ЭТАЖ ЗАДАН ЧИСЛОМ</v>
      </c>
      <c r="M2339" s="13" t="b">
        <f t="shared" si="253"/>
        <v>0</v>
      </c>
      <c r="N2339" s="13">
        <f t="shared" si="254"/>
        <v>2</v>
      </c>
      <c r="O2339" s="13" t="str">
        <f t="shared" si="255"/>
        <v>ЭТАЖ ЗАДАН ЧИСЛОМ</v>
      </c>
      <c r="P2339" s="13" t="str">
        <f t="shared" si="256"/>
        <v>ЭТАЖ ЗАДАН ЧИСЛОМ</v>
      </c>
      <c r="Q2339" s="13" t="str">
        <f t="shared" si="257"/>
        <v>ГОТОВ_ИЗМЕНЕН</v>
      </c>
      <c r="R2339" s="13">
        <f>IFERROR(VLOOKUP(P2339,Лист1!A$1:B$20,2,FALSE),0)</f>
        <v>784</v>
      </c>
      <c r="S2339" s="13">
        <f t="shared" si="258"/>
        <v>0</v>
      </c>
    </row>
    <row r="2340" spans="1:19" x14ac:dyDescent="0.25">
      <c r="A2340" s="24" t="s">
        <v>3469</v>
      </c>
      <c r="B2340" s="4" t="s">
        <v>1059</v>
      </c>
      <c r="C2340" s="25" t="s">
        <v>8</v>
      </c>
      <c r="G2340" s="25" t="s">
        <v>1069</v>
      </c>
      <c r="H2340" s="24" t="s">
        <v>1061</v>
      </c>
      <c r="I2340" s="3" t="str">
        <f>IFERROR(VLOOKUP(C2340,'Справочник соответствий'!A$2:D$2981,2,FALSE),IF(VALUE(C2340)=0,1,VLOOKUP(C2340,'Справочник соответствий'!A$2:D$2981,2,FALSE)))</f>
        <v>3</v>
      </c>
      <c r="J2340" s="3">
        <f>IFERROR(VLOOKUP(D2340,'Справочник соответствий'!A$2:D$2981,2,FALSE),IF(VALUE(D2340)=0,0,VLOOKUP(D2340,'Справочник соответствий'!A$2:D$2981,2,FALSE)))</f>
        <v>0</v>
      </c>
      <c r="K2340" s="3" t="str">
        <f t="shared" si="252"/>
        <v>3</v>
      </c>
      <c r="L2340" s="13" t="str">
        <f>IFERROR(VLOOKUP(C2340,'Справочник соответствий'!A$2:D$2981,3,FALSE),IF(VALUE(C2340)=0,"ЭТАЖ НЕ ОПРЕДЕЛЕН. ПРИНЯТ ПО ДОПУЩЕНИЮ 1",VLOOKUP(C2340,'Справочник соответствий'!A$2:D$2981,3,FALSE)))</f>
        <v>ЭТАЖ ЗАДАН ЧИСЛОМ</v>
      </c>
      <c r="M2340" s="13" t="b">
        <f t="shared" si="253"/>
        <v>0</v>
      </c>
      <c r="N2340" s="13">
        <f t="shared" si="254"/>
        <v>3</v>
      </c>
      <c r="O2340" s="13" t="str">
        <f t="shared" si="255"/>
        <v>ЭТАЖ ЗАДАН ЧИСЛОМ</v>
      </c>
      <c r="P2340" s="13" t="str">
        <f t="shared" si="256"/>
        <v>ЭТАЖ ЗАДАН ЧИСЛОМ</v>
      </c>
      <c r="Q2340" s="13" t="str">
        <f t="shared" si="257"/>
        <v>ГОТОВ_ИЗМЕНЕН</v>
      </c>
      <c r="R2340" s="13">
        <f>IFERROR(VLOOKUP(P2340,Лист1!A$1:B$20,2,FALSE),0)</f>
        <v>784</v>
      </c>
      <c r="S2340" s="13">
        <f t="shared" si="258"/>
        <v>0</v>
      </c>
    </row>
    <row r="2341" spans="1:19" x14ac:dyDescent="0.25">
      <c r="A2341" s="24" t="s">
        <v>3470</v>
      </c>
      <c r="B2341" s="4" t="s">
        <v>1059</v>
      </c>
      <c r="C2341" s="25" t="s">
        <v>5</v>
      </c>
      <c r="G2341" s="25" t="s">
        <v>1069</v>
      </c>
      <c r="H2341" s="24" t="s">
        <v>1061</v>
      </c>
      <c r="I2341" s="3" t="str">
        <f>IFERROR(VLOOKUP(C2341,'Справочник соответствий'!A$2:D$2981,2,FALSE),IF(VALUE(C2341)=0,1,VLOOKUP(C2341,'Справочник соответствий'!A$2:D$2981,2,FALSE)))</f>
        <v>1</v>
      </c>
      <c r="J2341" s="3">
        <f>IFERROR(VLOOKUP(D2341,'Справочник соответствий'!A$2:D$2981,2,FALSE),IF(VALUE(D2341)=0,0,VLOOKUP(D2341,'Справочник соответствий'!A$2:D$2981,2,FALSE)))</f>
        <v>0</v>
      </c>
      <c r="K2341" s="3" t="str">
        <f t="shared" si="252"/>
        <v>1</v>
      </c>
      <c r="L2341" s="13" t="str">
        <f>IFERROR(VLOOKUP(C2341,'Справочник соответствий'!A$2:D$2981,3,FALSE),IF(VALUE(C2341)=0,"ЭТАЖ НЕ ОПРЕДЕЛЕН. ПРИНЯТ ПО ДОПУЩЕНИЮ 1",VLOOKUP(C2341,'Справочник соответствий'!A$2:D$2981,3,FALSE)))</f>
        <v>ЭТАЖ ЗАДАН ЧИСЛОМ</v>
      </c>
      <c r="M2341" s="13" t="b">
        <f t="shared" si="253"/>
        <v>0</v>
      </c>
      <c r="N2341" s="13">
        <f t="shared" si="254"/>
        <v>1</v>
      </c>
      <c r="O2341" s="13" t="str">
        <f t="shared" si="255"/>
        <v>ЭТАЖ ЗАДАН ЧИСЛОМ</v>
      </c>
      <c r="P2341" s="13" t="str">
        <f t="shared" si="256"/>
        <v>ЭТАЖ ЗАДАН ЧИСЛОМ</v>
      </c>
      <c r="Q2341" s="13" t="str">
        <f t="shared" si="257"/>
        <v>ГОТОВ_ИЗМЕНЕН</v>
      </c>
      <c r="R2341" s="13">
        <f>IFERROR(VLOOKUP(P2341,Лист1!A$1:B$20,2,FALSE),0)</f>
        <v>784</v>
      </c>
      <c r="S2341" s="13">
        <f t="shared" si="258"/>
        <v>0</v>
      </c>
    </row>
    <row r="2342" spans="1:19" x14ac:dyDescent="0.25">
      <c r="A2342" s="24" t="s">
        <v>3471</v>
      </c>
      <c r="B2342" s="4" t="s">
        <v>1063</v>
      </c>
      <c r="C2342" s="25" t="s">
        <v>5</v>
      </c>
      <c r="G2342" s="25" t="s">
        <v>1069</v>
      </c>
      <c r="H2342" s="24" t="s">
        <v>1061</v>
      </c>
      <c r="I2342" s="3" t="str">
        <f>IFERROR(VLOOKUP(C2342,'Справочник соответствий'!A$2:D$2981,2,FALSE),IF(VALUE(C2342)=0,1,VLOOKUP(C2342,'Справочник соответствий'!A$2:D$2981,2,FALSE)))</f>
        <v>1</v>
      </c>
      <c r="J2342" s="3">
        <f>IFERROR(VLOOKUP(D2342,'Справочник соответствий'!A$2:D$2981,2,FALSE),IF(VALUE(D2342)=0,0,VLOOKUP(D2342,'Справочник соответствий'!A$2:D$2981,2,FALSE)))</f>
        <v>0</v>
      </c>
      <c r="K2342" s="3" t="str">
        <f t="shared" si="252"/>
        <v>1</v>
      </c>
      <c r="L2342" s="13" t="str">
        <f>IFERROR(VLOOKUP(C2342,'Справочник соответствий'!A$2:D$2981,3,FALSE),IF(VALUE(C2342)=0,"ЭТАЖ НЕ ОПРЕДЕЛЕН. ПРИНЯТ ПО ДОПУЩЕНИЮ 1",VLOOKUP(C2342,'Справочник соответствий'!A$2:D$2981,3,FALSE)))</f>
        <v>ЭТАЖ ЗАДАН ЧИСЛОМ</v>
      </c>
      <c r="M2342" s="13" t="b">
        <f t="shared" si="253"/>
        <v>0</v>
      </c>
      <c r="N2342" s="13">
        <f t="shared" si="254"/>
        <v>1</v>
      </c>
      <c r="O2342" s="13" t="str">
        <f t="shared" si="255"/>
        <v>ЭТАЖ ЗАДАН ЧИСЛОМ</v>
      </c>
      <c r="P2342" s="13" t="str">
        <f t="shared" si="256"/>
        <v>ЭТАЖ ЗАДАН ЧИСЛОМ</v>
      </c>
      <c r="Q2342" s="13" t="str">
        <f t="shared" si="257"/>
        <v>ГОТОВ_ИЗМЕНЕН</v>
      </c>
      <c r="R2342" s="13">
        <f>IFERROR(VLOOKUP(P2342,Лист1!A$1:B$20,2,FALSE),0)</f>
        <v>784</v>
      </c>
      <c r="S2342" s="13">
        <f t="shared" si="258"/>
        <v>0</v>
      </c>
    </row>
    <row r="2343" spans="1:19" x14ac:dyDescent="0.25">
      <c r="A2343" s="24" t="s">
        <v>3472</v>
      </c>
      <c r="B2343" s="4" t="s">
        <v>1063</v>
      </c>
      <c r="G2343" s="25" t="s">
        <v>1072</v>
      </c>
      <c r="H2343" s="24" t="s">
        <v>1061</v>
      </c>
      <c r="I2343" s="3">
        <f>IFERROR(VLOOKUP(C2343,'Справочник соответствий'!A$2:D$2981,2,FALSE),IF(VALUE(C2343)=0,1,VLOOKUP(C2343,'Справочник соответствий'!A$2:D$2981,2,FALSE)))</f>
        <v>1</v>
      </c>
      <c r="J2343" s="3">
        <f>IFERROR(VLOOKUP(D2343,'Справочник соответствий'!A$2:D$2981,2,FALSE),IF(VALUE(D2343)=0,0,VLOOKUP(D2343,'Справочник соответствий'!A$2:D$2981,2,FALSE)))</f>
        <v>0</v>
      </c>
      <c r="K2343" s="3">
        <f t="shared" si="252"/>
        <v>1</v>
      </c>
      <c r="L2343" s="13" t="str">
        <f>IFERROR(VLOOKUP(C2343,'Справочник соответствий'!A$2:D$2981,3,FALSE),IF(VALUE(C2343)=0,"ЭТАЖ НЕ ОПРЕДЕЛЕН. ПРИНЯТ ПО ДОПУЩЕНИЮ 1",VLOOKUP(C2343,'Справочник соответствий'!A$2:D$2981,3,FALSE)))</f>
        <v>ЭТАЖ НЕ ОПРЕДЕЛЕН. ПРИНЯТ ПО ДОПУЩЕНИЮ 1</v>
      </c>
      <c r="M2343" s="13" t="b">
        <f t="shared" si="253"/>
        <v>0</v>
      </c>
      <c r="N2343" s="13">
        <f t="shared" si="254"/>
        <v>1</v>
      </c>
      <c r="O2343" s="13" t="str">
        <f t="shared" si="255"/>
        <v>ЭТАЖ НЕ ОПРЕДЕЛЕН. ПРИНЯТ ПО ДОПУЩЕНИЮ 1</v>
      </c>
      <c r="P2343" s="13" t="str">
        <f t="shared" si="256"/>
        <v>ЭТАЖ НЕ ОПРЕДЕЛЕН. ПРИНЯТ ПО ДОПУЩЕНИЮ 1</v>
      </c>
      <c r="Q2343" s="13" t="str">
        <f t="shared" si="257"/>
        <v>ГОТОВ_ИЗМЕНЕН</v>
      </c>
      <c r="R2343" s="13">
        <f>IFERROR(VLOOKUP(P2343,Лист1!A$1:B$20,2,FALSE),0)</f>
        <v>788</v>
      </c>
      <c r="S2343" s="13">
        <f t="shared" si="258"/>
        <v>0</v>
      </c>
    </row>
    <row r="2344" spans="1:19" x14ac:dyDescent="0.25">
      <c r="A2344" s="24" t="s">
        <v>3473</v>
      </c>
      <c r="B2344" s="4" t="s">
        <v>1063</v>
      </c>
      <c r="C2344" s="25" t="s">
        <v>5</v>
      </c>
      <c r="G2344" s="25" t="s">
        <v>1089</v>
      </c>
      <c r="H2344" s="24" t="s">
        <v>1061</v>
      </c>
      <c r="I2344" s="3" t="str">
        <f>IFERROR(VLOOKUP(C2344,'Справочник соответствий'!A$2:D$2981,2,FALSE),IF(VALUE(C2344)=0,1,VLOOKUP(C2344,'Справочник соответствий'!A$2:D$2981,2,FALSE)))</f>
        <v>1</v>
      </c>
      <c r="J2344" s="3">
        <f>IFERROR(VLOOKUP(D2344,'Справочник соответствий'!A$2:D$2981,2,FALSE),IF(VALUE(D2344)=0,0,VLOOKUP(D2344,'Справочник соответствий'!A$2:D$2981,2,FALSE)))</f>
        <v>0</v>
      </c>
      <c r="K2344" s="3" t="str">
        <f t="shared" si="252"/>
        <v>1</v>
      </c>
      <c r="L2344" s="13" t="str">
        <f>IFERROR(VLOOKUP(C2344,'Справочник соответствий'!A$2:D$2981,3,FALSE),IF(VALUE(C2344)=0,"ЭТАЖ НЕ ОПРЕДЕЛЕН. ПРИНЯТ ПО ДОПУЩЕНИЮ 1",VLOOKUP(C2344,'Справочник соответствий'!A$2:D$2981,3,FALSE)))</f>
        <v>ЭТАЖ ЗАДАН ЧИСЛОМ</v>
      </c>
      <c r="M2344" s="13" t="b">
        <f t="shared" si="253"/>
        <v>0</v>
      </c>
      <c r="N2344" s="13">
        <f t="shared" si="254"/>
        <v>1</v>
      </c>
      <c r="O2344" s="13" t="str">
        <f t="shared" si="255"/>
        <v>ЭТАЖ ЗАДАН ЧИСЛОМ</v>
      </c>
      <c r="P2344" s="13" t="str">
        <f t="shared" si="256"/>
        <v>ЭТАЖ ЗАДАН ЧИСЛОМ</v>
      </c>
      <c r="Q2344" s="13" t="str">
        <f t="shared" si="257"/>
        <v>ГОТОВ_ИЗМЕНЕН</v>
      </c>
      <c r="R2344" s="13">
        <f>IFERROR(VLOOKUP(P2344,Лист1!A$1:B$20,2,FALSE),0)</f>
        <v>784</v>
      </c>
      <c r="S2344" s="13">
        <f t="shared" si="258"/>
        <v>0</v>
      </c>
    </row>
    <row r="2345" spans="1:19" x14ac:dyDescent="0.25">
      <c r="A2345" s="24" t="s">
        <v>3474</v>
      </c>
      <c r="B2345" s="4" t="s">
        <v>1059</v>
      </c>
      <c r="C2345" s="25" t="s">
        <v>5</v>
      </c>
      <c r="G2345" s="25" t="s">
        <v>1174</v>
      </c>
      <c r="H2345" s="24" t="s">
        <v>1061</v>
      </c>
      <c r="I2345" s="3" t="str">
        <f>IFERROR(VLOOKUP(C2345,'Справочник соответствий'!A$2:D$2981,2,FALSE),IF(VALUE(C2345)=0,1,VLOOKUP(C2345,'Справочник соответствий'!A$2:D$2981,2,FALSE)))</f>
        <v>1</v>
      </c>
      <c r="J2345" s="3">
        <f>IFERROR(VLOOKUP(D2345,'Справочник соответствий'!A$2:D$2981,2,FALSE),IF(VALUE(D2345)=0,0,VLOOKUP(D2345,'Справочник соответствий'!A$2:D$2981,2,FALSE)))</f>
        <v>0</v>
      </c>
      <c r="K2345" s="3" t="str">
        <f t="shared" si="252"/>
        <v>1</v>
      </c>
      <c r="L2345" s="13" t="str">
        <f>IFERROR(VLOOKUP(C2345,'Справочник соответствий'!A$2:D$2981,3,FALSE),IF(VALUE(C2345)=0,"ЭТАЖ НЕ ОПРЕДЕЛЕН. ПРИНЯТ ПО ДОПУЩЕНИЮ 1",VLOOKUP(C2345,'Справочник соответствий'!A$2:D$2981,3,FALSE)))</f>
        <v>ЭТАЖ ЗАДАН ЧИСЛОМ</v>
      </c>
      <c r="M2345" s="13" t="b">
        <f t="shared" si="253"/>
        <v>0</v>
      </c>
      <c r="N2345" s="13">
        <f t="shared" si="254"/>
        <v>1</v>
      </c>
      <c r="O2345" s="13" t="str">
        <f t="shared" si="255"/>
        <v>ЭТАЖ ЗАДАН ЧИСЛОМ</v>
      </c>
      <c r="P2345" s="13" t="str">
        <f t="shared" si="256"/>
        <v>ЭТАЖ ЗАДАН ЧИСЛОМ</v>
      </c>
      <c r="Q2345" s="13" t="str">
        <f t="shared" si="257"/>
        <v>ГОТОВ_ИЗМЕНЕН</v>
      </c>
      <c r="R2345" s="13">
        <f>IFERROR(VLOOKUP(P2345,Лист1!A$1:B$20,2,FALSE),0)</f>
        <v>784</v>
      </c>
      <c r="S2345" s="13">
        <f t="shared" si="258"/>
        <v>0</v>
      </c>
    </row>
    <row r="2346" spans="1:19" x14ac:dyDescent="0.25">
      <c r="A2346" s="24" t="s">
        <v>3475</v>
      </c>
      <c r="B2346" s="4" t="s">
        <v>1059</v>
      </c>
      <c r="C2346" s="25" t="s">
        <v>7</v>
      </c>
      <c r="G2346" s="25" t="s">
        <v>1108</v>
      </c>
      <c r="H2346" s="24" t="s">
        <v>1061</v>
      </c>
      <c r="I2346" s="3" t="str">
        <f>IFERROR(VLOOKUP(C2346,'Справочник соответствий'!A$2:D$2981,2,FALSE),IF(VALUE(C2346)=0,1,VLOOKUP(C2346,'Справочник соответствий'!A$2:D$2981,2,FALSE)))</f>
        <v>2</v>
      </c>
      <c r="J2346" s="3">
        <f>IFERROR(VLOOKUP(D2346,'Справочник соответствий'!A$2:D$2981,2,FALSE),IF(VALUE(D2346)=0,0,VLOOKUP(D2346,'Справочник соответствий'!A$2:D$2981,2,FALSE)))</f>
        <v>0</v>
      </c>
      <c r="K2346" s="3" t="str">
        <f t="shared" si="252"/>
        <v>2</v>
      </c>
      <c r="L2346" s="13" t="str">
        <f>IFERROR(VLOOKUP(C2346,'Справочник соответствий'!A$2:D$2981,3,FALSE),IF(VALUE(C2346)=0,"ЭТАЖ НЕ ОПРЕДЕЛЕН. ПРИНЯТ ПО ДОПУЩЕНИЮ 1",VLOOKUP(C2346,'Справочник соответствий'!A$2:D$2981,3,FALSE)))</f>
        <v>ЭТАЖ ЗАДАН ЧИСЛОМ</v>
      </c>
      <c r="M2346" s="13" t="b">
        <f t="shared" si="253"/>
        <v>0</v>
      </c>
      <c r="N2346" s="13">
        <f t="shared" si="254"/>
        <v>2</v>
      </c>
      <c r="O2346" s="13" t="str">
        <f t="shared" si="255"/>
        <v>ЭТАЖ ЗАДАН ЧИСЛОМ</v>
      </c>
      <c r="P2346" s="13" t="str">
        <f t="shared" si="256"/>
        <v>ЭТАЖ ЗАДАН ЧИСЛОМ</v>
      </c>
      <c r="Q2346" s="13" t="str">
        <f t="shared" si="257"/>
        <v>ГОТОВ_ИЗМЕНЕН</v>
      </c>
      <c r="R2346" s="13">
        <f>IFERROR(VLOOKUP(P2346,Лист1!A$1:B$20,2,FALSE),0)</f>
        <v>784</v>
      </c>
      <c r="S2346" s="13">
        <f t="shared" si="258"/>
        <v>0</v>
      </c>
    </row>
    <row r="2347" spans="1:19" x14ac:dyDescent="0.25">
      <c r="A2347" s="24" t="s">
        <v>3476</v>
      </c>
      <c r="B2347" s="4" t="s">
        <v>1063</v>
      </c>
      <c r="C2347" s="25" t="s">
        <v>5</v>
      </c>
      <c r="G2347" s="25" t="s">
        <v>1108</v>
      </c>
      <c r="H2347" s="24" t="s">
        <v>1061</v>
      </c>
      <c r="I2347" s="3" t="str">
        <f>IFERROR(VLOOKUP(C2347,'Справочник соответствий'!A$2:D$2981,2,FALSE),IF(VALUE(C2347)=0,1,VLOOKUP(C2347,'Справочник соответствий'!A$2:D$2981,2,FALSE)))</f>
        <v>1</v>
      </c>
      <c r="J2347" s="3">
        <f>IFERROR(VLOOKUP(D2347,'Справочник соответствий'!A$2:D$2981,2,FALSE),IF(VALUE(D2347)=0,0,VLOOKUP(D2347,'Справочник соответствий'!A$2:D$2981,2,FALSE)))</f>
        <v>0</v>
      </c>
      <c r="K2347" s="3" t="str">
        <f t="shared" si="252"/>
        <v>1</v>
      </c>
      <c r="L2347" s="13" t="str">
        <f>IFERROR(VLOOKUP(C2347,'Справочник соответствий'!A$2:D$2981,3,FALSE),IF(VALUE(C2347)=0,"ЭТАЖ НЕ ОПРЕДЕЛЕН. ПРИНЯТ ПО ДОПУЩЕНИЮ 1",VLOOKUP(C2347,'Справочник соответствий'!A$2:D$2981,3,FALSE)))</f>
        <v>ЭТАЖ ЗАДАН ЧИСЛОМ</v>
      </c>
      <c r="M2347" s="13" t="b">
        <f t="shared" si="253"/>
        <v>0</v>
      </c>
      <c r="N2347" s="13">
        <f t="shared" si="254"/>
        <v>1</v>
      </c>
      <c r="O2347" s="13" t="str">
        <f t="shared" si="255"/>
        <v>ЭТАЖ ЗАДАН ЧИСЛОМ</v>
      </c>
      <c r="P2347" s="13" t="str">
        <f t="shared" si="256"/>
        <v>ЭТАЖ ЗАДАН ЧИСЛОМ</v>
      </c>
      <c r="Q2347" s="13" t="str">
        <f t="shared" si="257"/>
        <v>ГОТОВ_ИЗМЕНЕН</v>
      </c>
      <c r="R2347" s="13">
        <f>IFERROR(VLOOKUP(P2347,Лист1!A$1:B$20,2,FALSE),0)</f>
        <v>784</v>
      </c>
      <c r="S2347" s="13">
        <f t="shared" si="258"/>
        <v>0</v>
      </c>
    </row>
    <row r="2348" spans="1:19" x14ac:dyDescent="0.25">
      <c r="A2348" s="24" t="s">
        <v>3477</v>
      </c>
      <c r="B2348" s="4" t="s">
        <v>1063</v>
      </c>
      <c r="D2348" s="25" t="s">
        <v>5</v>
      </c>
      <c r="G2348" s="25" t="s">
        <v>1089</v>
      </c>
      <c r="H2348" s="24" t="s">
        <v>1061</v>
      </c>
      <c r="I2348" s="3">
        <f>IFERROR(VLOOKUP(C2348,'Справочник соответствий'!A$2:D$2981,2,FALSE),IF(VALUE(C2348)=0,1,VLOOKUP(C2348,'Справочник соответствий'!A$2:D$2981,2,FALSE)))</f>
        <v>1</v>
      </c>
      <c r="J2348" s="3" t="str">
        <f>IFERROR(VLOOKUP(D2348,'Справочник соответствий'!A$2:D$2981,2,FALSE),IF(VALUE(D2348)=0,0,VLOOKUP(D2348,'Справочник соответствий'!A$2:D$2981,2,FALSE)))</f>
        <v>1</v>
      </c>
      <c r="K2348" s="3">
        <f t="shared" si="252"/>
        <v>1</v>
      </c>
      <c r="L2348" s="13" t="str">
        <f>IFERROR(VLOOKUP(C2348,'Справочник соответствий'!A$2:D$2981,3,FALSE),IF(VALUE(C2348)=0,"ЭТАЖ НЕ ОПРЕДЕЛЕН. ПРИНЯТ ПО ДОПУЩЕНИЮ 1",VLOOKUP(C2348,'Справочник соответствий'!A$2:D$2981,3,FALSE)))</f>
        <v>ЭТАЖ НЕ ОПРЕДЕЛЕН. ПРИНЯТ ПО ДОПУЩЕНИЮ 1</v>
      </c>
      <c r="M2348" s="13" t="b">
        <f t="shared" si="253"/>
        <v>0</v>
      </c>
      <c r="N2348" s="13">
        <f t="shared" si="254"/>
        <v>1</v>
      </c>
      <c r="O2348" s="13" t="str">
        <f t="shared" si="255"/>
        <v>ЭТАЖ НЕ ОПРЕДЕЛЕН. ПРИНЯТ ПО ДОПУЩЕНИЮ 1</v>
      </c>
      <c r="P2348" s="13" t="str">
        <f t="shared" si="256"/>
        <v>ЭТАЖ НЕ ОПРЕДЕЛЕН. ПРИНЯТ ПО ДОПУЩЕНИЮ 1</v>
      </c>
      <c r="Q2348" s="13" t="str">
        <f t="shared" si="257"/>
        <v>ГОТОВ_ИЗМЕНЕН</v>
      </c>
      <c r="R2348" s="13">
        <f>IFERROR(VLOOKUP(P2348,Лист1!A$1:B$20,2,FALSE),0)</f>
        <v>788</v>
      </c>
      <c r="S2348" s="13">
        <f t="shared" si="258"/>
        <v>0</v>
      </c>
    </row>
    <row r="2349" spans="1:19" x14ac:dyDescent="0.25">
      <c r="A2349" s="24" t="s">
        <v>3478</v>
      </c>
      <c r="B2349" s="4" t="s">
        <v>1059</v>
      </c>
      <c r="C2349" s="25" t="s">
        <v>8</v>
      </c>
      <c r="G2349" s="25" t="s">
        <v>1089</v>
      </c>
      <c r="H2349" s="24" t="s">
        <v>1061</v>
      </c>
      <c r="I2349" s="3" t="str">
        <f>IFERROR(VLOOKUP(C2349,'Справочник соответствий'!A$2:D$2981,2,FALSE),IF(VALUE(C2349)=0,1,VLOOKUP(C2349,'Справочник соответствий'!A$2:D$2981,2,FALSE)))</f>
        <v>3</v>
      </c>
      <c r="J2349" s="3">
        <f>IFERROR(VLOOKUP(D2349,'Справочник соответствий'!A$2:D$2981,2,FALSE),IF(VALUE(D2349)=0,0,VLOOKUP(D2349,'Справочник соответствий'!A$2:D$2981,2,FALSE)))</f>
        <v>0</v>
      </c>
      <c r="K2349" s="3" t="str">
        <f t="shared" si="252"/>
        <v>3</v>
      </c>
      <c r="L2349" s="13" t="str">
        <f>IFERROR(VLOOKUP(C2349,'Справочник соответствий'!A$2:D$2981,3,FALSE),IF(VALUE(C2349)=0,"ЭТАЖ НЕ ОПРЕДЕЛЕН. ПРИНЯТ ПО ДОПУЩЕНИЮ 1",VLOOKUP(C2349,'Справочник соответствий'!A$2:D$2981,3,FALSE)))</f>
        <v>ЭТАЖ ЗАДАН ЧИСЛОМ</v>
      </c>
      <c r="M2349" s="13" t="b">
        <f t="shared" si="253"/>
        <v>0</v>
      </c>
      <c r="N2349" s="13">
        <f t="shared" si="254"/>
        <v>3</v>
      </c>
      <c r="O2349" s="13" t="str">
        <f t="shared" si="255"/>
        <v>ЭТАЖ ЗАДАН ЧИСЛОМ</v>
      </c>
      <c r="P2349" s="13" t="str">
        <f t="shared" si="256"/>
        <v>ЭТАЖ ЗАДАН ЧИСЛОМ</v>
      </c>
      <c r="Q2349" s="13" t="str">
        <f t="shared" si="257"/>
        <v>ГОТОВ_ИЗМЕНЕН</v>
      </c>
      <c r="R2349" s="13">
        <f>IFERROR(VLOOKUP(P2349,Лист1!A$1:B$20,2,FALSE),0)</f>
        <v>784</v>
      </c>
      <c r="S2349" s="13">
        <f t="shared" si="258"/>
        <v>0</v>
      </c>
    </row>
    <row r="2350" spans="1:19" x14ac:dyDescent="0.25">
      <c r="A2350" s="24" t="s">
        <v>3479</v>
      </c>
      <c r="B2350" s="4" t="s">
        <v>1059</v>
      </c>
      <c r="C2350" s="25" t="s">
        <v>8</v>
      </c>
      <c r="G2350" s="25" t="s">
        <v>1089</v>
      </c>
      <c r="H2350" s="24" t="s">
        <v>1061</v>
      </c>
      <c r="I2350" s="3" t="str">
        <f>IFERROR(VLOOKUP(C2350,'Справочник соответствий'!A$2:D$2981,2,FALSE),IF(VALUE(C2350)=0,1,VLOOKUP(C2350,'Справочник соответствий'!A$2:D$2981,2,FALSE)))</f>
        <v>3</v>
      </c>
      <c r="J2350" s="3">
        <f>IFERROR(VLOOKUP(D2350,'Справочник соответствий'!A$2:D$2981,2,FALSE),IF(VALUE(D2350)=0,0,VLOOKUP(D2350,'Справочник соответствий'!A$2:D$2981,2,FALSE)))</f>
        <v>0</v>
      </c>
      <c r="K2350" s="3" t="str">
        <f t="shared" si="252"/>
        <v>3</v>
      </c>
      <c r="L2350" s="13" t="str">
        <f>IFERROR(VLOOKUP(C2350,'Справочник соответствий'!A$2:D$2981,3,FALSE),IF(VALUE(C2350)=0,"ЭТАЖ НЕ ОПРЕДЕЛЕН. ПРИНЯТ ПО ДОПУЩЕНИЮ 1",VLOOKUP(C2350,'Справочник соответствий'!A$2:D$2981,3,FALSE)))</f>
        <v>ЭТАЖ ЗАДАН ЧИСЛОМ</v>
      </c>
      <c r="M2350" s="13" t="b">
        <f t="shared" si="253"/>
        <v>0</v>
      </c>
      <c r="N2350" s="13">
        <f t="shared" si="254"/>
        <v>3</v>
      </c>
      <c r="O2350" s="13" t="str">
        <f t="shared" si="255"/>
        <v>ЭТАЖ ЗАДАН ЧИСЛОМ</v>
      </c>
      <c r="P2350" s="13" t="str">
        <f t="shared" si="256"/>
        <v>ЭТАЖ ЗАДАН ЧИСЛОМ</v>
      </c>
      <c r="Q2350" s="13" t="str">
        <f t="shared" si="257"/>
        <v>ГОТОВ_ИЗМЕНЕН</v>
      </c>
      <c r="R2350" s="13">
        <f>IFERROR(VLOOKUP(P2350,Лист1!A$1:B$20,2,FALSE),0)</f>
        <v>784</v>
      </c>
      <c r="S2350" s="13">
        <f t="shared" si="258"/>
        <v>0</v>
      </c>
    </row>
    <row r="2351" spans="1:19" x14ac:dyDescent="0.25">
      <c r="A2351" s="24" t="s">
        <v>3480</v>
      </c>
      <c r="B2351" s="4" t="s">
        <v>1059</v>
      </c>
      <c r="C2351" s="25" t="s">
        <v>7</v>
      </c>
      <c r="G2351" s="25" t="s">
        <v>1108</v>
      </c>
      <c r="H2351" s="24" t="s">
        <v>1061</v>
      </c>
      <c r="I2351" s="3" t="str">
        <f>IFERROR(VLOOKUP(C2351,'Справочник соответствий'!A$2:D$2981,2,FALSE),IF(VALUE(C2351)=0,1,VLOOKUP(C2351,'Справочник соответствий'!A$2:D$2981,2,FALSE)))</f>
        <v>2</v>
      </c>
      <c r="J2351" s="3">
        <f>IFERROR(VLOOKUP(D2351,'Справочник соответствий'!A$2:D$2981,2,FALSE),IF(VALUE(D2351)=0,0,VLOOKUP(D2351,'Справочник соответствий'!A$2:D$2981,2,FALSE)))</f>
        <v>0</v>
      </c>
      <c r="K2351" s="3" t="str">
        <f t="shared" si="252"/>
        <v>2</v>
      </c>
      <c r="L2351" s="13" t="str">
        <f>IFERROR(VLOOKUP(C2351,'Справочник соответствий'!A$2:D$2981,3,FALSE),IF(VALUE(C2351)=0,"ЭТАЖ НЕ ОПРЕДЕЛЕН. ПРИНЯТ ПО ДОПУЩЕНИЮ 1",VLOOKUP(C2351,'Справочник соответствий'!A$2:D$2981,3,FALSE)))</f>
        <v>ЭТАЖ ЗАДАН ЧИСЛОМ</v>
      </c>
      <c r="M2351" s="13" t="b">
        <f t="shared" si="253"/>
        <v>0</v>
      </c>
      <c r="N2351" s="13">
        <f t="shared" si="254"/>
        <v>2</v>
      </c>
      <c r="O2351" s="13" t="str">
        <f t="shared" si="255"/>
        <v>ЭТАЖ ЗАДАН ЧИСЛОМ</v>
      </c>
      <c r="P2351" s="13" t="str">
        <f t="shared" si="256"/>
        <v>ЭТАЖ ЗАДАН ЧИСЛОМ</v>
      </c>
      <c r="Q2351" s="13" t="str">
        <f t="shared" si="257"/>
        <v>ГОТОВ_ИЗМЕНЕН</v>
      </c>
      <c r="R2351" s="13">
        <f>IFERROR(VLOOKUP(P2351,Лист1!A$1:B$20,2,FALSE),0)</f>
        <v>784</v>
      </c>
      <c r="S2351" s="13">
        <f t="shared" si="258"/>
        <v>0</v>
      </c>
    </row>
    <row r="2352" spans="1:19" x14ac:dyDescent="0.25">
      <c r="A2352" s="24" t="s">
        <v>3481</v>
      </c>
      <c r="B2352" s="4" t="s">
        <v>1063</v>
      </c>
      <c r="C2352" s="25" t="s">
        <v>5</v>
      </c>
      <c r="G2352" s="25" t="s">
        <v>1089</v>
      </c>
      <c r="H2352" s="24" t="s">
        <v>1061</v>
      </c>
      <c r="I2352" s="3" t="str">
        <f>IFERROR(VLOOKUP(C2352,'Справочник соответствий'!A$2:D$2981,2,FALSE),IF(VALUE(C2352)=0,1,VLOOKUP(C2352,'Справочник соответствий'!A$2:D$2981,2,FALSE)))</f>
        <v>1</v>
      </c>
      <c r="J2352" s="3">
        <f>IFERROR(VLOOKUP(D2352,'Справочник соответствий'!A$2:D$2981,2,FALSE),IF(VALUE(D2352)=0,0,VLOOKUP(D2352,'Справочник соответствий'!A$2:D$2981,2,FALSE)))</f>
        <v>0</v>
      </c>
      <c r="K2352" s="3" t="str">
        <f t="shared" si="252"/>
        <v>1</v>
      </c>
      <c r="L2352" s="13" t="str">
        <f>IFERROR(VLOOKUP(C2352,'Справочник соответствий'!A$2:D$2981,3,FALSE),IF(VALUE(C2352)=0,"ЭТАЖ НЕ ОПРЕДЕЛЕН. ПРИНЯТ ПО ДОПУЩЕНИЮ 1",VLOOKUP(C2352,'Справочник соответствий'!A$2:D$2981,3,FALSE)))</f>
        <v>ЭТАЖ ЗАДАН ЧИСЛОМ</v>
      </c>
      <c r="M2352" s="13" t="b">
        <f t="shared" si="253"/>
        <v>0</v>
      </c>
      <c r="N2352" s="13">
        <f t="shared" si="254"/>
        <v>1</v>
      </c>
      <c r="O2352" s="13" t="str">
        <f t="shared" si="255"/>
        <v>ЭТАЖ ЗАДАН ЧИСЛОМ</v>
      </c>
      <c r="P2352" s="13" t="str">
        <f t="shared" si="256"/>
        <v>ЭТАЖ ЗАДАН ЧИСЛОМ</v>
      </c>
      <c r="Q2352" s="13" t="str">
        <f t="shared" si="257"/>
        <v>ГОТОВ_ИЗМЕНЕН</v>
      </c>
      <c r="R2352" s="13">
        <f>IFERROR(VLOOKUP(P2352,Лист1!A$1:B$20,2,FALSE),0)</f>
        <v>784</v>
      </c>
      <c r="S2352" s="13">
        <f t="shared" si="258"/>
        <v>0</v>
      </c>
    </row>
    <row r="2353" spans="1:19" x14ac:dyDescent="0.25">
      <c r="A2353" s="24" t="s">
        <v>3482</v>
      </c>
      <c r="B2353" s="4" t="s">
        <v>1063</v>
      </c>
      <c r="C2353" s="25" t="s">
        <v>5</v>
      </c>
      <c r="G2353" s="25" t="s">
        <v>1193</v>
      </c>
      <c r="H2353" s="24" t="s">
        <v>1061</v>
      </c>
      <c r="I2353" s="3" t="str">
        <f>IFERROR(VLOOKUP(C2353,'Справочник соответствий'!A$2:D$2981,2,FALSE),IF(VALUE(C2353)=0,1,VLOOKUP(C2353,'Справочник соответствий'!A$2:D$2981,2,FALSE)))</f>
        <v>1</v>
      </c>
      <c r="J2353" s="3">
        <f>IFERROR(VLOOKUP(D2353,'Справочник соответствий'!A$2:D$2981,2,FALSE),IF(VALUE(D2353)=0,0,VLOOKUP(D2353,'Справочник соответствий'!A$2:D$2981,2,FALSE)))</f>
        <v>0</v>
      </c>
      <c r="K2353" s="3" t="str">
        <f t="shared" si="252"/>
        <v>1</v>
      </c>
      <c r="L2353" s="13" t="str">
        <f>IFERROR(VLOOKUP(C2353,'Справочник соответствий'!A$2:D$2981,3,FALSE),IF(VALUE(C2353)=0,"ЭТАЖ НЕ ОПРЕДЕЛЕН. ПРИНЯТ ПО ДОПУЩЕНИЮ 1",VLOOKUP(C2353,'Справочник соответствий'!A$2:D$2981,3,FALSE)))</f>
        <v>ЭТАЖ ЗАДАН ЧИСЛОМ</v>
      </c>
      <c r="M2353" s="13" t="b">
        <f t="shared" si="253"/>
        <v>0</v>
      </c>
      <c r="N2353" s="13">
        <f t="shared" si="254"/>
        <v>1</v>
      </c>
      <c r="O2353" s="13" t="str">
        <f t="shared" si="255"/>
        <v>ЭТАЖ ЗАДАН ЧИСЛОМ</v>
      </c>
      <c r="P2353" s="13" t="str">
        <f t="shared" si="256"/>
        <v>ЭТАЖ ЗАДАН ЧИСЛОМ</v>
      </c>
      <c r="Q2353" s="13" t="str">
        <f t="shared" si="257"/>
        <v>ГОТОВ_ИЗМЕНЕН</v>
      </c>
      <c r="R2353" s="13">
        <f>IFERROR(VLOOKUP(P2353,Лист1!A$1:B$20,2,FALSE),0)</f>
        <v>784</v>
      </c>
      <c r="S2353" s="13">
        <f t="shared" si="258"/>
        <v>0</v>
      </c>
    </row>
    <row r="2354" spans="1:19" x14ac:dyDescent="0.25">
      <c r="A2354" s="24" t="s">
        <v>3483</v>
      </c>
      <c r="B2354" s="4" t="s">
        <v>1063</v>
      </c>
      <c r="G2354" s="25" t="s">
        <v>1064</v>
      </c>
      <c r="H2354" s="24" t="s">
        <v>1061</v>
      </c>
      <c r="I2354" s="3">
        <f>IFERROR(VLOOKUP(C2354,'Справочник соответствий'!A$2:D$2981,2,FALSE),IF(VALUE(C2354)=0,1,VLOOKUP(C2354,'Справочник соответствий'!A$2:D$2981,2,FALSE)))</f>
        <v>1</v>
      </c>
      <c r="J2354" s="3">
        <f>IFERROR(VLOOKUP(D2354,'Справочник соответствий'!A$2:D$2981,2,FALSE),IF(VALUE(D2354)=0,0,VLOOKUP(D2354,'Справочник соответствий'!A$2:D$2981,2,FALSE)))</f>
        <v>0</v>
      </c>
      <c r="K2354" s="3">
        <f t="shared" si="252"/>
        <v>1</v>
      </c>
      <c r="L2354" s="13" t="str">
        <f>IFERROR(VLOOKUP(C2354,'Справочник соответствий'!A$2:D$2981,3,FALSE),IF(VALUE(C2354)=0,"ЭТАЖ НЕ ОПРЕДЕЛЕН. ПРИНЯТ ПО ДОПУЩЕНИЮ 1",VLOOKUP(C2354,'Справочник соответствий'!A$2:D$2981,3,FALSE)))</f>
        <v>ЭТАЖ НЕ ОПРЕДЕЛЕН. ПРИНЯТ ПО ДОПУЩЕНИЮ 1</v>
      </c>
      <c r="M2354" s="13" t="b">
        <f t="shared" si="253"/>
        <v>0</v>
      </c>
      <c r="N2354" s="13">
        <f t="shared" si="254"/>
        <v>1</v>
      </c>
      <c r="O2354" s="13" t="str">
        <f t="shared" si="255"/>
        <v>ЭТАЖ НЕ ОПРЕДЕЛЕН. ПРИНЯТ ПО ДОПУЩЕНИЮ 1</v>
      </c>
      <c r="P2354" s="13" t="str">
        <f t="shared" si="256"/>
        <v>ЭТАЖ НЕ ОПРЕДЕЛЕН. ПРИНЯТ ПО ДОПУЩЕНИЮ 1</v>
      </c>
      <c r="Q2354" s="13" t="str">
        <f t="shared" si="257"/>
        <v>ГОТОВ_ИЗМЕНЕН</v>
      </c>
      <c r="R2354" s="13">
        <f>IFERROR(VLOOKUP(P2354,Лист1!A$1:B$20,2,FALSE),0)</f>
        <v>788</v>
      </c>
      <c r="S2354" s="13">
        <f t="shared" si="258"/>
        <v>0</v>
      </c>
    </row>
    <row r="2355" spans="1:19" x14ac:dyDescent="0.25">
      <c r="A2355" s="24" t="s">
        <v>3484</v>
      </c>
      <c r="B2355" s="4" t="s">
        <v>1059</v>
      </c>
      <c r="C2355" s="25" t="s">
        <v>7</v>
      </c>
      <c r="G2355" s="25" t="s">
        <v>1089</v>
      </c>
      <c r="H2355" s="24" t="s">
        <v>1061</v>
      </c>
      <c r="I2355" s="3" t="str">
        <f>IFERROR(VLOOKUP(C2355,'Справочник соответствий'!A$2:D$2981,2,FALSE),IF(VALUE(C2355)=0,1,VLOOKUP(C2355,'Справочник соответствий'!A$2:D$2981,2,FALSE)))</f>
        <v>2</v>
      </c>
      <c r="J2355" s="3">
        <f>IFERROR(VLOOKUP(D2355,'Справочник соответствий'!A$2:D$2981,2,FALSE),IF(VALUE(D2355)=0,0,VLOOKUP(D2355,'Справочник соответствий'!A$2:D$2981,2,FALSE)))</f>
        <v>0</v>
      </c>
      <c r="K2355" s="3" t="str">
        <f t="shared" si="252"/>
        <v>2</v>
      </c>
      <c r="L2355" s="13" t="str">
        <f>IFERROR(VLOOKUP(C2355,'Справочник соответствий'!A$2:D$2981,3,FALSE),IF(VALUE(C2355)=0,"ЭТАЖ НЕ ОПРЕДЕЛЕН. ПРИНЯТ ПО ДОПУЩЕНИЮ 1",VLOOKUP(C2355,'Справочник соответствий'!A$2:D$2981,3,FALSE)))</f>
        <v>ЭТАЖ ЗАДАН ЧИСЛОМ</v>
      </c>
      <c r="M2355" s="13" t="b">
        <f t="shared" si="253"/>
        <v>0</v>
      </c>
      <c r="N2355" s="13">
        <f t="shared" si="254"/>
        <v>2</v>
      </c>
      <c r="O2355" s="13" t="str">
        <f t="shared" si="255"/>
        <v>ЭТАЖ ЗАДАН ЧИСЛОМ</v>
      </c>
      <c r="P2355" s="13" t="str">
        <f t="shared" si="256"/>
        <v>ЭТАЖ ЗАДАН ЧИСЛОМ</v>
      </c>
      <c r="Q2355" s="13" t="str">
        <f t="shared" si="257"/>
        <v>ГОТОВ_ИЗМЕНЕН</v>
      </c>
      <c r="R2355" s="13">
        <f>IFERROR(VLOOKUP(P2355,Лист1!A$1:B$20,2,FALSE),0)</f>
        <v>784</v>
      </c>
      <c r="S2355" s="13">
        <f t="shared" si="258"/>
        <v>0</v>
      </c>
    </row>
    <row r="2356" spans="1:19" x14ac:dyDescent="0.25">
      <c r="A2356" s="24" t="s">
        <v>3485</v>
      </c>
      <c r="B2356" s="4" t="s">
        <v>1063</v>
      </c>
      <c r="C2356" s="25" t="s">
        <v>5</v>
      </c>
      <c r="G2356" s="25" t="s">
        <v>1195</v>
      </c>
      <c r="H2356" s="24" t="s">
        <v>1061</v>
      </c>
      <c r="I2356" s="3" t="str">
        <f>IFERROR(VLOOKUP(C2356,'Справочник соответствий'!A$2:D$2981,2,FALSE),IF(VALUE(C2356)=0,1,VLOOKUP(C2356,'Справочник соответствий'!A$2:D$2981,2,FALSE)))</f>
        <v>1</v>
      </c>
      <c r="J2356" s="3">
        <f>IFERROR(VLOOKUP(D2356,'Справочник соответствий'!A$2:D$2981,2,FALSE),IF(VALUE(D2356)=0,0,VLOOKUP(D2356,'Справочник соответствий'!A$2:D$2981,2,FALSE)))</f>
        <v>0</v>
      </c>
      <c r="K2356" s="3" t="str">
        <f t="shared" si="252"/>
        <v>1</v>
      </c>
      <c r="L2356" s="13" t="str">
        <f>IFERROR(VLOOKUP(C2356,'Справочник соответствий'!A$2:D$2981,3,FALSE),IF(VALUE(C2356)=0,"ЭТАЖ НЕ ОПРЕДЕЛЕН. ПРИНЯТ ПО ДОПУЩЕНИЮ 1",VLOOKUP(C2356,'Справочник соответствий'!A$2:D$2981,3,FALSE)))</f>
        <v>ЭТАЖ ЗАДАН ЧИСЛОМ</v>
      </c>
      <c r="M2356" s="13" t="b">
        <f t="shared" si="253"/>
        <v>0</v>
      </c>
      <c r="N2356" s="13">
        <f t="shared" si="254"/>
        <v>1</v>
      </c>
      <c r="O2356" s="13" t="str">
        <f t="shared" si="255"/>
        <v>ЭТАЖ ЗАДАН ЧИСЛОМ</v>
      </c>
      <c r="P2356" s="13" t="str">
        <f t="shared" si="256"/>
        <v>ЭТАЖ ЗАДАН ЧИСЛОМ</v>
      </c>
      <c r="Q2356" s="13" t="str">
        <f t="shared" si="257"/>
        <v>ГОТОВ_ИЗМЕНЕН</v>
      </c>
      <c r="R2356" s="13">
        <f>IFERROR(VLOOKUP(P2356,Лист1!A$1:B$20,2,FALSE),0)</f>
        <v>784</v>
      </c>
      <c r="S2356" s="13">
        <f t="shared" si="258"/>
        <v>0</v>
      </c>
    </row>
    <row r="2357" spans="1:19" x14ac:dyDescent="0.25">
      <c r="A2357" s="24" t="s">
        <v>3486</v>
      </c>
      <c r="B2357" s="4" t="s">
        <v>1063</v>
      </c>
      <c r="C2357" s="25" t="s">
        <v>5</v>
      </c>
      <c r="G2357" s="25" t="s">
        <v>1195</v>
      </c>
      <c r="H2357" s="24" t="s">
        <v>1061</v>
      </c>
      <c r="I2357" s="3" t="str">
        <f>IFERROR(VLOOKUP(C2357,'Справочник соответствий'!A$2:D$2981,2,FALSE),IF(VALUE(C2357)=0,1,VLOOKUP(C2357,'Справочник соответствий'!A$2:D$2981,2,FALSE)))</f>
        <v>1</v>
      </c>
      <c r="J2357" s="3">
        <f>IFERROR(VLOOKUP(D2357,'Справочник соответствий'!A$2:D$2981,2,FALSE),IF(VALUE(D2357)=0,0,VLOOKUP(D2357,'Справочник соответствий'!A$2:D$2981,2,FALSE)))</f>
        <v>0</v>
      </c>
      <c r="K2357" s="3" t="str">
        <f t="shared" si="252"/>
        <v>1</v>
      </c>
      <c r="L2357" s="13" t="str">
        <f>IFERROR(VLOOKUP(C2357,'Справочник соответствий'!A$2:D$2981,3,FALSE),IF(VALUE(C2357)=0,"ЭТАЖ НЕ ОПРЕДЕЛЕН. ПРИНЯТ ПО ДОПУЩЕНИЮ 1",VLOOKUP(C2357,'Справочник соответствий'!A$2:D$2981,3,FALSE)))</f>
        <v>ЭТАЖ ЗАДАН ЧИСЛОМ</v>
      </c>
      <c r="M2357" s="13" t="b">
        <f t="shared" si="253"/>
        <v>0</v>
      </c>
      <c r="N2357" s="13">
        <f t="shared" si="254"/>
        <v>1</v>
      </c>
      <c r="O2357" s="13" t="str">
        <f t="shared" si="255"/>
        <v>ЭТАЖ ЗАДАН ЧИСЛОМ</v>
      </c>
      <c r="P2357" s="13" t="str">
        <f t="shared" si="256"/>
        <v>ЭТАЖ ЗАДАН ЧИСЛОМ</v>
      </c>
      <c r="Q2357" s="13" t="str">
        <f t="shared" si="257"/>
        <v>ГОТОВ_ИЗМЕНЕН</v>
      </c>
      <c r="R2357" s="13">
        <f>IFERROR(VLOOKUP(P2357,Лист1!A$1:B$20,2,FALSE),0)</f>
        <v>784</v>
      </c>
      <c r="S2357" s="13">
        <f t="shared" si="258"/>
        <v>0</v>
      </c>
    </row>
    <row r="2358" spans="1:19" x14ac:dyDescent="0.25">
      <c r="A2358" s="24" t="s">
        <v>3487</v>
      </c>
      <c r="B2358" s="4" t="s">
        <v>1059</v>
      </c>
      <c r="C2358" s="25" t="s">
        <v>5</v>
      </c>
      <c r="G2358" s="25" t="s">
        <v>1195</v>
      </c>
      <c r="H2358" s="24" t="s">
        <v>1061</v>
      </c>
      <c r="I2358" s="3" t="str">
        <f>IFERROR(VLOOKUP(C2358,'Справочник соответствий'!A$2:D$2981,2,FALSE),IF(VALUE(C2358)=0,1,VLOOKUP(C2358,'Справочник соответствий'!A$2:D$2981,2,FALSE)))</f>
        <v>1</v>
      </c>
      <c r="J2358" s="3">
        <f>IFERROR(VLOOKUP(D2358,'Справочник соответствий'!A$2:D$2981,2,FALSE),IF(VALUE(D2358)=0,0,VLOOKUP(D2358,'Справочник соответствий'!A$2:D$2981,2,FALSE)))</f>
        <v>0</v>
      </c>
      <c r="K2358" s="3" t="str">
        <f t="shared" si="252"/>
        <v>1</v>
      </c>
      <c r="L2358" s="13" t="str">
        <f>IFERROR(VLOOKUP(C2358,'Справочник соответствий'!A$2:D$2981,3,FALSE),IF(VALUE(C2358)=0,"ЭТАЖ НЕ ОПРЕДЕЛЕН. ПРИНЯТ ПО ДОПУЩЕНИЮ 1",VLOOKUP(C2358,'Справочник соответствий'!A$2:D$2981,3,FALSE)))</f>
        <v>ЭТАЖ ЗАДАН ЧИСЛОМ</v>
      </c>
      <c r="M2358" s="13" t="b">
        <f t="shared" si="253"/>
        <v>0</v>
      </c>
      <c r="N2358" s="13">
        <f t="shared" si="254"/>
        <v>1</v>
      </c>
      <c r="O2358" s="13" t="str">
        <f t="shared" si="255"/>
        <v>ЭТАЖ ЗАДАН ЧИСЛОМ</v>
      </c>
      <c r="P2358" s="13" t="str">
        <f t="shared" si="256"/>
        <v>ЭТАЖ ЗАДАН ЧИСЛОМ</v>
      </c>
      <c r="Q2358" s="13" t="str">
        <f t="shared" si="257"/>
        <v>ГОТОВ_ИЗМЕНЕН</v>
      </c>
      <c r="R2358" s="13">
        <f>IFERROR(VLOOKUP(P2358,Лист1!A$1:B$20,2,FALSE),0)</f>
        <v>784</v>
      </c>
      <c r="S2358" s="13">
        <f t="shared" si="258"/>
        <v>0</v>
      </c>
    </row>
    <row r="2359" spans="1:19" x14ac:dyDescent="0.25">
      <c r="A2359" s="24" t="s">
        <v>3488</v>
      </c>
      <c r="B2359" s="4" t="s">
        <v>1063</v>
      </c>
      <c r="C2359" s="25" t="s">
        <v>5</v>
      </c>
      <c r="G2359" s="25" t="s">
        <v>1195</v>
      </c>
      <c r="H2359" s="24" t="s">
        <v>1061</v>
      </c>
      <c r="I2359" s="3" t="str">
        <f>IFERROR(VLOOKUP(C2359,'Справочник соответствий'!A$2:D$2981,2,FALSE),IF(VALUE(C2359)=0,1,VLOOKUP(C2359,'Справочник соответствий'!A$2:D$2981,2,FALSE)))</f>
        <v>1</v>
      </c>
      <c r="J2359" s="3">
        <f>IFERROR(VLOOKUP(D2359,'Справочник соответствий'!A$2:D$2981,2,FALSE),IF(VALUE(D2359)=0,0,VLOOKUP(D2359,'Справочник соответствий'!A$2:D$2981,2,FALSE)))</f>
        <v>0</v>
      </c>
      <c r="K2359" s="3" t="str">
        <f t="shared" si="252"/>
        <v>1</v>
      </c>
      <c r="L2359" s="13" t="str">
        <f>IFERROR(VLOOKUP(C2359,'Справочник соответствий'!A$2:D$2981,3,FALSE),IF(VALUE(C2359)=0,"ЭТАЖ НЕ ОПРЕДЕЛЕН. ПРИНЯТ ПО ДОПУЩЕНИЮ 1",VLOOKUP(C2359,'Справочник соответствий'!A$2:D$2981,3,FALSE)))</f>
        <v>ЭТАЖ ЗАДАН ЧИСЛОМ</v>
      </c>
      <c r="M2359" s="13" t="b">
        <f t="shared" si="253"/>
        <v>0</v>
      </c>
      <c r="N2359" s="13">
        <f t="shared" si="254"/>
        <v>1</v>
      </c>
      <c r="O2359" s="13" t="str">
        <f t="shared" si="255"/>
        <v>ЭТАЖ ЗАДАН ЧИСЛОМ</v>
      </c>
      <c r="P2359" s="13" t="str">
        <f t="shared" si="256"/>
        <v>ЭТАЖ ЗАДАН ЧИСЛОМ</v>
      </c>
      <c r="Q2359" s="13" t="str">
        <f t="shared" si="257"/>
        <v>ГОТОВ_ИЗМЕНЕН</v>
      </c>
      <c r="R2359" s="13">
        <f>IFERROR(VLOOKUP(P2359,Лист1!A$1:B$20,2,FALSE),0)</f>
        <v>784</v>
      </c>
      <c r="S2359" s="13">
        <f t="shared" si="258"/>
        <v>0</v>
      </c>
    </row>
    <row r="2360" spans="1:19" x14ac:dyDescent="0.25">
      <c r="A2360" s="24" t="s">
        <v>3489</v>
      </c>
      <c r="B2360" s="4" t="s">
        <v>1059</v>
      </c>
      <c r="C2360" s="25" t="s">
        <v>8</v>
      </c>
      <c r="G2360" s="25" t="s">
        <v>1195</v>
      </c>
      <c r="H2360" s="24" t="s">
        <v>1061</v>
      </c>
      <c r="I2360" s="3" t="str">
        <f>IFERROR(VLOOKUP(C2360,'Справочник соответствий'!A$2:D$2981,2,FALSE),IF(VALUE(C2360)=0,1,VLOOKUP(C2360,'Справочник соответствий'!A$2:D$2981,2,FALSE)))</f>
        <v>3</v>
      </c>
      <c r="J2360" s="3">
        <f>IFERROR(VLOOKUP(D2360,'Справочник соответствий'!A$2:D$2981,2,FALSE),IF(VALUE(D2360)=0,0,VLOOKUP(D2360,'Справочник соответствий'!A$2:D$2981,2,FALSE)))</f>
        <v>0</v>
      </c>
      <c r="K2360" s="3" t="str">
        <f t="shared" si="252"/>
        <v>3</v>
      </c>
      <c r="L2360" s="13" t="str">
        <f>IFERROR(VLOOKUP(C2360,'Справочник соответствий'!A$2:D$2981,3,FALSE),IF(VALUE(C2360)=0,"ЭТАЖ НЕ ОПРЕДЕЛЕН. ПРИНЯТ ПО ДОПУЩЕНИЮ 1",VLOOKUP(C2360,'Справочник соответствий'!A$2:D$2981,3,FALSE)))</f>
        <v>ЭТАЖ ЗАДАН ЧИСЛОМ</v>
      </c>
      <c r="M2360" s="13" t="b">
        <f t="shared" si="253"/>
        <v>0</v>
      </c>
      <c r="N2360" s="13">
        <f t="shared" si="254"/>
        <v>3</v>
      </c>
      <c r="O2360" s="13" t="str">
        <f t="shared" si="255"/>
        <v>ЭТАЖ ЗАДАН ЧИСЛОМ</v>
      </c>
      <c r="P2360" s="13" t="str">
        <f t="shared" si="256"/>
        <v>ЭТАЖ ЗАДАН ЧИСЛОМ</v>
      </c>
      <c r="Q2360" s="13" t="str">
        <f t="shared" si="257"/>
        <v>ГОТОВ_ИЗМЕНЕН</v>
      </c>
      <c r="R2360" s="13">
        <f>IFERROR(VLOOKUP(P2360,Лист1!A$1:B$20,2,FALSE),0)</f>
        <v>784</v>
      </c>
      <c r="S2360" s="13">
        <f t="shared" si="258"/>
        <v>0</v>
      </c>
    </row>
    <row r="2361" spans="1:19" x14ac:dyDescent="0.25">
      <c r="A2361" s="24" t="s">
        <v>3490</v>
      </c>
      <c r="B2361" s="4" t="s">
        <v>1063</v>
      </c>
      <c r="G2361" s="25" t="s">
        <v>1195</v>
      </c>
      <c r="H2361" s="24" t="s">
        <v>1061</v>
      </c>
      <c r="I2361" s="3">
        <f>IFERROR(VLOOKUP(C2361,'Справочник соответствий'!A$2:D$2981,2,FALSE),IF(VALUE(C2361)=0,1,VLOOKUP(C2361,'Справочник соответствий'!A$2:D$2981,2,FALSE)))</f>
        <v>1</v>
      </c>
      <c r="J2361" s="3">
        <f>IFERROR(VLOOKUP(D2361,'Справочник соответствий'!A$2:D$2981,2,FALSE),IF(VALUE(D2361)=0,0,VLOOKUP(D2361,'Справочник соответствий'!A$2:D$2981,2,FALSE)))</f>
        <v>0</v>
      </c>
      <c r="K2361" s="3">
        <f t="shared" si="252"/>
        <v>1</v>
      </c>
      <c r="L2361" s="13" t="str">
        <f>IFERROR(VLOOKUP(C2361,'Справочник соответствий'!A$2:D$2981,3,FALSE),IF(VALUE(C2361)=0,"ЭТАЖ НЕ ОПРЕДЕЛЕН. ПРИНЯТ ПО ДОПУЩЕНИЮ 1",VLOOKUP(C2361,'Справочник соответствий'!A$2:D$2981,3,FALSE)))</f>
        <v>ЭТАЖ НЕ ОПРЕДЕЛЕН. ПРИНЯТ ПО ДОПУЩЕНИЮ 1</v>
      </c>
      <c r="M2361" s="13" t="b">
        <f t="shared" si="253"/>
        <v>0</v>
      </c>
      <c r="N2361" s="13">
        <f t="shared" si="254"/>
        <v>1</v>
      </c>
      <c r="O2361" s="13" t="str">
        <f t="shared" si="255"/>
        <v>ЭТАЖ НЕ ОПРЕДЕЛЕН. ПРИНЯТ ПО ДОПУЩЕНИЮ 1</v>
      </c>
      <c r="P2361" s="13" t="str">
        <f t="shared" si="256"/>
        <v>ЭТАЖ НЕ ОПРЕДЕЛЕН. ПРИНЯТ ПО ДОПУЩЕНИЮ 1</v>
      </c>
      <c r="Q2361" s="13" t="str">
        <f t="shared" si="257"/>
        <v>ГОТОВ_ИЗМЕНЕН</v>
      </c>
      <c r="R2361" s="13">
        <f>IFERROR(VLOOKUP(P2361,Лист1!A$1:B$20,2,FALSE),0)</f>
        <v>788</v>
      </c>
      <c r="S2361" s="13">
        <f t="shared" si="258"/>
        <v>0</v>
      </c>
    </row>
    <row r="2362" spans="1:19" x14ac:dyDescent="0.25">
      <c r="A2362" s="24" t="s">
        <v>3491</v>
      </c>
      <c r="B2362" s="4" t="s">
        <v>1059</v>
      </c>
      <c r="C2362" s="25" t="s">
        <v>5</v>
      </c>
      <c r="G2362" s="25" t="s">
        <v>1195</v>
      </c>
      <c r="H2362" s="24" t="s">
        <v>1061</v>
      </c>
      <c r="I2362" s="3" t="str">
        <f>IFERROR(VLOOKUP(C2362,'Справочник соответствий'!A$2:D$2981,2,FALSE),IF(VALUE(C2362)=0,1,VLOOKUP(C2362,'Справочник соответствий'!A$2:D$2981,2,FALSE)))</f>
        <v>1</v>
      </c>
      <c r="J2362" s="3">
        <f>IFERROR(VLOOKUP(D2362,'Справочник соответствий'!A$2:D$2981,2,FALSE),IF(VALUE(D2362)=0,0,VLOOKUP(D2362,'Справочник соответствий'!A$2:D$2981,2,FALSE)))</f>
        <v>0</v>
      </c>
      <c r="K2362" s="3" t="str">
        <f t="shared" si="252"/>
        <v>1</v>
      </c>
      <c r="L2362" s="13" t="str">
        <f>IFERROR(VLOOKUP(C2362,'Справочник соответствий'!A$2:D$2981,3,FALSE),IF(VALUE(C2362)=0,"ЭТАЖ НЕ ОПРЕДЕЛЕН. ПРИНЯТ ПО ДОПУЩЕНИЮ 1",VLOOKUP(C2362,'Справочник соответствий'!A$2:D$2981,3,FALSE)))</f>
        <v>ЭТАЖ ЗАДАН ЧИСЛОМ</v>
      </c>
      <c r="M2362" s="13" t="b">
        <f t="shared" si="253"/>
        <v>0</v>
      </c>
      <c r="N2362" s="13">
        <f t="shared" si="254"/>
        <v>1</v>
      </c>
      <c r="O2362" s="13" t="str">
        <f t="shared" si="255"/>
        <v>ЭТАЖ ЗАДАН ЧИСЛОМ</v>
      </c>
      <c r="P2362" s="13" t="str">
        <f t="shared" si="256"/>
        <v>ЭТАЖ ЗАДАН ЧИСЛОМ</v>
      </c>
      <c r="Q2362" s="13" t="str">
        <f t="shared" si="257"/>
        <v>ГОТОВ_ИЗМЕНЕН</v>
      </c>
      <c r="R2362" s="13">
        <f>IFERROR(VLOOKUP(P2362,Лист1!A$1:B$20,2,FALSE),0)</f>
        <v>784</v>
      </c>
      <c r="S2362" s="13">
        <f t="shared" si="258"/>
        <v>0</v>
      </c>
    </row>
    <row r="2363" spans="1:19" x14ac:dyDescent="0.25">
      <c r="A2363" s="24" t="s">
        <v>3492</v>
      </c>
      <c r="B2363" s="4" t="s">
        <v>1059</v>
      </c>
      <c r="C2363" s="25" t="s">
        <v>7</v>
      </c>
      <c r="G2363" s="25" t="s">
        <v>1203</v>
      </c>
      <c r="H2363" s="24" t="s">
        <v>1061</v>
      </c>
      <c r="I2363" s="3" t="str">
        <f>IFERROR(VLOOKUP(C2363,'Справочник соответствий'!A$2:D$2981,2,FALSE),IF(VALUE(C2363)=0,1,VLOOKUP(C2363,'Справочник соответствий'!A$2:D$2981,2,FALSE)))</f>
        <v>2</v>
      </c>
      <c r="J2363" s="3">
        <f>IFERROR(VLOOKUP(D2363,'Справочник соответствий'!A$2:D$2981,2,FALSE),IF(VALUE(D2363)=0,0,VLOOKUP(D2363,'Справочник соответствий'!A$2:D$2981,2,FALSE)))</f>
        <v>0</v>
      </c>
      <c r="K2363" s="3" t="str">
        <f t="shared" si="252"/>
        <v>2</v>
      </c>
      <c r="L2363" s="13" t="str">
        <f>IFERROR(VLOOKUP(C2363,'Справочник соответствий'!A$2:D$2981,3,FALSE),IF(VALUE(C2363)=0,"ЭТАЖ НЕ ОПРЕДЕЛЕН. ПРИНЯТ ПО ДОПУЩЕНИЮ 1",VLOOKUP(C2363,'Справочник соответствий'!A$2:D$2981,3,FALSE)))</f>
        <v>ЭТАЖ ЗАДАН ЧИСЛОМ</v>
      </c>
      <c r="M2363" s="13" t="b">
        <f t="shared" si="253"/>
        <v>0</v>
      </c>
      <c r="N2363" s="13">
        <f t="shared" si="254"/>
        <v>2</v>
      </c>
      <c r="O2363" s="13" t="str">
        <f t="shared" si="255"/>
        <v>ЭТАЖ ЗАДАН ЧИСЛОМ</v>
      </c>
      <c r="P2363" s="13" t="str">
        <f t="shared" si="256"/>
        <v>ЭТАЖ ЗАДАН ЧИСЛОМ</v>
      </c>
      <c r="Q2363" s="13" t="str">
        <f t="shared" si="257"/>
        <v>ГОТОВ_ИЗМЕНЕН</v>
      </c>
      <c r="R2363" s="13">
        <f>IFERROR(VLOOKUP(P2363,Лист1!A$1:B$20,2,FALSE),0)</f>
        <v>784</v>
      </c>
      <c r="S2363" s="13">
        <f t="shared" si="258"/>
        <v>0</v>
      </c>
    </row>
    <row r="2364" spans="1:19" x14ac:dyDescent="0.25">
      <c r="A2364" s="24" t="s">
        <v>3493</v>
      </c>
      <c r="B2364" s="4" t="s">
        <v>1059</v>
      </c>
      <c r="C2364" s="25" t="s">
        <v>5</v>
      </c>
      <c r="G2364" s="25" t="s">
        <v>1205</v>
      </c>
      <c r="H2364" s="24" t="s">
        <v>1061</v>
      </c>
      <c r="I2364" s="3" t="str">
        <f>IFERROR(VLOOKUP(C2364,'Справочник соответствий'!A$2:D$2981,2,FALSE),IF(VALUE(C2364)=0,1,VLOOKUP(C2364,'Справочник соответствий'!A$2:D$2981,2,FALSE)))</f>
        <v>1</v>
      </c>
      <c r="J2364" s="3">
        <f>IFERROR(VLOOKUP(D2364,'Справочник соответствий'!A$2:D$2981,2,FALSE),IF(VALUE(D2364)=0,0,VLOOKUP(D2364,'Справочник соответствий'!A$2:D$2981,2,FALSE)))</f>
        <v>0</v>
      </c>
      <c r="K2364" s="3" t="str">
        <f t="shared" si="252"/>
        <v>1</v>
      </c>
      <c r="L2364" s="13" t="str">
        <f>IFERROR(VLOOKUP(C2364,'Справочник соответствий'!A$2:D$2981,3,FALSE),IF(VALUE(C2364)=0,"ЭТАЖ НЕ ОПРЕДЕЛЕН. ПРИНЯТ ПО ДОПУЩЕНИЮ 1",VLOOKUP(C2364,'Справочник соответствий'!A$2:D$2981,3,FALSE)))</f>
        <v>ЭТАЖ ЗАДАН ЧИСЛОМ</v>
      </c>
      <c r="M2364" s="13" t="b">
        <f t="shared" si="253"/>
        <v>0</v>
      </c>
      <c r="N2364" s="13">
        <f t="shared" si="254"/>
        <v>1</v>
      </c>
      <c r="O2364" s="13" t="str">
        <f t="shared" si="255"/>
        <v>ЭТАЖ ЗАДАН ЧИСЛОМ</v>
      </c>
      <c r="P2364" s="13" t="str">
        <f t="shared" si="256"/>
        <v>ЭТАЖ ЗАДАН ЧИСЛОМ</v>
      </c>
      <c r="Q2364" s="13" t="str">
        <f t="shared" si="257"/>
        <v>ГОТОВ_ИЗМЕНЕН</v>
      </c>
      <c r="R2364" s="13">
        <f>IFERROR(VLOOKUP(P2364,Лист1!A$1:B$20,2,FALSE),0)</f>
        <v>784</v>
      </c>
      <c r="S2364" s="13">
        <f t="shared" si="258"/>
        <v>0</v>
      </c>
    </row>
    <row r="2365" spans="1:19" x14ac:dyDescent="0.25">
      <c r="A2365" s="24" t="s">
        <v>3494</v>
      </c>
      <c r="B2365" s="4" t="s">
        <v>1059</v>
      </c>
      <c r="C2365" s="25" t="s">
        <v>7</v>
      </c>
      <c r="G2365" s="25" t="s">
        <v>1205</v>
      </c>
      <c r="H2365" s="24" t="s">
        <v>1061</v>
      </c>
      <c r="I2365" s="3" t="str">
        <f>IFERROR(VLOOKUP(C2365,'Справочник соответствий'!A$2:D$2981,2,FALSE),IF(VALUE(C2365)=0,1,VLOOKUP(C2365,'Справочник соответствий'!A$2:D$2981,2,FALSE)))</f>
        <v>2</v>
      </c>
      <c r="J2365" s="3">
        <f>IFERROR(VLOOKUP(D2365,'Справочник соответствий'!A$2:D$2981,2,FALSE),IF(VALUE(D2365)=0,0,VLOOKUP(D2365,'Справочник соответствий'!A$2:D$2981,2,FALSE)))</f>
        <v>0</v>
      </c>
      <c r="K2365" s="3" t="str">
        <f t="shared" si="252"/>
        <v>2</v>
      </c>
      <c r="L2365" s="13" t="str">
        <f>IFERROR(VLOOKUP(C2365,'Справочник соответствий'!A$2:D$2981,3,FALSE),IF(VALUE(C2365)=0,"ЭТАЖ НЕ ОПРЕДЕЛЕН. ПРИНЯТ ПО ДОПУЩЕНИЮ 1",VLOOKUP(C2365,'Справочник соответствий'!A$2:D$2981,3,FALSE)))</f>
        <v>ЭТАЖ ЗАДАН ЧИСЛОМ</v>
      </c>
      <c r="M2365" s="13" t="b">
        <f t="shared" si="253"/>
        <v>0</v>
      </c>
      <c r="N2365" s="13">
        <f t="shared" si="254"/>
        <v>2</v>
      </c>
      <c r="O2365" s="13" t="str">
        <f t="shared" si="255"/>
        <v>ЭТАЖ ЗАДАН ЧИСЛОМ</v>
      </c>
      <c r="P2365" s="13" t="str">
        <f t="shared" si="256"/>
        <v>ЭТАЖ ЗАДАН ЧИСЛОМ</v>
      </c>
      <c r="Q2365" s="13" t="str">
        <f t="shared" si="257"/>
        <v>ГОТОВ_ИЗМЕНЕН</v>
      </c>
      <c r="R2365" s="13">
        <f>IFERROR(VLOOKUP(P2365,Лист1!A$1:B$20,2,FALSE),0)</f>
        <v>784</v>
      </c>
      <c r="S2365" s="13">
        <f t="shared" si="258"/>
        <v>0</v>
      </c>
    </row>
    <row r="2366" spans="1:19" x14ac:dyDescent="0.25">
      <c r="A2366" s="24" t="s">
        <v>3495</v>
      </c>
      <c r="B2366" s="4" t="s">
        <v>1063</v>
      </c>
      <c r="C2366" s="25" t="s">
        <v>5</v>
      </c>
      <c r="G2366" s="25" t="s">
        <v>1205</v>
      </c>
      <c r="H2366" s="24" t="s">
        <v>1061</v>
      </c>
      <c r="I2366" s="3" t="str">
        <f>IFERROR(VLOOKUP(C2366,'Справочник соответствий'!A$2:D$2981,2,FALSE),IF(VALUE(C2366)=0,1,VLOOKUP(C2366,'Справочник соответствий'!A$2:D$2981,2,FALSE)))</f>
        <v>1</v>
      </c>
      <c r="J2366" s="3">
        <f>IFERROR(VLOOKUP(D2366,'Справочник соответствий'!A$2:D$2981,2,FALSE),IF(VALUE(D2366)=0,0,VLOOKUP(D2366,'Справочник соответствий'!A$2:D$2981,2,FALSE)))</f>
        <v>0</v>
      </c>
      <c r="K2366" s="3" t="str">
        <f t="shared" si="252"/>
        <v>1</v>
      </c>
      <c r="L2366" s="13" t="str">
        <f>IFERROR(VLOOKUP(C2366,'Справочник соответствий'!A$2:D$2981,3,FALSE),IF(VALUE(C2366)=0,"ЭТАЖ НЕ ОПРЕДЕЛЕН. ПРИНЯТ ПО ДОПУЩЕНИЮ 1",VLOOKUP(C2366,'Справочник соответствий'!A$2:D$2981,3,FALSE)))</f>
        <v>ЭТАЖ ЗАДАН ЧИСЛОМ</v>
      </c>
      <c r="M2366" s="13" t="b">
        <f t="shared" si="253"/>
        <v>0</v>
      </c>
      <c r="N2366" s="13">
        <f t="shared" si="254"/>
        <v>1</v>
      </c>
      <c r="O2366" s="13" t="str">
        <f t="shared" si="255"/>
        <v>ЭТАЖ ЗАДАН ЧИСЛОМ</v>
      </c>
      <c r="P2366" s="13" t="str">
        <f t="shared" si="256"/>
        <v>ЭТАЖ ЗАДАН ЧИСЛОМ</v>
      </c>
      <c r="Q2366" s="13" t="str">
        <f t="shared" si="257"/>
        <v>ГОТОВ_ИЗМЕНЕН</v>
      </c>
      <c r="R2366" s="13">
        <f>IFERROR(VLOOKUP(P2366,Лист1!A$1:B$20,2,FALSE),0)</f>
        <v>784</v>
      </c>
      <c r="S2366" s="13">
        <f t="shared" si="258"/>
        <v>0</v>
      </c>
    </row>
    <row r="2367" spans="1:19" x14ac:dyDescent="0.25">
      <c r="A2367" s="24" t="s">
        <v>3496</v>
      </c>
      <c r="B2367" s="4" t="s">
        <v>1059</v>
      </c>
      <c r="C2367" s="25" t="s">
        <v>5</v>
      </c>
      <c r="G2367" s="25" t="s">
        <v>1205</v>
      </c>
      <c r="H2367" s="24" t="s">
        <v>1061</v>
      </c>
      <c r="I2367" s="3" t="str">
        <f>IFERROR(VLOOKUP(C2367,'Справочник соответствий'!A$2:D$2981,2,FALSE),IF(VALUE(C2367)=0,1,VLOOKUP(C2367,'Справочник соответствий'!A$2:D$2981,2,FALSE)))</f>
        <v>1</v>
      </c>
      <c r="J2367" s="3">
        <f>IFERROR(VLOOKUP(D2367,'Справочник соответствий'!A$2:D$2981,2,FALSE),IF(VALUE(D2367)=0,0,VLOOKUP(D2367,'Справочник соответствий'!A$2:D$2981,2,FALSE)))</f>
        <v>0</v>
      </c>
      <c r="K2367" s="3" t="str">
        <f t="shared" si="252"/>
        <v>1</v>
      </c>
      <c r="L2367" s="13" t="str">
        <f>IFERROR(VLOOKUP(C2367,'Справочник соответствий'!A$2:D$2981,3,FALSE),IF(VALUE(C2367)=0,"ЭТАЖ НЕ ОПРЕДЕЛЕН. ПРИНЯТ ПО ДОПУЩЕНИЮ 1",VLOOKUP(C2367,'Справочник соответствий'!A$2:D$2981,3,FALSE)))</f>
        <v>ЭТАЖ ЗАДАН ЧИСЛОМ</v>
      </c>
      <c r="M2367" s="13" t="b">
        <f t="shared" si="253"/>
        <v>0</v>
      </c>
      <c r="N2367" s="13">
        <f t="shared" si="254"/>
        <v>1</v>
      </c>
      <c r="O2367" s="13" t="str">
        <f t="shared" si="255"/>
        <v>ЭТАЖ ЗАДАН ЧИСЛОМ</v>
      </c>
      <c r="P2367" s="13" t="str">
        <f t="shared" si="256"/>
        <v>ЭТАЖ ЗАДАН ЧИСЛОМ</v>
      </c>
      <c r="Q2367" s="13" t="str">
        <f t="shared" si="257"/>
        <v>ГОТОВ_ИЗМЕНЕН</v>
      </c>
      <c r="R2367" s="13">
        <f>IFERROR(VLOOKUP(P2367,Лист1!A$1:B$20,2,FALSE),0)</f>
        <v>784</v>
      </c>
      <c r="S2367" s="13">
        <f t="shared" si="258"/>
        <v>0</v>
      </c>
    </row>
    <row r="2368" spans="1:19" x14ac:dyDescent="0.25">
      <c r="A2368" s="24" t="s">
        <v>3497</v>
      </c>
      <c r="B2368" s="4" t="s">
        <v>1059</v>
      </c>
      <c r="C2368" s="25" t="s">
        <v>5</v>
      </c>
      <c r="G2368" s="25" t="s">
        <v>1205</v>
      </c>
      <c r="H2368" s="24" t="s">
        <v>1061</v>
      </c>
      <c r="I2368" s="3" t="str">
        <f>IFERROR(VLOOKUP(C2368,'Справочник соответствий'!A$2:D$2981,2,FALSE),IF(VALUE(C2368)=0,1,VLOOKUP(C2368,'Справочник соответствий'!A$2:D$2981,2,FALSE)))</f>
        <v>1</v>
      </c>
      <c r="J2368" s="3">
        <f>IFERROR(VLOOKUP(D2368,'Справочник соответствий'!A$2:D$2981,2,FALSE),IF(VALUE(D2368)=0,0,VLOOKUP(D2368,'Справочник соответствий'!A$2:D$2981,2,FALSE)))</f>
        <v>0</v>
      </c>
      <c r="K2368" s="3" t="str">
        <f t="shared" si="252"/>
        <v>1</v>
      </c>
      <c r="L2368" s="13" t="str">
        <f>IFERROR(VLOOKUP(C2368,'Справочник соответствий'!A$2:D$2981,3,FALSE),IF(VALUE(C2368)=0,"ЭТАЖ НЕ ОПРЕДЕЛЕН. ПРИНЯТ ПО ДОПУЩЕНИЮ 1",VLOOKUP(C2368,'Справочник соответствий'!A$2:D$2981,3,FALSE)))</f>
        <v>ЭТАЖ ЗАДАН ЧИСЛОМ</v>
      </c>
      <c r="M2368" s="13" t="b">
        <f t="shared" si="253"/>
        <v>0</v>
      </c>
      <c r="N2368" s="13">
        <f t="shared" si="254"/>
        <v>1</v>
      </c>
      <c r="O2368" s="13" t="str">
        <f t="shared" si="255"/>
        <v>ЭТАЖ ЗАДАН ЧИСЛОМ</v>
      </c>
      <c r="P2368" s="13" t="str">
        <f t="shared" si="256"/>
        <v>ЭТАЖ ЗАДАН ЧИСЛОМ</v>
      </c>
      <c r="Q2368" s="13" t="str">
        <f t="shared" si="257"/>
        <v>ГОТОВ_ИЗМЕНЕН</v>
      </c>
      <c r="R2368" s="13">
        <f>IFERROR(VLOOKUP(P2368,Лист1!A$1:B$20,2,FALSE),0)</f>
        <v>784</v>
      </c>
      <c r="S2368" s="13">
        <f t="shared" si="258"/>
        <v>0</v>
      </c>
    </row>
    <row r="2369" spans="1:19" x14ac:dyDescent="0.25">
      <c r="A2369" s="24" t="s">
        <v>3498</v>
      </c>
      <c r="B2369" s="4" t="s">
        <v>1059</v>
      </c>
      <c r="C2369" s="25" t="s">
        <v>5</v>
      </c>
      <c r="G2369" s="25" t="s">
        <v>1205</v>
      </c>
      <c r="H2369" s="24" t="s">
        <v>1061</v>
      </c>
      <c r="I2369" s="3" t="str">
        <f>IFERROR(VLOOKUP(C2369,'Справочник соответствий'!A$2:D$2981,2,FALSE),IF(VALUE(C2369)=0,1,VLOOKUP(C2369,'Справочник соответствий'!A$2:D$2981,2,FALSE)))</f>
        <v>1</v>
      </c>
      <c r="J2369" s="3">
        <f>IFERROR(VLOOKUP(D2369,'Справочник соответствий'!A$2:D$2981,2,FALSE),IF(VALUE(D2369)=0,0,VLOOKUP(D2369,'Справочник соответствий'!A$2:D$2981,2,FALSE)))</f>
        <v>0</v>
      </c>
      <c r="K2369" s="3" t="str">
        <f t="shared" si="252"/>
        <v>1</v>
      </c>
      <c r="L2369" s="13" t="str">
        <f>IFERROR(VLOOKUP(C2369,'Справочник соответствий'!A$2:D$2981,3,FALSE),IF(VALUE(C2369)=0,"ЭТАЖ НЕ ОПРЕДЕЛЕН. ПРИНЯТ ПО ДОПУЩЕНИЮ 1",VLOOKUP(C2369,'Справочник соответствий'!A$2:D$2981,3,FALSE)))</f>
        <v>ЭТАЖ ЗАДАН ЧИСЛОМ</v>
      </c>
      <c r="M2369" s="13" t="b">
        <f t="shared" si="253"/>
        <v>0</v>
      </c>
      <c r="N2369" s="13">
        <f t="shared" si="254"/>
        <v>1</v>
      </c>
      <c r="O2369" s="13" t="str">
        <f t="shared" si="255"/>
        <v>ЭТАЖ ЗАДАН ЧИСЛОМ</v>
      </c>
      <c r="P2369" s="13" t="str">
        <f t="shared" si="256"/>
        <v>ЭТАЖ ЗАДАН ЧИСЛОМ</v>
      </c>
      <c r="Q2369" s="13" t="str">
        <f t="shared" si="257"/>
        <v>ГОТОВ_ИЗМЕНЕН</v>
      </c>
      <c r="R2369" s="13">
        <f>IFERROR(VLOOKUP(P2369,Лист1!A$1:B$20,2,FALSE),0)</f>
        <v>784</v>
      </c>
      <c r="S2369" s="13">
        <f t="shared" si="258"/>
        <v>0</v>
      </c>
    </row>
    <row r="2370" spans="1:19" x14ac:dyDescent="0.25">
      <c r="A2370" s="24" t="s">
        <v>3499</v>
      </c>
      <c r="B2370" s="4" t="s">
        <v>1063</v>
      </c>
      <c r="C2370" s="25" t="s">
        <v>5</v>
      </c>
      <c r="G2370" s="25" t="s">
        <v>1174</v>
      </c>
      <c r="H2370" s="24" t="s">
        <v>1061</v>
      </c>
      <c r="I2370" s="3" t="str">
        <f>IFERROR(VLOOKUP(C2370,'Справочник соответствий'!A$2:D$2981,2,FALSE),IF(VALUE(C2370)=0,1,VLOOKUP(C2370,'Справочник соответствий'!A$2:D$2981,2,FALSE)))</f>
        <v>1</v>
      </c>
      <c r="J2370" s="3">
        <f>IFERROR(VLOOKUP(D2370,'Справочник соответствий'!A$2:D$2981,2,FALSE),IF(VALUE(D2370)=0,0,VLOOKUP(D2370,'Справочник соответствий'!A$2:D$2981,2,FALSE)))</f>
        <v>0</v>
      </c>
      <c r="K2370" s="3" t="str">
        <f t="shared" si="252"/>
        <v>1</v>
      </c>
      <c r="L2370" s="13" t="str">
        <f>IFERROR(VLOOKUP(C2370,'Справочник соответствий'!A$2:D$2981,3,FALSE),IF(VALUE(C2370)=0,"ЭТАЖ НЕ ОПРЕДЕЛЕН. ПРИНЯТ ПО ДОПУЩЕНИЮ 1",VLOOKUP(C2370,'Справочник соответствий'!A$2:D$2981,3,FALSE)))</f>
        <v>ЭТАЖ ЗАДАН ЧИСЛОМ</v>
      </c>
      <c r="M2370" s="13" t="b">
        <f t="shared" si="253"/>
        <v>0</v>
      </c>
      <c r="N2370" s="13">
        <f t="shared" si="254"/>
        <v>1</v>
      </c>
      <c r="O2370" s="13" t="str">
        <f t="shared" si="255"/>
        <v>ЭТАЖ ЗАДАН ЧИСЛОМ</v>
      </c>
      <c r="P2370" s="13" t="str">
        <f t="shared" si="256"/>
        <v>ЭТАЖ ЗАДАН ЧИСЛОМ</v>
      </c>
      <c r="Q2370" s="13" t="str">
        <f t="shared" si="257"/>
        <v>ГОТОВ_ИЗМЕНЕН</v>
      </c>
      <c r="R2370" s="13">
        <f>IFERROR(VLOOKUP(P2370,Лист1!A$1:B$20,2,FALSE),0)</f>
        <v>784</v>
      </c>
      <c r="S2370" s="13">
        <f t="shared" si="258"/>
        <v>0</v>
      </c>
    </row>
    <row r="2371" spans="1:19" x14ac:dyDescent="0.25">
      <c r="A2371" s="24" t="s">
        <v>3500</v>
      </c>
      <c r="B2371" s="4" t="s">
        <v>1063</v>
      </c>
      <c r="C2371" s="25" t="s">
        <v>5</v>
      </c>
      <c r="G2371" s="25" t="s">
        <v>1205</v>
      </c>
      <c r="H2371" s="24" t="s">
        <v>1061</v>
      </c>
      <c r="I2371" s="3" t="str">
        <f>IFERROR(VLOOKUP(C2371,'Справочник соответствий'!A$2:D$2981,2,FALSE),IF(VALUE(C2371)=0,1,VLOOKUP(C2371,'Справочник соответствий'!A$2:D$2981,2,FALSE)))</f>
        <v>1</v>
      </c>
      <c r="J2371" s="3">
        <f>IFERROR(VLOOKUP(D2371,'Справочник соответствий'!A$2:D$2981,2,FALSE),IF(VALUE(D2371)=0,0,VLOOKUP(D2371,'Справочник соответствий'!A$2:D$2981,2,FALSE)))</f>
        <v>0</v>
      </c>
      <c r="K2371" s="3" t="str">
        <f t="shared" si="252"/>
        <v>1</v>
      </c>
      <c r="L2371" s="13" t="str">
        <f>IFERROR(VLOOKUP(C2371,'Справочник соответствий'!A$2:D$2981,3,FALSE),IF(VALUE(C2371)=0,"ЭТАЖ НЕ ОПРЕДЕЛЕН. ПРИНЯТ ПО ДОПУЩЕНИЮ 1",VLOOKUP(C2371,'Справочник соответствий'!A$2:D$2981,3,FALSE)))</f>
        <v>ЭТАЖ ЗАДАН ЧИСЛОМ</v>
      </c>
      <c r="M2371" s="13" t="b">
        <f t="shared" si="253"/>
        <v>0</v>
      </c>
      <c r="N2371" s="13">
        <f t="shared" si="254"/>
        <v>1</v>
      </c>
      <c r="O2371" s="13" t="str">
        <f t="shared" si="255"/>
        <v>ЭТАЖ ЗАДАН ЧИСЛОМ</v>
      </c>
      <c r="P2371" s="13" t="str">
        <f t="shared" si="256"/>
        <v>ЭТАЖ ЗАДАН ЧИСЛОМ</v>
      </c>
      <c r="Q2371" s="13" t="str">
        <f t="shared" si="257"/>
        <v>ГОТОВ_ИЗМЕНЕН</v>
      </c>
      <c r="R2371" s="13">
        <f>IFERROR(VLOOKUP(P2371,Лист1!A$1:B$20,2,FALSE),0)</f>
        <v>784</v>
      </c>
      <c r="S2371" s="13">
        <f t="shared" si="258"/>
        <v>0</v>
      </c>
    </row>
    <row r="2372" spans="1:19" x14ac:dyDescent="0.25">
      <c r="A2372" s="24" t="s">
        <v>3501</v>
      </c>
      <c r="B2372" s="4" t="s">
        <v>1059</v>
      </c>
      <c r="C2372" s="25" t="s">
        <v>12</v>
      </c>
      <c r="D2372" s="25" t="s">
        <v>5</v>
      </c>
      <c r="G2372" s="25" t="s">
        <v>1205</v>
      </c>
      <c r="H2372" s="24" t="s">
        <v>1061</v>
      </c>
      <c r="I2372" s="3" t="str">
        <f>IFERROR(VLOOKUP(C2372,'Справочник соответствий'!A$2:D$2981,2,FALSE),IF(VALUE(C2372)=0,1,VLOOKUP(C2372,'Справочник соответствий'!A$2:D$2981,2,FALSE)))</f>
        <v>4</v>
      </c>
      <c r="J2372" s="3" t="str">
        <f>IFERROR(VLOOKUP(D2372,'Справочник соответствий'!A$2:D$2981,2,FALSE),IF(VALUE(D2372)=0,0,VLOOKUP(D2372,'Справочник соответствий'!A$2:D$2981,2,FALSE)))</f>
        <v>1</v>
      </c>
      <c r="K2372" s="3" t="str">
        <f t="shared" si="252"/>
        <v>4</v>
      </c>
      <c r="L2372" s="13" t="str">
        <f>IFERROR(VLOOKUP(C2372,'Справочник соответствий'!A$2:D$2981,3,FALSE),IF(VALUE(C2372)=0,"ЭТАЖ НЕ ОПРЕДЕЛЕН. ПРИНЯТ ПО ДОПУЩЕНИЮ 1",VLOOKUP(C2372,'Справочник соответствий'!A$2:D$2981,3,FALSE)))</f>
        <v>ЭТАЖ ЗАДАН ЧИСЛОМ</v>
      </c>
      <c r="M2372" s="13" t="b">
        <f t="shared" si="253"/>
        <v>0</v>
      </c>
      <c r="N2372" s="13">
        <f t="shared" si="254"/>
        <v>4</v>
      </c>
      <c r="O2372" s="13" t="str">
        <f t="shared" si="255"/>
        <v>ЭТАЖ ЗАДАН ЧИСЛОМ</v>
      </c>
      <c r="P2372" s="13" t="str">
        <f t="shared" si="256"/>
        <v>ЭТАЖ ЗАДАН ЧИСЛОМ</v>
      </c>
      <c r="Q2372" s="13" t="str">
        <f t="shared" si="257"/>
        <v>ГОТОВ_ИЗМЕНЕН</v>
      </c>
      <c r="R2372" s="13">
        <f>IFERROR(VLOOKUP(P2372,Лист1!A$1:B$20,2,FALSE),0)</f>
        <v>784</v>
      </c>
      <c r="S2372" s="13">
        <f t="shared" si="258"/>
        <v>0</v>
      </c>
    </row>
    <row r="2373" spans="1:19" x14ac:dyDescent="0.25">
      <c r="A2373" s="24" t="s">
        <v>3502</v>
      </c>
      <c r="B2373" s="4" t="s">
        <v>1059</v>
      </c>
      <c r="C2373" s="25" t="s">
        <v>7</v>
      </c>
      <c r="G2373" s="25" t="s">
        <v>1205</v>
      </c>
      <c r="H2373" s="24" t="s">
        <v>1061</v>
      </c>
      <c r="I2373" s="3" t="str">
        <f>IFERROR(VLOOKUP(C2373,'Справочник соответствий'!A$2:D$2981,2,FALSE),IF(VALUE(C2373)=0,1,VLOOKUP(C2373,'Справочник соответствий'!A$2:D$2981,2,FALSE)))</f>
        <v>2</v>
      </c>
      <c r="J2373" s="3">
        <f>IFERROR(VLOOKUP(D2373,'Справочник соответствий'!A$2:D$2981,2,FALSE),IF(VALUE(D2373)=0,0,VLOOKUP(D2373,'Справочник соответствий'!A$2:D$2981,2,FALSE)))</f>
        <v>0</v>
      </c>
      <c r="K2373" s="3" t="str">
        <f t="shared" ref="K2373:K2436" si="259">IF(B2373="Многоквартирный дом",IF(I2373-J2373&gt;0,I2373-J2373,1),I2373)</f>
        <v>2</v>
      </c>
      <c r="L2373" s="13" t="str">
        <f>IFERROR(VLOOKUP(C2373,'Справочник соответствий'!A$2:D$2981,3,FALSE),IF(VALUE(C2373)=0,"ЭТАЖ НЕ ОПРЕДЕЛЕН. ПРИНЯТ ПО ДОПУЩЕНИЮ 1",VLOOKUP(C2373,'Справочник соответствий'!A$2:D$2981,3,FALSE)))</f>
        <v>ЭТАЖ ЗАДАН ЧИСЛОМ</v>
      </c>
      <c r="M2373" s="13" t="b">
        <f t="shared" ref="M2373:M2436" si="260">I2373=E2373</f>
        <v>0</v>
      </c>
      <c r="N2373" s="13">
        <f t="shared" ref="N2373:N2436" si="261">IF(VALUE(E2373)=0,VALUE(K2373),IF(L2373="ЭТАЖ НЕ ОПРЕДЕЛЕН. ПРИНЯТ ПО ДОПУЩЕНИЮ 1",VALUE(E2373),VALUE(K2373)))</f>
        <v>2</v>
      </c>
      <c r="O2373" s="13" t="str">
        <f t="shared" ref="O2373:O2436" si="262">IF(VALUE(E2373)=0,L2373,IF(L2373="ЭТАЖ НЕ ОПРЕДЕЛЕН. ПРИНЯТ ПО ДОПУЩЕНИЮ 1",F2373,L2373))</f>
        <v>ЭТАЖ ЗАДАН ЧИСЛОМ</v>
      </c>
      <c r="P2373" s="13" t="str">
        <f t="shared" ref="P2373:P2436" si="263">IF(B2373="Многоквартирный дом",CONCATENATE("МКД_",O2373),O2373)</f>
        <v>ЭТАЖ ЗАДАН ЧИСЛОМ</v>
      </c>
      <c r="Q2373" s="13" t="str">
        <f t="shared" ref="Q2373:Q2436" si="264">IFERROR(IF(N2373&gt;0,IF(N2373=VALUE(E2373),"ГОТОВ","ГОТОВ_ИЗМЕНЕН"),"НЕ ГОТОВ"),"НЕ ГОТОВ")</f>
        <v>ГОТОВ_ИЗМЕНЕН</v>
      </c>
      <c r="R2373" s="13">
        <f>IFERROR(VLOOKUP(P2373,Лист1!A$1:B$20,2,FALSE),0)</f>
        <v>784</v>
      </c>
      <c r="S2373" s="13">
        <f t="shared" ref="S2373:S2436" si="265">VALUE(E2373)</f>
        <v>0</v>
      </c>
    </row>
    <row r="2374" spans="1:19" x14ac:dyDescent="0.25">
      <c r="A2374" s="24" t="s">
        <v>3503</v>
      </c>
      <c r="B2374" s="4" t="s">
        <v>1063</v>
      </c>
      <c r="C2374" s="25" t="s">
        <v>5</v>
      </c>
      <c r="G2374" s="25" t="s">
        <v>1205</v>
      </c>
      <c r="H2374" s="24" t="s">
        <v>1061</v>
      </c>
      <c r="I2374" s="3" t="str">
        <f>IFERROR(VLOOKUP(C2374,'Справочник соответствий'!A$2:D$2981,2,FALSE),IF(VALUE(C2374)=0,1,VLOOKUP(C2374,'Справочник соответствий'!A$2:D$2981,2,FALSE)))</f>
        <v>1</v>
      </c>
      <c r="J2374" s="3">
        <f>IFERROR(VLOOKUP(D2374,'Справочник соответствий'!A$2:D$2981,2,FALSE),IF(VALUE(D2374)=0,0,VLOOKUP(D2374,'Справочник соответствий'!A$2:D$2981,2,FALSE)))</f>
        <v>0</v>
      </c>
      <c r="K2374" s="3" t="str">
        <f t="shared" si="259"/>
        <v>1</v>
      </c>
      <c r="L2374" s="13" t="str">
        <f>IFERROR(VLOOKUP(C2374,'Справочник соответствий'!A$2:D$2981,3,FALSE),IF(VALUE(C2374)=0,"ЭТАЖ НЕ ОПРЕДЕЛЕН. ПРИНЯТ ПО ДОПУЩЕНИЮ 1",VLOOKUP(C2374,'Справочник соответствий'!A$2:D$2981,3,FALSE)))</f>
        <v>ЭТАЖ ЗАДАН ЧИСЛОМ</v>
      </c>
      <c r="M2374" s="13" t="b">
        <f t="shared" si="260"/>
        <v>0</v>
      </c>
      <c r="N2374" s="13">
        <f t="shared" si="261"/>
        <v>1</v>
      </c>
      <c r="O2374" s="13" t="str">
        <f t="shared" si="262"/>
        <v>ЭТАЖ ЗАДАН ЧИСЛОМ</v>
      </c>
      <c r="P2374" s="13" t="str">
        <f t="shared" si="263"/>
        <v>ЭТАЖ ЗАДАН ЧИСЛОМ</v>
      </c>
      <c r="Q2374" s="13" t="str">
        <f t="shared" si="264"/>
        <v>ГОТОВ_ИЗМЕНЕН</v>
      </c>
      <c r="R2374" s="13">
        <f>IFERROR(VLOOKUP(P2374,Лист1!A$1:B$20,2,FALSE),0)</f>
        <v>784</v>
      </c>
      <c r="S2374" s="13">
        <f t="shared" si="265"/>
        <v>0</v>
      </c>
    </row>
    <row r="2375" spans="1:19" x14ac:dyDescent="0.25">
      <c r="A2375" s="24" t="s">
        <v>3504</v>
      </c>
      <c r="B2375" s="4" t="s">
        <v>1059</v>
      </c>
      <c r="C2375" s="25" t="s">
        <v>5</v>
      </c>
      <c r="G2375" s="25" t="s">
        <v>1205</v>
      </c>
      <c r="H2375" s="24" t="s">
        <v>1061</v>
      </c>
      <c r="I2375" s="3" t="str">
        <f>IFERROR(VLOOKUP(C2375,'Справочник соответствий'!A$2:D$2981,2,FALSE),IF(VALUE(C2375)=0,1,VLOOKUP(C2375,'Справочник соответствий'!A$2:D$2981,2,FALSE)))</f>
        <v>1</v>
      </c>
      <c r="J2375" s="3">
        <f>IFERROR(VLOOKUP(D2375,'Справочник соответствий'!A$2:D$2981,2,FALSE),IF(VALUE(D2375)=0,0,VLOOKUP(D2375,'Справочник соответствий'!A$2:D$2981,2,FALSE)))</f>
        <v>0</v>
      </c>
      <c r="K2375" s="3" t="str">
        <f t="shared" si="259"/>
        <v>1</v>
      </c>
      <c r="L2375" s="13" t="str">
        <f>IFERROR(VLOOKUP(C2375,'Справочник соответствий'!A$2:D$2981,3,FALSE),IF(VALUE(C2375)=0,"ЭТАЖ НЕ ОПРЕДЕЛЕН. ПРИНЯТ ПО ДОПУЩЕНИЮ 1",VLOOKUP(C2375,'Справочник соответствий'!A$2:D$2981,3,FALSE)))</f>
        <v>ЭТАЖ ЗАДАН ЧИСЛОМ</v>
      </c>
      <c r="M2375" s="13" t="b">
        <f t="shared" si="260"/>
        <v>0</v>
      </c>
      <c r="N2375" s="13">
        <f t="shared" si="261"/>
        <v>1</v>
      </c>
      <c r="O2375" s="13" t="str">
        <f t="shared" si="262"/>
        <v>ЭТАЖ ЗАДАН ЧИСЛОМ</v>
      </c>
      <c r="P2375" s="13" t="str">
        <f t="shared" si="263"/>
        <v>ЭТАЖ ЗАДАН ЧИСЛОМ</v>
      </c>
      <c r="Q2375" s="13" t="str">
        <f t="shared" si="264"/>
        <v>ГОТОВ_ИЗМЕНЕН</v>
      </c>
      <c r="R2375" s="13">
        <f>IFERROR(VLOOKUP(P2375,Лист1!A$1:B$20,2,FALSE),0)</f>
        <v>784</v>
      </c>
      <c r="S2375" s="13">
        <f t="shared" si="265"/>
        <v>0</v>
      </c>
    </row>
    <row r="2376" spans="1:19" x14ac:dyDescent="0.25">
      <c r="A2376" s="24" t="s">
        <v>3505</v>
      </c>
      <c r="B2376" s="4" t="s">
        <v>1059</v>
      </c>
      <c r="C2376" s="25" t="s">
        <v>7</v>
      </c>
      <c r="G2376" s="25" t="s">
        <v>1205</v>
      </c>
      <c r="H2376" s="24" t="s">
        <v>1061</v>
      </c>
      <c r="I2376" s="3" t="str">
        <f>IFERROR(VLOOKUP(C2376,'Справочник соответствий'!A$2:D$2981,2,FALSE),IF(VALUE(C2376)=0,1,VLOOKUP(C2376,'Справочник соответствий'!A$2:D$2981,2,FALSE)))</f>
        <v>2</v>
      </c>
      <c r="J2376" s="3">
        <f>IFERROR(VLOOKUP(D2376,'Справочник соответствий'!A$2:D$2981,2,FALSE),IF(VALUE(D2376)=0,0,VLOOKUP(D2376,'Справочник соответствий'!A$2:D$2981,2,FALSE)))</f>
        <v>0</v>
      </c>
      <c r="K2376" s="3" t="str">
        <f t="shared" si="259"/>
        <v>2</v>
      </c>
      <c r="L2376" s="13" t="str">
        <f>IFERROR(VLOOKUP(C2376,'Справочник соответствий'!A$2:D$2981,3,FALSE),IF(VALUE(C2376)=0,"ЭТАЖ НЕ ОПРЕДЕЛЕН. ПРИНЯТ ПО ДОПУЩЕНИЮ 1",VLOOKUP(C2376,'Справочник соответствий'!A$2:D$2981,3,FALSE)))</f>
        <v>ЭТАЖ ЗАДАН ЧИСЛОМ</v>
      </c>
      <c r="M2376" s="13" t="b">
        <f t="shared" si="260"/>
        <v>0</v>
      </c>
      <c r="N2376" s="13">
        <f t="shared" si="261"/>
        <v>2</v>
      </c>
      <c r="O2376" s="13" t="str">
        <f t="shared" si="262"/>
        <v>ЭТАЖ ЗАДАН ЧИСЛОМ</v>
      </c>
      <c r="P2376" s="13" t="str">
        <f t="shared" si="263"/>
        <v>ЭТАЖ ЗАДАН ЧИСЛОМ</v>
      </c>
      <c r="Q2376" s="13" t="str">
        <f t="shared" si="264"/>
        <v>ГОТОВ_ИЗМЕНЕН</v>
      </c>
      <c r="R2376" s="13">
        <f>IFERROR(VLOOKUP(P2376,Лист1!A$1:B$20,2,FALSE),0)</f>
        <v>784</v>
      </c>
      <c r="S2376" s="13">
        <f t="shared" si="265"/>
        <v>0</v>
      </c>
    </row>
    <row r="2377" spans="1:19" x14ac:dyDescent="0.25">
      <c r="A2377" s="24" t="s">
        <v>3506</v>
      </c>
      <c r="B2377" s="4" t="s">
        <v>1059</v>
      </c>
      <c r="C2377" s="25" t="s">
        <v>7</v>
      </c>
      <c r="G2377" s="25" t="s">
        <v>1224</v>
      </c>
      <c r="H2377" s="24" t="s">
        <v>1061</v>
      </c>
      <c r="I2377" s="3" t="str">
        <f>IFERROR(VLOOKUP(C2377,'Справочник соответствий'!A$2:D$2981,2,FALSE),IF(VALUE(C2377)=0,1,VLOOKUP(C2377,'Справочник соответствий'!A$2:D$2981,2,FALSE)))</f>
        <v>2</v>
      </c>
      <c r="J2377" s="3">
        <f>IFERROR(VLOOKUP(D2377,'Справочник соответствий'!A$2:D$2981,2,FALSE),IF(VALUE(D2377)=0,0,VLOOKUP(D2377,'Справочник соответствий'!A$2:D$2981,2,FALSE)))</f>
        <v>0</v>
      </c>
      <c r="K2377" s="3" t="str">
        <f t="shared" si="259"/>
        <v>2</v>
      </c>
      <c r="L2377" s="13" t="str">
        <f>IFERROR(VLOOKUP(C2377,'Справочник соответствий'!A$2:D$2981,3,FALSE),IF(VALUE(C2377)=0,"ЭТАЖ НЕ ОПРЕДЕЛЕН. ПРИНЯТ ПО ДОПУЩЕНИЮ 1",VLOOKUP(C2377,'Справочник соответствий'!A$2:D$2981,3,FALSE)))</f>
        <v>ЭТАЖ ЗАДАН ЧИСЛОМ</v>
      </c>
      <c r="M2377" s="13" t="b">
        <f t="shared" si="260"/>
        <v>0</v>
      </c>
      <c r="N2377" s="13">
        <f t="shared" si="261"/>
        <v>2</v>
      </c>
      <c r="O2377" s="13" t="str">
        <f t="shared" si="262"/>
        <v>ЭТАЖ ЗАДАН ЧИСЛОМ</v>
      </c>
      <c r="P2377" s="13" t="str">
        <f t="shared" si="263"/>
        <v>ЭТАЖ ЗАДАН ЧИСЛОМ</v>
      </c>
      <c r="Q2377" s="13" t="str">
        <f t="shared" si="264"/>
        <v>ГОТОВ_ИЗМЕНЕН</v>
      </c>
      <c r="R2377" s="13">
        <f>IFERROR(VLOOKUP(P2377,Лист1!A$1:B$20,2,FALSE),0)</f>
        <v>784</v>
      </c>
      <c r="S2377" s="13">
        <f t="shared" si="265"/>
        <v>0</v>
      </c>
    </row>
    <row r="2378" spans="1:19" x14ac:dyDescent="0.25">
      <c r="A2378" s="24" t="s">
        <v>3507</v>
      </c>
      <c r="B2378" s="4" t="s">
        <v>1059</v>
      </c>
      <c r="C2378" s="25" t="s">
        <v>5</v>
      </c>
      <c r="G2378" s="25" t="s">
        <v>1224</v>
      </c>
      <c r="H2378" s="24" t="s">
        <v>1061</v>
      </c>
      <c r="I2378" s="3" t="str">
        <f>IFERROR(VLOOKUP(C2378,'Справочник соответствий'!A$2:D$2981,2,FALSE),IF(VALUE(C2378)=0,1,VLOOKUP(C2378,'Справочник соответствий'!A$2:D$2981,2,FALSE)))</f>
        <v>1</v>
      </c>
      <c r="J2378" s="3">
        <f>IFERROR(VLOOKUP(D2378,'Справочник соответствий'!A$2:D$2981,2,FALSE),IF(VALUE(D2378)=0,0,VLOOKUP(D2378,'Справочник соответствий'!A$2:D$2981,2,FALSE)))</f>
        <v>0</v>
      </c>
      <c r="K2378" s="3" t="str">
        <f t="shared" si="259"/>
        <v>1</v>
      </c>
      <c r="L2378" s="13" t="str">
        <f>IFERROR(VLOOKUP(C2378,'Справочник соответствий'!A$2:D$2981,3,FALSE),IF(VALUE(C2378)=0,"ЭТАЖ НЕ ОПРЕДЕЛЕН. ПРИНЯТ ПО ДОПУЩЕНИЮ 1",VLOOKUP(C2378,'Справочник соответствий'!A$2:D$2981,3,FALSE)))</f>
        <v>ЭТАЖ ЗАДАН ЧИСЛОМ</v>
      </c>
      <c r="M2378" s="13" t="b">
        <f t="shared" si="260"/>
        <v>0</v>
      </c>
      <c r="N2378" s="13">
        <f t="shared" si="261"/>
        <v>1</v>
      </c>
      <c r="O2378" s="13" t="str">
        <f t="shared" si="262"/>
        <v>ЭТАЖ ЗАДАН ЧИСЛОМ</v>
      </c>
      <c r="P2378" s="13" t="str">
        <f t="shared" si="263"/>
        <v>ЭТАЖ ЗАДАН ЧИСЛОМ</v>
      </c>
      <c r="Q2378" s="13" t="str">
        <f t="shared" si="264"/>
        <v>ГОТОВ_ИЗМЕНЕН</v>
      </c>
      <c r="R2378" s="13">
        <f>IFERROR(VLOOKUP(P2378,Лист1!A$1:B$20,2,FALSE),0)</f>
        <v>784</v>
      </c>
      <c r="S2378" s="13">
        <f t="shared" si="265"/>
        <v>0</v>
      </c>
    </row>
    <row r="2379" spans="1:19" x14ac:dyDescent="0.25">
      <c r="A2379" s="24" t="s">
        <v>3508</v>
      </c>
      <c r="B2379" s="4" t="s">
        <v>1063</v>
      </c>
      <c r="C2379" s="25" t="s">
        <v>5</v>
      </c>
      <c r="G2379" s="25" t="s">
        <v>1219</v>
      </c>
      <c r="H2379" s="24" t="s">
        <v>1061</v>
      </c>
      <c r="I2379" s="3" t="str">
        <f>IFERROR(VLOOKUP(C2379,'Справочник соответствий'!A$2:D$2981,2,FALSE),IF(VALUE(C2379)=0,1,VLOOKUP(C2379,'Справочник соответствий'!A$2:D$2981,2,FALSE)))</f>
        <v>1</v>
      </c>
      <c r="J2379" s="3">
        <f>IFERROR(VLOOKUP(D2379,'Справочник соответствий'!A$2:D$2981,2,FALSE),IF(VALUE(D2379)=0,0,VLOOKUP(D2379,'Справочник соответствий'!A$2:D$2981,2,FALSE)))</f>
        <v>0</v>
      </c>
      <c r="K2379" s="3" t="str">
        <f t="shared" si="259"/>
        <v>1</v>
      </c>
      <c r="L2379" s="13" t="str">
        <f>IFERROR(VLOOKUP(C2379,'Справочник соответствий'!A$2:D$2981,3,FALSE),IF(VALUE(C2379)=0,"ЭТАЖ НЕ ОПРЕДЕЛЕН. ПРИНЯТ ПО ДОПУЩЕНИЮ 1",VLOOKUP(C2379,'Справочник соответствий'!A$2:D$2981,3,FALSE)))</f>
        <v>ЭТАЖ ЗАДАН ЧИСЛОМ</v>
      </c>
      <c r="M2379" s="13" t="b">
        <f t="shared" si="260"/>
        <v>0</v>
      </c>
      <c r="N2379" s="13">
        <f t="shared" si="261"/>
        <v>1</v>
      </c>
      <c r="O2379" s="13" t="str">
        <f t="shared" si="262"/>
        <v>ЭТАЖ ЗАДАН ЧИСЛОМ</v>
      </c>
      <c r="P2379" s="13" t="str">
        <f t="shared" si="263"/>
        <v>ЭТАЖ ЗАДАН ЧИСЛОМ</v>
      </c>
      <c r="Q2379" s="13" t="str">
        <f t="shared" si="264"/>
        <v>ГОТОВ_ИЗМЕНЕН</v>
      </c>
      <c r="R2379" s="13">
        <f>IFERROR(VLOOKUP(P2379,Лист1!A$1:B$20,2,FALSE),0)</f>
        <v>784</v>
      </c>
      <c r="S2379" s="13">
        <f t="shared" si="265"/>
        <v>0</v>
      </c>
    </row>
    <row r="2380" spans="1:19" x14ac:dyDescent="0.25">
      <c r="A2380" s="24" t="s">
        <v>3509</v>
      </c>
      <c r="B2380" s="4" t="s">
        <v>1059</v>
      </c>
      <c r="C2380" s="25" t="s">
        <v>7</v>
      </c>
      <c r="G2380" s="25" t="s">
        <v>1219</v>
      </c>
      <c r="H2380" s="24" t="s">
        <v>1061</v>
      </c>
      <c r="I2380" s="3" t="str">
        <f>IFERROR(VLOOKUP(C2380,'Справочник соответствий'!A$2:D$2981,2,FALSE),IF(VALUE(C2380)=0,1,VLOOKUP(C2380,'Справочник соответствий'!A$2:D$2981,2,FALSE)))</f>
        <v>2</v>
      </c>
      <c r="J2380" s="3">
        <f>IFERROR(VLOOKUP(D2380,'Справочник соответствий'!A$2:D$2981,2,FALSE),IF(VALUE(D2380)=0,0,VLOOKUP(D2380,'Справочник соответствий'!A$2:D$2981,2,FALSE)))</f>
        <v>0</v>
      </c>
      <c r="K2380" s="3" t="str">
        <f t="shared" si="259"/>
        <v>2</v>
      </c>
      <c r="L2380" s="13" t="str">
        <f>IFERROR(VLOOKUP(C2380,'Справочник соответствий'!A$2:D$2981,3,FALSE),IF(VALUE(C2380)=0,"ЭТАЖ НЕ ОПРЕДЕЛЕН. ПРИНЯТ ПО ДОПУЩЕНИЮ 1",VLOOKUP(C2380,'Справочник соответствий'!A$2:D$2981,3,FALSE)))</f>
        <v>ЭТАЖ ЗАДАН ЧИСЛОМ</v>
      </c>
      <c r="M2380" s="13" t="b">
        <f t="shared" si="260"/>
        <v>0</v>
      </c>
      <c r="N2380" s="13">
        <f t="shared" si="261"/>
        <v>2</v>
      </c>
      <c r="O2380" s="13" t="str">
        <f t="shared" si="262"/>
        <v>ЭТАЖ ЗАДАН ЧИСЛОМ</v>
      </c>
      <c r="P2380" s="13" t="str">
        <f t="shared" si="263"/>
        <v>ЭТАЖ ЗАДАН ЧИСЛОМ</v>
      </c>
      <c r="Q2380" s="13" t="str">
        <f t="shared" si="264"/>
        <v>ГОТОВ_ИЗМЕНЕН</v>
      </c>
      <c r="R2380" s="13">
        <f>IFERROR(VLOOKUP(P2380,Лист1!A$1:B$20,2,FALSE),0)</f>
        <v>784</v>
      </c>
      <c r="S2380" s="13">
        <f t="shared" si="265"/>
        <v>0</v>
      </c>
    </row>
    <row r="2381" spans="1:19" x14ac:dyDescent="0.25">
      <c r="A2381" s="24" t="s">
        <v>3510</v>
      </c>
      <c r="B2381" s="4" t="s">
        <v>1059</v>
      </c>
      <c r="C2381" s="25" t="s">
        <v>5</v>
      </c>
      <c r="G2381" s="25" t="s">
        <v>1174</v>
      </c>
      <c r="H2381" s="24" t="s">
        <v>1061</v>
      </c>
      <c r="I2381" s="3" t="str">
        <f>IFERROR(VLOOKUP(C2381,'Справочник соответствий'!A$2:D$2981,2,FALSE),IF(VALUE(C2381)=0,1,VLOOKUP(C2381,'Справочник соответствий'!A$2:D$2981,2,FALSE)))</f>
        <v>1</v>
      </c>
      <c r="J2381" s="3">
        <f>IFERROR(VLOOKUP(D2381,'Справочник соответствий'!A$2:D$2981,2,FALSE),IF(VALUE(D2381)=0,0,VLOOKUP(D2381,'Справочник соответствий'!A$2:D$2981,2,FALSE)))</f>
        <v>0</v>
      </c>
      <c r="K2381" s="3" t="str">
        <f t="shared" si="259"/>
        <v>1</v>
      </c>
      <c r="L2381" s="13" t="str">
        <f>IFERROR(VLOOKUP(C2381,'Справочник соответствий'!A$2:D$2981,3,FALSE),IF(VALUE(C2381)=0,"ЭТАЖ НЕ ОПРЕДЕЛЕН. ПРИНЯТ ПО ДОПУЩЕНИЮ 1",VLOOKUP(C2381,'Справочник соответствий'!A$2:D$2981,3,FALSE)))</f>
        <v>ЭТАЖ ЗАДАН ЧИСЛОМ</v>
      </c>
      <c r="M2381" s="13" t="b">
        <f t="shared" si="260"/>
        <v>0</v>
      </c>
      <c r="N2381" s="13">
        <f t="shared" si="261"/>
        <v>1</v>
      </c>
      <c r="O2381" s="13" t="str">
        <f t="shared" si="262"/>
        <v>ЭТАЖ ЗАДАН ЧИСЛОМ</v>
      </c>
      <c r="P2381" s="13" t="str">
        <f t="shared" si="263"/>
        <v>ЭТАЖ ЗАДАН ЧИСЛОМ</v>
      </c>
      <c r="Q2381" s="13" t="str">
        <f t="shared" si="264"/>
        <v>ГОТОВ_ИЗМЕНЕН</v>
      </c>
      <c r="R2381" s="13">
        <f>IFERROR(VLOOKUP(P2381,Лист1!A$1:B$20,2,FALSE),0)</f>
        <v>784</v>
      </c>
      <c r="S2381" s="13">
        <f t="shared" si="265"/>
        <v>0</v>
      </c>
    </row>
    <row r="2382" spans="1:19" x14ac:dyDescent="0.25">
      <c r="A2382" s="24" t="s">
        <v>3511</v>
      </c>
      <c r="B2382" s="4" t="s">
        <v>1063</v>
      </c>
      <c r="C2382" s="25" t="s">
        <v>5</v>
      </c>
      <c r="G2382" s="25" t="s">
        <v>1174</v>
      </c>
      <c r="H2382" s="24" t="s">
        <v>1061</v>
      </c>
      <c r="I2382" s="3" t="str">
        <f>IFERROR(VLOOKUP(C2382,'Справочник соответствий'!A$2:D$2981,2,FALSE),IF(VALUE(C2382)=0,1,VLOOKUP(C2382,'Справочник соответствий'!A$2:D$2981,2,FALSE)))</f>
        <v>1</v>
      </c>
      <c r="J2382" s="3">
        <f>IFERROR(VLOOKUP(D2382,'Справочник соответствий'!A$2:D$2981,2,FALSE),IF(VALUE(D2382)=0,0,VLOOKUP(D2382,'Справочник соответствий'!A$2:D$2981,2,FALSE)))</f>
        <v>0</v>
      </c>
      <c r="K2382" s="3" t="str">
        <f t="shared" si="259"/>
        <v>1</v>
      </c>
      <c r="L2382" s="13" t="str">
        <f>IFERROR(VLOOKUP(C2382,'Справочник соответствий'!A$2:D$2981,3,FALSE),IF(VALUE(C2382)=0,"ЭТАЖ НЕ ОПРЕДЕЛЕН. ПРИНЯТ ПО ДОПУЩЕНИЮ 1",VLOOKUP(C2382,'Справочник соответствий'!A$2:D$2981,3,FALSE)))</f>
        <v>ЭТАЖ ЗАДАН ЧИСЛОМ</v>
      </c>
      <c r="M2382" s="13" t="b">
        <f t="shared" si="260"/>
        <v>0</v>
      </c>
      <c r="N2382" s="13">
        <f t="shared" si="261"/>
        <v>1</v>
      </c>
      <c r="O2382" s="13" t="str">
        <f t="shared" si="262"/>
        <v>ЭТАЖ ЗАДАН ЧИСЛОМ</v>
      </c>
      <c r="P2382" s="13" t="str">
        <f t="shared" si="263"/>
        <v>ЭТАЖ ЗАДАН ЧИСЛОМ</v>
      </c>
      <c r="Q2382" s="13" t="str">
        <f t="shared" si="264"/>
        <v>ГОТОВ_ИЗМЕНЕН</v>
      </c>
      <c r="R2382" s="13">
        <f>IFERROR(VLOOKUP(P2382,Лист1!A$1:B$20,2,FALSE),0)</f>
        <v>784</v>
      </c>
      <c r="S2382" s="13">
        <f t="shared" si="265"/>
        <v>0</v>
      </c>
    </row>
    <row r="2383" spans="1:19" x14ac:dyDescent="0.25">
      <c r="A2383" s="24" t="s">
        <v>3512</v>
      </c>
      <c r="B2383" s="4" t="s">
        <v>1063</v>
      </c>
      <c r="C2383" s="25" t="s">
        <v>7</v>
      </c>
      <c r="G2383" s="25" t="s">
        <v>1224</v>
      </c>
      <c r="H2383" s="24" t="s">
        <v>1061</v>
      </c>
      <c r="I2383" s="3" t="str">
        <f>IFERROR(VLOOKUP(C2383,'Справочник соответствий'!A$2:D$2981,2,FALSE),IF(VALUE(C2383)=0,1,VLOOKUP(C2383,'Справочник соответствий'!A$2:D$2981,2,FALSE)))</f>
        <v>2</v>
      </c>
      <c r="J2383" s="3">
        <f>IFERROR(VLOOKUP(D2383,'Справочник соответствий'!A$2:D$2981,2,FALSE),IF(VALUE(D2383)=0,0,VLOOKUP(D2383,'Справочник соответствий'!A$2:D$2981,2,FALSE)))</f>
        <v>0</v>
      </c>
      <c r="K2383" s="3" t="str">
        <f t="shared" si="259"/>
        <v>2</v>
      </c>
      <c r="L2383" s="13" t="str">
        <f>IFERROR(VLOOKUP(C2383,'Справочник соответствий'!A$2:D$2981,3,FALSE),IF(VALUE(C2383)=0,"ЭТАЖ НЕ ОПРЕДЕЛЕН. ПРИНЯТ ПО ДОПУЩЕНИЮ 1",VLOOKUP(C2383,'Справочник соответствий'!A$2:D$2981,3,FALSE)))</f>
        <v>ЭТАЖ ЗАДАН ЧИСЛОМ</v>
      </c>
      <c r="M2383" s="13" t="b">
        <f t="shared" si="260"/>
        <v>0</v>
      </c>
      <c r="N2383" s="13">
        <f t="shared" si="261"/>
        <v>2</v>
      </c>
      <c r="O2383" s="13" t="str">
        <f t="shared" si="262"/>
        <v>ЭТАЖ ЗАДАН ЧИСЛОМ</v>
      </c>
      <c r="P2383" s="13" t="str">
        <f t="shared" si="263"/>
        <v>ЭТАЖ ЗАДАН ЧИСЛОМ</v>
      </c>
      <c r="Q2383" s="13" t="str">
        <f t="shared" si="264"/>
        <v>ГОТОВ_ИЗМЕНЕН</v>
      </c>
      <c r="R2383" s="13">
        <f>IFERROR(VLOOKUP(P2383,Лист1!A$1:B$20,2,FALSE),0)</f>
        <v>784</v>
      </c>
      <c r="S2383" s="13">
        <f t="shared" si="265"/>
        <v>0</v>
      </c>
    </row>
    <row r="2384" spans="1:19" x14ac:dyDescent="0.25">
      <c r="A2384" s="24" t="s">
        <v>3513</v>
      </c>
      <c r="B2384" s="4" t="s">
        <v>1059</v>
      </c>
      <c r="C2384" s="25" t="s">
        <v>5</v>
      </c>
      <c r="G2384" s="25" t="s">
        <v>1453</v>
      </c>
      <c r="H2384" s="24" t="s">
        <v>1061</v>
      </c>
      <c r="I2384" s="3" t="str">
        <f>IFERROR(VLOOKUP(C2384,'Справочник соответствий'!A$2:D$2981,2,FALSE),IF(VALUE(C2384)=0,1,VLOOKUP(C2384,'Справочник соответствий'!A$2:D$2981,2,FALSE)))</f>
        <v>1</v>
      </c>
      <c r="J2384" s="3">
        <f>IFERROR(VLOOKUP(D2384,'Справочник соответствий'!A$2:D$2981,2,FALSE),IF(VALUE(D2384)=0,0,VLOOKUP(D2384,'Справочник соответствий'!A$2:D$2981,2,FALSE)))</f>
        <v>0</v>
      </c>
      <c r="K2384" s="3" t="str">
        <f t="shared" si="259"/>
        <v>1</v>
      </c>
      <c r="L2384" s="13" t="str">
        <f>IFERROR(VLOOKUP(C2384,'Справочник соответствий'!A$2:D$2981,3,FALSE),IF(VALUE(C2384)=0,"ЭТАЖ НЕ ОПРЕДЕЛЕН. ПРИНЯТ ПО ДОПУЩЕНИЮ 1",VLOOKUP(C2384,'Справочник соответствий'!A$2:D$2981,3,FALSE)))</f>
        <v>ЭТАЖ ЗАДАН ЧИСЛОМ</v>
      </c>
      <c r="M2384" s="13" t="b">
        <f t="shared" si="260"/>
        <v>0</v>
      </c>
      <c r="N2384" s="13">
        <f t="shared" si="261"/>
        <v>1</v>
      </c>
      <c r="O2384" s="13" t="str">
        <f t="shared" si="262"/>
        <v>ЭТАЖ ЗАДАН ЧИСЛОМ</v>
      </c>
      <c r="P2384" s="13" t="str">
        <f t="shared" si="263"/>
        <v>ЭТАЖ ЗАДАН ЧИСЛОМ</v>
      </c>
      <c r="Q2384" s="13" t="str">
        <f t="shared" si="264"/>
        <v>ГОТОВ_ИЗМЕНЕН</v>
      </c>
      <c r="R2384" s="13">
        <f>IFERROR(VLOOKUP(P2384,Лист1!A$1:B$20,2,FALSE),0)</f>
        <v>784</v>
      </c>
      <c r="S2384" s="13">
        <f t="shared" si="265"/>
        <v>0</v>
      </c>
    </row>
    <row r="2385" spans="1:19" x14ac:dyDescent="0.25">
      <c r="A2385" s="24" t="s">
        <v>3514</v>
      </c>
      <c r="B2385" s="4" t="s">
        <v>1059</v>
      </c>
      <c r="C2385" s="25" t="s">
        <v>8</v>
      </c>
      <c r="D2385" s="25" t="s">
        <v>5</v>
      </c>
      <c r="G2385" s="25" t="s">
        <v>1072</v>
      </c>
      <c r="H2385" s="24" t="s">
        <v>1061</v>
      </c>
      <c r="I2385" s="3" t="str">
        <f>IFERROR(VLOOKUP(C2385,'Справочник соответствий'!A$2:D$2981,2,FALSE),IF(VALUE(C2385)=0,1,VLOOKUP(C2385,'Справочник соответствий'!A$2:D$2981,2,FALSE)))</f>
        <v>3</v>
      </c>
      <c r="J2385" s="3" t="str">
        <f>IFERROR(VLOOKUP(D2385,'Справочник соответствий'!A$2:D$2981,2,FALSE),IF(VALUE(D2385)=0,0,VLOOKUP(D2385,'Справочник соответствий'!A$2:D$2981,2,FALSE)))</f>
        <v>1</v>
      </c>
      <c r="K2385" s="3" t="str">
        <f t="shared" si="259"/>
        <v>3</v>
      </c>
      <c r="L2385" s="13" t="str">
        <f>IFERROR(VLOOKUP(C2385,'Справочник соответствий'!A$2:D$2981,3,FALSE),IF(VALUE(C2385)=0,"ЭТАЖ НЕ ОПРЕДЕЛЕН. ПРИНЯТ ПО ДОПУЩЕНИЮ 1",VLOOKUP(C2385,'Справочник соответствий'!A$2:D$2981,3,FALSE)))</f>
        <v>ЭТАЖ ЗАДАН ЧИСЛОМ</v>
      </c>
      <c r="M2385" s="13" t="b">
        <f t="shared" si="260"/>
        <v>0</v>
      </c>
      <c r="N2385" s="13">
        <f t="shared" si="261"/>
        <v>3</v>
      </c>
      <c r="O2385" s="13" t="str">
        <f t="shared" si="262"/>
        <v>ЭТАЖ ЗАДАН ЧИСЛОМ</v>
      </c>
      <c r="P2385" s="13" t="str">
        <f t="shared" si="263"/>
        <v>ЭТАЖ ЗАДАН ЧИСЛОМ</v>
      </c>
      <c r="Q2385" s="13" t="str">
        <f t="shared" si="264"/>
        <v>ГОТОВ_ИЗМЕНЕН</v>
      </c>
      <c r="R2385" s="13">
        <f>IFERROR(VLOOKUP(P2385,Лист1!A$1:B$20,2,FALSE),0)</f>
        <v>784</v>
      </c>
      <c r="S2385" s="13">
        <f t="shared" si="265"/>
        <v>0</v>
      </c>
    </row>
    <row r="2386" spans="1:19" x14ac:dyDescent="0.25">
      <c r="A2386" s="24" t="s">
        <v>3515</v>
      </c>
      <c r="B2386" s="4" t="s">
        <v>1059</v>
      </c>
      <c r="C2386" s="25" t="s">
        <v>5</v>
      </c>
      <c r="G2386" s="25" t="s">
        <v>1230</v>
      </c>
      <c r="H2386" s="24" t="s">
        <v>1061</v>
      </c>
      <c r="I2386" s="3" t="str">
        <f>IFERROR(VLOOKUP(C2386,'Справочник соответствий'!A$2:D$2981,2,FALSE),IF(VALUE(C2386)=0,1,VLOOKUP(C2386,'Справочник соответствий'!A$2:D$2981,2,FALSE)))</f>
        <v>1</v>
      </c>
      <c r="J2386" s="3">
        <f>IFERROR(VLOOKUP(D2386,'Справочник соответствий'!A$2:D$2981,2,FALSE),IF(VALUE(D2386)=0,0,VLOOKUP(D2386,'Справочник соответствий'!A$2:D$2981,2,FALSE)))</f>
        <v>0</v>
      </c>
      <c r="K2386" s="3" t="str">
        <f t="shared" si="259"/>
        <v>1</v>
      </c>
      <c r="L2386" s="13" t="str">
        <f>IFERROR(VLOOKUP(C2386,'Справочник соответствий'!A$2:D$2981,3,FALSE),IF(VALUE(C2386)=0,"ЭТАЖ НЕ ОПРЕДЕЛЕН. ПРИНЯТ ПО ДОПУЩЕНИЮ 1",VLOOKUP(C2386,'Справочник соответствий'!A$2:D$2981,3,FALSE)))</f>
        <v>ЭТАЖ ЗАДАН ЧИСЛОМ</v>
      </c>
      <c r="M2386" s="13" t="b">
        <f t="shared" si="260"/>
        <v>0</v>
      </c>
      <c r="N2386" s="13">
        <f t="shared" si="261"/>
        <v>1</v>
      </c>
      <c r="O2386" s="13" t="str">
        <f t="shared" si="262"/>
        <v>ЭТАЖ ЗАДАН ЧИСЛОМ</v>
      </c>
      <c r="P2386" s="13" t="str">
        <f t="shared" si="263"/>
        <v>ЭТАЖ ЗАДАН ЧИСЛОМ</v>
      </c>
      <c r="Q2386" s="13" t="str">
        <f t="shared" si="264"/>
        <v>ГОТОВ_ИЗМЕНЕН</v>
      </c>
      <c r="R2386" s="13">
        <f>IFERROR(VLOOKUP(P2386,Лист1!A$1:B$20,2,FALSE),0)</f>
        <v>784</v>
      </c>
      <c r="S2386" s="13">
        <f t="shared" si="265"/>
        <v>0</v>
      </c>
    </row>
    <row r="2387" spans="1:19" x14ac:dyDescent="0.25">
      <c r="A2387" s="24" t="s">
        <v>3516</v>
      </c>
      <c r="B2387" s="4" t="s">
        <v>1063</v>
      </c>
      <c r="C2387" s="25" t="s">
        <v>5</v>
      </c>
      <c r="G2387" s="25" t="s">
        <v>1219</v>
      </c>
      <c r="H2387" s="24" t="s">
        <v>1061</v>
      </c>
      <c r="I2387" s="3" t="str">
        <f>IFERROR(VLOOKUP(C2387,'Справочник соответствий'!A$2:D$2981,2,FALSE),IF(VALUE(C2387)=0,1,VLOOKUP(C2387,'Справочник соответствий'!A$2:D$2981,2,FALSE)))</f>
        <v>1</v>
      </c>
      <c r="J2387" s="3">
        <f>IFERROR(VLOOKUP(D2387,'Справочник соответствий'!A$2:D$2981,2,FALSE),IF(VALUE(D2387)=0,0,VLOOKUP(D2387,'Справочник соответствий'!A$2:D$2981,2,FALSE)))</f>
        <v>0</v>
      </c>
      <c r="K2387" s="3" t="str">
        <f t="shared" si="259"/>
        <v>1</v>
      </c>
      <c r="L2387" s="13" t="str">
        <f>IFERROR(VLOOKUP(C2387,'Справочник соответствий'!A$2:D$2981,3,FALSE),IF(VALUE(C2387)=0,"ЭТАЖ НЕ ОПРЕДЕЛЕН. ПРИНЯТ ПО ДОПУЩЕНИЮ 1",VLOOKUP(C2387,'Справочник соответствий'!A$2:D$2981,3,FALSE)))</f>
        <v>ЭТАЖ ЗАДАН ЧИСЛОМ</v>
      </c>
      <c r="M2387" s="13" t="b">
        <f t="shared" si="260"/>
        <v>0</v>
      </c>
      <c r="N2387" s="13">
        <f t="shared" si="261"/>
        <v>1</v>
      </c>
      <c r="O2387" s="13" t="str">
        <f t="shared" si="262"/>
        <v>ЭТАЖ ЗАДАН ЧИСЛОМ</v>
      </c>
      <c r="P2387" s="13" t="str">
        <f t="shared" si="263"/>
        <v>ЭТАЖ ЗАДАН ЧИСЛОМ</v>
      </c>
      <c r="Q2387" s="13" t="str">
        <f t="shared" si="264"/>
        <v>ГОТОВ_ИЗМЕНЕН</v>
      </c>
      <c r="R2387" s="13">
        <f>IFERROR(VLOOKUP(P2387,Лист1!A$1:B$20,2,FALSE),0)</f>
        <v>784</v>
      </c>
      <c r="S2387" s="13">
        <f t="shared" si="265"/>
        <v>0</v>
      </c>
    </row>
    <row r="2388" spans="1:19" x14ac:dyDescent="0.25">
      <c r="A2388" s="24" t="s">
        <v>3517</v>
      </c>
      <c r="B2388" s="4" t="s">
        <v>1059</v>
      </c>
      <c r="C2388" s="25" t="s">
        <v>5</v>
      </c>
      <c r="G2388" s="25" t="s">
        <v>1230</v>
      </c>
      <c r="H2388" s="24" t="s">
        <v>1061</v>
      </c>
      <c r="I2388" s="3" t="str">
        <f>IFERROR(VLOOKUP(C2388,'Справочник соответствий'!A$2:D$2981,2,FALSE),IF(VALUE(C2388)=0,1,VLOOKUP(C2388,'Справочник соответствий'!A$2:D$2981,2,FALSE)))</f>
        <v>1</v>
      </c>
      <c r="J2388" s="3">
        <f>IFERROR(VLOOKUP(D2388,'Справочник соответствий'!A$2:D$2981,2,FALSE),IF(VALUE(D2388)=0,0,VLOOKUP(D2388,'Справочник соответствий'!A$2:D$2981,2,FALSE)))</f>
        <v>0</v>
      </c>
      <c r="K2388" s="3" t="str">
        <f t="shared" si="259"/>
        <v>1</v>
      </c>
      <c r="L2388" s="13" t="str">
        <f>IFERROR(VLOOKUP(C2388,'Справочник соответствий'!A$2:D$2981,3,FALSE),IF(VALUE(C2388)=0,"ЭТАЖ НЕ ОПРЕДЕЛЕН. ПРИНЯТ ПО ДОПУЩЕНИЮ 1",VLOOKUP(C2388,'Справочник соответствий'!A$2:D$2981,3,FALSE)))</f>
        <v>ЭТАЖ ЗАДАН ЧИСЛОМ</v>
      </c>
      <c r="M2388" s="13" t="b">
        <f t="shared" si="260"/>
        <v>0</v>
      </c>
      <c r="N2388" s="13">
        <f t="shared" si="261"/>
        <v>1</v>
      </c>
      <c r="O2388" s="13" t="str">
        <f t="shared" si="262"/>
        <v>ЭТАЖ ЗАДАН ЧИСЛОМ</v>
      </c>
      <c r="P2388" s="13" t="str">
        <f t="shared" si="263"/>
        <v>ЭТАЖ ЗАДАН ЧИСЛОМ</v>
      </c>
      <c r="Q2388" s="13" t="str">
        <f t="shared" si="264"/>
        <v>ГОТОВ_ИЗМЕНЕН</v>
      </c>
      <c r="R2388" s="13">
        <f>IFERROR(VLOOKUP(P2388,Лист1!A$1:B$20,2,FALSE),0)</f>
        <v>784</v>
      </c>
      <c r="S2388" s="13">
        <f t="shared" si="265"/>
        <v>0</v>
      </c>
    </row>
    <row r="2389" spans="1:19" x14ac:dyDescent="0.25">
      <c r="A2389" s="24" t="s">
        <v>3518</v>
      </c>
      <c r="B2389" s="4" t="s">
        <v>1059</v>
      </c>
      <c r="C2389" s="25" t="s">
        <v>5</v>
      </c>
      <c r="G2389" s="25" t="s">
        <v>1067</v>
      </c>
      <c r="H2389" s="24" t="s">
        <v>1061</v>
      </c>
      <c r="I2389" s="3" t="str">
        <f>IFERROR(VLOOKUP(C2389,'Справочник соответствий'!A$2:D$2981,2,FALSE),IF(VALUE(C2389)=0,1,VLOOKUP(C2389,'Справочник соответствий'!A$2:D$2981,2,FALSE)))</f>
        <v>1</v>
      </c>
      <c r="J2389" s="3">
        <f>IFERROR(VLOOKUP(D2389,'Справочник соответствий'!A$2:D$2981,2,FALSE),IF(VALUE(D2389)=0,0,VLOOKUP(D2389,'Справочник соответствий'!A$2:D$2981,2,FALSE)))</f>
        <v>0</v>
      </c>
      <c r="K2389" s="3" t="str">
        <f t="shared" si="259"/>
        <v>1</v>
      </c>
      <c r="L2389" s="13" t="str">
        <f>IFERROR(VLOOKUP(C2389,'Справочник соответствий'!A$2:D$2981,3,FALSE),IF(VALUE(C2389)=0,"ЭТАЖ НЕ ОПРЕДЕЛЕН. ПРИНЯТ ПО ДОПУЩЕНИЮ 1",VLOOKUP(C2389,'Справочник соответствий'!A$2:D$2981,3,FALSE)))</f>
        <v>ЭТАЖ ЗАДАН ЧИСЛОМ</v>
      </c>
      <c r="M2389" s="13" t="b">
        <f t="shared" si="260"/>
        <v>0</v>
      </c>
      <c r="N2389" s="13">
        <f t="shared" si="261"/>
        <v>1</v>
      </c>
      <c r="O2389" s="13" t="str">
        <f t="shared" si="262"/>
        <v>ЭТАЖ ЗАДАН ЧИСЛОМ</v>
      </c>
      <c r="P2389" s="13" t="str">
        <f t="shared" si="263"/>
        <v>ЭТАЖ ЗАДАН ЧИСЛОМ</v>
      </c>
      <c r="Q2389" s="13" t="str">
        <f t="shared" si="264"/>
        <v>ГОТОВ_ИЗМЕНЕН</v>
      </c>
      <c r="R2389" s="13">
        <f>IFERROR(VLOOKUP(P2389,Лист1!A$1:B$20,2,FALSE),0)</f>
        <v>784</v>
      </c>
      <c r="S2389" s="13">
        <f t="shared" si="265"/>
        <v>0</v>
      </c>
    </row>
    <row r="2390" spans="1:19" x14ac:dyDescent="0.25">
      <c r="A2390" s="24" t="s">
        <v>3519</v>
      </c>
      <c r="B2390" s="4" t="s">
        <v>1063</v>
      </c>
      <c r="C2390" s="25" t="s">
        <v>5</v>
      </c>
      <c r="G2390" s="25" t="s">
        <v>1230</v>
      </c>
      <c r="H2390" s="24" t="s">
        <v>1061</v>
      </c>
      <c r="I2390" s="3" t="str">
        <f>IFERROR(VLOOKUP(C2390,'Справочник соответствий'!A$2:D$2981,2,FALSE),IF(VALUE(C2390)=0,1,VLOOKUP(C2390,'Справочник соответствий'!A$2:D$2981,2,FALSE)))</f>
        <v>1</v>
      </c>
      <c r="J2390" s="3">
        <f>IFERROR(VLOOKUP(D2390,'Справочник соответствий'!A$2:D$2981,2,FALSE),IF(VALUE(D2390)=0,0,VLOOKUP(D2390,'Справочник соответствий'!A$2:D$2981,2,FALSE)))</f>
        <v>0</v>
      </c>
      <c r="K2390" s="3" t="str">
        <f t="shared" si="259"/>
        <v>1</v>
      </c>
      <c r="L2390" s="13" t="str">
        <f>IFERROR(VLOOKUP(C2390,'Справочник соответствий'!A$2:D$2981,3,FALSE),IF(VALUE(C2390)=0,"ЭТАЖ НЕ ОПРЕДЕЛЕН. ПРИНЯТ ПО ДОПУЩЕНИЮ 1",VLOOKUP(C2390,'Справочник соответствий'!A$2:D$2981,3,FALSE)))</f>
        <v>ЭТАЖ ЗАДАН ЧИСЛОМ</v>
      </c>
      <c r="M2390" s="13" t="b">
        <f t="shared" si="260"/>
        <v>0</v>
      </c>
      <c r="N2390" s="13">
        <f t="shared" si="261"/>
        <v>1</v>
      </c>
      <c r="O2390" s="13" t="str">
        <f t="shared" si="262"/>
        <v>ЭТАЖ ЗАДАН ЧИСЛОМ</v>
      </c>
      <c r="P2390" s="13" t="str">
        <f t="shared" si="263"/>
        <v>ЭТАЖ ЗАДАН ЧИСЛОМ</v>
      </c>
      <c r="Q2390" s="13" t="str">
        <f t="shared" si="264"/>
        <v>ГОТОВ_ИЗМЕНЕН</v>
      </c>
      <c r="R2390" s="13">
        <f>IFERROR(VLOOKUP(P2390,Лист1!A$1:B$20,2,FALSE),0)</f>
        <v>784</v>
      </c>
      <c r="S2390" s="13">
        <f t="shared" si="265"/>
        <v>0</v>
      </c>
    </row>
    <row r="2391" spans="1:19" x14ac:dyDescent="0.25">
      <c r="A2391" s="24" t="s">
        <v>3520</v>
      </c>
      <c r="B2391" s="4" t="s">
        <v>1063</v>
      </c>
      <c r="C2391" s="25" t="s">
        <v>5</v>
      </c>
      <c r="G2391" s="25" t="s">
        <v>1228</v>
      </c>
      <c r="H2391" s="24" t="s">
        <v>1061</v>
      </c>
      <c r="I2391" s="3" t="str">
        <f>IFERROR(VLOOKUP(C2391,'Справочник соответствий'!A$2:D$2981,2,FALSE),IF(VALUE(C2391)=0,1,VLOOKUP(C2391,'Справочник соответствий'!A$2:D$2981,2,FALSE)))</f>
        <v>1</v>
      </c>
      <c r="J2391" s="3">
        <f>IFERROR(VLOOKUP(D2391,'Справочник соответствий'!A$2:D$2981,2,FALSE),IF(VALUE(D2391)=0,0,VLOOKUP(D2391,'Справочник соответствий'!A$2:D$2981,2,FALSE)))</f>
        <v>0</v>
      </c>
      <c r="K2391" s="3" t="str">
        <f t="shared" si="259"/>
        <v>1</v>
      </c>
      <c r="L2391" s="13" t="str">
        <f>IFERROR(VLOOKUP(C2391,'Справочник соответствий'!A$2:D$2981,3,FALSE),IF(VALUE(C2391)=0,"ЭТАЖ НЕ ОПРЕДЕЛЕН. ПРИНЯТ ПО ДОПУЩЕНИЮ 1",VLOOKUP(C2391,'Справочник соответствий'!A$2:D$2981,3,FALSE)))</f>
        <v>ЭТАЖ ЗАДАН ЧИСЛОМ</v>
      </c>
      <c r="M2391" s="13" t="b">
        <f t="shared" si="260"/>
        <v>0</v>
      </c>
      <c r="N2391" s="13">
        <f t="shared" si="261"/>
        <v>1</v>
      </c>
      <c r="O2391" s="13" t="str">
        <f t="shared" si="262"/>
        <v>ЭТАЖ ЗАДАН ЧИСЛОМ</v>
      </c>
      <c r="P2391" s="13" t="str">
        <f t="shared" si="263"/>
        <v>ЭТАЖ ЗАДАН ЧИСЛОМ</v>
      </c>
      <c r="Q2391" s="13" t="str">
        <f t="shared" si="264"/>
        <v>ГОТОВ_ИЗМЕНЕН</v>
      </c>
      <c r="R2391" s="13">
        <f>IFERROR(VLOOKUP(P2391,Лист1!A$1:B$20,2,FALSE),0)</f>
        <v>784</v>
      </c>
      <c r="S2391" s="13">
        <f t="shared" si="265"/>
        <v>0</v>
      </c>
    </row>
    <row r="2392" spans="1:19" x14ac:dyDescent="0.25">
      <c r="A2392" s="24" t="s">
        <v>3521</v>
      </c>
      <c r="B2392" s="4" t="s">
        <v>1059</v>
      </c>
      <c r="C2392" s="25" t="s">
        <v>5</v>
      </c>
      <c r="G2392" s="25" t="s">
        <v>1230</v>
      </c>
      <c r="H2392" s="24" t="s">
        <v>1061</v>
      </c>
      <c r="I2392" s="3" t="str">
        <f>IFERROR(VLOOKUP(C2392,'Справочник соответствий'!A$2:D$2981,2,FALSE),IF(VALUE(C2392)=0,1,VLOOKUP(C2392,'Справочник соответствий'!A$2:D$2981,2,FALSE)))</f>
        <v>1</v>
      </c>
      <c r="J2392" s="3">
        <f>IFERROR(VLOOKUP(D2392,'Справочник соответствий'!A$2:D$2981,2,FALSE),IF(VALUE(D2392)=0,0,VLOOKUP(D2392,'Справочник соответствий'!A$2:D$2981,2,FALSE)))</f>
        <v>0</v>
      </c>
      <c r="K2392" s="3" t="str">
        <f t="shared" si="259"/>
        <v>1</v>
      </c>
      <c r="L2392" s="13" t="str">
        <f>IFERROR(VLOOKUP(C2392,'Справочник соответствий'!A$2:D$2981,3,FALSE),IF(VALUE(C2392)=0,"ЭТАЖ НЕ ОПРЕДЕЛЕН. ПРИНЯТ ПО ДОПУЩЕНИЮ 1",VLOOKUP(C2392,'Справочник соответствий'!A$2:D$2981,3,FALSE)))</f>
        <v>ЭТАЖ ЗАДАН ЧИСЛОМ</v>
      </c>
      <c r="M2392" s="13" t="b">
        <f t="shared" si="260"/>
        <v>0</v>
      </c>
      <c r="N2392" s="13">
        <f t="shared" si="261"/>
        <v>1</v>
      </c>
      <c r="O2392" s="13" t="str">
        <f t="shared" si="262"/>
        <v>ЭТАЖ ЗАДАН ЧИСЛОМ</v>
      </c>
      <c r="P2392" s="13" t="str">
        <f t="shared" si="263"/>
        <v>ЭТАЖ ЗАДАН ЧИСЛОМ</v>
      </c>
      <c r="Q2392" s="13" t="str">
        <f t="shared" si="264"/>
        <v>ГОТОВ_ИЗМЕНЕН</v>
      </c>
      <c r="R2392" s="13">
        <f>IFERROR(VLOOKUP(P2392,Лист1!A$1:B$20,2,FALSE),0)</f>
        <v>784</v>
      </c>
      <c r="S2392" s="13">
        <f t="shared" si="265"/>
        <v>0</v>
      </c>
    </row>
    <row r="2393" spans="1:19" x14ac:dyDescent="0.25">
      <c r="A2393" s="24" t="s">
        <v>3522</v>
      </c>
      <c r="B2393" s="4" t="s">
        <v>1063</v>
      </c>
      <c r="C2393" s="25" t="s">
        <v>5</v>
      </c>
      <c r="G2393" s="25" t="s">
        <v>1067</v>
      </c>
      <c r="H2393" s="24" t="s">
        <v>1061</v>
      </c>
      <c r="I2393" s="3" t="str">
        <f>IFERROR(VLOOKUP(C2393,'Справочник соответствий'!A$2:D$2981,2,FALSE),IF(VALUE(C2393)=0,1,VLOOKUP(C2393,'Справочник соответствий'!A$2:D$2981,2,FALSE)))</f>
        <v>1</v>
      </c>
      <c r="J2393" s="3">
        <f>IFERROR(VLOOKUP(D2393,'Справочник соответствий'!A$2:D$2981,2,FALSE),IF(VALUE(D2393)=0,0,VLOOKUP(D2393,'Справочник соответствий'!A$2:D$2981,2,FALSE)))</f>
        <v>0</v>
      </c>
      <c r="K2393" s="3" t="str">
        <f t="shared" si="259"/>
        <v>1</v>
      </c>
      <c r="L2393" s="13" t="str">
        <f>IFERROR(VLOOKUP(C2393,'Справочник соответствий'!A$2:D$2981,3,FALSE),IF(VALUE(C2393)=0,"ЭТАЖ НЕ ОПРЕДЕЛЕН. ПРИНЯТ ПО ДОПУЩЕНИЮ 1",VLOOKUP(C2393,'Справочник соответствий'!A$2:D$2981,3,FALSE)))</f>
        <v>ЭТАЖ ЗАДАН ЧИСЛОМ</v>
      </c>
      <c r="M2393" s="13" t="b">
        <f t="shared" si="260"/>
        <v>0</v>
      </c>
      <c r="N2393" s="13">
        <f t="shared" si="261"/>
        <v>1</v>
      </c>
      <c r="O2393" s="13" t="str">
        <f t="shared" si="262"/>
        <v>ЭТАЖ ЗАДАН ЧИСЛОМ</v>
      </c>
      <c r="P2393" s="13" t="str">
        <f t="shared" si="263"/>
        <v>ЭТАЖ ЗАДАН ЧИСЛОМ</v>
      </c>
      <c r="Q2393" s="13" t="str">
        <f t="shared" si="264"/>
        <v>ГОТОВ_ИЗМЕНЕН</v>
      </c>
      <c r="R2393" s="13">
        <f>IFERROR(VLOOKUP(P2393,Лист1!A$1:B$20,2,FALSE),0)</f>
        <v>784</v>
      </c>
      <c r="S2393" s="13">
        <f t="shared" si="265"/>
        <v>0</v>
      </c>
    </row>
    <row r="2394" spans="1:19" x14ac:dyDescent="0.25">
      <c r="A2394" s="24" t="s">
        <v>3523</v>
      </c>
      <c r="B2394" s="4" t="s">
        <v>1059</v>
      </c>
      <c r="C2394" s="25" t="s">
        <v>5</v>
      </c>
      <c r="G2394" s="25" t="s">
        <v>1067</v>
      </c>
      <c r="H2394" s="24" t="s">
        <v>1061</v>
      </c>
      <c r="I2394" s="3" t="str">
        <f>IFERROR(VLOOKUP(C2394,'Справочник соответствий'!A$2:D$2981,2,FALSE),IF(VALUE(C2394)=0,1,VLOOKUP(C2394,'Справочник соответствий'!A$2:D$2981,2,FALSE)))</f>
        <v>1</v>
      </c>
      <c r="J2394" s="3">
        <f>IFERROR(VLOOKUP(D2394,'Справочник соответствий'!A$2:D$2981,2,FALSE),IF(VALUE(D2394)=0,0,VLOOKUP(D2394,'Справочник соответствий'!A$2:D$2981,2,FALSE)))</f>
        <v>0</v>
      </c>
      <c r="K2394" s="3" t="str">
        <f t="shared" si="259"/>
        <v>1</v>
      </c>
      <c r="L2394" s="13" t="str">
        <f>IFERROR(VLOOKUP(C2394,'Справочник соответствий'!A$2:D$2981,3,FALSE),IF(VALUE(C2394)=0,"ЭТАЖ НЕ ОПРЕДЕЛЕН. ПРИНЯТ ПО ДОПУЩЕНИЮ 1",VLOOKUP(C2394,'Справочник соответствий'!A$2:D$2981,3,FALSE)))</f>
        <v>ЭТАЖ ЗАДАН ЧИСЛОМ</v>
      </c>
      <c r="M2394" s="13" t="b">
        <f t="shared" si="260"/>
        <v>0</v>
      </c>
      <c r="N2394" s="13">
        <f t="shared" si="261"/>
        <v>1</v>
      </c>
      <c r="O2394" s="13" t="str">
        <f t="shared" si="262"/>
        <v>ЭТАЖ ЗАДАН ЧИСЛОМ</v>
      </c>
      <c r="P2394" s="13" t="str">
        <f t="shared" si="263"/>
        <v>ЭТАЖ ЗАДАН ЧИСЛОМ</v>
      </c>
      <c r="Q2394" s="13" t="str">
        <f t="shared" si="264"/>
        <v>ГОТОВ_ИЗМЕНЕН</v>
      </c>
      <c r="R2394" s="13">
        <f>IFERROR(VLOOKUP(P2394,Лист1!A$1:B$20,2,FALSE),0)</f>
        <v>784</v>
      </c>
      <c r="S2394" s="13">
        <f t="shared" si="265"/>
        <v>0</v>
      </c>
    </row>
    <row r="2395" spans="1:19" x14ac:dyDescent="0.25">
      <c r="A2395" s="24" t="s">
        <v>3524</v>
      </c>
      <c r="B2395" s="4" t="s">
        <v>1059</v>
      </c>
      <c r="C2395" s="25" t="s">
        <v>5</v>
      </c>
      <c r="G2395" s="25" t="s">
        <v>1067</v>
      </c>
      <c r="H2395" s="24" t="s">
        <v>1061</v>
      </c>
      <c r="I2395" s="3" t="str">
        <f>IFERROR(VLOOKUP(C2395,'Справочник соответствий'!A$2:D$2981,2,FALSE),IF(VALUE(C2395)=0,1,VLOOKUP(C2395,'Справочник соответствий'!A$2:D$2981,2,FALSE)))</f>
        <v>1</v>
      </c>
      <c r="J2395" s="3">
        <f>IFERROR(VLOOKUP(D2395,'Справочник соответствий'!A$2:D$2981,2,FALSE),IF(VALUE(D2395)=0,0,VLOOKUP(D2395,'Справочник соответствий'!A$2:D$2981,2,FALSE)))</f>
        <v>0</v>
      </c>
      <c r="K2395" s="3" t="str">
        <f t="shared" si="259"/>
        <v>1</v>
      </c>
      <c r="L2395" s="13" t="str">
        <f>IFERROR(VLOOKUP(C2395,'Справочник соответствий'!A$2:D$2981,3,FALSE),IF(VALUE(C2395)=0,"ЭТАЖ НЕ ОПРЕДЕЛЕН. ПРИНЯТ ПО ДОПУЩЕНИЮ 1",VLOOKUP(C2395,'Справочник соответствий'!A$2:D$2981,3,FALSE)))</f>
        <v>ЭТАЖ ЗАДАН ЧИСЛОМ</v>
      </c>
      <c r="M2395" s="13" t="b">
        <f t="shared" si="260"/>
        <v>0</v>
      </c>
      <c r="N2395" s="13">
        <f t="shared" si="261"/>
        <v>1</v>
      </c>
      <c r="O2395" s="13" t="str">
        <f t="shared" si="262"/>
        <v>ЭТАЖ ЗАДАН ЧИСЛОМ</v>
      </c>
      <c r="P2395" s="13" t="str">
        <f t="shared" si="263"/>
        <v>ЭТАЖ ЗАДАН ЧИСЛОМ</v>
      </c>
      <c r="Q2395" s="13" t="str">
        <f t="shared" si="264"/>
        <v>ГОТОВ_ИЗМЕНЕН</v>
      </c>
      <c r="R2395" s="13">
        <f>IFERROR(VLOOKUP(P2395,Лист1!A$1:B$20,2,FALSE),0)</f>
        <v>784</v>
      </c>
      <c r="S2395" s="13">
        <f t="shared" si="265"/>
        <v>0</v>
      </c>
    </row>
    <row r="2396" spans="1:19" x14ac:dyDescent="0.25">
      <c r="A2396" s="24" t="s">
        <v>3525</v>
      </c>
      <c r="B2396" s="4" t="s">
        <v>1059</v>
      </c>
      <c r="C2396" s="25" t="s">
        <v>7</v>
      </c>
      <c r="G2396" s="25" t="s">
        <v>1067</v>
      </c>
      <c r="H2396" s="24" t="s">
        <v>1061</v>
      </c>
      <c r="I2396" s="3" t="str">
        <f>IFERROR(VLOOKUP(C2396,'Справочник соответствий'!A$2:D$2981,2,FALSE),IF(VALUE(C2396)=0,1,VLOOKUP(C2396,'Справочник соответствий'!A$2:D$2981,2,FALSE)))</f>
        <v>2</v>
      </c>
      <c r="J2396" s="3">
        <f>IFERROR(VLOOKUP(D2396,'Справочник соответствий'!A$2:D$2981,2,FALSE),IF(VALUE(D2396)=0,0,VLOOKUP(D2396,'Справочник соответствий'!A$2:D$2981,2,FALSE)))</f>
        <v>0</v>
      </c>
      <c r="K2396" s="3" t="str">
        <f t="shared" si="259"/>
        <v>2</v>
      </c>
      <c r="L2396" s="13" t="str">
        <f>IFERROR(VLOOKUP(C2396,'Справочник соответствий'!A$2:D$2981,3,FALSE),IF(VALUE(C2396)=0,"ЭТАЖ НЕ ОПРЕДЕЛЕН. ПРИНЯТ ПО ДОПУЩЕНИЮ 1",VLOOKUP(C2396,'Справочник соответствий'!A$2:D$2981,3,FALSE)))</f>
        <v>ЭТАЖ ЗАДАН ЧИСЛОМ</v>
      </c>
      <c r="M2396" s="13" t="b">
        <f t="shared" si="260"/>
        <v>0</v>
      </c>
      <c r="N2396" s="13">
        <f t="shared" si="261"/>
        <v>2</v>
      </c>
      <c r="O2396" s="13" t="str">
        <f t="shared" si="262"/>
        <v>ЭТАЖ ЗАДАН ЧИСЛОМ</v>
      </c>
      <c r="P2396" s="13" t="str">
        <f t="shared" si="263"/>
        <v>ЭТАЖ ЗАДАН ЧИСЛОМ</v>
      </c>
      <c r="Q2396" s="13" t="str">
        <f t="shared" si="264"/>
        <v>ГОТОВ_ИЗМЕНЕН</v>
      </c>
      <c r="R2396" s="13">
        <f>IFERROR(VLOOKUP(P2396,Лист1!A$1:B$20,2,FALSE),0)</f>
        <v>784</v>
      </c>
      <c r="S2396" s="13">
        <f t="shared" si="265"/>
        <v>0</v>
      </c>
    </row>
    <row r="2397" spans="1:19" x14ac:dyDescent="0.25">
      <c r="A2397" s="24" t="s">
        <v>3526</v>
      </c>
      <c r="B2397" s="4" t="s">
        <v>1059</v>
      </c>
      <c r="C2397" s="25" t="s">
        <v>5</v>
      </c>
      <c r="G2397" s="25" t="s">
        <v>1067</v>
      </c>
      <c r="H2397" s="24" t="s">
        <v>1061</v>
      </c>
      <c r="I2397" s="3" t="str">
        <f>IFERROR(VLOOKUP(C2397,'Справочник соответствий'!A$2:D$2981,2,FALSE),IF(VALUE(C2397)=0,1,VLOOKUP(C2397,'Справочник соответствий'!A$2:D$2981,2,FALSE)))</f>
        <v>1</v>
      </c>
      <c r="J2397" s="3">
        <f>IFERROR(VLOOKUP(D2397,'Справочник соответствий'!A$2:D$2981,2,FALSE),IF(VALUE(D2397)=0,0,VLOOKUP(D2397,'Справочник соответствий'!A$2:D$2981,2,FALSE)))</f>
        <v>0</v>
      </c>
      <c r="K2397" s="3" t="str">
        <f t="shared" si="259"/>
        <v>1</v>
      </c>
      <c r="L2397" s="13" t="str">
        <f>IFERROR(VLOOKUP(C2397,'Справочник соответствий'!A$2:D$2981,3,FALSE),IF(VALUE(C2397)=0,"ЭТАЖ НЕ ОПРЕДЕЛЕН. ПРИНЯТ ПО ДОПУЩЕНИЮ 1",VLOOKUP(C2397,'Справочник соответствий'!A$2:D$2981,3,FALSE)))</f>
        <v>ЭТАЖ ЗАДАН ЧИСЛОМ</v>
      </c>
      <c r="M2397" s="13" t="b">
        <f t="shared" si="260"/>
        <v>0</v>
      </c>
      <c r="N2397" s="13">
        <f t="shared" si="261"/>
        <v>1</v>
      </c>
      <c r="O2397" s="13" t="str">
        <f t="shared" si="262"/>
        <v>ЭТАЖ ЗАДАН ЧИСЛОМ</v>
      </c>
      <c r="P2397" s="13" t="str">
        <f t="shared" si="263"/>
        <v>ЭТАЖ ЗАДАН ЧИСЛОМ</v>
      </c>
      <c r="Q2397" s="13" t="str">
        <f t="shared" si="264"/>
        <v>ГОТОВ_ИЗМЕНЕН</v>
      </c>
      <c r="R2397" s="13">
        <f>IFERROR(VLOOKUP(P2397,Лист1!A$1:B$20,2,FALSE),0)</f>
        <v>784</v>
      </c>
      <c r="S2397" s="13">
        <f t="shared" si="265"/>
        <v>0</v>
      </c>
    </row>
    <row r="2398" spans="1:19" x14ac:dyDescent="0.25">
      <c r="A2398" s="24" t="s">
        <v>3527</v>
      </c>
      <c r="B2398" s="4" t="s">
        <v>1063</v>
      </c>
      <c r="C2398" s="25" t="s">
        <v>5</v>
      </c>
      <c r="G2398" s="25" t="s">
        <v>1067</v>
      </c>
      <c r="H2398" s="24" t="s">
        <v>1061</v>
      </c>
      <c r="I2398" s="3" t="str">
        <f>IFERROR(VLOOKUP(C2398,'Справочник соответствий'!A$2:D$2981,2,FALSE),IF(VALUE(C2398)=0,1,VLOOKUP(C2398,'Справочник соответствий'!A$2:D$2981,2,FALSE)))</f>
        <v>1</v>
      </c>
      <c r="J2398" s="3">
        <f>IFERROR(VLOOKUP(D2398,'Справочник соответствий'!A$2:D$2981,2,FALSE),IF(VALUE(D2398)=0,0,VLOOKUP(D2398,'Справочник соответствий'!A$2:D$2981,2,FALSE)))</f>
        <v>0</v>
      </c>
      <c r="K2398" s="3" t="str">
        <f t="shared" si="259"/>
        <v>1</v>
      </c>
      <c r="L2398" s="13" t="str">
        <f>IFERROR(VLOOKUP(C2398,'Справочник соответствий'!A$2:D$2981,3,FALSE),IF(VALUE(C2398)=0,"ЭТАЖ НЕ ОПРЕДЕЛЕН. ПРИНЯТ ПО ДОПУЩЕНИЮ 1",VLOOKUP(C2398,'Справочник соответствий'!A$2:D$2981,3,FALSE)))</f>
        <v>ЭТАЖ ЗАДАН ЧИСЛОМ</v>
      </c>
      <c r="M2398" s="13" t="b">
        <f t="shared" si="260"/>
        <v>0</v>
      </c>
      <c r="N2398" s="13">
        <f t="shared" si="261"/>
        <v>1</v>
      </c>
      <c r="O2398" s="13" t="str">
        <f t="shared" si="262"/>
        <v>ЭТАЖ ЗАДАН ЧИСЛОМ</v>
      </c>
      <c r="P2398" s="13" t="str">
        <f t="shared" si="263"/>
        <v>ЭТАЖ ЗАДАН ЧИСЛОМ</v>
      </c>
      <c r="Q2398" s="13" t="str">
        <f t="shared" si="264"/>
        <v>ГОТОВ_ИЗМЕНЕН</v>
      </c>
      <c r="R2398" s="13">
        <f>IFERROR(VLOOKUP(P2398,Лист1!A$1:B$20,2,FALSE),0)</f>
        <v>784</v>
      </c>
      <c r="S2398" s="13">
        <f t="shared" si="265"/>
        <v>0</v>
      </c>
    </row>
    <row r="2399" spans="1:19" x14ac:dyDescent="0.25">
      <c r="A2399" s="24" t="s">
        <v>3528</v>
      </c>
      <c r="B2399" s="4" t="s">
        <v>1059</v>
      </c>
      <c r="C2399" s="25" t="s">
        <v>7</v>
      </c>
      <c r="G2399" s="25" t="s">
        <v>1067</v>
      </c>
      <c r="H2399" s="24" t="s">
        <v>1061</v>
      </c>
      <c r="I2399" s="3" t="str">
        <f>IFERROR(VLOOKUP(C2399,'Справочник соответствий'!A$2:D$2981,2,FALSE),IF(VALUE(C2399)=0,1,VLOOKUP(C2399,'Справочник соответствий'!A$2:D$2981,2,FALSE)))</f>
        <v>2</v>
      </c>
      <c r="J2399" s="3">
        <f>IFERROR(VLOOKUP(D2399,'Справочник соответствий'!A$2:D$2981,2,FALSE),IF(VALUE(D2399)=0,0,VLOOKUP(D2399,'Справочник соответствий'!A$2:D$2981,2,FALSE)))</f>
        <v>0</v>
      </c>
      <c r="K2399" s="3" t="str">
        <f t="shared" si="259"/>
        <v>2</v>
      </c>
      <c r="L2399" s="13" t="str">
        <f>IFERROR(VLOOKUP(C2399,'Справочник соответствий'!A$2:D$2981,3,FALSE),IF(VALUE(C2399)=0,"ЭТАЖ НЕ ОПРЕДЕЛЕН. ПРИНЯТ ПО ДОПУЩЕНИЮ 1",VLOOKUP(C2399,'Справочник соответствий'!A$2:D$2981,3,FALSE)))</f>
        <v>ЭТАЖ ЗАДАН ЧИСЛОМ</v>
      </c>
      <c r="M2399" s="13" t="b">
        <f t="shared" si="260"/>
        <v>0</v>
      </c>
      <c r="N2399" s="13">
        <f t="shared" si="261"/>
        <v>2</v>
      </c>
      <c r="O2399" s="13" t="str">
        <f t="shared" si="262"/>
        <v>ЭТАЖ ЗАДАН ЧИСЛОМ</v>
      </c>
      <c r="P2399" s="13" t="str">
        <f t="shared" si="263"/>
        <v>ЭТАЖ ЗАДАН ЧИСЛОМ</v>
      </c>
      <c r="Q2399" s="13" t="str">
        <f t="shared" si="264"/>
        <v>ГОТОВ_ИЗМЕНЕН</v>
      </c>
      <c r="R2399" s="13">
        <f>IFERROR(VLOOKUP(P2399,Лист1!A$1:B$20,2,FALSE),0)</f>
        <v>784</v>
      </c>
      <c r="S2399" s="13">
        <f t="shared" si="265"/>
        <v>0</v>
      </c>
    </row>
    <row r="2400" spans="1:19" x14ac:dyDescent="0.25">
      <c r="A2400" s="24" t="s">
        <v>3529</v>
      </c>
      <c r="B2400" s="4" t="s">
        <v>1059</v>
      </c>
      <c r="C2400" s="25" t="s">
        <v>5</v>
      </c>
      <c r="G2400" s="25" t="s">
        <v>1067</v>
      </c>
      <c r="H2400" s="24" t="s">
        <v>1061</v>
      </c>
      <c r="I2400" s="3" t="str">
        <f>IFERROR(VLOOKUP(C2400,'Справочник соответствий'!A$2:D$2981,2,FALSE),IF(VALUE(C2400)=0,1,VLOOKUP(C2400,'Справочник соответствий'!A$2:D$2981,2,FALSE)))</f>
        <v>1</v>
      </c>
      <c r="J2400" s="3">
        <f>IFERROR(VLOOKUP(D2400,'Справочник соответствий'!A$2:D$2981,2,FALSE),IF(VALUE(D2400)=0,0,VLOOKUP(D2400,'Справочник соответствий'!A$2:D$2981,2,FALSE)))</f>
        <v>0</v>
      </c>
      <c r="K2400" s="3" t="str">
        <f t="shared" si="259"/>
        <v>1</v>
      </c>
      <c r="L2400" s="13" t="str">
        <f>IFERROR(VLOOKUP(C2400,'Справочник соответствий'!A$2:D$2981,3,FALSE),IF(VALUE(C2400)=0,"ЭТАЖ НЕ ОПРЕДЕЛЕН. ПРИНЯТ ПО ДОПУЩЕНИЮ 1",VLOOKUP(C2400,'Справочник соответствий'!A$2:D$2981,3,FALSE)))</f>
        <v>ЭТАЖ ЗАДАН ЧИСЛОМ</v>
      </c>
      <c r="M2400" s="13" t="b">
        <f t="shared" si="260"/>
        <v>0</v>
      </c>
      <c r="N2400" s="13">
        <f t="shared" si="261"/>
        <v>1</v>
      </c>
      <c r="O2400" s="13" t="str">
        <f t="shared" si="262"/>
        <v>ЭТАЖ ЗАДАН ЧИСЛОМ</v>
      </c>
      <c r="P2400" s="13" t="str">
        <f t="shared" si="263"/>
        <v>ЭТАЖ ЗАДАН ЧИСЛОМ</v>
      </c>
      <c r="Q2400" s="13" t="str">
        <f t="shared" si="264"/>
        <v>ГОТОВ_ИЗМЕНЕН</v>
      </c>
      <c r="R2400" s="13">
        <f>IFERROR(VLOOKUP(P2400,Лист1!A$1:B$20,2,FALSE),0)</f>
        <v>784</v>
      </c>
      <c r="S2400" s="13">
        <f t="shared" si="265"/>
        <v>0</v>
      </c>
    </row>
    <row r="2401" spans="1:19" x14ac:dyDescent="0.25">
      <c r="A2401" s="24" t="s">
        <v>3530</v>
      </c>
      <c r="B2401" s="4" t="s">
        <v>1059</v>
      </c>
      <c r="C2401" s="25" t="s">
        <v>5</v>
      </c>
      <c r="G2401" s="25" t="s">
        <v>1289</v>
      </c>
      <c r="H2401" s="24" t="s">
        <v>1061</v>
      </c>
      <c r="I2401" s="3" t="str">
        <f>IFERROR(VLOOKUP(C2401,'Справочник соответствий'!A$2:D$2981,2,FALSE),IF(VALUE(C2401)=0,1,VLOOKUP(C2401,'Справочник соответствий'!A$2:D$2981,2,FALSE)))</f>
        <v>1</v>
      </c>
      <c r="J2401" s="3">
        <f>IFERROR(VLOOKUP(D2401,'Справочник соответствий'!A$2:D$2981,2,FALSE),IF(VALUE(D2401)=0,0,VLOOKUP(D2401,'Справочник соответствий'!A$2:D$2981,2,FALSE)))</f>
        <v>0</v>
      </c>
      <c r="K2401" s="3" t="str">
        <f t="shared" si="259"/>
        <v>1</v>
      </c>
      <c r="L2401" s="13" t="str">
        <f>IFERROR(VLOOKUP(C2401,'Справочник соответствий'!A$2:D$2981,3,FALSE),IF(VALUE(C2401)=0,"ЭТАЖ НЕ ОПРЕДЕЛЕН. ПРИНЯТ ПО ДОПУЩЕНИЮ 1",VLOOKUP(C2401,'Справочник соответствий'!A$2:D$2981,3,FALSE)))</f>
        <v>ЭТАЖ ЗАДАН ЧИСЛОМ</v>
      </c>
      <c r="M2401" s="13" t="b">
        <f t="shared" si="260"/>
        <v>0</v>
      </c>
      <c r="N2401" s="13">
        <f t="shared" si="261"/>
        <v>1</v>
      </c>
      <c r="O2401" s="13" t="str">
        <f t="shared" si="262"/>
        <v>ЭТАЖ ЗАДАН ЧИСЛОМ</v>
      </c>
      <c r="P2401" s="13" t="str">
        <f t="shared" si="263"/>
        <v>ЭТАЖ ЗАДАН ЧИСЛОМ</v>
      </c>
      <c r="Q2401" s="13" t="str">
        <f t="shared" si="264"/>
        <v>ГОТОВ_ИЗМЕНЕН</v>
      </c>
      <c r="R2401" s="13">
        <f>IFERROR(VLOOKUP(P2401,Лист1!A$1:B$20,2,FALSE),0)</f>
        <v>784</v>
      </c>
      <c r="S2401" s="13">
        <f t="shared" si="265"/>
        <v>0</v>
      </c>
    </row>
    <row r="2402" spans="1:19" x14ac:dyDescent="0.25">
      <c r="A2402" s="24" t="s">
        <v>3531</v>
      </c>
      <c r="B2402" s="4" t="s">
        <v>1063</v>
      </c>
      <c r="C2402" s="25" t="s">
        <v>8</v>
      </c>
      <c r="D2402" s="25" t="s">
        <v>5</v>
      </c>
      <c r="G2402" s="25" t="s">
        <v>1086</v>
      </c>
      <c r="H2402" s="24" t="s">
        <v>1061</v>
      </c>
      <c r="I2402" s="3" t="str">
        <f>IFERROR(VLOOKUP(C2402,'Справочник соответствий'!A$2:D$2981,2,FALSE),IF(VALUE(C2402)=0,1,VLOOKUP(C2402,'Справочник соответствий'!A$2:D$2981,2,FALSE)))</f>
        <v>3</v>
      </c>
      <c r="J2402" s="3" t="str">
        <f>IFERROR(VLOOKUP(D2402,'Справочник соответствий'!A$2:D$2981,2,FALSE),IF(VALUE(D2402)=0,0,VLOOKUP(D2402,'Справочник соответствий'!A$2:D$2981,2,FALSE)))</f>
        <v>1</v>
      </c>
      <c r="K2402" s="3" t="str">
        <f t="shared" si="259"/>
        <v>3</v>
      </c>
      <c r="L2402" s="13" t="str">
        <f>IFERROR(VLOOKUP(C2402,'Справочник соответствий'!A$2:D$2981,3,FALSE),IF(VALUE(C2402)=0,"ЭТАЖ НЕ ОПРЕДЕЛЕН. ПРИНЯТ ПО ДОПУЩЕНИЮ 1",VLOOKUP(C2402,'Справочник соответствий'!A$2:D$2981,3,FALSE)))</f>
        <v>ЭТАЖ ЗАДАН ЧИСЛОМ</v>
      </c>
      <c r="M2402" s="13" t="b">
        <f t="shared" si="260"/>
        <v>0</v>
      </c>
      <c r="N2402" s="13">
        <f t="shared" si="261"/>
        <v>3</v>
      </c>
      <c r="O2402" s="13" t="str">
        <f t="shared" si="262"/>
        <v>ЭТАЖ ЗАДАН ЧИСЛОМ</v>
      </c>
      <c r="P2402" s="13" t="str">
        <f t="shared" si="263"/>
        <v>ЭТАЖ ЗАДАН ЧИСЛОМ</v>
      </c>
      <c r="Q2402" s="13" t="str">
        <f t="shared" si="264"/>
        <v>ГОТОВ_ИЗМЕНЕН</v>
      </c>
      <c r="R2402" s="13">
        <f>IFERROR(VLOOKUP(P2402,Лист1!A$1:B$20,2,FALSE),0)</f>
        <v>784</v>
      </c>
      <c r="S2402" s="13">
        <f t="shared" si="265"/>
        <v>0</v>
      </c>
    </row>
    <row r="2403" spans="1:19" x14ac:dyDescent="0.25">
      <c r="A2403" s="24" t="s">
        <v>3532</v>
      </c>
      <c r="B2403" s="4" t="s">
        <v>1059</v>
      </c>
      <c r="G2403" s="25" t="s">
        <v>1086</v>
      </c>
      <c r="H2403" s="24" t="s">
        <v>1061</v>
      </c>
      <c r="I2403" s="3">
        <f>IFERROR(VLOOKUP(C2403,'Справочник соответствий'!A$2:D$2981,2,FALSE),IF(VALUE(C2403)=0,1,VLOOKUP(C2403,'Справочник соответствий'!A$2:D$2981,2,FALSE)))</f>
        <v>1</v>
      </c>
      <c r="J2403" s="3">
        <f>IFERROR(VLOOKUP(D2403,'Справочник соответствий'!A$2:D$2981,2,FALSE),IF(VALUE(D2403)=0,0,VLOOKUP(D2403,'Справочник соответствий'!A$2:D$2981,2,FALSE)))</f>
        <v>0</v>
      </c>
      <c r="K2403" s="3">
        <f t="shared" si="259"/>
        <v>1</v>
      </c>
      <c r="L2403" s="13" t="str">
        <f>IFERROR(VLOOKUP(C2403,'Справочник соответствий'!A$2:D$2981,3,FALSE),IF(VALUE(C2403)=0,"ЭТАЖ НЕ ОПРЕДЕЛЕН. ПРИНЯТ ПО ДОПУЩЕНИЮ 1",VLOOKUP(C2403,'Справочник соответствий'!A$2:D$2981,3,FALSE)))</f>
        <v>ЭТАЖ НЕ ОПРЕДЕЛЕН. ПРИНЯТ ПО ДОПУЩЕНИЮ 1</v>
      </c>
      <c r="M2403" s="13" t="b">
        <f t="shared" si="260"/>
        <v>0</v>
      </c>
      <c r="N2403" s="13">
        <f t="shared" si="261"/>
        <v>1</v>
      </c>
      <c r="O2403" s="13" t="str">
        <f t="shared" si="262"/>
        <v>ЭТАЖ НЕ ОПРЕДЕЛЕН. ПРИНЯТ ПО ДОПУЩЕНИЮ 1</v>
      </c>
      <c r="P2403" s="13" t="str">
        <f t="shared" si="263"/>
        <v>ЭТАЖ НЕ ОПРЕДЕЛЕН. ПРИНЯТ ПО ДОПУЩЕНИЮ 1</v>
      </c>
      <c r="Q2403" s="13" t="str">
        <f t="shared" si="264"/>
        <v>ГОТОВ_ИЗМЕНЕН</v>
      </c>
      <c r="R2403" s="13">
        <f>IFERROR(VLOOKUP(P2403,Лист1!A$1:B$20,2,FALSE),0)</f>
        <v>788</v>
      </c>
      <c r="S2403" s="13">
        <f t="shared" si="265"/>
        <v>0</v>
      </c>
    </row>
    <row r="2404" spans="1:19" x14ac:dyDescent="0.25">
      <c r="A2404" s="24" t="s">
        <v>3533</v>
      </c>
      <c r="B2404" s="4" t="s">
        <v>1063</v>
      </c>
      <c r="C2404" s="25" t="s">
        <v>5</v>
      </c>
      <c r="G2404" s="25" t="s">
        <v>1086</v>
      </c>
      <c r="H2404" s="24" t="s">
        <v>1061</v>
      </c>
      <c r="I2404" s="3" t="str">
        <f>IFERROR(VLOOKUP(C2404,'Справочник соответствий'!A$2:D$2981,2,FALSE),IF(VALUE(C2404)=0,1,VLOOKUP(C2404,'Справочник соответствий'!A$2:D$2981,2,FALSE)))</f>
        <v>1</v>
      </c>
      <c r="J2404" s="3">
        <f>IFERROR(VLOOKUP(D2404,'Справочник соответствий'!A$2:D$2981,2,FALSE),IF(VALUE(D2404)=0,0,VLOOKUP(D2404,'Справочник соответствий'!A$2:D$2981,2,FALSE)))</f>
        <v>0</v>
      </c>
      <c r="K2404" s="3" t="str">
        <f t="shared" si="259"/>
        <v>1</v>
      </c>
      <c r="L2404" s="13" t="str">
        <f>IFERROR(VLOOKUP(C2404,'Справочник соответствий'!A$2:D$2981,3,FALSE),IF(VALUE(C2404)=0,"ЭТАЖ НЕ ОПРЕДЕЛЕН. ПРИНЯТ ПО ДОПУЩЕНИЮ 1",VLOOKUP(C2404,'Справочник соответствий'!A$2:D$2981,3,FALSE)))</f>
        <v>ЭТАЖ ЗАДАН ЧИСЛОМ</v>
      </c>
      <c r="M2404" s="13" t="b">
        <f t="shared" si="260"/>
        <v>0</v>
      </c>
      <c r="N2404" s="13">
        <f t="shared" si="261"/>
        <v>1</v>
      </c>
      <c r="O2404" s="13" t="str">
        <f t="shared" si="262"/>
        <v>ЭТАЖ ЗАДАН ЧИСЛОМ</v>
      </c>
      <c r="P2404" s="13" t="str">
        <f t="shared" si="263"/>
        <v>ЭТАЖ ЗАДАН ЧИСЛОМ</v>
      </c>
      <c r="Q2404" s="13" t="str">
        <f t="shared" si="264"/>
        <v>ГОТОВ_ИЗМЕНЕН</v>
      </c>
      <c r="R2404" s="13">
        <f>IFERROR(VLOOKUP(P2404,Лист1!A$1:B$20,2,FALSE),0)</f>
        <v>784</v>
      </c>
      <c r="S2404" s="13">
        <f t="shared" si="265"/>
        <v>0</v>
      </c>
    </row>
    <row r="2405" spans="1:19" x14ac:dyDescent="0.25">
      <c r="A2405" s="24" t="s">
        <v>3534</v>
      </c>
      <c r="B2405" s="4" t="s">
        <v>1059</v>
      </c>
      <c r="C2405" s="25" t="s">
        <v>7</v>
      </c>
      <c r="G2405" s="25" t="s">
        <v>1086</v>
      </c>
      <c r="H2405" s="24" t="s">
        <v>1061</v>
      </c>
      <c r="I2405" s="3" t="str">
        <f>IFERROR(VLOOKUP(C2405,'Справочник соответствий'!A$2:D$2981,2,FALSE),IF(VALUE(C2405)=0,1,VLOOKUP(C2405,'Справочник соответствий'!A$2:D$2981,2,FALSE)))</f>
        <v>2</v>
      </c>
      <c r="J2405" s="3">
        <f>IFERROR(VLOOKUP(D2405,'Справочник соответствий'!A$2:D$2981,2,FALSE),IF(VALUE(D2405)=0,0,VLOOKUP(D2405,'Справочник соответствий'!A$2:D$2981,2,FALSE)))</f>
        <v>0</v>
      </c>
      <c r="K2405" s="3" t="str">
        <f t="shared" si="259"/>
        <v>2</v>
      </c>
      <c r="L2405" s="13" t="str">
        <f>IFERROR(VLOOKUP(C2405,'Справочник соответствий'!A$2:D$2981,3,FALSE),IF(VALUE(C2405)=0,"ЭТАЖ НЕ ОПРЕДЕЛЕН. ПРИНЯТ ПО ДОПУЩЕНИЮ 1",VLOOKUP(C2405,'Справочник соответствий'!A$2:D$2981,3,FALSE)))</f>
        <v>ЭТАЖ ЗАДАН ЧИСЛОМ</v>
      </c>
      <c r="M2405" s="13" t="b">
        <f t="shared" si="260"/>
        <v>0</v>
      </c>
      <c r="N2405" s="13">
        <f t="shared" si="261"/>
        <v>2</v>
      </c>
      <c r="O2405" s="13" t="str">
        <f t="shared" si="262"/>
        <v>ЭТАЖ ЗАДАН ЧИСЛОМ</v>
      </c>
      <c r="P2405" s="13" t="str">
        <f t="shared" si="263"/>
        <v>ЭТАЖ ЗАДАН ЧИСЛОМ</v>
      </c>
      <c r="Q2405" s="13" t="str">
        <f t="shared" si="264"/>
        <v>ГОТОВ_ИЗМЕНЕН</v>
      </c>
      <c r="R2405" s="13">
        <f>IFERROR(VLOOKUP(P2405,Лист1!A$1:B$20,2,FALSE),0)</f>
        <v>784</v>
      </c>
      <c r="S2405" s="13">
        <f t="shared" si="265"/>
        <v>0</v>
      </c>
    </row>
    <row r="2406" spans="1:19" x14ac:dyDescent="0.25">
      <c r="A2406" s="24" t="s">
        <v>3535</v>
      </c>
      <c r="B2406" s="4" t="s">
        <v>1063</v>
      </c>
      <c r="C2406" s="25" t="s">
        <v>5</v>
      </c>
      <c r="G2406" s="25" t="s">
        <v>1086</v>
      </c>
      <c r="H2406" s="24" t="s">
        <v>1061</v>
      </c>
      <c r="I2406" s="3" t="str">
        <f>IFERROR(VLOOKUP(C2406,'Справочник соответствий'!A$2:D$2981,2,FALSE),IF(VALUE(C2406)=0,1,VLOOKUP(C2406,'Справочник соответствий'!A$2:D$2981,2,FALSE)))</f>
        <v>1</v>
      </c>
      <c r="J2406" s="3">
        <f>IFERROR(VLOOKUP(D2406,'Справочник соответствий'!A$2:D$2981,2,FALSE),IF(VALUE(D2406)=0,0,VLOOKUP(D2406,'Справочник соответствий'!A$2:D$2981,2,FALSE)))</f>
        <v>0</v>
      </c>
      <c r="K2406" s="3" t="str">
        <f t="shared" si="259"/>
        <v>1</v>
      </c>
      <c r="L2406" s="13" t="str">
        <f>IFERROR(VLOOKUP(C2406,'Справочник соответствий'!A$2:D$2981,3,FALSE),IF(VALUE(C2406)=0,"ЭТАЖ НЕ ОПРЕДЕЛЕН. ПРИНЯТ ПО ДОПУЩЕНИЮ 1",VLOOKUP(C2406,'Справочник соответствий'!A$2:D$2981,3,FALSE)))</f>
        <v>ЭТАЖ ЗАДАН ЧИСЛОМ</v>
      </c>
      <c r="M2406" s="13" t="b">
        <f t="shared" si="260"/>
        <v>0</v>
      </c>
      <c r="N2406" s="13">
        <f t="shared" si="261"/>
        <v>1</v>
      </c>
      <c r="O2406" s="13" t="str">
        <f t="shared" si="262"/>
        <v>ЭТАЖ ЗАДАН ЧИСЛОМ</v>
      </c>
      <c r="P2406" s="13" t="str">
        <f t="shared" si="263"/>
        <v>ЭТАЖ ЗАДАН ЧИСЛОМ</v>
      </c>
      <c r="Q2406" s="13" t="str">
        <f t="shared" si="264"/>
        <v>ГОТОВ_ИЗМЕНЕН</v>
      </c>
      <c r="R2406" s="13">
        <f>IFERROR(VLOOKUP(P2406,Лист1!A$1:B$20,2,FALSE),0)</f>
        <v>784</v>
      </c>
      <c r="S2406" s="13">
        <f t="shared" si="265"/>
        <v>0</v>
      </c>
    </row>
    <row r="2407" spans="1:19" x14ac:dyDescent="0.25">
      <c r="A2407" s="24" t="s">
        <v>3536</v>
      </c>
      <c r="B2407" s="4" t="s">
        <v>1059</v>
      </c>
      <c r="C2407" s="25" t="s">
        <v>7</v>
      </c>
      <c r="G2407" s="25" t="s">
        <v>1086</v>
      </c>
      <c r="H2407" s="24" t="s">
        <v>1061</v>
      </c>
      <c r="I2407" s="3" t="str">
        <f>IFERROR(VLOOKUP(C2407,'Справочник соответствий'!A$2:D$2981,2,FALSE),IF(VALUE(C2407)=0,1,VLOOKUP(C2407,'Справочник соответствий'!A$2:D$2981,2,FALSE)))</f>
        <v>2</v>
      </c>
      <c r="J2407" s="3">
        <f>IFERROR(VLOOKUP(D2407,'Справочник соответствий'!A$2:D$2981,2,FALSE),IF(VALUE(D2407)=0,0,VLOOKUP(D2407,'Справочник соответствий'!A$2:D$2981,2,FALSE)))</f>
        <v>0</v>
      </c>
      <c r="K2407" s="3" t="str">
        <f t="shared" si="259"/>
        <v>2</v>
      </c>
      <c r="L2407" s="13" t="str">
        <f>IFERROR(VLOOKUP(C2407,'Справочник соответствий'!A$2:D$2981,3,FALSE),IF(VALUE(C2407)=0,"ЭТАЖ НЕ ОПРЕДЕЛЕН. ПРИНЯТ ПО ДОПУЩЕНИЮ 1",VLOOKUP(C2407,'Справочник соответствий'!A$2:D$2981,3,FALSE)))</f>
        <v>ЭТАЖ ЗАДАН ЧИСЛОМ</v>
      </c>
      <c r="M2407" s="13" t="b">
        <f t="shared" si="260"/>
        <v>0</v>
      </c>
      <c r="N2407" s="13">
        <f t="shared" si="261"/>
        <v>2</v>
      </c>
      <c r="O2407" s="13" t="str">
        <f t="shared" si="262"/>
        <v>ЭТАЖ ЗАДАН ЧИСЛОМ</v>
      </c>
      <c r="P2407" s="13" t="str">
        <f t="shared" si="263"/>
        <v>ЭТАЖ ЗАДАН ЧИСЛОМ</v>
      </c>
      <c r="Q2407" s="13" t="str">
        <f t="shared" si="264"/>
        <v>ГОТОВ_ИЗМЕНЕН</v>
      </c>
      <c r="R2407" s="13">
        <f>IFERROR(VLOOKUP(P2407,Лист1!A$1:B$20,2,FALSE),0)</f>
        <v>784</v>
      </c>
      <c r="S2407" s="13">
        <f t="shared" si="265"/>
        <v>0</v>
      </c>
    </row>
    <row r="2408" spans="1:19" x14ac:dyDescent="0.25">
      <c r="A2408" s="24" t="s">
        <v>3537</v>
      </c>
      <c r="B2408" s="4" t="s">
        <v>1063</v>
      </c>
      <c r="C2408" s="25" t="s">
        <v>5</v>
      </c>
      <c r="G2408" s="25" t="s">
        <v>1086</v>
      </c>
      <c r="H2408" s="24" t="s">
        <v>1061</v>
      </c>
      <c r="I2408" s="3" t="str">
        <f>IFERROR(VLOOKUP(C2408,'Справочник соответствий'!A$2:D$2981,2,FALSE),IF(VALUE(C2408)=0,1,VLOOKUP(C2408,'Справочник соответствий'!A$2:D$2981,2,FALSE)))</f>
        <v>1</v>
      </c>
      <c r="J2408" s="3">
        <f>IFERROR(VLOOKUP(D2408,'Справочник соответствий'!A$2:D$2981,2,FALSE),IF(VALUE(D2408)=0,0,VLOOKUP(D2408,'Справочник соответствий'!A$2:D$2981,2,FALSE)))</f>
        <v>0</v>
      </c>
      <c r="K2408" s="3" t="str">
        <f t="shared" si="259"/>
        <v>1</v>
      </c>
      <c r="L2408" s="13" t="str">
        <f>IFERROR(VLOOKUP(C2408,'Справочник соответствий'!A$2:D$2981,3,FALSE),IF(VALUE(C2408)=0,"ЭТАЖ НЕ ОПРЕДЕЛЕН. ПРИНЯТ ПО ДОПУЩЕНИЮ 1",VLOOKUP(C2408,'Справочник соответствий'!A$2:D$2981,3,FALSE)))</f>
        <v>ЭТАЖ ЗАДАН ЧИСЛОМ</v>
      </c>
      <c r="M2408" s="13" t="b">
        <f t="shared" si="260"/>
        <v>0</v>
      </c>
      <c r="N2408" s="13">
        <f t="shared" si="261"/>
        <v>1</v>
      </c>
      <c r="O2408" s="13" t="str">
        <f t="shared" si="262"/>
        <v>ЭТАЖ ЗАДАН ЧИСЛОМ</v>
      </c>
      <c r="P2408" s="13" t="str">
        <f t="shared" si="263"/>
        <v>ЭТАЖ ЗАДАН ЧИСЛОМ</v>
      </c>
      <c r="Q2408" s="13" t="str">
        <f t="shared" si="264"/>
        <v>ГОТОВ_ИЗМЕНЕН</v>
      </c>
      <c r="R2408" s="13">
        <f>IFERROR(VLOOKUP(P2408,Лист1!A$1:B$20,2,FALSE),0)</f>
        <v>784</v>
      </c>
      <c r="S2408" s="13">
        <f t="shared" si="265"/>
        <v>0</v>
      </c>
    </row>
    <row r="2409" spans="1:19" x14ac:dyDescent="0.25">
      <c r="A2409" s="24" t="s">
        <v>3538</v>
      </c>
      <c r="B2409" s="4" t="s">
        <v>1059</v>
      </c>
      <c r="C2409" s="25" t="s">
        <v>7</v>
      </c>
      <c r="G2409" s="25" t="s">
        <v>1080</v>
      </c>
      <c r="H2409" s="24" t="s">
        <v>1061</v>
      </c>
      <c r="I2409" s="3" t="str">
        <f>IFERROR(VLOOKUP(C2409,'Справочник соответствий'!A$2:D$2981,2,FALSE),IF(VALUE(C2409)=0,1,VLOOKUP(C2409,'Справочник соответствий'!A$2:D$2981,2,FALSE)))</f>
        <v>2</v>
      </c>
      <c r="J2409" s="3">
        <f>IFERROR(VLOOKUP(D2409,'Справочник соответствий'!A$2:D$2981,2,FALSE),IF(VALUE(D2409)=0,0,VLOOKUP(D2409,'Справочник соответствий'!A$2:D$2981,2,FALSE)))</f>
        <v>0</v>
      </c>
      <c r="K2409" s="3" t="str">
        <f t="shared" si="259"/>
        <v>2</v>
      </c>
      <c r="L2409" s="13" t="str">
        <f>IFERROR(VLOOKUP(C2409,'Справочник соответствий'!A$2:D$2981,3,FALSE),IF(VALUE(C2409)=0,"ЭТАЖ НЕ ОПРЕДЕЛЕН. ПРИНЯТ ПО ДОПУЩЕНИЮ 1",VLOOKUP(C2409,'Справочник соответствий'!A$2:D$2981,3,FALSE)))</f>
        <v>ЭТАЖ ЗАДАН ЧИСЛОМ</v>
      </c>
      <c r="M2409" s="13" t="b">
        <f t="shared" si="260"/>
        <v>0</v>
      </c>
      <c r="N2409" s="13">
        <f t="shared" si="261"/>
        <v>2</v>
      </c>
      <c r="O2409" s="13" t="str">
        <f t="shared" si="262"/>
        <v>ЭТАЖ ЗАДАН ЧИСЛОМ</v>
      </c>
      <c r="P2409" s="13" t="str">
        <f t="shared" si="263"/>
        <v>ЭТАЖ ЗАДАН ЧИСЛОМ</v>
      </c>
      <c r="Q2409" s="13" t="str">
        <f t="shared" si="264"/>
        <v>ГОТОВ_ИЗМЕНЕН</v>
      </c>
      <c r="R2409" s="13">
        <f>IFERROR(VLOOKUP(P2409,Лист1!A$1:B$20,2,FALSE),0)</f>
        <v>784</v>
      </c>
      <c r="S2409" s="13">
        <f t="shared" si="265"/>
        <v>0</v>
      </c>
    </row>
    <row r="2410" spans="1:19" x14ac:dyDescent="0.25">
      <c r="A2410" s="24" t="s">
        <v>3539</v>
      </c>
      <c r="B2410" s="4" t="s">
        <v>1063</v>
      </c>
      <c r="G2410" s="25" t="s">
        <v>1080</v>
      </c>
      <c r="H2410" s="24" t="s">
        <v>1061</v>
      </c>
      <c r="I2410" s="3">
        <f>IFERROR(VLOOKUP(C2410,'Справочник соответствий'!A$2:D$2981,2,FALSE),IF(VALUE(C2410)=0,1,VLOOKUP(C2410,'Справочник соответствий'!A$2:D$2981,2,FALSE)))</f>
        <v>1</v>
      </c>
      <c r="J2410" s="3">
        <f>IFERROR(VLOOKUP(D2410,'Справочник соответствий'!A$2:D$2981,2,FALSE),IF(VALUE(D2410)=0,0,VLOOKUP(D2410,'Справочник соответствий'!A$2:D$2981,2,FALSE)))</f>
        <v>0</v>
      </c>
      <c r="K2410" s="3">
        <f t="shared" si="259"/>
        <v>1</v>
      </c>
      <c r="L2410" s="13" t="str">
        <f>IFERROR(VLOOKUP(C2410,'Справочник соответствий'!A$2:D$2981,3,FALSE),IF(VALUE(C2410)=0,"ЭТАЖ НЕ ОПРЕДЕЛЕН. ПРИНЯТ ПО ДОПУЩЕНИЮ 1",VLOOKUP(C2410,'Справочник соответствий'!A$2:D$2981,3,FALSE)))</f>
        <v>ЭТАЖ НЕ ОПРЕДЕЛЕН. ПРИНЯТ ПО ДОПУЩЕНИЮ 1</v>
      </c>
      <c r="M2410" s="13" t="b">
        <f t="shared" si="260"/>
        <v>0</v>
      </c>
      <c r="N2410" s="13">
        <f t="shared" si="261"/>
        <v>1</v>
      </c>
      <c r="O2410" s="13" t="str">
        <f t="shared" si="262"/>
        <v>ЭТАЖ НЕ ОПРЕДЕЛЕН. ПРИНЯТ ПО ДОПУЩЕНИЮ 1</v>
      </c>
      <c r="P2410" s="13" t="str">
        <f t="shared" si="263"/>
        <v>ЭТАЖ НЕ ОПРЕДЕЛЕН. ПРИНЯТ ПО ДОПУЩЕНИЮ 1</v>
      </c>
      <c r="Q2410" s="13" t="str">
        <f t="shared" si="264"/>
        <v>ГОТОВ_ИЗМЕНЕН</v>
      </c>
      <c r="R2410" s="13">
        <f>IFERROR(VLOOKUP(P2410,Лист1!A$1:B$20,2,FALSE),0)</f>
        <v>788</v>
      </c>
      <c r="S2410" s="13">
        <f t="shared" si="265"/>
        <v>0</v>
      </c>
    </row>
    <row r="2411" spans="1:19" x14ac:dyDescent="0.25">
      <c r="A2411" s="24" t="s">
        <v>3540</v>
      </c>
      <c r="B2411" s="4" t="s">
        <v>1059</v>
      </c>
      <c r="C2411" s="25" t="s">
        <v>5</v>
      </c>
      <c r="G2411" s="25" t="s">
        <v>1080</v>
      </c>
      <c r="H2411" s="24" t="s">
        <v>1061</v>
      </c>
      <c r="I2411" s="3" t="str">
        <f>IFERROR(VLOOKUP(C2411,'Справочник соответствий'!A$2:D$2981,2,FALSE),IF(VALUE(C2411)=0,1,VLOOKUP(C2411,'Справочник соответствий'!A$2:D$2981,2,FALSE)))</f>
        <v>1</v>
      </c>
      <c r="J2411" s="3">
        <f>IFERROR(VLOOKUP(D2411,'Справочник соответствий'!A$2:D$2981,2,FALSE),IF(VALUE(D2411)=0,0,VLOOKUP(D2411,'Справочник соответствий'!A$2:D$2981,2,FALSE)))</f>
        <v>0</v>
      </c>
      <c r="K2411" s="3" t="str">
        <f t="shared" si="259"/>
        <v>1</v>
      </c>
      <c r="L2411" s="13" t="str">
        <f>IFERROR(VLOOKUP(C2411,'Справочник соответствий'!A$2:D$2981,3,FALSE),IF(VALUE(C2411)=0,"ЭТАЖ НЕ ОПРЕДЕЛЕН. ПРИНЯТ ПО ДОПУЩЕНИЮ 1",VLOOKUP(C2411,'Справочник соответствий'!A$2:D$2981,3,FALSE)))</f>
        <v>ЭТАЖ ЗАДАН ЧИСЛОМ</v>
      </c>
      <c r="M2411" s="13" t="b">
        <f t="shared" si="260"/>
        <v>0</v>
      </c>
      <c r="N2411" s="13">
        <f t="shared" si="261"/>
        <v>1</v>
      </c>
      <c r="O2411" s="13" t="str">
        <f t="shared" si="262"/>
        <v>ЭТАЖ ЗАДАН ЧИСЛОМ</v>
      </c>
      <c r="P2411" s="13" t="str">
        <f t="shared" si="263"/>
        <v>ЭТАЖ ЗАДАН ЧИСЛОМ</v>
      </c>
      <c r="Q2411" s="13" t="str">
        <f t="shared" si="264"/>
        <v>ГОТОВ_ИЗМЕНЕН</v>
      </c>
      <c r="R2411" s="13">
        <f>IFERROR(VLOOKUP(P2411,Лист1!A$1:B$20,2,FALSE),0)</f>
        <v>784</v>
      </c>
      <c r="S2411" s="13">
        <f t="shared" si="265"/>
        <v>0</v>
      </c>
    </row>
    <row r="2412" spans="1:19" x14ac:dyDescent="0.25">
      <c r="A2412" s="24" t="s">
        <v>3541</v>
      </c>
      <c r="B2412" s="4" t="s">
        <v>1059</v>
      </c>
      <c r="C2412" s="25" t="s">
        <v>7</v>
      </c>
      <c r="G2412" s="25" t="s">
        <v>1222</v>
      </c>
      <c r="H2412" s="24" t="s">
        <v>1061</v>
      </c>
      <c r="I2412" s="3" t="str">
        <f>IFERROR(VLOOKUP(C2412,'Справочник соответствий'!A$2:D$2981,2,FALSE),IF(VALUE(C2412)=0,1,VLOOKUP(C2412,'Справочник соответствий'!A$2:D$2981,2,FALSE)))</f>
        <v>2</v>
      </c>
      <c r="J2412" s="3">
        <f>IFERROR(VLOOKUP(D2412,'Справочник соответствий'!A$2:D$2981,2,FALSE),IF(VALUE(D2412)=0,0,VLOOKUP(D2412,'Справочник соответствий'!A$2:D$2981,2,FALSE)))</f>
        <v>0</v>
      </c>
      <c r="K2412" s="3" t="str">
        <f t="shared" si="259"/>
        <v>2</v>
      </c>
      <c r="L2412" s="13" t="str">
        <f>IFERROR(VLOOKUP(C2412,'Справочник соответствий'!A$2:D$2981,3,FALSE),IF(VALUE(C2412)=0,"ЭТАЖ НЕ ОПРЕДЕЛЕН. ПРИНЯТ ПО ДОПУЩЕНИЮ 1",VLOOKUP(C2412,'Справочник соответствий'!A$2:D$2981,3,FALSE)))</f>
        <v>ЭТАЖ ЗАДАН ЧИСЛОМ</v>
      </c>
      <c r="M2412" s="13" t="b">
        <f t="shared" si="260"/>
        <v>0</v>
      </c>
      <c r="N2412" s="13">
        <f t="shared" si="261"/>
        <v>2</v>
      </c>
      <c r="O2412" s="13" t="str">
        <f t="shared" si="262"/>
        <v>ЭТАЖ ЗАДАН ЧИСЛОМ</v>
      </c>
      <c r="P2412" s="13" t="str">
        <f t="shared" si="263"/>
        <v>ЭТАЖ ЗАДАН ЧИСЛОМ</v>
      </c>
      <c r="Q2412" s="13" t="str">
        <f t="shared" si="264"/>
        <v>ГОТОВ_ИЗМЕНЕН</v>
      </c>
      <c r="R2412" s="13">
        <f>IFERROR(VLOOKUP(P2412,Лист1!A$1:B$20,2,FALSE),0)</f>
        <v>784</v>
      </c>
      <c r="S2412" s="13">
        <f t="shared" si="265"/>
        <v>0</v>
      </c>
    </row>
    <row r="2413" spans="1:19" x14ac:dyDescent="0.25">
      <c r="A2413" s="24" t="s">
        <v>3542</v>
      </c>
      <c r="B2413" s="4" t="s">
        <v>1059</v>
      </c>
      <c r="C2413" s="25" t="s">
        <v>7</v>
      </c>
      <c r="G2413" s="25" t="s">
        <v>1080</v>
      </c>
      <c r="H2413" s="24" t="s">
        <v>1061</v>
      </c>
      <c r="I2413" s="3" t="str">
        <f>IFERROR(VLOOKUP(C2413,'Справочник соответствий'!A$2:D$2981,2,FALSE),IF(VALUE(C2413)=0,1,VLOOKUP(C2413,'Справочник соответствий'!A$2:D$2981,2,FALSE)))</f>
        <v>2</v>
      </c>
      <c r="J2413" s="3">
        <f>IFERROR(VLOOKUP(D2413,'Справочник соответствий'!A$2:D$2981,2,FALSE),IF(VALUE(D2413)=0,0,VLOOKUP(D2413,'Справочник соответствий'!A$2:D$2981,2,FALSE)))</f>
        <v>0</v>
      </c>
      <c r="K2413" s="3" t="str">
        <f t="shared" si="259"/>
        <v>2</v>
      </c>
      <c r="L2413" s="13" t="str">
        <f>IFERROR(VLOOKUP(C2413,'Справочник соответствий'!A$2:D$2981,3,FALSE),IF(VALUE(C2413)=0,"ЭТАЖ НЕ ОПРЕДЕЛЕН. ПРИНЯТ ПО ДОПУЩЕНИЮ 1",VLOOKUP(C2413,'Справочник соответствий'!A$2:D$2981,3,FALSE)))</f>
        <v>ЭТАЖ ЗАДАН ЧИСЛОМ</v>
      </c>
      <c r="M2413" s="13" t="b">
        <f t="shared" si="260"/>
        <v>0</v>
      </c>
      <c r="N2413" s="13">
        <f t="shared" si="261"/>
        <v>2</v>
      </c>
      <c r="O2413" s="13" t="str">
        <f t="shared" si="262"/>
        <v>ЭТАЖ ЗАДАН ЧИСЛОМ</v>
      </c>
      <c r="P2413" s="13" t="str">
        <f t="shared" si="263"/>
        <v>ЭТАЖ ЗАДАН ЧИСЛОМ</v>
      </c>
      <c r="Q2413" s="13" t="str">
        <f t="shared" si="264"/>
        <v>ГОТОВ_ИЗМЕНЕН</v>
      </c>
      <c r="R2413" s="13">
        <f>IFERROR(VLOOKUP(P2413,Лист1!A$1:B$20,2,FALSE),0)</f>
        <v>784</v>
      </c>
      <c r="S2413" s="13">
        <f t="shared" si="265"/>
        <v>0</v>
      </c>
    </row>
    <row r="2414" spans="1:19" x14ac:dyDescent="0.25">
      <c r="A2414" s="24" t="s">
        <v>3543</v>
      </c>
      <c r="B2414" s="4" t="s">
        <v>1063</v>
      </c>
      <c r="C2414" s="25" t="s">
        <v>5</v>
      </c>
      <c r="G2414" s="25" t="s">
        <v>1080</v>
      </c>
      <c r="H2414" s="24" t="s">
        <v>1061</v>
      </c>
      <c r="I2414" s="3" t="str">
        <f>IFERROR(VLOOKUP(C2414,'Справочник соответствий'!A$2:D$2981,2,FALSE),IF(VALUE(C2414)=0,1,VLOOKUP(C2414,'Справочник соответствий'!A$2:D$2981,2,FALSE)))</f>
        <v>1</v>
      </c>
      <c r="J2414" s="3">
        <f>IFERROR(VLOOKUP(D2414,'Справочник соответствий'!A$2:D$2981,2,FALSE),IF(VALUE(D2414)=0,0,VLOOKUP(D2414,'Справочник соответствий'!A$2:D$2981,2,FALSE)))</f>
        <v>0</v>
      </c>
      <c r="K2414" s="3" t="str">
        <f t="shared" si="259"/>
        <v>1</v>
      </c>
      <c r="L2414" s="13" t="str">
        <f>IFERROR(VLOOKUP(C2414,'Справочник соответствий'!A$2:D$2981,3,FALSE),IF(VALUE(C2414)=0,"ЭТАЖ НЕ ОПРЕДЕЛЕН. ПРИНЯТ ПО ДОПУЩЕНИЮ 1",VLOOKUP(C2414,'Справочник соответствий'!A$2:D$2981,3,FALSE)))</f>
        <v>ЭТАЖ ЗАДАН ЧИСЛОМ</v>
      </c>
      <c r="M2414" s="13" t="b">
        <f t="shared" si="260"/>
        <v>0</v>
      </c>
      <c r="N2414" s="13">
        <f t="shared" si="261"/>
        <v>1</v>
      </c>
      <c r="O2414" s="13" t="str">
        <f t="shared" si="262"/>
        <v>ЭТАЖ ЗАДАН ЧИСЛОМ</v>
      </c>
      <c r="P2414" s="13" t="str">
        <f t="shared" si="263"/>
        <v>ЭТАЖ ЗАДАН ЧИСЛОМ</v>
      </c>
      <c r="Q2414" s="13" t="str">
        <f t="shared" si="264"/>
        <v>ГОТОВ_ИЗМЕНЕН</v>
      </c>
      <c r="R2414" s="13">
        <f>IFERROR(VLOOKUP(P2414,Лист1!A$1:B$20,2,FALSE),0)</f>
        <v>784</v>
      </c>
      <c r="S2414" s="13">
        <f t="shared" si="265"/>
        <v>0</v>
      </c>
    </row>
    <row r="2415" spans="1:19" x14ac:dyDescent="0.25">
      <c r="A2415" s="24" t="s">
        <v>3544</v>
      </c>
      <c r="B2415" s="4" t="s">
        <v>1059</v>
      </c>
      <c r="C2415" s="25" t="s">
        <v>5</v>
      </c>
      <c r="G2415" s="25" t="s">
        <v>1328</v>
      </c>
      <c r="H2415" s="24" t="s">
        <v>1061</v>
      </c>
      <c r="I2415" s="3" t="str">
        <f>IFERROR(VLOOKUP(C2415,'Справочник соответствий'!A$2:D$2981,2,FALSE),IF(VALUE(C2415)=0,1,VLOOKUP(C2415,'Справочник соответствий'!A$2:D$2981,2,FALSE)))</f>
        <v>1</v>
      </c>
      <c r="J2415" s="3">
        <f>IFERROR(VLOOKUP(D2415,'Справочник соответствий'!A$2:D$2981,2,FALSE),IF(VALUE(D2415)=0,0,VLOOKUP(D2415,'Справочник соответствий'!A$2:D$2981,2,FALSE)))</f>
        <v>0</v>
      </c>
      <c r="K2415" s="3" t="str">
        <f t="shared" si="259"/>
        <v>1</v>
      </c>
      <c r="L2415" s="13" t="str">
        <f>IFERROR(VLOOKUP(C2415,'Справочник соответствий'!A$2:D$2981,3,FALSE),IF(VALUE(C2415)=0,"ЭТАЖ НЕ ОПРЕДЕЛЕН. ПРИНЯТ ПО ДОПУЩЕНИЮ 1",VLOOKUP(C2415,'Справочник соответствий'!A$2:D$2981,3,FALSE)))</f>
        <v>ЭТАЖ ЗАДАН ЧИСЛОМ</v>
      </c>
      <c r="M2415" s="13" t="b">
        <f t="shared" si="260"/>
        <v>0</v>
      </c>
      <c r="N2415" s="13">
        <f t="shared" si="261"/>
        <v>1</v>
      </c>
      <c r="O2415" s="13" t="str">
        <f t="shared" si="262"/>
        <v>ЭТАЖ ЗАДАН ЧИСЛОМ</v>
      </c>
      <c r="P2415" s="13" t="str">
        <f t="shared" si="263"/>
        <v>ЭТАЖ ЗАДАН ЧИСЛОМ</v>
      </c>
      <c r="Q2415" s="13" t="str">
        <f t="shared" si="264"/>
        <v>ГОТОВ_ИЗМЕНЕН</v>
      </c>
      <c r="R2415" s="13">
        <f>IFERROR(VLOOKUP(P2415,Лист1!A$1:B$20,2,FALSE),0)</f>
        <v>784</v>
      </c>
      <c r="S2415" s="13">
        <f t="shared" si="265"/>
        <v>0</v>
      </c>
    </row>
    <row r="2416" spans="1:19" x14ac:dyDescent="0.25">
      <c r="A2416" s="24" t="s">
        <v>3545</v>
      </c>
      <c r="B2416" s="4" t="s">
        <v>1063</v>
      </c>
      <c r="C2416" s="25" t="s">
        <v>5</v>
      </c>
      <c r="D2416" s="25" t="s">
        <v>24</v>
      </c>
      <c r="G2416" s="25" t="s">
        <v>1080</v>
      </c>
      <c r="H2416" s="24" t="s">
        <v>1061</v>
      </c>
      <c r="I2416" s="3" t="str">
        <f>IFERROR(VLOOKUP(C2416,'Справочник соответствий'!A$2:D$2981,2,FALSE),IF(VALUE(C2416)=0,1,VLOOKUP(C2416,'Справочник соответствий'!A$2:D$2981,2,FALSE)))</f>
        <v>1</v>
      </c>
      <c r="J2416" s="3" t="str">
        <f>IFERROR(VLOOKUP(D2416,'Справочник соответствий'!A$2:D$2981,2,FALSE),IF(VALUE(D2416)=0,0,VLOOKUP(D2416,'Справочник соответствий'!A$2:D$2981,2,FALSE)))</f>
        <v>1</v>
      </c>
      <c r="K2416" s="3" t="str">
        <f t="shared" si="259"/>
        <v>1</v>
      </c>
      <c r="L2416" s="13" t="str">
        <f>IFERROR(VLOOKUP(C2416,'Справочник соответствий'!A$2:D$2981,3,FALSE),IF(VALUE(C2416)=0,"ЭТАЖ НЕ ОПРЕДЕЛЕН. ПРИНЯТ ПО ДОПУЩЕНИЮ 1",VLOOKUP(C2416,'Справочник соответствий'!A$2:D$2981,3,FALSE)))</f>
        <v>ЭТАЖ ЗАДАН ЧИСЛОМ</v>
      </c>
      <c r="M2416" s="13" t="b">
        <f t="shared" si="260"/>
        <v>0</v>
      </c>
      <c r="N2416" s="13">
        <f t="shared" si="261"/>
        <v>1</v>
      </c>
      <c r="O2416" s="13" t="str">
        <f t="shared" si="262"/>
        <v>ЭТАЖ ЗАДАН ЧИСЛОМ</v>
      </c>
      <c r="P2416" s="13" t="str">
        <f t="shared" si="263"/>
        <v>ЭТАЖ ЗАДАН ЧИСЛОМ</v>
      </c>
      <c r="Q2416" s="13" t="str">
        <f t="shared" si="264"/>
        <v>ГОТОВ_ИЗМЕНЕН</v>
      </c>
      <c r="R2416" s="13">
        <f>IFERROR(VLOOKUP(P2416,Лист1!A$1:B$20,2,FALSE),0)</f>
        <v>784</v>
      </c>
      <c r="S2416" s="13">
        <f t="shared" si="265"/>
        <v>0</v>
      </c>
    </row>
    <row r="2417" spans="1:19" x14ac:dyDescent="0.25">
      <c r="A2417" s="24" t="s">
        <v>3546</v>
      </c>
      <c r="B2417" s="4" t="s">
        <v>1059</v>
      </c>
      <c r="C2417" s="25" t="s">
        <v>7</v>
      </c>
      <c r="G2417" s="25" t="s">
        <v>1080</v>
      </c>
      <c r="H2417" s="24" t="s">
        <v>1061</v>
      </c>
      <c r="I2417" s="3" t="str">
        <f>IFERROR(VLOOKUP(C2417,'Справочник соответствий'!A$2:D$2981,2,FALSE),IF(VALUE(C2417)=0,1,VLOOKUP(C2417,'Справочник соответствий'!A$2:D$2981,2,FALSE)))</f>
        <v>2</v>
      </c>
      <c r="J2417" s="3">
        <f>IFERROR(VLOOKUP(D2417,'Справочник соответствий'!A$2:D$2981,2,FALSE),IF(VALUE(D2417)=0,0,VLOOKUP(D2417,'Справочник соответствий'!A$2:D$2981,2,FALSE)))</f>
        <v>0</v>
      </c>
      <c r="K2417" s="3" t="str">
        <f t="shared" si="259"/>
        <v>2</v>
      </c>
      <c r="L2417" s="13" t="str">
        <f>IFERROR(VLOOKUP(C2417,'Справочник соответствий'!A$2:D$2981,3,FALSE),IF(VALUE(C2417)=0,"ЭТАЖ НЕ ОПРЕДЕЛЕН. ПРИНЯТ ПО ДОПУЩЕНИЮ 1",VLOOKUP(C2417,'Справочник соответствий'!A$2:D$2981,3,FALSE)))</f>
        <v>ЭТАЖ ЗАДАН ЧИСЛОМ</v>
      </c>
      <c r="M2417" s="13" t="b">
        <f t="shared" si="260"/>
        <v>0</v>
      </c>
      <c r="N2417" s="13">
        <f t="shared" si="261"/>
        <v>2</v>
      </c>
      <c r="O2417" s="13" t="str">
        <f t="shared" si="262"/>
        <v>ЭТАЖ ЗАДАН ЧИСЛОМ</v>
      </c>
      <c r="P2417" s="13" t="str">
        <f t="shared" si="263"/>
        <v>ЭТАЖ ЗАДАН ЧИСЛОМ</v>
      </c>
      <c r="Q2417" s="13" t="str">
        <f t="shared" si="264"/>
        <v>ГОТОВ_ИЗМЕНЕН</v>
      </c>
      <c r="R2417" s="13">
        <f>IFERROR(VLOOKUP(P2417,Лист1!A$1:B$20,2,FALSE),0)</f>
        <v>784</v>
      </c>
      <c r="S2417" s="13">
        <f t="shared" si="265"/>
        <v>0</v>
      </c>
    </row>
    <row r="2418" spans="1:19" x14ac:dyDescent="0.25">
      <c r="A2418" s="24" t="s">
        <v>3547</v>
      </c>
      <c r="B2418" s="4" t="s">
        <v>1059</v>
      </c>
      <c r="C2418" s="25" t="s">
        <v>5</v>
      </c>
      <c r="G2418" s="25" t="s">
        <v>1072</v>
      </c>
      <c r="H2418" s="24" t="s">
        <v>1061</v>
      </c>
      <c r="I2418" s="3" t="str">
        <f>IFERROR(VLOOKUP(C2418,'Справочник соответствий'!A$2:D$2981,2,FALSE),IF(VALUE(C2418)=0,1,VLOOKUP(C2418,'Справочник соответствий'!A$2:D$2981,2,FALSE)))</f>
        <v>1</v>
      </c>
      <c r="J2418" s="3">
        <f>IFERROR(VLOOKUP(D2418,'Справочник соответствий'!A$2:D$2981,2,FALSE),IF(VALUE(D2418)=0,0,VLOOKUP(D2418,'Справочник соответствий'!A$2:D$2981,2,FALSE)))</f>
        <v>0</v>
      </c>
      <c r="K2418" s="3" t="str">
        <f t="shared" si="259"/>
        <v>1</v>
      </c>
      <c r="L2418" s="13" t="str">
        <f>IFERROR(VLOOKUP(C2418,'Справочник соответствий'!A$2:D$2981,3,FALSE),IF(VALUE(C2418)=0,"ЭТАЖ НЕ ОПРЕДЕЛЕН. ПРИНЯТ ПО ДОПУЩЕНИЮ 1",VLOOKUP(C2418,'Справочник соответствий'!A$2:D$2981,3,FALSE)))</f>
        <v>ЭТАЖ ЗАДАН ЧИСЛОМ</v>
      </c>
      <c r="M2418" s="13" t="b">
        <f t="shared" si="260"/>
        <v>0</v>
      </c>
      <c r="N2418" s="13">
        <f t="shared" si="261"/>
        <v>1</v>
      </c>
      <c r="O2418" s="13" t="str">
        <f t="shared" si="262"/>
        <v>ЭТАЖ ЗАДАН ЧИСЛОМ</v>
      </c>
      <c r="P2418" s="13" t="str">
        <f t="shared" si="263"/>
        <v>ЭТАЖ ЗАДАН ЧИСЛОМ</v>
      </c>
      <c r="Q2418" s="13" t="str">
        <f t="shared" si="264"/>
        <v>ГОТОВ_ИЗМЕНЕН</v>
      </c>
      <c r="R2418" s="13">
        <f>IFERROR(VLOOKUP(P2418,Лист1!A$1:B$20,2,FALSE),0)</f>
        <v>784</v>
      </c>
      <c r="S2418" s="13">
        <f t="shared" si="265"/>
        <v>0</v>
      </c>
    </row>
    <row r="2419" spans="1:19" x14ac:dyDescent="0.25">
      <c r="A2419" s="24" t="s">
        <v>3548</v>
      </c>
      <c r="B2419" s="4" t="s">
        <v>1063</v>
      </c>
      <c r="C2419" s="25" t="s">
        <v>5</v>
      </c>
      <c r="G2419" s="25" t="s">
        <v>1072</v>
      </c>
      <c r="H2419" s="24" t="s">
        <v>1061</v>
      </c>
      <c r="I2419" s="3" t="str">
        <f>IFERROR(VLOOKUP(C2419,'Справочник соответствий'!A$2:D$2981,2,FALSE),IF(VALUE(C2419)=0,1,VLOOKUP(C2419,'Справочник соответствий'!A$2:D$2981,2,FALSE)))</f>
        <v>1</v>
      </c>
      <c r="J2419" s="3">
        <f>IFERROR(VLOOKUP(D2419,'Справочник соответствий'!A$2:D$2981,2,FALSE),IF(VALUE(D2419)=0,0,VLOOKUP(D2419,'Справочник соответствий'!A$2:D$2981,2,FALSE)))</f>
        <v>0</v>
      </c>
      <c r="K2419" s="3" t="str">
        <f t="shared" si="259"/>
        <v>1</v>
      </c>
      <c r="L2419" s="13" t="str">
        <f>IFERROR(VLOOKUP(C2419,'Справочник соответствий'!A$2:D$2981,3,FALSE),IF(VALUE(C2419)=0,"ЭТАЖ НЕ ОПРЕДЕЛЕН. ПРИНЯТ ПО ДОПУЩЕНИЮ 1",VLOOKUP(C2419,'Справочник соответствий'!A$2:D$2981,3,FALSE)))</f>
        <v>ЭТАЖ ЗАДАН ЧИСЛОМ</v>
      </c>
      <c r="M2419" s="13" t="b">
        <f t="shared" si="260"/>
        <v>0</v>
      </c>
      <c r="N2419" s="13">
        <f t="shared" si="261"/>
        <v>1</v>
      </c>
      <c r="O2419" s="13" t="str">
        <f t="shared" si="262"/>
        <v>ЭТАЖ ЗАДАН ЧИСЛОМ</v>
      </c>
      <c r="P2419" s="13" t="str">
        <f t="shared" si="263"/>
        <v>ЭТАЖ ЗАДАН ЧИСЛОМ</v>
      </c>
      <c r="Q2419" s="13" t="str">
        <f t="shared" si="264"/>
        <v>ГОТОВ_ИЗМЕНЕН</v>
      </c>
      <c r="R2419" s="13">
        <f>IFERROR(VLOOKUP(P2419,Лист1!A$1:B$20,2,FALSE),0)</f>
        <v>784</v>
      </c>
      <c r="S2419" s="13">
        <f t="shared" si="265"/>
        <v>0</v>
      </c>
    </row>
    <row r="2420" spans="1:19" x14ac:dyDescent="0.25">
      <c r="A2420" s="24" t="s">
        <v>3549</v>
      </c>
      <c r="B2420" s="4" t="s">
        <v>1063</v>
      </c>
      <c r="C2420" s="25" t="s">
        <v>5</v>
      </c>
      <c r="G2420" s="25" t="s">
        <v>1072</v>
      </c>
      <c r="H2420" s="24" t="s">
        <v>1061</v>
      </c>
      <c r="I2420" s="3" t="str">
        <f>IFERROR(VLOOKUP(C2420,'Справочник соответствий'!A$2:D$2981,2,FALSE),IF(VALUE(C2420)=0,1,VLOOKUP(C2420,'Справочник соответствий'!A$2:D$2981,2,FALSE)))</f>
        <v>1</v>
      </c>
      <c r="J2420" s="3">
        <f>IFERROR(VLOOKUP(D2420,'Справочник соответствий'!A$2:D$2981,2,FALSE),IF(VALUE(D2420)=0,0,VLOOKUP(D2420,'Справочник соответствий'!A$2:D$2981,2,FALSE)))</f>
        <v>0</v>
      </c>
      <c r="K2420" s="3" t="str">
        <f t="shared" si="259"/>
        <v>1</v>
      </c>
      <c r="L2420" s="13" t="str">
        <f>IFERROR(VLOOKUP(C2420,'Справочник соответствий'!A$2:D$2981,3,FALSE),IF(VALUE(C2420)=0,"ЭТАЖ НЕ ОПРЕДЕЛЕН. ПРИНЯТ ПО ДОПУЩЕНИЮ 1",VLOOKUP(C2420,'Справочник соответствий'!A$2:D$2981,3,FALSE)))</f>
        <v>ЭТАЖ ЗАДАН ЧИСЛОМ</v>
      </c>
      <c r="M2420" s="13" t="b">
        <f t="shared" si="260"/>
        <v>0</v>
      </c>
      <c r="N2420" s="13">
        <f t="shared" si="261"/>
        <v>1</v>
      </c>
      <c r="O2420" s="13" t="str">
        <f t="shared" si="262"/>
        <v>ЭТАЖ ЗАДАН ЧИСЛОМ</v>
      </c>
      <c r="P2420" s="13" t="str">
        <f t="shared" si="263"/>
        <v>ЭТАЖ ЗАДАН ЧИСЛОМ</v>
      </c>
      <c r="Q2420" s="13" t="str">
        <f t="shared" si="264"/>
        <v>ГОТОВ_ИЗМЕНЕН</v>
      </c>
      <c r="R2420" s="13">
        <f>IFERROR(VLOOKUP(P2420,Лист1!A$1:B$20,2,FALSE),0)</f>
        <v>784</v>
      </c>
      <c r="S2420" s="13">
        <f t="shared" si="265"/>
        <v>0</v>
      </c>
    </row>
    <row r="2421" spans="1:19" x14ac:dyDescent="0.25">
      <c r="A2421" s="24" t="s">
        <v>3550</v>
      </c>
      <c r="B2421" s="4" t="s">
        <v>1059</v>
      </c>
      <c r="C2421" s="25" t="s">
        <v>7</v>
      </c>
      <c r="G2421" s="25" t="s">
        <v>1072</v>
      </c>
      <c r="H2421" s="24" t="s">
        <v>1061</v>
      </c>
      <c r="I2421" s="3" t="str">
        <f>IFERROR(VLOOKUP(C2421,'Справочник соответствий'!A$2:D$2981,2,FALSE),IF(VALUE(C2421)=0,1,VLOOKUP(C2421,'Справочник соответствий'!A$2:D$2981,2,FALSE)))</f>
        <v>2</v>
      </c>
      <c r="J2421" s="3">
        <f>IFERROR(VLOOKUP(D2421,'Справочник соответствий'!A$2:D$2981,2,FALSE),IF(VALUE(D2421)=0,0,VLOOKUP(D2421,'Справочник соответствий'!A$2:D$2981,2,FALSE)))</f>
        <v>0</v>
      </c>
      <c r="K2421" s="3" t="str">
        <f t="shared" si="259"/>
        <v>2</v>
      </c>
      <c r="L2421" s="13" t="str">
        <f>IFERROR(VLOOKUP(C2421,'Справочник соответствий'!A$2:D$2981,3,FALSE),IF(VALUE(C2421)=0,"ЭТАЖ НЕ ОПРЕДЕЛЕН. ПРИНЯТ ПО ДОПУЩЕНИЮ 1",VLOOKUP(C2421,'Справочник соответствий'!A$2:D$2981,3,FALSE)))</f>
        <v>ЭТАЖ ЗАДАН ЧИСЛОМ</v>
      </c>
      <c r="M2421" s="13" t="b">
        <f t="shared" si="260"/>
        <v>0</v>
      </c>
      <c r="N2421" s="13">
        <f t="shared" si="261"/>
        <v>2</v>
      </c>
      <c r="O2421" s="13" t="str">
        <f t="shared" si="262"/>
        <v>ЭТАЖ ЗАДАН ЧИСЛОМ</v>
      </c>
      <c r="P2421" s="13" t="str">
        <f t="shared" si="263"/>
        <v>ЭТАЖ ЗАДАН ЧИСЛОМ</v>
      </c>
      <c r="Q2421" s="13" t="str">
        <f t="shared" si="264"/>
        <v>ГОТОВ_ИЗМЕНЕН</v>
      </c>
      <c r="R2421" s="13">
        <f>IFERROR(VLOOKUP(P2421,Лист1!A$1:B$20,2,FALSE),0)</f>
        <v>784</v>
      </c>
      <c r="S2421" s="13">
        <f t="shared" si="265"/>
        <v>0</v>
      </c>
    </row>
    <row r="2422" spans="1:19" x14ac:dyDescent="0.25">
      <c r="A2422" s="24" t="s">
        <v>3551</v>
      </c>
      <c r="B2422" s="4" t="s">
        <v>1059</v>
      </c>
      <c r="C2422" s="25" t="s">
        <v>7</v>
      </c>
      <c r="G2422" s="25" t="s">
        <v>1276</v>
      </c>
      <c r="H2422" s="24" t="s">
        <v>1061</v>
      </c>
      <c r="I2422" s="3" t="str">
        <f>IFERROR(VLOOKUP(C2422,'Справочник соответствий'!A$2:D$2981,2,FALSE),IF(VALUE(C2422)=0,1,VLOOKUP(C2422,'Справочник соответствий'!A$2:D$2981,2,FALSE)))</f>
        <v>2</v>
      </c>
      <c r="J2422" s="3">
        <f>IFERROR(VLOOKUP(D2422,'Справочник соответствий'!A$2:D$2981,2,FALSE),IF(VALUE(D2422)=0,0,VLOOKUP(D2422,'Справочник соответствий'!A$2:D$2981,2,FALSE)))</f>
        <v>0</v>
      </c>
      <c r="K2422" s="3" t="str">
        <f t="shared" si="259"/>
        <v>2</v>
      </c>
      <c r="L2422" s="13" t="str">
        <f>IFERROR(VLOOKUP(C2422,'Справочник соответствий'!A$2:D$2981,3,FALSE),IF(VALUE(C2422)=0,"ЭТАЖ НЕ ОПРЕДЕЛЕН. ПРИНЯТ ПО ДОПУЩЕНИЮ 1",VLOOKUP(C2422,'Справочник соответствий'!A$2:D$2981,3,FALSE)))</f>
        <v>ЭТАЖ ЗАДАН ЧИСЛОМ</v>
      </c>
      <c r="M2422" s="13" t="b">
        <f t="shared" si="260"/>
        <v>0</v>
      </c>
      <c r="N2422" s="13">
        <f t="shared" si="261"/>
        <v>2</v>
      </c>
      <c r="O2422" s="13" t="str">
        <f t="shared" si="262"/>
        <v>ЭТАЖ ЗАДАН ЧИСЛОМ</v>
      </c>
      <c r="P2422" s="13" t="str">
        <f t="shared" si="263"/>
        <v>ЭТАЖ ЗАДАН ЧИСЛОМ</v>
      </c>
      <c r="Q2422" s="13" t="str">
        <f t="shared" si="264"/>
        <v>ГОТОВ_ИЗМЕНЕН</v>
      </c>
      <c r="R2422" s="13">
        <f>IFERROR(VLOOKUP(P2422,Лист1!A$1:B$20,2,FALSE),0)</f>
        <v>784</v>
      </c>
      <c r="S2422" s="13">
        <f t="shared" si="265"/>
        <v>0</v>
      </c>
    </row>
    <row r="2423" spans="1:19" x14ac:dyDescent="0.25">
      <c r="A2423" s="24" t="s">
        <v>3552</v>
      </c>
      <c r="B2423" s="4" t="s">
        <v>1063</v>
      </c>
      <c r="C2423" s="25" t="s">
        <v>5</v>
      </c>
      <c r="G2423" s="25" t="s">
        <v>1698</v>
      </c>
      <c r="H2423" s="24" t="s">
        <v>1061</v>
      </c>
      <c r="I2423" s="3" t="str">
        <f>IFERROR(VLOOKUP(C2423,'Справочник соответствий'!A$2:D$2981,2,FALSE),IF(VALUE(C2423)=0,1,VLOOKUP(C2423,'Справочник соответствий'!A$2:D$2981,2,FALSE)))</f>
        <v>1</v>
      </c>
      <c r="J2423" s="3">
        <f>IFERROR(VLOOKUP(D2423,'Справочник соответствий'!A$2:D$2981,2,FALSE),IF(VALUE(D2423)=0,0,VLOOKUP(D2423,'Справочник соответствий'!A$2:D$2981,2,FALSE)))</f>
        <v>0</v>
      </c>
      <c r="K2423" s="3" t="str">
        <f t="shared" si="259"/>
        <v>1</v>
      </c>
      <c r="L2423" s="13" t="str">
        <f>IFERROR(VLOOKUP(C2423,'Справочник соответствий'!A$2:D$2981,3,FALSE),IF(VALUE(C2423)=0,"ЭТАЖ НЕ ОПРЕДЕЛЕН. ПРИНЯТ ПО ДОПУЩЕНИЮ 1",VLOOKUP(C2423,'Справочник соответствий'!A$2:D$2981,3,FALSE)))</f>
        <v>ЭТАЖ ЗАДАН ЧИСЛОМ</v>
      </c>
      <c r="M2423" s="13" t="b">
        <f t="shared" si="260"/>
        <v>0</v>
      </c>
      <c r="N2423" s="13">
        <f t="shared" si="261"/>
        <v>1</v>
      </c>
      <c r="O2423" s="13" t="str">
        <f t="shared" si="262"/>
        <v>ЭТАЖ ЗАДАН ЧИСЛОМ</v>
      </c>
      <c r="P2423" s="13" t="str">
        <f t="shared" si="263"/>
        <v>ЭТАЖ ЗАДАН ЧИСЛОМ</v>
      </c>
      <c r="Q2423" s="13" t="str">
        <f t="shared" si="264"/>
        <v>ГОТОВ_ИЗМЕНЕН</v>
      </c>
      <c r="R2423" s="13">
        <f>IFERROR(VLOOKUP(P2423,Лист1!A$1:B$20,2,FALSE),0)</f>
        <v>784</v>
      </c>
      <c r="S2423" s="13">
        <f t="shared" si="265"/>
        <v>0</v>
      </c>
    </row>
    <row r="2424" spans="1:19" x14ac:dyDescent="0.25">
      <c r="A2424" s="24" t="s">
        <v>3553</v>
      </c>
      <c r="B2424" s="4" t="s">
        <v>1059</v>
      </c>
      <c r="C2424" s="25" t="s">
        <v>5</v>
      </c>
      <c r="G2424" s="25" t="s">
        <v>1072</v>
      </c>
      <c r="H2424" s="24" t="s">
        <v>1061</v>
      </c>
      <c r="I2424" s="3" t="str">
        <f>IFERROR(VLOOKUP(C2424,'Справочник соответствий'!A$2:D$2981,2,FALSE),IF(VALUE(C2424)=0,1,VLOOKUP(C2424,'Справочник соответствий'!A$2:D$2981,2,FALSE)))</f>
        <v>1</v>
      </c>
      <c r="J2424" s="3">
        <f>IFERROR(VLOOKUP(D2424,'Справочник соответствий'!A$2:D$2981,2,FALSE),IF(VALUE(D2424)=0,0,VLOOKUP(D2424,'Справочник соответствий'!A$2:D$2981,2,FALSE)))</f>
        <v>0</v>
      </c>
      <c r="K2424" s="3" t="str">
        <f t="shared" si="259"/>
        <v>1</v>
      </c>
      <c r="L2424" s="13" t="str">
        <f>IFERROR(VLOOKUP(C2424,'Справочник соответствий'!A$2:D$2981,3,FALSE),IF(VALUE(C2424)=0,"ЭТАЖ НЕ ОПРЕДЕЛЕН. ПРИНЯТ ПО ДОПУЩЕНИЮ 1",VLOOKUP(C2424,'Справочник соответствий'!A$2:D$2981,3,FALSE)))</f>
        <v>ЭТАЖ ЗАДАН ЧИСЛОМ</v>
      </c>
      <c r="M2424" s="13" t="b">
        <f t="shared" si="260"/>
        <v>0</v>
      </c>
      <c r="N2424" s="13">
        <f t="shared" si="261"/>
        <v>1</v>
      </c>
      <c r="O2424" s="13" t="str">
        <f t="shared" si="262"/>
        <v>ЭТАЖ ЗАДАН ЧИСЛОМ</v>
      </c>
      <c r="P2424" s="13" t="str">
        <f t="shared" si="263"/>
        <v>ЭТАЖ ЗАДАН ЧИСЛОМ</v>
      </c>
      <c r="Q2424" s="13" t="str">
        <f t="shared" si="264"/>
        <v>ГОТОВ_ИЗМЕНЕН</v>
      </c>
      <c r="R2424" s="13">
        <f>IFERROR(VLOOKUP(P2424,Лист1!A$1:B$20,2,FALSE),0)</f>
        <v>784</v>
      </c>
      <c r="S2424" s="13">
        <f t="shared" si="265"/>
        <v>0</v>
      </c>
    </row>
    <row r="2425" spans="1:19" x14ac:dyDescent="0.25">
      <c r="A2425" s="24" t="s">
        <v>3554</v>
      </c>
      <c r="B2425" s="4" t="s">
        <v>1059</v>
      </c>
      <c r="C2425" s="25" t="s">
        <v>5</v>
      </c>
      <c r="G2425" s="25" t="s">
        <v>1072</v>
      </c>
      <c r="H2425" s="24" t="s">
        <v>1061</v>
      </c>
      <c r="I2425" s="3" t="str">
        <f>IFERROR(VLOOKUP(C2425,'Справочник соответствий'!A$2:D$2981,2,FALSE),IF(VALUE(C2425)=0,1,VLOOKUP(C2425,'Справочник соответствий'!A$2:D$2981,2,FALSE)))</f>
        <v>1</v>
      </c>
      <c r="J2425" s="3">
        <f>IFERROR(VLOOKUP(D2425,'Справочник соответствий'!A$2:D$2981,2,FALSE),IF(VALUE(D2425)=0,0,VLOOKUP(D2425,'Справочник соответствий'!A$2:D$2981,2,FALSE)))</f>
        <v>0</v>
      </c>
      <c r="K2425" s="3" t="str">
        <f t="shared" si="259"/>
        <v>1</v>
      </c>
      <c r="L2425" s="13" t="str">
        <f>IFERROR(VLOOKUP(C2425,'Справочник соответствий'!A$2:D$2981,3,FALSE),IF(VALUE(C2425)=0,"ЭТАЖ НЕ ОПРЕДЕЛЕН. ПРИНЯТ ПО ДОПУЩЕНИЮ 1",VLOOKUP(C2425,'Справочник соответствий'!A$2:D$2981,3,FALSE)))</f>
        <v>ЭТАЖ ЗАДАН ЧИСЛОМ</v>
      </c>
      <c r="M2425" s="13" t="b">
        <f t="shared" si="260"/>
        <v>0</v>
      </c>
      <c r="N2425" s="13">
        <f t="shared" si="261"/>
        <v>1</v>
      </c>
      <c r="O2425" s="13" t="str">
        <f t="shared" si="262"/>
        <v>ЭТАЖ ЗАДАН ЧИСЛОМ</v>
      </c>
      <c r="P2425" s="13" t="str">
        <f t="shared" si="263"/>
        <v>ЭТАЖ ЗАДАН ЧИСЛОМ</v>
      </c>
      <c r="Q2425" s="13" t="str">
        <f t="shared" si="264"/>
        <v>ГОТОВ_ИЗМЕНЕН</v>
      </c>
      <c r="R2425" s="13">
        <f>IFERROR(VLOOKUP(P2425,Лист1!A$1:B$20,2,FALSE),0)</f>
        <v>784</v>
      </c>
      <c r="S2425" s="13">
        <f t="shared" si="265"/>
        <v>0</v>
      </c>
    </row>
    <row r="2426" spans="1:19" x14ac:dyDescent="0.25">
      <c r="A2426" s="24" t="s">
        <v>3555</v>
      </c>
      <c r="B2426" s="4" t="s">
        <v>1063</v>
      </c>
      <c r="C2426" s="25" t="s">
        <v>5</v>
      </c>
      <c r="G2426" s="25" t="s">
        <v>1698</v>
      </c>
      <c r="H2426" s="24" t="s">
        <v>1061</v>
      </c>
      <c r="I2426" s="3" t="str">
        <f>IFERROR(VLOOKUP(C2426,'Справочник соответствий'!A$2:D$2981,2,FALSE),IF(VALUE(C2426)=0,1,VLOOKUP(C2426,'Справочник соответствий'!A$2:D$2981,2,FALSE)))</f>
        <v>1</v>
      </c>
      <c r="J2426" s="3">
        <f>IFERROR(VLOOKUP(D2426,'Справочник соответствий'!A$2:D$2981,2,FALSE),IF(VALUE(D2426)=0,0,VLOOKUP(D2426,'Справочник соответствий'!A$2:D$2981,2,FALSE)))</f>
        <v>0</v>
      </c>
      <c r="K2426" s="3" t="str">
        <f t="shared" si="259"/>
        <v>1</v>
      </c>
      <c r="L2426" s="13" t="str">
        <f>IFERROR(VLOOKUP(C2426,'Справочник соответствий'!A$2:D$2981,3,FALSE),IF(VALUE(C2426)=0,"ЭТАЖ НЕ ОПРЕДЕЛЕН. ПРИНЯТ ПО ДОПУЩЕНИЮ 1",VLOOKUP(C2426,'Справочник соответствий'!A$2:D$2981,3,FALSE)))</f>
        <v>ЭТАЖ ЗАДАН ЧИСЛОМ</v>
      </c>
      <c r="M2426" s="13" t="b">
        <f t="shared" si="260"/>
        <v>0</v>
      </c>
      <c r="N2426" s="13">
        <f t="shared" si="261"/>
        <v>1</v>
      </c>
      <c r="O2426" s="13" t="str">
        <f t="shared" si="262"/>
        <v>ЭТАЖ ЗАДАН ЧИСЛОМ</v>
      </c>
      <c r="P2426" s="13" t="str">
        <f t="shared" si="263"/>
        <v>ЭТАЖ ЗАДАН ЧИСЛОМ</v>
      </c>
      <c r="Q2426" s="13" t="str">
        <f t="shared" si="264"/>
        <v>ГОТОВ_ИЗМЕНЕН</v>
      </c>
      <c r="R2426" s="13">
        <f>IFERROR(VLOOKUP(P2426,Лист1!A$1:B$20,2,FALSE),0)</f>
        <v>784</v>
      </c>
      <c r="S2426" s="13">
        <f t="shared" si="265"/>
        <v>0</v>
      </c>
    </row>
    <row r="2427" spans="1:19" x14ac:dyDescent="0.25">
      <c r="A2427" s="24" t="s">
        <v>3556</v>
      </c>
      <c r="B2427" s="4" t="s">
        <v>1059</v>
      </c>
      <c r="C2427" s="25" t="s">
        <v>7</v>
      </c>
      <c r="G2427" s="25" t="s">
        <v>1072</v>
      </c>
      <c r="H2427" s="24" t="s">
        <v>1061</v>
      </c>
      <c r="I2427" s="3" t="str">
        <f>IFERROR(VLOOKUP(C2427,'Справочник соответствий'!A$2:D$2981,2,FALSE),IF(VALUE(C2427)=0,1,VLOOKUP(C2427,'Справочник соответствий'!A$2:D$2981,2,FALSE)))</f>
        <v>2</v>
      </c>
      <c r="J2427" s="3">
        <f>IFERROR(VLOOKUP(D2427,'Справочник соответствий'!A$2:D$2981,2,FALSE),IF(VALUE(D2427)=0,0,VLOOKUP(D2427,'Справочник соответствий'!A$2:D$2981,2,FALSE)))</f>
        <v>0</v>
      </c>
      <c r="K2427" s="3" t="str">
        <f t="shared" si="259"/>
        <v>2</v>
      </c>
      <c r="L2427" s="13" t="str">
        <f>IFERROR(VLOOKUP(C2427,'Справочник соответствий'!A$2:D$2981,3,FALSE),IF(VALUE(C2427)=0,"ЭТАЖ НЕ ОПРЕДЕЛЕН. ПРИНЯТ ПО ДОПУЩЕНИЮ 1",VLOOKUP(C2427,'Справочник соответствий'!A$2:D$2981,3,FALSE)))</f>
        <v>ЭТАЖ ЗАДАН ЧИСЛОМ</v>
      </c>
      <c r="M2427" s="13" t="b">
        <f t="shared" si="260"/>
        <v>0</v>
      </c>
      <c r="N2427" s="13">
        <f t="shared" si="261"/>
        <v>2</v>
      </c>
      <c r="O2427" s="13" t="str">
        <f t="shared" si="262"/>
        <v>ЭТАЖ ЗАДАН ЧИСЛОМ</v>
      </c>
      <c r="P2427" s="13" t="str">
        <f t="shared" si="263"/>
        <v>ЭТАЖ ЗАДАН ЧИСЛОМ</v>
      </c>
      <c r="Q2427" s="13" t="str">
        <f t="shared" si="264"/>
        <v>ГОТОВ_ИЗМЕНЕН</v>
      </c>
      <c r="R2427" s="13">
        <f>IFERROR(VLOOKUP(P2427,Лист1!A$1:B$20,2,FALSE),0)</f>
        <v>784</v>
      </c>
      <c r="S2427" s="13">
        <f t="shared" si="265"/>
        <v>0</v>
      </c>
    </row>
    <row r="2428" spans="1:19" x14ac:dyDescent="0.25">
      <c r="A2428" s="24" t="s">
        <v>3557</v>
      </c>
      <c r="B2428" s="4" t="s">
        <v>1059</v>
      </c>
      <c r="C2428" s="25" t="s">
        <v>7</v>
      </c>
      <c r="G2428" s="25" t="s">
        <v>1072</v>
      </c>
      <c r="H2428" s="24" t="s">
        <v>1061</v>
      </c>
      <c r="I2428" s="3" t="str">
        <f>IFERROR(VLOOKUP(C2428,'Справочник соответствий'!A$2:D$2981,2,FALSE),IF(VALUE(C2428)=0,1,VLOOKUP(C2428,'Справочник соответствий'!A$2:D$2981,2,FALSE)))</f>
        <v>2</v>
      </c>
      <c r="J2428" s="3">
        <f>IFERROR(VLOOKUP(D2428,'Справочник соответствий'!A$2:D$2981,2,FALSE),IF(VALUE(D2428)=0,0,VLOOKUP(D2428,'Справочник соответствий'!A$2:D$2981,2,FALSE)))</f>
        <v>0</v>
      </c>
      <c r="K2428" s="3" t="str">
        <f t="shared" si="259"/>
        <v>2</v>
      </c>
      <c r="L2428" s="13" t="str">
        <f>IFERROR(VLOOKUP(C2428,'Справочник соответствий'!A$2:D$2981,3,FALSE),IF(VALUE(C2428)=0,"ЭТАЖ НЕ ОПРЕДЕЛЕН. ПРИНЯТ ПО ДОПУЩЕНИЮ 1",VLOOKUP(C2428,'Справочник соответствий'!A$2:D$2981,3,FALSE)))</f>
        <v>ЭТАЖ ЗАДАН ЧИСЛОМ</v>
      </c>
      <c r="M2428" s="13" t="b">
        <f t="shared" si="260"/>
        <v>0</v>
      </c>
      <c r="N2428" s="13">
        <f t="shared" si="261"/>
        <v>2</v>
      </c>
      <c r="O2428" s="13" t="str">
        <f t="shared" si="262"/>
        <v>ЭТАЖ ЗАДАН ЧИСЛОМ</v>
      </c>
      <c r="P2428" s="13" t="str">
        <f t="shared" si="263"/>
        <v>ЭТАЖ ЗАДАН ЧИСЛОМ</v>
      </c>
      <c r="Q2428" s="13" t="str">
        <f t="shared" si="264"/>
        <v>ГОТОВ_ИЗМЕНЕН</v>
      </c>
      <c r="R2428" s="13">
        <f>IFERROR(VLOOKUP(P2428,Лист1!A$1:B$20,2,FALSE),0)</f>
        <v>784</v>
      </c>
      <c r="S2428" s="13">
        <f t="shared" si="265"/>
        <v>0</v>
      </c>
    </row>
    <row r="2429" spans="1:19" x14ac:dyDescent="0.25">
      <c r="A2429" s="24" t="s">
        <v>3558</v>
      </c>
      <c r="B2429" s="4" t="s">
        <v>1063</v>
      </c>
      <c r="C2429" s="25" t="s">
        <v>5</v>
      </c>
      <c r="G2429" s="25" t="s">
        <v>1072</v>
      </c>
      <c r="H2429" s="24" t="s">
        <v>1061</v>
      </c>
      <c r="I2429" s="3" t="str">
        <f>IFERROR(VLOOKUP(C2429,'Справочник соответствий'!A$2:D$2981,2,FALSE),IF(VALUE(C2429)=0,1,VLOOKUP(C2429,'Справочник соответствий'!A$2:D$2981,2,FALSE)))</f>
        <v>1</v>
      </c>
      <c r="J2429" s="3">
        <f>IFERROR(VLOOKUP(D2429,'Справочник соответствий'!A$2:D$2981,2,FALSE),IF(VALUE(D2429)=0,0,VLOOKUP(D2429,'Справочник соответствий'!A$2:D$2981,2,FALSE)))</f>
        <v>0</v>
      </c>
      <c r="K2429" s="3" t="str">
        <f t="shared" si="259"/>
        <v>1</v>
      </c>
      <c r="L2429" s="13" t="str">
        <f>IFERROR(VLOOKUP(C2429,'Справочник соответствий'!A$2:D$2981,3,FALSE),IF(VALUE(C2429)=0,"ЭТАЖ НЕ ОПРЕДЕЛЕН. ПРИНЯТ ПО ДОПУЩЕНИЮ 1",VLOOKUP(C2429,'Справочник соответствий'!A$2:D$2981,3,FALSE)))</f>
        <v>ЭТАЖ ЗАДАН ЧИСЛОМ</v>
      </c>
      <c r="M2429" s="13" t="b">
        <f t="shared" si="260"/>
        <v>0</v>
      </c>
      <c r="N2429" s="13">
        <f t="shared" si="261"/>
        <v>1</v>
      </c>
      <c r="O2429" s="13" t="str">
        <f t="shared" si="262"/>
        <v>ЭТАЖ ЗАДАН ЧИСЛОМ</v>
      </c>
      <c r="P2429" s="13" t="str">
        <f t="shared" si="263"/>
        <v>ЭТАЖ ЗАДАН ЧИСЛОМ</v>
      </c>
      <c r="Q2429" s="13" t="str">
        <f t="shared" si="264"/>
        <v>ГОТОВ_ИЗМЕНЕН</v>
      </c>
      <c r="R2429" s="13">
        <f>IFERROR(VLOOKUP(P2429,Лист1!A$1:B$20,2,FALSE),0)</f>
        <v>784</v>
      </c>
      <c r="S2429" s="13">
        <f t="shared" si="265"/>
        <v>0</v>
      </c>
    </row>
    <row r="2430" spans="1:19" x14ac:dyDescent="0.25">
      <c r="A2430" s="24" t="s">
        <v>3559</v>
      </c>
      <c r="B2430" s="4" t="s">
        <v>1063</v>
      </c>
      <c r="C2430" s="25" t="s">
        <v>5</v>
      </c>
      <c r="G2430" s="25" t="s">
        <v>2763</v>
      </c>
      <c r="H2430" s="24" t="s">
        <v>1061</v>
      </c>
      <c r="I2430" s="3" t="str">
        <f>IFERROR(VLOOKUP(C2430,'Справочник соответствий'!A$2:D$2981,2,FALSE),IF(VALUE(C2430)=0,1,VLOOKUP(C2430,'Справочник соответствий'!A$2:D$2981,2,FALSE)))</f>
        <v>1</v>
      </c>
      <c r="J2430" s="3">
        <f>IFERROR(VLOOKUP(D2430,'Справочник соответствий'!A$2:D$2981,2,FALSE),IF(VALUE(D2430)=0,0,VLOOKUP(D2430,'Справочник соответствий'!A$2:D$2981,2,FALSE)))</f>
        <v>0</v>
      </c>
      <c r="K2430" s="3" t="str">
        <f t="shared" si="259"/>
        <v>1</v>
      </c>
      <c r="L2430" s="13" t="str">
        <f>IFERROR(VLOOKUP(C2430,'Справочник соответствий'!A$2:D$2981,3,FALSE),IF(VALUE(C2430)=0,"ЭТАЖ НЕ ОПРЕДЕЛЕН. ПРИНЯТ ПО ДОПУЩЕНИЮ 1",VLOOKUP(C2430,'Справочник соответствий'!A$2:D$2981,3,FALSE)))</f>
        <v>ЭТАЖ ЗАДАН ЧИСЛОМ</v>
      </c>
      <c r="M2430" s="13" t="b">
        <f t="shared" si="260"/>
        <v>0</v>
      </c>
      <c r="N2430" s="13">
        <f t="shared" si="261"/>
        <v>1</v>
      </c>
      <c r="O2430" s="13" t="str">
        <f t="shared" si="262"/>
        <v>ЭТАЖ ЗАДАН ЧИСЛОМ</v>
      </c>
      <c r="P2430" s="13" t="str">
        <f t="shared" si="263"/>
        <v>ЭТАЖ ЗАДАН ЧИСЛОМ</v>
      </c>
      <c r="Q2430" s="13" t="str">
        <f t="shared" si="264"/>
        <v>ГОТОВ_ИЗМЕНЕН</v>
      </c>
      <c r="R2430" s="13">
        <f>IFERROR(VLOOKUP(P2430,Лист1!A$1:B$20,2,FALSE),0)</f>
        <v>784</v>
      </c>
      <c r="S2430" s="13">
        <f t="shared" si="265"/>
        <v>0</v>
      </c>
    </row>
    <row r="2431" spans="1:19" x14ac:dyDescent="0.25">
      <c r="A2431" s="24" t="s">
        <v>3560</v>
      </c>
      <c r="B2431" s="4" t="s">
        <v>1059</v>
      </c>
      <c r="C2431" s="25" t="s">
        <v>5</v>
      </c>
      <c r="G2431" s="25" t="s">
        <v>1072</v>
      </c>
      <c r="H2431" s="24" t="s">
        <v>1061</v>
      </c>
      <c r="I2431" s="3" t="str">
        <f>IFERROR(VLOOKUP(C2431,'Справочник соответствий'!A$2:D$2981,2,FALSE),IF(VALUE(C2431)=0,1,VLOOKUP(C2431,'Справочник соответствий'!A$2:D$2981,2,FALSE)))</f>
        <v>1</v>
      </c>
      <c r="J2431" s="3">
        <f>IFERROR(VLOOKUP(D2431,'Справочник соответствий'!A$2:D$2981,2,FALSE),IF(VALUE(D2431)=0,0,VLOOKUP(D2431,'Справочник соответствий'!A$2:D$2981,2,FALSE)))</f>
        <v>0</v>
      </c>
      <c r="K2431" s="3" t="str">
        <f t="shared" si="259"/>
        <v>1</v>
      </c>
      <c r="L2431" s="13" t="str">
        <f>IFERROR(VLOOKUP(C2431,'Справочник соответствий'!A$2:D$2981,3,FALSE),IF(VALUE(C2431)=0,"ЭТАЖ НЕ ОПРЕДЕЛЕН. ПРИНЯТ ПО ДОПУЩЕНИЮ 1",VLOOKUP(C2431,'Справочник соответствий'!A$2:D$2981,3,FALSE)))</f>
        <v>ЭТАЖ ЗАДАН ЧИСЛОМ</v>
      </c>
      <c r="M2431" s="13" t="b">
        <f t="shared" si="260"/>
        <v>0</v>
      </c>
      <c r="N2431" s="13">
        <f t="shared" si="261"/>
        <v>1</v>
      </c>
      <c r="O2431" s="13" t="str">
        <f t="shared" si="262"/>
        <v>ЭТАЖ ЗАДАН ЧИСЛОМ</v>
      </c>
      <c r="P2431" s="13" t="str">
        <f t="shared" si="263"/>
        <v>ЭТАЖ ЗАДАН ЧИСЛОМ</v>
      </c>
      <c r="Q2431" s="13" t="str">
        <f t="shared" si="264"/>
        <v>ГОТОВ_ИЗМЕНЕН</v>
      </c>
      <c r="R2431" s="13">
        <f>IFERROR(VLOOKUP(P2431,Лист1!A$1:B$20,2,FALSE),0)</f>
        <v>784</v>
      </c>
      <c r="S2431" s="13">
        <f t="shared" si="265"/>
        <v>0</v>
      </c>
    </row>
    <row r="2432" spans="1:19" x14ac:dyDescent="0.25">
      <c r="A2432" s="24" t="s">
        <v>3561</v>
      </c>
      <c r="B2432" s="4" t="s">
        <v>1059</v>
      </c>
      <c r="C2432" s="25" t="s">
        <v>8</v>
      </c>
      <c r="G2432" s="25" t="s">
        <v>1106</v>
      </c>
      <c r="H2432" s="24" t="s">
        <v>1061</v>
      </c>
      <c r="I2432" s="3" t="str">
        <f>IFERROR(VLOOKUP(C2432,'Справочник соответствий'!A$2:D$2981,2,FALSE),IF(VALUE(C2432)=0,1,VLOOKUP(C2432,'Справочник соответствий'!A$2:D$2981,2,FALSE)))</f>
        <v>3</v>
      </c>
      <c r="J2432" s="3">
        <f>IFERROR(VLOOKUP(D2432,'Справочник соответствий'!A$2:D$2981,2,FALSE),IF(VALUE(D2432)=0,0,VLOOKUP(D2432,'Справочник соответствий'!A$2:D$2981,2,FALSE)))</f>
        <v>0</v>
      </c>
      <c r="K2432" s="3" t="str">
        <f t="shared" si="259"/>
        <v>3</v>
      </c>
      <c r="L2432" s="13" t="str">
        <f>IFERROR(VLOOKUP(C2432,'Справочник соответствий'!A$2:D$2981,3,FALSE),IF(VALUE(C2432)=0,"ЭТАЖ НЕ ОПРЕДЕЛЕН. ПРИНЯТ ПО ДОПУЩЕНИЮ 1",VLOOKUP(C2432,'Справочник соответствий'!A$2:D$2981,3,FALSE)))</f>
        <v>ЭТАЖ ЗАДАН ЧИСЛОМ</v>
      </c>
      <c r="M2432" s="13" t="b">
        <f t="shared" si="260"/>
        <v>0</v>
      </c>
      <c r="N2432" s="13">
        <f t="shared" si="261"/>
        <v>3</v>
      </c>
      <c r="O2432" s="13" t="str">
        <f t="shared" si="262"/>
        <v>ЭТАЖ ЗАДАН ЧИСЛОМ</v>
      </c>
      <c r="P2432" s="13" t="str">
        <f t="shared" si="263"/>
        <v>ЭТАЖ ЗАДАН ЧИСЛОМ</v>
      </c>
      <c r="Q2432" s="13" t="str">
        <f t="shared" si="264"/>
        <v>ГОТОВ_ИЗМЕНЕН</v>
      </c>
      <c r="R2432" s="13">
        <f>IFERROR(VLOOKUP(P2432,Лист1!A$1:B$20,2,FALSE),0)</f>
        <v>784</v>
      </c>
      <c r="S2432" s="13">
        <f t="shared" si="265"/>
        <v>0</v>
      </c>
    </row>
    <row r="2433" spans="1:19" x14ac:dyDescent="0.25">
      <c r="A2433" s="24" t="s">
        <v>3562</v>
      </c>
      <c r="B2433" s="4" t="s">
        <v>1059</v>
      </c>
      <c r="C2433" s="25" t="s">
        <v>7</v>
      </c>
      <c r="G2433" s="25" t="s">
        <v>1106</v>
      </c>
      <c r="H2433" s="24" t="s">
        <v>1061</v>
      </c>
      <c r="I2433" s="3" t="str">
        <f>IFERROR(VLOOKUP(C2433,'Справочник соответствий'!A$2:D$2981,2,FALSE),IF(VALUE(C2433)=0,1,VLOOKUP(C2433,'Справочник соответствий'!A$2:D$2981,2,FALSE)))</f>
        <v>2</v>
      </c>
      <c r="J2433" s="3">
        <f>IFERROR(VLOOKUP(D2433,'Справочник соответствий'!A$2:D$2981,2,FALSE),IF(VALUE(D2433)=0,0,VLOOKUP(D2433,'Справочник соответствий'!A$2:D$2981,2,FALSE)))</f>
        <v>0</v>
      </c>
      <c r="K2433" s="3" t="str">
        <f t="shared" si="259"/>
        <v>2</v>
      </c>
      <c r="L2433" s="13" t="str">
        <f>IFERROR(VLOOKUP(C2433,'Справочник соответствий'!A$2:D$2981,3,FALSE),IF(VALUE(C2433)=0,"ЭТАЖ НЕ ОПРЕДЕЛЕН. ПРИНЯТ ПО ДОПУЩЕНИЮ 1",VLOOKUP(C2433,'Справочник соответствий'!A$2:D$2981,3,FALSE)))</f>
        <v>ЭТАЖ ЗАДАН ЧИСЛОМ</v>
      </c>
      <c r="M2433" s="13" t="b">
        <f t="shared" si="260"/>
        <v>0</v>
      </c>
      <c r="N2433" s="13">
        <f t="shared" si="261"/>
        <v>2</v>
      </c>
      <c r="O2433" s="13" t="str">
        <f t="shared" si="262"/>
        <v>ЭТАЖ ЗАДАН ЧИСЛОМ</v>
      </c>
      <c r="P2433" s="13" t="str">
        <f t="shared" si="263"/>
        <v>ЭТАЖ ЗАДАН ЧИСЛОМ</v>
      </c>
      <c r="Q2433" s="13" t="str">
        <f t="shared" si="264"/>
        <v>ГОТОВ_ИЗМЕНЕН</v>
      </c>
      <c r="R2433" s="13">
        <f>IFERROR(VLOOKUP(P2433,Лист1!A$1:B$20,2,FALSE),0)</f>
        <v>784</v>
      </c>
      <c r="S2433" s="13">
        <f t="shared" si="265"/>
        <v>0</v>
      </c>
    </row>
    <row r="2434" spans="1:19" x14ac:dyDescent="0.25">
      <c r="A2434" s="24" t="s">
        <v>3563</v>
      </c>
      <c r="B2434" s="4" t="s">
        <v>1059</v>
      </c>
      <c r="C2434" s="25" t="s">
        <v>5</v>
      </c>
      <c r="G2434" s="25" t="s">
        <v>1106</v>
      </c>
      <c r="H2434" s="24" t="s">
        <v>1061</v>
      </c>
      <c r="I2434" s="3" t="str">
        <f>IFERROR(VLOOKUP(C2434,'Справочник соответствий'!A$2:D$2981,2,FALSE),IF(VALUE(C2434)=0,1,VLOOKUP(C2434,'Справочник соответствий'!A$2:D$2981,2,FALSE)))</f>
        <v>1</v>
      </c>
      <c r="J2434" s="3">
        <f>IFERROR(VLOOKUP(D2434,'Справочник соответствий'!A$2:D$2981,2,FALSE),IF(VALUE(D2434)=0,0,VLOOKUP(D2434,'Справочник соответствий'!A$2:D$2981,2,FALSE)))</f>
        <v>0</v>
      </c>
      <c r="K2434" s="3" t="str">
        <f t="shared" si="259"/>
        <v>1</v>
      </c>
      <c r="L2434" s="13" t="str">
        <f>IFERROR(VLOOKUP(C2434,'Справочник соответствий'!A$2:D$2981,3,FALSE),IF(VALUE(C2434)=0,"ЭТАЖ НЕ ОПРЕДЕЛЕН. ПРИНЯТ ПО ДОПУЩЕНИЮ 1",VLOOKUP(C2434,'Справочник соответствий'!A$2:D$2981,3,FALSE)))</f>
        <v>ЭТАЖ ЗАДАН ЧИСЛОМ</v>
      </c>
      <c r="M2434" s="13" t="b">
        <f t="shared" si="260"/>
        <v>0</v>
      </c>
      <c r="N2434" s="13">
        <f t="shared" si="261"/>
        <v>1</v>
      </c>
      <c r="O2434" s="13" t="str">
        <f t="shared" si="262"/>
        <v>ЭТАЖ ЗАДАН ЧИСЛОМ</v>
      </c>
      <c r="P2434" s="13" t="str">
        <f t="shared" si="263"/>
        <v>ЭТАЖ ЗАДАН ЧИСЛОМ</v>
      </c>
      <c r="Q2434" s="13" t="str">
        <f t="shared" si="264"/>
        <v>ГОТОВ_ИЗМЕНЕН</v>
      </c>
      <c r="R2434" s="13">
        <f>IFERROR(VLOOKUP(P2434,Лист1!A$1:B$20,2,FALSE),0)</f>
        <v>784</v>
      </c>
      <c r="S2434" s="13">
        <f t="shared" si="265"/>
        <v>0</v>
      </c>
    </row>
    <row r="2435" spans="1:19" x14ac:dyDescent="0.25">
      <c r="A2435" s="24" t="s">
        <v>3564</v>
      </c>
      <c r="B2435" s="4" t="s">
        <v>1059</v>
      </c>
      <c r="C2435" s="25" t="s">
        <v>5</v>
      </c>
      <c r="G2435" s="25" t="s">
        <v>1106</v>
      </c>
      <c r="H2435" s="24" t="s">
        <v>1061</v>
      </c>
      <c r="I2435" s="3" t="str">
        <f>IFERROR(VLOOKUP(C2435,'Справочник соответствий'!A$2:D$2981,2,FALSE),IF(VALUE(C2435)=0,1,VLOOKUP(C2435,'Справочник соответствий'!A$2:D$2981,2,FALSE)))</f>
        <v>1</v>
      </c>
      <c r="J2435" s="3">
        <f>IFERROR(VLOOKUP(D2435,'Справочник соответствий'!A$2:D$2981,2,FALSE),IF(VALUE(D2435)=0,0,VLOOKUP(D2435,'Справочник соответствий'!A$2:D$2981,2,FALSE)))</f>
        <v>0</v>
      </c>
      <c r="K2435" s="3" t="str">
        <f t="shared" si="259"/>
        <v>1</v>
      </c>
      <c r="L2435" s="13" t="str">
        <f>IFERROR(VLOOKUP(C2435,'Справочник соответствий'!A$2:D$2981,3,FALSE),IF(VALUE(C2435)=0,"ЭТАЖ НЕ ОПРЕДЕЛЕН. ПРИНЯТ ПО ДОПУЩЕНИЮ 1",VLOOKUP(C2435,'Справочник соответствий'!A$2:D$2981,3,FALSE)))</f>
        <v>ЭТАЖ ЗАДАН ЧИСЛОМ</v>
      </c>
      <c r="M2435" s="13" t="b">
        <f t="shared" si="260"/>
        <v>0</v>
      </c>
      <c r="N2435" s="13">
        <f t="shared" si="261"/>
        <v>1</v>
      </c>
      <c r="O2435" s="13" t="str">
        <f t="shared" si="262"/>
        <v>ЭТАЖ ЗАДАН ЧИСЛОМ</v>
      </c>
      <c r="P2435" s="13" t="str">
        <f t="shared" si="263"/>
        <v>ЭТАЖ ЗАДАН ЧИСЛОМ</v>
      </c>
      <c r="Q2435" s="13" t="str">
        <f t="shared" si="264"/>
        <v>ГОТОВ_ИЗМЕНЕН</v>
      </c>
      <c r="R2435" s="13">
        <f>IFERROR(VLOOKUP(P2435,Лист1!A$1:B$20,2,FALSE),0)</f>
        <v>784</v>
      </c>
      <c r="S2435" s="13">
        <f t="shared" si="265"/>
        <v>0</v>
      </c>
    </row>
    <row r="2436" spans="1:19" x14ac:dyDescent="0.25">
      <c r="A2436" s="24" t="s">
        <v>3565</v>
      </c>
      <c r="B2436" s="4" t="s">
        <v>1059</v>
      </c>
      <c r="C2436" s="25" t="s">
        <v>7</v>
      </c>
      <c r="G2436" s="25" t="s">
        <v>1106</v>
      </c>
      <c r="H2436" s="24" t="s">
        <v>1061</v>
      </c>
      <c r="I2436" s="3" t="str">
        <f>IFERROR(VLOOKUP(C2436,'Справочник соответствий'!A$2:D$2981,2,FALSE),IF(VALUE(C2436)=0,1,VLOOKUP(C2436,'Справочник соответствий'!A$2:D$2981,2,FALSE)))</f>
        <v>2</v>
      </c>
      <c r="J2436" s="3">
        <f>IFERROR(VLOOKUP(D2436,'Справочник соответствий'!A$2:D$2981,2,FALSE),IF(VALUE(D2436)=0,0,VLOOKUP(D2436,'Справочник соответствий'!A$2:D$2981,2,FALSE)))</f>
        <v>0</v>
      </c>
      <c r="K2436" s="3" t="str">
        <f t="shared" si="259"/>
        <v>2</v>
      </c>
      <c r="L2436" s="13" t="str">
        <f>IFERROR(VLOOKUP(C2436,'Справочник соответствий'!A$2:D$2981,3,FALSE),IF(VALUE(C2436)=0,"ЭТАЖ НЕ ОПРЕДЕЛЕН. ПРИНЯТ ПО ДОПУЩЕНИЮ 1",VLOOKUP(C2436,'Справочник соответствий'!A$2:D$2981,3,FALSE)))</f>
        <v>ЭТАЖ ЗАДАН ЧИСЛОМ</v>
      </c>
      <c r="M2436" s="13" t="b">
        <f t="shared" si="260"/>
        <v>0</v>
      </c>
      <c r="N2436" s="13">
        <f t="shared" si="261"/>
        <v>2</v>
      </c>
      <c r="O2436" s="13" t="str">
        <f t="shared" si="262"/>
        <v>ЭТАЖ ЗАДАН ЧИСЛОМ</v>
      </c>
      <c r="P2436" s="13" t="str">
        <f t="shared" si="263"/>
        <v>ЭТАЖ ЗАДАН ЧИСЛОМ</v>
      </c>
      <c r="Q2436" s="13" t="str">
        <f t="shared" si="264"/>
        <v>ГОТОВ_ИЗМЕНЕН</v>
      </c>
      <c r="R2436" s="13">
        <f>IFERROR(VLOOKUP(P2436,Лист1!A$1:B$20,2,FALSE),0)</f>
        <v>784</v>
      </c>
      <c r="S2436" s="13">
        <f t="shared" si="265"/>
        <v>0</v>
      </c>
    </row>
    <row r="2437" spans="1:19" x14ac:dyDescent="0.25">
      <c r="A2437" s="24" t="s">
        <v>3566</v>
      </c>
      <c r="B2437" s="4" t="s">
        <v>1059</v>
      </c>
      <c r="C2437" s="25" t="s">
        <v>5</v>
      </c>
      <c r="G2437" s="25" t="s">
        <v>1106</v>
      </c>
      <c r="H2437" s="24" t="s">
        <v>1061</v>
      </c>
      <c r="I2437" s="3" t="str">
        <f>IFERROR(VLOOKUP(C2437,'Справочник соответствий'!A$2:D$2981,2,FALSE),IF(VALUE(C2437)=0,1,VLOOKUP(C2437,'Справочник соответствий'!A$2:D$2981,2,FALSE)))</f>
        <v>1</v>
      </c>
      <c r="J2437" s="3">
        <f>IFERROR(VLOOKUP(D2437,'Справочник соответствий'!A$2:D$2981,2,FALSE),IF(VALUE(D2437)=0,0,VLOOKUP(D2437,'Справочник соответствий'!A$2:D$2981,2,FALSE)))</f>
        <v>0</v>
      </c>
      <c r="K2437" s="3" t="str">
        <f t="shared" ref="K2437:K2500" si="266">IF(B2437="Многоквартирный дом",IF(I2437-J2437&gt;0,I2437-J2437,1),I2437)</f>
        <v>1</v>
      </c>
      <c r="L2437" s="13" t="str">
        <f>IFERROR(VLOOKUP(C2437,'Справочник соответствий'!A$2:D$2981,3,FALSE),IF(VALUE(C2437)=0,"ЭТАЖ НЕ ОПРЕДЕЛЕН. ПРИНЯТ ПО ДОПУЩЕНИЮ 1",VLOOKUP(C2437,'Справочник соответствий'!A$2:D$2981,3,FALSE)))</f>
        <v>ЭТАЖ ЗАДАН ЧИСЛОМ</v>
      </c>
      <c r="M2437" s="13" t="b">
        <f t="shared" ref="M2437:M2500" si="267">I2437=E2437</f>
        <v>0</v>
      </c>
      <c r="N2437" s="13">
        <f t="shared" ref="N2437:N2500" si="268">IF(VALUE(E2437)=0,VALUE(K2437),IF(L2437="ЭТАЖ НЕ ОПРЕДЕЛЕН. ПРИНЯТ ПО ДОПУЩЕНИЮ 1",VALUE(E2437),VALUE(K2437)))</f>
        <v>1</v>
      </c>
      <c r="O2437" s="13" t="str">
        <f t="shared" ref="O2437:O2500" si="269">IF(VALUE(E2437)=0,L2437,IF(L2437="ЭТАЖ НЕ ОПРЕДЕЛЕН. ПРИНЯТ ПО ДОПУЩЕНИЮ 1",F2437,L2437))</f>
        <v>ЭТАЖ ЗАДАН ЧИСЛОМ</v>
      </c>
      <c r="P2437" s="13" t="str">
        <f t="shared" ref="P2437:P2500" si="270">IF(B2437="Многоквартирный дом",CONCATENATE("МКД_",O2437),O2437)</f>
        <v>ЭТАЖ ЗАДАН ЧИСЛОМ</v>
      </c>
      <c r="Q2437" s="13" t="str">
        <f t="shared" ref="Q2437:Q2500" si="271">IFERROR(IF(N2437&gt;0,IF(N2437=VALUE(E2437),"ГОТОВ","ГОТОВ_ИЗМЕНЕН"),"НЕ ГОТОВ"),"НЕ ГОТОВ")</f>
        <v>ГОТОВ_ИЗМЕНЕН</v>
      </c>
      <c r="R2437" s="13">
        <f>IFERROR(VLOOKUP(P2437,Лист1!A$1:B$20,2,FALSE),0)</f>
        <v>784</v>
      </c>
      <c r="S2437" s="13">
        <f t="shared" ref="S2437:S2500" si="272">VALUE(E2437)</f>
        <v>0</v>
      </c>
    </row>
    <row r="2438" spans="1:19" x14ac:dyDescent="0.25">
      <c r="A2438" s="24" t="s">
        <v>3567</v>
      </c>
      <c r="B2438" s="4" t="s">
        <v>1059</v>
      </c>
      <c r="C2438" s="25" t="s">
        <v>5</v>
      </c>
      <c r="G2438" s="25" t="s">
        <v>1106</v>
      </c>
      <c r="H2438" s="24" t="s">
        <v>1061</v>
      </c>
      <c r="I2438" s="3" t="str">
        <f>IFERROR(VLOOKUP(C2438,'Справочник соответствий'!A$2:D$2981,2,FALSE),IF(VALUE(C2438)=0,1,VLOOKUP(C2438,'Справочник соответствий'!A$2:D$2981,2,FALSE)))</f>
        <v>1</v>
      </c>
      <c r="J2438" s="3">
        <f>IFERROR(VLOOKUP(D2438,'Справочник соответствий'!A$2:D$2981,2,FALSE),IF(VALUE(D2438)=0,0,VLOOKUP(D2438,'Справочник соответствий'!A$2:D$2981,2,FALSE)))</f>
        <v>0</v>
      </c>
      <c r="K2438" s="3" t="str">
        <f t="shared" si="266"/>
        <v>1</v>
      </c>
      <c r="L2438" s="13" t="str">
        <f>IFERROR(VLOOKUP(C2438,'Справочник соответствий'!A$2:D$2981,3,FALSE),IF(VALUE(C2438)=0,"ЭТАЖ НЕ ОПРЕДЕЛЕН. ПРИНЯТ ПО ДОПУЩЕНИЮ 1",VLOOKUP(C2438,'Справочник соответствий'!A$2:D$2981,3,FALSE)))</f>
        <v>ЭТАЖ ЗАДАН ЧИСЛОМ</v>
      </c>
      <c r="M2438" s="13" t="b">
        <f t="shared" si="267"/>
        <v>0</v>
      </c>
      <c r="N2438" s="13">
        <f t="shared" si="268"/>
        <v>1</v>
      </c>
      <c r="O2438" s="13" t="str">
        <f t="shared" si="269"/>
        <v>ЭТАЖ ЗАДАН ЧИСЛОМ</v>
      </c>
      <c r="P2438" s="13" t="str">
        <f t="shared" si="270"/>
        <v>ЭТАЖ ЗАДАН ЧИСЛОМ</v>
      </c>
      <c r="Q2438" s="13" t="str">
        <f t="shared" si="271"/>
        <v>ГОТОВ_ИЗМЕНЕН</v>
      </c>
      <c r="R2438" s="13">
        <f>IFERROR(VLOOKUP(P2438,Лист1!A$1:B$20,2,FALSE),0)</f>
        <v>784</v>
      </c>
      <c r="S2438" s="13">
        <f t="shared" si="272"/>
        <v>0</v>
      </c>
    </row>
    <row r="2439" spans="1:19" x14ac:dyDescent="0.25">
      <c r="A2439" s="24" t="s">
        <v>3568</v>
      </c>
      <c r="B2439" s="4" t="s">
        <v>1063</v>
      </c>
      <c r="C2439" s="25" t="s">
        <v>5</v>
      </c>
      <c r="G2439" s="25" t="s">
        <v>1106</v>
      </c>
      <c r="H2439" s="24" t="s">
        <v>1061</v>
      </c>
      <c r="I2439" s="3" t="str">
        <f>IFERROR(VLOOKUP(C2439,'Справочник соответствий'!A$2:D$2981,2,FALSE),IF(VALUE(C2439)=0,1,VLOOKUP(C2439,'Справочник соответствий'!A$2:D$2981,2,FALSE)))</f>
        <v>1</v>
      </c>
      <c r="J2439" s="3">
        <f>IFERROR(VLOOKUP(D2439,'Справочник соответствий'!A$2:D$2981,2,FALSE),IF(VALUE(D2439)=0,0,VLOOKUP(D2439,'Справочник соответствий'!A$2:D$2981,2,FALSE)))</f>
        <v>0</v>
      </c>
      <c r="K2439" s="3" t="str">
        <f t="shared" si="266"/>
        <v>1</v>
      </c>
      <c r="L2439" s="13" t="str">
        <f>IFERROR(VLOOKUP(C2439,'Справочник соответствий'!A$2:D$2981,3,FALSE),IF(VALUE(C2439)=0,"ЭТАЖ НЕ ОПРЕДЕЛЕН. ПРИНЯТ ПО ДОПУЩЕНИЮ 1",VLOOKUP(C2439,'Справочник соответствий'!A$2:D$2981,3,FALSE)))</f>
        <v>ЭТАЖ ЗАДАН ЧИСЛОМ</v>
      </c>
      <c r="M2439" s="13" t="b">
        <f t="shared" si="267"/>
        <v>0</v>
      </c>
      <c r="N2439" s="13">
        <f t="shared" si="268"/>
        <v>1</v>
      </c>
      <c r="O2439" s="13" t="str">
        <f t="shared" si="269"/>
        <v>ЭТАЖ ЗАДАН ЧИСЛОМ</v>
      </c>
      <c r="P2439" s="13" t="str">
        <f t="shared" si="270"/>
        <v>ЭТАЖ ЗАДАН ЧИСЛОМ</v>
      </c>
      <c r="Q2439" s="13" t="str">
        <f t="shared" si="271"/>
        <v>ГОТОВ_ИЗМЕНЕН</v>
      </c>
      <c r="R2439" s="13">
        <f>IFERROR(VLOOKUP(P2439,Лист1!A$1:B$20,2,FALSE),0)</f>
        <v>784</v>
      </c>
      <c r="S2439" s="13">
        <f t="shared" si="272"/>
        <v>0</v>
      </c>
    </row>
    <row r="2440" spans="1:19" x14ac:dyDescent="0.25">
      <c r="A2440" s="24" t="s">
        <v>3569</v>
      </c>
      <c r="B2440" s="4" t="s">
        <v>1063</v>
      </c>
      <c r="C2440" s="25" t="s">
        <v>7</v>
      </c>
      <c r="D2440" s="25" t="s">
        <v>5</v>
      </c>
      <c r="G2440" s="25" t="s">
        <v>1106</v>
      </c>
      <c r="H2440" s="24" t="s">
        <v>1061</v>
      </c>
      <c r="I2440" s="3" t="str">
        <f>IFERROR(VLOOKUP(C2440,'Справочник соответствий'!A$2:D$2981,2,FALSE),IF(VALUE(C2440)=0,1,VLOOKUP(C2440,'Справочник соответствий'!A$2:D$2981,2,FALSE)))</f>
        <v>2</v>
      </c>
      <c r="J2440" s="3" t="str">
        <f>IFERROR(VLOOKUP(D2440,'Справочник соответствий'!A$2:D$2981,2,FALSE),IF(VALUE(D2440)=0,0,VLOOKUP(D2440,'Справочник соответствий'!A$2:D$2981,2,FALSE)))</f>
        <v>1</v>
      </c>
      <c r="K2440" s="3" t="str">
        <f t="shared" si="266"/>
        <v>2</v>
      </c>
      <c r="L2440" s="13" t="str">
        <f>IFERROR(VLOOKUP(C2440,'Справочник соответствий'!A$2:D$2981,3,FALSE),IF(VALUE(C2440)=0,"ЭТАЖ НЕ ОПРЕДЕЛЕН. ПРИНЯТ ПО ДОПУЩЕНИЮ 1",VLOOKUP(C2440,'Справочник соответствий'!A$2:D$2981,3,FALSE)))</f>
        <v>ЭТАЖ ЗАДАН ЧИСЛОМ</v>
      </c>
      <c r="M2440" s="13" t="b">
        <f t="shared" si="267"/>
        <v>0</v>
      </c>
      <c r="N2440" s="13">
        <f t="shared" si="268"/>
        <v>2</v>
      </c>
      <c r="O2440" s="13" t="str">
        <f t="shared" si="269"/>
        <v>ЭТАЖ ЗАДАН ЧИСЛОМ</v>
      </c>
      <c r="P2440" s="13" t="str">
        <f t="shared" si="270"/>
        <v>ЭТАЖ ЗАДАН ЧИСЛОМ</v>
      </c>
      <c r="Q2440" s="13" t="str">
        <f t="shared" si="271"/>
        <v>ГОТОВ_ИЗМЕНЕН</v>
      </c>
      <c r="R2440" s="13">
        <f>IFERROR(VLOOKUP(P2440,Лист1!A$1:B$20,2,FALSE),0)</f>
        <v>784</v>
      </c>
      <c r="S2440" s="13">
        <f t="shared" si="272"/>
        <v>0</v>
      </c>
    </row>
    <row r="2441" spans="1:19" x14ac:dyDescent="0.25">
      <c r="A2441" s="24" t="s">
        <v>3570</v>
      </c>
      <c r="B2441" s="4" t="s">
        <v>1059</v>
      </c>
      <c r="C2441" s="25" t="s">
        <v>5</v>
      </c>
      <c r="G2441" s="25" t="s">
        <v>1106</v>
      </c>
      <c r="H2441" s="24" t="s">
        <v>1061</v>
      </c>
      <c r="I2441" s="3" t="str">
        <f>IFERROR(VLOOKUP(C2441,'Справочник соответствий'!A$2:D$2981,2,FALSE),IF(VALUE(C2441)=0,1,VLOOKUP(C2441,'Справочник соответствий'!A$2:D$2981,2,FALSE)))</f>
        <v>1</v>
      </c>
      <c r="J2441" s="3">
        <f>IFERROR(VLOOKUP(D2441,'Справочник соответствий'!A$2:D$2981,2,FALSE),IF(VALUE(D2441)=0,0,VLOOKUP(D2441,'Справочник соответствий'!A$2:D$2981,2,FALSE)))</f>
        <v>0</v>
      </c>
      <c r="K2441" s="3" t="str">
        <f t="shared" si="266"/>
        <v>1</v>
      </c>
      <c r="L2441" s="13" t="str">
        <f>IFERROR(VLOOKUP(C2441,'Справочник соответствий'!A$2:D$2981,3,FALSE),IF(VALUE(C2441)=0,"ЭТАЖ НЕ ОПРЕДЕЛЕН. ПРИНЯТ ПО ДОПУЩЕНИЮ 1",VLOOKUP(C2441,'Справочник соответствий'!A$2:D$2981,3,FALSE)))</f>
        <v>ЭТАЖ ЗАДАН ЧИСЛОМ</v>
      </c>
      <c r="M2441" s="13" t="b">
        <f t="shared" si="267"/>
        <v>0</v>
      </c>
      <c r="N2441" s="13">
        <f t="shared" si="268"/>
        <v>1</v>
      </c>
      <c r="O2441" s="13" t="str">
        <f t="shared" si="269"/>
        <v>ЭТАЖ ЗАДАН ЧИСЛОМ</v>
      </c>
      <c r="P2441" s="13" t="str">
        <f t="shared" si="270"/>
        <v>ЭТАЖ ЗАДАН ЧИСЛОМ</v>
      </c>
      <c r="Q2441" s="13" t="str">
        <f t="shared" si="271"/>
        <v>ГОТОВ_ИЗМЕНЕН</v>
      </c>
      <c r="R2441" s="13">
        <f>IFERROR(VLOOKUP(P2441,Лист1!A$1:B$20,2,FALSE),0)</f>
        <v>784</v>
      </c>
      <c r="S2441" s="13">
        <f t="shared" si="272"/>
        <v>0</v>
      </c>
    </row>
    <row r="2442" spans="1:19" x14ac:dyDescent="0.25">
      <c r="A2442" s="24" t="s">
        <v>3571</v>
      </c>
      <c r="B2442" s="4" t="s">
        <v>1059</v>
      </c>
      <c r="C2442" s="25" t="s">
        <v>7</v>
      </c>
      <c r="G2442" s="25" t="s">
        <v>1106</v>
      </c>
      <c r="H2442" s="24" t="s">
        <v>1061</v>
      </c>
      <c r="I2442" s="3" t="str">
        <f>IFERROR(VLOOKUP(C2442,'Справочник соответствий'!A$2:D$2981,2,FALSE),IF(VALUE(C2442)=0,1,VLOOKUP(C2442,'Справочник соответствий'!A$2:D$2981,2,FALSE)))</f>
        <v>2</v>
      </c>
      <c r="J2442" s="3">
        <f>IFERROR(VLOOKUP(D2442,'Справочник соответствий'!A$2:D$2981,2,FALSE),IF(VALUE(D2442)=0,0,VLOOKUP(D2442,'Справочник соответствий'!A$2:D$2981,2,FALSE)))</f>
        <v>0</v>
      </c>
      <c r="K2442" s="3" t="str">
        <f t="shared" si="266"/>
        <v>2</v>
      </c>
      <c r="L2442" s="13" t="str">
        <f>IFERROR(VLOOKUP(C2442,'Справочник соответствий'!A$2:D$2981,3,FALSE),IF(VALUE(C2442)=0,"ЭТАЖ НЕ ОПРЕДЕЛЕН. ПРИНЯТ ПО ДОПУЩЕНИЮ 1",VLOOKUP(C2442,'Справочник соответствий'!A$2:D$2981,3,FALSE)))</f>
        <v>ЭТАЖ ЗАДАН ЧИСЛОМ</v>
      </c>
      <c r="M2442" s="13" t="b">
        <f t="shared" si="267"/>
        <v>0</v>
      </c>
      <c r="N2442" s="13">
        <f t="shared" si="268"/>
        <v>2</v>
      </c>
      <c r="O2442" s="13" t="str">
        <f t="shared" si="269"/>
        <v>ЭТАЖ ЗАДАН ЧИСЛОМ</v>
      </c>
      <c r="P2442" s="13" t="str">
        <f t="shared" si="270"/>
        <v>ЭТАЖ ЗАДАН ЧИСЛОМ</v>
      </c>
      <c r="Q2442" s="13" t="str">
        <f t="shared" si="271"/>
        <v>ГОТОВ_ИЗМЕНЕН</v>
      </c>
      <c r="R2442" s="13">
        <f>IFERROR(VLOOKUP(P2442,Лист1!A$1:B$20,2,FALSE),0)</f>
        <v>784</v>
      </c>
      <c r="S2442" s="13">
        <f t="shared" si="272"/>
        <v>0</v>
      </c>
    </row>
    <row r="2443" spans="1:19" x14ac:dyDescent="0.25">
      <c r="A2443" s="24" t="s">
        <v>3572</v>
      </c>
      <c r="B2443" s="4" t="s">
        <v>1059</v>
      </c>
      <c r="G2443" s="25" t="s">
        <v>1083</v>
      </c>
      <c r="H2443" s="24" t="s">
        <v>1061</v>
      </c>
      <c r="I2443" s="3">
        <f>IFERROR(VLOOKUP(C2443,'Справочник соответствий'!A$2:D$2981,2,FALSE),IF(VALUE(C2443)=0,1,VLOOKUP(C2443,'Справочник соответствий'!A$2:D$2981,2,FALSE)))</f>
        <v>1</v>
      </c>
      <c r="J2443" s="3">
        <f>IFERROR(VLOOKUP(D2443,'Справочник соответствий'!A$2:D$2981,2,FALSE),IF(VALUE(D2443)=0,0,VLOOKUP(D2443,'Справочник соответствий'!A$2:D$2981,2,FALSE)))</f>
        <v>0</v>
      </c>
      <c r="K2443" s="3">
        <f t="shared" si="266"/>
        <v>1</v>
      </c>
      <c r="L2443" s="13" t="str">
        <f>IFERROR(VLOOKUP(C2443,'Справочник соответствий'!A$2:D$2981,3,FALSE),IF(VALUE(C2443)=0,"ЭТАЖ НЕ ОПРЕДЕЛЕН. ПРИНЯТ ПО ДОПУЩЕНИЮ 1",VLOOKUP(C2443,'Справочник соответствий'!A$2:D$2981,3,FALSE)))</f>
        <v>ЭТАЖ НЕ ОПРЕДЕЛЕН. ПРИНЯТ ПО ДОПУЩЕНИЮ 1</v>
      </c>
      <c r="M2443" s="13" t="b">
        <f t="shared" si="267"/>
        <v>0</v>
      </c>
      <c r="N2443" s="13">
        <f t="shared" si="268"/>
        <v>1</v>
      </c>
      <c r="O2443" s="13" t="str">
        <f t="shared" si="269"/>
        <v>ЭТАЖ НЕ ОПРЕДЕЛЕН. ПРИНЯТ ПО ДОПУЩЕНИЮ 1</v>
      </c>
      <c r="P2443" s="13" t="str">
        <f t="shared" si="270"/>
        <v>ЭТАЖ НЕ ОПРЕДЕЛЕН. ПРИНЯТ ПО ДОПУЩЕНИЮ 1</v>
      </c>
      <c r="Q2443" s="13" t="str">
        <f t="shared" si="271"/>
        <v>ГОТОВ_ИЗМЕНЕН</v>
      </c>
      <c r="R2443" s="13">
        <f>IFERROR(VLOOKUP(P2443,Лист1!A$1:B$20,2,FALSE),0)</f>
        <v>788</v>
      </c>
      <c r="S2443" s="13">
        <f t="shared" si="272"/>
        <v>0</v>
      </c>
    </row>
    <row r="2444" spans="1:19" x14ac:dyDescent="0.25">
      <c r="A2444" s="24" t="s">
        <v>3573</v>
      </c>
      <c r="B2444" s="4" t="s">
        <v>1059</v>
      </c>
      <c r="C2444" s="25" t="s">
        <v>7</v>
      </c>
      <c r="G2444" s="25" t="s">
        <v>1083</v>
      </c>
      <c r="H2444" s="24" t="s">
        <v>1061</v>
      </c>
      <c r="I2444" s="3" t="str">
        <f>IFERROR(VLOOKUP(C2444,'Справочник соответствий'!A$2:D$2981,2,FALSE),IF(VALUE(C2444)=0,1,VLOOKUP(C2444,'Справочник соответствий'!A$2:D$2981,2,FALSE)))</f>
        <v>2</v>
      </c>
      <c r="J2444" s="3">
        <f>IFERROR(VLOOKUP(D2444,'Справочник соответствий'!A$2:D$2981,2,FALSE),IF(VALUE(D2444)=0,0,VLOOKUP(D2444,'Справочник соответствий'!A$2:D$2981,2,FALSE)))</f>
        <v>0</v>
      </c>
      <c r="K2444" s="3" t="str">
        <f t="shared" si="266"/>
        <v>2</v>
      </c>
      <c r="L2444" s="13" t="str">
        <f>IFERROR(VLOOKUP(C2444,'Справочник соответствий'!A$2:D$2981,3,FALSE),IF(VALUE(C2444)=0,"ЭТАЖ НЕ ОПРЕДЕЛЕН. ПРИНЯТ ПО ДОПУЩЕНИЮ 1",VLOOKUP(C2444,'Справочник соответствий'!A$2:D$2981,3,FALSE)))</f>
        <v>ЭТАЖ ЗАДАН ЧИСЛОМ</v>
      </c>
      <c r="M2444" s="13" t="b">
        <f t="shared" si="267"/>
        <v>0</v>
      </c>
      <c r="N2444" s="13">
        <f t="shared" si="268"/>
        <v>2</v>
      </c>
      <c r="O2444" s="13" t="str">
        <f t="shared" si="269"/>
        <v>ЭТАЖ ЗАДАН ЧИСЛОМ</v>
      </c>
      <c r="P2444" s="13" t="str">
        <f t="shared" si="270"/>
        <v>ЭТАЖ ЗАДАН ЧИСЛОМ</v>
      </c>
      <c r="Q2444" s="13" t="str">
        <f t="shared" si="271"/>
        <v>ГОТОВ_ИЗМЕНЕН</v>
      </c>
      <c r="R2444" s="13">
        <f>IFERROR(VLOOKUP(P2444,Лист1!A$1:B$20,2,FALSE),0)</f>
        <v>784</v>
      </c>
      <c r="S2444" s="13">
        <f t="shared" si="272"/>
        <v>0</v>
      </c>
    </row>
    <row r="2445" spans="1:19" x14ac:dyDescent="0.25">
      <c r="A2445" s="24" t="s">
        <v>3574</v>
      </c>
      <c r="B2445" s="4" t="s">
        <v>1059</v>
      </c>
      <c r="C2445" s="25" t="s">
        <v>5</v>
      </c>
      <c r="G2445" s="25" t="s">
        <v>1083</v>
      </c>
      <c r="H2445" s="24" t="s">
        <v>1061</v>
      </c>
      <c r="I2445" s="3" t="str">
        <f>IFERROR(VLOOKUP(C2445,'Справочник соответствий'!A$2:D$2981,2,FALSE),IF(VALUE(C2445)=0,1,VLOOKUP(C2445,'Справочник соответствий'!A$2:D$2981,2,FALSE)))</f>
        <v>1</v>
      </c>
      <c r="J2445" s="3">
        <f>IFERROR(VLOOKUP(D2445,'Справочник соответствий'!A$2:D$2981,2,FALSE),IF(VALUE(D2445)=0,0,VLOOKUP(D2445,'Справочник соответствий'!A$2:D$2981,2,FALSE)))</f>
        <v>0</v>
      </c>
      <c r="K2445" s="3" t="str">
        <f t="shared" si="266"/>
        <v>1</v>
      </c>
      <c r="L2445" s="13" t="str">
        <f>IFERROR(VLOOKUP(C2445,'Справочник соответствий'!A$2:D$2981,3,FALSE),IF(VALUE(C2445)=0,"ЭТАЖ НЕ ОПРЕДЕЛЕН. ПРИНЯТ ПО ДОПУЩЕНИЮ 1",VLOOKUP(C2445,'Справочник соответствий'!A$2:D$2981,3,FALSE)))</f>
        <v>ЭТАЖ ЗАДАН ЧИСЛОМ</v>
      </c>
      <c r="M2445" s="13" t="b">
        <f t="shared" si="267"/>
        <v>0</v>
      </c>
      <c r="N2445" s="13">
        <f t="shared" si="268"/>
        <v>1</v>
      </c>
      <c r="O2445" s="13" t="str">
        <f t="shared" si="269"/>
        <v>ЭТАЖ ЗАДАН ЧИСЛОМ</v>
      </c>
      <c r="P2445" s="13" t="str">
        <f t="shared" si="270"/>
        <v>ЭТАЖ ЗАДАН ЧИСЛОМ</v>
      </c>
      <c r="Q2445" s="13" t="str">
        <f t="shared" si="271"/>
        <v>ГОТОВ_ИЗМЕНЕН</v>
      </c>
      <c r="R2445" s="13">
        <f>IFERROR(VLOOKUP(P2445,Лист1!A$1:B$20,2,FALSE),0)</f>
        <v>784</v>
      </c>
      <c r="S2445" s="13">
        <f t="shared" si="272"/>
        <v>0</v>
      </c>
    </row>
    <row r="2446" spans="1:19" x14ac:dyDescent="0.25">
      <c r="A2446" s="24" t="s">
        <v>3575</v>
      </c>
      <c r="B2446" s="4" t="s">
        <v>1059</v>
      </c>
      <c r="C2446" s="25" t="s">
        <v>5</v>
      </c>
      <c r="G2446" s="25" t="s">
        <v>1083</v>
      </c>
      <c r="H2446" s="24" t="s">
        <v>1061</v>
      </c>
      <c r="I2446" s="3" t="str">
        <f>IFERROR(VLOOKUP(C2446,'Справочник соответствий'!A$2:D$2981,2,FALSE),IF(VALUE(C2446)=0,1,VLOOKUP(C2446,'Справочник соответствий'!A$2:D$2981,2,FALSE)))</f>
        <v>1</v>
      </c>
      <c r="J2446" s="3">
        <f>IFERROR(VLOOKUP(D2446,'Справочник соответствий'!A$2:D$2981,2,FALSE),IF(VALUE(D2446)=0,0,VLOOKUP(D2446,'Справочник соответствий'!A$2:D$2981,2,FALSE)))</f>
        <v>0</v>
      </c>
      <c r="K2446" s="3" t="str">
        <f t="shared" si="266"/>
        <v>1</v>
      </c>
      <c r="L2446" s="13" t="str">
        <f>IFERROR(VLOOKUP(C2446,'Справочник соответствий'!A$2:D$2981,3,FALSE),IF(VALUE(C2446)=0,"ЭТАЖ НЕ ОПРЕДЕЛЕН. ПРИНЯТ ПО ДОПУЩЕНИЮ 1",VLOOKUP(C2446,'Справочник соответствий'!A$2:D$2981,3,FALSE)))</f>
        <v>ЭТАЖ ЗАДАН ЧИСЛОМ</v>
      </c>
      <c r="M2446" s="13" t="b">
        <f t="shared" si="267"/>
        <v>0</v>
      </c>
      <c r="N2446" s="13">
        <f t="shared" si="268"/>
        <v>1</v>
      </c>
      <c r="O2446" s="13" t="str">
        <f t="shared" si="269"/>
        <v>ЭТАЖ ЗАДАН ЧИСЛОМ</v>
      </c>
      <c r="P2446" s="13" t="str">
        <f t="shared" si="270"/>
        <v>ЭТАЖ ЗАДАН ЧИСЛОМ</v>
      </c>
      <c r="Q2446" s="13" t="str">
        <f t="shared" si="271"/>
        <v>ГОТОВ_ИЗМЕНЕН</v>
      </c>
      <c r="R2446" s="13">
        <f>IFERROR(VLOOKUP(P2446,Лист1!A$1:B$20,2,FALSE),0)</f>
        <v>784</v>
      </c>
      <c r="S2446" s="13">
        <f t="shared" si="272"/>
        <v>0</v>
      </c>
    </row>
    <row r="2447" spans="1:19" x14ac:dyDescent="0.25">
      <c r="A2447" s="24" t="s">
        <v>3576</v>
      </c>
      <c r="B2447" s="4" t="s">
        <v>1059</v>
      </c>
      <c r="C2447" s="25" t="s">
        <v>7</v>
      </c>
      <c r="G2447" s="25" t="s">
        <v>1083</v>
      </c>
      <c r="H2447" s="24" t="s">
        <v>1061</v>
      </c>
      <c r="I2447" s="3" t="str">
        <f>IFERROR(VLOOKUP(C2447,'Справочник соответствий'!A$2:D$2981,2,FALSE),IF(VALUE(C2447)=0,1,VLOOKUP(C2447,'Справочник соответствий'!A$2:D$2981,2,FALSE)))</f>
        <v>2</v>
      </c>
      <c r="J2447" s="3">
        <f>IFERROR(VLOOKUP(D2447,'Справочник соответствий'!A$2:D$2981,2,FALSE),IF(VALUE(D2447)=0,0,VLOOKUP(D2447,'Справочник соответствий'!A$2:D$2981,2,FALSE)))</f>
        <v>0</v>
      </c>
      <c r="K2447" s="3" t="str">
        <f t="shared" si="266"/>
        <v>2</v>
      </c>
      <c r="L2447" s="13" t="str">
        <f>IFERROR(VLOOKUP(C2447,'Справочник соответствий'!A$2:D$2981,3,FALSE),IF(VALUE(C2447)=0,"ЭТАЖ НЕ ОПРЕДЕЛЕН. ПРИНЯТ ПО ДОПУЩЕНИЮ 1",VLOOKUP(C2447,'Справочник соответствий'!A$2:D$2981,3,FALSE)))</f>
        <v>ЭТАЖ ЗАДАН ЧИСЛОМ</v>
      </c>
      <c r="M2447" s="13" t="b">
        <f t="shared" si="267"/>
        <v>0</v>
      </c>
      <c r="N2447" s="13">
        <f t="shared" si="268"/>
        <v>2</v>
      </c>
      <c r="O2447" s="13" t="str">
        <f t="shared" si="269"/>
        <v>ЭТАЖ ЗАДАН ЧИСЛОМ</v>
      </c>
      <c r="P2447" s="13" t="str">
        <f t="shared" si="270"/>
        <v>ЭТАЖ ЗАДАН ЧИСЛОМ</v>
      </c>
      <c r="Q2447" s="13" t="str">
        <f t="shared" si="271"/>
        <v>ГОТОВ_ИЗМЕНЕН</v>
      </c>
      <c r="R2447" s="13">
        <f>IFERROR(VLOOKUP(P2447,Лист1!A$1:B$20,2,FALSE),0)</f>
        <v>784</v>
      </c>
      <c r="S2447" s="13">
        <f t="shared" si="272"/>
        <v>0</v>
      </c>
    </row>
    <row r="2448" spans="1:19" x14ac:dyDescent="0.25">
      <c r="A2448" s="24" t="s">
        <v>3577</v>
      </c>
      <c r="B2448" s="4" t="s">
        <v>1063</v>
      </c>
      <c r="C2448" s="25" t="s">
        <v>5</v>
      </c>
      <c r="G2448" s="25" t="s">
        <v>1083</v>
      </c>
      <c r="H2448" s="24" t="s">
        <v>1061</v>
      </c>
      <c r="I2448" s="3" t="str">
        <f>IFERROR(VLOOKUP(C2448,'Справочник соответствий'!A$2:D$2981,2,FALSE),IF(VALUE(C2448)=0,1,VLOOKUP(C2448,'Справочник соответствий'!A$2:D$2981,2,FALSE)))</f>
        <v>1</v>
      </c>
      <c r="J2448" s="3">
        <f>IFERROR(VLOOKUP(D2448,'Справочник соответствий'!A$2:D$2981,2,FALSE),IF(VALUE(D2448)=0,0,VLOOKUP(D2448,'Справочник соответствий'!A$2:D$2981,2,FALSE)))</f>
        <v>0</v>
      </c>
      <c r="K2448" s="3" t="str">
        <f t="shared" si="266"/>
        <v>1</v>
      </c>
      <c r="L2448" s="13" t="str">
        <f>IFERROR(VLOOKUP(C2448,'Справочник соответствий'!A$2:D$2981,3,FALSE),IF(VALUE(C2448)=0,"ЭТАЖ НЕ ОПРЕДЕЛЕН. ПРИНЯТ ПО ДОПУЩЕНИЮ 1",VLOOKUP(C2448,'Справочник соответствий'!A$2:D$2981,3,FALSE)))</f>
        <v>ЭТАЖ ЗАДАН ЧИСЛОМ</v>
      </c>
      <c r="M2448" s="13" t="b">
        <f t="shared" si="267"/>
        <v>0</v>
      </c>
      <c r="N2448" s="13">
        <f t="shared" si="268"/>
        <v>1</v>
      </c>
      <c r="O2448" s="13" t="str">
        <f t="shared" si="269"/>
        <v>ЭТАЖ ЗАДАН ЧИСЛОМ</v>
      </c>
      <c r="P2448" s="13" t="str">
        <f t="shared" si="270"/>
        <v>ЭТАЖ ЗАДАН ЧИСЛОМ</v>
      </c>
      <c r="Q2448" s="13" t="str">
        <f t="shared" si="271"/>
        <v>ГОТОВ_ИЗМЕНЕН</v>
      </c>
      <c r="R2448" s="13">
        <f>IFERROR(VLOOKUP(P2448,Лист1!A$1:B$20,2,FALSE),0)</f>
        <v>784</v>
      </c>
      <c r="S2448" s="13">
        <f t="shared" si="272"/>
        <v>0</v>
      </c>
    </row>
    <row r="2449" spans="1:19" x14ac:dyDescent="0.25">
      <c r="A2449" s="24" t="s">
        <v>3578</v>
      </c>
      <c r="B2449" s="4" t="s">
        <v>1059</v>
      </c>
      <c r="C2449" s="25" t="s">
        <v>8</v>
      </c>
      <c r="D2449" s="25" t="s">
        <v>5</v>
      </c>
      <c r="G2449" s="25" t="s">
        <v>1083</v>
      </c>
      <c r="H2449" s="24" t="s">
        <v>1061</v>
      </c>
      <c r="I2449" s="3" t="str">
        <f>IFERROR(VLOOKUP(C2449,'Справочник соответствий'!A$2:D$2981,2,FALSE),IF(VALUE(C2449)=0,1,VLOOKUP(C2449,'Справочник соответствий'!A$2:D$2981,2,FALSE)))</f>
        <v>3</v>
      </c>
      <c r="J2449" s="3" t="str">
        <f>IFERROR(VLOOKUP(D2449,'Справочник соответствий'!A$2:D$2981,2,FALSE),IF(VALUE(D2449)=0,0,VLOOKUP(D2449,'Справочник соответствий'!A$2:D$2981,2,FALSE)))</f>
        <v>1</v>
      </c>
      <c r="K2449" s="3" t="str">
        <f t="shared" si="266"/>
        <v>3</v>
      </c>
      <c r="L2449" s="13" t="str">
        <f>IFERROR(VLOOKUP(C2449,'Справочник соответствий'!A$2:D$2981,3,FALSE),IF(VALUE(C2449)=0,"ЭТАЖ НЕ ОПРЕДЕЛЕН. ПРИНЯТ ПО ДОПУЩЕНИЮ 1",VLOOKUP(C2449,'Справочник соответствий'!A$2:D$2981,3,FALSE)))</f>
        <v>ЭТАЖ ЗАДАН ЧИСЛОМ</v>
      </c>
      <c r="M2449" s="13" t="b">
        <f t="shared" si="267"/>
        <v>0</v>
      </c>
      <c r="N2449" s="13">
        <f t="shared" si="268"/>
        <v>3</v>
      </c>
      <c r="O2449" s="13" t="str">
        <f t="shared" si="269"/>
        <v>ЭТАЖ ЗАДАН ЧИСЛОМ</v>
      </c>
      <c r="P2449" s="13" t="str">
        <f t="shared" si="270"/>
        <v>ЭТАЖ ЗАДАН ЧИСЛОМ</v>
      </c>
      <c r="Q2449" s="13" t="str">
        <f t="shared" si="271"/>
        <v>ГОТОВ_ИЗМЕНЕН</v>
      </c>
      <c r="R2449" s="13">
        <f>IFERROR(VLOOKUP(P2449,Лист1!A$1:B$20,2,FALSE),0)</f>
        <v>784</v>
      </c>
      <c r="S2449" s="13">
        <f t="shared" si="272"/>
        <v>0</v>
      </c>
    </row>
    <row r="2450" spans="1:19" x14ac:dyDescent="0.25">
      <c r="A2450" s="24" t="s">
        <v>3579</v>
      </c>
      <c r="B2450" s="4" t="s">
        <v>1063</v>
      </c>
      <c r="C2450" s="25" t="s">
        <v>5</v>
      </c>
      <c r="G2450" s="25" t="s">
        <v>1083</v>
      </c>
      <c r="H2450" s="24" t="s">
        <v>1061</v>
      </c>
      <c r="I2450" s="3" t="str">
        <f>IFERROR(VLOOKUP(C2450,'Справочник соответствий'!A$2:D$2981,2,FALSE),IF(VALUE(C2450)=0,1,VLOOKUP(C2450,'Справочник соответствий'!A$2:D$2981,2,FALSE)))</f>
        <v>1</v>
      </c>
      <c r="J2450" s="3">
        <f>IFERROR(VLOOKUP(D2450,'Справочник соответствий'!A$2:D$2981,2,FALSE),IF(VALUE(D2450)=0,0,VLOOKUP(D2450,'Справочник соответствий'!A$2:D$2981,2,FALSE)))</f>
        <v>0</v>
      </c>
      <c r="K2450" s="3" t="str">
        <f t="shared" si="266"/>
        <v>1</v>
      </c>
      <c r="L2450" s="13" t="str">
        <f>IFERROR(VLOOKUP(C2450,'Справочник соответствий'!A$2:D$2981,3,FALSE),IF(VALUE(C2450)=0,"ЭТАЖ НЕ ОПРЕДЕЛЕН. ПРИНЯТ ПО ДОПУЩЕНИЮ 1",VLOOKUP(C2450,'Справочник соответствий'!A$2:D$2981,3,FALSE)))</f>
        <v>ЭТАЖ ЗАДАН ЧИСЛОМ</v>
      </c>
      <c r="M2450" s="13" t="b">
        <f t="shared" si="267"/>
        <v>0</v>
      </c>
      <c r="N2450" s="13">
        <f t="shared" si="268"/>
        <v>1</v>
      </c>
      <c r="O2450" s="13" t="str">
        <f t="shared" si="269"/>
        <v>ЭТАЖ ЗАДАН ЧИСЛОМ</v>
      </c>
      <c r="P2450" s="13" t="str">
        <f t="shared" si="270"/>
        <v>ЭТАЖ ЗАДАН ЧИСЛОМ</v>
      </c>
      <c r="Q2450" s="13" t="str">
        <f t="shared" si="271"/>
        <v>ГОТОВ_ИЗМЕНЕН</v>
      </c>
      <c r="R2450" s="13">
        <f>IFERROR(VLOOKUP(P2450,Лист1!A$1:B$20,2,FALSE),0)</f>
        <v>784</v>
      </c>
      <c r="S2450" s="13">
        <f t="shared" si="272"/>
        <v>0</v>
      </c>
    </row>
    <row r="2451" spans="1:19" x14ac:dyDescent="0.25">
      <c r="A2451" s="24" t="s">
        <v>3580</v>
      </c>
      <c r="B2451" s="4" t="s">
        <v>1063</v>
      </c>
      <c r="C2451" s="25" t="s">
        <v>5</v>
      </c>
      <c r="G2451" s="25" t="s">
        <v>1083</v>
      </c>
      <c r="H2451" s="24" t="s">
        <v>1061</v>
      </c>
      <c r="I2451" s="3" t="str">
        <f>IFERROR(VLOOKUP(C2451,'Справочник соответствий'!A$2:D$2981,2,FALSE),IF(VALUE(C2451)=0,1,VLOOKUP(C2451,'Справочник соответствий'!A$2:D$2981,2,FALSE)))</f>
        <v>1</v>
      </c>
      <c r="J2451" s="3">
        <f>IFERROR(VLOOKUP(D2451,'Справочник соответствий'!A$2:D$2981,2,FALSE),IF(VALUE(D2451)=0,0,VLOOKUP(D2451,'Справочник соответствий'!A$2:D$2981,2,FALSE)))</f>
        <v>0</v>
      </c>
      <c r="K2451" s="3" t="str">
        <f t="shared" si="266"/>
        <v>1</v>
      </c>
      <c r="L2451" s="13" t="str">
        <f>IFERROR(VLOOKUP(C2451,'Справочник соответствий'!A$2:D$2981,3,FALSE),IF(VALUE(C2451)=0,"ЭТАЖ НЕ ОПРЕДЕЛЕН. ПРИНЯТ ПО ДОПУЩЕНИЮ 1",VLOOKUP(C2451,'Справочник соответствий'!A$2:D$2981,3,FALSE)))</f>
        <v>ЭТАЖ ЗАДАН ЧИСЛОМ</v>
      </c>
      <c r="M2451" s="13" t="b">
        <f t="shared" si="267"/>
        <v>0</v>
      </c>
      <c r="N2451" s="13">
        <f t="shared" si="268"/>
        <v>1</v>
      </c>
      <c r="O2451" s="13" t="str">
        <f t="shared" si="269"/>
        <v>ЭТАЖ ЗАДАН ЧИСЛОМ</v>
      </c>
      <c r="P2451" s="13" t="str">
        <f t="shared" si="270"/>
        <v>ЭТАЖ ЗАДАН ЧИСЛОМ</v>
      </c>
      <c r="Q2451" s="13" t="str">
        <f t="shared" si="271"/>
        <v>ГОТОВ_ИЗМЕНЕН</v>
      </c>
      <c r="R2451" s="13">
        <f>IFERROR(VLOOKUP(P2451,Лист1!A$1:B$20,2,FALSE),0)</f>
        <v>784</v>
      </c>
      <c r="S2451" s="13">
        <f t="shared" si="272"/>
        <v>0</v>
      </c>
    </row>
    <row r="2452" spans="1:19" x14ac:dyDescent="0.25">
      <c r="A2452" s="24" t="s">
        <v>3581</v>
      </c>
      <c r="B2452" s="4" t="s">
        <v>1059</v>
      </c>
      <c r="C2452" s="25" t="s">
        <v>7</v>
      </c>
      <c r="G2452" s="25" t="s">
        <v>1089</v>
      </c>
      <c r="H2452" s="24" t="s">
        <v>1061</v>
      </c>
      <c r="I2452" s="3" t="str">
        <f>IFERROR(VLOOKUP(C2452,'Справочник соответствий'!A$2:D$2981,2,FALSE),IF(VALUE(C2452)=0,1,VLOOKUP(C2452,'Справочник соответствий'!A$2:D$2981,2,FALSE)))</f>
        <v>2</v>
      </c>
      <c r="J2452" s="3">
        <f>IFERROR(VLOOKUP(D2452,'Справочник соответствий'!A$2:D$2981,2,FALSE),IF(VALUE(D2452)=0,0,VLOOKUP(D2452,'Справочник соответствий'!A$2:D$2981,2,FALSE)))</f>
        <v>0</v>
      </c>
      <c r="K2452" s="3" t="str">
        <f t="shared" si="266"/>
        <v>2</v>
      </c>
      <c r="L2452" s="13" t="str">
        <f>IFERROR(VLOOKUP(C2452,'Справочник соответствий'!A$2:D$2981,3,FALSE),IF(VALUE(C2452)=0,"ЭТАЖ НЕ ОПРЕДЕЛЕН. ПРИНЯТ ПО ДОПУЩЕНИЮ 1",VLOOKUP(C2452,'Справочник соответствий'!A$2:D$2981,3,FALSE)))</f>
        <v>ЭТАЖ ЗАДАН ЧИСЛОМ</v>
      </c>
      <c r="M2452" s="13" t="b">
        <f t="shared" si="267"/>
        <v>0</v>
      </c>
      <c r="N2452" s="13">
        <f t="shared" si="268"/>
        <v>2</v>
      </c>
      <c r="O2452" s="13" t="str">
        <f t="shared" si="269"/>
        <v>ЭТАЖ ЗАДАН ЧИСЛОМ</v>
      </c>
      <c r="P2452" s="13" t="str">
        <f t="shared" si="270"/>
        <v>ЭТАЖ ЗАДАН ЧИСЛОМ</v>
      </c>
      <c r="Q2452" s="13" t="str">
        <f t="shared" si="271"/>
        <v>ГОТОВ_ИЗМЕНЕН</v>
      </c>
      <c r="R2452" s="13">
        <f>IFERROR(VLOOKUP(P2452,Лист1!A$1:B$20,2,FALSE),0)</f>
        <v>784</v>
      </c>
      <c r="S2452" s="13">
        <f t="shared" si="272"/>
        <v>0</v>
      </c>
    </row>
    <row r="2453" spans="1:19" x14ac:dyDescent="0.25">
      <c r="A2453" s="24" t="s">
        <v>3582</v>
      </c>
      <c r="B2453" s="4" t="s">
        <v>1059</v>
      </c>
      <c r="C2453" s="25" t="s">
        <v>5</v>
      </c>
      <c r="G2453" s="25" t="s">
        <v>1089</v>
      </c>
      <c r="H2453" s="24" t="s">
        <v>1061</v>
      </c>
      <c r="I2453" s="3" t="str">
        <f>IFERROR(VLOOKUP(C2453,'Справочник соответствий'!A$2:D$2981,2,FALSE),IF(VALUE(C2453)=0,1,VLOOKUP(C2453,'Справочник соответствий'!A$2:D$2981,2,FALSE)))</f>
        <v>1</v>
      </c>
      <c r="J2453" s="3">
        <f>IFERROR(VLOOKUP(D2453,'Справочник соответствий'!A$2:D$2981,2,FALSE),IF(VALUE(D2453)=0,0,VLOOKUP(D2453,'Справочник соответствий'!A$2:D$2981,2,FALSE)))</f>
        <v>0</v>
      </c>
      <c r="K2453" s="3" t="str">
        <f t="shared" si="266"/>
        <v>1</v>
      </c>
      <c r="L2453" s="13" t="str">
        <f>IFERROR(VLOOKUP(C2453,'Справочник соответствий'!A$2:D$2981,3,FALSE),IF(VALUE(C2453)=0,"ЭТАЖ НЕ ОПРЕДЕЛЕН. ПРИНЯТ ПО ДОПУЩЕНИЮ 1",VLOOKUP(C2453,'Справочник соответствий'!A$2:D$2981,3,FALSE)))</f>
        <v>ЭТАЖ ЗАДАН ЧИСЛОМ</v>
      </c>
      <c r="M2453" s="13" t="b">
        <f t="shared" si="267"/>
        <v>0</v>
      </c>
      <c r="N2453" s="13">
        <f t="shared" si="268"/>
        <v>1</v>
      </c>
      <c r="O2453" s="13" t="str">
        <f t="shared" si="269"/>
        <v>ЭТАЖ ЗАДАН ЧИСЛОМ</v>
      </c>
      <c r="P2453" s="13" t="str">
        <f t="shared" si="270"/>
        <v>ЭТАЖ ЗАДАН ЧИСЛОМ</v>
      </c>
      <c r="Q2453" s="13" t="str">
        <f t="shared" si="271"/>
        <v>ГОТОВ_ИЗМЕНЕН</v>
      </c>
      <c r="R2453" s="13">
        <f>IFERROR(VLOOKUP(P2453,Лист1!A$1:B$20,2,FALSE),0)</f>
        <v>784</v>
      </c>
      <c r="S2453" s="13">
        <f t="shared" si="272"/>
        <v>0</v>
      </c>
    </row>
    <row r="2454" spans="1:19" x14ac:dyDescent="0.25">
      <c r="A2454" s="24" t="s">
        <v>3583</v>
      </c>
      <c r="B2454" s="4" t="s">
        <v>1059</v>
      </c>
      <c r="C2454" s="25" t="s">
        <v>7</v>
      </c>
      <c r="G2454" s="25" t="s">
        <v>1089</v>
      </c>
      <c r="H2454" s="24" t="s">
        <v>1061</v>
      </c>
      <c r="I2454" s="3" t="str">
        <f>IFERROR(VLOOKUP(C2454,'Справочник соответствий'!A$2:D$2981,2,FALSE),IF(VALUE(C2454)=0,1,VLOOKUP(C2454,'Справочник соответствий'!A$2:D$2981,2,FALSE)))</f>
        <v>2</v>
      </c>
      <c r="J2454" s="3">
        <f>IFERROR(VLOOKUP(D2454,'Справочник соответствий'!A$2:D$2981,2,FALSE),IF(VALUE(D2454)=0,0,VLOOKUP(D2454,'Справочник соответствий'!A$2:D$2981,2,FALSE)))</f>
        <v>0</v>
      </c>
      <c r="K2454" s="3" t="str">
        <f t="shared" si="266"/>
        <v>2</v>
      </c>
      <c r="L2454" s="13" t="str">
        <f>IFERROR(VLOOKUP(C2454,'Справочник соответствий'!A$2:D$2981,3,FALSE),IF(VALUE(C2454)=0,"ЭТАЖ НЕ ОПРЕДЕЛЕН. ПРИНЯТ ПО ДОПУЩЕНИЮ 1",VLOOKUP(C2454,'Справочник соответствий'!A$2:D$2981,3,FALSE)))</f>
        <v>ЭТАЖ ЗАДАН ЧИСЛОМ</v>
      </c>
      <c r="M2454" s="13" t="b">
        <f t="shared" si="267"/>
        <v>0</v>
      </c>
      <c r="N2454" s="13">
        <f t="shared" si="268"/>
        <v>2</v>
      </c>
      <c r="O2454" s="13" t="str">
        <f t="shared" si="269"/>
        <v>ЭТАЖ ЗАДАН ЧИСЛОМ</v>
      </c>
      <c r="P2454" s="13" t="str">
        <f t="shared" si="270"/>
        <v>ЭТАЖ ЗАДАН ЧИСЛОМ</v>
      </c>
      <c r="Q2454" s="13" t="str">
        <f t="shared" si="271"/>
        <v>ГОТОВ_ИЗМЕНЕН</v>
      </c>
      <c r="R2454" s="13">
        <f>IFERROR(VLOOKUP(P2454,Лист1!A$1:B$20,2,FALSE),0)</f>
        <v>784</v>
      </c>
      <c r="S2454" s="13">
        <f t="shared" si="272"/>
        <v>0</v>
      </c>
    </row>
    <row r="2455" spans="1:19" x14ac:dyDescent="0.25">
      <c r="A2455" s="24" t="s">
        <v>3584</v>
      </c>
      <c r="B2455" s="4" t="s">
        <v>1059</v>
      </c>
      <c r="C2455" s="25" t="s">
        <v>5</v>
      </c>
      <c r="G2455" s="25" t="s">
        <v>1089</v>
      </c>
      <c r="H2455" s="24" t="s">
        <v>1061</v>
      </c>
      <c r="I2455" s="3" t="str">
        <f>IFERROR(VLOOKUP(C2455,'Справочник соответствий'!A$2:D$2981,2,FALSE),IF(VALUE(C2455)=0,1,VLOOKUP(C2455,'Справочник соответствий'!A$2:D$2981,2,FALSE)))</f>
        <v>1</v>
      </c>
      <c r="J2455" s="3">
        <f>IFERROR(VLOOKUP(D2455,'Справочник соответствий'!A$2:D$2981,2,FALSE),IF(VALUE(D2455)=0,0,VLOOKUP(D2455,'Справочник соответствий'!A$2:D$2981,2,FALSE)))</f>
        <v>0</v>
      </c>
      <c r="K2455" s="3" t="str">
        <f t="shared" si="266"/>
        <v>1</v>
      </c>
      <c r="L2455" s="13" t="str">
        <f>IFERROR(VLOOKUP(C2455,'Справочник соответствий'!A$2:D$2981,3,FALSE),IF(VALUE(C2455)=0,"ЭТАЖ НЕ ОПРЕДЕЛЕН. ПРИНЯТ ПО ДОПУЩЕНИЮ 1",VLOOKUP(C2455,'Справочник соответствий'!A$2:D$2981,3,FALSE)))</f>
        <v>ЭТАЖ ЗАДАН ЧИСЛОМ</v>
      </c>
      <c r="M2455" s="13" t="b">
        <f t="shared" si="267"/>
        <v>0</v>
      </c>
      <c r="N2455" s="13">
        <f t="shared" si="268"/>
        <v>1</v>
      </c>
      <c r="O2455" s="13" t="str">
        <f t="shared" si="269"/>
        <v>ЭТАЖ ЗАДАН ЧИСЛОМ</v>
      </c>
      <c r="P2455" s="13" t="str">
        <f t="shared" si="270"/>
        <v>ЭТАЖ ЗАДАН ЧИСЛОМ</v>
      </c>
      <c r="Q2455" s="13" t="str">
        <f t="shared" si="271"/>
        <v>ГОТОВ_ИЗМЕНЕН</v>
      </c>
      <c r="R2455" s="13">
        <f>IFERROR(VLOOKUP(P2455,Лист1!A$1:B$20,2,FALSE),0)</f>
        <v>784</v>
      </c>
      <c r="S2455" s="13">
        <f t="shared" si="272"/>
        <v>0</v>
      </c>
    </row>
    <row r="2456" spans="1:19" x14ac:dyDescent="0.25">
      <c r="A2456" s="24" t="s">
        <v>3585</v>
      </c>
      <c r="B2456" s="4" t="s">
        <v>1059</v>
      </c>
      <c r="C2456" s="25" t="s">
        <v>7</v>
      </c>
      <c r="G2456" s="25" t="s">
        <v>1089</v>
      </c>
      <c r="H2456" s="24" t="s">
        <v>1061</v>
      </c>
      <c r="I2456" s="3" t="str">
        <f>IFERROR(VLOOKUP(C2456,'Справочник соответствий'!A$2:D$2981,2,FALSE),IF(VALUE(C2456)=0,1,VLOOKUP(C2456,'Справочник соответствий'!A$2:D$2981,2,FALSE)))</f>
        <v>2</v>
      </c>
      <c r="J2456" s="3">
        <f>IFERROR(VLOOKUP(D2456,'Справочник соответствий'!A$2:D$2981,2,FALSE),IF(VALUE(D2456)=0,0,VLOOKUP(D2456,'Справочник соответствий'!A$2:D$2981,2,FALSE)))</f>
        <v>0</v>
      </c>
      <c r="K2456" s="3" t="str">
        <f t="shared" si="266"/>
        <v>2</v>
      </c>
      <c r="L2456" s="13" t="str">
        <f>IFERROR(VLOOKUP(C2456,'Справочник соответствий'!A$2:D$2981,3,FALSE),IF(VALUE(C2456)=0,"ЭТАЖ НЕ ОПРЕДЕЛЕН. ПРИНЯТ ПО ДОПУЩЕНИЮ 1",VLOOKUP(C2456,'Справочник соответствий'!A$2:D$2981,3,FALSE)))</f>
        <v>ЭТАЖ ЗАДАН ЧИСЛОМ</v>
      </c>
      <c r="M2456" s="13" t="b">
        <f t="shared" si="267"/>
        <v>0</v>
      </c>
      <c r="N2456" s="13">
        <f t="shared" si="268"/>
        <v>2</v>
      </c>
      <c r="O2456" s="13" t="str">
        <f t="shared" si="269"/>
        <v>ЭТАЖ ЗАДАН ЧИСЛОМ</v>
      </c>
      <c r="P2456" s="13" t="str">
        <f t="shared" si="270"/>
        <v>ЭТАЖ ЗАДАН ЧИСЛОМ</v>
      </c>
      <c r="Q2456" s="13" t="str">
        <f t="shared" si="271"/>
        <v>ГОТОВ_ИЗМЕНЕН</v>
      </c>
      <c r="R2456" s="13">
        <f>IFERROR(VLOOKUP(P2456,Лист1!A$1:B$20,2,FALSE),0)</f>
        <v>784</v>
      </c>
      <c r="S2456" s="13">
        <f t="shared" si="272"/>
        <v>0</v>
      </c>
    </row>
    <row r="2457" spans="1:19" x14ac:dyDescent="0.25">
      <c r="A2457" s="24" t="s">
        <v>3586</v>
      </c>
      <c r="B2457" s="4" t="s">
        <v>1063</v>
      </c>
      <c r="C2457" s="25" t="s">
        <v>5</v>
      </c>
      <c r="G2457" s="25" t="s">
        <v>1089</v>
      </c>
      <c r="H2457" s="24" t="s">
        <v>1061</v>
      </c>
      <c r="I2457" s="3" t="str">
        <f>IFERROR(VLOOKUP(C2457,'Справочник соответствий'!A$2:D$2981,2,FALSE),IF(VALUE(C2457)=0,1,VLOOKUP(C2457,'Справочник соответствий'!A$2:D$2981,2,FALSE)))</f>
        <v>1</v>
      </c>
      <c r="J2457" s="3">
        <f>IFERROR(VLOOKUP(D2457,'Справочник соответствий'!A$2:D$2981,2,FALSE),IF(VALUE(D2457)=0,0,VLOOKUP(D2457,'Справочник соответствий'!A$2:D$2981,2,FALSE)))</f>
        <v>0</v>
      </c>
      <c r="K2457" s="3" t="str">
        <f t="shared" si="266"/>
        <v>1</v>
      </c>
      <c r="L2457" s="13" t="str">
        <f>IFERROR(VLOOKUP(C2457,'Справочник соответствий'!A$2:D$2981,3,FALSE),IF(VALUE(C2457)=0,"ЭТАЖ НЕ ОПРЕДЕЛЕН. ПРИНЯТ ПО ДОПУЩЕНИЮ 1",VLOOKUP(C2457,'Справочник соответствий'!A$2:D$2981,3,FALSE)))</f>
        <v>ЭТАЖ ЗАДАН ЧИСЛОМ</v>
      </c>
      <c r="M2457" s="13" t="b">
        <f t="shared" si="267"/>
        <v>0</v>
      </c>
      <c r="N2457" s="13">
        <f t="shared" si="268"/>
        <v>1</v>
      </c>
      <c r="O2457" s="13" t="str">
        <f t="shared" si="269"/>
        <v>ЭТАЖ ЗАДАН ЧИСЛОМ</v>
      </c>
      <c r="P2457" s="13" t="str">
        <f t="shared" si="270"/>
        <v>ЭТАЖ ЗАДАН ЧИСЛОМ</v>
      </c>
      <c r="Q2457" s="13" t="str">
        <f t="shared" si="271"/>
        <v>ГОТОВ_ИЗМЕНЕН</v>
      </c>
      <c r="R2457" s="13">
        <f>IFERROR(VLOOKUP(P2457,Лист1!A$1:B$20,2,FALSE),0)</f>
        <v>784</v>
      </c>
      <c r="S2457" s="13">
        <f t="shared" si="272"/>
        <v>0</v>
      </c>
    </row>
    <row r="2458" spans="1:19" x14ac:dyDescent="0.25">
      <c r="A2458" s="24" t="s">
        <v>3587</v>
      </c>
      <c r="B2458" s="4" t="s">
        <v>1059</v>
      </c>
      <c r="C2458" s="25" t="s">
        <v>5</v>
      </c>
      <c r="G2458" s="25" t="s">
        <v>1089</v>
      </c>
      <c r="H2458" s="24" t="s">
        <v>1061</v>
      </c>
      <c r="I2458" s="3" t="str">
        <f>IFERROR(VLOOKUP(C2458,'Справочник соответствий'!A$2:D$2981,2,FALSE),IF(VALUE(C2458)=0,1,VLOOKUP(C2458,'Справочник соответствий'!A$2:D$2981,2,FALSE)))</f>
        <v>1</v>
      </c>
      <c r="J2458" s="3">
        <f>IFERROR(VLOOKUP(D2458,'Справочник соответствий'!A$2:D$2981,2,FALSE),IF(VALUE(D2458)=0,0,VLOOKUP(D2458,'Справочник соответствий'!A$2:D$2981,2,FALSE)))</f>
        <v>0</v>
      </c>
      <c r="K2458" s="3" t="str">
        <f t="shared" si="266"/>
        <v>1</v>
      </c>
      <c r="L2458" s="13" t="str">
        <f>IFERROR(VLOOKUP(C2458,'Справочник соответствий'!A$2:D$2981,3,FALSE),IF(VALUE(C2458)=0,"ЭТАЖ НЕ ОПРЕДЕЛЕН. ПРИНЯТ ПО ДОПУЩЕНИЮ 1",VLOOKUP(C2458,'Справочник соответствий'!A$2:D$2981,3,FALSE)))</f>
        <v>ЭТАЖ ЗАДАН ЧИСЛОМ</v>
      </c>
      <c r="M2458" s="13" t="b">
        <f t="shared" si="267"/>
        <v>0</v>
      </c>
      <c r="N2458" s="13">
        <f t="shared" si="268"/>
        <v>1</v>
      </c>
      <c r="O2458" s="13" t="str">
        <f t="shared" si="269"/>
        <v>ЭТАЖ ЗАДАН ЧИСЛОМ</v>
      </c>
      <c r="P2458" s="13" t="str">
        <f t="shared" si="270"/>
        <v>ЭТАЖ ЗАДАН ЧИСЛОМ</v>
      </c>
      <c r="Q2458" s="13" t="str">
        <f t="shared" si="271"/>
        <v>ГОТОВ_ИЗМЕНЕН</v>
      </c>
      <c r="R2458" s="13">
        <f>IFERROR(VLOOKUP(P2458,Лист1!A$1:B$20,2,FALSE),0)</f>
        <v>784</v>
      </c>
      <c r="S2458" s="13">
        <f t="shared" si="272"/>
        <v>0</v>
      </c>
    </row>
    <row r="2459" spans="1:19" x14ac:dyDescent="0.25">
      <c r="A2459" s="24" t="s">
        <v>3588</v>
      </c>
      <c r="B2459" s="4" t="s">
        <v>1059</v>
      </c>
      <c r="C2459" s="25" t="s">
        <v>5</v>
      </c>
      <c r="G2459" s="25" t="s">
        <v>1117</v>
      </c>
      <c r="H2459" s="24" t="s">
        <v>1061</v>
      </c>
      <c r="I2459" s="3" t="str">
        <f>IFERROR(VLOOKUP(C2459,'Справочник соответствий'!A$2:D$2981,2,FALSE),IF(VALUE(C2459)=0,1,VLOOKUP(C2459,'Справочник соответствий'!A$2:D$2981,2,FALSE)))</f>
        <v>1</v>
      </c>
      <c r="J2459" s="3">
        <f>IFERROR(VLOOKUP(D2459,'Справочник соответствий'!A$2:D$2981,2,FALSE),IF(VALUE(D2459)=0,0,VLOOKUP(D2459,'Справочник соответствий'!A$2:D$2981,2,FALSE)))</f>
        <v>0</v>
      </c>
      <c r="K2459" s="3" t="str">
        <f t="shared" si="266"/>
        <v>1</v>
      </c>
      <c r="L2459" s="13" t="str">
        <f>IFERROR(VLOOKUP(C2459,'Справочник соответствий'!A$2:D$2981,3,FALSE),IF(VALUE(C2459)=0,"ЭТАЖ НЕ ОПРЕДЕЛЕН. ПРИНЯТ ПО ДОПУЩЕНИЮ 1",VLOOKUP(C2459,'Справочник соответствий'!A$2:D$2981,3,FALSE)))</f>
        <v>ЭТАЖ ЗАДАН ЧИСЛОМ</v>
      </c>
      <c r="M2459" s="13" t="b">
        <f t="shared" si="267"/>
        <v>0</v>
      </c>
      <c r="N2459" s="13">
        <f t="shared" si="268"/>
        <v>1</v>
      </c>
      <c r="O2459" s="13" t="str">
        <f t="shared" si="269"/>
        <v>ЭТАЖ ЗАДАН ЧИСЛОМ</v>
      </c>
      <c r="P2459" s="13" t="str">
        <f t="shared" si="270"/>
        <v>ЭТАЖ ЗАДАН ЧИСЛОМ</v>
      </c>
      <c r="Q2459" s="13" t="str">
        <f t="shared" si="271"/>
        <v>ГОТОВ_ИЗМЕНЕН</v>
      </c>
      <c r="R2459" s="13">
        <f>IFERROR(VLOOKUP(P2459,Лист1!A$1:B$20,2,FALSE),0)</f>
        <v>784</v>
      </c>
      <c r="S2459" s="13">
        <f t="shared" si="272"/>
        <v>0</v>
      </c>
    </row>
    <row r="2460" spans="1:19" x14ac:dyDescent="0.25">
      <c r="A2460" s="24" t="s">
        <v>3589</v>
      </c>
      <c r="B2460" s="4" t="s">
        <v>1059</v>
      </c>
      <c r="C2460" s="25" t="s">
        <v>8</v>
      </c>
      <c r="G2460" s="25" t="s">
        <v>1698</v>
      </c>
      <c r="H2460" s="24" t="s">
        <v>1061</v>
      </c>
      <c r="I2460" s="3" t="str">
        <f>IFERROR(VLOOKUP(C2460,'Справочник соответствий'!A$2:D$2981,2,FALSE),IF(VALUE(C2460)=0,1,VLOOKUP(C2460,'Справочник соответствий'!A$2:D$2981,2,FALSE)))</f>
        <v>3</v>
      </c>
      <c r="J2460" s="3">
        <f>IFERROR(VLOOKUP(D2460,'Справочник соответствий'!A$2:D$2981,2,FALSE),IF(VALUE(D2460)=0,0,VLOOKUP(D2460,'Справочник соответствий'!A$2:D$2981,2,FALSE)))</f>
        <v>0</v>
      </c>
      <c r="K2460" s="3" t="str">
        <f t="shared" si="266"/>
        <v>3</v>
      </c>
      <c r="L2460" s="13" t="str">
        <f>IFERROR(VLOOKUP(C2460,'Справочник соответствий'!A$2:D$2981,3,FALSE),IF(VALUE(C2460)=0,"ЭТАЖ НЕ ОПРЕДЕЛЕН. ПРИНЯТ ПО ДОПУЩЕНИЮ 1",VLOOKUP(C2460,'Справочник соответствий'!A$2:D$2981,3,FALSE)))</f>
        <v>ЭТАЖ ЗАДАН ЧИСЛОМ</v>
      </c>
      <c r="M2460" s="13" t="b">
        <f t="shared" si="267"/>
        <v>0</v>
      </c>
      <c r="N2460" s="13">
        <f t="shared" si="268"/>
        <v>3</v>
      </c>
      <c r="O2460" s="13" t="str">
        <f t="shared" si="269"/>
        <v>ЭТАЖ ЗАДАН ЧИСЛОМ</v>
      </c>
      <c r="P2460" s="13" t="str">
        <f t="shared" si="270"/>
        <v>ЭТАЖ ЗАДАН ЧИСЛОМ</v>
      </c>
      <c r="Q2460" s="13" t="str">
        <f t="shared" si="271"/>
        <v>ГОТОВ_ИЗМЕНЕН</v>
      </c>
      <c r="R2460" s="13">
        <f>IFERROR(VLOOKUP(P2460,Лист1!A$1:B$20,2,FALSE),0)</f>
        <v>784</v>
      </c>
      <c r="S2460" s="13">
        <f t="shared" si="272"/>
        <v>0</v>
      </c>
    </row>
    <row r="2461" spans="1:19" x14ac:dyDescent="0.25">
      <c r="A2461" s="24" t="s">
        <v>3590</v>
      </c>
      <c r="B2461" s="4" t="s">
        <v>1059</v>
      </c>
      <c r="C2461" s="25" t="s">
        <v>5</v>
      </c>
      <c r="G2461" s="25" t="s">
        <v>1698</v>
      </c>
      <c r="H2461" s="24" t="s">
        <v>1061</v>
      </c>
      <c r="I2461" s="3" t="str">
        <f>IFERROR(VLOOKUP(C2461,'Справочник соответствий'!A$2:D$2981,2,FALSE),IF(VALUE(C2461)=0,1,VLOOKUP(C2461,'Справочник соответствий'!A$2:D$2981,2,FALSE)))</f>
        <v>1</v>
      </c>
      <c r="J2461" s="3">
        <f>IFERROR(VLOOKUP(D2461,'Справочник соответствий'!A$2:D$2981,2,FALSE),IF(VALUE(D2461)=0,0,VLOOKUP(D2461,'Справочник соответствий'!A$2:D$2981,2,FALSE)))</f>
        <v>0</v>
      </c>
      <c r="K2461" s="3" t="str">
        <f t="shared" si="266"/>
        <v>1</v>
      </c>
      <c r="L2461" s="13" t="str">
        <f>IFERROR(VLOOKUP(C2461,'Справочник соответствий'!A$2:D$2981,3,FALSE),IF(VALUE(C2461)=0,"ЭТАЖ НЕ ОПРЕДЕЛЕН. ПРИНЯТ ПО ДОПУЩЕНИЮ 1",VLOOKUP(C2461,'Справочник соответствий'!A$2:D$2981,3,FALSE)))</f>
        <v>ЭТАЖ ЗАДАН ЧИСЛОМ</v>
      </c>
      <c r="M2461" s="13" t="b">
        <f t="shared" si="267"/>
        <v>0</v>
      </c>
      <c r="N2461" s="13">
        <f t="shared" si="268"/>
        <v>1</v>
      </c>
      <c r="O2461" s="13" t="str">
        <f t="shared" si="269"/>
        <v>ЭТАЖ ЗАДАН ЧИСЛОМ</v>
      </c>
      <c r="P2461" s="13" t="str">
        <f t="shared" si="270"/>
        <v>ЭТАЖ ЗАДАН ЧИСЛОМ</v>
      </c>
      <c r="Q2461" s="13" t="str">
        <f t="shared" si="271"/>
        <v>ГОТОВ_ИЗМЕНЕН</v>
      </c>
      <c r="R2461" s="13">
        <f>IFERROR(VLOOKUP(P2461,Лист1!A$1:B$20,2,FALSE),0)</f>
        <v>784</v>
      </c>
      <c r="S2461" s="13">
        <f t="shared" si="272"/>
        <v>0</v>
      </c>
    </row>
    <row r="2462" spans="1:19" x14ac:dyDescent="0.25">
      <c r="A2462" s="24" t="s">
        <v>3591</v>
      </c>
      <c r="B2462" s="4" t="s">
        <v>1059</v>
      </c>
      <c r="C2462" s="25" t="s">
        <v>8</v>
      </c>
      <c r="D2462" s="25" t="s">
        <v>5</v>
      </c>
      <c r="G2462" s="25" t="s">
        <v>1698</v>
      </c>
      <c r="H2462" s="24" t="s">
        <v>1061</v>
      </c>
      <c r="I2462" s="3" t="str">
        <f>IFERROR(VLOOKUP(C2462,'Справочник соответствий'!A$2:D$2981,2,FALSE),IF(VALUE(C2462)=0,1,VLOOKUP(C2462,'Справочник соответствий'!A$2:D$2981,2,FALSE)))</f>
        <v>3</v>
      </c>
      <c r="J2462" s="3" t="str">
        <f>IFERROR(VLOOKUP(D2462,'Справочник соответствий'!A$2:D$2981,2,FALSE),IF(VALUE(D2462)=0,0,VLOOKUP(D2462,'Справочник соответствий'!A$2:D$2981,2,FALSE)))</f>
        <v>1</v>
      </c>
      <c r="K2462" s="3" t="str">
        <f t="shared" si="266"/>
        <v>3</v>
      </c>
      <c r="L2462" s="13" t="str">
        <f>IFERROR(VLOOKUP(C2462,'Справочник соответствий'!A$2:D$2981,3,FALSE),IF(VALUE(C2462)=0,"ЭТАЖ НЕ ОПРЕДЕЛЕН. ПРИНЯТ ПО ДОПУЩЕНИЮ 1",VLOOKUP(C2462,'Справочник соответствий'!A$2:D$2981,3,FALSE)))</f>
        <v>ЭТАЖ ЗАДАН ЧИСЛОМ</v>
      </c>
      <c r="M2462" s="13" t="b">
        <f t="shared" si="267"/>
        <v>0</v>
      </c>
      <c r="N2462" s="13">
        <f t="shared" si="268"/>
        <v>3</v>
      </c>
      <c r="O2462" s="13" t="str">
        <f t="shared" si="269"/>
        <v>ЭТАЖ ЗАДАН ЧИСЛОМ</v>
      </c>
      <c r="P2462" s="13" t="str">
        <f t="shared" si="270"/>
        <v>ЭТАЖ ЗАДАН ЧИСЛОМ</v>
      </c>
      <c r="Q2462" s="13" t="str">
        <f t="shared" si="271"/>
        <v>ГОТОВ_ИЗМЕНЕН</v>
      </c>
      <c r="R2462" s="13">
        <f>IFERROR(VLOOKUP(P2462,Лист1!A$1:B$20,2,FALSE),0)</f>
        <v>784</v>
      </c>
      <c r="S2462" s="13">
        <f t="shared" si="272"/>
        <v>0</v>
      </c>
    </row>
    <row r="2463" spans="1:19" x14ac:dyDescent="0.25">
      <c r="A2463" s="24" t="s">
        <v>3592</v>
      </c>
      <c r="B2463" s="4" t="s">
        <v>1063</v>
      </c>
      <c r="G2463" s="25" t="s">
        <v>1698</v>
      </c>
      <c r="H2463" s="24" t="s">
        <v>1061</v>
      </c>
      <c r="I2463" s="3">
        <f>IFERROR(VLOOKUP(C2463,'Справочник соответствий'!A$2:D$2981,2,FALSE),IF(VALUE(C2463)=0,1,VLOOKUP(C2463,'Справочник соответствий'!A$2:D$2981,2,FALSE)))</f>
        <v>1</v>
      </c>
      <c r="J2463" s="3">
        <f>IFERROR(VLOOKUP(D2463,'Справочник соответствий'!A$2:D$2981,2,FALSE),IF(VALUE(D2463)=0,0,VLOOKUP(D2463,'Справочник соответствий'!A$2:D$2981,2,FALSE)))</f>
        <v>0</v>
      </c>
      <c r="K2463" s="3">
        <f t="shared" si="266"/>
        <v>1</v>
      </c>
      <c r="L2463" s="13" t="str">
        <f>IFERROR(VLOOKUP(C2463,'Справочник соответствий'!A$2:D$2981,3,FALSE),IF(VALUE(C2463)=0,"ЭТАЖ НЕ ОПРЕДЕЛЕН. ПРИНЯТ ПО ДОПУЩЕНИЮ 1",VLOOKUP(C2463,'Справочник соответствий'!A$2:D$2981,3,FALSE)))</f>
        <v>ЭТАЖ НЕ ОПРЕДЕЛЕН. ПРИНЯТ ПО ДОПУЩЕНИЮ 1</v>
      </c>
      <c r="M2463" s="13" t="b">
        <f t="shared" si="267"/>
        <v>0</v>
      </c>
      <c r="N2463" s="13">
        <f t="shared" si="268"/>
        <v>1</v>
      </c>
      <c r="O2463" s="13" t="str">
        <f t="shared" si="269"/>
        <v>ЭТАЖ НЕ ОПРЕДЕЛЕН. ПРИНЯТ ПО ДОПУЩЕНИЮ 1</v>
      </c>
      <c r="P2463" s="13" t="str">
        <f t="shared" si="270"/>
        <v>ЭТАЖ НЕ ОПРЕДЕЛЕН. ПРИНЯТ ПО ДОПУЩЕНИЮ 1</v>
      </c>
      <c r="Q2463" s="13" t="str">
        <f t="shared" si="271"/>
        <v>ГОТОВ_ИЗМЕНЕН</v>
      </c>
      <c r="R2463" s="13">
        <f>IFERROR(VLOOKUP(P2463,Лист1!A$1:B$20,2,FALSE),0)</f>
        <v>788</v>
      </c>
      <c r="S2463" s="13">
        <f t="shared" si="272"/>
        <v>0</v>
      </c>
    </row>
    <row r="2464" spans="1:19" x14ac:dyDescent="0.25">
      <c r="A2464" s="24" t="s">
        <v>3593</v>
      </c>
      <c r="B2464" s="4" t="s">
        <v>1059</v>
      </c>
      <c r="C2464" s="25" t="s">
        <v>7</v>
      </c>
      <c r="G2464" s="25" t="s">
        <v>1698</v>
      </c>
      <c r="H2464" s="24" t="s">
        <v>1061</v>
      </c>
      <c r="I2464" s="3" t="str">
        <f>IFERROR(VLOOKUP(C2464,'Справочник соответствий'!A$2:D$2981,2,FALSE),IF(VALUE(C2464)=0,1,VLOOKUP(C2464,'Справочник соответствий'!A$2:D$2981,2,FALSE)))</f>
        <v>2</v>
      </c>
      <c r="J2464" s="3">
        <f>IFERROR(VLOOKUP(D2464,'Справочник соответствий'!A$2:D$2981,2,FALSE),IF(VALUE(D2464)=0,0,VLOOKUP(D2464,'Справочник соответствий'!A$2:D$2981,2,FALSE)))</f>
        <v>0</v>
      </c>
      <c r="K2464" s="3" t="str">
        <f t="shared" si="266"/>
        <v>2</v>
      </c>
      <c r="L2464" s="13" t="str">
        <f>IFERROR(VLOOKUP(C2464,'Справочник соответствий'!A$2:D$2981,3,FALSE),IF(VALUE(C2464)=0,"ЭТАЖ НЕ ОПРЕДЕЛЕН. ПРИНЯТ ПО ДОПУЩЕНИЮ 1",VLOOKUP(C2464,'Справочник соответствий'!A$2:D$2981,3,FALSE)))</f>
        <v>ЭТАЖ ЗАДАН ЧИСЛОМ</v>
      </c>
      <c r="M2464" s="13" t="b">
        <f t="shared" si="267"/>
        <v>0</v>
      </c>
      <c r="N2464" s="13">
        <f t="shared" si="268"/>
        <v>2</v>
      </c>
      <c r="O2464" s="13" t="str">
        <f t="shared" si="269"/>
        <v>ЭТАЖ ЗАДАН ЧИСЛОМ</v>
      </c>
      <c r="P2464" s="13" t="str">
        <f t="shared" si="270"/>
        <v>ЭТАЖ ЗАДАН ЧИСЛОМ</v>
      </c>
      <c r="Q2464" s="13" t="str">
        <f t="shared" si="271"/>
        <v>ГОТОВ_ИЗМЕНЕН</v>
      </c>
      <c r="R2464" s="13">
        <f>IFERROR(VLOOKUP(P2464,Лист1!A$1:B$20,2,FALSE),0)</f>
        <v>784</v>
      </c>
      <c r="S2464" s="13">
        <f t="shared" si="272"/>
        <v>0</v>
      </c>
    </row>
    <row r="2465" spans="1:19" x14ac:dyDescent="0.25">
      <c r="A2465" s="24" t="s">
        <v>3594</v>
      </c>
      <c r="B2465" s="4" t="s">
        <v>1059</v>
      </c>
      <c r="C2465" s="25" t="s">
        <v>5</v>
      </c>
      <c r="G2465" s="25" t="s">
        <v>1698</v>
      </c>
      <c r="H2465" s="24" t="s">
        <v>1061</v>
      </c>
      <c r="I2465" s="3" t="str">
        <f>IFERROR(VLOOKUP(C2465,'Справочник соответствий'!A$2:D$2981,2,FALSE),IF(VALUE(C2465)=0,1,VLOOKUP(C2465,'Справочник соответствий'!A$2:D$2981,2,FALSE)))</f>
        <v>1</v>
      </c>
      <c r="J2465" s="3">
        <f>IFERROR(VLOOKUP(D2465,'Справочник соответствий'!A$2:D$2981,2,FALSE),IF(VALUE(D2465)=0,0,VLOOKUP(D2465,'Справочник соответствий'!A$2:D$2981,2,FALSE)))</f>
        <v>0</v>
      </c>
      <c r="K2465" s="3" t="str">
        <f t="shared" si="266"/>
        <v>1</v>
      </c>
      <c r="L2465" s="13" t="str">
        <f>IFERROR(VLOOKUP(C2465,'Справочник соответствий'!A$2:D$2981,3,FALSE),IF(VALUE(C2465)=0,"ЭТАЖ НЕ ОПРЕДЕЛЕН. ПРИНЯТ ПО ДОПУЩЕНИЮ 1",VLOOKUP(C2465,'Справочник соответствий'!A$2:D$2981,3,FALSE)))</f>
        <v>ЭТАЖ ЗАДАН ЧИСЛОМ</v>
      </c>
      <c r="M2465" s="13" t="b">
        <f t="shared" si="267"/>
        <v>0</v>
      </c>
      <c r="N2465" s="13">
        <f t="shared" si="268"/>
        <v>1</v>
      </c>
      <c r="O2465" s="13" t="str">
        <f t="shared" si="269"/>
        <v>ЭТАЖ ЗАДАН ЧИСЛОМ</v>
      </c>
      <c r="P2465" s="13" t="str">
        <f t="shared" si="270"/>
        <v>ЭТАЖ ЗАДАН ЧИСЛОМ</v>
      </c>
      <c r="Q2465" s="13" t="str">
        <f t="shared" si="271"/>
        <v>ГОТОВ_ИЗМЕНЕН</v>
      </c>
      <c r="R2465" s="13">
        <f>IFERROR(VLOOKUP(P2465,Лист1!A$1:B$20,2,FALSE),0)</f>
        <v>784</v>
      </c>
      <c r="S2465" s="13">
        <f t="shared" si="272"/>
        <v>0</v>
      </c>
    </row>
    <row r="2466" spans="1:19" x14ac:dyDescent="0.25">
      <c r="A2466" s="24" t="s">
        <v>3595</v>
      </c>
      <c r="B2466" s="4" t="s">
        <v>1059</v>
      </c>
      <c r="C2466" s="25" t="s">
        <v>5</v>
      </c>
      <c r="G2466" s="25" t="s">
        <v>1391</v>
      </c>
      <c r="H2466" s="24" t="s">
        <v>1061</v>
      </c>
      <c r="I2466" s="3" t="str">
        <f>IFERROR(VLOOKUP(C2466,'Справочник соответствий'!A$2:D$2981,2,FALSE),IF(VALUE(C2466)=0,1,VLOOKUP(C2466,'Справочник соответствий'!A$2:D$2981,2,FALSE)))</f>
        <v>1</v>
      </c>
      <c r="J2466" s="3">
        <f>IFERROR(VLOOKUP(D2466,'Справочник соответствий'!A$2:D$2981,2,FALSE),IF(VALUE(D2466)=0,0,VLOOKUP(D2466,'Справочник соответствий'!A$2:D$2981,2,FALSE)))</f>
        <v>0</v>
      </c>
      <c r="K2466" s="3" t="str">
        <f t="shared" si="266"/>
        <v>1</v>
      </c>
      <c r="L2466" s="13" t="str">
        <f>IFERROR(VLOOKUP(C2466,'Справочник соответствий'!A$2:D$2981,3,FALSE),IF(VALUE(C2466)=0,"ЭТАЖ НЕ ОПРЕДЕЛЕН. ПРИНЯТ ПО ДОПУЩЕНИЮ 1",VLOOKUP(C2466,'Справочник соответствий'!A$2:D$2981,3,FALSE)))</f>
        <v>ЭТАЖ ЗАДАН ЧИСЛОМ</v>
      </c>
      <c r="M2466" s="13" t="b">
        <f t="shared" si="267"/>
        <v>0</v>
      </c>
      <c r="N2466" s="13">
        <f t="shared" si="268"/>
        <v>1</v>
      </c>
      <c r="O2466" s="13" t="str">
        <f t="shared" si="269"/>
        <v>ЭТАЖ ЗАДАН ЧИСЛОМ</v>
      </c>
      <c r="P2466" s="13" t="str">
        <f t="shared" si="270"/>
        <v>ЭТАЖ ЗАДАН ЧИСЛОМ</v>
      </c>
      <c r="Q2466" s="13" t="str">
        <f t="shared" si="271"/>
        <v>ГОТОВ_ИЗМЕНЕН</v>
      </c>
      <c r="R2466" s="13">
        <f>IFERROR(VLOOKUP(P2466,Лист1!A$1:B$20,2,FALSE),0)</f>
        <v>784</v>
      </c>
      <c r="S2466" s="13">
        <f t="shared" si="272"/>
        <v>0</v>
      </c>
    </row>
    <row r="2467" spans="1:19" x14ac:dyDescent="0.25">
      <c r="A2467" s="24" t="s">
        <v>3596</v>
      </c>
      <c r="B2467" s="4" t="s">
        <v>1063</v>
      </c>
      <c r="G2467" s="25" t="s">
        <v>1391</v>
      </c>
      <c r="H2467" s="24" t="s">
        <v>1061</v>
      </c>
      <c r="I2467" s="3">
        <f>IFERROR(VLOOKUP(C2467,'Справочник соответствий'!A$2:D$2981,2,FALSE),IF(VALUE(C2467)=0,1,VLOOKUP(C2467,'Справочник соответствий'!A$2:D$2981,2,FALSE)))</f>
        <v>1</v>
      </c>
      <c r="J2467" s="3">
        <f>IFERROR(VLOOKUP(D2467,'Справочник соответствий'!A$2:D$2981,2,FALSE),IF(VALUE(D2467)=0,0,VLOOKUP(D2467,'Справочник соответствий'!A$2:D$2981,2,FALSE)))</f>
        <v>0</v>
      </c>
      <c r="K2467" s="3">
        <f t="shared" si="266"/>
        <v>1</v>
      </c>
      <c r="L2467" s="13" t="str">
        <f>IFERROR(VLOOKUP(C2467,'Справочник соответствий'!A$2:D$2981,3,FALSE),IF(VALUE(C2467)=0,"ЭТАЖ НЕ ОПРЕДЕЛЕН. ПРИНЯТ ПО ДОПУЩЕНИЮ 1",VLOOKUP(C2467,'Справочник соответствий'!A$2:D$2981,3,FALSE)))</f>
        <v>ЭТАЖ НЕ ОПРЕДЕЛЕН. ПРИНЯТ ПО ДОПУЩЕНИЮ 1</v>
      </c>
      <c r="M2467" s="13" t="b">
        <f t="shared" si="267"/>
        <v>0</v>
      </c>
      <c r="N2467" s="13">
        <f t="shared" si="268"/>
        <v>1</v>
      </c>
      <c r="O2467" s="13" t="str">
        <f t="shared" si="269"/>
        <v>ЭТАЖ НЕ ОПРЕДЕЛЕН. ПРИНЯТ ПО ДОПУЩЕНИЮ 1</v>
      </c>
      <c r="P2467" s="13" t="str">
        <f t="shared" si="270"/>
        <v>ЭТАЖ НЕ ОПРЕДЕЛЕН. ПРИНЯТ ПО ДОПУЩЕНИЮ 1</v>
      </c>
      <c r="Q2467" s="13" t="str">
        <f t="shared" si="271"/>
        <v>ГОТОВ_ИЗМЕНЕН</v>
      </c>
      <c r="R2467" s="13">
        <f>IFERROR(VLOOKUP(P2467,Лист1!A$1:B$20,2,FALSE),0)</f>
        <v>788</v>
      </c>
      <c r="S2467" s="13">
        <f t="shared" si="272"/>
        <v>0</v>
      </c>
    </row>
    <row r="2468" spans="1:19" x14ac:dyDescent="0.25">
      <c r="A2468" s="24" t="s">
        <v>3597</v>
      </c>
      <c r="B2468" s="4" t="s">
        <v>1063</v>
      </c>
      <c r="C2468" s="25" t="s">
        <v>5</v>
      </c>
      <c r="G2468" s="25" t="s">
        <v>1391</v>
      </c>
      <c r="H2468" s="24" t="s">
        <v>1061</v>
      </c>
      <c r="I2468" s="3" t="str">
        <f>IFERROR(VLOOKUP(C2468,'Справочник соответствий'!A$2:D$2981,2,FALSE),IF(VALUE(C2468)=0,1,VLOOKUP(C2468,'Справочник соответствий'!A$2:D$2981,2,FALSE)))</f>
        <v>1</v>
      </c>
      <c r="J2468" s="3">
        <f>IFERROR(VLOOKUP(D2468,'Справочник соответствий'!A$2:D$2981,2,FALSE),IF(VALUE(D2468)=0,0,VLOOKUP(D2468,'Справочник соответствий'!A$2:D$2981,2,FALSE)))</f>
        <v>0</v>
      </c>
      <c r="K2468" s="3" t="str">
        <f t="shared" si="266"/>
        <v>1</v>
      </c>
      <c r="L2468" s="13" t="str">
        <f>IFERROR(VLOOKUP(C2468,'Справочник соответствий'!A$2:D$2981,3,FALSE),IF(VALUE(C2468)=0,"ЭТАЖ НЕ ОПРЕДЕЛЕН. ПРИНЯТ ПО ДОПУЩЕНИЮ 1",VLOOKUP(C2468,'Справочник соответствий'!A$2:D$2981,3,FALSE)))</f>
        <v>ЭТАЖ ЗАДАН ЧИСЛОМ</v>
      </c>
      <c r="M2468" s="13" t="b">
        <f t="shared" si="267"/>
        <v>0</v>
      </c>
      <c r="N2468" s="13">
        <f t="shared" si="268"/>
        <v>1</v>
      </c>
      <c r="O2468" s="13" t="str">
        <f t="shared" si="269"/>
        <v>ЭТАЖ ЗАДАН ЧИСЛОМ</v>
      </c>
      <c r="P2468" s="13" t="str">
        <f t="shared" si="270"/>
        <v>ЭТАЖ ЗАДАН ЧИСЛОМ</v>
      </c>
      <c r="Q2468" s="13" t="str">
        <f t="shared" si="271"/>
        <v>ГОТОВ_ИЗМЕНЕН</v>
      </c>
      <c r="R2468" s="13">
        <f>IFERROR(VLOOKUP(P2468,Лист1!A$1:B$20,2,FALSE),0)</f>
        <v>784</v>
      </c>
      <c r="S2468" s="13">
        <f t="shared" si="272"/>
        <v>0</v>
      </c>
    </row>
    <row r="2469" spans="1:19" x14ac:dyDescent="0.25">
      <c r="A2469" s="24" t="s">
        <v>3598</v>
      </c>
      <c r="B2469" s="4" t="s">
        <v>1059</v>
      </c>
      <c r="C2469" s="25" t="s">
        <v>5</v>
      </c>
      <c r="G2469" s="25" t="s">
        <v>1347</v>
      </c>
      <c r="H2469" s="24" t="s">
        <v>1061</v>
      </c>
      <c r="I2469" s="3" t="str">
        <f>IFERROR(VLOOKUP(C2469,'Справочник соответствий'!A$2:D$2981,2,FALSE),IF(VALUE(C2469)=0,1,VLOOKUP(C2469,'Справочник соответствий'!A$2:D$2981,2,FALSE)))</f>
        <v>1</v>
      </c>
      <c r="J2469" s="3">
        <f>IFERROR(VLOOKUP(D2469,'Справочник соответствий'!A$2:D$2981,2,FALSE),IF(VALUE(D2469)=0,0,VLOOKUP(D2469,'Справочник соответствий'!A$2:D$2981,2,FALSE)))</f>
        <v>0</v>
      </c>
      <c r="K2469" s="3" t="str">
        <f t="shared" si="266"/>
        <v>1</v>
      </c>
      <c r="L2469" s="13" t="str">
        <f>IFERROR(VLOOKUP(C2469,'Справочник соответствий'!A$2:D$2981,3,FALSE),IF(VALUE(C2469)=0,"ЭТАЖ НЕ ОПРЕДЕЛЕН. ПРИНЯТ ПО ДОПУЩЕНИЮ 1",VLOOKUP(C2469,'Справочник соответствий'!A$2:D$2981,3,FALSE)))</f>
        <v>ЭТАЖ ЗАДАН ЧИСЛОМ</v>
      </c>
      <c r="M2469" s="13" t="b">
        <f t="shared" si="267"/>
        <v>0</v>
      </c>
      <c r="N2469" s="13">
        <f t="shared" si="268"/>
        <v>1</v>
      </c>
      <c r="O2469" s="13" t="str">
        <f t="shared" si="269"/>
        <v>ЭТАЖ ЗАДАН ЧИСЛОМ</v>
      </c>
      <c r="P2469" s="13" t="str">
        <f t="shared" si="270"/>
        <v>ЭТАЖ ЗАДАН ЧИСЛОМ</v>
      </c>
      <c r="Q2469" s="13" t="str">
        <f t="shared" si="271"/>
        <v>ГОТОВ_ИЗМЕНЕН</v>
      </c>
      <c r="R2469" s="13">
        <f>IFERROR(VLOOKUP(P2469,Лист1!A$1:B$20,2,FALSE),0)</f>
        <v>784</v>
      </c>
      <c r="S2469" s="13">
        <f t="shared" si="272"/>
        <v>0</v>
      </c>
    </row>
    <row r="2470" spans="1:19" x14ac:dyDescent="0.25">
      <c r="A2470" s="24" t="s">
        <v>3599</v>
      </c>
      <c r="B2470" s="4" t="s">
        <v>1059</v>
      </c>
      <c r="C2470" s="25" t="s">
        <v>7</v>
      </c>
      <c r="G2470" s="25" t="s">
        <v>1347</v>
      </c>
      <c r="H2470" s="24" t="s">
        <v>1061</v>
      </c>
      <c r="I2470" s="3" t="str">
        <f>IFERROR(VLOOKUP(C2470,'Справочник соответствий'!A$2:D$2981,2,FALSE),IF(VALUE(C2470)=0,1,VLOOKUP(C2470,'Справочник соответствий'!A$2:D$2981,2,FALSE)))</f>
        <v>2</v>
      </c>
      <c r="J2470" s="3">
        <f>IFERROR(VLOOKUP(D2470,'Справочник соответствий'!A$2:D$2981,2,FALSE),IF(VALUE(D2470)=0,0,VLOOKUP(D2470,'Справочник соответствий'!A$2:D$2981,2,FALSE)))</f>
        <v>0</v>
      </c>
      <c r="K2470" s="3" t="str">
        <f t="shared" si="266"/>
        <v>2</v>
      </c>
      <c r="L2470" s="13" t="str">
        <f>IFERROR(VLOOKUP(C2470,'Справочник соответствий'!A$2:D$2981,3,FALSE),IF(VALUE(C2470)=0,"ЭТАЖ НЕ ОПРЕДЕЛЕН. ПРИНЯТ ПО ДОПУЩЕНИЮ 1",VLOOKUP(C2470,'Справочник соответствий'!A$2:D$2981,3,FALSE)))</f>
        <v>ЭТАЖ ЗАДАН ЧИСЛОМ</v>
      </c>
      <c r="M2470" s="13" t="b">
        <f t="shared" si="267"/>
        <v>0</v>
      </c>
      <c r="N2470" s="13">
        <f t="shared" si="268"/>
        <v>2</v>
      </c>
      <c r="O2470" s="13" t="str">
        <f t="shared" si="269"/>
        <v>ЭТАЖ ЗАДАН ЧИСЛОМ</v>
      </c>
      <c r="P2470" s="13" t="str">
        <f t="shared" si="270"/>
        <v>ЭТАЖ ЗАДАН ЧИСЛОМ</v>
      </c>
      <c r="Q2470" s="13" t="str">
        <f t="shared" si="271"/>
        <v>ГОТОВ_ИЗМЕНЕН</v>
      </c>
      <c r="R2470" s="13">
        <f>IFERROR(VLOOKUP(P2470,Лист1!A$1:B$20,2,FALSE),0)</f>
        <v>784</v>
      </c>
      <c r="S2470" s="13">
        <f t="shared" si="272"/>
        <v>0</v>
      </c>
    </row>
    <row r="2471" spans="1:19" x14ac:dyDescent="0.25">
      <c r="A2471" s="24" t="s">
        <v>3600</v>
      </c>
      <c r="B2471" s="4" t="s">
        <v>1059</v>
      </c>
      <c r="C2471" s="25" t="s">
        <v>7</v>
      </c>
      <c r="G2471" s="25" t="s">
        <v>1347</v>
      </c>
      <c r="H2471" s="24" t="s">
        <v>1061</v>
      </c>
      <c r="I2471" s="3" t="str">
        <f>IFERROR(VLOOKUP(C2471,'Справочник соответствий'!A$2:D$2981,2,FALSE),IF(VALUE(C2471)=0,1,VLOOKUP(C2471,'Справочник соответствий'!A$2:D$2981,2,FALSE)))</f>
        <v>2</v>
      </c>
      <c r="J2471" s="3">
        <f>IFERROR(VLOOKUP(D2471,'Справочник соответствий'!A$2:D$2981,2,FALSE),IF(VALUE(D2471)=0,0,VLOOKUP(D2471,'Справочник соответствий'!A$2:D$2981,2,FALSE)))</f>
        <v>0</v>
      </c>
      <c r="K2471" s="3" t="str">
        <f t="shared" si="266"/>
        <v>2</v>
      </c>
      <c r="L2471" s="13" t="str">
        <f>IFERROR(VLOOKUP(C2471,'Справочник соответствий'!A$2:D$2981,3,FALSE),IF(VALUE(C2471)=0,"ЭТАЖ НЕ ОПРЕДЕЛЕН. ПРИНЯТ ПО ДОПУЩЕНИЮ 1",VLOOKUP(C2471,'Справочник соответствий'!A$2:D$2981,3,FALSE)))</f>
        <v>ЭТАЖ ЗАДАН ЧИСЛОМ</v>
      </c>
      <c r="M2471" s="13" t="b">
        <f t="shared" si="267"/>
        <v>0</v>
      </c>
      <c r="N2471" s="13">
        <f t="shared" si="268"/>
        <v>2</v>
      </c>
      <c r="O2471" s="13" t="str">
        <f t="shared" si="269"/>
        <v>ЭТАЖ ЗАДАН ЧИСЛОМ</v>
      </c>
      <c r="P2471" s="13" t="str">
        <f t="shared" si="270"/>
        <v>ЭТАЖ ЗАДАН ЧИСЛОМ</v>
      </c>
      <c r="Q2471" s="13" t="str">
        <f t="shared" si="271"/>
        <v>ГОТОВ_ИЗМЕНЕН</v>
      </c>
      <c r="R2471" s="13">
        <f>IFERROR(VLOOKUP(P2471,Лист1!A$1:B$20,2,FALSE),0)</f>
        <v>784</v>
      </c>
      <c r="S2471" s="13">
        <f t="shared" si="272"/>
        <v>0</v>
      </c>
    </row>
    <row r="2472" spans="1:19" x14ac:dyDescent="0.25">
      <c r="A2472" s="24" t="s">
        <v>3601</v>
      </c>
      <c r="B2472" s="4" t="s">
        <v>1059</v>
      </c>
      <c r="C2472" s="25" t="s">
        <v>7</v>
      </c>
      <c r="G2472" s="25" t="s">
        <v>1347</v>
      </c>
      <c r="H2472" s="24" t="s">
        <v>1061</v>
      </c>
      <c r="I2472" s="3" t="str">
        <f>IFERROR(VLOOKUP(C2472,'Справочник соответствий'!A$2:D$2981,2,FALSE),IF(VALUE(C2472)=0,1,VLOOKUP(C2472,'Справочник соответствий'!A$2:D$2981,2,FALSE)))</f>
        <v>2</v>
      </c>
      <c r="J2472" s="3">
        <f>IFERROR(VLOOKUP(D2472,'Справочник соответствий'!A$2:D$2981,2,FALSE),IF(VALUE(D2472)=0,0,VLOOKUP(D2472,'Справочник соответствий'!A$2:D$2981,2,FALSE)))</f>
        <v>0</v>
      </c>
      <c r="K2472" s="3" t="str">
        <f t="shared" si="266"/>
        <v>2</v>
      </c>
      <c r="L2472" s="13" t="str">
        <f>IFERROR(VLOOKUP(C2472,'Справочник соответствий'!A$2:D$2981,3,FALSE),IF(VALUE(C2472)=0,"ЭТАЖ НЕ ОПРЕДЕЛЕН. ПРИНЯТ ПО ДОПУЩЕНИЮ 1",VLOOKUP(C2472,'Справочник соответствий'!A$2:D$2981,3,FALSE)))</f>
        <v>ЭТАЖ ЗАДАН ЧИСЛОМ</v>
      </c>
      <c r="M2472" s="13" t="b">
        <f t="shared" si="267"/>
        <v>0</v>
      </c>
      <c r="N2472" s="13">
        <f t="shared" si="268"/>
        <v>2</v>
      </c>
      <c r="O2472" s="13" t="str">
        <f t="shared" si="269"/>
        <v>ЭТАЖ ЗАДАН ЧИСЛОМ</v>
      </c>
      <c r="P2472" s="13" t="str">
        <f t="shared" si="270"/>
        <v>ЭТАЖ ЗАДАН ЧИСЛОМ</v>
      </c>
      <c r="Q2472" s="13" t="str">
        <f t="shared" si="271"/>
        <v>ГОТОВ_ИЗМЕНЕН</v>
      </c>
      <c r="R2472" s="13">
        <f>IFERROR(VLOOKUP(P2472,Лист1!A$1:B$20,2,FALSE),0)</f>
        <v>784</v>
      </c>
      <c r="S2472" s="13">
        <f t="shared" si="272"/>
        <v>0</v>
      </c>
    </row>
    <row r="2473" spans="1:19" x14ac:dyDescent="0.25">
      <c r="A2473" s="24" t="s">
        <v>3602</v>
      </c>
      <c r="B2473" s="4" t="s">
        <v>1063</v>
      </c>
      <c r="G2473" s="25" t="s">
        <v>1347</v>
      </c>
      <c r="H2473" s="24" t="s">
        <v>1061</v>
      </c>
      <c r="I2473" s="3">
        <f>IFERROR(VLOOKUP(C2473,'Справочник соответствий'!A$2:D$2981,2,FALSE),IF(VALUE(C2473)=0,1,VLOOKUP(C2473,'Справочник соответствий'!A$2:D$2981,2,FALSE)))</f>
        <v>1</v>
      </c>
      <c r="J2473" s="3">
        <f>IFERROR(VLOOKUP(D2473,'Справочник соответствий'!A$2:D$2981,2,FALSE),IF(VALUE(D2473)=0,0,VLOOKUP(D2473,'Справочник соответствий'!A$2:D$2981,2,FALSE)))</f>
        <v>0</v>
      </c>
      <c r="K2473" s="3">
        <f t="shared" si="266"/>
        <v>1</v>
      </c>
      <c r="L2473" s="13" t="str">
        <f>IFERROR(VLOOKUP(C2473,'Справочник соответствий'!A$2:D$2981,3,FALSE),IF(VALUE(C2473)=0,"ЭТАЖ НЕ ОПРЕДЕЛЕН. ПРИНЯТ ПО ДОПУЩЕНИЮ 1",VLOOKUP(C2473,'Справочник соответствий'!A$2:D$2981,3,FALSE)))</f>
        <v>ЭТАЖ НЕ ОПРЕДЕЛЕН. ПРИНЯТ ПО ДОПУЩЕНИЮ 1</v>
      </c>
      <c r="M2473" s="13" t="b">
        <f t="shared" si="267"/>
        <v>0</v>
      </c>
      <c r="N2473" s="13">
        <f t="shared" si="268"/>
        <v>1</v>
      </c>
      <c r="O2473" s="13" t="str">
        <f t="shared" si="269"/>
        <v>ЭТАЖ НЕ ОПРЕДЕЛЕН. ПРИНЯТ ПО ДОПУЩЕНИЮ 1</v>
      </c>
      <c r="P2473" s="13" t="str">
        <f t="shared" si="270"/>
        <v>ЭТАЖ НЕ ОПРЕДЕЛЕН. ПРИНЯТ ПО ДОПУЩЕНИЮ 1</v>
      </c>
      <c r="Q2473" s="13" t="str">
        <f t="shared" si="271"/>
        <v>ГОТОВ_ИЗМЕНЕН</v>
      </c>
      <c r="R2473" s="13">
        <f>IFERROR(VLOOKUP(P2473,Лист1!A$1:B$20,2,FALSE),0)</f>
        <v>788</v>
      </c>
      <c r="S2473" s="13">
        <f t="shared" si="272"/>
        <v>0</v>
      </c>
    </row>
    <row r="2474" spans="1:19" x14ac:dyDescent="0.25">
      <c r="A2474" s="24" t="s">
        <v>3603</v>
      </c>
      <c r="B2474" s="4" t="s">
        <v>1059</v>
      </c>
      <c r="C2474" s="25" t="s">
        <v>7</v>
      </c>
      <c r="G2474" s="25" t="s">
        <v>1347</v>
      </c>
      <c r="H2474" s="24" t="s">
        <v>1061</v>
      </c>
      <c r="I2474" s="3" t="str">
        <f>IFERROR(VLOOKUP(C2474,'Справочник соответствий'!A$2:D$2981,2,FALSE),IF(VALUE(C2474)=0,1,VLOOKUP(C2474,'Справочник соответствий'!A$2:D$2981,2,FALSE)))</f>
        <v>2</v>
      </c>
      <c r="J2474" s="3">
        <f>IFERROR(VLOOKUP(D2474,'Справочник соответствий'!A$2:D$2981,2,FALSE),IF(VALUE(D2474)=0,0,VLOOKUP(D2474,'Справочник соответствий'!A$2:D$2981,2,FALSE)))</f>
        <v>0</v>
      </c>
      <c r="K2474" s="3" t="str">
        <f t="shared" si="266"/>
        <v>2</v>
      </c>
      <c r="L2474" s="13" t="str">
        <f>IFERROR(VLOOKUP(C2474,'Справочник соответствий'!A$2:D$2981,3,FALSE),IF(VALUE(C2474)=0,"ЭТАЖ НЕ ОПРЕДЕЛЕН. ПРИНЯТ ПО ДОПУЩЕНИЮ 1",VLOOKUP(C2474,'Справочник соответствий'!A$2:D$2981,3,FALSE)))</f>
        <v>ЭТАЖ ЗАДАН ЧИСЛОМ</v>
      </c>
      <c r="M2474" s="13" t="b">
        <f t="shared" si="267"/>
        <v>0</v>
      </c>
      <c r="N2474" s="13">
        <f t="shared" si="268"/>
        <v>2</v>
      </c>
      <c r="O2474" s="13" t="str">
        <f t="shared" si="269"/>
        <v>ЭТАЖ ЗАДАН ЧИСЛОМ</v>
      </c>
      <c r="P2474" s="13" t="str">
        <f t="shared" si="270"/>
        <v>ЭТАЖ ЗАДАН ЧИСЛОМ</v>
      </c>
      <c r="Q2474" s="13" t="str">
        <f t="shared" si="271"/>
        <v>ГОТОВ_ИЗМЕНЕН</v>
      </c>
      <c r="R2474" s="13">
        <f>IFERROR(VLOOKUP(P2474,Лист1!A$1:B$20,2,FALSE),0)</f>
        <v>784</v>
      </c>
      <c r="S2474" s="13">
        <f t="shared" si="272"/>
        <v>0</v>
      </c>
    </row>
    <row r="2475" spans="1:19" x14ac:dyDescent="0.25">
      <c r="A2475" s="24" t="s">
        <v>3604</v>
      </c>
      <c r="B2475" s="4" t="s">
        <v>1059</v>
      </c>
      <c r="C2475" s="25" t="s">
        <v>7</v>
      </c>
      <c r="G2475" s="25" t="s">
        <v>1347</v>
      </c>
      <c r="H2475" s="24" t="s">
        <v>1061</v>
      </c>
      <c r="I2475" s="3" t="str">
        <f>IFERROR(VLOOKUP(C2475,'Справочник соответствий'!A$2:D$2981,2,FALSE),IF(VALUE(C2475)=0,1,VLOOKUP(C2475,'Справочник соответствий'!A$2:D$2981,2,FALSE)))</f>
        <v>2</v>
      </c>
      <c r="J2475" s="3">
        <f>IFERROR(VLOOKUP(D2475,'Справочник соответствий'!A$2:D$2981,2,FALSE),IF(VALUE(D2475)=0,0,VLOOKUP(D2475,'Справочник соответствий'!A$2:D$2981,2,FALSE)))</f>
        <v>0</v>
      </c>
      <c r="K2475" s="3" t="str">
        <f t="shared" si="266"/>
        <v>2</v>
      </c>
      <c r="L2475" s="13" t="str">
        <f>IFERROR(VLOOKUP(C2475,'Справочник соответствий'!A$2:D$2981,3,FALSE),IF(VALUE(C2475)=0,"ЭТАЖ НЕ ОПРЕДЕЛЕН. ПРИНЯТ ПО ДОПУЩЕНИЮ 1",VLOOKUP(C2475,'Справочник соответствий'!A$2:D$2981,3,FALSE)))</f>
        <v>ЭТАЖ ЗАДАН ЧИСЛОМ</v>
      </c>
      <c r="M2475" s="13" t="b">
        <f t="shared" si="267"/>
        <v>0</v>
      </c>
      <c r="N2475" s="13">
        <f t="shared" si="268"/>
        <v>2</v>
      </c>
      <c r="O2475" s="13" t="str">
        <f t="shared" si="269"/>
        <v>ЭТАЖ ЗАДАН ЧИСЛОМ</v>
      </c>
      <c r="P2475" s="13" t="str">
        <f t="shared" si="270"/>
        <v>ЭТАЖ ЗАДАН ЧИСЛОМ</v>
      </c>
      <c r="Q2475" s="13" t="str">
        <f t="shared" si="271"/>
        <v>ГОТОВ_ИЗМЕНЕН</v>
      </c>
      <c r="R2475" s="13">
        <f>IFERROR(VLOOKUP(P2475,Лист1!A$1:B$20,2,FALSE),0)</f>
        <v>784</v>
      </c>
      <c r="S2475" s="13">
        <f t="shared" si="272"/>
        <v>0</v>
      </c>
    </row>
    <row r="2476" spans="1:19" x14ac:dyDescent="0.25">
      <c r="A2476" s="24" t="s">
        <v>3605</v>
      </c>
      <c r="B2476" s="4" t="s">
        <v>1063</v>
      </c>
      <c r="C2476" s="25" t="s">
        <v>5</v>
      </c>
      <c r="G2476" s="25" t="s">
        <v>1321</v>
      </c>
      <c r="H2476" s="24" t="s">
        <v>1061</v>
      </c>
      <c r="I2476" s="3" t="str">
        <f>IFERROR(VLOOKUP(C2476,'Справочник соответствий'!A$2:D$2981,2,FALSE),IF(VALUE(C2476)=0,1,VLOOKUP(C2476,'Справочник соответствий'!A$2:D$2981,2,FALSE)))</f>
        <v>1</v>
      </c>
      <c r="J2476" s="3">
        <f>IFERROR(VLOOKUP(D2476,'Справочник соответствий'!A$2:D$2981,2,FALSE),IF(VALUE(D2476)=0,0,VLOOKUP(D2476,'Справочник соответствий'!A$2:D$2981,2,FALSE)))</f>
        <v>0</v>
      </c>
      <c r="K2476" s="3" t="str">
        <f t="shared" si="266"/>
        <v>1</v>
      </c>
      <c r="L2476" s="13" t="str">
        <f>IFERROR(VLOOKUP(C2476,'Справочник соответствий'!A$2:D$2981,3,FALSE),IF(VALUE(C2476)=0,"ЭТАЖ НЕ ОПРЕДЕЛЕН. ПРИНЯТ ПО ДОПУЩЕНИЮ 1",VLOOKUP(C2476,'Справочник соответствий'!A$2:D$2981,3,FALSE)))</f>
        <v>ЭТАЖ ЗАДАН ЧИСЛОМ</v>
      </c>
      <c r="M2476" s="13" t="b">
        <f t="shared" si="267"/>
        <v>0</v>
      </c>
      <c r="N2476" s="13">
        <f t="shared" si="268"/>
        <v>1</v>
      </c>
      <c r="O2476" s="13" t="str">
        <f t="shared" si="269"/>
        <v>ЭТАЖ ЗАДАН ЧИСЛОМ</v>
      </c>
      <c r="P2476" s="13" t="str">
        <f t="shared" si="270"/>
        <v>ЭТАЖ ЗАДАН ЧИСЛОМ</v>
      </c>
      <c r="Q2476" s="13" t="str">
        <f t="shared" si="271"/>
        <v>ГОТОВ_ИЗМЕНЕН</v>
      </c>
      <c r="R2476" s="13">
        <f>IFERROR(VLOOKUP(P2476,Лист1!A$1:B$20,2,FALSE),0)</f>
        <v>784</v>
      </c>
      <c r="S2476" s="13">
        <f t="shared" si="272"/>
        <v>0</v>
      </c>
    </row>
    <row r="2477" spans="1:19" x14ac:dyDescent="0.25">
      <c r="A2477" s="24" t="s">
        <v>3606</v>
      </c>
      <c r="B2477" s="4" t="s">
        <v>1059</v>
      </c>
      <c r="C2477" s="25" t="s">
        <v>5</v>
      </c>
      <c r="G2477" s="25" t="s">
        <v>1321</v>
      </c>
      <c r="H2477" s="24" t="s">
        <v>1061</v>
      </c>
      <c r="I2477" s="3" t="str">
        <f>IFERROR(VLOOKUP(C2477,'Справочник соответствий'!A$2:D$2981,2,FALSE),IF(VALUE(C2477)=0,1,VLOOKUP(C2477,'Справочник соответствий'!A$2:D$2981,2,FALSE)))</f>
        <v>1</v>
      </c>
      <c r="J2477" s="3">
        <f>IFERROR(VLOOKUP(D2477,'Справочник соответствий'!A$2:D$2981,2,FALSE),IF(VALUE(D2477)=0,0,VLOOKUP(D2477,'Справочник соответствий'!A$2:D$2981,2,FALSE)))</f>
        <v>0</v>
      </c>
      <c r="K2477" s="3" t="str">
        <f t="shared" si="266"/>
        <v>1</v>
      </c>
      <c r="L2477" s="13" t="str">
        <f>IFERROR(VLOOKUP(C2477,'Справочник соответствий'!A$2:D$2981,3,FALSE),IF(VALUE(C2477)=0,"ЭТАЖ НЕ ОПРЕДЕЛЕН. ПРИНЯТ ПО ДОПУЩЕНИЮ 1",VLOOKUP(C2477,'Справочник соответствий'!A$2:D$2981,3,FALSE)))</f>
        <v>ЭТАЖ ЗАДАН ЧИСЛОМ</v>
      </c>
      <c r="M2477" s="13" t="b">
        <f t="shared" si="267"/>
        <v>0</v>
      </c>
      <c r="N2477" s="13">
        <f t="shared" si="268"/>
        <v>1</v>
      </c>
      <c r="O2477" s="13" t="str">
        <f t="shared" si="269"/>
        <v>ЭТАЖ ЗАДАН ЧИСЛОМ</v>
      </c>
      <c r="P2477" s="13" t="str">
        <f t="shared" si="270"/>
        <v>ЭТАЖ ЗАДАН ЧИСЛОМ</v>
      </c>
      <c r="Q2477" s="13" t="str">
        <f t="shared" si="271"/>
        <v>ГОТОВ_ИЗМЕНЕН</v>
      </c>
      <c r="R2477" s="13">
        <f>IFERROR(VLOOKUP(P2477,Лист1!A$1:B$20,2,FALSE),0)</f>
        <v>784</v>
      </c>
      <c r="S2477" s="13">
        <f t="shared" si="272"/>
        <v>0</v>
      </c>
    </row>
    <row r="2478" spans="1:19" x14ac:dyDescent="0.25">
      <c r="A2478" s="24" t="s">
        <v>3607</v>
      </c>
      <c r="B2478" s="4" t="s">
        <v>1059</v>
      </c>
      <c r="C2478" s="25" t="s">
        <v>5</v>
      </c>
      <c r="G2478" s="25" t="s">
        <v>1321</v>
      </c>
      <c r="H2478" s="24" t="s">
        <v>1061</v>
      </c>
      <c r="I2478" s="3" t="str">
        <f>IFERROR(VLOOKUP(C2478,'Справочник соответствий'!A$2:D$2981,2,FALSE),IF(VALUE(C2478)=0,1,VLOOKUP(C2478,'Справочник соответствий'!A$2:D$2981,2,FALSE)))</f>
        <v>1</v>
      </c>
      <c r="J2478" s="3">
        <f>IFERROR(VLOOKUP(D2478,'Справочник соответствий'!A$2:D$2981,2,FALSE),IF(VALUE(D2478)=0,0,VLOOKUP(D2478,'Справочник соответствий'!A$2:D$2981,2,FALSE)))</f>
        <v>0</v>
      </c>
      <c r="K2478" s="3" t="str">
        <f t="shared" si="266"/>
        <v>1</v>
      </c>
      <c r="L2478" s="13" t="str">
        <f>IFERROR(VLOOKUP(C2478,'Справочник соответствий'!A$2:D$2981,3,FALSE),IF(VALUE(C2478)=0,"ЭТАЖ НЕ ОПРЕДЕЛЕН. ПРИНЯТ ПО ДОПУЩЕНИЮ 1",VLOOKUP(C2478,'Справочник соответствий'!A$2:D$2981,3,FALSE)))</f>
        <v>ЭТАЖ ЗАДАН ЧИСЛОМ</v>
      </c>
      <c r="M2478" s="13" t="b">
        <f t="shared" si="267"/>
        <v>0</v>
      </c>
      <c r="N2478" s="13">
        <f t="shared" si="268"/>
        <v>1</v>
      </c>
      <c r="O2478" s="13" t="str">
        <f t="shared" si="269"/>
        <v>ЭТАЖ ЗАДАН ЧИСЛОМ</v>
      </c>
      <c r="P2478" s="13" t="str">
        <f t="shared" si="270"/>
        <v>ЭТАЖ ЗАДАН ЧИСЛОМ</v>
      </c>
      <c r="Q2478" s="13" t="str">
        <f t="shared" si="271"/>
        <v>ГОТОВ_ИЗМЕНЕН</v>
      </c>
      <c r="R2478" s="13">
        <f>IFERROR(VLOOKUP(P2478,Лист1!A$1:B$20,2,FALSE),0)</f>
        <v>784</v>
      </c>
      <c r="S2478" s="13">
        <f t="shared" si="272"/>
        <v>0</v>
      </c>
    </row>
    <row r="2479" spans="1:19" x14ac:dyDescent="0.25">
      <c r="A2479" s="24" t="s">
        <v>3608</v>
      </c>
      <c r="B2479" s="4" t="s">
        <v>1063</v>
      </c>
      <c r="G2479" s="25" t="s">
        <v>1321</v>
      </c>
      <c r="H2479" s="24" t="s">
        <v>1061</v>
      </c>
      <c r="I2479" s="3">
        <f>IFERROR(VLOOKUP(C2479,'Справочник соответствий'!A$2:D$2981,2,FALSE),IF(VALUE(C2479)=0,1,VLOOKUP(C2479,'Справочник соответствий'!A$2:D$2981,2,FALSE)))</f>
        <v>1</v>
      </c>
      <c r="J2479" s="3">
        <f>IFERROR(VLOOKUP(D2479,'Справочник соответствий'!A$2:D$2981,2,FALSE),IF(VALUE(D2479)=0,0,VLOOKUP(D2479,'Справочник соответствий'!A$2:D$2981,2,FALSE)))</f>
        <v>0</v>
      </c>
      <c r="K2479" s="3">
        <f t="shared" si="266"/>
        <v>1</v>
      </c>
      <c r="L2479" s="13" t="str">
        <f>IFERROR(VLOOKUP(C2479,'Справочник соответствий'!A$2:D$2981,3,FALSE),IF(VALUE(C2479)=0,"ЭТАЖ НЕ ОПРЕДЕЛЕН. ПРИНЯТ ПО ДОПУЩЕНИЮ 1",VLOOKUP(C2479,'Справочник соответствий'!A$2:D$2981,3,FALSE)))</f>
        <v>ЭТАЖ НЕ ОПРЕДЕЛЕН. ПРИНЯТ ПО ДОПУЩЕНИЮ 1</v>
      </c>
      <c r="M2479" s="13" t="b">
        <f t="shared" si="267"/>
        <v>0</v>
      </c>
      <c r="N2479" s="13">
        <f t="shared" si="268"/>
        <v>1</v>
      </c>
      <c r="O2479" s="13" t="str">
        <f t="shared" si="269"/>
        <v>ЭТАЖ НЕ ОПРЕДЕЛЕН. ПРИНЯТ ПО ДОПУЩЕНИЮ 1</v>
      </c>
      <c r="P2479" s="13" t="str">
        <f t="shared" si="270"/>
        <v>ЭТАЖ НЕ ОПРЕДЕЛЕН. ПРИНЯТ ПО ДОПУЩЕНИЮ 1</v>
      </c>
      <c r="Q2479" s="13" t="str">
        <f t="shared" si="271"/>
        <v>ГОТОВ_ИЗМЕНЕН</v>
      </c>
      <c r="R2479" s="13">
        <f>IFERROR(VLOOKUP(P2479,Лист1!A$1:B$20,2,FALSE),0)</f>
        <v>788</v>
      </c>
      <c r="S2479" s="13">
        <f t="shared" si="272"/>
        <v>0</v>
      </c>
    </row>
    <row r="2480" spans="1:19" x14ac:dyDescent="0.25">
      <c r="A2480" s="24" t="s">
        <v>3609</v>
      </c>
      <c r="B2480" s="4" t="s">
        <v>1063</v>
      </c>
      <c r="C2480" s="25" t="s">
        <v>5</v>
      </c>
      <c r="G2480" s="25" t="s">
        <v>1321</v>
      </c>
      <c r="H2480" s="24" t="s">
        <v>1061</v>
      </c>
      <c r="I2480" s="3" t="str">
        <f>IFERROR(VLOOKUP(C2480,'Справочник соответствий'!A$2:D$2981,2,FALSE),IF(VALUE(C2480)=0,1,VLOOKUP(C2480,'Справочник соответствий'!A$2:D$2981,2,FALSE)))</f>
        <v>1</v>
      </c>
      <c r="J2480" s="3">
        <f>IFERROR(VLOOKUP(D2480,'Справочник соответствий'!A$2:D$2981,2,FALSE),IF(VALUE(D2480)=0,0,VLOOKUP(D2480,'Справочник соответствий'!A$2:D$2981,2,FALSE)))</f>
        <v>0</v>
      </c>
      <c r="K2480" s="3" t="str">
        <f t="shared" si="266"/>
        <v>1</v>
      </c>
      <c r="L2480" s="13" t="str">
        <f>IFERROR(VLOOKUP(C2480,'Справочник соответствий'!A$2:D$2981,3,FALSE),IF(VALUE(C2480)=0,"ЭТАЖ НЕ ОПРЕДЕЛЕН. ПРИНЯТ ПО ДОПУЩЕНИЮ 1",VLOOKUP(C2480,'Справочник соответствий'!A$2:D$2981,3,FALSE)))</f>
        <v>ЭТАЖ ЗАДАН ЧИСЛОМ</v>
      </c>
      <c r="M2480" s="13" t="b">
        <f t="shared" si="267"/>
        <v>0</v>
      </c>
      <c r="N2480" s="13">
        <f t="shared" si="268"/>
        <v>1</v>
      </c>
      <c r="O2480" s="13" t="str">
        <f t="shared" si="269"/>
        <v>ЭТАЖ ЗАДАН ЧИСЛОМ</v>
      </c>
      <c r="P2480" s="13" t="str">
        <f t="shared" si="270"/>
        <v>ЭТАЖ ЗАДАН ЧИСЛОМ</v>
      </c>
      <c r="Q2480" s="13" t="str">
        <f t="shared" si="271"/>
        <v>ГОТОВ_ИЗМЕНЕН</v>
      </c>
      <c r="R2480" s="13">
        <f>IFERROR(VLOOKUP(P2480,Лист1!A$1:B$20,2,FALSE),0)</f>
        <v>784</v>
      </c>
      <c r="S2480" s="13">
        <f t="shared" si="272"/>
        <v>0</v>
      </c>
    </row>
    <row r="2481" spans="1:19" x14ac:dyDescent="0.25">
      <c r="A2481" s="24" t="s">
        <v>3610</v>
      </c>
      <c r="B2481" s="4" t="s">
        <v>1059</v>
      </c>
      <c r="C2481" s="25" t="s">
        <v>5</v>
      </c>
      <c r="G2481" s="25" t="s">
        <v>2763</v>
      </c>
      <c r="H2481" s="24" t="s">
        <v>1061</v>
      </c>
      <c r="I2481" s="3" t="str">
        <f>IFERROR(VLOOKUP(C2481,'Справочник соответствий'!A$2:D$2981,2,FALSE),IF(VALUE(C2481)=0,1,VLOOKUP(C2481,'Справочник соответствий'!A$2:D$2981,2,FALSE)))</f>
        <v>1</v>
      </c>
      <c r="J2481" s="3">
        <f>IFERROR(VLOOKUP(D2481,'Справочник соответствий'!A$2:D$2981,2,FALSE),IF(VALUE(D2481)=0,0,VLOOKUP(D2481,'Справочник соответствий'!A$2:D$2981,2,FALSE)))</f>
        <v>0</v>
      </c>
      <c r="K2481" s="3" t="str">
        <f t="shared" si="266"/>
        <v>1</v>
      </c>
      <c r="L2481" s="13" t="str">
        <f>IFERROR(VLOOKUP(C2481,'Справочник соответствий'!A$2:D$2981,3,FALSE),IF(VALUE(C2481)=0,"ЭТАЖ НЕ ОПРЕДЕЛЕН. ПРИНЯТ ПО ДОПУЩЕНИЮ 1",VLOOKUP(C2481,'Справочник соответствий'!A$2:D$2981,3,FALSE)))</f>
        <v>ЭТАЖ ЗАДАН ЧИСЛОМ</v>
      </c>
      <c r="M2481" s="13" t="b">
        <f t="shared" si="267"/>
        <v>0</v>
      </c>
      <c r="N2481" s="13">
        <f t="shared" si="268"/>
        <v>1</v>
      </c>
      <c r="O2481" s="13" t="str">
        <f t="shared" si="269"/>
        <v>ЭТАЖ ЗАДАН ЧИСЛОМ</v>
      </c>
      <c r="P2481" s="13" t="str">
        <f t="shared" si="270"/>
        <v>ЭТАЖ ЗАДАН ЧИСЛОМ</v>
      </c>
      <c r="Q2481" s="13" t="str">
        <f t="shared" si="271"/>
        <v>ГОТОВ_ИЗМЕНЕН</v>
      </c>
      <c r="R2481" s="13">
        <f>IFERROR(VLOOKUP(P2481,Лист1!A$1:B$20,2,FALSE),0)</f>
        <v>784</v>
      </c>
      <c r="S2481" s="13">
        <f t="shared" si="272"/>
        <v>0</v>
      </c>
    </row>
    <row r="2482" spans="1:19" x14ac:dyDescent="0.25">
      <c r="A2482" s="24" t="s">
        <v>3611</v>
      </c>
      <c r="B2482" s="4" t="s">
        <v>1063</v>
      </c>
      <c r="G2482" s="25" t="s">
        <v>2763</v>
      </c>
      <c r="H2482" s="24" t="s">
        <v>1061</v>
      </c>
      <c r="I2482" s="3">
        <f>IFERROR(VLOOKUP(C2482,'Справочник соответствий'!A$2:D$2981,2,FALSE),IF(VALUE(C2482)=0,1,VLOOKUP(C2482,'Справочник соответствий'!A$2:D$2981,2,FALSE)))</f>
        <v>1</v>
      </c>
      <c r="J2482" s="3">
        <f>IFERROR(VLOOKUP(D2482,'Справочник соответствий'!A$2:D$2981,2,FALSE),IF(VALUE(D2482)=0,0,VLOOKUP(D2482,'Справочник соответствий'!A$2:D$2981,2,FALSE)))</f>
        <v>0</v>
      </c>
      <c r="K2482" s="3">
        <f t="shared" si="266"/>
        <v>1</v>
      </c>
      <c r="L2482" s="13" t="str">
        <f>IFERROR(VLOOKUP(C2482,'Справочник соответствий'!A$2:D$2981,3,FALSE),IF(VALUE(C2482)=0,"ЭТАЖ НЕ ОПРЕДЕЛЕН. ПРИНЯТ ПО ДОПУЩЕНИЮ 1",VLOOKUP(C2482,'Справочник соответствий'!A$2:D$2981,3,FALSE)))</f>
        <v>ЭТАЖ НЕ ОПРЕДЕЛЕН. ПРИНЯТ ПО ДОПУЩЕНИЮ 1</v>
      </c>
      <c r="M2482" s="13" t="b">
        <f t="shared" si="267"/>
        <v>0</v>
      </c>
      <c r="N2482" s="13">
        <f t="shared" si="268"/>
        <v>1</v>
      </c>
      <c r="O2482" s="13" t="str">
        <f t="shared" si="269"/>
        <v>ЭТАЖ НЕ ОПРЕДЕЛЕН. ПРИНЯТ ПО ДОПУЩЕНИЮ 1</v>
      </c>
      <c r="P2482" s="13" t="str">
        <f t="shared" si="270"/>
        <v>ЭТАЖ НЕ ОПРЕДЕЛЕН. ПРИНЯТ ПО ДОПУЩЕНИЮ 1</v>
      </c>
      <c r="Q2482" s="13" t="str">
        <f t="shared" si="271"/>
        <v>ГОТОВ_ИЗМЕНЕН</v>
      </c>
      <c r="R2482" s="13">
        <f>IFERROR(VLOOKUP(P2482,Лист1!A$1:B$20,2,FALSE),0)</f>
        <v>788</v>
      </c>
      <c r="S2482" s="13">
        <f t="shared" si="272"/>
        <v>0</v>
      </c>
    </row>
    <row r="2483" spans="1:19" x14ac:dyDescent="0.25">
      <c r="A2483" s="24" t="s">
        <v>3612</v>
      </c>
      <c r="B2483" s="4" t="s">
        <v>1031</v>
      </c>
      <c r="C2483" s="25" t="s">
        <v>5</v>
      </c>
      <c r="E2483" s="3">
        <v>1</v>
      </c>
      <c r="F2483" s="24" t="s">
        <v>1045</v>
      </c>
      <c r="G2483" s="25" t="s">
        <v>1075</v>
      </c>
      <c r="H2483" s="24" t="s">
        <v>1061</v>
      </c>
      <c r="I2483" s="3" t="str">
        <f>IFERROR(VLOOKUP(C2483,'Справочник соответствий'!A$2:D$2981,2,FALSE),IF(VALUE(C2483)=0,1,VLOOKUP(C2483,'Справочник соответствий'!A$2:D$2981,2,FALSE)))</f>
        <v>1</v>
      </c>
      <c r="J2483" s="3">
        <f>IFERROR(VLOOKUP(D2483,'Справочник соответствий'!A$2:D$2981,2,FALSE),IF(VALUE(D2483)=0,0,VLOOKUP(D2483,'Справочник соответствий'!A$2:D$2981,2,FALSE)))</f>
        <v>0</v>
      </c>
      <c r="K2483" s="3">
        <f t="shared" si="266"/>
        <v>1</v>
      </c>
      <c r="L2483" s="13" t="str">
        <f>IFERROR(VLOOKUP(C2483,'Справочник соответствий'!A$2:D$2981,3,FALSE),IF(VALUE(C2483)=0,"ЭТАЖ НЕ ОПРЕДЕЛЕН. ПРИНЯТ ПО ДОПУЩЕНИЮ 1",VLOOKUP(C2483,'Справочник соответствий'!A$2:D$2981,3,FALSE)))</f>
        <v>ЭТАЖ ЗАДАН ЧИСЛОМ</v>
      </c>
      <c r="M2483" s="13" t="b">
        <f t="shared" si="267"/>
        <v>0</v>
      </c>
      <c r="N2483" s="13">
        <f t="shared" si="268"/>
        <v>1</v>
      </c>
      <c r="O2483" s="13" t="str">
        <f t="shared" si="269"/>
        <v>ЭТАЖ ЗАДАН ЧИСЛОМ</v>
      </c>
      <c r="P2483" s="13" t="str">
        <f t="shared" si="270"/>
        <v>МКД_ЭТАЖ ЗАДАН ЧИСЛОМ</v>
      </c>
      <c r="Q2483" s="13" t="str">
        <f t="shared" si="271"/>
        <v>ГОТОВ</v>
      </c>
      <c r="R2483" s="13">
        <f>IFERROR(VLOOKUP(P2483,Лист1!A$1:B$20,2,FALSE),0)</f>
        <v>786</v>
      </c>
      <c r="S2483" s="13">
        <f t="shared" si="272"/>
        <v>1</v>
      </c>
    </row>
    <row r="2484" spans="1:19" x14ac:dyDescent="0.25">
      <c r="A2484" s="24" t="s">
        <v>3613</v>
      </c>
      <c r="B2484" s="4" t="s">
        <v>1063</v>
      </c>
      <c r="C2484" s="25" t="s">
        <v>5</v>
      </c>
      <c r="E2484" s="3">
        <v>1</v>
      </c>
      <c r="F2484" s="24" t="s">
        <v>1045</v>
      </c>
      <c r="G2484" s="25" t="s">
        <v>1083</v>
      </c>
      <c r="H2484" s="24" t="s">
        <v>1061</v>
      </c>
      <c r="I2484" s="3" t="str">
        <f>IFERROR(VLOOKUP(C2484,'Справочник соответствий'!A$2:D$2981,2,FALSE),IF(VALUE(C2484)=0,1,VLOOKUP(C2484,'Справочник соответствий'!A$2:D$2981,2,FALSE)))</f>
        <v>1</v>
      </c>
      <c r="J2484" s="3">
        <f>IFERROR(VLOOKUP(D2484,'Справочник соответствий'!A$2:D$2981,2,FALSE),IF(VALUE(D2484)=0,0,VLOOKUP(D2484,'Справочник соответствий'!A$2:D$2981,2,FALSE)))</f>
        <v>0</v>
      </c>
      <c r="K2484" s="3" t="str">
        <f t="shared" si="266"/>
        <v>1</v>
      </c>
      <c r="L2484" s="13" t="str">
        <f>IFERROR(VLOOKUP(C2484,'Справочник соответствий'!A$2:D$2981,3,FALSE),IF(VALUE(C2484)=0,"ЭТАЖ НЕ ОПРЕДЕЛЕН. ПРИНЯТ ПО ДОПУЩЕНИЮ 1",VLOOKUP(C2484,'Справочник соответствий'!A$2:D$2981,3,FALSE)))</f>
        <v>ЭТАЖ ЗАДАН ЧИСЛОМ</v>
      </c>
      <c r="M2484" s="13" t="b">
        <f t="shared" si="267"/>
        <v>0</v>
      </c>
      <c r="N2484" s="13">
        <f t="shared" si="268"/>
        <v>1</v>
      </c>
      <c r="O2484" s="13" t="str">
        <f t="shared" si="269"/>
        <v>ЭТАЖ ЗАДАН ЧИСЛОМ</v>
      </c>
      <c r="P2484" s="13" t="str">
        <f t="shared" si="270"/>
        <v>ЭТАЖ ЗАДАН ЧИСЛОМ</v>
      </c>
      <c r="Q2484" s="13" t="str">
        <f t="shared" si="271"/>
        <v>ГОТОВ</v>
      </c>
      <c r="R2484" s="13">
        <f>IFERROR(VLOOKUP(P2484,Лист1!A$1:B$20,2,FALSE),0)</f>
        <v>784</v>
      </c>
      <c r="S2484" s="13">
        <f t="shared" si="272"/>
        <v>1</v>
      </c>
    </row>
    <row r="2485" spans="1:19" x14ac:dyDescent="0.25">
      <c r="A2485" s="24" t="s">
        <v>3614</v>
      </c>
      <c r="B2485" s="4" t="s">
        <v>1063</v>
      </c>
      <c r="C2485" s="25" t="s">
        <v>7</v>
      </c>
      <c r="D2485" s="25" t="s">
        <v>5</v>
      </c>
      <c r="E2485" s="3">
        <v>2</v>
      </c>
      <c r="F2485" s="24" t="s">
        <v>1304</v>
      </c>
      <c r="G2485" s="25" t="s">
        <v>1089</v>
      </c>
      <c r="H2485" s="24" t="s">
        <v>1061</v>
      </c>
      <c r="I2485" s="3" t="str">
        <f>IFERROR(VLOOKUP(C2485,'Справочник соответствий'!A$2:D$2981,2,FALSE),IF(VALUE(C2485)=0,1,VLOOKUP(C2485,'Справочник соответствий'!A$2:D$2981,2,FALSE)))</f>
        <v>2</v>
      </c>
      <c r="J2485" s="3" t="str">
        <f>IFERROR(VLOOKUP(D2485,'Справочник соответствий'!A$2:D$2981,2,FALSE),IF(VALUE(D2485)=0,0,VLOOKUP(D2485,'Справочник соответствий'!A$2:D$2981,2,FALSE)))</f>
        <v>1</v>
      </c>
      <c r="K2485" s="3" t="str">
        <f t="shared" si="266"/>
        <v>2</v>
      </c>
      <c r="L2485" s="13" t="str">
        <f>IFERROR(VLOOKUP(C2485,'Справочник соответствий'!A$2:D$2981,3,FALSE),IF(VALUE(C2485)=0,"ЭТАЖ НЕ ОПРЕДЕЛЕН. ПРИНЯТ ПО ДОПУЩЕНИЮ 1",VLOOKUP(C2485,'Справочник соответствий'!A$2:D$2981,3,FALSE)))</f>
        <v>ЭТАЖ ЗАДАН ЧИСЛОМ</v>
      </c>
      <c r="M2485" s="13" t="b">
        <f t="shared" si="267"/>
        <v>0</v>
      </c>
      <c r="N2485" s="13">
        <f t="shared" si="268"/>
        <v>2</v>
      </c>
      <c r="O2485" s="13" t="str">
        <f t="shared" si="269"/>
        <v>ЭТАЖ ЗАДАН ЧИСЛОМ</v>
      </c>
      <c r="P2485" s="13" t="str">
        <f t="shared" si="270"/>
        <v>ЭТАЖ ЗАДАН ЧИСЛОМ</v>
      </c>
      <c r="Q2485" s="13" t="str">
        <f t="shared" si="271"/>
        <v>ГОТОВ</v>
      </c>
      <c r="R2485" s="13">
        <f>IFERROR(VLOOKUP(P2485,Лист1!A$1:B$20,2,FALSE),0)</f>
        <v>784</v>
      </c>
      <c r="S2485" s="13">
        <f t="shared" si="272"/>
        <v>2</v>
      </c>
    </row>
    <row r="2486" spans="1:19" x14ac:dyDescent="0.25">
      <c r="A2486" s="24" t="s">
        <v>3615</v>
      </c>
      <c r="B2486" s="4" t="s">
        <v>1063</v>
      </c>
      <c r="C2486" s="25" t="s">
        <v>5</v>
      </c>
      <c r="D2486" s="25" t="s">
        <v>24</v>
      </c>
      <c r="E2486" s="3">
        <v>1</v>
      </c>
      <c r="F2486" s="24" t="s">
        <v>1304</v>
      </c>
      <c r="G2486" s="25" t="s">
        <v>1117</v>
      </c>
      <c r="H2486" s="24" t="s">
        <v>1061</v>
      </c>
      <c r="I2486" s="3" t="str">
        <f>IFERROR(VLOOKUP(C2486,'Справочник соответствий'!A$2:D$2981,2,FALSE),IF(VALUE(C2486)=0,1,VLOOKUP(C2486,'Справочник соответствий'!A$2:D$2981,2,FALSE)))</f>
        <v>1</v>
      </c>
      <c r="J2486" s="3" t="str">
        <f>IFERROR(VLOOKUP(D2486,'Справочник соответствий'!A$2:D$2981,2,FALSE),IF(VALUE(D2486)=0,0,VLOOKUP(D2486,'Справочник соответствий'!A$2:D$2981,2,FALSE)))</f>
        <v>1</v>
      </c>
      <c r="K2486" s="3" t="str">
        <f t="shared" si="266"/>
        <v>1</v>
      </c>
      <c r="L2486" s="13" t="str">
        <f>IFERROR(VLOOKUP(C2486,'Справочник соответствий'!A$2:D$2981,3,FALSE),IF(VALUE(C2486)=0,"ЭТАЖ НЕ ОПРЕДЕЛЕН. ПРИНЯТ ПО ДОПУЩЕНИЮ 1",VLOOKUP(C2486,'Справочник соответствий'!A$2:D$2981,3,FALSE)))</f>
        <v>ЭТАЖ ЗАДАН ЧИСЛОМ</v>
      </c>
      <c r="M2486" s="13" t="b">
        <f t="shared" si="267"/>
        <v>0</v>
      </c>
      <c r="N2486" s="13">
        <f t="shared" si="268"/>
        <v>1</v>
      </c>
      <c r="O2486" s="13" t="str">
        <f t="shared" si="269"/>
        <v>ЭТАЖ ЗАДАН ЧИСЛОМ</v>
      </c>
      <c r="P2486" s="13" t="str">
        <f t="shared" si="270"/>
        <v>ЭТАЖ ЗАДАН ЧИСЛОМ</v>
      </c>
      <c r="Q2486" s="13" t="str">
        <f t="shared" si="271"/>
        <v>ГОТОВ</v>
      </c>
      <c r="R2486" s="13">
        <f>IFERROR(VLOOKUP(P2486,Лист1!A$1:B$20,2,FALSE),0)</f>
        <v>784</v>
      </c>
      <c r="S2486" s="13">
        <f t="shared" si="272"/>
        <v>1</v>
      </c>
    </row>
    <row r="2487" spans="1:19" x14ac:dyDescent="0.25">
      <c r="A2487" s="24" t="s">
        <v>3616</v>
      </c>
      <c r="B2487" s="4" t="s">
        <v>1059</v>
      </c>
      <c r="C2487" s="25" t="s">
        <v>5</v>
      </c>
      <c r="E2487" s="3">
        <v>1</v>
      </c>
      <c r="F2487" s="24" t="s">
        <v>1045</v>
      </c>
      <c r="G2487" s="25" t="s">
        <v>1072</v>
      </c>
      <c r="H2487" s="24" t="s">
        <v>1061</v>
      </c>
      <c r="I2487" s="3" t="str">
        <f>IFERROR(VLOOKUP(C2487,'Справочник соответствий'!A$2:D$2981,2,FALSE),IF(VALUE(C2487)=0,1,VLOOKUP(C2487,'Справочник соответствий'!A$2:D$2981,2,FALSE)))</f>
        <v>1</v>
      </c>
      <c r="J2487" s="3">
        <f>IFERROR(VLOOKUP(D2487,'Справочник соответствий'!A$2:D$2981,2,FALSE),IF(VALUE(D2487)=0,0,VLOOKUP(D2487,'Справочник соответствий'!A$2:D$2981,2,FALSE)))</f>
        <v>0</v>
      </c>
      <c r="K2487" s="3" t="str">
        <f t="shared" si="266"/>
        <v>1</v>
      </c>
      <c r="L2487" s="13" t="str">
        <f>IFERROR(VLOOKUP(C2487,'Справочник соответствий'!A$2:D$2981,3,FALSE),IF(VALUE(C2487)=0,"ЭТАЖ НЕ ОПРЕДЕЛЕН. ПРИНЯТ ПО ДОПУЩЕНИЮ 1",VLOOKUP(C2487,'Справочник соответствий'!A$2:D$2981,3,FALSE)))</f>
        <v>ЭТАЖ ЗАДАН ЧИСЛОМ</v>
      </c>
      <c r="M2487" s="13" t="b">
        <f t="shared" si="267"/>
        <v>0</v>
      </c>
      <c r="N2487" s="13">
        <f t="shared" si="268"/>
        <v>1</v>
      </c>
      <c r="O2487" s="13" t="str">
        <f t="shared" si="269"/>
        <v>ЭТАЖ ЗАДАН ЧИСЛОМ</v>
      </c>
      <c r="P2487" s="13" t="str">
        <f t="shared" si="270"/>
        <v>ЭТАЖ ЗАДАН ЧИСЛОМ</v>
      </c>
      <c r="Q2487" s="13" t="str">
        <f t="shared" si="271"/>
        <v>ГОТОВ</v>
      </c>
      <c r="R2487" s="13">
        <f>IFERROR(VLOOKUP(P2487,Лист1!A$1:B$20,2,FALSE),0)</f>
        <v>784</v>
      </c>
      <c r="S2487" s="13">
        <f t="shared" si="272"/>
        <v>1</v>
      </c>
    </row>
    <row r="2488" spans="1:19" x14ac:dyDescent="0.25">
      <c r="A2488" s="24" t="s">
        <v>3617</v>
      </c>
      <c r="B2488" s="4" t="s">
        <v>1059</v>
      </c>
      <c r="G2488" s="25" t="s">
        <v>1096</v>
      </c>
      <c r="H2488" s="24" t="s">
        <v>1061</v>
      </c>
      <c r="I2488" s="3">
        <f>IFERROR(VLOOKUP(C2488,'Справочник соответствий'!A$2:D$2981,2,FALSE),IF(VALUE(C2488)=0,1,VLOOKUP(C2488,'Справочник соответствий'!A$2:D$2981,2,FALSE)))</f>
        <v>1</v>
      </c>
      <c r="J2488" s="3">
        <f>IFERROR(VLOOKUP(D2488,'Справочник соответствий'!A$2:D$2981,2,FALSE),IF(VALUE(D2488)=0,0,VLOOKUP(D2488,'Справочник соответствий'!A$2:D$2981,2,FALSE)))</f>
        <v>0</v>
      </c>
      <c r="K2488" s="3">
        <f t="shared" si="266"/>
        <v>1</v>
      </c>
      <c r="L2488" s="13" t="str">
        <f>IFERROR(VLOOKUP(C2488,'Справочник соответствий'!A$2:D$2981,3,FALSE),IF(VALUE(C2488)=0,"ЭТАЖ НЕ ОПРЕДЕЛЕН. ПРИНЯТ ПО ДОПУЩЕНИЮ 1",VLOOKUP(C2488,'Справочник соответствий'!A$2:D$2981,3,FALSE)))</f>
        <v>ЭТАЖ НЕ ОПРЕДЕЛЕН. ПРИНЯТ ПО ДОПУЩЕНИЮ 1</v>
      </c>
      <c r="M2488" s="13" t="b">
        <f t="shared" si="267"/>
        <v>0</v>
      </c>
      <c r="N2488" s="13">
        <f t="shared" si="268"/>
        <v>1</v>
      </c>
      <c r="O2488" s="13" t="str">
        <f t="shared" si="269"/>
        <v>ЭТАЖ НЕ ОПРЕДЕЛЕН. ПРИНЯТ ПО ДОПУЩЕНИЮ 1</v>
      </c>
      <c r="P2488" s="13" t="str">
        <f t="shared" si="270"/>
        <v>ЭТАЖ НЕ ОПРЕДЕЛЕН. ПРИНЯТ ПО ДОПУЩЕНИЮ 1</v>
      </c>
      <c r="Q2488" s="13" t="str">
        <f t="shared" si="271"/>
        <v>ГОТОВ_ИЗМЕНЕН</v>
      </c>
      <c r="R2488" s="13">
        <f>IFERROR(VLOOKUP(P2488,Лист1!A$1:B$20,2,FALSE),0)</f>
        <v>788</v>
      </c>
      <c r="S2488" s="13">
        <f t="shared" si="272"/>
        <v>0</v>
      </c>
    </row>
    <row r="2489" spans="1:19" x14ac:dyDescent="0.25">
      <c r="A2489" s="24" t="s">
        <v>3618</v>
      </c>
      <c r="B2489" s="4" t="s">
        <v>1063</v>
      </c>
      <c r="G2489" s="25" t="s">
        <v>1069</v>
      </c>
      <c r="H2489" s="24" t="s">
        <v>1061</v>
      </c>
      <c r="I2489" s="3">
        <f>IFERROR(VLOOKUP(C2489,'Справочник соответствий'!A$2:D$2981,2,FALSE),IF(VALUE(C2489)=0,1,VLOOKUP(C2489,'Справочник соответствий'!A$2:D$2981,2,FALSE)))</f>
        <v>1</v>
      </c>
      <c r="J2489" s="3">
        <f>IFERROR(VLOOKUP(D2489,'Справочник соответствий'!A$2:D$2981,2,FALSE),IF(VALUE(D2489)=0,0,VLOOKUP(D2489,'Справочник соответствий'!A$2:D$2981,2,FALSE)))</f>
        <v>0</v>
      </c>
      <c r="K2489" s="3">
        <f t="shared" si="266"/>
        <v>1</v>
      </c>
      <c r="L2489" s="13" t="str">
        <f>IFERROR(VLOOKUP(C2489,'Справочник соответствий'!A$2:D$2981,3,FALSE),IF(VALUE(C2489)=0,"ЭТАЖ НЕ ОПРЕДЕЛЕН. ПРИНЯТ ПО ДОПУЩЕНИЮ 1",VLOOKUP(C2489,'Справочник соответствий'!A$2:D$2981,3,FALSE)))</f>
        <v>ЭТАЖ НЕ ОПРЕДЕЛЕН. ПРИНЯТ ПО ДОПУЩЕНИЮ 1</v>
      </c>
      <c r="M2489" s="13" t="b">
        <f t="shared" si="267"/>
        <v>0</v>
      </c>
      <c r="N2489" s="13">
        <f t="shared" si="268"/>
        <v>1</v>
      </c>
      <c r="O2489" s="13" t="str">
        <f t="shared" si="269"/>
        <v>ЭТАЖ НЕ ОПРЕДЕЛЕН. ПРИНЯТ ПО ДОПУЩЕНИЮ 1</v>
      </c>
      <c r="P2489" s="13" t="str">
        <f t="shared" si="270"/>
        <v>ЭТАЖ НЕ ОПРЕДЕЛЕН. ПРИНЯТ ПО ДОПУЩЕНИЮ 1</v>
      </c>
      <c r="Q2489" s="13" t="str">
        <f t="shared" si="271"/>
        <v>ГОТОВ_ИЗМЕНЕН</v>
      </c>
      <c r="R2489" s="13">
        <f>IFERROR(VLOOKUP(P2489,Лист1!A$1:B$20,2,FALSE),0)</f>
        <v>788</v>
      </c>
      <c r="S2489" s="13">
        <f t="shared" si="272"/>
        <v>0</v>
      </c>
    </row>
    <row r="2490" spans="1:19" x14ac:dyDescent="0.25">
      <c r="A2490" s="24" t="s">
        <v>3619</v>
      </c>
      <c r="B2490" s="4" t="s">
        <v>1059</v>
      </c>
      <c r="G2490" s="25" t="s">
        <v>1114</v>
      </c>
      <c r="H2490" s="24" t="s">
        <v>1061</v>
      </c>
      <c r="I2490" s="3">
        <f>IFERROR(VLOOKUP(C2490,'Справочник соответствий'!A$2:D$2981,2,FALSE),IF(VALUE(C2490)=0,1,VLOOKUP(C2490,'Справочник соответствий'!A$2:D$2981,2,FALSE)))</f>
        <v>1</v>
      </c>
      <c r="J2490" s="3">
        <f>IFERROR(VLOOKUP(D2490,'Справочник соответствий'!A$2:D$2981,2,FALSE),IF(VALUE(D2490)=0,0,VLOOKUP(D2490,'Справочник соответствий'!A$2:D$2981,2,FALSE)))</f>
        <v>0</v>
      </c>
      <c r="K2490" s="3">
        <f t="shared" si="266"/>
        <v>1</v>
      </c>
      <c r="L2490" s="13" t="str">
        <f>IFERROR(VLOOKUP(C2490,'Справочник соответствий'!A$2:D$2981,3,FALSE),IF(VALUE(C2490)=0,"ЭТАЖ НЕ ОПРЕДЕЛЕН. ПРИНЯТ ПО ДОПУЩЕНИЮ 1",VLOOKUP(C2490,'Справочник соответствий'!A$2:D$2981,3,FALSE)))</f>
        <v>ЭТАЖ НЕ ОПРЕДЕЛЕН. ПРИНЯТ ПО ДОПУЩЕНИЮ 1</v>
      </c>
      <c r="M2490" s="13" t="b">
        <f t="shared" si="267"/>
        <v>0</v>
      </c>
      <c r="N2490" s="13">
        <f t="shared" si="268"/>
        <v>1</v>
      </c>
      <c r="O2490" s="13" t="str">
        <f t="shared" si="269"/>
        <v>ЭТАЖ НЕ ОПРЕДЕЛЕН. ПРИНЯТ ПО ДОПУЩЕНИЮ 1</v>
      </c>
      <c r="P2490" s="13" t="str">
        <f t="shared" si="270"/>
        <v>ЭТАЖ НЕ ОПРЕДЕЛЕН. ПРИНЯТ ПО ДОПУЩЕНИЮ 1</v>
      </c>
      <c r="Q2490" s="13" t="str">
        <f t="shared" si="271"/>
        <v>ГОТОВ_ИЗМЕНЕН</v>
      </c>
      <c r="R2490" s="13">
        <f>IFERROR(VLOOKUP(P2490,Лист1!A$1:B$20,2,FALSE),0)</f>
        <v>788</v>
      </c>
      <c r="S2490" s="13">
        <f t="shared" si="272"/>
        <v>0</v>
      </c>
    </row>
    <row r="2491" spans="1:19" x14ac:dyDescent="0.25">
      <c r="A2491" s="24" t="s">
        <v>3620</v>
      </c>
      <c r="B2491" s="4" t="s">
        <v>1059</v>
      </c>
      <c r="C2491" s="25" t="s">
        <v>5</v>
      </c>
      <c r="G2491" s="25" t="s">
        <v>1114</v>
      </c>
      <c r="H2491" s="24" t="s">
        <v>1061</v>
      </c>
      <c r="I2491" s="3" t="str">
        <f>IFERROR(VLOOKUP(C2491,'Справочник соответствий'!A$2:D$2981,2,FALSE),IF(VALUE(C2491)=0,1,VLOOKUP(C2491,'Справочник соответствий'!A$2:D$2981,2,FALSE)))</f>
        <v>1</v>
      </c>
      <c r="J2491" s="3">
        <f>IFERROR(VLOOKUP(D2491,'Справочник соответствий'!A$2:D$2981,2,FALSE),IF(VALUE(D2491)=0,0,VLOOKUP(D2491,'Справочник соответствий'!A$2:D$2981,2,FALSE)))</f>
        <v>0</v>
      </c>
      <c r="K2491" s="3" t="str">
        <f t="shared" si="266"/>
        <v>1</v>
      </c>
      <c r="L2491" s="13" t="str">
        <f>IFERROR(VLOOKUP(C2491,'Справочник соответствий'!A$2:D$2981,3,FALSE),IF(VALUE(C2491)=0,"ЭТАЖ НЕ ОПРЕДЕЛЕН. ПРИНЯТ ПО ДОПУЩЕНИЮ 1",VLOOKUP(C2491,'Справочник соответствий'!A$2:D$2981,3,FALSE)))</f>
        <v>ЭТАЖ ЗАДАН ЧИСЛОМ</v>
      </c>
      <c r="M2491" s="13" t="b">
        <f t="shared" si="267"/>
        <v>0</v>
      </c>
      <c r="N2491" s="13">
        <f t="shared" si="268"/>
        <v>1</v>
      </c>
      <c r="O2491" s="13" t="str">
        <f t="shared" si="269"/>
        <v>ЭТАЖ ЗАДАН ЧИСЛОМ</v>
      </c>
      <c r="P2491" s="13" t="str">
        <f t="shared" si="270"/>
        <v>ЭТАЖ ЗАДАН ЧИСЛОМ</v>
      </c>
      <c r="Q2491" s="13" t="str">
        <f t="shared" si="271"/>
        <v>ГОТОВ_ИЗМЕНЕН</v>
      </c>
      <c r="R2491" s="13">
        <f>IFERROR(VLOOKUP(P2491,Лист1!A$1:B$20,2,FALSE),0)</f>
        <v>784</v>
      </c>
      <c r="S2491" s="13">
        <f t="shared" si="272"/>
        <v>0</v>
      </c>
    </row>
    <row r="2492" spans="1:19" x14ac:dyDescent="0.25">
      <c r="A2492" s="24" t="s">
        <v>3621</v>
      </c>
      <c r="B2492" s="4" t="s">
        <v>1059</v>
      </c>
      <c r="C2492" s="25" t="s">
        <v>5</v>
      </c>
      <c r="G2492" s="25" t="s">
        <v>1069</v>
      </c>
      <c r="H2492" s="24" t="s">
        <v>1061</v>
      </c>
      <c r="I2492" s="3" t="str">
        <f>IFERROR(VLOOKUP(C2492,'Справочник соответствий'!A$2:D$2981,2,FALSE),IF(VALUE(C2492)=0,1,VLOOKUP(C2492,'Справочник соответствий'!A$2:D$2981,2,FALSE)))</f>
        <v>1</v>
      </c>
      <c r="J2492" s="3">
        <f>IFERROR(VLOOKUP(D2492,'Справочник соответствий'!A$2:D$2981,2,FALSE),IF(VALUE(D2492)=0,0,VLOOKUP(D2492,'Справочник соответствий'!A$2:D$2981,2,FALSE)))</f>
        <v>0</v>
      </c>
      <c r="K2492" s="3" t="str">
        <f t="shared" si="266"/>
        <v>1</v>
      </c>
      <c r="L2492" s="13" t="str">
        <f>IFERROR(VLOOKUP(C2492,'Справочник соответствий'!A$2:D$2981,3,FALSE),IF(VALUE(C2492)=0,"ЭТАЖ НЕ ОПРЕДЕЛЕН. ПРИНЯТ ПО ДОПУЩЕНИЮ 1",VLOOKUP(C2492,'Справочник соответствий'!A$2:D$2981,3,FALSE)))</f>
        <v>ЭТАЖ ЗАДАН ЧИСЛОМ</v>
      </c>
      <c r="M2492" s="13" t="b">
        <f t="shared" si="267"/>
        <v>0</v>
      </c>
      <c r="N2492" s="13">
        <f t="shared" si="268"/>
        <v>1</v>
      </c>
      <c r="O2492" s="13" t="str">
        <f t="shared" si="269"/>
        <v>ЭТАЖ ЗАДАН ЧИСЛОМ</v>
      </c>
      <c r="P2492" s="13" t="str">
        <f t="shared" si="270"/>
        <v>ЭТАЖ ЗАДАН ЧИСЛОМ</v>
      </c>
      <c r="Q2492" s="13" t="str">
        <f t="shared" si="271"/>
        <v>ГОТОВ_ИЗМЕНЕН</v>
      </c>
      <c r="R2492" s="13">
        <f>IFERROR(VLOOKUP(P2492,Лист1!A$1:B$20,2,FALSE),0)</f>
        <v>784</v>
      </c>
      <c r="S2492" s="13">
        <f t="shared" si="272"/>
        <v>0</v>
      </c>
    </row>
    <row r="2493" spans="1:19" x14ac:dyDescent="0.25">
      <c r="A2493" s="24" t="s">
        <v>3622</v>
      </c>
      <c r="B2493" s="4" t="s">
        <v>1059</v>
      </c>
      <c r="C2493" s="25" t="s">
        <v>7</v>
      </c>
      <c r="G2493" s="25" t="s">
        <v>1114</v>
      </c>
      <c r="H2493" s="24" t="s">
        <v>1061</v>
      </c>
      <c r="I2493" s="3" t="str">
        <f>IFERROR(VLOOKUP(C2493,'Справочник соответствий'!A$2:D$2981,2,FALSE),IF(VALUE(C2493)=0,1,VLOOKUP(C2493,'Справочник соответствий'!A$2:D$2981,2,FALSE)))</f>
        <v>2</v>
      </c>
      <c r="J2493" s="3">
        <f>IFERROR(VLOOKUP(D2493,'Справочник соответствий'!A$2:D$2981,2,FALSE),IF(VALUE(D2493)=0,0,VLOOKUP(D2493,'Справочник соответствий'!A$2:D$2981,2,FALSE)))</f>
        <v>0</v>
      </c>
      <c r="K2493" s="3" t="str">
        <f t="shared" si="266"/>
        <v>2</v>
      </c>
      <c r="L2493" s="13" t="str">
        <f>IFERROR(VLOOKUP(C2493,'Справочник соответствий'!A$2:D$2981,3,FALSE),IF(VALUE(C2493)=0,"ЭТАЖ НЕ ОПРЕДЕЛЕН. ПРИНЯТ ПО ДОПУЩЕНИЮ 1",VLOOKUP(C2493,'Справочник соответствий'!A$2:D$2981,3,FALSE)))</f>
        <v>ЭТАЖ ЗАДАН ЧИСЛОМ</v>
      </c>
      <c r="M2493" s="13" t="b">
        <f t="shared" si="267"/>
        <v>0</v>
      </c>
      <c r="N2493" s="13">
        <f t="shared" si="268"/>
        <v>2</v>
      </c>
      <c r="O2493" s="13" t="str">
        <f t="shared" si="269"/>
        <v>ЭТАЖ ЗАДАН ЧИСЛОМ</v>
      </c>
      <c r="P2493" s="13" t="str">
        <f t="shared" si="270"/>
        <v>ЭТАЖ ЗАДАН ЧИСЛОМ</v>
      </c>
      <c r="Q2493" s="13" t="str">
        <f t="shared" si="271"/>
        <v>ГОТОВ_ИЗМЕНЕН</v>
      </c>
      <c r="R2493" s="13">
        <f>IFERROR(VLOOKUP(P2493,Лист1!A$1:B$20,2,FALSE),0)</f>
        <v>784</v>
      </c>
      <c r="S2493" s="13">
        <f t="shared" si="272"/>
        <v>0</v>
      </c>
    </row>
    <row r="2494" spans="1:19" x14ac:dyDescent="0.25">
      <c r="A2494" s="24" t="s">
        <v>3623</v>
      </c>
      <c r="B2494" s="4" t="s">
        <v>1063</v>
      </c>
      <c r="C2494" s="25" t="s">
        <v>21</v>
      </c>
      <c r="G2494" s="25" t="s">
        <v>1114</v>
      </c>
      <c r="H2494" s="24" t="s">
        <v>1061</v>
      </c>
      <c r="I2494" s="3" t="str">
        <f>IFERROR(VLOOKUP(C2494,'Справочник соответствий'!A$2:D$2981,2,FALSE),IF(VALUE(C2494)=0,1,VLOOKUP(C2494,'Справочник соответствий'!A$2:D$2981,2,FALSE)))</f>
        <v>2</v>
      </c>
      <c r="J2494" s="3">
        <f>IFERROR(VLOOKUP(D2494,'Справочник соответствий'!A$2:D$2981,2,FALSE),IF(VALUE(D2494)=0,0,VLOOKUP(D2494,'Справочник соответствий'!A$2:D$2981,2,FALSE)))</f>
        <v>0</v>
      </c>
      <c r="K2494" s="3" t="str">
        <f t="shared" si="266"/>
        <v>2</v>
      </c>
      <c r="L2494" s="13" t="str">
        <f>IFERROR(VLOOKUP(C2494,'Справочник соответствий'!A$2:D$2981,3,FALSE),IF(VALUE(C2494)=0,"ЭТАЖ НЕ ОПРЕДЕЛЕН. ПРИНЯТ ПО ДОПУЩЕНИЮ 1",VLOOKUP(C2494,'Справочник соответствий'!A$2:D$2981,3,FALSE)))</f>
        <v>СПРАВОЧНИК ЭТАЖНОСТИ</v>
      </c>
      <c r="M2494" s="13" t="b">
        <f t="shared" si="267"/>
        <v>0</v>
      </c>
      <c r="N2494" s="13">
        <f t="shared" si="268"/>
        <v>2</v>
      </c>
      <c r="O2494" s="13" t="str">
        <f t="shared" si="269"/>
        <v>СПРАВОЧНИК ЭТАЖНОСТИ</v>
      </c>
      <c r="P2494" s="13" t="str">
        <f t="shared" si="270"/>
        <v>СПРАВОЧНИК ЭТАЖНОСТИ</v>
      </c>
      <c r="Q2494" s="13" t="str">
        <f t="shared" si="271"/>
        <v>ГОТОВ_ИЗМЕНЕН</v>
      </c>
      <c r="R2494" s="13">
        <f>IFERROR(VLOOKUP(P2494,Лист1!A$1:B$20,2,FALSE),0)</f>
        <v>785</v>
      </c>
      <c r="S2494" s="13">
        <f t="shared" si="272"/>
        <v>0</v>
      </c>
    </row>
    <row r="2495" spans="1:19" x14ac:dyDescent="0.25">
      <c r="A2495" s="24" t="s">
        <v>3624</v>
      </c>
      <c r="B2495" s="4" t="s">
        <v>1063</v>
      </c>
      <c r="C2495" s="25" t="s">
        <v>5</v>
      </c>
      <c r="G2495" s="25" t="s">
        <v>1114</v>
      </c>
      <c r="H2495" s="24" t="s">
        <v>1061</v>
      </c>
      <c r="I2495" s="3" t="str">
        <f>IFERROR(VLOOKUP(C2495,'Справочник соответствий'!A$2:D$2981,2,FALSE),IF(VALUE(C2495)=0,1,VLOOKUP(C2495,'Справочник соответствий'!A$2:D$2981,2,FALSE)))</f>
        <v>1</v>
      </c>
      <c r="J2495" s="3">
        <f>IFERROR(VLOOKUP(D2495,'Справочник соответствий'!A$2:D$2981,2,FALSE),IF(VALUE(D2495)=0,0,VLOOKUP(D2495,'Справочник соответствий'!A$2:D$2981,2,FALSE)))</f>
        <v>0</v>
      </c>
      <c r="K2495" s="3" t="str">
        <f t="shared" si="266"/>
        <v>1</v>
      </c>
      <c r="L2495" s="13" t="str">
        <f>IFERROR(VLOOKUP(C2495,'Справочник соответствий'!A$2:D$2981,3,FALSE),IF(VALUE(C2495)=0,"ЭТАЖ НЕ ОПРЕДЕЛЕН. ПРИНЯТ ПО ДОПУЩЕНИЮ 1",VLOOKUP(C2495,'Справочник соответствий'!A$2:D$2981,3,FALSE)))</f>
        <v>ЭТАЖ ЗАДАН ЧИСЛОМ</v>
      </c>
      <c r="M2495" s="13" t="b">
        <f t="shared" si="267"/>
        <v>0</v>
      </c>
      <c r="N2495" s="13">
        <f t="shared" si="268"/>
        <v>1</v>
      </c>
      <c r="O2495" s="13" t="str">
        <f t="shared" si="269"/>
        <v>ЭТАЖ ЗАДАН ЧИСЛОМ</v>
      </c>
      <c r="P2495" s="13" t="str">
        <f t="shared" si="270"/>
        <v>ЭТАЖ ЗАДАН ЧИСЛОМ</v>
      </c>
      <c r="Q2495" s="13" t="str">
        <f t="shared" si="271"/>
        <v>ГОТОВ_ИЗМЕНЕН</v>
      </c>
      <c r="R2495" s="13">
        <f>IFERROR(VLOOKUP(P2495,Лист1!A$1:B$20,2,FALSE),0)</f>
        <v>784</v>
      </c>
      <c r="S2495" s="13">
        <f t="shared" si="272"/>
        <v>0</v>
      </c>
    </row>
    <row r="2496" spans="1:19" x14ac:dyDescent="0.25">
      <c r="A2496" s="24" t="s">
        <v>3625</v>
      </c>
      <c r="B2496" s="4" t="s">
        <v>1063</v>
      </c>
      <c r="C2496" s="25" t="s">
        <v>5</v>
      </c>
      <c r="G2496" s="25" t="s">
        <v>1325</v>
      </c>
      <c r="H2496" s="24" t="s">
        <v>1061</v>
      </c>
      <c r="I2496" s="3" t="str">
        <f>IFERROR(VLOOKUP(C2496,'Справочник соответствий'!A$2:D$2981,2,FALSE),IF(VALUE(C2496)=0,1,VLOOKUP(C2496,'Справочник соответствий'!A$2:D$2981,2,FALSE)))</f>
        <v>1</v>
      </c>
      <c r="J2496" s="3">
        <f>IFERROR(VLOOKUP(D2496,'Справочник соответствий'!A$2:D$2981,2,FALSE),IF(VALUE(D2496)=0,0,VLOOKUP(D2496,'Справочник соответствий'!A$2:D$2981,2,FALSE)))</f>
        <v>0</v>
      </c>
      <c r="K2496" s="3" t="str">
        <f t="shared" si="266"/>
        <v>1</v>
      </c>
      <c r="L2496" s="13" t="str">
        <f>IFERROR(VLOOKUP(C2496,'Справочник соответствий'!A$2:D$2981,3,FALSE),IF(VALUE(C2496)=0,"ЭТАЖ НЕ ОПРЕДЕЛЕН. ПРИНЯТ ПО ДОПУЩЕНИЮ 1",VLOOKUP(C2496,'Справочник соответствий'!A$2:D$2981,3,FALSE)))</f>
        <v>ЭТАЖ ЗАДАН ЧИСЛОМ</v>
      </c>
      <c r="M2496" s="13" t="b">
        <f t="shared" si="267"/>
        <v>0</v>
      </c>
      <c r="N2496" s="13">
        <f t="shared" si="268"/>
        <v>1</v>
      </c>
      <c r="O2496" s="13" t="str">
        <f t="shared" si="269"/>
        <v>ЭТАЖ ЗАДАН ЧИСЛОМ</v>
      </c>
      <c r="P2496" s="13" t="str">
        <f t="shared" si="270"/>
        <v>ЭТАЖ ЗАДАН ЧИСЛОМ</v>
      </c>
      <c r="Q2496" s="13" t="str">
        <f t="shared" si="271"/>
        <v>ГОТОВ_ИЗМЕНЕН</v>
      </c>
      <c r="R2496" s="13">
        <f>IFERROR(VLOOKUP(P2496,Лист1!A$1:B$20,2,FALSE),0)</f>
        <v>784</v>
      </c>
      <c r="S2496" s="13">
        <f t="shared" si="272"/>
        <v>0</v>
      </c>
    </row>
    <row r="2497" spans="1:19" x14ac:dyDescent="0.25">
      <c r="A2497" s="24" t="s">
        <v>3626</v>
      </c>
      <c r="B2497" s="4" t="s">
        <v>1063</v>
      </c>
      <c r="C2497" s="25" t="s">
        <v>5</v>
      </c>
      <c r="G2497" s="25" t="s">
        <v>1325</v>
      </c>
      <c r="H2497" s="24" t="s">
        <v>1061</v>
      </c>
      <c r="I2497" s="3" t="str">
        <f>IFERROR(VLOOKUP(C2497,'Справочник соответствий'!A$2:D$2981,2,FALSE),IF(VALUE(C2497)=0,1,VLOOKUP(C2497,'Справочник соответствий'!A$2:D$2981,2,FALSE)))</f>
        <v>1</v>
      </c>
      <c r="J2497" s="3">
        <f>IFERROR(VLOOKUP(D2497,'Справочник соответствий'!A$2:D$2981,2,FALSE),IF(VALUE(D2497)=0,0,VLOOKUP(D2497,'Справочник соответствий'!A$2:D$2981,2,FALSE)))</f>
        <v>0</v>
      </c>
      <c r="K2497" s="3" t="str">
        <f t="shared" si="266"/>
        <v>1</v>
      </c>
      <c r="L2497" s="13" t="str">
        <f>IFERROR(VLOOKUP(C2497,'Справочник соответствий'!A$2:D$2981,3,FALSE),IF(VALUE(C2497)=0,"ЭТАЖ НЕ ОПРЕДЕЛЕН. ПРИНЯТ ПО ДОПУЩЕНИЮ 1",VLOOKUP(C2497,'Справочник соответствий'!A$2:D$2981,3,FALSE)))</f>
        <v>ЭТАЖ ЗАДАН ЧИСЛОМ</v>
      </c>
      <c r="M2497" s="13" t="b">
        <f t="shared" si="267"/>
        <v>0</v>
      </c>
      <c r="N2497" s="13">
        <f t="shared" si="268"/>
        <v>1</v>
      </c>
      <c r="O2497" s="13" t="str">
        <f t="shared" si="269"/>
        <v>ЭТАЖ ЗАДАН ЧИСЛОМ</v>
      </c>
      <c r="P2497" s="13" t="str">
        <f t="shared" si="270"/>
        <v>ЭТАЖ ЗАДАН ЧИСЛОМ</v>
      </c>
      <c r="Q2497" s="13" t="str">
        <f t="shared" si="271"/>
        <v>ГОТОВ_ИЗМЕНЕН</v>
      </c>
      <c r="R2497" s="13">
        <f>IFERROR(VLOOKUP(P2497,Лист1!A$1:B$20,2,FALSE),0)</f>
        <v>784</v>
      </c>
      <c r="S2497" s="13">
        <f t="shared" si="272"/>
        <v>0</v>
      </c>
    </row>
    <row r="2498" spans="1:19" x14ac:dyDescent="0.25">
      <c r="A2498" s="24" t="s">
        <v>3627</v>
      </c>
      <c r="B2498" s="4" t="s">
        <v>1059</v>
      </c>
      <c r="C2498" s="25" t="s">
        <v>5</v>
      </c>
      <c r="G2498" s="25" t="s">
        <v>1072</v>
      </c>
      <c r="H2498" s="24" t="s">
        <v>1061</v>
      </c>
      <c r="I2498" s="3" t="str">
        <f>IFERROR(VLOOKUP(C2498,'Справочник соответствий'!A$2:D$2981,2,FALSE),IF(VALUE(C2498)=0,1,VLOOKUP(C2498,'Справочник соответствий'!A$2:D$2981,2,FALSE)))</f>
        <v>1</v>
      </c>
      <c r="J2498" s="3">
        <f>IFERROR(VLOOKUP(D2498,'Справочник соответствий'!A$2:D$2981,2,FALSE),IF(VALUE(D2498)=0,0,VLOOKUP(D2498,'Справочник соответствий'!A$2:D$2981,2,FALSE)))</f>
        <v>0</v>
      </c>
      <c r="K2498" s="3" t="str">
        <f t="shared" si="266"/>
        <v>1</v>
      </c>
      <c r="L2498" s="13" t="str">
        <f>IFERROR(VLOOKUP(C2498,'Справочник соответствий'!A$2:D$2981,3,FALSE),IF(VALUE(C2498)=0,"ЭТАЖ НЕ ОПРЕДЕЛЕН. ПРИНЯТ ПО ДОПУЩЕНИЮ 1",VLOOKUP(C2498,'Справочник соответствий'!A$2:D$2981,3,FALSE)))</f>
        <v>ЭТАЖ ЗАДАН ЧИСЛОМ</v>
      </c>
      <c r="M2498" s="13" t="b">
        <f t="shared" si="267"/>
        <v>0</v>
      </c>
      <c r="N2498" s="13">
        <f t="shared" si="268"/>
        <v>1</v>
      </c>
      <c r="O2498" s="13" t="str">
        <f t="shared" si="269"/>
        <v>ЭТАЖ ЗАДАН ЧИСЛОМ</v>
      </c>
      <c r="P2498" s="13" t="str">
        <f t="shared" si="270"/>
        <v>ЭТАЖ ЗАДАН ЧИСЛОМ</v>
      </c>
      <c r="Q2498" s="13" t="str">
        <f t="shared" si="271"/>
        <v>ГОТОВ_ИЗМЕНЕН</v>
      </c>
      <c r="R2498" s="13">
        <f>IFERROR(VLOOKUP(P2498,Лист1!A$1:B$20,2,FALSE),0)</f>
        <v>784</v>
      </c>
      <c r="S2498" s="13">
        <f t="shared" si="272"/>
        <v>0</v>
      </c>
    </row>
    <row r="2499" spans="1:19" x14ac:dyDescent="0.25">
      <c r="A2499" s="24" t="s">
        <v>3628</v>
      </c>
      <c r="B2499" s="4" t="s">
        <v>1063</v>
      </c>
      <c r="C2499" s="25" t="s">
        <v>5</v>
      </c>
      <c r="G2499" s="25" t="s">
        <v>1325</v>
      </c>
      <c r="H2499" s="24" t="s">
        <v>1061</v>
      </c>
      <c r="I2499" s="3" t="str">
        <f>IFERROR(VLOOKUP(C2499,'Справочник соответствий'!A$2:D$2981,2,FALSE),IF(VALUE(C2499)=0,1,VLOOKUP(C2499,'Справочник соответствий'!A$2:D$2981,2,FALSE)))</f>
        <v>1</v>
      </c>
      <c r="J2499" s="3">
        <f>IFERROR(VLOOKUP(D2499,'Справочник соответствий'!A$2:D$2981,2,FALSE),IF(VALUE(D2499)=0,0,VLOOKUP(D2499,'Справочник соответствий'!A$2:D$2981,2,FALSE)))</f>
        <v>0</v>
      </c>
      <c r="K2499" s="3" t="str">
        <f t="shared" si="266"/>
        <v>1</v>
      </c>
      <c r="L2499" s="13" t="str">
        <f>IFERROR(VLOOKUP(C2499,'Справочник соответствий'!A$2:D$2981,3,FALSE),IF(VALUE(C2499)=0,"ЭТАЖ НЕ ОПРЕДЕЛЕН. ПРИНЯТ ПО ДОПУЩЕНИЮ 1",VLOOKUP(C2499,'Справочник соответствий'!A$2:D$2981,3,FALSE)))</f>
        <v>ЭТАЖ ЗАДАН ЧИСЛОМ</v>
      </c>
      <c r="M2499" s="13" t="b">
        <f t="shared" si="267"/>
        <v>0</v>
      </c>
      <c r="N2499" s="13">
        <f t="shared" si="268"/>
        <v>1</v>
      </c>
      <c r="O2499" s="13" t="str">
        <f t="shared" si="269"/>
        <v>ЭТАЖ ЗАДАН ЧИСЛОМ</v>
      </c>
      <c r="P2499" s="13" t="str">
        <f t="shared" si="270"/>
        <v>ЭТАЖ ЗАДАН ЧИСЛОМ</v>
      </c>
      <c r="Q2499" s="13" t="str">
        <f t="shared" si="271"/>
        <v>ГОТОВ_ИЗМЕНЕН</v>
      </c>
      <c r="R2499" s="13">
        <f>IFERROR(VLOOKUP(P2499,Лист1!A$1:B$20,2,FALSE),0)</f>
        <v>784</v>
      </c>
      <c r="S2499" s="13">
        <f t="shared" si="272"/>
        <v>0</v>
      </c>
    </row>
    <row r="2500" spans="1:19" x14ac:dyDescent="0.25">
      <c r="A2500" s="24" t="s">
        <v>3629</v>
      </c>
      <c r="B2500" s="4" t="s">
        <v>1031</v>
      </c>
      <c r="C2500" s="25" t="s">
        <v>3630</v>
      </c>
      <c r="D2500" s="25" t="s">
        <v>5</v>
      </c>
      <c r="G2500" s="25" t="s">
        <v>1099</v>
      </c>
      <c r="H2500" s="24" t="s">
        <v>1061</v>
      </c>
      <c r="I2500" s="3" t="e">
        <f>IFERROR(VLOOKUP(C2500,'Справочник соответствий'!A$2:D$2981,2,FALSE),IF(VALUE(C2500)=0,1,VLOOKUP(C2500,'Справочник соответствий'!A$2:D$2981,2,FALSE)))</f>
        <v>#VALUE!</v>
      </c>
      <c r="J2500" s="3" t="str">
        <f>IFERROR(VLOOKUP(D2500,'Справочник соответствий'!A$2:D$2981,2,FALSE),IF(VALUE(D2500)=0,0,VLOOKUP(D2500,'Справочник соответствий'!A$2:D$2981,2,FALSE)))</f>
        <v>1</v>
      </c>
      <c r="K2500" s="3" t="e">
        <f t="shared" si="266"/>
        <v>#VALUE!</v>
      </c>
      <c r="L2500" s="13" t="e">
        <f>IFERROR(VLOOKUP(C2500,'Справочник соответствий'!A$2:D$2981,3,FALSE),IF(VALUE(C2500)=0,"ЭТАЖ НЕ ОПРЕДЕЛЕН. ПРИНЯТ ПО ДОПУЩЕНИЮ 1",VLOOKUP(C2500,'Справочник соответствий'!A$2:D$2981,3,FALSE)))</f>
        <v>#VALUE!</v>
      </c>
      <c r="M2500" s="13" t="e">
        <f t="shared" si="267"/>
        <v>#VALUE!</v>
      </c>
      <c r="N2500" s="13" t="e">
        <f t="shared" si="268"/>
        <v>#VALUE!</v>
      </c>
      <c r="O2500" s="13" t="e">
        <f t="shared" si="269"/>
        <v>#VALUE!</v>
      </c>
      <c r="P2500" s="13" t="e">
        <f t="shared" si="270"/>
        <v>#VALUE!</v>
      </c>
      <c r="Q2500" s="13" t="str">
        <f t="shared" si="271"/>
        <v>НЕ ГОТОВ</v>
      </c>
      <c r="R2500" s="13">
        <f>IFERROR(VLOOKUP(P2500,Лист1!A$1:B$20,2,FALSE),0)</f>
        <v>0</v>
      </c>
      <c r="S2500" s="13">
        <f t="shared" si="272"/>
        <v>0</v>
      </c>
    </row>
    <row r="2501" spans="1:19" x14ac:dyDescent="0.25">
      <c r="A2501" s="24" t="s">
        <v>3631</v>
      </c>
      <c r="B2501" s="4" t="s">
        <v>1059</v>
      </c>
      <c r="C2501" s="25" t="s">
        <v>5</v>
      </c>
      <c r="G2501" s="25" t="s">
        <v>1099</v>
      </c>
      <c r="H2501" s="24" t="s">
        <v>1061</v>
      </c>
      <c r="I2501" s="3" t="str">
        <f>IFERROR(VLOOKUP(C2501,'Справочник соответствий'!A$2:D$2981,2,FALSE),IF(VALUE(C2501)=0,1,VLOOKUP(C2501,'Справочник соответствий'!A$2:D$2981,2,FALSE)))</f>
        <v>1</v>
      </c>
      <c r="J2501" s="3">
        <f>IFERROR(VLOOKUP(D2501,'Справочник соответствий'!A$2:D$2981,2,FALSE),IF(VALUE(D2501)=0,0,VLOOKUP(D2501,'Справочник соответствий'!A$2:D$2981,2,FALSE)))</f>
        <v>0</v>
      </c>
      <c r="K2501" s="3" t="str">
        <f t="shared" ref="K2501:K2564" si="273">IF(B2501="Многоквартирный дом",IF(I2501-J2501&gt;0,I2501-J2501,1),I2501)</f>
        <v>1</v>
      </c>
      <c r="L2501" s="13" t="str">
        <f>IFERROR(VLOOKUP(C2501,'Справочник соответствий'!A$2:D$2981,3,FALSE),IF(VALUE(C2501)=0,"ЭТАЖ НЕ ОПРЕДЕЛЕН. ПРИНЯТ ПО ДОПУЩЕНИЮ 1",VLOOKUP(C2501,'Справочник соответствий'!A$2:D$2981,3,FALSE)))</f>
        <v>ЭТАЖ ЗАДАН ЧИСЛОМ</v>
      </c>
      <c r="M2501" s="13" t="b">
        <f t="shared" ref="M2501:M2564" si="274">I2501=E2501</f>
        <v>0</v>
      </c>
      <c r="N2501" s="13">
        <f t="shared" ref="N2501:N2564" si="275">IF(VALUE(E2501)=0,VALUE(K2501),IF(L2501="ЭТАЖ НЕ ОПРЕДЕЛЕН. ПРИНЯТ ПО ДОПУЩЕНИЮ 1",VALUE(E2501),VALUE(K2501)))</f>
        <v>1</v>
      </c>
      <c r="O2501" s="13" t="str">
        <f t="shared" ref="O2501:O2564" si="276">IF(VALUE(E2501)=0,L2501,IF(L2501="ЭТАЖ НЕ ОПРЕДЕЛЕН. ПРИНЯТ ПО ДОПУЩЕНИЮ 1",F2501,L2501))</f>
        <v>ЭТАЖ ЗАДАН ЧИСЛОМ</v>
      </c>
      <c r="P2501" s="13" t="str">
        <f t="shared" ref="P2501:P2564" si="277">IF(B2501="Многоквартирный дом",CONCATENATE("МКД_",O2501),O2501)</f>
        <v>ЭТАЖ ЗАДАН ЧИСЛОМ</v>
      </c>
      <c r="Q2501" s="13" t="str">
        <f t="shared" ref="Q2501:Q2564" si="278">IFERROR(IF(N2501&gt;0,IF(N2501=VALUE(E2501),"ГОТОВ","ГОТОВ_ИЗМЕНЕН"),"НЕ ГОТОВ"),"НЕ ГОТОВ")</f>
        <v>ГОТОВ_ИЗМЕНЕН</v>
      </c>
      <c r="R2501" s="13">
        <f>IFERROR(VLOOKUP(P2501,Лист1!A$1:B$20,2,FALSE),0)</f>
        <v>784</v>
      </c>
      <c r="S2501" s="13">
        <f t="shared" ref="S2501:S2564" si="279">VALUE(E2501)</f>
        <v>0</v>
      </c>
    </row>
    <row r="2502" spans="1:19" x14ac:dyDescent="0.25">
      <c r="A2502" s="24" t="s">
        <v>3632</v>
      </c>
      <c r="B2502" s="4" t="s">
        <v>1059</v>
      </c>
      <c r="C2502" s="25" t="s">
        <v>7</v>
      </c>
      <c r="G2502" s="25" t="s">
        <v>1099</v>
      </c>
      <c r="H2502" s="24" t="s">
        <v>1061</v>
      </c>
      <c r="I2502" s="3" t="str">
        <f>IFERROR(VLOOKUP(C2502,'Справочник соответствий'!A$2:D$2981,2,FALSE),IF(VALUE(C2502)=0,1,VLOOKUP(C2502,'Справочник соответствий'!A$2:D$2981,2,FALSE)))</f>
        <v>2</v>
      </c>
      <c r="J2502" s="3">
        <f>IFERROR(VLOOKUP(D2502,'Справочник соответствий'!A$2:D$2981,2,FALSE),IF(VALUE(D2502)=0,0,VLOOKUP(D2502,'Справочник соответствий'!A$2:D$2981,2,FALSE)))</f>
        <v>0</v>
      </c>
      <c r="K2502" s="3" t="str">
        <f t="shared" si="273"/>
        <v>2</v>
      </c>
      <c r="L2502" s="13" t="str">
        <f>IFERROR(VLOOKUP(C2502,'Справочник соответствий'!A$2:D$2981,3,FALSE),IF(VALUE(C2502)=0,"ЭТАЖ НЕ ОПРЕДЕЛЕН. ПРИНЯТ ПО ДОПУЩЕНИЮ 1",VLOOKUP(C2502,'Справочник соответствий'!A$2:D$2981,3,FALSE)))</f>
        <v>ЭТАЖ ЗАДАН ЧИСЛОМ</v>
      </c>
      <c r="M2502" s="13" t="b">
        <f t="shared" si="274"/>
        <v>0</v>
      </c>
      <c r="N2502" s="13">
        <f t="shared" si="275"/>
        <v>2</v>
      </c>
      <c r="O2502" s="13" t="str">
        <f t="shared" si="276"/>
        <v>ЭТАЖ ЗАДАН ЧИСЛОМ</v>
      </c>
      <c r="P2502" s="13" t="str">
        <f t="shared" si="277"/>
        <v>ЭТАЖ ЗАДАН ЧИСЛОМ</v>
      </c>
      <c r="Q2502" s="13" t="str">
        <f t="shared" si="278"/>
        <v>ГОТОВ_ИЗМЕНЕН</v>
      </c>
      <c r="R2502" s="13">
        <f>IFERROR(VLOOKUP(P2502,Лист1!A$1:B$20,2,FALSE),0)</f>
        <v>784</v>
      </c>
      <c r="S2502" s="13">
        <f t="shared" si="279"/>
        <v>0</v>
      </c>
    </row>
    <row r="2503" spans="1:19" x14ac:dyDescent="0.25">
      <c r="A2503" s="24" t="s">
        <v>3633</v>
      </c>
      <c r="B2503" s="4" t="s">
        <v>1059</v>
      </c>
      <c r="C2503" s="25" t="s">
        <v>5</v>
      </c>
      <c r="G2503" s="25" t="s">
        <v>1108</v>
      </c>
      <c r="H2503" s="24" t="s">
        <v>1061</v>
      </c>
      <c r="I2503" s="3" t="str">
        <f>IFERROR(VLOOKUP(C2503,'Справочник соответствий'!A$2:D$2981,2,FALSE),IF(VALUE(C2503)=0,1,VLOOKUP(C2503,'Справочник соответствий'!A$2:D$2981,2,FALSE)))</f>
        <v>1</v>
      </c>
      <c r="J2503" s="3">
        <f>IFERROR(VLOOKUP(D2503,'Справочник соответствий'!A$2:D$2981,2,FALSE),IF(VALUE(D2503)=0,0,VLOOKUP(D2503,'Справочник соответствий'!A$2:D$2981,2,FALSE)))</f>
        <v>0</v>
      </c>
      <c r="K2503" s="3" t="str">
        <f t="shared" si="273"/>
        <v>1</v>
      </c>
      <c r="L2503" s="13" t="str">
        <f>IFERROR(VLOOKUP(C2503,'Справочник соответствий'!A$2:D$2981,3,FALSE),IF(VALUE(C2503)=0,"ЭТАЖ НЕ ОПРЕДЕЛЕН. ПРИНЯТ ПО ДОПУЩЕНИЮ 1",VLOOKUP(C2503,'Справочник соответствий'!A$2:D$2981,3,FALSE)))</f>
        <v>ЭТАЖ ЗАДАН ЧИСЛОМ</v>
      </c>
      <c r="M2503" s="13" t="b">
        <f t="shared" si="274"/>
        <v>0</v>
      </c>
      <c r="N2503" s="13">
        <f t="shared" si="275"/>
        <v>1</v>
      </c>
      <c r="O2503" s="13" t="str">
        <f t="shared" si="276"/>
        <v>ЭТАЖ ЗАДАН ЧИСЛОМ</v>
      </c>
      <c r="P2503" s="13" t="str">
        <f t="shared" si="277"/>
        <v>ЭТАЖ ЗАДАН ЧИСЛОМ</v>
      </c>
      <c r="Q2503" s="13" t="str">
        <f t="shared" si="278"/>
        <v>ГОТОВ_ИЗМЕНЕН</v>
      </c>
      <c r="R2503" s="13">
        <f>IFERROR(VLOOKUP(P2503,Лист1!A$1:B$20,2,FALSE),0)</f>
        <v>784</v>
      </c>
      <c r="S2503" s="13">
        <f t="shared" si="279"/>
        <v>0</v>
      </c>
    </row>
    <row r="2504" spans="1:19" x14ac:dyDescent="0.25">
      <c r="A2504" s="24" t="s">
        <v>3634</v>
      </c>
      <c r="B2504" s="4" t="s">
        <v>1063</v>
      </c>
      <c r="C2504" s="25" t="s">
        <v>5</v>
      </c>
      <c r="G2504" s="25" t="s">
        <v>1099</v>
      </c>
      <c r="H2504" s="24" t="s">
        <v>1061</v>
      </c>
      <c r="I2504" s="3" t="str">
        <f>IFERROR(VLOOKUP(C2504,'Справочник соответствий'!A$2:D$2981,2,FALSE),IF(VALUE(C2504)=0,1,VLOOKUP(C2504,'Справочник соответствий'!A$2:D$2981,2,FALSE)))</f>
        <v>1</v>
      </c>
      <c r="J2504" s="3">
        <f>IFERROR(VLOOKUP(D2504,'Справочник соответствий'!A$2:D$2981,2,FALSE),IF(VALUE(D2504)=0,0,VLOOKUP(D2504,'Справочник соответствий'!A$2:D$2981,2,FALSE)))</f>
        <v>0</v>
      </c>
      <c r="K2504" s="3" t="str">
        <f t="shared" si="273"/>
        <v>1</v>
      </c>
      <c r="L2504" s="13" t="str">
        <f>IFERROR(VLOOKUP(C2504,'Справочник соответствий'!A$2:D$2981,3,FALSE),IF(VALUE(C2504)=0,"ЭТАЖ НЕ ОПРЕДЕЛЕН. ПРИНЯТ ПО ДОПУЩЕНИЮ 1",VLOOKUP(C2504,'Справочник соответствий'!A$2:D$2981,3,FALSE)))</f>
        <v>ЭТАЖ ЗАДАН ЧИСЛОМ</v>
      </c>
      <c r="M2504" s="13" t="b">
        <f t="shared" si="274"/>
        <v>0</v>
      </c>
      <c r="N2504" s="13">
        <f t="shared" si="275"/>
        <v>1</v>
      </c>
      <c r="O2504" s="13" t="str">
        <f t="shared" si="276"/>
        <v>ЭТАЖ ЗАДАН ЧИСЛОМ</v>
      </c>
      <c r="P2504" s="13" t="str">
        <f t="shared" si="277"/>
        <v>ЭТАЖ ЗАДАН ЧИСЛОМ</v>
      </c>
      <c r="Q2504" s="13" t="str">
        <f t="shared" si="278"/>
        <v>ГОТОВ_ИЗМЕНЕН</v>
      </c>
      <c r="R2504" s="13">
        <f>IFERROR(VLOOKUP(P2504,Лист1!A$1:B$20,2,FALSE),0)</f>
        <v>784</v>
      </c>
      <c r="S2504" s="13">
        <f t="shared" si="279"/>
        <v>0</v>
      </c>
    </row>
    <row r="2505" spans="1:19" x14ac:dyDescent="0.25">
      <c r="A2505" s="24" t="s">
        <v>3635</v>
      </c>
      <c r="B2505" s="4" t="s">
        <v>1059</v>
      </c>
      <c r="C2505" s="25" t="s">
        <v>5</v>
      </c>
      <c r="G2505" s="25" t="s">
        <v>1060</v>
      </c>
      <c r="H2505" s="24" t="s">
        <v>1061</v>
      </c>
      <c r="I2505" s="3" t="str">
        <f>IFERROR(VLOOKUP(C2505,'Справочник соответствий'!A$2:D$2981,2,FALSE),IF(VALUE(C2505)=0,1,VLOOKUP(C2505,'Справочник соответствий'!A$2:D$2981,2,FALSE)))</f>
        <v>1</v>
      </c>
      <c r="J2505" s="3">
        <f>IFERROR(VLOOKUP(D2505,'Справочник соответствий'!A$2:D$2981,2,FALSE),IF(VALUE(D2505)=0,0,VLOOKUP(D2505,'Справочник соответствий'!A$2:D$2981,2,FALSE)))</f>
        <v>0</v>
      </c>
      <c r="K2505" s="3" t="str">
        <f t="shared" si="273"/>
        <v>1</v>
      </c>
      <c r="L2505" s="13" t="str">
        <f>IFERROR(VLOOKUP(C2505,'Справочник соответствий'!A$2:D$2981,3,FALSE),IF(VALUE(C2505)=0,"ЭТАЖ НЕ ОПРЕДЕЛЕН. ПРИНЯТ ПО ДОПУЩЕНИЮ 1",VLOOKUP(C2505,'Справочник соответствий'!A$2:D$2981,3,FALSE)))</f>
        <v>ЭТАЖ ЗАДАН ЧИСЛОМ</v>
      </c>
      <c r="M2505" s="13" t="b">
        <f t="shared" si="274"/>
        <v>0</v>
      </c>
      <c r="N2505" s="13">
        <f t="shared" si="275"/>
        <v>1</v>
      </c>
      <c r="O2505" s="13" t="str">
        <f t="shared" si="276"/>
        <v>ЭТАЖ ЗАДАН ЧИСЛОМ</v>
      </c>
      <c r="P2505" s="13" t="str">
        <f t="shared" si="277"/>
        <v>ЭТАЖ ЗАДАН ЧИСЛОМ</v>
      </c>
      <c r="Q2505" s="13" t="str">
        <f t="shared" si="278"/>
        <v>ГОТОВ_ИЗМЕНЕН</v>
      </c>
      <c r="R2505" s="13">
        <f>IFERROR(VLOOKUP(P2505,Лист1!A$1:B$20,2,FALSE),0)</f>
        <v>784</v>
      </c>
      <c r="S2505" s="13">
        <f t="shared" si="279"/>
        <v>0</v>
      </c>
    </row>
    <row r="2506" spans="1:19" x14ac:dyDescent="0.25">
      <c r="A2506" s="24" t="s">
        <v>3636</v>
      </c>
      <c r="B2506" s="4" t="s">
        <v>1059</v>
      </c>
      <c r="C2506" s="25" t="s">
        <v>7</v>
      </c>
      <c r="G2506" s="25" t="s">
        <v>1108</v>
      </c>
      <c r="H2506" s="24" t="s">
        <v>1061</v>
      </c>
      <c r="I2506" s="3" t="str">
        <f>IFERROR(VLOOKUP(C2506,'Справочник соответствий'!A$2:D$2981,2,FALSE),IF(VALUE(C2506)=0,1,VLOOKUP(C2506,'Справочник соответствий'!A$2:D$2981,2,FALSE)))</f>
        <v>2</v>
      </c>
      <c r="J2506" s="3">
        <f>IFERROR(VLOOKUP(D2506,'Справочник соответствий'!A$2:D$2981,2,FALSE),IF(VALUE(D2506)=0,0,VLOOKUP(D2506,'Справочник соответствий'!A$2:D$2981,2,FALSE)))</f>
        <v>0</v>
      </c>
      <c r="K2506" s="3" t="str">
        <f t="shared" si="273"/>
        <v>2</v>
      </c>
      <c r="L2506" s="13" t="str">
        <f>IFERROR(VLOOKUP(C2506,'Справочник соответствий'!A$2:D$2981,3,FALSE),IF(VALUE(C2506)=0,"ЭТАЖ НЕ ОПРЕДЕЛЕН. ПРИНЯТ ПО ДОПУЩЕНИЮ 1",VLOOKUP(C2506,'Справочник соответствий'!A$2:D$2981,3,FALSE)))</f>
        <v>ЭТАЖ ЗАДАН ЧИСЛОМ</v>
      </c>
      <c r="M2506" s="13" t="b">
        <f t="shared" si="274"/>
        <v>0</v>
      </c>
      <c r="N2506" s="13">
        <f t="shared" si="275"/>
        <v>2</v>
      </c>
      <c r="O2506" s="13" t="str">
        <f t="shared" si="276"/>
        <v>ЭТАЖ ЗАДАН ЧИСЛОМ</v>
      </c>
      <c r="P2506" s="13" t="str">
        <f t="shared" si="277"/>
        <v>ЭТАЖ ЗАДАН ЧИСЛОМ</v>
      </c>
      <c r="Q2506" s="13" t="str">
        <f t="shared" si="278"/>
        <v>ГОТОВ_ИЗМЕНЕН</v>
      </c>
      <c r="R2506" s="13">
        <f>IFERROR(VLOOKUP(P2506,Лист1!A$1:B$20,2,FALSE),0)</f>
        <v>784</v>
      </c>
      <c r="S2506" s="13">
        <f t="shared" si="279"/>
        <v>0</v>
      </c>
    </row>
    <row r="2507" spans="1:19" x14ac:dyDescent="0.25">
      <c r="A2507" s="24" t="s">
        <v>3637</v>
      </c>
      <c r="B2507" s="4" t="s">
        <v>1063</v>
      </c>
      <c r="C2507" s="25" t="s">
        <v>5</v>
      </c>
      <c r="G2507" s="25" t="s">
        <v>1060</v>
      </c>
      <c r="H2507" s="24" t="s">
        <v>1061</v>
      </c>
      <c r="I2507" s="3" t="str">
        <f>IFERROR(VLOOKUP(C2507,'Справочник соответствий'!A$2:D$2981,2,FALSE),IF(VALUE(C2507)=0,1,VLOOKUP(C2507,'Справочник соответствий'!A$2:D$2981,2,FALSE)))</f>
        <v>1</v>
      </c>
      <c r="J2507" s="3">
        <f>IFERROR(VLOOKUP(D2507,'Справочник соответствий'!A$2:D$2981,2,FALSE),IF(VALUE(D2507)=0,0,VLOOKUP(D2507,'Справочник соответствий'!A$2:D$2981,2,FALSE)))</f>
        <v>0</v>
      </c>
      <c r="K2507" s="3" t="str">
        <f t="shared" si="273"/>
        <v>1</v>
      </c>
      <c r="L2507" s="13" t="str">
        <f>IFERROR(VLOOKUP(C2507,'Справочник соответствий'!A$2:D$2981,3,FALSE),IF(VALUE(C2507)=0,"ЭТАЖ НЕ ОПРЕДЕЛЕН. ПРИНЯТ ПО ДОПУЩЕНИЮ 1",VLOOKUP(C2507,'Справочник соответствий'!A$2:D$2981,3,FALSE)))</f>
        <v>ЭТАЖ ЗАДАН ЧИСЛОМ</v>
      </c>
      <c r="M2507" s="13" t="b">
        <f t="shared" si="274"/>
        <v>0</v>
      </c>
      <c r="N2507" s="13">
        <f t="shared" si="275"/>
        <v>1</v>
      </c>
      <c r="O2507" s="13" t="str">
        <f t="shared" si="276"/>
        <v>ЭТАЖ ЗАДАН ЧИСЛОМ</v>
      </c>
      <c r="P2507" s="13" t="str">
        <f t="shared" si="277"/>
        <v>ЭТАЖ ЗАДАН ЧИСЛОМ</v>
      </c>
      <c r="Q2507" s="13" t="str">
        <f t="shared" si="278"/>
        <v>ГОТОВ_ИЗМЕНЕН</v>
      </c>
      <c r="R2507" s="13">
        <f>IFERROR(VLOOKUP(P2507,Лист1!A$1:B$20,2,FALSE),0)</f>
        <v>784</v>
      </c>
      <c r="S2507" s="13">
        <f t="shared" si="279"/>
        <v>0</v>
      </c>
    </row>
    <row r="2508" spans="1:19" x14ac:dyDescent="0.25">
      <c r="A2508" s="24" t="s">
        <v>3638</v>
      </c>
      <c r="B2508" s="4" t="s">
        <v>1059</v>
      </c>
      <c r="C2508" s="25" t="s">
        <v>5</v>
      </c>
      <c r="G2508" s="25" t="s">
        <v>1060</v>
      </c>
      <c r="H2508" s="24" t="s">
        <v>1061</v>
      </c>
      <c r="I2508" s="3" t="str">
        <f>IFERROR(VLOOKUP(C2508,'Справочник соответствий'!A$2:D$2981,2,FALSE),IF(VALUE(C2508)=0,1,VLOOKUP(C2508,'Справочник соответствий'!A$2:D$2981,2,FALSE)))</f>
        <v>1</v>
      </c>
      <c r="J2508" s="3">
        <f>IFERROR(VLOOKUP(D2508,'Справочник соответствий'!A$2:D$2981,2,FALSE),IF(VALUE(D2508)=0,0,VLOOKUP(D2508,'Справочник соответствий'!A$2:D$2981,2,FALSE)))</f>
        <v>0</v>
      </c>
      <c r="K2508" s="3" t="str">
        <f t="shared" si="273"/>
        <v>1</v>
      </c>
      <c r="L2508" s="13" t="str">
        <f>IFERROR(VLOOKUP(C2508,'Справочник соответствий'!A$2:D$2981,3,FALSE),IF(VALUE(C2508)=0,"ЭТАЖ НЕ ОПРЕДЕЛЕН. ПРИНЯТ ПО ДОПУЩЕНИЮ 1",VLOOKUP(C2508,'Справочник соответствий'!A$2:D$2981,3,FALSE)))</f>
        <v>ЭТАЖ ЗАДАН ЧИСЛОМ</v>
      </c>
      <c r="M2508" s="13" t="b">
        <f t="shared" si="274"/>
        <v>0</v>
      </c>
      <c r="N2508" s="13">
        <f t="shared" si="275"/>
        <v>1</v>
      </c>
      <c r="O2508" s="13" t="str">
        <f t="shared" si="276"/>
        <v>ЭТАЖ ЗАДАН ЧИСЛОМ</v>
      </c>
      <c r="P2508" s="13" t="str">
        <f t="shared" si="277"/>
        <v>ЭТАЖ ЗАДАН ЧИСЛОМ</v>
      </c>
      <c r="Q2508" s="13" t="str">
        <f t="shared" si="278"/>
        <v>ГОТОВ_ИЗМЕНЕН</v>
      </c>
      <c r="R2508" s="13">
        <f>IFERROR(VLOOKUP(P2508,Лист1!A$1:B$20,2,FALSE),0)</f>
        <v>784</v>
      </c>
      <c r="S2508" s="13">
        <f t="shared" si="279"/>
        <v>0</v>
      </c>
    </row>
    <row r="2509" spans="1:19" x14ac:dyDescent="0.25">
      <c r="A2509" s="24" t="s">
        <v>3639</v>
      </c>
      <c r="B2509" s="4" t="s">
        <v>1059</v>
      </c>
      <c r="C2509" s="25" t="s">
        <v>5</v>
      </c>
      <c r="G2509" s="25" t="s">
        <v>1205</v>
      </c>
      <c r="H2509" s="24" t="s">
        <v>1061</v>
      </c>
      <c r="I2509" s="3" t="str">
        <f>IFERROR(VLOOKUP(C2509,'Справочник соответствий'!A$2:D$2981,2,FALSE),IF(VALUE(C2509)=0,1,VLOOKUP(C2509,'Справочник соответствий'!A$2:D$2981,2,FALSE)))</f>
        <v>1</v>
      </c>
      <c r="J2509" s="3">
        <f>IFERROR(VLOOKUP(D2509,'Справочник соответствий'!A$2:D$2981,2,FALSE),IF(VALUE(D2509)=0,0,VLOOKUP(D2509,'Справочник соответствий'!A$2:D$2981,2,FALSE)))</f>
        <v>0</v>
      </c>
      <c r="K2509" s="3" t="str">
        <f t="shared" si="273"/>
        <v>1</v>
      </c>
      <c r="L2509" s="13" t="str">
        <f>IFERROR(VLOOKUP(C2509,'Справочник соответствий'!A$2:D$2981,3,FALSE),IF(VALUE(C2509)=0,"ЭТАЖ НЕ ОПРЕДЕЛЕН. ПРИНЯТ ПО ДОПУЩЕНИЮ 1",VLOOKUP(C2509,'Справочник соответствий'!A$2:D$2981,3,FALSE)))</f>
        <v>ЭТАЖ ЗАДАН ЧИСЛОМ</v>
      </c>
      <c r="M2509" s="13" t="b">
        <f t="shared" si="274"/>
        <v>0</v>
      </c>
      <c r="N2509" s="13">
        <f t="shared" si="275"/>
        <v>1</v>
      </c>
      <c r="O2509" s="13" t="str">
        <f t="shared" si="276"/>
        <v>ЭТАЖ ЗАДАН ЧИСЛОМ</v>
      </c>
      <c r="P2509" s="13" t="str">
        <f t="shared" si="277"/>
        <v>ЭТАЖ ЗАДАН ЧИСЛОМ</v>
      </c>
      <c r="Q2509" s="13" t="str">
        <f t="shared" si="278"/>
        <v>ГОТОВ_ИЗМЕНЕН</v>
      </c>
      <c r="R2509" s="13">
        <f>IFERROR(VLOOKUP(P2509,Лист1!A$1:B$20,2,FALSE),0)</f>
        <v>784</v>
      </c>
      <c r="S2509" s="13">
        <f t="shared" si="279"/>
        <v>0</v>
      </c>
    </row>
    <row r="2510" spans="1:19" x14ac:dyDescent="0.25">
      <c r="A2510" s="24" t="s">
        <v>3640</v>
      </c>
      <c r="B2510" s="4" t="s">
        <v>1059</v>
      </c>
      <c r="C2510" s="25" t="s">
        <v>5</v>
      </c>
      <c r="G2510" s="25" t="s">
        <v>1060</v>
      </c>
      <c r="H2510" s="24" t="s">
        <v>1061</v>
      </c>
      <c r="I2510" s="3" t="str">
        <f>IFERROR(VLOOKUP(C2510,'Справочник соответствий'!A$2:D$2981,2,FALSE),IF(VALUE(C2510)=0,1,VLOOKUP(C2510,'Справочник соответствий'!A$2:D$2981,2,FALSE)))</f>
        <v>1</v>
      </c>
      <c r="J2510" s="3">
        <f>IFERROR(VLOOKUP(D2510,'Справочник соответствий'!A$2:D$2981,2,FALSE),IF(VALUE(D2510)=0,0,VLOOKUP(D2510,'Справочник соответствий'!A$2:D$2981,2,FALSE)))</f>
        <v>0</v>
      </c>
      <c r="K2510" s="3" t="str">
        <f t="shared" si="273"/>
        <v>1</v>
      </c>
      <c r="L2510" s="13" t="str">
        <f>IFERROR(VLOOKUP(C2510,'Справочник соответствий'!A$2:D$2981,3,FALSE),IF(VALUE(C2510)=0,"ЭТАЖ НЕ ОПРЕДЕЛЕН. ПРИНЯТ ПО ДОПУЩЕНИЮ 1",VLOOKUP(C2510,'Справочник соответствий'!A$2:D$2981,3,FALSE)))</f>
        <v>ЭТАЖ ЗАДАН ЧИСЛОМ</v>
      </c>
      <c r="M2510" s="13" t="b">
        <f t="shared" si="274"/>
        <v>0</v>
      </c>
      <c r="N2510" s="13">
        <f t="shared" si="275"/>
        <v>1</v>
      </c>
      <c r="O2510" s="13" t="str">
        <f t="shared" si="276"/>
        <v>ЭТАЖ ЗАДАН ЧИСЛОМ</v>
      </c>
      <c r="P2510" s="13" t="str">
        <f t="shared" si="277"/>
        <v>ЭТАЖ ЗАДАН ЧИСЛОМ</v>
      </c>
      <c r="Q2510" s="13" t="str">
        <f t="shared" si="278"/>
        <v>ГОТОВ_ИЗМЕНЕН</v>
      </c>
      <c r="R2510" s="13">
        <f>IFERROR(VLOOKUP(P2510,Лист1!A$1:B$20,2,FALSE),0)</f>
        <v>784</v>
      </c>
      <c r="S2510" s="13">
        <f t="shared" si="279"/>
        <v>0</v>
      </c>
    </row>
    <row r="2511" spans="1:19" x14ac:dyDescent="0.25">
      <c r="A2511" s="24" t="s">
        <v>3641</v>
      </c>
      <c r="B2511" s="4" t="s">
        <v>1063</v>
      </c>
      <c r="G2511" s="25" t="s">
        <v>1060</v>
      </c>
      <c r="H2511" s="24" t="s">
        <v>1061</v>
      </c>
      <c r="I2511" s="3">
        <f>IFERROR(VLOOKUP(C2511,'Справочник соответствий'!A$2:D$2981,2,FALSE),IF(VALUE(C2511)=0,1,VLOOKUP(C2511,'Справочник соответствий'!A$2:D$2981,2,FALSE)))</f>
        <v>1</v>
      </c>
      <c r="J2511" s="3">
        <f>IFERROR(VLOOKUP(D2511,'Справочник соответствий'!A$2:D$2981,2,FALSE),IF(VALUE(D2511)=0,0,VLOOKUP(D2511,'Справочник соответствий'!A$2:D$2981,2,FALSE)))</f>
        <v>0</v>
      </c>
      <c r="K2511" s="3">
        <f t="shared" si="273"/>
        <v>1</v>
      </c>
      <c r="L2511" s="13" t="str">
        <f>IFERROR(VLOOKUP(C2511,'Справочник соответствий'!A$2:D$2981,3,FALSE),IF(VALUE(C2511)=0,"ЭТАЖ НЕ ОПРЕДЕЛЕН. ПРИНЯТ ПО ДОПУЩЕНИЮ 1",VLOOKUP(C2511,'Справочник соответствий'!A$2:D$2981,3,FALSE)))</f>
        <v>ЭТАЖ НЕ ОПРЕДЕЛЕН. ПРИНЯТ ПО ДОПУЩЕНИЮ 1</v>
      </c>
      <c r="M2511" s="13" t="b">
        <f t="shared" si="274"/>
        <v>0</v>
      </c>
      <c r="N2511" s="13">
        <f t="shared" si="275"/>
        <v>1</v>
      </c>
      <c r="O2511" s="13" t="str">
        <f t="shared" si="276"/>
        <v>ЭТАЖ НЕ ОПРЕДЕЛЕН. ПРИНЯТ ПО ДОПУЩЕНИЮ 1</v>
      </c>
      <c r="P2511" s="13" t="str">
        <f t="shared" si="277"/>
        <v>ЭТАЖ НЕ ОПРЕДЕЛЕН. ПРИНЯТ ПО ДОПУЩЕНИЮ 1</v>
      </c>
      <c r="Q2511" s="13" t="str">
        <f t="shared" si="278"/>
        <v>ГОТОВ_ИЗМЕНЕН</v>
      </c>
      <c r="R2511" s="13">
        <f>IFERROR(VLOOKUP(P2511,Лист1!A$1:B$20,2,FALSE),0)</f>
        <v>788</v>
      </c>
      <c r="S2511" s="13">
        <f t="shared" si="279"/>
        <v>0</v>
      </c>
    </row>
    <row r="2512" spans="1:19" x14ac:dyDescent="0.25">
      <c r="A2512" s="24" t="s">
        <v>3642</v>
      </c>
      <c r="B2512" s="4" t="s">
        <v>1059</v>
      </c>
      <c r="C2512" s="25" t="s">
        <v>7</v>
      </c>
      <c r="G2512" s="25" t="s">
        <v>1060</v>
      </c>
      <c r="H2512" s="24" t="s">
        <v>1061</v>
      </c>
      <c r="I2512" s="3" t="str">
        <f>IFERROR(VLOOKUP(C2512,'Справочник соответствий'!A$2:D$2981,2,FALSE),IF(VALUE(C2512)=0,1,VLOOKUP(C2512,'Справочник соответствий'!A$2:D$2981,2,FALSE)))</f>
        <v>2</v>
      </c>
      <c r="J2512" s="3">
        <f>IFERROR(VLOOKUP(D2512,'Справочник соответствий'!A$2:D$2981,2,FALSE),IF(VALUE(D2512)=0,0,VLOOKUP(D2512,'Справочник соответствий'!A$2:D$2981,2,FALSE)))</f>
        <v>0</v>
      </c>
      <c r="K2512" s="3" t="str">
        <f t="shared" si="273"/>
        <v>2</v>
      </c>
      <c r="L2512" s="13" t="str">
        <f>IFERROR(VLOOKUP(C2512,'Справочник соответствий'!A$2:D$2981,3,FALSE),IF(VALUE(C2512)=0,"ЭТАЖ НЕ ОПРЕДЕЛЕН. ПРИНЯТ ПО ДОПУЩЕНИЮ 1",VLOOKUP(C2512,'Справочник соответствий'!A$2:D$2981,3,FALSE)))</f>
        <v>ЭТАЖ ЗАДАН ЧИСЛОМ</v>
      </c>
      <c r="M2512" s="13" t="b">
        <f t="shared" si="274"/>
        <v>0</v>
      </c>
      <c r="N2512" s="13">
        <f t="shared" si="275"/>
        <v>2</v>
      </c>
      <c r="O2512" s="13" t="str">
        <f t="shared" si="276"/>
        <v>ЭТАЖ ЗАДАН ЧИСЛОМ</v>
      </c>
      <c r="P2512" s="13" t="str">
        <f t="shared" si="277"/>
        <v>ЭТАЖ ЗАДАН ЧИСЛОМ</v>
      </c>
      <c r="Q2512" s="13" t="str">
        <f t="shared" si="278"/>
        <v>ГОТОВ_ИЗМЕНЕН</v>
      </c>
      <c r="R2512" s="13">
        <f>IFERROR(VLOOKUP(P2512,Лист1!A$1:B$20,2,FALSE),0)</f>
        <v>784</v>
      </c>
      <c r="S2512" s="13">
        <f t="shared" si="279"/>
        <v>0</v>
      </c>
    </row>
    <row r="2513" spans="1:19" x14ac:dyDescent="0.25">
      <c r="A2513" s="24" t="s">
        <v>3643</v>
      </c>
      <c r="B2513" s="4" t="s">
        <v>1063</v>
      </c>
      <c r="C2513" s="25" t="s">
        <v>5</v>
      </c>
      <c r="G2513" s="25" t="s">
        <v>1060</v>
      </c>
      <c r="H2513" s="24" t="s">
        <v>1061</v>
      </c>
      <c r="I2513" s="3" t="str">
        <f>IFERROR(VLOOKUP(C2513,'Справочник соответствий'!A$2:D$2981,2,FALSE),IF(VALUE(C2513)=0,1,VLOOKUP(C2513,'Справочник соответствий'!A$2:D$2981,2,FALSE)))</f>
        <v>1</v>
      </c>
      <c r="J2513" s="3">
        <f>IFERROR(VLOOKUP(D2513,'Справочник соответствий'!A$2:D$2981,2,FALSE),IF(VALUE(D2513)=0,0,VLOOKUP(D2513,'Справочник соответствий'!A$2:D$2981,2,FALSE)))</f>
        <v>0</v>
      </c>
      <c r="K2513" s="3" t="str">
        <f t="shared" si="273"/>
        <v>1</v>
      </c>
      <c r="L2513" s="13" t="str">
        <f>IFERROR(VLOOKUP(C2513,'Справочник соответствий'!A$2:D$2981,3,FALSE),IF(VALUE(C2513)=0,"ЭТАЖ НЕ ОПРЕДЕЛЕН. ПРИНЯТ ПО ДОПУЩЕНИЮ 1",VLOOKUP(C2513,'Справочник соответствий'!A$2:D$2981,3,FALSE)))</f>
        <v>ЭТАЖ ЗАДАН ЧИСЛОМ</v>
      </c>
      <c r="M2513" s="13" t="b">
        <f t="shared" si="274"/>
        <v>0</v>
      </c>
      <c r="N2513" s="13">
        <f t="shared" si="275"/>
        <v>1</v>
      </c>
      <c r="O2513" s="13" t="str">
        <f t="shared" si="276"/>
        <v>ЭТАЖ ЗАДАН ЧИСЛОМ</v>
      </c>
      <c r="P2513" s="13" t="str">
        <f t="shared" si="277"/>
        <v>ЭТАЖ ЗАДАН ЧИСЛОМ</v>
      </c>
      <c r="Q2513" s="13" t="str">
        <f t="shared" si="278"/>
        <v>ГОТОВ_ИЗМЕНЕН</v>
      </c>
      <c r="R2513" s="13">
        <f>IFERROR(VLOOKUP(P2513,Лист1!A$1:B$20,2,FALSE),0)</f>
        <v>784</v>
      </c>
      <c r="S2513" s="13">
        <f t="shared" si="279"/>
        <v>0</v>
      </c>
    </row>
    <row r="2514" spans="1:19" x14ac:dyDescent="0.25">
      <c r="A2514" s="24" t="s">
        <v>3644</v>
      </c>
      <c r="B2514" s="4" t="s">
        <v>1063</v>
      </c>
      <c r="C2514" s="25" t="s">
        <v>7</v>
      </c>
      <c r="G2514" s="25" t="s">
        <v>1060</v>
      </c>
      <c r="H2514" s="24" t="s">
        <v>1061</v>
      </c>
      <c r="I2514" s="3" t="str">
        <f>IFERROR(VLOOKUP(C2514,'Справочник соответствий'!A$2:D$2981,2,FALSE),IF(VALUE(C2514)=0,1,VLOOKUP(C2514,'Справочник соответствий'!A$2:D$2981,2,FALSE)))</f>
        <v>2</v>
      </c>
      <c r="J2514" s="3">
        <f>IFERROR(VLOOKUP(D2514,'Справочник соответствий'!A$2:D$2981,2,FALSE),IF(VALUE(D2514)=0,0,VLOOKUP(D2514,'Справочник соответствий'!A$2:D$2981,2,FALSE)))</f>
        <v>0</v>
      </c>
      <c r="K2514" s="3" t="str">
        <f t="shared" si="273"/>
        <v>2</v>
      </c>
      <c r="L2514" s="13" t="str">
        <f>IFERROR(VLOOKUP(C2514,'Справочник соответствий'!A$2:D$2981,3,FALSE),IF(VALUE(C2514)=0,"ЭТАЖ НЕ ОПРЕДЕЛЕН. ПРИНЯТ ПО ДОПУЩЕНИЮ 1",VLOOKUP(C2514,'Справочник соответствий'!A$2:D$2981,3,FALSE)))</f>
        <v>ЭТАЖ ЗАДАН ЧИСЛОМ</v>
      </c>
      <c r="M2514" s="13" t="b">
        <f t="shared" si="274"/>
        <v>0</v>
      </c>
      <c r="N2514" s="13">
        <f t="shared" si="275"/>
        <v>2</v>
      </c>
      <c r="O2514" s="13" t="str">
        <f t="shared" si="276"/>
        <v>ЭТАЖ ЗАДАН ЧИСЛОМ</v>
      </c>
      <c r="P2514" s="13" t="str">
        <f t="shared" si="277"/>
        <v>ЭТАЖ ЗАДАН ЧИСЛОМ</v>
      </c>
      <c r="Q2514" s="13" t="str">
        <f t="shared" si="278"/>
        <v>ГОТОВ_ИЗМЕНЕН</v>
      </c>
      <c r="R2514" s="13">
        <f>IFERROR(VLOOKUP(P2514,Лист1!A$1:B$20,2,FALSE),0)</f>
        <v>784</v>
      </c>
      <c r="S2514" s="13">
        <f t="shared" si="279"/>
        <v>0</v>
      </c>
    </row>
    <row r="2515" spans="1:19" x14ac:dyDescent="0.25">
      <c r="A2515" s="24" t="s">
        <v>3645</v>
      </c>
      <c r="B2515" s="4" t="s">
        <v>1059</v>
      </c>
      <c r="C2515" s="25" t="s">
        <v>7</v>
      </c>
      <c r="G2515" s="25" t="s">
        <v>1060</v>
      </c>
      <c r="H2515" s="24" t="s">
        <v>1061</v>
      </c>
      <c r="I2515" s="3" t="str">
        <f>IFERROR(VLOOKUP(C2515,'Справочник соответствий'!A$2:D$2981,2,FALSE),IF(VALUE(C2515)=0,1,VLOOKUP(C2515,'Справочник соответствий'!A$2:D$2981,2,FALSE)))</f>
        <v>2</v>
      </c>
      <c r="J2515" s="3">
        <f>IFERROR(VLOOKUP(D2515,'Справочник соответствий'!A$2:D$2981,2,FALSE),IF(VALUE(D2515)=0,0,VLOOKUP(D2515,'Справочник соответствий'!A$2:D$2981,2,FALSE)))</f>
        <v>0</v>
      </c>
      <c r="K2515" s="3" t="str">
        <f t="shared" si="273"/>
        <v>2</v>
      </c>
      <c r="L2515" s="13" t="str">
        <f>IFERROR(VLOOKUP(C2515,'Справочник соответствий'!A$2:D$2981,3,FALSE),IF(VALUE(C2515)=0,"ЭТАЖ НЕ ОПРЕДЕЛЕН. ПРИНЯТ ПО ДОПУЩЕНИЮ 1",VLOOKUP(C2515,'Справочник соответствий'!A$2:D$2981,3,FALSE)))</f>
        <v>ЭТАЖ ЗАДАН ЧИСЛОМ</v>
      </c>
      <c r="M2515" s="13" t="b">
        <f t="shared" si="274"/>
        <v>0</v>
      </c>
      <c r="N2515" s="13">
        <f t="shared" si="275"/>
        <v>2</v>
      </c>
      <c r="O2515" s="13" t="str">
        <f t="shared" si="276"/>
        <v>ЭТАЖ ЗАДАН ЧИСЛОМ</v>
      </c>
      <c r="P2515" s="13" t="str">
        <f t="shared" si="277"/>
        <v>ЭТАЖ ЗАДАН ЧИСЛОМ</v>
      </c>
      <c r="Q2515" s="13" t="str">
        <f t="shared" si="278"/>
        <v>ГОТОВ_ИЗМЕНЕН</v>
      </c>
      <c r="R2515" s="13">
        <f>IFERROR(VLOOKUP(P2515,Лист1!A$1:B$20,2,FALSE),0)</f>
        <v>784</v>
      </c>
      <c r="S2515" s="13">
        <f t="shared" si="279"/>
        <v>0</v>
      </c>
    </row>
    <row r="2516" spans="1:19" x14ac:dyDescent="0.25">
      <c r="A2516" s="24" t="s">
        <v>3646</v>
      </c>
      <c r="B2516" s="4" t="s">
        <v>1059</v>
      </c>
      <c r="C2516" s="25" t="s">
        <v>5</v>
      </c>
      <c r="G2516" s="25" t="s">
        <v>1106</v>
      </c>
      <c r="H2516" s="24" t="s">
        <v>1061</v>
      </c>
      <c r="I2516" s="3" t="str">
        <f>IFERROR(VLOOKUP(C2516,'Справочник соответствий'!A$2:D$2981,2,FALSE),IF(VALUE(C2516)=0,1,VLOOKUP(C2516,'Справочник соответствий'!A$2:D$2981,2,FALSE)))</f>
        <v>1</v>
      </c>
      <c r="J2516" s="3">
        <f>IFERROR(VLOOKUP(D2516,'Справочник соответствий'!A$2:D$2981,2,FALSE),IF(VALUE(D2516)=0,0,VLOOKUP(D2516,'Справочник соответствий'!A$2:D$2981,2,FALSE)))</f>
        <v>0</v>
      </c>
      <c r="K2516" s="3" t="str">
        <f t="shared" si="273"/>
        <v>1</v>
      </c>
      <c r="L2516" s="13" t="str">
        <f>IFERROR(VLOOKUP(C2516,'Справочник соответствий'!A$2:D$2981,3,FALSE),IF(VALUE(C2516)=0,"ЭТАЖ НЕ ОПРЕДЕЛЕН. ПРИНЯТ ПО ДОПУЩЕНИЮ 1",VLOOKUP(C2516,'Справочник соответствий'!A$2:D$2981,3,FALSE)))</f>
        <v>ЭТАЖ ЗАДАН ЧИСЛОМ</v>
      </c>
      <c r="M2516" s="13" t="b">
        <f t="shared" si="274"/>
        <v>0</v>
      </c>
      <c r="N2516" s="13">
        <f t="shared" si="275"/>
        <v>1</v>
      </c>
      <c r="O2516" s="13" t="str">
        <f t="shared" si="276"/>
        <v>ЭТАЖ ЗАДАН ЧИСЛОМ</v>
      </c>
      <c r="P2516" s="13" t="str">
        <f t="shared" si="277"/>
        <v>ЭТАЖ ЗАДАН ЧИСЛОМ</v>
      </c>
      <c r="Q2516" s="13" t="str">
        <f t="shared" si="278"/>
        <v>ГОТОВ_ИЗМЕНЕН</v>
      </c>
      <c r="R2516" s="13">
        <f>IFERROR(VLOOKUP(P2516,Лист1!A$1:B$20,2,FALSE),0)</f>
        <v>784</v>
      </c>
      <c r="S2516" s="13">
        <f t="shared" si="279"/>
        <v>0</v>
      </c>
    </row>
    <row r="2517" spans="1:19" x14ac:dyDescent="0.25">
      <c r="A2517" s="24" t="s">
        <v>3647</v>
      </c>
      <c r="B2517" s="4" t="s">
        <v>1063</v>
      </c>
      <c r="C2517" s="25" t="s">
        <v>5</v>
      </c>
      <c r="G2517" s="25" t="s">
        <v>1096</v>
      </c>
      <c r="H2517" s="24" t="s">
        <v>1061</v>
      </c>
      <c r="I2517" s="3" t="str">
        <f>IFERROR(VLOOKUP(C2517,'Справочник соответствий'!A$2:D$2981,2,FALSE),IF(VALUE(C2517)=0,1,VLOOKUP(C2517,'Справочник соответствий'!A$2:D$2981,2,FALSE)))</f>
        <v>1</v>
      </c>
      <c r="J2517" s="3">
        <f>IFERROR(VLOOKUP(D2517,'Справочник соответствий'!A$2:D$2981,2,FALSE),IF(VALUE(D2517)=0,0,VLOOKUP(D2517,'Справочник соответствий'!A$2:D$2981,2,FALSE)))</f>
        <v>0</v>
      </c>
      <c r="K2517" s="3" t="str">
        <f t="shared" si="273"/>
        <v>1</v>
      </c>
      <c r="L2517" s="13" t="str">
        <f>IFERROR(VLOOKUP(C2517,'Справочник соответствий'!A$2:D$2981,3,FALSE),IF(VALUE(C2517)=0,"ЭТАЖ НЕ ОПРЕДЕЛЕН. ПРИНЯТ ПО ДОПУЩЕНИЮ 1",VLOOKUP(C2517,'Справочник соответствий'!A$2:D$2981,3,FALSE)))</f>
        <v>ЭТАЖ ЗАДАН ЧИСЛОМ</v>
      </c>
      <c r="M2517" s="13" t="b">
        <f t="shared" si="274"/>
        <v>0</v>
      </c>
      <c r="N2517" s="13">
        <f t="shared" si="275"/>
        <v>1</v>
      </c>
      <c r="O2517" s="13" t="str">
        <f t="shared" si="276"/>
        <v>ЭТАЖ ЗАДАН ЧИСЛОМ</v>
      </c>
      <c r="P2517" s="13" t="str">
        <f t="shared" si="277"/>
        <v>ЭТАЖ ЗАДАН ЧИСЛОМ</v>
      </c>
      <c r="Q2517" s="13" t="str">
        <f t="shared" si="278"/>
        <v>ГОТОВ_ИЗМЕНЕН</v>
      </c>
      <c r="R2517" s="13">
        <f>IFERROR(VLOOKUP(P2517,Лист1!A$1:B$20,2,FALSE),0)</f>
        <v>784</v>
      </c>
      <c r="S2517" s="13">
        <f t="shared" si="279"/>
        <v>0</v>
      </c>
    </row>
    <row r="2518" spans="1:19" x14ac:dyDescent="0.25">
      <c r="A2518" s="24" t="s">
        <v>3648</v>
      </c>
      <c r="B2518" s="4" t="s">
        <v>1059</v>
      </c>
      <c r="C2518" s="25" t="s">
        <v>5</v>
      </c>
      <c r="G2518" s="25" t="s">
        <v>1096</v>
      </c>
      <c r="H2518" s="24" t="s">
        <v>1061</v>
      </c>
      <c r="I2518" s="3" t="str">
        <f>IFERROR(VLOOKUP(C2518,'Справочник соответствий'!A$2:D$2981,2,FALSE),IF(VALUE(C2518)=0,1,VLOOKUP(C2518,'Справочник соответствий'!A$2:D$2981,2,FALSE)))</f>
        <v>1</v>
      </c>
      <c r="J2518" s="3">
        <f>IFERROR(VLOOKUP(D2518,'Справочник соответствий'!A$2:D$2981,2,FALSE),IF(VALUE(D2518)=0,0,VLOOKUP(D2518,'Справочник соответствий'!A$2:D$2981,2,FALSE)))</f>
        <v>0</v>
      </c>
      <c r="K2518" s="3" t="str">
        <f t="shared" si="273"/>
        <v>1</v>
      </c>
      <c r="L2518" s="13" t="str">
        <f>IFERROR(VLOOKUP(C2518,'Справочник соответствий'!A$2:D$2981,3,FALSE),IF(VALUE(C2518)=0,"ЭТАЖ НЕ ОПРЕДЕЛЕН. ПРИНЯТ ПО ДОПУЩЕНИЮ 1",VLOOKUP(C2518,'Справочник соответствий'!A$2:D$2981,3,FALSE)))</f>
        <v>ЭТАЖ ЗАДАН ЧИСЛОМ</v>
      </c>
      <c r="M2518" s="13" t="b">
        <f t="shared" si="274"/>
        <v>0</v>
      </c>
      <c r="N2518" s="13">
        <f t="shared" si="275"/>
        <v>1</v>
      </c>
      <c r="O2518" s="13" t="str">
        <f t="shared" si="276"/>
        <v>ЭТАЖ ЗАДАН ЧИСЛОМ</v>
      </c>
      <c r="P2518" s="13" t="str">
        <f t="shared" si="277"/>
        <v>ЭТАЖ ЗАДАН ЧИСЛОМ</v>
      </c>
      <c r="Q2518" s="13" t="str">
        <f t="shared" si="278"/>
        <v>ГОТОВ_ИЗМЕНЕН</v>
      </c>
      <c r="R2518" s="13">
        <f>IFERROR(VLOOKUP(P2518,Лист1!A$1:B$20,2,FALSE),0)</f>
        <v>784</v>
      </c>
      <c r="S2518" s="13">
        <f t="shared" si="279"/>
        <v>0</v>
      </c>
    </row>
    <row r="2519" spans="1:19" x14ac:dyDescent="0.25">
      <c r="A2519" s="24" t="s">
        <v>3649</v>
      </c>
      <c r="B2519" s="4" t="s">
        <v>1059</v>
      </c>
      <c r="C2519" s="25" t="s">
        <v>7</v>
      </c>
      <c r="G2519" s="25" t="s">
        <v>1080</v>
      </c>
      <c r="H2519" s="24" t="s">
        <v>1061</v>
      </c>
      <c r="I2519" s="3" t="str">
        <f>IFERROR(VLOOKUP(C2519,'Справочник соответствий'!A$2:D$2981,2,FALSE),IF(VALUE(C2519)=0,1,VLOOKUP(C2519,'Справочник соответствий'!A$2:D$2981,2,FALSE)))</f>
        <v>2</v>
      </c>
      <c r="J2519" s="3">
        <f>IFERROR(VLOOKUP(D2519,'Справочник соответствий'!A$2:D$2981,2,FALSE),IF(VALUE(D2519)=0,0,VLOOKUP(D2519,'Справочник соответствий'!A$2:D$2981,2,FALSE)))</f>
        <v>0</v>
      </c>
      <c r="K2519" s="3" t="str">
        <f t="shared" si="273"/>
        <v>2</v>
      </c>
      <c r="L2519" s="13" t="str">
        <f>IFERROR(VLOOKUP(C2519,'Справочник соответствий'!A$2:D$2981,3,FALSE),IF(VALUE(C2519)=0,"ЭТАЖ НЕ ОПРЕДЕЛЕН. ПРИНЯТ ПО ДОПУЩЕНИЮ 1",VLOOKUP(C2519,'Справочник соответствий'!A$2:D$2981,3,FALSE)))</f>
        <v>ЭТАЖ ЗАДАН ЧИСЛОМ</v>
      </c>
      <c r="M2519" s="13" t="b">
        <f t="shared" si="274"/>
        <v>0</v>
      </c>
      <c r="N2519" s="13">
        <f t="shared" si="275"/>
        <v>2</v>
      </c>
      <c r="O2519" s="13" t="str">
        <f t="shared" si="276"/>
        <v>ЭТАЖ ЗАДАН ЧИСЛОМ</v>
      </c>
      <c r="P2519" s="13" t="str">
        <f t="shared" si="277"/>
        <v>ЭТАЖ ЗАДАН ЧИСЛОМ</v>
      </c>
      <c r="Q2519" s="13" t="str">
        <f t="shared" si="278"/>
        <v>ГОТОВ_ИЗМЕНЕН</v>
      </c>
      <c r="R2519" s="13">
        <f>IFERROR(VLOOKUP(P2519,Лист1!A$1:B$20,2,FALSE),0)</f>
        <v>784</v>
      </c>
      <c r="S2519" s="13">
        <f t="shared" si="279"/>
        <v>0</v>
      </c>
    </row>
    <row r="2520" spans="1:19" x14ac:dyDescent="0.25">
      <c r="A2520" s="24" t="s">
        <v>3650</v>
      </c>
      <c r="B2520" s="4" t="s">
        <v>1059</v>
      </c>
      <c r="C2520" s="25" t="s">
        <v>7</v>
      </c>
      <c r="G2520" s="25" t="s">
        <v>1096</v>
      </c>
      <c r="H2520" s="24" t="s">
        <v>1061</v>
      </c>
      <c r="I2520" s="3" t="str">
        <f>IFERROR(VLOOKUP(C2520,'Справочник соответствий'!A$2:D$2981,2,FALSE),IF(VALUE(C2520)=0,1,VLOOKUP(C2520,'Справочник соответствий'!A$2:D$2981,2,FALSE)))</f>
        <v>2</v>
      </c>
      <c r="J2520" s="3">
        <f>IFERROR(VLOOKUP(D2520,'Справочник соответствий'!A$2:D$2981,2,FALSE),IF(VALUE(D2520)=0,0,VLOOKUP(D2520,'Справочник соответствий'!A$2:D$2981,2,FALSE)))</f>
        <v>0</v>
      </c>
      <c r="K2520" s="3" t="str">
        <f t="shared" si="273"/>
        <v>2</v>
      </c>
      <c r="L2520" s="13" t="str">
        <f>IFERROR(VLOOKUP(C2520,'Справочник соответствий'!A$2:D$2981,3,FALSE),IF(VALUE(C2520)=0,"ЭТАЖ НЕ ОПРЕДЕЛЕН. ПРИНЯТ ПО ДОПУЩЕНИЮ 1",VLOOKUP(C2520,'Справочник соответствий'!A$2:D$2981,3,FALSE)))</f>
        <v>ЭТАЖ ЗАДАН ЧИСЛОМ</v>
      </c>
      <c r="M2520" s="13" t="b">
        <f t="shared" si="274"/>
        <v>0</v>
      </c>
      <c r="N2520" s="13">
        <f t="shared" si="275"/>
        <v>2</v>
      </c>
      <c r="O2520" s="13" t="str">
        <f t="shared" si="276"/>
        <v>ЭТАЖ ЗАДАН ЧИСЛОМ</v>
      </c>
      <c r="P2520" s="13" t="str">
        <f t="shared" si="277"/>
        <v>ЭТАЖ ЗАДАН ЧИСЛОМ</v>
      </c>
      <c r="Q2520" s="13" t="str">
        <f t="shared" si="278"/>
        <v>ГОТОВ_ИЗМЕНЕН</v>
      </c>
      <c r="R2520" s="13">
        <f>IFERROR(VLOOKUP(P2520,Лист1!A$1:B$20,2,FALSE),0)</f>
        <v>784</v>
      </c>
      <c r="S2520" s="13">
        <f t="shared" si="279"/>
        <v>0</v>
      </c>
    </row>
    <row r="2521" spans="1:19" x14ac:dyDescent="0.25">
      <c r="A2521" s="24" t="s">
        <v>3651</v>
      </c>
      <c r="B2521" s="4" t="s">
        <v>1059</v>
      </c>
      <c r="C2521" s="25" t="s">
        <v>7</v>
      </c>
      <c r="G2521" s="25" t="s">
        <v>1096</v>
      </c>
      <c r="H2521" s="24" t="s">
        <v>1061</v>
      </c>
      <c r="I2521" s="3" t="str">
        <f>IFERROR(VLOOKUP(C2521,'Справочник соответствий'!A$2:D$2981,2,FALSE),IF(VALUE(C2521)=0,1,VLOOKUP(C2521,'Справочник соответствий'!A$2:D$2981,2,FALSE)))</f>
        <v>2</v>
      </c>
      <c r="J2521" s="3">
        <f>IFERROR(VLOOKUP(D2521,'Справочник соответствий'!A$2:D$2981,2,FALSE),IF(VALUE(D2521)=0,0,VLOOKUP(D2521,'Справочник соответствий'!A$2:D$2981,2,FALSE)))</f>
        <v>0</v>
      </c>
      <c r="K2521" s="3" t="str">
        <f t="shared" si="273"/>
        <v>2</v>
      </c>
      <c r="L2521" s="13" t="str">
        <f>IFERROR(VLOOKUP(C2521,'Справочник соответствий'!A$2:D$2981,3,FALSE),IF(VALUE(C2521)=0,"ЭТАЖ НЕ ОПРЕДЕЛЕН. ПРИНЯТ ПО ДОПУЩЕНИЮ 1",VLOOKUP(C2521,'Справочник соответствий'!A$2:D$2981,3,FALSE)))</f>
        <v>ЭТАЖ ЗАДАН ЧИСЛОМ</v>
      </c>
      <c r="M2521" s="13" t="b">
        <f t="shared" si="274"/>
        <v>0</v>
      </c>
      <c r="N2521" s="13">
        <f t="shared" si="275"/>
        <v>2</v>
      </c>
      <c r="O2521" s="13" t="str">
        <f t="shared" si="276"/>
        <v>ЭТАЖ ЗАДАН ЧИСЛОМ</v>
      </c>
      <c r="P2521" s="13" t="str">
        <f t="shared" si="277"/>
        <v>ЭТАЖ ЗАДАН ЧИСЛОМ</v>
      </c>
      <c r="Q2521" s="13" t="str">
        <f t="shared" si="278"/>
        <v>ГОТОВ_ИЗМЕНЕН</v>
      </c>
      <c r="R2521" s="13">
        <f>IFERROR(VLOOKUP(P2521,Лист1!A$1:B$20,2,FALSE),0)</f>
        <v>784</v>
      </c>
      <c r="S2521" s="13">
        <f t="shared" si="279"/>
        <v>0</v>
      </c>
    </row>
    <row r="2522" spans="1:19" x14ac:dyDescent="0.25">
      <c r="A2522" s="24" t="s">
        <v>3652</v>
      </c>
      <c r="B2522" s="4" t="s">
        <v>1059</v>
      </c>
      <c r="C2522" s="25" t="s">
        <v>5</v>
      </c>
      <c r="G2522" s="25" t="s">
        <v>1096</v>
      </c>
      <c r="H2522" s="24" t="s">
        <v>1061</v>
      </c>
      <c r="I2522" s="3" t="str">
        <f>IFERROR(VLOOKUP(C2522,'Справочник соответствий'!A$2:D$2981,2,FALSE),IF(VALUE(C2522)=0,1,VLOOKUP(C2522,'Справочник соответствий'!A$2:D$2981,2,FALSE)))</f>
        <v>1</v>
      </c>
      <c r="J2522" s="3">
        <f>IFERROR(VLOOKUP(D2522,'Справочник соответствий'!A$2:D$2981,2,FALSE),IF(VALUE(D2522)=0,0,VLOOKUP(D2522,'Справочник соответствий'!A$2:D$2981,2,FALSE)))</f>
        <v>0</v>
      </c>
      <c r="K2522" s="3" t="str">
        <f t="shared" si="273"/>
        <v>1</v>
      </c>
      <c r="L2522" s="13" t="str">
        <f>IFERROR(VLOOKUP(C2522,'Справочник соответствий'!A$2:D$2981,3,FALSE),IF(VALUE(C2522)=0,"ЭТАЖ НЕ ОПРЕДЕЛЕН. ПРИНЯТ ПО ДОПУЩЕНИЮ 1",VLOOKUP(C2522,'Справочник соответствий'!A$2:D$2981,3,FALSE)))</f>
        <v>ЭТАЖ ЗАДАН ЧИСЛОМ</v>
      </c>
      <c r="M2522" s="13" t="b">
        <f t="shared" si="274"/>
        <v>0</v>
      </c>
      <c r="N2522" s="13">
        <f t="shared" si="275"/>
        <v>1</v>
      </c>
      <c r="O2522" s="13" t="str">
        <f t="shared" si="276"/>
        <v>ЭТАЖ ЗАДАН ЧИСЛОМ</v>
      </c>
      <c r="P2522" s="13" t="str">
        <f t="shared" si="277"/>
        <v>ЭТАЖ ЗАДАН ЧИСЛОМ</v>
      </c>
      <c r="Q2522" s="13" t="str">
        <f t="shared" si="278"/>
        <v>ГОТОВ_ИЗМЕНЕН</v>
      </c>
      <c r="R2522" s="13">
        <f>IFERROR(VLOOKUP(P2522,Лист1!A$1:B$20,2,FALSE),0)</f>
        <v>784</v>
      </c>
      <c r="S2522" s="13">
        <f t="shared" si="279"/>
        <v>0</v>
      </c>
    </row>
    <row r="2523" spans="1:19" x14ac:dyDescent="0.25">
      <c r="A2523" s="24" t="s">
        <v>3653</v>
      </c>
      <c r="B2523" s="4" t="s">
        <v>1063</v>
      </c>
      <c r="C2523" s="25" t="s">
        <v>7</v>
      </c>
      <c r="G2523" s="25" t="s">
        <v>1096</v>
      </c>
      <c r="H2523" s="24" t="s">
        <v>1061</v>
      </c>
      <c r="I2523" s="3" t="str">
        <f>IFERROR(VLOOKUP(C2523,'Справочник соответствий'!A$2:D$2981,2,FALSE),IF(VALUE(C2523)=0,1,VLOOKUP(C2523,'Справочник соответствий'!A$2:D$2981,2,FALSE)))</f>
        <v>2</v>
      </c>
      <c r="J2523" s="3">
        <f>IFERROR(VLOOKUP(D2523,'Справочник соответствий'!A$2:D$2981,2,FALSE),IF(VALUE(D2523)=0,0,VLOOKUP(D2523,'Справочник соответствий'!A$2:D$2981,2,FALSE)))</f>
        <v>0</v>
      </c>
      <c r="K2523" s="3" t="str">
        <f t="shared" si="273"/>
        <v>2</v>
      </c>
      <c r="L2523" s="13" t="str">
        <f>IFERROR(VLOOKUP(C2523,'Справочник соответствий'!A$2:D$2981,3,FALSE),IF(VALUE(C2523)=0,"ЭТАЖ НЕ ОПРЕДЕЛЕН. ПРИНЯТ ПО ДОПУЩЕНИЮ 1",VLOOKUP(C2523,'Справочник соответствий'!A$2:D$2981,3,FALSE)))</f>
        <v>ЭТАЖ ЗАДАН ЧИСЛОМ</v>
      </c>
      <c r="M2523" s="13" t="b">
        <f t="shared" si="274"/>
        <v>0</v>
      </c>
      <c r="N2523" s="13">
        <f t="shared" si="275"/>
        <v>2</v>
      </c>
      <c r="O2523" s="13" t="str">
        <f t="shared" si="276"/>
        <v>ЭТАЖ ЗАДАН ЧИСЛОМ</v>
      </c>
      <c r="P2523" s="13" t="str">
        <f t="shared" si="277"/>
        <v>ЭТАЖ ЗАДАН ЧИСЛОМ</v>
      </c>
      <c r="Q2523" s="13" t="str">
        <f t="shared" si="278"/>
        <v>ГОТОВ_ИЗМЕНЕН</v>
      </c>
      <c r="R2523" s="13">
        <f>IFERROR(VLOOKUP(P2523,Лист1!A$1:B$20,2,FALSE),0)</f>
        <v>784</v>
      </c>
      <c r="S2523" s="13">
        <f t="shared" si="279"/>
        <v>0</v>
      </c>
    </row>
    <row r="2524" spans="1:19" x14ac:dyDescent="0.25">
      <c r="A2524" s="24" t="s">
        <v>3654</v>
      </c>
      <c r="B2524" s="4" t="s">
        <v>1063</v>
      </c>
      <c r="C2524" s="25" t="s">
        <v>5</v>
      </c>
      <c r="G2524" s="25" t="s">
        <v>1096</v>
      </c>
      <c r="H2524" s="24" t="s">
        <v>1061</v>
      </c>
      <c r="I2524" s="3" t="str">
        <f>IFERROR(VLOOKUP(C2524,'Справочник соответствий'!A$2:D$2981,2,FALSE),IF(VALUE(C2524)=0,1,VLOOKUP(C2524,'Справочник соответствий'!A$2:D$2981,2,FALSE)))</f>
        <v>1</v>
      </c>
      <c r="J2524" s="3">
        <f>IFERROR(VLOOKUP(D2524,'Справочник соответствий'!A$2:D$2981,2,FALSE),IF(VALUE(D2524)=0,0,VLOOKUP(D2524,'Справочник соответствий'!A$2:D$2981,2,FALSE)))</f>
        <v>0</v>
      </c>
      <c r="K2524" s="3" t="str">
        <f t="shared" si="273"/>
        <v>1</v>
      </c>
      <c r="L2524" s="13" t="str">
        <f>IFERROR(VLOOKUP(C2524,'Справочник соответствий'!A$2:D$2981,3,FALSE),IF(VALUE(C2524)=0,"ЭТАЖ НЕ ОПРЕДЕЛЕН. ПРИНЯТ ПО ДОПУЩЕНИЮ 1",VLOOKUP(C2524,'Справочник соответствий'!A$2:D$2981,3,FALSE)))</f>
        <v>ЭТАЖ ЗАДАН ЧИСЛОМ</v>
      </c>
      <c r="M2524" s="13" t="b">
        <f t="shared" si="274"/>
        <v>0</v>
      </c>
      <c r="N2524" s="13">
        <f t="shared" si="275"/>
        <v>1</v>
      </c>
      <c r="O2524" s="13" t="str">
        <f t="shared" si="276"/>
        <v>ЭТАЖ ЗАДАН ЧИСЛОМ</v>
      </c>
      <c r="P2524" s="13" t="str">
        <f t="shared" si="277"/>
        <v>ЭТАЖ ЗАДАН ЧИСЛОМ</v>
      </c>
      <c r="Q2524" s="13" t="str">
        <f t="shared" si="278"/>
        <v>ГОТОВ_ИЗМЕНЕН</v>
      </c>
      <c r="R2524" s="13">
        <f>IFERROR(VLOOKUP(P2524,Лист1!A$1:B$20,2,FALSE),0)</f>
        <v>784</v>
      </c>
      <c r="S2524" s="13">
        <f t="shared" si="279"/>
        <v>0</v>
      </c>
    </row>
    <row r="2525" spans="1:19" x14ac:dyDescent="0.25">
      <c r="A2525" s="24" t="s">
        <v>3655</v>
      </c>
      <c r="B2525" s="4" t="s">
        <v>1059</v>
      </c>
      <c r="C2525" s="25" t="s">
        <v>5</v>
      </c>
      <c r="G2525" s="25" t="s">
        <v>3185</v>
      </c>
      <c r="H2525" s="24" t="s">
        <v>1061</v>
      </c>
      <c r="I2525" s="3" t="str">
        <f>IFERROR(VLOOKUP(C2525,'Справочник соответствий'!A$2:D$2981,2,FALSE),IF(VALUE(C2525)=0,1,VLOOKUP(C2525,'Справочник соответствий'!A$2:D$2981,2,FALSE)))</f>
        <v>1</v>
      </c>
      <c r="J2525" s="3">
        <f>IFERROR(VLOOKUP(D2525,'Справочник соответствий'!A$2:D$2981,2,FALSE),IF(VALUE(D2525)=0,0,VLOOKUP(D2525,'Справочник соответствий'!A$2:D$2981,2,FALSE)))</f>
        <v>0</v>
      </c>
      <c r="K2525" s="3" t="str">
        <f t="shared" si="273"/>
        <v>1</v>
      </c>
      <c r="L2525" s="13" t="str">
        <f>IFERROR(VLOOKUP(C2525,'Справочник соответствий'!A$2:D$2981,3,FALSE),IF(VALUE(C2525)=0,"ЭТАЖ НЕ ОПРЕДЕЛЕН. ПРИНЯТ ПО ДОПУЩЕНИЮ 1",VLOOKUP(C2525,'Справочник соответствий'!A$2:D$2981,3,FALSE)))</f>
        <v>ЭТАЖ ЗАДАН ЧИСЛОМ</v>
      </c>
      <c r="M2525" s="13" t="b">
        <f t="shared" si="274"/>
        <v>0</v>
      </c>
      <c r="N2525" s="13">
        <f t="shared" si="275"/>
        <v>1</v>
      </c>
      <c r="O2525" s="13" t="str">
        <f t="shared" si="276"/>
        <v>ЭТАЖ ЗАДАН ЧИСЛОМ</v>
      </c>
      <c r="P2525" s="13" t="str">
        <f t="shared" si="277"/>
        <v>ЭТАЖ ЗАДАН ЧИСЛОМ</v>
      </c>
      <c r="Q2525" s="13" t="str">
        <f t="shared" si="278"/>
        <v>ГОТОВ_ИЗМЕНЕН</v>
      </c>
      <c r="R2525" s="13">
        <f>IFERROR(VLOOKUP(P2525,Лист1!A$1:B$20,2,FALSE),0)</f>
        <v>784</v>
      </c>
      <c r="S2525" s="13">
        <f t="shared" si="279"/>
        <v>0</v>
      </c>
    </row>
    <row r="2526" spans="1:19" x14ac:dyDescent="0.25">
      <c r="A2526" s="24" t="s">
        <v>3656</v>
      </c>
      <c r="B2526" s="4" t="s">
        <v>1059</v>
      </c>
      <c r="C2526" s="25" t="s">
        <v>5</v>
      </c>
      <c r="G2526" s="25" t="s">
        <v>3185</v>
      </c>
      <c r="H2526" s="24" t="s">
        <v>1061</v>
      </c>
      <c r="I2526" s="3" t="str">
        <f>IFERROR(VLOOKUP(C2526,'Справочник соответствий'!A$2:D$2981,2,FALSE),IF(VALUE(C2526)=0,1,VLOOKUP(C2526,'Справочник соответствий'!A$2:D$2981,2,FALSE)))</f>
        <v>1</v>
      </c>
      <c r="J2526" s="3">
        <f>IFERROR(VLOOKUP(D2526,'Справочник соответствий'!A$2:D$2981,2,FALSE),IF(VALUE(D2526)=0,0,VLOOKUP(D2526,'Справочник соответствий'!A$2:D$2981,2,FALSE)))</f>
        <v>0</v>
      </c>
      <c r="K2526" s="3" t="str">
        <f t="shared" si="273"/>
        <v>1</v>
      </c>
      <c r="L2526" s="13" t="str">
        <f>IFERROR(VLOOKUP(C2526,'Справочник соответствий'!A$2:D$2981,3,FALSE),IF(VALUE(C2526)=0,"ЭТАЖ НЕ ОПРЕДЕЛЕН. ПРИНЯТ ПО ДОПУЩЕНИЮ 1",VLOOKUP(C2526,'Справочник соответствий'!A$2:D$2981,3,FALSE)))</f>
        <v>ЭТАЖ ЗАДАН ЧИСЛОМ</v>
      </c>
      <c r="M2526" s="13" t="b">
        <f t="shared" si="274"/>
        <v>0</v>
      </c>
      <c r="N2526" s="13">
        <f t="shared" si="275"/>
        <v>1</v>
      </c>
      <c r="O2526" s="13" t="str">
        <f t="shared" si="276"/>
        <v>ЭТАЖ ЗАДАН ЧИСЛОМ</v>
      </c>
      <c r="P2526" s="13" t="str">
        <f t="shared" si="277"/>
        <v>ЭТАЖ ЗАДАН ЧИСЛОМ</v>
      </c>
      <c r="Q2526" s="13" t="str">
        <f t="shared" si="278"/>
        <v>ГОТОВ_ИЗМЕНЕН</v>
      </c>
      <c r="R2526" s="13">
        <f>IFERROR(VLOOKUP(P2526,Лист1!A$1:B$20,2,FALSE),0)</f>
        <v>784</v>
      </c>
      <c r="S2526" s="13">
        <f t="shared" si="279"/>
        <v>0</v>
      </c>
    </row>
    <row r="2527" spans="1:19" x14ac:dyDescent="0.25">
      <c r="A2527" s="24" t="s">
        <v>3657</v>
      </c>
      <c r="B2527" s="4" t="s">
        <v>1059</v>
      </c>
      <c r="C2527" s="25" t="s">
        <v>5</v>
      </c>
      <c r="G2527" s="25" t="s">
        <v>3185</v>
      </c>
      <c r="H2527" s="24" t="s">
        <v>1061</v>
      </c>
      <c r="I2527" s="3" t="str">
        <f>IFERROR(VLOOKUP(C2527,'Справочник соответствий'!A$2:D$2981,2,FALSE),IF(VALUE(C2527)=0,1,VLOOKUP(C2527,'Справочник соответствий'!A$2:D$2981,2,FALSE)))</f>
        <v>1</v>
      </c>
      <c r="J2527" s="3">
        <f>IFERROR(VLOOKUP(D2527,'Справочник соответствий'!A$2:D$2981,2,FALSE),IF(VALUE(D2527)=0,0,VLOOKUP(D2527,'Справочник соответствий'!A$2:D$2981,2,FALSE)))</f>
        <v>0</v>
      </c>
      <c r="K2527" s="3" t="str">
        <f t="shared" si="273"/>
        <v>1</v>
      </c>
      <c r="L2527" s="13" t="str">
        <f>IFERROR(VLOOKUP(C2527,'Справочник соответствий'!A$2:D$2981,3,FALSE),IF(VALUE(C2527)=0,"ЭТАЖ НЕ ОПРЕДЕЛЕН. ПРИНЯТ ПО ДОПУЩЕНИЮ 1",VLOOKUP(C2527,'Справочник соответствий'!A$2:D$2981,3,FALSE)))</f>
        <v>ЭТАЖ ЗАДАН ЧИСЛОМ</v>
      </c>
      <c r="M2527" s="13" t="b">
        <f t="shared" si="274"/>
        <v>0</v>
      </c>
      <c r="N2527" s="13">
        <f t="shared" si="275"/>
        <v>1</v>
      </c>
      <c r="O2527" s="13" t="str">
        <f t="shared" si="276"/>
        <v>ЭТАЖ ЗАДАН ЧИСЛОМ</v>
      </c>
      <c r="P2527" s="13" t="str">
        <f t="shared" si="277"/>
        <v>ЭТАЖ ЗАДАН ЧИСЛОМ</v>
      </c>
      <c r="Q2527" s="13" t="str">
        <f t="shared" si="278"/>
        <v>ГОТОВ_ИЗМЕНЕН</v>
      </c>
      <c r="R2527" s="13">
        <f>IFERROR(VLOOKUP(P2527,Лист1!A$1:B$20,2,FALSE),0)</f>
        <v>784</v>
      </c>
      <c r="S2527" s="13">
        <f t="shared" si="279"/>
        <v>0</v>
      </c>
    </row>
    <row r="2528" spans="1:19" x14ac:dyDescent="0.25">
      <c r="A2528" s="24" t="s">
        <v>3658</v>
      </c>
      <c r="B2528" s="4" t="s">
        <v>1063</v>
      </c>
      <c r="C2528" s="25" t="s">
        <v>5</v>
      </c>
      <c r="G2528" s="25" t="s">
        <v>1069</v>
      </c>
      <c r="H2528" s="24" t="s">
        <v>1061</v>
      </c>
      <c r="I2528" s="3" t="str">
        <f>IFERROR(VLOOKUP(C2528,'Справочник соответствий'!A$2:D$2981,2,FALSE),IF(VALUE(C2528)=0,1,VLOOKUP(C2528,'Справочник соответствий'!A$2:D$2981,2,FALSE)))</f>
        <v>1</v>
      </c>
      <c r="J2528" s="3">
        <f>IFERROR(VLOOKUP(D2528,'Справочник соответствий'!A$2:D$2981,2,FALSE),IF(VALUE(D2528)=0,0,VLOOKUP(D2528,'Справочник соответствий'!A$2:D$2981,2,FALSE)))</f>
        <v>0</v>
      </c>
      <c r="K2528" s="3" t="str">
        <f t="shared" si="273"/>
        <v>1</v>
      </c>
      <c r="L2528" s="13" t="str">
        <f>IFERROR(VLOOKUP(C2528,'Справочник соответствий'!A$2:D$2981,3,FALSE),IF(VALUE(C2528)=0,"ЭТАЖ НЕ ОПРЕДЕЛЕН. ПРИНЯТ ПО ДОПУЩЕНИЮ 1",VLOOKUP(C2528,'Справочник соответствий'!A$2:D$2981,3,FALSE)))</f>
        <v>ЭТАЖ ЗАДАН ЧИСЛОМ</v>
      </c>
      <c r="M2528" s="13" t="b">
        <f t="shared" si="274"/>
        <v>0</v>
      </c>
      <c r="N2528" s="13">
        <f t="shared" si="275"/>
        <v>1</v>
      </c>
      <c r="O2528" s="13" t="str">
        <f t="shared" si="276"/>
        <v>ЭТАЖ ЗАДАН ЧИСЛОМ</v>
      </c>
      <c r="P2528" s="13" t="str">
        <f t="shared" si="277"/>
        <v>ЭТАЖ ЗАДАН ЧИСЛОМ</v>
      </c>
      <c r="Q2528" s="13" t="str">
        <f t="shared" si="278"/>
        <v>ГОТОВ_ИЗМЕНЕН</v>
      </c>
      <c r="R2528" s="13">
        <f>IFERROR(VLOOKUP(P2528,Лист1!A$1:B$20,2,FALSE),0)</f>
        <v>784</v>
      </c>
      <c r="S2528" s="13">
        <f t="shared" si="279"/>
        <v>0</v>
      </c>
    </row>
    <row r="2529" spans="1:19" x14ac:dyDescent="0.25">
      <c r="A2529" s="24" t="s">
        <v>3659</v>
      </c>
      <c r="B2529" s="4" t="s">
        <v>1059</v>
      </c>
      <c r="C2529" s="25" t="s">
        <v>5</v>
      </c>
      <c r="G2529" s="25" t="s">
        <v>3185</v>
      </c>
      <c r="H2529" s="24" t="s">
        <v>1061</v>
      </c>
      <c r="I2529" s="3" t="str">
        <f>IFERROR(VLOOKUP(C2529,'Справочник соответствий'!A$2:D$2981,2,FALSE),IF(VALUE(C2529)=0,1,VLOOKUP(C2529,'Справочник соответствий'!A$2:D$2981,2,FALSE)))</f>
        <v>1</v>
      </c>
      <c r="J2529" s="3">
        <f>IFERROR(VLOOKUP(D2529,'Справочник соответствий'!A$2:D$2981,2,FALSE),IF(VALUE(D2529)=0,0,VLOOKUP(D2529,'Справочник соответствий'!A$2:D$2981,2,FALSE)))</f>
        <v>0</v>
      </c>
      <c r="K2529" s="3" t="str">
        <f t="shared" si="273"/>
        <v>1</v>
      </c>
      <c r="L2529" s="13" t="str">
        <f>IFERROR(VLOOKUP(C2529,'Справочник соответствий'!A$2:D$2981,3,FALSE),IF(VALUE(C2529)=0,"ЭТАЖ НЕ ОПРЕДЕЛЕН. ПРИНЯТ ПО ДОПУЩЕНИЮ 1",VLOOKUP(C2529,'Справочник соответствий'!A$2:D$2981,3,FALSE)))</f>
        <v>ЭТАЖ ЗАДАН ЧИСЛОМ</v>
      </c>
      <c r="M2529" s="13" t="b">
        <f t="shared" si="274"/>
        <v>0</v>
      </c>
      <c r="N2529" s="13">
        <f t="shared" si="275"/>
        <v>1</v>
      </c>
      <c r="O2529" s="13" t="str">
        <f t="shared" si="276"/>
        <v>ЭТАЖ ЗАДАН ЧИСЛОМ</v>
      </c>
      <c r="P2529" s="13" t="str">
        <f t="shared" si="277"/>
        <v>ЭТАЖ ЗАДАН ЧИСЛОМ</v>
      </c>
      <c r="Q2529" s="13" t="str">
        <f t="shared" si="278"/>
        <v>ГОТОВ_ИЗМЕНЕН</v>
      </c>
      <c r="R2529" s="13">
        <f>IFERROR(VLOOKUP(P2529,Лист1!A$1:B$20,2,FALSE),0)</f>
        <v>784</v>
      </c>
      <c r="S2529" s="13">
        <f t="shared" si="279"/>
        <v>0</v>
      </c>
    </row>
    <row r="2530" spans="1:19" x14ac:dyDescent="0.25">
      <c r="A2530" s="24" t="s">
        <v>3660</v>
      </c>
      <c r="B2530" s="4" t="s">
        <v>1059</v>
      </c>
      <c r="C2530" s="25" t="s">
        <v>7</v>
      </c>
      <c r="G2530" s="25" t="s">
        <v>1075</v>
      </c>
      <c r="H2530" s="24" t="s">
        <v>1061</v>
      </c>
      <c r="I2530" s="3" t="str">
        <f>IFERROR(VLOOKUP(C2530,'Справочник соответствий'!A$2:D$2981,2,FALSE),IF(VALUE(C2530)=0,1,VLOOKUP(C2530,'Справочник соответствий'!A$2:D$2981,2,FALSE)))</f>
        <v>2</v>
      </c>
      <c r="J2530" s="3">
        <f>IFERROR(VLOOKUP(D2530,'Справочник соответствий'!A$2:D$2981,2,FALSE),IF(VALUE(D2530)=0,0,VLOOKUP(D2530,'Справочник соответствий'!A$2:D$2981,2,FALSE)))</f>
        <v>0</v>
      </c>
      <c r="K2530" s="3" t="str">
        <f t="shared" si="273"/>
        <v>2</v>
      </c>
      <c r="L2530" s="13" t="str">
        <f>IFERROR(VLOOKUP(C2530,'Справочник соответствий'!A$2:D$2981,3,FALSE),IF(VALUE(C2530)=0,"ЭТАЖ НЕ ОПРЕДЕЛЕН. ПРИНЯТ ПО ДОПУЩЕНИЮ 1",VLOOKUP(C2530,'Справочник соответствий'!A$2:D$2981,3,FALSE)))</f>
        <v>ЭТАЖ ЗАДАН ЧИСЛОМ</v>
      </c>
      <c r="M2530" s="13" t="b">
        <f t="shared" si="274"/>
        <v>0</v>
      </c>
      <c r="N2530" s="13">
        <f t="shared" si="275"/>
        <v>2</v>
      </c>
      <c r="O2530" s="13" t="str">
        <f t="shared" si="276"/>
        <v>ЭТАЖ ЗАДАН ЧИСЛОМ</v>
      </c>
      <c r="P2530" s="13" t="str">
        <f t="shared" si="277"/>
        <v>ЭТАЖ ЗАДАН ЧИСЛОМ</v>
      </c>
      <c r="Q2530" s="13" t="str">
        <f t="shared" si="278"/>
        <v>ГОТОВ_ИЗМЕНЕН</v>
      </c>
      <c r="R2530" s="13">
        <f>IFERROR(VLOOKUP(P2530,Лист1!A$1:B$20,2,FALSE),0)</f>
        <v>784</v>
      </c>
      <c r="S2530" s="13">
        <f t="shared" si="279"/>
        <v>0</v>
      </c>
    </row>
    <row r="2531" spans="1:19" x14ac:dyDescent="0.25">
      <c r="A2531" s="24" t="s">
        <v>3661</v>
      </c>
      <c r="B2531" s="4" t="s">
        <v>1059</v>
      </c>
      <c r="C2531" s="25" t="s">
        <v>5</v>
      </c>
      <c r="G2531" s="25" t="s">
        <v>1075</v>
      </c>
      <c r="H2531" s="24" t="s">
        <v>1061</v>
      </c>
      <c r="I2531" s="3" t="str">
        <f>IFERROR(VLOOKUP(C2531,'Справочник соответствий'!A$2:D$2981,2,FALSE),IF(VALUE(C2531)=0,1,VLOOKUP(C2531,'Справочник соответствий'!A$2:D$2981,2,FALSE)))</f>
        <v>1</v>
      </c>
      <c r="J2531" s="3">
        <f>IFERROR(VLOOKUP(D2531,'Справочник соответствий'!A$2:D$2981,2,FALSE),IF(VALUE(D2531)=0,0,VLOOKUP(D2531,'Справочник соответствий'!A$2:D$2981,2,FALSE)))</f>
        <v>0</v>
      </c>
      <c r="K2531" s="3" t="str">
        <f t="shared" si="273"/>
        <v>1</v>
      </c>
      <c r="L2531" s="13" t="str">
        <f>IFERROR(VLOOKUP(C2531,'Справочник соответствий'!A$2:D$2981,3,FALSE),IF(VALUE(C2531)=0,"ЭТАЖ НЕ ОПРЕДЕЛЕН. ПРИНЯТ ПО ДОПУЩЕНИЮ 1",VLOOKUP(C2531,'Справочник соответствий'!A$2:D$2981,3,FALSE)))</f>
        <v>ЭТАЖ ЗАДАН ЧИСЛОМ</v>
      </c>
      <c r="M2531" s="13" t="b">
        <f t="shared" si="274"/>
        <v>0</v>
      </c>
      <c r="N2531" s="13">
        <f t="shared" si="275"/>
        <v>1</v>
      </c>
      <c r="O2531" s="13" t="str">
        <f t="shared" si="276"/>
        <v>ЭТАЖ ЗАДАН ЧИСЛОМ</v>
      </c>
      <c r="P2531" s="13" t="str">
        <f t="shared" si="277"/>
        <v>ЭТАЖ ЗАДАН ЧИСЛОМ</v>
      </c>
      <c r="Q2531" s="13" t="str">
        <f t="shared" si="278"/>
        <v>ГОТОВ_ИЗМЕНЕН</v>
      </c>
      <c r="R2531" s="13">
        <f>IFERROR(VLOOKUP(P2531,Лист1!A$1:B$20,2,FALSE),0)</f>
        <v>784</v>
      </c>
      <c r="S2531" s="13">
        <f t="shared" si="279"/>
        <v>0</v>
      </c>
    </row>
    <row r="2532" spans="1:19" x14ac:dyDescent="0.25">
      <c r="A2532" s="24" t="s">
        <v>3662</v>
      </c>
      <c r="B2532" s="4" t="s">
        <v>1059</v>
      </c>
      <c r="C2532" s="25" t="s">
        <v>5</v>
      </c>
      <c r="G2532" s="25" t="s">
        <v>1075</v>
      </c>
      <c r="H2532" s="24" t="s">
        <v>1061</v>
      </c>
      <c r="I2532" s="3" t="str">
        <f>IFERROR(VLOOKUP(C2532,'Справочник соответствий'!A$2:D$2981,2,FALSE),IF(VALUE(C2532)=0,1,VLOOKUP(C2532,'Справочник соответствий'!A$2:D$2981,2,FALSE)))</f>
        <v>1</v>
      </c>
      <c r="J2532" s="3">
        <f>IFERROR(VLOOKUP(D2532,'Справочник соответствий'!A$2:D$2981,2,FALSE),IF(VALUE(D2532)=0,0,VLOOKUP(D2532,'Справочник соответствий'!A$2:D$2981,2,FALSE)))</f>
        <v>0</v>
      </c>
      <c r="K2532" s="3" t="str">
        <f t="shared" si="273"/>
        <v>1</v>
      </c>
      <c r="L2532" s="13" t="str">
        <f>IFERROR(VLOOKUP(C2532,'Справочник соответствий'!A$2:D$2981,3,FALSE),IF(VALUE(C2532)=0,"ЭТАЖ НЕ ОПРЕДЕЛЕН. ПРИНЯТ ПО ДОПУЩЕНИЮ 1",VLOOKUP(C2532,'Справочник соответствий'!A$2:D$2981,3,FALSE)))</f>
        <v>ЭТАЖ ЗАДАН ЧИСЛОМ</v>
      </c>
      <c r="M2532" s="13" t="b">
        <f t="shared" si="274"/>
        <v>0</v>
      </c>
      <c r="N2532" s="13">
        <f t="shared" si="275"/>
        <v>1</v>
      </c>
      <c r="O2532" s="13" t="str">
        <f t="shared" si="276"/>
        <v>ЭТАЖ ЗАДАН ЧИСЛОМ</v>
      </c>
      <c r="P2532" s="13" t="str">
        <f t="shared" si="277"/>
        <v>ЭТАЖ ЗАДАН ЧИСЛОМ</v>
      </c>
      <c r="Q2532" s="13" t="str">
        <f t="shared" si="278"/>
        <v>ГОТОВ_ИЗМЕНЕН</v>
      </c>
      <c r="R2532" s="13">
        <f>IFERROR(VLOOKUP(P2532,Лист1!A$1:B$20,2,FALSE),0)</f>
        <v>784</v>
      </c>
      <c r="S2532" s="13">
        <f t="shared" si="279"/>
        <v>0</v>
      </c>
    </row>
    <row r="2533" spans="1:19" x14ac:dyDescent="0.25">
      <c r="A2533" s="24" t="s">
        <v>3663</v>
      </c>
      <c r="B2533" s="4" t="s">
        <v>1063</v>
      </c>
      <c r="C2533" s="25" t="s">
        <v>5</v>
      </c>
      <c r="G2533" s="25" t="s">
        <v>1089</v>
      </c>
      <c r="H2533" s="24" t="s">
        <v>1061</v>
      </c>
      <c r="I2533" s="3" t="str">
        <f>IFERROR(VLOOKUP(C2533,'Справочник соответствий'!A$2:D$2981,2,FALSE),IF(VALUE(C2533)=0,1,VLOOKUP(C2533,'Справочник соответствий'!A$2:D$2981,2,FALSE)))</f>
        <v>1</v>
      </c>
      <c r="J2533" s="3">
        <f>IFERROR(VLOOKUP(D2533,'Справочник соответствий'!A$2:D$2981,2,FALSE),IF(VALUE(D2533)=0,0,VLOOKUP(D2533,'Справочник соответствий'!A$2:D$2981,2,FALSE)))</f>
        <v>0</v>
      </c>
      <c r="K2533" s="3" t="str">
        <f t="shared" si="273"/>
        <v>1</v>
      </c>
      <c r="L2533" s="13" t="str">
        <f>IFERROR(VLOOKUP(C2533,'Справочник соответствий'!A$2:D$2981,3,FALSE),IF(VALUE(C2533)=0,"ЭТАЖ НЕ ОПРЕДЕЛЕН. ПРИНЯТ ПО ДОПУЩЕНИЮ 1",VLOOKUP(C2533,'Справочник соответствий'!A$2:D$2981,3,FALSE)))</f>
        <v>ЭТАЖ ЗАДАН ЧИСЛОМ</v>
      </c>
      <c r="M2533" s="13" t="b">
        <f t="shared" si="274"/>
        <v>0</v>
      </c>
      <c r="N2533" s="13">
        <f t="shared" si="275"/>
        <v>1</v>
      </c>
      <c r="O2533" s="13" t="str">
        <f t="shared" si="276"/>
        <v>ЭТАЖ ЗАДАН ЧИСЛОМ</v>
      </c>
      <c r="P2533" s="13" t="str">
        <f t="shared" si="277"/>
        <v>ЭТАЖ ЗАДАН ЧИСЛОМ</v>
      </c>
      <c r="Q2533" s="13" t="str">
        <f t="shared" si="278"/>
        <v>ГОТОВ_ИЗМЕНЕН</v>
      </c>
      <c r="R2533" s="13">
        <f>IFERROR(VLOOKUP(P2533,Лист1!A$1:B$20,2,FALSE),0)</f>
        <v>784</v>
      </c>
      <c r="S2533" s="13">
        <f t="shared" si="279"/>
        <v>0</v>
      </c>
    </row>
    <row r="2534" spans="1:19" x14ac:dyDescent="0.25">
      <c r="A2534" s="24" t="s">
        <v>3664</v>
      </c>
      <c r="B2534" s="4" t="s">
        <v>1059</v>
      </c>
      <c r="C2534" s="25" t="s">
        <v>5</v>
      </c>
      <c r="G2534" s="25" t="s">
        <v>1069</v>
      </c>
      <c r="H2534" s="24" t="s">
        <v>1061</v>
      </c>
      <c r="I2534" s="3" t="str">
        <f>IFERROR(VLOOKUP(C2534,'Справочник соответствий'!A$2:D$2981,2,FALSE),IF(VALUE(C2534)=0,1,VLOOKUP(C2534,'Справочник соответствий'!A$2:D$2981,2,FALSE)))</f>
        <v>1</v>
      </c>
      <c r="J2534" s="3">
        <f>IFERROR(VLOOKUP(D2534,'Справочник соответствий'!A$2:D$2981,2,FALSE),IF(VALUE(D2534)=0,0,VLOOKUP(D2534,'Справочник соответствий'!A$2:D$2981,2,FALSE)))</f>
        <v>0</v>
      </c>
      <c r="K2534" s="3" t="str">
        <f t="shared" si="273"/>
        <v>1</v>
      </c>
      <c r="L2534" s="13" t="str">
        <f>IFERROR(VLOOKUP(C2534,'Справочник соответствий'!A$2:D$2981,3,FALSE),IF(VALUE(C2534)=0,"ЭТАЖ НЕ ОПРЕДЕЛЕН. ПРИНЯТ ПО ДОПУЩЕНИЮ 1",VLOOKUP(C2534,'Справочник соответствий'!A$2:D$2981,3,FALSE)))</f>
        <v>ЭТАЖ ЗАДАН ЧИСЛОМ</v>
      </c>
      <c r="M2534" s="13" t="b">
        <f t="shared" si="274"/>
        <v>0</v>
      </c>
      <c r="N2534" s="13">
        <f t="shared" si="275"/>
        <v>1</v>
      </c>
      <c r="O2534" s="13" t="str">
        <f t="shared" si="276"/>
        <v>ЭТАЖ ЗАДАН ЧИСЛОМ</v>
      </c>
      <c r="P2534" s="13" t="str">
        <f t="shared" si="277"/>
        <v>ЭТАЖ ЗАДАН ЧИСЛОМ</v>
      </c>
      <c r="Q2534" s="13" t="str">
        <f t="shared" si="278"/>
        <v>ГОТОВ_ИЗМЕНЕН</v>
      </c>
      <c r="R2534" s="13">
        <f>IFERROR(VLOOKUP(P2534,Лист1!A$1:B$20,2,FALSE),0)</f>
        <v>784</v>
      </c>
      <c r="S2534" s="13">
        <f t="shared" si="279"/>
        <v>0</v>
      </c>
    </row>
    <row r="2535" spans="1:19" x14ac:dyDescent="0.25">
      <c r="A2535" s="24" t="s">
        <v>3665</v>
      </c>
      <c r="B2535" s="4" t="s">
        <v>1063</v>
      </c>
      <c r="C2535" s="25" t="s">
        <v>5</v>
      </c>
      <c r="G2535" s="25" t="s">
        <v>1069</v>
      </c>
      <c r="H2535" s="24" t="s">
        <v>1061</v>
      </c>
      <c r="I2535" s="3" t="str">
        <f>IFERROR(VLOOKUP(C2535,'Справочник соответствий'!A$2:D$2981,2,FALSE),IF(VALUE(C2535)=0,1,VLOOKUP(C2535,'Справочник соответствий'!A$2:D$2981,2,FALSE)))</f>
        <v>1</v>
      </c>
      <c r="J2535" s="3">
        <f>IFERROR(VLOOKUP(D2535,'Справочник соответствий'!A$2:D$2981,2,FALSE),IF(VALUE(D2535)=0,0,VLOOKUP(D2535,'Справочник соответствий'!A$2:D$2981,2,FALSE)))</f>
        <v>0</v>
      </c>
      <c r="K2535" s="3" t="str">
        <f t="shared" si="273"/>
        <v>1</v>
      </c>
      <c r="L2535" s="13" t="str">
        <f>IFERROR(VLOOKUP(C2535,'Справочник соответствий'!A$2:D$2981,3,FALSE),IF(VALUE(C2535)=0,"ЭТАЖ НЕ ОПРЕДЕЛЕН. ПРИНЯТ ПО ДОПУЩЕНИЮ 1",VLOOKUP(C2535,'Справочник соответствий'!A$2:D$2981,3,FALSE)))</f>
        <v>ЭТАЖ ЗАДАН ЧИСЛОМ</v>
      </c>
      <c r="M2535" s="13" t="b">
        <f t="shared" si="274"/>
        <v>0</v>
      </c>
      <c r="N2535" s="13">
        <f t="shared" si="275"/>
        <v>1</v>
      </c>
      <c r="O2535" s="13" t="str">
        <f t="shared" si="276"/>
        <v>ЭТАЖ ЗАДАН ЧИСЛОМ</v>
      </c>
      <c r="P2535" s="13" t="str">
        <f t="shared" si="277"/>
        <v>ЭТАЖ ЗАДАН ЧИСЛОМ</v>
      </c>
      <c r="Q2535" s="13" t="str">
        <f t="shared" si="278"/>
        <v>ГОТОВ_ИЗМЕНЕН</v>
      </c>
      <c r="R2535" s="13">
        <f>IFERROR(VLOOKUP(P2535,Лист1!A$1:B$20,2,FALSE),0)</f>
        <v>784</v>
      </c>
      <c r="S2535" s="13">
        <f t="shared" si="279"/>
        <v>0</v>
      </c>
    </row>
    <row r="2536" spans="1:19" x14ac:dyDescent="0.25">
      <c r="A2536" s="24" t="s">
        <v>3666</v>
      </c>
      <c r="B2536" s="4" t="s">
        <v>1059</v>
      </c>
      <c r="C2536" s="25" t="s">
        <v>7</v>
      </c>
      <c r="G2536" s="25" t="s">
        <v>1069</v>
      </c>
      <c r="H2536" s="24" t="s">
        <v>1061</v>
      </c>
      <c r="I2536" s="3" t="str">
        <f>IFERROR(VLOOKUP(C2536,'Справочник соответствий'!A$2:D$2981,2,FALSE),IF(VALUE(C2536)=0,1,VLOOKUP(C2536,'Справочник соответствий'!A$2:D$2981,2,FALSE)))</f>
        <v>2</v>
      </c>
      <c r="J2536" s="3">
        <f>IFERROR(VLOOKUP(D2536,'Справочник соответствий'!A$2:D$2981,2,FALSE),IF(VALUE(D2536)=0,0,VLOOKUP(D2536,'Справочник соответствий'!A$2:D$2981,2,FALSE)))</f>
        <v>0</v>
      </c>
      <c r="K2536" s="3" t="str">
        <f t="shared" si="273"/>
        <v>2</v>
      </c>
      <c r="L2536" s="13" t="str">
        <f>IFERROR(VLOOKUP(C2536,'Справочник соответствий'!A$2:D$2981,3,FALSE),IF(VALUE(C2536)=0,"ЭТАЖ НЕ ОПРЕДЕЛЕН. ПРИНЯТ ПО ДОПУЩЕНИЮ 1",VLOOKUP(C2536,'Справочник соответствий'!A$2:D$2981,3,FALSE)))</f>
        <v>ЭТАЖ ЗАДАН ЧИСЛОМ</v>
      </c>
      <c r="M2536" s="13" t="b">
        <f t="shared" si="274"/>
        <v>0</v>
      </c>
      <c r="N2536" s="13">
        <f t="shared" si="275"/>
        <v>2</v>
      </c>
      <c r="O2536" s="13" t="str">
        <f t="shared" si="276"/>
        <v>ЭТАЖ ЗАДАН ЧИСЛОМ</v>
      </c>
      <c r="P2536" s="13" t="str">
        <f t="shared" si="277"/>
        <v>ЭТАЖ ЗАДАН ЧИСЛОМ</v>
      </c>
      <c r="Q2536" s="13" t="str">
        <f t="shared" si="278"/>
        <v>ГОТОВ_ИЗМЕНЕН</v>
      </c>
      <c r="R2536" s="13">
        <f>IFERROR(VLOOKUP(P2536,Лист1!A$1:B$20,2,FALSE),0)</f>
        <v>784</v>
      </c>
      <c r="S2536" s="13">
        <f t="shared" si="279"/>
        <v>0</v>
      </c>
    </row>
    <row r="2537" spans="1:19" x14ac:dyDescent="0.25">
      <c r="A2537" s="24" t="s">
        <v>3667</v>
      </c>
      <c r="B2537" s="4" t="s">
        <v>1059</v>
      </c>
      <c r="C2537" s="25" t="s">
        <v>5</v>
      </c>
      <c r="G2537" s="25" t="s">
        <v>1069</v>
      </c>
      <c r="H2537" s="24" t="s">
        <v>1061</v>
      </c>
      <c r="I2537" s="3" t="str">
        <f>IFERROR(VLOOKUP(C2537,'Справочник соответствий'!A$2:D$2981,2,FALSE),IF(VALUE(C2537)=0,1,VLOOKUP(C2537,'Справочник соответствий'!A$2:D$2981,2,FALSE)))</f>
        <v>1</v>
      </c>
      <c r="J2537" s="3">
        <f>IFERROR(VLOOKUP(D2537,'Справочник соответствий'!A$2:D$2981,2,FALSE),IF(VALUE(D2537)=0,0,VLOOKUP(D2537,'Справочник соответствий'!A$2:D$2981,2,FALSE)))</f>
        <v>0</v>
      </c>
      <c r="K2537" s="3" t="str">
        <f t="shared" si="273"/>
        <v>1</v>
      </c>
      <c r="L2537" s="13" t="str">
        <f>IFERROR(VLOOKUP(C2537,'Справочник соответствий'!A$2:D$2981,3,FALSE),IF(VALUE(C2537)=0,"ЭТАЖ НЕ ОПРЕДЕЛЕН. ПРИНЯТ ПО ДОПУЩЕНИЮ 1",VLOOKUP(C2537,'Справочник соответствий'!A$2:D$2981,3,FALSE)))</f>
        <v>ЭТАЖ ЗАДАН ЧИСЛОМ</v>
      </c>
      <c r="M2537" s="13" t="b">
        <f t="shared" si="274"/>
        <v>0</v>
      </c>
      <c r="N2537" s="13">
        <f t="shared" si="275"/>
        <v>1</v>
      </c>
      <c r="O2537" s="13" t="str">
        <f t="shared" si="276"/>
        <v>ЭТАЖ ЗАДАН ЧИСЛОМ</v>
      </c>
      <c r="P2537" s="13" t="str">
        <f t="shared" si="277"/>
        <v>ЭТАЖ ЗАДАН ЧИСЛОМ</v>
      </c>
      <c r="Q2537" s="13" t="str">
        <f t="shared" si="278"/>
        <v>ГОТОВ_ИЗМЕНЕН</v>
      </c>
      <c r="R2537" s="13">
        <f>IFERROR(VLOOKUP(P2537,Лист1!A$1:B$20,2,FALSE),0)</f>
        <v>784</v>
      </c>
      <c r="S2537" s="13">
        <f t="shared" si="279"/>
        <v>0</v>
      </c>
    </row>
    <row r="2538" spans="1:19" x14ac:dyDescent="0.25">
      <c r="A2538" s="24" t="s">
        <v>3668</v>
      </c>
      <c r="B2538" s="4" t="s">
        <v>1063</v>
      </c>
      <c r="C2538" s="25" t="s">
        <v>5</v>
      </c>
      <c r="G2538" s="25" t="s">
        <v>1069</v>
      </c>
      <c r="H2538" s="24" t="s">
        <v>1061</v>
      </c>
      <c r="I2538" s="3" t="str">
        <f>IFERROR(VLOOKUP(C2538,'Справочник соответствий'!A$2:D$2981,2,FALSE),IF(VALUE(C2538)=0,1,VLOOKUP(C2538,'Справочник соответствий'!A$2:D$2981,2,FALSE)))</f>
        <v>1</v>
      </c>
      <c r="J2538" s="3">
        <f>IFERROR(VLOOKUP(D2538,'Справочник соответствий'!A$2:D$2981,2,FALSE),IF(VALUE(D2538)=0,0,VLOOKUP(D2538,'Справочник соответствий'!A$2:D$2981,2,FALSE)))</f>
        <v>0</v>
      </c>
      <c r="K2538" s="3" t="str">
        <f t="shared" si="273"/>
        <v>1</v>
      </c>
      <c r="L2538" s="13" t="str">
        <f>IFERROR(VLOOKUP(C2538,'Справочник соответствий'!A$2:D$2981,3,FALSE),IF(VALUE(C2538)=0,"ЭТАЖ НЕ ОПРЕДЕЛЕН. ПРИНЯТ ПО ДОПУЩЕНИЮ 1",VLOOKUP(C2538,'Справочник соответствий'!A$2:D$2981,3,FALSE)))</f>
        <v>ЭТАЖ ЗАДАН ЧИСЛОМ</v>
      </c>
      <c r="M2538" s="13" t="b">
        <f t="shared" si="274"/>
        <v>0</v>
      </c>
      <c r="N2538" s="13">
        <f t="shared" si="275"/>
        <v>1</v>
      </c>
      <c r="O2538" s="13" t="str">
        <f t="shared" si="276"/>
        <v>ЭТАЖ ЗАДАН ЧИСЛОМ</v>
      </c>
      <c r="P2538" s="13" t="str">
        <f t="shared" si="277"/>
        <v>ЭТАЖ ЗАДАН ЧИСЛОМ</v>
      </c>
      <c r="Q2538" s="13" t="str">
        <f t="shared" si="278"/>
        <v>ГОТОВ_ИЗМЕНЕН</v>
      </c>
      <c r="R2538" s="13">
        <f>IFERROR(VLOOKUP(P2538,Лист1!A$1:B$20,2,FALSE),0)</f>
        <v>784</v>
      </c>
      <c r="S2538" s="13">
        <f t="shared" si="279"/>
        <v>0</v>
      </c>
    </row>
    <row r="2539" spans="1:19" x14ac:dyDescent="0.25">
      <c r="A2539" s="24" t="s">
        <v>3669</v>
      </c>
      <c r="B2539" s="4" t="s">
        <v>1059</v>
      </c>
      <c r="C2539" s="25" t="s">
        <v>7</v>
      </c>
      <c r="G2539" s="25" t="s">
        <v>1089</v>
      </c>
      <c r="H2539" s="24" t="s">
        <v>1061</v>
      </c>
      <c r="I2539" s="3" t="str">
        <f>IFERROR(VLOOKUP(C2539,'Справочник соответствий'!A$2:D$2981,2,FALSE),IF(VALUE(C2539)=0,1,VLOOKUP(C2539,'Справочник соответствий'!A$2:D$2981,2,FALSE)))</f>
        <v>2</v>
      </c>
      <c r="J2539" s="3">
        <f>IFERROR(VLOOKUP(D2539,'Справочник соответствий'!A$2:D$2981,2,FALSE),IF(VALUE(D2539)=0,0,VLOOKUP(D2539,'Справочник соответствий'!A$2:D$2981,2,FALSE)))</f>
        <v>0</v>
      </c>
      <c r="K2539" s="3" t="str">
        <f t="shared" si="273"/>
        <v>2</v>
      </c>
      <c r="L2539" s="13" t="str">
        <f>IFERROR(VLOOKUP(C2539,'Справочник соответствий'!A$2:D$2981,3,FALSE),IF(VALUE(C2539)=0,"ЭТАЖ НЕ ОПРЕДЕЛЕН. ПРИНЯТ ПО ДОПУЩЕНИЮ 1",VLOOKUP(C2539,'Справочник соответствий'!A$2:D$2981,3,FALSE)))</f>
        <v>ЭТАЖ ЗАДАН ЧИСЛОМ</v>
      </c>
      <c r="M2539" s="13" t="b">
        <f t="shared" si="274"/>
        <v>0</v>
      </c>
      <c r="N2539" s="13">
        <f t="shared" si="275"/>
        <v>2</v>
      </c>
      <c r="O2539" s="13" t="str">
        <f t="shared" si="276"/>
        <v>ЭТАЖ ЗАДАН ЧИСЛОМ</v>
      </c>
      <c r="P2539" s="13" t="str">
        <f t="shared" si="277"/>
        <v>ЭТАЖ ЗАДАН ЧИСЛОМ</v>
      </c>
      <c r="Q2539" s="13" t="str">
        <f t="shared" si="278"/>
        <v>ГОТОВ_ИЗМЕНЕН</v>
      </c>
      <c r="R2539" s="13">
        <f>IFERROR(VLOOKUP(P2539,Лист1!A$1:B$20,2,FALSE),0)</f>
        <v>784</v>
      </c>
      <c r="S2539" s="13">
        <f t="shared" si="279"/>
        <v>0</v>
      </c>
    </row>
    <row r="2540" spans="1:19" x14ac:dyDescent="0.25">
      <c r="A2540" s="24" t="s">
        <v>3670</v>
      </c>
      <c r="B2540" s="4" t="s">
        <v>1063</v>
      </c>
      <c r="C2540" s="25" t="s">
        <v>5</v>
      </c>
      <c r="G2540" s="25" t="s">
        <v>1089</v>
      </c>
      <c r="H2540" s="24" t="s">
        <v>1061</v>
      </c>
      <c r="I2540" s="3" t="str">
        <f>IFERROR(VLOOKUP(C2540,'Справочник соответствий'!A$2:D$2981,2,FALSE),IF(VALUE(C2540)=0,1,VLOOKUP(C2540,'Справочник соответствий'!A$2:D$2981,2,FALSE)))</f>
        <v>1</v>
      </c>
      <c r="J2540" s="3">
        <f>IFERROR(VLOOKUP(D2540,'Справочник соответствий'!A$2:D$2981,2,FALSE),IF(VALUE(D2540)=0,0,VLOOKUP(D2540,'Справочник соответствий'!A$2:D$2981,2,FALSE)))</f>
        <v>0</v>
      </c>
      <c r="K2540" s="3" t="str">
        <f t="shared" si="273"/>
        <v>1</v>
      </c>
      <c r="L2540" s="13" t="str">
        <f>IFERROR(VLOOKUP(C2540,'Справочник соответствий'!A$2:D$2981,3,FALSE),IF(VALUE(C2540)=0,"ЭТАЖ НЕ ОПРЕДЕЛЕН. ПРИНЯТ ПО ДОПУЩЕНИЮ 1",VLOOKUP(C2540,'Справочник соответствий'!A$2:D$2981,3,FALSE)))</f>
        <v>ЭТАЖ ЗАДАН ЧИСЛОМ</v>
      </c>
      <c r="M2540" s="13" t="b">
        <f t="shared" si="274"/>
        <v>0</v>
      </c>
      <c r="N2540" s="13">
        <f t="shared" si="275"/>
        <v>1</v>
      </c>
      <c r="O2540" s="13" t="str">
        <f t="shared" si="276"/>
        <v>ЭТАЖ ЗАДАН ЧИСЛОМ</v>
      </c>
      <c r="P2540" s="13" t="str">
        <f t="shared" si="277"/>
        <v>ЭТАЖ ЗАДАН ЧИСЛОМ</v>
      </c>
      <c r="Q2540" s="13" t="str">
        <f t="shared" si="278"/>
        <v>ГОТОВ_ИЗМЕНЕН</v>
      </c>
      <c r="R2540" s="13">
        <f>IFERROR(VLOOKUP(P2540,Лист1!A$1:B$20,2,FALSE),0)</f>
        <v>784</v>
      </c>
      <c r="S2540" s="13">
        <f t="shared" si="279"/>
        <v>0</v>
      </c>
    </row>
    <row r="2541" spans="1:19" x14ac:dyDescent="0.25">
      <c r="A2541" s="24" t="s">
        <v>3671</v>
      </c>
      <c r="B2541" s="4" t="s">
        <v>1059</v>
      </c>
      <c r="C2541" s="25" t="s">
        <v>5</v>
      </c>
      <c r="G2541" s="25" t="s">
        <v>1089</v>
      </c>
      <c r="H2541" s="24" t="s">
        <v>1061</v>
      </c>
      <c r="I2541" s="3" t="str">
        <f>IFERROR(VLOOKUP(C2541,'Справочник соответствий'!A$2:D$2981,2,FALSE),IF(VALUE(C2541)=0,1,VLOOKUP(C2541,'Справочник соответствий'!A$2:D$2981,2,FALSE)))</f>
        <v>1</v>
      </c>
      <c r="J2541" s="3">
        <f>IFERROR(VLOOKUP(D2541,'Справочник соответствий'!A$2:D$2981,2,FALSE),IF(VALUE(D2541)=0,0,VLOOKUP(D2541,'Справочник соответствий'!A$2:D$2981,2,FALSE)))</f>
        <v>0</v>
      </c>
      <c r="K2541" s="3" t="str">
        <f t="shared" si="273"/>
        <v>1</v>
      </c>
      <c r="L2541" s="13" t="str">
        <f>IFERROR(VLOOKUP(C2541,'Справочник соответствий'!A$2:D$2981,3,FALSE),IF(VALUE(C2541)=0,"ЭТАЖ НЕ ОПРЕДЕЛЕН. ПРИНЯТ ПО ДОПУЩЕНИЮ 1",VLOOKUP(C2541,'Справочник соответствий'!A$2:D$2981,3,FALSE)))</f>
        <v>ЭТАЖ ЗАДАН ЧИСЛОМ</v>
      </c>
      <c r="M2541" s="13" t="b">
        <f t="shared" si="274"/>
        <v>0</v>
      </c>
      <c r="N2541" s="13">
        <f t="shared" si="275"/>
        <v>1</v>
      </c>
      <c r="O2541" s="13" t="str">
        <f t="shared" si="276"/>
        <v>ЭТАЖ ЗАДАН ЧИСЛОМ</v>
      </c>
      <c r="P2541" s="13" t="str">
        <f t="shared" si="277"/>
        <v>ЭТАЖ ЗАДАН ЧИСЛОМ</v>
      </c>
      <c r="Q2541" s="13" t="str">
        <f t="shared" si="278"/>
        <v>ГОТОВ_ИЗМЕНЕН</v>
      </c>
      <c r="R2541" s="13">
        <f>IFERROR(VLOOKUP(P2541,Лист1!A$1:B$20,2,FALSE),0)</f>
        <v>784</v>
      </c>
      <c r="S2541" s="13">
        <f t="shared" si="279"/>
        <v>0</v>
      </c>
    </row>
    <row r="2542" spans="1:19" x14ac:dyDescent="0.25">
      <c r="A2542" s="24" t="s">
        <v>3672</v>
      </c>
      <c r="B2542" s="4" t="s">
        <v>1059</v>
      </c>
      <c r="C2542" s="25" t="s">
        <v>5</v>
      </c>
      <c r="G2542" s="25" t="s">
        <v>1089</v>
      </c>
      <c r="H2542" s="24" t="s">
        <v>1061</v>
      </c>
      <c r="I2542" s="3" t="str">
        <f>IFERROR(VLOOKUP(C2542,'Справочник соответствий'!A$2:D$2981,2,FALSE),IF(VALUE(C2542)=0,1,VLOOKUP(C2542,'Справочник соответствий'!A$2:D$2981,2,FALSE)))</f>
        <v>1</v>
      </c>
      <c r="J2542" s="3">
        <f>IFERROR(VLOOKUP(D2542,'Справочник соответствий'!A$2:D$2981,2,FALSE),IF(VALUE(D2542)=0,0,VLOOKUP(D2542,'Справочник соответствий'!A$2:D$2981,2,FALSE)))</f>
        <v>0</v>
      </c>
      <c r="K2542" s="3" t="str">
        <f t="shared" si="273"/>
        <v>1</v>
      </c>
      <c r="L2542" s="13" t="str">
        <f>IFERROR(VLOOKUP(C2542,'Справочник соответствий'!A$2:D$2981,3,FALSE),IF(VALUE(C2542)=0,"ЭТАЖ НЕ ОПРЕДЕЛЕН. ПРИНЯТ ПО ДОПУЩЕНИЮ 1",VLOOKUP(C2542,'Справочник соответствий'!A$2:D$2981,3,FALSE)))</f>
        <v>ЭТАЖ ЗАДАН ЧИСЛОМ</v>
      </c>
      <c r="M2542" s="13" t="b">
        <f t="shared" si="274"/>
        <v>0</v>
      </c>
      <c r="N2542" s="13">
        <f t="shared" si="275"/>
        <v>1</v>
      </c>
      <c r="O2542" s="13" t="str">
        <f t="shared" si="276"/>
        <v>ЭТАЖ ЗАДАН ЧИСЛОМ</v>
      </c>
      <c r="P2542" s="13" t="str">
        <f t="shared" si="277"/>
        <v>ЭТАЖ ЗАДАН ЧИСЛОМ</v>
      </c>
      <c r="Q2542" s="13" t="str">
        <f t="shared" si="278"/>
        <v>ГОТОВ_ИЗМЕНЕН</v>
      </c>
      <c r="R2542" s="13">
        <f>IFERROR(VLOOKUP(P2542,Лист1!A$1:B$20,2,FALSE),0)</f>
        <v>784</v>
      </c>
      <c r="S2542" s="13">
        <f t="shared" si="279"/>
        <v>0</v>
      </c>
    </row>
    <row r="2543" spans="1:19" x14ac:dyDescent="0.25">
      <c r="A2543" s="24" t="s">
        <v>3673</v>
      </c>
      <c r="B2543" s="4" t="s">
        <v>1059</v>
      </c>
      <c r="C2543" s="25" t="s">
        <v>5</v>
      </c>
      <c r="G2543" s="25" t="s">
        <v>1089</v>
      </c>
      <c r="H2543" s="24" t="s">
        <v>1061</v>
      </c>
      <c r="I2543" s="3" t="str">
        <f>IFERROR(VLOOKUP(C2543,'Справочник соответствий'!A$2:D$2981,2,FALSE),IF(VALUE(C2543)=0,1,VLOOKUP(C2543,'Справочник соответствий'!A$2:D$2981,2,FALSE)))</f>
        <v>1</v>
      </c>
      <c r="J2543" s="3">
        <f>IFERROR(VLOOKUP(D2543,'Справочник соответствий'!A$2:D$2981,2,FALSE),IF(VALUE(D2543)=0,0,VLOOKUP(D2543,'Справочник соответствий'!A$2:D$2981,2,FALSE)))</f>
        <v>0</v>
      </c>
      <c r="K2543" s="3" t="str">
        <f t="shared" si="273"/>
        <v>1</v>
      </c>
      <c r="L2543" s="13" t="str">
        <f>IFERROR(VLOOKUP(C2543,'Справочник соответствий'!A$2:D$2981,3,FALSE),IF(VALUE(C2543)=0,"ЭТАЖ НЕ ОПРЕДЕЛЕН. ПРИНЯТ ПО ДОПУЩЕНИЮ 1",VLOOKUP(C2543,'Справочник соответствий'!A$2:D$2981,3,FALSE)))</f>
        <v>ЭТАЖ ЗАДАН ЧИСЛОМ</v>
      </c>
      <c r="M2543" s="13" t="b">
        <f t="shared" si="274"/>
        <v>0</v>
      </c>
      <c r="N2543" s="13">
        <f t="shared" si="275"/>
        <v>1</v>
      </c>
      <c r="O2543" s="13" t="str">
        <f t="shared" si="276"/>
        <v>ЭТАЖ ЗАДАН ЧИСЛОМ</v>
      </c>
      <c r="P2543" s="13" t="str">
        <f t="shared" si="277"/>
        <v>ЭТАЖ ЗАДАН ЧИСЛОМ</v>
      </c>
      <c r="Q2543" s="13" t="str">
        <f t="shared" si="278"/>
        <v>ГОТОВ_ИЗМЕНЕН</v>
      </c>
      <c r="R2543" s="13">
        <f>IFERROR(VLOOKUP(P2543,Лист1!A$1:B$20,2,FALSE),0)</f>
        <v>784</v>
      </c>
      <c r="S2543" s="13">
        <f t="shared" si="279"/>
        <v>0</v>
      </c>
    </row>
    <row r="2544" spans="1:19" x14ac:dyDescent="0.25">
      <c r="A2544" s="24" t="s">
        <v>3674</v>
      </c>
      <c r="B2544" s="4" t="s">
        <v>1059</v>
      </c>
      <c r="C2544" s="25" t="s">
        <v>5</v>
      </c>
      <c r="G2544" s="25" t="s">
        <v>1089</v>
      </c>
      <c r="H2544" s="24" t="s">
        <v>1061</v>
      </c>
      <c r="I2544" s="3" t="str">
        <f>IFERROR(VLOOKUP(C2544,'Справочник соответствий'!A$2:D$2981,2,FALSE),IF(VALUE(C2544)=0,1,VLOOKUP(C2544,'Справочник соответствий'!A$2:D$2981,2,FALSE)))</f>
        <v>1</v>
      </c>
      <c r="J2544" s="3">
        <f>IFERROR(VLOOKUP(D2544,'Справочник соответствий'!A$2:D$2981,2,FALSE),IF(VALUE(D2544)=0,0,VLOOKUP(D2544,'Справочник соответствий'!A$2:D$2981,2,FALSE)))</f>
        <v>0</v>
      </c>
      <c r="K2544" s="3" t="str">
        <f t="shared" si="273"/>
        <v>1</v>
      </c>
      <c r="L2544" s="13" t="str">
        <f>IFERROR(VLOOKUP(C2544,'Справочник соответствий'!A$2:D$2981,3,FALSE),IF(VALUE(C2544)=0,"ЭТАЖ НЕ ОПРЕДЕЛЕН. ПРИНЯТ ПО ДОПУЩЕНИЮ 1",VLOOKUP(C2544,'Справочник соответствий'!A$2:D$2981,3,FALSE)))</f>
        <v>ЭТАЖ ЗАДАН ЧИСЛОМ</v>
      </c>
      <c r="M2544" s="13" t="b">
        <f t="shared" si="274"/>
        <v>0</v>
      </c>
      <c r="N2544" s="13">
        <f t="shared" si="275"/>
        <v>1</v>
      </c>
      <c r="O2544" s="13" t="str">
        <f t="shared" si="276"/>
        <v>ЭТАЖ ЗАДАН ЧИСЛОМ</v>
      </c>
      <c r="P2544" s="13" t="str">
        <f t="shared" si="277"/>
        <v>ЭТАЖ ЗАДАН ЧИСЛОМ</v>
      </c>
      <c r="Q2544" s="13" t="str">
        <f t="shared" si="278"/>
        <v>ГОТОВ_ИЗМЕНЕН</v>
      </c>
      <c r="R2544" s="13">
        <f>IFERROR(VLOOKUP(P2544,Лист1!A$1:B$20,2,FALSE),0)</f>
        <v>784</v>
      </c>
      <c r="S2544" s="13">
        <f t="shared" si="279"/>
        <v>0</v>
      </c>
    </row>
    <row r="2545" spans="1:19" x14ac:dyDescent="0.25">
      <c r="A2545" s="24" t="s">
        <v>3675</v>
      </c>
      <c r="B2545" s="4" t="s">
        <v>1059</v>
      </c>
      <c r="C2545" s="25" t="s">
        <v>5</v>
      </c>
      <c r="G2545" s="25" t="s">
        <v>1089</v>
      </c>
      <c r="H2545" s="24" t="s">
        <v>1061</v>
      </c>
      <c r="I2545" s="3" t="str">
        <f>IFERROR(VLOOKUP(C2545,'Справочник соответствий'!A$2:D$2981,2,FALSE),IF(VALUE(C2545)=0,1,VLOOKUP(C2545,'Справочник соответствий'!A$2:D$2981,2,FALSE)))</f>
        <v>1</v>
      </c>
      <c r="J2545" s="3">
        <f>IFERROR(VLOOKUP(D2545,'Справочник соответствий'!A$2:D$2981,2,FALSE),IF(VALUE(D2545)=0,0,VLOOKUP(D2545,'Справочник соответствий'!A$2:D$2981,2,FALSE)))</f>
        <v>0</v>
      </c>
      <c r="K2545" s="3" t="str">
        <f t="shared" si="273"/>
        <v>1</v>
      </c>
      <c r="L2545" s="13" t="str">
        <f>IFERROR(VLOOKUP(C2545,'Справочник соответствий'!A$2:D$2981,3,FALSE),IF(VALUE(C2545)=0,"ЭТАЖ НЕ ОПРЕДЕЛЕН. ПРИНЯТ ПО ДОПУЩЕНИЮ 1",VLOOKUP(C2545,'Справочник соответствий'!A$2:D$2981,3,FALSE)))</f>
        <v>ЭТАЖ ЗАДАН ЧИСЛОМ</v>
      </c>
      <c r="M2545" s="13" t="b">
        <f t="shared" si="274"/>
        <v>0</v>
      </c>
      <c r="N2545" s="13">
        <f t="shared" si="275"/>
        <v>1</v>
      </c>
      <c r="O2545" s="13" t="str">
        <f t="shared" si="276"/>
        <v>ЭТАЖ ЗАДАН ЧИСЛОМ</v>
      </c>
      <c r="P2545" s="13" t="str">
        <f t="shared" si="277"/>
        <v>ЭТАЖ ЗАДАН ЧИСЛОМ</v>
      </c>
      <c r="Q2545" s="13" t="str">
        <f t="shared" si="278"/>
        <v>ГОТОВ_ИЗМЕНЕН</v>
      </c>
      <c r="R2545" s="13">
        <f>IFERROR(VLOOKUP(P2545,Лист1!A$1:B$20,2,FALSE),0)</f>
        <v>784</v>
      </c>
      <c r="S2545" s="13">
        <f t="shared" si="279"/>
        <v>0</v>
      </c>
    </row>
    <row r="2546" spans="1:19" x14ac:dyDescent="0.25">
      <c r="A2546" s="24" t="s">
        <v>3676</v>
      </c>
      <c r="B2546" s="4" t="s">
        <v>1059</v>
      </c>
      <c r="C2546" s="25" t="s">
        <v>7</v>
      </c>
      <c r="G2546" s="25" t="s">
        <v>1089</v>
      </c>
      <c r="H2546" s="24" t="s">
        <v>1061</v>
      </c>
      <c r="I2546" s="3" t="str">
        <f>IFERROR(VLOOKUP(C2546,'Справочник соответствий'!A$2:D$2981,2,FALSE),IF(VALUE(C2546)=0,1,VLOOKUP(C2546,'Справочник соответствий'!A$2:D$2981,2,FALSE)))</f>
        <v>2</v>
      </c>
      <c r="J2546" s="3">
        <f>IFERROR(VLOOKUP(D2546,'Справочник соответствий'!A$2:D$2981,2,FALSE),IF(VALUE(D2546)=0,0,VLOOKUP(D2546,'Справочник соответствий'!A$2:D$2981,2,FALSE)))</f>
        <v>0</v>
      </c>
      <c r="K2546" s="3" t="str">
        <f t="shared" si="273"/>
        <v>2</v>
      </c>
      <c r="L2546" s="13" t="str">
        <f>IFERROR(VLOOKUP(C2546,'Справочник соответствий'!A$2:D$2981,3,FALSE),IF(VALUE(C2546)=0,"ЭТАЖ НЕ ОПРЕДЕЛЕН. ПРИНЯТ ПО ДОПУЩЕНИЮ 1",VLOOKUP(C2546,'Справочник соответствий'!A$2:D$2981,3,FALSE)))</f>
        <v>ЭТАЖ ЗАДАН ЧИСЛОМ</v>
      </c>
      <c r="M2546" s="13" t="b">
        <f t="shared" si="274"/>
        <v>0</v>
      </c>
      <c r="N2546" s="13">
        <f t="shared" si="275"/>
        <v>2</v>
      </c>
      <c r="O2546" s="13" t="str">
        <f t="shared" si="276"/>
        <v>ЭТАЖ ЗАДАН ЧИСЛОМ</v>
      </c>
      <c r="P2546" s="13" t="str">
        <f t="shared" si="277"/>
        <v>ЭТАЖ ЗАДАН ЧИСЛОМ</v>
      </c>
      <c r="Q2546" s="13" t="str">
        <f t="shared" si="278"/>
        <v>ГОТОВ_ИЗМЕНЕН</v>
      </c>
      <c r="R2546" s="13">
        <f>IFERROR(VLOOKUP(P2546,Лист1!A$1:B$20,2,FALSE),0)</f>
        <v>784</v>
      </c>
      <c r="S2546" s="13">
        <f t="shared" si="279"/>
        <v>0</v>
      </c>
    </row>
    <row r="2547" spans="1:19" x14ac:dyDescent="0.25">
      <c r="A2547" s="24" t="s">
        <v>3677</v>
      </c>
      <c r="B2547" s="4" t="s">
        <v>1059</v>
      </c>
      <c r="C2547" s="25" t="s">
        <v>7</v>
      </c>
      <c r="G2547" s="25" t="s">
        <v>1289</v>
      </c>
      <c r="H2547" s="24" t="s">
        <v>1061</v>
      </c>
      <c r="I2547" s="3" t="str">
        <f>IFERROR(VLOOKUP(C2547,'Справочник соответствий'!A$2:D$2981,2,FALSE),IF(VALUE(C2547)=0,1,VLOOKUP(C2547,'Справочник соответствий'!A$2:D$2981,2,FALSE)))</f>
        <v>2</v>
      </c>
      <c r="J2547" s="3">
        <f>IFERROR(VLOOKUP(D2547,'Справочник соответствий'!A$2:D$2981,2,FALSE),IF(VALUE(D2547)=0,0,VLOOKUP(D2547,'Справочник соответствий'!A$2:D$2981,2,FALSE)))</f>
        <v>0</v>
      </c>
      <c r="K2547" s="3" t="str">
        <f t="shared" si="273"/>
        <v>2</v>
      </c>
      <c r="L2547" s="13" t="str">
        <f>IFERROR(VLOOKUP(C2547,'Справочник соответствий'!A$2:D$2981,3,FALSE),IF(VALUE(C2547)=0,"ЭТАЖ НЕ ОПРЕДЕЛЕН. ПРИНЯТ ПО ДОПУЩЕНИЮ 1",VLOOKUP(C2547,'Справочник соответствий'!A$2:D$2981,3,FALSE)))</f>
        <v>ЭТАЖ ЗАДАН ЧИСЛОМ</v>
      </c>
      <c r="M2547" s="13" t="b">
        <f t="shared" si="274"/>
        <v>0</v>
      </c>
      <c r="N2547" s="13">
        <f t="shared" si="275"/>
        <v>2</v>
      </c>
      <c r="O2547" s="13" t="str">
        <f t="shared" si="276"/>
        <v>ЭТАЖ ЗАДАН ЧИСЛОМ</v>
      </c>
      <c r="P2547" s="13" t="str">
        <f t="shared" si="277"/>
        <v>ЭТАЖ ЗАДАН ЧИСЛОМ</v>
      </c>
      <c r="Q2547" s="13" t="str">
        <f t="shared" si="278"/>
        <v>ГОТОВ_ИЗМЕНЕН</v>
      </c>
      <c r="R2547" s="13">
        <f>IFERROR(VLOOKUP(P2547,Лист1!A$1:B$20,2,FALSE),0)</f>
        <v>784</v>
      </c>
      <c r="S2547" s="13">
        <f t="shared" si="279"/>
        <v>0</v>
      </c>
    </row>
    <row r="2548" spans="1:19" x14ac:dyDescent="0.25">
      <c r="A2548" s="24" t="s">
        <v>3678</v>
      </c>
      <c r="B2548" s="4" t="s">
        <v>1059</v>
      </c>
      <c r="C2548" s="25" t="s">
        <v>5</v>
      </c>
      <c r="G2548" s="25" t="s">
        <v>1698</v>
      </c>
      <c r="H2548" s="24" t="s">
        <v>1061</v>
      </c>
      <c r="I2548" s="3" t="str">
        <f>IFERROR(VLOOKUP(C2548,'Справочник соответствий'!A$2:D$2981,2,FALSE),IF(VALUE(C2548)=0,1,VLOOKUP(C2548,'Справочник соответствий'!A$2:D$2981,2,FALSE)))</f>
        <v>1</v>
      </c>
      <c r="J2548" s="3">
        <f>IFERROR(VLOOKUP(D2548,'Справочник соответствий'!A$2:D$2981,2,FALSE),IF(VALUE(D2548)=0,0,VLOOKUP(D2548,'Справочник соответствий'!A$2:D$2981,2,FALSE)))</f>
        <v>0</v>
      </c>
      <c r="K2548" s="3" t="str">
        <f t="shared" si="273"/>
        <v>1</v>
      </c>
      <c r="L2548" s="13" t="str">
        <f>IFERROR(VLOOKUP(C2548,'Справочник соответствий'!A$2:D$2981,3,FALSE),IF(VALUE(C2548)=0,"ЭТАЖ НЕ ОПРЕДЕЛЕН. ПРИНЯТ ПО ДОПУЩЕНИЮ 1",VLOOKUP(C2548,'Справочник соответствий'!A$2:D$2981,3,FALSE)))</f>
        <v>ЭТАЖ ЗАДАН ЧИСЛОМ</v>
      </c>
      <c r="M2548" s="13" t="b">
        <f t="shared" si="274"/>
        <v>0</v>
      </c>
      <c r="N2548" s="13">
        <f t="shared" si="275"/>
        <v>1</v>
      </c>
      <c r="O2548" s="13" t="str">
        <f t="shared" si="276"/>
        <v>ЭТАЖ ЗАДАН ЧИСЛОМ</v>
      </c>
      <c r="P2548" s="13" t="str">
        <f t="shared" si="277"/>
        <v>ЭТАЖ ЗАДАН ЧИСЛОМ</v>
      </c>
      <c r="Q2548" s="13" t="str">
        <f t="shared" si="278"/>
        <v>ГОТОВ_ИЗМЕНЕН</v>
      </c>
      <c r="R2548" s="13">
        <f>IFERROR(VLOOKUP(P2548,Лист1!A$1:B$20,2,FALSE),0)</f>
        <v>784</v>
      </c>
      <c r="S2548" s="13">
        <f t="shared" si="279"/>
        <v>0</v>
      </c>
    </row>
    <row r="2549" spans="1:19" x14ac:dyDescent="0.25">
      <c r="A2549" s="24" t="s">
        <v>3679</v>
      </c>
      <c r="B2549" s="4" t="s">
        <v>1059</v>
      </c>
      <c r="C2549" s="25" t="s">
        <v>7</v>
      </c>
      <c r="G2549" s="25" t="s">
        <v>1698</v>
      </c>
      <c r="H2549" s="24" t="s">
        <v>1061</v>
      </c>
      <c r="I2549" s="3" t="str">
        <f>IFERROR(VLOOKUP(C2549,'Справочник соответствий'!A$2:D$2981,2,FALSE),IF(VALUE(C2549)=0,1,VLOOKUP(C2549,'Справочник соответствий'!A$2:D$2981,2,FALSE)))</f>
        <v>2</v>
      </c>
      <c r="J2549" s="3">
        <f>IFERROR(VLOOKUP(D2549,'Справочник соответствий'!A$2:D$2981,2,FALSE),IF(VALUE(D2549)=0,0,VLOOKUP(D2549,'Справочник соответствий'!A$2:D$2981,2,FALSE)))</f>
        <v>0</v>
      </c>
      <c r="K2549" s="3" t="str">
        <f t="shared" si="273"/>
        <v>2</v>
      </c>
      <c r="L2549" s="13" t="str">
        <f>IFERROR(VLOOKUP(C2549,'Справочник соответствий'!A$2:D$2981,3,FALSE),IF(VALUE(C2549)=0,"ЭТАЖ НЕ ОПРЕДЕЛЕН. ПРИНЯТ ПО ДОПУЩЕНИЮ 1",VLOOKUP(C2549,'Справочник соответствий'!A$2:D$2981,3,FALSE)))</f>
        <v>ЭТАЖ ЗАДАН ЧИСЛОМ</v>
      </c>
      <c r="M2549" s="13" t="b">
        <f t="shared" si="274"/>
        <v>0</v>
      </c>
      <c r="N2549" s="13">
        <f t="shared" si="275"/>
        <v>2</v>
      </c>
      <c r="O2549" s="13" t="str">
        <f t="shared" si="276"/>
        <v>ЭТАЖ ЗАДАН ЧИСЛОМ</v>
      </c>
      <c r="P2549" s="13" t="str">
        <f t="shared" si="277"/>
        <v>ЭТАЖ ЗАДАН ЧИСЛОМ</v>
      </c>
      <c r="Q2549" s="13" t="str">
        <f t="shared" si="278"/>
        <v>ГОТОВ_ИЗМЕНЕН</v>
      </c>
      <c r="R2549" s="13">
        <f>IFERROR(VLOOKUP(P2549,Лист1!A$1:B$20,2,FALSE),0)</f>
        <v>784</v>
      </c>
      <c r="S2549" s="13">
        <f t="shared" si="279"/>
        <v>0</v>
      </c>
    </row>
    <row r="2550" spans="1:19" x14ac:dyDescent="0.25">
      <c r="A2550" s="24" t="s">
        <v>3680</v>
      </c>
      <c r="B2550" s="4" t="s">
        <v>1063</v>
      </c>
      <c r="C2550" s="25" t="s">
        <v>5</v>
      </c>
      <c r="G2550" s="25" t="s">
        <v>1698</v>
      </c>
      <c r="H2550" s="24" t="s">
        <v>1061</v>
      </c>
      <c r="I2550" s="3" t="str">
        <f>IFERROR(VLOOKUP(C2550,'Справочник соответствий'!A$2:D$2981,2,FALSE),IF(VALUE(C2550)=0,1,VLOOKUP(C2550,'Справочник соответствий'!A$2:D$2981,2,FALSE)))</f>
        <v>1</v>
      </c>
      <c r="J2550" s="3">
        <f>IFERROR(VLOOKUP(D2550,'Справочник соответствий'!A$2:D$2981,2,FALSE),IF(VALUE(D2550)=0,0,VLOOKUP(D2550,'Справочник соответствий'!A$2:D$2981,2,FALSE)))</f>
        <v>0</v>
      </c>
      <c r="K2550" s="3" t="str">
        <f t="shared" si="273"/>
        <v>1</v>
      </c>
      <c r="L2550" s="13" t="str">
        <f>IFERROR(VLOOKUP(C2550,'Справочник соответствий'!A$2:D$2981,3,FALSE),IF(VALUE(C2550)=0,"ЭТАЖ НЕ ОПРЕДЕЛЕН. ПРИНЯТ ПО ДОПУЩЕНИЮ 1",VLOOKUP(C2550,'Справочник соответствий'!A$2:D$2981,3,FALSE)))</f>
        <v>ЭТАЖ ЗАДАН ЧИСЛОМ</v>
      </c>
      <c r="M2550" s="13" t="b">
        <f t="shared" si="274"/>
        <v>0</v>
      </c>
      <c r="N2550" s="13">
        <f t="shared" si="275"/>
        <v>1</v>
      </c>
      <c r="O2550" s="13" t="str">
        <f t="shared" si="276"/>
        <v>ЭТАЖ ЗАДАН ЧИСЛОМ</v>
      </c>
      <c r="P2550" s="13" t="str">
        <f t="shared" si="277"/>
        <v>ЭТАЖ ЗАДАН ЧИСЛОМ</v>
      </c>
      <c r="Q2550" s="13" t="str">
        <f t="shared" si="278"/>
        <v>ГОТОВ_ИЗМЕНЕН</v>
      </c>
      <c r="R2550" s="13">
        <f>IFERROR(VLOOKUP(P2550,Лист1!A$1:B$20,2,FALSE),0)</f>
        <v>784</v>
      </c>
      <c r="S2550" s="13">
        <f t="shared" si="279"/>
        <v>0</v>
      </c>
    </row>
    <row r="2551" spans="1:19" x14ac:dyDescent="0.25">
      <c r="A2551" s="24" t="s">
        <v>3681</v>
      </c>
      <c r="B2551" s="4" t="s">
        <v>1059</v>
      </c>
      <c r="C2551" s="25" t="s">
        <v>5</v>
      </c>
      <c r="G2551" s="25" t="s">
        <v>1698</v>
      </c>
      <c r="H2551" s="24" t="s">
        <v>1061</v>
      </c>
      <c r="I2551" s="3" t="str">
        <f>IFERROR(VLOOKUP(C2551,'Справочник соответствий'!A$2:D$2981,2,FALSE),IF(VALUE(C2551)=0,1,VLOOKUP(C2551,'Справочник соответствий'!A$2:D$2981,2,FALSE)))</f>
        <v>1</v>
      </c>
      <c r="J2551" s="3">
        <f>IFERROR(VLOOKUP(D2551,'Справочник соответствий'!A$2:D$2981,2,FALSE),IF(VALUE(D2551)=0,0,VLOOKUP(D2551,'Справочник соответствий'!A$2:D$2981,2,FALSE)))</f>
        <v>0</v>
      </c>
      <c r="K2551" s="3" t="str">
        <f t="shared" si="273"/>
        <v>1</v>
      </c>
      <c r="L2551" s="13" t="str">
        <f>IFERROR(VLOOKUP(C2551,'Справочник соответствий'!A$2:D$2981,3,FALSE),IF(VALUE(C2551)=0,"ЭТАЖ НЕ ОПРЕДЕЛЕН. ПРИНЯТ ПО ДОПУЩЕНИЮ 1",VLOOKUP(C2551,'Справочник соответствий'!A$2:D$2981,3,FALSE)))</f>
        <v>ЭТАЖ ЗАДАН ЧИСЛОМ</v>
      </c>
      <c r="M2551" s="13" t="b">
        <f t="shared" si="274"/>
        <v>0</v>
      </c>
      <c r="N2551" s="13">
        <f t="shared" si="275"/>
        <v>1</v>
      </c>
      <c r="O2551" s="13" t="str">
        <f t="shared" si="276"/>
        <v>ЭТАЖ ЗАДАН ЧИСЛОМ</v>
      </c>
      <c r="P2551" s="13" t="str">
        <f t="shared" si="277"/>
        <v>ЭТАЖ ЗАДАН ЧИСЛОМ</v>
      </c>
      <c r="Q2551" s="13" t="str">
        <f t="shared" si="278"/>
        <v>ГОТОВ_ИЗМЕНЕН</v>
      </c>
      <c r="R2551" s="13">
        <f>IFERROR(VLOOKUP(P2551,Лист1!A$1:B$20,2,FALSE),0)</f>
        <v>784</v>
      </c>
      <c r="S2551" s="13">
        <f t="shared" si="279"/>
        <v>0</v>
      </c>
    </row>
    <row r="2552" spans="1:19" x14ac:dyDescent="0.25">
      <c r="A2552" s="24" t="s">
        <v>3682</v>
      </c>
      <c r="B2552" s="4" t="s">
        <v>1059</v>
      </c>
      <c r="C2552" s="25" t="s">
        <v>5</v>
      </c>
      <c r="G2552" s="25" t="s">
        <v>1698</v>
      </c>
      <c r="H2552" s="24" t="s">
        <v>1061</v>
      </c>
      <c r="I2552" s="3" t="str">
        <f>IFERROR(VLOOKUP(C2552,'Справочник соответствий'!A$2:D$2981,2,FALSE),IF(VALUE(C2552)=0,1,VLOOKUP(C2552,'Справочник соответствий'!A$2:D$2981,2,FALSE)))</f>
        <v>1</v>
      </c>
      <c r="J2552" s="3">
        <f>IFERROR(VLOOKUP(D2552,'Справочник соответствий'!A$2:D$2981,2,FALSE),IF(VALUE(D2552)=0,0,VLOOKUP(D2552,'Справочник соответствий'!A$2:D$2981,2,FALSE)))</f>
        <v>0</v>
      </c>
      <c r="K2552" s="3" t="str">
        <f t="shared" si="273"/>
        <v>1</v>
      </c>
      <c r="L2552" s="13" t="str">
        <f>IFERROR(VLOOKUP(C2552,'Справочник соответствий'!A$2:D$2981,3,FALSE),IF(VALUE(C2552)=0,"ЭТАЖ НЕ ОПРЕДЕЛЕН. ПРИНЯТ ПО ДОПУЩЕНИЮ 1",VLOOKUP(C2552,'Справочник соответствий'!A$2:D$2981,3,FALSE)))</f>
        <v>ЭТАЖ ЗАДАН ЧИСЛОМ</v>
      </c>
      <c r="M2552" s="13" t="b">
        <f t="shared" si="274"/>
        <v>0</v>
      </c>
      <c r="N2552" s="13">
        <f t="shared" si="275"/>
        <v>1</v>
      </c>
      <c r="O2552" s="13" t="str">
        <f t="shared" si="276"/>
        <v>ЭТАЖ ЗАДАН ЧИСЛОМ</v>
      </c>
      <c r="P2552" s="13" t="str">
        <f t="shared" si="277"/>
        <v>ЭТАЖ ЗАДАН ЧИСЛОМ</v>
      </c>
      <c r="Q2552" s="13" t="str">
        <f t="shared" si="278"/>
        <v>ГОТОВ_ИЗМЕНЕН</v>
      </c>
      <c r="R2552" s="13">
        <f>IFERROR(VLOOKUP(P2552,Лист1!A$1:B$20,2,FALSE),0)</f>
        <v>784</v>
      </c>
      <c r="S2552" s="13">
        <f t="shared" si="279"/>
        <v>0</v>
      </c>
    </row>
    <row r="2553" spans="1:19" x14ac:dyDescent="0.25">
      <c r="A2553" s="24" t="s">
        <v>3683</v>
      </c>
      <c r="B2553" s="4" t="s">
        <v>1059</v>
      </c>
      <c r="C2553" s="25" t="s">
        <v>5</v>
      </c>
      <c r="G2553" s="25" t="s">
        <v>1391</v>
      </c>
      <c r="H2553" s="24" t="s">
        <v>1061</v>
      </c>
      <c r="I2553" s="3" t="str">
        <f>IFERROR(VLOOKUP(C2553,'Справочник соответствий'!A$2:D$2981,2,FALSE),IF(VALUE(C2553)=0,1,VLOOKUP(C2553,'Справочник соответствий'!A$2:D$2981,2,FALSE)))</f>
        <v>1</v>
      </c>
      <c r="J2553" s="3">
        <f>IFERROR(VLOOKUP(D2553,'Справочник соответствий'!A$2:D$2981,2,FALSE),IF(VALUE(D2553)=0,0,VLOOKUP(D2553,'Справочник соответствий'!A$2:D$2981,2,FALSE)))</f>
        <v>0</v>
      </c>
      <c r="K2553" s="3" t="str">
        <f t="shared" si="273"/>
        <v>1</v>
      </c>
      <c r="L2553" s="13" t="str">
        <f>IFERROR(VLOOKUP(C2553,'Справочник соответствий'!A$2:D$2981,3,FALSE),IF(VALUE(C2553)=0,"ЭТАЖ НЕ ОПРЕДЕЛЕН. ПРИНЯТ ПО ДОПУЩЕНИЮ 1",VLOOKUP(C2553,'Справочник соответствий'!A$2:D$2981,3,FALSE)))</f>
        <v>ЭТАЖ ЗАДАН ЧИСЛОМ</v>
      </c>
      <c r="M2553" s="13" t="b">
        <f t="shared" si="274"/>
        <v>0</v>
      </c>
      <c r="N2553" s="13">
        <f t="shared" si="275"/>
        <v>1</v>
      </c>
      <c r="O2553" s="13" t="str">
        <f t="shared" si="276"/>
        <v>ЭТАЖ ЗАДАН ЧИСЛОМ</v>
      </c>
      <c r="P2553" s="13" t="str">
        <f t="shared" si="277"/>
        <v>ЭТАЖ ЗАДАН ЧИСЛОМ</v>
      </c>
      <c r="Q2553" s="13" t="str">
        <f t="shared" si="278"/>
        <v>ГОТОВ_ИЗМЕНЕН</v>
      </c>
      <c r="R2553" s="13">
        <f>IFERROR(VLOOKUP(P2553,Лист1!A$1:B$20,2,FALSE),0)</f>
        <v>784</v>
      </c>
      <c r="S2553" s="13">
        <f t="shared" si="279"/>
        <v>0</v>
      </c>
    </row>
    <row r="2554" spans="1:19" x14ac:dyDescent="0.25">
      <c r="A2554" s="24" t="s">
        <v>3684</v>
      </c>
      <c r="B2554" s="4" t="s">
        <v>1063</v>
      </c>
      <c r="G2554" s="25" t="s">
        <v>1391</v>
      </c>
      <c r="H2554" s="24" t="s">
        <v>1061</v>
      </c>
      <c r="I2554" s="3">
        <f>IFERROR(VLOOKUP(C2554,'Справочник соответствий'!A$2:D$2981,2,FALSE),IF(VALUE(C2554)=0,1,VLOOKUP(C2554,'Справочник соответствий'!A$2:D$2981,2,FALSE)))</f>
        <v>1</v>
      </c>
      <c r="J2554" s="3">
        <f>IFERROR(VLOOKUP(D2554,'Справочник соответствий'!A$2:D$2981,2,FALSE),IF(VALUE(D2554)=0,0,VLOOKUP(D2554,'Справочник соответствий'!A$2:D$2981,2,FALSE)))</f>
        <v>0</v>
      </c>
      <c r="K2554" s="3">
        <f t="shared" si="273"/>
        <v>1</v>
      </c>
      <c r="L2554" s="13" t="str">
        <f>IFERROR(VLOOKUP(C2554,'Справочник соответствий'!A$2:D$2981,3,FALSE),IF(VALUE(C2554)=0,"ЭТАЖ НЕ ОПРЕДЕЛЕН. ПРИНЯТ ПО ДОПУЩЕНИЮ 1",VLOOKUP(C2554,'Справочник соответствий'!A$2:D$2981,3,FALSE)))</f>
        <v>ЭТАЖ НЕ ОПРЕДЕЛЕН. ПРИНЯТ ПО ДОПУЩЕНИЮ 1</v>
      </c>
      <c r="M2554" s="13" t="b">
        <f t="shared" si="274"/>
        <v>0</v>
      </c>
      <c r="N2554" s="13">
        <f t="shared" si="275"/>
        <v>1</v>
      </c>
      <c r="O2554" s="13" t="str">
        <f t="shared" si="276"/>
        <v>ЭТАЖ НЕ ОПРЕДЕЛЕН. ПРИНЯТ ПО ДОПУЩЕНИЮ 1</v>
      </c>
      <c r="P2554" s="13" t="str">
        <f t="shared" si="277"/>
        <v>ЭТАЖ НЕ ОПРЕДЕЛЕН. ПРИНЯТ ПО ДОПУЩЕНИЮ 1</v>
      </c>
      <c r="Q2554" s="13" t="str">
        <f t="shared" si="278"/>
        <v>ГОТОВ_ИЗМЕНЕН</v>
      </c>
      <c r="R2554" s="13">
        <f>IFERROR(VLOOKUP(P2554,Лист1!A$1:B$20,2,FALSE),0)</f>
        <v>788</v>
      </c>
      <c r="S2554" s="13">
        <f t="shared" si="279"/>
        <v>0</v>
      </c>
    </row>
    <row r="2555" spans="1:19" x14ac:dyDescent="0.25">
      <c r="A2555" s="24" t="s">
        <v>3685</v>
      </c>
      <c r="B2555" s="4" t="s">
        <v>1063</v>
      </c>
      <c r="C2555" s="25" t="s">
        <v>5</v>
      </c>
      <c r="G2555" s="25" t="s">
        <v>1391</v>
      </c>
      <c r="H2555" s="24" t="s">
        <v>1061</v>
      </c>
      <c r="I2555" s="3" t="str">
        <f>IFERROR(VLOOKUP(C2555,'Справочник соответствий'!A$2:D$2981,2,FALSE),IF(VALUE(C2555)=0,1,VLOOKUP(C2555,'Справочник соответствий'!A$2:D$2981,2,FALSE)))</f>
        <v>1</v>
      </c>
      <c r="J2555" s="3">
        <f>IFERROR(VLOOKUP(D2555,'Справочник соответствий'!A$2:D$2981,2,FALSE),IF(VALUE(D2555)=0,0,VLOOKUP(D2555,'Справочник соответствий'!A$2:D$2981,2,FALSE)))</f>
        <v>0</v>
      </c>
      <c r="K2555" s="3" t="str">
        <f t="shared" si="273"/>
        <v>1</v>
      </c>
      <c r="L2555" s="13" t="str">
        <f>IFERROR(VLOOKUP(C2555,'Справочник соответствий'!A$2:D$2981,3,FALSE),IF(VALUE(C2555)=0,"ЭТАЖ НЕ ОПРЕДЕЛЕН. ПРИНЯТ ПО ДОПУЩЕНИЮ 1",VLOOKUP(C2555,'Справочник соответствий'!A$2:D$2981,3,FALSE)))</f>
        <v>ЭТАЖ ЗАДАН ЧИСЛОМ</v>
      </c>
      <c r="M2555" s="13" t="b">
        <f t="shared" si="274"/>
        <v>0</v>
      </c>
      <c r="N2555" s="13">
        <f t="shared" si="275"/>
        <v>1</v>
      </c>
      <c r="O2555" s="13" t="str">
        <f t="shared" si="276"/>
        <v>ЭТАЖ ЗАДАН ЧИСЛОМ</v>
      </c>
      <c r="P2555" s="13" t="str">
        <f t="shared" si="277"/>
        <v>ЭТАЖ ЗАДАН ЧИСЛОМ</v>
      </c>
      <c r="Q2555" s="13" t="str">
        <f t="shared" si="278"/>
        <v>ГОТОВ_ИЗМЕНЕН</v>
      </c>
      <c r="R2555" s="13">
        <f>IFERROR(VLOOKUP(P2555,Лист1!A$1:B$20,2,FALSE),0)</f>
        <v>784</v>
      </c>
      <c r="S2555" s="13">
        <f t="shared" si="279"/>
        <v>0</v>
      </c>
    </row>
    <row r="2556" spans="1:19" x14ac:dyDescent="0.25">
      <c r="A2556" s="24" t="s">
        <v>3686</v>
      </c>
      <c r="B2556" s="4" t="s">
        <v>1059</v>
      </c>
      <c r="C2556" s="25" t="s">
        <v>7</v>
      </c>
      <c r="G2556" s="25" t="s">
        <v>1347</v>
      </c>
      <c r="H2556" s="24" t="s">
        <v>1061</v>
      </c>
      <c r="I2556" s="3" t="str">
        <f>IFERROR(VLOOKUP(C2556,'Справочник соответствий'!A$2:D$2981,2,FALSE),IF(VALUE(C2556)=0,1,VLOOKUP(C2556,'Справочник соответствий'!A$2:D$2981,2,FALSE)))</f>
        <v>2</v>
      </c>
      <c r="J2556" s="3">
        <f>IFERROR(VLOOKUP(D2556,'Справочник соответствий'!A$2:D$2981,2,FALSE),IF(VALUE(D2556)=0,0,VLOOKUP(D2556,'Справочник соответствий'!A$2:D$2981,2,FALSE)))</f>
        <v>0</v>
      </c>
      <c r="K2556" s="3" t="str">
        <f t="shared" si="273"/>
        <v>2</v>
      </c>
      <c r="L2556" s="13" t="str">
        <f>IFERROR(VLOOKUP(C2556,'Справочник соответствий'!A$2:D$2981,3,FALSE),IF(VALUE(C2556)=0,"ЭТАЖ НЕ ОПРЕДЕЛЕН. ПРИНЯТ ПО ДОПУЩЕНИЮ 1",VLOOKUP(C2556,'Справочник соответствий'!A$2:D$2981,3,FALSE)))</f>
        <v>ЭТАЖ ЗАДАН ЧИСЛОМ</v>
      </c>
      <c r="M2556" s="13" t="b">
        <f t="shared" si="274"/>
        <v>0</v>
      </c>
      <c r="N2556" s="13">
        <f t="shared" si="275"/>
        <v>2</v>
      </c>
      <c r="O2556" s="13" t="str">
        <f t="shared" si="276"/>
        <v>ЭТАЖ ЗАДАН ЧИСЛОМ</v>
      </c>
      <c r="P2556" s="13" t="str">
        <f t="shared" si="277"/>
        <v>ЭТАЖ ЗАДАН ЧИСЛОМ</v>
      </c>
      <c r="Q2556" s="13" t="str">
        <f t="shared" si="278"/>
        <v>ГОТОВ_ИЗМЕНЕН</v>
      </c>
      <c r="R2556" s="13">
        <f>IFERROR(VLOOKUP(P2556,Лист1!A$1:B$20,2,FALSE),0)</f>
        <v>784</v>
      </c>
      <c r="S2556" s="13">
        <f t="shared" si="279"/>
        <v>0</v>
      </c>
    </row>
    <row r="2557" spans="1:19" x14ac:dyDescent="0.25">
      <c r="A2557" s="24" t="s">
        <v>3687</v>
      </c>
      <c r="B2557" s="4" t="s">
        <v>1063</v>
      </c>
      <c r="G2557" s="25" t="s">
        <v>1347</v>
      </c>
      <c r="H2557" s="24" t="s">
        <v>1061</v>
      </c>
      <c r="I2557" s="3">
        <f>IFERROR(VLOOKUP(C2557,'Справочник соответствий'!A$2:D$2981,2,FALSE),IF(VALUE(C2557)=0,1,VLOOKUP(C2557,'Справочник соответствий'!A$2:D$2981,2,FALSE)))</f>
        <v>1</v>
      </c>
      <c r="J2557" s="3">
        <f>IFERROR(VLOOKUP(D2557,'Справочник соответствий'!A$2:D$2981,2,FALSE),IF(VALUE(D2557)=0,0,VLOOKUP(D2557,'Справочник соответствий'!A$2:D$2981,2,FALSE)))</f>
        <v>0</v>
      </c>
      <c r="K2557" s="3">
        <f t="shared" si="273"/>
        <v>1</v>
      </c>
      <c r="L2557" s="13" t="str">
        <f>IFERROR(VLOOKUP(C2557,'Справочник соответствий'!A$2:D$2981,3,FALSE),IF(VALUE(C2557)=0,"ЭТАЖ НЕ ОПРЕДЕЛЕН. ПРИНЯТ ПО ДОПУЩЕНИЮ 1",VLOOKUP(C2557,'Справочник соответствий'!A$2:D$2981,3,FALSE)))</f>
        <v>ЭТАЖ НЕ ОПРЕДЕЛЕН. ПРИНЯТ ПО ДОПУЩЕНИЮ 1</v>
      </c>
      <c r="M2557" s="13" t="b">
        <f t="shared" si="274"/>
        <v>0</v>
      </c>
      <c r="N2557" s="13">
        <f t="shared" si="275"/>
        <v>1</v>
      </c>
      <c r="O2557" s="13" t="str">
        <f t="shared" si="276"/>
        <v>ЭТАЖ НЕ ОПРЕДЕЛЕН. ПРИНЯТ ПО ДОПУЩЕНИЮ 1</v>
      </c>
      <c r="P2557" s="13" t="str">
        <f t="shared" si="277"/>
        <v>ЭТАЖ НЕ ОПРЕДЕЛЕН. ПРИНЯТ ПО ДОПУЩЕНИЮ 1</v>
      </c>
      <c r="Q2557" s="13" t="str">
        <f t="shared" si="278"/>
        <v>ГОТОВ_ИЗМЕНЕН</v>
      </c>
      <c r="R2557" s="13">
        <f>IFERROR(VLOOKUP(P2557,Лист1!A$1:B$20,2,FALSE),0)</f>
        <v>788</v>
      </c>
      <c r="S2557" s="13">
        <f t="shared" si="279"/>
        <v>0</v>
      </c>
    </row>
    <row r="2558" spans="1:19" x14ac:dyDescent="0.25">
      <c r="A2558" s="24" t="s">
        <v>3688</v>
      </c>
      <c r="B2558" s="4" t="s">
        <v>1059</v>
      </c>
      <c r="C2558" s="25" t="s">
        <v>5</v>
      </c>
      <c r="G2558" s="25" t="s">
        <v>1347</v>
      </c>
      <c r="H2558" s="24" t="s">
        <v>1061</v>
      </c>
      <c r="I2558" s="3" t="str">
        <f>IFERROR(VLOOKUP(C2558,'Справочник соответствий'!A$2:D$2981,2,FALSE),IF(VALUE(C2558)=0,1,VLOOKUP(C2558,'Справочник соответствий'!A$2:D$2981,2,FALSE)))</f>
        <v>1</v>
      </c>
      <c r="J2558" s="3">
        <f>IFERROR(VLOOKUP(D2558,'Справочник соответствий'!A$2:D$2981,2,FALSE),IF(VALUE(D2558)=0,0,VLOOKUP(D2558,'Справочник соответствий'!A$2:D$2981,2,FALSE)))</f>
        <v>0</v>
      </c>
      <c r="K2558" s="3" t="str">
        <f t="shared" si="273"/>
        <v>1</v>
      </c>
      <c r="L2558" s="13" t="str">
        <f>IFERROR(VLOOKUP(C2558,'Справочник соответствий'!A$2:D$2981,3,FALSE),IF(VALUE(C2558)=0,"ЭТАЖ НЕ ОПРЕДЕЛЕН. ПРИНЯТ ПО ДОПУЩЕНИЮ 1",VLOOKUP(C2558,'Справочник соответствий'!A$2:D$2981,3,FALSE)))</f>
        <v>ЭТАЖ ЗАДАН ЧИСЛОМ</v>
      </c>
      <c r="M2558" s="13" t="b">
        <f t="shared" si="274"/>
        <v>0</v>
      </c>
      <c r="N2558" s="13">
        <f t="shared" si="275"/>
        <v>1</v>
      </c>
      <c r="O2558" s="13" t="str">
        <f t="shared" si="276"/>
        <v>ЭТАЖ ЗАДАН ЧИСЛОМ</v>
      </c>
      <c r="P2558" s="13" t="str">
        <f t="shared" si="277"/>
        <v>ЭТАЖ ЗАДАН ЧИСЛОМ</v>
      </c>
      <c r="Q2558" s="13" t="str">
        <f t="shared" si="278"/>
        <v>ГОТОВ_ИЗМЕНЕН</v>
      </c>
      <c r="R2558" s="13">
        <f>IFERROR(VLOOKUP(P2558,Лист1!A$1:B$20,2,FALSE),0)</f>
        <v>784</v>
      </c>
      <c r="S2558" s="13">
        <f t="shared" si="279"/>
        <v>0</v>
      </c>
    </row>
    <row r="2559" spans="1:19" x14ac:dyDescent="0.25">
      <c r="A2559" s="24" t="s">
        <v>3689</v>
      </c>
      <c r="B2559" s="4" t="s">
        <v>1059</v>
      </c>
      <c r="C2559" s="25" t="s">
        <v>7</v>
      </c>
      <c r="G2559" s="25" t="s">
        <v>1347</v>
      </c>
      <c r="H2559" s="24" t="s">
        <v>1061</v>
      </c>
      <c r="I2559" s="3" t="str">
        <f>IFERROR(VLOOKUP(C2559,'Справочник соответствий'!A$2:D$2981,2,FALSE),IF(VALUE(C2559)=0,1,VLOOKUP(C2559,'Справочник соответствий'!A$2:D$2981,2,FALSE)))</f>
        <v>2</v>
      </c>
      <c r="J2559" s="3">
        <f>IFERROR(VLOOKUP(D2559,'Справочник соответствий'!A$2:D$2981,2,FALSE),IF(VALUE(D2559)=0,0,VLOOKUP(D2559,'Справочник соответствий'!A$2:D$2981,2,FALSE)))</f>
        <v>0</v>
      </c>
      <c r="K2559" s="3" t="str">
        <f t="shared" si="273"/>
        <v>2</v>
      </c>
      <c r="L2559" s="13" t="str">
        <f>IFERROR(VLOOKUP(C2559,'Справочник соответствий'!A$2:D$2981,3,FALSE),IF(VALUE(C2559)=0,"ЭТАЖ НЕ ОПРЕДЕЛЕН. ПРИНЯТ ПО ДОПУЩЕНИЮ 1",VLOOKUP(C2559,'Справочник соответствий'!A$2:D$2981,3,FALSE)))</f>
        <v>ЭТАЖ ЗАДАН ЧИСЛОМ</v>
      </c>
      <c r="M2559" s="13" t="b">
        <f t="shared" si="274"/>
        <v>0</v>
      </c>
      <c r="N2559" s="13">
        <f t="shared" si="275"/>
        <v>2</v>
      </c>
      <c r="O2559" s="13" t="str">
        <f t="shared" si="276"/>
        <v>ЭТАЖ ЗАДАН ЧИСЛОМ</v>
      </c>
      <c r="P2559" s="13" t="str">
        <f t="shared" si="277"/>
        <v>ЭТАЖ ЗАДАН ЧИСЛОМ</v>
      </c>
      <c r="Q2559" s="13" t="str">
        <f t="shared" si="278"/>
        <v>ГОТОВ_ИЗМЕНЕН</v>
      </c>
      <c r="R2559" s="13">
        <f>IFERROR(VLOOKUP(P2559,Лист1!A$1:B$20,2,FALSE),0)</f>
        <v>784</v>
      </c>
      <c r="S2559" s="13">
        <f t="shared" si="279"/>
        <v>0</v>
      </c>
    </row>
    <row r="2560" spans="1:19" x14ac:dyDescent="0.25">
      <c r="A2560" s="24" t="s">
        <v>3690</v>
      </c>
      <c r="B2560" s="4" t="s">
        <v>1063</v>
      </c>
      <c r="G2560" s="25" t="s">
        <v>1347</v>
      </c>
      <c r="H2560" s="24" t="s">
        <v>1061</v>
      </c>
      <c r="I2560" s="3">
        <f>IFERROR(VLOOKUP(C2560,'Справочник соответствий'!A$2:D$2981,2,FALSE),IF(VALUE(C2560)=0,1,VLOOKUP(C2560,'Справочник соответствий'!A$2:D$2981,2,FALSE)))</f>
        <v>1</v>
      </c>
      <c r="J2560" s="3">
        <f>IFERROR(VLOOKUP(D2560,'Справочник соответствий'!A$2:D$2981,2,FALSE),IF(VALUE(D2560)=0,0,VLOOKUP(D2560,'Справочник соответствий'!A$2:D$2981,2,FALSE)))</f>
        <v>0</v>
      </c>
      <c r="K2560" s="3">
        <f t="shared" si="273"/>
        <v>1</v>
      </c>
      <c r="L2560" s="13" t="str">
        <f>IFERROR(VLOOKUP(C2560,'Справочник соответствий'!A$2:D$2981,3,FALSE),IF(VALUE(C2560)=0,"ЭТАЖ НЕ ОПРЕДЕЛЕН. ПРИНЯТ ПО ДОПУЩЕНИЮ 1",VLOOKUP(C2560,'Справочник соответствий'!A$2:D$2981,3,FALSE)))</f>
        <v>ЭТАЖ НЕ ОПРЕДЕЛЕН. ПРИНЯТ ПО ДОПУЩЕНИЮ 1</v>
      </c>
      <c r="M2560" s="13" t="b">
        <f t="shared" si="274"/>
        <v>0</v>
      </c>
      <c r="N2560" s="13">
        <f t="shared" si="275"/>
        <v>1</v>
      </c>
      <c r="O2560" s="13" t="str">
        <f t="shared" si="276"/>
        <v>ЭТАЖ НЕ ОПРЕДЕЛЕН. ПРИНЯТ ПО ДОПУЩЕНИЮ 1</v>
      </c>
      <c r="P2560" s="13" t="str">
        <f t="shared" si="277"/>
        <v>ЭТАЖ НЕ ОПРЕДЕЛЕН. ПРИНЯТ ПО ДОПУЩЕНИЮ 1</v>
      </c>
      <c r="Q2560" s="13" t="str">
        <f t="shared" si="278"/>
        <v>ГОТОВ_ИЗМЕНЕН</v>
      </c>
      <c r="R2560" s="13">
        <f>IFERROR(VLOOKUP(P2560,Лист1!A$1:B$20,2,FALSE),0)</f>
        <v>788</v>
      </c>
      <c r="S2560" s="13">
        <f t="shared" si="279"/>
        <v>0</v>
      </c>
    </row>
    <row r="2561" spans="1:19" x14ac:dyDescent="0.25">
      <c r="A2561" s="24" t="s">
        <v>3691</v>
      </c>
      <c r="B2561" s="4" t="s">
        <v>1063</v>
      </c>
      <c r="C2561" s="25" t="s">
        <v>5</v>
      </c>
      <c r="G2561" s="25" t="s">
        <v>1347</v>
      </c>
      <c r="H2561" s="24" t="s">
        <v>1061</v>
      </c>
      <c r="I2561" s="3" t="str">
        <f>IFERROR(VLOOKUP(C2561,'Справочник соответствий'!A$2:D$2981,2,FALSE),IF(VALUE(C2561)=0,1,VLOOKUP(C2561,'Справочник соответствий'!A$2:D$2981,2,FALSE)))</f>
        <v>1</v>
      </c>
      <c r="J2561" s="3">
        <f>IFERROR(VLOOKUP(D2561,'Справочник соответствий'!A$2:D$2981,2,FALSE),IF(VALUE(D2561)=0,0,VLOOKUP(D2561,'Справочник соответствий'!A$2:D$2981,2,FALSE)))</f>
        <v>0</v>
      </c>
      <c r="K2561" s="3" t="str">
        <f t="shared" si="273"/>
        <v>1</v>
      </c>
      <c r="L2561" s="13" t="str">
        <f>IFERROR(VLOOKUP(C2561,'Справочник соответствий'!A$2:D$2981,3,FALSE),IF(VALUE(C2561)=0,"ЭТАЖ НЕ ОПРЕДЕЛЕН. ПРИНЯТ ПО ДОПУЩЕНИЮ 1",VLOOKUP(C2561,'Справочник соответствий'!A$2:D$2981,3,FALSE)))</f>
        <v>ЭТАЖ ЗАДАН ЧИСЛОМ</v>
      </c>
      <c r="M2561" s="13" t="b">
        <f t="shared" si="274"/>
        <v>0</v>
      </c>
      <c r="N2561" s="13">
        <f t="shared" si="275"/>
        <v>1</v>
      </c>
      <c r="O2561" s="13" t="str">
        <f t="shared" si="276"/>
        <v>ЭТАЖ ЗАДАН ЧИСЛОМ</v>
      </c>
      <c r="P2561" s="13" t="str">
        <f t="shared" si="277"/>
        <v>ЭТАЖ ЗАДАН ЧИСЛОМ</v>
      </c>
      <c r="Q2561" s="13" t="str">
        <f t="shared" si="278"/>
        <v>ГОТОВ_ИЗМЕНЕН</v>
      </c>
      <c r="R2561" s="13">
        <f>IFERROR(VLOOKUP(P2561,Лист1!A$1:B$20,2,FALSE),0)</f>
        <v>784</v>
      </c>
      <c r="S2561" s="13">
        <f t="shared" si="279"/>
        <v>0</v>
      </c>
    </row>
    <row r="2562" spans="1:19" x14ac:dyDescent="0.25">
      <c r="A2562" s="24" t="s">
        <v>3692</v>
      </c>
      <c r="B2562" s="4" t="s">
        <v>1063</v>
      </c>
      <c r="C2562" s="25" t="s">
        <v>5</v>
      </c>
      <c r="G2562" s="25" t="s">
        <v>1347</v>
      </c>
      <c r="H2562" s="24" t="s">
        <v>1061</v>
      </c>
      <c r="I2562" s="3" t="str">
        <f>IFERROR(VLOOKUP(C2562,'Справочник соответствий'!A$2:D$2981,2,FALSE),IF(VALUE(C2562)=0,1,VLOOKUP(C2562,'Справочник соответствий'!A$2:D$2981,2,FALSE)))</f>
        <v>1</v>
      </c>
      <c r="J2562" s="3">
        <f>IFERROR(VLOOKUP(D2562,'Справочник соответствий'!A$2:D$2981,2,FALSE),IF(VALUE(D2562)=0,0,VLOOKUP(D2562,'Справочник соответствий'!A$2:D$2981,2,FALSE)))</f>
        <v>0</v>
      </c>
      <c r="K2562" s="3" t="str">
        <f t="shared" si="273"/>
        <v>1</v>
      </c>
      <c r="L2562" s="13" t="str">
        <f>IFERROR(VLOOKUP(C2562,'Справочник соответствий'!A$2:D$2981,3,FALSE),IF(VALUE(C2562)=0,"ЭТАЖ НЕ ОПРЕДЕЛЕН. ПРИНЯТ ПО ДОПУЩЕНИЮ 1",VLOOKUP(C2562,'Справочник соответствий'!A$2:D$2981,3,FALSE)))</f>
        <v>ЭТАЖ ЗАДАН ЧИСЛОМ</v>
      </c>
      <c r="M2562" s="13" t="b">
        <f t="shared" si="274"/>
        <v>0</v>
      </c>
      <c r="N2562" s="13">
        <f t="shared" si="275"/>
        <v>1</v>
      </c>
      <c r="O2562" s="13" t="str">
        <f t="shared" si="276"/>
        <v>ЭТАЖ ЗАДАН ЧИСЛОМ</v>
      </c>
      <c r="P2562" s="13" t="str">
        <f t="shared" si="277"/>
        <v>ЭТАЖ ЗАДАН ЧИСЛОМ</v>
      </c>
      <c r="Q2562" s="13" t="str">
        <f t="shared" si="278"/>
        <v>ГОТОВ_ИЗМЕНЕН</v>
      </c>
      <c r="R2562" s="13">
        <f>IFERROR(VLOOKUP(P2562,Лист1!A$1:B$20,2,FALSE),0)</f>
        <v>784</v>
      </c>
      <c r="S2562" s="13">
        <f t="shared" si="279"/>
        <v>0</v>
      </c>
    </row>
    <row r="2563" spans="1:19" x14ac:dyDescent="0.25">
      <c r="A2563" s="24" t="s">
        <v>3693</v>
      </c>
      <c r="B2563" s="4" t="s">
        <v>1063</v>
      </c>
      <c r="C2563" s="25" t="s">
        <v>7</v>
      </c>
      <c r="G2563" s="25" t="s">
        <v>1321</v>
      </c>
      <c r="H2563" s="24" t="s">
        <v>1061</v>
      </c>
      <c r="I2563" s="3" t="str">
        <f>IFERROR(VLOOKUP(C2563,'Справочник соответствий'!A$2:D$2981,2,FALSE),IF(VALUE(C2563)=0,1,VLOOKUP(C2563,'Справочник соответствий'!A$2:D$2981,2,FALSE)))</f>
        <v>2</v>
      </c>
      <c r="J2563" s="3">
        <f>IFERROR(VLOOKUP(D2563,'Справочник соответствий'!A$2:D$2981,2,FALSE),IF(VALUE(D2563)=0,0,VLOOKUP(D2563,'Справочник соответствий'!A$2:D$2981,2,FALSE)))</f>
        <v>0</v>
      </c>
      <c r="K2563" s="3" t="str">
        <f t="shared" si="273"/>
        <v>2</v>
      </c>
      <c r="L2563" s="13" t="str">
        <f>IFERROR(VLOOKUP(C2563,'Справочник соответствий'!A$2:D$2981,3,FALSE),IF(VALUE(C2563)=0,"ЭТАЖ НЕ ОПРЕДЕЛЕН. ПРИНЯТ ПО ДОПУЩЕНИЮ 1",VLOOKUP(C2563,'Справочник соответствий'!A$2:D$2981,3,FALSE)))</f>
        <v>ЭТАЖ ЗАДАН ЧИСЛОМ</v>
      </c>
      <c r="M2563" s="13" t="b">
        <f t="shared" si="274"/>
        <v>0</v>
      </c>
      <c r="N2563" s="13">
        <f t="shared" si="275"/>
        <v>2</v>
      </c>
      <c r="O2563" s="13" t="str">
        <f t="shared" si="276"/>
        <v>ЭТАЖ ЗАДАН ЧИСЛОМ</v>
      </c>
      <c r="P2563" s="13" t="str">
        <f t="shared" si="277"/>
        <v>ЭТАЖ ЗАДАН ЧИСЛОМ</v>
      </c>
      <c r="Q2563" s="13" t="str">
        <f t="shared" si="278"/>
        <v>ГОТОВ_ИЗМЕНЕН</v>
      </c>
      <c r="R2563" s="13">
        <f>IFERROR(VLOOKUP(P2563,Лист1!A$1:B$20,2,FALSE),0)</f>
        <v>784</v>
      </c>
      <c r="S2563" s="13">
        <f t="shared" si="279"/>
        <v>0</v>
      </c>
    </row>
    <row r="2564" spans="1:19" x14ac:dyDescent="0.25">
      <c r="A2564" s="24" t="s">
        <v>3694</v>
      </c>
      <c r="B2564" s="4" t="s">
        <v>1063</v>
      </c>
      <c r="D2564" s="25" t="s">
        <v>5</v>
      </c>
      <c r="G2564" s="25" t="s">
        <v>1321</v>
      </c>
      <c r="H2564" s="24" t="s">
        <v>1061</v>
      </c>
      <c r="I2564" s="3">
        <f>IFERROR(VLOOKUP(C2564,'Справочник соответствий'!A$2:D$2981,2,FALSE),IF(VALUE(C2564)=0,1,VLOOKUP(C2564,'Справочник соответствий'!A$2:D$2981,2,FALSE)))</f>
        <v>1</v>
      </c>
      <c r="J2564" s="3" t="str">
        <f>IFERROR(VLOOKUP(D2564,'Справочник соответствий'!A$2:D$2981,2,FALSE),IF(VALUE(D2564)=0,0,VLOOKUP(D2564,'Справочник соответствий'!A$2:D$2981,2,FALSE)))</f>
        <v>1</v>
      </c>
      <c r="K2564" s="3">
        <f t="shared" si="273"/>
        <v>1</v>
      </c>
      <c r="L2564" s="13" t="str">
        <f>IFERROR(VLOOKUP(C2564,'Справочник соответствий'!A$2:D$2981,3,FALSE),IF(VALUE(C2564)=0,"ЭТАЖ НЕ ОПРЕДЕЛЕН. ПРИНЯТ ПО ДОПУЩЕНИЮ 1",VLOOKUP(C2564,'Справочник соответствий'!A$2:D$2981,3,FALSE)))</f>
        <v>ЭТАЖ НЕ ОПРЕДЕЛЕН. ПРИНЯТ ПО ДОПУЩЕНИЮ 1</v>
      </c>
      <c r="M2564" s="13" t="b">
        <f t="shared" si="274"/>
        <v>0</v>
      </c>
      <c r="N2564" s="13">
        <f t="shared" si="275"/>
        <v>1</v>
      </c>
      <c r="O2564" s="13" t="str">
        <f t="shared" si="276"/>
        <v>ЭТАЖ НЕ ОПРЕДЕЛЕН. ПРИНЯТ ПО ДОПУЩЕНИЮ 1</v>
      </c>
      <c r="P2564" s="13" t="str">
        <f t="shared" si="277"/>
        <v>ЭТАЖ НЕ ОПРЕДЕЛЕН. ПРИНЯТ ПО ДОПУЩЕНИЮ 1</v>
      </c>
      <c r="Q2564" s="13" t="str">
        <f t="shared" si="278"/>
        <v>ГОТОВ_ИЗМЕНЕН</v>
      </c>
      <c r="R2564" s="13">
        <f>IFERROR(VLOOKUP(P2564,Лист1!A$1:B$20,2,FALSE),0)</f>
        <v>788</v>
      </c>
      <c r="S2564" s="13">
        <f t="shared" si="279"/>
        <v>0</v>
      </c>
    </row>
    <row r="2565" spans="1:19" x14ac:dyDescent="0.25">
      <c r="A2565" s="24" t="s">
        <v>3695</v>
      </c>
      <c r="B2565" s="4" t="s">
        <v>1059</v>
      </c>
      <c r="C2565" s="25" t="s">
        <v>5</v>
      </c>
      <c r="G2565" s="25" t="s">
        <v>1321</v>
      </c>
      <c r="H2565" s="24" t="s">
        <v>1061</v>
      </c>
      <c r="I2565" s="3" t="str">
        <f>IFERROR(VLOOKUP(C2565,'Справочник соответствий'!A$2:D$2981,2,FALSE),IF(VALUE(C2565)=0,1,VLOOKUP(C2565,'Справочник соответствий'!A$2:D$2981,2,FALSE)))</f>
        <v>1</v>
      </c>
      <c r="J2565" s="3">
        <f>IFERROR(VLOOKUP(D2565,'Справочник соответствий'!A$2:D$2981,2,FALSE),IF(VALUE(D2565)=0,0,VLOOKUP(D2565,'Справочник соответствий'!A$2:D$2981,2,FALSE)))</f>
        <v>0</v>
      </c>
      <c r="K2565" s="3" t="str">
        <f t="shared" ref="K2565:K2628" si="280">IF(B2565="Многоквартирный дом",IF(I2565-J2565&gt;0,I2565-J2565,1),I2565)</f>
        <v>1</v>
      </c>
      <c r="L2565" s="13" t="str">
        <f>IFERROR(VLOOKUP(C2565,'Справочник соответствий'!A$2:D$2981,3,FALSE),IF(VALUE(C2565)=0,"ЭТАЖ НЕ ОПРЕДЕЛЕН. ПРИНЯТ ПО ДОПУЩЕНИЮ 1",VLOOKUP(C2565,'Справочник соответствий'!A$2:D$2981,3,FALSE)))</f>
        <v>ЭТАЖ ЗАДАН ЧИСЛОМ</v>
      </c>
      <c r="M2565" s="13" t="b">
        <f t="shared" ref="M2565:M2628" si="281">I2565=E2565</f>
        <v>0</v>
      </c>
      <c r="N2565" s="13">
        <f t="shared" ref="N2565:N2628" si="282">IF(VALUE(E2565)=0,VALUE(K2565),IF(L2565="ЭТАЖ НЕ ОПРЕДЕЛЕН. ПРИНЯТ ПО ДОПУЩЕНИЮ 1",VALUE(E2565),VALUE(K2565)))</f>
        <v>1</v>
      </c>
      <c r="O2565" s="13" t="str">
        <f t="shared" ref="O2565:O2628" si="283">IF(VALUE(E2565)=0,L2565,IF(L2565="ЭТАЖ НЕ ОПРЕДЕЛЕН. ПРИНЯТ ПО ДОПУЩЕНИЮ 1",F2565,L2565))</f>
        <v>ЭТАЖ ЗАДАН ЧИСЛОМ</v>
      </c>
      <c r="P2565" s="13" t="str">
        <f t="shared" ref="P2565:P2628" si="284">IF(B2565="Многоквартирный дом",CONCATENATE("МКД_",O2565),O2565)</f>
        <v>ЭТАЖ ЗАДАН ЧИСЛОМ</v>
      </c>
      <c r="Q2565" s="13" t="str">
        <f t="shared" ref="Q2565:Q2628" si="285">IFERROR(IF(N2565&gt;0,IF(N2565=VALUE(E2565),"ГОТОВ","ГОТОВ_ИЗМЕНЕН"),"НЕ ГОТОВ"),"НЕ ГОТОВ")</f>
        <v>ГОТОВ_ИЗМЕНЕН</v>
      </c>
      <c r="R2565" s="13">
        <f>IFERROR(VLOOKUP(P2565,Лист1!A$1:B$20,2,FALSE),0)</f>
        <v>784</v>
      </c>
      <c r="S2565" s="13">
        <f t="shared" ref="S2565:S2628" si="286">VALUE(E2565)</f>
        <v>0</v>
      </c>
    </row>
    <row r="2566" spans="1:19" x14ac:dyDescent="0.25">
      <c r="A2566" s="24" t="s">
        <v>3696</v>
      </c>
      <c r="B2566" s="4" t="s">
        <v>1063</v>
      </c>
      <c r="C2566" s="25" t="s">
        <v>5</v>
      </c>
      <c r="G2566" s="25" t="s">
        <v>1321</v>
      </c>
      <c r="H2566" s="24" t="s">
        <v>1061</v>
      </c>
      <c r="I2566" s="3" t="str">
        <f>IFERROR(VLOOKUP(C2566,'Справочник соответствий'!A$2:D$2981,2,FALSE),IF(VALUE(C2566)=0,1,VLOOKUP(C2566,'Справочник соответствий'!A$2:D$2981,2,FALSE)))</f>
        <v>1</v>
      </c>
      <c r="J2566" s="3">
        <f>IFERROR(VLOOKUP(D2566,'Справочник соответствий'!A$2:D$2981,2,FALSE),IF(VALUE(D2566)=0,0,VLOOKUP(D2566,'Справочник соответствий'!A$2:D$2981,2,FALSE)))</f>
        <v>0</v>
      </c>
      <c r="K2566" s="3" t="str">
        <f t="shared" si="280"/>
        <v>1</v>
      </c>
      <c r="L2566" s="13" t="str">
        <f>IFERROR(VLOOKUP(C2566,'Справочник соответствий'!A$2:D$2981,3,FALSE),IF(VALUE(C2566)=0,"ЭТАЖ НЕ ОПРЕДЕЛЕН. ПРИНЯТ ПО ДОПУЩЕНИЮ 1",VLOOKUP(C2566,'Справочник соответствий'!A$2:D$2981,3,FALSE)))</f>
        <v>ЭТАЖ ЗАДАН ЧИСЛОМ</v>
      </c>
      <c r="M2566" s="13" t="b">
        <f t="shared" si="281"/>
        <v>0</v>
      </c>
      <c r="N2566" s="13">
        <f t="shared" si="282"/>
        <v>1</v>
      </c>
      <c r="O2566" s="13" t="str">
        <f t="shared" si="283"/>
        <v>ЭТАЖ ЗАДАН ЧИСЛОМ</v>
      </c>
      <c r="P2566" s="13" t="str">
        <f t="shared" si="284"/>
        <v>ЭТАЖ ЗАДАН ЧИСЛОМ</v>
      </c>
      <c r="Q2566" s="13" t="str">
        <f t="shared" si="285"/>
        <v>ГОТОВ_ИЗМЕНЕН</v>
      </c>
      <c r="R2566" s="13">
        <f>IFERROR(VLOOKUP(P2566,Лист1!A$1:B$20,2,FALSE),0)</f>
        <v>784</v>
      </c>
      <c r="S2566" s="13">
        <f t="shared" si="286"/>
        <v>0</v>
      </c>
    </row>
    <row r="2567" spans="1:19" x14ac:dyDescent="0.25">
      <c r="A2567" s="24" t="s">
        <v>3697</v>
      </c>
      <c r="B2567" s="4" t="s">
        <v>1063</v>
      </c>
      <c r="C2567" s="25" t="s">
        <v>5</v>
      </c>
      <c r="G2567" s="25" t="s">
        <v>1321</v>
      </c>
      <c r="H2567" s="24" t="s">
        <v>1061</v>
      </c>
      <c r="I2567" s="3" t="str">
        <f>IFERROR(VLOOKUP(C2567,'Справочник соответствий'!A$2:D$2981,2,FALSE),IF(VALUE(C2567)=0,1,VLOOKUP(C2567,'Справочник соответствий'!A$2:D$2981,2,FALSE)))</f>
        <v>1</v>
      </c>
      <c r="J2567" s="3">
        <f>IFERROR(VLOOKUP(D2567,'Справочник соответствий'!A$2:D$2981,2,FALSE),IF(VALUE(D2567)=0,0,VLOOKUP(D2567,'Справочник соответствий'!A$2:D$2981,2,FALSE)))</f>
        <v>0</v>
      </c>
      <c r="K2567" s="3" t="str">
        <f t="shared" si="280"/>
        <v>1</v>
      </c>
      <c r="L2567" s="13" t="str">
        <f>IFERROR(VLOOKUP(C2567,'Справочник соответствий'!A$2:D$2981,3,FALSE),IF(VALUE(C2567)=0,"ЭТАЖ НЕ ОПРЕДЕЛЕН. ПРИНЯТ ПО ДОПУЩЕНИЮ 1",VLOOKUP(C2567,'Справочник соответствий'!A$2:D$2981,3,FALSE)))</f>
        <v>ЭТАЖ ЗАДАН ЧИСЛОМ</v>
      </c>
      <c r="M2567" s="13" t="b">
        <f t="shared" si="281"/>
        <v>0</v>
      </c>
      <c r="N2567" s="13">
        <f t="shared" si="282"/>
        <v>1</v>
      </c>
      <c r="O2567" s="13" t="str">
        <f t="shared" si="283"/>
        <v>ЭТАЖ ЗАДАН ЧИСЛОМ</v>
      </c>
      <c r="P2567" s="13" t="str">
        <f t="shared" si="284"/>
        <v>ЭТАЖ ЗАДАН ЧИСЛОМ</v>
      </c>
      <c r="Q2567" s="13" t="str">
        <f t="shared" si="285"/>
        <v>ГОТОВ_ИЗМЕНЕН</v>
      </c>
      <c r="R2567" s="13">
        <f>IFERROR(VLOOKUP(P2567,Лист1!A$1:B$20,2,FALSE),0)</f>
        <v>784</v>
      </c>
      <c r="S2567" s="13">
        <f t="shared" si="286"/>
        <v>0</v>
      </c>
    </row>
    <row r="2568" spans="1:19" x14ac:dyDescent="0.25">
      <c r="A2568" s="24" t="s">
        <v>3698</v>
      </c>
      <c r="B2568" s="4" t="s">
        <v>1059</v>
      </c>
      <c r="C2568" s="25" t="s">
        <v>5</v>
      </c>
      <c r="G2568" s="25" t="s">
        <v>2763</v>
      </c>
      <c r="H2568" s="24" t="s">
        <v>1061</v>
      </c>
      <c r="I2568" s="3" t="str">
        <f>IFERROR(VLOOKUP(C2568,'Справочник соответствий'!A$2:D$2981,2,FALSE),IF(VALUE(C2568)=0,1,VLOOKUP(C2568,'Справочник соответствий'!A$2:D$2981,2,FALSE)))</f>
        <v>1</v>
      </c>
      <c r="J2568" s="3">
        <f>IFERROR(VLOOKUP(D2568,'Справочник соответствий'!A$2:D$2981,2,FALSE),IF(VALUE(D2568)=0,0,VLOOKUP(D2568,'Справочник соответствий'!A$2:D$2981,2,FALSE)))</f>
        <v>0</v>
      </c>
      <c r="K2568" s="3" t="str">
        <f t="shared" si="280"/>
        <v>1</v>
      </c>
      <c r="L2568" s="13" t="str">
        <f>IFERROR(VLOOKUP(C2568,'Справочник соответствий'!A$2:D$2981,3,FALSE),IF(VALUE(C2568)=0,"ЭТАЖ НЕ ОПРЕДЕЛЕН. ПРИНЯТ ПО ДОПУЩЕНИЮ 1",VLOOKUP(C2568,'Справочник соответствий'!A$2:D$2981,3,FALSE)))</f>
        <v>ЭТАЖ ЗАДАН ЧИСЛОМ</v>
      </c>
      <c r="M2568" s="13" t="b">
        <f t="shared" si="281"/>
        <v>0</v>
      </c>
      <c r="N2568" s="13">
        <f t="shared" si="282"/>
        <v>1</v>
      </c>
      <c r="O2568" s="13" t="str">
        <f t="shared" si="283"/>
        <v>ЭТАЖ ЗАДАН ЧИСЛОМ</v>
      </c>
      <c r="P2568" s="13" t="str">
        <f t="shared" si="284"/>
        <v>ЭТАЖ ЗАДАН ЧИСЛОМ</v>
      </c>
      <c r="Q2568" s="13" t="str">
        <f t="shared" si="285"/>
        <v>ГОТОВ_ИЗМЕНЕН</v>
      </c>
      <c r="R2568" s="13">
        <f>IFERROR(VLOOKUP(P2568,Лист1!A$1:B$20,2,FALSE),0)</f>
        <v>784</v>
      </c>
      <c r="S2568" s="13">
        <f t="shared" si="286"/>
        <v>0</v>
      </c>
    </row>
    <row r="2569" spans="1:19" x14ac:dyDescent="0.25">
      <c r="A2569" s="24" t="s">
        <v>3699</v>
      </c>
      <c r="B2569" s="4" t="s">
        <v>1063</v>
      </c>
      <c r="C2569" s="25" t="s">
        <v>5</v>
      </c>
      <c r="G2569" s="25" t="s">
        <v>2763</v>
      </c>
      <c r="H2569" s="24" t="s">
        <v>1061</v>
      </c>
      <c r="I2569" s="3" t="str">
        <f>IFERROR(VLOOKUP(C2569,'Справочник соответствий'!A$2:D$2981,2,FALSE),IF(VALUE(C2569)=0,1,VLOOKUP(C2569,'Справочник соответствий'!A$2:D$2981,2,FALSE)))</f>
        <v>1</v>
      </c>
      <c r="J2569" s="3">
        <f>IFERROR(VLOOKUP(D2569,'Справочник соответствий'!A$2:D$2981,2,FALSE),IF(VALUE(D2569)=0,0,VLOOKUP(D2569,'Справочник соответствий'!A$2:D$2981,2,FALSE)))</f>
        <v>0</v>
      </c>
      <c r="K2569" s="3" t="str">
        <f t="shared" si="280"/>
        <v>1</v>
      </c>
      <c r="L2569" s="13" t="str">
        <f>IFERROR(VLOOKUP(C2569,'Справочник соответствий'!A$2:D$2981,3,FALSE),IF(VALUE(C2569)=0,"ЭТАЖ НЕ ОПРЕДЕЛЕН. ПРИНЯТ ПО ДОПУЩЕНИЮ 1",VLOOKUP(C2569,'Справочник соответствий'!A$2:D$2981,3,FALSE)))</f>
        <v>ЭТАЖ ЗАДАН ЧИСЛОМ</v>
      </c>
      <c r="M2569" s="13" t="b">
        <f t="shared" si="281"/>
        <v>0</v>
      </c>
      <c r="N2569" s="13">
        <f t="shared" si="282"/>
        <v>1</v>
      </c>
      <c r="O2569" s="13" t="str">
        <f t="shared" si="283"/>
        <v>ЭТАЖ ЗАДАН ЧИСЛОМ</v>
      </c>
      <c r="P2569" s="13" t="str">
        <f t="shared" si="284"/>
        <v>ЭТАЖ ЗАДАН ЧИСЛОМ</v>
      </c>
      <c r="Q2569" s="13" t="str">
        <f t="shared" si="285"/>
        <v>ГОТОВ_ИЗМЕНЕН</v>
      </c>
      <c r="R2569" s="13">
        <f>IFERROR(VLOOKUP(P2569,Лист1!A$1:B$20,2,FALSE),0)</f>
        <v>784</v>
      </c>
      <c r="S2569" s="13">
        <f t="shared" si="286"/>
        <v>0</v>
      </c>
    </row>
    <row r="2570" spans="1:19" x14ac:dyDescent="0.25">
      <c r="A2570" s="24" t="s">
        <v>3700</v>
      </c>
      <c r="B2570" s="4" t="s">
        <v>1059</v>
      </c>
      <c r="C2570" s="25" t="s">
        <v>8</v>
      </c>
      <c r="D2570" s="25" t="s">
        <v>5</v>
      </c>
      <c r="E2570" s="3">
        <v>1</v>
      </c>
      <c r="F2570" s="24" t="s">
        <v>1045</v>
      </c>
      <c r="G2570" s="25" t="s">
        <v>1117</v>
      </c>
      <c r="H2570" s="24" t="s">
        <v>1061</v>
      </c>
      <c r="I2570" s="3" t="str">
        <f>IFERROR(VLOOKUP(C2570,'Справочник соответствий'!A$2:D$2981,2,FALSE),IF(VALUE(C2570)=0,1,VLOOKUP(C2570,'Справочник соответствий'!A$2:D$2981,2,FALSE)))</f>
        <v>3</v>
      </c>
      <c r="J2570" s="3" t="str">
        <f>IFERROR(VLOOKUP(D2570,'Справочник соответствий'!A$2:D$2981,2,FALSE),IF(VALUE(D2570)=0,0,VLOOKUP(D2570,'Справочник соответствий'!A$2:D$2981,2,FALSE)))</f>
        <v>1</v>
      </c>
      <c r="K2570" s="3" t="str">
        <f t="shared" si="280"/>
        <v>3</v>
      </c>
      <c r="L2570" s="13" t="str">
        <f>IFERROR(VLOOKUP(C2570,'Справочник соответствий'!A$2:D$2981,3,FALSE),IF(VALUE(C2570)=0,"ЭТАЖ НЕ ОПРЕДЕЛЕН. ПРИНЯТ ПО ДОПУЩЕНИЮ 1",VLOOKUP(C2570,'Справочник соответствий'!A$2:D$2981,3,FALSE)))</f>
        <v>ЭТАЖ ЗАДАН ЧИСЛОМ</v>
      </c>
      <c r="M2570" s="13" t="b">
        <f t="shared" si="281"/>
        <v>0</v>
      </c>
      <c r="N2570" s="13">
        <f t="shared" si="282"/>
        <v>3</v>
      </c>
      <c r="O2570" s="13" t="str">
        <f t="shared" si="283"/>
        <v>ЭТАЖ ЗАДАН ЧИСЛОМ</v>
      </c>
      <c r="P2570" s="13" t="str">
        <f t="shared" si="284"/>
        <v>ЭТАЖ ЗАДАН ЧИСЛОМ</v>
      </c>
      <c r="Q2570" s="13" t="str">
        <f t="shared" si="285"/>
        <v>ГОТОВ_ИЗМЕНЕН</v>
      </c>
      <c r="R2570" s="13">
        <f>IFERROR(VLOOKUP(P2570,Лист1!A$1:B$20,2,FALSE),0)</f>
        <v>784</v>
      </c>
      <c r="S2570" s="13">
        <f t="shared" si="286"/>
        <v>1</v>
      </c>
    </row>
    <row r="2571" spans="1:19" x14ac:dyDescent="0.25">
      <c r="A2571" s="24" t="s">
        <v>3701</v>
      </c>
      <c r="B2571" s="4" t="s">
        <v>1059</v>
      </c>
      <c r="C2571" s="25" t="s">
        <v>5</v>
      </c>
      <c r="E2571" s="3">
        <v>1</v>
      </c>
      <c r="F2571" s="24" t="s">
        <v>1045</v>
      </c>
      <c r="G2571" s="25" t="s">
        <v>1089</v>
      </c>
      <c r="H2571" s="24" t="s">
        <v>1061</v>
      </c>
      <c r="I2571" s="3" t="str">
        <f>IFERROR(VLOOKUP(C2571,'Справочник соответствий'!A$2:D$2981,2,FALSE),IF(VALUE(C2571)=0,1,VLOOKUP(C2571,'Справочник соответствий'!A$2:D$2981,2,FALSE)))</f>
        <v>1</v>
      </c>
      <c r="J2571" s="3">
        <f>IFERROR(VLOOKUP(D2571,'Справочник соответствий'!A$2:D$2981,2,FALSE),IF(VALUE(D2571)=0,0,VLOOKUP(D2571,'Справочник соответствий'!A$2:D$2981,2,FALSE)))</f>
        <v>0</v>
      </c>
      <c r="K2571" s="3" t="str">
        <f t="shared" si="280"/>
        <v>1</v>
      </c>
      <c r="L2571" s="13" t="str">
        <f>IFERROR(VLOOKUP(C2571,'Справочник соответствий'!A$2:D$2981,3,FALSE),IF(VALUE(C2571)=0,"ЭТАЖ НЕ ОПРЕДЕЛЕН. ПРИНЯТ ПО ДОПУЩЕНИЮ 1",VLOOKUP(C2571,'Справочник соответствий'!A$2:D$2981,3,FALSE)))</f>
        <v>ЭТАЖ ЗАДАН ЧИСЛОМ</v>
      </c>
      <c r="M2571" s="13" t="b">
        <f t="shared" si="281"/>
        <v>0</v>
      </c>
      <c r="N2571" s="13">
        <f t="shared" si="282"/>
        <v>1</v>
      </c>
      <c r="O2571" s="13" t="str">
        <f t="shared" si="283"/>
        <v>ЭТАЖ ЗАДАН ЧИСЛОМ</v>
      </c>
      <c r="P2571" s="13" t="str">
        <f t="shared" si="284"/>
        <v>ЭТАЖ ЗАДАН ЧИСЛОМ</v>
      </c>
      <c r="Q2571" s="13" t="str">
        <f t="shared" si="285"/>
        <v>ГОТОВ</v>
      </c>
      <c r="R2571" s="13">
        <f>IFERROR(VLOOKUP(P2571,Лист1!A$1:B$20,2,FALSE),0)</f>
        <v>784</v>
      </c>
      <c r="S2571" s="13">
        <f t="shared" si="286"/>
        <v>1</v>
      </c>
    </row>
    <row r="2572" spans="1:19" x14ac:dyDescent="0.25">
      <c r="A2572" s="24" t="s">
        <v>3702</v>
      </c>
      <c r="B2572" s="4" t="s">
        <v>1063</v>
      </c>
      <c r="C2572" s="25" t="s">
        <v>8</v>
      </c>
      <c r="E2572" s="3">
        <v>3</v>
      </c>
      <c r="F2572" s="24" t="s">
        <v>1304</v>
      </c>
      <c r="G2572" s="25" t="s">
        <v>1089</v>
      </c>
      <c r="H2572" s="24" t="s">
        <v>1061</v>
      </c>
      <c r="I2572" s="3" t="str">
        <f>IFERROR(VLOOKUP(C2572,'Справочник соответствий'!A$2:D$2981,2,FALSE),IF(VALUE(C2572)=0,1,VLOOKUP(C2572,'Справочник соответствий'!A$2:D$2981,2,FALSE)))</f>
        <v>3</v>
      </c>
      <c r="J2572" s="3">
        <f>IFERROR(VLOOKUP(D2572,'Справочник соответствий'!A$2:D$2981,2,FALSE),IF(VALUE(D2572)=0,0,VLOOKUP(D2572,'Справочник соответствий'!A$2:D$2981,2,FALSE)))</f>
        <v>0</v>
      </c>
      <c r="K2572" s="3" t="str">
        <f t="shared" si="280"/>
        <v>3</v>
      </c>
      <c r="L2572" s="13" t="str">
        <f>IFERROR(VLOOKUP(C2572,'Справочник соответствий'!A$2:D$2981,3,FALSE),IF(VALUE(C2572)=0,"ЭТАЖ НЕ ОПРЕДЕЛЕН. ПРИНЯТ ПО ДОПУЩЕНИЮ 1",VLOOKUP(C2572,'Справочник соответствий'!A$2:D$2981,3,FALSE)))</f>
        <v>ЭТАЖ ЗАДАН ЧИСЛОМ</v>
      </c>
      <c r="M2572" s="13" t="b">
        <f t="shared" si="281"/>
        <v>0</v>
      </c>
      <c r="N2572" s="13">
        <f t="shared" si="282"/>
        <v>3</v>
      </c>
      <c r="O2572" s="13" t="str">
        <f t="shared" si="283"/>
        <v>ЭТАЖ ЗАДАН ЧИСЛОМ</v>
      </c>
      <c r="P2572" s="13" t="str">
        <f t="shared" si="284"/>
        <v>ЭТАЖ ЗАДАН ЧИСЛОМ</v>
      </c>
      <c r="Q2572" s="13" t="str">
        <f t="shared" si="285"/>
        <v>ГОТОВ</v>
      </c>
      <c r="R2572" s="13">
        <f>IFERROR(VLOOKUP(P2572,Лист1!A$1:B$20,2,FALSE),0)</f>
        <v>784</v>
      </c>
      <c r="S2572" s="13">
        <f t="shared" si="286"/>
        <v>3</v>
      </c>
    </row>
    <row r="2573" spans="1:19" x14ac:dyDescent="0.25">
      <c r="A2573" s="24" t="s">
        <v>3703</v>
      </c>
      <c r="B2573" s="4" t="s">
        <v>1063</v>
      </c>
      <c r="C2573" s="25" t="s">
        <v>5</v>
      </c>
      <c r="D2573" s="25" t="s">
        <v>24</v>
      </c>
      <c r="E2573" s="3">
        <v>1</v>
      </c>
      <c r="F2573" s="24" t="s">
        <v>1304</v>
      </c>
      <c r="G2573" s="25" t="s">
        <v>1219</v>
      </c>
      <c r="H2573" s="24" t="s">
        <v>1061</v>
      </c>
      <c r="I2573" s="3" t="str">
        <f>IFERROR(VLOOKUP(C2573,'Справочник соответствий'!A$2:D$2981,2,FALSE),IF(VALUE(C2573)=0,1,VLOOKUP(C2573,'Справочник соответствий'!A$2:D$2981,2,FALSE)))</f>
        <v>1</v>
      </c>
      <c r="J2573" s="3" t="str">
        <f>IFERROR(VLOOKUP(D2573,'Справочник соответствий'!A$2:D$2981,2,FALSE),IF(VALUE(D2573)=0,0,VLOOKUP(D2573,'Справочник соответствий'!A$2:D$2981,2,FALSE)))</f>
        <v>1</v>
      </c>
      <c r="K2573" s="3" t="str">
        <f t="shared" si="280"/>
        <v>1</v>
      </c>
      <c r="L2573" s="13" t="str">
        <f>IFERROR(VLOOKUP(C2573,'Справочник соответствий'!A$2:D$2981,3,FALSE),IF(VALUE(C2573)=0,"ЭТАЖ НЕ ОПРЕДЕЛЕН. ПРИНЯТ ПО ДОПУЩЕНИЮ 1",VLOOKUP(C2573,'Справочник соответствий'!A$2:D$2981,3,FALSE)))</f>
        <v>ЭТАЖ ЗАДАН ЧИСЛОМ</v>
      </c>
      <c r="M2573" s="13" t="b">
        <f t="shared" si="281"/>
        <v>0</v>
      </c>
      <c r="N2573" s="13">
        <f t="shared" si="282"/>
        <v>1</v>
      </c>
      <c r="O2573" s="13" t="str">
        <f t="shared" si="283"/>
        <v>ЭТАЖ ЗАДАН ЧИСЛОМ</v>
      </c>
      <c r="P2573" s="13" t="str">
        <f t="shared" si="284"/>
        <v>ЭТАЖ ЗАДАН ЧИСЛОМ</v>
      </c>
      <c r="Q2573" s="13" t="str">
        <f t="shared" si="285"/>
        <v>ГОТОВ</v>
      </c>
      <c r="R2573" s="13">
        <f>IFERROR(VLOOKUP(P2573,Лист1!A$1:B$20,2,FALSE),0)</f>
        <v>784</v>
      </c>
      <c r="S2573" s="13">
        <f t="shared" si="286"/>
        <v>1</v>
      </c>
    </row>
    <row r="2574" spans="1:19" x14ac:dyDescent="0.25">
      <c r="A2574" s="24" t="s">
        <v>3704</v>
      </c>
      <c r="B2574" s="4" t="s">
        <v>1063</v>
      </c>
      <c r="C2574" s="25" t="s">
        <v>5</v>
      </c>
      <c r="D2574" s="25" t="s">
        <v>24</v>
      </c>
      <c r="E2574" s="3">
        <v>1</v>
      </c>
      <c r="F2574" s="24" t="s">
        <v>1304</v>
      </c>
      <c r="G2574" s="25" t="s">
        <v>1230</v>
      </c>
      <c r="H2574" s="24" t="s">
        <v>1061</v>
      </c>
      <c r="I2574" s="3" t="str">
        <f>IFERROR(VLOOKUP(C2574,'Справочник соответствий'!A$2:D$2981,2,FALSE),IF(VALUE(C2574)=0,1,VLOOKUP(C2574,'Справочник соответствий'!A$2:D$2981,2,FALSE)))</f>
        <v>1</v>
      </c>
      <c r="J2574" s="3" t="str">
        <f>IFERROR(VLOOKUP(D2574,'Справочник соответствий'!A$2:D$2981,2,FALSE),IF(VALUE(D2574)=0,0,VLOOKUP(D2574,'Справочник соответствий'!A$2:D$2981,2,FALSE)))</f>
        <v>1</v>
      </c>
      <c r="K2574" s="3" t="str">
        <f t="shared" si="280"/>
        <v>1</v>
      </c>
      <c r="L2574" s="13" t="str">
        <f>IFERROR(VLOOKUP(C2574,'Справочник соответствий'!A$2:D$2981,3,FALSE),IF(VALUE(C2574)=0,"ЭТАЖ НЕ ОПРЕДЕЛЕН. ПРИНЯТ ПО ДОПУЩЕНИЮ 1",VLOOKUP(C2574,'Справочник соответствий'!A$2:D$2981,3,FALSE)))</f>
        <v>ЭТАЖ ЗАДАН ЧИСЛОМ</v>
      </c>
      <c r="M2574" s="13" t="b">
        <f t="shared" si="281"/>
        <v>0</v>
      </c>
      <c r="N2574" s="13">
        <f t="shared" si="282"/>
        <v>1</v>
      </c>
      <c r="O2574" s="13" t="str">
        <f t="shared" si="283"/>
        <v>ЭТАЖ ЗАДАН ЧИСЛОМ</v>
      </c>
      <c r="P2574" s="13" t="str">
        <f t="shared" si="284"/>
        <v>ЭТАЖ ЗАДАН ЧИСЛОМ</v>
      </c>
      <c r="Q2574" s="13" t="str">
        <f t="shared" si="285"/>
        <v>ГОТОВ</v>
      </c>
      <c r="R2574" s="13">
        <f>IFERROR(VLOOKUP(P2574,Лист1!A$1:B$20,2,FALSE),0)</f>
        <v>784</v>
      </c>
      <c r="S2574" s="13">
        <f t="shared" si="286"/>
        <v>1</v>
      </c>
    </row>
    <row r="2575" spans="1:19" x14ac:dyDescent="0.25">
      <c r="A2575" s="24" t="s">
        <v>3705</v>
      </c>
      <c r="B2575" s="4" t="s">
        <v>1059</v>
      </c>
      <c r="C2575" s="25" t="s">
        <v>5</v>
      </c>
      <c r="G2575" s="25" t="s">
        <v>1114</v>
      </c>
      <c r="H2575" s="24" t="s">
        <v>1061</v>
      </c>
      <c r="I2575" s="3" t="str">
        <f>IFERROR(VLOOKUP(C2575,'Справочник соответствий'!A$2:D$2981,2,FALSE),IF(VALUE(C2575)=0,1,VLOOKUP(C2575,'Справочник соответствий'!A$2:D$2981,2,FALSE)))</f>
        <v>1</v>
      </c>
      <c r="J2575" s="3">
        <f>IFERROR(VLOOKUP(D2575,'Справочник соответствий'!A$2:D$2981,2,FALSE),IF(VALUE(D2575)=0,0,VLOOKUP(D2575,'Справочник соответствий'!A$2:D$2981,2,FALSE)))</f>
        <v>0</v>
      </c>
      <c r="K2575" s="3" t="str">
        <f t="shared" si="280"/>
        <v>1</v>
      </c>
      <c r="L2575" s="13" t="str">
        <f>IFERROR(VLOOKUP(C2575,'Справочник соответствий'!A$2:D$2981,3,FALSE),IF(VALUE(C2575)=0,"ЭТАЖ НЕ ОПРЕДЕЛЕН. ПРИНЯТ ПО ДОПУЩЕНИЮ 1",VLOOKUP(C2575,'Справочник соответствий'!A$2:D$2981,3,FALSE)))</f>
        <v>ЭТАЖ ЗАДАН ЧИСЛОМ</v>
      </c>
      <c r="M2575" s="13" t="b">
        <f t="shared" si="281"/>
        <v>0</v>
      </c>
      <c r="N2575" s="13">
        <f t="shared" si="282"/>
        <v>1</v>
      </c>
      <c r="O2575" s="13" t="str">
        <f t="shared" si="283"/>
        <v>ЭТАЖ ЗАДАН ЧИСЛОМ</v>
      </c>
      <c r="P2575" s="13" t="str">
        <f t="shared" si="284"/>
        <v>ЭТАЖ ЗАДАН ЧИСЛОМ</v>
      </c>
      <c r="Q2575" s="13" t="str">
        <f t="shared" si="285"/>
        <v>ГОТОВ_ИЗМЕНЕН</v>
      </c>
      <c r="R2575" s="13">
        <f>IFERROR(VLOOKUP(P2575,Лист1!A$1:B$20,2,FALSE),0)</f>
        <v>784</v>
      </c>
      <c r="S2575" s="13">
        <f t="shared" si="286"/>
        <v>0</v>
      </c>
    </row>
    <row r="2576" spans="1:19" x14ac:dyDescent="0.25">
      <c r="A2576" s="24" t="s">
        <v>3706</v>
      </c>
      <c r="B2576" s="4" t="s">
        <v>1059</v>
      </c>
      <c r="C2576" s="25" t="s">
        <v>7</v>
      </c>
      <c r="G2576" s="25" t="s">
        <v>1069</v>
      </c>
      <c r="H2576" s="24" t="s">
        <v>1061</v>
      </c>
      <c r="I2576" s="3" t="str">
        <f>IFERROR(VLOOKUP(C2576,'Справочник соответствий'!A$2:D$2981,2,FALSE),IF(VALUE(C2576)=0,1,VLOOKUP(C2576,'Справочник соответствий'!A$2:D$2981,2,FALSE)))</f>
        <v>2</v>
      </c>
      <c r="J2576" s="3">
        <f>IFERROR(VLOOKUP(D2576,'Справочник соответствий'!A$2:D$2981,2,FALSE),IF(VALUE(D2576)=0,0,VLOOKUP(D2576,'Справочник соответствий'!A$2:D$2981,2,FALSE)))</f>
        <v>0</v>
      </c>
      <c r="K2576" s="3" t="str">
        <f t="shared" si="280"/>
        <v>2</v>
      </c>
      <c r="L2576" s="13" t="str">
        <f>IFERROR(VLOOKUP(C2576,'Справочник соответствий'!A$2:D$2981,3,FALSE),IF(VALUE(C2576)=0,"ЭТАЖ НЕ ОПРЕДЕЛЕН. ПРИНЯТ ПО ДОПУЩЕНИЮ 1",VLOOKUP(C2576,'Справочник соответствий'!A$2:D$2981,3,FALSE)))</f>
        <v>ЭТАЖ ЗАДАН ЧИСЛОМ</v>
      </c>
      <c r="M2576" s="13" t="b">
        <f t="shared" si="281"/>
        <v>0</v>
      </c>
      <c r="N2576" s="13">
        <f t="shared" si="282"/>
        <v>2</v>
      </c>
      <c r="O2576" s="13" t="str">
        <f t="shared" si="283"/>
        <v>ЭТАЖ ЗАДАН ЧИСЛОМ</v>
      </c>
      <c r="P2576" s="13" t="str">
        <f t="shared" si="284"/>
        <v>ЭТАЖ ЗАДАН ЧИСЛОМ</v>
      </c>
      <c r="Q2576" s="13" t="str">
        <f t="shared" si="285"/>
        <v>ГОТОВ_ИЗМЕНЕН</v>
      </c>
      <c r="R2576" s="13">
        <f>IFERROR(VLOOKUP(P2576,Лист1!A$1:B$20,2,FALSE),0)</f>
        <v>784</v>
      </c>
      <c r="S2576" s="13">
        <f t="shared" si="286"/>
        <v>0</v>
      </c>
    </row>
    <row r="2577" spans="1:19" x14ac:dyDescent="0.25">
      <c r="A2577" s="24" t="s">
        <v>3707</v>
      </c>
      <c r="B2577" s="4" t="s">
        <v>1063</v>
      </c>
      <c r="C2577" s="25" t="s">
        <v>5</v>
      </c>
      <c r="G2577" s="25" t="s">
        <v>1069</v>
      </c>
      <c r="H2577" s="24" t="s">
        <v>1061</v>
      </c>
      <c r="I2577" s="3" t="str">
        <f>IFERROR(VLOOKUP(C2577,'Справочник соответствий'!A$2:D$2981,2,FALSE),IF(VALUE(C2577)=0,1,VLOOKUP(C2577,'Справочник соответствий'!A$2:D$2981,2,FALSE)))</f>
        <v>1</v>
      </c>
      <c r="J2577" s="3">
        <f>IFERROR(VLOOKUP(D2577,'Справочник соответствий'!A$2:D$2981,2,FALSE),IF(VALUE(D2577)=0,0,VLOOKUP(D2577,'Справочник соответствий'!A$2:D$2981,2,FALSE)))</f>
        <v>0</v>
      </c>
      <c r="K2577" s="3" t="str">
        <f t="shared" si="280"/>
        <v>1</v>
      </c>
      <c r="L2577" s="13" t="str">
        <f>IFERROR(VLOOKUP(C2577,'Справочник соответствий'!A$2:D$2981,3,FALSE),IF(VALUE(C2577)=0,"ЭТАЖ НЕ ОПРЕДЕЛЕН. ПРИНЯТ ПО ДОПУЩЕНИЮ 1",VLOOKUP(C2577,'Справочник соответствий'!A$2:D$2981,3,FALSE)))</f>
        <v>ЭТАЖ ЗАДАН ЧИСЛОМ</v>
      </c>
      <c r="M2577" s="13" t="b">
        <f t="shared" si="281"/>
        <v>0</v>
      </c>
      <c r="N2577" s="13">
        <f t="shared" si="282"/>
        <v>1</v>
      </c>
      <c r="O2577" s="13" t="str">
        <f t="shared" si="283"/>
        <v>ЭТАЖ ЗАДАН ЧИСЛОМ</v>
      </c>
      <c r="P2577" s="13" t="str">
        <f t="shared" si="284"/>
        <v>ЭТАЖ ЗАДАН ЧИСЛОМ</v>
      </c>
      <c r="Q2577" s="13" t="str">
        <f t="shared" si="285"/>
        <v>ГОТОВ_ИЗМЕНЕН</v>
      </c>
      <c r="R2577" s="13">
        <f>IFERROR(VLOOKUP(P2577,Лист1!A$1:B$20,2,FALSE),0)</f>
        <v>784</v>
      </c>
      <c r="S2577" s="13">
        <f t="shared" si="286"/>
        <v>0</v>
      </c>
    </row>
    <row r="2578" spans="1:19" x14ac:dyDescent="0.25">
      <c r="A2578" s="24" t="s">
        <v>3708</v>
      </c>
      <c r="B2578" s="4" t="s">
        <v>1059</v>
      </c>
      <c r="C2578" s="25" t="s">
        <v>5</v>
      </c>
      <c r="G2578" s="25" t="s">
        <v>1114</v>
      </c>
      <c r="H2578" s="24" t="s">
        <v>1061</v>
      </c>
      <c r="I2578" s="3" t="str">
        <f>IFERROR(VLOOKUP(C2578,'Справочник соответствий'!A$2:D$2981,2,FALSE),IF(VALUE(C2578)=0,1,VLOOKUP(C2578,'Справочник соответствий'!A$2:D$2981,2,FALSE)))</f>
        <v>1</v>
      </c>
      <c r="J2578" s="3">
        <f>IFERROR(VLOOKUP(D2578,'Справочник соответствий'!A$2:D$2981,2,FALSE),IF(VALUE(D2578)=0,0,VLOOKUP(D2578,'Справочник соответствий'!A$2:D$2981,2,FALSE)))</f>
        <v>0</v>
      </c>
      <c r="K2578" s="3" t="str">
        <f t="shared" si="280"/>
        <v>1</v>
      </c>
      <c r="L2578" s="13" t="str">
        <f>IFERROR(VLOOKUP(C2578,'Справочник соответствий'!A$2:D$2981,3,FALSE),IF(VALUE(C2578)=0,"ЭТАЖ НЕ ОПРЕДЕЛЕН. ПРИНЯТ ПО ДОПУЩЕНИЮ 1",VLOOKUP(C2578,'Справочник соответствий'!A$2:D$2981,3,FALSE)))</f>
        <v>ЭТАЖ ЗАДАН ЧИСЛОМ</v>
      </c>
      <c r="M2578" s="13" t="b">
        <f t="shared" si="281"/>
        <v>0</v>
      </c>
      <c r="N2578" s="13">
        <f t="shared" si="282"/>
        <v>1</v>
      </c>
      <c r="O2578" s="13" t="str">
        <f t="shared" si="283"/>
        <v>ЭТАЖ ЗАДАН ЧИСЛОМ</v>
      </c>
      <c r="P2578" s="13" t="str">
        <f t="shared" si="284"/>
        <v>ЭТАЖ ЗАДАН ЧИСЛОМ</v>
      </c>
      <c r="Q2578" s="13" t="str">
        <f t="shared" si="285"/>
        <v>ГОТОВ_ИЗМЕНЕН</v>
      </c>
      <c r="R2578" s="13">
        <f>IFERROR(VLOOKUP(P2578,Лист1!A$1:B$20,2,FALSE),0)</f>
        <v>784</v>
      </c>
      <c r="S2578" s="13">
        <f t="shared" si="286"/>
        <v>0</v>
      </c>
    </row>
    <row r="2579" spans="1:19" x14ac:dyDescent="0.25">
      <c r="A2579" s="24" t="s">
        <v>3709</v>
      </c>
      <c r="B2579" s="4" t="s">
        <v>1059</v>
      </c>
      <c r="C2579" s="25" t="s">
        <v>5</v>
      </c>
      <c r="G2579" s="25" t="s">
        <v>1069</v>
      </c>
      <c r="H2579" s="24" t="s">
        <v>1061</v>
      </c>
      <c r="I2579" s="3" t="str">
        <f>IFERROR(VLOOKUP(C2579,'Справочник соответствий'!A$2:D$2981,2,FALSE),IF(VALUE(C2579)=0,1,VLOOKUP(C2579,'Справочник соответствий'!A$2:D$2981,2,FALSE)))</f>
        <v>1</v>
      </c>
      <c r="J2579" s="3">
        <f>IFERROR(VLOOKUP(D2579,'Справочник соответствий'!A$2:D$2981,2,FALSE),IF(VALUE(D2579)=0,0,VLOOKUP(D2579,'Справочник соответствий'!A$2:D$2981,2,FALSE)))</f>
        <v>0</v>
      </c>
      <c r="K2579" s="3" t="str">
        <f t="shared" si="280"/>
        <v>1</v>
      </c>
      <c r="L2579" s="13" t="str">
        <f>IFERROR(VLOOKUP(C2579,'Справочник соответствий'!A$2:D$2981,3,FALSE),IF(VALUE(C2579)=0,"ЭТАЖ НЕ ОПРЕДЕЛЕН. ПРИНЯТ ПО ДОПУЩЕНИЮ 1",VLOOKUP(C2579,'Справочник соответствий'!A$2:D$2981,3,FALSE)))</f>
        <v>ЭТАЖ ЗАДАН ЧИСЛОМ</v>
      </c>
      <c r="M2579" s="13" t="b">
        <f t="shared" si="281"/>
        <v>0</v>
      </c>
      <c r="N2579" s="13">
        <f t="shared" si="282"/>
        <v>1</v>
      </c>
      <c r="O2579" s="13" t="str">
        <f t="shared" si="283"/>
        <v>ЭТАЖ ЗАДАН ЧИСЛОМ</v>
      </c>
      <c r="P2579" s="13" t="str">
        <f t="shared" si="284"/>
        <v>ЭТАЖ ЗАДАН ЧИСЛОМ</v>
      </c>
      <c r="Q2579" s="13" t="str">
        <f t="shared" si="285"/>
        <v>ГОТОВ_ИЗМЕНЕН</v>
      </c>
      <c r="R2579" s="13">
        <f>IFERROR(VLOOKUP(P2579,Лист1!A$1:B$20,2,FALSE),0)</f>
        <v>784</v>
      </c>
      <c r="S2579" s="13">
        <f t="shared" si="286"/>
        <v>0</v>
      </c>
    </row>
    <row r="2580" spans="1:19" x14ac:dyDescent="0.25">
      <c r="A2580" s="24" t="s">
        <v>3710</v>
      </c>
      <c r="B2580" s="4" t="s">
        <v>1059</v>
      </c>
      <c r="C2580" s="25" t="s">
        <v>7</v>
      </c>
      <c r="G2580" s="25" t="s">
        <v>1108</v>
      </c>
      <c r="H2580" s="24" t="s">
        <v>1061</v>
      </c>
      <c r="I2580" s="3" t="str">
        <f>IFERROR(VLOOKUP(C2580,'Справочник соответствий'!A$2:D$2981,2,FALSE),IF(VALUE(C2580)=0,1,VLOOKUP(C2580,'Справочник соответствий'!A$2:D$2981,2,FALSE)))</f>
        <v>2</v>
      </c>
      <c r="J2580" s="3">
        <f>IFERROR(VLOOKUP(D2580,'Справочник соответствий'!A$2:D$2981,2,FALSE),IF(VALUE(D2580)=0,0,VLOOKUP(D2580,'Справочник соответствий'!A$2:D$2981,2,FALSE)))</f>
        <v>0</v>
      </c>
      <c r="K2580" s="3" t="str">
        <f t="shared" si="280"/>
        <v>2</v>
      </c>
      <c r="L2580" s="13" t="str">
        <f>IFERROR(VLOOKUP(C2580,'Справочник соответствий'!A$2:D$2981,3,FALSE),IF(VALUE(C2580)=0,"ЭТАЖ НЕ ОПРЕДЕЛЕН. ПРИНЯТ ПО ДОПУЩЕНИЮ 1",VLOOKUP(C2580,'Справочник соответствий'!A$2:D$2981,3,FALSE)))</f>
        <v>ЭТАЖ ЗАДАН ЧИСЛОМ</v>
      </c>
      <c r="M2580" s="13" t="b">
        <f t="shared" si="281"/>
        <v>0</v>
      </c>
      <c r="N2580" s="13">
        <f t="shared" si="282"/>
        <v>2</v>
      </c>
      <c r="O2580" s="13" t="str">
        <f t="shared" si="283"/>
        <v>ЭТАЖ ЗАДАН ЧИСЛОМ</v>
      </c>
      <c r="P2580" s="13" t="str">
        <f t="shared" si="284"/>
        <v>ЭТАЖ ЗАДАН ЧИСЛОМ</v>
      </c>
      <c r="Q2580" s="13" t="str">
        <f t="shared" si="285"/>
        <v>ГОТОВ_ИЗМЕНЕН</v>
      </c>
      <c r="R2580" s="13">
        <f>IFERROR(VLOOKUP(P2580,Лист1!A$1:B$20,2,FALSE),0)</f>
        <v>784</v>
      </c>
      <c r="S2580" s="13">
        <f t="shared" si="286"/>
        <v>0</v>
      </c>
    </row>
    <row r="2581" spans="1:19" x14ac:dyDescent="0.25">
      <c r="A2581" s="24" t="s">
        <v>3711</v>
      </c>
      <c r="B2581" s="4" t="s">
        <v>1059</v>
      </c>
      <c r="C2581" s="25" t="s">
        <v>5</v>
      </c>
      <c r="G2581" s="25" t="s">
        <v>1114</v>
      </c>
      <c r="H2581" s="24" t="s">
        <v>1061</v>
      </c>
      <c r="I2581" s="3" t="str">
        <f>IFERROR(VLOOKUP(C2581,'Справочник соответствий'!A$2:D$2981,2,FALSE),IF(VALUE(C2581)=0,1,VLOOKUP(C2581,'Справочник соответствий'!A$2:D$2981,2,FALSE)))</f>
        <v>1</v>
      </c>
      <c r="J2581" s="3">
        <f>IFERROR(VLOOKUP(D2581,'Справочник соответствий'!A$2:D$2981,2,FALSE),IF(VALUE(D2581)=0,0,VLOOKUP(D2581,'Справочник соответствий'!A$2:D$2981,2,FALSE)))</f>
        <v>0</v>
      </c>
      <c r="K2581" s="3" t="str">
        <f t="shared" si="280"/>
        <v>1</v>
      </c>
      <c r="L2581" s="13" t="str">
        <f>IFERROR(VLOOKUP(C2581,'Справочник соответствий'!A$2:D$2981,3,FALSE),IF(VALUE(C2581)=0,"ЭТАЖ НЕ ОПРЕДЕЛЕН. ПРИНЯТ ПО ДОПУЩЕНИЮ 1",VLOOKUP(C2581,'Справочник соответствий'!A$2:D$2981,3,FALSE)))</f>
        <v>ЭТАЖ ЗАДАН ЧИСЛОМ</v>
      </c>
      <c r="M2581" s="13" t="b">
        <f t="shared" si="281"/>
        <v>0</v>
      </c>
      <c r="N2581" s="13">
        <f t="shared" si="282"/>
        <v>1</v>
      </c>
      <c r="O2581" s="13" t="str">
        <f t="shared" si="283"/>
        <v>ЭТАЖ ЗАДАН ЧИСЛОМ</v>
      </c>
      <c r="P2581" s="13" t="str">
        <f t="shared" si="284"/>
        <v>ЭТАЖ ЗАДАН ЧИСЛОМ</v>
      </c>
      <c r="Q2581" s="13" t="str">
        <f t="shared" si="285"/>
        <v>ГОТОВ_ИЗМЕНЕН</v>
      </c>
      <c r="R2581" s="13">
        <f>IFERROR(VLOOKUP(P2581,Лист1!A$1:B$20,2,FALSE),0)</f>
        <v>784</v>
      </c>
      <c r="S2581" s="13">
        <f t="shared" si="286"/>
        <v>0</v>
      </c>
    </row>
    <row r="2582" spans="1:19" x14ac:dyDescent="0.25">
      <c r="A2582" s="24" t="s">
        <v>3712</v>
      </c>
      <c r="B2582" s="4" t="s">
        <v>1059</v>
      </c>
      <c r="C2582" s="25" t="s">
        <v>5</v>
      </c>
      <c r="G2582" s="25" t="s">
        <v>1114</v>
      </c>
      <c r="H2582" s="24" t="s">
        <v>1061</v>
      </c>
      <c r="I2582" s="3" t="str">
        <f>IFERROR(VLOOKUP(C2582,'Справочник соответствий'!A$2:D$2981,2,FALSE),IF(VALUE(C2582)=0,1,VLOOKUP(C2582,'Справочник соответствий'!A$2:D$2981,2,FALSE)))</f>
        <v>1</v>
      </c>
      <c r="J2582" s="3">
        <f>IFERROR(VLOOKUP(D2582,'Справочник соответствий'!A$2:D$2981,2,FALSE),IF(VALUE(D2582)=0,0,VLOOKUP(D2582,'Справочник соответствий'!A$2:D$2981,2,FALSE)))</f>
        <v>0</v>
      </c>
      <c r="K2582" s="3" t="str">
        <f t="shared" si="280"/>
        <v>1</v>
      </c>
      <c r="L2582" s="13" t="str">
        <f>IFERROR(VLOOKUP(C2582,'Справочник соответствий'!A$2:D$2981,3,FALSE),IF(VALUE(C2582)=0,"ЭТАЖ НЕ ОПРЕДЕЛЕН. ПРИНЯТ ПО ДОПУЩЕНИЮ 1",VLOOKUP(C2582,'Справочник соответствий'!A$2:D$2981,3,FALSE)))</f>
        <v>ЭТАЖ ЗАДАН ЧИСЛОМ</v>
      </c>
      <c r="M2582" s="13" t="b">
        <f t="shared" si="281"/>
        <v>0</v>
      </c>
      <c r="N2582" s="13">
        <f t="shared" si="282"/>
        <v>1</v>
      </c>
      <c r="O2582" s="13" t="str">
        <f t="shared" si="283"/>
        <v>ЭТАЖ ЗАДАН ЧИСЛОМ</v>
      </c>
      <c r="P2582" s="13" t="str">
        <f t="shared" si="284"/>
        <v>ЭТАЖ ЗАДАН ЧИСЛОМ</v>
      </c>
      <c r="Q2582" s="13" t="str">
        <f t="shared" si="285"/>
        <v>ГОТОВ_ИЗМЕНЕН</v>
      </c>
      <c r="R2582" s="13">
        <f>IFERROR(VLOOKUP(P2582,Лист1!A$1:B$20,2,FALSE),0)</f>
        <v>784</v>
      </c>
      <c r="S2582" s="13">
        <f t="shared" si="286"/>
        <v>0</v>
      </c>
    </row>
    <row r="2583" spans="1:19" x14ac:dyDescent="0.25">
      <c r="A2583" s="24" t="s">
        <v>3713</v>
      </c>
      <c r="B2583" s="4" t="s">
        <v>1059</v>
      </c>
      <c r="C2583" s="25" t="s">
        <v>7</v>
      </c>
      <c r="G2583" s="25" t="s">
        <v>1069</v>
      </c>
      <c r="H2583" s="24" t="s">
        <v>1061</v>
      </c>
      <c r="I2583" s="3" t="str">
        <f>IFERROR(VLOOKUP(C2583,'Справочник соответствий'!A$2:D$2981,2,FALSE),IF(VALUE(C2583)=0,1,VLOOKUP(C2583,'Справочник соответствий'!A$2:D$2981,2,FALSE)))</f>
        <v>2</v>
      </c>
      <c r="J2583" s="3">
        <f>IFERROR(VLOOKUP(D2583,'Справочник соответствий'!A$2:D$2981,2,FALSE),IF(VALUE(D2583)=0,0,VLOOKUP(D2583,'Справочник соответствий'!A$2:D$2981,2,FALSE)))</f>
        <v>0</v>
      </c>
      <c r="K2583" s="3" t="str">
        <f t="shared" si="280"/>
        <v>2</v>
      </c>
      <c r="L2583" s="13" t="str">
        <f>IFERROR(VLOOKUP(C2583,'Справочник соответствий'!A$2:D$2981,3,FALSE),IF(VALUE(C2583)=0,"ЭТАЖ НЕ ОПРЕДЕЛЕН. ПРИНЯТ ПО ДОПУЩЕНИЮ 1",VLOOKUP(C2583,'Справочник соответствий'!A$2:D$2981,3,FALSE)))</f>
        <v>ЭТАЖ ЗАДАН ЧИСЛОМ</v>
      </c>
      <c r="M2583" s="13" t="b">
        <f t="shared" si="281"/>
        <v>0</v>
      </c>
      <c r="N2583" s="13">
        <f t="shared" si="282"/>
        <v>2</v>
      </c>
      <c r="O2583" s="13" t="str">
        <f t="shared" si="283"/>
        <v>ЭТАЖ ЗАДАН ЧИСЛОМ</v>
      </c>
      <c r="P2583" s="13" t="str">
        <f t="shared" si="284"/>
        <v>ЭТАЖ ЗАДАН ЧИСЛОМ</v>
      </c>
      <c r="Q2583" s="13" t="str">
        <f t="shared" si="285"/>
        <v>ГОТОВ_ИЗМЕНЕН</v>
      </c>
      <c r="R2583" s="13">
        <f>IFERROR(VLOOKUP(P2583,Лист1!A$1:B$20,2,FALSE),0)</f>
        <v>784</v>
      </c>
      <c r="S2583" s="13">
        <f t="shared" si="286"/>
        <v>0</v>
      </c>
    </row>
    <row r="2584" spans="1:19" x14ac:dyDescent="0.25">
      <c r="A2584" s="24" t="s">
        <v>3714</v>
      </c>
      <c r="B2584" s="4" t="s">
        <v>1063</v>
      </c>
      <c r="C2584" s="25" t="s">
        <v>5</v>
      </c>
      <c r="G2584" s="25" t="s">
        <v>1325</v>
      </c>
      <c r="H2584" s="24" t="s">
        <v>1061</v>
      </c>
      <c r="I2584" s="3" t="str">
        <f>IFERROR(VLOOKUP(C2584,'Справочник соответствий'!A$2:D$2981,2,FALSE),IF(VALUE(C2584)=0,1,VLOOKUP(C2584,'Справочник соответствий'!A$2:D$2981,2,FALSE)))</f>
        <v>1</v>
      </c>
      <c r="J2584" s="3">
        <f>IFERROR(VLOOKUP(D2584,'Справочник соответствий'!A$2:D$2981,2,FALSE),IF(VALUE(D2584)=0,0,VLOOKUP(D2584,'Справочник соответствий'!A$2:D$2981,2,FALSE)))</f>
        <v>0</v>
      </c>
      <c r="K2584" s="3" t="str">
        <f t="shared" si="280"/>
        <v>1</v>
      </c>
      <c r="L2584" s="13" t="str">
        <f>IFERROR(VLOOKUP(C2584,'Справочник соответствий'!A$2:D$2981,3,FALSE),IF(VALUE(C2584)=0,"ЭТАЖ НЕ ОПРЕДЕЛЕН. ПРИНЯТ ПО ДОПУЩЕНИЮ 1",VLOOKUP(C2584,'Справочник соответствий'!A$2:D$2981,3,FALSE)))</f>
        <v>ЭТАЖ ЗАДАН ЧИСЛОМ</v>
      </c>
      <c r="M2584" s="13" t="b">
        <f t="shared" si="281"/>
        <v>0</v>
      </c>
      <c r="N2584" s="13">
        <f t="shared" si="282"/>
        <v>1</v>
      </c>
      <c r="O2584" s="13" t="str">
        <f t="shared" si="283"/>
        <v>ЭТАЖ ЗАДАН ЧИСЛОМ</v>
      </c>
      <c r="P2584" s="13" t="str">
        <f t="shared" si="284"/>
        <v>ЭТАЖ ЗАДАН ЧИСЛОМ</v>
      </c>
      <c r="Q2584" s="13" t="str">
        <f t="shared" si="285"/>
        <v>ГОТОВ_ИЗМЕНЕН</v>
      </c>
      <c r="R2584" s="13">
        <f>IFERROR(VLOOKUP(P2584,Лист1!A$1:B$20,2,FALSE),0)</f>
        <v>784</v>
      </c>
      <c r="S2584" s="13">
        <f t="shared" si="286"/>
        <v>0</v>
      </c>
    </row>
    <row r="2585" spans="1:19" x14ac:dyDescent="0.25">
      <c r="A2585" s="24" t="s">
        <v>3715</v>
      </c>
      <c r="B2585" s="4" t="s">
        <v>1059</v>
      </c>
      <c r="C2585" s="25" t="s">
        <v>7</v>
      </c>
      <c r="G2585" s="25" t="s">
        <v>1325</v>
      </c>
      <c r="H2585" s="24" t="s">
        <v>1061</v>
      </c>
      <c r="I2585" s="3" t="str">
        <f>IFERROR(VLOOKUP(C2585,'Справочник соответствий'!A$2:D$2981,2,FALSE),IF(VALUE(C2585)=0,1,VLOOKUP(C2585,'Справочник соответствий'!A$2:D$2981,2,FALSE)))</f>
        <v>2</v>
      </c>
      <c r="J2585" s="3">
        <f>IFERROR(VLOOKUP(D2585,'Справочник соответствий'!A$2:D$2981,2,FALSE),IF(VALUE(D2585)=0,0,VLOOKUP(D2585,'Справочник соответствий'!A$2:D$2981,2,FALSE)))</f>
        <v>0</v>
      </c>
      <c r="K2585" s="3" t="str">
        <f t="shared" si="280"/>
        <v>2</v>
      </c>
      <c r="L2585" s="13" t="str">
        <f>IFERROR(VLOOKUP(C2585,'Справочник соответствий'!A$2:D$2981,3,FALSE),IF(VALUE(C2585)=0,"ЭТАЖ НЕ ОПРЕДЕЛЕН. ПРИНЯТ ПО ДОПУЩЕНИЮ 1",VLOOKUP(C2585,'Справочник соответствий'!A$2:D$2981,3,FALSE)))</f>
        <v>ЭТАЖ ЗАДАН ЧИСЛОМ</v>
      </c>
      <c r="M2585" s="13" t="b">
        <f t="shared" si="281"/>
        <v>0</v>
      </c>
      <c r="N2585" s="13">
        <f t="shared" si="282"/>
        <v>2</v>
      </c>
      <c r="O2585" s="13" t="str">
        <f t="shared" si="283"/>
        <v>ЭТАЖ ЗАДАН ЧИСЛОМ</v>
      </c>
      <c r="P2585" s="13" t="str">
        <f t="shared" si="284"/>
        <v>ЭТАЖ ЗАДАН ЧИСЛОМ</v>
      </c>
      <c r="Q2585" s="13" t="str">
        <f t="shared" si="285"/>
        <v>ГОТОВ_ИЗМЕНЕН</v>
      </c>
      <c r="R2585" s="13">
        <f>IFERROR(VLOOKUP(P2585,Лист1!A$1:B$20,2,FALSE),0)</f>
        <v>784</v>
      </c>
      <c r="S2585" s="13">
        <f t="shared" si="286"/>
        <v>0</v>
      </c>
    </row>
    <row r="2586" spans="1:19" x14ac:dyDescent="0.25">
      <c r="A2586" s="24" t="s">
        <v>3716</v>
      </c>
      <c r="B2586" s="4" t="s">
        <v>1063</v>
      </c>
      <c r="C2586" s="25" t="s">
        <v>5</v>
      </c>
      <c r="G2586" s="25" t="s">
        <v>1325</v>
      </c>
      <c r="H2586" s="24" t="s">
        <v>1061</v>
      </c>
      <c r="I2586" s="3" t="str">
        <f>IFERROR(VLOOKUP(C2586,'Справочник соответствий'!A$2:D$2981,2,FALSE),IF(VALUE(C2586)=0,1,VLOOKUP(C2586,'Справочник соответствий'!A$2:D$2981,2,FALSE)))</f>
        <v>1</v>
      </c>
      <c r="J2586" s="3">
        <f>IFERROR(VLOOKUP(D2586,'Справочник соответствий'!A$2:D$2981,2,FALSE),IF(VALUE(D2586)=0,0,VLOOKUP(D2586,'Справочник соответствий'!A$2:D$2981,2,FALSE)))</f>
        <v>0</v>
      </c>
      <c r="K2586" s="3" t="str">
        <f t="shared" si="280"/>
        <v>1</v>
      </c>
      <c r="L2586" s="13" t="str">
        <f>IFERROR(VLOOKUP(C2586,'Справочник соответствий'!A$2:D$2981,3,FALSE),IF(VALUE(C2586)=0,"ЭТАЖ НЕ ОПРЕДЕЛЕН. ПРИНЯТ ПО ДОПУЩЕНИЮ 1",VLOOKUP(C2586,'Справочник соответствий'!A$2:D$2981,3,FALSE)))</f>
        <v>ЭТАЖ ЗАДАН ЧИСЛОМ</v>
      </c>
      <c r="M2586" s="13" t="b">
        <f t="shared" si="281"/>
        <v>0</v>
      </c>
      <c r="N2586" s="13">
        <f t="shared" si="282"/>
        <v>1</v>
      </c>
      <c r="O2586" s="13" t="str">
        <f t="shared" si="283"/>
        <v>ЭТАЖ ЗАДАН ЧИСЛОМ</v>
      </c>
      <c r="P2586" s="13" t="str">
        <f t="shared" si="284"/>
        <v>ЭТАЖ ЗАДАН ЧИСЛОМ</v>
      </c>
      <c r="Q2586" s="13" t="str">
        <f t="shared" si="285"/>
        <v>ГОТОВ_ИЗМЕНЕН</v>
      </c>
      <c r="R2586" s="13">
        <f>IFERROR(VLOOKUP(P2586,Лист1!A$1:B$20,2,FALSE),0)</f>
        <v>784</v>
      </c>
      <c r="S2586" s="13">
        <f t="shared" si="286"/>
        <v>0</v>
      </c>
    </row>
    <row r="2587" spans="1:19" x14ac:dyDescent="0.25">
      <c r="A2587" s="24" t="s">
        <v>3717</v>
      </c>
      <c r="B2587" s="4" t="s">
        <v>1059</v>
      </c>
      <c r="C2587" s="25" t="s">
        <v>7</v>
      </c>
      <c r="G2587" s="25" t="s">
        <v>1099</v>
      </c>
      <c r="H2587" s="24" t="s">
        <v>1061</v>
      </c>
      <c r="I2587" s="3" t="str">
        <f>IFERROR(VLOOKUP(C2587,'Справочник соответствий'!A$2:D$2981,2,FALSE),IF(VALUE(C2587)=0,1,VLOOKUP(C2587,'Справочник соответствий'!A$2:D$2981,2,FALSE)))</f>
        <v>2</v>
      </c>
      <c r="J2587" s="3">
        <f>IFERROR(VLOOKUP(D2587,'Справочник соответствий'!A$2:D$2981,2,FALSE),IF(VALUE(D2587)=0,0,VLOOKUP(D2587,'Справочник соответствий'!A$2:D$2981,2,FALSE)))</f>
        <v>0</v>
      </c>
      <c r="K2587" s="3" t="str">
        <f t="shared" si="280"/>
        <v>2</v>
      </c>
      <c r="L2587" s="13" t="str">
        <f>IFERROR(VLOOKUP(C2587,'Справочник соответствий'!A$2:D$2981,3,FALSE),IF(VALUE(C2587)=0,"ЭТАЖ НЕ ОПРЕДЕЛЕН. ПРИНЯТ ПО ДОПУЩЕНИЮ 1",VLOOKUP(C2587,'Справочник соответствий'!A$2:D$2981,3,FALSE)))</f>
        <v>ЭТАЖ ЗАДАН ЧИСЛОМ</v>
      </c>
      <c r="M2587" s="13" t="b">
        <f t="shared" si="281"/>
        <v>0</v>
      </c>
      <c r="N2587" s="13">
        <f t="shared" si="282"/>
        <v>2</v>
      </c>
      <c r="O2587" s="13" t="str">
        <f t="shared" si="283"/>
        <v>ЭТАЖ ЗАДАН ЧИСЛОМ</v>
      </c>
      <c r="P2587" s="13" t="str">
        <f t="shared" si="284"/>
        <v>ЭТАЖ ЗАДАН ЧИСЛОМ</v>
      </c>
      <c r="Q2587" s="13" t="str">
        <f t="shared" si="285"/>
        <v>ГОТОВ_ИЗМЕНЕН</v>
      </c>
      <c r="R2587" s="13">
        <f>IFERROR(VLOOKUP(P2587,Лист1!A$1:B$20,2,FALSE),0)</f>
        <v>784</v>
      </c>
      <c r="S2587" s="13">
        <f t="shared" si="286"/>
        <v>0</v>
      </c>
    </row>
    <row r="2588" spans="1:19" x14ac:dyDescent="0.25">
      <c r="A2588" s="24" t="s">
        <v>3718</v>
      </c>
      <c r="B2588" s="4" t="s">
        <v>1063</v>
      </c>
      <c r="C2588" s="25" t="s">
        <v>5</v>
      </c>
      <c r="G2588" s="25" t="s">
        <v>1099</v>
      </c>
      <c r="H2588" s="24" t="s">
        <v>1061</v>
      </c>
      <c r="I2588" s="3" t="str">
        <f>IFERROR(VLOOKUP(C2588,'Справочник соответствий'!A$2:D$2981,2,FALSE),IF(VALUE(C2588)=0,1,VLOOKUP(C2588,'Справочник соответствий'!A$2:D$2981,2,FALSE)))</f>
        <v>1</v>
      </c>
      <c r="J2588" s="3">
        <f>IFERROR(VLOOKUP(D2588,'Справочник соответствий'!A$2:D$2981,2,FALSE),IF(VALUE(D2588)=0,0,VLOOKUP(D2588,'Справочник соответствий'!A$2:D$2981,2,FALSE)))</f>
        <v>0</v>
      </c>
      <c r="K2588" s="3" t="str">
        <f t="shared" si="280"/>
        <v>1</v>
      </c>
      <c r="L2588" s="13" t="str">
        <f>IFERROR(VLOOKUP(C2588,'Справочник соответствий'!A$2:D$2981,3,FALSE),IF(VALUE(C2588)=0,"ЭТАЖ НЕ ОПРЕДЕЛЕН. ПРИНЯТ ПО ДОПУЩЕНИЮ 1",VLOOKUP(C2588,'Справочник соответствий'!A$2:D$2981,3,FALSE)))</f>
        <v>ЭТАЖ ЗАДАН ЧИСЛОМ</v>
      </c>
      <c r="M2588" s="13" t="b">
        <f t="shared" si="281"/>
        <v>0</v>
      </c>
      <c r="N2588" s="13">
        <f t="shared" si="282"/>
        <v>1</v>
      </c>
      <c r="O2588" s="13" t="str">
        <f t="shared" si="283"/>
        <v>ЭТАЖ ЗАДАН ЧИСЛОМ</v>
      </c>
      <c r="P2588" s="13" t="str">
        <f t="shared" si="284"/>
        <v>ЭТАЖ ЗАДАН ЧИСЛОМ</v>
      </c>
      <c r="Q2588" s="13" t="str">
        <f t="shared" si="285"/>
        <v>ГОТОВ_ИЗМЕНЕН</v>
      </c>
      <c r="R2588" s="13">
        <f>IFERROR(VLOOKUP(P2588,Лист1!A$1:B$20,2,FALSE),0)</f>
        <v>784</v>
      </c>
      <c r="S2588" s="13">
        <f t="shared" si="286"/>
        <v>0</v>
      </c>
    </row>
    <row r="2589" spans="1:19" x14ac:dyDescent="0.25">
      <c r="A2589" s="24" t="s">
        <v>3719</v>
      </c>
      <c r="B2589" s="4" t="s">
        <v>1063</v>
      </c>
      <c r="C2589" s="25" t="s">
        <v>5</v>
      </c>
      <c r="G2589" s="25" t="s">
        <v>1099</v>
      </c>
      <c r="H2589" s="24" t="s">
        <v>1061</v>
      </c>
      <c r="I2589" s="3" t="str">
        <f>IFERROR(VLOOKUP(C2589,'Справочник соответствий'!A$2:D$2981,2,FALSE),IF(VALUE(C2589)=0,1,VLOOKUP(C2589,'Справочник соответствий'!A$2:D$2981,2,FALSE)))</f>
        <v>1</v>
      </c>
      <c r="J2589" s="3">
        <f>IFERROR(VLOOKUP(D2589,'Справочник соответствий'!A$2:D$2981,2,FALSE),IF(VALUE(D2589)=0,0,VLOOKUP(D2589,'Справочник соответствий'!A$2:D$2981,2,FALSE)))</f>
        <v>0</v>
      </c>
      <c r="K2589" s="3" t="str">
        <f t="shared" si="280"/>
        <v>1</v>
      </c>
      <c r="L2589" s="13" t="str">
        <f>IFERROR(VLOOKUP(C2589,'Справочник соответствий'!A$2:D$2981,3,FALSE),IF(VALUE(C2589)=0,"ЭТАЖ НЕ ОПРЕДЕЛЕН. ПРИНЯТ ПО ДОПУЩЕНИЮ 1",VLOOKUP(C2589,'Справочник соответствий'!A$2:D$2981,3,FALSE)))</f>
        <v>ЭТАЖ ЗАДАН ЧИСЛОМ</v>
      </c>
      <c r="M2589" s="13" t="b">
        <f t="shared" si="281"/>
        <v>0</v>
      </c>
      <c r="N2589" s="13">
        <f t="shared" si="282"/>
        <v>1</v>
      </c>
      <c r="O2589" s="13" t="str">
        <f t="shared" si="283"/>
        <v>ЭТАЖ ЗАДАН ЧИСЛОМ</v>
      </c>
      <c r="P2589" s="13" t="str">
        <f t="shared" si="284"/>
        <v>ЭТАЖ ЗАДАН ЧИСЛОМ</v>
      </c>
      <c r="Q2589" s="13" t="str">
        <f t="shared" si="285"/>
        <v>ГОТОВ_ИЗМЕНЕН</v>
      </c>
      <c r="R2589" s="13">
        <f>IFERROR(VLOOKUP(P2589,Лист1!A$1:B$20,2,FALSE),0)</f>
        <v>784</v>
      </c>
      <c r="S2589" s="13">
        <f t="shared" si="286"/>
        <v>0</v>
      </c>
    </row>
    <row r="2590" spans="1:19" x14ac:dyDescent="0.25">
      <c r="A2590" s="24" t="s">
        <v>3720</v>
      </c>
      <c r="B2590" s="4" t="s">
        <v>1063</v>
      </c>
      <c r="C2590" s="25" t="s">
        <v>5</v>
      </c>
      <c r="G2590" s="25" t="s">
        <v>1205</v>
      </c>
      <c r="H2590" s="24" t="s">
        <v>1061</v>
      </c>
      <c r="I2590" s="3" t="str">
        <f>IFERROR(VLOOKUP(C2590,'Справочник соответствий'!A$2:D$2981,2,FALSE),IF(VALUE(C2590)=0,1,VLOOKUP(C2590,'Справочник соответствий'!A$2:D$2981,2,FALSE)))</f>
        <v>1</v>
      </c>
      <c r="J2590" s="3">
        <f>IFERROR(VLOOKUP(D2590,'Справочник соответствий'!A$2:D$2981,2,FALSE),IF(VALUE(D2590)=0,0,VLOOKUP(D2590,'Справочник соответствий'!A$2:D$2981,2,FALSE)))</f>
        <v>0</v>
      </c>
      <c r="K2590" s="3" t="str">
        <f t="shared" si="280"/>
        <v>1</v>
      </c>
      <c r="L2590" s="13" t="str">
        <f>IFERROR(VLOOKUP(C2590,'Справочник соответствий'!A$2:D$2981,3,FALSE),IF(VALUE(C2590)=0,"ЭТАЖ НЕ ОПРЕДЕЛЕН. ПРИНЯТ ПО ДОПУЩЕНИЮ 1",VLOOKUP(C2590,'Справочник соответствий'!A$2:D$2981,3,FALSE)))</f>
        <v>ЭТАЖ ЗАДАН ЧИСЛОМ</v>
      </c>
      <c r="M2590" s="13" t="b">
        <f t="shared" si="281"/>
        <v>0</v>
      </c>
      <c r="N2590" s="13">
        <f t="shared" si="282"/>
        <v>1</v>
      </c>
      <c r="O2590" s="13" t="str">
        <f t="shared" si="283"/>
        <v>ЭТАЖ ЗАДАН ЧИСЛОМ</v>
      </c>
      <c r="P2590" s="13" t="str">
        <f t="shared" si="284"/>
        <v>ЭТАЖ ЗАДАН ЧИСЛОМ</v>
      </c>
      <c r="Q2590" s="13" t="str">
        <f t="shared" si="285"/>
        <v>ГОТОВ_ИЗМЕНЕН</v>
      </c>
      <c r="R2590" s="13">
        <f>IFERROR(VLOOKUP(P2590,Лист1!A$1:B$20,2,FALSE),0)</f>
        <v>784</v>
      </c>
      <c r="S2590" s="13">
        <f t="shared" si="286"/>
        <v>0</v>
      </c>
    </row>
    <row r="2591" spans="1:19" x14ac:dyDescent="0.25">
      <c r="A2591" s="24" t="s">
        <v>3721</v>
      </c>
      <c r="B2591" s="4" t="s">
        <v>1063</v>
      </c>
      <c r="C2591" s="25" t="s">
        <v>5</v>
      </c>
      <c r="G2591" s="25" t="s">
        <v>1099</v>
      </c>
      <c r="H2591" s="24" t="s">
        <v>1061</v>
      </c>
      <c r="I2591" s="3" t="str">
        <f>IFERROR(VLOOKUP(C2591,'Справочник соответствий'!A$2:D$2981,2,FALSE),IF(VALUE(C2591)=0,1,VLOOKUP(C2591,'Справочник соответствий'!A$2:D$2981,2,FALSE)))</f>
        <v>1</v>
      </c>
      <c r="J2591" s="3">
        <f>IFERROR(VLOOKUP(D2591,'Справочник соответствий'!A$2:D$2981,2,FALSE),IF(VALUE(D2591)=0,0,VLOOKUP(D2591,'Справочник соответствий'!A$2:D$2981,2,FALSE)))</f>
        <v>0</v>
      </c>
      <c r="K2591" s="3" t="str">
        <f t="shared" si="280"/>
        <v>1</v>
      </c>
      <c r="L2591" s="13" t="str">
        <f>IFERROR(VLOOKUP(C2591,'Справочник соответствий'!A$2:D$2981,3,FALSE),IF(VALUE(C2591)=0,"ЭТАЖ НЕ ОПРЕДЕЛЕН. ПРИНЯТ ПО ДОПУЩЕНИЮ 1",VLOOKUP(C2591,'Справочник соответствий'!A$2:D$2981,3,FALSE)))</f>
        <v>ЭТАЖ ЗАДАН ЧИСЛОМ</v>
      </c>
      <c r="M2591" s="13" t="b">
        <f t="shared" si="281"/>
        <v>0</v>
      </c>
      <c r="N2591" s="13">
        <f t="shared" si="282"/>
        <v>1</v>
      </c>
      <c r="O2591" s="13" t="str">
        <f t="shared" si="283"/>
        <v>ЭТАЖ ЗАДАН ЧИСЛОМ</v>
      </c>
      <c r="P2591" s="13" t="str">
        <f t="shared" si="284"/>
        <v>ЭТАЖ ЗАДАН ЧИСЛОМ</v>
      </c>
      <c r="Q2591" s="13" t="str">
        <f t="shared" si="285"/>
        <v>ГОТОВ_ИЗМЕНЕН</v>
      </c>
      <c r="R2591" s="13">
        <f>IFERROR(VLOOKUP(P2591,Лист1!A$1:B$20,2,FALSE),0)</f>
        <v>784</v>
      </c>
      <c r="S2591" s="13">
        <f t="shared" si="286"/>
        <v>0</v>
      </c>
    </row>
    <row r="2592" spans="1:19" x14ac:dyDescent="0.25">
      <c r="A2592" s="24" t="s">
        <v>3722</v>
      </c>
      <c r="B2592" s="4" t="s">
        <v>1059</v>
      </c>
      <c r="C2592" s="25" t="s">
        <v>5</v>
      </c>
      <c r="G2592" s="25" t="s">
        <v>1222</v>
      </c>
      <c r="H2592" s="24" t="s">
        <v>1061</v>
      </c>
      <c r="I2592" s="3" t="str">
        <f>IFERROR(VLOOKUP(C2592,'Справочник соответствий'!A$2:D$2981,2,FALSE),IF(VALUE(C2592)=0,1,VLOOKUP(C2592,'Справочник соответствий'!A$2:D$2981,2,FALSE)))</f>
        <v>1</v>
      </c>
      <c r="J2592" s="3">
        <f>IFERROR(VLOOKUP(D2592,'Справочник соответствий'!A$2:D$2981,2,FALSE),IF(VALUE(D2592)=0,0,VLOOKUP(D2592,'Справочник соответствий'!A$2:D$2981,2,FALSE)))</f>
        <v>0</v>
      </c>
      <c r="K2592" s="3" t="str">
        <f t="shared" si="280"/>
        <v>1</v>
      </c>
      <c r="L2592" s="13" t="str">
        <f>IFERROR(VLOOKUP(C2592,'Справочник соответствий'!A$2:D$2981,3,FALSE),IF(VALUE(C2592)=0,"ЭТАЖ НЕ ОПРЕДЕЛЕН. ПРИНЯТ ПО ДОПУЩЕНИЮ 1",VLOOKUP(C2592,'Справочник соответствий'!A$2:D$2981,3,FALSE)))</f>
        <v>ЭТАЖ ЗАДАН ЧИСЛОМ</v>
      </c>
      <c r="M2592" s="13" t="b">
        <f t="shared" si="281"/>
        <v>0</v>
      </c>
      <c r="N2592" s="13">
        <f t="shared" si="282"/>
        <v>1</v>
      </c>
      <c r="O2592" s="13" t="str">
        <f t="shared" si="283"/>
        <v>ЭТАЖ ЗАДАН ЧИСЛОМ</v>
      </c>
      <c r="P2592" s="13" t="str">
        <f t="shared" si="284"/>
        <v>ЭТАЖ ЗАДАН ЧИСЛОМ</v>
      </c>
      <c r="Q2592" s="13" t="str">
        <f t="shared" si="285"/>
        <v>ГОТОВ_ИЗМЕНЕН</v>
      </c>
      <c r="R2592" s="13">
        <f>IFERROR(VLOOKUP(P2592,Лист1!A$1:B$20,2,FALSE),0)</f>
        <v>784</v>
      </c>
      <c r="S2592" s="13">
        <f t="shared" si="286"/>
        <v>0</v>
      </c>
    </row>
    <row r="2593" spans="1:19" x14ac:dyDescent="0.25">
      <c r="A2593" s="24" t="s">
        <v>3723</v>
      </c>
      <c r="B2593" s="4" t="s">
        <v>1063</v>
      </c>
      <c r="C2593" s="25" t="s">
        <v>5</v>
      </c>
      <c r="G2593" s="25" t="s">
        <v>1069</v>
      </c>
      <c r="H2593" s="24" t="s">
        <v>1061</v>
      </c>
      <c r="I2593" s="3" t="str">
        <f>IFERROR(VLOOKUP(C2593,'Справочник соответствий'!A$2:D$2981,2,FALSE),IF(VALUE(C2593)=0,1,VLOOKUP(C2593,'Справочник соответствий'!A$2:D$2981,2,FALSE)))</f>
        <v>1</v>
      </c>
      <c r="J2593" s="3">
        <f>IFERROR(VLOOKUP(D2593,'Справочник соответствий'!A$2:D$2981,2,FALSE),IF(VALUE(D2593)=0,0,VLOOKUP(D2593,'Справочник соответствий'!A$2:D$2981,2,FALSE)))</f>
        <v>0</v>
      </c>
      <c r="K2593" s="3" t="str">
        <f t="shared" si="280"/>
        <v>1</v>
      </c>
      <c r="L2593" s="13" t="str">
        <f>IFERROR(VLOOKUP(C2593,'Справочник соответствий'!A$2:D$2981,3,FALSE),IF(VALUE(C2593)=0,"ЭТАЖ НЕ ОПРЕДЕЛЕН. ПРИНЯТ ПО ДОПУЩЕНИЮ 1",VLOOKUP(C2593,'Справочник соответствий'!A$2:D$2981,3,FALSE)))</f>
        <v>ЭТАЖ ЗАДАН ЧИСЛОМ</v>
      </c>
      <c r="M2593" s="13" t="b">
        <f t="shared" si="281"/>
        <v>0</v>
      </c>
      <c r="N2593" s="13">
        <f t="shared" si="282"/>
        <v>1</v>
      </c>
      <c r="O2593" s="13" t="str">
        <f t="shared" si="283"/>
        <v>ЭТАЖ ЗАДАН ЧИСЛОМ</v>
      </c>
      <c r="P2593" s="13" t="str">
        <f t="shared" si="284"/>
        <v>ЭТАЖ ЗАДАН ЧИСЛОМ</v>
      </c>
      <c r="Q2593" s="13" t="str">
        <f t="shared" si="285"/>
        <v>ГОТОВ_ИЗМЕНЕН</v>
      </c>
      <c r="R2593" s="13">
        <f>IFERROR(VLOOKUP(P2593,Лист1!A$1:B$20,2,FALSE),0)</f>
        <v>784</v>
      </c>
      <c r="S2593" s="13">
        <f t="shared" si="286"/>
        <v>0</v>
      </c>
    </row>
    <row r="2594" spans="1:19" x14ac:dyDescent="0.25">
      <c r="A2594" s="24" t="s">
        <v>3724</v>
      </c>
      <c r="B2594" s="4" t="s">
        <v>1063</v>
      </c>
      <c r="C2594" s="25" t="s">
        <v>5</v>
      </c>
      <c r="G2594" s="25" t="s">
        <v>1174</v>
      </c>
      <c r="H2594" s="24" t="s">
        <v>1061</v>
      </c>
      <c r="I2594" s="3" t="str">
        <f>IFERROR(VLOOKUP(C2594,'Справочник соответствий'!A$2:D$2981,2,FALSE),IF(VALUE(C2594)=0,1,VLOOKUP(C2594,'Справочник соответствий'!A$2:D$2981,2,FALSE)))</f>
        <v>1</v>
      </c>
      <c r="J2594" s="3">
        <f>IFERROR(VLOOKUP(D2594,'Справочник соответствий'!A$2:D$2981,2,FALSE),IF(VALUE(D2594)=0,0,VLOOKUP(D2594,'Справочник соответствий'!A$2:D$2981,2,FALSE)))</f>
        <v>0</v>
      </c>
      <c r="K2594" s="3" t="str">
        <f t="shared" si="280"/>
        <v>1</v>
      </c>
      <c r="L2594" s="13" t="str">
        <f>IFERROR(VLOOKUP(C2594,'Справочник соответствий'!A$2:D$2981,3,FALSE),IF(VALUE(C2594)=0,"ЭТАЖ НЕ ОПРЕДЕЛЕН. ПРИНЯТ ПО ДОПУЩЕНИЮ 1",VLOOKUP(C2594,'Справочник соответствий'!A$2:D$2981,3,FALSE)))</f>
        <v>ЭТАЖ ЗАДАН ЧИСЛОМ</v>
      </c>
      <c r="M2594" s="13" t="b">
        <f t="shared" si="281"/>
        <v>0</v>
      </c>
      <c r="N2594" s="13">
        <f t="shared" si="282"/>
        <v>1</v>
      </c>
      <c r="O2594" s="13" t="str">
        <f t="shared" si="283"/>
        <v>ЭТАЖ ЗАДАН ЧИСЛОМ</v>
      </c>
      <c r="P2594" s="13" t="str">
        <f t="shared" si="284"/>
        <v>ЭТАЖ ЗАДАН ЧИСЛОМ</v>
      </c>
      <c r="Q2594" s="13" t="str">
        <f t="shared" si="285"/>
        <v>ГОТОВ_ИЗМЕНЕН</v>
      </c>
      <c r="R2594" s="13">
        <f>IFERROR(VLOOKUP(P2594,Лист1!A$1:B$20,2,FALSE),0)</f>
        <v>784</v>
      </c>
      <c r="S2594" s="13">
        <f t="shared" si="286"/>
        <v>0</v>
      </c>
    </row>
    <row r="2595" spans="1:19" x14ac:dyDescent="0.25">
      <c r="A2595" s="24" t="s">
        <v>3725</v>
      </c>
      <c r="B2595" s="4" t="s">
        <v>1059</v>
      </c>
      <c r="C2595" s="25" t="s">
        <v>7</v>
      </c>
      <c r="G2595" s="25" t="s">
        <v>1060</v>
      </c>
      <c r="H2595" s="24" t="s">
        <v>1061</v>
      </c>
      <c r="I2595" s="3" t="str">
        <f>IFERROR(VLOOKUP(C2595,'Справочник соответствий'!A$2:D$2981,2,FALSE),IF(VALUE(C2595)=0,1,VLOOKUP(C2595,'Справочник соответствий'!A$2:D$2981,2,FALSE)))</f>
        <v>2</v>
      </c>
      <c r="J2595" s="3">
        <f>IFERROR(VLOOKUP(D2595,'Справочник соответствий'!A$2:D$2981,2,FALSE),IF(VALUE(D2595)=0,0,VLOOKUP(D2595,'Справочник соответствий'!A$2:D$2981,2,FALSE)))</f>
        <v>0</v>
      </c>
      <c r="K2595" s="3" t="str">
        <f t="shared" si="280"/>
        <v>2</v>
      </c>
      <c r="L2595" s="13" t="str">
        <f>IFERROR(VLOOKUP(C2595,'Справочник соответствий'!A$2:D$2981,3,FALSE),IF(VALUE(C2595)=0,"ЭТАЖ НЕ ОПРЕДЕЛЕН. ПРИНЯТ ПО ДОПУЩЕНИЮ 1",VLOOKUP(C2595,'Справочник соответствий'!A$2:D$2981,3,FALSE)))</f>
        <v>ЭТАЖ ЗАДАН ЧИСЛОМ</v>
      </c>
      <c r="M2595" s="13" t="b">
        <f t="shared" si="281"/>
        <v>0</v>
      </c>
      <c r="N2595" s="13">
        <f t="shared" si="282"/>
        <v>2</v>
      </c>
      <c r="O2595" s="13" t="str">
        <f t="shared" si="283"/>
        <v>ЭТАЖ ЗАДАН ЧИСЛОМ</v>
      </c>
      <c r="P2595" s="13" t="str">
        <f t="shared" si="284"/>
        <v>ЭТАЖ ЗАДАН ЧИСЛОМ</v>
      </c>
      <c r="Q2595" s="13" t="str">
        <f t="shared" si="285"/>
        <v>ГОТОВ_ИЗМЕНЕН</v>
      </c>
      <c r="R2595" s="13">
        <f>IFERROR(VLOOKUP(P2595,Лист1!A$1:B$20,2,FALSE),0)</f>
        <v>784</v>
      </c>
      <c r="S2595" s="13">
        <f t="shared" si="286"/>
        <v>0</v>
      </c>
    </row>
    <row r="2596" spans="1:19" x14ac:dyDescent="0.25">
      <c r="A2596" s="24" t="s">
        <v>3726</v>
      </c>
      <c r="B2596" s="4" t="s">
        <v>1059</v>
      </c>
      <c r="C2596" s="25" t="s">
        <v>7</v>
      </c>
      <c r="G2596" s="25" t="s">
        <v>1060</v>
      </c>
      <c r="H2596" s="24" t="s">
        <v>1061</v>
      </c>
      <c r="I2596" s="3" t="str">
        <f>IFERROR(VLOOKUP(C2596,'Справочник соответствий'!A$2:D$2981,2,FALSE),IF(VALUE(C2596)=0,1,VLOOKUP(C2596,'Справочник соответствий'!A$2:D$2981,2,FALSE)))</f>
        <v>2</v>
      </c>
      <c r="J2596" s="3">
        <f>IFERROR(VLOOKUP(D2596,'Справочник соответствий'!A$2:D$2981,2,FALSE),IF(VALUE(D2596)=0,0,VLOOKUP(D2596,'Справочник соответствий'!A$2:D$2981,2,FALSE)))</f>
        <v>0</v>
      </c>
      <c r="K2596" s="3" t="str">
        <f t="shared" si="280"/>
        <v>2</v>
      </c>
      <c r="L2596" s="13" t="str">
        <f>IFERROR(VLOOKUP(C2596,'Справочник соответствий'!A$2:D$2981,3,FALSE),IF(VALUE(C2596)=0,"ЭТАЖ НЕ ОПРЕДЕЛЕН. ПРИНЯТ ПО ДОПУЩЕНИЮ 1",VLOOKUP(C2596,'Справочник соответствий'!A$2:D$2981,3,FALSE)))</f>
        <v>ЭТАЖ ЗАДАН ЧИСЛОМ</v>
      </c>
      <c r="M2596" s="13" t="b">
        <f t="shared" si="281"/>
        <v>0</v>
      </c>
      <c r="N2596" s="13">
        <f t="shared" si="282"/>
        <v>2</v>
      </c>
      <c r="O2596" s="13" t="str">
        <f t="shared" si="283"/>
        <v>ЭТАЖ ЗАДАН ЧИСЛОМ</v>
      </c>
      <c r="P2596" s="13" t="str">
        <f t="shared" si="284"/>
        <v>ЭТАЖ ЗАДАН ЧИСЛОМ</v>
      </c>
      <c r="Q2596" s="13" t="str">
        <f t="shared" si="285"/>
        <v>ГОТОВ_ИЗМЕНЕН</v>
      </c>
      <c r="R2596" s="13">
        <f>IFERROR(VLOOKUP(P2596,Лист1!A$1:B$20,2,FALSE),0)</f>
        <v>784</v>
      </c>
      <c r="S2596" s="13">
        <f t="shared" si="286"/>
        <v>0</v>
      </c>
    </row>
    <row r="2597" spans="1:19" x14ac:dyDescent="0.25">
      <c r="A2597" s="24" t="s">
        <v>3727</v>
      </c>
      <c r="B2597" s="4" t="s">
        <v>1063</v>
      </c>
      <c r="C2597" s="25" t="s">
        <v>5</v>
      </c>
      <c r="G2597" s="25" t="s">
        <v>1060</v>
      </c>
      <c r="H2597" s="24" t="s">
        <v>1061</v>
      </c>
      <c r="I2597" s="3" t="str">
        <f>IFERROR(VLOOKUP(C2597,'Справочник соответствий'!A$2:D$2981,2,FALSE),IF(VALUE(C2597)=0,1,VLOOKUP(C2597,'Справочник соответствий'!A$2:D$2981,2,FALSE)))</f>
        <v>1</v>
      </c>
      <c r="J2597" s="3">
        <f>IFERROR(VLOOKUP(D2597,'Справочник соответствий'!A$2:D$2981,2,FALSE),IF(VALUE(D2597)=0,0,VLOOKUP(D2597,'Справочник соответствий'!A$2:D$2981,2,FALSE)))</f>
        <v>0</v>
      </c>
      <c r="K2597" s="3" t="str">
        <f t="shared" si="280"/>
        <v>1</v>
      </c>
      <c r="L2597" s="13" t="str">
        <f>IFERROR(VLOOKUP(C2597,'Справочник соответствий'!A$2:D$2981,3,FALSE),IF(VALUE(C2597)=0,"ЭТАЖ НЕ ОПРЕДЕЛЕН. ПРИНЯТ ПО ДОПУЩЕНИЮ 1",VLOOKUP(C2597,'Справочник соответствий'!A$2:D$2981,3,FALSE)))</f>
        <v>ЭТАЖ ЗАДАН ЧИСЛОМ</v>
      </c>
      <c r="M2597" s="13" t="b">
        <f t="shared" si="281"/>
        <v>0</v>
      </c>
      <c r="N2597" s="13">
        <f t="shared" si="282"/>
        <v>1</v>
      </c>
      <c r="O2597" s="13" t="str">
        <f t="shared" si="283"/>
        <v>ЭТАЖ ЗАДАН ЧИСЛОМ</v>
      </c>
      <c r="P2597" s="13" t="str">
        <f t="shared" si="284"/>
        <v>ЭТАЖ ЗАДАН ЧИСЛОМ</v>
      </c>
      <c r="Q2597" s="13" t="str">
        <f t="shared" si="285"/>
        <v>ГОТОВ_ИЗМЕНЕН</v>
      </c>
      <c r="R2597" s="13">
        <f>IFERROR(VLOOKUP(P2597,Лист1!A$1:B$20,2,FALSE),0)</f>
        <v>784</v>
      </c>
      <c r="S2597" s="13">
        <f t="shared" si="286"/>
        <v>0</v>
      </c>
    </row>
    <row r="2598" spans="1:19" x14ac:dyDescent="0.25">
      <c r="A2598" s="24" t="s">
        <v>3728</v>
      </c>
      <c r="B2598" s="4" t="s">
        <v>1063</v>
      </c>
      <c r="G2598" s="25" t="s">
        <v>1060</v>
      </c>
      <c r="H2598" s="24" t="s">
        <v>1061</v>
      </c>
      <c r="I2598" s="3">
        <f>IFERROR(VLOOKUP(C2598,'Справочник соответствий'!A$2:D$2981,2,FALSE),IF(VALUE(C2598)=0,1,VLOOKUP(C2598,'Справочник соответствий'!A$2:D$2981,2,FALSE)))</f>
        <v>1</v>
      </c>
      <c r="J2598" s="3">
        <f>IFERROR(VLOOKUP(D2598,'Справочник соответствий'!A$2:D$2981,2,FALSE),IF(VALUE(D2598)=0,0,VLOOKUP(D2598,'Справочник соответствий'!A$2:D$2981,2,FALSE)))</f>
        <v>0</v>
      </c>
      <c r="K2598" s="3">
        <f t="shared" si="280"/>
        <v>1</v>
      </c>
      <c r="L2598" s="13" t="str">
        <f>IFERROR(VLOOKUP(C2598,'Справочник соответствий'!A$2:D$2981,3,FALSE),IF(VALUE(C2598)=0,"ЭТАЖ НЕ ОПРЕДЕЛЕН. ПРИНЯТ ПО ДОПУЩЕНИЮ 1",VLOOKUP(C2598,'Справочник соответствий'!A$2:D$2981,3,FALSE)))</f>
        <v>ЭТАЖ НЕ ОПРЕДЕЛЕН. ПРИНЯТ ПО ДОПУЩЕНИЮ 1</v>
      </c>
      <c r="M2598" s="13" t="b">
        <f t="shared" si="281"/>
        <v>0</v>
      </c>
      <c r="N2598" s="13">
        <f t="shared" si="282"/>
        <v>1</v>
      </c>
      <c r="O2598" s="13" t="str">
        <f t="shared" si="283"/>
        <v>ЭТАЖ НЕ ОПРЕДЕЛЕН. ПРИНЯТ ПО ДОПУЩЕНИЮ 1</v>
      </c>
      <c r="P2598" s="13" t="str">
        <f t="shared" si="284"/>
        <v>ЭТАЖ НЕ ОПРЕДЕЛЕН. ПРИНЯТ ПО ДОПУЩЕНИЮ 1</v>
      </c>
      <c r="Q2598" s="13" t="str">
        <f t="shared" si="285"/>
        <v>ГОТОВ_ИЗМЕНЕН</v>
      </c>
      <c r="R2598" s="13">
        <f>IFERROR(VLOOKUP(P2598,Лист1!A$1:B$20,2,FALSE),0)</f>
        <v>788</v>
      </c>
      <c r="S2598" s="13">
        <f t="shared" si="286"/>
        <v>0</v>
      </c>
    </row>
    <row r="2599" spans="1:19" x14ac:dyDescent="0.25">
      <c r="A2599" s="24" t="s">
        <v>3729</v>
      </c>
      <c r="B2599" s="4" t="s">
        <v>1063</v>
      </c>
      <c r="C2599" s="25" t="s">
        <v>5</v>
      </c>
      <c r="G2599" s="25" t="s">
        <v>1060</v>
      </c>
      <c r="H2599" s="24" t="s">
        <v>1061</v>
      </c>
      <c r="I2599" s="3" t="str">
        <f>IFERROR(VLOOKUP(C2599,'Справочник соответствий'!A$2:D$2981,2,FALSE),IF(VALUE(C2599)=0,1,VLOOKUP(C2599,'Справочник соответствий'!A$2:D$2981,2,FALSE)))</f>
        <v>1</v>
      </c>
      <c r="J2599" s="3">
        <f>IFERROR(VLOOKUP(D2599,'Справочник соответствий'!A$2:D$2981,2,FALSE),IF(VALUE(D2599)=0,0,VLOOKUP(D2599,'Справочник соответствий'!A$2:D$2981,2,FALSE)))</f>
        <v>0</v>
      </c>
      <c r="K2599" s="3" t="str">
        <f t="shared" si="280"/>
        <v>1</v>
      </c>
      <c r="L2599" s="13" t="str">
        <f>IFERROR(VLOOKUP(C2599,'Справочник соответствий'!A$2:D$2981,3,FALSE),IF(VALUE(C2599)=0,"ЭТАЖ НЕ ОПРЕДЕЛЕН. ПРИНЯТ ПО ДОПУЩЕНИЮ 1",VLOOKUP(C2599,'Справочник соответствий'!A$2:D$2981,3,FALSE)))</f>
        <v>ЭТАЖ ЗАДАН ЧИСЛОМ</v>
      </c>
      <c r="M2599" s="13" t="b">
        <f t="shared" si="281"/>
        <v>0</v>
      </c>
      <c r="N2599" s="13">
        <f t="shared" si="282"/>
        <v>1</v>
      </c>
      <c r="O2599" s="13" t="str">
        <f t="shared" si="283"/>
        <v>ЭТАЖ ЗАДАН ЧИСЛОМ</v>
      </c>
      <c r="P2599" s="13" t="str">
        <f t="shared" si="284"/>
        <v>ЭТАЖ ЗАДАН ЧИСЛОМ</v>
      </c>
      <c r="Q2599" s="13" t="str">
        <f t="shared" si="285"/>
        <v>ГОТОВ_ИЗМЕНЕН</v>
      </c>
      <c r="R2599" s="13">
        <f>IFERROR(VLOOKUP(P2599,Лист1!A$1:B$20,2,FALSE),0)</f>
        <v>784</v>
      </c>
      <c r="S2599" s="13">
        <f t="shared" si="286"/>
        <v>0</v>
      </c>
    </row>
    <row r="2600" spans="1:19" x14ac:dyDescent="0.25">
      <c r="A2600" s="24" t="s">
        <v>3730</v>
      </c>
      <c r="B2600" s="4" t="s">
        <v>1059</v>
      </c>
      <c r="C2600" s="25" t="s">
        <v>7</v>
      </c>
      <c r="G2600" s="25" t="s">
        <v>1060</v>
      </c>
      <c r="H2600" s="24" t="s">
        <v>1061</v>
      </c>
      <c r="I2600" s="3" t="str">
        <f>IFERROR(VLOOKUP(C2600,'Справочник соответствий'!A$2:D$2981,2,FALSE),IF(VALUE(C2600)=0,1,VLOOKUP(C2600,'Справочник соответствий'!A$2:D$2981,2,FALSE)))</f>
        <v>2</v>
      </c>
      <c r="J2600" s="3">
        <f>IFERROR(VLOOKUP(D2600,'Справочник соответствий'!A$2:D$2981,2,FALSE),IF(VALUE(D2600)=0,0,VLOOKUP(D2600,'Справочник соответствий'!A$2:D$2981,2,FALSE)))</f>
        <v>0</v>
      </c>
      <c r="K2600" s="3" t="str">
        <f t="shared" si="280"/>
        <v>2</v>
      </c>
      <c r="L2600" s="13" t="str">
        <f>IFERROR(VLOOKUP(C2600,'Справочник соответствий'!A$2:D$2981,3,FALSE),IF(VALUE(C2600)=0,"ЭТАЖ НЕ ОПРЕДЕЛЕН. ПРИНЯТ ПО ДОПУЩЕНИЮ 1",VLOOKUP(C2600,'Справочник соответствий'!A$2:D$2981,3,FALSE)))</f>
        <v>ЭТАЖ ЗАДАН ЧИСЛОМ</v>
      </c>
      <c r="M2600" s="13" t="b">
        <f t="shared" si="281"/>
        <v>0</v>
      </c>
      <c r="N2600" s="13">
        <f t="shared" si="282"/>
        <v>2</v>
      </c>
      <c r="O2600" s="13" t="str">
        <f t="shared" si="283"/>
        <v>ЭТАЖ ЗАДАН ЧИСЛОМ</v>
      </c>
      <c r="P2600" s="13" t="str">
        <f t="shared" si="284"/>
        <v>ЭТАЖ ЗАДАН ЧИСЛОМ</v>
      </c>
      <c r="Q2600" s="13" t="str">
        <f t="shared" si="285"/>
        <v>ГОТОВ_ИЗМЕНЕН</v>
      </c>
      <c r="R2600" s="13">
        <f>IFERROR(VLOOKUP(P2600,Лист1!A$1:B$20,2,FALSE),0)</f>
        <v>784</v>
      </c>
      <c r="S2600" s="13">
        <f t="shared" si="286"/>
        <v>0</v>
      </c>
    </row>
    <row r="2601" spans="1:19" x14ac:dyDescent="0.25">
      <c r="A2601" s="24" t="s">
        <v>3731</v>
      </c>
      <c r="B2601" s="4" t="s">
        <v>1059</v>
      </c>
      <c r="C2601" s="25" t="s">
        <v>5</v>
      </c>
      <c r="G2601" s="25" t="s">
        <v>1060</v>
      </c>
      <c r="H2601" s="24" t="s">
        <v>1061</v>
      </c>
      <c r="I2601" s="3" t="str">
        <f>IFERROR(VLOOKUP(C2601,'Справочник соответствий'!A$2:D$2981,2,FALSE),IF(VALUE(C2601)=0,1,VLOOKUP(C2601,'Справочник соответствий'!A$2:D$2981,2,FALSE)))</f>
        <v>1</v>
      </c>
      <c r="J2601" s="3">
        <f>IFERROR(VLOOKUP(D2601,'Справочник соответствий'!A$2:D$2981,2,FALSE),IF(VALUE(D2601)=0,0,VLOOKUP(D2601,'Справочник соответствий'!A$2:D$2981,2,FALSE)))</f>
        <v>0</v>
      </c>
      <c r="K2601" s="3" t="str">
        <f t="shared" si="280"/>
        <v>1</v>
      </c>
      <c r="L2601" s="13" t="str">
        <f>IFERROR(VLOOKUP(C2601,'Справочник соответствий'!A$2:D$2981,3,FALSE),IF(VALUE(C2601)=0,"ЭТАЖ НЕ ОПРЕДЕЛЕН. ПРИНЯТ ПО ДОПУЩЕНИЮ 1",VLOOKUP(C2601,'Справочник соответствий'!A$2:D$2981,3,FALSE)))</f>
        <v>ЭТАЖ ЗАДАН ЧИСЛОМ</v>
      </c>
      <c r="M2601" s="13" t="b">
        <f t="shared" si="281"/>
        <v>0</v>
      </c>
      <c r="N2601" s="13">
        <f t="shared" si="282"/>
        <v>1</v>
      </c>
      <c r="O2601" s="13" t="str">
        <f t="shared" si="283"/>
        <v>ЭТАЖ ЗАДАН ЧИСЛОМ</v>
      </c>
      <c r="P2601" s="13" t="str">
        <f t="shared" si="284"/>
        <v>ЭТАЖ ЗАДАН ЧИСЛОМ</v>
      </c>
      <c r="Q2601" s="13" t="str">
        <f t="shared" si="285"/>
        <v>ГОТОВ_ИЗМЕНЕН</v>
      </c>
      <c r="R2601" s="13">
        <f>IFERROR(VLOOKUP(P2601,Лист1!A$1:B$20,2,FALSE),0)</f>
        <v>784</v>
      </c>
      <c r="S2601" s="13">
        <f t="shared" si="286"/>
        <v>0</v>
      </c>
    </row>
    <row r="2602" spans="1:19" x14ac:dyDescent="0.25">
      <c r="A2602" s="24" t="s">
        <v>3732</v>
      </c>
      <c r="B2602" s="4" t="s">
        <v>1059</v>
      </c>
      <c r="C2602" s="25" t="s">
        <v>7</v>
      </c>
      <c r="G2602" s="25" t="s">
        <v>1060</v>
      </c>
      <c r="H2602" s="24" t="s">
        <v>1061</v>
      </c>
      <c r="I2602" s="3" t="str">
        <f>IFERROR(VLOOKUP(C2602,'Справочник соответствий'!A$2:D$2981,2,FALSE),IF(VALUE(C2602)=0,1,VLOOKUP(C2602,'Справочник соответствий'!A$2:D$2981,2,FALSE)))</f>
        <v>2</v>
      </c>
      <c r="J2602" s="3">
        <f>IFERROR(VLOOKUP(D2602,'Справочник соответствий'!A$2:D$2981,2,FALSE),IF(VALUE(D2602)=0,0,VLOOKUP(D2602,'Справочник соответствий'!A$2:D$2981,2,FALSE)))</f>
        <v>0</v>
      </c>
      <c r="K2602" s="3" t="str">
        <f t="shared" si="280"/>
        <v>2</v>
      </c>
      <c r="L2602" s="13" t="str">
        <f>IFERROR(VLOOKUP(C2602,'Справочник соответствий'!A$2:D$2981,3,FALSE),IF(VALUE(C2602)=0,"ЭТАЖ НЕ ОПРЕДЕЛЕН. ПРИНЯТ ПО ДОПУЩЕНИЮ 1",VLOOKUP(C2602,'Справочник соответствий'!A$2:D$2981,3,FALSE)))</f>
        <v>ЭТАЖ ЗАДАН ЧИСЛОМ</v>
      </c>
      <c r="M2602" s="13" t="b">
        <f t="shared" si="281"/>
        <v>0</v>
      </c>
      <c r="N2602" s="13">
        <f t="shared" si="282"/>
        <v>2</v>
      </c>
      <c r="O2602" s="13" t="str">
        <f t="shared" si="283"/>
        <v>ЭТАЖ ЗАДАН ЧИСЛОМ</v>
      </c>
      <c r="P2602" s="13" t="str">
        <f t="shared" si="284"/>
        <v>ЭТАЖ ЗАДАН ЧИСЛОМ</v>
      </c>
      <c r="Q2602" s="13" t="str">
        <f t="shared" si="285"/>
        <v>ГОТОВ_ИЗМЕНЕН</v>
      </c>
      <c r="R2602" s="13">
        <f>IFERROR(VLOOKUP(P2602,Лист1!A$1:B$20,2,FALSE),0)</f>
        <v>784</v>
      </c>
      <c r="S2602" s="13">
        <f t="shared" si="286"/>
        <v>0</v>
      </c>
    </row>
    <row r="2603" spans="1:19" x14ac:dyDescent="0.25">
      <c r="A2603" s="24" t="s">
        <v>3733</v>
      </c>
      <c r="B2603" s="4" t="s">
        <v>1059</v>
      </c>
      <c r="C2603" s="25" t="s">
        <v>7</v>
      </c>
      <c r="G2603" s="25" t="s">
        <v>1321</v>
      </c>
      <c r="H2603" s="24" t="s">
        <v>1061</v>
      </c>
      <c r="I2603" s="3" t="str">
        <f>IFERROR(VLOOKUP(C2603,'Справочник соответствий'!A$2:D$2981,2,FALSE),IF(VALUE(C2603)=0,1,VLOOKUP(C2603,'Справочник соответствий'!A$2:D$2981,2,FALSE)))</f>
        <v>2</v>
      </c>
      <c r="J2603" s="3">
        <f>IFERROR(VLOOKUP(D2603,'Справочник соответствий'!A$2:D$2981,2,FALSE),IF(VALUE(D2603)=0,0,VLOOKUP(D2603,'Справочник соответствий'!A$2:D$2981,2,FALSE)))</f>
        <v>0</v>
      </c>
      <c r="K2603" s="3" t="str">
        <f t="shared" si="280"/>
        <v>2</v>
      </c>
      <c r="L2603" s="13" t="str">
        <f>IFERROR(VLOOKUP(C2603,'Справочник соответствий'!A$2:D$2981,3,FALSE),IF(VALUE(C2603)=0,"ЭТАЖ НЕ ОПРЕДЕЛЕН. ПРИНЯТ ПО ДОПУЩЕНИЮ 1",VLOOKUP(C2603,'Справочник соответствий'!A$2:D$2981,3,FALSE)))</f>
        <v>ЭТАЖ ЗАДАН ЧИСЛОМ</v>
      </c>
      <c r="M2603" s="13" t="b">
        <f t="shared" si="281"/>
        <v>0</v>
      </c>
      <c r="N2603" s="13">
        <f t="shared" si="282"/>
        <v>2</v>
      </c>
      <c r="O2603" s="13" t="str">
        <f t="shared" si="283"/>
        <v>ЭТАЖ ЗАДАН ЧИСЛОМ</v>
      </c>
      <c r="P2603" s="13" t="str">
        <f t="shared" si="284"/>
        <v>ЭТАЖ ЗАДАН ЧИСЛОМ</v>
      </c>
      <c r="Q2603" s="13" t="str">
        <f t="shared" si="285"/>
        <v>ГОТОВ_ИЗМЕНЕН</v>
      </c>
      <c r="R2603" s="13">
        <f>IFERROR(VLOOKUP(P2603,Лист1!A$1:B$20,2,FALSE),0)</f>
        <v>784</v>
      </c>
      <c r="S2603" s="13">
        <f t="shared" si="286"/>
        <v>0</v>
      </c>
    </row>
    <row r="2604" spans="1:19" x14ac:dyDescent="0.25">
      <c r="A2604" s="24" t="s">
        <v>3734</v>
      </c>
      <c r="B2604" s="4" t="s">
        <v>1059</v>
      </c>
      <c r="C2604" s="25" t="s">
        <v>5</v>
      </c>
      <c r="G2604" s="25" t="s">
        <v>1096</v>
      </c>
      <c r="H2604" s="24" t="s">
        <v>1061</v>
      </c>
      <c r="I2604" s="3" t="str">
        <f>IFERROR(VLOOKUP(C2604,'Справочник соответствий'!A$2:D$2981,2,FALSE),IF(VALUE(C2604)=0,1,VLOOKUP(C2604,'Справочник соответствий'!A$2:D$2981,2,FALSE)))</f>
        <v>1</v>
      </c>
      <c r="J2604" s="3">
        <f>IFERROR(VLOOKUP(D2604,'Справочник соответствий'!A$2:D$2981,2,FALSE),IF(VALUE(D2604)=0,0,VLOOKUP(D2604,'Справочник соответствий'!A$2:D$2981,2,FALSE)))</f>
        <v>0</v>
      </c>
      <c r="K2604" s="3" t="str">
        <f t="shared" si="280"/>
        <v>1</v>
      </c>
      <c r="L2604" s="13" t="str">
        <f>IFERROR(VLOOKUP(C2604,'Справочник соответствий'!A$2:D$2981,3,FALSE),IF(VALUE(C2604)=0,"ЭТАЖ НЕ ОПРЕДЕЛЕН. ПРИНЯТ ПО ДОПУЩЕНИЮ 1",VLOOKUP(C2604,'Справочник соответствий'!A$2:D$2981,3,FALSE)))</f>
        <v>ЭТАЖ ЗАДАН ЧИСЛОМ</v>
      </c>
      <c r="M2604" s="13" t="b">
        <f t="shared" si="281"/>
        <v>0</v>
      </c>
      <c r="N2604" s="13">
        <f t="shared" si="282"/>
        <v>1</v>
      </c>
      <c r="O2604" s="13" t="str">
        <f t="shared" si="283"/>
        <v>ЭТАЖ ЗАДАН ЧИСЛОМ</v>
      </c>
      <c r="P2604" s="13" t="str">
        <f t="shared" si="284"/>
        <v>ЭТАЖ ЗАДАН ЧИСЛОМ</v>
      </c>
      <c r="Q2604" s="13" t="str">
        <f t="shared" si="285"/>
        <v>ГОТОВ_ИЗМЕНЕН</v>
      </c>
      <c r="R2604" s="13">
        <f>IFERROR(VLOOKUP(P2604,Лист1!A$1:B$20,2,FALSE),0)</f>
        <v>784</v>
      </c>
      <c r="S2604" s="13">
        <f t="shared" si="286"/>
        <v>0</v>
      </c>
    </row>
    <row r="2605" spans="1:19" x14ac:dyDescent="0.25">
      <c r="A2605" s="24" t="s">
        <v>3735</v>
      </c>
      <c r="B2605" s="4" t="s">
        <v>1059</v>
      </c>
      <c r="C2605" s="25" t="s">
        <v>5</v>
      </c>
      <c r="G2605" s="25" t="s">
        <v>1096</v>
      </c>
      <c r="H2605" s="24" t="s">
        <v>1061</v>
      </c>
      <c r="I2605" s="3" t="str">
        <f>IFERROR(VLOOKUP(C2605,'Справочник соответствий'!A$2:D$2981,2,FALSE),IF(VALUE(C2605)=0,1,VLOOKUP(C2605,'Справочник соответствий'!A$2:D$2981,2,FALSE)))</f>
        <v>1</v>
      </c>
      <c r="J2605" s="3">
        <f>IFERROR(VLOOKUP(D2605,'Справочник соответствий'!A$2:D$2981,2,FALSE),IF(VALUE(D2605)=0,0,VLOOKUP(D2605,'Справочник соответствий'!A$2:D$2981,2,FALSE)))</f>
        <v>0</v>
      </c>
      <c r="K2605" s="3" t="str">
        <f t="shared" si="280"/>
        <v>1</v>
      </c>
      <c r="L2605" s="13" t="str">
        <f>IFERROR(VLOOKUP(C2605,'Справочник соответствий'!A$2:D$2981,3,FALSE),IF(VALUE(C2605)=0,"ЭТАЖ НЕ ОПРЕДЕЛЕН. ПРИНЯТ ПО ДОПУЩЕНИЮ 1",VLOOKUP(C2605,'Справочник соответствий'!A$2:D$2981,3,FALSE)))</f>
        <v>ЭТАЖ ЗАДАН ЧИСЛОМ</v>
      </c>
      <c r="M2605" s="13" t="b">
        <f t="shared" si="281"/>
        <v>0</v>
      </c>
      <c r="N2605" s="13">
        <f t="shared" si="282"/>
        <v>1</v>
      </c>
      <c r="O2605" s="13" t="str">
        <f t="shared" si="283"/>
        <v>ЭТАЖ ЗАДАН ЧИСЛОМ</v>
      </c>
      <c r="P2605" s="13" t="str">
        <f t="shared" si="284"/>
        <v>ЭТАЖ ЗАДАН ЧИСЛОМ</v>
      </c>
      <c r="Q2605" s="13" t="str">
        <f t="shared" si="285"/>
        <v>ГОТОВ_ИЗМЕНЕН</v>
      </c>
      <c r="R2605" s="13">
        <f>IFERROR(VLOOKUP(P2605,Лист1!A$1:B$20,2,FALSE),0)</f>
        <v>784</v>
      </c>
      <c r="S2605" s="13">
        <f t="shared" si="286"/>
        <v>0</v>
      </c>
    </row>
    <row r="2606" spans="1:19" x14ac:dyDescent="0.25">
      <c r="A2606" s="24" t="s">
        <v>3736</v>
      </c>
      <c r="B2606" s="4" t="s">
        <v>1059</v>
      </c>
      <c r="C2606" s="25" t="s">
        <v>5</v>
      </c>
      <c r="G2606" s="25" t="s">
        <v>1096</v>
      </c>
      <c r="H2606" s="24" t="s">
        <v>1061</v>
      </c>
      <c r="I2606" s="3" t="str">
        <f>IFERROR(VLOOKUP(C2606,'Справочник соответствий'!A$2:D$2981,2,FALSE),IF(VALUE(C2606)=0,1,VLOOKUP(C2606,'Справочник соответствий'!A$2:D$2981,2,FALSE)))</f>
        <v>1</v>
      </c>
      <c r="J2606" s="3">
        <f>IFERROR(VLOOKUP(D2606,'Справочник соответствий'!A$2:D$2981,2,FALSE),IF(VALUE(D2606)=0,0,VLOOKUP(D2606,'Справочник соответствий'!A$2:D$2981,2,FALSE)))</f>
        <v>0</v>
      </c>
      <c r="K2606" s="3" t="str">
        <f t="shared" si="280"/>
        <v>1</v>
      </c>
      <c r="L2606" s="13" t="str">
        <f>IFERROR(VLOOKUP(C2606,'Справочник соответствий'!A$2:D$2981,3,FALSE),IF(VALUE(C2606)=0,"ЭТАЖ НЕ ОПРЕДЕЛЕН. ПРИНЯТ ПО ДОПУЩЕНИЮ 1",VLOOKUP(C2606,'Справочник соответствий'!A$2:D$2981,3,FALSE)))</f>
        <v>ЭТАЖ ЗАДАН ЧИСЛОМ</v>
      </c>
      <c r="M2606" s="13" t="b">
        <f t="shared" si="281"/>
        <v>0</v>
      </c>
      <c r="N2606" s="13">
        <f t="shared" si="282"/>
        <v>1</v>
      </c>
      <c r="O2606" s="13" t="str">
        <f t="shared" si="283"/>
        <v>ЭТАЖ ЗАДАН ЧИСЛОМ</v>
      </c>
      <c r="P2606" s="13" t="str">
        <f t="shared" si="284"/>
        <v>ЭТАЖ ЗАДАН ЧИСЛОМ</v>
      </c>
      <c r="Q2606" s="13" t="str">
        <f t="shared" si="285"/>
        <v>ГОТОВ_ИЗМЕНЕН</v>
      </c>
      <c r="R2606" s="13">
        <f>IFERROR(VLOOKUP(P2606,Лист1!A$1:B$20,2,FALSE),0)</f>
        <v>784</v>
      </c>
      <c r="S2606" s="13">
        <f t="shared" si="286"/>
        <v>0</v>
      </c>
    </row>
    <row r="2607" spans="1:19" x14ac:dyDescent="0.25">
      <c r="A2607" s="24" t="s">
        <v>3737</v>
      </c>
      <c r="B2607" s="4" t="s">
        <v>1063</v>
      </c>
      <c r="C2607" s="25" t="s">
        <v>5</v>
      </c>
      <c r="G2607" s="25" t="s">
        <v>1096</v>
      </c>
      <c r="H2607" s="24" t="s">
        <v>1061</v>
      </c>
      <c r="I2607" s="3" t="str">
        <f>IFERROR(VLOOKUP(C2607,'Справочник соответствий'!A$2:D$2981,2,FALSE),IF(VALUE(C2607)=0,1,VLOOKUP(C2607,'Справочник соответствий'!A$2:D$2981,2,FALSE)))</f>
        <v>1</v>
      </c>
      <c r="J2607" s="3">
        <f>IFERROR(VLOOKUP(D2607,'Справочник соответствий'!A$2:D$2981,2,FALSE),IF(VALUE(D2607)=0,0,VLOOKUP(D2607,'Справочник соответствий'!A$2:D$2981,2,FALSE)))</f>
        <v>0</v>
      </c>
      <c r="K2607" s="3" t="str">
        <f t="shared" si="280"/>
        <v>1</v>
      </c>
      <c r="L2607" s="13" t="str">
        <f>IFERROR(VLOOKUP(C2607,'Справочник соответствий'!A$2:D$2981,3,FALSE),IF(VALUE(C2607)=0,"ЭТАЖ НЕ ОПРЕДЕЛЕН. ПРИНЯТ ПО ДОПУЩЕНИЮ 1",VLOOKUP(C2607,'Справочник соответствий'!A$2:D$2981,3,FALSE)))</f>
        <v>ЭТАЖ ЗАДАН ЧИСЛОМ</v>
      </c>
      <c r="M2607" s="13" t="b">
        <f t="shared" si="281"/>
        <v>0</v>
      </c>
      <c r="N2607" s="13">
        <f t="shared" si="282"/>
        <v>1</v>
      </c>
      <c r="O2607" s="13" t="str">
        <f t="shared" si="283"/>
        <v>ЭТАЖ ЗАДАН ЧИСЛОМ</v>
      </c>
      <c r="P2607" s="13" t="str">
        <f t="shared" si="284"/>
        <v>ЭТАЖ ЗАДАН ЧИСЛОМ</v>
      </c>
      <c r="Q2607" s="13" t="str">
        <f t="shared" si="285"/>
        <v>ГОТОВ_ИЗМЕНЕН</v>
      </c>
      <c r="R2607" s="13">
        <f>IFERROR(VLOOKUP(P2607,Лист1!A$1:B$20,2,FALSE),0)</f>
        <v>784</v>
      </c>
      <c r="S2607" s="13">
        <f t="shared" si="286"/>
        <v>0</v>
      </c>
    </row>
    <row r="2608" spans="1:19" x14ac:dyDescent="0.25">
      <c r="A2608" s="24" t="s">
        <v>3738</v>
      </c>
      <c r="B2608" s="4" t="s">
        <v>1059</v>
      </c>
      <c r="C2608" s="25" t="s">
        <v>7</v>
      </c>
      <c r="G2608" s="25" t="s">
        <v>1096</v>
      </c>
      <c r="H2608" s="24" t="s">
        <v>1061</v>
      </c>
      <c r="I2608" s="3" t="str">
        <f>IFERROR(VLOOKUP(C2608,'Справочник соответствий'!A$2:D$2981,2,FALSE),IF(VALUE(C2608)=0,1,VLOOKUP(C2608,'Справочник соответствий'!A$2:D$2981,2,FALSE)))</f>
        <v>2</v>
      </c>
      <c r="J2608" s="3">
        <f>IFERROR(VLOOKUP(D2608,'Справочник соответствий'!A$2:D$2981,2,FALSE),IF(VALUE(D2608)=0,0,VLOOKUP(D2608,'Справочник соответствий'!A$2:D$2981,2,FALSE)))</f>
        <v>0</v>
      </c>
      <c r="K2608" s="3" t="str">
        <f t="shared" si="280"/>
        <v>2</v>
      </c>
      <c r="L2608" s="13" t="str">
        <f>IFERROR(VLOOKUP(C2608,'Справочник соответствий'!A$2:D$2981,3,FALSE),IF(VALUE(C2608)=0,"ЭТАЖ НЕ ОПРЕДЕЛЕН. ПРИНЯТ ПО ДОПУЩЕНИЮ 1",VLOOKUP(C2608,'Справочник соответствий'!A$2:D$2981,3,FALSE)))</f>
        <v>ЭТАЖ ЗАДАН ЧИСЛОМ</v>
      </c>
      <c r="M2608" s="13" t="b">
        <f t="shared" si="281"/>
        <v>0</v>
      </c>
      <c r="N2608" s="13">
        <f t="shared" si="282"/>
        <v>2</v>
      </c>
      <c r="O2608" s="13" t="str">
        <f t="shared" si="283"/>
        <v>ЭТАЖ ЗАДАН ЧИСЛОМ</v>
      </c>
      <c r="P2608" s="13" t="str">
        <f t="shared" si="284"/>
        <v>ЭТАЖ ЗАДАН ЧИСЛОМ</v>
      </c>
      <c r="Q2608" s="13" t="str">
        <f t="shared" si="285"/>
        <v>ГОТОВ_ИЗМЕНЕН</v>
      </c>
      <c r="R2608" s="13">
        <f>IFERROR(VLOOKUP(P2608,Лист1!A$1:B$20,2,FALSE),0)</f>
        <v>784</v>
      </c>
      <c r="S2608" s="13">
        <f t="shared" si="286"/>
        <v>0</v>
      </c>
    </row>
    <row r="2609" spans="1:19" x14ac:dyDescent="0.25">
      <c r="A2609" s="24" t="s">
        <v>3739</v>
      </c>
      <c r="B2609" s="4" t="s">
        <v>1059</v>
      </c>
      <c r="C2609" s="25" t="s">
        <v>5</v>
      </c>
      <c r="G2609" s="25" t="s">
        <v>1096</v>
      </c>
      <c r="H2609" s="24" t="s">
        <v>1061</v>
      </c>
      <c r="I2609" s="3" t="str">
        <f>IFERROR(VLOOKUP(C2609,'Справочник соответствий'!A$2:D$2981,2,FALSE),IF(VALUE(C2609)=0,1,VLOOKUP(C2609,'Справочник соответствий'!A$2:D$2981,2,FALSE)))</f>
        <v>1</v>
      </c>
      <c r="J2609" s="3">
        <f>IFERROR(VLOOKUP(D2609,'Справочник соответствий'!A$2:D$2981,2,FALSE),IF(VALUE(D2609)=0,0,VLOOKUP(D2609,'Справочник соответствий'!A$2:D$2981,2,FALSE)))</f>
        <v>0</v>
      </c>
      <c r="K2609" s="3" t="str">
        <f t="shared" si="280"/>
        <v>1</v>
      </c>
      <c r="L2609" s="13" t="str">
        <f>IFERROR(VLOOKUP(C2609,'Справочник соответствий'!A$2:D$2981,3,FALSE),IF(VALUE(C2609)=0,"ЭТАЖ НЕ ОПРЕДЕЛЕН. ПРИНЯТ ПО ДОПУЩЕНИЮ 1",VLOOKUP(C2609,'Справочник соответствий'!A$2:D$2981,3,FALSE)))</f>
        <v>ЭТАЖ ЗАДАН ЧИСЛОМ</v>
      </c>
      <c r="M2609" s="13" t="b">
        <f t="shared" si="281"/>
        <v>0</v>
      </c>
      <c r="N2609" s="13">
        <f t="shared" si="282"/>
        <v>1</v>
      </c>
      <c r="O2609" s="13" t="str">
        <f t="shared" si="283"/>
        <v>ЭТАЖ ЗАДАН ЧИСЛОМ</v>
      </c>
      <c r="P2609" s="13" t="str">
        <f t="shared" si="284"/>
        <v>ЭТАЖ ЗАДАН ЧИСЛОМ</v>
      </c>
      <c r="Q2609" s="13" t="str">
        <f t="shared" si="285"/>
        <v>ГОТОВ_ИЗМЕНЕН</v>
      </c>
      <c r="R2609" s="13">
        <f>IFERROR(VLOOKUP(P2609,Лист1!A$1:B$20,2,FALSE),0)</f>
        <v>784</v>
      </c>
      <c r="S2609" s="13">
        <f t="shared" si="286"/>
        <v>0</v>
      </c>
    </row>
    <row r="2610" spans="1:19" x14ac:dyDescent="0.25">
      <c r="A2610" s="24" t="s">
        <v>3740</v>
      </c>
      <c r="B2610" s="4" t="s">
        <v>1059</v>
      </c>
      <c r="C2610" s="25" t="s">
        <v>5</v>
      </c>
      <c r="G2610" s="25" t="s">
        <v>1096</v>
      </c>
      <c r="H2610" s="24" t="s">
        <v>1061</v>
      </c>
      <c r="I2610" s="3" t="str">
        <f>IFERROR(VLOOKUP(C2610,'Справочник соответствий'!A$2:D$2981,2,FALSE),IF(VALUE(C2610)=0,1,VLOOKUP(C2610,'Справочник соответствий'!A$2:D$2981,2,FALSE)))</f>
        <v>1</v>
      </c>
      <c r="J2610" s="3">
        <f>IFERROR(VLOOKUP(D2610,'Справочник соответствий'!A$2:D$2981,2,FALSE),IF(VALUE(D2610)=0,0,VLOOKUP(D2610,'Справочник соответствий'!A$2:D$2981,2,FALSE)))</f>
        <v>0</v>
      </c>
      <c r="K2610" s="3" t="str">
        <f t="shared" si="280"/>
        <v>1</v>
      </c>
      <c r="L2610" s="13" t="str">
        <f>IFERROR(VLOOKUP(C2610,'Справочник соответствий'!A$2:D$2981,3,FALSE),IF(VALUE(C2610)=0,"ЭТАЖ НЕ ОПРЕДЕЛЕН. ПРИНЯТ ПО ДОПУЩЕНИЮ 1",VLOOKUP(C2610,'Справочник соответствий'!A$2:D$2981,3,FALSE)))</f>
        <v>ЭТАЖ ЗАДАН ЧИСЛОМ</v>
      </c>
      <c r="M2610" s="13" t="b">
        <f t="shared" si="281"/>
        <v>0</v>
      </c>
      <c r="N2610" s="13">
        <f t="shared" si="282"/>
        <v>1</v>
      </c>
      <c r="O2610" s="13" t="str">
        <f t="shared" si="283"/>
        <v>ЭТАЖ ЗАДАН ЧИСЛОМ</v>
      </c>
      <c r="P2610" s="13" t="str">
        <f t="shared" si="284"/>
        <v>ЭТАЖ ЗАДАН ЧИСЛОМ</v>
      </c>
      <c r="Q2610" s="13" t="str">
        <f t="shared" si="285"/>
        <v>ГОТОВ_ИЗМЕНЕН</v>
      </c>
      <c r="R2610" s="13">
        <f>IFERROR(VLOOKUP(P2610,Лист1!A$1:B$20,2,FALSE),0)</f>
        <v>784</v>
      </c>
      <c r="S2610" s="13">
        <f t="shared" si="286"/>
        <v>0</v>
      </c>
    </row>
    <row r="2611" spans="1:19" x14ac:dyDescent="0.25">
      <c r="A2611" s="24" t="s">
        <v>3741</v>
      </c>
      <c r="B2611" s="4" t="s">
        <v>1059</v>
      </c>
      <c r="C2611" s="25" t="s">
        <v>7</v>
      </c>
      <c r="G2611" s="25" t="s">
        <v>1096</v>
      </c>
      <c r="H2611" s="24" t="s">
        <v>1061</v>
      </c>
      <c r="I2611" s="3" t="str">
        <f>IFERROR(VLOOKUP(C2611,'Справочник соответствий'!A$2:D$2981,2,FALSE),IF(VALUE(C2611)=0,1,VLOOKUP(C2611,'Справочник соответствий'!A$2:D$2981,2,FALSE)))</f>
        <v>2</v>
      </c>
      <c r="J2611" s="3">
        <f>IFERROR(VLOOKUP(D2611,'Справочник соответствий'!A$2:D$2981,2,FALSE),IF(VALUE(D2611)=0,0,VLOOKUP(D2611,'Справочник соответствий'!A$2:D$2981,2,FALSE)))</f>
        <v>0</v>
      </c>
      <c r="K2611" s="3" t="str">
        <f t="shared" si="280"/>
        <v>2</v>
      </c>
      <c r="L2611" s="13" t="str">
        <f>IFERROR(VLOOKUP(C2611,'Справочник соответствий'!A$2:D$2981,3,FALSE),IF(VALUE(C2611)=0,"ЭТАЖ НЕ ОПРЕДЕЛЕН. ПРИНЯТ ПО ДОПУЩЕНИЮ 1",VLOOKUP(C2611,'Справочник соответствий'!A$2:D$2981,3,FALSE)))</f>
        <v>ЭТАЖ ЗАДАН ЧИСЛОМ</v>
      </c>
      <c r="M2611" s="13" t="b">
        <f t="shared" si="281"/>
        <v>0</v>
      </c>
      <c r="N2611" s="13">
        <f t="shared" si="282"/>
        <v>2</v>
      </c>
      <c r="O2611" s="13" t="str">
        <f t="shared" si="283"/>
        <v>ЭТАЖ ЗАДАН ЧИСЛОМ</v>
      </c>
      <c r="P2611" s="13" t="str">
        <f t="shared" si="284"/>
        <v>ЭТАЖ ЗАДАН ЧИСЛОМ</v>
      </c>
      <c r="Q2611" s="13" t="str">
        <f t="shared" si="285"/>
        <v>ГОТОВ_ИЗМЕНЕН</v>
      </c>
      <c r="R2611" s="13">
        <f>IFERROR(VLOOKUP(P2611,Лист1!A$1:B$20,2,FALSE),0)</f>
        <v>784</v>
      </c>
      <c r="S2611" s="13">
        <f t="shared" si="286"/>
        <v>0</v>
      </c>
    </row>
    <row r="2612" spans="1:19" x14ac:dyDescent="0.25">
      <c r="A2612" s="24" t="s">
        <v>3742</v>
      </c>
      <c r="B2612" s="4" t="s">
        <v>1059</v>
      </c>
      <c r="C2612" s="25" t="s">
        <v>7</v>
      </c>
      <c r="G2612" s="25" t="s">
        <v>3185</v>
      </c>
      <c r="H2612" s="24" t="s">
        <v>1061</v>
      </c>
      <c r="I2612" s="3" t="str">
        <f>IFERROR(VLOOKUP(C2612,'Справочник соответствий'!A$2:D$2981,2,FALSE),IF(VALUE(C2612)=0,1,VLOOKUP(C2612,'Справочник соответствий'!A$2:D$2981,2,FALSE)))</f>
        <v>2</v>
      </c>
      <c r="J2612" s="3">
        <f>IFERROR(VLOOKUP(D2612,'Справочник соответствий'!A$2:D$2981,2,FALSE),IF(VALUE(D2612)=0,0,VLOOKUP(D2612,'Справочник соответствий'!A$2:D$2981,2,FALSE)))</f>
        <v>0</v>
      </c>
      <c r="K2612" s="3" t="str">
        <f t="shared" si="280"/>
        <v>2</v>
      </c>
      <c r="L2612" s="13" t="str">
        <f>IFERROR(VLOOKUP(C2612,'Справочник соответствий'!A$2:D$2981,3,FALSE),IF(VALUE(C2612)=0,"ЭТАЖ НЕ ОПРЕДЕЛЕН. ПРИНЯТ ПО ДОПУЩЕНИЮ 1",VLOOKUP(C2612,'Справочник соответствий'!A$2:D$2981,3,FALSE)))</f>
        <v>ЭТАЖ ЗАДАН ЧИСЛОМ</v>
      </c>
      <c r="M2612" s="13" t="b">
        <f t="shared" si="281"/>
        <v>0</v>
      </c>
      <c r="N2612" s="13">
        <f t="shared" si="282"/>
        <v>2</v>
      </c>
      <c r="O2612" s="13" t="str">
        <f t="shared" si="283"/>
        <v>ЭТАЖ ЗАДАН ЧИСЛОМ</v>
      </c>
      <c r="P2612" s="13" t="str">
        <f t="shared" si="284"/>
        <v>ЭТАЖ ЗАДАН ЧИСЛОМ</v>
      </c>
      <c r="Q2612" s="13" t="str">
        <f t="shared" si="285"/>
        <v>ГОТОВ_ИЗМЕНЕН</v>
      </c>
      <c r="R2612" s="13">
        <f>IFERROR(VLOOKUP(P2612,Лист1!A$1:B$20,2,FALSE),0)</f>
        <v>784</v>
      </c>
      <c r="S2612" s="13">
        <f t="shared" si="286"/>
        <v>0</v>
      </c>
    </row>
    <row r="2613" spans="1:19" x14ac:dyDescent="0.25">
      <c r="A2613" s="24" t="s">
        <v>3743</v>
      </c>
      <c r="B2613" s="4" t="s">
        <v>1059</v>
      </c>
      <c r="C2613" s="25" t="s">
        <v>5</v>
      </c>
      <c r="G2613" s="25" t="s">
        <v>3185</v>
      </c>
      <c r="H2613" s="24" t="s">
        <v>1061</v>
      </c>
      <c r="I2613" s="3" t="str">
        <f>IFERROR(VLOOKUP(C2613,'Справочник соответствий'!A$2:D$2981,2,FALSE),IF(VALUE(C2613)=0,1,VLOOKUP(C2613,'Справочник соответствий'!A$2:D$2981,2,FALSE)))</f>
        <v>1</v>
      </c>
      <c r="J2613" s="3">
        <f>IFERROR(VLOOKUP(D2613,'Справочник соответствий'!A$2:D$2981,2,FALSE),IF(VALUE(D2613)=0,0,VLOOKUP(D2613,'Справочник соответствий'!A$2:D$2981,2,FALSE)))</f>
        <v>0</v>
      </c>
      <c r="K2613" s="3" t="str">
        <f t="shared" si="280"/>
        <v>1</v>
      </c>
      <c r="L2613" s="13" t="str">
        <f>IFERROR(VLOOKUP(C2613,'Справочник соответствий'!A$2:D$2981,3,FALSE),IF(VALUE(C2613)=0,"ЭТАЖ НЕ ОПРЕДЕЛЕН. ПРИНЯТ ПО ДОПУЩЕНИЮ 1",VLOOKUP(C2613,'Справочник соответствий'!A$2:D$2981,3,FALSE)))</f>
        <v>ЭТАЖ ЗАДАН ЧИСЛОМ</v>
      </c>
      <c r="M2613" s="13" t="b">
        <f t="shared" si="281"/>
        <v>0</v>
      </c>
      <c r="N2613" s="13">
        <f t="shared" si="282"/>
        <v>1</v>
      </c>
      <c r="O2613" s="13" t="str">
        <f t="shared" si="283"/>
        <v>ЭТАЖ ЗАДАН ЧИСЛОМ</v>
      </c>
      <c r="P2613" s="13" t="str">
        <f t="shared" si="284"/>
        <v>ЭТАЖ ЗАДАН ЧИСЛОМ</v>
      </c>
      <c r="Q2613" s="13" t="str">
        <f t="shared" si="285"/>
        <v>ГОТОВ_ИЗМЕНЕН</v>
      </c>
      <c r="R2613" s="13">
        <f>IFERROR(VLOOKUP(P2613,Лист1!A$1:B$20,2,FALSE),0)</f>
        <v>784</v>
      </c>
      <c r="S2613" s="13">
        <f t="shared" si="286"/>
        <v>0</v>
      </c>
    </row>
    <row r="2614" spans="1:19" x14ac:dyDescent="0.25">
      <c r="A2614" s="24" t="s">
        <v>3744</v>
      </c>
      <c r="B2614" s="4" t="s">
        <v>1059</v>
      </c>
      <c r="C2614" s="25" t="s">
        <v>5</v>
      </c>
      <c r="G2614" s="25" t="s">
        <v>3185</v>
      </c>
      <c r="H2614" s="24" t="s">
        <v>1061</v>
      </c>
      <c r="I2614" s="3" t="str">
        <f>IFERROR(VLOOKUP(C2614,'Справочник соответствий'!A$2:D$2981,2,FALSE),IF(VALUE(C2614)=0,1,VLOOKUP(C2614,'Справочник соответствий'!A$2:D$2981,2,FALSE)))</f>
        <v>1</v>
      </c>
      <c r="J2614" s="3">
        <f>IFERROR(VLOOKUP(D2614,'Справочник соответствий'!A$2:D$2981,2,FALSE),IF(VALUE(D2614)=0,0,VLOOKUP(D2614,'Справочник соответствий'!A$2:D$2981,2,FALSE)))</f>
        <v>0</v>
      </c>
      <c r="K2614" s="3" t="str">
        <f t="shared" si="280"/>
        <v>1</v>
      </c>
      <c r="L2614" s="13" t="str">
        <f>IFERROR(VLOOKUP(C2614,'Справочник соответствий'!A$2:D$2981,3,FALSE),IF(VALUE(C2614)=0,"ЭТАЖ НЕ ОПРЕДЕЛЕН. ПРИНЯТ ПО ДОПУЩЕНИЮ 1",VLOOKUP(C2614,'Справочник соответствий'!A$2:D$2981,3,FALSE)))</f>
        <v>ЭТАЖ ЗАДАН ЧИСЛОМ</v>
      </c>
      <c r="M2614" s="13" t="b">
        <f t="shared" si="281"/>
        <v>0</v>
      </c>
      <c r="N2614" s="13">
        <f t="shared" si="282"/>
        <v>1</v>
      </c>
      <c r="O2614" s="13" t="str">
        <f t="shared" si="283"/>
        <v>ЭТАЖ ЗАДАН ЧИСЛОМ</v>
      </c>
      <c r="P2614" s="13" t="str">
        <f t="shared" si="284"/>
        <v>ЭТАЖ ЗАДАН ЧИСЛОМ</v>
      </c>
      <c r="Q2614" s="13" t="str">
        <f t="shared" si="285"/>
        <v>ГОТОВ_ИЗМЕНЕН</v>
      </c>
      <c r="R2614" s="13">
        <f>IFERROR(VLOOKUP(P2614,Лист1!A$1:B$20,2,FALSE),0)</f>
        <v>784</v>
      </c>
      <c r="S2614" s="13">
        <f t="shared" si="286"/>
        <v>0</v>
      </c>
    </row>
    <row r="2615" spans="1:19" x14ac:dyDescent="0.25">
      <c r="A2615" s="24" t="s">
        <v>3745</v>
      </c>
      <c r="B2615" s="4" t="s">
        <v>1063</v>
      </c>
      <c r="C2615" s="25" t="s">
        <v>5</v>
      </c>
      <c r="G2615" s="25" t="s">
        <v>1069</v>
      </c>
      <c r="H2615" s="24" t="s">
        <v>1061</v>
      </c>
      <c r="I2615" s="3" t="str">
        <f>IFERROR(VLOOKUP(C2615,'Справочник соответствий'!A$2:D$2981,2,FALSE),IF(VALUE(C2615)=0,1,VLOOKUP(C2615,'Справочник соответствий'!A$2:D$2981,2,FALSE)))</f>
        <v>1</v>
      </c>
      <c r="J2615" s="3">
        <f>IFERROR(VLOOKUP(D2615,'Справочник соответствий'!A$2:D$2981,2,FALSE),IF(VALUE(D2615)=0,0,VLOOKUP(D2615,'Справочник соответствий'!A$2:D$2981,2,FALSE)))</f>
        <v>0</v>
      </c>
      <c r="K2615" s="3" t="str">
        <f t="shared" si="280"/>
        <v>1</v>
      </c>
      <c r="L2615" s="13" t="str">
        <f>IFERROR(VLOOKUP(C2615,'Справочник соответствий'!A$2:D$2981,3,FALSE),IF(VALUE(C2615)=0,"ЭТАЖ НЕ ОПРЕДЕЛЕН. ПРИНЯТ ПО ДОПУЩЕНИЮ 1",VLOOKUP(C2615,'Справочник соответствий'!A$2:D$2981,3,FALSE)))</f>
        <v>ЭТАЖ ЗАДАН ЧИСЛОМ</v>
      </c>
      <c r="M2615" s="13" t="b">
        <f t="shared" si="281"/>
        <v>0</v>
      </c>
      <c r="N2615" s="13">
        <f t="shared" si="282"/>
        <v>1</v>
      </c>
      <c r="O2615" s="13" t="str">
        <f t="shared" si="283"/>
        <v>ЭТАЖ ЗАДАН ЧИСЛОМ</v>
      </c>
      <c r="P2615" s="13" t="str">
        <f t="shared" si="284"/>
        <v>ЭТАЖ ЗАДАН ЧИСЛОМ</v>
      </c>
      <c r="Q2615" s="13" t="str">
        <f t="shared" si="285"/>
        <v>ГОТОВ_ИЗМЕНЕН</v>
      </c>
      <c r="R2615" s="13">
        <f>IFERROR(VLOOKUP(P2615,Лист1!A$1:B$20,2,FALSE),0)</f>
        <v>784</v>
      </c>
      <c r="S2615" s="13">
        <f t="shared" si="286"/>
        <v>0</v>
      </c>
    </row>
    <row r="2616" spans="1:19" x14ac:dyDescent="0.25">
      <c r="A2616" s="24" t="s">
        <v>3746</v>
      </c>
      <c r="B2616" s="4" t="s">
        <v>1063</v>
      </c>
      <c r="C2616" s="25" t="s">
        <v>5</v>
      </c>
      <c r="G2616" s="25" t="s">
        <v>3185</v>
      </c>
      <c r="H2616" s="24" t="s">
        <v>1061</v>
      </c>
      <c r="I2616" s="3" t="str">
        <f>IFERROR(VLOOKUP(C2616,'Справочник соответствий'!A$2:D$2981,2,FALSE),IF(VALUE(C2616)=0,1,VLOOKUP(C2616,'Справочник соответствий'!A$2:D$2981,2,FALSE)))</f>
        <v>1</v>
      </c>
      <c r="J2616" s="3">
        <f>IFERROR(VLOOKUP(D2616,'Справочник соответствий'!A$2:D$2981,2,FALSE),IF(VALUE(D2616)=0,0,VLOOKUP(D2616,'Справочник соответствий'!A$2:D$2981,2,FALSE)))</f>
        <v>0</v>
      </c>
      <c r="K2616" s="3" t="str">
        <f t="shared" si="280"/>
        <v>1</v>
      </c>
      <c r="L2616" s="13" t="str">
        <f>IFERROR(VLOOKUP(C2616,'Справочник соответствий'!A$2:D$2981,3,FALSE),IF(VALUE(C2616)=0,"ЭТАЖ НЕ ОПРЕДЕЛЕН. ПРИНЯТ ПО ДОПУЩЕНИЮ 1",VLOOKUP(C2616,'Справочник соответствий'!A$2:D$2981,3,FALSE)))</f>
        <v>ЭТАЖ ЗАДАН ЧИСЛОМ</v>
      </c>
      <c r="M2616" s="13" t="b">
        <f t="shared" si="281"/>
        <v>0</v>
      </c>
      <c r="N2616" s="13">
        <f t="shared" si="282"/>
        <v>1</v>
      </c>
      <c r="O2616" s="13" t="str">
        <f t="shared" si="283"/>
        <v>ЭТАЖ ЗАДАН ЧИСЛОМ</v>
      </c>
      <c r="P2616" s="13" t="str">
        <f t="shared" si="284"/>
        <v>ЭТАЖ ЗАДАН ЧИСЛОМ</v>
      </c>
      <c r="Q2616" s="13" t="str">
        <f t="shared" si="285"/>
        <v>ГОТОВ_ИЗМЕНЕН</v>
      </c>
      <c r="R2616" s="13">
        <f>IFERROR(VLOOKUP(P2616,Лист1!A$1:B$20,2,FALSE),0)</f>
        <v>784</v>
      </c>
      <c r="S2616" s="13">
        <f t="shared" si="286"/>
        <v>0</v>
      </c>
    </row>
    <row r="2617" spans="1:19" x14ac:dyDescent="0.25">
      <c r="A2617" s="24" t="s">
        <v>3747</v>
      </c>
      <c r="B2617" s="4" t="s">
        <v>1063</v>
      </c>
      <c r="C2617" s="25" t="s">
        <v>5</v>
      </c>
      <c r="G2617" s="25" t="s">
        <v>1075</v>
      </c>
      <c r="H2617" s="24" t="s">
        <v>1061</v>
      </c>
      <c r="I2617" s="3" t="str">
        <f>IFERROR(VLOOKUP(C2617,'Справочник соответствий'!A$2:D$2981,2,FALSE),IF(VALUE(C2617)=0,1,VLOOKUP(C2617,'Справочник соответствий'!A$2:D$2981,2,FALSE)))</f>
        <v>1</v>
      </c>
      <c r="J2617" s="3">
        <f>IFERROR(VLOOKUP(D2617,'Справочник соответствий'!A$2:D$2981,2,FALSE),IF(VALUE(D2617)=0,0,VLOOKUP(D2617,'Справочник соответствий'!A$2:D$2981,2,FALSE)))</f>
        <v>0</v>
      </c>
      <c r="K2617" s="3" t="str">
        <f t="shared" si="280"/>
        <v>1</v>
      </c>
      <c r="L2617" s="13" t="str">
        <f>IFERROR(VLOOKUP(C2617,'Справочник соответствий'!A$2:D$2981,3,FALSE),IF(VALUE(C2617)=0,"ЭТАЖ НЕ ОПРЕДЕЛЕН. ПРИНЯТ ПО ДОПУЩЕНИЮ 1",VLOOKUP(C2617,'Справочник соответствий'!A$2:D$2981,3,FALSE)))</f>
        <v>ЭТАЖ ЗАДАН ЧИСЛОМ</v>
      </c>
      <c r="M2617" s="13" t="b">
        <f t="shared" si="281"/>
        <v>0</v>
      </c>
      <c r="N2617" s="13">
        <f t="shared" si="282"/>
        <v>1</v>
      </c>
      <c r="O2617" s="13" t="str">
        <f t="shared" si="283"/>
        <v>ЭТАЖ ЗАДАН ЧИСЛОМ</v>
      </c>
      <c r="P2617" s="13" t="str">
        <f t="shared" si="284"/>
        <v>ЭТАЖ ЗАДАН ЧИСЛОМ</v>
      </c>
      <c r="Q2617" s="13" t="str">
        <f t="shared" si="285"/>
        <v>ГОТОВ_ИЗМЕНЕН</v>
      </c>
      <c r="R2617" s="13">
        <f>IFERROR(VLOOKUP(P2617,Лист1!A$1:B$20,2,FALSE),0)</f>
        <v>784</v>
      </c>
      <c r="S2617" s="13">
        <f t="shared" si="286"/>
        <v>0</v>
      </c>
    </row>
    <row r="2618" spans="1:19" x14ac:dyDescent="0.25">
      <c r="A2618" s="24" t="s">
        <v>3748</v>
      </c>
      <c r="B2618" s="4" t="s">
        <v>1059</v>
      </c>
      <c r="C2618" s="25" t="s">
        <v>5</v>
      </c>
      <c r="G2618" s="25" t="s">
        <v>1075</v>
      </c>
      <c r="H2618" s="24" t="s">
        <v>1061</v>
      </c>
      <c r="I2618" s="3" t="str">
        <f>IFERROR(VLOOKUP(C2618,'Справочник соответствий'!A$2:D$2981,2,FALSE),IF(VALUE(C2618)=0,1,VLOOKUP(C2618,'Справочник соответствий'!A$2:D$2981,2,FALSE)))</f>
        <v>1</v>
      </c>
      <c r="J2618" s="3">
        <f>IFERROR(VLOOKUP(D2618,'Справочник соответствий'!A$2:D$2981,2,FALSE),IF(VALUE(D2618)=0,0,VLOOKUP(D2618,'Справочник соответствий'!A$2:D$2981,2,FALSE)))</f>
        <v>0</v>
      </c>
      <c r="K2618" s="3" t="str">
        <f t="shared" si="280"/>
        <v>1</v>
      </c>
      <c r="L2618" s="13" t="str">
        <f>IFERROR(VLOOKUP(C2618,'Справочник соответствий'!A$2:D$2981,3,FALSE),IF(VALUE(C2618)=0,"ЭТАЖ НЕ ОПРЕДЕЛЕН. ПРИНЯТ ПО ДОПУЩЕНИЮ 1",VLOOKUP(C2618,'Справочник соответствий'!A$2:D$2981,3,FALSE)))</f>
        <v>ЭТАЖ ЗАДАН ЧИСЛОМ</v>
      </c>
      <c r="M2618" s="13" t="b">
        <f t="shared" si="281"/>
        <v>0</v>
      </c>
      <c r="N2618" s="13">
        <f t="shared" si="282"/>
        <v>1</v>
      </c>
      <c r="O2618" s="13" t="str">
        <f t="shared" si="283"/>
        <v>ЭТАЖ ЗАДАН ЧИСЛОМ</v>
      </c>
      <c r="P2618" s="13" t="str">
        <f t="shared" si="284"/>
        <v>ЭТАЖ ЗАДАН ЧИСЛОМ</v>
      </c>
      <c r="Q2618" s="13" t="str">
        <f t="shared" si="285"/>
        <v>ГОТОВ_ИЗМЕНЕН</v>
      </c>
      <c r="R2618" s="13">
        <f>IFERROR(VLOOKUP(P2618,Лист1!A$1:B$20,2,FALSE),0)</f>
        <v>784</v>
      </c>
      <c r="S2618" s="13">
        <f t="shared" si="286"/>
        <v>0</v>
      </c>
    </row>
    <row r="2619" spans="1:19" x14ac:dyDescent="0.25">
      <c r="A2619" s="24" t="s">
        <v>3749</v>
      </c>
      <c r="B2619" s="4" t="s">
        <v>1059</v>
      </c>
      <c r="C2619" s="25" t="s">
        <v>5</v>
      </c>
      <c r="G2619" s="25" t="s">
        <v>1075</v>
      </c>
      <c r="H2619" s="24" t="s">
        <v>1061</v>
      </c>
      <c r="I2619" s="3" t="str">
        <f>IFERROR(VLOOKUP(C2619,'Справочник соответствий'!A$2:D$2981,2,FALSE),IF(VALUE(C2619)=0,1,VLOOKUP(C2619,'Справочник соответствий'!A$2:D$2981,2,FALSE)))</f>
        <v>1</v>
      </c>
      <c r="J2619" s="3">
        <f>IFERROR(VLOOKUP(D2619,'Справочник соответствий'!A$2:D$2981,2,FALSE),IF(VALUE(D2619)=0,0,VLOOKUP(D2619,'Справочник соответствий'!A$2:D$2981,2,FALSE)))</f>
        <v>0</v>
      </c>
      <c r="K2619" s="3" t="str">
        <f t="shared" si="280"/>
        <v>1</v>
      </c>
      <c r="L2619" s="13" t="str">
        <f>IFERROR(VLOOKUP(C2619,'Справочник соответствий'!A$2:D$2981,3,FALSE),IF(VALUE(C2619)=0,"ЭТАЖ НЕ ОПРЕДЕЛЕН. ПРИНЯТ ПО ДОПУЩЕНИЮ 1",VLOOKUP(C2619,'Справочник соответствий'!A$2:D$2981,3,FALSE)))</f>
        <v>ЭТАЖ ЗАДАН ЧИСЛОМ</v>
      </c>
      <c r="M2619" s="13" t="b">
        <f t="shared" si="281"/>
        <v>0</v>
      </c>
      <c r="N2619" s="13">
        <f t="shared" si="282"/>
        <v>1</v>
      </c>
      <c r="O2619" s="13" t="str">
        <f t="shared" si="283"/>
        <v>ЭТАЖ ЗАДАН ЧИСЛОМ</v>
      </c>
      <c r="P2619" s="13" t="str">
        <f t="shared" si="284"/>
        <v>ЭТАЖ ЗАДАН ЧИСЛОМ</v>
      </c>
      <c r="Q2619" s="13" t="str">
        <f t="shared" si="285"/>
        <v>ГОТОВ_ИЗМЕНЕН</v>
      </c>
      <c r="R2619" s="13">
        <f>IFERROR(VLOOKUP(P2619,Лист1!A$1:B$20,2,FALSE),0)</f>
        <v>784</v>
      </c>
      <c r="S2619" s="13">
        <f t="shared" si="286"/>
        <v>0</v>
      </c>
    </row>
    <row r="2620" spans="1:19" x14ac:dyDescent="0.25">
      <c r="A2620" s="24" t="s">
        <v>3750</v>
      </c>
      <c r="B2620" s="4" t="s">
        <v>1031</v>
      </c>
      <c r="C2620" s="25" t="s">
        <v>136</v>
      </c>
      <c r="D2620" s="25" t="s">
        <v>5</v>
      </c>
      <c r="G2620" s="25" t="s">
        <v>1069</v>
      </c>
      <c r="H2620" s="24" t="s">
        <v>1061</v>
      </c>
      <c r="I2620" s="3" t="str">
        <f>IFERROR(VLOOKUP(C2620,'Справочник соответствий'!A$2:D$2981,2,FALSE),IF(VALUE(C2620)=0,1,VLOOKUP(C2620,'Справочник соответствий'!A$2:D$2981,2,FALSE)))</f>
        <v>27</v>
      </c>
      <c r="J2620" s="3" t="str">
        <f>IFERROR(VLOOKUP(D2620,'Справочник соответствий'!A$2:D$2981,2,FALSE),IF(VALUE(D2620)=0,0,VLOOKUP(D2620,'Справочник соответствий'!A$2:D$2981,2,FALSE)))</f>
        <v>1</v>
      </c>
      <c r="K2620" s="3">
        <f t="shared" si="280"/>
        <v>26</v>
      </c>
      <c r="L2620" s="13" t="str">
        <f>IFERROR(VLOOKUP(C2620,'Справочник соответствий'!A$2:D$2981,3,FALSE),IF(VALUE(C2620)=0,"ЭТАЖ НЕ ОПРЕДЕЛЕН. ПРИНЯТ ПО ДОПУЩЕНИЮ 1",VLOOKUP(C2620,'Справочник соответствий'!A$2:D$2981,3,FALSE)))</f>
        <v>ЭТАЖ ЗАДАН ЧИСЛОМ</v>
      </c>
      <c r="M2620" s="13" t="b">
        <f t="shared" si="281"/>
        <v>0</v>
      </c>
      <c r="N2620" s="13">
        <f t="shared" si="282"/>
        <v>26</v>
      </c>
      <c r="O2620" s="13" t="str">
        <f t="shared" si="283"/>
        <v>ЭТАЖ ЗАДАН ЧИСЛОМ</v>
      </c>
      <c r="P2620" s="13" t="str">
        <f t="shared" si="284"/>
        <v>МКД_ЭТАЖ ЗАДАН ЧИСЛОМ</v>
      </c>
      <c r="Q2620" s="13" t="str">
        <f t="shared" si="285"/>
        <v>ГОТОВ_ИЗМЕНЕН</v>
      </c>
      <c r="R2620" s="13">
        <f>IFERROR(VLOOKUP(P2620,Лист1!A$1:B$20,2,FALSE),0)</f>
        <v>786</v>
      </c>
      <c r="S2620" s="13">
        <f t="shared" si="286"/>
        <v>0</v>
      </c>
    </row>
    <row r="2621" spans="1:19" x14ac:dyDescent="0.25">
      <c r="A2621" s="24" t="s">
        <v>3751</v>
      </c>
      <c r="B2621" s="4" t="s">
        <v>1059</v>
      </c>
      <c r="G2621" s="25" t="s">
        <v>1075</v>
      </c>
      <c r="H2621" s="24" t="s">
        <v>1061</v>
      </c>
      <c r="I2621" s="3">
        <f>IFERROR(VLOOKUP(C2621,'Справочник соответствий'!A$2:D$2981,2,FALSE),IF(VALUE(C2621)=0,1,VLOOKUP(C2621,'Справочник соответствий'!A$2:D$2981,2,FALSE)))</f>
        <v>1</v>
      </c>
      <c r="J2621" s="3">
        <f>IFERROR(VLOOKUP(D2621,'Справочник соответствий'!A$2:D$2981,2,FALSE),IF(VALUE(D2621)=0,0,VLOOKUP(D2621,'Справочник соответствий'!A$2:D$2981,2,FALSE)))</f>
        <v>0</v>
      </c>
      <c r="K2621" s="3">
        <f t="shared" si="280"/>
        <v>1</v>
      </c>
      <c r="L2621" s="13" t="str">
        <f>IFERROR(VLOOKUP(C2621,'Справочник соответствий'!A$2:D$2981,3,FALSE),IF(VALUE(C2621)=0,"ЭТАЖ НЕ ОПРЕДЕЛЕН. ПРИНЯТ ПО ДОПУЩЕНИЮ 1",VLOOKUP(C2621,'Справочник соответствий'!A$2:D$2981,3,FALSE)))</f>
        <v>ЭТАЖ НЕ ОПРЕДЕЛЕН. ПРИНЯТ ПО ДОПУЩЕНИЮ 1</v>
      </c>
      <c r="M2621" s="13" t="b">
        <f t="shared" si="281"/>
        <v>0</v>
      </c>
      <c r="N2621" s="13">
        <f t="shared" si="282"/>
        <v>1</v>
      </c>
      <c r="O2621" s="13" t="str">
        <f t="shared" si="283"/>
        <v>ЭТАЖ НЕ ОПРЕДЕЛЕН. ПРИНЯТ ПО ДОПУЩЕНИЮ 1</v>
      </c>
      <c r="P2621" s="13" t="str">
        <f t="shared" si="284"/>
        <v>ЭТАЖ НЕ ОПРЕДЕЛЕН. ПРИНЯТ ПО ДОПУЩЕНИЮ 1</v>
      </c>
      <c r="Q2621" s="13" t="str">
        <f t="shared" si="285"/>
        <v>ГОТОВ_ИЗМЕНЕН</v>
      </c>
      <c r="R2621" s="13">
        <f>IFERROR(VLOOKUP(P2621,Лист1!A$1:B$20,2,FALSE),0)</f>
        <v>788</v>
      </c>
      <c r="S2621" s="13">
        <f t="shared" si="286"/>
        <v>0</v>
      </c>
    </row>
    <row r="2622" spans="1:19" x14ac:dyDescent="0.25">
      <c r="A2622" s="24" t="s">
        <v>3752</v>
      </c>
      <c r="B2622" s="4" t="s">
        <v>1059</v>
      </c>
      <c r="C2622" s="25" t="s">
        <v>5</v>
      </c>
      <c r="G2622" s="25" t="s">
        <v>1069</v>
      </c>
      <c r="H2622" s="24" t="s">
        <v>1061</v>
      </c>
      <c r="I2622" s="3" t="str">
        <f>IFERROR(VLOOKUP(C2622,'Справочник соответствий'!A$2:D$2981,2,FALSE),IF(VALUE(C2622)=0,1,VLOOKUP(C2622,'Справочник соответствий'!A$2:D$2981,2,FALSE)))</f>
        <v>1</v>
      </c>
      <c r="J2622" s="3">
        <f>IFERROR(VLOOKUP(D2622,'Справочник соответствий'!A$2:D$2981,2,FALSE),IF(VALUE(D2622)=0,0,VLOOKUP(D2622,'Справочник соответствий'!A$2:D$2981,2,FALSE)))</f>
        <v>0</v>
      </c>
      <c r="K2622" s="3" t="str">
        <f t="shared" si="280"/>
        <v>1</v>
      </c>
      <c r="L2622" s="13" t="str">
        <f>IFERROR(VLOOKUP(C2622,'Справочник соответствий'!A$2:D$2981,3,FALSE),IF(VALUE(C2622)=0,"ЭТАЖ НЕ ОПРЕДЕЛЕН. ПРИНЯТ ПО ДОПУЩЕНИЮ 1",VLOOKUP(C2622,'Справочник соответствий'!A$2:D$2981,3,FALSE)))</f>
        <v>ЭТАЖ ЗАДАН ЧИСЛОМ</v>
      </c>
      <c r="M2622" s="13" t="b">
        <f t="shared" si="281"/>
        <v>0</v>
      </c>
      <c r="N2622" s="13">
        <f t="shared" si="282"/>
        <v>1</v>
      </c>
      <c r="O2622" s="13" t="str">
        <f t="shared" si="283"/>
        <v>ЭТАЖ ЗАДАН ЧИСЛОМ</v>
      </c>
      <c r="P2622" s="13" t="str">
        <f t="shared" si="284"/>
        <v>ЭТАЖ ЗАДАН ЧИСЛОМ</v>
      </c>
      <c r="Q2622" s="13" t="str">
        <f t="shared" si="285"/>
        <v>ГОТОВ_ИЗМЕНЕН</v>
      </c>
      <c r="R2622" s="13">
        <f>IFERROR(VLOOKUP(P2622,Лист1!A$1:B$20,2,FALSE),0)</f>
        <v>784</v>
      </c>
      <c r="S2622" s="13">
        <f t="shared" si="286"/>
        <v>0</v>
      </c>
    </row>
    <row r="2623" spans="1:19" x14ac:dyDescent="0.25">
      <c r="A2623" s="24" t="s">
        <v>3753</v>
      </c>
      <c r="B2623" s="4" t="s">
        <v>1063</v>
      </c>
      <c r="C2623" s="25" t="s">
        <v>5</v>
      </c>
      <c r="G2623" s="25" t="s">
        <v>1069</v>
      </c>
      <c r="H2623" s="24" t="s">
        <v>1061</v>
      </c>
      <c r="I2623" s="3" t="str">
        <f>IFERROR(VLOOKUP(C2623,'Справочник соответствий'!A$2:D$2981,2,FALSE),IF(VALUE(C2623)=0,1,VLOOKUP(C2623,'Справочник соответствий'!A$2:D$2981,2,FALSE)))</f>
        <v>1</v>
      </c>
      <c r="J2623" s="3">
        <f>IFERROR(VLOOKUP(D2623,'Справочник соответствий'!A$2:D$2981,2,FALSE),IF(VALUE(D2623)=0,0,VLOOKUP(D2623,'Справочник соответствий'!A$2:D$2981,2,FALSE)))</f>
        <v>0</v>
      </c>
      <c r="K2623" s="3" t="str">
        <f t="shared" si="280"/>
        <v>1</v>
      </c>
      <c r="L2623" s="13" t="str">
        <f>IFERROR(VLOOKUP(C2623,'Справочник соответствий'!A$2:D$2981,3,FALSE),IF(VALUE(C2623)=0,"ЭТАЖ НЕ ОПРЕДЕЛЕН. ПРИНЯТ ПО ДОПУЩЕНИЮ 1",VLOOKUP(C2623,'Справочник соответствий'!A$2:D$2981,3,FALSE)))</f>
        <v>ЭТАЖ ЗАДАН ЧИСЛОМ</v>
      </c>
      <c r="M2623" s="13" t="b">
        <f t="shared" si="281"/>
        <v>0</v>
      </c>
      <c r="N2623" s="13">
        <f t="shared" si="282"/>
        <v>1</v>
      </c>
      <c r="O2623" s="13" t="str">
        <f t="shared" si="283"/>
        <v>ЭТАЖ ЗАДАН ЧИСЛОМ</v>
      </c>
      <c r="P2623" s="13" t="str">
        <f t="shared" si="284"/>
        <v>ЭТАЖ ЗАДАН ЧИСЛОМ</v>
      </c>
      <c r="Q2623" s="13" t="str">
        <f t="shared" si="285"/>
        <v>ГОТОВ_ИЗМЕНЕН</v>
      </c>
      <c r="R2623" s="13">
        <f>IFERROR(VLOOKUP(P2623,Лист1!A$1:B$20,2,FALSE),0)</f>
        <v>784</v>
      </c>
      <c r="S2623" s="13">
        <f t="shared" si="286"/>
        <v>0</v>
      </c>
    </row>
    <row r="2624" spans="1:19" x14ac:dyDescent="0.25">
      <c r="A2624" s="24" t="s">
        <v>3754</v>
      </c>
      <c r="B2624" s="4" t="s">
        <v>1063</v>
      </c>
      <c r="C2624" s="25" t="s">
        <v>5</v>
      </c>
      <c r="G2624" s="25" t="s">
        <v>1075</v>
      </c>
      <c r="H2624" s="24" t="s">
        <v>1061</v>
      </c>
      <c r="I2624" s="3" t="str">
        <f>IFERROR(VLOOKUP(C2624,'Справочник соответствий'!A$2:D$2981,2,FALSE),IF(VALUE(C2624)=0,1,VLOOKUP(C2624,'Справочник соответствий'!A$2:D$2981,2,FALSE)))</f>
        <v>1</v>
      </c>
      <c r="J2624" s="3">
        <f>IFERROR(VLOOKUP(D2624,'Справочник соответствий'!A$2:D$2981,2,FALSE),IF(VALUE(D2624)=0,0,VLOOKUP(D2624,'Справочник соответствий'!A$2:D$2981,2,FALSE)))</f>
        <v>0</v>
      </c>
      <c r="K2624" s="3" t="str">
        <f t="shared" si="280"/>
        <v>1</v>
      </c>
      <c r="L2624" s="13" t="str">
        <f>IFERROR(VLOOKUP(C2624,'Справочник соответствий'!A$2:D$2981,3,FALSE),IF(VALUE(C2624)=0,"ЭТАЖ НЕ ОПРЕДЕЛЕН. ПРИНЯТ ПО ДОПУЩЕНИЮ 1",VLOOKUP(C2624,'Справочник соответствий'!A$2:D$2981,3,FALSE)))</f>
        <v>ЭТАЖ ЗАДАН ЧИСЛОМ</v>
      </c>
      <c r="M2624" s="13" t="b">
        <f t="shared" si="281"/>
        <v>0</v>
      </c>
      <c r="N2624" s="13">
        <f t="shared" si="282"/>
        <v>1</v>
      </c>
      <c r="O2624" s="13" t="str">
        <f t="shared" si="283"/>
        <v>ЭТАЖ ЗАДАН ЧИСЛОМ</v>
      </c>
      <c r="P2624" s="13" t="str">
        <f t="shared" si="284"/>
        <v>ЭТАЖ ЗАДАН ЧИСЛОМ</v>
      </c>
      <c r="Q2624" s="13" t="str">
        <f t="shared" si="285"/>
        <v>ГОТОВ_ИЗМЕНЕН</v>
      </c>
      <c r="R2624" s="13">
        <f>IFERROR(VLOOKUP(P2624,Лист1!A$1:B$20,2,FALSE),0)</f>
        <v>784</v>
      </c>
      <c r="S2624" s="13">
        <f t="shared" si="286"/>
        <v>0</v>
      </c>
    </row>
    <row r="2625" spans="1:19" x14ac:dyDescent="0.25">
      <c r="A2625" s="24" t="s">
        <v>3755</v>
      </c>
      <c r="B2625" s="4" t="s">
        <v>1059</v>
      </c>
      <c r="C2625" s="25" t="s">
        <v>7</v>
      </c>
      <c r="G2625" s="25" t="s">
        <v>2431</v>
      </c>
      <c r="H2625" s="24" t="s">
        <v>1061</v>
      </c>
      <c r="I2625" s="3" t="str">
        <f>IFERROR(VLOOKUP(C2625,'Справочник соответствий'!A$2:D$2981,2,FALSE),IF(VALUE(C2625)=0,1,VLOOKUP(C2625,'Справочник соответствий'!A$2:D$2981,2,FALSE)))</f>
        <v>2</v>
      </c>
      <c r="J2625" s="3">
        <f>IFERROR(VLOOKUP(D2625,'Справочник соответствий'!A$2:D$2981,2,FALSE),IF(VALUE(D2625)=0,0,VLOOKUP(D2625,'Справочник соответствий'!A$2:D$2981,2,FALSE)))</f>
        <v>0</v>
      </c>
      <c r="K2625" s="3" t="str">
        <f t="shared" si="280"/>
        <v>2</v>
      </c>
      <c r="L2625" s="13" t="str">
        <f>IFERROR(VLOOKUP(C2625,'Справочник соответствий'!A$2:D$2981,3,FALSE),IF(VALUE(C2625)=0,"ЭТАЖ НЕ ОПРЕДЕЛЕН. ПРИНЯТ ПО ДОПУЩЕНИЮ 1",VLOOKUP(C2625,'Справочник соответствий'!A$2:D$2981,3,FALSE)))</f>
        <v>ЭТАЖ ЗАДАН ЧИСЛОМ</v>
      </c>
      <c r="M2625" s="13" t="b">
        <f t="shared" si="281"/>
        <v>0</v>
      </c>
      <c r="N2625" s="13">
        <f t="shared" si="282"/>
        <v>2</v>
      </c>
      <c r="O2625" s="13" t="str">
        <f t="shared" si="283"/>
        <v>ЭТАЖ ЗАДАН ЧИСЛОМ</v>
      </c>
      <c r="P2625" s="13" t="str">
        <f t="shared" si="284"/>
        <v>ЭТАЖ ЗАДАН ЧИСЛОМ</v>
      </c>
      <c r="Q2625" s="13" t="str">
        <f t="shared" si="285"/>
        <v>ГОТОВ_ИЗМЕНЕН</v>
      </c>
      <c r="R2625" s="13">
        <f>IFERROR(VLOOKUP(P2625,Лист1!A$1:B$20,2,FALSE),0)</f>
        <v>784</v>
      </c>
      <c r="S2625" s="13">
        <f t="shared" si="286"/>
        <v>0</v>
      </c>
    </row>
    <row r="2626" spans="1:19" x14ac:dyDescent="0.25">
      <c r="A2626" s="24" t="s">
        <v>3756</v>
      </c>
      <c r="B2626" s="4" t="s">
        <v>1059</v>
      </c>
      <c r="C2626" s="25" t="s">
        <v>7</v>
      </c>
      <c r="G2626" s="25" t="s">
        <v>1083</v>
      </c>
      <c r="H2626" s="24" t="s">
        <v>1061</v>
      </c>
      <c r="I2626" s="3" t="str">
        <f>IFERROR(VLOOKUP(C2626,'Справочник соответствий'!A$2:D$2981,2,FALSE),IF(VALUE(C2626)=0,1,VLOOKUP(C2626,'Справочник соответствий'!A$2:D$2981,2,FALSE)))</f>
        <v>2</v>
      </c>
      <c r="J2626" s="3">
        <f>IFERROR(VLOOKUP(D2626,'Справочник соответствий'!A$2:D$2981,2,FALSE),IF(VALUE(D2626)=0,0,VLOOKUP(D2626,'Справочник соответствий'!A$2:D$2981,2,FALSE)))</f>
        <v>0</v>
      </c>
      <c r="K2626" s="3" t="str">
        <f t="shared" si="280"/>
        <v>2</v>
      </c>
      <c r="L2626" s="13" t="str">
        <f>IFERROR(VLOOKUP(C2626,'Справочник соответствий'!A$2:D$2981,3,FALSE),IF(VALUE(C2626)=0,"ЭТАЖ НЕ ОПРЕДЕЛЕН. ПРИНЯТ ПО ДОПУЩЕНИЮ 1",VLOOKUP(C2626,'Справочник соответствий'!A$2:D$2981,3,FALSE)))</f>
        <v>ЭТАЖ ЗАДАН ЧИСЛОМ</v>
      </c>
      <c r="M2626" s="13" t="b">
        <f t="shared" si="281"/>
        <v>0</v>
      </c>
      <c r="N2626" s="13">
        <f t="shared" si="282"/>
        <v>2</v>
      </c>
      <c r="O2626" s="13" t="str">
        <f t="shared" si="283"/>
        <v>ЭТАЖ ЗАДАН ЧИСЛОМ</v>
      </c>
      <c r="P2626" s="13" t="str">
        <f t="shared" si="284"/>
        <v>ЭТАЖ ЗАДАН ЧИСЛОМ</v>
      </c>
      <c r="Q2626" s="13" t="str">
        <f t="shared" si="285"/>
        <v>ГОТОВ_ИЗМЕНЕН</v>
      </c>
      <c r="R2626" s="13">
        <f>IFERROR(VLOOKUP(P2626,Лист1!A$1:B$20,2,FALSE),0)</f>
        <v>784</v>
      </c>
      <c r="S2626" s="13">
        <f t="shared" si="286"/>
        <v>0</v>
      </c>
    </row>
    <row r="2627" spans="1:19" x14ac:dyDescent="0.25">
      <c r="A2627" s="24" t="s">
        <v>3757</v>
      </c>
      <c r="B2627" s="4" t="s">
        <v>1059</v>
      </c>
      <c r="C2627" s="25" t="s">
        <v>5</v>
      </c>
      <c r="G2627" s="25" t="s">
        <v>1089</v>
      </c>
      <c r="H2627" s="24" t="s">
        <v>1061</v>
      </c>
      <c r="I2627" s="3" t="str">
        <f>IFERROR(VLOOKUP(C2627,'Справочник соответствий'!A$2:D$2981,2,FALSE),IF(VALUE(C2627)=0,1,VLOOKUP(C2627,'Справочник соответствий'!A$2:D$2981,2,FALSE)))</f>
        <v>1</v>
      </c>
      <c r="J2627" s="3">
        <f>IFERROR(VLOOKUP(D2627,'Справочник соответствий'!A$2:D$2981,2,FALSE),IF(VALUE(D2627)=0,0,VLOOKUP(D2627,'Справочник соответствий'!A$2:D$2981,2,FALSE)))</f>
        <v>0</v>
      </c>
      <c r="K2627" s="3" t="str">
        <f t="shared" si="280"/>
        <v>1</v>
      </c>
      <c r="L2627" s="13" t="str">
        <f>IFERROR(VLOOKUP(C2627,'Справочник соответствий'!A$2:D$2981,3,FALSE),IF(VALUE(C2627)=0,"ЭТАЖ НЕ ОПРЕДЕЛЕН. ПРИНЯТ ПО ДОПУЩЕНИЮ 1",VLOOKUP(C2627,'Справочник соответствий'!A$2:D$2981,3,FALSE)))</f>
        <v>ЭТАЖ ЗАДАН ЧИСЛОМ</v>
      </c>
      <c r="M2627" s="13" t="b">
        <f t="shared" si="281"/>
        <v>0</v>
      </c>
      <c r="N2627" s="13">
        <f t="shared" si="282"/>
        <v>1</v>
      </c>
      <c r="O2627" s="13" t="str">
        <f t="shared" si="283"/>
        <v>ЭТАЖ ЗАДАН ЧИСЛОМ</v>
      </c>
      <c r="P2627" s="13" t="str">
        <f t="shared" si="284"/>
        <v>ЭТАЖ ЗАДАН ЧИСЛОМ</v>
      </c>
      <c r="Q2627" s="13" t="str">
        <f t="shared" si="285"/>
        <v>ГОТОВ_ИЗМЕНЕН</v>
      </c>
      <c r="R2627" s="13">
        <f>IFERROR(VLOOKUP(P2627,Лист1!A$1:B$20,2,FALSE),0)</f>
        <v>784</v>
      </c>
      <c r="S2627" s="13">
        <f t="shared" si="286"/>
        <v>0</v>
      </c>
    </row>
    <row r="2628" spans="1:19" x14ac:dyDescent="0.25">
      <c r="A2628" s="24" t="s">
        <v>3758</v>
      </c>
      <c r="B2628" s="4" t="s">
        <v>1063</v>
      </c>
      <c r="C2628" s="25" t="s">
        <v>7</v>
      </c>
      <c r="D2628" s="25" t="s">
        <v>5</v>
      </c>
      <c r="G2628" s="25" t="s">
        <v>1089</v>
      </c>
      <c r="H2628" s="24" t="s">
        <v>1061</v>
      </c>
      <c r="I2628" s="3" t="str">
        <f>IFERROR(VLOOKUP(C2628,'Справочник соответствий'!A$2:D$2981,2,FALSE),IF(VALUE(C2628)=0,1,VLOOKUP(C2628,'Справочник соответствий'!A$2:D$2981,2,FALSE)))</f>
        <v>2</v>
      </c>
      <c r="J2628" s="3" t="str">
        <f>IFERROR(VLOOKUP(D2628,'Справочник соответствий'!A$2:D$2981,2,FALSE),IF(VALUE(D2628)=0,0,VLOOKUP(D2628,'Справочник соответствий'!A$2:D$2981,2,FALSE)))</f>
        <v>1</v>
      </c>
      <c r="K2628" s="3" t="str">
        <f t="shared" si="280"/>
        <v>2</v>
      </c>
      <c r="L2628" s="13" t="str">
        <f>IFERROR(VLOOKUP(C2628,'Справочник соответствий'!A$2:D$2981,3,FALSE),IF(VALUE(C2628)=0,"ЭТАЖ НЕ ОПРЕДЕЛЕН. ПРИНЯТ ПО ДОПУЩЕНИЮ 1",VLOOKUP(C2628,'Справочник соответствий'!A$2:D$2981,3,FALSE)))</f>
        <v>ЭТАЖ ЗАДАН ЧИСЛОМ</v>
      </c>
      <c r="M2628" s="13" t="b">
        <f t="shared" si="281"/>
        <v>0</v>
      </c>
      <c r="N2628" s="13">
        <f t="shared" si="282"/>
        <v>2</v>
      </c>
      <c r="O2628" s="13" t="str">
        <f t="shared" si="283"/>
        <v>ЭТАЖ ЗАДАН ЧИСЛОМ</v>
      </c>
      <c r="P2628" s="13" t="str">
        <f t="shared" si="284"/>
        <v>ЭТАЖ ЗАДАН ЧИСЛОМ</v>
      </c>
      <c r="Q2628" s="13" t="str">
        <f t="shared" si="285"/>
        <v>ГОТОВ_ИЗМЕНЕН</v>
      </c>
      <c r="R2628" s="13">
        <f>IFERROR(VLOOKUP(P2628,Лист1!A$1:B$20,2,FALSE),0)</f>
        <v>784</v>
      </c>
      <c r="S2628" s="13">
        <f t="shared" si="286"/>
        <v>0</v>
      </c>
    </row>
    <row r="2629" spans="1:19" x14ac:dyDescent="0.25">
      <c r="A2629" s="24" t="s">
        <v>3759</v>
      </c>
      <c r="B2629" s="4" t="s">
        <v>1059</v>
      </c>
      <c r="C2629" s="25" t="s">
        <v>5</v>
      </c>
      <c r="G2629" s="25" t="s">
        <v>1089</v>
      </c>
      <c r="H2629" s="24" t="s">
        <v>1061</v>
      </c>
      <c r="I2629" s="3" t="str">
        <f>IFERROR(VLOOKUP(C2629,'Справочник соответствий'!A$2:D$2981,2,FALSE),IF(VALUE(C2629)=0,1,VLOOKUP(C2629,'Справочник соответствий'!A$2:D$2981,2,FALSE)))</f>
        <v>1</v>
      </c>
      <c r="J2629" s="3">
        <f>IFERROR(VLOOKUP(D2629,'Справочник соответствий'!A$2:D$2981,2,FALSE),IF(VALUE(D2629)=0,0,VLOOKUP(D2629,'Справочник соответствий'!A$2:D$2981,2,FALSE)))</f>
        <v>0</v>
      </c>
      <c r="K2629" s="3" t="str">
        <f t="shared" ref="K2629:K2692" si="287">IF(B2629="Многоквартирный дом",IF(I2629-J2629&gt;0,I2629-J2629,1),I2629)</f>
        <v>1</v>
      </c>
      <c r="L2629" s="13" t="str">
        <f>IFERROR(VLOOKUP(C2629,'Справочник соответствий'!A$2:D$2981,3,FALSE),IF(VALUE(C2629)=0,"ЭТАЖ НЕ ОПРЕДЕЛЕН. ПРИНЯТ ПО ДОПУЩЕНИЮ 1",VLOOKUP(C2629,'Справочник соответствий'!A$2:D$2981,3,FALSE)))</f>
        <v>ЭТАЖ ЗАДАН ЧИСЛОМ</v>
      </c>
      <c r="M2629" s="13" t="b">
        <f t="shared" ref="M2629:M2692" si="288">I2629=E2629</f>
        <v>0</v>
      </c>
      <c r="N2629" s="13">
        <f t="shared" ref="N2629:N2692" si="289">IF(VALUE(E2629)=0,VALUE(K2629),IF(L2629="ЭТАЖ НЕ ОПРЕДЕЛЕН. ПРИНЯТ ПО ДОПУЩЕНИЮ 1",VALUE(E2629),VALUE(K2629)))</f>
        <v>1</v>
      </c>
      <c r="O2629" s="13" t="str">
        <f t="shared" ref="O2629:O2692" si="290">IF(VALUE(E2629)=0,L2629,IF(L2629="ЭТАЖ НЕ ОПРЕДЕЛЕН. ПРИНЯТ ПО ДОПУЩЕНИЮ 1",F2629,L2629))</f>
        <v>ЭТАЖ ЗАДАН ЧИСЛОМ</v>
      </c>
      <c r="P2629" s="13" t="str">
        <f t="shared" ref="P2629:P2692" si="291">IF(B2629="Многоквартирный дом",CONCATENATE("МКД_",O2629),O2629)</f>
        <v>ЭТАЖ ЗАДАН ЧИСЛОМ</v>
      </c>
      <c r="Q2629" s="13" t="str">
        <f t="shared" ref="Q2629:Q2692" si="292">IFERROR(IF(N2629&gt;0,IF(N2629=VALUE(E2629),"ГОТОВ","ГОТОВ_ИЗМЕНЕН"),"НЕ ГОТОВ"),"НЕ ГОТОВ")</f>
        <v>ГОТОВ_ИЗМЕНЕН</v>
      </c>
      <c r="R2629" s="13">
        <f>IFERROR(VLOOKUP(P2629,Лист1!A$1:B$20,2,FALSE),0)</f>
        <v>784</v>
      </c>
      <c r="S2629" s="13">
        <f t="shared" ref="S2629:S2692" si="293">VALUE(E2629)</f>
        <v>0</v>
      </c>
    </row>
    <row r="2630" spans="1:19" x14ac:dyDescent="0.25">
      <c r="A2630" s="24" t="s">
        <v>3760</v>
      </c>
      <c r="B2630" s="4" t="s">
        <v>1059</v>
      </c>
      <c r="C2630" s="25" t="s">
        <v>5</v>
      </c>
      <c r="G2630" s="25" t="s">
        <v>1089</v>
      </c>
      <c r="H2630" s="24" t="s">
        <v>1061</v>
      </c>
      <c r="I2630" s="3" t="str">
        <f>IFERROR(VLOOKUP(C2630,'Справочник соответствий'!A$2:D$2981,2,FALSE),IF(VALUE(C2630)=0,1,VLOOKUP(C2630,'Справочник соответствий'!A$2:D$2981,2,FALSE)))</f>
        <v>1</v>
      </c>
      <c r="J2630" s="3">
        <f>IFERROR(VLOOKUP(D2630,'Справочник соответствий'!A$2:D$2981,2,FALSE),IF(VALUE(D2630)=0,0,VLOOKUP(D2630,'Справочник соответствий'!A$2:D$2981,2,FALSE)))</f>
        <v>0</v>
      </c>
      <c r="K2630" s="3" t="str">
        <f t="shared" si="287"/>
        <v>1</v>
      </c>
      <c r="L2630" s="13" t="str">
        <f>IFERROR(VLOOKUP(C2630,'Справочник соответствий'!A$2:D$2981,3,FALSE),IF(VALUE(C2630)=0,"ЭТАЖ НЕ ОПРЕДЕЛЕН. ПРИНЯТ ПО ДОПУЩЕНИЮ 1",VLOOKUP(C2630,'Справочник соответствий'!A$2:D$2981,3,FALSE)))</f>
        <v>ЭТАЖ ЗАДАН ЧИСЛОМ</v>
      </c>
      <c r="M2630" s="13" t="b">
        <f t="shared" si="288"/>
        <v>0</v>
      </c>
      <c r="N2630" s="13">
        <f t="shared" si="289"/>
        <v>1</v>
      </c>
      <c r="O2630" s="13" t="str">
        <f t="shared" si="290"/>
        <v>ЭТАЖ ЗАДАН ЧИСЛОМ</v>
      </c>
      <c r="P2630" s="13" t="str">
        <f t="shared" si="291"/>
        <v>ЭТАЖ ЗАДАН ЧИСЛОМ</v>
      </c>
      <c r="Q2630" s="13" t="str">
        <f t="shared" si="292"/>
        <v>ГОТОВ_ИЗМЕНЕН</v>
      </c>
      <c r="R2630" s="13">
        <f>IFERROR(VLOOKUP(P2630,Лист1!A$1:B$20,2,FALSE),0)</f>
        <v>784</v>
      </c>
      <c r="S2630" s="13">
        <f t="shared" si="293"/>
        <v>0</v>
      </c>
    </row>
    <row r="2631" spans="1:19" x14ac:dyDescent="0.25">
      <c r="A2631" s="24" t="s">
        <v>3761</v>
      </c>
      <c r="B2631" s="4" t="s">
        <v>1063</v>
      </c>
      <c r="C2631" s="25" t="s">
        <v>5</v>
      </c>
      <c r="G2631" s="25" t="s">
        <v>1089</v>
      </c>
      <c r="H2631" s="24" t="s">
        <v>1061</v>
      </c>
      <c r="I2631" s="3" t="str">
        <f>IFERROR(VLOOKUP(C2631,'Справочник соответствий'!A$2:D$2981,2,FALSE),IF(VALUE(C2631)=0,1,VLOOKUP(C2631,'Справочник соответствий'!A$2:D$2981,2,FALSE)))</f>
        <v>1</v>
      </c>
      <c r="J2631" s="3">
        <f>IFERROR(VLOOKUP(D2631,'Справочник соответствий'!A$2:D$2981,2,FALSE),IF(VALUE(D2631)=0,0,VLOOKUP(D2631,'Справочник соответствий'!A$2:D$2981,2,FALSE)))</f>
        <v>0</v>
      </c>
      <c r="K2631" s="3" t="str">
        <f t="shared" si="287"/>
        <v>1</v>
      </c>
      <c r="L2631" s="13" t="str">
        <f>IFERROR(VLOOKUP(C2631,'Справочник соответствий'!A$2:D$2981,3,FALSE),IF(VALUE(C2631)=0,"ЭТАЖ НЕ ОПРЕДЕЛЕН. ПРИНЯТ ПО ДОПУЩЕНИЮ 1",VLOOKUP(C2631,'Справочник соответствий'!A$2:D$2981,3,FALSE)))</f>
        <v>ЭТАЖ ЗАДАН ЧИСЛОМ</v>
      </c>
      <c r="M2631" s="13" t="b">
        <f t="shared" si="288"/>
        <v>0</v>
      </c>
      <c r="N2631" s="13">
        <f t="shared" si="289"/>
        <v>1</v>
      </c>
      <c r="O2631" s="13" t="str">
        <f t="shared" si="290"/>
        <v>ЭТАЖ ЗАДАН ЧИСЛОМ</v>
      </c>
      <c r="P2631" s="13" t="str">
        <f t="shared" si="291"/>
        <v>ЭТАЖ ЗАДАН ЧИСЛОМ</v>
      </c>
      <c r="Q2631" s="13" t="str">
        <f t="shared" si="292"/>
        <v>ГОТОВ_ИЗМЕНЕН</v>
      </c>
      <c r="R2631" s="13">
        <f>IFERROR(VLOOKUP(P2631,Лист1!A$1:B$20,2,FALSE),0)</f>
        <v>784</v>
      </c>
      <c r="S2631" s="13">
        <f t="shared" si="293"/>
        <v>0</v>
      </c>
    </row>
    <row r="2632" spans="1:19" x14ac:dyDescent="0.25">
      <c r="A2632" s="24" t="s">
        <v>3762</v>
      </c>
      <c r="B2632" s="4" t="s">
        <v>1059</v>
      </c>
      <c r="C2632" s="25" t="s">
        <v>7</v>
      </c>
      <c r="G2632" s="25" t="s">
        <v>1089</v>
      </c>
      <c r="H2632" s="24" t="s">
        <v>1061</v>
      </c>
      <c r="I2632" s="3" t="str">
        <f>IFERROR(VLOOKUP(C2632,'Справочник соответствий'!A$2:D$2981,2,FALSE),IF(VALUE(C2632)=0,1,VLOOKUP(C2632,'Справочник соответствий'!A$2:D$2981,2,FALSE)))</f>
        <v>2</v>
      </c>
      <c r="J2632" s="3">
        <f>IFERROR(VLOOKUP(D2632,'Справочник соответствий'!A$2:D$2981,2,FALSE),IF(VALUE(D2632)=0,0,VLOOKUP(D2632,'Справочник соответствий'!A$2:D$2981,2,FALSE)))</f>
        <v>0</v>
      </c>
      <c r="K2632" s="3" t="str">
        <f t="shared" si="287"/>
        <v>2</v>
      </c>
      <c r="L2632" s="13" t="str">
        <f>IFERROR(VLOOKUP(C2632,'Справочник соответствий'!A$2:D$2981,3,FALSE),IF(VALUE(C2632)=0,"ЭТАЖ НЕ ОПРЕДЕЛЕН. ПРИНЯТ ПО ДОПУЩЕНИЮ 1",VLOOKUP(C2632,'Справочник соответствий'!A$2:D$2981,3,FALSE)))</f>
        <v>ЭТАЖ ЗАДАН ЧИСЛОМ</v>
      </c>
      <c r="M2632" s="13" t="b">
        <f t="shared" si="288"/>
        <v>0</v>
      </c>
      <c r="N2632" s="13">
        <f t="shared" si="289"/>
        <v>2</v>
      </c>
      <c r="O2632" s="13" t="str">
        <f t="shared" si="290"/>
        <v>ЭТАЖ ЗАДАН ЧИСЛОМ</v>
      </c>
      <c r="P2632" s="13" t="str">
        <f t="shared" si="291"/>
        <v>ЭТАЖ ЗАДАН ЧИСЛОМ</v>
      </c>
      <c r="Q2632" s="13" t="str">
        <f t="shared" si="292"/>
        <v>ГОТОВ_ИЗМЕНЕН</v>
      </c>
      <c r="R2632" s="13">
        <f>IFERROR(VLOOKUP(P2632,Лист1!A$1:B$20,2,FALSE),0)</f>
        <v>784</v>
      </c>
      <c r="S2632" s="13">
        <f t="shared" si="293"/>
        <v>0</v>
      </c>
    </row>
    <row r="2633" spans="1:19" x14ac:dyDescent="0.25">
      <c r="A2633" s="24" t="s">
        <v>3763</v>
      </c>
      <c r="B2633" s="4" t="s">
        <v>1059</v>
      </c>
      <c r="C2633" s="25" t="s">
        <v>5</v>
      </c>
      <c r="G2633" s="25" t="s">
        <v>1089</v>
      </c>
      <c r="H2633" s="24" t="s">
        <v>1061</v>
      </c>
      <c r="I2633" s="3" t="str">
        <f>IFERROR(VLOOKUP(C2633,'Справочник соответствий'!A$2:D$2981,2,FALSE),IF(VALUE(C2633)=0,1,VLOOKUP(C2633,'Справочник соответствий'!A$2:D$2981,2,FALSE)))</f>
        <v>1</v>
      </c>
      <c r="J2633" s="3">
        <f>IFERROR(VLOOKUP(D2633,'Справочник соответствий'!A$2:D$2981,2,FALSE),IF(VALUE(D2633)=0,0,VLOOKUP(D2633,'Справочник соответствий'!A$2:D$2981,2,FALSE)))</f>
        <v>0</v>
      </c>
      <c r="K2633" s="3" t="str">
        <f t="shared" si="287"/>
        <v>1</v>
      </c>
      <c r="L2633" s="13" t="str">
        <f>IFERROR(VLOOKUP(C2633,'Справочник соответствий'!A$2:D$2981,3,FALSE),IF(VALUE(C2633)=0,"ЭТАЖ НЕ ОПРЕДЕЛЕН. ПРИНЯТ ПО ДОПУЩЕНИЮ 1",VLOOKUP(C2633,'Справочник соответствий'!A$2:D$2981,3,FALSE)))</f>
        <v>ЭТАЖ ЗАДАН ЧИСЛОМ</v>
      </c>
      <c r="M2633" s="13" t="b">
        <f t="shared" si="288"/>
        <v>0</v>
      </c>
      <c r="N2633" s="13">
        <f t="shared" si="289"/>
        <v>1</v>
      </c>
      <c r="O2633" s="13" t="str">
        <f t="shared" si="290"/>
        <v>ЭТАЖ ЗАДАН ЧИСЛОМ</v>
      </c>
      <c r="P2633" s="13" t="str">
        <f t="shared" si="291"/>
        <v>ЭТАЖ ЗАДАН ЧИСЛОМ</v>
      </c>
      <c r="Q2633" s="13" t="str">
        <f t="shared" si="292"/>
        <v>ГОТОВ_ИЗМЕНЕН</v>
      </c>
      <c r="R2633" s="13">
        <f>IFERROR(VLOOKUP(P2633,Лист1!A$1:B$20,2,FALSE),0)</f>
        <v>784</v>
      </c>
      <c r="S2633" s="13">
        <f t="shared" si="293"/>
        <v>0</v>
      </c>
    </row>
    <row r="2634" spans="1:19" x14ac:dyDescent="0.25">
      <c r="A2634" s="24" t="s">
        <v>3764</v>
      </c>
      <c r="B2634" s="4" t="s">
        <v>1059</v>
      </c>
      <c r="C2634" s="25" t="s">
        <v>5</v>
      </c>
      <c r="G2634" s="25" t="s">
        <v>1089</v>
      </c>
      <c r="H2634" s="24" t="s">
        <v>1061</v>
      </c>
      <c r="I2634" s="3" t="str">
        <f>IFERROR(VLOOKUP(C2634,'Справочник соответствий'!A$2:D$2981,2,FALSE),IF(VALUE(C2634)=0,1,VLOOKUP(C2634,'Справочник соответствий'!A$2:D$2981,2,FALSE)))</f>
        <v>1</v>
      </c>
      <c r="J2634" s="3">
        <f>IFERROR(VLOOKUP(D2634,'Справочник соответствий'!A$2:D$2981,2,FALSE),IF(VALUE(D2634)=0,0,VLOOKUP(D2634,'Справочник соответствий'!A$2:D$2981,2,FALSE)))</f>
        <v>0</v>
      </c>
      <c r="K2634" s="3" t="str">
        <f t="shared" si="287"/>
        <v>1</v>
      </c>
      <c r="L2634" s="13" t="str">
        <f>IFERROR(VLOOKUP(C2634,'Справочник соответствий'!A$2:D$2981,3,FALSE),IF(VALUE(C2634)=0,"ЭТАЖ НЕ ОПРЕДЕЛЕН. ПРИНЯТ ПО ДОПУЩЕНИЮ 1",VLOOKUP(C2634,'Справочник соответствий'!A$2:D$2981,3,FALSE)))</f>
        <v>ЭТАЖ ЗАДАН ЧИСЛОМ</v>
      </c>
      <c r="M2634" s="13" t="b">
        <f t="shared" si="288"/>
        <v>0</v>
      </c>
      <c r="N2634" s="13">
        <f t="shared" si="289"/>
        <v>1</v>
      </c>
      <c r="O2634" s="13" t="str">
        <f t="shared" si="290"/>
        <v>ЭТАЖ ЗАДАН ЧИСЛОМ</v>
      </c>
      <c r="P2634" s="13" t="str">
        <f t="shared" si="291"/>
        <v>ЭТАЖ ЗАДАН ЧИСЛОМ</v>
      </c>
      <c r="Q2634" s="13" t="str">
        <f t="shared" si="292"/>
        <v>ГОТОВ_ИЗМЕНЕН</v>
      </c>
      <c r="R2634" s="13">
        <f>IFERROR(VLOOKUP(P2634,Лист1!A$1:B$20,2,FALSE),0)</f>
        <v>784</v>
      </c>
      <c r="S2634" s="13">
        <f t="shared" si="293"/>
        <v>0</v>
      </c>
    </row>
    <row r="2635" spans="1:19" x14ac:dyDescent="0.25">
      <c r="A2635" s="24" t="s">
        <v>3765</v>
      </c>
      <c r="B2635" s="4" t="s">
        <v>1063</v>
      </c>
      <c r="C2635" s="25" t="s">
        <v>5</v>
      </c>
      <c r="G2635" s="25" t="s">
        <v>1328</v>
      </c>
      <c r="H2635" s="24" t="s">
        <v>1061</v>
      </c>
      <c r="I2635" s="3" t="str">
        <f>IFERROR(VLOOKUP(C2635,'Справочник соответствий'!A$2:D$2981,2,FALSE),IF(VALUE(C2635)=0,1,VLOOKUP(C2635,'Справочник соответствий'!A$2:D$2981,2,FALSE)))</f>
        <v>1</v>
      </c>
      <c r="J2635" s="3">
        <f>IFERROR(VLOOKUP(D2635,'Справочник соответствий'!A$2:D$2981,2,FALSE),IF(VALUE(D2635)=0,0,VLOOKUP(D2635,'Справочник соответствий'!A$2:D$2981,2,FALSE)))</f>
        <v>0</v>
      </c>
      <c r="K2635" s="3" t="str">
        <f t="shared" si="287"/>
        <v>1</v>
      </c>
      <c r="L2635" s="13" t="str">
        <f>IFERROR(VLOOKUP(C2635,'Справочник соответствий'!A$2:D$2981,3,FALSE),IF(VALUE(C2635)=0,"ЭТАЖ НЕ ОПРЕДЕЛЕН. ПРИНЯТ ПО ДОПУЩЕНИЮ 1",VLOOKUP(C2635,'Справочник соответствий'!A$2:D$2981,3,FALSE)))</f>
        <v>ЭТАЖ ЗАДАН ЧИСЛОМ</v>
      </c>
      <c r="M2635" s="13" t="b">
        <f t="shared" si="288"/>
        <v>0</v>
      </c>
      <c r="N2635" s="13">
        <f t="shared" si="289"/>
        <v>1</v>
      </c>
      <c r="O2635" s="13" t="str">
        <f t="shared" si="290"/>
        <v>ЭТАЖ ЗАДАН ЧИСЛОМ</v>
      </c>
      <c r="P2635" s="13" t="str">
        <f t="shared" si="291"/>
        <v>ЭТАЖ ЗАДАН ЧИСЛОМ</v>
      </c>
      <c r="Q2635" s="13" t="str">
        <f t="shared" si="292"/>
        <v>ГОТОВ_ИЗМЕНЕН</v>
      </c>
      <c r="R2635" s="13">
        <f>IFERROR(VLOOKUP(P2635,Лист1!A$1:B$20,2,FALSE),0)</f>
        <v>784</v>
      </c>
      <c r="S2635" s="13">
        <f t="shared" si="293"/>
        <v>0</v>
      </c>
    </row>
    <row r="2636" spans="1:19" x14ac:dyDescent="0.25">
      <c r="A2636" s="24" t="s">
        <v>3766</v>
      </c>
      <c r="B2636" s="4" t="s">
        <v>1059</v>
      </c>
      <c r="C2636" s="25" t="s">
        <v>7</v>
      </c>
      <c r="G2636" s="25" t="s">
        <v>1698</v>
      </c>
      <c r="H2636" s="24" t="s">
        <v>1061</v>
      </c>
      <c r="I2636" s="3" t="str">
        <f>IFERROR(VLOOKUP(C2636,'Справочник соответствий'!A$2:D$2981,2,FALSE),IF(VALUE(C2636)=0,1,VLOOKUP(C2636,'Справочник соответствий'!A$2:D$2981,2,FALSE)))</f>
        <v>2</v>
      </c>
      <c r="J2636" s="3">
        <f>IFERROR(VLOOKUP(D2636,'Справочник соответствий'!A$2:D$2981,2,FALSE),IF(VALUE(D2636)=0,0,VLOOKUP(D2636,'Справочник соответствий'!A$2:D$2981,2,FALSE)))</f>
        <v>0</v>
      </c>
      <c r="K2636" s="3" t="str">
        <f t="shared" si="287"/>
        <v>2</v>
      </c>
      <c r="L2636" s="13" t="str">
        <f>IFERROR(VLOOKUP(C2636,'Справочник соответствий'!A$2:D$2981,3,FALSE),IF(VALUE(C2636)=0,"ЭТАЖ НЕ ОПРЕДЕЛЕН. ПРИНЯТ ПО ДОПУЩЕНИЮ 1",VLOOKUP(C2636,'Справочник соответствий'!A$2:D$2981,3,FALSE)))</f>
        <v>ЭТАЖ ЗАДАН ЧИСЛОМ</v>
      </c>
      <c r="M2636" s="13" t="b">
        <f t="shared" si="288"/>
        <v>0</v>
      </c>
      <c r="N2636" s="13">
        <f t="shared" si="289"/>
        <v>2</v>
      </c>
      <c r="O2636" s="13" t="str">
        <f t="shared" si="290"/>
        <v>ЭТАЖ ЗАДАН ЧИСЛОМ</v>
      </c>
      <c r="P2636" s="13" t="str">
        <f t="shared" si="291"/>
        <v>ЭТАЖ ЗАДАН ЧИСЛОМ</v>
      </c>
      <c r="Q2636" s="13" t="str">
        <f t="shared" si="292"/>
        <v>ГОТОВ_ИЗМЕНЕН</v>
      </c>
      <c r="R2636" s="13">
        <f>IFERROR(VLOOKUP(P2636,Лист1!A$1:B$20,2,FALSE),0)</f>
        <v>784</v>
      </c>
      <c r="S2636" s="13">
        <f t="shared" si="293"/>
        <v>0</v>
      </c>
    </row>
    <row r="2637" spans="1:19" x14ac:dyDescent="0.25">
      <c r="A2637" s="24" t="s">
        <v>3767</v>
      </c>
      <c r="B2637" s="4" t="s">
        <v>1063</v>
      </c>
      <c r="C2637" s="25" t="s">
        <v>5</v>
      </c>
      <c r="G2637" s="25" t="s">
        <v>1698</v>
      </c>
      <c r="H2637" s="24" t="s">
        <v>1061</v>
      </c>
      <c r="I2637" s="3" t="str">
        <f>IFERROR(VLOOKUP(C2637,'Справочник соответствий'!A$2:D$2981,2,FALSE),IF(VALUE(C2637)=0,1,VLOOKUP(C2637,'Справочник соответствий'!A$2:D$2981,2,FALSE)))</f>
        <v>1</v>
      </c>
      <c r="J2637" s="3">
        <f>IFERROR(VLOOKUP(D2637,'Справочник соответствий'!A$2:D$2981,2,FALSE),IF(VALUE(D2637)=0,0,VLOOKUP(D2637,'Справочник соответствий'!A$2:D$2981,2,FALSE)))</f>
        <v>0</v>
      </c>
      <c r="K2637" s="3" t="str">
        <f t="shared" si="287"/>
        <v>1</v>
      </c>
      <c r="L2637" s="13" t="str">
        <f>IFERROR(VLOOKUP(C2637,'Справочник соответствий'!A$2:D$2981,3,FALSE),IF(VALUE(C2637)=0,"ЭТАЖ НЕ ОПРЕДЕЛЕН. ПРИНЯТ ПО ДОПУЩЕНИЮ 1",VLOOKUP(C2637,'Справочник соответствий'!A$2:D$2981,3,FALSE)))</f>
        <v>ЭТАЖ ЗАДАН ЧИСЛОМ</v>
      </c>
      <c r="M2637" s="13" t="b">
        <f t="shared" si="288"/>
        <v>0</v>
      </c>
      <c r="N2637" s="13">
        <f t="shared" si="289"/>
        <v>1</v>
      </c>
      <c r="O2637" s="13" t="str">
        <f t="shared" si="290"/>
        <v>ЭТАЖ ЗАДАН ЧИСЛОМ</v>
      </c>
      <c r="P2637" s="13" t="str">
        <f t="shared" si="291"/>
        <v>ЭТАЖ ЗАДАН ЧИСЛОМ</v>
      </c>
      <c r="Q2637" s="13" t="str">
        <f t="shared" si="292"/>
        <v>ГОТОВ_ИЗМЕНЕН</v>
      </c>
      <c r="R2637" s="13">
        <f>IFERROR(VLOOKUP(P2637,Лист1!A$1:B$20,2,FALSE),0)</f>
        <v>784</v>
      </c>
      <c r="S2637" s="13">
        <f t="shared" si="293"/>
        <v>0</v>
      </c>
    </row>
    <row r="2638" spans="1:19" x14ac:dyDescent="0.25">
      <c r="A2638" s="24" t="s">
        <v>3768</v>
      </c>
      <c r="B2638" s="4" t="s">
        <v>1063</v>
      </c>
      <c r="G2638" s="25" t="s">
        <v>1698</v>
      </c>
      <c r="H2638" s="24" t="s">
        <v>1061</v>
      </c>
      <c r="I2638" s="3">
        <f>IFERROR(VLOOKUP(C2638,'Справочник соответствий'!A$2:D$2981,2,FALSE),IF(VALUE(C2638)=0,1,VLOOKUP(C2638,'Справочник соответствий'!A$2:D$2981,2,FALSE)))</f>
        <v>1</v>
      </c>
      <c r="J2638" s="3">
        <f>IFERROR(VLOOKUP(D2638,'Справочник соответствий'!A$2:D$2981,2,FALSE),IF(VALUE(D2638)=0,0,VLOOKUP(D2638,'Справочник соответствий'!A$2:D$2981,2,FALSE)))</f>
        <v>0</v>
      </c>
      <c r="K2638" s="3">
        <f t="shared" si="287"/>
        <v>1</v>
      </c>
      <c r="L2638" s="13" t="str">
        <f>IFERROR(VLOOKUP(C2638,'Справочник соответствий'!A$2:D$2981,3,FALSE),IF(VALUE(C2638)=0,"ЭТАЖ НЕ ОПРЕДЕЛЕН. ПРИНЯТ ПО ДОПУЩЕНИЮ 1",VLOOKUP(C2638,'Справочник соответствий'!A$2:D$2981,3,FALSE)))</f>
        <v>ЭТАЖ НЕ ОПРЕДЕЛЕН. ПРИНЯТ ПО ДОПУЩЕНИЮ 1</v>
      </c>
      <c r="M2638" s="13" t="b">
        <f t="shared" si="288"/>
        <v>0</v>
      </c>
      <c r="N2638" s="13">
        <f t="shared" si="289"/>
        <v>1</v>
      </c>
      <c r="O2638" s="13" t="str">
        <f t="shared" si="290"/>
        <v>ЭТАЖ НЕ ОПРЕДЕЛЕН. ПРИНЯТ ПО ДОПУЩЕНИЮ 1</v>
      </c>
      <c r="P2638" s="13" t="str">
        <f t="shared" si="291"/>
        <v>ЭТАЖ НЕ ОПРЕДЕЛЕН. ПРИНЯТ ПО ДОПУЩЕНИЮ 1</v>
      </c>
      <c r="Q2638" s="13" t="str">
        <f t="shared" si="292"/>
        <v>ГОТОВ_ИЗМЕНЕН</v>
      </c>
      <c r="R2638" s="13">
        <f>IFERROR(VLOOKUP(P2638,Лист1!A$1:B$20,2,FALSE),0)</f>
        <v>788</v>
      </c>
      <c r="S2638" s="13">
        <f t="shared" si="293"/>
        <v>0</v>
      </c>
    </row>
    <row r="2639" spans="1:19" x14ac:dyDescent="0.25">
      <c r="A2639" s="24" t="s">
        <v>3769</v>
      </c>
      <c r="B2639" s="4" t="s">
        <v>1059</v>
      </c>
      <c r="C2639" s="25" t="s">
        <v>5</v>
      </c>
      <c r="G2639" s="25" t="s">
        <v>1698</v>
      </c>
      <c r="H2639" s="24" t="s">
        <v>1061</v>
      </c>
      <c r="I2639" s="3" t="str">
        <f>IFERROR(VLOOKUP(C2639,'Справочник соответствий'!A$2:D$2981,2,FALSE),IF(VALUE(C2639)=0,1,VLOOKUP(C2639,'Справочник соответствий'!A$2:D$2981,2,FALSE)))</f>
        <v>1</v>
      </c>
      <c r="J2639" s="3">
        <f>IFERROR(VLOOKUP(D2639,'Справочник соответствий'!A$2:D$2981,2,FALSE),IF(VALUE(D2639)=0,0,VLOOKUP(D2639,'Справочник соответствий'!A$2:D$2981,2,FALSE)))</f>
        <v>0</v>
      </c>
      <c r="K2639" s="3" t="str">
        <f t="shared" si="287"/>
        <v>1</v>
      </c>
      <c r="L2639" s="13" t="str">
        <f>IFERROR(VLOOKUP(C2639,'Справочник соответствий'!A$2:D$2981,3,FALSE),IF(VALUE(C2639)=0,"ЭТАЖ НЕ ОПРЕДЕЛЕН. ПРИНЯТ ПО ДОПУЩЕНИЮ 1",VLOOKUP(C2639,'Справочник соответствий'!A$2:D$2981,3,FALSE)))</f>
        <v>ЭТАЖ ЗАДАН ЧИСЛОМ</v>
      </c>
      <c r="M2639" s="13" t="b">
        <f t="shared" si="288"/>
        <v>0</v>
      </c>
      <c r="N2639" s="13">
        <f t="shared" si="289"/>
        <v>1</v>
      </c>
      <c r="O2639" s="13" t="str">
        <f t="shared" si="290"/>
        <v>ЭТАЖ ЗАДАН ЧИСЛОМ</v>
      </c>
      <c r="P2639" s="13" t="str">
        <f t="shared" si="291"/>
        <v>ЭТАЖ ЗАДАН ЧИСЛОМ</v>
      </c>
      <c r="Q2639" s="13" t="str">
        <f t="shared" si="292"/>
        <v>ГОТОВ_ИЗМЕНЕН</v>
      </c>
      <c r="R2639" s="13">
        <f>IFERROR(VLOOKUP(P2639,Лист1!A$1:B$20,2,FALSE),0)</f>
        <v>784</v>
      </c>
      <c r="S2639" s="13">
        <f t="shared" si="293"/>
        <v>0</v>
      </c>
    </row>
    <row r="2640" spans="1:19" x14ac:dyDescent="0.25">
      <c r="A2640" s="24" t="s">
        <v>3770</v>
      </c>
      <c r="B2640" s="4" t="s">
        <v>1063</v>
      </c>
      <c r="C2640" s="25" t="s">
        <v>5</v>
      </c>
      <c r="G2640" s="25" t="s">
        <v>1698</v>
      </c>
      <c r="H2640" s="24" t="s">
        <v>1061</v>
      </c>
      <c r="I2640" s="3" t="str">
        <f>IFERROR(VLOOKUP(C2640,'Справочник соответствий'!A$2:D$2981,2,FALSE),IF(VALUE(C2640)=0,1,VLOOKUP(C2640,'Справочник соответствий'!A$2:D$2981,2,FALSE)))</f>
        <v>1</v>
      </c>
      <c r="J2640" s="3">
        <f>IFERROR(VLOOKUP(D2640,'Справочник соответствий'!A$2:D$2981,2,FALSE),IF(VALUE(D2640)=0,0,VLOOKUP(D2640,'Справочник соответствий'!A$2:D$2981,2,FALSE)))</f>
        <v>0</v>
      </c>
      <c r="K2640" s="3" t="str">
        <f t="shared" si="287"/>
        <v>1</v>
      </c>
      <c r="L2640" s="13" t="str">
        <f>IFERROR(VLOOKUP(C2640,'Справочник соответствий'!A$2:D$2981,3,FALSE),IF(VALUE(C2640)=0,"ЭТАЖ НЕ ОПРЕДЕЛЕН. ПРИНЯТ ПО ДОПУЩЕНИЮ 1",VLOOKUP(C2640,'Справочник соответствий'!A$2:D$2981,3,FALSE)))</f>
        <v>ЭТАЖ ЗАДАН ЧИСЛОМ</v>
      </c>
      <c r="M2640" s="13" t="b">
        <f t="shared" si="288"/>
        <v>0</v>
      </c>
      <c r="N2640" s="13">
        <f t="shared" si="289"/>
        <v>1</v>
      </c>
      <c r="O2640" s="13" t="str">
        <f t="shared" si="290"/>
        <v>ЭТАЖ ЗАДАН ЧИСЛОМ</v>
      </c>
      <c r="P2640" s="13" t="str">
        <f t="shared" si="291"/>
        <v>ЭТАЖ ЗАДАН ЧИСЛОМ</v>
      </c>
      <c r="Q2640" s="13" t="str">
        <f t="shared" si="292"/>
        <v>ГОТОВ_ИЗМЕНЕН</v>
      </c>
      <c r="R2640" s="13">
        <f>IFERROR(VLOOKUP(P2640,Лист1!A$1:B$20,2,FALSE),0)</f>
        <v>784</v>
      </c>
      <c r="S2640" s="13">
        <f t="shared" si="293"/>
        <v>0</v>
      </c>
    </row>
    <row r="2641" spans="1:19" x14ac:dyDescent="0.25">
      <c r="A2641" s="24" t="s">
        <v>3771</v>
      </c>
      <c r="B2641" s="4" t="s">
        <v>1063</v>
      </c>
      <c r="C2641" s="25" t="s">
        <v>5</v>
      </c>
      <c r="G2641" s="25" t="s">
        <v>1698</v>
      </c>
      <c r="H2641" s="24" t="s">
        <v>1061</v>
      </c>
      <c r="I2641" s="3" t="str">
        <f>IFERROR(VLOOKUP(C2641,'Справочник соответствий'!A$2:D$2981,2,FALSE),IF(VALUE(C2641)=0,1,VLOOKUP(C2641,'Справочник соответствий'!A$2:D$2981,2,FALSE)))</f>
        <v>1</v>
      </c>
      <c r="J2641" s="3">
        <f>IFERROR(VLOOKUP(D2641,'Справочник соответствий'!A$2:D$2981,2,FALSE),IF(VALUE(D2641)=0,0,VLOOKUP(D2641,'Справочник соответствий'!A$2:D$2981,2,FALSE)))</f>
        <v>0</v>
      </c>
      <c r="K2641" s="3" t="str">
        <f t="shared" si="287"/>
        <v>1</v>
      </c>
      <c r="L2641" s="13" t="str">
        <f>IFERROR(VLOOKUP(C2641,'Справочник соответствий'!A$2:D$2981,3,FALSE),IF(VALUE(C2641)=0,"ЭТАЖ НЕ ОПРЕДЕЛЕН. ПРИНЯТ ПО ДОПУЩЕНИЮ 1",VLOOKUP(C2641,'Справочник соответствий'!A$2:D$2981,3,FALSE)))</f>
        <v>ЭТАЖ ЗАДАН ЧИСЛОМ</v>
      </c>
      <c r="M2641" s="13" t="b">
        <f t="shared" si="288"/>
        <v>0</v>
      </c>
      <c r="N2641" s="13">
        <f t="shared" si="289"/>
        <v>1</v>
      </c>
      <c r="O2641" s="13" t="str">
        <f t="shared" si="290"/>
        <v>ЭТАЖ ЗАДАН ЧИСЛОМ</v>
      </c>
      <c r="P2641" s="13" t="str">
        <f t="shared" si="291"/>
        <v>ЭТАЖ ЗАДАН ЧИСЛОМ</v>
      </c>
      <c r="Q2641" s="13" t="str">
        <f t="shared" si="292"/>
        <v>ГОТОВ_ИЗМЕНЕН</v>
      </c>
      <c r="R2641" s="13">
        <f>IFERROR(VLOOKUP(P2641,Лист1!A$1:B$20,2,FALSE),0)</f>
        <v>784</v>
      </c>
      <c r="S2641" s="13">
        <f t="shared" si="293"/>
        <v>0</v>
      </c>
    </row>
    <row r="2642" spans="1:19" x14ac:dyDescent="0.25">
      <c r="A2642" s="24" t="s">
        <v>3772</v>
      </c>
      <c r="B2642" s="4" t="s">
        <v>1063</v>
      </c>
      <c r="C2642" s="25" t="s">
        <v>5</v>
      </c>
      <c r="G2642" s="25" t="s">
        <v>1391</v>
      </c>
      <c r="H2642" s="24" t="s">
        <v>1061</v>
      </c>
      <c r="I2642" s="3" t="str">
        <f>IFERROR(VLOOKUP(C2642,'Справочник соответствий'!A$2:D$2981,2,FALSE),IF(VALUE(C2642)=0,1,VLOOKUP(C2642,'Справочник соответствий'!A$2:D$2981,2,FALSE)))</f>
        <v>1</v>
      </c>
      <c r="J2642" s="3">
        <f>IFERROR(VLOOKUP(D2642,'Справочник соответствий'!A$2:D$2981,2,FALSE),IF(VALUE(D2642)=0,0,VLOOKUP(D2642,'Справочник соответствий'!A$2:D$2981,2,FALSE)))</f>
        <v>0</v>
      </c>
      <c r="K2642" s="3" t="str">
        <f t="shared" si="287"/>
        <v>1</v>
      </c>
      <c r="L2642" s="13" t="str">
        <f>IFERROR(VLOOKUP(C2642,'Справочник соответствий'!A$2:D$2981,3,FALSE),IF(VALUE(C2642)=0,"ЭТАЖ НЕ ОПРЕДЕЛЕН. ПРИНЯТ ПО ДОПУЩЕНИЮ 1",VLOOKUP(C2642,'Справочник соответствий'!A$2:D$2981,3,FALSE)))</f>
        <v>ЭТАЖ ЗАДАН ЧИСЛОМ</v>
      </c>
      <c r="M2642" s="13" t="b">
        <f t="shared" si="288"/>
        <v>0</v>
      </c>
      <c r="N2642" s="13">
        <f t="shared" si="289"/>
        <v>1</v>
      </c>
      <c r="O2642" s="13" t="str">
        <f t="shared" si="290"/>
        <v>ЭТАЖ ЗАДАН ЧИСЛОМ</v>
      </c>
      <c r="P2642" s="13" t="str">
        <f t="shared" si="291"/>
        <v>ЭТАЖ ЗАДАН ЧИСЛОМ</v>
      </c>
      <c r="Q2642" s="13" t="str">
        <f t="shared" si="292"/>
        <v>ГОТОВ_ИЗМЕНЕН</v>
      </c>
      <c r="R2642" s="13">
        <f>IFERROR(VLOOKUP(P2642,Лист1!A$1:B$20,2,FALSE),0)</f>
        <v>784</v>
      </c>
      <c r="S2642" s="13">
        <f t="shared" si="293"/>
        <v>0</v>
      </c>
    </row>
    <row r="2643" spans="1:19" x14ac:dyDescent="0.25">
      <c r="A2643" s="24" t="s">
        <v>3773</v>
      </c>
      <c r="B2643" s="4" t="s">
        <v>1063</v>
      </c>
      <c r="G2643" s="25" t="s">
        <v>1391</v>
      </c>
      <c r="H2643" s="24" t="s">
        <v>1061</v>
      </c>
      <c r="I2643" s="3">
        <f>IFERROR(VLOOKUP(C2643,'Справочник соответствий'!A$2:D$2981,2,FALSE),IF(VALUE(C2643)=0,1,VLOOKUP(C2643,'Справочник соответствий'!A$2:D$2981,2,FALSE)))</f>
        <v>1</v>
      </c>
      <c r="J2643" s="3">
        <f>IFERROR(VLOOKUP(D2643,'Справочник соответствий'!A$2:D$2981,2,FALSE),IF(VALUE(D2643)=0,0,VLOOKUP(D2643,'Справочник соответствий'!A$2:D$2981,2,FALSE)))</f>
        <v>0</v>
      </c>
      <c r="K2643" s="3">
        <f t="shared" si="287"/>
        <v>1</v>
      </c>
      <c r="L2643" s="13" t="str">
        <f>IFERROR(VLOOKUP(C2643,'Справочник соответствий'!A$2:D$2981,3,FALSE),IF(VALUE(C2643)=0,"ЭТАЖ НЕ ОПРЕДЕЛЕН. ПРИНЯТ ПО ДОПУЩЕНИЮ 1",VLOOKUP(C2643,'Справочник соответствий'!A$2:D$2981,3,FALSE)))</f>
        <v>ЭТАЖ НЕ ОПРЕДЕЛЕН. ПРИНЯТ ПО ДОПУЩЕНИЮ 1</v>
      </c>
      <c r="M2643" s="13" t="b">
        <f t="shared" si="288"/>
        <v>0</v>
      </c>
      <c r="N2643" s="13">
        <f t="shared" si="289"/>
        <v>1</v>
      </c>
      <c r="O2643" s="13" t="str">
        <f t="shared" si="290"/>
        <v>ЭТАЖ НЕ ОПРЕДЕЛЕН. ПРИНЯТ ПО ДОПУЩЕНИЮ 1</v>
      </c>
      <c r="P2643" s="13" t="str">
        <f t="shared" si="291"/>
        <v>ЭТАЖ НЕ ОПРЕДЕЛЕН. ПРИНЯТ ПО ДОПУЩЕНИЮ 1</v>
      </c>
      <c r="Q2643" s="13" t="str">
        <f t="shared" si="292"/>
        <v>ГОТОВ_ИЗМЕНЕН</v>
      </c>
      <c r="R2643" s="13">
        <f>IFERROR(VLOOKUP(P2643,Лист1!A$1:B$20,2,FALSE),0)</f>
        <v>788</v>
      </c>
      <c r="S2643" s="13">
        <f t="shared" si="293"/>
        <v>0</v>
      </c>
    </row>
    <row r="2644" spans="1:19" x14ac:dyDescent="0.25">
      <c r="A2644" s="24" t="s">
        <v>3774</v>
      </c>
      <c r="B2644" s="4" t="s">
        <v>1059</v>
      </c>
      <c r="G2644" s="25" t="s">
        <v>1391</v>
      </c>
      <c r="H2644" s="24" t="s">
        <v>1061</v>
      </c>
      <c r="I2644" s="3">
        <f>IFERROR(VLOOKUP(C2644,'Справочник соответствий'!A$2:D$2981,2,FALSE),IF(VALUE(C2644)=0,1,VLOOKUP(C2644,'Справочник соответствий'!A$2:D$2981,2,FALSE)))</f>
        <v>1</v>
      </c>
      <c r="J2644" s="3">
        <f>IFERROR(VLOOKUP(D2644,'Справочник соответствий'!A$2:D$2981,2,FALSE),IF(VALUE(D2644)=0,0,VLOOKUP(D2644,'Справочник соответствий'!A$2:D$2981,2,FALSE)))</f>
        <v>0</v>
      </c>
      <c r="K2644" s="3">
        <f t="shared" si="287"/>
        <v>1</v>
      </c>
      <c r="L2644" s="13" t="str">
        <f>IFERROR(VLOOKUP(C2644,'Справочник соответствий'!A$2:D$2981,3,FALSE),IF(VALUE(C2644)=0,"ЭТАЖ НЕ ОПРЕДЕЛЕН. ПРИНЯТ ПО ДОПУЩЕНИЮ 1",VLOOKUP(C2644,'Справочник соответствий'!A$2:D$2981,3,FALSE)))</f>
        <v>ЭТАЖ НЕ ОПРЕДЕЛЕН. ПРИНЯТ ПО ДОПУЩЕНИЮ 1</v>
      </c>
      <c r="M2644" s="13" t="b">
        <f t="shared" si="288"/>
        <v>0</v>
      </c>
      <c r="N2644" s="13">
        <f t="shared" si="289"/>
        <v>1</v>
      </c>
      <c r="O2644" s="13" t="str">
        <f t="shared" si="290"/>
        <v>ЭТАЖ НЕ ОПРЕДЕЛЕН. ПРИНЯТ ПО ДОПУЩЕНИЮ 1</v>
      </c>
      <c r="P2644" s="13" t="str">
        <f t="shared" si="291"/>
        <v>ЭТАЖ НЕ ОПРЕДЕЛЕН. ПРИНЯТ ПО ДОПУЩЕНИЮ 1</v>
      </c>
      <c r="Q2644" s="13" t="str">
        <f t="shared" si="292"/>
        <v>ГОТОВ_ИЗМЕНЕН</v>
      </c>
      <c r="R2644" s="13">
        <f>IFERROR(VLOOKUP(P2644,Лист1!A$1:B$20,2,FALSE),0)</f>
        <v>788</v>
      </c>
      <c r="S2644" s="13">
        <f t="shared" si="293"/>
        <v>0</v>
      </c>
    </row>
    <row r="2645" spans="1:19" x14ac:dyDescent="0.25">
      <c r="A2645" s="24" t="s">
        <v>3775</v>
      </c>
      <c r="B2645" s="4" t="s">
        <v>1059</v>
      </c>
      <c r="C2645" s="25" t="s">
        <v>5</v>
      </c>
      <c r="G2645" s="25" t="s">
        <v>1347</v>
      </c>
      <c r="H2645" s="24" t="s">
        <v>1061</v>
      </c>
      <c r="I2645" s="3" t="str">
        <f>IFERROR(VLOOKUP(C2645,'Справочник соответствий'!A$2:D$2981,2,FALSE),IF(VALUE(C2645)=0,1,VLOOKUP(C2645,'Справочник соответствий'!A$2:D$2981,2,FALSE)))</f>
        <v>1</v>
      </c>
      <c r="J2645" s="3">
        <f>IFERROR(VLOOKUP(D2645,'Справочник соответствий'!A$2:D$2981,2,FALSE),IF(VALUE(D2645)=0,0,VLOOKUP(D2645,'Справочник соответствий'!A$2:D$2981,2,FALSE)))</f>
        <v>0</v>
      </c>
      <c r="K2645" s="3" t="str">
        <f t="shared" si="287"/>
        <v>1</v>
      </c>
      <c r="L2645" s="13" t="str">
        <f>IFERROR(VLOOKUP(C2645,'Справочник соответствий'!A$2:D$2981,3,FALSE),IF(VALUE(C2645)=0,"ЭТАЖ НЕ ОПРЕДЕЛЕН. ПРИНЯТ ПО ДОПУЩЕНИЮ 1",VLOOKUP(C2645,'Справочник соответствий'!A$2:D$2981,3,FALSE)))</f>
        <v>ЭТАЖ ЗАДАН ЧИСЛОМ</v>
      </c>
      <c r="M2645" s="13" t="b">
        <f t="shared" si="288"/>
        <v>0</v>
      </c>
      <c r="N2645" s="13">
        <f t="shared" si="289"/>
        <v>1</v>
      </c>
      <c r="O2645" s="13" t="str">
        <f t="shared" si="290"/>
        <v>ЭТАЖ ЗАДАН ЧИСЛОМ</v>
      </c>
      <c r="P2645" s="13" t="str">
        <f t="shared" si="291"/>
        <v>ЭТАЖ ЗАДАН ЧИСЛОМ</v>
      </c>
      <c r="Q2645" s="13" t="str">
        <f t="shared" si="292"/>
        <v>ГОТОВ_ИЗМЕНЕН</v>
      </c>
      <c r="R2645" s="13">
        <f>IFERROR(VLOOKUP(P2645,Лист1!A$1:B$20,2,FALSE),0)</f>
        <v>784</v>
      </c>
      <c r="S2645" s="13">
        <f t="shared" si="293"/>
        <v>0</v>
      </c>
    </row>
    <row r="2646" spans="1:19" x14ac:dyDescent="0.25">
      <c r="A2646" s="24" t="s">
        <v>3776</v>
      </c>
      <c r="B2646" s="4" t="s">
        <v>1063</v>
      </c>
      <c r="G2646" s="25" t="s">
        <v>1347</v>
      </c>
      <c r="H2646" s="24" t="s">
        <v>1061</v>
      </c>
      <c r="I2646" s="3">
        <f>IFERROR(VLOOKUP(C2646,'Справочник соответствий'!A$2:D$2981,2,FALSE),IF(VALUE(C2646)=0,1,VLOOKUP(C2646,'Справочник соответствий'!A$2:D$2981,2,FALSE)))</f>
        <v>1</v>
      </c>
      <c r="J2646" s="3">
        <f>IFERROR(VLOOKUP(D2646,'Справочник соответствий'!A$2:D$2981,2,FALSE),IF(VALUE(D2646)=0,0,VLOOKUP(D2646,'Справочник соответствий'!A$2:D$2981,2,FALSE)))</f>
        <v>0</v>
      </c>
      <c r="K2646" s="3">
        <f t="shared" si="287"/>
        <v>1</v>
      </c>
      <c r="L2646" s="13" t="str">
        <f>IFERROR(VLOOKUP(C2646,'Справочник соответствий'!A$2:D$2981,3,FALSE),IF(VALUE(C2646)=0,"ЭТАЖ НЕ ОПРЕДЕЛЕН. ПРИНЯТ ПО ДОПУЩЕНИЮ 1",VLOOKUP(C2646,'Справочник соответствий'!A$2:D$2981,3,FALSE)))</f>
        <v>ЭТАЖ НЕ ОПРЕДЕЛЕН. ПРИНЯТ ПО ДОПУЩЕНИЮ 1</v>
      </c>
      <c r="M2646" s="13" t="b">
        <f t="shared" si="288"/>
        <v>0</v>
      </c>
      <c r="N2646" s="13">
        <f t="shared" si="289"/>
        <v>1</v>
      </c>
      <c r="O2646" s="13" t="str">
        <f t="shared" si="290"/>
        <v>ЭТАЖ НЕ ОПРЕДЕЛЕН. ПРИНЯТ ПО ДОПУЩЕНИЮ 1</v>
      </c>
      <c r="P2646" s="13" t="str">
        <f t="shared" si="291"/>
        <v>ЭТАЖ НЕ ОПРЕДЕЛЕН. ПРИНЯТ ПО ДОПУЩЕНИЮ 1</v>
      </c>
      <c r="Q2646" s="13" t="str">
        <f t="shared" si="292"/>
        <v>ГОТОВ_ИЗМЕНЕН</v>
      </c>
      <c r="R2646" s="13">
        <f>IFERROR(VLOOKUP(P2646,Лист1!A$1:B$20,2,FALSE),0)</f>
        <v>788</v>
      </c>
      <c r="S2646" s="13">
        <f t="shared" si="293"/>
        <v>0</v>
      </c>
    </row>
    <row r="2647" spans="1:19" x14ac:dyDescent="0.25">
      <c r="A2647" s="24" t="s">
        <v>3777</v>
      </c>
      <c r="B2647" s="4" t="s">
        <v>1059</v>
      </c>
      <c r="C2647" s="25" t="s">
        <v>5</v>
      </c>
      <c r="G2647" s="25" t="s">
        <v>1347</v>
      </c>
      <c r="H2647" s="24" t="s">
        <v>1061</v>
      </c>
      <c r="I2647" s="3" t="str">
        <f>IFERROR(VLOOKUP(C2647,'Справочник соответствий'!A$2:D$2981,2,FALSE),IF(VALUE(C2647)=0,1,VLOOKUP(C2647,'Справочник соответствий'!A$2:D$2981,2,FALSE)))</f>
        <v>1</v>
      </c>
      <c r="J2647" s="3">
        <f>IFERROR(VLOOKUP(D2647,'Справочник соответствий'!A$2:D$2981,2,FALSE),IF(VALUE(D2647)=0,0,VLOOKUP(D2647,'Справочник соответствий'!A$2:D$2981,2,FALSE)))</f>
        <v>0</v>
      </c>
      <c r="K2647" s="3" t="str">
        <f t="shared" si="287"/>
        <v>1</v>
      </c>
      <c r="L2647" s="13" t="str">
        <f>IFERROR(VLOOKUP(C2647,'Справочник соответствий'!A$2:D$2981,3,FALSE),IF(VALUE(C2647)=0,"ЭТАЖ НЕ ОПРЕДЕЛЕН. ПРИНЯТ ПО ДОПУЩЕНИЮ 1",VLOOKUP(C2647,'Справочник соответствий'!A$2:D$2981,3,FALSE)))</f>
        <v>ЭТАЖ ЗАДАН ЧИСЛОМ</v>
      </c>
      <c r="M2647" s="13" t="b">
        <f t="shared" si="288"/>
        <v>0</v>
      </c>
      <c r="N2647" s="13">
        <f t="shared" si="289"/>
        <v>1</v>
      </c>
      <c r="O2647" s="13" t="str">
        <f t="shared" si="290"/>
        <v>ЭТАЖ ЗАДАН ЧИСЛОМ</v>
      </c>
      <c r="P2647" s="13" t="str">
        <f t="shared" si="291"/>
        <v>ЭТАЖ ЗАДАН ЧИСЛОМ</v>
      </c>
      <c r="Q2647" s="13" t="str">
        <f t="shared" si="292"/>
        <v>ГОТОВ_ИЗМЕНЕН</v>
      </c>
      <c r="R2647" s="13">
        <f>IFERROR(VLOOKUP(P2647,Лист1!A$1:B$20,2,FALSE),0)</f>
        <v>784</v>
      </c>
      <c r="S2647" s="13">
        <f t="shared" si="293"/>
        <v>0</v>
      </c>
    </row>
    <row r="2648" spans="1:19" x14ac:dyDescent="0.25">
      <c r="A2648" s="24" t="s">
        <v>3778</v>
      </c>
      <c r="B2648" s="4" t="s">
        <v>1059</v>
      </c>
      <c r="C2648" s="25" t="s">
        <v>7</v>
      </c>
      <c r="G2648" s="25" t="s">
        <v>1347</v>
      </c>
      <c r="H2648" s="24" t="s">
        <v>1061</v>
      </c>
      <c r="I2648" s="3" t="str">
        <f>IFERROR(VLOOKUP(C2648,'Справочник соответствий'!A$2:D$2981,2,FALSE),IF(VALUE(C2648)=0,1,VLOOKUP(C2648,'Справочник соответствий'!A$2:D$2981,2,FALSE)))</f>
        <v>2</v>
      </c>
      <c r="J2648" s="3">
        <f>IFERROR(VLOOKUP(D2648,'Справочник соответствий'!A$2:D$2981,2,FALSE),IF(VALUE(D2648)=0,0,VLOOKUP(D2648,'Справочник соответствий'!A$2:D$2981,2,FALSE)))</f>
        <v>0</v>
      </c>
      <c r="K2648" s="3" t="str">
        <f t="shared" si="287"/>
        <v>2</v>
      </c>
      <c r="L2648" s="13" t="str">
        <f>IFERROR(VLOOKUP(C2648,'Справочник соответствий'!A$2:D$2981,3,FALSE),IF(VALUE(C2648)=0,"ЭТАЖ НЕ ОПРЕДЕЛЕН. ПРИНЯТ ПО ДОПУЩЕНИЮ 1",VLOOKUP(C2648,'Справочник соответствий'!A$2:D$2981,3,FALSE)))</f>
        <v>ЭТАЖ ЗАДАН ЧИСЛОМ</v>
      </c>
      <c r="M2648" s="13" t="b">
        <f t="shared" si="288"/>
        <v>0</v>
      </c>
      <c r="N2648" s="13">
        <f t="shared" si="289"/>
        <v>2</v>
      </c>
      <c r="O2648" s="13" t="str">
        <f t="shared" si="290"/>
        <v>ЭТАЖ ЗАДАН ЧИСЛОМ</v>
      </c>
      <c r="P2648" s="13" t="str">
        <f t="shared" si="291"/>
        <v>ЭТАЖ ЗАДАН ЧИСЛОМ</v>
      </c>
      <c r="Q2648" s="13" t="str">
        <f t="shared" si="292"/>
        <v>ГОТОВ_ИЗМЕНЕН</v>
      </c>
      <c r="R2648" s="13">
        <f>IFERROR(VLOOKUP(P2648,Лист1!A$1:B$20,2,FALSE),0)</f>
        <v>784</v>
      </c>
      <c r="S2648" s="13">
        <f t="shared" si="293"/>
        <v>0</v>
      </c>
    </row>
    <row r="2649" spans="1:19" x14ac:dyDescent="0.25">
      <c r="A2649" s="24" t="s">
        <v>3779</v>
      </c>
      <c r="B2649" s="4" t="s">
        <v>1063</v>
      </c>
      <c r="G2649" s="25" t="s">
        <v>1347</v>
      </c>
      <c r="H2649" s="24" t="s">
        <v>1061</v>
      </c>
      <c r="I2649" s="3">
        <f>IFERROR(VLOOKUP(C2649,'Справочник соответствий'!A$2:D$2981,2,FALSE),IF(VALUE(C2649)=0,1,VLOOKUP(C2649,'Справочник соответствий'!A$2:D$2981,2,FALSE)))</f>
        <v>1</v>
      </c>
      <c r="J2649" s="3">
        <f>IFERROR(VLOOKUP(D2649,'Справочник соответствий'!A$2:D$2981,2,FALSE),IF(VALUE(D2649)=0,0,VLOOKUP(D2649,'Справочник соответствий'!A$2:D$2981,2,FALSE)))</f>
        <v>0</v>
      </c>
      <c r="K2649" s="3">
        <f t="shared" si="287"/>
        <v>1</v>
      </c>
      <c r="L2649" s="13" t="str">
        <f>IFERROR(VLOOKUP(C2649,'Справочник соответствий'!A$2:D$2981,3,FALSE),IF(VALUE(C2649)=0,"ЭТАЖ НЕ ОПРЕДЕЛЕН. ПРИНЯТ ПО ДОПУЩЕНИЮ 1",VLOOKUP(C2649,'Справочник соответствий'!A$2:D$2981,3,FALSE)))</f>
        <v>ЭТАЖ НЕ ОПРЕДЕЛЕН. ПРИНЯТ ПО ДОПУЩЕНИЮ 1</v>
      </c>
      <c r="M2649" s="13" t="b">
        <f t="shared" si="288"/>
        <v>0</v>
      </c>
      <c r="N2649" s="13">
        <f t="shared" si="289"/>
        <v>1</v>
      </c>
      <c r="O2649" s="13" t="str">
        <f t="shared" si="290"/>
        <v>ЭТАЖ НЕ ОПРЕДЕЛЕН. ПРИНЯТ ПО ДОПУЩЕНИЮ 1</v>
      </c>
      <c r="P2649" s="13" t="str">
        <f t="shared" si="291"/>
        <v>ЭТАЖ НЕ ОПРЕДЕЛЕН. ПРИНЯТ ПО ДОПУЩЕНИЮ 1</v>
      </c>
      <c r="Q2649" s="13" t="str">
        <f t="shared" si="292"/>
        <v>ГОТОВ_ИЗМЕНЕН</v>
      </c>
      <c r="R2649" s="13">
        <f>IFERROR(VLOOKUP(P2649,Лист1!A$1:B$20,2,FALSE),0)</f>
        <v>788</v>
      </c>
      <c r="S2649" s="13">
        <f t="shared" si="293"/>
        <v>0</v>
      </c>
    </row>
    <row r="2650" spans="1:19" x14ac:dyDescent="0.25">
      <c r="A2650" s="24" t="s">
        <v>3780</v>
      </c>
      <c r="B2650" s="4" t="s">
        <v>1059</v>
      </c>
      <c r="C2650" s="25" t="s">
        <v>7</v>
      </c>
      <c r="G2650" s="25" t="s">
        <v>1347</v>
      </c>
      <c r="H2650" s="24" t="s">
        <v>1061</v>
      </c>
      <c r="I2650" s="3" t="str">
        <f>IFERROR(VLOOKUP(C2650,'Справочник соответствий'!A$2:D$2981,2,FALSE),IF(VALUE(C2650)=0,1,VLOOKUP(C2650,'Справочник соответствий'!A$2:D$2981,2,FALSE)))</f>
        <v>2</v>
      </c>
      <c r="J2650" s="3">
        <f>IFERROR(VLOOKUP(D2650,'Справочник соответствий'!A$2:D$2981,2,FALSE),IF(VALUE(D2650)=0,0,VLOOKUP(D2650,'Справочник соответствий'!A$2:D$2981,2,FALSE)))</f>
        <v>0</v>
      </c>
      <c r="K2650" s="3" t="str">
        <f t="shared" si="287"/>
        <v>2</v>
      </c>
      <c r="L2650" s="13" t="str">
        <f>IFERROR(VLOOKUP(C2650,'Справочник соответствий'!A$2:D$2981,3,FALSE),IF(VALUE(C2650)=0,"ЭТАЖ НЕ ОПРЕДЕЛЕН. ПРИНЯТ ПО ДОПУЩЕНИЮ 1",VLOOKUP(C2650,'Справочник соответствий'!A$2:D$2981,3,FALSE)))</f>
        <v>ЭТАЖ ЗАДАН ЧИСЛОМ</v>
      </c>
      <c r="M2650" s="13" t="b">
        <f t="shared" si="288"/>
        <v>0</v>
      </c>
      <c r="N2650" s="13">
        <f t="shared" si="289"/>
        <v>2</v>
      </c>
      <c r="O2650" s="13" t="str">
        <f t="shared" si="290"/>
        <v>ЭТАЖ ЗАДАН ЧИСЛОМ</v>
      </c>
      <c r="P2650" s="13" t="str">
        <f t="shared" si="291"/>
        <v>ЭТАЖ ЗАДАН ЧИСЛОМ</v>
      </c>
      <c r="Q2650" s="13" t="str">
        <f t="shared" si="292"/>
        <v>ГОТОВ_ИЗМЕНЕН</v>
      </c>
      <c r="R2650" s="13">
        <f>IFERROR(VLOOKUP(P2650,Лист1!A$1:B$20,2,FALSE),0)</f>
        <v>784</v>
      </c>
      <c r="S2650" s="13">
        <f t="shared" si="293"/>
        <v>0</v>
      </c>
    </row>
    <row r="2651" spans="1:19" x14ac:dyDescent="0.25">
      <c r="A2651" s="24" t="s">
        <v>3781</v>
      </c>
      <c r="B2651" s="4" t="s">
        <v>1063</v>
      </c>
      <c r="C2651" s="25" t="s">
        <v>5</v>
      </c>
      <c r="G2651" s="25" t="s">
        <v>1347</v>
      </c>
      <c r="H2651" s="24" t="s">
        <v>1061</v>
      </c>
      <c r="I2651" s="3" t="str">
        <f>IFERROR(VLOOKUP(C2651,'Справочник соответствий'!A$2:D$2981,2,FALSE),IF(VALUE(C2651)=0,1,VLOOKUP(C2651,'Справочник соответствий'!A$2:D$2981,2,FALSE)))</f>
        <v>1</v>
      </c>
      <c r="J2651" s="3">
        <f>IFERROR(VLOOKUP(D2651,'Справочник соответствий'!A$2:D$2981,2,FALSE),IF(VALUE(D2651)=0,0,VLOOKUP(D2651,'Справочник соответствий'!A$2:D$2981,2,FALSE)))</f>
        <v>0</v>
      </c>
      <c r="K2651" s="3" t="str">
        <f t="shared" si="287"/>
        <v>1</v>
      </c>
      <c r="L2651" s="13" t="str">
        <f>IFERROR(VLOOKUP(C2651,'Справочник соответствий'!A$2:D$2981,3,FALSE),IF(VALUE(C2651)=0,"ЭТАЖ НЕ ОПРЕДЕЛЕН. ПРИНЯТ ПО ДОПУЩЕНИЮ 1",VLOOKUP(C2651,'Справочник соответствий'!A$2:D$2981,3,FALSE)))</f>
        <v>ЭТАЖ ЗАДАН ЧИСЛОМ</v>
      </c>
      <c r="M2651" s="13" t="b">
        <f t="shared" si="288"/>
        <v>0</v>
      </c>
      <c r="N2651" s="13">
        <f t="shared" si="289"/>
        <v>1</v>
      </c>
      <c r="O2651" s="13" t="str">
        <f t="shared" si="290"/>
        <v>ЭТАЖ ЗАДАН ЧИСЛОМ</v>
      </c>
      <c r="P2651" s="13" t="str">
        <f t="shared" si="291"/>
        <v>ЭТАЖ ЗАДАН ЧИСЛОМ</v>
      </c>
      <c r="Q2651" s="13" t="str">
        <f t="shared" si="292"/>
        <v>ГОТОВ_ИЗМЕНЕН</v>
      </c>
      <c r="R2651" s="13">
        <f>IFERROR(VLOOKUP(P2651,Лист1!A$1:B$20,2,FALSE),0)</f>
        <v>784</v>
      </c>
      <c r="S2651" s="13">
        <f t="shared" si="293"/>
        <v>0</v>
      </c>
    </row>
    <row r="2652" spans="1:19" x14ac:dyDescent="0.25">
      <c r="A2652" s="24" t="s">
        <v>3782</v>
      </c>
      <c r="B2652" s="4" t="s">
        <v>1063</v>
      </c>
      <c r="G2652" s="25" t="s">
        <v>1321</v>
      </c>
      <c r="H2652" s="24" t="s">
        <v>1061</v>
      </c>
      <c r="I2652" s="3">
        <f>IFERROR(VLOOKUP(C2652,'Справочник соответствий'!A$2:D$2981,2,FALSE),IF(VALUE(C2652)=0,1,VLOOKUP(C2652,'Справочник соответствий'!A$2:D$2981,2,FALSE)))</f>
        <v>1</v>
      </c>
      <c r="J2652" s="3">
        <f>IFERROR(VLOOKUP(D2652,'Справочник соответствий'!A$2:D$2981,2,FALSE),IF(VALUE(D2652)=0,0,VLOOKUP(D2652,'Справочник соответствий'!A$2:D$2981,2,FALSE)))</f>
        <v>0</v>
      </c>
      <c r="K2652" s="3">
        <f t="shared" si="287"/>
        <v>1</v>
      </c>
      <c r="L2652" s="13" t="str">
        <f>IFERROR(VLOOKUP(C2652,'Справочник соответствий'!A$2:D$2981,3,FALSE),IF(VALUE(C2652)=0,"ЭТАЖ НЕ ОПРЕДЕЛЕН. ПРИНЯТ ПО ДОПУЩЕНИЮ 1",VLOOKUP(C2652,'Справочник соответствий'!A$2:D$2981,3,FALSE)))</f>
        <v>ЭТАЖ НЕ ОПРЕДЕЛЕН. ПРИНЯТ ПО ДОПУЩЕНИЮ 1</v>
      </c>
      <c r="M2652" s="13" t="b">
        <f t="shared" si="288"/>
        <v>0</v>
      </c>
      <c r="N2652" s="13">
        <f t="shared" si="289"/>
        <v>1</v>
      </c>
      <c r="O2652" s="13" t="str">
        <f t="shared" si="290"/>
        <v>ЭТАЖ НЕ ОПРЕДЕЛЕН. ПРИНЯТ ПО ДОПУЩЕНИЮ 1</v>
      </c>
      <c r="P2652" s="13" t="str">
        <f t="shared" si="291"/>
        <v>ЭТАЖ НЕ ОПРЕДЕЛЕН. ПРИНЯТ ПО ДОПУЩЕНИЮ 1</v>
      </c>
      <c r="Q2652" s="13" t="str">
        <f t="shared" si="292"/>
        <v>ГОТОВ_ИЗМЕНЕН</v>
      </c>
      <c r="R2652" s="13">
        <f>IFERROR(VLOOKUP(P2652,Лист1!A$1:B$20,2,FALSE),0)</f>
        <v>788</v>
      </c>
      <c r="S2652" s="13">
        <f t="shared" si="293"/>
        <v>0</v>
      </c>
    </row>
    <row r="2653" spans="1:19" x14ac:dyDescent="0.25">
      <c r="A2653" s="24" t="s">
        <v>3783</v>
      </c>
      <c r="B2653" s="4" t="s">
        <v>1059</v>
      </c>
      <c r="C2653" s="25" t="s">
        <v>7</v>
      </c>
      <c r="G2653" s="25" t="s">
        <v>1321</v>
      </c>
      <c r="H2653" s="24" t="s">
        <v>1061</v>
      </c>
      <c r="I2653" s="3" t="str">
        <f>IFERROR(VLOOKUP(C2653,'Справочник соответствий'!A$2:D$2981,2,FALSE),IF(VALUE(C2653)=0,1,VLOOKUP(C2653,'Справочник соответствий'!A$2:D$2981,2,FALSE)))</f>
        <v>2</v>
      </c>
      <c r="J2653" s="3">
        <f>IFERROR(VLOOKUP(D2653,'Справочник соответствий'!A$2:D$2981,2,FALSE),IF(VALUE(D2653)=0,0,VLOOKUP(D2653,'Справочник соответствий'!A$2:D$2981,2,FALSE)))</f>
        <v>0</v>
      </c>
      <c r="K2653" s="3" t="str">
        <f t="shared" si="287"/>
        <v>2</v>
      </c>
      <c r="L2653" s="13" t="str">
        <f>IFERROR(VLOOKUP(C2653,'Справочник соответствий'!A$2:D$2981,3,FALSE),IF(VALUE(C2653)=0,"ЭТАЖ НЕ ОПРЕДЕЛЕН. ПРИНЯТ ПО ДОПУЩЕНИЮ 1",VLOOKUP(C2653,'Справочник соответствий'!A$2:D$2981,3,FALSE)))</f>
        <v>ЭТАЖ ЗАДАН ЧИСЛОМ</v>
      </c>
      <c r="M2653" s="13" t="b">
        <f t="shared" si="288"/>
        <v>0</v>
      </c>
      <c r="N2653" s="13">
        <f t="shared" si="289"/>
        <v>2</v>
      </c>
      <c r="O2653" s="13" t="str">
        <f t="shared" si="290"/>
        <v>ЭТАЖ ЗАДАН ЧИСЛОМ</v>
      </c>
      <c r="P2653" s="13" t="str">
        <f t="shared" si="291"/>
        <v>ЭТАЖ ЗАДАН ЧИСЛОМ</v>
      </c>
      <c r="Q2653" s="13" t="str">
        <f t="shared" si="292"/>
        <v>ГОТОВ_ИЗМЕНЕН</v>
      </c>
      <c r="R2653" s="13">
        <f>IFERROR(VLOOKUP(P2653,Лист1!A$1:B$20,2,FALSE),0)</f>
        <v>784</v>
      </c>
      <c r="S2653" s="13">
        <f t="shared" si="293"/>
        <v>0</v>
      </c>
    </row>
    <row r="2654" spans="1:19" x14ac:dyDescent="0.25">
      <c r="A2654" s="24" t="s">
        <v>3784</v>
      </c>
      <c r="B2654" s="4" t="s">
        <v>1063</v>
      </c>
      <c r="C2654" s="25" t="s">
        <v>5</v>
      </c>
      <c r="G2654" s="25" t="s">
        <v>1321</v>
      </c>
      <c r="H2654" s="24" t="s">
        <v>1061</v>
      </c>
      <c r="I2654" s="3" t="str">
        <f>IFERROR(VLOOKUP(C2654,'Справочник соответствий'!A$2:D$2981,2,FALSE),IF(VALUE(C2654)=0,1,VLOOKUP(C2654,'Справочник соответствий'!A$2:D$2981,2,FALSE)))</f>
        <v>1</v>
      </c>
      <c r="J2654" s="3">
        <f>IFERROR(VLOOKUP(D2654,'Справочник соответствий'!A$2:D$2981,2,FALSE),IF(VALUE(D2654)=0,0,VLOOKUP(D2654,'Справочник соответствий'!A$2:D$2981,2,FALSE)))</f>
        <v>0</v>
      </c>
      <c r="K2654" s="3" t="str">
        <f t="shared" si="287"/>
        <v>1</v>
      </c>
      <c r="L2654" s="13" t="str">
        <f>IFERROR(VLOOKUP(C2654,'Справочник соответствий'!A$2:D$2981,3,FALSE),IF(VALUE(C2654)=0,"ЭТАЖ НЕ ОПРЕДЕЛЕН. ПРИНЯТ ПО ДОПУЩЕНИЮ 1",VLOOKUP(C2654,'Справочник соответствий'!A$2:D$2981,3,FALSE)))</f>
        <v>ЭТАЖ ЗАДАН ЧИСЛОМ</v>
      </c>
      <c r="M2654" s="13" t="b">
        <f t="shared" si="288"/>
        <v>0</v>
      </c>
      <c r="N2654" s="13">
        <f t="shared" si="289"/>
        <v>1</v>
      </c>
      <c r="O2654" s="13" t="str">
        <f t="shared" si="290"/>
        <v>ЭТАЖ ЗАДАН ЧИСЛОМ</v>
      </c>
      <c r="P2654" s="13" t="str">
        <f t="shared" si="291"/>
        <v>ЭТАЖ ЗАДАН ЧИСЛОМ</v>
      </c>
      <c r="Q2654" s="13" t="str">
        <f t="shared" si="292"/>
        <v>ГОТОВ_ИЗМЕНЕН</v>
      </c>
      <c r="R2654" s="13">
        <f>IFERROR(VLOOKUP(P2654,Лист1!A$1:B$20,2,FALSE),0)</f>
        <v>784</v>
      </c>
      <c r="S2654" s="13">
        <f t="shared" si="293"/>
        <v>0</v>
      </c>
    </row>
    <row r="2655" spans="1:19" x14ac:dyDescent="0.25">
      <c r="A2655" s="24" t="s">
        <v>3785</v>
      </c>
      <c r="B2655" s="4" t="s">
        <v>1063</v>
      </c>
      <c r="G2655" s="25" t="s">
        <v>1321</v>
      </c>
      <c r="H2655" s="24" t="s">
        <v>1061</v>
      </c>
      <c r="I2655" s="3">
        <f>IFERROR(VLOOKUP(C2655,'Справочник соответствий'!A$2:D$2981,2,FALSE),IF(VALUE(C2655)=0,1,VLOOKUP(C2655,'Справочник соответствий'!A$2:D$2981,2,FALSE)))</f>
        <v>1</v>
      </c>
      <c r="J2655" s="3">
        <f>IFERROR(VLOOKUP(D2655,'Справочник соответствий'!A$2:D$2981,2,FALSE),IF(VALUE(D2655)=0,0,VLOOKUP(D2655,'Справочник соответствий'!A$2:D$2981,2,FALSE)))</f>
        <v>0</v>
      </c>
      <c r="K2655" s="3">
        <f t="shared" si="287"/>
        <v>1</v>
      </c>
      <c r="L2655" s="13" t="str">
        <f>IFERROR(VLOOKUP(C2655,'Справочник соответствий'!A$2:D$2981,3,FALSE),IF(VALUE(C2655)=0,"ЭТАЖ НЕ ОПРЕДЕЛЕН. ПРИНЯТ ПО ДОПУЩЕНИЮ 1",VLOOKUP(C2655,'Справочник соответствий'!A$2:D$2981,3,FALSE)))</f>
        <v>ЭТАЖ НЕ ОПРЕДЕЛЕН. ПРИНЯТ ПО ДОПУЩЕНИЮ 1</v>
      </c>
      <c r="M2655" s="13" t="b">
        <f t="shared" si="288"/>
        <v>0</v>
      </c>
      <c r="N2655" s="13">
        <f t="shared" si="289"/>
        <v>1</v>
      </c>
      <c r="O2655" s="13" t="str">
        <f t="shared" si="290"/>
        <v>ЭТАЖ НЕ ОПРЕДЕЛЕН. ПРИНЯТ ПО ДОПУЩЕНИЮ 1</v>
      </c>
      <c r="P2655" s="13" t="str">
        <f t="shared" si="291"/>
        <v>ЭТАЖ НЕ ОПРЕДЕЛЕН. ПРИНЯТ ПО ДОПУЩЕНИЮ 1</v>
      </c>
      <c r="Q2655" s="13" t="str">
        <f t="shared" si="292"/>
        <v>ГОТОВ_ИЗМЕНЕН</v>
      </c>
      <c r="R2655" s="13">
        <f>IFERROR(VLOOKUP(P2655,Лист1!A$1:B$20,2,FALSE),0)</f>
        <v>788</v>
      </c>
      <c r="S2655" s="13">
        <f t="shared" si="293"/>
        <v>0</v>
      </c>
    </row>
    <row r="2656" spans="1:19" x14ac:dyDescent="0.25">
      <c r="A2656" s="24" t="s">
        <v>3786</v>
      </c>
      <c r="B2656" s="4" t="s">
        <v>1063</v>
      </c>
      <c r="C2656" s="25" t="s">
        <v>5</v>
      </c>
      <c r="G2656" s="25" t="s">
        <v>1321</v>
      </c>
      <c r="H2656" s="24" t="s">
        <v>1061</v>
      </c>
      <c r="I2656" s="3" t="str">
        <f>IFERROR(VLOOKUP(C2656,'Справочник соответствий'!A$2:D$2981,2,FALSE),IF(VALUE(C2656)=0,1,VLOOKUP(C2656,'Справочник соответствий'!A$2:D$2981,2,FALSE)))</f>
        <v>1</v>
      </c>
      <c r="J2656" s="3">
        <f>IFERROR(VLOOKUP(D2656,'Справочник соответствий'!A$2:D$2981,2,FALSE),IF(VALUE(D2656)=0,0,VLOOKUP(D2656,'Справочник соответствий'!A$2:D$2981,2,FALSE)))</f>
        <v>0</v>
      </c>
      <c r="K2656" s="3" t="str">
        <f t="shared" si="287"/>
        <v>1</v>
      </c>
      <c r="L2656" s="13" t="str">
        <f>IFERROR(VLOOKUP(C2656,'Справочник соответствий'!A$2:D$2981,3,FALSE),IF(VALUE(C2656)=0,"ЭТАЖ НЕ ОПРЕДЕЛЕН. ПРИНЯТ ПО ДОПУЩЕНИЮ 1",VLOOKUP(C2656,'Справочник соответствий'!A$2:D$2981,3,FALSE)))</f>
        <v>ЭТАЖ ЗАДАН ЧИСЛОМ</v>
      </c>
      <c r="M2656" s="13" t="b">
        <f t="shared" si="288"/>
        <v>0</v>
      </c>
      <c r="N2656" s="13">
        <f t="shared" si="289"/>
        <v>1</v>
      </c>
      <c r="O2656" s="13" t="str">
        <f t="shared" si="290"/>
        <v>ЭТАЖ ЗАДАН ЧИСЛОМ</v>
      </c>
      <c r="P2656" s="13" t="str">
        <f t="shared" si="291"/>
        <v>ЭТАЖ ЗАДАН ЧИСЛОМ</v>
      </c>
      <c r="Q2656" s="13" t="str">
        <f t="shared" si="292"/>
        <v>ГОТОВ_ИЗМЕНЕН</v>
      </c>
      <c r="R2656" s="13">
        <f>IFERROR(VLOOKUP(P2656,Лист1!A$1:B$20,2,FALSE),0)</f>
        <v>784</v>
      </c>
      <c r="S2656" s="13">
        <f t="shared" si="293"/>
        <v>0</v>
      </c>
    </row>
    <row r="2657" spans="1:19" x14ac:dyDescent="0.25">
      <c r="A2657" s="24" t="s">
        <v>3787</v>
      </c>
      <c r="B2657" s="4" t="s">
        <v>1063</v>
      </c>
      <c r="C2657" s="25" t="s">
        <v>7</v>
      </c>
      <c r="G2657" s="25" t="s">
        <v>2763</v>
      </c>
      <c r="H2657" s="24" t="s">
        <v>1061</v>
      </c>
      <c r="I2657" s="3" t="str">
        <f>IFERROR(VLOOKUP(C2657,'Справочник соответствий'!A$2:D$2981,2,FALSE),IF(VALUE(C2657)=0,1,VLOOKUP(C2657,'Справочник соответствий'!A$2:D$2981,2,FALSE)))</f>
        <v>2</v>
      </c>
      <c r="J2657" s="3">
        <f>IFERROR(VLOOKUP(D2657,'Справочник соответствий'!A$2:D$2981,2,FALSE),IF(VALUE(D2657)=0,0,VLOOKUP(D2657,'Справочник соответствий'!A$2:D$2981,2,FALSE)))</f>
        <v>0</v>
      </c>
      <c r="K2657" s="3" t="str">
        <f t="shared" si="287"/>
        <v>2</v>
      </c>
      <c r="L2657" s="13" t="str">
        <f>IFERROR(VLOOKUP(C2657,'Справочник соответствий'!A$2:D$2981,3,FALSE),IF(VALUE(C2657)=0,"ЭТАЖ НЕ ОПРЕДЕЛЕН. ПРИНЯТ ПО ДОПУЩЕНИЮ 1",VLOOKUP(C2657,'Справочник соответствий'!A$2:D$2981,3,FALSE)))</f>
        <v>ЭТАЖ ЗАДАН ЧИСЛОМ</v>
      </c>
      <c r="M2657" s="13" t="b">
        <f t="shared" si="288"/>
        <v>0</v>
      </c>
      <c r="N2657" s="13">
        <f t="shared" si="289"/>
        <v>2</v>
      </c>
      <c r="O2657" s="13" t="str">
        <f t="shared" si="290"/>
        <v>ЭТАЖ ЗАДАН ЧИСЛОМ</v>
      </c>
      <c r="P2657" s="13" t="str">
        <f t="shared" si="291"/>
        <v>ЭТАЖ ЗАДАН ЧИСЛОМ</v>
      </c>
      <c r="Q2657" s="13" t="str">
        <f t="shared" si="292"/>
        <v>ГОТОВ_ИЗМЕНЕН</v>
      </c>
      <c r="R2657" s="13">
        <f>IFERROR(VLOOKUP(P2657,Лист1!A$1:B$20,2,FALSE),0)</f>
        <v>784</v>
      </c>
      <c r="S2657" s="13">
        <f t="shared" si="293"/>
        <v>0</v>
      </c>
    </row>
    <row r="2658" spans="1:19" x14ac:dyDescent="0.25">
      <c r="A2658" s="24" t="s">
        <v>3788</v>
      </c>
      <c r="B2658" s="4" t="s">
        <v>1059</v>
      </c>
      <c r="C2658" s="25" t="s">
        <v>7</v>
      </c>
      <c r="G2658" s="25" t="s">
        <v>2763</v>
      </c>
      <c r="H2658" s="24" t="s">
        <v>1061</v>
      </c>
      <c r="I2658" s="3" t="str">
        <f>IFERROR(VLOOKUP(C2658,'Справочник соответствий'!A$2:D$2981,2,FALSE),IF(VALUE(C2658)=0,1,VLOOKUP(C2658,'Справочник соответствий'!A$2:D$2981,2,FALSE)))</f>
        <v>2</v>
      </c>
      <c r="J2658" s="3">
        <f>IFERROR(VLOOKUP(D2658,'Справочник соответствий'!A$2:D$2981,2,FALSE),IF(VALUE(D2658)=0,0,VLOOKUP(D2658,'Справочник соответствий'!A$2:D$2981,2,FALSE)))</f>
        <v>0</v>
      </c>
      <c r="K2658" s="3" t="str">
        <f t="shared" si="287"/>
        <v>2</v>
      </c>
      <c r="L2658" s="13" t="str">
        <f>IFERROR(VLOOKUP(C2658,'Справочник соответствий'!A$2:D$2981,3,FALSE),IF(VALUE(C2658)=0,"ЭТАЖ НЕ ОПРЕДЕЛЕН. ПРИНЯТ ПО ДОПУЩЕНИЮ 1",VLOOKUP(C2658,'Справочник соответствий'!A$2:D$2981,3,FALSE)))</f>
        <v>ЭТАЖ ЗАДАН ЧИСЛОМ</v>
      </c>
      <c r="M2658" s="13" t="b">
        <f t="shared" si="288"/>
        <v>0</v>
      </c>
      <c r="N2658" s="13">
        <f t="shared" si="289"/>
        <v>2</v>
      </c>
      <c r="O2658" s="13" t="str">
        <f t="shared" si="290"/>
        <v>ЭТАЖ ЗАДАН ЧИСЛОМ</v>
      </c>
      <c r="P2658" s="13" t="str">
        <f t="shared" si="291"/>
        <v>ЭТАЖ ЗАДАН ЧИСЛОМ</v>
      </c>
      <c r="Q2658" s="13" t="str">
        <f t="shared" si="292"/>
        <v>ГОТОВ_ИЗМЕНЕН</v>
      </c>
      <c r="R2658" s="13">
        <f>IFERROR(VLOOKUP(P2658,Лист1!A$1:B$20,2,FALSE),0)</f>
        <v>784</v>
      </c>
      <c r="S2658" s="13">
        <f t="shared" si="293"/>
        <v>0</v>
      </c>
    </row>
    <row r="2659" spans="1:19" x14ac:dyDescent="0.25">
      <c r="A2659" s="24" t="s">
        <v>3789</v>
      </c>
      <c r="B2659" s="4" t="s">
        <v>1059</v>
      </c>
      <c r="C2659" s="25" t="s">
        <v>5</v>
      </c>
      <c r="E2659" s="3">
        <v>1</v>
      </c>
      <c r="F2659" s="24" t="s">
        <v>1045</v>
      </c>
      <c r="G2659" s="25" t="s">
        <v>1083</v>
      </c>
      <c r="H2659" s="24" t="s">
        <v>1061</v>
      </c>
      <c r="I2659" s="3" t="str">
        <f>IFERROR(VLOOKUP(C2659,'Справочник соответствий'!A$2:D$2981,2,FALSE),IF(VALUE(C2659)=0,1,VLOOKUP(C2659,'Справочник соответствий'!A$2:D$2981,2,FALSE)))</f>
        <v>1</v>
      </c>
      <c r="J2659" s="3">
        <f>IFERROR(VLOOKUP(D2659,'Справочник соответствий'!A$2:D$2981,2,FALSE),IF(VALUE(D2659)=0,0,VLOOKUP(D2659,'Справочник соответствий'!A$2:D$2981,2,FALSE)))</f>
        <v>0</v>
      </c>
      <c r="K2659" s="3" t="str">
        <f t="shared" si="287"/>
        <v>1</v>
      </c>
      <c r="L2659" s="13" t="str">
        <f>IFERROR(VLOOKUP(C2659,'Справочник соответствий'!A$2:D$2981,3,FALSE),IF(VALUE(C2659)=0,"ЭТАЖ НЕ ОПРЕДЕЛЕН. ПРИНЯТ ПО ДОПУЩЕНИЮ 1",VLOOKUP(C2659,'Справочник соответствий'!A$2:D$2981,3,FALSE)))</f>
        <v>ЭТАЖ ЗАДАН ЧИСЛОМ</v>
      </c>
      <c r="M2659" s="13" t="b">
        <f t="shared" si="288"/>
        <v>0</v>
      </c>
      <c r="N2659" s="13">
        <f t="shared" si="289"/>
        <v>1</v>
      </c>
      <c r="O2659" s="13" t="str">
        <f t="shared" si="290"/>
        <v>ЭТАЖ ЗАДАН ЧИСЛОМ</v>
      </c>
      <c r="P2659" s="13" t="str">
        <f t="shared" si="291"/>
        <v>ЭТАЖ ЗАДАН ЧИСЛОМ</v>
      </c>
      <c r="Q2659" s="13" t="str">
        <f t="shared" si="292"/>
        <v>ГОТОВ</v>
      </c>
      <c r="R2659" s="13">
        <f>IFERROR(VLOOKUP(P2659,Лист1!A$1:B$20,2,FALSE),0)</f>
        <v>784</v>
      </c>
      <c r="S2659" s="13">
        <f t="shared" si="293"/>
        <v>1</v>
      </c>
    </row>
    <row r="2660" spans="1:19" x14ac:dyDescent="0.25">
      <c r="A2660" s="24" t="s">
        <v>3790</v>
      </c>
      <c r="B2660" s="4" t="s">
        <v>1063</v>
      </c>
      <c r="C2660" s="25" t="s">
        <v>5</v>
      </c>
      <c r="E2660" s="3">
        <v>1</v>
      </c>
      <c r="F2660" s="24" t="s">
        <v>1045</v>
      </c>
      <c r="G2660" s="25" t="s">
        <v>1089</v>
      </c>
      <c r="H2660" s="24" t="s">
        <v>1061</v>
      </c>
      <c r="I2660" s="3" t="str">
        <f>IFERROR(VLOOKUP(C2660,'Справочник соответствий'!A$2:D$2981,2,FALSE),IF(VALUE(C2660)=0,1,VLOOKUP(C2660,'Справочник соответствий'!A$2:D$2981,2,FALSE)))</f>
        <v>1</v>
      </c>
      <c r="J2660" s="3">
        <f>IFERROR(VLOOKUP(D2660,'Справочник соответствий'!A$2:D$2981,2,FALSE),IF(VALUE(D2660)=0,0,VLOOKUP(D2660,'Справочник соответствий'!A$2:D$2981,2,FALSE)))</f>
        <v>0</v>
      </c>
      <c r="K2660" s="3" t="str">
        <f t="shared" si="287"/>
        <v>1</v>
      </c>
      <c r="L2660" s="13" t="str">
        <f>IFERROR(VLOOKUP(C2660,'Справочник соответствий'!A$2:D$2981,3,FALSE),IF(VALUE(C2660)=0,"ЭТАЖ НЕ ОПРЕДЕЛЕН. ПРИНЯТ ПО ДОПУЩЕНИЮ 1",VLOOKUP(C2660,'Справочник соответствий'!A$2:D$2981,3,FALSE)))</f>
        <v>ЭТАЖ ЗАДАН ЧИСЛОМ</v>
      </c>
      <c r="M2660" s="13" t="b">
        <f t="shared" si="288"/>
        <v>0</v>
      </c>
      <c r="N2660" s="13">
        <f t="shared" si="289"/>
        <v>1</v>
      </c>
      <c r="O2660" s="13" t="str">
        <f t="shared" si="290"/>
        <v>ЭТАЖ ЗАДАН ЧИСЛОМ</v>
      </c>
      <c r="P2660" s="13" t="str">
        <f t="shared" si="291"/>
        <v>ЭТАЖ ЗАДАН ЧИСЛОМ</v>
      </c>
      <c r="Q2660" s="13" t="str">
        <f t="shared" si="292"/>
        <v>ГОТОВ</v>
      </c>
      <c r="R2660" s="13">
        <f>IFERROR(VLOOKUP(P2660,Лист1!A$1:B$20,2,FALSE),0)</f>
        <v>784</v>
      </c>
      <c r="S2660" s="13">
        <f t="shared" si="293"/>
        <v>1</v>
      </c>
    </row>
    <row r="2661" spans="1:19" x14ac:dyDescent="0.25">
      <c r="A2661" s="24" t="s">
        <v>3791</v>
      </c>
      <c r="B2661" s="4" t="s">
        <v>1063</v>
      </c>
      <c r="C2661" s="25" t="s">
        <v>5</v>
      </c>
      <c r="D2661" s="25" t="s">
        <v>24</v>
      </c>
      <c r="E2661" s="3">
        <v>1</v>
      </c>
      <c r="F2661" s="24" t="s">
        <v>1045</v>
      </c>
      <c r="G2661" s="25" t="s">
        <v>1072</v>
      </c>
      <c r="H2661" s="24" t="s">
        <v>1061</v>
      </c>
      <c r="I2661" s="3" t="str">
        <f>IFERROR(VLOOKUP(C2661,'Справочник соответствий'!A$2:D$2981,2,FALSE),IF(VALUE(C2661)=0,1,VLOOKUP(C2661,'Справочник соответствий'!A$2:D$2981,2,FALSE)))</f>
        <v>1</v>
      </c>
      <c r="J2661" s="3" t="str">
        <f>IFERROR(VLOOKUP(D2661,'Справочник соответствий'!A$2:D$2981,2,FALSE),IF(VALUE(D2661)=0,0,VLOOKUP(D2661,'Справочник соответствий'!A$2:D$2981,2,FALSE)))</f>
        <v>1</v>
      </c>
      <c r="K2661" s="3" t="str">
        <f t="shared" si="287"/>
        <v>1</v>
      </c>
      <c r="L2661" s="13" t="str">
        <f>IFERROR(VLOOKUP(C2661,'Справочник соответствий'!A$2:D$2981,3,FALSE),IF(VALUE(C2661)=0,"ЭТАЖ НЕ ОПРЕДЕЛЕН. ПРИНЯТ ПО ДОПУЩЕНИЮ 1",VLOOKUP(C2661,'Справочник соответствий'!A$2:D$2981,3,FALSE)))</f>
        <v>ЭТАЖ ЗАДАН ЧИСЛОМ</v>
      </c>
      <c r="M2661" s="13" t="b">
        <f t="shared" si="288"/>
        <v>0</v>
      </c>
      <c r="N2661" s="13">
        <f t="shared" si="289"/>
        <v>1</v>
      </c>
      <c r="O2661" s="13" t="str">
        <f t="shared" si="290"/>
        <v>ЭТАЖ ЗАДАН ЧИСЛОМ</v>
      </c>
      <c r="P2661" s="13" t="str">
        <f t="shared" si="291"/>
        <v>ЭТАЖ ЗАДАН ЧИСЛОМ</v>
      </c>
      <c r="Q2661" s="13" t="str">
        <f t="shared" si="292"/>
        <v>ГОТОВ</v>
      </c>
      <c r="R2661" s="13">
        <f>IFERROR(VLOOKUP(P2661,Лист1!A$1:B$20,2,FALSE),0)</f>
        <v>784</v>
      </c>
      <c r="S2661" s="13">
        <f t="shared" si="293"/>
        <v>1</v>
      </c>
    </row>
    <row r="2662" spans="1:19" x14ac:dyDescent="0.25">
      <c r="A2662" s="24" t="s">
        <v>3792</v>
      </c>
      <c r="B2662" s="4" t="s">
        <v>1063</v>
      </c>
      <c r="C2662" s="25" t="s">
        <v>5</v>
      </c>
      <c r="E2662" s="3">
        <v>1</v>
      </c>
      <c r="F2662" s="24" t="s">
        <v>1304</v>
      </c>
      <c r="G2662" s="25" t="s">
        <v>1230</v>
      </c>
      <c r="H2662" s="24" t="s">
        <v>1061</v>
      </c>
      <c r="I2662" s="3" t="str">
        <f>IFERROR(VLOOKUP(C2662,'Справочник соответствий'!A$2:D$2981,2,FALSE),IF(VALUE(C2662)=0,1,VLOOKUP(C2662,'Справочник соответствий'!A$2:D$2981,2,FALSE)))</f>
        <v>1</v>
      </c>
      <c r="J2662" s="3">
        <f>IFERROR(VLOOKUP(D2662,'Справочник соответствий'!A$2:D$2981,2,FALSE),IF(VALUE(D2662)=0,0,VLOOKUP(D2662,'Справочник соответствий'!A$2:D$2981,2,FALSE)))</f>
        <v>0</v>
      </c>
      <c r="K2662" s="3" t="str">
        <f t="shared" si="287"/>
        <v>1</v>
      </c>
      <c r="L2662" s="13" t="str">
        <f>IFERROR(VLOOKUP(C2662,'Справочник соответствий'!A$2:D$2981,3,FALSE),IF(VALUE(C2662)=0,"ЭТАЖ НЕ ОПРЕДЕЛЕН. ПРИНЯТ ПО ДОПУЩЕНИЮ 1",VLOOKUP(C2662,'Справочник соответствий'!A$2:D$2981,3,FALSE)))</f>
        <v>ЭТАЖ ЗАДАН ЧИСЛОМ</v>
      </c>
      <c r="M2662" s="13" t="b">
        <f t="shared" si="288"/>
        <v>0</v>
      </c>
      <c r="N2662" s="13">
        <f t="shared" si="289"/>
        <v>1</v>
      </c>
      <c r="O2662" s="13" t="str">
        <f t="shared" si="290"/>
        <v>ЭТАЖ ЗАДАН ЧИСЛОМ</v>
      </c>
      <c r="P2662" s="13" t="str">
        <f t="shared" si="291"/>
        <v>ЭТАЖ ЗАДАН ЧИСЛОМ</v>
      </c>
      <c r="Q2662" s="13" t="str">
        <f t="shared" si="292"/>
        <v>ГОТОВ</v>
      </c>
      <c r="R2662" s="13">
        <f>IFERROR(VLOOKUP(P2662,Лист1!A$1:B$20,2,FALSE),0)</f>
        <v>784</v>
      </c>
      <c r="S2662" s="13">
        <f t="shared" si="293"/>
        <v>1</v>
      </c>
    </row>
    <row r="2663" spans="1:19" x14ac:dyDescent="0.25">
      <c r="A2663" s="24" t="s">
        <v>3793</v>
      </c>
      <c r="B2663" s="4" t="s">
        <v>1031</v>
      </c>
      <c r="E2663" s="3">
        <v>1</v>
      </c>
      <c r="F2663" s="24" t="s">
        <v>2761</v>
      </c>
      <c r="G2663" s="25" t="s">
        <v>1080</v>
      </c>
      <c r="H2663" s="24" t="s">
        <v>1061</v>
      </c>
      <c r="I2663" s="3">
        <f>IFERROR(VLOOKUP(C2663,'Справочник соответствий'!A$2:D$2981,2,FALSE),IF(VALUE(C2663)=0,1,VLOOKUP(C2663,'Справочник соответствий'!A$2:D$2981,2,FALSE)))</f>
        <v>1</v>
      </c>
      <c r="J2663" s="3">
        <f>IFERROR(VLOOKUP(D2663,'Справочник соответствий'!A$2:D$2981,2,FALSE),IF(VALUE(D2663)=0,0,VLOOKUP(D2663,'Справочник соответствий'!A$2:D$2981,2,FALSE)))</f>
        <v>0</v>
      </c>
      <c r="K2663" s="3">
        <f t="shared" si="287"/>
        <v>1</v>
      </c>
      <c r="L2663" s="13" t="str">
        <f>IFERROR(VLOOKUP(C2663,'Справочник соответствий'!A$2:D$2981,3,FALSE),IF(VALUE(C2663)=0,"ЭТАЖ НЕ ОПРЕДЕЛЕН. ПРИНЯТ ПО ДОПУЩЕНИЮ 1",VLOOKUP(C2663,'Справочник соответствий'!A$2:D$2981,3,FALSE)))</f>
        <v>ЭТАЖ НЕ ОПРЕДЕЛЕН. ПРИНЯТ ПО ДОПУЩЕНИЮ 1</v>
      </c>
      <c r="M2663" s="13" t="b">
        <f t="shared" si="288"/>
        <v>1</v>
      </c>
      <c r="N2663" s="13">
        <f t="shared" si="289"/>
        <v>1</v>
      </c>
      <c r="O2663" s="13" t="str">
        <f t="shared" si="290"/>
        <v>Письмо № 4436 от 06.11.2018 Глава Артинского городского округа</v>
      </c>
      <c r="P2663" s="13" t="str">
        <f t="shared" si="291"/>
        <v>МКД_Письмо № 4436 от 06.11.2018 Глава Артинского городского округа</v>
      </c>
      <c r="Q2663" s="13" t="str">
        <f t="shared" si="292"/>
        <v>ГОТОВ</v>
      </c>
      <c r="R2663" s="13">
        <f>IFERROR(VLOOKUP(P2663,Лист1!A$1:B$20,2,FALSE),0)</f>
        <v>0</v>
      </c>
      <c r="S2663" s="13">
        <f t="shared" si="293"/>
        <v>1</v>
      </c>
    </row>
    <row r="2664" spans="1:19" x14ac:dyDescent="0.25">
      <c r="A2664" s="24" t="s">
        <v>3794</v>
      </c>
      <c r="B2664" s="4" t="s">
        <v>1059</v>
      </c>
      <c r="C2664" s="25" t="s">
        <v>5</v>
      </c>
      <c r="G2664" s="25" t="s">
        <v>1114</v>
      </c>
      <c r="H2664" s="24" t="s">
        <v>1061</v>
      </c>
      <c r="I2664" s="3" t="str">
        <f>IFERROR(VLOOKUP(C2664,'Справочник соответствий'!A$2:D$2981,2,FALSE),IF(VALUE(C2664)=0,1,VLOOKUP(C2664,'Справочник соответствий'!A$2:D$2981,2,FALSE)))</f>
        <v>1</v>
      </c>
      <c r="J2664" s="3">
        <f>IFERROR(VLOOKUP(D2664,'Справочник соответствий'!A$2:D$2981,2,FALSE),IF(VALUE(D2664)=0,0,VLOOKUP(D2664,'Справочник соответствий'!A$2:D$2981,2,FALSE)))</f>
        <v>0</v>
      </c>
      <c r="K2664" s="3" t="str">
        <f t="shared" si="287"/>
        <v>1</v>
      </c>
      <c r="L2664" s="13" t="str">
        <f>IFERROR(VLOOKUP(C2664,'Справочник соответствий'!A$2:D$2981,3,FALSE),IF(VALUE(C2664)=0,"ЭТАЖ НЕ ОПРЕДЕЛЕН. ПРИНЯТ ПО ДОПУЩЕНИЮ 1",VLOOKUP(C2664,'Справочник соответствий'!A$2:D$2981,3,FALSE)))</f>
        <v>ЭТАЖ ЗАДАН ЧИСЛОМ</v>
      </c>
      <c r="M2664" s="13" t="b">
        <f t="shared" si="288"/>
        <v>0</v>
      </c>
      <c r="N2664" s="13">
        <f t="shared" si="289"/>
        <v>1</v>
      </c>
      <c r="O2664" s="13" t="str">
        <f t="shared" si="290"/>
        <v>ЭТАЖ ЗАДАН ЧИСЛОМ</v>
      </c>
      <c r="P2664" s="13" t="str">
        <f t="shared" si="291"/>
        <v>ЭТАЖ ЗАДАН ЧИСЛОМ</v>
      </c>
      <c r="Q2664" s="13" t="str">
        <f t="shared" si="292"/>
        <v>ГОТОВ_ИЗМЕНЕН</v>
      </c>
      <c r="R2664" s="13">
        <f>IFERROR(VLOOKUP(P2664,Лист1!A$1:B$20,2,FALSE),0)</f>
        <v>784</v>
      </c>
      <c r="S2664" s="13">
        <f t="shared" si="293"/>
        <v>0</v>
      </c>
    </row>
    <row r="2665" spans="1:19" x14ac:dyDescent="0.25">
      <c r="A2665" s="24" t="s">
        <v>3795</v>
      </c>
      <c r="B2665" s="4" t="s">
        <v>1059</v>
      </c>
      <c r="C2665" s="25" t="s">
        <v>5</v>
      </c>
      <c r="G2665" s="25" t="s">
        <v>1069</v>
      </c>
      <c r="H2665" s="24" t="s">
        <v>1061</v>
      </c>
      <c r="I2665" s="3" t="str">
        <f>IFERROR(VLOOKUP(C2665,'Справочник соответствий'!A$2:D$2981,2,FALSE),IF(VALUE(C2665)=0,1,VLOOKUP(C2665,'Справочник соответствий'!A$2:D$2981,2,FALSE)))</f>
        <v>1</v>
      </c>
      <c r="J2665" s="3">
        <f>IFERROR(VLOOKUP(D2665,'Справочник соответствий'!A$2:D$2981,2,FALSE),IF(VALUE(D2665)=0,0,VLOOKUP(D2665,'Справочник соответствий'!A$2:D$2981,2,FALSE)))</f>
        <v>0</v>
      </c>
      <c r="K2665" s="3" t="str">
        <f t="shared" si="287"/>
        <v>1</v>
      </c>
      <c r="L2665" s="13" t="str">
        <f>IFERROR(VLOOKUP(C2665,'Справочник соответствий'!A$2:D$2981,3,FALSE),IF(VALUE(C2665)=0,"ЭТАЖ НЕ ОПРЕДЕЛЕН. ПРИНЯТ ПО ДОПУЩЕНИЮ 1",VLOOKUP(C2665,'Справочник соответствий'!A$2:D$2981,3,FALSE)))</f>
        <v>ЭТАЖ ЗАДАН ЧИСЛОМ</v>
      </c>
      <c r="M2665" s="13" t="b">
        <f t="shared" si="288"/>
        <v>0</v>
      </c>
      <c r="N2665" s="13">
        <f t="shared" si="289"/>
        <v>1</v>
      </c>
      <c r="O2665" s="13" t="str">
        <f t="shared" si="290"/>
        <v>ЭТАЖ ЗАДАН ЧИСЛОМ</v>
      </c>
      <c r="P2665" s="13" t="str">
        <f t="shared" si="291"/>
        <v>ЭТАЖ ЗАДАН ЧИСЛОМ</v>
      </c>
      <c r="Q2665" s="13" t="str">
        <f t="shared" si="292"/>
        <v>ГОТОВ_ИЗМЕНЕН</v>
      </c>
      <c r="R2665" s="13">
        <f>IFERROR(VLOOKUP(P2665,Лист1!A$1:B$20,2,FALSE),0)</f>
        <v>784</v>
      </c>
      <c r="S2665" s="13">
        <f t="shared" si="293"/>
        <v>0</v>
      </c>
    </row>
    <row r="2666" spans="1:19" x14ac:dyDescent="0.25">
      <c r="A2666" s="24" t="s">
        <v>3796</v>
      </c>
      <c r="B2666" s="4" t="s">
        <v>1059</v>
      </c>
      <c r="C2666" s="25" t="s">
        <v>5</v>
      </c>
      <c r="G2666" s="25" t="s">
        <v>1069</v>
      </c>
      <c r="H2666" s="24" t="s">
        <v>1061</v>
      </c>
      <c r="I2666" s="3" t="str">
        <f>IFERROR(VLOOKUP(C2666,'Справочник соответствий'!A$2:D$2981,2,FALSE),IF(VALUE(C2666)=0,1,VLOOKUP(C2666,'Справочник соответствий'!A$2:D$2981,2,FALSE)))</f>
        <v>1</v>
      </c>
      <c r="J2666" s="3">
        <f>IFERROR(VLOOKUP(D2666,'Справочник соответствий'!A$2:D$2981,2,FALSE),IF(VALUE(D2666)=0,0,VLOOKUP(D2666,'Справочник соответствий'!A$2:D$2981,2,FALSE)))</f>
        <v>0</v>
      </c>
      <c r="K2666" s="3" t="str">
        <f t="shared" si="287"/>
        <v>1</v>
      </c>
      <c r="L2666" s="13" t="str">
        <f>IFERROR(VLOOKUP(C2666,'Справочник соответствий'!A$2:D$2981,3,FALSE),IF(VALUE(C2666)=0,"ЭТАЖ НЕ ОПРЕДЕЛЕН. ПРИНЯТ ПО ДОПУЩЕНИЮ 1",VLOOKUP(C2666,'Справочник соответствий'!A$2:D$2981,3,FALSE)))</f>
        <v>ЭТАЖ ЗАДАН ЧИСЛОМ</v>
      </c>
      <c r="M2666" s="13" t="b">
        <f t="shared" si="288"/>
        <v>0</v>
      </c>
      <c r="N2666" s="13">
        <f t="shared" si="289"/>
        <v>1</v>
      </c>
      <c r="O2666" s="13" t="str">
        <f t="shared" si="290"/>
        <v>ЭТАЖ ЗАДАН ЧИСЛОМ</v>
      </c>
      <c r="P2666" s="13" t="str">
        <f t="shared" si="291"/>
        <v>ЭТАЖ ЗАДАН ЧИСЛОМ</v>
      </c>
      <c r="Q2666" s="13" t="str">
        <f t="shared" si="292"/>
        <v>ГОТОВ_ИЗМЕНЕН</v>
      </c>
      <c r="R2666" s="13">
        <f>IFERROR(VLOOKUP(P2666,Лист1!A$1:B$20,2,FALSE),0)</f>
        <v>784</v>
      </c>
      <c r="S2666" s="13">
        <f t="shared" si="293"/>
        <v>0</v>
      </c>
    </row>
    <row r="2667" spans="1:19" x14ac:dyDescent="0.25">
      <c r="A2667" s="24" t="s">
        <v>3797</v>
      </c>
      <c r="B2667" s="4" t="s">
        <v>1059</v>
      </c>
      <c r="C2667" s="25" t="s">
        <v>5</v>
      </c>
      <c r="G2667" s="25" t="s">
        <v>1069</v>
      </c>
      <c r="H2667" s="24" t="s">
        <v>1061</v>
      </c>
      <c r="I2667" s="3" t="str">
        <f>IFERROR(VLOOKUP(C2667,'Справочник соответствий'!A$2:D$2981,2,FALSE),IF(VALUE(C2667)=0,1,VLOOKUP(C2667,'Справочник соответствий'!A$2:D$2981,2,FALSE)))</f>
        <v>1</v>
      </c>
      <c r="J2667" s="3">
        <f>IFERROR(VLOOKUP(D2667,'Справочник соответствий'!A$2:D$2981,2,FALSE),IF(VALUE(D2667)=0,0,VLOOKUP(D2667,'Справочник соответствий'!A$2:D$2981,2,FALSE)))</f>
        <v>0</v>
      </c>
      <c r="K2667" s="3" t="str">
        <f t="shared" si="287"/>
        <v>1</v>
      </c>
      <c r="L2667" s="13" t="str">
        <f>IFERROR(VLOOKUP(C2667,'Справочник соответствий'!A$2:D$2981,3,FALSE),IF(VALUE(C2667)=0,"ЭТАЖ НЕ ОПРЕДЕЛЕН. ПРИНЯТ ПО ДОПУЩЕНИЮ 1",VLOOKUP(C2667,'Справочник соответствий'!A$2:D$2981,3,FALSE)))</f>
        <v>ЭТАЖ ЗАДАН ЧИСЛОМ</v>
      </c>
      <c r="M2667" s="13" t="b">
        <f t="shared" si="288"/>
        <v>0</v>
      </c>
      <c r="N2667" s="13">
        <f t="shared" si="289"/>
        <v>1</v>
      </c>
      <c r="O2667" s="13" t="str">
        <f t="shared" si="290"/>
        <v>ЭТАЖ ЗАДАН ЧИСЛОМ</v>
      </c>
      <c r="P2667" s="13" t="str">
        <f t="shared" si="291"/>
        <v>ЭТАЖ ЗАДАН ЧИСЛОМ</v>
      </c>
      <c r="Q2667" s="13" t="str">
        <f t="shared" si="292"/>
        <v>ГОТОВ_ИЗМЕНЕН</v>
      </c>
      <c r="R2667" s="13">
        <f>IFERROR(VLOOKUP(P2667,Лист1!A$1:B$20,2,FALSE),0)</f>
        <v>784</v>
      </c>
      <c r="S2667" s="13">
        <f t="shared" si="293"/>
        <v>0</v>
      </c>
    </row>
    <row r="2668" spans="1:19" x14ac:dyDescent="0.25">
      <c r="A2668" s="24" t="s">
        <v>3798</v>
      </c>
      <c r="B2668" s="4" t="s">
        <v>1059</v>
      </c>
      <c r="C2668" s="25" t="s">
        <v>7</v>
      </c>
      <c r="G2668" s="25" t="s">
        <v>1069</v>
      </c>
      <c r="H2668" s="24" t="s">
        <v>1061</v>
      </c>
      <c r="I2668" s="3" t="str">
        <f>IFERROR(VLOOKUP(C2668,'Справочник соответствий'!A$2:D$2981,2,FALSE),IF(VALUE(C2668)=0,1,VLOOKUP(C2668,'Справочник соответствий'!A$2:D$2981,2,FALSE)))</f>
        <v>2</v>
      </c>
      <c r="J2668" s="3">
        <f>IFERROR(VLOOKUP(D2668,'Справочник соответствий'!A$2:D$2981,2,FALSE),IF(VALUE(D2668)=0,0,VLOOKUP(D2668,'Справочник соответствий'!A$2:D$2981,2,FALSE)))</f>
        <v>0</v>
      </c>
      <c r="K2668" s="3" t="str">
        <f t="shared" si="287"/>
        <v>2</v>
      </c>
      <c r="L2668" s="13" t="str">
        <f>IFERROR(VLOOKUP(C2668,'Справочник соответствий'!A$2:D$2981,3,FALSE),IF(VALUE(C2668)=0,"ЭТАЖ НЕ ОПРЕДЕЛЕН. ПРИНЯТ ПО ДОПУЩЕНИЮ 1",VLOOKUP(C2668,'Справочник соответствий'!A$2:D$2981,3,FALSE)))</f>
        <v>ЭТАЖ ЗАДАН ЧИСЛОМ</v>
      </c>
      <c r="M2668" s="13" t="b">
        <f t="shared" si="288"/>
        <v>0</v>
      </c>
      <c r="N2668" s="13">
        <f t="shared" si="289"/>
        <v>2</v>
      </c>
      <c r="O2668" s="13" t="str">
        <f t="shared" si="290"/>
        <v>ЭТАЖ ЗАДАН ЧИСЛОМ</v>
      </c>
      <c r="P2668" s="13" t="str">
        <f t="shared" si="291"/>
        <v>ЭТАЖ ЗАДАН ЧИСЛОМ</v>
      </c>
      <c r="Q2668" s="13" t="str">
        <f t="shared" si="292"/>
        <v>ГОТОВ_ИЗМЕНЕН</v>
      </c>
      <c r="R2668" s="13">
        <f>IFERROR(VLOOKUP(P2668,Лист1!A$1:B$20,2,FALSE),0)</f>
        <v>784</v>
      </c>
      <c r="S2668" s="13">
        <f t="shared" si="293"/>
        <v>0</v>
      </c>
    </row>
    <row r="2669" spans="1:19" x14ac:dyDescent="0.25">
      <c r="A2669" s="24" t="s">
        <v>3799</v>
      </c>
      <c r="B2669" s="4" t="s">
        <v>1063</v>
      </c>
      <c r="G2669" s="25" t="s">
        <v>1321</v>
      </c>
      <c r="H2669" s="24" t="s">
        <v>1061</v>
      </c>
      <c r="I2669" s="3">
        <f>IFERROR(VLOOKUP(C2669,'Справочник соответствий'!A$2:D$2981,2,FALSE),IF(VALUE(C2669)=0,1,VLOOKUP(C2669,'Справочник соответствий'!A$2:D$2981,2,FALSE)))</f>
        <v>1</v>
      </c>
      <c r="J2669" s="3">
        <f>IFERROR(VLOOKUP(D2669,'Справочник соответствий'!A$2:D$2981,2,FALSE),IF(VALUE(D2669)=0,0,VLOOKUP(D2669,'Справочник соответствий'!A$2:D$2981,2,FALSE)))</f>
        <v>0</v>
      </c>
      <c r="K2669" s="3">
        <f t="shared" si="287"/>
        <v>1</v>
      </c>
      <c r="L2669" s="13" t="str">
        <f>IFERROR(VLOOKUP(C2669,'Справочник соответствий'!A$2:D$2981,3,FALSE),IF(VALUE(C2669)=0,"ЭТАЖ НЕ ОПРЕДЕЛЕН. ПРИНЯТ ПО ДОПУЩЕНИЮ 1",VLOOKUP(C2669,'Справочник соответствий'!A$2:D$2981,3,FALSE)))</f>
        <v>ЭТАЖ НЕ ОПРЕДЕЛЕН. ПРИНЯТ ПО ДОПУЩЕНИЮ 1</v>
      </c>
      <c r="M2669" s="13" t="b">
        <f t="shared" si="288"/>
        <v>0</v>
      </c>
      <c r="N2669" s="13">
        <f t="shared" si="289"/>
        <v>1</v>
      </c>
      <c r="O2669" s="13" t="str">
        <f t="shared" si="290"/>
        <v>ЭТАЖ НЕ ОПРЕДЕЛЕН. ПРИНЯТ ПО ДОПУЩЕНИЮ 1</v>
      </c>
      <c r="P2669" s="13" t="str">
        <f t="shared" si="291"/>
        <v>ЭТАЖ НЕ ОПРЕДЕЛЕН. ПРИНЯТ ПО ДОПУЩЕНИЮ 1</v>
      </c>
      <c r="Q2669" s="13" t="str">
        <f t="shared" si="292"/>
        <v>ГОТОВ_ИЗМЕНЕН</v>
      </c>
      <c r="R2669" s="13">
        <f>IFERROR(VLOOKUP(P2669,Лист1!A$1:B$20,2,FALSE),0)</f>
        <v>788</v>
      </c>
      <c r="S2669" s="13">
        <f t="shared" si="293"/>
        <v>0</v>
      </c>
    </row>
    <row r="2670" spans="1:19" x14ac:dyDescent="0.25">
      <c r="A2670" s="24" t="s">
        <v>3800</v>
      </c>
      <c r="B2670" s="4" t="s">
        <v>1059</v>
      </c>
      <c r="C2670" s="25" t="s">
        <v>5</v>
      </c>
      <c r="G2670" s="25" t="s">
        <v>1114</v>
      </c>
      <c r="H2670" s="24" t="s">
        <v>1061</v>
      </c>
      <c r="I2670" s="3" t="str">
        <f>IFERROR(VLOOKUP(C2670,'Справочник соответствий'!A$2:D$2981,2,FALSE),IF(VALUE(C2670)=0,1,VLOOKUP(C2670,'Справочник соответствий'!A$2:D$2981,2,FALSE)))</f>
        <v>1</v>
      </c>
      <c r="J2670" s="3">
        <f>IFERROR(VLOOKUP(D2670,'Справочник соответствий'!A$2:D$2981,2,FALSE),IF(VALUE(D2670)=0,0,VLOOKUP(D2670,'Справочник соответствий'!A$2:D$2981,2,FALSE)))</f>
        <v>0</v>
      </c>
      <c r="K2670" s="3" t="str">
        <f t="shared" si="287"/>
        <v>1</v>
      </c>
      <c r="L2670" s="13" t="str">
        <f>IFERROR(VLOOKUP(C2670,'Справочник соответствий'!A$2:D$2981,3,FALSE),IF(VALUE(C2670)=0,"ЭТАЖ НЕ ОПРЕДЕЛЕН. ПРИНЯТ ПО ДОПУЩЕНИЮ 1",VLOOKUP(C2670,'Справочник соответствий'!A$2:D$2981,3,FALSE)))</f>
        <v>ЭТАЖ ЗАДАН ЧИСЛОМ</v>
      </c>
      <c r="M2670" s="13" t="b">
        <f t="shared" si="288"/>
        <v>0</v>
      </c>
      <c r="N2670" s="13">
        <f t="shared" si="289"/>
        <v>1</v>
      </c>
      <c r="O2670" s="13" t="str">
        <f t="shared" si="290"/>
        <v>ЭТАЖ ЗАДАН ЧИСЛОМ</v>
      </c>
      <c r="P2670" s="13" t="str">
        <f t="shared" si="291"/>
        <v>ЭТАЖ ЗАДАН ЧИСЛОМ</v>
      </c>
      <c r="Q2670" s="13" t="str">
        <f t="shared" si="292"/>
        <v>ГОТОВ_ИЗМЕНЕН</v>
      </c>
      <c r="R2670" s="13">
        <f>IFERROR(VLOOKUP(P2670,Лист1!A$1:B$20,2,FALSE),0)</f>
        <v>784</v>
      </c>
      <c r="S2670" s="13">
        <f t="shared" si="293"/>
        <v>0</v>
      </c>
    </row>
    <row r="2671" spans="1:19" x14ac:dyDescent="0.25">
      <c r="A2671" s="24" t="s">
        <v>3801</v>
      </c>
      <c r="B2671" s="4" t="s">
        <v>1059</v>
      </c>
      <c r="C2671" s="25" t="s">
        <v>5</v>
      </c>
      <c r="G2671" s="25" t="s">
        <v>1069</v>
      </c>
      <c r="H2671" s="24" t="s">
        <v>1061</v>
      </c>
      <c r="I2671" s="3" t="str">
        <f>IFERROR(VLOOKUP(C2671,'Справочник соответствий'!A$2:D$2981,2,FALSE),IF(VALUE(C2671)=0,1,VLOOKUP(C2671,'Справочник соответствий'!A$2:D$2981,2,FALSE)))</f>
        <v>1</v>
      </c>
      <c r="J2671" s="3">
        <f>IFERROR(VLOOKUP(D2671,'Справочник соответствий'!A$2:D$2981,2,FALSE),IF(VALUE(D2671)=0,0,VLOOKUP(D2671,'Справочник соответствий'!A$2:D$2981,2,FALSE)))</f>
        <v>0</v>
      </c>
      <c r="K2671" s="3" t="str">
        <f t="shared" si="287"/>
        <v>1</v>
      </c>
      <c r="L2671" s="13" t="str">
        <f>IFERROR(VLOOKUP(C2671,'Справочник соответствий'!A$2:D$2981,3,FALSE),IF(VALUE(C2671)=0,"ЭТАЖ НЕ ОПРЕДЕЛЕН. ПРИНЯТ ПО ДОПУЩЕНИЮ 1",VLOOKUP(C2671,'Справочник соответствий'!A$2:D$2981,3,FALSE)))</f>
        <v>ЭТАЖ ЗАДАН ЧИСЛОМ</v>
      </c>
      <c r="M2671" s="13" t="b">
        <f t="shared" si="288"/>
        <v>0</v>
      </c>
      <c r="N2671" s="13">
        <f t="shared" si="289"/>
        <v>1</v>
      </c>
      <c r="O2671" s="13" t="str">
        <f t="shared" si="290"/>
        <v>ЭТАЖ ЗАДАН ЧИСЛОМ</v>
      </c>
      <c r="P2671" s="13" t="str">
        <f t="shared" si="291"/>
        <v>ЭТАЖ ЗАДАН ЧИСЛОМ</v>
      </c>
      <c r="Q2671" s="13" t="str">
        <f t="shared" si="292"/>
        <v>ГОТОВ_ИЗМЕНЕН</v>
      </c>
      <c r="R2671" s="13">
        <f>IFERROR(VLOOKUP(P2671,Лист1!A$1:B$20,2,FALSE),0)</f>
        <v>784</v>
      </c>
      <c r="S2671" s="13">
        <f t="shared" si="293"/>
        <v>0</v>
      </c>
    </row>
    <row r="2672" spans="1:19" x14ac:dyDescent="0.25">
      <c r="A2672" s="24" t="s">
        <v>3802</v>
      </c>
      <c r="B2672" s="4" t="s">
        <v>1059</v>
      </c>
      <c r="C2672" s="25" t="s">
        <v>5</v>
      </c>
      <c r="G2672" s="25" t="s">
        <v>1325</v>
      </c>
      <c r="H2672" s="24" t="s">
        <v>1061</v>
      </c>
      <c r="I2672" s="3" t="str">
        <f>IFERROR(VLOOKUP(C2672,'Справочник соответствий'!A$2:D$2981,2,FALSE),IF(VALUE(C2672)=0,1,VLOOKUP(C2672,'Справочник соответствий'!A$2:D$2981,2,FALSE)))</f>
        <v>1</v>
      </c>
      <c r="J2672" s="3">
        <f>IFERROR(VLOOKUP(D2672,'Справочник соответствий'!A$2:D$2981,2,FALSE),IF(VALUE(D2672)=0,0,VLOOKUP(D2672,'Справочник соответствий'!A$2:D$2981,2,FALSE)))</f>
        <v>0</v>
      </c>
      <c r="K2672" s="3" t="str">
        <f t="shared" si="287"/>
        <v>1</v>
      </c>
      <c r="L2672" s="13" t="str">
        <f>IFERROR(VLOOKUP(C2672,'Справочник соответствий'!A$2:D$2981,3,FALSE),IF(VALUE(C2672)=0,"ЭТАЖ НЕ ОПРЕДЕЛЕН. ПРИНЯТ ПО ДОПУЩЕНИЮ 1",VLOOKUP(C2672,'Справочник соответствий'!A$2:D$2981,3,FALSE)))</f>
        <v>ЭТАЖ ЗАДАН ЧИСЛОМ</v>
      </c>
      <c r="M2672" s="13" t="b">
        <f t="shared" si="288"/>
        <v>0</v>
      </c>
      <c r="N2672" s="13">
        <f t="shared" si="289"/>
        <v>1</v>
      </c>
      <c r="O2672" s="13" t="str">
        <f t="shared" si="290"/>
        <v>ЭТАЖ ЗАДАН ЧИСЛОМ</v>
      </c>
      <c r="P2672" s="13" t="str">
        <f t="shared" si="291"/>
        <v>ЭТАЖ ЗАДАН ЧИСЛОМ</v>
      </c>
      <c r="Q2672" s="13" t="str">
        <f t="shared" si="292"/>
        <v>ГОТОВ_ИЗМЕНЕН</v>
      </c>
      <c r="R2672" s="13">
        <f>IFERROR(VLOOKUP(P2672,Лист1!A$1:B$20,2,FALSE),0)</f>
        <v>784</v>
      </c>
      <c r="S2672" s="13">
        <f t="shared" si="293"/>
        <v>0</v>
      </c>
    </row>
    <row r="2673" spans="1:19" x14ac:dyDescent="0.25">
      <c r="A2673" s="24" t="s">
        <v>3803</v>
      </c>
      <c r="B2673" s="4" t="s">
        <v>1059</v>
      </c>
      <c r="C2673" s="25" t="s">
        <v>7</v>
      </c>
      <c r="G2673" s="25" t="s">
        <v>1325</v>
      </c>
      <c r="H2673" s="24" t="s">
        <v>1061</v>
      </c>
      <c r="I2673" s="3" t="str">
        <f>IFERROR(VLOOKUP(C2673,'Справочник соответствий'!A$2:D$2981,2,FALSE),IF(VALUE(C2673)=0,1,VLOOKUP(C2673,'Справочник соответствий'!A$2:D$2981,2,FALSE)))</f>
        <v>2</v>
      </c>
      <c r="J2673" s="3">
        <f>IFERROR(VLOOKUP(D2673,'Справочник соответствий'!A$2:D$2981,2,FALSE),IF(VALUE(D2673)=0,0,VLOOKUP(D2673,'Справочник соответствий'!A$2:D$2981,2,FALSE)))</f>
        <v>0</v>
      </c>
      <c r="K2673" s="3" t="str">
        <f t="shared" si="287"/>
        <v>2</v>
      </c>
      <c r="L2673" s="13" t="str">
        <f>IFERROR(VLOOKUP(C2673,'Справочник соответствий'!A$2:D$2981,3,FALSE),IF(VALUE(C2673)=0,"ЭТАЖ НЕ ОПРЕДЕЛЕН. ПРИНЯТ ПО ДОПУЩЕНИЮ 1",VLOOKUP(C2673,'Справочник соответствий'!A$2:D$2981,3,FALSE)))</f>
        <v>ЭТАЖ ЗАДАН ЧИСЛОМ</v>
      </c>
      <c r="M2673" s="13" t="b">
        <f t="shared" si="288"/>
        <v>0</v>
      </c>
      <c r="N2673" s="13">
        <f t="shared" si="289"/>
        <v>2</v>
      </c>
      <c r="O2673" s="13" t="str">
        <f t="shared" si="290"/>
        <v>ЭТАЖ ЗАДАН ЧИСЛОМ</v>
      </c>
      <c r="P2673" s="13" t="str">
        <f t="shared" si="291"/>
        <v>ЭТАЖ ЗАДАН ЧИСЛОМ</v>
      </c>
      <c r="Q2673" s="13" t="str">
        <f t="shared" si="292"/>
        <v>ГОТОВ_ИЗМЕНЕН</v>
      </c>
      <c r="R2673" s="13">
        <f>IFERROR(VLOOKUP(P2673,Лист1!A$1:B$20,2,FALSE),0)</f>
        <v>784</v>
      </c>
      <c r="S2673" s="13">
        <f t="shared" si="293"/>
        <v>0</v>
      </c>
    </row>
    <row r="2674" spans="1:19" x14ac:dyDescent="0.25">
      <c r="A2674" s="24" t="s">
        <v>3804</v>
      </c>
      <c r="B2674" s="4" t="s">
        <v>1059</v>
      </c>
      <c r="C2674" s="25" t="s">
        <v>5</v>
      </c>
      <c r="G2674" s="25" t="s">
        <v>1325</v>
      </c>
      <c r="H2674" s="24" t="s">
        <v>1061</v>
      </c>
      <c r="I2674" s="3" t="str">
        <f>IFERROR(VLOOKUP(C2674,'Справочник соответствий'!A$2:D$2981,2,FALSE),IF(VALUE(C2674)=0,1,VLOOKUP(C2674,'Справочник соответствий'!A$2:D$2981,2,FALSE)))</f>
        <v>1</v>
      </c>
      <c r="J2674" s="3">
        <f>IFERROR(VLOOKUP(D2674,'Справочник соответствий'!A$2:D$2981,2,FALSE),IF(VALUE(D2674)=0,0,VLOOKUP(D2674,'Справочник соответствий'!A$2:D$2981,2,FALSE)))</f>
        <v>0</v>
      </c>
      <c r="K2674" s="3" t="str">
        <f t="shared" si="287"/>
        <v>1</v>
      </c>
      <c r="L2674" s="13" t="str">
        <f>IFERROR(VLOOKUP(C2674,'Справочник соответствий'!A$2:D$2981,3,FALSE),IF(VALUE(C2674)=0,"ЭТАЖ НЕ ОПРЕДЕЛЕН. ПРИНЯТ ПО ДОПУЩЕНИЮ 1",VLOOKUP(C2674,'Справочник соответствий'!A$2:D$2981,3,FALSE)))</f>
        <v>ЭТАЖ ЗАДАН ЧИСЛОМ</v>
      </c>
      <c r="M2674" s="13" t="b">
        <f t="shared" si="288"/>
        <v>0</v>
      </c>
      <c r="N2674" s="13">
        <f t="shared" si="289"/>
        <v>1</v>
      </c>
      <c r="O2674" s="13" t="str">
        <f t="shared" si="290"/>
        <v>ЭТАЖ ЗАДАН ЧИСЛОМ</v>
      </c>
      <c r="P2674" s="13" t="str">
        <f t="shared" si="291"/>
        <v>ЭТАЖ ЗАДАН ЧИСЛОМ</v>
      </c>
      <c r="Q2674" s="13" t="str">
        <f t="shared" si="292"/>
        <v>ГОТОВ_ИЗМЕНЕН</v>
      </c>
      <c r="R2674" s="13">
        <f>IFERROR(VLOOKUP(P2674,Лист1!A$1:B$20,2,FALSE),0)</f>
        <v>784</v>
      </c>
      <c r="S2674" s="13">
        <f t="shared" si="293"/>
        <v>0</v>
      </c>
    </row>
    <row r="2675" spans="1:19" x14ac:dyDescent="0.25">
      <c r="A2675" s="24" t="s">
        <v>3805</v>
      </c>
      <c r="B2675" s="4" t="s">
        <v>1059</v>
      </c>
      <c r="C2675" s="25" t="s">
        <v>7</v>
      </c>
      <c r="G2675" s="25" t="s">
        <v>1108</v>
      </c>
      <c r="H2675" s="24" t="s">
        <v>1061</v>
      </c>
      <c r="I2675" s="3" t="str">
        <f>IFERROR(VLOOKUP(C2675,'Справочник соответствий'!A$2:D$2981,2,FALSE),IF(VALUE(C2675)=0,1,VLOOKUP(C2675,'Справочник соответствий'!A$2:D$2981,2,FALSE)))</f>
        <v>2</v>
      </c>
      <c r="J2675" s="3">
        <f>IFERROR(VLOOKUP(D2675,'Справочник соответствий'!A$2:D$2981,2,FALSE),IF(VALUE(D2675)=0,0,VLOOKUP(D2675,'Справочник соответствий'!A$2:D$2981,2,FALSE)))</f>
        <v>0</v>
      </c>
      <c r="K2675" s="3" t="str">
        <f t="shared" si="287"/>
        <v>2</v>
      </c>
      <c r="L2675" s="13" t="str">
        <f>IFERROR(VLOOKUP(C2675,'Справочник соответствий'!A$2:D$2981,3,FALSE),IF(VALUE(C2675)=0,"ЭТАЖ НЕ ОПРЕДЕЛЕН. ПРИНЯТ ПО ДОПУЩЕНИЮ 1",VLOOKUP(C2675,'Справочник соответствий'!A$2:D$2981,3,FALSE)))</f>
        <v>ЭТАЖ ЗАДАН ЧИСЛОМ</v>
      </c>
      <c r="M2675" s="13" t="b">
        <f t="shared" si="288"/>
        <v>0</v>
      </c>
      <c r="N2675" s="13">
        <f t="shared" si="289"/>
        <v>2</v>
      </c>
      <c r="O2675" s="13" t="str">
        <f t="shared" si="290"/>
        <v>ЭТАЖ ЗАДАН ЧИСЛОМ</v>
      </c>
      <c r="P2675" s="13" t="str">
        <f t="shared" si="291"/>
        <v>ЭТАЖ ЗАДАН ЧИСЛОМ</v>
      </c>
      <c r="Q2675" s="13" t="str">
        <f t="shared" si="292"/>
        <v>ГОТОВ_ИЗМЕНЕН</v>
      </c>
      <c r="R2675" s="13">
        <f>IFERROR(VLOOKUP(P2675,Лист1!A$1:B$20,2,FALSE),0)</f>
        <v>784</v>
      </c>
      <c r="S2675" s="13">
        <f t="shared" si="293"/>
        <v>0</v>
      </c>
    </row>
    <row r="2676" spans="1:19" x14ac:dyDescent="0.25">
      <c r="A2676" s="24" t="s">
        <v>3806</v>
      </c>
      <c r="B2676" s="4" t="s">
        <v>1063</v>
      </c>
      <c r="C2676" s="25" t="s">
        <v>5</v>
      </c>
      <c r="G2676" s="25" t="s">
        <v>1069</v>
      </c>
      <c r="H2676" s="24" t="s">
        <v>1061</v>
      </c>
      <c r="I2676" s="3" t="str">
        <f>IFERROR(VLOOKUP(C2676,'Справочник соответствий'!A$2:D$2981,2,FALSE),IF(VALUE(C2676)=0,1,VLOOKUP(C2676,'Справочник соответствий'!A$2:D$2981,2,FALSE)))</f>
        <v>1</v>
      </c>
      <c r="J2676" s="3">
        <f>IFERROR(VLOOKUP(D2676,'Справочник соответствий'!A$2:D$2981,2,FALSE),IF(VALUE(D2676)=0,0,VLOOKUP(D2676,'Справочник соответствий'!A$2:D$2981,2,FALSE)))</f>
        <v>0</v>
      </c>
      <c r="K2676" s="3" t="str">
        <f t="shared" si="287"/>
        <v>1</v>
      </c>
      <c r="L2676" s="13" t="str">
        <f>IFERROR(VLOOKUP(C2676,'Справочник соответствий'!A$2:D$2981,3,FALSE),IF(VALUE(C2676)=0,"ЭТАЖ НЕ ОПРЕДЕЛЕН. ПРИНЯТ ПО ДОПУЩЕНИЮ 1",VLOOKUP(C2676,'Справочник соответствий'!A$2:D$2981,3,FALSE)))</f>
        <v>ЭТАЖ ЗАДАН ЧИСЛОМ</v>
      </c>
      <c r="M2676" s="13" t="b">
        <f t="shared" si="288"/>
        <v>0</v>
      </c>
      <c r="N2676" s="13">
        <f t="shared" si="289"/>
        <v>1</v>
      </c>
      <c r="O2676" s="13" t="str">
        <f t="shared" si="290"/>
        <v>ЭТАЖ ЗАДАН ЧИСЛОМ</v>
      </c>
      <c r="P2676" s="13" t="str">
        <f t="shared" si="291"/>
        <v>ЭТАЖ ЗАДАН ЧИСЛОМ</v>
      </c>
      <c r="Q2676" s="13" t="str">
        <f t="shared" si="292"/>
        <v>ГОТОВ_ИЗМЕНЕН</v>
      </c>
      <c r="R2676" s="13">
        <f>IFERROR(VLOOKUP(P2676,Лист1!A$1:B$20,2,FALSE),0)</f>
        <v>784</v>
      </c>
      <c r="S2676" s="13">
        <f t="shared" si="293"/>
        <v>0</v>
      </c>
    </row>
    <row r="2677" spans="1:19" x14ac:dyDescent="0.25">
      <c r="A2677" s="24" t="s">
        <v>3807</v>
      </c>
      <c r="B2677" s="4" t="s">
        <v>1059</v>
      </c>
      <c r="C2677" s="25" t="s">
        <v>7</v>
      </c>
      <c r="G2677" s="25" t="s">
        <v>1099</v>
      </c>
      <c r="H2677" s="24" t="s">
        <v>1061</v>
      </c>
      <c r="I2677" s="3" t="str">
        <f>IFERROR(VLOOKUP(C2677,'Справочник соответствий'!A$2:D$2981,2,FALSE),IF(VALUE(C2677)=0,1,VLOOKUP(C2677,'Справочник соответствий'!A$2:D$2981,2,FALSE)))</f>
        <v>2</v>
      </c>
      <c r="J2677" s="3">
        <f>IFERROR(VLOOKUP(D2677,'Справочник соответствий'!A$2:D$2981,2,FALSE),IF(VALUE(D2677)=0,0,VLOOKUP(D2677,'Справочник соответствий'!A$2:D$2981,2,FALSE)))</f>
        <v>0</v>
      </c>
      <c r="K2677" s="3" t="str">
        <f t="shared" si="287"/>
        <v>2</v>
      </c>
      <c r="L2677" s="13" t="str">
        <f>IFERROR(VLOOKUP(C2677,'Справочник соответствий'!A$2:D$2981,3,FALSE),IF(VALUE(C2677)=0,"ЭТАЖ НЕ ОПРЕДЕЛЕН. ПРИНЯТ ПО ДОПУЩЕНИЮ 1",VLOOKUP(C2677,'Справочник соответствий'!A$2:D$2981,3,FALSE)))</f>
        <v>ЭТАЖ ЗАДАН ЧИСЛОМ</v>
      </c>
      <c r="M2677" s="13" t="b">
        <f t="shared" si="288"/>
        <v>0</v>
      </c>
      <c r="N2677" s="13">
        <f t="shared" si="289"/>
        <v>2</v>
      </c>
      <c r="O2677" s="13" t="str">
        <f t="shared" si="290"/>
        <v>ЭТАЖ ЗАДАН ЧИСЛОМ</v>
      </c>
      <c r="P2677" s="13" t="str">
        <f t="shared" si="291"/>
        <v>ЭТАЖ ЗАДАН ЧИСЛОМ</v>
      </c>
      <c r="Q2677" s="13" t="str">
        <f t="shared" si="292"/>
        <v>ГОТОВ_ИЗМЕНЕН</v>
      </c>
      <c r="R2677" s="13">
        <f>IFERROR(VLOOKUP(P2677,Лист1!A$1:B$20,2,FALSE),0)</f>
        <v>784</v>
      </c>
      <c r="S2677" s="13">
        <f t="shared" si="293"/>
        <v>0</v>
      </c>
    </row>
    <row r="2678" spans="1:19" x14ac:dyDescent="0.25">
      <c r="A2678" s="24" t="s">
        <v>3808</v>
      </c>
      <c r="B2678" s="4" t="s">
        <v>1063</v>
      </c>
      <c r="C2678" s="25" t="s">
        <v>5</v>
      </c>
      <c r="G2678" s="25" t="s">
        <v>1205</v>
      </c>
      <c r="H2678" s="24" t="s">
        <v>1061</v>
      </c>
      <c r="I2678" s="3" t="str">
        <f>IFERROR(VLOOKUP(C2678,'Справочник соответствий'!A$2:D$2981,2,FALSE),IF(VALUE(C2678)=0,1,VLOOKUP(C2678,'Справочник соответствий'!A$2:D$2981,2,FALSE)))</f>
        <v>1</v>
      </c>
      <c r="J2678" s="3">
        <f>IFERROR(VLOOKUP(D2678,'Справочник соответствий'!A$2:D$2981,2,FALSE),IF(VALUE(D2678)=0,0,VLOOKUP(D2678,'Справочник соответствий'!A$2:D$2981,2,FALSE)))</f>
        <v>0</v>
      </c>
      <c r="K2678" s="3" t="str">
        <f t="shared" si="287"/>
        <v>1</v>
      </c>
      <c r="L2678" s="13" t="str">
        <f>IFERROR(VLOOKUP(C2678,'Справочник соответствий'!A$2:D$2981,3,FALSE),IF(VALUE(C2678)=0,"ЭТАЖ НЕ ОПРЕДЕЛЕН. ПРИНЯТ ПО ДОПУЩЕНИЮ 1",VLOOKUP(C2678,'Справочник соответствий'!A$2:D$2981,3,FALSE)))</f>
        <v>ЭТАЖ ЗАДАН ЧИСЛОМ</v>
      </c>
      <c r="M2678" s="13" t="b">
        <f t="shared" si="288"/>
        <v>0</v>
      </c>
      <c r="N2678" s="13">
        <f t="shared" si="289"/>
        <v>1</v>
      </c>
      <c r="O2678" s="13" t="str">
        <f t="shared" si="290"/>
        <v>ЭТАЖ ЗАДАН ЧИСЛОМ</v>
      </c>
      <c r="P2678" s="13" t="str">
        <f t="shared" si="291"/>
        <v>ЭТАЖ ЗАДАН ЧИСЛОМ</v>
      </c>
      <c r="Q2678" s="13" t="str">
        <f t="shared" si="292"/>
        <v>ГОТОВ_ИЗМЕНЕН</v>
      </c>
      <c r="R2678" s="13">
        <f>IFERROR(VLOOKUP(P2678,Лист1!A$1:B$20,2,FALSE),0)</f>
        <v>784</v>
      </c>
      <c r="S2678" s="13">
        <f t="shared" si="293"/>
        <v>0</v>
      </c>
    </row>
    <row r="2679" spans="1:19" x14ac:dyDescent="0.25">
      <c r="A2679" s="24" t="s">
        <v>3809</v>
      </c>
      <c r="B2679" s="4" t="s">
        <v>1059</v>
      </c>
      <c r="C2679" s="25" t="s">
        <v>5</v>
      </c>
      <c r="G2679" s="25" t="s">
        <v>1108</v>
      </c>
      <c r="H2679" s="24" t="s">
        <v>1061</v>
      </c>
      <c r="I2679" s="3" t="str">
        <f>IFERROR(VLOOKUP(C2679,'Справочник соответствий'!A$2:D$2981,2,FALSE),IF(VALUE(C2679)=0,1,VLOOKUP(C2679,'Справочник соответствий'!A$2:D$2981,2,FALSE)))</f>
        <v>1</v>
      </c>
      <c r="J2679" s="3">
        <f>IFERROR(VLOOKUP(D2679,'Справочник соответствий'!A$2:D$2981,2,FALSE),IF(VALUE(D2679)=0,0,VLOOKUP(D2679,'Справочник соответствий'!A$2:D$2981,2,FALSE)))</f>
        <v>0</v>
      </c>
      <c r="K2679" s="3" t="str">
        <f t="shared" si="287"/>
        <v>1</v>
      </c>
      <c r="L2679" s="13" t="str">
        <f>IFERROR(VLOOKUP(C2679,'Справочник соответствий'!A$2:D$2981,3,FALSE),IF(VALUE(C2679)=0,"ЭТАЖ НЕ ОПРЕДЕЛЕН. ПРИНЯТ ПО ДОПУЩЕНИЮ 1",VLOOKUP(C2679,'Справочник соответствий'!A$2:D$2981,3,FALSE)))</f>
        <v>ЭТАЖ ЗАДАН ЧИСЛОМ</v>
      </c>
      <c r="M2679" s="13" t="b">
        <f t="shared" si="288"/>
        <v>0</v>
      </c>
      <c r="N2679" s="13">
        <f t="shared" si="289"/>
        <v>1</v>
      </c>
      <c r="O2679" s="13" t="str">
        <f t="shared" si="290"/>
        <v>ЭТАЖ ЗАДАН ЧИСЛОМ</v>
      </c>
      <c r="P2679" s="13" t="str">
        <f t="shared" si="291"/>
        <v>ЭТАЖ ЗАДАН ЧИСЛОМ</v>
      </c>
      <c r="Q2679" s="13" t="str">
        <f t="shared" si="292"/>
        <v>ГОТОВ_ИЗМЕНЕН</v>
      </c>
      <c r="R2679" s="13">
        <f>IFERROR(VLOOKUP(P2679,Лист1!A$1:B$20,2,FALSE),0)</f>
        <v>784</v>
      </c>
      <c r="S2679" s="13">
        <f t="shared" si="293"/>
        <v>0</v>
      </c>
    </row>
    <row r="2680" spans="1:19" x14ac:dyDescent="0.25">
      <c r="A2680" s="24" t="s">
        <v>3810</v>
      </c>
      <c r="B2680" s="4" t="s">
        <v>1063</v>
      </c>
      <c r="C2680" s="25" t="s">
        <v>5</v>
      </c>
      <c r="G2680" s="25" t="s">
        <v>1108</v>
      </c>
      <c r="H2680" s="24" t="s">
        <v>1061</v>
      </c>
      <c r="I2680" s="3" t="str">
        <f>IFERROR(VLOOKUP(C2680,'Справочник соответствий'!A$2:D$2981,2,FALSE),IF(VALUE(C2680)=0,1,VLOOKUP(C2680,'Справочник соответствий'!A$2:D$2981,2,FALSE)))</f>
        <v>1</v>
      </c>
      <c r="J2680" s="3">
        <f>IFERROR(VLOOKUP(D2680,'Справочник соответствий'!A$2:D$2981,2,FALSE),IF(VALUE(D2680)=0,0,VLOOKUP(D2680,'Справочник соответствий'!A$2:D$2981,2,FALSE)))</f>
        <v>0</v>
      </c>
      <c r="K2680" s="3" t="str">
        <f t="shared" si="287"/>
        <v>1</v>
      </c>
      <c r="L2680" s="13" t="str">
        <f>IFERROR(VLOOKUP(C2680,'Справочник соответствий'!A$2:D$2981,3,FALSE),IF(VALUE(C2680)=0,"ЭТАЖ НЕ ОПРЕДЕЛЕН. ПРИНЯТ ПО ДОПУЩЕНИЮ 1",VLOOKUP(C2680,'Справочник соответствий'!A$2:D$2981,3,FALSE)))</f>
        <v>ЭТАЖ ЗАДАН ЧИСЛОМ</v>
      </c>
      <c r="M2680" s="13" t="b">
        <f t="shared" si="288"/>
        <v>0</v>
      </c>
      <c r="N2680" s="13">
        <f t="shared" si="289"/>
        <v>1</v>
      </c>
      <c r="O2680" s="13" t="str">
        <f t="shared" si="290"/>
        <v>ЭТАЖ ЗАДАН ЧИСЛОМ</v>
      </c>
      <c r="P2680" s="13" t="str">
        <f t="shared" si="291"/>
        <v>ЭТАЖ ЗАДАН ЧИСЛОМ</v>
      </c>
      <c r="Q2680" s="13" t="str">
        <f t="shared" si="292"/>
        <v>ГОТОВ_ИЗМЕНЕН</v>
      </c>
      <c r="R2680" s="13">
        <f>IFERROR(VLOOKUP(P2680,Лист1!A$1:B$20,2,FALSE),0)</f>
        <v>784</v>
      </c>
      <c r="S2680" s="13">
        <f t="shared" si="293"/>
        <v>0</v>
      </c>
    </row>
    <row r="2681" spans="1:19" x14ac:dyDescent="0.25">
      <c r="A2681" s="24" t="s">
        <v>3811</v>
      </c>
      <c r="B2681" s="4" t="s">
        <v>1059</v>
      </c>
      <c r="C2681" s="25" t="s">
        <v>7</v>
      </c>
      <c r="G2681" s="25" t="s">
        <v>1060</v>
      </c>
      <c r="H2681" s="24" t="s">
        <v>1061</v>
      </c>
      <c r="I2681" s="3" t="str">
        <f>IFERROR(VLOOKUP(C2681,'Справочник соответствий'!A$2:D$2981,2,FALSE),IF(VALUE(C2681)=0,1,VLOOKUP(C2681,'Справочник соответствий'!A$2:D$2981,2,FALSE)))</f>
        <v>2</v>
      </c>
      <c r="J2681" s="3">
        <f>IFERROR(VLOOKUP(D2681,'Справочник соответствий'!A$2:D$2981,2,FALSE),IF(VALUE(D2681)=0,0,VLOOKUP(D2681,'Справочник соответствий'!A$2:D$2981,2,FALSE)))</f>
        <v>0</v>
      </c>
      <c r="K2681" s="3" t="str">
        <f t="shared" si="287"/>
        <v>2</v>
      </c>
      <c r="L2681" s="13" t="str">
        <f>IFERROR(VLOOKUP(C2681,'Справочник соответствий'!A$2:D$2981,3,FALSE),IF(VALUE(C2681)=0,"ЭТАЖ НЕ ОПРЕДЕЛЕН. ПРИНЯТ ПО ДОПУЩЕНИЮ 1",VLOOKUP(C2681,'Справочник соответствий'!A$2:D$2981,3,FALSE)))</f>
        <v>ЭТАЖ ЗАДАН ЧИСЛОМ</v>
      </c>
      <c r="M2681" s="13" t="b">
        <f t="shared" si="288"/>
        <v>0</v>
      </c>
      <c r="N2681" s="13">
        <f t="shared" si="289"/>
        <v>2</v>
      </c>
      <c r="O2681" s="13" t="str">
        <f t="shared" si="290"/>
        <v>ЭТАЖ ЗАДАН ЧИСЛОМ</v>
      </c>
      <c r="P2681" s="13" t="str">
        <f t="shared" si="291"/>
        <v>ЭТАЖ ЗАДАН ЧИСЛОМ</v>
      </c>
      <c r="Q2681" s="13" t="str">
        <f t="shared" si="292"/>
        <v>ГОТОВ_ИЗМЕНЕН</v>
      </c>
      <c r="R2681" s="13">
        <f>IFERROR(VLOOKUP(P2681,Лист1!A$1:B$20,2,FALSE),0)</f>
        <v>784</v>
      </c>
      <c r="S2681" s="13">
        <f t="shared" si="293"/>
        <v>0</v>
      </c>
    </row>
    <row r="2682" spans="1:19" x14ac:dyDescent="0.25">
      <c r="A2682" s="24" t="s">
        <v>3812</v>
      </c>
      <c r="B2682" s="4" t="s">
        <v>1063</v>
      </c>
      <c r="C2682" s="25" t="s">
        <v>5</v>
      </c>
      <c r="G2682" s="25" t="s">
        <v>1108</v>
      </c>
      <c r="H2682" s="24" t="s">
        <v>1061</v>
      </c>
      <c r="I2682" s="3" t="str">
        <f>IFERROR(VLOOKUP(C2682,'Справочник соответствий'!A$2:D$2981,2,FALSE),IF(VALUE(C2682)=0,1,VLOOKUP(C2682,'Справочник соответствий'!A$2:D$2981,2,FALSE)))</f>
        <v>1</v>
      </c>
      <c r="J2682" s="3">
        <f>IFERROR(VLOOKUP(D2682,'Справочник соответствий'!A$2:D$2981,2,FALSE),IF(VALUE(D2682)=0,0,VLOOKUP(D2682,'Справочник соответствий'!A$2:D$2981,2,FALSE)))</f>
        <v>0</v>
      </c>
      <c r="K2682" s="3" t="str">
        <f t="shared" si="287"/>
        <v>1</v>
      </c>
      <c r="L2682" s="13" t="str">
        <f>IFERROR(VLOOKUP(C2682,'Справочник соответствий'!A$2:D$2981,3,FALSE),IF(VALUE(C2682)=0,"ЭТАЖ НЕ ОПРЕДЕЛЕН. ПРИНЯТ ПО ДОПУЩЕНИЮ 1",VLOOKUP(C2682,'Справочник соответствий'!A$2:D$2981,3,FALSE)))</f>
        <v>ЭТАЖ ЗАДАН ЧИСЛОМ</v>
      </c>
      <c r="M2682" s="13" t="b">
        <f t="shared" si="288"/>
        <v>0</v>
      </c>
      <c r="N2682" s="13">
        <f t="shared" si="289"/>
        <v>1</v>
      </c>
      <c r="O2682" s="13" t="str">
        <f t="shared" si="290"/>
        <v>ЭТАЖ ЗАДАН ЧИСЛОМ</v>
      </c>
      <c r="P2682" s="13" t="str">
        <f t="shared" si="291"/>
        <v>ЭТАЖ ЗАДАН ЧИСЛОМ</v>
      </c>
      <c r="Q2682" s="13" t="str">
        <f t="shared" si="292"/>
        <v>ГОТОВ_ИЗМЕНЕН</v>
      </c>
      <c r="R2682" s="13">
        <f>IFERROR(VLOOKUP(P2682,Лист1!A$1:B$20,2,FALSE),0)</f>
        <v>784</v>
      </c>
      <c r="S2682" s="13">
        <f t="shared" si="293"/>
        <v>0</v>
      </c>
    </row>
    <row r="2683" spans="1:19" x14ac:dyDescent="0.25">
      <c r="A2683" s="24" t="s">
        <v>3813</v>
      </c>
      <c r="B2683" s="4" t="s">
        <v>1063</v>
      </c>
      <c r="C2683" s="25" t="s">
        <v>5</v>
      </c>
      <c r="G2683" s="25" t="s">
        <v>1060</v>
      </c>
      <c r="H2683" s="24" t="s">
        <v>1061</v>
      </c>
      <c r="I2683" s="3" t="str">
        <f>IFERROR(VLOOKUP(C2683,'Справочник соответствий'!A$2:D$2981,2,FALSE),IF(VALUE(C2683)=0,1,VLOOKUP(C2683,'Справочник соответствий'!A$2:D$2981,2,FALSE)))</f>
        <v>1</v>
      </c>
      <c r="J2683" s="3">
        <f>IFERROR(VLOOKUP(D2683,'Справочник соответствий'!A$2:D$2981,2,FALSE),IF(VALUE(D2683)=0,0,VLOOKUP(D2683,'Справочник соответствий'!A$2:D$2981,2,FALSE)))</f>
        <v>0</v>
      </c>
      <c r="K2683" s="3" t="str">
        <f t="shared" si="287"/>
        <v>1</v>
      </c>
      <c r="L2683" s="13" t="str">
        <f>IFERROR(VLOOKUP(C2683,'Справочник соответствий'!A$2:D$2981,3,FALSE),IF(VALUE(C2683)=0,"ЭТАЖ НЕ ОПРЕДЕЛЕН. ПРИНЯТ ПО ДОПУЩЕНИЮ 1",VLOOKUP(C2683,'Справочник соответствий'!A$2:D$2981,3,FALSE)))</f>
        <v>ЭТАЖ ЗАДАН ЧИСЛОМ</v>
      </c>
      <c r="M2683" s="13" t="b">
        <f t="shared" si="288"/>
        <v>0</v>
      </c>
      <c r="N2683" s="13">
        <f t="shared" si="289"/>
        <v>1</v>
      </c>
      <c r="O2683" s="13" t="str">
        <f t="shared" si="290"/>
        <v>ЭТАЖ ЗАДАН ЧИСЛОМ</v>
      </c>
      <c r="P2683" s="13" t="str">
        <f t="shared" si="291"/>
        <v>ЭТАЖ ЗАДАН ЧИСЛОМ</v>
      </c>
      <c r="Q2683" s="13" t="str">
        <f t="shared" si="292"/>
        <v>ГОТОВ_ИЗМЕНЕН</v>
      </c>
      <c r="R2683" s="13">
        <f>IFERROR(VLOOKUP(P2683,Лист1!A$1:B$20,2,FALSE),0)</f>
        <v>784</v>
      </c>
      <c r="S2683" s="13">
        <f t="shared" si="293"/>
        <v>0</v>
      </c>
    </row>
    <row r="2684" spans="1:19" x14ac:dyDescent="0.25">
      <c r="A2684" s="24" t="s">
        <v>3814</v>
      </c>
      <c r="B2684" s="4" t="s">
        <v>1059</v>
      </c>
      <c r="C2684" s="25" t="s">
        <v>5</v>
      </c>
      <c r="G2684" s="25" t="s">
        <v>1060</v>
      </c>
      <c r="H2684" s="24" t="s">
        <v>1061</v>
      </c>
      <c r="I2684" s="3" t="str">
        <f>IFERROR(VLOOKUP(C2684,'Справочник соответствий'!A$2:D$2981,2,FALSE),IF(VALUE(C2684)=0,1,VLOOKUP(C2684,'Справочник соответствий'!A$2:D$2981,2,FALSE)))</f>
        <v>1</v>
      </c>
      <c r="J2684" s="3">
        <f>IFERROR(VLOOKUP(D2684,'Справочник соответствий'!A$2:D$2981,2,FALSE),IF(VALUE(D2684)=0,0,VLOOKUP(D2684,'Справочник соответствий'!A$2:D$2981,2,FALSE)))</f>
        <v>0</v>
      </c>
      <c r="K2684" s="3" t="str">
        <f t="shared" si="287"/>
        <v>1</v>
      </c>
      <c r="L2684" s="13" t="str">
        <f>IFERROR(VLOOKUP(C2684,'Справочник соответствий'!A$2:D$2981,3,FALSE),IF(VALUE(C2684)=0,"ЭТАЖ НЕ ОПРЕДЕЛЕН. ПРИНЯТ ПО ДОПУЩЕНИЮ 1",VLOOKUP(C2684,'Справочник соответствий'!A$2:D$2981,3,FALSE)))</f>
        <v>ЭТАЖ ЗАДАН ЧИСЛОМ</v>
      </c>
      <c r="M2684" s="13" t="b">
        <f t="shared" si="288"/>
        <v>0</v>
      </c>
      <c r="N2684" s="13">
        <f t="shared" si="289"/>
        <v>1</v>
      </c>
      <c r="O2684" s="13" t="str">
        <f t="shared" si="290"/>
        <v>ЭТАЖ ЗАДАН ЧИСЛОМ</v>
      </c>
      <c r="P2684" s="13" t="str">
        <f t="shared" si="291"/>
        <v>ЭТАЖ ЗАДАН ЧИСЛОМ</v>
      </c>
      <c r="Q2684" s="13" t="str">
        <f t="shared" si="292"/>
        <v>ГОТОВ_ИЗМЕНЕН</v>
      </c>
      <c r="R2684" s="13">
        <f>IFERROR(VLOOKUP(P2684,Лист1!A$1:B$20,2,FALSE),0)</f>
        <v>784</v>
      </c>
      <c r="S2684" s="13">
        <f t="shared" si="293"/>
        <v>0</v>
      </c>
    </row>
    <row r="2685" spans="1:19" x14ac:dyDescent="0.25">
      <c r="A2685" s="24" t="s">
        <v>3815</v>
      </c>
      <c r="B2685" s="4" t="s">
        <v>1063</v>
      </c>
      <c r="C2685" s="25" t="s">
        <v>5</v>
      </c>
      <c r="G2685" s="25" t="s">
        <v>1205</v>
      </c>
      <c r="H2685" s="24" t="s">
        <v>1061</v>
      </c>
      <c r="I2685" s="3" t="str">
        <f>IFERROR(VLOOKUP(C2685,'Справочник соответствий'!A$2:D$2981,2,FALSE),IF(VALUE(C2685)=0,1,VLOOKUP(C2685,'Справочник соответствий'!A$2:D$2981,2,FALSE)))</f>
        <v>1</v>
      </c>
      <c r="J2685" s="3">
        <f>IFERROR(VLOOKUP(D2685,'Справочник соответствий'!A$2:D$2981,2,FALSE),IF(VALUE(D2685)=0,0,VLOOKUP(D2685,'Справочник соответствий'!A$2:D$2981,2,FALSE)))</f>
        <v>0</v>
      </c>
      <c r="K2685" s="3" t="str">
        <f t="shared" si="287"/>
        <v>1</v>
      </c>
      <c r="L2685" s="13" t="str">
        <f>IFERROR(VLOOKUP(C2685,'Справочник соответствий'!A$2:D$2981,3,FALSE),IF(VALUE(C2685)=0,"ЭТАЖ НЕ ОПРЕДЕЛЕН. ПРИНЯТ ПО ДОПУЩЕНИЮ 1",VLOOKUP(C2685,'Справочник соответствий'!A$2:D$2981,3,FALSE)))</f>
        <v>ЭТАЖ ЗАДАН ЧИСЛОМ</v>
      </c>
      <c r="M2685" s="13" t="b">
        <f t="shared" si="288"/>
        <v>0</v>
      </c>
      <c r="N2685" s="13">
        <f t="shared" si="289"/>
        <v>1</v>
      </c>
      <c r="O2685" s="13" t="str">
        <f t="shared" si="290"/>
        <v>ЭТАЖ ЗАДАН ЧИСЛОМ</v>
      </c>
      <c r="P2685" s="13" t="str">
        <f t="shared" si="291"/>
        <v>ЭТАЖ ЗАДАН ЧИСЛОМ</v>
      </c>
      <c r="Q2685" s="13" t="str">
        <f t="shared" si="292"/>
        <v>ГОТОВ_ИЗМЕНЕН</v>
      </c>
      <c r="R2685" s="13">
        <f>IFERROR(VLOOKUP(P2685,Лист1!A$1:B$20,2,FALSE),0)</f>
        <v>784</v>
      </c>
      <c r="S2685" s="13">
        <f t="shared" si="293"/>
        <v>0</v>
      </c>
    </row>
    <row r="2686" spans="1:19" x14ac:dyDescent="0.25">
      <c r="A2686" s="24" t="s">
        <v>3816</v>
      </c>
      <c r="B2686" s="4" t="s">
        <v>1059</v>
      </c>
      <c r="C2686" s="25" t="s">
        <v>7</v>
      </c>
      <c r="G2686" s="25" t="s">
        <v>1060</v>
      </c>
      <c r="H2686" s="24" t="s">
        <v>1061</v>
      </c>
      <c r="I2686" s="3" t="str">
        <f>IFERROR(VLOOKUP(C2686,'Справочник соответствий'!A$2:D$2981,2,FALSE),IF(VALUE(C2686)=0,1,VLOOKUP(C2686,'Справочник соответствий'!A$2:D$2981,2,FALSE)))</f>
        <v>2</v>
      </c>
      <c r="J2686" s="3">
        <f>IFERROR(VLOOKUP(D2686,'Справочник соответствий'!A$2:D$2981,2,FALSE),IF(VALUE(D2686)=0,0,VLOOKUP(D2686,'Справочник соответствий'!A$2:D$2981,2,FALSE)))</f>
        <v>0</v>
      </c>
      <c r="K2686" s="3" t="str">
        <f t="shared" si="287"/>
        <v>2</v>
      </c>
      <c r="L2686" s="13" t="str">
        <f>IFERROR(VLOOKUP(C2686,'Справочник соответствий'!A$2:D$2981,3,FALSE),IF(VALUE(C2686)=0,"ЭТАЖ НЕ ОПРЕДЕЛЕН. ПРИНЯТ ПО ДОПУЩЕНИЮ 1",VLOOKUP(C2686,'Справочник соответствий'!A$2:D$2981,3,FALSE)))</f>
        <v>ЭТАЖ ЗАДАН ЧИСЛОМ</v>
      </c>
      <c r="M2686" s="13" t="b">
        <f t="shared" si="288"/>
        <v>0</v>
      </c>
      <c r="N2686" s="13">
        <f t="shared" si="289"/>
        <v>2</v>
      </c>
      <c r="O2686" s="13" t="str">
        <f t="shared" si="290"/>
        <v>ЭТАЖ ЗАДАН ЧИСЛОМ</v>
      </c>
      <c r="P2686" s="13" t="str">
        <f t="shared" si="291"/>
        <v>ЭТАЖ ЗАДАН ЧИСЛОМ</v>
      </c>
      <c r="Q2686" s="13" t="str">
        <f t="shared" si="292"/>
        <v>ГОТОВ_ИЗМЕНЕН</v>
      </c>
      <c r="R2686" s="13">
        <f>IFERROR(VLOOKUP(P2686,Лист1!A$1:B$20,2,FALSE),0)</f>
        <v>784</v>
      </c>
      <c r="S2686" s="13">
        <f t="shared" si="293"/>
        <v>0</v>
      </c>
    </row>
    <row r="2687" spans="1:19" x14ac:dyDescent="0.25">
      <c r="A2687" s="24" t="s">
        <v>3817</v>
      </c>
      <c r="B2687" s="4" t="s">
        <v>1063</v>
      </c>
      <c r="C2687" s="25" t="s">
        <v>5</v>
      </c>
      <c r="G2687" s="25" t="s">
        <v>1060</v>
      </c>
      <c r="H2687" s="24" t="s">
        <v>1061</v>
      </c>
      <c r="I2687" s="3" t="str">
        <f>IFERROR(VLOOKUP(C2687,'Справочник соответствий'!A$2:D$2981,2,FALSE),IF(VALUE(C2687)=0,1,VLOOKUP(C2687,'Справочник соответствий'!A$2:D$2981,2,FALSE)))</f>
        <v>1</v>
      </c>
      <c r="J2687" s="3">
        <f>IFERROR(VLOOKUP(D2687,'Справочник соответствий'!A$2:D$2981,2,FALSE),IF(VALUE(D2687)=0,0,VLOOKUP(D2687,'Справочник соответствий'!A$2:D$2981,2,FALSE)))</f>
        <v>0</v>
      </c>
      <c r="K2687" s="3" t="str">
        <f t="shared" si="287"/>
        <v>1</v>
      </c>
      <c r="L2687" s="13" t="str">
        <f>IFERROR(VLOOKUP(C2687,'Справочник соответствий'!A$2:D$2981,3,FALSE),IF(VALUE(C2687)=0,"ЭТАЖ НЕ ОПРЕДЕЛЕН. ПРИНЯТ ПО ДОПУЩЕНИЮ 1",VLOOKUP(C2687,'Справочник соответствий'!A$2:D$2981,3,FALSE)))</f>
        <v>ЭТАЖ ЗАДАН ЧИСЛОМ</v>
      </c>
      <c r="M2687" s="13" t="b">
        <f t="shared" si="288"/>
        <v>0</v>
      </c>
      <c r="N2687" s="13">
        <f t="shared" si="289"/>
        <v>1</v>
      </c>
      <c r="O2687" s="13" t="str">
        <f t="shared" si="290"/>
        <v>ЭТАЖ ЗАДАН ЧИСЛОМ</v>
      </c>
      <c r="P2687" s="13" t="str">
        <f t="shared" si="291"/>
        <v>ЭТАЖ ЗАДАН ЧИСЛОМ</v>
      </c>
      <c r="Q2687" s="13" t="str">
        <f t="shared" si="292"/>
        <v>ГОТОВ_ИЗМЕНЕН</v>
      </c>
      <c r="R2687" s="13">
        <f>IFERROR(VLOOKUP(P2687,Лист1!A$1:B$20,2,FALSE),0)</f>
        <v>784</v>
      </c>
      <c r="S2687" s="13">
        <f t="shared" si="293"/>
        <v>0</v>
      </c>
    </row>
    <row r="2688" spans="1:19" x14ac:dyDescent="0.25">
      <c r="A2688" s="24" t="s">
        <v>3818</v>
      </c>
      <c r="B2688" s="4" t="s">
        <v>1059</v>
      </c>
      <c r="C2688" s="25" t="s">
        <v>5</v>
      </c>
      <c r="G2688" s="25" t="s">
        <v>1060</v>
      </c>
      <c r="H2688" s="24" t="s">
        <v>1061</v>
      </c>
      <c r="I2688" s="3" t="str">
        <f>IFERROR(VLOOKUP(C2688,'Справочник соответствий'!A$2:D$2981,2,FALSE),IF(VALUE(C2688)=0,1,VLOOKUP(C2688,'Справочник соответствий'!A$2:D$2981,2,FALSE)))</f>
        <v>1</v>
      </c>
      <c r="J2688" s="3">
        <f>IFERROR(VLOOKUP(D2688,'Справочник соответствий'!A$2:D$2981,2,FALSE),IF(VALUE(D2688)=0,0,VLOOKUP(D2688,'Справочник соответствий'!A$2:D$2981,2,FALSE)))</f>
        <v>0</v>
      </c>
      <c r="K2688" s="3" t="str">
        <f t="shared" si="287"/>
        <v>1</v>
      </c>
      <c r="L2688" s="13" t="str">
        <f>IFERROR(VLOOKUP(C2688,'Справочник соответствий'!A$2:D$2981,3,FALSE),IF(VALUE(C2688)=0,"ЭТАЖ НЕ ОПРЕДЕЛЕН. ПРИНЯТ ПО ДОПУЩЕНИЮ 1",VLOOKUP(C2688,'Справочник соответствий'!A$2:D$2981,3,FALSE)))</f>
        <v>ЭТАЖ ЗАДАН ЧИСЛОМ</v>
      </c>
      <c r="M2688" s="13" t="b">
        <f t="shared" si="288"/>
        <v>0</v>
      </c>
      <c r="N2688" s="13">
        <f t="shared" si="289"/>
        <v>1</v>
      </c>
      <c r="O2688" s="13" t="str">
        <f t="shared" si="290"/>
        <v>ЭТАЖ ЗАДАН ЧИСЛОМ</v>
      </c>
      <c r="P2688" s="13" t="str">
        <f t="shared" si="291"/>
        <v>ЭТАЖ ЗАДАН ЧИСЛОМ</v>
      </c>
      <c r="Q2688" s="13" t="str">
        <f t="shared" si="292"/>
        <v>ГОТОВ_ИЗМЕНЕН</v>
      </c>
      <c r="R2688" s="13">
        <f>IFERROR(VLOOKUP(P2688,Лист1!A$1:B$20,2,FALSE),0)</f>
        <v>784</v>
      </c>
      <c r="S2688" s="13">
        <f t="shared" si="293"/>
        <v>0</v>
      </c>
    </row>
    <row r="2689" spans="1:19" x14ac:dyDescent="0.25">
      <c r="A2689" s="24" t="s">
        <v>3819</v>
      </c>
      <c r="B2689" s="4" t="s">
        <v>1063</v>
      </c>
      <c r="G2689" s="25" t="s">
        <v>1060</v>
      </c>
      <c r="H2689" s="24" t="s">
        <v>1061</v>
      </c>
      <c r="I2689" s="3">
        <f>IFERROR(VLOOKUP(C2689,'Справочник соответствий'!A$2:D$2981,2,FALSE),IF(VALUE(C2689)=0,1,VLOOKUP(C2689,'Справочник соответствий'!A$2:D$2981,2,FALSE)))</f>
        <v>1</v>
      </c>
      <c r="J2689" s="3">
        <f>IFERROR(VLOOKUP(D2689,'Справочник соответствий'!A$2:D$2981,2,FALSE),IF(VALUE(D2689)=0,0,VLOOKUP(D2689,'Справочник соответствий'!A$2:D$2981,2,FALSE)))</f>
        <v>0</v>
      </c>
      <c r="K2689" s="3">
        <f t="shared" si="287"/>
        <v>1</v>
      </c>
      <c r="L2689" s="13" t="str">
        <f>IFERROR(VLOOKUP(C2689,'Справочник соответствий'!A$2:D$2981,3,FALSE),IF(VALUE(C2689)=0,"ЭТАЖ НЕ ОПРЕДЕЛЕН. ПРИНЯТ ПО ДОПУЩЕНИЮ 1",VLOOKUP(C2689,'Справочник соответствий'!A$2:D$2981,3,FALSE)))</f>
        <v>ЭТАЖ НЕ ОПРЕДЕЛЕН. ПРИНЯТ ПО ДОПУЩЕНИЮ 1</v>
      </c>
      <c r="M2689" s="13" t="b">
        <f t="shared" si="288"/>
        <v>0</v>
      </c>
      <c r="N2689" s="13">
        <f t="shared" si="289"/>
        <v>1</v>
      </c>
      <c r="O2689" s="13" t="str">
        <f t="shared" si="290"/>
        <v>ЭТАЖ НЕ ОПРЕДЕЛЕН. ПРИНЯТ ПО ДОПУЩЕНИЮ 1</v>
      </c>
      <c r="P2689" s="13" t="str">
        <f t="shared" si="291"/>
        <v>ЭТАЖ НЕ ОПРЕДЕЛЕН. ПРИНЯТ ПО ДОПУЩЕНИЮ 1</v>
      </c>
      <c r="Q2689" s="13" t="str">
        <f t="shared" si="292"/>
        <v>ГОТОВ_ИЗМЕНЕН</v>
      </c>
      <c r="R2689" s="13">
        <f>IFERROR(VLOOKUP(P2689,Лист1!A$1:B$20,2,FALSE),0)</f>
        <v>788</v>
      </c>
      <c r="S2689" s="13">
        <f t="shared" si="293"/>
        <v>0</v>
      </c>
    </row>
    <row r="2690" spans="1:19" x14ac:dyDescent="0.25">
      <c r="A2690" s="24" t="s">
        <v>3820</v>
      </c>
      <c r="B2690" s="4" t="s">
        <v>1059</v>
      </c>
      <c r="C2690" s="25" t="s">
        <v>5</v>
      </c>
      <c r="G2690" s="25" t="s">
        <v>1060</v>
      </c>
      <c r="H2690" s="24" t="s">
        <v>1061</v>
      </c>
      <c r="I2690" s="3" t="str">
        <f>IFERROR(VLOOKUP(C2690,'Справочник соответствий'!A$2:D$2981,2,FALSE),IF(VALUE(C2690)=0,1,VLOOKUP(C2690,'Справочник соответствий'!A$2:D$2981,2,FALSE)))</f>
        <v>1</v>
      </c>
      <c r="J2690" s="3">
        <f>IFERROR(VLOOKUP(D2690,'Справочник соответствий'!A$2:D$2981,2,FALSE),IF(VALUE(D2690)=0,0,VLOOKUP(D2690,'Справочник соответствий'!A$2:D$2981,2,FALSE)))</f>
        <v>0</v>
      </c>
      <c r="K2690" s="3" t="str">
        <f t="shared" si="287"/>
        <v>1</v>
      </c>
      <c r="L2690" s="13" t="str">
        <f>IFERROR(VLOOKUP(C2690,'Справочник соответствий'!A$2:D$2981,3,FALSE),IF(VALUE(C2690)=0,"ЭТАЖ НЕ ОПРЕДЕЛЕН. ПРИНЯТ ПО ДОПУЩЕНИЮ 1",VLOOKUP(C2690,'Справочник соответствий'!A$2:D$2981,3,FALSE)))</f>
        <v>ЭТАЖ ЗАДАН ЧИСЛОМ</v>
      </c>
      <c r="M2690" s="13" t="b">
        <f t="shared" si="288"/>
        <v>0</v>
      </c>
      <c r="N2690" s="13">
        <f t="shared" si="289"/>
        <v>1</v>
      </c>
      <c r="O2690" s="13" t="str">
        <f t="shared" si="290"/>
        <v>ЭТАЖ ЗАДАН ЧИСЛОМ</v>
      </c>
      <c r="P2690" s="13" t="str">
        <f t="shared" si="291"/>
        <v>ЭТАЖ ЗАДАН ЧИСЛОМ</v>
      </c>
      <c r="Q2690" s="13" t="str">
        <f t="shared" si="292"/>
        <v>ГОТОВ_ИЗМЕНЕН</v>
      </c>
      <c r="R2690" s="13">
        <f>IFERROR(VLOOKUP(P2690,Лист1!A$1:B$20,2,FALSE),0)</f>
        <v>784</v>
      </c>
      <c r="S2690" s="13">
        <f t="shared" si="293"/>
        <v>0</v>
      </c>
    </row>
    <row r="2691" spans="1:19" x14ac:dyDescent="0.25">
      <c r="A2691" s="24" t="s">
        <v>3821</v>
      </c>
      <c r="B2691" s="4" t="s">
        <v>1059</v>
      </c>
      <c r="C2691" s="25" t="s">
        <v>7</v>
      </c>
      <c r="G2691" s="25" t="s">
        <v>1060</v>
      </c>
      <c r="H2691" s="24" t="s">
        <v>1061</v>
      </c>
      <c r="I2691" s="3" t="str">
        <f>IFERROR(VLOOKUP(C2691,'Справочник соответствий'!A$2:D$2981,2,FALSE),IF(VALUE(C2691)=0,1,VLOOKUP(C2691,'Справочник соответствий'!A$2:D$2981,2,FALSE)))</f>
        <v>2</v>
      </c>
      <c r="J2691" s="3">
        <f>IFERROR(VLOOKUP(D2691,'Справочник соответствий'!A$2:D$2981,2,FALSE),IF(VALUE(D2691)=0,0,VLOOKUP(D2691,'Справочник соответствий'!A$2:D$2981,2,FALSE)))</f>
        <v>0</v>
      </c>
      <c r="K2691" s="3" t="str">
        <f t="shared" si="287"/>
        <v>2</v>
      </c>
      <c r="L2691" s="13" t="str">
        <f>IFERROR(VLOOKUP(C2691,'Справочник соответствий'!A$2:D$2981,3,FALSE),IF(VALUE(C2691)=0,"ЭТАЖ НЕ ОПРЕДЕЛЕН. ПРИНЯТ ПО ДОПУЩЕНИЮ 1",VLOOKUP(C2691,'Справочник соответствий'!A$2:D$2981,3,FALSE)))</f>
        <v>ЭТАЖ ЗАДАН ЧИСЛОМ</v>
      </c>
      <c r="M2691" s="13" t="b">
        <f t="shared" si="288"/>
        <v>0</v>
      </c>
      <c r="N2691" s="13">
        <f t="shared" si="289"/>
        <v>2</v>
      </c>
      <c r="O2691" s="13" t="str">
        <f t="shared" si="290"/>
        <v>ЭТАЖ ЗАДАН ЧИСЛОМ</v>
      </c>
      <c r="P2691" s="13" t="str">
        <f t="shared" si="291"/>
        <v>ЭТАЖ ЗАДАН ЧИСЛОМ</v>
      </c>
      <c r="Q2691" s="13" t="str">
        <f t="shared" si="292"/>
        <v>ГОТОВ_ИЗМЕНЕН</v>
      </c>
      <c r="R2691" s="13">
        <f>IFERROR(VLOOKUP(P2691,Лист1!A$1:B$20,2,FALSE),0)</f>
        <v>784</v>
      </c>
      <c r="S2691" s="13">
        <f t="shared" si="293"/>
        <v>0</v>
      </c>
    </row>
    <row r="2692" spans="1:19" x14ac:dyDescent="0.25">
      <c r="A2692" s="24" t="s">
        <v>3822</v>
      </c>
      <c r="B2692" s="4" t="s">
        <v>1059</v>
      </c>
      <c r="C2692" s="25" t="s">
        <v>7</v>
      </c>
      <c r="G2692" s="25" t="s">
        <v>1096</v>
      </c>
      <c r="H2692" s="24" t="s">
        <v>1061</v>
      </c>
      <c r="I2692" s="3" t="str">
        <f>IFERROR(VLOOKUP(C2692,'Справочник соответствий'!A$2:D$2981,2,FALSE),IF(VALUE(C2692)=0,1,VLOOKUP(C2692,'Справочник соответствий'!A$2:D$2981,2,FALSE)))</f>
        <v>2</v>
      </c>
      <c r="J2692" s="3">
        <f>IFERROR(VLOOKUP(D2692,'Справочник соответствий'!A$2:D$2981,2,FALSE),IF(VALUE(D2692)=0,0,VLOOKUP(D2692,'Справочник соответствий'!A$2:D$2981,2,FALSE)))</f>
        <v>0</v>
      </c>
      <c r="K2692" s="3" t="str">
        <f t="shared" si="287"/>
        <v>2</v>
      </c>
      <c r="L2692" s="13" t="str">
        <f>IFERROR(VLOOKUP(C2692,'Справочник соответствий'!A$2:D$2981,3,FALSE),IF(VALUE(C2692)=0,"ЭТАЖ НЕ ОПРЕДЕЛЕН. ПРИНЯТ ПО ДОПУЩЕНИЮ 1",VLOOKUP(C2692,'Справочник соответствий'!A$2:D$2981,3,FALSE)))</f>
        <v>ЭТАЖ ЗАДАН ЧИСЛОМ</v>
      </c>
      <c r="M2692" s="13" t="b">
        <f t="shared" si="288"/>
        <v>0</v>
      </c>
      <c r="N2692" s="13">
        <f t="shared" si="289"/>
        <v>2</v>
      </c>
      <c r="O2692" s="13" t="str">
        <f t="shared" si="290"/>
        <v>ЭТАЖ ЗАДАН ЧИСЛОМ</v>
      </c>
      <c r="P2692" s="13" t="str">
        <f t="shared" si="291"/>
        <v>ЭТАЖ ЗАДАН ЧИСЛОМ</v>
      </c>
      <c r="Q2692" s="13" t="str">
        <f t="shared" si="292"/>
        <v>ГОТОВ_ИЗМЕНЕН</v>
      </c>
      <c r="R2692" s="13">
        <f>IFERROR(VLOOKUP(P2692,Лист1!A$1:B$20,2,FALSE),0)</f>
        <v>784</v>
      </c>
      <c r="S2692" s="13">
        <f t="shared" si="293"/>
        <v>0</v>
      </c>
    </row>
    <row r="2693" spans="1:19" x14ac:dyDescent="0.25">
      <c r="A2693" s="24" t="s">
        <v>3823</v>
      </c>
      <c r="B2693" s="4" t="s">
        <v>1063</v>
      </c>
      <c r="C2693" s="25" t="s">
        <v>5</v>
      </c>
      <c r="G2693" s="25" t="s">
        <v>1096</v>
      </c>
      <c r="H2693" s="24" t="s">
        <v>1061</v>
      </c>
      <c r="I2693" s="3" t="str">
        <f>IFERROR(VLOOKUP(C2693,'Справочник соответствий'!A$2:D$2981,2,FALSE),IF(VALUE(C2693)=0,1,VLOOKUP(C2693,'Справочник соответствий'!A$2:D$2981,2,FALSE)))</f>
        <v>1</v>
      </c>
      <c r="J2693" s="3">
        <f>IFERROR(VLOOKUP(D2693,'Справочник соответствий'!A$2:D$2981,2,FALSE),IF(VALUE(D2693)=0,0,VLOOKUP(D2693,'Справочник соответствий'!A$2:D$2981,2,FALSE)))</f>
        <v>0</v>
      </c>
      <c r="K2693" s="3" t="str">
        <f t="shared" ref="K2693:K2756" si="294">IF(B2693="Многоквартирный дом",IF(I2693-J2693&gt;0,I2693-J2693,1),I2693)</f>
        <v>1</v>
      </c>
      <c r="L2693" s="13" t="str">
        <f>IFERROR(VLOOKUP(C2693,'Справочник соответствий'!A$2:D$2981,3,FALSE),IF(VALUE(C2693)=0,"ЭТАЖ НЕ ОПРЕДЕЛЕН. ПРИНЯТ ПО ДОПУЩЕНИЮ 1",VLOOKUP(C2693,'Справочник соответствий'!A$2:D$2981,3,FALSE)))</f>
        <v>ЭТАЖ ЗАДАН ЧИСЛОМ</v>
      </c>
      <c r="M2693" s="13" t="b">
        <f t="shared" ref="M2693:M2756" si="295">I2693=E2693</f>
        <v>0</v>
      </c>
      <c r="N2693" s="13">
        <f t="shared" ref="N2693:N2756" si="296">IF(VALUE(E2693)=0,VALUE(K2693),IF(L2693="ЭТАЖ НЕ ОПРЕДЕЛЕН. ПРИНЯТ ПО ДОПУЩЕНИЮ 1",VALUE(E2693),VALUE(K2693)))</f>
        <v>1</v>
      </c>
      <c r="O2693" s="13" t="str">
        <f t="shared" ref="O2693:O2756" si="297">IF(VALUE(E2693)=0,L2693,IF(L2693="ЭТАЖ НЕ ОПРЕДЕЛЕН. ПРИНЯТ ПО ДОПУЩЕНИЮ 1",F2693,L2693))</f>
        <v>ЭТАЖ ЗАДАН ЧИСЛОМ</v>
      </c>
      <c r="P2693" s="13" t="str">
        <f t="shared" ref="P2693:P2756" si="298">IF(B2693="Многоквартирный дом",CONCATENATE("МКД_",O2693),O2693)</f>
        <v>ЭТАЖ ЗАДАН ЧИСЛОМ</v>
      </c>
      <c r="Q2693" s="13" t="str">
        <f t="shared" ref="Q2693:Q2756" si="299">IFERROR(IF(N2693&gt;0,IF(N2693=VALUE(E2693),"ГОТОВ","ГОТОВ_ИЗМЕНЕН"),"НЕ ГОТОВ"),"НЕ ГОТОВ")</f>
        <v>ГОТОВ_ИЗМЕНЕН</v>
      </c>
      <c r="R2693" s="13">
        <f>IFERROR(VLOOKUP(P2693,Лист1!A$1:B$20,2,FALSE),0)</f>
        <v>784</v>
      </c>
      <c r="S2693" s="13">
        <f t="shared" ref="S2693:S2756" si="300">VALUE(E2693)</f>
        <v>0</v>
      </c>
    </row>
    <row r="2694" spans="1:19" x14ac:dyDescent="0.25">
      <c r="A2694" s="24" t="s">
        <v>3824</v>
      </c>
      <c r="B2694" s="4" t="s">
        <v>1059</v>
      </c>
      <c r="C2694" s="25" t="s">
        <v>5</v>
      </c>
      <c r="G2694" s="25" t="s">
        <v>1086</v>
      </c>
      <c r="H2694" s="24" t="s">
        <v>1061</v>
      </c>
      <c r="I2694" s="3" t="str">
        <f>IFERROR(VLOOKUP(C2694,'Справочник соответствий'!A$2:D$2981,2,FALSE),IF(VALUE(C2694)=0,1,VLOOKUP(C2694,'Справочник соответствий'!A$2:D$2981,2,FALSE)))</f>
        <v>1</v>
      </c>
      <c r="J2694" s="3">
        <f>IFERROR(VLOOKUP(D2694,'Справочник соответствий'!A$2:D$2981,2,FALSE),IF(VALUE(D2694)=0,0,VLOOKUP(D2694,'Справочник соответствий'!A$2:D$2981,2,FALSE)))</f>
        <v>0</v>
      </c>
      <c r="K2694" s="3" t="str">
        <f t="shared" si="294"/>
        <v>1</v>
      </c>
      <c r="L2694" s="13" t="str">
        <f>IFERROR(VLOOKUP(C2694,'Справочник соответствий'!A$2:D$2981,3,FALSE),IF(VALUE(C2694)=0,"ЭТАЖ НЕ ОПРЕДЕЛЕН. ПРИНЯТ ПО ДОПУЩЕНИЮ 1",VLOOKUP(C2694,'Справочник соответствий'!A$2:D$2981,3,FALSE)))</f>
        <v>ЭТАЖ ЗАДАН ЧИСЛОМ</v>
      </c>
      <c r="M2694" s="13" t="b">
        <f t="shared" si="295"/>
        <v>0</v>
      </c>
      <c r="N2694" s="13">
        <f t="shared" si="296"/>
        <v>1</v>
      </c>
      <c r="O2694" s="13" t="str">
        <f t="shared" si="297"/>
        <v>ЭТАЖ ЗАДАН ЧИСЛОМ</v>
      </c>
      <c r="P2694" s="13" t="str">
        <f t="shared" si="298"/>
        <v>ЭТАЖ ЗАДАН ЧИСЛОМ</v>
      </c>
      <c r="Q2694" s="13" t="str">
        <f t="shared" si="299"/>
        <v>ГОТОВ_ИЗМЕНЕН</v>
      </c>
      <c r="R2694" s="13">
        <f>IFERROR(VLOOKUP(P2694,Лист1!A$1:B$20,2,FALSE),0)</f>
        <v>784</v>
      </c>
      <c r="S2694" s="13">
        <f t="shared" si="300"/>
        <v>0</v>
      </c>
    </row>
    <row r="2695" spans="1:19" x14ac:dyDescent="0.25">
      <c r="A2695" s="24" t="s">
        <v>3825</v>
      </c>
      <c r="B2695" s="4" t="s">
        <v>1059</v>
      </c>
      <c r="C2695" s="25" t="s">
        <v>5</v>
      </c>
      <c r="G2695" s="25" t="s">
        <v>1096</v>
      </c>
      <c r="H2695" s="24" t="s">
        <v>1061</v>
      </c>
      <c r="I2695" s="3" t="str">
        <f>IFERROR(VLOOKUP(C2695,'Справочник соответствий'!A$2:D$2981,2,FALSE),IF(VALUE(C2695)=0,1,VLOOKUP(C2695,'Справочник соответствий'!A$2:D$2981,2,FALSE)))</f>
        <v>1</v>
      </c>
      <c r="J2695" s="3">
        <f>IFERROR(VLOOKUP(D2695,'Справочник соответствий'!A$2:D$2981,2,FALSE),IF(VALUE(D2695)=0,0,VLOOKUP(D2695,'Справочник соответствий'!A$2:D$2981,2,FALSE)))</f>
        <v>0</v>
      </c>
      <c r="K2695" s="3" t="str">
        <f t="shared" si="294"/>
        <v>1</v>
      </c>
      <c r="L2695" s="13" t="str">
        <f>IFERROR(VLOOKUP(C2695,'Справочник соответствий'!A$2:D$2981,3,FALSE),IF(VALUE(C2695)=0,"ЭТАЖ НЕ ОПРЕДЕЛЕН. ПРИНЯТ ПО ДОПУЩЕНИЮ 1",VLOOKUP(C2695,'Справочник соответствий'!A$2:D$2981,3,FALSE)))</f>
        <v>ЭТАЖ ЗАДАН ЧИСЛОМ</v>
      </c>
      <c r="M2695" s="13" t="b">
        <f t="shared" si="295"/>
        <v>0</v>
      </c>
      <c r="N2695" s="13">
        <f t="shared" si="296"/>
        <v>1</v>
      </c>
      <c r="O2695" s="13" t="str">
        <f t="shared" si="297"/>
        <v>ЭТАЖ ЗАДАН ЧИСЛОМ</v>
      </c>
      <c r="P2695" s="13" t="str">
        <f t="shared" si="298"/>
        <v>ЭТАЖ ЗАДАН ЧИСЛОМ</v>
      </c>
      <c r="Q2695" s="13" t="str">
        <f t="shared" si="299"/>
        <v>ГОТОВ_ИЗМЕНЕН</v>
      </c>
      <c r="R2695" s="13">
        <f>IFERROR(VLOOKUP(P2695,Лист1!A$1:B$20,2,FALSE),0)</f>
        <v>784</v>
      </c>
      <c r="S2695" s="13">
        <f t="shared" si="300"/>
        <v>0</v>
      </c>
    </row>
    <row r="2696" spans="1:19" x14ac:dyDescent="0.25">
      <c r="A2696" s="24" t="s">
        <v>3826</v>
      </c>
      <c r="B2696" s="4" t="s">
        <v>1063</v>
      </c>
      <c r="C2696" s="25" t="s">
        <v>5</v>
      </c>
      <c r="G2696" s="25" t="s">
        <v>1096</v>
      </c>
      <c r="H2696" s="24" t="s">
        <v>1061</v>
      </c>
      <c r="I2696" s="3" t="str">
        <f>IFERROR(VLOOKUP(C2696,'Справочник соответствий'!A$2:D$2981,2,FALSE),IF(VALUE(C2696)=0,1,VLOOKUP(C2696,'Справочник соответствий'!A$2:D$2981,2,FALSE)))</f>
        <v>1</v>
      </c>
      <c r="J2696" s="3">
        <f>IFERROR(VLOOKUP(D2696,'Справочник соответствий'!A$2:D$2981,2,FALSE),IF(VALUE(D2696)=0,0,VLOOKUP(D2696,'Справочник соответствий'!A$2:D$2981,2,FALSE)))</f>
        <v>0</v>
      </c>
      <c r="K2696" s="3" t="str">
        <f t="shared" si="294"/>
        <v>1</v>
      </c>
      <c r="L2696" s="13" t="str">
        <f>IFERROR(VLOOKUP(C2696,'Справочник соответствий'!A$2:D$2981,3,FALSE),IF(VALUE(C2696)=0,"ЭТАЖ НЕ ОПРЕДЕЛЕН. ПРИНЯТ ПО ДОПУЩЕНИЮ 1",VLOOKUP(C2696,'Справочник соответствий'!A$2:D$2981,3,FALSE)))</f>
        <v>ЭТАЖ ЗАДАН ЧИСЛОМ</v>
      </c>
      <c r="M2696" s="13" t="b">
        <f t="shared" si="295"/>
        <v>0</v>
      </c>
      <c r="N2696" s="13">
        <f t="shared" si="296"/>
        <v>1</v>
      </c>
      <c r="O2696" s="13" t="str">
        <f t="shared" si="297"/>
        <v>ЭТАЖ ЗАДАН ЧИСЛОМ</v>
      </c>
      <c r="P2696" s="13" t="str">
        <f t="shared" si="298"/>
        <v>ЭТАЖ ЗАДАН ЧИСЛОМ</v>
      </c>
      <c r="Q2696" s="13" t="str">
        <f t="shared" si="299"/>
        <v>ГОТОВ_ИЗМЕНЕН</v>
      </c>
      <c r="R2696" s="13">
        <f>IFERROR(VLOOKUP(P2696,Лист1!A$1:B$20,2,FALSE),0)</f>
        <v>784</v>
      </c>
      <c r="S2696" s="13">
        <f t="shared" si="300"/>
        <v>0</v>
      </c>
    </row>
    <row r="2697" spans="1:19" x14ac:dyDescent="0.25">
      <c r="A2697" s="24" t="s">
        <v>3827</v>
      </c>
      <c r="B2697" s="4" t="s">
        <v>1063</v>
      </c>
      <c r="C2697" s="25" t="s">
        <v>5</v>
      </c>
      <c r="G2697" s="25" t="s">
        <v>1106</v>
      </c>
      <c r="H2697" s="24" t="s">
        <v>1061</v>
      </c>
      <c r="I2697" s="3" t="str">
        <f>IFERROR(VLOOKUP(C2697,'Справочник соответствий'!A$2:D$2981,2,FALSE),IF(VALUE(C2697)=0,1,VLOOKUP(C2697,'Справочник соответствий'!A$2:D$2981,2,FALSE)))</f>
        <v>1</v>
      </c>
      <c r="J2697" s="3">
        <f>IFERROR(VLOOKUP(D2697,'Справочник соответствий'!A$2:D$2981,2,FALSE),IF(VALUE(D2697)=0,0,VLOOKUP(D2697,'Справочник соответствий'!A$2:D$2981,2,FALSE)))</f>
        <v>0</v>
      </c>
      <c r="K2697" s="3" t="str">
        <f t="shared" si="294"/>
        <v>1</v>
      </c>
      <c r="L2697" s="13" t="str">
        <f>IFERROR(VLOOKUP(C2697,'Справочник соответствий'!A$2:D$2981,3,FALSE),IF(VALUE(C2697)=0,"ЭТАЖ НЕ ОПРЕДЕЛЕН. ПРИНЯТ ПО ДОПУЩЕНИЮ 1",VLOOKUP(C2697,'Справочник соответствий'!A$2:D$2981,3,FALSE)))</f>
        <v>ЭТАЖ ЗАДАН ЧИСЛОМ</v>
      </c>
      <c r="M2697" s="13" t="b">
        <f t="shared" si="295"/>
        <v>0</v>
      </c>
      <c r="N2697" s="13">
        <f t="shared" si="296"/>
        <v>1</v>
      </c>
      <c r="O2697" s="13" t="str">
        <f t="shared" si="297"/>
        <v>ЭТАЖ ЗАДАН ЧИСЛОМ</v>
      </c>
      <c r="P2697" s="13" t="str">
        <f t="shared" si="298"/>
        <v>ЭТАЖ ЗАДАН ЧИСЛОМ</v>
      </c>
      <c r="Q2697" s="13" t="str">
        <f t="shared" si="299"/>
        <v>ГОТОВ_ИЗМЕНЕН</v>
      </c>
      <c r="R2697" s="13">
        <f>IFERROR(VLOOKUP(P2697,Лист1!A$1:B$20,2,FALSE),0)</f>
        <v>784</v>
      </c>
      <c r="S2697" s="13">
        <f t="shared" si="300"/>
        <v>0</v>
      </c>
    </row>
    <row r="2698" spans="1:19" x14ac:dyDescent="0.25">
      <c r="A2698" s="24" t="s">
        <v>3828</v>
      </c>
      <c r="B2698" s="4" t="s">
        <v>1059</v>
      </c>
      <c r="C2698" s="25" t="s">
        <v>5</v>
      </c>
      <c r="G2698" s="25" t="s">
        <v>1096</v>
      </c>
      <c r="H2698" s="24" t="s">
        <v>1061</v>
      </c>
      <c r="I2698" s="3" t="str">
        <f>IFERROR(VLOOKUP(C2698,'Справочник соответствий'!A$2:D$2981,2,FALSE),IF(VALUE(C2698)=0,1,VLOOKUP(C2698,'Справочник соответствий'!A$2:D$2981,2,FALSE)))</f>
        <v>1</v>
      </c>
      <c r="J2698" s="3">
        <f>IFERROR(VLOOKUP(D2698,'Справочник соответствий'!A$2:D$2981,2,FALSE),IF(VALUE(D2698)=0,0,VLOOKUP(D2698,'Справочник соответствий'!A$2:D$2981,2,FALSE)))</f>
        <v>0</v>
      </c>
      <c r="K2698" s="3" t="str">
        <f t="shared" si="294"/>
        <v>1</v>
      </c>
      <c r="L2698" s="13" t="str">
        <f>IFERROR(VLOOKUP(C2698,'Справочник соответствий'!A$2:D$2981,3,FALSE),IF(VALUE(C2698)=0,"ЭТАЖ НЕ ОПРЕДЕЛЕН. ПРИНЯТ ПО ДОПУЩЕНИЮ 1",VLOOKUP(C2698,'Справочник соответствий'!A$2:D$2981,3,FALSE)))</f>
        <v>ЭТАЖ ЗАДАН ЧИСЛОМ</v>
      </c>
      <c r="M2698" s="13" t="b">
        <f t="shared" si="295"/>
        <v>0</v>
      </c>
      <c r="N2698" s="13">
        <f t="shared" si="296"/>
        <v>1</v>
      </c>
      <c r="O2698" s="13" t="str">
        <f t="shared" si="297"/>
        <v>ЭТАЖ ЗАДАН ЧИСЛОМ</v>
      </c>
      <c r="P2698" s="13" t="str">
        <f t="shared" si="298"/>
        <v>ЭТАЖ ЗАДАН ЧИСЛОМ</v>
      </c>
      <c r="Q2698" s="13" t="str">
        <f t="shared" si="299"/>
        <v>ГОТОВ_ИЗМЕНЕН</v>
      </c>
      <c r="R2698" s="13">
        <f>IFERROR(VLOOKUP(P2698,Лист1!A$1:B$20,2,FALSE),0)</f>
        <v>784</v>
      </c>
      <c r="S2698" s="13">
        <f t="shared" si="300"/>
        <v>0</v>
      </c>
    </row>
    <row r="2699" spans="1:19" x14ac:dyDescent="0.25">
      <c r="A2699" s="24" t="s">
        <v>3829</v>
      </c>
      <c r="B2699" s="4" t="s">
        <v>1059</v>
      </c>
      <c r="C2699" s="25" t="s">
        <v>5</v>
      </c>
      <c r="G2699" s="25" t="s">
        <v>1096</v>
      </c>
      <c r="H2699" s="24" t="s">
        <v>1061</v>
      </c>
      <c r="I2699" s="3" t="str">
        <f>IFERROR(VLOOKUP(C2699,'Справочник соответствий'!A$2:D$2981,2,FALSE),IF(VALUE(C2699)=0,1,VLOOKUP(C2699,'Справочник соответствий'!A$2:D$2981,2,FALSE)))</f>
        <v>1</v>
      </c>
      <c r="J2699" s="3">
        <f>IFERROR(VLOOKUP(D2699,'Справочник соответствий'!A$2:D$2981,2,FALSE),IF(VALUE(D2699)=0,0,VLOOKUP(D2699,'Справочник соответствий'!A$2:D$2981,2,FALSE)))</f>
        <v>0</v>
      </c>
      <c r="K2699" s="3" t="str">
        <f t="shared" si="294"/>
        <v>1</v>
      </c>
      <c r="L2699" s="13" t="str">
        <f>IFERROR(VLOOKUP(C2699,'Справочник соответствий'!A$2:D$2981,3,FALSE),IF(VALUE(C2699)=0,"ЭТАЖ НЕ ОПРЕДЕЛЕН. ПРИНЯТ ПО ДОПУЩЕНИЮ 1",VLOOKUP(C2699,'Справочник соответствий'!A$2:D$2981,3,FALSE)))</f>
        <v>ЭТАЖ ЗАДАН ЧИСЛОМ</v>
      </c>
      <c r="M2699" s="13" t="b">
        <f t="shared" si="295"/>
        <v>0</v>
      </c>
      <c r="N2699" s="13">
        <f t="shared" si="296"/>
        <v>1</v>
      </c>
      <c r="O2699" s="13" t="str">
        <f t="shared" si="297"/>
        <v>ЭТАЖ ЗАДАН ЧИСЛОМ</v>
      </c>
      <c r="P2699" s="13" t="str">
        <f t="shared" si="298"/>
        <v>ЭТАЖ ЗАДАН ЧИСЛОМ</v>
      </c>
      <c r="Q2699" s="13" t="str">
        <f t="shared" si="299"/>
        <v>ГОТОВ_ИЗМЕНЕН</v>
      </c>
      <c r="R2699" s="13">
        <f>IFERROR(VLOOKUP(P2699,Лист1!A$1:B$20,2,FALSE),0)</f>
        <v>784</v>
      </c>
      <c r="S2699" s="13">
        <f t="shared" si="300"/>
        <v>0</v>
      </c>
    </row>
    <row r="2700" spans="1:19" x14ac:dyDescent="0.25">
      <c r="A2700" s="24" t="s">
        <v>3830</v>
      </c>
      <c r="B2700" s="4" t="s">
        <v>1059</v>
      </c>
      <c r="C2700" s="25" t="s">
        <v>5</v>
      </c>
      <c r="G2700" s="25" t="s">
        <v>1069</v>
      </c>
      <c r="H2700" s="24" t="s">
        <v>1061</v>
      </c>
      <c r="I2700" s="3" t="str">
        <f>IFERROR(VLOOKUP(C2700,'Справочник соответствий'!A$2:D$2981,2,FALSE),IF(VALUE(C2700)=0,1,VLOOKUP(C2700,'Справочник соответствий'!A$2:D$2981,2,FALSE)))</f>
        <v>1</v>
      </c>
      <c r="J2700" s="3">
        <f>IFERROR(VLOOKUP(D2700,'Справочник соответствий'!A$2:D$2981,2,FALSE),IF(VALUE(D2700)=0,0,VLOOKUP(D2700,'Справочник соответствий'!A$2:D$2981,2,FALSE)))</f>
        <v>0</v>
      </c>
      <c r="K2700" s="3" t="str">
        <f t="shared" si="294"/>
        <v>1</v>
      </c>
      <c r="L2700" s="13" t="str">
        <f>IFERROR(VLOOKUP(C2700,'Справочник соответствий'!A$2:D$2981,3,FALSE),IF(VALUE(C2700)=0,"ЭТАЖ НЕ ОПРЕДЕЛЕН. ПРИНЯТ ПО ДОПУЩЕНИЮ 1",VLOOKUP(C2700,'Справочник соответствий'!A$2:D$2981,3,FALSE)))</f>
        <v>ЭТАЖ ЗАДАН ЧИСЛОМ</v>
      </c>
      <c r="M2700" s="13" t="b">
        <f t="shared" si="295"/>
        <v>0</v>
      </c>
      <c r="N2700" s="13">
        <f t="shared" si="296"/>
        <v>1</v>
      </c>
      <c r="O2700" s="13" t="str">
        <f t="shared" si="297"/>
        <v>ЭТАЖ ЗАДАН ЧИСЛОМ</v>
      </c>
      <c r="P2700" s="13" t="str">
        <f t="shared" si="298"/>
        <v>ЭТАЖ ЗАДАН ЧИСЛОМ</v>
      </c>
      <c r="Q2700" s="13" t="str">
        <f t="shared" si="299"/>
        <v>ГОТОВ_ИЗМЕНЕН</v>
      </c>
      <c r="R2700" s="13">
        <f>IFERROR(VLOOKUP(P2700,Лист1!A$1:B$20,2,FALSE),0)</f>
        <v>784</v>
      </c>
      <c r="S2700" s="13">
        <f t="shared" si="300"/>
        <v>0</v>
      </c>
    </row>
    <row r="2701" spans="1:19" x14ac:dyDescent="0.25">
      <c r="A2701" s="24" t="s">
        <v>3831</v>
      </c>
      <c r="B2701" s="4" t="s">
        <v>1059</v>
      </c>
      <c r="C2701" s="25" t="s">
        <v>5</v>
      </c>
      <c r="G2701" s="25" t="s">
        <v>3185</v>
      </c>
      <c r="H2701" s="24" t="s">
        <v>1061</v>
      </c>
      <c r="I2701" s="3" t="str">
        <f>IFERROR(VLOOKUP(C2701,'Справочник соответствий'!A$2:D$2981,2,FALSE),IF(VALUE(C2701)=0,1,VLOOKUP(C2701,'Справочник соответствий'!A$2:D$2981,2,FALSE)))</f>
        <v>1</v>
      </c>
      <c r="J2701" s="3">
        <f>IFERROR(VLOOKUP(D2701,'Справочник соответствий'!A$2:D$2981,2,FALSE),IF(VALUE(D2701)=0,0,VLOOKUP(D2701,'Справочник соответствий'!A$2:D$2981,2,FALSE)))</f>
        <v>0</v>
      </c>
      <c r="K2701" s="3" t="str">
        <f t="shared" si="294"/>
        <v>1</v>
      </c>
      <c r="L2701" s="13" t="str">
        <f>IFERROR(VLOOKUP(C2701,'Справочник соответствий'!A$2:D$2981,3,FALSE),IF(VALUE(C2701)=0,"ЭТАЖ НЕ ОПРЕДЕЛЕН. ПРИНЯТ ПО ДОПУЩЕНИЮ 1",VLOOKUP(C2701,'Справочник соответствий'!A$2:D$2981,3,FALSE)))</f>
        <v>ЭТАЖ ЗАДАН ЧИСЛОМ</v>
      </c>
      <c r="M2701" s="13" t="b">
        <f t="shared" si="295"/>
        <v>0</v>
      </c>
      <c r="N2701" s="13">
        <f t="shared" si="296"/>
        <v>1</v>
      </c>
      <c r="O2701" s="13" t="str">
        <f t="shared" si="297"/>
        <v>ЭТАЖ ЗАДАН ЧИСЛОМ</v>
      </c>
      <c r="P2701" s="13" t="str">
        <f t="shared" si="298"/>
        <v>ЭТАЖ ЗАДАН ЧИСЛОМ</v>
      </c>
      <c r="Q2701" s="13" t="str">
        <f t="shared" si="299"/>
        <v>ГОТОВ_ИЗМЕНЕН</v>
      </c>
      <c r="R2701" s="13">
        <f>IFERROR(VLOOKUP(P2701,Лист1!A$1:B$20,2,FALSE),0)</f>
        <v>784</v>
      </c>
      <c r="S2701" s="13">
        <f t="shared" si="300"/>
        <v>0</v>
      </c>
    </row>
    <row r="2702" spans="1:19" x14ac:dyDescent="0.25">
      <c r="A2702" s="24" t="s">
        <v>3832</v>
      </c>
      <c r="B2702" s="4" t="s">
        <v>1059</v>
      </c>
      <c r="C2702" s="25" t="s">
        <v>7</v>
      </c>
      <c r="G2702" s="25" t="s">
        <v>3185</v>
      </c>
      <c r="H2702" s="24" t="s">
        <v>1061</v>
      </c>
      <c r="I2702" s="3" t="str">
        <f>IFERROR(VLOOKUP(C2702,'Справочник соответствий'!A$2:D$2981,2,FALSE),IF(VALUE(C2702)=0,1,VLOOKUP(C2702,'Справочник соответствий'!A$2:D$2981,2,FALSE)))</f>
        <v>2</v>
      </c>
      <c r="J2702" s="3">
        <f>IFERROR(VLOOKUP(D2702,'Справочник соответствий'!A$2:D$2981,2,FALSE),IF(VALUE(D2702)=0,0,VLOOKUP(D2702,'Справочник соответствий'!A$2:D$2981,2,FALSE)))</f>
        <v>0</v>
      </c>
      <c r="K2702" s="3" t="str">
        <f t="shared" si="294"/>
        <v>2</v>
      </c>
      <c r="L2702" s="13" t="str">
        <f>IFERROR(VLOOKUP(C2702,'Справочник соответствий'!A$2:D$2981,3,FALSE),IF(VALUE(C2702)=0,"ЭТАЖ НЕ ОПРЕДЕЛЕН. ПРИНЯТ ПО ДОПУЩЕНИЮ 1",VLOOKUP(C2702,'Справочник соответствий'!A$2:D$2981,3,FALSE)))</f>
        <v>ЭТАЖ ЗАДАН ЧИСЛОМ</v>
      </c>
      <c r="M2702" s="13" t="b">
        <f t="shared" si="295"/>
        <v>0</v>
      </c>
      <c r="N2702" s="13">
        <f t="shared" si="296"/>
        <v>2</v>
      </c>
      <c r="O2702" s="13" t="str">
        <f t="shared" si="297"/>
        <v>ЭТАЖ ЗАДАН ЧИСЛОМ</v>
      </c>
      <c r="P2702" s="13" t="str">
        <f t="shared" si="298"/>
        <v>ЭТАЖ ЗАДАН ЧИСЛОМ</v>
      </c>
      <c r="Q2702" s="13" t="str">
        <f t="shared" si="299"/>
        <v>ГОТОВ_ИЗМЕНЕН</v>
      </c>
      <c r="R2702" s="13">
        <f>IFERROR(VLOOKUP(P2702,Лист1!A$1:B$20,2,FALSE),0)</f>
        <v>784</v>
      </c>
      <c r="S2702" s="13">
        <f t="shared" si="300"/>
        <v>0</v>
      </c>
    </row>
    <row r="2703" spans="1:19" x14ac:dyDescent="0.25">
      <c r="A2703" s="24" t="s">
        <v>3833</v>
      </c>
      <c r="B2703" s="4" t="s">
        <v>1059</v>
      </c>
      <c r="C2703" s="25" t="s">
        <v>5</v>
      </c>
      <c r="G2703" s="25" t="s">
        <v>1077</v>
      </c>
      <c r="H2703" s="24" t="s">
        <v>1061</v>
      </c>
      <c r="I2703" s="3" t="str">
        <f>IFERROR(VLOOKUP(C2703,'Справочник соответствий'!A$2:D$2981,2,FALSE),IF(VALUE(C2703)=0,1,VLOOKUP(C2703,'Справочник соответствий'!A$2:D$2981,2,FALSE)))</f>
        <v>1</v>
      </c>
      <c r="J2703" s="3">
        <f>IFERROR(VLOOKUP(D2703,'Справочник соответствий'!A$2:D$2981,2,FALSE),IF(VALUE(D2703)=0,0,VLOOKUP(D2703,'Справочник соответствий'!A$2:D$2981,2,FALSE)))</f>
        <v>0</v>
      </c>
      <c r="K2703" s="3" t="str">
        <f t="shared" si="294"/>
        <v>1</v>
      </c>
      <c r="L2703" s="13" t="str">
        <f>IFERROR(VLOOKUP(C2703,'Справочник соответствий'!A$2:D$2981,3,FALSE),IF(VALUE(C2703)=0,"ЭТАЖ НЕ ОПРЕДЕЛЕН. ПРИНЯТ ПО ДОПУЩЕНИЮ 1",VLOOKUP(C2703,'Справочник соответствий'!A$2:D$2981,3,FALSE)))</f>
        <v>ЭТАЖ ЗАДАН ЧИСЛОМ</v>
      </c>
      <c r="M2703" s="13" t="b">
        <f t="shared" si="295"/>
        <v>0</v>
      </c>
      <c r="N2703" s="13">
        <f t="shared" si="296"/>
        <v>1</v>
      </c>
      <c r="O2703" s="13" t="str">
        <f t="shared" si="297"/>
        <v>ЭТАЖ ЗАДАН ЧИСЛОМ</v>
      </c>
      <c r="P2703" s="13" t="str">
        <f t="shared" si="298"/>
        <v>ЭТАЖ ЗАДАН ЧИСЛОМ</v>
      </c>
      <c r="Q2703" s="13" t="str">
        <f t="shared" si="299"/>
        <v>ГОТОВ_ИЗМЕНЕН</v>
      </c>
      <c r="R2703" s="13">
        <f>IFERROR(VLOOKUP(P2703,Лист1!A$1:B$20,2,FALSE),0)</f>
        <v>784</v>
      </c>
      <c r="S2703" s="13">
        <f t="shared" si="300"/>
        <v>0</v>
      </c>
    </row>
    <row r="2704" spans="1:19" x14ac:dyDescent="0.25">
      <c r="A2704" s="24" t="s">
        <v>3834</v>
      </c>
      <c r="B2704" s="4" t="s">
        <v>1059</v>
      </c>
      <c r="C2704" s="25" t="s">
        <v>5</v>
      </c>
      <c r="G2704" s="25" t="s">
        <v>1069</v>
      </c>
      <c r="H2704" s="24" t="s">
        <v>1061</v>
      </c>
      <c r="I2704" s="3" t="str">
        <f>IFERROR(VLOOKUP(C2704,'Справочник соответствий'!A$2:D$2981,2,FALSE),IF(VALUE(C2704)=0,1,VLOOKUP(C2704,'Справочник соответствий'!A$2:D$2981,2,FALSE)))</f>
        <v>1</v>
      </c>
      <c r="J2704" s="3">
        <f>IFERROR(VLOOKUP(D2704,'Справочник соответствий'!A$2:D$2981,2,FALSE),IF(VALUE(D2704)=0,0,VLOOKUP(D2704,'Справочник соответствий'!A$2:D$2981,2,FALSE)))</f>
        <v>0</v>
      </c>
      <c r="K2704" s="3" t="str">
        <f t="shared" si="294"/>
        <v>1</v>
      </c>
      <c r="L2704" s="13" t="str">
        <f>IFERROR(VLOOKUP(C2704,'Справочник соответствий'!A$2:D$2981,3,FALSE),IF(VALUE(C2704)=0,"ЭТАЖ НЕ ОПРЕДЕЛЕН. ПРИНЯТ ПО ДОПУЩЕНИЮ 1",VLOOKUP(C2704,'Справочник соответствий'!A$2:D$2981,3,FALSE)))</f>
        <v>ЭТАЖ ЗАДАН ЧИСЛОМ</v>
      </c>
      <c r="M2704" s="13" t="b">
        <f t="shared" si="295"/>
        <v>0</v>
      </c>
      <c r="N2704" s="13">
        <f t="shared" si="296"/>
        <v>1</v>
      </c>
      <c r="O2704" s="13" t="str">
        <f t="shared" si="297"/>
        <v>ЭТАЖ ЗАДАН ЧИСЛОМ</v>
      </c>
      <c r="P2704" s="13" t="str">
        <f t="shared" si="298"/>
        <v>ЭТАЖ ЗАДАН ЧИСЛОМ</v>
      </c>
      <c r="Q2704" s="13" t="str">
        <f t="shared" si="299"/>
        <v>ГОТОВ_ИЗМЕНЕН</v>
      </c>
      <c r="R2704" s="13">
        <f>IFERROR(VLOOKUP(P2704,Лист1!A$1:B$20,2,FALSE),0)</f>
        <v>784</v>
      </c>
      <c r="S2704" s="13">
        <f t="shared" si="300"/>
        <v>0</v>
      </c>
    </row>
    <row r="2705" spans="1:19" x14ac:dyDescent="0.25">
      <c r="A2705" s="24" t="s">
        <v>3835</v>
      </c>
      <c r="B2705" s="4" t="s">
        <v>1059</v>
      </c>
      <c r="C2705" s="25" t="s">
        <v>5</v>
      </c>
      <c r="G2705" s="25" t="s">
        <v>3185</v>
      </c>
      <c r="H2705" s="24" t="s">
        <v>1061</v>
      </c>
      <c r="I2705" s="3" t="str">
        <f>IFERROR(VLOOKUP(C2705,'Справочник соответствий'!A$2:D$2981,2,FALSE),IF(VALUE(C2705)=0,1,VLOOKUP(C2705,'Справочник соответствий'!A$2:D$2981,2,FALSE)))</f>
        <v>1</v>
      </c>
      <c r="J2705" s="3">
        <f>IFERROR(VLOOKUP(D2705,'Справочник соответствий'!A$2:D$2981,2,FALSE),IF(VALUE(D2705)=0,0,VLOOKUP(D2705,'Справочник соответствий'!A$2:D$2981,2,FALSE)))</f>
        <v>0</v>
      </c>
      <c r="K2705" s="3" t="str">
        <f t="shared" si="294"/>
        <v>1</v>
      </c>
      <c r="L2705" s="13" t="str">
        <f>IFERROR(VLOOKUP(C2705,'Справочник соответствий'!A$2:D$2981,3,FALSE),IF(VALUE(C2705)=0,"ЭТАЖ НЕ ОПРЕДЕЛЕН. ПРИНЯТ ПО ДОПУЩЕНИЮ 1",VLOOKUP(C2705,'Справочник соответствий'!A$2:D$2981,3,FALSE)))</f>
        <v>ЭТАЖ ЗАДАН ЧИСЛОМ</v>
      </c>
      <c r="M2705" s="13" t="b">
        <f t="shared" si="295"/>
        <v>0</v>
      </c>
      <c r="N2705" s="13">
        <f t="shared" si="296"/>
        <v>1</v>
      </c>
      <c r="O2705" s="13" t="str">
        <f t="shared" si="297"/>
        <v>ЭТАЖ ЗАДАН ЧИСЛОМ</v>
      </c>
      <c r="P2705" s="13" t="str">
        <f t="shared" si="298"/>
        <v>ЭТАЖ ЗАДАН ЧИСЛОМ</v>
      </c>
      <c r="Q2705" s="13" t="str">
        <f t="shared" si="299"/>
        <v>ГОТОВ_ИЗМЕНЕН</v>
      </c>
      <c r="R2705" s="13">
        <f>IFERROR(VLOOKUP(P2705,Лист1!A$1:B$20,2,FALSE),0)</f>
        <v>784</v>
      </c>
      <c r="S2705" s="13">
        <f t="shared" si="300"/>
        <v>0</v>
      </c>
    </row>
    <row r="2706" spans="1:19" x14ac:dyDescent="0.25">
      <c r="A2706" s="24" t="s">
        <v>3836</v>
      </c>
      <c r="B2706" s="4" t="s">
        <v>1059</v>
      </c>
      <c r="C2706" s="25" t="s">
        <v>5</v>
      </c>
      <c r="G2706" s="25" t="s">
        <v>1075</v>
      </c>
      <c r="H2706" s="24" t="s">
        <v>1061</v>
      </c>
      <c r="I2706" s="3" t="str">
        <f>IFERROR(VLOOKUP(C2706,'Справочник соответствий'!A$2:D$2981,2,FALSE),IF(VALUE(C2706)=0,1,VLOOKUP(C2706,'Справочник соответствий'!A$2:D$2981,2,FALSE)))</f>
        <v>1</v>
      </c>
      <c r="J2706" s="3">
        <f>IFERROR(VLOOKUP(D2706,'Справочник соответствий'!A$2:D$2981,2,FALSE),IF(VALUE(D2706)=0,0,VLOOKUP(D2706,'Справочник соответствий'!A$2:D$2981,2,FALSE)))</f>
        <v>0</v>
      </c>
      <c r="K2706" s="3" t="str">
        <f t="shared" si="294"/>
        <v>1</v>
      </c>
      <c r="L2706" s="13" t="str">
        <f>IFERROR(VLOOKUP(C2706,'Справочник соответствий'!A$2:D$2981,3,FALSE),IF(VALUE(C2706)=0,"ЭТАЖ НЕ ОПРЕДЕЛЕН. ПРИНЯТ ПО ДОПУЩЕНИЮ 1",VLOOKUP(C2706,'Справочник соответствий'!A$2:D$2981,3,FALSE)))</f>
        <v>ЭТАЖ ЗАДАН ЧИСЛОМ</v>
      </c>
      <c r="M2706" s="13" t="b">
        <f t="shared" si="295"/>
        <v>0</v>
      </c>
      <c r="N2706" s="13">
        <f t="shared" si="296"/>
        <v>1</v>
      </c>
      <c r="O2706" s="13" t="str">
        <f t="shared" si="297"/>
        <v>ЭТАЖ ЗАДАН ЧИСЛОМ</v>
      </c>
      <c r="P2706" s="13" t="str">
        <f t="shared" si="298"/>
        <v>ЭТАЖ ЗАДАН ЧИСЛОМ</v>
      </c>
      <c r="Q2706" s="13" t="str">
        <f t="shared" si="299"/>
        <v>ГОТОВ_ИЗМЕНЕН</v>
      </c>
      <c r="R2706" s="13">
        <f>IFERROR(VLOOKUP(P2706,Лист1!A$1:B$20,2,FALSE),0)</f>
        <v>784</v>
      </c>
      <c r="S2706" s="13">
        <f t="shared" si="300"/>
        <v>0</v>
      </c>
    </row>
    <row r="2707" spans="1:19" x14ac:dyDescent="0.25">
      <c r="A2707" s="24" t="s">
        <v>3837</v>
      </c>
      <c r="B2707" s="4" t="s">
        <v>1063</v>
      </c>
      <c r="C2707" s="25" t="s">
        <v>5</v>
      </c>
      <c r="G2707" s="25" t="s">
        <v>1075</v>
      </c>
      <c r="H2707" s="24" t="s">
        <v>1061</v>
      </c>
      <c r="I2707" s="3" t="str">
        <f>IFERROR(VLOOKUP(C2707,'Справочник соответствий'!A$2:D$2981,2,FALSE),IF(VALUE(C2707)=0,1,VLOOKUP(C2707,'Справочник соответствий'!A$2:D$2981,2,FALSE)))</f>
        <v>1</v>
      </c>
      <c r="J2707" s="3">
        <f>IFERROR(VLOOKUP(D2707,'Справочник соответствий'!A$2:D$2981,2,FALSE),IF(VALUE(D2707)=0,0,VLOOKUP(D2707,'Справочник соответствий'!A$2:D$2981,2,FALSE)))</f>
        <v>0</v>
      </c>
      <c r="K2707" s="3" t="str">
        <f t="shared" si="294"/>
        <v>1</v>
      </c>
      <c r="L2707" s="13" t="str">
        <f>IFERROR(VLOOKUP(C2707,'Справочник соответствий'!A$2:D$2981,3,FALSE),IF(VALUE(C2707)=0,"ЭТАЖ НЕ ОПРЕДЕЛЕН. ПРИНЯТ ПО ДОПУЩЕНИЮ 1",VLOOKUP(C2707,'Справочник соответствий'!A$2:D$2981,3,FALSE)))</f>
        <v>ЭТАЖ ЗАДАН ЧИСЛОМ</v>
      </c>
      <c r="M2707" s="13" t="b">
        <f t="shared" si="295"/>
        <v>0</v>
      </c>
      <c r="N2707" s="13">
        <f t="shared" si="296"/>
        <v>1</v>
      </c>
      <c r="O2707" s="13" t="str">
        <f t="shared" si="297"/>
        <v>ЭТАЖ ЗАДАН ЧИСЛОМ</v>
      </c>
      <c r="P2707" s="13" t="str">
        <f t="shared" si="298"/>
        <v>ЭТАЖ ЗАДАН ЧИСЛОМ</v>
      </c>
      <c r="Q2707" s="13" t="str">
        <f t="shared" si="299"/>
        <v>ГОТОВ_ИЗМЕНЕН</v>
      </c>
      <c r="R2707" s="13">
        <f>IFERROR(VLOOKUP(P2707,Лист1!A$1:B$20,2,FALSE),0)</f>
        <v>784</v>
      </c>
      <c r="S2707" s="13">
        <f t="shared" si="300"/>
        <v>0</v>
      </c>
    </row>
    <row r="2708" spans="1:19" x14ac:dyDescent="0.25">
      <c r="A2708" s="24" t="s">
        <v>3838</v>
      </c>
      <c r="B2708" s="4" t="s">
        <v>1063</v>
      </c>
      <c r="C2708" s="25" t="s">
        <v>5</v>
      </c>
      <c r="G2708" s="25" t="s">
        <v>1069</v>
      </c>
      <c r="H2708" s="24" t="s">
        <v>1061</v>
      </c>
      <c r="I2708" s="3" t="str">
        <f>IFERROR(VLOOKUP(C2708,'Справочник соответствий'!A$2:D$2981,2,FALSE),IF(VALUE(C2708)=0,1,VLOOKUP(C2708,'Справочник соответствий'!A$2:D$2981,2,FALSE)))</f>
        <v>1</v>
      </c>
      <c r="J2708" s="3">
        <f>IFERROR(VLOOKUP(D2708,'Справочник соответствий'!A$2:D$2981,2,FALSE),IF(VALUE(D2708)=0,0,VLOOKUP(D2708,'Справочник соответствий'!A$2:D$2981,2,FALSE)))</f>
        <v>0</v>
      </c>
      <c r="K2708" s="3" t="str">
        <f t="shared" si="294"/>
        <v>1</v>
      </c>
      <c r="L2708" s="13" t="str">
        <f>IFERROR(VLOOKUP(C2708,'Справочник соответствий'!A$2:D$2981,3,FALSE),IF(VALUE(C2708)=0,"ЭТАЖ НЕ ОПРЕДЕЛЕН. ПРИНЯТ ПО ДОПУЩЕНИЮ 1",VLOOKUP(C2708,'Справочник соответствий'!A$2:D$2981,3,FALSE)))</f>
        <v>ЭТАЖ ЗАДАН ЧИСЛОМ</v>
      </c>
      <c r="M2708" s="13" t="b">
        <f t="shared" si="295"/>
        <v>0</v>
      </c>
      <c r="N2708" s="13">
        <f t="shared" si="296"/>
        <v>1</v>
      </c>
      <c r="O2708" s="13" t="str">
        <f t="shared" si="297"/>
        <v>ЭТАЖ ЗАДАН ЧИСЛОМ</v>
      </c>
      <c r="P2708" s="13" t="str">
        <f t="shared" si="298"/>
        <v>ЭТАЖ ЗАДАН ЧИСЛОМ</v>
      </c>
      <c r="Q2708" s="13" t="str">
        <f t="shared" si="299"/>
        <v>ГОТОВ_ИЗМЕНЕН</v>
      </c>
      <c r="R2708" s="13">
        <f>IFERROR(VLOOKUP(P2708,Лист1!A$1:B$20,2,FALSE),0)</f>
        <v>784</v>
      </c>
      <c r="S2708" s="13">
        <f t="shared" si="300"/>
        <v>0</v>
      </c>
    </row>
    <row r="2709" spans="1:19" x14ac:dyDescent="0.25">
      <c r="A2709" s="24" t="s">
        <v>3839</v>
      </c>
      <c r="B2709" s="4" t="s">
        <v>1063</v>
      </c>
      <c r="G2709" s="25" t="s">
        <v>1075</v>
      </c>
      <c r="H2709" s="24" t="s">
        <v>1061</v>
      </c>
      <c r="I2709" s="3">
        <f>IFERROR(VLOOKUP(C2709,'Справочник соответствий'!A$2:D$2981,2,FALSE),IF(VALUE(C2709)=0,1,VLOOKUP(C2709,'Справочник соответствий'!A$2:D$2981,2,FALSE)))</f>
        <v>1</v>
      </c>
      <c r="J2709" s="3">
        <f>IFERROR(VLOOKUP(D2709,'Справочник соответствий'!A$2:D$2981,2,FALSE),IF(VALUE(D2709)=0,0,VLOOKUP(D2709,'Справочник соответствий'!A$2:D$2981,2,FALSE)))</f>
        <v>0</v>
      </c>
      <c r="K2709" s="3">
        <f t="shared" si="294"/>
        <v>1</v>
      </c>
      <c r="L2709" s="13" t="str">
        <f>IFERROR(VLOOKUP(C2709,'Справочник соответствий'!A$2:D$2981,3,FALSE),IF(VALUE(C2709)=0,"ЭТАЖ НЕ ОПРЕДЕЛЕН. ПРИНЯТ ПО ДОПУЩЕНИЮ 1",VLOOKUP(C2709,'Справочник соответствий'!A$2:D$2981,3,FALSE)))</f>
        <v>ЭТАЖ НЕ ОПРЕДЕЛЕН. ПРИНЯТ ПО ДОПУЩЕНИЮ 1</v>
      </c>
      <c r="M2709" s="13" t="b">
        <f t="shared" si="295"/>
        <v>0</v>
      </c>
      <c r="N2709" s="13">
        <f t="shared" si="296"/>
        <v>1</v>
      </c>
      <c r="O2709" s="13" t="str">
        <f t="shared" si="297"/>
        <v>ЭТАЖ НЕ ОПРЕДЕЛЕН. ПРИНЯТ ПО ДОПУЩЕНИЮ 1</v>
      </c>
      <c r="P2709" s="13" t="str">
        <f t="shared" si="298"/>
        <v>ЭТАЖ НЕ ОПРЕДЕЛЕН. ПРИНЯТ ПО ДОПУЩЕНИЮ 1</v>
      </c>
      <c r="Q2709" s="13" t="str">
        <f t="shared" si="299"/>
        <v>ГОТОВ_ИЗМЕНЕН</v>
      </c>
      <c r="R2709" s="13">
        <f>IFERROR(VLOOKUP(P2709,Лист1!A$1:B$20,2,FALSE),0)</f>
        <v>788</v>
      </c>
      <c r="S2709" s="13">
        <f t="shared" si="300"/>
        <v>0</v>
      </c>
    </row>
    <row r="2710" spans="1:19" x14ac:dyDescent="0.25">
      <c r="A2710" s="24" t="s">
        <v>3840</v>
      </c>
      <c r="B2710" s="4" t="s">
        <v>1059</v>
      </c>
      <c r="C2710" s="25" t="s">
        <v>5</v>
      </c>
      <c r="G2710" s="25" t="s">
        <v>1069</v>
      </c>
      <c r="H2710" s="24" t="s">
        <v>1061</v>
      </c>
      <c r="I2710" s="3" t="str">
        <f>IFERROR(VLOOKUP(C2710,'Справочник соответствий'!A$2:D$2981,2,FALSE),IF(VALUE(C2710)=0,1,VLOOKUP(C2710,'Справочник соответствий'!A$2:D$2981,2,FALSE)))</f>
        <v>1</v>
      </c>
      <c r="J2710" s="3">
        <f>IFERROR(VLOOKUP(D2710,'Справочник соответствий'!A$2:D$2981,2,FALSE),IF(VALUE(D2710)=0,0,VLOOKUP(D2710,'Справочник соответствий'!A$2:D$2981,2,FALSE)))</f>
        <v>0</v>
      </c>
      <c r="K2710" s="3" t="str">
        <f t="shared" si="294"/>
        <v>1</v>
      </c>
      <c r="L2710" s="13" t="str">
        <f>IFERROR(VLOOKUP(C2710,'Справочник соответствий'!A$2:D$2981,3,FALSE),IF(VALUE(C2710)=0,"ЭТАЖ НЕ ОПРЕДЕЛЕН. ПРИНЯТ ПО ДОПУЩЕНИЮ 1",VLOOKUP(C2710,'Справочник соответствий'!A$2:D$2981,3,FALSE)))</f>
        <v>ЭТАЖ ЗАДАН ЧИСЛОМ</v>
      </c>
      <c r="M2710" s="13" t="b">
        <f t="shared" si="295"/>
        <v>0</v>
      </c>
      <c r="N2710" s="13">
        <f t="shared" si="296"/>
        <v>1</v>
      </c>
      <c r="O2710" s="13" t="str">
        <f t="shared" si="297"/>
        <v>ЭТАЖ ЗАДАН ЧИСЛОМ</v>
      </c>
      <c r="P2710" s="13" t="str">
        <f t="shared" si="298"/>
        <v>ЭТАЖ ЗАДАН ЧИСЛОМ</v>
      </c>
      <c r="Q2710" s="13" t="str">
        <f t="shared" si="299"/>
        <v>ГОТОВ_ИЗМЕНЕН</v>
      </c>
      <c r="R2710" s="13">
        <f>IFERROR(VLOOKUP(P2710,Лист1!A$1:B$20,2,FALSE),0)</f>
        <v>784</v>
      </c>
      <c r="S2710" s="13">
        <f t="shared" si="300"/>
        <v>0</v>
      </c>
    </row>
    <row r="2711" spans="1:19" x14ac:dyDescent="0.25">
      <c r="A2711" s="24" t="s">
        <v>3841</v>
      </c>
      <c r="B2711" s="4" t="s">
        <v>1059</v>
      </c>
      <c r="G2711" s="25" t="s">
        <v>1069</v>
      </c>
      <c r="H2711" s="24" t="s">
        <v>1061</v>
      </c>
      <c r="I2711" s="3">
        <f>IFERROR(VLOOKUP(C2711,'Справочник соответствий'!A$2:D$2981,2,FALSE),IF(VALUE(C2711)=0,1,VLOOKUP(C2711,'Справочник соответствий'!A$2:D$2981,2,FALSE)))</f>
        <v>1</v>
      </c>
      <c r="J2711" s="3">
        <f>IFERROR(VLOOKUP(D2711,'Справочник соответствий'!A$2:D$2981,2,FALSE),IF(VALUE(D2711)=0,0,VLOOKUP(D2711,'Справочник соответствий'!A$2:D$2981,2,FALSE)))</f>
        <v>0</v>
      </c>
      <c r="K2711" s="3">
        <f t="shared" si="294"/>
        <v>1</v>
      </c>
      <c r="L2711" s="13" t="str">
        <f>IFERROR(VLOOKUP(C2711,'Справочник соответствий'!A$2:D$2981,3,FALSE),IF(VALUE(C2711)=0,"ЭТАЖ НЕ ОПРЕДЕЛЕН. ПРИНЯТ ПО ДОПУЩЕНИЮ 1",VLOOKUP(C2711,'Справочник соответствий'!A$2:D$2981,3,FALSE)))</f>
        <v>ЭТАЖ НЕ ОПРЕДЕЛЕН. ПРИНЯТ ПО ДОПУЩЕНИЮ 1</v>
      </c>
      <c r="M2711" s="13" t="b">
        <f t="shared" si="295"/>
        <v>0</v>
      </c>
      <c r="N2711" s="13">
        <f t="shared" si="296"/>
        <v>1</v>
      </c>
      <c r="O2711" s="13" t="str">
        <f t="shared" si="297"/>
        <v>ЭТАЖ НЕ ОПРЕДЕЛЕН. ПРИНЯТ ПО ДОПУЩЕНИЮ 1</v>
      </c>
      <c r="P2711" s="13" t="str">
        <f t="shared" si="298"/>
        <v>ЭТАЖ НЕ ОПРЕДЕЛЕН. ПРИНЯТ ПО ДОПУЩЕНИЮ 1</v>
      </c>
      <c r="Q2711" s="13" t="str">
        <f t="shared" si="299"/>
        <v>ГОТОВ_ИЗМЕНЕН</v>
      </c>
      <c r="R2711" s="13">
        <f>IFERROR(VLOOKUP(P2711,Лист1!A$1:B$20,2,FALSE),0)</f>
        <v>788</v>
      </c>
      <c r="S2711" s="13">
        <f t="shared" si="300"/>
        <v>0</v>
      </c>
    </row>
    <row r="2712" spans="1:19" x14ac:dyDescent="0.25">
      <c r="A2712" s="24" t="s">
        <v>3842</v>
      </c>
      <c r="B2712" s="4" t="s">
        <v>1063</v>
      </c>
      <c r="C2712" s="25" t="s">
        <v>5</v>
      </c>
      <c r="G2712" s="25" t="s">
        <v>1069</v>
      </c>
      <c r="H2712" s="24" t="s">
        <v>1061</v>
      </c>
      <c r="I2712" s="3" t="str">
        <f>IFERROR(VLOOKUP(C2712,'Справочник соответствий'!A$2:D$2981,2,FALSE),IF(VALUE(C2712)=0,1,VLOOKUP(C2712,'Справочник соответствий'!A$2:D$2981,2,FALSE)))</f>
        <v>1</v>
      </c>
      <c r="J2712" s="3">
        <f>IFERROR(VLOOKUP(D2712,'Справочник соответствий'!A$2:D$2981,2,FALSE),IF(VALUE(D2712)=0,0,VLOOKUP(D2712,'Справочник соответствий'!A$2:D$2981,2,FALSE)))</f>
        <v>0</v>
      </c>
      <c r="K2712" s="3" t="str">
        <f t="shared" si="294"/>
        <v>1</v>
      </c>
      <c r="L2712" s="13" t="str">
        <f>IFERROR(VLOOKUP(C2712,'Справочник соответствий'!A$2:D$2981,3,FALSE),IF(VALUE(C2712)=0,"ЭТАЖ НЕ ОПРЕДЕЛЕН. ПРИНЯТ ПО ДОПУЩЕНИЮ 1",VLOOKUP(C2712,'Справочник соответствий'!A$2:D$2981,3,FALSE)))</f>
        <v>ЭТАЖ ЗАДАН ЧИСЛОМ</v>
      </c>
      <c r="M2712" s="13" t="b">
        <f t="shared" si="295"/>
        <v>0</v>
      </c>
      <c r="N2712" s="13">
        <f t="shared" si="296"/>
        <v>1</v>
      </c>
      <c r="O2712" s="13" t="str">
        <f t="shared" si="297"/>
        <v>ЭТАЖ ЗАДАН ЧИСЛОМ</v>
      </c>
      <c r="P2712" s="13" t="str">
        <f t="shared" si="298"/>
        <v>ЭТАЖ ЗАДАН ЧИСЛОМ</v>
      </c>
      <c r="Q2712" s="13" t="str">
        <f t="shared" si="299"/>
        <v>ГОТОВ_ИЗМЕНЕН</v>
      </c>
      <c r="R2712" s="13">
        <f>IFERROR(VLOOKUP(P2712,Лист1!A$1:B$20,2,FALSE),0)</f>
        <v>784</v>
      </c>
      <c r="S2712" s="13">
        <f t="shared" si="300"/>
        <v>0</v>
      </c>
    </row>
    <row r="2713" spans="1:19" x14ac:dyDescent="0.25">
      <c r="A2713" s="24" t="s">
        <v>3843</v>
      </c>
      <c r="B2713" s="4" t="s">
        <v>1059</v>
      </c>
      <c r="C2713" s="25" t="s">
        <v>7</v>
      </c>
      <c r="G2713" s="25" t="s">
        <v>1069</v>
      </c>
      <c r="H2713" s="24" t="s">
        <v>1061</v>
      </c>
      <c r="I2713" s="3" t="str">
        <f>IFERROR(VLOOKUP(C2713,'Справочник соответствий'!A$2:D$2981,2,FALSE),IF(VALUE(C2713)=0,1,VLOOKUP(C2713,'Справочник соответствий'!A$2:D$2981,2,FALSE)))</f>
        <v>2</v>
      </c>
      <c r="J2713" s="3">
        <f>IFERROR(VLOOKUP(D2713,'Справочник соответствий'!A$2:D$2981,2,FALSE),IF(VALUE(D2713)=0,0,VLOOKUP(D2713,'Справочник соответствий'!A$2:D$2981,2,FALSE)))</f>
        <v>0</v>
      </c>
      <c r="K2713" s="3" t="str">
        <f t="shared" si="294"/>
        <v>2</v>
      </c>
      <c r="L2713" s="13" t="str">
        <f>IFERROR(VLOOKUP(C2713,'Справочник соответствий'!A$2:D$2981,3,FALSE),IF(VALUE(C2713)=0,"ЭТАЖ НЕ ОПРЕДЕЛЕН. ПРИНЯТ ПО ДОПУЩЕНИЮ 1",VLOOKUP(C2713,'Справочник соответствий'!A$2:D$2981,3,FALSE)))</f>
        <v>ЭТАЖ ЗАДАН ЧИСЛОМ</v>
      </c>
      <c r="M2713" s="13" t="b">
        <f t="shared" si="295"/>
        <v>0</v>
      </c>
      <c r="N2713" s="13">
        <f t="shared" si="296"/>
        <v>2</v>
      </c>
      <c r="O2713" s="13" t="str">
        <f t="shared" si="297"/>
        <v>ЭТАЖ ЗАДАН ЧИСЛОМ</v>
      </c>
      <c r="P2713" s="13" t="str">
        <f t="shared" si="298"/>
        <v>ЭТАЖ ЗАДАН ЧИСЛОМ</v>
      </c>
      <c r="Q2713" s="13" t="str">
        <f t="shared" si="299"/>
        <v>ГОТОВ_ИЗМЕНЕН</v>
      </c>
      <c r="R2713" s="13">
        <f>IFERROR(VLOOKUP(P2713,Лист1!A$1:B$20,2,FALSE),0)</f>
        <v>784</v>
      </c>
      <c r="S2713" s="13">
        <f t="shared" si="300"/>
        <v>0</v>
      </c>
    </row>
    <row r="2714" spans="1:19" x14ac:dyDescent="0.25">
      <c r="A2714" s="24" t="s">
        <v>3844</v>
      </c>
      <c r="B2714" s="4" t="s">
        <v>1059</v>
      </c>
      <c r="C2714" s="25" t="s">
        <v>7</v>
      </c>
      <c r="G2714" s="25" t="s">
        <v>1083</v>
      </c>
      <c r="H2714" s="24" t="s">
        <v>1061</v>
      </c>
      <c r="I2714" s="3" t="str">
        <f>IFERROR(VLOOKUP(C2714,'Справочник соответствий'!A$2:D$2981,2,FALSE),IF(VALUE(C2714)=0,1,VLOOKUP(C2714,'Справочник соответствий'!A$2:D$2981,2,FALSE)))</f>
        <v>2</v>
      </c>
      <c r="J2714" s="3">
        <f>IFERROR(VLOOKUP(D2714,'Справочник соответствий'!A$2:D$2981,2,FALSE),IF(VALUE(D2714)=0,0,VLOOKUP(D2714,'Справочник соответствий'!A$2:D$2981,2,FALSE)))</f>
        <v>0</v>
      </c>
      <c r="K2714" s="3" t="str">
        <f t="shared" si="294"/>
        <v>2</v>
      </c>
      <c r="L2714" s="13" t="str">
        <f>IFERROR(VLOOKUP(C2714,'Справочник соответствий'!A$2:D$2981,3,FALSE),IF(VALUE(C2714)=0,"ЭТАЖ НЕ ОПРЕДЕЛЕН. ПРИНЯТ ПО ДОПУЩЕНИЮ 1",VLOOKUP(C2714,'Справочник соответствий'!A$2:D$2981,3,FALSE)))</f>
        <v>ЭТАЖ ЗАДАН ЧИСЛОМ</v>
      </c>
      <c r="M2714" s="13" t="b">
        <f t="shared" si="295"/>
        <v>0</v>
      </c>
      <c r="N2714" s="13">
        <f t="shared" si="296"/>
        <v>2</v>
      </c>
      <c r="O2714" s="13" t="str">
        <f t="shared" si="297"/>
        <v>ЭТАЖ ЗАДАН ЧИСЛОМ</v>
      </c>
      <c r="P2714" s="13" t="str">
        <f t="shared" si="298"/>
        <v>ЭТАЖ ЗАДАН ЧИСЛОМ</v>
      </c>
      <c r="Q2714" s="13" t="str">
        <f t="shared" si="299"/>
        <v>ГОТОВ_ИЗМЕНЕН</v>
      </c>
      <c r="R2714" s="13">
        <f>IFERROR(VLOOKUP(P2714,Лист1!A$1:B$20,2,FALSE),0)</f>
        <v>784</v>
      </c>
      <c r="S2714" s="13">
        <f t="shared" si="300"/>
        <v>0</v>
      </c>
    </row>
    <row r="2715" spans="1:19" x14ac:dyDescent="0.25">
      <c r="A2715" s="24" t="s">
        <v>3845</v>
      </c>
      <c r="B2715" s="4" t="s">
        <v>1063</v>
      </c>
      <c r="C2715" s="25" t="s">
        <v>5</v>
      </c>
      <c r="G2715" s="25" t="s">
        <v>1089</v>
      </c>
      <c r="H2715" s="24" t="s">
        <v>1061</v>
      </c>
      <c r="I2715" s="3" t="str">
        <f>IFERROR(VLOOKUP(C2715,'Справочник соответствий'!A$2:D$2981,2,FALSE),IF(VALUE(C2715)=0,1,VLOOKUP(C2715,'Справочник соответствий'!A$2:D$2981,2,FALSE)))</f>
        <v>1</v>
      </c>
      <c r="J2715" s="3">
        <f>IFERROR(VLOOKUP(D2715,'Справочник соответствий'!A$2:D$2981,2,FALSE),IF(VALUE(D2715)=0,0,VLOOKUP(D2715,'Справочник соответствий'!A$2:D$2981,2,FALSE)))</f>
        <v>0</v>
      </c>
      <c r="K2715" s="3" t="str">
        <f t="shared" si="294"/>
        <v>1</v>
      </c>
      <c r="L2715" s="13" t="str">
        <f>IFERROR(VLOOKUP(C2715,'Справочник соответствий'!A$2:D$2981,3,FALSE),IF(VALUE(C2715)=0,"ЭТАЖ НЕ ОПРЕДЕЛЕН. ПРИНЯТ ПО ДОПУЩЕНИЮ 1",VLOOKUP(C2715,'Справочник соответствий'!A$2:D$2981,3,FALSE)))</f>
        <v>ЭТАЖ ЗАДАН ЧИСЛОМ</v>
      </c>
      <c r="M2715" s="13" t="b">
        <f t="shared" si="295"/>
        <v>0</v>
      </c>
      <c r="N2715" s="13">
        <f t="shared" si="296"/>
        <v>1</v>
      </c>
      <c r="O2715" s="13" t="str">
        <f t="shared" si="297"/>
        <v>ЭТАЖ ЗАДАН ЧИСЛОМ</v>
      </c>
      <c r="P2715" s="13" t="str">
        <f t="shared" si="298"/>
        <v>ЭТАЖ ЗАДАН ЧИСЛОМ</v>
      </c>
      <c r="Q2715" s="13" t="str">
        <f t="shared" si="299"/>
        <v>ГОТОВ_ИЗМЕНЕН</v>
      </c>
      <c r="R2715" s="13">
        <f>IFERROR(VLOOKUP(P2715,Лист1!A$1:B$20,2,FALSE),0)</f>
        <v>784</v>
      </c>
      <c r="S2715" s="13">
        <f t="shared" si="300"/>
        <v>0</v>
      </c>
    </row>
    <row r="2716" spans="1:19" x14ac:dyDescent="0.25">
      <c r="A2716" s="24" t="s">
        <v>3846</v>
      </c>
      <c r="B2716" s="4" t="s">
        <v>1063</v>
      </c>
      <c r="G2716" s="25" t="s">
        <v>1089</v>
      </c>
      <c r="H2716" s="24" t="s">
        <v>1061</v>
      </c>
      <c r="I2716" s="3">
        <f>IFERROR(VLOOKUP(C2716,'Справочник соответствий'!A$2:D$2981,2,FALSE),IF(VALUE(C2716)=0,1,VLOOKUP(C2716,'Справочник соответствий'!A$2:D$2981,2,FALSE)))</f>
        <v>1</v>
      </c>
      <c r="J2716" s="3">
        <f>IFERROR(VLOOKUP(D2716,'Справочник соответствий'!A$2:D$2981,2,FALSE),IF(VALUE(D2716)=0,0,VLOOKUP(D2716,'Справочник соответствий'!A$2:D$2981,2,FALSE)))</f>
        <v>0</v>
      </c>
      <c r="K2716" s="3">
        <f t="shared" si="294"/>
        <v>1</v>
      </c>
      <c r="L2716" s="13" t="str">
        <f>IFERROR(VLOOKUP(C2716,'Справочник соответствий'!A$2:D$2981,3,FALSE),IF(VALUE(C2716)=0,"ЭТАЖ НЕ ОПРЕДЕЛЕН. ПРИНЯТ ПО ДОПУЩЕНИЮ 1",VLOOKUP(C2716,'Справочник соответствий'!A$2:D$2981,3,FALSE)))</f>
        <v>ЭТАЖ НЕ ОПРЕДЕЛЕН. ПРИНЯТ ПО ДОПУЩЕНИЮ 1</v>
      </c>
      <c r="M2716" s="13" t="b">
        <f t="shared" si="295"/>
        <v>0</v>
      </c>
      <c r="N2716" s="13">
        <f t="shared" si="296"/>
        <v>1</v>
      </c>
      <c r="O2716" s="13" t="str">
        <f t="shared" si="297"/>
        <v>ЭТАЖ НЕ ОПРЕДЕЛЕН. ПРИНЯТ ПО ДОПУЩЕНИЮ 1</v>
      </c>
      <c r="P2716" s="13" t="str">
        <f t="shared" si="298"/>
        <v>ЭТАЖ НЕ ОПРЕДЕЛЕН. ПРИНЯТ ПО ДОПУЩЕНИЮ 1</v>
      </c>
      <c r="Q2716" s="13" t="str">
        <f t="shared" si="299"/>
        <v>ГОТОВ_ИЗМЕНЕН</v>
      </c>
      <c r="R2716" s="13">
        <f>IFERROR(VLOOKUP(P2716,Лист1!A$1:B$20,2,FALSE),0)</f>
        <v>788</v>
      </c>
      <c r="S2716" s="13">
        <f t="shared" si="300"/>
        <v>0</v>
      </c>
    </row>
    <row r="2717" spans="1:19" x14ac:dyDescent="0.25">
      <c r="A2717" s="24" t="s">
        <v>3847</v>
      </c>
      <c r="B2717" s="4" t="s">
        <v>1063</v>
      </c>
      <c r="C2717" s="25" t="s">
        <v>5</v>
      </c>
      <c r="G2717" s="25" t="s">
        <v>1089</v>
      </c>
      <c r="H2717" s="24" t="s">
        <v>1061</v>
      </c>
      <c r="I2717" s="3" t="str">
        <f>IFERROR(VLOOKUP(C2717,'Справочник соответствий'!A$2:D$2981,2,FALSE),IF(VALUE(C2717)=0,1,VLOOKUP(C2717,'Справочник соответствий'!A$2:D$2981,2,FALSE)))</f>
        <v>1</v>
      </c>
      <c r="J2717" s="3">
        <f>IFERROR(VLOOKUP(D2717,'Справочник соответствий'!A$2:D$2981,2,FALSE),IF(VALUE(D2717)=0,0,VLOOKUP(D2717,'Справочник соответствий'!A$2:D$2981,2,FALSE)))</f>
        <v>0</v>
      </c>
      <c r="K2717" s="3" t="str">
        <f t="shared" si="294"/>
        <v>1</v>
      </c>
      <c r="L2717" s="13" t="str">
        <f>IFERROR(VLOOKUP(C2717,'Справочник соответствий'!A$2:D$2981,3,FALSE),IF(VALUE(C2717)=0,"ЭТАЖ НЕ ОПРЕДЕЛЕН. ПРИНЯТ ПО ДОПУЩЕНИЮ 1",VLOOKUP(C2717,'Справочник соответствий'!A$2:D$2981,3,FALSE)))</f>
        <v>ЭТАЖ ЗАДАН ЧИСЛОМ</v>
      </c>
      <c r="M2717" s="13" t="b">
        <f t="shared" si="295"/>
        <v>0</v>
      </c>
      <c r="N2717" s="13">
        <f t="shared" si="296"/>
        <v>1</v>
      </c>
      <c r="O2717" s="13" t="str">
        <f t="shared" si="297"/>
        <v>ЭТАЖ ЗАДАН ЧИСЛОМ</v>
      </c>
      <c r="P2717" s="13" t="str">
        <f t="shared" si="298"/>
        <v>ЭТАЖ ЗАДАН ЧИСЛОМ</v>
      </c>
      <c r="Q2717" s="13" t="str">
        <f t="shared" si="299"/>
        <v>ГОТОВ_ИЗМЕНЕН</v>
      </c>
      <c r="R2717" s="13">
        <f>IFERROR(VLOOKUP(P2717,Лист1!A$1:B$20,2,FALSE),0)</f>
        <v>784</v>
      </c>
      <c r="S2717" s="13">
        <f t="shared" si="300"/>
        <v>0</v>
      </c>
    </row>
    <row r="2718" spans="1:19" x14ac:dyDescent="0.25">
      <c r="A2718" s="24" t="s">
        <v>3848</v>
      </c>
      <c r="B2718" s="4" t="s">
        <v>1059</v>
      </c>
      <c r="C2718" s="25" t="s">
        <v>7</v>
      </c>
      <c r="G2718" s="25" t="s">
        <v>1089</v>
      </c>
      <c r="H2718" s="24" t="s">
        <v>1061</v>
      </c>
      <c r="I2718" s="3" t="str">
        <f>IFERROR(VLOOKUP(C2718,'Справочник соответствий'!A$2:D$2981,2,FALSE),IF(VALUE(C2718)=0,1,VLOOKUP(C2718,'Справочник соответствий'!A$2:D$2981,2,FALSE)))</f>
        <v>2</v>
      </c>
      <c r="J2718" s="3">
        <f>IFERROR(VLOOKUP(D2718,'Справочник соответствий'!A$2:D$2981,2,FALSE),IF(VALUE(D2718)=0,0,VLOOKUP(D2718,'Справочник соответствий'!A$2:D$2981,2,FALSE)))</f>
        <v>0</v>
      </c>
      <c r="K2718" s="3" t="str">
        <f t="shared" si="294"/>
        <v>2</v>
      </c>
      <c r="L2718" s="13" t="str">
        <f>IFERROR(VLOOKUP(C2718,'Справочник соответствий'!A$2:D$2981,3,FALSE),IF(VALUE(C2718)=0,"ЭТАЖ НЕ ОПРЕДЕЛЕН. ПРИНЯТ ПО ДОПУЩЕНИЮ 1",VLOOKUP(C2718,'Справочник соответствий'!A$2:D$2981,3,FALSE)))</f>
        <v>ЭТАЖ ЗАДАН ЧИСЛОМ</v>
      </c>
      <c r="M2718" s="13" t="b">
        <f t="shared" si="295"/>
        <v>0</v>
      </c>
      <c r="N2718" s="13">
        <f t="shared" si="296"/>
        <v>2</v>
      </c>
      <c r="O2718" s="13" t="str">
        <f t="shared" si="297"/>
        <v>ЭТАЖ ЗАДАН ЧИСЛОМ</v>
      </c>
      <c r="P2718" s="13" t="str">
        <f t="shared" si="298"/>
        <v>ЭТАЖ ЗАДАН ЧИСЛОМ</v>
      </c>
      <c r="Q2718" s="13" t="str">
        <f t="shared" si="299"/>
        <v>ГОТОВ_ИЗМЕНЕН</v>
      </c>
      <c r="R2718" s="13">
        <f>IFERROR(VLOOKUP(P2718,Лист1!A$1:B$20,2,FALSE),0)</f>
        <v>784</v>
      </c>
      <c r="S2718" s="13">
        <f t="shared" si="300"/>
        <v>0</v>
      </c>
    </row>
    <row r="2719" spans="1:19" x14ac:dyDescent="0.25">
      <c r="A2719" s="24" t="s">
        <v>3849</v>
      </c>
      <c r="B2719" s="4" t="s">
        <v>1059</v>
      </c>
      <c r="C2719" s="25" t="s">
        <v>5</v>
      </c>
      <c r="G2719" s="25" t="s">
        <v>1089</v>
      </c>
      <c r="H2719" s="24" t="s">
        <v>1061</v>
      </c>
      <c r="I2719" s="3" t="str">
        <f>IFERROR(VLOOKUP(C2719,'Справочник соответствий'!A$2:D$2981,2,FALSE),IF(VALUE(C2719)=0,1,VLOOKUP(C2719,'Справочник соответствий'!A$2:D$2981,2,FALSE)))</f>
        <v>1</v>
      </c>
      <c r="J2719" s="3">
        <f>IFERROR(VLOOKUP(D2719,'Справочник соответствий'!A$2:D$2981,2,FALSE),IF(VALUE(D2719)=0,0,VLOOKUP(D2719,'Справочник соответствий'!A$2:D$2981,2,FALSE)))</f>
        <v>0</v>
      </c>
      <c r="K2719" s="3" t="str">
        <f t="shared" si="294"/>
        <v>1</v>
      </c>
      <c r="L2719" s="13" t="str">
        <f>IFERROR(VLOOKUP(C2719,'Справочник соответствий'!A$2:D$2981,3,FALSE),IF(VALUE(C2719)=0,"ЭТАЖ НЕ ОПРЕДЕЛЕН. ПРИНЯТ ПО ДОПУЩЕНИЮ 1",VLOOKUP(C2719,'Справочник соответствий'!A$2:D$2981,3,FALSE)))</f>
        <v>ЭТАЖ ЗАДАН ЧИСЛОМ</v>
      </c>
      <c r="M2719" s="13" t="b">
        <f t="shared" si="295"/>
        <v>0</v>
      </c>
      <c r="N2719" s="13">
        <f t="shared" si="296"/>
        <v>1</v>
      </c>
      <c r="O2719" s="13" t="str">
        <f t="shared" si="297"/>
        <v>ЭТАЖ ЗАДАН ЧИСЛОМ</v>
      </c>
      <c r="P2719" s="13" t="str">
        <f t="shared" si="298"/>
        <v>ЭТАЖ ЗАДАН ЧИСЛОМ</v>
      </c>
      <c r="Q2719" s="13" t="str">
        <f t="shared" si="299"/>
        <v>ГОТОВ_ИЗМЕНЕН</v>
      </c>
      <c r="R2719" s="13">
        <f>IFERROR(VLOOKUP(P2719,Лист1!A$1:B$20,2,FALSE),0)</f>
        <v>784</v>
      </c>
      <c r="S2719" s="13">
        <f t="shared" si="300"/>
        <v>0</v>
      </c>
    </row>
    <row r="2720" spans="1:19" x14ac:dyDescent="0.25">
      <c r="A2720" s="24" t="s">
        <v>3850</v>
      </c>
      <c r="B2720" s="4" t="s">
        <v>1059</v>
      </c>
      <c r="G2720" s="25" t="s">
        <v>1089</v>
      </c>
      <c r="H2720" s="24" t="s">
        <v>1061</v>
      </c>
      <c r="I2720" s="3">
        <f>IFERROR(VLOOKUP(C2720,'Справочник соответствий'!A$2:D$2981,2,FALSE),IF(VALUE(C2720)=0,1,VLOOKUP(C2720,'Справочник соответствий'!A$2:D$2981,2,FALSE)))</f>
        <v>1</v>
      </c>
      <c r="J2720" s="3">
        <f>IFERROR(VLOOKUP(D2720,'Справочник соответствий'!A$2:D$2981,2,FALSE),IF(VALUE(D2720)=0,0,VLOOKUP(D2720,'Справочник соответствий'!A$2:D$2981,2,FALSE)))</f>
        <v>0</v>
      </c>
      <c r="K2720" s="3">
        <f t="shared" si="294"/>
        <v>1</v>
      </c>
      <c r="L2720" s="13" t="str">
        <f>IFERROR(VLOOKUP(C2720,'Справочник соответствий'!A$2:D$2981,3,FALSE),IF(VALUE(C2720)=0,"ЭТАЖ НЕ ОПРЕДЕЛЕН. ПРИНЯТ ПО ДОПУЩЕНИЮ 1",VLOOKUP(C2720,'Справочник соответствий'!A$2:D$2981,3,FALSE)))</f>
        <v>ЭТАЖ НЕ ОПРЕДЕЛЕН. ПРИНЯТ ПО ДОПУЩЕНИЮ 1</v>
      </c>
      <c r="M2720" s="13" t="b">
        <f t="shared" si="295"/>
        <v>0</v>
      </c>
      <c r="N2720" s="13">
        <f t="shared" si="296"/>
        <v>1</v>
      </c>
      <c r="O2720" s="13" t="str">
        <f t="shared" si="297"/>
        <v>ЭТАЖ НЕ ОПРЕДЕЛЕН. ПРИНЯТ ПО ДОПУЩЕНИЮ 1</v>
      </c>
      <c r="P2720" s="13" t="str">
        <f t="shared" si="298"/>
        <v>ЭТАЖ НЕ ОПРЕДЕЛЕН. ПРИНЯТ ПО ДОПУЩЕНИЮ 1</v>
      </c>
      <c r="Q2720" s="13" t="str">
        <f t="shared" si="299"/>
        <v>ГОТОВ_ИЗМЕНЕН</v>
      </c>
      <c r="R2720" s="13">
        <f>IFERROR(VLOOKUP(P2720,Лист1!A$1:B$20,2,FALSE),0)</f>
        <v>788</v>
      </c>
      <c r="S2720" s="13">
        <f t="shared" si="300"/>
        <v>0</v>
      </c>
    </row>
    <row r="2721" spans="1:19" x14ac:dyDescent="0.25">
      <c r="A2721" s="24" t="s">
        <v>3851</v>
      </c>
      <c r="B2721" s="4" t="s">
        <v>1063</v>
      </c>
      <c r="G2721" s="25" t="s">
        <v>1089</v>
      </c>
      <c r="H2721" s="24" t="s">
        <v>1061</v>
      </c>
      <c r="I2721" s="3">
        <f>IFERROR(VLOOKUP(C2721,'Справочник соответствий'!A$2:D$2981,2,FALSE),IF(VALUE(C2721)=0,1,VLOOKUP(C2721,'Справочник соответствий'!A$2:D$2981,2,FALSE)))</f>
        <v>1</v>
      </c>
      <c r="J2721" s="3">
        <f>IFERROR(VLOOKUP(D2721,'Справочник соответствий'!A$2:D$2981,2,FALSE),IF(VALUE(D2721)=0,0,VLOOKUP(D2721,'Справочник соответствий'!A$2:D$2981,2,FALSE)))</f>
        <v>0</v>
      </c>
      <c r="K2721" s="3">
        <f t="shared" si="294"/>
        <v>1</v>
      </c>
      <c r="L2721" s="13" t="str">
        <f>IFERROR(VLOOKUP(C2721,'Справочник соответствий'!A$2:D$2981,3,FALSE),IF(VALUE(C2721)=0,"ЭТАЖ НЕ ОПРЕДЕЛЕН. ПРИНЯТ ПО ДОПУЩЕНИЮ 1",VLOOKUP(C2721,'Справочник соответствий'!A$2:D$2981,3,FALSE)))</f>
        <v>ЭТАЖ НЕ ОПРЕДЕЛЕН. ПРИНЯТ ПО ДОПУЩЕНИЮ 1</v>
      </c>
      <c r="M2721" s="13" t="b">
        <f t="shared" si="295"/>
        <v>0</v>
      </c>
      <c r="N2721" s="13">
        <f t="shared" si="296"/>
        <v>1</v>
      </c>
      <c r="O2721" s="13" t="str">
        <f t="shared" si="297"/>
        <v>ЭТАЖ НЕ ОПРЕДЕЛЕН. ПРИНЯТ ПО ДОПУЩЕНИЮ 1</v>
      </c>
      <c r="P2721" s="13" t="str">
        <f t="shared" si="298"/>
        <v>ЭТАЖ НЕ ОПРЕДЕЛЕН. ПРИНЯТ ПО ДОПУЩЕНИЮ 1</v>
      </c>
      <c r="Q2721" s="13" t="str">
        <f t="shared" si="299"/>
        <v>ГОТОВ_ИЗМЕНЕН</v>
      </c>
      <c r="R2721" s="13">
        <f>IFERROR(VLOOKUP(P2721,Лист1!A$1:B$20,2,FALSE),0)</f>
        <v>788</v>
      </c>
      <c r="S2721" s="13">
        <f t="shared" si="300"/>
        <v>0</v>
      </c>
    </row>
    <row r="2722" spans="1:19" x14ac:dyDescent="0.25">
      <c r="A2722" s="24" t="s">
        <v>3852</v>
      </c>
      <c r="B2722" s="4" t="s">
        <v>1063</v>
      </c>
      <c r="G2722" s="25" t="s">
        <v>1089</v>
      </c>
      <c r="H2722" s="24" t="s">
        <v>1061</v>
      </c>
      <c r="I2722" s="3">
        <f>IFERROR(VLOOKUP(C2722,'Справочник соответствий'!A$2:D$2981,2,FALSE),IF(VALUE(C2722)=0,1,VLOOKUP(C2722,'Справочник соответствий'!A$2:D$2981,2,FALSE)))</f>
        <v>1</v>
      </c>
      <c r="J2722" s="3">
        <f>IFERROR(VLOOKUP(D2722,'Справочник соответствий'!A$2:D$2981,2,FALSE),IF(VALUE(D2722)=0,0,VLOOKUP(D2722,'Справочник соответствий'!A$2:D$2981,2,FALSE)))</f>
        <v>0</v>
      </c>
      <c r="K2722" s="3">
        <f t="shared" si="294"/>
        <v>1</v>
      </c>
      <c r="L2722" s="13" t="str">
        <f>IFERROR(VLOOKUP(C2722,'Справочник соответствий'!A$2:D$2981,3,FALSE),IF(VALUE(C2722)=0,"ЭТАЖ НЕ ОПРЕДЕЛЕН. ПРИНЯТ ПО ДОПУЩЕНИЮ 1",VLOOKUP(C2722,'Справочник соответствий'!A$2:D$2981,3,FALSE)))</f>
        <v>ЭТАЖ НЕ ОПРЕДЕЛЕН. ПРИНЯТ ПО ДОПУЩЕНИЮ 1</v>
      </c>
      <c r="M2722" s="13" t="b">
        <f t="shared" si="295"/>
        <v>0</v>
      </c>
      <c r="N2722" s="13">
        <f t="shared" si="296"/>
        <v>1</v>
      </c>
      <c r="O2722" s="13" t="str">
        <f t="shared" si="297"/>
        <v>ЭТАЖ НЕ ОПРЕДЕЛЕН. ПРИНЯТ ПО ДОПУЩЕНИЮ 1</v>
      </c>
      <c r="P2722" s="13" t="str">
        <f t="shared" si="298"/>
        <v>ЭТАЖ НЕ ОПРЕДЕЛЕН. ПРИНЯТ ПО ДОПУЩЕНИЮ 1</v>
      </c>
      <c r="Q2722" s="13" t="str">
        <f t="shared" si="299"/>
        <v>ГОТОВ_ИЗМЕНЕН</v>
      </c>
      <c r="R2722" s="13">
        <f>IFERROR(VLOOKUP(P2722,Лист1!A$1:B$20,2,FALSE),0)</f>
        <v>788</v>
      </c>
      <c r="S2722" s="13">
        <f t="shared" si="300"/>
        <v>0</v>
      </c>
    </row>
    <row r="2723" spans="1:19" x14ac:dyDescent="0.25">
      <c r="A2723" s="24" t="s">
        <v>3853</v>
      </c>
      <c r="B2723" s="4" t="s">
        <v>1063</v>
      </c>
      <c r="C2723" s="25" t="s">
        <v>5</v>
      </c>
      <c r="G2723" s="25" t="s">
        <v>1289</v>
      </c>
      <c r="H2723" s="24" t="s">
        <v>1061</v>
      </c>
      <c r="I2723" s="3" t="str">
        <f>IFERROR(VLOOKUP(C2723,'Справочник соответствий'!A$2:D$2981,2,FALSE),IF(VALUE(C2723)=0,1,VLOOKUP(C2723,'Справочник соответствий'!A$2:D$2981,2,FALSE)))</f>
        <v>1</v>
      </c>
      <c r="J2723" s="3">
        <f>IFERROR(VLOOKUP(D2723,'Справочник соответствий'!A$2:D$2981,2,FALSE),IF(VALUE(D2723)=0,0,VLOOKUP(D2723,'Справочник соответствий'!A$2:D$2981,2,FALSE)))</f>
        <v>0</v>
      </c>
      <c r="K2723" s="3" t="str">
        <f t="shared" si="294"/>
        <v>1</v>
      </c>
      <c r="L2723" s="13" t="str">
        <f>IFERROR(VLOOKUP(C2723,'Справочник соответствий'!A$2:D$2981,3,FALSE),IF(VALUE(C2723)=0,"ЭТАЖ НЕ ОПРЕДЕЛЕН. ПРИНЯТ ПО ДОПУЩЕНИЮ 1",VLOOKUP(C2723,'Справочник соответствий'!A$2:D$2981,3,FALSE)))</f>
        <v>ЭТАЖ ЗАДАН ЧИСЛОМ</v>
      </c>
      <c r="M2723" s="13" t="b">
        <f t="shared" si="295"/>
        <v>0</v>
      </c>
      <c r="N2723" s="13">
        <f t="shared" si="296"/>
        <v>1</v>
      </c>
      <c r="O2723" s="13" t="str">
        <f t="shared" si="297"/>
        <v>ЭТАЖ ЗАДАН ЧИСЛОМ</v>
      </c>
      <c r="P2723" s="13" t="str">
        <f t="shared" si="298"/>
        <v>ЭТАЖ ЗАДАН ЧИСЛОМ</v>
      </c>
      <c r="Q2723" s="13" t="str">
        <f t="shared" si="299"/>
        <v>ГОТОВ_ИЗМЕНЕН</v>
      </c>
      <c r="R2723" s="13">
        <f>IFERROR(VLOOKUP(P2723,Лист1!A$1:B$20,2,FALSE),0)</f>
        <v>784</v>
      </c>
      <c r="S2723" s="13">
        <f t="shared" si="300"/>
        <v>0</v>
      </c>
    </row>
    <row r="2724" spans="1:19" x14ac:dyDescent="0.25">
      <c r="A2724" s="24" t="s">
        <v>3854</v>
      </c>
      <c r="B2724" s="4" t="s">
        <v>1063</v>
      </c>
      <c r="C2724" s="25" t="s">
        <v>5</v>
      </c>
      <c r="G2724" s="25" t="s">
        <v>1698</v>
      </c>
      <c r="H2724" s="24" t="s">
        <v>1061</v>
      </c>
      <c r="I2724" s="3" t="str">
        <f>IFERROR(VLOOKUP(C2724,'Справочник соответствий'!A$2:D$2981,2,FALSE),IF(VALUE(C2724)=0,1,VLOOKUP(C2724,'Справочник соответствий'!A$2:D$2981,2,FALSE)))</f>
        <v>1</v>
      </c>
      <c r="J2724" s="3">
        <f>IFERROR(VLOOKUP(D2724,'Справочник соответствий'!A$2:D$2981,2,FALSE),IF(VALUE(D2724)=0,0,VLOOKUP(D2724,'Справочник соответствий'!A$2:D$2981,2,FALSE)))</f>
        <v>0</v>
      </c>
      <c r="K2724" s="3" t="str">
        <f t="shared" si="294"/>
        <v>1</v>
      </c>
      <c r="L2724" s="13" t="str">
        <f>IFERROR(VLOOKUP(C2724,'Справочник соответствий'!A$2:D$2981,3,FALSE),IF(VALUE(C2724)=0,"ЭТАЖ НЕ ОПРЕДЕЛЕН. ПРИНЯТ ПО ДОПУЩЕНИЮ 1",VLOOKUP(C2724,'Справочник соответствий'!A$2:D$2981,3,FALSE)))</f>
        <v>ЭТАЖ ЗАДАН ЧИСЛОМ</v>
      </c>
      <c r="M2724" s="13" t="b">
        <f t="shared" si="295"/>
        <v>0</v>
      </c>
      <c r="N2724" s="13">
        <f t="shared" si="296"/>
        <v>1</v>
      </c>
      <c r="O2724" s="13" t="str">
        <f t="shared" si="297"/>
        <v>ЭТАЖ ЗАДАН ЧИСЛОМ</v>
      </c>
      <c r="P2724" s="13" t="str">
        <f t="shared" si="298"/>
        <v>ЭТАЖ ЗАДАН ЧИСЛОМ</v>
      </c>
      <c r="Q2724" s="13" t="str">
        <f t="shared" si="299"/>
        <v>ГОТОВ_ИЗМЕНЕН</v>
      </c>
      <c r="R2724" s="13">
        <f>IFERROR(VLOOKUP(P2724,Лист1!A$1:B$20,2,FALSE),0)</f>
        <v>784</v>
      </c>
      <c r="S2724" s="13">
        <f t="shared" si="300"/>
        <v>0</v>
      </c>
    </row>
    <row r="2725" spans="1:19" x14ac:dyDescent="0.25">
      <c r="A2725" s="24" t="s">
        <v>3855</v>
      </c>
      <c r="B2725" s="4" t="s">
        <v>1059</v>
      </c>
      <c r="C2725" s="25" t="s">
        <v>7</v>
      </c>
      <c r="G2725" s="25" t="s">
        <v>1698</v>
      </c>
      <c r="H2725" s="24" t="s">
        <v>1061</v>
      </c>
      <c r="I2725" s="3" t="str">
        <f>IFERROR(VLOOKUP(C2725,'Справочник соответствий'!A$2:D$2981,2,FALSE),IF(VALUE(C2725)=0,1,VLOOKUP(C2725,'Справочник соответствий'!A$2:D$2981,2,FALSE)))</f>
        <v>2</v>
      </c>
      <c r="J2725" s="3">
        <f>IFERROR(VLOOKUP(D2725,'Справочник соответствий'!A$2:D$2981,2,FALSE),IF(VALUE(D2725)=0,0,VLOOKUP(D2725,'Справочник соответствий'!A$2:D$2981,2,FALSE)))</f>
        <v>0</v>
      </c>
      <c r="K2725" s="3" t="str">
        <f t="shared" si="294"/>
        <v>2</v>
      </c>
      <c r="L2725" s="13" t="str">
        <f>IFERROR(VLOOKUP(C2725,'Справочник соответствий'!A$2:D$2981,3,FALSE),IF(VALUE(C2725)=0,"ЭТАЖ НЕ ОПРЕДЕЛЕН. ПРИНЯТ ПО ДОПУЩЕНИЮ 1",VLOOKUP(C2725,'Справочник соответствий'!A$2:D$2981,3,FALSE)))</f>
        <v>ЭТАЖ ЗАДАН ЧИСЛОМ</v>
      </c>
      <c r="M2725" s="13" t="b">
        <f t="shared" si="295"/>
        <v>0</v>
      </c>
      <c r="N2725" s="13">
        <f t="shared" si="296"/>
        <v>2</v>
      </c>
      <c r="O2725" s="13" t="str">
        <f t="shared" si="297"/>
        <v>ЭТАЖ ЗАДАН ЧИСЛОМ</v>
      </c>
      <c r="P2725" s="13" t="str">
        <f t="shared" si="298"/>
        <v>ЭТАЖ ЗАДАН ЧИСЛОМ</v>
      </c>
      <c r="Q2725" s="13" t="str">
        <f t="shared" si="299"/>
        <v>ГОТОВ_ИЗМЕНЕН</v>
      </c>
      <c r="R2725" s="13">
        <f>IFERROR(VLOOKUP(P2725,Лист1!A$1:B$20,2,FALSE),0)</f>
        <v>784</v>
      </c>
      <c r="S2725" s="13">
        <f t="shared" si="300"/>
        <v>0</v>
      </c>
    </row>
    <row r="2726" spans="1:19" x14ac:dyDescent="0.25">
      <c r="A2726" s="24" t="s">
        <v>3856</v>
      </c>
      <c r="B2726" s="4" t="s">
        <v>1063</v>
      </c>
      <c r="C2726" s="25" t="s">
        <v>5</v>
      </c>
      <c r="G2726" s="25" t="s">
        <v>1698</v>
      </c>
      <c r="H2726" s="24" t="s">
        <v>1061</v>
      </c>
      <c r="I2726" s="3" t="str">
        <f>IFERROR(VLOOKUP(C2726,'Справочник соответствий'!A$2:D$2981,2,FALSE),IF(VALUE(C2726)=0,1,VLOOKUP(C2726,'Справочник соответствий'!A$2:D$2981,2,FALSE)))</f>
        <v>1</v>
      </c>
      <c r="J2726" s="3">
        <f>IFERROR(VLOOKUP(D2726,'Справочник соответствий'!A$2:D$2981,2,FALSE),IF(VALUE(D2726)=0,0,VLOOKUP(D2726,'Справочник соответствий'!A$2:D$2981,2,FALSE)))</f>
        <v>0</v>
      </c>
      <c r="K2726" s="3" t="str">
        <f t="shared" si="294"/>
        <v>1</v>
      </c>
      <c r="L2726" s="13" t="str">
        <f>IFERROR(VLOOKUP(C2726,'Справочник соответствий'!A$2:D$2981,3,FALSE),IF(VALUE(C2726)=0,"ЭТАЖ НЕ ОПРЕДЕЛЕН. ПРИНЯТ ПО ДОПУЩЕНИЮ 1",VLOOKUP(C2726,'Справочник соответствий'!A$2:D$2981,3,FALSE)))</f>
        <v>ЭТАЖ ЗАДАН ЧИСЛОМ</v>
      </c>
      <c r="M2726" s="13" t="b">
        <f t="shared" si="295"/>
        <v>0</v>
      </c>
      <c r="N2726" s="13">
        <f t="shared" si="296"/>
        <v>1</v>
      </c>
      <c r="O2726" s="13" t="str">
        <f t="shared" si="297"/>
        <v>ЭТАЖ ЗАДАН ЧИСЛОМ</v>
      </c>
      <c r="P2726" s="13" t="str">
        <f t="shared" si="298"/>
        <v>ЭТАЖ ЗАДАН ЧИСЛОМ</v>
      </c>
      <c r="Q2726" s="13" t="str">
        <f t="shared" si="299"/>
        <v>ГОТОВ_ИЗМЕНЕН</v>
      </c>
      <c r="R2726" s="13">
        <f>IFERROR(VLOOKUP(P2726,Лист1!A$1:B$20,2,FALSE),0)</f>
        <v>784</v>
      </c>
      <c r="S2726" s="13">
        <f t="shared" si="300"/>
        <v>0</v>
      </c>
    </row>
    <row r="2727" spans="1:19" x14ac:dyDescent="0.25">
      <c r="A2727" s="24" t="s">
        <v>3857</v>
      </c>
      <c r="B2727" s="4" t="s">
        <v>1063</v>
      </c>
      <c r="C2727" s="25" t="s">
        <v>5</v>
      </c>
      <c r="G2727" s="25" t="s">
        <v>1698</v>
      </c>
      <c r="H2727" s="24" t="s">
        <v>1061</v>
      </c>
      <c r="I2727" s="3" t="str">
        <f>IFERROR(VLOOKUP(C2727,'Справочник соответствий'!A$2:D$2981,2,FALSE),IF(VALUE(C2727)=0,1,VLOOKUP(C2727,'Справочник соответствий'!A$2:D$2981,2,FALSE)))</f>
        <v>1</v>
      </c>
      <c r="J2727" s="3">
        <f>IFERROR(VLOOKUP(D2727,'Справочник соответствий'!A$2:D$2981,2,FALSE),IF(VALUE(D2727)=0,0,VLOOKUP(D2727,'Справочник соответствий'!A$2:D$2981,2,FALSE)))</f>
        <v>0</v>
      </c>
      <c r="K2727" s="3" t="str">
        <f t="shared" si="294"/>
        <v>1</v>
      </c>
      <c r="L2727" s="13" t="str">
        <f>IFERROR(VLOOKUP(C2727,'Справочник соответствий'!A$2:D$2981,3,FALSE),IF(VALUE(C2727)=0,"ЭТАЖ НЕ ОПРЕДЕЛЕН. ПРИНЯТ ПО ДОПУЩЕНИЮ 1",VLOOKUP(C2727,'Справочник соответствий'!A$2:D$2981,3,FALSE)))</f>
        <v>ЭТАЖ ЗАДАН ЧИСЛОМ</v>
      </c>
      <c r="M2727" s="13" t="b">
        <f t="shared" si="295"/>
        <v>0</v>
      </c>
      <c r="N2727" s="13">
        <f t="shared" si="296"/>
        <v>1</v>
      </c>
      <c r="O2727" s="13" t="str">
        <f t="shared" si="297"/>
        <v>ЭТАЖ ЗАДАН ЧИСЛОМ</v>
      </c>
      <c r="P2727" s="13" t="str">
        <f t="shared" si="298"/>
        <v>ЭТАЖ ЗАДАН ЧИСЛОМ</v>
      </c>
      <c r="Q2727" s="13" t="str">
        <f t="shared" si="299"/>
        <v>ГОТОВ_ИЗМЕНЕН</v>
      </c>
      <c r="R2727" s="13">
        <f>IFERROR(VLOOKUP(P2727,Лист1!A$1:B$20,2,FALSE),0)</f>
        <v>784</v>
      </c>
      <c r="S2727" s="13">
        <f t="shared" si="300"/>
        <v>0</v>
      </c>
    </row>
    <row r="2728" spans="1:19" x14ac:dyDescent="0.25">
      <c r="A2728" s="24" t="s">
        <v>3858</v>
      </c>
      <c r="B2728" s="4" t="s">
        <v>1059</v>
      </c>
      <c r="C2728" s="25" t="s">
        <v>7</v>
      </c>
      <c r="G2728" s="25" t="s">
        <v>1698</v>
      </c>
      <c r="H2728" s="24" t="s">
        <v>1061</v>
      </c>
      <c r="I2728" s="3" t="str">
        <f>IFERROR(VLOOKUP(C2728,'Справочник соответствий'!A$2:D$2981,2,FALSE),IF(VALUE(C2728)=0,1,VLOOKUP(C2728,'Справочник соответствий'!A$2:D$2981,2,FALSE)))</f>
        <v>2</v>
      </c>
      <c r="J2728" s="3">
        <f>IFERROR(VLOOKUP(D2728,'Справочник соответствий'!A$2:D$2981,2,FALSE),IF(VALUE(D2728)=0,0,VLOOKUP(D2728,'Справочник соответствий'!A$2:D$2981,2,FALSE)))</f>
        <v>0</v>
      </c>
      <c r="K2728" s="3" t="str">
        <f t="shared" si="294"/>
        <v>2</v>
      </c>
      <c r="L2728" s="13" t="str">
        <f>IFERROR(VLOOKUP(C2728,'Справочник соответствий'!A$2:D$2981,3,FALSE),IF(VALUE(C2728)=0,"ЭТАЖ НЕ ОПРЕДЕЛЕН. ПРИНЯТ ПО ДОПУЩЕНИЮ 1",VLOOKUP(C2728,'Справочник соответствий'!A$2:D$2981,3,FALSE)))</f>
        <v>ЭТАЖ ЗАДАН ЧИСЛОМ</v>
      </c>
      <c r="M2728" s="13" t="b">
        <f t="shared" si="295"/>
        <v>0</v>
      </c>
      <c r="N2728" s="13">
        <f t="shared" si="296"/>
        <v>2</v>
      </c>
      <c r="O2728" s="13" t="str">
        <f t="shared" si="297"/>
        <v>ЭТАЖ ЗАДАН ЧИСЛОМ</v>
      </c>
      <c r="P2728" s="13" t="str">
        <f t="shared" si="298"/>
        <v>ЭТАЖ ЗАДАН ЧИСЛОМ</v>
      </c>
      <c r="Q2728" s="13" t="str">
        <f t="shared" si="299"/>
        <v>ГОТОВ_ИЗМЕНЕН</v>
      </c>
      <c r="R2728" s="13">
        <f>IFERROR(VLOOKUP(P2728,Лист1!A$1:B$20,2,FALSE),0)</f>
        <v>784</v>
      </c>
      <c r="S2728" s="13">
        <f t="shared" si="300"/>
        <v>0</v>
      </c>
    </row>
    <row r="2729" spans="1:19" x14ac:dyDescent="0.25">
      <c r="A2729" s="24" t="s">
        <v>3859</v>
      </c>
      <c r="B2729" s="4" t="s">
        <v>1059</v>
      </c>
      <c r="C2729" s="25" t="s">
        <v>5</v>
      </c>
      <c r="G2729" s="25" t="s">
        <v>1698</v>
      </c>
      <c r="H2729" s="24" t="s">
        <v>1061</v>
      </c>
      <c r="I2729" s="3" t="str">
        <f>IFERROR(VLOOKUP(C2729,'Справочник соответствий'!A$2:D$2981,2,FALSE),IF(VALUE(C2729)=0,1,VLOOKUP(C2729,'Справочник соответствий'!A$2:D$2981,2,FALSE)))</f>
        <v>1</v>
      </c>
      <c r="J2729" s="3">
        <f>IFERROR(VLOOKUP(D2729,'Справочник соответствий'!A$2:D$2981,2,FALSE),IF(VALUE(D2729)=0,0,VLOOKUP(D2729,'Справочник соответствий'!A$2:D$2981,2,FALSE)))</f>
        <v>0</v>
      </c>
      <c r="K2729" s="3" t="str">
        <f t="shared" si="294"/>
        <v>1</v>
      </c>
      <c r="L2729" s="13" t="str">
        <f>IFERROR(VLOOKUP(C2729,'Справочник соответствий'!A$2:D$2981,3,FALSE),IF(VALUE(C2729)=0,"ЭТАЖ НЕ ОПРЕДЕЛЕН. ПРИНЯТ ПО ДОПУЩЕНИЮ 1",VLOOKUP(C2729,'Справочник соответствий'!A$2:D$2981,3,FALSE)))</f>
        <v>ЭТАЖ ЗАДАН ЧИСЛОМ</v>
      </c>
      <c r="M2729" s="13" t="b">
        <f t="shared" si="295"/>
        <v>0</v>
      </c>
      <c r="N2729" s="13">
        <f t="shared" si="296"/>
        <v>1</v>
      </c>
      <c r="O2729" s="13" t="str">
        <f t="shared" si="297"/>
        <v>ЭТАЖ ЗАДАН ЧИСЛОМ</v>
      </c>
      <c r="P2729" s="13" t="str">
        <f t="shared" si="298"/>
        <v>ЭТАЖ ЗАДАН ЧИСЛОМ</v>
      </c>
      <c r="Q2729" s="13" t="str">
        <f t="shared" si="299"/>
        <v>ГОТОВ_ИЗМЕНЕН</v>
      </c>
      <c r="R2729" s="13">
        <f>IFERROR(VLOOKUP(P2729,Лист1!A$1:B$20,2,FALSE),0)</f>
        <v>784</v>
      </c>
      <c r="S2729" s="13">
        <f t="shared" si="300"/>
        <v>0</v>
      </c>
    </row>
    <row r="2730" spans="1:19" x14ac:dyDescent="0.25">
      <c r="A2730" s="24" t="s">
        <v>3860</v>
      </c>
      <c r="B2730" s="4" t="s">
        <v>1059</v>
      </c>
      <c r="C2730" s="25" t="s">
        <v>7</v>
      </c>
      <c r="G2730" s="25" t="s">
        <v>1391</v>
      </c>
      <c r="H2730" s="24" t="s">
        <v>1061</v>
      </c>
      <c r="I2730" s="3" t="str">
        <f>IFERROR(VLOOKUP(C2730,'Справочник соответствий'!A$2:D$2981,2,FALSE),IF(VALUE(C2730)=0,1,VLOOKUP(C2730,'Справочник соответствий'!A$2:D$2981,2,FALSE)))</f>
        <v>2</v>
      </c>
      <c r="J2730" s="3">
        <f>IFERROR(VLOOKUP(D2730,'Справочник соответствий'!A$2:D$2981,2,FALSE),IF(VALUE(D2730)=0,0,VLOOKUP(D2730,'Справочник соответствий'!A$2:D$2981,2,FALSE)))</f>
        <v>0</v>
      </c>
      <c r="K2730" s="3" t="str">
        <f t="shared" si="294"/>
        <v>2</v>
      </c>
      <c r="L2730" s="13" t="str">
        <f>IFERROR(VLOOKUP(C2730,'Справочник соответствий'!A$2:D$2981,3,FALSE),IF(VALUE(C2730)=0,"ЭТАЖ НЕ ОПРЕДЕЛЕН. ПРИНЯТ ПО ДОПУЩЕНИЮ 1",VLOOKUP(C2730,'Справочник соответствий'!A$2:D$2981,3,FALSE)))</f>
        <v>ЭТАЖ ЗАДАН ЧИСЛОМ</v>
      </c>
      <c r="M2730" s="13" t="b">
        <f t="shared" si="295"/>
        <v>0</v>
      </c>
      <c r="N2730" s="13">
        <f t="shared" si="296"/>
        <v>2</v>
      </c>
      <c r="O2730" s="13" t="str">
        <f t="shared" si="297"/>
        <v>ЭТАЖ ЗАДАН ЧИСЛОМ</v>
      </c>
      <c r="P2730" s="13" t="str">
        <f t="shared" si="298"/>
        <v>ЭТАЖ ЗАДАН ЧИСЛОМ</v>
      </c>
      <c r="Q2730" s="13" t="str">
        <f t="shared" si="299"/>
        <v>ГОТОВ_ИЗМЕНЕН</v>
      </c>
      <c r="R2730" s="13">
        <f>IFERROR(VLOOKUP(P2730,Лист1!A$1:B$20,2,FALSE),0)</f>
        <v>784</v>
      </c>
      <c r="S2730" s="13">
        <f t="shared" si="300"/>
        <v>0</v>
      </c>
    </row>
    <row r="2731" spans="1:19" x14ac:dyDescent="0.25">
      <c r="A2731" s="24" t="s">
        <v>3861</v>
      </c>
      <c r="B2731" s="4" t="s">
        <v>1063</v>
      </c>
      <c r="G2731" s="25" t="s">
        <v>1391</v>
      </c>
      <c r="H2731" s="24" t="s">
        <v>1061</v>
      </c>
      <c r="I2731" s="3">
        <f>IFERROR(VLOOKUP(C2731,'Справочник соответствий'!A$2:D$2981,2,FALSE),IF(VALUE(C2731)=0,1,VLOOKUP(C2731,'Справочник соответствий'!A$2:D$2981,2,FALSE)))</f>
        <v>1</v>
      </c>
      <c r="J2731" s="3">
        <f>IFERROR(VLOOKUP(D2731,'Справочник соответствий'!A$2:D$2981,2,FALSE),IF(VALUE(D2731)=0,0,VLOOKUP(D2731,'Справочник соответствий'!A$2:D$2981,2,FALSE)))</f>
        <v>0</v>
      </c>
      <c r="K2731" s="3">
        <f t="shared" si="294"/>
        <v>1</v>
      </c>
      <c r="L2731" s="13" t="str">
        <f>IFERROR(VLOOKUP(C2731,'Справочник соответствий'!A$2:D$2981,3,FALSE),IF(VALUE(C2731)=0,"ЭТАЖ НЕ ОПРЕДЕЛЕН. ПРИНЯТ ПО ДОПУЩЕНИЮ 1",VLOOKUP(C2731,'Справочник соответствий'!A$2:D$2981,3,FALSE)))</f>
        <v>ЭТАЖ НЕ ОПРЕДЕЛЕН. ПРИНЯТ ПО ДОПУЩЕНИЮ 1</v>
      </c>
      <c r="M2731" s="13" t="b">
        <f t="shared" si="295"/>
        <v>0</v>
      </c>
      <c r="N2731" s="13">
        <f t="shared" si="296"/>
        <v>1</v>
      </c>
      <c r="O2731" s="13" t="str">
        <f t="shared" si="297"/>
        <v>ЭТАЖ НЕ ОПРЕДЕЛЕН. ПРИНЯТ ПО ДОПУЩЕНИЮ 1</v>
      </c>
      <c r="P2731" s="13" t="str">
        <f t="shared" si="298"/>
        <v>ЭТАЖ НЕ ОПРЕДЕЛЕН. ПРИНЯТ ПО ДОПУЩЕНИЮ 1</v>
      </c>
      <c r="Q2731" s="13" t="str">
        <f t="shared" si="299"/>
        <v>ГОТОВ_ИЗМЕНЕН</v>
      </c>
      <c r="R2731" s="13">
        <f>IFERROR(VLOOKUP(P2731,Лист1!A$1:B$20,2,FALSE),0)</f>
        <v>788</v>
      </c>
      <c r="S2731" s="13">
        <f t="shared" si="300"/>
        <v>0</v>
      </c>
    </row>
    <row r="2732" spans="1:19" x14ac:dyDescent="0.25">
      <c r="A2732" s="24" t="s">
        <v>3862</v>
      </c>
      <c r="B2732" s="4" t="s">
        <v>1059</v>
      </c>
      <c r="C2732" s="25" t="s">
        <v>7</v>
      </c>
      <c r="G2732" s="25" t="s">
        <v>1391</v>
      </c>
      <c r="H2732" s="24" t="s">
        <v>1061</v>
      </c>
      <c r="I2732" s="3" t="str">
        <f>IFERROR(VLOOKUP(C2732,'Справочник соответствий'!A$2:D$2981,2,FALSE),IF(VALUE(C2732)=0,1,VLOOKUP(C2732,'Справочник соответствий'!A$2:D$2981,2,FALSE)))</f>
        <v>2</v>
      </c>
      <c r="J2732" s="3">
        <f>IFERROR(VLOOKUP(D2732,'Справочник соответствий'!A$2:D$2981,2,FALSE),IF(VALUE(D2732)=0,0,VLOOKUP(D2732,'Справочник соответствий'!A$2:D$2981,2,FALSE)))</f>
        <v>0</v>
      </c>
      <c r="K2732" s="3" t="str">
        <f t="shared" si="294"/>
        <v>2</v>
      </c>
      <c r="L2732" s="13" t="str">
        <f>IFERROR(VLOOKUP(C2732,'Справочник соответствий'!A$2:D$2981,3,FALSE),IF(VALUE(C2732)=0,"ЭТАЖ НЕ ОПРЕДЕЛЕН. ПРИНЯТ ПО ДОПУЩЕНИЮ 1",VLOOKUP(C2732,'Справочник соответствий'!A$2:D$2981,3,FALSE)))</f>
        <v>ЭТАЖ ЗАДАН ЧИСЛОМ</v>
      </c>
      <c r="M2732" s="13" t="b">
        <f t="shared" si="295"/>
        <v>0</v>
      </c>
      <c r="N2732" s="13">
        <f t="shared" si="296"/>
        <v>2</v>
      </c>
      <c r="O2732" s="13" t="str">
        <f t="shared" si="297"/>
        <v>ЭТАЖ ЗАДАН ЧИСЛОМ</v>
      </c>
      <c r="P2732" s="13" t="str">
        <f t="shared" si="298"/>
        <v>ЭТАЖ ЗАДАН ЧИСЛОМ</v>
      </c>
      <c r="Q2732" s="13" t="str">
        <f t="shared" si="299"/>
        <v>ГОТОВ_ИЗМЕНЕН</v>
      </c>
      <c r="R2732" s="13">
        <f>IFERROR(VLOOKUP(P2732,Лист1!A$1:B$20,2,FALSE),0)</f>
        <v>784</v>
      </c>
      <c r="S2732" s="13">
        <f t="shared" si="300"/>
        <v>0</v>
      </c>
    </row>
    <row r="2733" spans="1:19" x14ac:dyDescent="0.25">
      <c r="A2733" s="24" t="s">
        <v>3863</v>
      </c>
      <c r="B2733" s="4" t="s">
        <v>1063</v>
      </c>
      <c r="C2733" s="25" t="s">
        <v>16</v>
      </c>
      <c r="D2733" s="25" t="s">
        <v>5</v>
      </c>
      <c r="G2733" s="25" t="s">
        <v>1347</v>
      </c>
      <c r="H2733" s="24" t="s">
        <v>1061</v>
      </c>
      <c r="I2733" s="3" t="str">
        <f>IFERROR(VLOOKUP(C2733,'Справочник соответствий'!A$2:D$2981,2,FALSE),IF(VALUE(C2733)=0,1,VLOOKUP(C2733,'Справочник соответствий'!A$2:D$2981,2,FALSE)))</f>
        <v>5</v>
      </c>
      <c r="J2733" s="3" t="str">
        <f>IFERROR(VLOOKUP(D2733,'Справочник соответствий'!A$2:D$2981,2,FALSE),IF(VALUE(D2733)=0,0,VLOOKUP(D2733,'Справочник соответствий'!A$2:D$2981,2,FALSE)))</f>
        <v>1</v>
      </c>
      <c r="K2733" s="3" t="str">
        <f t="shared" si="294"/>
        <v>5</v>
      </c>
      <c r="L2733" s="13" t="str">
        <f>IFERROR(VLOOKUP(C2733,'Справочник соответствий'!A$2:D$2981,3,FALSE),IF(VALUE(C2733)=0,"ЭТАЖ НЕ ОПРЕДЕЛЕН. ПРИНЯТ ПО ДОПУЩЕНИЮ 1",VLOOKUP(C2733,'Справочник соответствий'!A$2:D$2981,3,FALSE)))</f>
        <v>ЭТАЖ ЗАДАН ЧИСЛОМ</v>
      </c>
      <c r="M2733" s="13" t="b">
        <f t="shared" si="295"/>
        <v>0</v>
      </c>
      <c r="N2733" s="13">
        <f t="shared" si="296"/>
        <v>5</v>
      </c>
      <c r="O2733" s="13" t="str">
        <f t="shared" si="297"/>
        <v>ЭТАЖ ЗАДАН ЧИСЛОМ</v>
      </c>
      <c r="P2733" s="13" t="str">
        <f t="shared" si="298"/>
        <v>ЭТАЖ ЗАДАН ЧИСЛОМ</v>
      </c>
      <c r="Q2733" s="13" t="str">
        <f t="shared" si="299"/>
        <v>ГОТОВ_ИЗМЕНЕН</v>
      </c>
      <c r="R2733" s="13">
        <f>IFERROR(VLOOKUP(P2733,Лист1!A$1:B$20,2,FALSE),0)</f>
        <v>784</v>
      </c>
      <c r="S2733" s="13">
        <f t="shared" si="300"/>
        <v>0</v>
      </c>
    </row>
    <row r="2734" spans="1:19" x14ac:dyDescent="0.25">
      <c r="A2734" s="24" t="s">
        <v>3864</v>
      </c>
      <c r="B2734" s="4" t="s">
        <v>1059</v>
      </c>
      <c r="C2734" s="25" t="s">
        <v>5</v>
      </c>
      <c r="G2734" s="25" t="s">
        <v>1347</v>
      </c>
      <c r="H2734" s="24" t="s">
        <v>1061</v>
      </c>
      <c r="I2734" s="3" t="str">
        <f>IFERROR(VLOOKUP(C2734,'Справочник соответствий'!A$2:D$2981,2,FALSE),IF(VALUE(C2734)=0,1,VLOOKUP(C2734,'Справочник соответствий'!A$2:D$2981,2,FALSE)))</f>
        <v>1</v>
      </c>
      <c r="J2734" s="3">
        <f>IFERROR(VLOOKUP(D2734,'Справочник соответствий'!A$2:D$2981,2,FALSE),IF(VALUE(D2734)=0,0,VLOOKUP(D2734,'Справочник соответствий'!A$2:D$2981,2,FALSE)))</f>
        <v>0</v>
      </c>
      <c r="K2734" s="3" t="str">
        <f t="shared" si="294"/>
        <v>1</v>
      </c>
      <c r="L2734" s="13" t="str">
        <f>IFERROR(VLOOKUP(C2734,'Справочник соответствий'!A$2:D$2981,3,FALSE),IF(VALUE(C2734)=0,"ЭТАЖ НЕ ОПРЕДЕЛЕН. ПРИНЯТ ПО ДОПУЩЕНИЮ 1",VLOOKUP(C2734,'Справочник соответствий'!A$2:D$2981,3,FALSE)))</f>
        <v>ЭТАЖ ЗАДАН ЧИСЛОМ</v>
      </c>
      <c r="M2734" s="13" t="b">
        <f t="shared" si="295"/>
        <v>0</v>
      </c>
      <c r="N2734" s="13">
        <f t="shared" si="296"/>
        <v>1</v>
      </c>
      <c r="O2734" s="13" t="str">
        <f t="shared" si="297"/>
        <v>ЭТАЖ ЗАДАН ЧИСЛОМ</v>
      </c>
      <c r="P2734" s="13" t="str">
        <f t="shared" si="298"/>
        <v>ЭТАЖ ЗАДАН ЧИСЛОМ</v>
      </c>
      <c r="Q2734" s="13" t="str">
        <f t="shared" si="299"/>
        <v>ГОТОВ_ИЗМЕНЕН</v>
      </c>
      <c r="R2734" s="13">
        <f>IFERROR(VLOOKUP(P2734,Лист1!A$1:B$20,2,FALSE),0)</f>
        <v>784</v>
      </c>
      <c r="S2734" s="13">
        <f t="shared" si="300"/>
        <v>0</v>
      </c>
    </row>
    <row r="2735" spans="1:19" x14ac:dyDescent="0.25">
      <c r="A2735" s="24" t="s">
        <v>3865</v>
      </c>
      <c r="B2735" s="4" t="s">
        <v>1063</v>
      </c>
      <c r="C2735" s="25" t="s">
        <v>5</v>
      </c>
      <c r="G2735" s="25" t="s">
        <v>1347</v>
      </c>
      <c r="H2735" s="24" t="s">
        <v>1061</v>
      </c>
      <c r="I2735" s="3" t="str">
        <f>IFERROR(VLOOKUP(C2735,'Справочник соответствий'!A$2:D$2981,2,FALSE),IF(VALUE(C2735)=0,1,VLOOKUP(C2735,'Справочник соответствий'!A$2:D$2981,2,FALSE)))</f>
        <v>1</v>
      </c>
      <c r="J2735" s="3">
        <f>IFERROR(VLOOKUP(D2735,'Справочник соответствий'!A$2:D$2981,2,FALSE),IF(VALUE(D2735)=0,0,VLOOKUP(D2735,'Справочник соответствий'!A$2:D$2981,2,FALSE)))</f>
        <v>0</v>
      </c>
      <c r="K2735" s="3" t="str">
        <f t="shared" si="294"/>
        <v>1</v>
      </c>
      <c r="L2735" s="13" t="str">
        <f>IFERROR(VLOOKUP(C2735,'Справочник соответствий'!A$2:D$2981,3,FALSE),IF(VALUE(C2735)=0,"ЭТАЖ НЕ ОПРЕДЕЛЕН. ПРИНЯТ ПО ДОПУЩЕНИЮ 1",VLOOKUP(C2735,'Справочник соответствий'!A$2:D$2981,3,FALSE)))</f>
        <v>ЭТАЖ ЗАДАН ЧИСЛОМ</v>
      </c>
      <c r="M2735" s="13" t="b">
        <f t="shared" si="295"/>
        <v>0</v>
      </c>
      <c r="N2735" s="13">
        <f t="shared" si="296"/>
        <v>1</v>
      </c>
      <c r="O2735" s="13" t="str">
        <f t="shared" si="297"/>
        <v>ЭТАЖ ЗАДАН ЧИСЛОМ</v>
      </c>
      <c r="P2735" s="13" t="str">
        <f t="shared" si="298"/>
        <v>ЭТАЖ ЗАДАН ЧИСЛОМ</v>
      </c>
      <c r="Q2735" s="13" t="str">
        <f t="shared" si="299"/>
        <v>ГОТОВ_ИЗМЕНЕН</v>
      </c>
      <c r="R2735" s="13">
        <f>IFERROR(VLOOKUP(P2735,Лист1!A$1:B$20,2,FALSE),0)</f>
        <v>784</v>
      </c>
      <c r="S2735" s="13">
        <f t="shared" si="300"/>
        <v>0</v>
      </c>
    </row>
    <row r="2736" spans="1:19" x14ac:dyDescent="0.25">
      <c r="A2736" s="24" t="s">
        <v>3866</v>
      </c>
      <c r="B2736" s="4" t="s">
        <v>1059</v>
      </c>
      <c r="C2736" s="25" t="s">
        <v>5</v>
      </c>
      <c r="G2736" s="25" t="s">
        <v>1347</v>
      </c>
      <c r="H2736" s="24" t="s">
        <v>1061</v>
      </c>
      <c r="I2736" s="3" t="str">
        <f>IFERROR(VLOOKUP(C2736,'Справочник соответствий'!A$2:D$2981,2,FALSE),IF(VALUE(C2736)=0,1,VLOOKUP(C2736,'Справочник соответствий'!A$2:D$2981,2,FALSE)))</f>
        <v>1</v>
      </c>
      <c r="J2736" s="3">
        <f>IFERROR(VLOOKUP(D2736,'Справочник соответствий'!A$2:D$2981,2,FALSE),IF(VALUE(D2736)=0,0,VLOOKUP(D2736,'Справочник соответствий'!A$2:D$2981,2,FALSE)))</f>
        <v>0</v>
      </c>
      <c r="K2736" s="3" t="str">
        <f t="shared" si="294"/>
        <v>1</v>
      </c>
      <c r="L2736" s="13" t="str">
        <f>IFERROR(VLOOKUP(C2736,'Справочник соответствий'!A$2:D$2981,3,FALSE),IF(VALUE(C2736)=0,"ЭТАЖ НЕ ОПРЕДЕЛЕН. ПРИНЯТ ПО ДОПУЩЕНИЮ 1",VLOOKUP(C2736,'Справочник соответствий'!A$2:D$2981,3,FALSE)))</f>
        <v>ЭТАЖ ЗАДАН ЧИСЛОМ</v>
      </c>
      <c r="M2736" s="13" t="b">
        <f t="shared" si="295"/>
        <v>0</v>
      </c>
      <c r="N2736" s="13">
        <f t="shared" si="296"/>
        <v>1</v>
      </c>
      <c r="O2736" s="13" t="str">
        <f t="shared" si="297"/>
        <v>ЭТАЖ ЗАДАН ЧИСЛОМ</v>
      </c>
      <c r="P2736" s="13" t="str">
        <f t="shared" si="298"/>
        <v>ЭТАЖ ЗАДАН ЧИСЛОМ</v>
      </c>
      <c r="Q2736" s="13" t="str">
        <f t="shared" si="299"/>
        <v>ГОТОВ_ИЗМЕНЕН</v>
      </c>
      <c r="R2736" s="13">
        <f>IFERROR(VLOOKUP(P2736,Лист1!A$1:B$20,2,FALSE),0)</f>
        <v>784</v>
      </c>
      <c r="S2736" s="13">
        <f t="shared" si="300"/>
        <v>0</v>
      </c>
    </row>
    <row r="2737" spans="1:19" x14ac:dyDescent="0.25">
      <c r="A2737" s="24" t="s">
        <v>3867</v>
      </c>
      <c r="B2737" s="4" t="s">
        <v>1063</v>
      </c>
      <c r="C2737" s="25" t="s">
        <v>5</v>
      </c>
      <c r="G2737" s="25" t="s">
        <v>1347</v>
      </c>
      <c r="H2737" s="24" t="s">
        <v>1061</v>
      </c>
      <c r="I2737" s="3" t="str">
        <f>IFERROR(VLOOKUP(C2737,'Справочник соответствий'!A$2:D$2981,2,FALSE),IF(VALUE(C2737)=0,1,VLOOKUP(C2737,'Справочник соответствий'!A$2:D$2981,2,FALSE)))</f>
        <v>1</v>
      </c>
      <c r="J2737" s="3">
        <f>IFERROR(VLOOKUP(D2737,'Справочник соответствий'!A$2:D$2981,2,FALSE),IF(VALUE(D2737)=0,0,VLOOKUP(D2737,'Справочник соответствий'!A$2:D$2981,2,FALSE)))</f>
        <v>0</v>
      </c>
      <c r="K2737" s="3" t="str">
        <f t="shared" si="294"/>
        <v>1</v>
      </c>
      <c r="L2737" s="13" t="str">
        <f>IFERROR(VLOOKUP(C2737,'Справочник соответствий'!A$2:D$2981,3,FALSE),IF(VALUE(C2737)=0,"ЭТАЖ НЕ ОПРЕДЕЛЕН. ПРИНЯТ ПО ДОПУЩЕНИЮ 1",VLOOKUP(C2737,'Справочник соответствий'!A$2:D$2981,3,FALSE)))</f>
        <v>ЭТАЖ ЗАДАН ЧИСЛОМ</v>
      </c>
      <c r="M2737" s="13" t="b">
        <f t="shared" si="295"/>
        <v>0</v>
      </c>
      <c r="N2737" s="13">
        <f t="shared" si="296"/>
        <v>1</v>
      </c>
      <c r="O2737" s="13" t="str">
        <f t="shared" si="297"/>
        <v>ЭТАЖ ЗАДАН ЧИСЛОМ</v>
      </c>
      <c r="P2737" s="13" t="str">
        <f t="shared" si="298"/>
        <v>ЭТАЖ ЗАДАН ЧИСЛОМ</v>
      </c>
      <c r="Q2737" s="13" t="str">
        <f t="shared" si="299"/>
        <v>ГОТОВ_ИЗМЕНЕН</v>
      </c>
      <c r="R2737" s="13">
        <f>IFERROR(VLOOKUP(P2737,Лист1!A$1:B$20,2,FALSE),0)</f>
        <v>784</v>
      </c>
      <c r="S2737" s="13">
        <f t="shared" si="300"/>
        <v>0</v>
      </c>
    </row>
    <row r="2738" spans="1:19" x14ac:dyDescent="0.25">
      <c r="A2738" s="24" t="s">
        <v>3868</v>
      </c>
      <c r="B2738" s="4" t="s">
        <v>1059</v>
      </c>
      <c r="C2738" s="25" t="s">
        <v>7</v>
      </c>
      <c r="G2738" s="25" t="s">
        <v>1347</v>
      </c>
      <c r="H2738" s="24" t="s">
        <v>1061</v>
      </c>
      <c r="I2738" s="3" t="str">
        <f>IFERROR(VLOOKUP(C2738,'Справочник соответствий'!A$2:D$2981,2,FALSE),IF(VALUE(C2738)=0,1,VLOOKUP(C2738,'Справочник соответствий'!A$2:D$2981,2,FALSE)))</f>
        <v>2</v>
      </c>
      <c r="J2738" s="3">
        <f>IFERROR(VLOOKUP(D2738,'Справочник соответствий'!A$2:D$2981,2,FALSE),IF(VALUE(D2738)=0,0,VLOOKUP(D2738,'Справочник соответствий'!A$2:D$2981,2,FALSE)))</f>
        <v>0</v>
      </c>
      <c r="K2738" s="3" t="str">
        <f t="shared" si="294"/>
        <v>2</v>
      </c>
      <c r="L2738" s="13" t="str">
        <f>IFERROR(VLOOKUP(C2738,'Справочник соответствий'!A$2:D$2981,3,FALSE),IF(VALUE(C2738)=0,"ЭТАЖ НЕ ОПРЕДЕЛЕН. ПРИНЯТ ПО ДОПУЩЕНИЮ 1",VLOOKUP(C2738,'Справочник соответствий'!A$2:D$2981,3,FALSE)))</f>
        <v>ЭТАЖ ЗАДАН ЧИСЛОМ</v>
      </c>
      <c r="M2738" s="13" t="b">
        <f t="shared" si="295"/>
        <v>0</v>
      </c>
      <c r="N2738" s="13">
        <f t="shared" si="296"/>
        <v>2</v>
      </c>
      <c r="O2738" s="13" t="str">
        <f t="shared" si="297"/>
        <v>ЭТАЖ ЗАДАН ЧИСЛОМ</v>
      </c>
      <c r="P2738" s="13" t="str">
        <f t="shared" si="298"/>
        <v>ЭТАЖ ЗАДАН ЧИСЛОМ</v>
      </c>
      <c r="Q2738" s="13" t="str">
        <f t="shared" si="299"/>
        <v>ГОТОВ_ИЗМЕНЕН</v>
      </c>
      <c r="R2738" s="13">
        <f>IFERROR(VLOOKUP(P2738,Лист1!A$1:B$20,2,FALSE),0)</f>
        <v>784</v>
      </c>
      <c r="S2738" s="13">
        <f t="shared" si="300"/>
        <v>0</v>
      </c>
    </row>
    <row r="2739" spans="1:19" x14ac:dyDescent="0.25">
      <c r="A2739" s="24" t="s">
        <v>3869</v>
      </c>
      <c r="B2739" s="4" t="s">
        <v>1059</v>
      </c>
      <c r="C2739" s="25" t="s">
        <v>5</v>
      </c>
      <c r="G2739" s="25" t="s">
        <v>1321</v>
      </c>
      <c r="H2739" s="24" t="s">
        <v>1061</v>
      </c>
      <c r="I2739" s="3" t="str">
        <f>IFERROR(VLOOKUP(C2739,'Справочник соответствий'!A$2:D$2981,2,FALSE),IF(VALUE(C2739)=0,1,VLOOKUP(C2739,'Справочник соответствий'!A$2:D$2981,2,FALSE)))</f>
        <v>1</v>
      </c>
      <c r="J2739" s="3">
        <f>IFERROR(VLOOKUP(D2739,'Справочник соответствий'!A$2:D$2981,2,FALSE),IF(VALUE(D2739)=0,0,VLOOKUP(D2739,'Справочник соответствий'!A$2:D$2981,2,FALSE)))</f>
        <v>0</v>
      </c>
      <c r="K2739" s="3" t="str">
        <f t="shared" si="294"/>
        <v>1</v>
      </c>
      <c r="L2739" s="13" t="str">
        <f>IFERROR(VLOOKUP(C2739,'Справочник соответствий'!A$2:D$2981,3,FALSE),IF(VALUE(C2739)=0,"ЭТАЖ НЕ ОПРЕДЕЛЕН. ПРИНЯТ ПО ДОПУЩЕНИЮ 1",VLOOKUP(C2739,'Справочник соответствий'!A$2:D$2981,3,FALSE)))</f>
        <v>ЭТАЖ ЗАДАН ЧИСЛОМ</v>
      </c>
      <c r="M2739" s="13" t="b">
        <f t="shared" si="295"/>
        <v>0</v>
      </c>
      <c r="N2739" s="13">
        <f t="shared" si="296"/>
        <v>1</v>
      </c>
      <c r="O2739" s="13" t="str">
        <f t="shared" si="297"/>
        <v>ЭТАЖ ЗАДАН ЧИСЛОМ</v>
      </c>
      <c r="P2739" s="13" t="str">
        <f t="shared" si="298"/>
        <v>ЭТАЖ ЗАДАН ЧИСЛОМ</v>
      </c>
      <c r="Q2739" s="13" t="str">
        <f t="shared" si="299"/>
        <v>ГОТОВ_ИЗМЕНЕН</v>
      </c>
      <c r="R2739" s="13">
        <f>IFERROR(VLOOKUP(P2739,Лист1!A$1:B$20,2,FALSE),0)</f>
        <v>784</v>
      </c>
      <c r="S2739" s="13">
        <f t="shared" si="300"/>
        <v>0</v>
      </c>
    </row>
    <row r="2740" spans="1:19" x14ac:dyDescent="0.25">
      <c r="A2740" s="24" t="s">
        <v>3870</v>
      </c>
      <c r="B2740" s="4" t="s">
        <v>1063</v>
      </c>
      <c r="G2740" s="25" t="s">
        <v>1321</v>
      </c>
      <c r="H2740" s="24" t="s">
        <v>1061</v>
      </c>
      <c r="I2740" s="3">
        <f>IFERROR(VLOOKUP(C2740,'Справочник соответствий'!A$2:D$2981,2,FALSE),IF(VALUE(C2740)=0,1,VLOOKUP(C2740,'Справочник соответствий'!A$2:D$2981,2,FALSE)))</f>
        <v>1</v>
      </c>
      <c r="J2740" s="3">
        <f>IFERROR(VLOOKUP(D2740,'Справочник соответствий'!A$2:D$2981,2,FALSE),IF(VALUE(D2740)=0,0,VLOOKUP(D2740,'Справочник соответствий'!A$2:D$2981,2,FALSE)))</f>
        <v>0</v>
      </c>
      <c r="K2740" s="3">
        <f t="shared" si="294"/>
        <v>1</v>
      </c>
      <c r="L2740" s="13" t="str">
        <f>IFERROR(VLOOKUP(C2740,'Справочник соответствий'!A$2:D$2981,3,FALSE),IF(VALUE(C2740)=0,"ЭТАЖ НЕ ОПРЕДЕЛЕН. ПРИНЯТ ПО ДОПУЩЕНИЮ 1",VLOOKUP(C2740,'Справочник соответствий'!A$2:D$2981,3,FALSE)))</f>
        <v>ЭТАЖ НЕ ОПРЕДЕЛЕН. ПРИНЯТ ПО ДОПУЩЕНИЮ 1</v>
      </c>
      <c r="M2740" s="13" t="b">
        <f t="shared" si="295"/>
        <v>0</v>
      </c>
      <c r="N2740" s="13">
        <f t="shared" si="296"/>
        <v>1</v>
      </c>
      <c r="O2740" s="13" t="str">
        <f t="shared" si="297"/>
        <v>ЭТАЖ НЕ ОПРЕДЕЛЕН. ПРИНЯТ ПО ДОПУЩЕНИЮ 1</v>
      </c>
      <c r="P2740" s="13" t="str">
        <f t="shared" si="298"/>
        <v>ЭТАЖ НЕ ОПРЕДЕЛЕН. ПРИНЯТ ПО ДОПУЩЕНИЮ 1</v>
      </c>
      <c r="Q2740" s="13" t="str">
        <f t="shared" si="299"/>
        <v>ГОТОВ_ИЗМЕНЕН</v>
      </c>
      <c r="R2740" s="13">
        <f>IFERROR(VLOOKUP(P2740,Лист1!A$1:B$20,2,FALSE),0)</f>
        <v>788</v>
      </c>
      <c r="S2740" s="13">
        <f t="shared" si="300"/>
        <v>0</v>
      </c>
    </row>
    <row r="2741" spans="1:19" x14ac:dyDescent="0.25">
      <c r="A2741" s="24" t="s">
        <v>3871</v>
      </c>
      <c r="B2741" s="4" t="s">
        <v>1059</v>
      </c>
      <c r="C2741" s="25" t="s">
        <v>7</v>
      </c>
      <c r="G2741" s="25" t="s">
        <v>1321</v>
      </c>
      <c r="H2741" s="24" t="s">
        <v>1061</v>
      </c>
      <c r="I2741" s="3" t="str">
        <f>IFERROR(VLOOKUP(C2741,'Справочник соответствий'!A$2:D$2981,2,FALSE),IF(VALUE(C2741)=0,1,VLOOKUP(C2741,'Справочник соответствий'!A$2:D$2981,2,FALSE)))</f>
        <v>2</v>
      </c>
      <c r="J2741" s="3">
        <f>IFERROR(VLOOKUP(D2741,'Справочник соответствий'!A$2:D$2981,2,FALSE),IF(VALUE(D2741)=0,0,VLOOKUP(D2741,'Справочник соответствий'!A$2:D$2981,2,FALSE)))</f>
        <v>0</v>
      </c>
      <c r="K2741" s="3" t="str">
        <f t="shared" si="294"/>
        <v>2</v>
      </c>
      <c r="L2741" s="13" t="str">
        <f>IFERROR(VLOOKUP(C2741,'Справочник соответствий'!A$2:D$2981,3,FALSE),IF(VALUE(C2741)=0,"ЭТАЖ НЕ ОПРЕДЕЛЕН. ПРИНЯТ ПО ДОПУЩЕНИЮ 1",VLOOKUP(C2741,'Справочник соответствий'!A$2:D$2981,3,FALSE)))</f>
        <v>ЭТАЖ ЗАДАН ЧИСЛОМ</v>
      </c>
      <c r="M2741" s="13" t="b">
        <f t="shared" si="295"/>
        <v>0</v>
      </c>
      <c r="N2741" s="13">
        <f t="shared" si="296"/>
        <v>2</v>
      </c>
      <c r="O2741" s="13" t="str">
        <f t="shared" si="297"/>
        <v>ЭТАЖ ЗАДАН ЧИСЛОМ</v>
      </c>
      <c r="P2741" s="13" t="str">
        <f t="shared" si="298"/>
        <v>ЭТАЖ ЗАДАН ЧИСЛОМ</v>
      </c>
      <c r="Q2741" s="13" t="str">
        <f t="shared" si="299"/>
        <v>ГОТОВ_ИЗМЕНЕН</v>
      </c>
      <c r="R2741" s="13">
        <f>IFERROR(VLOOKUP(P2741,Лист1!A$1:B$20,2,FALSE),0)</f>
        <v>784</v>
      </c>
      <c r="S2741" s="13">
        <f t="shared" si="300"/>
        <v>0</v>
      </c>
    </row>
    <row r="2742" spans="1:19" x14ac:dyDescent="0.25">
      <c r="A2742" s="24" t="s">
        <v>3872</v>
      </c>
      <c r="B2742" s="4" t="s">
        <v>1063</v>
      </c>
      <c r="C2742" s="25" t="s">
        <v>7</v>
      </c>
      <c r="G2742" s="25" t="s">
        <v>1321</v>
      </c>
      <c r="H2742" s="24" t="s">
        <v>1061</v>
      </c>
      <c r="I2742" s="3" t="str">
        <f>IFERROR(VLOOKUP(C2742,'Справочник соответствий'!A$2:D$2981,2,FALSE),IF(VALUE(C2742)=0,1,VLOOKUP(C2742,'Справочник соответствий'!A$2:D$2981,2,FALSE)))</f>
        <v>2</v>
      </c>
      <c r="J2742" s="3">
        <f>IFERROR(VLOOKUP(D2742,'Справочник соответствий'!A$2:D$2981,2,FALSE),IF(VALUE(D2742)=0,0,VLOOKUP(D2742,'Справочник соответствий'!A$2:D$2981,2,FALSE)))</f>
        <v>0</v>
      </c>
      <c r="K2742" s="3" t="str">
        <f t="shared" si="294"/>
        <v>2</v>
      </c>
      <c r="L2742" s="13" t="str">
        <f>IFERROR(VLOOKUP(C2742,'Справочник соответствий'!A$2:D$2981,3,FALSE),IF(VALUE(C2742)=0,"ЭТАЖ НЕ ОПРЕДЕЛЕН. ПРИНЯТ ПО ДОПУЩЕНИЮ 1",VLOOKUP(C2742,'Справочник соответствий'!A$2:D$2981,3,FALSE)))</f>
        <v>ЭТАЖ ЗАДАН ЧИСЛОМ</v>
      </c>
      <c r="M2742" s="13" t="b">
        <f t="shared" si="295"/>
        <v>0</v>
      </c>
      <c r="N2742" s="13">
        <f t="shared" si="296"/>
        <v>2</v>
      </c>
      <c r="O2742" s="13" t="str">
        <f t="shared" si="297"/>
        <v>ЭТАЖ ЗАДАН ЧИСЛОМ</v>
      </c>
      <c r="P2742" s="13" t="str">
        <f t="shared" si="298"/>
        <v>ЭТАЖ ЗАДАН ЧИСЛОМ</v>
      </c>
      <c r="Q2742" s="13" t="str">
        <f t="shared" si="299"/>
        <v>ГОТОВ_ИЗМЕНЕН</v>
      </c>
      <c r="R2742" s="13">
        <f>IFERROR(VLOOKUP(P2742,Лист1!A$1:B$20,2,FALSE),0)</f>
        <v>784</v>
      </c>
      <c r="S2742" s="13">
        <f t="shared" si="300"/>
        <v>0</v>
      </c>
    </row>
    <row r="2743" spans="1:19" x14ac:dyDescent="0.25">
      <c r="A2743" s="24" t="s">
        <v>3873</v>
      </c>
      <c r="B2743" s="4" t="s">
        <v>1063</v>
      </c>
      <c r="C2743" s="25" t="s">
        <v>5</v>
      </c>
      <c r="G2743" s="25" t="s">
        <v>1321</v>
      </c>
      <c r="H2743" s="24" t="s">
        <v>1061</v>
      </c>
      <c r="I2743" s="3" t="str">
        <f>IFERROR(VLOOKUP(C2743,'Справочник соответствий'!A$2:D$2981,2,FALSE),IF(VALUE(C2743)=0,1,VLOOKUP(C2743,'Справочник соответствий'!A$2:D$2981,2,FALSE)))</f>
        <v>1</v>
      </c>
      <c r="J2743" s="3">
        <f>IFERROR(VLOOKUP(D2743,'Справочник соответствий'!A$2:D$2981,2,FALSE),IF(VALUE(D2743)=0,0,VLOOKUP(D2743,'Справочник соответствий'!A$2:D$2981,2,FALSE)))</f>
        <v>0</v>
      </c>
      <c r="K2743" s="3" t="str">
        <f t="shared" si="294"/>
        <v>1</v>
      </c>
      <c r="L2743" s="13" t="str">
        <f>IFERROR(VLOOKUP(C2743,'Справочник соответствий'!A$2:D$2981,3,FALSE),IF(VALUE(C2743)=0,"ЭТАЖ НЕ ОПРЕДЕЛЕН. ПРИНЯТ ПО ДОПУЩЕНИЮ 1",VLOOKUP(C2743,'Справочник соответствий'!A$2:D$2981,3,FALSE)))</f>
        <v>ЭТАЖ ЗАДАН ЧИСЛОМ</v>
      </c>
      <c r="M2743" s="13" t="b">
        <f t="shared" si="295"/>
        <v>0</v>
      </c>
      <c r="N2743" s="13">
        <f t="shared" si="296"/>
        <v>1</v>
      </c>
      <c r="O2743" s="13" t="str">
        <f t="shared" si="297"/>
        <v>ЭТАЖ ЗАДАН ЧИСЛОМ</v>
      </c>
      <c r="P2743" s="13" t="str">
        <f t="shared" si="298"/>
        <v>ЭТАЖ ЗАДАН ЧИСЛОМ</v>
      </c>
      <c r="Q2743" s="13" t="str">
        <f t="shared" si="299"/>
        <v>ГОТОВ_ИЗМЕНЕН</v>
      </c>
      <c r="R2743" s="13">
        <f>IFERROR(VLOOKUP(P2743,Лист1!A$1:B$20,2,FALSE),0)</f>
        <v>784</v>
      </c>
      <c r="S2743" s="13">
        <f t="shared" si="300"/>
        <v>0</v>
      </c>
    </row>
    <row r="2744" spans="1:19" x14ac:dyDescent="0.25">
      <c r="A2744" s="24" t="s">
        <v>3874</v>
      </c>
      <c r="B2744" s="4" t="s">
        <v>1063</v>
      </c>
      <c r="D2744" s="25" t="s">
        <v>5</v>
      </c>
      <c r="G2744" s="25" t="s">
        <v>1321</v>
      </c>
      <c r="H2744" s="24" t="s">
        <v>1061</v>
      </c>
      <c r="I2744" s="3">
        <f>IFERROR(VLOOKUP(C2744,'Справочник соответствий'!A$2:D$2981,2,FALSE),IF(VALUE(C2744)=0,1,VLOOKUP(C2744,'Справочник соответствий'!A$2:D$2981,2,FALSE)))</f>
        <v>1</v>
      </c>
      <c r="J2744" s="3" t="str">
        <f>IFERROR(VLOOKUP(D2744,'Справочник соответствий'!A$2:D$2981,2,FALSE),IF(VALUE(D2744)=0,0,VLOOKUP(D2744,'Справочник соответствий'!A$2:D$2981,2,FALSE)))</f>
        <v>1</v>
      </c>
      <c r="K2744" s="3">
        <f t="shared" si="294"/>
        <v>1</v>
      </c>
      <c r="L2744" s="13" t="str">
        <f>IFERROR(VLOOKUP(C2744,'Справочник соответствий'!A$2:D$2981,3,FALSE),IF(VALUE(C2744)=0,"ЭТАЖ НЕ ОПРЕДЕЛЕН. ПРИНЯТ ПО ДОПУЩЕНИЮ 1",VLOOKUP(C2744,'Справочник соответствий'!A$2:D$2981,3,FALSE)))</f>
        <v>ЭТАЖ НЕ ОПРЕДЕЛЕН. ПРИНЯТ ПО ДОПУЩЕНИЮ 1</v>
      </c>
      <c r="M2744" s="13" t="b">
        <f t="shared" si="295"/>
        <v>0</v>
      </c>
      <c r="N2744" s="13">
        <f t="shared" si="296"/>
        <v>1</v>
      </c>
      <c r="O2744" s="13" t="str">
        <f t="shared" si="297"/>
        <v>ЭТАЖ НЕ ОПРЕДЕЛЕН. ПРИНЯТ ПО ДОПУЩЕНИЮ 1</v>
      </c>
      <c r="P2744" s="13" t="str">
        <f t="shared" si="298"/>
        <v>ЭТАЖ НЕ ОПРЕДЕЛЕН. ПРИНЯТ ПО ДОПУЩЕНИЮ 1</v>
      </c>
      <c r="Q2744" s="13" t="str">
        <f t="shared" si="299"/>
        <v>ГОТОВ_ИЗМЕНЕН</v>
      </c>
      <c r="R2744" s="13">
        <f>IFERROR(VLOOKUP(P2744,Лист1!A$1:B$20,2,FALSE),0)</f>
        <v>788</v>
      </c>
      <c r="S2744" s="13">
        <f t="shared" si="300"/>
        <v>0</v>
      </c>
    </row>
    <row r="2745" spans="1:19" x14ac:dyDescent="0.25">
      <c r="A2745" s="24" t="s">
        <v>3875</v>
      </c>
      <c r="B2745" s="4" t="s">
        <v>1059</v>
      </c>
      <c r="C2745" s="25" t="s">
        <v>7</v>
      </c>
      <c r="G2745" s="25" t="s">
        <v>2763</v>
      </c>
      <c r="H2745" s="24" t="s">
        <v>1061</v>
      </c>
      <c r="I2745" s="3" t="str">
        <f>IFERROR(VLOOKUP(C2745,'Справочник соответствий'!A$2:D$2981,2,FALSE),IF(VALUE(C2745)=0,1,VLOOKUP(C2745,'Справочник соответствий'!A$2:D$2981,2,FALSE)))</f>
        <v>2</v>
      </c>
      <c r="J2745" s="3">
        <f>IFERROR(VLOOKUP(D2745,'Справочник соответствий'!A$2:D$2981,2,FALSE),IF(VALUE(D2745)=0,0,VLOOKUP(D2745,'Справочник соответствий'!A$2:D$2981,2,FALSE)))</f>
        <v>0</v>
      </c>
      <c r="K2745" s="3" t="str">
        <f t="shared" si="294"/>
        <v>2</v>
      </c>
      <c r="L2745" s="13" t="str">
        <f>IFERROR(VLOOKUP(C2745,'Справочник соответствий'!A$2:D$2981,3,FALSE),IF(VALUE(C2745)=0,"ЭТАЖ НЕ ОПРЕДЕЛЕН. ПРИНЯТ ПО ДОПУЩЕНИЮ 1",VLOOKUP(C2745,'Справочник соответствий'!A$2:D$2981,3,FALSE)))</f>
        <v>ЭТАЖ ЗАДАН ЧИСЛОМ</v>
      </c>
      <c r="M2745" s="13" t="b">
        <f t="shared" si="295"/>
        <v>0</v>
      </c>
      <c r="N2745" s="13">
        <f t="shared" si="296"/>
        <v>2</v>
      </c>
      <c r="O2745" s="13" t="str">
        <f t="shared" si="297"/>
        <v>ЭТАЖ ЗАДАН ЧИСЛОМ</v>
      </c>
      <c r="P2745" s="13" t="str">
        <f t="shared" si="298"/>
        <v>ЭТАЖ ЗАДАН ЧИСЛОМ</v>
      </c>
      <c r="Q2745" s="13" t="str">
        <f t="shared" si="299"/>
        <v>ГОТОВ_ИЗМЕНЕН</v>
      </c>
      <c r="R2745" s="13">
        <f>IFERROR(VLOOKUP(P2745,Лист1!A$1:B$20,2,FALSE),0)</f>
        <v>784</v>
      </c>
      <c r="S2745" s="13">
        <f t="shared" si="300"/>
        <v>0</v>
      </c>
    </row>
    <row r="2746" spans="1:19" x14ac:dyDescent="0.25">
      <c r="A2746" s="24" t="s">
        <v>3876</v>
      </c>
      <c r="B2746" s="4" t="s">
        <v>1059</v>
      </c>
      <c r="C2746" s="25" t="s">
        <v>7</v>
      </c>
      <c r="G2746" s="25" t="s">
        <v>2763</v>
      </c>
      <c r="H2746" s="24" t="s">
        <v>1061</v>
      </c>
      <c r="I2746" s="3" t="str">
        <f>IFERROR(VLOOKUP(C2746,'Справочник соответствий'!A$2:D$2981,2,FALSE),IF(VALUE(C2746)=0,1,VLOOKUP(C2746,'Справочник соответствий'!A$2:D$2981,2,FALSE)))</f>
        <v>2</v>
      </c>
      <c r="J2746" s="3">
        <f>IFERROR(VLOOKUP(D2746,'Справочник соответствий'!A$2:D$2981,2,FALSE),IF(VALUE(D2746)=0,0,VLOOKUP(D2746,'Справочник соответствий'!A$2:D$2981,2,FALSE)))</f>
        <v>0</v>
      </c>
      <c r="K2746" s="3" t="str">
        <f t="shared" si="294"/>
        <v>2</v>
      </c>
      <c r="L2746" s="13" t="str">
        <f>IFERROR(VLOOKUP(C2746,'Справочник соответствий'!A$2:D$2981,3,FALSE),IF(VALUE(C2746)=0,"ЭТАЖ НЕ ОПРЕДЕЛЕН. ПРИНЯТ ПО ДОПУЩЕНИЮ 1",VLOOKUP(C2746,'Справочник соответствий'!A$2:D$2981,3,FALSE)))</f>
        <v>ЭТАЖ ЗАДАН ЧИСЛОМ</v>
      </c>
      <c r="M2746" s="13" t="b">
        <f t="shared" si="295"/>
        <v>0</v>
      </c>
      <c r="N2746" s="13">
        <f t="shared" si="296"/>
        <v>2</v>
      </c>
      <c r="O2746" s="13" t="str">
        <f t="shared" si="297"/>
        <v>ЭТАЖ ЗАДАН ЧИСЛОМ</v>
      </c>
      <c r="P2746" s="13" t="str">
        <f t="shared" si="298"/>
        <v>ЭТАЖ ЗАДАН ЧИСЛОМ</v>
      </c>
      <c r="Q2746" s="13" t="str">
        <f t="shared" si="299"/>
        <v>ГОТОВ_ИЗМЕНЕН</v>
      </c>
      <c r="R2746" s="13">
        <f>IFERROR(VLOOKUP(P2746,Лист1!A$1:B$20,2,FALSE),0)</f>
        <v>784</v>
      </c>
      <c r="S2746" s="13">
        <f t="shared" si="300"/>
        <v>0</v>
      </c>
    </row>
    <row r="2747" spans="1:19" x14ac:dyDescent="0.25">
      <c r="A2747" s="24" t="s">
        <v>3877</v>
      </c>
      <c r="B2747" s="4" t="s">
        <v>1059</v>
      </c>
      <c r="C2747" s="25" t="s">
        <v>5</v>
      </c>
      <c r="E2747" s="3">
        <v>1</v>
      </c>
      <c r="F2747" s="24" t="s">
        <v>1045</v>
      </c>
      <c r="G2747" s="25" t="s">
        <v>1072</v>
      </c>
      <c r="H2747" s="24" t="s">
        <v>1061</v>
      </c>
      <c r="I2747" s="3" t="str">
        <f>IFERROR(VLOOKUP(C2747,'Справочник соответствий'!A$2:D$2981,2,FALSE),IF(VALUE(C2747)=0,1,VLOOKUP(C2747,'Справочник соответствий'!A$2:D$2981,2,FALSE)))</f>
        <v>1</v>
      </c>
      <c r="J2747" s="3">
        <f>IFERROR(VLOOKUP(D2747,'Справочник соответствий'!A$2:D$2981,2,FALSE),IF(VALUE(D2747)=0,0,VLOOKUP(D2747,'Справочник соответствий'!A$2:D$2981,2,FALSE)))</f>
        <v>0</v>
      </c>
      <c r="K2747" s="3" t="str">
        <f t="shared" si="294"/>
        <v>1</v>
      </c>
      <c r="L2747" s="13" t="str">
        <f>IFERROR(VLOOKUP(C2747,'Справочник соответствий'!A$2:D$2981,3,FALSE),IF(VALUE(C2747)=0,"ЭТАЖ НЕ ОПРЕДЕЛЕН. ПРИНЯТ ПО ДОПУЩЕНИЮ 1",VLOOKUP(C2747,'Справочник соответствий'!A$2:D$2981,3,FALSE)))</f>
        <v>ЭТАЖ ЗАДАН ЧИСЛОМ</v>
      </c>
      <c r="M2747" s="13" t="b">
        <f t="shared" si="295"/>
        <v>0</v>
      </c>
      <c r="N2747" s="13">
        <f t="shared" si="296"/>
        <v>1</v>
      </c>
      <c r="O2747" s="13" t="str">
        <f t="shared" si="297"/>
        <v>ЭТАЖ ЗАДАН ЧИСЛОМ</v>
      </c>
      <c r="P2747" s="13" t="str">
        <f t="shared" si="298"/>
        <v>ЭТАЖ ЗАДАН ЧИСЛОМ</v>
      </c>
      <c r="Q2747" s="13" t="str">
        <f t="shared" si="299"/>
        <v>ГОТОВ</v>
      </c>
      <c r="R2747" s="13">
        <f>IFERROR(VLOOKUP(P2747,Лист1!A$1:B$20,2,FALSE),0)</f>
        <v>784</v>
      </c>
      <c r="S2747" s="13">
        <f t="shared" si="300"/>
        <v>1</v>
      </c>
    </row>
    <row r="2748" spans="1:19" x14ac:dyDescent="0.25">
      <c r="A2748" s="24" t="s">
        <v>3878</v>
      </c>
      <c r="B2748" s="4" t="s">
        <v>1059</v>
      </c>
      <c r="C2748" s="25" t="s">
        <v>7</v>
      </c>
      <c r="E2748" s="3">
        <v>2</v>
      </c>
      <c r="F2748" s="24" t="s">
        <v>1045</v>
      </c>
      <c r="G2748" s="25" t="s">
        <v>1117</v>
      </c>
      <c r="H2748" s="24" t="s">
        <v>1061</v>
      </c>
      <c r="I2748" s="3" t="str">
        <f>IFERROR(VLOOKUP(C2748,'Справочник соответствий'!A$2:D$2981,2,FALSE),IF(VALUE(C2748)=0,1,VLOOKUP(C2748,'Справочник соответствий'!A$2:D$2981,2,FALSE)))</f>
        <v>2</v>
      </c>
      <c r="J2748" s="3">
        <f>IFERROR(VLOOKUP(D2748,'Справочник соответствий'!A$2:D$2981,2,FALSE),IF(VALUE(D2748)=0,0,VLOOKUP(D2748,'Справочник соответствий'!A$2:D$2981,2,FALSE)))</f>
        <v>0</v>
      </c>
      <c r="K2748" s="3" t="str">
        <f t="shared" si="294"/>
        <v>2</v>
      </c>
      <c r="L2748" s="13" t="str">
        <f>IFERROR(VLOOKUP(C2748,'Справочник соответствий'!A$2:D$2981,3,FALSE),IF(VALUE(C2748)=0,"ЭТАЖ НЕ ОПРЕДЕЛЕН. ПРИНЯТ ПО ДОПУЩЕНИЮ 1",VLOOKUP(C2748,'Справочник соответствий'!A$2:D$2981,3,FALSE)))</f>
        <v>ЭТАЖ ЗАДАН ЧИСЛОМ</v>
      </c>
      <c r="M2748" s="13" t="b">
        <f t="shared" si="295"/>
        <v>0</v>
      </c>
      <c r="N2748" s="13">
        <f t="shared" si="296"/>
        <v>2</v>
      </c>
      <c r="O2748" s="13" t="str">
        <f t="shared" si="297"/>
        <v>ЭТАЖ ЗАДАН ЧИСЛОМ</v>
      </c>
      <c r="P2748" s="13" t="str">
        <f t="shared" si="298"/>
        <v>ЭТАЖ ЗАДАН ЧИСЛОМ</v>
      </c>
      <c r="Q2748" s="13" t="str">
        <f t="shared" si="299"/>
        <v>ГОТОВ</v>
      </c>
      <c r="R2748" s="13">
        <f>IFERROR(VLOOKUP(P2748,Лист1!A$1:B$20,2,FALSE),0)</f>
        <v>784</v>
      </c>
      <c r="S2748" s="13">
        <f t="shared" si="300"/>
        <v>2</v>
      </c>
    </row>
    <row r="2749" spans="1:19" x14ac:dyDescent="0.25">
      <c r="A2749" s="24" t="s">
        <v>3879</v>
      </c>
      <c r="B2749" s="4" t="s">
        <v>1063</v>
      </c>
      <c r="C2749" s="25" t="s">
        <v>5</v>
      </c>
      <c r="D2749" s="25" t="s">
        <v>5</v>
      </c>
      <c r="E2749" s="3">
        <v>1</v>
      </c>
      <c r="F2749" s="24" t="s">
        <v>1045</v>
      </c>
      <c r="G2749" s="25" t="s">
        <v>1089</v>
      </c>
      <c r="H2749" s="24" t="s">
        <v>1061</v>
      </c>
      <c r="I2749" s="3" t="str">
        <f>IFERROR(VLOOKUP(C2749,'Справочник соответствий'!A$2:D$2981,2,FALSE),IF(VALUE(C2749)=0,1,VLOOKUP(C2749,'Справочник соответствий'!A$2:D$2981,2,FALSE)))</f>
        <v>1</v>
      </c>
      <c r="J2749" s="3" t="str">
        <f>IFERROR(VLOOKUP(D2749,'Справочник соответствий'!A$2:D$2981,2,FALSE),IF(VALUE(D2749)=0,0,VLOOKUP(D2749,'Справочник соответствий'!A$2:D$2981,2,FALSE)))</f>
        <v>1</v>
      </c>
      <c r="K2749" s="3" t="str">
        <f t="shared" si="294"/>
        <v>1</v>
      </c>
      <c r="L2749" s="13" t="str">
        <f>IFERROR(VLOOKUP(C2749,'Справочник соответствий'!A$2:D$2981,3,FALSE),IF(VALUE(C2749)=0,"ЭТАЖ НЕ ОПРЕДЕЛЕН. ПРИНЯТ ПО ДОПУЩЕНИЮ 1",VLOOKUP(C2749,'Справочник соответствий'!A$2:D$2981,3,FALSE)))</f>
        <v>ЭТАЖ ЗАДАН ЧИСЛОМ</v>
      </c>
      <c r="M2749" s="13" t="b">
        <f t="shared" si="295"/>
        <v>0</v>
      </c>
      <c r="N2749" s="13">
        <f t="shared" si="296"/>
        <v>1</v>
      </c>
      <c r="O2749" s="13" t="str">
        <f t="shared" si="297"/>
        <v>ЭТАЖ ЗАДАН ЧИСЛОМ</v>
      </c>
      <c r="P2749" s="13" t="str">
        <f t="shared" si="298"/>
        <v>ЭТАЖ ЗАДАН ЧИСЛОМ</v>
      </c>
      <c r="Q2749" s="13" t="str">
        <f t="shared" si="299"/>
        <v>ГОТОВ</v>
      </c>
      <c r="R2749" s="13">
        <f>IFERROR(VLOOKUP(P2749,Лист1!A$1:B$20,2,FALSE),0)</f>
        <v>784</v>
      </c>
      <c r="S2749" s="13">
        <f t="shared" si="300"/>
        <v>1</v>
      </c>
    </row>
    <row r="2750" spans="1:19" x14ac:dyDescent="0.25">
      <c r="A2750" s="24" t="s">
        <v>3880</v>
      </c>
      <c r="B2750" s="4" t="s">
        <v>1063</v>
      </c>
      <c r="C2750" s="25" t="s">
        <v>5</v>
      </c>
      <c r="D2750" s="25" t="s">
        <v>24</v>
      </c>
      <c r="E2750" s="3">
        <v>1</v>
      </c>
      <c r="F2750" s="24" t="s">
        <v>1304</v>
      </c>
      <c r="G2750" s="25" t="s">
        <v>1193</v>
      </c>
      <c r="H2750" s="24" t="s">
        <v>1061</v>
      </c>
      <c r="I2750" s="3" t="str">
        <f>IFERROR(VLOOKUP(C2750,'Справочник соответствий'!A$2:D$2981,2,FALSE),IF(VALUE(C2750)=0,1,VLOOKUP(C2750,'Справочник соответствий'!A$2:D$2981,2,FALSE)))</f>
        <v>1</v>
      </c>
      <c r="J2750" s="3" t="str">
        <f>IFERROR(VLOOKUP(D2750,'Справочник соответствий'!A$2:D$2981,2,FALSE),IF(VALUE(D2750)=0,0,VLOOKUP(D2750,'Справочник соответствий'!A$2:D$2981,2,FALSE)))</f>
        <v>1</v>
      </c>
      <c r="K2750" s="3" t="str">
        <f t="shared" si="294"/>
        <v>1</v>
      </c>
      <c r="L2750" s="13" t="str">
        <f>IFERROR(VLOOKUP(C2750,'Справочник соответствий'!A$2:D$2981,3,FALSE),IF(VALUE(C2750)=0,"ЭТАЖ НЕ ОПРЕДЕЛЕН. ПРИНЯТ ПО ДОПУЩЕНИЮ 1",VLOOKUP(C2750,'Справочник соответствий'!A$2:D$2981,3,FALSE)))</f>
        <v>ЭТАЖ ЗАДАН ЧИСЛОМ</v>
      </c>
      <c r="M2750" s="13" t="b">
        <f t="shared" si="295"/>
        <v>0</v>
      </c>
      <c r="N2750" s="13">
        <f t="shared" si="296"/>
        <v>1</v>
      </c>
      <c r="O2750" s="13" t="str">
        <f t="shared" si="297"/>
        <v>ЭТАЖ ЗАДАН ЧИСЛОМ</v>
      </c>
      <c r="P2750" s="13" t="str">
        <f t="shared" si="298"/>
        <v>ЭТАЖ ЗАДАН ЧИСЛОМ</v>
      </c>
      <c r="Q2750" s="13" t="str">
        <f t="shared" si="299"/>
        <v>ГОТОВ</v>
      </c>
      <c r="R2750" s="13">
        <f>IFERROR(VLOOKUP(P2750,Лист1!A$1:B$20,2,FALSE),0)</f>
        <v>784</v>
      </c>
      <c r="S2750" s="13">
        <f t="shared" si="300"/>
        <v>1</v>
      </c>
    </row>
    <row r="2751" spans="1:19" x14ac:dyDescent="0.25">
      <c r="A2751" s="24" t="s">
        <v>3881</v>
      </c>
      <c r="B2751" s="4" t="s">
        <v>1059</v>
      </c>
      <c r="E2751" s="3">
        <v>1</v>
      </c>
      <c r="F2751" s="24" t="s">
        <v>1082</v>
      </c>
      <c r="G2751" s="25" t="s">
        <v>1072</v>
      </c>
      <c r="H2751" s="24" t="s">
        <v>1061</v>
      </c>
      <c r="I2751" s="3">
        <f>IFERROR(VLOOKUP(C2751,'Справочник соответствий'!A$2:D$2981,2,FALSE),IF(VALUE(C2751)=0,1,VLOOKUP(C2751,'Справочник соответствий'!A$2:D$2981,2,FALSE)))</f>
        <v>1</v>
      </c>
      <c r="J2751" s="3">
        <f>IFERROR(VLOOKUP(D2751,'Справочник соответствий'!A$2:D$2981,2,FALSE),IF(VALUE(D2751)=0,0,VLOOKUP(D2751,'Справочник соответствий'!A$2:D$2981,2,FALSE)))</f>
        <v>0</v>
      </c>
      <c r="K2751" s="3">
        <f t="shared" si="294"/>
        <v>1</v>
      </c>
      <c r="L2751" s="13" t="str">
        <f>IFERROR(VLOOKUP(C2751,'Справочник соответствий'!A$2:D$2981,3,FALSE),IF(VALUE(C2751)=0,"ЭТАЖ НЕ ОПРЕДЕЛЕН. ПРИНЯТ ПО ДОПУЩЕНИЮ 1",VLOOKUP(C2751,'Справочник соответствий'!A$2:D$2981,3,FALSE)))</f>
        <v>ЭТАЖ НЕ ОПРЕДЕЛЕН. ПРИНЯТ ПО ДОПУЩЕНИЮ 1</v>
      </c>
      <c r="M2751" s="13" t="b">
        <f t="shared" si="295"/>
        <v>1</v>
      </c>
      <c r="N2751" s="13">
        <f t="shared" si="296"/>
        <v>1</v>
      </c>
      <c r="O2751" s="13" t="str">
        <f t="shared" si="297"/>
        <v>По допущению год постановки на КУ</v>
      </c>
      <c r="P2751" s="13" t="str">
        <f t="shared" si="298"/>
        <v>По допущению год постановки на КУ</v>
      </c>
      <c r="Q2751" s="13" t="str">
        <f t="shared" si="299"/>
        <v>ГОТОВ</v>
      </c>
      <c r="R2751" s="13">
        <f>IFERROR(VLOOKUP(P2751,Лист1!A$1:B$20,2,FALSE),0)</f>
        <v>0</v>
      </c>
      <c r="S2751" s="13">
        <f t="shared" si="300"/>
        <v>1</v>
      </c>
    </row>
    <row r="2752" spans="1:19" x14ac:dyDescent="0.25">
      <c r="A2752" s="24" t="s">
        <v>3882</v>
      </c>
      <c r="B2752" s="4" t="s">
        <v>1059</v>
      </c>
      <c r="C2752" s="25" t="s">
        <v>5</v>
      </c>
      <c r="G2752" s="25" t="s">
        <v>1347</v>
      </c>
      <c r="H2752" s="24" t="s">
        <v>1061</v>
      </c>
      <c r="I2752" s="3" t="str">
        <f>IFERROR(VLOOKUP(C2752,'Справочник соответствий'!A$2:D$2981,2,FALSE),IF(VALUE(C2752)=0,1,VLOOKUP(C2752,'Справочник соответствий'!A$2:D$2981,2,FALSE)))</f>
        <v>1</v>
      </c>
      <c r="J2752" s="3">
        <f>IFERROR(VLOOKUP(D2752,'Справочник соответствий'!A$2:D$2981,2,FALSE),IF(VALUE(D2752)=0,0,VLOOKUP(D2752,'Справочник соответствий'!A$2:D$2981,2,FALSE)))</f>
        <v>0</v>
      </c>
      <c r="K2752" s="3" t="str">
        <f t="shared" si="294"/>
        <v>1</v>
      </c>
      <c r="L2752" s="13" t="str">
        <f>IFERROR(VLOOKUP(C2752,'Справочник соответствий'!A$2:D$2981,3,FALSE),IF(VALUE(C2752)=0,"ЭТАЖ НЕ ОПРЕДЕЛЕН. ПРИНЯТ ПО ДОПУЩЕНИЮ 1",VLOOKUP(C2752,'Справочник соответствий'!A$2:D$2981,3,FALSE)))</f>
        <v>ЭТАЖ ЗАДАН ЧИСЛОМ</v>
      </c>
      <c r="M2752" s="13" t="b">
        <f t="shared" si="295"/>
        <v>0</v>
      </c>
      <c r="N2752" s="13">
        <f t="shared" si="296"/>
        <v>1</v>
      </c>
      <c r="O2752" s="13" t="str">
        <f t="shared" si="297"/>
        <v>ЭТАЖ ЗАДАН ЧИСЛОМ</v>
      </c>
      <c r="P2752" s="13" t="str">
        <f t="shared" si="298"/>
        <v>ЭТАЖ ЗАДАН ЧИСЛОМ</v>
      </c>
      <c r="Q2752" s="13" t="str">
        <f t="shared" si="299"/>
        <v>ГОТОВ_ИЗМЕНЕН</v>
      </c>
      <c r="R2752" s="13">
        <f>IFERROR(VLOOKUP(P2752,Лист1!A$1:B$20,2,FALSE),0)</f>
        <v>784</v>
      </c>
      <c r="S2752" s="13">
        <f t="shared" si="300"/>
        <v>0</v>
      </c>
    </row>
    <row r="2753" spans="1:19" x14ac:dyDescent="0.25">
      <c r="A2753" s="24" t="s">
        <v>3883</v>
      </c>
      <c r="B2753" s="4" t="s">
        <v>1059</v>
      </c>
      <c r="C2753" s="25" t="s">
        <v>7</v>
      </c>
      <c r="G2753" s="25" t="s">
        <v>1069</v>
      </c>
      <c r="H2753" s="24" t="s">
        <v>1061</v>
      </c>
      <c r="I2753" s="3" t="str">
        <f>IFERROR(VLOOKUP(C2753,'Справочник соответствий'!A$2:D$2981,2,FALSE),IF(VALUE(C2753)=0,1,VLOOKUP(C2753,'Справочник соответствий'!A$2:D$2981,2,FALSE)))</f>
        <v>2</v>
      </c>
      <c r="J2753" s="3">
        <f>IFERROR(VLOOKUP(D2753,'Справочник соответствий'!A$2:D$2981,2,FALSE),IF(VALUE(D2753)=0,0,VLOOKUP(D2753,'Справочник соответствий'!A$2:D$2981,2,FALSE)))</f>
        <v>0</v>
      </c>
      <c r="K2753" s="3" t="str">
        <f t="shared" si="294"/>
        <v>2</v>
      </c>
      <c r="L2753" s="13" t="str">
        <f>IFERROR(VLOOKUP(C2753,'Справочник соответствий'!A$2:D$2981,3,FALSE),IF(VALUE(C2753)=0,"ЭТАЖ НЕ ОПРЕДЕЛЕН. ПРИНЯТ ПО ДОПУЩЕНИЮ 1",VLOOKUP(C2753,'Справочник соответствий'!A$2:D$2981,3,FALSE)))</f>
        <v>ЭТАЖ ЗАДАН ЧИСЛОМ</v>
      </c>
      <c r="M2753" s="13" t="b">
        <f t="shared" si="295"/>
        <v>0</v>
      </c>
      <c r="N2753" s="13">
        <f t="shared" si="296"/>
        <v>2</v>
      </c>
      <c r="O2753" s="13" t="str">
        <f t="shared" si="297"/>
        <v>ЭТАЖ ЗАДАН ЧИСЛОМ</v>
      </c>
      <c r="P2753" s="13" t="str">
        <f t="shared" si="298"/>
        <v>ЭТАЖ ЗАДАН ЧИСЛОМ</v>
      </c>
      <c r="Q2753" s="13" t="str">
        <f t="shared" si="299"/>
        <v>ГОТОВ_ИЗМЕНЕН</v>
      </c>
      <c r="R2753" s="13">
        <f>IFERROR(VLOOKUP(P2753,Лист1!A$1:B$20,2,FALSE),0)</f>
        <v>784</v>
      </c>
      <c r="S2753" s="13">
        <f t="shared" si="300"/>
        <v>0</v>
      </c>
    </row>
    <row r="2754" spans="1:19" x14ac:dyDescent="0.25">
      <c r="A2754" s="24" t="s">
        <v>3884</v>
      </c>
      <c r="B2754" s="4" t="s">
        <v>1059</v>
      </c>
      <c r="C2754" s="25" t="s">
        <v>5</v>
      </c>
      <c r="G2754" s="25" t="s">
        <v>1069</v>
      </c>
      <c r="H2754" s="24" t="s">
        <v>1061</v>
      </c>
      <c r="I2754" s="3" t="str">
        <f>IFERROR(VLOOKUP(C2754,'Справочник соответствий'!A$2:D$2981,2,FALSE),IF(VALUE(C2754)=0,1,VLOOKUP(C2754,'Справочник соответствий'!A$2:D$2981,2,FALSE)))</f>
        <v>1</v>
      </c>
      <c r="J2754" s="3">
        <f>IFERROR(VLOOKUP(D2754,'Справочник соответствий'!A$2:D$2981,2,FALSE),IF(VALUE(D2754)=0,0,VLOOKUP(D2754,'Справочник соответствий'!A$2:D$2981,2,FALSE)))</f>
        <v>0</v>
      </c>
      <c r="K2754" s="3" t="str">
        <f t="shared" si="294"/>
        <v>1</v>
      </c>
      <c r="L2754" s="13" t="str">
        <f>IFERROR(VLOOKUP(C2754,'Справочник соответствий'!A$2:D$2981,3,FALSE),IF(VALUE(C2754)=0,"ЭТАЖ НЕ ОПРЕДЕЛЕН. ПРИНЯТ ПО ДОПУЩЕНИЮ 1",VLOOKUP(C2754,'Справочник соответствий'!A$2:D$2981,3,FALSE)))</f>
        <v>ЭТАЖ ЗАДАН ЧИСЛОМ</v>
      </c>
      <c r="M2754" s="13" t="b">
        <f t="shared" si="295"/>
        <v>0</v>
      </c>
      <c r="N2754" s="13">
        <f t="shared" si="296"/>
        <v>1</v>
      </c>
      <c r="O2754" s="13" t="str">
        <f t="shared" si="297"/>
        <v>ЭТАЖ ЗАДАН ЧИСЛОМ</v>
      </c>
      <c r="P2754" s="13" t="str">
        <f t="shared" si="298"/>
        <v>ЭТАЖ ЗАДАН ЧИСЛОМ</v>
      </c>
      <c r="Q2754" s="13" t="str">
        <f t="shared" si="299"/>
        <v>ГОТОВ_ИЗМЕНЕН</v>
      </c>
      <c r="R2754" s="13">
        <f>IFERROR(VLOOKUP(P2754,Лист1!A$1:B$20,2,FALSE),0)</f>
        <v>784</v>
      </c>
      <c r="S2754" s="13">
        <f t="shared" si="300"/>
        <v>0</v>
      </c>
    </row>
    <row r="2755" spans="1:19" x14ac:dyDescent="0.25">
      <c r="A2755" s="24" t="s">
        <v>3885</v>
      </c>
      <c r="B2755" s="4" t="s">
        <v>1059</v>
      </c>
      <c r="C2755" s="25" t="s">
        <v>5</v>
      </c>
      <c r="G2755" s="25" t="s">
        <v>1114</v>
      </c>
      <c r="H2755" s="24" t="s">
        <v>1061</v>
      </c>
      <c r="I2755" s="3" t="str">
        <f>IFERROR(VLOOKUP(C2755,'Справочник соответствий'!A$2:D$2981,2,FALSE),IF(VALUE(C2755)=0,1,VLOOKUP(C2755,'Справочник соответствий'!A$2:D$2981,2,FALSE)))</f>
        <v>1</v>
      </c>
      <c r="J2755" s="3">
        <f>IFERROR(VLOOKUP(D2755,'Справочник соответствий'!A$2:D$2981,2,FALSE),IF(VALUE(D2755)=0,0,VLOOKUP(D2755,'Справочник соответствий'!A$2:D$2981,2,FALSE)))</f>
        <v>0</v>
      </c>
      <c r="K2755" s="3" t="str">
        <f t="shared" si="294"/>
        <v>1</v>
      </c>
      <c r="L2755" s="13" t="str">
        <f>IFERROR(VLOOKUP(C2755,'Справочник соответствий'!A$2:D$2981,3,FALSE),IF(VALUE(C2755)=0,"ЭТАЖ НЕ ОПРЕДЕЛЕН. ПРИНЯТ ПО ДОПУЩЕНИЮ 1",VLOOKUP(C2755,'Справочник соответствий'!A$2:D$2981,3,FALSE)))</f>
        <v>ЭТАЖ ЗАДАН ЧИСЛОМ</v>
      </c>
      <c r="M2755" s="13" t="b">
        <f t="shared" si="295"/>
        <v>0</v>
      </c>
      <c r="N2755" s="13">
        <f t="shared" si="296"/>
        <v>1</v>
      </c>
      <c r="O2755" s="13" t="str">
        <f t="shared" si="297"/>
        <v>ЭТАЖ ЗАДАН ЧИСЛОМ</v>
      </c>
      <c r="P2755" s="13" t="str">
        <f t="shared" si="298"/>
        <v>ЭТАЖ ЗАДАН ЧИСЛОМ</v>
      </c>
      <c r="Q2755" s="13" t="str">
        <f t="shared" si="299"/>
        <v>ГОТОВ_ИЗМЕНЕН</v>
      </c>
      <c r="R2755" s="13">
        <f>IFERROR(VLOOKUP(P2755,Лист1!A$1:B$20,2,FALSE),0)</f>
        <v>784</v>
      </c>
      <c r="S2755" s="13">
        <f t="shared" si="300"/>
        <v>0</v>
      </c>
    </row>
    <row r="2756" spans="1:19" x14ac:dyDescent="0.25">
      <c r="A2756" s="24" t="s">
        <v>3886</v>
      </c>
      <c r="B2756" s="4" t="s">
        <v>1059</v>
      </c>
      <c r="C2756" s="25" t="s">
        <v>7</v>
      </c>
      <c r="G2756" s="25" t="s">
        <v>1069</v>
      </c>
      <c r="H2756" s="24" t="s">
        <v>1061</v>
      </c>
      <c r="I2756" s="3" t="str">
        <f>IFERROR(VLOOKUP(C2756,'Справочник соответствий'!A$2:D$2981,2,FALSE),IF(VALUE(C2756)=0,1,VLOOKUP(C2756,'Справочник соответствий'!A$2:D$2981,2,FALSE)))</f>
        <v>2</v>
      </c>
      <c r="J2756" s="3">
        <f>IFERROR(VLOOKUP(D2756,'Справочник соответствий'!A$2:D$2981,2,FALSE),IF(VALUE(D2756)=0,0,VLOOKUP(D2756,'Справочник соответствий'!A$2:D$2981,2,FALSE)))</f>
        <v>0</v>
      </c>
      <c r="K2756" s="3" t="str">
        <f t="shared" si="294"/>
        <v>2</v>
      </c>
      <c r="L2756" s="13" t="str">
        <f>IFERROR(VLOOKUP(C2756,'Справочник соответствий'!A$2:D$2981,3,FALSE),IF(VALUE(C2756)=0,"ЭТАЖ НЕ ОПРЕДЕЛЕН. ПРИНЯТ ПО ДОПУЩЕНИЮ 1",VLOOKUP(C2756,'Справочник соответствий'!A$2:D$2981,3,FALSE)))</f>
        <v>ЭТАЖ ЗАДАН ЧИСЛОМ</v>
      </c>
      <c r="M2756" s="13" t="b">
        <f t="shared" si="295"/>
        <v>0</v>
      </c>
      <c r="N2756" s="13">
        <f t="shared" si="296"/>
        <v>2</v>
      </c>
      <c r="O2756" s="13" t="str">
        <f t="shared" si="297"/>
        <v>ЭТАЖ ЗАДАН ЧИСЛОМ</v>
      </c>
      <c r="P2756" s="13" t="str">
        <f t="shared" si="298"/>
        <v>ЭТАЖ ЗАДАН ЧИСЛОМ</v>
      </c>
      <c r="Q2756" s="13" t="str">
        <f t="shared" si="299"/>
        <v>ГОТОВ_ИЗМЕНЕН</v>
      </c>
      <c r="R2756" s="13">
        <f>IFERROR(VLOOKUP(P2756,Лист1!A$1:B$20,2,FALSE),0)</f>
        <v>784</v>
      </c>
      <c r="S2756" s="13">
        <f t="shared" si="300"/>
        <v>0</v>
      </c>
    </row>
    <row r="2757" spans="1:19" x14ac:dyDescent="0.25">
      <c r="A2757" s="24" t="s">
        <v>3887</v>
      </c>
      <c r="B2757" s="4" t="s">
        <v>1063</v>
      </c>
      <c r="G2757" s="25" t="s">
        <v>1114</v>
      </c>
      <c r="H2757" s="24" t="s">
        <v>1061</v>
      </c>
      <c r="I2757" s="3">
        <f>IFERROR(VLOOKUP(C2757,'Справочник соответствий'!A$2:D$2981,2,FALSE),IF(VALUE(C2757)=0,1,VLOOKUP(C2757,'Справочник соответствий'!A$2:D$2981,2,FALSE)))</f>
        <v>1</v>
      </c>
      <c r="J2757" s="3">
        <f>IFERROR(VLOOKUP(D2757,'Справочник соответствий'!A$2:D$2981,2,FALSE),IF(VALUE(D2757)=0,0,VLOOKUP(D2757,'Справочник соответствий'!A$2:D$2981,2,FALSE)))</f>
        <v>0</v>
      </c>
      <c r="K2757" s="3">
        <f t="shared" ref="K2757:K2820" si="301">IF(B2757="Многоквартирный дом",IF(I2757-J2757&gt;0,I2757-J2757,1),I2757)</f>
        <v>1</v>
      </c>
      <c r="L2757" s="13" t="str">
        <f>IFERROR(VLOOKUP(C2757,'Справочник соответствий'!A$2:D$2981,3,FALSE),IF(VALUE(C2757)=0,"ЭТАЖ НЕ ОПРЕДЕЛЕН. ПРИНЯТ ПО ДОПУЩЕНИЮ 1",VLOOKUP(C2757,'Справочник соответствий'!A$2:D$2981,3,FALSE)))</f>
        <v>ЭТАЖ НЕ ОПРЕДЕЛЕН. ПРИНЯТ ПО ДОПУЩЕНИЮ 1</v>
      </c>
      <c r="M2757" s="13" t="b">
        <f t="shared" ref="M2757:M2820" si="302">I2757=E2757</f>
        <v>0</v>
      </c>
      <c r="N2757" s="13">
        <f t="shared" ref="N2757:N2820" si="303">IF(VALUE(E2757)=0,VALUE(K2757),IF(L2757="ЭТАЖ НЕ ОПРЕДЕЛЕН. ПРИНЯТ ПО ДОПУЩЕНИЮ 1",VALUE(E2757),VALUE(K2757)))</f>
        <v>1</v>
      </c>
      <c r="O2757" s="13" t="str">
        <f t="shared" ref="O2757:O2820" si="304">IF(VALUE(E2757)=0,L2757,IF(L2757="ЭТАЖ НЕ ОПРЕДЕЛЕН. ПРИНЯТ ПО ДОПУЩЕНИЮ 1",F2757,L2757))</f>
        <v>ЭТАЖ НЕ ОПРЕДЕЛЕН. ПРИНЯТ ПО ДОПУЩЕНИЮ 1</v>
      </c>
      <c r="P2757" s="13" t="str">
        <f t="shared" ref="P2757:P2820" si="305">IF(B2757="Многоквартирный дом",CONCATENATE("МКД_",O2757),O2757)</f>
        <v>ЭТАЖ НЕ ОПРЕДЕЛЕН. ПРИНЯТ ПО ДОПУЩЕНИЮ 1</v>
      </c>
      <c r="Q2757" s="13" t="str">
        <f t="shared" ref="Q2757:Q2820" si="306">IFERROR(IF(N2757&gt;0,IF(N2757=VALUE(E2757),"ГОТОВ","ГОТОВ_ИЗМЕНЕН"),"НЕ ГОТОВ"),"НЕ ГОТОВ")</f>
        <v>ГОТОВ_ИЗМЕНЕН</v>
      </c>
      <c r="R2757" s="13">
        <f>IFERROR(VLOOKUP(P2757,Лист1!A$1:B$20,2,FALSE),0)</f>
        <v>788</v>
      </c>
      <c r="S2757" s="13">
        <f t="shared" ref="S2757:S2820" si="307">VALUE(E2757)</f>
        <v>0</v>
      </c>
    </row>
    <row r="2758" spans="1:19" x14ac:dyDescent="0.25">
      <c r="A2758" s="24" t="s">
        <v>3888</v>
      </c>
      <c r="B2758" s="4" t="s">
        <v>1059</v>
      </c>
      <c r="C2758" s="25" t="s">
        <v>7</v>
      </c>
      <c r="G2758" s="25" t="s">
        <v>1114</v>
      </c>
      <c r="H2758" s="24" t="s">
        <v>1061</v>
      </c>
      <c r="I2758" s="3" t="str">
        <f>IFERROR(VLOOKUP(C2758,'Справочник соответствий'!A$2:D$2981,2,FALSE),IF(VALUE(C2758)=0,1,VLOOKUP(C2758,'Справочник соответствий'!A$2:D$2981,2,FALSE)))</f>
        <v>2</v>
      </c>
      <c r="J2758" s="3">
        <f>IFERROR(VLOOKUP(D2758,'Справочник соответствий'!A$2:D$2981,2,FALSE),IF(VALUE(D2758)=0,0,VLOOKUP(D2758,'Справочник соответствий'!A$2:D$2981,2,FALSE)))</f>
        <v>0</v>
      </c>
      <c r="K2758" s="3" t="str">
        <f t="shared" si="301"/>
        <v>2</v>
      </c>
      <c r="L2758" s="13" t="str">
        <f>IFERROR(VLOOKUP(C2758,'Справочник соответствий'!A$2:D$2981,3,FALSE),IF(VALUE(C2758)=0,"ЭТАЖ НЕ ОПРЕДЕЛЕН. ПРИНЯТ ПО ДОПУЩЕНИЮ 1",VLOOKUP(C2758,'Справочник соответствий'!A$2:D$2981,3,FALSE)))</f>
        <v>ЭТАЖ ЗАДАН ЧИСЛОМ</v>
      </c>
      <c r="M2758" s="13" t="b">
        <f t="shared" si="302"/>
        <v>0</v>
      </c>
      <c r="N2758" s="13">
        <f t="shared" si="303"/>
        <v>2</v>
      </c>
      <c r="O2758" s="13" t="str">
        <f t="shared" si="304"/>
        <v>ЭТАЖ ЗАДАН ЧИСЛОМ</v>
      </c>
      <c r="P2758" s="13" t="str">
        <f t="shared" si="305"/>
        <v>ЭТАЖ ЗАДАН ЧИСЛОМ</v>
      </c>
      <c r="Q2758" s="13" t="str">
        <f t="shared" si="306"/>
        <v>ГОТОВ_ИЗМЕНЕН</v>
      </c>
      <c r="R2758" s="13">
        <f>IFERROR(VLOOKUP(P2758,Лист1!A$1:B$20,2,FALSE),0)</f>
        <v>784</v>
      </c>
      <c r="S2758" s="13">
        <f t="shared" si="307"/>
        <v>0</v>
      </c>
    </row>
    <row r="2759" spans="1:19" x14ac:dyDescent="0.25">
      <c r="A2759" s="24" t="s">
        <v>3889</v>
      </c>
      <c r="B2759" s="4" t="s">
        <v>1059</v>
      </c>
      <c r="C2759" s="25" t="s">
        <v>5</v>
      </c>
      <c r="G2759" s="25" t="s">
        <v>1069</v>
      </c>
      <c r="H2759" s="24" t="s">
        <v>1061</v>
      </c>
      <c r="I2759" s="3" t="str">
        <f>IFERROR(VLOOKUP(C2759,'Справочник соответствий'!A$2:D$2981,2,FALSE),IF(VALUE(C2759)=0,1,VLOOKUP(C2759,'Справочник соответствий'!A$2:D$2981,2,FALSE)))</f>
        <v>1</v>
      </c>
      <c r="J2759" s="3">
        <f>IFERROR(VLOOKUP(D2759,'Справочник соответствий'!A$2:D$2981,2,FALSE),IF(VALUE(D2759)=0,0,VLOOKUP(D2759,'Справочник соответствий'!A$2:D$2981,2,FALSE)))</f>
        <v>0</v>
      </c>
      <c r="K2759" s="3" t="str">
        <f t="shared" si="301"/>
        <v>1</v>
      </c>
      <c r="L2759" s="13" t="str">
        <f>IFERROR(VLOOKUP(C2759,'Справочник соответствий'!A$2:D$2981,3,FALSE),IF(VALUE(C2759)=0,"ЭТАЖ НЕ ОПРЕДЕЛЕН. ПРИНЯТ ПО ДОПУЩЕНИЮ 1",VLOOKUP(C2759,'Справочник соответствий'!A$2:D$2981,3,FALSE)))</f>
        <v>ЭТАЖ ЗАДАН ЧИСЛОМ</v>
      </c>
      <c r="M2759" s="13" t="b">
        <f t="shared" si="302"/>
        <v>0</v>
      </c>
      <c r="N2759" s="13">
        <f t="shared" si="303"/>
        <v>1</v>
      </c>
      <c r="O2759" s="13" t="str">
        <f t="shared" si="304"/>
        <v>ЭТАЖ ЗАДАН ЧИСЛОМ</v>
      </c>
      <c r="P2759" s="13" t="str">
        <f t="shared" si="305"/>
        <v>ЭТАЖ ЗАДАН ЧИСЛОМ</v>
      </c>
      <c r="Q2759" s="13" t="str">
        <f t="shared" si="306"/>
        <v>ГОТОВ_ИЗМЕНЕН</v>
      </c>
      <c r="R2759" s="13">
        <f>IFERROR(VLOOKUP(P2759,Лист1!A$1:B$20,2,FALSE),0)</f>
        <v>784</v>
      </c>
      <c r="S2759" s="13">
        <f t="shared" si="307"/>
        <v>0</v>
      </c>
    </row>
    <row r="2760" spans="1:19" x14ac:dyDescent="0.25">
      <c r="A2760" s="24" t="s">
        <v>3890</v>
      </c>
      <c r="B2760" s="4" t="s">
        <v>1063</v>
      </c>
      <c r="G2760" s="25" t="s">
        <v>1325</v>
      </c>
      <c r="H2760" s="24" t="s">
        <v>1061</v>
      </c>
      <c r="I2760" s="3">
        <f>IFERROR(VLOOKUP(C2760,'Справочник соответствий'!A$2:D$2981,2,FALSE),IF(VALUE(C2760)=0,1,VLOOKUP(C2760,'Справочник соответствий'!A$2:D$2981,2,FALSE)))</f>
        <v>1</v>
      </c>
      <c r="J2760" s="3">
        <f>IFERROR(VLOOKUP(D2760,'Справочник соответствий'!A$2:D$2981,2,FALSE),IF(VALUE(D2760)=0,0,VLOOKUP(D2760,'Справочник соответствий'!A$2:D$2981,2,FALSE)))</f>
        <v>0</v>
      </c>
      <c r="K2760" s="3">
        <f t="shared" si="301"/>
        <v>1</v>
      </c>
      <c r="L2760" s="13" t="str">
        <f>IFERROR(VLOOKUP(C2760,'Справочник соответствий'!A$2:D$2981,3,FALSE),IF(VALUE(C2760)=0,"ЭТАЖ НЕ ОПРЕДЕЛЕН. ПРИНЯТ ПО ДОПУЩЕНИЮ 1",VLOOKUP(C2760,'Справочник соответствий'!A$2:D$2981,3,FALSE)))</f>
        <v>ЭТАЖ НЕ ОПРЕДЕЛЕН. ПРИНЯТ ПО ДОПУЩЕНИЮ 1</v>
      </c>
      <c r="M2760" s="13" t="b">
        <f t="shared" si="302"/>
        <v>0</v>
      </c>
      <c r="N2760" s="13">
        <f t="shared" si="303"/>
        <v>1</v>
      </c>
      <c r="O2760" s="13" t="str">
        <f t="shared" si="304"/>
        <v>ЭТАЖ НЕ ОПРЕДЕЛЕН. ПРИНЯТ ПО ДОПУЩЕНИЮ 1</v>
      </c>
      <c r="P2760" s="13" t="str">
        <f t="shared" si="305"/>
        <v>ЭТАЖ НЕ ОПРЕДЕЛЕН. ПРИНЯТ ПО ДОПУЩЕНИЮ 1</v>
      </c>
      <c r="Q2760" s="13" t="str">
        <f t="shared" si="306"/>
        <v>ГОТОВ_ИЗМЕНЕН</v>
      </c>
      <c r="R2760" s="13">
        <f>IFERROR(VLOOKUP(P2760,Лист1!A$1:B$20,2,FALSE),0)</f>
        <v>788</v>
      </c>
      <c r="S2760" s="13">
        <f t="shared" si="307"/>
        <v>0</v>
      </c>
    </row>
    <row r="2761" spans="1:19" x14ac:dyDescent="0.25">
      <c r="A2761" s="24" t="s">
        <v>3891</v>
      </c>
      <c r="B2761" s="4" t="s">
        <v>1059</v>
      </c>
      <c r="C2761" s="25" t="s">
        <v>5</v>
      </c>
      <c r="G2761" s="25" t="s">
        <v>1325</v>
      </c>
      <c r="H2761" s="24" t="s">
        <v>1061</v>
      </c>
      <c r="I2761" s="3" t="str">
        <f>IFERROR(VLOOKUP(C2761,'Справочник соответствий'!A$2:D$2981,2,FALSE),IF(VALUE(C2761)=0,1,VLOOKUP(C2761,'Справочник соответствий'!A$2:D$2981,2,FALSE)))</f>
        <v>1</v>
      </c>
      <c r="J2761" s="3">
        <f>IFERROR(VLOOKUP(D2761,'Справочник соответствий'!A$2:D$2981,2,FALSE),IF(VALUE(D2761)=0,0,VLOOKUP(D2761,'Справочник соответствий'!A$2:D$2981,2,FALSE)))</f>
        <v>0</v>
      </c>
      <c r="K2761" s="3" t="str">
        <f t="shared" si="301"/>
        <v>1</v>
      </c>
      <c r="L2761" s="13" t="str">
        <f>IFERROR(VLOOKUP(C2761,'Справочник соответствий'!A$2:D$2981,3,FALSE),IF(VALUE(C2761)=0,"ЭТАЖ НЕ ОПРЕДЕЛЕН. ПРИНЯТ ПО ДОПУЩЕНИЮ 1",VLOOKUP(C2761,'Справочник соответствий'!A$2:D$2981,3,FALSE)))</f>
        <v>ЭТАЖ ЗАДАН ЧИСЛОМ</v>
      </c>
      <c r="M2761" s="13" t="b">
        <f t="shared" si="302"/>
        <v>0</v>
      </c>
      <c r="N2761" s="13">
        <f t="shared" si="303"/>
        <v>1</v>
      </c>
      <c r="O2761" s="13" t="str">
        <f t="shared" si="304"/>
        <v>ЭТАЖ ЗАДАН ЧИСЛОМ</v>
      </c>
      <c r="P2761" s="13" t="str">
        <f t="shared" si="305"/>
        <v>ЭТАЖ ЗАДАН ЧИСЛОМ</v>
      </c>
      <c r="Q2761" s="13" t="str">
        <f t="shared" si="306"/>
        <v>ГОТОВ_ИЗМЕНЕН</v>
      </c>
      <c r="R2761" s="13">
        <f>IFERROR(VLOOKUP(P2761,Лист1!A$1:B$20,2,FALSE),0)</f>
        <v>784</v>
      </c>
      <c r="S2761" s="13">
        <f t="shared" si="307"/>
        <v>0</v>
      </c>
    </row>
    <row r="2762" spans="1:19" x14ac:dyDescent="0.25">
      <c r="A2762" s="24" t="s">
        <v>3892</v>
      </c>
      <c r="B2762" s="4" t="s">
        <v>1059</v>
      </c>
      <c r="C2762" s="25" t="s">
        <v>5</v>
      </c>
      <c r="G2762" s="25" t="s">
        <v>1205</v>
      </c>
      <c r="H2762" s="24" t="s">
        <v>1061</v>
      </c>
      <c r="I2762" s="3" t="str">
        <f>IFERROR(VLOOKUP(C2762,'Справочник соответствий'!A$2:D$2981,2,FALSE),IF(VALUE(C2762)=0,1,VLOOKUP(C2762,'Справочник соответствий'!A$2:D$2981,2,FALSE)))</f>
        <v>1</v>
      </c>
      <c r="J2762" s="3">
        <f>IFERROR(VLOOKUP(D2762,'Справочник соответствий'!A$2:D$2981,2,FALSE),IF(VALUE(D2762)=0,0,VLOOKUP(D2762,'Справочник соответствий'!A$2:D$2981,2,FALSE)))</f>
        <v>0</v>
      </c>
      <c r="K2762" s="3" t="str">
        <f t="shared" si="301"/>
        <v>1</v>
      </c>
      <c r="L2762" s="13" t="str">
        <f>IFERROR(VLOOKUP(C2762,'Справочник соответствий'!A$2:D$2981,3,FALSE),IF(VALUE(C2762)=0,"ЭТАЖ НЕ ОПРЕДЕЛЕН. ПРИНЯТ ПО ДОПУЩЕНИЮ 1",VLOOKUP(C2762,'Справочник соответствий'!A$2:D$2981,3,FALSE)))</f>
        <v>ЭТАЖ ЗАДАН ЧИСЛОМ</v>
      </c>
      <c r="M2762" s="13" t="b">
        <f t="shared" si="302"/>
        <v>0</v>
      </c>
      <c r="N2762" s="13">
        <f t="shared" si="303"/>
        <v>1</v>
      </c>
      <c r="O2762" s="13" t="str">
        <f t="shared" si="304"/>
        <v>ЭТАЖ ЗАДАН ЧИСЛОМ</v>
      </c>
      <c r="P2762" s="13" t="str">
        <f t="shared" si="305"/>
        <v>ЭТАЖ ЗАДАН ЧИСЛОМ</v>
      </c>
      <c r="Q2762" s="13" t="str">
        <f t="shared" si="306"/>
        <v>ГОТОВ_ИЗМЕНЕН</v>
      </c>
      <c r="R2762" s="13">
        <f>IFERROR(VLOOKUP(P2762,Лист1!A$1:B$20,2,FALSE),0)</f>
        <v>784</v>
      </c>
      <c r="S2762" s="13">
        <f t="shared" si="307"/>
        <v>0</v>
      </c>
    </row>
    <row r="2763" spans="1:19" x14ac:dyDescent="0.25">
      <c r="A2763" s="24" t="s">
        <v>3893</v>
      </c>
      <c r="B2763" s="4" t="s">
        <v>1059</v>
      </c>
      <c r="G2763" s="25" t="s">
        <v>1347</v>
      </c>
      <c r="H2763" s="24" t="s">
        <v>1061</v>
      </c>
      <c r="I2763" s="3">
        <f>IFERROR(VLOOKUP(C2763,'Справочник соответствий'!A$2:D$2981,2,FALSE),IF(VALUE(C2763)=0,1,VLOOKUP(C2763,'Справочник соответствий'!A$2:D$2981,2,FALSE)))</f>
        <v>1</v>
      </c>
      <c r="J2763" s="3">
        <f>IFERROR(VLOOKUP(D2763,'Справочник соответствий'!A$2:D$2981,2,FALSE),IF(VALUE(D2763)=0,0,VLOOKUP(D2763,'Справочник соответствий'!A$2:D$2981,2,FALSE)))</f>
        <v>0</v>
      </c>
      <c r="K2763" s="3">
        <f t="shared" si="301"/>
        <v>1</v>
      </c>
      <c r="L2763" s="13" t="str">
        <f>IFERROR(VLOOKUP(C2763,'Справочник соответствий'!A$2:D$2981,3,FALSE),IF(VALUE(C2763)=0,"ЭТАЖ НЕ ОПРЕДЕЛЕН. ПРИНЯТ ПО ДОПУЩЕНИЮ 1",VLOOKUP(C2763,'Справочник соответствий'!A$2:D$2981,3,FALSE)))</f>
        <v>ЭТАЖ НЕ ОПРЕДЕЛЕН. ПРИНЯТ ПО ДОПУЩЕНИЮ 1</v>
      </c>
      <c r="M2763" s="13" t="b">
        <f t="shared" si="302"/>
        <v>0</v>
      </c>
      <c r="N2763" s="13">
        <f t="shared" si="303"/>
        <v>1</v>
      </c>
      <c r="O2763" s="13" t="str">
        <f t="shared" si="304"/>
        <v>ЭТАЖ НЕ ОПРЕДЕЛЕН. ПРИНЯТ ПО ДОПУЩЕНИЮ 1</v>
      </c>
      <c r="P2763" s="13" t="str">
        <f t="shared" si="305"/>
        <v>ЭТАЖ НЕ ОПРЕДЕЛЕН. ПРИНЯТ ПО ДОПУЩЕНИЮ 1</v>
      </c>
      <c r="Q2763" s="13" t="str">
        <f t="shared" si="306"/>
        <v>ГОТОВ_ИЗМЕНЕН</v>
      </c>
      <c r="R2763" s="13">
        <f>IFERROR(VLOOKUP(P2763,Лист1!A$1:B$20,2,FALSE),0)</f>
        <v>788</v>
      </c>
      <c r="S2763" s="13">
        <f t="shared" si="307"/>
        <v>0</v>
      </c>
    </row>
    <row r="2764" spans="1:19" x14ac:dyDescent="0.25">
      <c r="A2764" s="24" t="s">
        <v>3894</v>
      </c>
      <c r="B2764" s="4" t="s">
        <v>1059</v>
      </c>
      <c r="C2764" s="25" t="s">
        <v>5</v>
      </c>
      <c r="G2764" s="25" t="s">
        <v>1099</v>
      </c>
      <c r="H2764" s="24" t="s">
        <v>1061</v>
      </c>
      <c r="I2764" s="3" t="str">
        <f>IFERROR(VLOOKUP(C2764,'Справочник соответствий'!A$2:D$2981,2,FALSE),IF(VALUE(C2764)=0,1,VLOOKUP(C2764,'Справочник соответствий'!A$2:D$2981,2,FALSE)))</f>
        <v>1</v>
      </c>
      <c r="J2764" s="3">
        <f>IFERROR(VLOOKUP(D2764,'Справочник соответствий'!A$2:D$2981,2,FALSE),IF(VALUE(D2764)=0,0,VLOOKUP(D2764,'Справочник соответствий'!A$2:D$2981,2,FALSE)))</f>
        <v>0</v>
      </c>
      <c r="K2764" s="3" t="str">
        <f t="shared" si="301"/>
        <v>1</v>
      </c>
      <c r="L2764" s="13" t="str">
        <f>IFERROR(VLOOKUP(C2764,'Справочник соответствий'!A$2:D$2981,3,FALSE),IF(VALUE(C2764)=0,"ЭТАЖ НЕ ОПРЕДЕЛЕН. ПРИНЯТ ПО ДОПУЩЕНИЮ 1",VLOOKUP(C2764,'Справочник соответствий'!A$2:D$2981,3,FALSE)))</f>
        <v>ЭТАЖ ЗАДАН ЧИСЛОМ</v>
      </c>
      <c r="M2764" s="13" t="b">
        <f t="shared" si="302"/>
        <v>0</v>
      </c>
      <c r="N2764" s="13">
        <f t="shared" si="303"/>
        <v>1</v>
      </c>
      <c r="O2764" s="13" t="str">
        <f t="shared" si="304"/>
        <v>ЭТАЖ ЗАДАН ЧИСЛОМ</v>
      </c>
      <c r="P2764" s="13" t="str">
        <f t="shared" si="305"/>
        <v>ЭТАЖ ЗАДАН ЧИСЛОМ</v>
      </c>
      <c r="Q2764" s="13" t="str">
        <f t="shared" si="306"/>
        <v>ГОТОВ_ИЗМЕНЕН</v>
      </c>
      <c r="R2764" s="13">
        <f>IFERROR(VLOOKUP(P2764,Лист1!A$1:B$20,2,FALSE),0)</f>
        <v>784</v>
      </c>
      <c r="S2764" s="13">
        <f t="shared" si="307"/>
        <v>0</v>
      </c>
    </row>
    <row r="2765" spans="1:19" x14ac:dyDescent="0.25">
      <c r="A2765" s="24" t="s">
        <v>3895</v>
      </c>
      <c r="B2765" s="4" t="s">
        <v>1059</v>
      </c>
      <c r="C2765" s="25" t="s">
        <v>7</v>
      </c>
      <c r="G2765" s="25" t="s">
        <v>1099</v>
      </c>
      <c r="H2765" s="24" t="s">
        <v>1061</v>
      </c>
      <c r="I2765" s="3" t="str">
        <f>IFERROR(VLOOKUP(C2765,'Справочник соответствий'!A$2:D$2981,2,FALSE),IF(VALUE(C2765)=0,1,VLOOKUP(C2765,'Справочник соответствий'!A$2:D$2981,2,FALSE)))</f>
        <v>2</v>
      </c>
      <c r="J2765" s="3">
        <f>IFERROR(VLOOKUP(D2765,'Справочник соответствий'!A$2:D$2981,2,FALSE),IF(VALUE(D2765)=0,0,VLOOKUP(D2765,'Справочник соответствий'!A$2:D$2981,2,FALSE)))</f>
        <v>0</v>
      </c>
      <c r="K2765" s="3" t="str">
        <f t="shared" si="301"/>
        <v>2</v>
      </c>
      <c r="L2765" s="13" t="str">
        <f>IFERROR(VLOOKUP(C2765,'Справочник соответствий'!A$2:D$2981,3,FALSE),IF(VALUE(C2765)=0,"ЭТАЖ НЕ ОПРЕДЕЛЕН. ПРИНЯТ ПО ДОПУЩЕНИЮ 1",VLOOKUP(C2765,'Справочник соответствий'!A$2:D$2981,3,FALSE)))</f>
        <v>ЭТАЖ ЗАДАН ЧИСЛОМ</v>
      </c>
      <c r="M2765" s="13" t="b">
        <f t="shared" si="302"/>
        <v>0</v>
      </c>
      <c r="N2765" s="13">
        <f t="shared" si="303"/>
        <v>2</v>
      </c>
      <c r="O2765" s="13" t="str">
        <f t="shared" si="304"/>
        <v>ЭТАЖ ЗАДАН ЧИСЛОМ</v>
      </c>
      <c r="P2765" s="13" t="str">
        <f t="shared" si="305"/>
        <v>ЭТАЖ ЗАДАН ЧИСЛОМ</v>
      </c>
      <c r="Q2765" s="13" t="str">
        <f t="shared" si="306"/>
        <v>ГОТОВ_ИЗМЕНЕН</v>
      </c>
      <c r="R2765" s="13">
        <f>IFERROR(VLOOKUP(P2765,Лист1!A$1:B$20,2,FALSE),0)</f>
        <v>784</v>
      </c>
      <c r="S2765" s="13">
        <f t="shared" si="307"/>
        <v>0</v>
      </c>
    </row>
    <row r="2766" spans="1:19" x14ac:dyDescent="0.25">
      <c r="A2766" s="24" t="s">
        <v>3896</v>
      </c>
      <c r="B2766" s="4" t="s">
        <v>1059</v>
      </c>
      <c r="C2766" s="25" t="s">
        <v>7</v>
      </c>
      <c r="G2766" s="25" t="s">
        <v>1205</v>
      </c>
      <c r="H2766" s="24" t="s">
        <v>1061</v>
      </c>
      <c r="I2766" s="3" t="str">
        <f>IFERROR(VLOOKUP(C2766,'Справочник соответствий'!A$2:D$2981,2,FALSE),IF(VALUE(C2766)=0,1,VLOOKUP(C2766,'Справочник соответствий'!A$2:D$2981,2,FALSE)))</f>
        <v>2</v>
      </c>
      <c r="J2766" s="3">
        <f>IFERROR(VLOOKUP(D2766,'Справочник соответствий'!A$2:D$2981,2,FALSE),IF(VALUE(D2766)=0,0,VLOOKUP(D2766,'Справочник соответствий'!A$2:D$2981,2,FALSE)))</f>
        <v>0</v>
      </c>
      <c r="K2766" s="3" t="str">
        <f t="shared" si="301"/>
        <v>2</v>
      </c>
      <c r="L2766" s="13" t="str">
        <f>IFERROR(VLOOKUP(C2766,'Справочник соответствий'!A$2:D$2981,3,FALSE),IF(VALUE(C2766)=0,"ЭТАЖ НЕ ОПРЕДЕЛЕН. ПРИНЯТ ПО ДОПУЩЕНИЮ 1",VLOOKUP(C2766,'Справочник соответствий'!A$2:D$2981,3,FALSE)))</f>
        <v>ЭТАЖ ЗАДАН ЧИСЛОМ</v>
      </c>
      <c r="M2766" s="13" t="b">
        <f t="shared" si="302"/>
        <v>0</v>
      </c>
      <c r="N2766" s="13">
        <f t="shared" si="303"/>
        <v>2</v>
      </c>
      <c r="O2766" s="13" t="str">
        <f t="shared" si="304"/>
        <v>ЭТАЖ ЗАДАН ЧИСЛОМ</v>
      </c>
      <c r="P2766" s="13" t="str">
        <f t="shared" si="305"/>
        <v>ЭТАЖ ЗАДАН ЧИСЛОМ</v>
      </c>
      <c r="Q2766" s="13" t="str">
        <f t="shared" si="306"/>
        <v>ГОТОВ_ИЗМЕНЕН</v>
      </c>
      <c r="R2766" s="13">
        <f>IFERROR(VLOOKUP(P2766,Лист1!A$1:B$20,2,FALSE),0)</f>
        <v>784</v>
      </c>
      <c r="S2766" s="13">
        <f t="shared" si="307"/>
        <v>0</v>
      </c>
    </row>
    <row r="2767" spans="1:19" x14ac:dyDescent="0.25">
      <c r="A2767" s="24" t="s">
        <v>3897</v>
      </c>
      <c r="B2767" s="4" t="s">
        <v>1059</v>
      </c>
      <c r="C2767" s="25" t="s">
        <v>7</v>
      </c>
      <c r="G2767" s="25" t="s">
        <v>1108</v>
      </c>
      <c r="H2767" s="24" t="s">
        <v>1061</v>
      </c>
      <c r="I2767" s="3" t="str">
        <f>IFERROR(VLOOKUP(C2767,'Справочник соответствий'!A$2:D$2981,2,FALSE),IF(VALUE(C2767)=0,1,VLOOKUP(C2767,'Справочник соответствий'!A$2:D$2981,2,FALSE)))</f>
        <v>2</v>
      </c>
      <c r="J2767" s="3">
        <f>IFERROR(VLOOKUP(D2767,'Справочник соответствий'!A$2:D$2981,2,FALSE),IF(VALUE(D2767)=0,0,VLOOKUP(D2767,'Справочник соответствий'!A$2:D$2981,2,FALSE)))</f>
        <v>0</v>
      </c>
      <c r="K2767" s="3" t="str">
        <f t="shared" si="301"/>
        <v>2</v>
      </c>
      <c r="L2767" s="13" t="str">
        <f>IFERROR(VLOOKUP(C2767,'Справочник соответствий'!A$2:D$2981,3,FALSE),IF(VALUE(C2767)=0,"ЭТАЖ НЕ ОПРЕДЕЛЕН. ПРИНЯТ ПО ДОПУЩЕНИЮ 1",VLOOKUP(C2767,'Справочник соответствий'!A$2:D$2981,3,FALSE)))</f>
        <v>ЭТАЖ ЗАДАН ЧИСЛОМ</v>
      </c>
      <c r="M2767" s="13" t="b">
        <f t="shared" si="302"/>
        <v>0</v>
      </c>
      <c r="N2767" s="13">
        <f t="shared" si="303"/>
        <v>2</v>
      </c>
      <c r="O2767" s="13" t="str">
        <f t="shared" si="304"/>
        <v>ЭТАЖ ЗАДАН ЧИСЛОМ</v>
      </c>
      <c r="P2767" s="13" t="str">
        <f t="shared" si="305"/>
        <v>ЭТАЖ ЗАДАН ЧИСЛОМ</v>
      </c>
      <c r="Q2767" s="13" t="str">
        <f t="shared" si="306"/>
        <v>ГОТОВ_ИЗМЕНЕН</v>
      </c>
      <c r="R2767" s="13">
        <f>IFERROR(VLOOKUP(P2767,Лист1!A$1:B$20,2,FALSE),0)</f>
        <v>784</v>
      </c>
      <c r="S2767" s="13">
        <f t="shared" si="307"/>
        <v>0</v>
      </c>
    </row>
    <row r="2768" spans="1:19" x14ac:dyDescent="0.25">
      <c r="A2768" s="24" t="s">
        <v>3898</v>
      </c>
      <c r="B2768" s="4" t="s">
        <v>1063</v>
      </c>
      <c r="C2768" s="25" t="s">
        <v>5</v>
      </c>
      <c r="G2768" s="25" t="s">
        <v>1108</v>
      </c>
      <c r="H2768" s="24" t="s">
        <v>1061</v>
      </c>
      <c r="I2768" s="3" t="str">
        <f>IFERROR(VLOOKUP(C2768,'Справочник соответствий'!A$2:D$2981,2,FALSE),IF(VALUE(C2768)=0,1,VLOOKUP(C2768,'Справочник соответствий'!A$2:D$2981,2,FALSE)))</f>
        <v>1</v>
      </c>
      <c r="J2768" s="3">
        <f>IFERROR(VLOOKUP(D2768,'Справочник соответствий'!A$2:D$2981,2,FALSE),IF(VALUE(D2768)=0,0,VLOOKUP(D2768,'Справочник соответствий'!A$2:D$2981,2,FALSE)))</f>
        <v>0</v>
      </c>
      <c r="K2768" s="3" t="str">
        <f t="shared" si="301"/>
        <v>1</v>
      </c>
      <c r="L2768" s="13" t="str">
        <f>IFERROR(VLOOKUP(C2768,'Справочник соответствий'!A$2:D$2981,3,FALSE),IF(VALUE(C2768)=0,"ЭТАЖ НЕ ОПРЕДЕЛЕН. ПРИНЯТ ПО ДОПУЩЕНИЮ 1",VLOOKUP(C2768,'Справочник соответствий'!A$2:D$2981,3,FALSE)))</f>
        <v>ЭТАЖ ЗАДАН ЧИСЛОМ</v>
      </c>
      <c r="M2768" s="13" t="b">
        <f t="shared" si="302"/>
        <v>0</v>
      </c>
      <c r="N2768" s="13">
        <f t="shared" si="303"/>
        <v>1</v>
      </c>
      <c r="O2768" s="13" t="str">
        <f t="shared" si="304"/>
        <v>ЭТАЖ ЗАДАН ЧИСЛОМ</v>
      </c>
      <c r="P2768" s="13" t="str">
        <f t="shared" si="305"/>
        <v>ЭТАЖ ЗАДАН ЧИСЛОМ</v>
      </c>
      <c r="Q2768" s="13" t="str">
        <f t="shared" si="306"/>
        <v>ГОТОВ_ИЗМЕНЕН</v>
      </c>
      <c r="R2768" s="13">
        <f>IFERROR(VLOOKUP(P2768,Лист1!A$1:B$20,2,FALSE),0)</f>
        <v>784</v>
      </c>
      <c r="S2768" s="13">
        <f t="shared" si="307"/>
        <v>0</v>
      </c>
    </row>
    <row r="2769" spans="1:19" x14ac:dyDescent="0.25">
      <c r="A2769" s="24" t="s">
        <v>3899</v>
      </c>
      <c r="B2769" s="4" t="s">
        <v>1059</v>
      </c>
      <c r="C2769" s="25" t="s">
        <v>5</v>
      </c>
      <c r="G2769" s="25" t="s">
        <v>1106</v>
      </c>
      <c r="H2769" s="24" t="s">
        <v>1061</v>
      </c>
      <c r="I2769" s="3" t="str">
        <f>IFERROR(VLOOKUP(C2769,'Справочник соответствий'!A$2:D$2981,2,FALSE),IF(VALUE(C2769)=0,1,VLOOKUP(C2769,'Справочник соответствий'!A$2:D$2981,2,FALSE)))</f>
        <v>1</v>
      </c>
      <c r="J2769" s="3">
        <f>IFERROR(VLOOKUP(D2769,'Справочник соответствий'!A$2:D$2981,2,FALSE),IF(VALUE(D2769)=0,0,VLOOKUP(D2769,'Справочник соответствий'!A$2:D$2981,2,FALSE)))</f>
        <v>0</v>
      </c>
      <c r="K2769" s="3" t="str">
        <f t="shared" si="301"/>
        <v>1</v>
      </c>
      <c r="L2769" s="13" t="str">
        <f>IFERROR(VLOOKUP(C2769,'Справочник соответствий'!A$2:D$2981,3,FALSE),IF(VALUE(C2769)=0,"ЭТАЖ НЕ ОПРЕДЕЛЕН. ПРИНЯТ ПО ДОПУЩЕНИЮ 1",VLOOKUP(C2769,'Справочник соответствий'!A$2:D$2981,3,FALSE)))</f>
        <v>ЭТАЖ ЗАДАН ЧИСЛОМ</v>
      </c>
      <c r="M2769" s="13" t="b">
        <f t="shared" si="302"/>
        <v>0</v>
      </c>
      <c r="N2769" s="13">
        <f t="shared" si="303"/>
        <v>1</v>
      </c>
      <c r="O2769" s="13" t="str">
        <f t="shared" si="304"/>
        <v>ЭТАЖ ЗАДАН ЧИСЛОМ</v>
      </c>
      <c r="P2769" s="13" t="str">
        <f t="shared" si="305"/>
        <v>ЭТАЖ ЗАДАН ЧИСЛОМ</v>
      </c>
      <c r="Q2769" s="13" t="str">
        <f t="shared" si="306"/>
        <v>ГОТОВ_ИЗМЕНЕН</v>
      </c>
      <c r="R2769" s="13">
        <f>IFERROR(VLOOKUP(P2769,Лист1!A$1:B$20,2,FALSE),0)</f>
        <v>784</v>
      </c>
      <c r="S2769" s="13">
        <f t="shared" si="307"/>
        <v>0</v>
      </c>
    </row>
    <row r="2770" spans="1:19" x14ac:dyDescent="0.25">
      <c r="A2770" s="24" t="s">
        <v>3900</v>
      </c>
      <c r="B2770" s="4" t="s">
        <v>1059</v>
      </c>
      <c r="C2770" s="25" t="s">
        <v>7</v>
      </c>
      <c r="G2770" s="25" t="s">
        <v>1108</v>
      </c>
      <c r="H2770" s="24" t="s">
        <v>1061</v>
      </c>
      <c r="I2770" s="3" t="str">
        <f>IFERROR(VLOOKUP(C2770,'Справочник соответствий'!A$2:D$2981,2,FALSE),IF(VALUE(C2770)=0,1,VLOOKUP(C2770,'Справочник соответствий'!A$2:D$2981,2,FALSE)))</f>
        <v>2</v>
      </c>
      <c r="J2770" s="3">
        <f>IFERROR(VLOOKUP(D2770,'Справочник соответствий'!A$2:D$2981,2,FALSE),IF(VALUE(D2770)=0,0,VLOOKUP(D2770,'Справочник соответствий'!A$2:D$2981,2,FALSE)))</f>
        <v>0</v>
      </c>
      <c r="K2770" s="3" t="str">
        <f t="shared" si="301"/>
        <v>2</v>
      </c>
      <c r="L2770" s="13" t="str">
        <f>IFERROR(VLOOKUP(C2770,'Справочник соответствий'!A$2:D$2981,3,FALSE),IF(VALUE(C2770)=0,"ЭТАЖ НЕ ОПРЕДЕЛЕН. ПРИНЯТ ПО ДОПУЩЕНИЮ 1",VLOOKUP(C2770,'Справочник соответствий'!A$2:D$2981,3,FALSE)))</f>
        <v>ЭТАЖ ЗАДАН ЧИСЛОМ</v>
      </c>
      <c r="M2770" s="13" t="b">
        <f t="shared" si="302"/>
        <v>0</v>
      </c>
      <c r="N2770" s="13">
        <f t="shared" si="303"/>
        <v>2</v>
      </c>
      <c r="O2770" s="13" t="str">
        <f t="shared" si="304"/>
        <v>ЭТАЖ ЗАДАН ЧИСЛОМ</v>
      </c>
      <c r="P2770" s="13" t="str">
        <f t="shared" si="305"/>
        <v>ЭТАЖ ЗАДАН ЧИСЛОМ</v>
      </c>
      <c r="Q2770" s="13" t="str">
        <f t="shared" si="306"/>
        <v>ГОТОВ_ИЗМЕНЕН</v>
      </c>
      <c r="R2770" s="13">
        <f>IFERROR(VLOOKUP(P2770,Лист1!A$1:B$20,2,FALSE),0)</f>
        <v>784</v>
      </c>
      <c r="S2770" s="13">
        <f t="shared" si="307"/>
        <v>0</v>
      </c>
    </row>
    <row r="2771" spans="1:19" x14ac:dyDescent="0.25">
      <c r="A2771" s="24" t="s">
        <v>3901</v>
      </c>
      <c r="B2771" s="4" t="s">
        <v>1063</v>
      </c>
      <c r="C2771" s="25" t="s">
        <v>5</v>
      </c>
      <c r="G2771" s="25" t="s">
        <v>1060</v>
      </c>
      <c r="H2771" s="24" t="s">
        <v>1061</v>
      </c>
      <c r="I2771" s="3" t="str">
        <f>IFERROR(VLOOKUP(C2771,'Справочник соответствий'!A$2:D$2981,2,FALSE),IF(VALUE(C2771)=0,1,VLOOKUP(C2771,'Справочник соответствий'!A$2:D$2981,2,FALSE)))</f>
        <v>1</v>
      </c>
      <c r="J2771" s="3">
        <f>IFERROR(VLOOKUP(D2771,'Справочник соответствий'!A$2:D$2981,2,FALSE),IF(VALUE(D2771)=0,0,VLOOKUP(D2771,'Справочник соответствий'!A$2:D$2981,2,FALSE)))</f>
        <v>0</v>
      </c>
      <c r="K2771" s="3" t="str">
        <f t="shared" si="301"/>
        <v>1</v>
      </c>
      <c r="L2771" s="13" t="str">
        <f>IFERROR(VLOOKUP(C2771,'Справочник соответствий'!A$2:D$2981,3,FALSE),IF(VALUE(C2771)=0,"ЭТАЖ НЕ ОПРЕДЕЛЕН. ПРИНЯТ ПО ДОПУЩЕНИЮ 1",VLOOKUP(C2771,'Справочник соответствий'!A$2:D$2981,3,FALSE)))</f>
        <v>ЭТАЖ ЗАДАН ЧИСЛОМ</v>
      </c>
      <c r="M2771" s="13" t="b">
        <f t="shared" si="302"/>
        <v>0</v>
      </c>
      <c r="N2771" s="13">
        <f t="shared" si="303"/>
        <v>1</v>
      </c>
      <c r="O2771" s="13" t="str">
        <f t="shared" si="304"/>
        <v>ЭТАЖ ЗАДАН ЧИСЛОМ</v>
      </c>
      <c r="P2771" s="13" t="str">
        <f t="shared" si="305"/>
        <v>ЭТАЖ ЗАДАН ЧИСЛОМ</v>
      </c>
      <c r="Q2771" s="13" t="str">
        <f t="shared" si="306"/>
        <v>ГОТОВ_ИЗМЕНЕН</v>
      </c>
      <c r="R2771" s="13">
        <f>IFERROR(VLOOKUP(P2771,Лист1!A$1:B$20,2,FALSE),0)</f>
        <v>784</v>
      </c>
      <c r="S2771" s="13">
        <f t="shared" si="307"/>
        <v>0</v>
      </c>
    </row>
    <row r="2772" spans="1:19" x14ac:dyDescent="0.25">
      <c r="A2772" s="24" t="s">
        <v>3902</v>
      </c>
      <c r="B2772" s="4" t="s">
        <v>1059</v>
      </c>
      <c r="C2772" s="25" t="s">
        <v>7</v>
      </c>
      <c r="G2772" s="25" t="s">
        <v>1060</v>
      </c>
      <c r="H2772" s="24" t="s">
        <v>1061</v>
      </c>
      <c r="I2772" s="3" t="str">
        <f>IFERROR(VLOOKUP(C2772,'Справочник соответствий'!A$2:D$2981,2,FALSE),IF(VALUE(C2772)=0,1,VLOOKUP(C2772,'Справочник соответствий'!A$2:D$2981,2,FALSE)))</f>
        <v>2</v>
      </c>
      <c r="J2772" s="3">
        <f>IFERROR(VLOOKUP(D2772,'Справочник соответствий'!A$2:D$2981,2,FALSE),IF(VALUE(D2772)=0,0,VLOOKUP(D2772,'Справочник соответствий'!A$2:D$2981,2,FALSE)))</f>
        <v>0</v>
      </c>
      <c r="K2772" s="3" t="str">
        <f t="shared" si="301"/>
        <v>2</v>
      </c>
      <c r="L2772" s="13" t="str">
        <f>IFERROR(VLOOKUP(C2772,'Справочник соответствий'!A$2:D$2981,3,FALSE),IF(VALUE(C2772)=0,"ЭТАЖ НЕ ОПРЕДЕЛЕН. ПРИНЯТ ПО ДОПУЩЕНИЮ 1",VLOOKUP(C2772,'Справочник соответствий'!A$2:D$2981,3,FALSE)))</f>
        <v>ЭТАЖ ЗАДАН ЧИСЛОМ</v>
      </c>
      <c r="M2772" s="13" t="b">
        <f t="shared" si="302"/>
        <v>0</v>
      </c>
      <c r="N2772" s="13">
        <f t="shared" si="303"/>
        <v>2</v>
      </c>
      <c r="O2772" s="13" t="str">
        <f t="shared" si="304"/>
        <v>ЭТАЖ ЗАДАН ЧИСЛОМ</v>
      </c>
      <c r="P2772" s="13" t="str">
        <f t="shared" si="305"/>
        <v>ЭТАЖ ЗАДАН ЧИСЛОМ</v>
      </c>
      <c r="Q2772" s="13" t="str">
        <f t="shared" si="306"/>
        <v>ГОТОВ_ИЗМЕНЕН</v>
      </c>
      <c r="R2772" s="13">
        <f>IFERROR(VLOOKUP(P2772,Лист1!A$1:B$20,2,FALSE),0)</f>
        <v>784</v>
      </c>
      <c r="S2772" s="13">
        <f t="shared" si="307"/>
        <v>0</v>
      </c>
    </row>
    <row r="2773" spans="1:19" x14ac:dyDescent="0.25">
      <c r="A2773" s="24" t="s">
        <v>3903</v>
      </c>
      <c r="B2773" s="4" t="s">
        <v>1059</v>
      </c>
      <c r="C2773" s="25" t="s">
        <v>5</v>
      </c>
      <c r="G2773" s="25" t="s">
        <v>1060</v>
      </c>
      <c r="H2773" s="24" t="s">
        <v>1061</v>
      </c>
      <c r="I2773" s="3" t="str">
        <f>IFERROR(VLOOKUP(C2773,'Справочник соответствий'!A$2:D$2981,2,FALSE),IF(VALUE(C2773)=0,1,VLOOKUP(C2773,'Справочник соответствий'!A$2:D$2981,2,FALSE)))</f>
        <v>1</v>
      </c>
      <c r="J2773" s="3">
        <f>IFERROR(VLOOKUP(D2773,'Справочник соответствий'!A$2:D$2981,2,FALSE),IF(VALUE(D2773)=0,0,VLOOKUP(D2773,'Справочник соответствий'!A$2:D$2981,2,FALSE)))</f>
        <v>0</v>
      </c>
      <c r="K2773" s="3" t="str">
        <f t="shared" si="301"/>
        <v>1</v>
      </c>
      <c r="L2773" s="13" t="str">
        <f>IFERROR(VLOOKUP(C2773,'Справочник соответствий'!A$2:D$2981,3,FALSE),IF(VALUE(C2773)=0,"ЭТАЖ НЕ ОПРЕДЕЛЕН. ПРИНЯТ ПО ДОПУЩЕНИЮ 1",VLOOKUP(C2773,'Справочник соответствий'!A$2:D$2981,3,FALSE)))</f>
        <v>ЭТАЖ ЗАДАН ЧИСЛОМ</v>
      </c>
      <c r="M2773" s="13" t="b">
        <f t="shared" si="302"/>
        <v>0</v>
      </c>
      <c r="N2773" s="13">
        <f t="shared" si="303"/>
        <v>1</v>
      </c>
      <c r="O2773" s="13" t="str">
        <f t="shared" si="304"/>
        <v>ЭТАЖ ЗАДАН ЧИСЛОМ</v>
      </c>
      <c r="P2773" s="13" t="str">
        <f t="shared" si="305"/>
        <v>ЭТАЖ ЗАДАН ЧИСЛОМ</v>
      </c>
      <c r="Q2773" s="13" t="str">
        <f t="shared" si="306"/>
        <v>ГОТОВ_ИЗМЕНЕН</v>
      </c>
      <c r="R2773" s="13">
        <f>IFERROR(VLOOKUP(P2773,Лист1!A$1:B$20,2,FALSE),0)</f>
        <v>784</v>
      </c>
      <c r="S2773" s="13">
        <f t="shared" si="307"/>
        <v>0</v>
      </c>
    </row>
    <row r="2774" spans="1:19" x14ac:dyDescent="0.25">
      <c r="A2774" s="24" t="s">
        <v>3904</v>
      </c>
      <c r="B2774" s="4" t="s">
        <v>1063</v>
      </c>
      <c r="G2774" s="25" t="s">
        <v>1060</v>
      </c>
      <c r="H2774" s="24" t="s">
        <v>1061</v>
      </c>
      <c r="I2774" s="3">
        <f>IFERROR(VLOOKUP(C2774,'Справочник соответствий'!A$2:D$2981,2,FALSE),IF(VALUE(C2774)=0,1,VLOOKUP(C2774,'Справочник соответствий'!A$2:D$2981,2,FALSE)))</f>
        <v>1</v>
      </c>
      <c r="J2774" s="3">
        <f>IFERROR(VLOOKUP(D2774,'Справочник соответствий'!A$2:D$2981,2,FALSE),IF(VALUE(D2774)=0,0,VLOOKUP(D2774,'Справочник соответствий'!A$2:D$2981,2,FALSE)))</f>
        <v>0</v>
      </c>
      <c r="K2774" s="3">
        <f t="shared" si="301"/>
        <v>1</v>
      </c>
      <c r="L2774" s="13" t="str">
        <f>IFERROR(VLOOKUP(C2774,'Справочник соответствий'!A$2:D$2981,3,FALSE),IF(VALUE(C2774)=0,"ЭТАЖ НЕ ОПРЕДЕЛЕН. ПРИНЯТ ПО ДОПУЩЕНИЮ 1",VLOOKUP(C2774,'Справочник соответствий'!A$2:D$2981,3,FALSE)))</f>
        <v>ЭТАЖ НЕ ОПРЕДЕЛЕН. ПРИНЯТ ПО ДОПУЩЕНИЮ 1</v>
      </c>
      <c r="M2774" s="13" t="b">
        <f t="shared" si="302"/>
        <v>0</v>
      </c>
      <c r="N2774" s="13">
        <f t="shared" si="303"/>
        <v>1</v>
      </c>
      <c r="O2774" s="13" t="str">
        <f t="shared" si="304"/>
        <v>ЭТАЖ НЕ ОПРЕДЕЛЕН. ПРИНЯТ ПО ДОПУЩЕНИЮ 1</v>
      </c>
      <c r="P2774" s="13" t="str">
        <f t="shared" si="305"/>
        <v>ЭТАЖ НЕ ОПРЕДЕЛЕН. ПРИНЯТ ПО ДОПУЩЕНИЮ 1</v>
      </c>
      <c r="Q2774" s="13" t="str">
        <f t="shared" si="306"/>
        <v>ГОТОВ_ИЗМЕНЕН</v>
      </c>
      <c r="R2774" s="13">
        <f>IFERROR(VLOOKUP(P2774,Лист1!A$1:B$20,2,FALSE),0)</f>
        <v>788</v>
      </c>
      <c r="S2774" s="13">
        <f t="shared" si="307"/>
        <v>0</v>
      </c>
    </row>
    <row r="2775" spans="1:19" x14ac:dyDescent="0.25">
      <c r="A2775" s="24" t="s">
        <v>3905</v>
      </c>
      <c r="B2775" s="4" t="s">
        <v>1063</v>
      </c>
      <c r="C2775" s="25" t="s">
        <v>5</v>
      </c>
      <c r="G2775" s="25" t="s">
        <v>1060</v>
      </c>
      <c r="H2775" s="24" t="s">
        <v>1061</v>
      </c>
      <c r="I2775" s="3" t="str">
        <f>IFERROR(VLOOKUP(C2775,'Справочник соответствий'!A$2:D$2981,2,FALSE),IF(VALUE(C2775)=0,1,VLOOKUP(C2775,'Справочник соответствий'!A$2:D$2981,2,FALSE)))</f>
        <v>1</v>
      </c>
      <c r="J2775" s="3">
        <f>IFERROR(VLOOKUP(D2775,'Справочник соответствий'!A$2:D$2981,2,FALSE),IF(VALUE(D2775)=0,0,VLOOKUP(D2775,'Справочник соответствий'!A$2:D$2981,2,FALSE)))</f>
        <v>0</v>
      </c>
      <c r="K2775" s="3" t="str">
        <f t="shared" si="301"/>
        <v>1</v>
      </c>
      <c r="L2775" s="13" t="str">
        <f>IFERROR(VLOOKUP(C2775,'Справочник соответствий'!A$2:D$2981,3,FALSE),IF(VALUE(C2775)=0,"ЭТАЖ НЕ ОПРЕДЕЛЕН. ПРИНЯТ ПО ДОПУЩЕНИЮ 1",VLOOKUP(C2775,'Справочник соответствий'!A$2:D$2981,3,FALSE)))</f>
        <v>ЭТАЖ ЗАДАН ЧИСЛОМ</v>
      </c>
      <c r="M2775" s="13" t="b">
        <f t="shared" si="302"/>
        <v>0</v>
      </c>
      <c r="N2775" s="13">
        <f t="shared" si="303"/>
        <v>1</v>
      </c>
      <c r="O2775" s="13" t="str">
        <f t="shared" si="304"/>
        <v>ЭТАЖ ЗАДАН ЧИСЛОМ</v>
      </c>
      <c r="P2775" s="13" t="str">
        <f t="shared" si="305"/>
        <v>ЭТАЖ ЗАДАН ЧИСЛОМ</v>
      </c>
      <c r="Q2775" s="13" t="str">
        <f t="shared" si="306"/>
        <v>ГОТОВ_ИЗМЕНЕН</v>
      </c>
      <c r="R2775" s="13">
        <f>IFERROR(VLOOKUP(P2775,Лист1!A$1:B$20,2,FALSE),0)</f>
        <v>784</v>
      </c>
      <c r="S2775" s="13">
        <f t="shared" si="307"/>
        <v>0</v>
      </c>
    </row>
    <row r="2776" spans="1:19" x14ac:dyDescent="0.25">
      <c r="A2776" s="24" t="s">
        <v>3906</v>
      </c>
      <c r="B2776" s="4" t="s">
        <v>1059</v>
      </c>
      <c r="C2776" s="25" t="s">
        <v>5</v>
      </c>
      <c r="G2776" s="25" t="s">
        <v>1060</v>
      </c>
      <c r="H2776" s="24" t="s">
        <v>1061</v>
      </c>
      <c r="I2776" s="3" t="str">
        <f>IFERROR(VLOOKUP(C2776,'Справочник соответствий'!A$2:D$2981,2,FALSE),IF(VALUE(C2776)=0,1,VLOOKUP(C2776,'Справочник соответствий'!A$2:D$2981,2,FALSE)))</f>
        <v>1</v>
      </c>
      <c r="J2776" s="3">
        <f>IFERROR(VLOOKUP(D2776,'Справочник соответствий'!A$2:D$2981,2,FALSE),IF(VALUE(D2776)=0,0,VLOOKUP(D2776,'Справочник соответствий'!A$2:D$2981,2,FALSE)))</f>
        <v>0</v>
      </c>
      <c r="K2776" s="3" t="str">
        <f t="shared" si="301"/>
        <v>1</v>
      </c>
      <c r="L2776" s="13" t="str">
        <f>IFERROR(VLOOKUP(C2776,'Справочник соответствий'!A$2:D$2981,3,FALSE),IF(VALUE(C2776)=0,"ЭТАЖ НЕ ОПРЕДЕЛЕН. ПРИНЯТ ПО ДОПУЩЕНИЮ 1",VLOOKUP(C2776,'Справочник соответствий'!A$2:D$2981,3,FALSE)))</f>
        <v>ЭТАЖ ЗАДАН ЧИСЛОМ</v>
      </c>
      <c r="M2776" s="13" t="b">
        <f t="shared" si="302"/>
        <v>0</v>
      </c>
      <c r="N2776" s="13">
        <f t="shared" si="303"/>
        <v>1</v>
      </c>
      <c r="O2776" s="13" t="str">
        <f t="shared" si="304"/>
        <v>ЭТАЖ ЗАДАН ЧИСЛОМ</v>
      </c>
      <c r="P2776" s="13" t="str">
        <f t="shared" si="305"/>
        <v>ЭТАЖ ЗАДАН ЧИСЛОМ</v>
      </c>
      <c r="Q2776" s="13" t="str">
        <f t="shared" si="306"/>
        <v>ГОТОВ_ИЗМЕНЕН</v>
      </c>
      <c r="R2776" s="13">
        <f>IFERROR(VLOOKUP(P2776,Лист1!A$1:B$20,2,FALSE),0)</f>
        <v>784</v>
      </c>
      <c r="S2776" s="13">
        <f t="shared" si="307"/>
        <v>0</v>
      </c>
    </row>
    <row r="2777" spans="1:19" x14ac:dyDescent="0.25">
      <c r="A2777" s="24" t="s">
        <v>3907</v>
      </c>
      <c r="B2777" s="4" t="s">
        <v>1063</v>
      </c>
      <c r="C2777" s="25" t="s">
        <v>7</v>
      </c>
      <c r="G2777" s="25" t="s">
        <v>1060</v>
      </c>
      <c r="H2777" s="24" t="s">
        <v>1061</v>
      </c>
      <c r="I2777" s="3" t="str">
        <f>IFERROR(VLOOKUP(C2777,'Справочник соответствий'!A$2:D$2981,2,FALSE),IF(VALUE(C2777)=0,1,VLOOKUP(C2777,'Справочник соответствий'!A$2:D$2981,2,FALSE)))</f>
        <v>2</v>
      </c>
      <c r="J2777" s="3">
        <f>IFERROR(VLOOKUP(D2777,'Справочник соответствий'!A$2:D$2981,2,FALSE),IF(VALUE(D2777)=0,0,VLOOKUP(D2777,'Справочник соответствий'!A$2:D$2981,2,FALSE)))</f>
        <v>0</v>
      </c>
      <c r="K2777" s="3" t="str">
        <f t="shared" si="301"/>
        <v>2</v>
      </c>
      <c r="L2777" s="13" t="str">
        <f>IFERROR(VLOOKUP(C2777,'Справочник соответствий'!A$2:D$2981,3,FALSE),IF(VALUE(C2777)=0,"ЭТАЖ НЕ ОПРЕДЕЛЕН. ПРИНЯТ ПО ДОПУЩЕНИЮ 1",VLOOKUP(C2777,'Справочник соответствий'!A$2:D$2981,3,FALSE)))</f>
        <v>ЭТАЖ ЗАДАН ЧИСЛОМ</v>
      </c>
      <c r="M2777" s="13" t="b">
        <f t="shared" si="302"/>
        <v>0</v>
      </c>
      <c r="N2777" s="13">
        <f t="shared" si="303"/>
        <v>2</v>
      </c>
      <c r="O2777" s="13" t="str">
        <f t="shared" si="304"/>
        <v>ЭТАЖ ЗАДАН ЧИСЛОМ</v>
      </c>
      <c r="P2777" s="13" t="str">
        <f t="shared" si="305"/>
        <v>ЭТАЖ ЗАДАН ЧИСЛОМ</v>
      </c>
      <c r="Q2777" s="13" t="str">
        <f t="shared" si="306"/>
        <v>ГОТОВ_ИЗМЕНЕН</v>
      </c>
      <c r="R2777" s="13">
        <f>IFERROR(VLOOKUP(P2777,Лист1!A$1:B$20,2,FALSE),0)</f>
        <v>784</v>
      </c>
      <c r="S2777" s="13">
        <f t="shared" si="307"/>
        <v>0</v>
      </c>
    </row>
    <row r="2778" spans="1:19" x14ac:dyDescent="0.25">
      <c r="A2778" s="24" t="s">
        <v>3908</v>
      </c>
      <c r="B2778" s="4" t="s">
        <v>1059</v>
      </c>
      <c r="C2778" s="25" t="s">
        <v>5</v>
      </c>
      <c r="G2778" s="25" t="s">
        <v>1077</v>
      </c>
      <c r="H2778" s="24" t="s">
        <v>1061</v>
      </c>
      <c r="I2778" s="3" t="str">
        <f>IFERROR(VLOOKUP(C2778,'Справочник соответствий'!A$2:D$2981,2,FALSE),IF(VALUE(C2778)=0,1,VLOOKUP(C2778,'Справочник соответствий'!A$2:D$2981,2,FALSE)))</f>
        <v>1</v>
      </c>
      <c r="J2778" s="3">
        <f>IFERROR(VLOOKUP(D2778,'Справочник соответствий'!A$2:D$2981,2,FALSE),IF(VALUE(D2778)=0,0,VLOOKUP(D2778,'Справочник соответствий'!A$2:D$2981,2,FALSE)))</f>
        <v>0</v>
      </c>
      <c r="K2778" s="3" t="str">
        <f t="shared" si="301"/>
        <v>1</v>
      </c>
      <c r="L2778" s="13" t="str">
        <f>IFERROR(VLOOKUP(C2778,'Справочник соответствий'!A$2:D$2981,3,FALSE),IF(VALUE(C2778)=0,"ЭТАЖ НЕ ОПРЕДЕЛЕН. ПРИНЯТ ПО ДОПУЩЕНИЮ 1",VLOOKUP(C2778,'Справочник соответствий'!A$2:D$2981,3,FALSE)))</f>
        <v>ЭТАЖ ЗАДАН ЧИСЛОМ</v>
      </c>
      <c r="M2778" s="13" t="b">
        <f t="shared" si="302"/>
        <v>0</v>
      </c>
      <c r="N2778" s="13">
        <f t="shared" si="303"/>
        <v>1</v>
      </c>
      <c r="O2778" s="13" t="str">
        <f t="shared" si="304"/>
        <v>ЭТАЖ ЗАДАН ЧИСЛОМ</v>
      </c>
      <c r="P2778" s="13" t="str">
        <f t="shared" si="305"/>
        <v>ЭТАЖ ЗАДАН ЧИСЛОМ</v>
      </c>
      <c r="Q2778" s="13" t="str">
        <f t="shared" si="306"/>
        <v>ГОТОВ_ИЗМЕНЕН</v>
      </c>
      <c r="R2778" s="13">
        <f>IFERROR(VLOOKUP(P2778,Лист1!A$1:B$20,2,FALSE),0)</f>
        <v>784</v>
      </c>
      <c r="S2778" s="13">
        <f t="shared" si="307"/>
        <v>0</v>
      </c>
    </row>
    <row r="2779" spans="1:19" x14ac:dyDescent="0.25">
      <c r="A2779" s="24" t="s">
        <v>3909</v>
      </c>
      <c r="B2779" s="4" t="s">
        <v>1059</v>
      </c>
      <c r="C2779" s="25" t="s">
        <v>5</v>
      </c>
      <c r="G2779" s="25" t="s">
        <v>1060</v>
      </c>
      <c r="H2779" s="24" t="s">
        <v>1061</v>
      </c>
      <c r="I2779" s="3" t="str">
        <f>IFERROR(VLOOKUP(C2779,'Справочник соответствий'!A$2:D$2981,2,FALSE),IF(VALUE(C2779)=0,1,VLOOKUP(C2779,'Справочник соответствий'!A$2:D$2981,2,FALSE)))</f>
        <v>1</v>
      </c>
      <c r="J2779" s="3">
        <f>IFERROR(VLOOKUP(D2779,'Справочник соответствий'!A$2:D$2981,2,FALSE),IF(VALUE(D2779)=0,0,VLOOKUP(D2779,'Справочник соответствий'!A$2:D$2981,2,FALSE)))</f>
        <v>0</v>
      </c>
      <c r="K2779" s="3" t="str">
        <f t="shared" si="301"/>
        <v>1</v>
      </c>
      <c r="L2779" s="13" t="str">
        <f>IFERROR(VLOOKUP(C2779,'Справочник соответствий'!A$2:D$2981,3,FALSE),IF(VALUE(C2779)=0,"ЭТАЖ НЕ ОПРЕДЕЛЕН. ПРИНЯТ ПО ДОПУЩЕНИЮ 1",VLOOKUP(C2779,'Справочник соответствий'!A$2:D$2981,3,FALSE)))</f>
        <v>ЭТАЖ ЗАДАН ЧИСЛОМ</v>
      </c>
      <c r="M2779" s="13" t="b">
        <f t="shared" si="302"/>
        <v>0</v>
      </c>
      <c r="N2779" s="13">
        <f t="shared" si="303"/>
        <v>1</v>
      </c>
      <c r="O2779" s="13" t="str">
        <f t="shared" si="304"/>
        <v>ЭТАЖ ЗАДАН ЧИСЛОМ</v>
      </c>
      <c r="P2779" s="13" t="str">
        <f t="shared" si="305"/>
        <v>ЭТАЖ ЗАДАН ЧИСЛОМ</v>
      </c>
      <c r="Q2779" s="13" t="str">
        <f t="shared" si="306"/>
        <v>ГОТОВ_ИЗМЕНЕН</v>
      </c>
      <c r="R2779" s="13">
        <f>IFERROR(VLOOKUP(P2779,Лист1!A$1:B$20,2,FALSE),0)</f>
        <v>784</v>
      </c>
      <c r="S2779" s="13">
        <f t="shared" si="307"/>
        <v>0</v>
      </c>
    </row>
    <row r="2780" spans="1:19" x14ac:dyDescent="0.25">
      <c r="A2780" s="24" t="s">
        <v>3910</v>
      </c>
      <c r="B2780" s="4" t="s">
        <v>1059</v>
      </c>
      <c r="C2780" s="25" t="s">
        <v>5</v>
      </c>
      <c r="G2780" s="25" t="s">
        <v>1096</v>
      </c>
      <c r="H2780" s="24" t="s">
        <v>1061</v>
      </c>
      <c r="I2780" s="3" t="str">
        <f>IFERROR(VLOOKUP(C2780,'Справочник соответствий'!A$2:D$2981,2,FALSE),IF(VALUE(C2780)=0,1,VLOOKUP(C2780,'Справочник соответствий'!A$2:D$2981,2,FALSE)))</f>
        <v>1</v>
      </c>
      <c r="J2780" s="3">
        <f>IFERROR(VLOOKUP(D2780,'Справочник соответствий'!A$2:D$2981,2,FALSE),IF(VALUE(D2780)=0,0,VLOOKUP(D2780,'Справочник соответствий'!A$2:D$2981,2,FALSE)))</f>
        <v>0</v>
      </c>
      <c r="K2780" s="3" t="str">
        <f t="shared" si="301"/>
        <v>1</v>
      </c>
      <c r="L2780" s="13" t="str">
        <f>IFERROR(VLOOKUP(C2780,'Справочник соответствий'!A$2:D$2981,3,FALSE),IF(VALUE(C2780)=0,"ЭТАЖ НЕ ОПРЕДЕЛЕН. ПРИНЯТ ПО ДОПУЩЕНИЮ 1",VLOOKUP(C2780,'Справочник соответствий'!A$2:D$2981,3,FALSE)))</f>
        <v>ЭТАЖ ЗАДАН ЧИСЛОМ</v>
      </c>
      <c r="M2780" s="13" t="b">
        <f t="shared" si="302"/>
        <v>0</v>
      </c>
      <c r="N2780" s="13">
        <f t="shared" si="303"/>
        <v>1</v>
      </c>
      <c r="O2780" s="13" t="str">
        <f t="shared" si="304"/>
        <v>ЭТАЖ ЗАДАН ЧИСЛОМ</v>
      </c>
      <c r="P2780" s="13" t="str">
        <f t="shared" si="305"/>
        <v>ЭТАЖ ЗАДАН ЧИСЛОМ</v>
      </c>
      <c r="Q2780" s="13" t="str">
        <f t="shared" si="306"/>
        <v>ГОТОВ_ИЗМЕНЕН</v>
      </c>
      <c r="R2780" s="13">
        <f>IFERROR(VLOOKUP(P2780,Лист1!A$1:B$20,2,FALSE),0)</f>
        <v>784</v>
      </c>
      <c r="S2780" s="13">
        <f t="shared" si="307"/>
        <v>0</v>
      </c>
    </row>
    <row r="2781" spans="1:19" x14ac:dyDescent="0.25">
      <c r="A2781" s="24" t="s">
        <v>3911</v>
      </c>
      <c r="B2781" s="4" t="s">
        <v>1059</v>
      </c>
      <c r="C2781" s="25" t="s">
        <v>8</v>
      </c>
      <c r="D2781" s="25" t="s">
        <v>5</v>
      </c>
      <c r="G2781" s="25" t="s">
        <v>1096</v>
      </c>
      <c r="H2781" s="24" t="s">
        <v>1061</v>
      </c>
      <c r="I2781" s="3" t="str">
        <f>IFERROR(VLOOKUP(C2781,'Справочник соответствий'!A$2:D$2981,2,FALSE),IF(VALUE(C2781)=0,1,VLOOKUP(C2781,'Справочник соответствий'!A$2:D$2981,2,FALSE)))</f>
        <v>3</v>
      </c>
      <c r="J2781" s="3" t="str">
        <f>IFERROR(VLOOKUP(D2781,'Справочник соответствий'!A$2:D$2981,2,FALSE),IF(VALUE(D2781)=0,0,VLOOKUP(D2781,'Справочник соответствий'!A$2:D$2981,2,FALSE)))</f>
        <v>1</v>
      </c>
      <c r="K2781" s="3" t="str">
        <f t="shared" si="301"/>
        <v>3</v>
      </c>
      <c r="L2781" s="13" t="str">
        <f>IFERROR(VLOOKUP(C2781,'Справочник соответствий'!A$2:D$2981,3,FALSE),IF(VALUE(C2781)=0,"ЭТАЖ НЕ ОПРЕДЕЛЕН. ПРИНЯТ ПО ДОПУЩЕНИЮ 1",VLOOKUP(C2781,'Справочник соответствий'!A$2:D$2981,3,FALSE)))</f>
        <v>ЭТАЖ ЗАДАН ЧИСЛОМ</v>
      </c>
      <c r="M2781" s="13" t="b">
        <f t="shared" si="302"/>
        <v>0</v>
      </c>
      <c r="N2781" s="13">
        <f t="shared" si="303"/>
        <v>3</v>
      </c>
      <c r="O2781" s="13" t="str">
        <f t="shared" si="304"/>
        <v>ЭТАЖ ЗАДАН ЧИСЛОМ</v>
      </c>
      <c r="P2781" s="13" t="str">
        <f t="shared" si="305"/>
        <v>ЭТАЖ ЗАДАН ЧИСЛОМ</v>
      </c>
      <c r="Q2781" s="13" t="str">
        <f t="shared" si="306"/>
        <v>ГОТОВ_ИЗМЕНЕН</v>
      </c>
      <c r="R2781" s="13">
        <f>IFERROR(VLOOKUP(P2781,Лист1!A$1:B$20,2,FALSE),0)</f>
        <v>784</v>
      </c>
      <c r="S2781" s="13">
        <f t="shared" si="307"/>
        <v>0</v>
      </c>
    </row>
    <row r="2782" spans="1:19" x14ac:dyDescent="0.25">
      <c r="A2782" s="24" t="s">
        <v>3912</v>
      </c>
      <c r="B2782" s="4" t="s">
        <v>1059</v>
      </c>
      <c r="C2782" s="25" t="s">
        <v>7</v>
      </c>
      <c r="G2782" s="25" t="s">
        <v>1096</v>
      </c>
      <c r="H2782" s="24" t="s">
        <v>1061</v>
      </c>
      <c r="I2782" s="3" t="str">
        <f>IFERROR(VLOOKUP(C2782,'Справочник соответствий'!A$2:D$2981,2,FALSE),IF(VALUE(C2782)=0,1,VLOOKUP(C2782,'Справочник соответствий'!A$2:D$2981,2,FALSE)))</f>
        <v>2</v>
      </c>
      <c r="J2782" s="3">
        <f>IFERROR(VLOOKUP(D2782,'Справочник соответствий'!A$2:D$2981,2,FALSE),IF(VALUE(D2782)=0,0,VLOOKUP(D2782,'Справочник соответствий'!A$2:D$2981,2,FALSE)))</f>
        <v>0</v>
      </c>
      <c r="K2782" s="3" t="str">
        <f t="shared" si="301"/>
        <v>2</v>
      </c>
      <c r="L2782" s="13" t="str">
        <f>IFERROR(VLOOKUP(C2782,'Справочник соответствий'!A$2:D$2981,3,FALSE),IF(VALUE(C2782)=0,"ЭТАЖ НЕ ОПРЕДЕЛЕН. ПРИНЯТ ПО ДОПУЩЕНИЮ 1",VLOOKUP(C2782,'Справочник соответствий'!A$2:D$2981,3,FALSE)))</f>
        <v>ЭТАЖ ЗАДАН ЧИСЛОМ</v>
      </c>
      <c r="M2782" s="13" t="b">
        <f t="shared" si="302"/>
        <v>0</v>
      </c>
      <c r="N2782" s="13">
        <f t="shared" si="303"/>
        <v>2</v>
      </c>
      <c r="O2782" s="13" t="str">
        <f t="shared" si="304"/>
        <v>ЭТАЖ ЗАДАН ЧИСЛОМ</v>
      </c>
      <c r="P2782" s="13" t="str">
        <f t="shared" si="305"/>
        <v>ЭТАЖ ЗАДАН ЧИСЛОМ</v>
      </c>
      <c r="Q2782" s="13" t="str">
        <f t="shared" si="306"/>
        <v>ГОТОВ_ИЗМЕНЕН</v>
      </c>
      <c r="R2782" s="13">
        <f>IFERROR(VLOOKUP(P2782,Лист1!A$1:B$20,2,FALSE),0)</f>
        <v>784</v>
      </c>
      <c r="S2782" s="13">
        <f t="shared" si="307"/>
        <v>0</v>
      </c>
    </row>
    <row r="2783" spans="1:19" x14ac:dyDescent="0.25">
      <c r="A2783" s="24" t="s">
        <v>3913</v>
      </c>
      <c r="B2783" s="4" t="s">
        <v>1063</v>
      </c>
      <c r="C2783" s="25" t="s">
        <v>5</v>
      </c>
      <c r="G2783" s="25" t="s">
        <v>1276</v>
      </c>
      <c r="H2783" s="24" t="s">
        <v>1061</v>
      </c>
      <c r="I2783" s="3" t="str">
        <f>IFERROR(VLOOKUP(C2783,'Справочник соответствий'!A$2:D$2981,2,FALSE),IF(VALUE(C2783)=0,1,VLOOKUP(C2783,'Справочник соответствий'!A$2:D$2981,2,FALSE)))</f>
        <v>1</v>
      </c>
      <c r="J2783" s="3">
        <f>IFERROR(VLOOKUP(D2783,'Справочник соответствий'!A$2:D$2981,2,FALSE),IF(VALUE(D2783)=0,0,VLOOKUP(D2783,'Справочник соответствий'!A$2:D$2981,2,FALSE)))</f>
        <v>0</v>
      </c>
      <c r="K2783" s="3" t="str">
        <f t="shared" si="301"/>
        <v>1</v>
      </c>
      <c r="L2783" s="13" t="str">
        <f>IFERROR(VLOOKUP(C2783,'Справочник соответствий'!A$2:D$2981,3,FALSE),IF(VALUE(C2783)=0,"ЭТАЖ НЕ ОПРЕДЕЛЕН. ПРИНЯТ ПО ДОПУЩЕНИЮ 1",VLOOKUP(C2783,'Справочник соответствий'!A$2:D$2981,3,FALSE)))</f>
        <v>ЭТАЖ ЗАДАН ЧИСЛОМ</v>
      </c>
      <c r="M2783" s="13" t="b">
        <f t="shared" si="302"/>
        <v>0</v>
      </c>
      <c r="N2783" s="13">
        <f t="shared" si="303"/>
        <v>1</v>
      </c>
      <c r="O2783" s="13" t="str">
        <f t="shared" si="304"/>
        <v>ЭТАЖ ЗАДАН ЧИСЛОМ</v>
      </c>
      <c r="P2783" s="13" t="str">
        <f t="shared" si="305"/>
        <v>ЭТАЖ ЗАДАН ЧИСЛОМ</v>
      </c>
      <c r="Q2783" s="13" t="str">
        <f t="shared" si="306"/>
        <v>ГОТОВ_ИЗМЕНЕН</v>
      </c>
      <c r="R2783" s="13">
        <f>IFERROR(VLOOKUP(P2783,Лист1!A$1:B$20,2,FALSE),0)</f>
        <v>784</v>
      </c>
      <c r="S2783" s="13">
        <f t="shared" si="307"/>
        <v>0</v>
      </c>
    </row>
    <row r="2784" spans="1:19" x14ac:dyDescent="0.25">
      <c r="A2784" s="24" t="s">
        <v>3914</v>
      </c>
      <c r="B2784" s="4" t="s">
        <v>1063</v>
      </c>
      <c r="G2784" s="25" t="s">
        <v>1096</v>
      </c>
      <c r="H2784" s="24" t="s">
        <v>1061</v>
      </c>
      <c r="I2784" s="3">
        <f>IFERROR(VLOOKUP(C2784,'Справочник соответствий'!A$2:D$2981,2,FALSE),IF(VALUE(C2784)=0,1,VLOOKUP(C2784,'Справочник соответствий'!A$2:D$2981,2,FALSE)))</f>
        <v>1</v>
      </c>
      <c r="J2784" s="3">
        <f>IFERROR(VLOOKUP(D2784,'Справочник соответствий'!A$2:D$2981,2,FALSE),IF(VALUE(D2784)=0,0,VLOOKUP(D2784,'Справочник соответствий'!A$2:D$2981,2,FALSE)))</f>
        <v>0</v>
      </c>
      <c r="K2784" s="3">
        <f t="shared" si="301"/>
        <v>1</v>
      </c>
      <c r="L2784" s="13" t="str">
        <f>IFERROR(VLOOKUP(C2784,'Справочник соответствий'!A$2:D$2981,3,FALSE),IF(VALUE(C2784)=0,"ЭТАЖ НЕ ОПРЕДЕЛЕН. ПРИНЯТ ПО ДОПУЩЕНИЮ 1",VLOOKUP(C2784,'Справочник соответствий'!A$2:D$2981,3,FALSE)))</f>
        <v>ЭТАЖ НЕ ОПРЕДЕЛЕН. ПРИНЯТ ПО ДОПУЩЕНИЮ 1</v>
      </c>
      <c r="M2784" s="13" t="b">
        <f t="shared" si="302"/>
        <v>0</v>
      </c>
      <c r="N2784" s="13">
        <f t="shared" si="303"/>
        <v>1</v>
      </c>
      <c r="O2784" s="13" t="str">
        <f t="shared" si="304"/>
        <v>ЭТАЖ НЕ ОПРЕДЕЛЕН. ПРИНЯТ ПО ДОПУЩЕНИЮ 1</v>
      </c>
      <c r="P2784" s="13" t="str">
        <f t="shared" si="305"/>
        <v>ЭТАЖ НЕ ОПРЕДЕЛЕН. ПРИНЯТ ПО ДОПУЩЕНИЮ 1</v>
      </c>
      <c r="Q2784" s="13" t="str">
        <f t="shared" si="306"/>
        <v>ГОТОВ_ИЗМЕНЕН</v>
      </c>
      <c r="R2784" s="13">
        <f>IFERROR(VLOOKUP(P2784,Лист1!A$1:B$20,2,FALSE),0)</f>
        <v>788</v>
      </c>
      <c r="S2784" s="13">
        <f t="shared" si="307"/>
        <v>0</v>
      </c>
    </row>
    <row r="2785" spans="1:19" x14ac:dyDescent="0.25">
      <c r="A2785" s="24" t="s">
        <v>3915</v>
      </c>
      <c r="B2785" s="4" t="s">
        <v>1063</v>
      </c>
      <c r="C2785" s="25" t="s">
        <v>5</v>
      </c>
      <c r="G2785" s="25" t="s">
        <v>1080</v>
      </c>
      <c r="H2785" s="24" t="s">
        <v>1061</v>
      </c>
      <c r="I2785" s="3" t="str">
        <f>IFERROR(VLOOKUP(C2785,'Справочник соответствий'!A$2:D$2981,2,FALSE),IF(VALUE(C2785)=0,1,VLOOKUP(C2785,'Справочник соответствий'!A$2:D$2981,2,FALSE)))</f>
        <v>1</v>
      </c>
      <c r="J2785" s="3">
        <f>IFERROR(VLOOKUP(D2785,'Справочник соответствий'!A$2:D$2981,2,FALSE),IF(VALUE(D2785)=0,0,VLOOKUP(D2785,'Справочник соответствий'!A$2:D$2981,2,FALSE)))</f>
        <v>0</v>
      </c>
      <c r="K2785" s="3" t="str">
        <f t="shared" si="301"/>
        <v>1</v>
      </c>
      <c r="L2785" s="13" t="str">
        <f>IFERROR(VLOOKUP(C2785,'Справочник соответствий'!A$2:D$2981,3,FALSE),IF(VALUE(C2785)=0,"ЭТАЖ НЕ ОПРЕДЕЛЕН. ПРИНЯТ ПО ДОПУЩЕНИЮ 1",VLOOKUP(C2785,'Справочник соответствий'!A$2:D$2981,3,FALSE)))</f>
        <v>ЭТАЖ ЗАДАН ЧИСЛОМ</v>
      </c>
      <c r="M2785" s="13" t="b">
        <f t="shared" si="302"/>
        <v>0</v>
      </c>
      <c r="N2785" s="13">
        <f t="shared" si="303"/>
        <v>1</v>
      </c>
      <c r="O2785" s="13" t="str">
        <f t="shared" si="304"/>
        <v>ЭТАЖ ЗАДАН ЧИСЛОМ</v>
      </c>
      <c r="P2785" s="13" t="str">
        <f t="shared" si="305"/>
        <v>ЭТАЖ ЗАДАН ЧИСЛОМ</v>
      </c>
      <c r="Q2785" s="13" t="str">
        <f t="shared" si="306"/>
        <v>ГОТОВ_ИЗМЕНЕН</v>
      </c>
      <c r="R2785" s="13">
        <f>IFERROR(VLOOKUP(P2785,Лист1!A$1:B$20,2,FALSE),0)</f>
        <v>784</v>
      </c>
      <c r="S2785" s="13">
        <f t="shared" si="307"/>
        <v>0</v>
      </c>
    </row>
    <row r="2786" spans="1:19" x14ac:dyDescent="0.25">
      <c r="A2786" s="24" t="s">
        <v>3916</v>
      </c>
      <c r="B2786" s="4" t="s">
        <v>1059</v>
      </c>
      <c r="C2786" s="25" t="s">
        <v>8</v>
      </c>
      <c r="D2786" s="25" t="s">
        <v>5</v>
      </c>
      <c r="G2786" s="25" t="s">
        <v>1096</v>
      </c>
      <c r="H2786" s="24" t="s">
        <v>1061</v>
      </c>
      <c r="I2786" s="3" t="str">
        <f>IFERROR(VLOOKUP(C2786,'Справочник соответствий'!A$2:D$2981,2,FALSE),IF(VALUE(C2786)=0,1,VLOOKUP(C2786,'Справочник соответствий'!A$2:D$2981,2,FALSE)))</f>
        <v>3</v>
      </c>
      <c r="J2786" s="3" t="str">
        <f>IFERROR(VLOOKUP(D2786,'Справочник соответствий'!A$2:D$2981,2,FALSE),IF(VALUE(D2786)=0,0,VLOOKUP(D2786,'Справочник соответствий'!A$2:D$2981,2,FALSE)))</f>
        <v>1</v>
      </c>
      <c r="K2786" s="3" t="str">
        <f t="shared" si="301"/>
        <v>3</v>
      </c>
      <c r="L2786" s="13" t="str">
        <f>IFERROR(VLOOKUP(C2786,'Справочник соответствий'!A$2:D$2981,3,FALSE),IF(VALUE(C2786)=0,"ЭТАЖ НЕ ОПРЕДЕЛЕН. ПРИНЯТ ПО ДОПУЩЕНИЮ 1",VLOOKUP(C2786,'Справочник соответствий'!A$2:D$2981,3,FALSE)))</f>
        <v>ЭТАЖ ЗАДАН ЧИСЛОМ</v>
      </c>
      <c r="M2786" s="13" t="b">
        <f t="shared" si="302"/>
        <v>0</v>
      </c>
      <c r="N2786" s="13">
        <f t="shared" si="303"/>
        <v>3</v>
      </c>
      <c r="O2786" s="13" t="str">
        <f t="shared" si="304"/>
        <v>ЭТАЖ ЗАДАН ЧИСЛОМ</v>
      </c>
      <c r="P2786" s="13" t="str">
        <f t="shared" si="305"/>
        <v>ЭТАЖ ЗАДАН ЧИСЛОМ</v>
      </c>
      <c r="Q2786" s="13" t="str">
        <f t="shared" si="306"/>
        <v>ГОТОВ_ИЗМЕНЕН</v>
      </c>
      <c r="R2786" s="13">
        <f>IFERROR(VLOOKUP(P2786,Лист1!A$1:B$20,2,FALSE),0)</f>
        <v>784</v>
      </c>
      <c r="S2786" s="13">
        <f t="shared" si="307"/>
        <v>0</v>
      </c>
    </row>
    <row r="2787" spans="1:19" x14ac:dyDescent="0.25">
      <c r="A2787" s="24" t="s">
        <v>3917</v>
      </c>
      <c r="B2787" s="4" t="s">
        <v>1059</v>
      </c>
      <c r="C2787" s="25" t="s">
        <v>5</v>
      </c>
      <c r="G2787" s="25" t="s">
        <v>1096</v>
      </c>
      <c r="H2787" s="24" t="s">
        <v>1061</v>
      </c>
      <c r="I2787" s="3" t="str">
        <f>IFERROR(VLOOKUP(C2787,'Справочник соответствий'!A$2:D$2981,2,FALSE),IF(VALUE(C2787)=0,1,VLOOKUP(C2787,'Справочник соответствий'!A$2:D$2981,2,FALSE)))</f>
        <v>1</v>
      </c>
      <c r="J2787" s="3">
        <f>IFERROR(VLOOKUP(D2787,'Справочник соответствий'!A$2:D$2981,2,FALSE),IF(VALUE(D2787)=0,0,VLOOKUP(D2787,'Справочник соответствий'!A$2:D$2981,2,FALSE)))</f>
        <v>0</v>
      </c>
      <c r="K2787" s="3" t="str">
        <f t="shared" si="301"/>
        <v>1</v>
      </c>
      <c r="L2787" s="13" t="str">
        <f>IFERROR(VLOOKUP(C2787,'Справочник соответствий'!A$2:D$2981,3,FALSE),IF(VALUE(C2787)=0,"ЭТАЖ НЕ ОПРЕДЕЛЕН. ПРИНЯТ ПО ДОПУЩЕНИЮ 1",VLOOKUP(C2787,'Справочник соответствий'!A$2:D$2981,3,FALSE)))</f>
        <v>ЭТАЖ ЗАДАН ЧИСЛОМ</v>
      </c>
      <c r="M2787" s="13" t="b">
        <f t="shared" si="302"/>
        <v>0</v>
      </c>
      <c r="N2787" s="13">
        <f t="shared" si="303"/>
        <v>1</v>
      </c>
      <c r="O2787" s="13" t="str">
        <f t="shared" si="304"/>
        <v>ЭТАЖ ЗАДАН ЧИСЛОМ</v>
      </c>
      <c r="P2787" s="13" t="str">
        <f t="shared" si="305"/>
        <v>ЭТАЖ ЗАДАН ЧИСЛОМ</v>
      </c>
      <c r="Q2787" s="13" t="str">
        <f t="shared" si="306"/>
        <v>ГОТОВ_ИЗМЕНЕН</v>
      </c>
      <c r="R2787" s="13">
        <f>IFERROR(VLOOKUP(P2787,Лист1!A$1:B$20,2,FALSE),0)</f>
        <v>784</v>
      </c>
      <c r="S2787" s="13">
        <f t="shared" si="307"/>
        <v>0</v>
      </c>
    </row>
    <row r="2788" spans="1:19" x14ac:dyDescent="0.25">
      <c r="A2788" s="24" t="s">
        <v>3918</v>
      </c>
      <c r="B2788" s="4" t="s">
        <v>1059</v>
      </c>
      <c r="C2788" s="25" t="s">
        <v>7</v>
      </c>
      <c r="G2788" s="25" t="s">
        <v>1321</v>
      </c>
      <c r="H2788" s="24" t="s">
        <v>1061</v>
      </c>
      <c r="I2788" s="3" t="str">
        <f>IFERROR(VLOOKUP(C2788,'Справочник соответствий'!A$2:D$2981,2,FALSE),IF(VALUE(C2788)=0,1,VLOOKUP(C2788,'Справочник соответствий'!A$2:D$2981,2,FALSE)))</f>
        <v>2</v>
      </c>
      <c r="J2788" s="3">
        <f>IFERROR(VLOOKUP(D2788,'Справочник соответствий'!A$2:D$2981,2,FALSE),IF(VALUE(D2788)=0,0,VLOOKUP(D2788,'Справочник соответствий'!A$2:D$2981,2,FALSE)))</f>
        <v>0</v>
      </c>
      <c r="K2788" s="3" t="str">
        <f t="shared" si="301"/>
        <v>2</v>
      </c>
      <c r="L2788" s="13" t="str">
        <f>IFERROR(VLOOKUP(C2788,'Справочник соответствий'!A$2:D$2981,3,FALSE),IF(VALUE(C2788)=0,"ЭТАЖ НЕ ОПРЕДЕЛЕН. ПРИНЯТ ПО ДОПУЩЕНИЮ 1",VLOOKUP(C2788,'Справочник соответствий'!A$2:D$2981,3,FALSE)))</f>
        <v>ЭТАЖ ЗАДАН ЧИСЛОМ</v>
      </c>
      <c r="M2788" s="13" t="b">
        <f t="shared" si="302"/>
        <v>0</v>
      </c>
      <c r="N2788" s="13">
        <f t="shared" si="303"/>
        <v>2</v>
      </c>
      <c r="O2788" s="13" t="str">
        <f t="shared" si="304"/>
        <v>ЭТАЖ ЗАДАН ЧИСЛОМ</v>
      </c>
      <c r="P2788" s="13" t="str">
        <f t="shared" si="305"/>
        <v>ЭТАЖ ЗАДАН ЧИСЛОМ</v>
      </c>
      <c r="Q2788" s="13" t="str">
        <f t="shared" si="306"/>
        <v>ГОТОВ_ИЗМЕНЕН</v>
      </c>
      <c r="R2788" s="13">
        <f>IFERROR(VLOOKUP(P2788,Лист1!A$1:B$20,2,FALSE),0)</f>
        <v>784</v>
      </c>
      <c r="S2788" s="13">
        <f t="shared" si="307"/>
        <v>0</v>
      </c>
    </row>
    <row r="2789" spans="1:19" x14ac:dyDescent="0.25">
      <c r="A2789" s="24" t="s">
        <v>3919</v>
      </c>
      <c r="B2789" s="4" t="s">
        <v>1059</v>
      </c>
      <c r="C2789" s="25" t="s">
        <v>5</v>
      </c>
      <c r="G2789" s="25" t="s">
        <v>1080</v>
      </c>
      <c r="H2789" s="24" t="s">
        <v>1061</v>
      </c>
      <c r="I2789" s="3" t="str">
        <f>IFERROR(VLOOKUP(C2789,'Справочник соответствий'!A$2:D$2981,2,FALSE),IF(VALUE(C2789)=0,1,VLOOKUP(C2789,'Справочник соответствий'!A$2:D$2981,2,FALSE)))</f>
        <v>1</v>
      </c>
      <c r="J2789" s="3">
        <f>IFERROR(VLOOKUP(D2789,'Справочник соответствий'!A$2:D$2981,2,FALSE),IF(VALUE(D2789)=0,0,VLOOKUP(D2789,'Справочник соответствий'!A$2:D$2981,2,FALSE)))</f>
        <v>0</v>
      </c>
      <c r="K2789" s="3" t="str">
        <f t="shared" si="301"/>
        <v>1</v>
      </c>
      <c r="L2789" s="13" t="str">
        <f>IFERROR(VLOOKUP(C2789,'Справочник соответствий'!A$2:D$2981,3,FALSE),IF(VALUE(C2789)=0,"ЭТАЖ НЕ ОПРЕДЕЛЕН. ПРИНЯТ ПО ДОПУЩЕНИЮ 1",VLOOKUP(C2789,'Справочник соответствий'!A$2:D$2981,3,FALSE)))</f>
        <v>ЭТАЖ ЗАДАН ЧИСЛОМ</v>
      </c>
      <c r="M2789" s="13" t="b">
        <f t="shared" si="302"/>
        <v>0</v>
      </c>
      <c r="N2789" s="13">
        <f t="shared" si="303"/>
        <v>1</v>
      </c>
      <c r="O2789" s="13" t="str">
        <f t="shared" si="304"/>
        <v>ЭТАЖ ЗАДАН ЧИСЛОМ</v>
      </c>
      <c r="P2789" s="13" t="str">
        <f t="shared" si="305"/>
        <v>ЭТАЖ ЗАДАН ЧИСЛОМ</v>
      </c>
      <c r="Q2789" s="13" t="str">
        <f t="shared" si="306"/>
        <v>ГОТОВ_ИЗМЕНЕН</v>
      </c>
      <c r="R2789" s="13">
        <f>IFERROR(VLOOKUP(P2789,Лист1!A$1:B$20,2,FALSE),0)</f>
        <v>784</v>
      </c>
      <c r="S2789" s="13">
        <f t="shared" si="307"/>
        <v>0</v>
      </c>
    </row>
    <row r="2790" spans="1:19" x14ac:dyDescent="0.25">
      <c r="A2790" s="24" t="s">
        <v>3920</v>
      </c>
      <c r="B2790" s="4" t="s">
        <v>1059</v>
      </c>
      <c r="C2790" s="25" t="s">
        <v>5</v>
      </c>
      <c r="G2790" s="25" t="s">
        <v>3185</v>
      </c>
      <c r="H2790" s="24" t="s">
        <v>1061</v>
      </c>
      <c r="I2790" s="3" t="str">
        <f>IFERROR(VLOOKUP(C2790,'Справочник соответствий'!A$2:D$2981,2,FALSE),IF(VALUE(C2790)=0,1,VLOOKUP(C2790,'Справочник соответствий'!A$2:D$2981,2,FALSE)))</f>
        <v>1</v>
      </c>
      <c r="J2790" s="3">
        <f>IFERROR(VLOOKUP(D2790,'Справочник соответствий'!A$2:D$2981,2,FALSE),IF(VALUE(D2790)=0,0,VLOOKUP(D2790,'Справочник соответствий'!A$2:D$2981,2,FALSE)))</f>
        <v>0</v>
      </c>
      <c r="K2790" s="3" t="str">
        <f t="shared" si="301"/>
        <v>1</v>
      </c>
      <c r="L2790" s="13" t="str">
        <f>IFERROR(VLOOKUP(C2790,'Справочник соответствий'!A$2:D$2981,3,FALSE),IF(VALUE(C2790)=0,"ЭТАЖ НЕ ОПРЕДЕЛЕН. ПРИНЯТ ПО ДОПУЩЕНИЮ 1",VLOOKUP(C2790,'Справочник соответствий'!A$2:D$2981,3,FALSE)))</f>
        <v>ЭТАЖ ЗАДАН ЧИСЛОМ</v>
      </c>
      <c r="M2790" s="13" t="b">
        <f t="shared" si="302"/>
        <v>0</v>
      </c>
      <c r="N2790" s="13">
        <f t="shared" si="303"/>
        <v>1</v>
      </c>
      <c r="O2790" s="13" t="str">
        <f t="shared" si="304"/>
        <v>ЭТАЖ ЗАДАН ЧИСЛОМ</v>
      </c>
      <c r="P2790" s="13" t="str">
        <f t="shared" si="305"/>
        <v>ЭТАЖ ЗАДАН ЧИСЛОМ</v>
      </c>
      <c r="Q2790" s="13" t="str">
        <f t="shared" si="306"/>
        <v>ГОТОВ_ИЗМЕНЕН</v>
      </c>
      <c r="R2790" s="13">
        <f>IFERROR(VLOOKUP(P2790,Лист1!A$1:B$20,2,FALSE),0)</f>
        <v>784</v>
      </c>
      <c r="S2790" s="13">
        <f t="shared" si="307"/>
        <v>0</v>
      </c>
    </row>
    <row r="2791" spans="1:19" x14ac:dyDescent="0.25">
      <c r="A2791" s="24" t="s">
        <v>3921</v>
      </c>
      <c r="B2791" s="4" t="s">
        <v>1059</v>
      </c>
      <c r="C2791" s="25" t="s">
        <v>5</v>
      </c>
      <c r="G2791" s="25" t="s">
        <v>1069</v>
      </c>
      <c r="H2791" s="24" t="s">
        <v>1061</v>
      </c>
      <c r="I2791" s="3" t="str">
        <f>IFERROR(VLOOKUP(C2791,'Справочник соответствий'!A$2:D$2981,2,FALSE),IF(VALUE(C2791)=0,1,VLOOKUP(C2791,'Справочник соответствий'!A$2:D$2981,2,FALSE)))</f>
        <v>1</v>
      </c>
      <c r="J2791" s="3">
        <f>IFERROR(VLOOKUP(D2791,'Справочник соответствий'!A$2:D$2981,2,FALSE),IF(VALUE(D2791)=0,0,VLOOKUP(D2791,'Справочник соответствий'!A$2:D$2981,2,FALSE)))</f>
        <v>0</v>
      </c>
      <c r="K2791" s="3" t="str">
        <f t="shared" si="301"/>
        <v>1</v>
      </c>
      <c r="L2791" s="13" t="str">
        <f>IFERROR(VLOOKUP(C2791,'Справочник соответствий'!A$2:D$2981,3,FALSE),IF(VALUE(C2791)=0,"ЭТАЖ НЕ ОПРЕДЕЛЕН. ПРИНЯТ ПО ДОПУЩЕНИЮ 1",VLOOKUP(C2791,'Справочник соответствий'!A$2:D$2981,3,FALSE)))</f>
        <v>ЭТАЖ ЗАДАН ЧИСЛОМ</v>
      </c>
      <c r="M2791" s="13" t="b">
        <f t="shared" si="302"/>
        <v>0</v>
      </c>
      <c r="N2791" s="13">
        <f t="shared" si="303"/>
        <v>1</v>
      </c>
      <c r="O2791" s="13" t="str">
        <f t="shared" si="304"/>
        <v>ЭТАЖ ЗАДАН ЧИСЛОМ</v>
      </c>
      <c r="P2791" s="13" t="str">
        <f t="shared" si="305"/>
        <v>ЭТАЖ ЗАДАН ЧИСЛОМ</v>
      </c>
      <c r="Q2791" s="13" t="str">
        <f t="shared" si="306"/>
        <v>ГОТОВ_ИЗМЕНЕН</v>
      </c>
      <c r="R2791" s="13">
        <f>IFERROR(VLOOKUP(P2791,Лист1!A$1:B$20,2,FALSE),0)</f>
        <v>784</v>
      </c>
      <c r="S2791" s="13">
        <f t="shared" si="307"/>
        <v>0</v>
      </c>
    </row>
    <row r="2792" spans="1:19" x14ac:dyDescent="0.25">
      <c r="A2792" s="24" t="s">
        <v>3922</v>
      </c>
      <c r="B2792" s="4" t="s">
        <v>1063</v>
      </c>
      <c r="C2792" s="25" t="s">
        <v>5</v>
      </c>
      <c r="G2792" s="25" t="s">
        <v>3185</v>
      </c>
      <c r="H2792" s="24" t="s">
        <v>1061</v>
      </c>
      <c r="I2792" s="3" t="str">
        <f>IFERROR(VLOOKUP(C2792,'Справочник соответствий'!A$2:D$2981,2,FALSE),IF(VALUE(C2792)=0,1,VLOOKUP(C2792,'Справочник соответствий'!A$2:D$2981,2,FALSE)))</f>
        <v>1</v>
      </c>
      <c r="J2792" s="3">
        <f>IFERROR(VLOOKUP(D2792,'Справочник соответствий'!A$2:D$2981,2,FALSE),IF(VALUE(D2792)=0,0,VLOOKUP(D2792,'Справочник соответствий'!A$2:D$2981,2,FALSE)))</f>
        <v>0</v>
      </c>
      <c r="K2792" s="3" t="str">
        <f t="shared" si="301"/>
        <v>1</v>
      </c>
      <c r="L2792" s="13" t="str">
        <f>IFERROR(VLOOKUP(C2792,'Справочник соответствий'!A$2:D$2981,3,FALSE),IF(VALUE(C2792)=0,"ЭТАЖ НЕ ОПРЕДЕЛЕН. ПРИНЯТ ПО ДОПУЩЕНИЮ 1",VLOOKUP(C2792,'Справочник соответствий'!A$2:D$2981,3,FALSE)))</f>
        <v>ЭТАЖ ЗАДАН ЧИСЛОМ</v>
      </c>
      <c r="M2792" s="13" t="b">
        <f t="shared" si="302"/>
        <v>0</v>
      </c>
      <c r="N2792" s="13">
        <f t="shared" si="303"/>
        <v>1</v>
      </c>
      <c r="O2792" s="13" t="str">
        <f t="shared" si="304"/>
        <v>ЭТАЖ ЗАДАН ЧИСЛОМ</v>
      </c>
      <c r="P2792" s="13" t="str">
        <f t="shared" si="305"/>
        <v>ЭТАЖ ЗАДАН ЧИСЛОМ</v>
      </c>
      <c r="Q2792" s="13" t="str">
        <f t="shared" si="306"/>
        <v>ГОТОВ_ИЗМЕНЕН</v>
      </c>
      <c r="R2792" s="13">
        <f>IFERROR(VLOOKUP(P2792,Лист1!A$1:B$20,2,FALSE),0)</f>
        <v>784</v>
      </c>
      <c r="S2792" s="13">
        <f t="shared" si="307"/>
        <v>0</v>
      </c>
    </row>
    <row r="2793" spans="1:19" x14ac:dyDescent="0.25">
      <c r="A2793" s="24" t="s">
        <v>3923</v>
      </c>
      <c r="B2793" s="4" t="s">
        <v>1059</v>
      </c>
      <c r="C2793" s="25" t="s">
        <v>7</v>
      </c>
      <c r="G2793" s="25" t="s">
        <v>3185</v>
      </c>
      <c r="H2793" s="24" t="s">
        <v>1061</v>
      </c>
      <c r="I2793" s="3" t="str">
        <f>IFERROR(VLOOKUP(C2793,'Справочник соответствий'!A$2:D$2981,2,FALSE),IF(VALUE(C2793)=0,1,VLOOKUP(C2793,'Справочник соответствий'!A$2:D$2981,2,FALSE)))</f>
        <v>2</v>
      </c>
      <c r="J2793" s="3">
        <f>IFERROR(VLOOKUP(D2793,'Справочник соответствий'!A$2:D$2981,2,FALSE),IF(VALUE(D2793)=0,0,VLOOKUP(D2793,'Справочник соответствий'!A$2:D$2981,2,FALSE)))</f>
        <v>0</v>
      </c>
      <c r="K2793" s="3" t="str">
        <f t="shared" si="301"/>
        <v>2</v>
      </c>
      <c r="L2793" s="13" t="str">
        <f>IFERROR(VLOOKUP(C2793,'Справочник соответствий'!A$2:D$2981,3,FALSE),IF(VALUE(C2793)=0,"ЭТАЖ НЕ ОПРЕДЕЛЕН. ПРИНЯТ ПО ДОПУЩЕНИЮ 1",VLOOKUP(C2793,'Справочник соответствий'!A$2:D$2981,3,FALSE)))</f>
        <v>ЭТАЖ ЗАДАН ЧИСЛОМ</v>
      </c>
      <c r="M2793" s="13" t="b">
        <f t="shared" si="302"/>
        <v>0</v>
      </c>
      <c r="N2793" s="13">
        <f t="shared" si="303"/>
        <v>2</v>
      </c>
      <c r="O2793" s="13" t="str">
        <f t="shared" si="304"/>
        <v>ЭТАЖ ЗАДАН ЧИСЛОМ</v>
      </c>
      <c r="P2793" s="13" t="str">
        <f t="shared" si="305"/>
        <v>ЭТАЖ ЗАДАН ЧИСЛОМ</v>
      </c>
      <c r="Q2793" s="13" t="str">
        <f t="shared" si="306"/>
        <v>ГОТОВ_ИЗМЕНЕН</v>
      </c>
      <c r="R2793" s="13">
        <f>IFERROR(VLOOKUP(P2793,Лист1!A$1:B$20,2,FALSE),0)</f>
        <v>784</v>
      </c>
      <c r="S2793" s="13">
        <f t="shared" si="307"/>
        <v>0</v>
      </c>
    </row>
    <row r="2794" spans="1:19" x14ac:dyDescent="0.25">
      <c r="A2794" s="24" t="s">
        <v>3924</v>
      </c>
      <c r="B2794" s="4" t="s">
        <v>1059</v>
      </c>
      <c r="C2794" s="25" t="s">
        <v>5</v>
      </c>
      <c r="G2794" s="25" t="s">
        <v>1075</v>
      </c>
      <c r="H2794" s="24" t="s">
        <v>1061</v>
      </c>
      <c r="I2794" s="3" t="str">
        <f>IFERROR(VLOOKUP(C2794,'Справочник соответствий'!A$2:D$2981,2,FALSE),IF(VALUE(C2794)=0,1,VLOOKUP(C2794,'Справочник соответствий'!A$2:D$2981,2,FALSE)))</f>
        <v>1</v>
      </c>
      <c r="J2794" s="3">
        <f>IFERROR(VLOOKUP(D2794,'Справочник соответствий'!A$2:D$2981,2,FALSE),IF(VALUE(D2794)=0,0,VLOOKUP(D2794,'Справочник соответствий'!A$2:D$2981,2,FALSE)))</f>
        <v>0</v>
      </c>
      <c r="K2794" s="3" t="str">
        <f t="shared" si="301"/>
        <v>1</v>
      </c>
      <c r="L2794" s="13" t="str">
        <f>IFERROR(VLOOKUP(C2794,'Справочник соответствий'!A$2:D$2981,3,FALSE),IF(VALUE(C2794)=0,"ЭТАЖ НЕ ОПРЕДЕЛЕН. ПРИНЯТ ПО ДОПУЩЕНИЮ 1",VLOOKUP(C2794,'Справочник соответствий'!A$2:D$2981,3,FALSE)))</f>
        <v>ЭТАЖ ЗАДАН ЧИСЛОМ</v>
      </c>
      <c r="M2794" s="13" t="b">
        <f t="shared" si="302"/>
        <v>0</v>
      </c>
      <c r="N2794" s="13">
        <f t="shared" si="303"/>
        <v>1</v>
      </c>
      <c r="O2794" s="13" t="str">
        <f t="shared" si="304"/>
        <v>ЭТАЖ ЗАДАН ЧИСЛОМ</v>
      </c>
      <c r="P2794" s="13" t="str">
        <f t="shared" si="305"/>
        <v>ЭТАЖ ЗАДАН ЧИСЛОМ</v>
      </c>
      <c r="Q2794" s="13" t="str">
        <f t="shared" si="306"/>
        <v>ГОТОВ_ИЗМЕНЕН</v>
      </c>
      <c r="R2794" s="13">
        <f>IFERROR(VLOOKUP(P2794,Лист1!A$1:B$20,2,FALSE),0)</f>
        <v>784</v>
      </c>
      <c r="S2794" s="13">
        <f t="shared" si="307"/>
        <v>0</v>
      </c>
    </row>
    <row r="2795" spans="1:19" x14ac:dyDescent="0.25">
      <c r="A2795" s="24" t="s">
        <v>3925</v>
      </c>
      <c r="B2795" s="4" t="s">
        <v>1063</v>
      </c>
      <c r="C2795" s="25" t="s">
        <v>5</v>
      </c>
      <c r="G2795" s="25" t="s">
        <v>1075</v>
      </c>
      <c r="H2795" s="24" t="s">
        <v>1061</v>
      </c>
      <c r="I2795" s="3" t="str">
        <f>IFERROR(VLOOKUP(C2795,'Справочник соответствий'!A$2:D$2981,2,FALSE),IF(VALUE(C2795)=0,1,VLOOKUP(C2795,'Справочник соответствий'!A$2:D$2981,2,FALSE)))</f>
        <v>1</v>
      </c>
      <c r="J2795" s="3">
        <f>IFERROR(VLOOKUP(D2795,'Справочник соответствий'!A$2:D$2981,2,FALSE),IF(VALUE(D2795)=0,0,VLOOKUP(D2795,'Справочник соответствий'!A$2:D$2981,2,FALSE)))</f>
        <v>0</v>
      </c>
      <c r="K2795" s="3" t="str">
        <f t="shared" si="301"/>
        <v>1</v>
      </c>
      <c r="L2795" s="13" t="str">
        <f>IFERROR(VLOOKUP(C2795,'Справочник соответствий'!A$2:D$2981,3,FALSE),IF(VALUE(C2795)=0,"ЭТАЖ НЕ ОПРЕДЕЛЕН. ПРИНЯТ ПО ДОПУЩЕНИЮ 1",VLOOKUP(C2795,'Справочник соответствий'!A$2:D$2981,3,FALSE)))</f>
        <v>ЭТАЖ ЗАДАН ЧИСЛОМ</v>
      </c>
      <c r="M2795" s="13" t="b">
        <f t="shared" si="302"/>
        <v>0</v>
      </c>
      <c r="N2795" s="13">
        <f t="shared" si="303"/>
        <v>1</v>
      </c>
      <c r="O2795" s="13" t="str">
        <f t="shared" si="304"/>
        <v>ЭТАЖ ЗАДАН ЧИСЛОМ</v>
      </c>
      <c r="P2795" s="13" t="str">
        <f t="shared" si="305"/>
        <v>ЭТАЖ ЗАДАН ЧИСЛОМ</v>
      </c>
      <c r="Q2795" s="13" t="str">
        <f t="shared" si="306"/>
        <v>ГОТОВ_ИЗМЕНЕН</v>
      </c>
      <c r="R2795" s="13">
        <f>IFERROR(VLOOKUP(P2795,Лист1!A$1:B$20,2,FALSE),0)</f>
        <v>784</v>
      </c>
      <c r="S2795" s="13">
        <f t="shared" si="307"/>
        <v>0</v>
      </c>
    </row>
    <row r="2796" spans="1:19" x14ac:dyDescent="0.25">
      <c r="A2796" s="24" t="s">
        <v>3926</v>
      </c>
      <c r="B2796" s="4" t="s">
        <v>1031</v>
      </c>
      <c r="C2796" s="25" t="s">
        <v>300</v>
      </c>
      <c r="D2796" s="25" t="s">
        <v>5</v>
      </c>
      <c r="G2796" s="25" t="s">
        <v>1075</v>
      </c>
      <c r="H2796" s="24" t="s">
        <v>1061</v>
      </c>
      <c r="I2796" s="3" t="str">
        <f>IFERROR(VLOOKUP(C2796,'Справочник соответствий'!A$2:D$2981,2,FALSE),IF(VALUE(C2796)=0,1,VLOOKUP(C2796,'Справочник соответствий'!A$2:D$2981,2,FALSE)))</f>
        <v>17</v>
      </c>
      <c r="J2796" s="3" t="str">
        <f>IFERROR(VLOOKUP(D2796,'Справочник соответствий'!A$2:D$2981,2,FALSE),IF(VALUE(D2796)=0,0,VLOOKUP(D2796,'Справочник соответствий'!A$2:D$2981,2,FALSE)))</f>
        <v>1</v>
      </c>
      <c r="K2796" s="3">
        <f t="shared" si="301"/>
        <v>16</v>
      </c>
      <c r="L2796" s="13" t="str">
        <f>IFERROR(VLOOKUP(C2796,'Справочник соответствий'!A$2:D$2981,3,FALSE),IF(VALUE(C2796)=0,"ЭТАЖ НЕ ОПРЕДЕЛЕН. ПРИНЯТ ПО ДОПУЩЕНИЮ 1",VLOOKUP(C2796,'Справочник соответствий'!A$2:D$2981,3,FALSE)))</f>
        <v>СПРАВОЧНИК ЭТАЖНОСТИ</v>
      </c>
      <c r="M2796" s="13" t="b">
        <f t="shared" si="302"/>
        <v>0</v>
      </c>
      <c r="N2796" s="13">
        <f t="shared" si="303"/>
        <v>16</v>
      </c>
      <c r="O2796" s="13" t="str">
        <f t="shared" si="304"/>
        <v>СПРАВОЧНИК ЭТАЖНОСТИ</v>
      </c>
      <c r="P2796" s="13" t="str">
        <f t="shared" si="305"/>
        <v>МКД_СПРАВОЧНИК ЭТАЖНОСТИ</v>
      </c>
      <c r="Q2796" s="13" t="str">
        <f t="shared" si="306"/>
        <v>ГОТОВ_ИЗМЕНЕН</v>
      </c>
      <c r="R2796" s="13">
        <f>IFERROR(VLOOKUP(P2796,Лист1!A$1:B$20,2,FALSE),0)</f>
        <v>787</v>
      </c>
      <c r="S2796" s="13">
        <f t="shared" si="307"/>
        <v>0</v>
      </c>
    </row>
    <row r="2797" spans="1:19" x14ac:dyDescent="0.25">
      <c r="A2797" s="24" t="s">
        <v>3927</v>
      </c>
      <c r="B2797" s="4" t="s">
        <v>1059</v>
      </c>
      <c r="C2797" s="25" t="s">
        <v>7</v>
      </c>
      <c r="G2797" s="25" t="s">
        <v>1075</v>
      </c>
      <c r="H2797" s="24" t="s">
        <v>1061</v>
      </c>
      <c r="I2797" s="3" t="str">
        <f>IFERROR(VLOOKUP(C2797,'Справочник соответствий'!A$2:D$2981,2,FALSE),IF(VALUE(C2797)=0,1,VLOOKUP(C2797,'Справочник соответствий'!A$2:D$2981,2,FALSE)))</f>
        <v>2</v>
      </c>
      <c r="J2797" s="3">
        <f>IFERROR(VLOOKUP(D2797,'Справочник соответствий'!A$2:D$2981,2,FALSE),IF(VALUE(D2797)=0,0,VLOOKUP(D2797,'Справочник соответствий'!A$2:D$2981,2,FALSE)))</f>
        <v>0</v>
      </c>
      <c r="K2797" s="3" t="str">
        <f t="shared" si="301"/>
        <v>2</v>
      </c>
      <c r="L2797" s="13" t="str">
        <f>IFERROR(VLOOKUP(C2797,'Справочник соответствий'!A$2:D$2981,3,FALSE),IF(VALUE(C2797)=0,"ЭТАЖ НЕ ОПРЕДЕЛЕН. ПРИНЯТ ПО ДОПУЩЕНИЮ 1",VLOOKUP(C2797,'Справочник соответствий'!A$2:D$2981,3,FALSE)))</f>
        <v>ЭТАЖ ЗАДАН ЧИСЛОМ</v>
      </c>
      <c r="M2797" s="13" t="b">
        <f t="shared" si="302"/>
        <v>0</v>
      </c>
      <c r="N2797" s="13">
        <f t="shared" si="303"/>
        <v>2</v>
      </c>
      <c r="O2797" s="13" t="str">
        <f t="shared" si="304"/>
        <v>ЭТАЖ ЗАДАН ЧИСЛОМ</v>
      </c>
      <c r="P2797" s="13" t="str">
        <f t="shared" si="305"/>
        <v>ЭТАЖ ЗАДАН ЧИСЛОМ</v>
      </c>
      <c r="Q2797" s="13" t="str">
        <f t="shared" si="306"/>
        <v>ГОТОВ_ИЗМЕНЕН</v>
      </c>
      <c r="R2797" s="13">
        <f>IFERROR(VLOOKUP(P2797,Лист1!A$1:B$20,2,FALSE),0)</f>
        <v>784</v>
      </c>
      <c r="S2797" s="13">
        <f t="shared" si="307"/>
        <v>0</v>
      </c>
    </row>
    <row r="2798" spans="1:19" x14ac:dyDescent="0.25">
      <c r="A2798" s="24" t="s">
        <v>3928</v>
      </c>
      <c r="B2798" s="4" t="s">
        <v>1059</v>
      </c>
      <c r="C2798" s="25" t="s">
        <v>7</v>
      </c>
      <c r="G2798" s="25" t="s">
        <v>1075</v>
      </c>
      <c r="H2798" s="24" t="s">
        <v>1061</v>
      </c>
      <c r="I2798" s="3" t="str">
        <f>IFERROR(VLOOKUP(C2798,'Справочник соответствий'!A$2:D$2981,2,FALSE),IF(VALUE(C2798)=0,1,VLOOKUP(C2798,'Справочник соответствий'!A$2:D$2981,2,FALSE)))</f>
        <v>2</v>
      </c>
      <c r="J2798" s="3">
        <f>IFERROR(VLOOKUP(D2798,'Справочник соответствий'!A$2:D$2981,2,FALSE),IF(VALUE(D2798)=0,0,VLOOKUP(D2798,'Справочник соответствий'!A$2:D$2981,2,FALSE)))</f>
        <v>0</v>
      </c>
      <c r="K2798" s="3" t="str">
        <f t="shared" si="301"/>
        <v>2</v>
      </c>
      <c r="L2798" s="13" t="str">
        <f>IFERROR(VLOOKUP(C2798,'Справочник соответствий'!A$2:D$2981,3,FALSE),IF(VALUE(C2798)=0,"ЭТАЖ НЕ ОПРЕДЕЛЕН. ПРИНЯТ ПО ДОПУЩЕНИЮ 1",VLOOKUP(C2798,'Справочник соответствий'!A$2:D$2981,3,FALSE)))</f>
        <v>ЭТАЖ ЗАДАН ЧИСЛОМ</v>
      </c>
      <c r="M2798" s="13" t="b">
        <f t="shared" si="302"/>
        <v>0</v>
      </c>
      <c r="N2798" s="13">
        <f t="shared" si="303"/>
        <v>2</v>
      </c>
      <c r="O2798" s="13" t="str">
        <f t="shared" si="304"/>
        <v>ЭТАЖ ЗАДАН ЧИСЛОМ</v>
      </c>
      <c r="P2798" s="13" t="str">
        <f t="shared" si="305"/>
        <v>ЭТАЖ ЗАДАН ЧИСЛОМ</v>
      </c>
      <c r="Q2798" s="13" t="str">
        <f t="shared" si="306"/>
        <v>ГОТОВ_ИЗМЕНЕН</v>
      </c>
      <c r="R2798" s="13">
        <f>IFERROR(VLOOKUP(P2798,Лист1!A$1:B$20,2,FALSE),0)</f>
        <v>784</v>
      </c>
      <c r="S2798" s="13">
        <f t="shared" si="307"/>
        <v>0</v>
      </c>
    </row>
    <row r="2799" spans="1:19" x14ac:dyDescent="0.25">
      <c r="A2799" s="24" t="s">
        <v>3929</v>
      </c>
      <c r="B2799" s="4" t="s">
        <v>1059</v>
      </c>
      <c r="C2799" s="25" t="s">
        <v>5</v>
      </c>
      <c r="G2799" s="25" t="s">
        <v>1069</v>
      </c>
      <c r="H2799" s="24" t="s">
        <v>1061</v>
      </c>
      <c r="I2799" s="3" t="str">
        <f>IFERROR(VLOOKUP(C2799,'Справочник соответствий'!A$2:D$2981,2,FALSE),IF(VALUE(C2799)=0,1,VLOOKUP(C2799,'Справочник соответствий'!A$2:D$2981,2,FALSE)))</f>
        <v>1</v>
      </c>
      <c r="J2799" s="3">
        <f>IFERROR(VLOOKUP(D2799,'Справочник соответствий'!A$2:D$2981,2,FALSE),IF(VALUE(D2799)=0,0,VLOOKUP(D2799,'Справочник соответствий'!A$2:D$2981,2,FALSE)))</f>
        <v>0</v>
      </c>
      <c r="K2799" s="3" t="str">
        <f t="shared" si="301"/>
        <v>1</v>
      </c>
      <c r="L2799" s="13" t="str">
        <f>IFERROR(VLOOKUP(C2799,'Справочник соответствий'!A$2:D$2981,3,FALSE),IF(VALUE(C2799)=0,"ЭТАЖ НЕ ОПРЕДЕЛЕН. ПРИНЯТ ПО ДОПУЩЕНИЮ 1",VLOOKUP(C2799,'Справочник соответствий'!A$2:D$2981,3,FALSE)))</f>
        <v>ЭТАЖ ЗАДАН ЧИСЛОМ</v>
      </c>
      <c r="M2799" s="13" t="b">
        <f t="shared" si="302"/>
        <v>0</v>
      </c>
      <c r="N2799" s="13">
        <f t="shared" si="303"/>
        <v>1</v>
      </c>
      <c r="O2799" s="13" t="str">
        <f t="shared" si="304"/>
        <v>ЭТАЖ ЗАДАН ЧИСЛОМ</v>
      </c>
      <c r="P2799" s="13" t="str">
        <f t="shared" si="305"/>
        <v>ЭТАЖ ЗАДАН ЧИСЛОМ</v>
      </c>
      <c r="Q2799" s="13" t="str">
        <f t="shared" si="306"/>
        <v>ГОТОВ_ИЗМЕНЕН</v>
      </c>
      <c r="R2799" s="13">
        <f>IFERROR(VLOOKUP(P2799,Лист1!A$1:B$20,2,FALSE),0)</f>
        <v>784</v>
      </c>
      <c r="S2799" s="13">
        <f t="shared" si="307"/>
        <v>0</v>
      </c>
    </row>
    <row r="2800" spans="1:19" x14ac:dyDescent="0.25">
      <c r="A2800" s="24" t="s">
        <v>3930</v>
      </c>
      <c r="B2800" s="4" t="s">
        <v>1059</v>
      </c>
      <c r="C2800" s="25" t="s">
        <v>7</v>
      </c>
      <c r="G2800" s="25" t="s">
        <v>1069</v>
      </c>
      <c r="H2800" s="24" t="s">
        <v>1061</v>
      </c>
      <c r="I2800" s="3" t="str">
        <f>IFERROR(VLOOKUP(C2800,'Справочник соответствий'!A$2:D$2981,2,FALSE),IF(VALUE(C2800)=0,1,VLOOKUP(C2800,'Справочник соответствий'!A$2:D$2981,2,FALSE)))</f>
        <v>2</v>
      </c>
      <c r="J2800" s="3">
        <f>IFERROR(VLOOKUP(D2800,'Справочник соответствий'!A$2:D$2981,2,FALSE),IF(VALUE(D2800)=0,0,VLOOKUP(D2800,'Справочник соответствий'!A$2:D$2981,2,FALSE)))</f>
        <v>0</v>
      </c>
      <c r="K2800" s="3" t="str">
        <f t="shared" si="301"/>
        <v>2</v>
      </c>
      <c r="L2800" s="13" t="str">
        <f>IFERROR(VLOOKUP(C2800,'Справочник соответствий'!A$2:D$2981,3,FALSE),IF(VALUE(C2800)=0,"ЭТАЖ НЕ ОПРЕДЕЛЕН. ПРИНЯТ ПО ДОПУЩЕНИЮ 1",VLOOKUP(C2800,'Справочник соответствий'!A$2:D$2981,3,FALSE)))</f>
        <v>ЭТАЖ ЗАДАН ЧИСЛОМ</v>
      </c>
      <c r="M2800" s="13" t="b">
        <f t="shared" si="302"/>
        <v>0</v>
      </c>
      <c r="N2800" s="13">
        <f t="shared" si="303"/>
        <v>2</v>
      </c>
      <c r="O2800" s="13" t="str">
        <f t="shared" si="304"/>
        <v>ЭТАЖ ЗАДАН ЧИСЛОМ</v>
      </c>
      <c r="P2800" s="13" t="str">
        <f t="shared" si="305"/>
        <v>ЭТАЖ ЗАДАН ЧИСЛОМ</v>
      </c>
      <c r="Q2800" s="13" t="str">
        <f t="shared" si="306"/>
        <v>ГОТОВ_ИЗМЕНЕН</v>
      </c>
      <c r="R2800" s="13">
        <f>IFERROR(VLOOKUP(P2800,Лист1!A$1:B$20,2,FALSE),0)</f>
        <v>784</v>
      </c>
      <c r="S2800" s="13">
        <f t="shared" si="307"/>
        <v>0</v>
      </c>
    </row>
    <row r="2801" spans="1:19" x14ac:dyDescent="0.25">
      <c r="A2801" s="24" t="s">
        <v>3931</v>
      </c>
      <c r="B2801" s="4" t="s">
        <v>1063</v>
      </c>
      <c r="C2801" s="25" t="s">
        <v>5</v>
      </c>
      <c r="G2801" s="25" t="s">
        <v>1069</v>
      </c>
      <c r="H2801" s="24" t="s">
        <v>1061</v>
      </c>
      <c r="I2801" s="3" t="str">
        <f>IFERROR(VLOOKUP(C2801,'Справочник соответствий'!A$2:D$2981,2,FALSE),IF(VALUE(C2801)=0,1,VLOOKUP(C2801,'Справочник соответствий'!A$2:D$2981,2,FALSE)))</f>
        <v>1</v>
      </c>
      <c r="J2801" s="3">
        <f>IFERROR(VLOOKUP(D2801,'Справочник соответствий'!A$2:D$2981,2,FALSE),IF(VALUE(D2801)=0,0,VLOOKUP(D2801,'Справочник соответствий'!A$2:D$2981,2,FALSE)))</f>
        <v>0</v>
      </c>
      <c r="K2801" s="3" t="str">
        <f t="shared" si="301"/>
        <v>1</v>
      </c>
      <c r="L2801" s="13" t="str">
        <f>IFERROR(VLOOKUP(C2801,'Справочник соответствий'!A$2:D$2981,3,FALSE),IF(VALUE(C2801)=0,"ЭТАЖ НЕ ОПРЕДЕЛЕН. ПРИНЯТ ПО ДОПУЩЕНИЮ 1",VLOOKUP(C2801,'Справочник соответствий'!A$2:D$2981,3,FALSE)))</f>
        <v>ЭТАЖ ЗАДАН ЧИСЛОМ</v>
      </c>
      <c r="M2801" s="13" t="b">
        <f t="shared" si="302"/>
        <v>0</v>
      </c>
      <c r="N2801" s="13">
        <f t="shared" si="303"/>
        <v>1</v>
      </c>
      <c r="O2801" s="13" t="str">
        <f t="shared" si="304"/>
        <v>ЭТАЖ ЗАДАН ЧИСЛОМ</v>
      </c>
      <c r="P2801" s="13" t="str">
        <f t="shared" si="305"/>
        <v>ЭТАЖ ЗАДАН ЧИСЛОМ</v>
      </c>
      <c r="Q2801" s="13" t="str">
        <f t="shared" si="306"/>
        <v>ГОТОВ_ИЗМЕНЕН</v>
      </c>
      <c r="R2801" s="13">
        <f>IFERROR(VLOOKUP(P2801,Лист1!A$1:B$20,2,FALSE),0)</f>
        <v>784</v>
      </c>
      <c r="S2801" s="13">
        <f t="shared" si="307"/>
        <v>0</v>
      </c>
    </row>
    <row r="2802" spans="1:19" x14ac:dyDescent="0.25">
      <c r="A2802" s="24" t="s">
        <v>3932</v>
      </c>
      <c r="B2802" s="4" t="s">
        <v>1063</v>
      </c>
      <c r="C2802" s="25" t="s">
        <v>5</v>
      </c>
      <c r="G2802" s="25" t="s">
        <v>1089</v>
      </c>
      <c r="H2802" s="24" t="s">
        <v>1061</v>
      </c>
      <c r="I2802" s="3" t="str">
        <f>IFERROR(VLOOKUP(C2802,'Справочник соответствий'!A$2:D$2981,2,FALSE),IF(VALUE(C2802)=0,1,VLOOKUP(C2802,'Справочник соответствий'!A$2:D$2981,2,FALSE)))</f>
        <v>1</v>
      </c>
      <c r="J2802" s="3">
        <f>IFERROR(VLOOKUP(D2802,'Справочник соответствий'!A$2:D$2981,2,FALSE),IF(VALUE(D2802)=0,0,VLOOKUP(D2802,'Справочник соответствий'!A$2:D$2981,2,FALSE)))</f>
        <v>0</v>
      </c>
      <c r="K2802" s="3" t="str">
        <f t="shared" si="301"/>
        <v>1</v>
      </c>
      <c r="L2802" s="13" t="str">
        <f>IFERROR(VLOOKUP(C2802,'Справочник соответствий'!A$2:D$2981,3,FALSE),IF(VALUE(C2802)=0,"ЭТАЖ НЕ ОПРЕДЕЛЕН. ПРИНЯТ ПО ДОПУЩЕНИЮ 1",VLOOKUP(C2802,'Справочник соответствий'!A$2:D$2981,3,FALSE)))</f>
        <v>ЭТАЖ ЗАДАН ЧИСЛОМ</v>
      </c>
      <c r="M2802" s="13" t="b">
        <f t="shared" si="302"/>
        <v>0</v>
      </c>
      <c r="N2802" s="13">
        <f t="shared" si="303"/>
        <v>1</v>
      </c>
      <c r="O2802" s="13" t="str">
        <f t="shared" si="304"/>
        <v>ЭТАЖ ЗАДАН ЧИСЛОМ</v>
      </c>
      <c r="P2802" s="13" t="str">
        <f t="shared" si="305"/>
        <v>ЭТАЖ ЗАДАН ЧИСЛОМ</v>
      </c>
      <c r="Q2802" s="13" t="str">
        <f t="shared" si="306"/>
        <v>ГОТОВ_ИЗМЕНЕН</v>
      </c>
      <c r="R2802" s="13">
        <f>IFERROR(VLOOKUP(P2802,Лист1!A$1:B$20,2,FALSE),0)</f>
        <v>784</v>
      </c>
      <c r="S2802" s="13">
        <f t="shared" si="307"/>
        <v>0</v>
      </c>
    </row>
    <row r="2803" spans="1:19" x14ac:dyDescent="0.25">
      <c r="A2803" s="24" t="s">
        <v>3933</v>
      </c>
      <c r="B2803" s="4" t="s">
        <v>1063</v>
      </c>
      <c r="G2803" s="25" t="s">
        <v>1089</v>
      </c>
      <c r="H2803" s="24" t="s">
        <v>1061</v>
      </c>
      <c r="I2803" s="3">
        <f>IFERROR(VLOOKUP(C2803,'Справочник соответствий'!A$2:D$2981,2,FALSE),IF(VALUE(C2803)=0,1,VLOOKUP(C2803,'Справочник соответствий'!A$2:D$2981,2,FALSE)))</f>
        <v>1</v>
      </c>
      <c r="J2803" s="3">
        <f>IFERROR(VLOOKUP(D2803,'Справочник соответствий'!A$2:D$2981,2,FALSE),IF(VALUE(D2803)=0,0,VLOOKUP(D2803,'Справочник соответствий'!A$2:D$2981,2,FALSE)))</f>
        <v>0</v>
      </c>
      <c r="K2803" s="3">
        <f t="shared" si="301"/>
        <v>1</v>
      </c>
      <c r="L2803" s="13" t="str">
        <f>IFERROR(VLOOKUP(C2803,'Справочник соответствий'!A$2:D$2981,3,FALSE),IF(VALUE(C2803)=0,"ЭТАЖ НЕ ОПРЕДЕЛЕН. ПРИНЯТ ПО ДОПУЩЕНИЮ 1",VLOOKUP(C2803,'Справочник соответствий'!A$2:D$2981,3,FALSE)))</f>
        <v>ЭТАЖ НЕ ОПРЕДЕЛЕН. ПРИНЯТ ПО ДОПУЩЕНИЮ 1</v>
      </c>
      <c r="M2803" s="13" t="b">
        <f t="shared" si="302"/>
        <v>0</v>
      </c>
      <c r="N2803" s="13">
        <f t="shared" si="303"/>
        <v>1</v>
      </c>
      <c r="O2803" s="13" t="str">
        <f t="shared" si="304"/>
        <v>ЭТАЖ НЕ ОПРЕДЕЛЕН. ПРИНЯТ ПО ДОПУЩЕНИЮ 1</v>
      </c>
      <c r="P2803" s="13" t="str">
        <f t="shared" si="305"/>
        <v>ЭТАЖ НЕ ОПРЕДЕЛЕН. ПРИНЯТ ПО ДОПУЩЕНИЮ 1</v>
      </c>
      <c r="Q2803" s="13" t="str">
        <f t="shared" si="306"/>
        <v>ГОТОВ_ИЗМЕНЕН</v>
      </c>
      <c r="R2803" s="13">
        <f>IFERROR(VLOOKUP(P2803,Лист1!A$1:B$20,2,FALSE),0)</f>
        <v>788</v>
      </c>
      <c r="S2803" s="13">
        <f t="shared" si="307"/>
        <v>0</v>
      </c>
    </row>
    <row r="2804" spans="1:19" x14ac:dyDescent="0.25">
      <c r="A2804" s="24" t="s">
        <v>3934</v>
      </c>
      <c r="B2804" s="4" t="s">
        <v>1059</v>
      </c>
      <c r="C2804" s="25" t="s">
        <v>5</v>
      </c>
      <c r="G2804" s="25" t="s">
        <v>1089</v>
      </c>
      <c r="H2804" s="24" t="s">
        <v>1061</v>
      </c>
      <c r="I2804" s="3" t="str">
        <f>IFERROR(VLOOKUP(C2804,'Справочник соответствий'!A$2:D$2981,2,FALSE),IF(VALUE(C2804)=0,1,VLOOKUP(C2804,'Справочник соответствий'!A$2:D$2981,2,FALSE)))</f>
        <v>1</v>
      </c>
      <c r="J2804" s="3">
        <f>IFERROR(VLOOKUP(D2804,'Справочник соответствий'!A$2:D$2981,2,FALSE),IF(VALUE(D2804)=0,0,VLOOKUP(D2804,'Справочник соответствий'!A$2:D$2981,2,FALSE)))</f>
        <v>0</v>
      </c>
      <c r="K2804" s="3" t="str">
        <f t="shared" si="301"/>
        <v>1</v>
      </c>
      <c r="L2804" s="13" t="str">
        <f>IFERROR(VLOOKUP(C2804,'Справочник соответствий'!A$2:D$2981,3,FALSE),IF(VALUE(C2804)=0,"ЭТАЖ НЕ ОПРЕДЕЛЕН. ПРИНЯТ ПО ДОПУЩЕНИЮ 1",VLOOKUP(C2804,'Справочник соответствий'!A$2:D$2981,3,FALSE)))</f>
        <v>ЭТАЖ ЗАДАН ЧИСЛОМ</v>
      </c>
      <c r="M2804" s="13" t="b">
        <f t="shared" si="302"/>
        <v>0</v>
      </c>
      <c r="N2804" s="13">
        <f t="shared" si="303"/>
        <v>1</v>
      </c>
      <c r="O2804" s="13" t="str">
        <f t="shared" si="304"/>
        <v>ЭТАЖ ЗАДАН ЧИСЛОМ</v>
      </c>
      <c r="P2804" s="13" t="str">
        <f t="shared" si="305"/>
        <v>ЭТАЖ ЗАДАН ЧИСЛОМ</v>
      </c>
      <c r="Q2804" s="13" t="str">
        <f t="shared" si="306"/>
        <v>ГОТОВ_ИЗМЕНЕН</v>
      </c>
      <c r="R2804" s="13">
        <f>IFERROR(VLOOKUP(P2804,Лист1!A$1:B$20,2,FALSE),0)</f>
        <v>784</v>
      </c>
      <c r="S2804" s="13">
        <f t="shared" si="307"/>
        <v>0</v>
      </c>
    </row>
    <row r="2805" spans="1:19" x14ac:dyDescent="0.25">
      <c r="A2805" s="24" t="s">
        <v>3935</v>
      </c>
      <c r="B2805" s="4" t="s">
        <v>1063</v>
      </c>
      <c r="C2805" s="25" t="s">
        <v>5</v>
      </c>
      <c r="G2805" s="25" t="s">
        <v>1089</v>
      </c>
      <c r="H2805" s="24" t="s">
        <v>1061</v>
      </c>
      <c r="I2805" s="3" t="str">
        <f>IFERROR(VLOOKUP(C2805,'Справочник соответствий'!A$2:D$2981,2,FALSE),IF(VALUE(C2805)=0,1,VLOOKUP(C2805,'Справочник соответствий'!A$2:D$2981,2,FALSE)))</f>
        <v>1</v>
      </c>
      <c r="J2805" s="3">
        <f>IFERROR(VLOOKUP(D2805,'Справочник соответствий'!A$2:D$2981,2,FALSE),IF(VALUE(D2805)=0,0,VLOOKUP(D2805,'Справочник соответствий'!A$2:D$2981,2,FALSE)))</f>
        <v>0</v>
      </c>
      <c r="K2805" s="3" t="str">
        <f t="shared" si="301"/>
        <v>1</v>
      </c>
      <c r="L2805" s="13" t="str">
        <f>IFERROR(VLOOKUP(C2805,'Справочник соответствий'!A$2:D$2981,3,FALSE),IF(VALUE(C2805)=0,"ЭТАЖ НЕ ОПРЕДЕЛЕН. ПРИНЯТ ПО ДОПУЩЕНИЮ 1",VLOOKUP(C2805,'Справочник соответствий'!A$2:D$2981,3,FALSE)))</f>
        <v>ЭТАЖ ЗАДАН ЧИСЛОМ</v>
      </c>
      <c r="M2805" s="13" t="b">
        <f t="shared" si="302"/>
        <v>0</v>
      </c>
      <c r="N2805" s="13">
        <f t="shared" si="303"/>
        <v>1</v>
      </c>
      <c r="O2805" s="13" t="str">
        <f t="shared" si="304"/>
        <v>ЭТАЖ ЗАДАН ЧИСЛОМ</v>
      </c>
      <c r="P2805" s="13" t="str">
        <f t="shared" si="305"/>
        <v>ЭТАЖ ЗАДАН ЧИСЛОМ</v>
      </c>
      <c r="Q2805" s="13" t="str">
        <f t="shared" si="306"/>
        <v>ГОТОВ_ИЗМЕНЕН</v>
      </c>
      <c r="R2805" s="13">
        <f>IFERROR(VLOOKUP(P2805,Лист1!A$1:B$20,2,FALSE),0)</f>
        <v>784</v>
      </c>
      <c r="S2805" s="13">
        <f t="shared" si="307"/>
        <v>0</v>
      </c>
    </row>
    <row r="2806" spans="1:19" x14ac:dyDescent="0.25">
      <c r="A2806" s="24" t="s">
        <v>3936</v>
      </c>
      <c r="B2806" s="4" t="s">
        <v>1059</v>
      </c>
      <c r="C2806" s="25" t="s">
        <v>5</v>
      </c>
      <c r="G2806" s="25" t="s">
        <v>1089</v>
      </c>
      <c r="H2806" s="24" t="s">
        <v>1061</v>
      </c>
      <c r="I2806" s="3" t="str">
        <f>IFERROR(VLOOKUP(C2806,'Справочник соответствий'!A$2:D$2981,2,FALSE),IF(VALUE(C2806)=0,1,VLOOKUP(C2806,'Справочник соответствий'!A$2:D$2981,2,FALSE)))</f>
        <v>1</v>
      </c>
      <c r="J2806" s="3">
        <f>IFERROR(VLOOKUP(D2806,'Справочник соответствий'!A$2:D$2981,2,FALSE),IF(VALUE(D2806)=0,0,VLOOKUP(D2806,'Справочник соответствий'!A$2:D$2981,2,FALSE)))</f>
        <v>0</v>
      </c>
      <c r="K2806" s="3" t="str">
        <f t="shared" si="301"/>
        <v>1</v>
      </c>
      <c r="L2806" s="13" t="str">
        <f>IFERROR(VLOOKUP(C2806,'Справочник соответствий'!A$2:D$2981,3,FALSE),IF(VALUE(C2806)=0,"ЭТАЖ НЕ ОПРЕДЕЛЕН. ПРИНЯТ ПО ДОПУЩЕНИЮ 1",VLOOKUP(C2806,'Справочник соответствий'!A$2:D$2981,3,FALSE)))</f>
        <v>ЭТАЖ ЗАДАН ЧИСЛОМ</v>
      </c>
      <c r="M2806" s="13" t="b">
        <f t="shared" si="302"/>
        <v>0</v>
      </c>
      <c r="N2806" s="13">
        <f t="shared" si="303"/>
        <v>1</v>
      </c>
      <c r="O2806" s="13" t="str">
        <f t="shared" si="304"/>
        <v>ЭТАЖ ЗАДАН ЧИСЛОМ</v>
      </c>
      <c r="P2806" s="13" t="str">
        <f t="shared" si="305"/>
        <v>ЭТАЖ ЗАДАН ЧИСЛОМ</v>
      </c>
      <c r="Q2806" s="13" t="str">
        <f t="shared" si="306"/>
        <v>ГОТОВ_ИЗМЕНЕН</v>
      </c>
      <c r="R2806" s="13">
        <f>IFERROR(VLOOKUP(P2806,Лист1!A$1:B$20,2,FALSE),0)</f>
        <v>784</v>
      </c>
      <c r="S2806" s="13">
        <f t="shared" si="307"/>
        <v>0</v>
      </c>
    </row>
    <row r="2807" spans="1:19" x14ac:dyDescent="0.25">
      <c r="A2807" s="24" t="s">
        <v>3937</v>
      </c>
      <c r="B2807" s="4" t="s">
        <v>1063</v>
      </c>
      <c r="C2807" s="25" t="s">
        <v>5</v>
      </c>
      <c r="G2807" s="25" t="s">
        <v>1089</v>
      </c>
      <c r="H2807" s="24" t="s">
        <v>1061</v>
      </c>
      <c r="I2807" s="3" t="str">
        <f>IFERROR(VLOOKUP(C2807,'Справочник соответствий'!A$2:D$2981,2,FALSE),IF(VALUE(C2807)=0,1,VLOOKUP(C2807,'Справочник соответствий'!A$2:D$2981,2,FALSE)))</f>
        <v>1</v>
      </c>
      <c r="J2807" s="3">
        <f>IFERROR(VLOOKUP(D2807,'Справочник соответствий'!A$2:D$2981,2,FALSE),IF(VALUE(D2807)=0,0,VLOOKUP(D2807,'Справочник соответствий'!A$2:D$2981,2,FALSE)))</f>
        <v>0</v>
      </c>
      <c r="K2807" s="3" t="str">
        <f t="shared" si="301"/>
        <v>1</v>
      </c>
      <c r="L2807" s="13" t="str">
        <f>IFERROR(VLOOKUP(C2807,'Справочник соответствий'!A$2:D$2981,3,FALSE),IF(VALUE(C2807)=0,"ЭТАЖ НЕ ОПРЕДЕЛЕН. ПРИНЯТ ПО ДОПУЩЕНИЮ 1",VLOOKUP(C2807,'Справочник соответствий'!A$2:D$2981,3,FALSE)))</f>
        <v>ЭТАЖ ЗАДАН ЧИСЛОМ</v>
      </c>
      <c r="M2807" s="13" t="b">
        <f t="shared" si="302"/>
        <v>0</v>
      </c>
      <c r="N2807" s="13">
        <f t="shared" si="303"/>
        <v>1</v>
      </c>
      <c r="O2807" s="13" t="str">
        <f t="shared" si="304"/>
        <v>ЭТАЖ ЗАДАН ЧИСЛОМ</v>
      </c>
      <c r="P2807" s="13" t="str">
        <f t="shared" si="305"/>
        <v>ЭТАЖ ЗАДАН ЧИСЛОМ</v>
      </c>
      <c r="Q2807" s="13" t="str">
        <f t="shared" si="306"/>
        <v>ГОТОВ_ИЗМЕНЕН</v>
      </c>
      <c r="R2807" s="13">
        <f>IFERROR(VLOOKUP(P2807,Лист1!A$1:B$20,2,FALSE),0)</f>
        <v>784</v>
      </c>
      <c r="S2807" s="13">
        <f t="shared" si="307"/>
        <v>0</v>
      </c>
    </row>
    <row r="2808" spans="1:19" x14ac:dyDescent="0.25">
      <c r="A2808" s="24" t="s">
        <v>3938</v>
      </c>
      <c r="B2808" s="4" t="s">
        <v>1059</v>
      </c>
      <c r="C2808" s="25" t="s">
        <v>7</v>
      </c>
      <c r="G2808" s="25" t="s">
        <v>1089</v>
      </c>
      <c r="H2808" s="24" t="s">
        <v>1061</v>
      </c>
      <c r="I2808" s="3" t="str">
        <f>IFERROR(VLOOKUP(C2808,'Справочник соответствий'!A$2:D$2981,2,FALSE),IF(VALUE(C2808)=0,1,VLOOKUP(C2808,'Справочник соответствий'!A$2:D$2981,2,FALSE)))</f>
        <v>2</v>
      </c>
      <c r="J2808" s="3">
        <f>IFERROR(VLOOKUP(D2808,'Справочник соответствий'!A$2:D$2981,2,FALSE),IF(VALUE(D2808)=0,0,VLOOKUP(D2808,'Справочник соответствий'!A$2:D$2981,2,FALSE)))</f>
        <v>0</v>
      </c>
      <c r="K2808" s="3" t="str">
        <f t="shared" si="301"/>
        <v>2</v>
      </c>
      <c r="L2808" s="13" t="str">
        <f>IFERROR(VLOOKUP(C2808,'Справочник соответствий'!A$2:D$2981,3,FALSE),IF(VALUE(C2808)=0,"ЭТАЖ НЕ ОПРЕДЕЛЕН. ПРИНЯТ ПО ДОПУЩЕНИЮ 1",VLOOKUP(C2808,'Справочник соответствий'!A$2:D$2981,3,FALSE)))</f>
        <v>ЭТАЖ ЗАДАН ЧИСЛОМ</v>
      </c>
      <c r="M2808" s="13" t="b">
        <f t="shared" si="302"/>
        <v>0</v>
      </c>
      <c r="N2808" s="13">
        <f t="shared" si="303"/>
        <v>2</v>
      </c>
      <c r="O2808" s="13" t="str">
        <f t="shared" si="304"/>
        <v>ЭТАЖ ЗАДАН ЧИСЛОМ</v>
      </c>
      <c r="P2808" s="13" t="str">
        <f t="shared" si="305"/>
        <v>ЭТАЖ ЗАДАН ЧИСЛОМ</v>
      </c>
      <c r="Q2808" s="13" t="str">
        <f t="shared" si="306"/>
        <v>ГОТОВ_ИЗМЕНЕН</v>
      </c>
      <c r="R2808" s="13">
        <f>IFERROR(VLOOKUP(P2808,Лист1!A$1:B$20,2,FALSE),0)</f>
        <v>784</v>
      </c>
      <c r="S2808" s="13">
        <f t="shared" si="307"/>
        <v>0</v>
      </c>
    </row>
    <row r="2809" spans="1:19" x14ac:dyDescent="0.25">
      <c r="A2809" s="24" t="s">
        <v>3939</v>
      </c>
      <c r="B2809" s="4" t="s">
        <v>1063</v>
      </c>
      <c r="C2809" s="25" t="s">
        <v>5</v>
      </c>
      <c r="G2809" s="25" t="s">
        <v>1289</v>
      </c>
      <c r="H2809" s="24" t="s">
        <v>1061</v>
      </c>
      <c r="I2809" s="3" t="str">
        <f>IFERROR(VLOOKUP(C2809,'Справочник соответствий'!A$2:D$2981,2,FALSE),IF(VALUE(C2809)=0,1,VLOOKUP(C2809,'Справочник соответствий'!A$2:D$2981,2,FALSE)))</f>
        <v>1</v>
      </c>
      <c r="J2809" s="3">
        <f>IFERROR(VLOOKUP(D2809,'Справочник соответствий'!A$2:D$2981,2,FALSE),IF(VALUE(D2809)=0,0,VLOOKUP(D2809,'Справочник соответствий'!A$2:D$2981,2,FALSE)))</f>
        <v>0</v>
      </c>
      <c r="K2809" s="3" t="str">
        <f t="shared" si="301"/>
        <v>1</v>
      </c>
      <c r="L2809" s="13" t="str">
        <f>IFERROR(VLOOKUP(C2809,'Справочник соответствий'!A$2:D$2981,3,FALSE),IF(VALUE(C2809)=0,"ЭТАЖ НЕ ОПРЕДЕЛЕН. ПРИНЯТ ПО ДОПУЩЕНИЮ 1",VLOOKUP(C2809,'Справочник соответствий'!A$2:D$2981,3,FALSE)))</f>
        <v>ЭТАЖ ЗАДАН ЧИСЛОМ</v>
      </c>
      <c r="M2809" s="13" t="b">
        <f t="shared" si="302"/>
        <v>0</v>
      </c>
      <c r="N2809" s="13">
        <f t="shared" si="303"/>
        <v>1</v>
      </c>
      <c r="O2809" s="13" t="str">
        <f t="shared" si="304"/>
        <v>ЭТАЖ ЗАДАН ЧИСЛОМ</v>
      </c>
      <c r="P2809" s="13" t="str">
        <f t="shared" si="305"/>
        <v>ЭТАЖ ЗАДАН ЧИСЛОМ</v>
      </c>
      <c r="Q2809" s="13" t="str">
        <f t="shared" si="306"/>
        <v>ГОТОВ_ИЗМЕНЕН</v>
      </c>
      <c r="R2809" s="13">
        <f>IFERROR(VLOOKUP(P2809,Лист1!A$1:B$20,2,FALSE),0)</f>
        <v>784</v>
      </c>
      <c r="S2809" s="13">
        <f t="shared" si="307"/>
        <v>0</v>
      </c>
    </row>
    <row r="2810" spans="1:19" x14ac:dyDescent="0.25">
      <c r="A2810" s="24" t="s">
        <v>3940</v>
      </c>
      <c r="B2810" s="4" t="s">
        <v>1059</v>
      </c>
      <c r="C2810" s="25" t="s">
        <v>7</v>
      </c>
      <c r="G2810" s="25" t="s">
        <v>1698</v>
      </c>
      <c r="H2810" s="24" t="s">
        <v>1061</v>
      </c>
      <c r="I2810" s="3" t="str">
        <f>IFERROR(VLOOKUP(C2810,'Справочник соответствий'!A$2:D$2981,2,FALSE),IF(VALUE(C2810)=0,1,VLOOKUP(C2810,'Справочник соответствий'!A$2:D$2981,2,FALSE)))</f>
        <v>2</v>
      </c>
      <c r="J2810" s="3">
        <f>IFERROR(VLOOKUP(D2810,'Справочник соответствий'!A$2:D$2981,2,FALSE),IF(VALUE(D2810)=0,0,VLOOKUP(D2810,'Справочник соответствий'!A$2:D$2981,2,FALSE)))</f>
        <v>0</v>
      </c>
      <c r="K2810" s="3" t="str">
        <f t="shared" si="301"/>
        <v>2</v>
      </c>
      <c r="L2810" s="13" t="str">
        <f>IFERROR(VLOOKUP(C2810,'Справочник соответствий'!A$2:D$2981,3,FALSE),IF(VALUE(C2810)=0,"ЭТАЖ НЕ ОПРЕДЕЛЕН. ПРИНЯТ ПО ДОПУЩЕНИЮ 1",VLOOKUP(C2810,'Справочник соответствий'!A$2:D$2981,3,FALSE)))</f>
        <v>ЭТАЖ ЗАДАН ЧИСЛОМ</v>
      </c>
      <c r="M2810" s="13" t="b">
        <f t="shared" si="302"/>
        <v>0</v>
      </c>
      <c r="N2810" s="13">
        <f t="shared" si="303"/>
        <v>2</v>
      </c>
      <c r="O2810" s="13" t="str">
        <f t="shared" si="304"/>
        <v>ЭТАЖ ЗАДАН ЧИСЛОМ</v>
      </c>
      <c r="P2810" s="13" t="str">
        <f t="shared" si="305"/>
        <v>ЭТАЖ ЗАДАН ЧИСЛОМ</v>
      </c>
      <c r="Q2810" s="13" t="str">
        <f t="shared" si="306"/>
        <v>ГОТОВ_ИЗМЕНЕН</v>
      </c>
      <c r="R2810" s="13">
        <f>IFERROR(VLOOKUP(P2810,Лист1!A$1:B$20,2,FALSE),0)</f>
        <v>784</v>
      </c>
      <c r="S2810" s="13">
        <f t="shared" si="307"/>
        <v>0</v>
      </c>
    </row>
    <row r="2811" spans="1:19" x14ac:dyDescent="0.25">
      <c r="A2811" s="24" t="s">
        <v>3941</v>
      </c>
      <c r="B2811" s="4" t="s">
        <v>1063</v>
      </c>
      <c r="G2811" s="25" t="s">
        <v>1698</v>
      </c>
      <c r="H2811" s="24" t="s">
        <v>1061</v>
      </c>
      <c r="I2811" s="3">
        <f>IFERROR(VLOOKUP(C2811,'Справочник соответствий'!A$2:D$2981,2,FALSE),IF(VALUE(C2811)=0,1,VLOOKUP(C2811,'Справочник соответствий'!A$2:D$2981,2,FALSE)))</f>
        <v>1</v>
      </c>
      <c r="J2811" s="3">
        <f>IFERROR(VLOOKUP(D2811,'Справочник соответствий'!A$2:D$2981,2,FALSE),IF(VALUE(D2811)=0,0,VLOOKUP(D2811,'Справочник соответствий'!A$2:D$2981,2,FALSE)))</f>
        <v>0</v>
      </c>
      <c r="K2811" s="3">
        <f t="shared" si="301"/>
        <v>1</v>
      </c>
      <c r="L2811" s="13" t="str">
        <f>IFERROR(VLOOKUP(C2811,'Справочник соответствий'!A$2:D$2981,3,FALSE),IF(VALUE(C2811)=0,"ЭТАЖ НЕ ОПРЕДЕЛЕН. ПРИНЯТ ПО ДОПУЩЕНИЮ 1",VLOOKUP(C2811,'Справочник соответствий'!A$2:D$2981,3,FALSE)))</f>
        <v>ЭТАЖ НЕ ОПРЕДЕЛЕН. ПРИНЯТ ПО ДОПУЩЕНИЮ 1</v>
      </c>
      <c r="M2811" s="13" t="b">
        <f t="shared" si="302"/>
        <v>0</v>
      </c>
      <c r="N2811" s="13">
        <f t="shared" si="303"/>
        <v>1</v>
      </c>
      <c r="O2811" s="13" t="str">
        <f t="shared" si="304"/>
        <v>ЭТАЖ НЕ ОПРЕДЕЛЕН. ПРИНЯТ ПО ДОПУЩЕНИЮ 1</v>
      </c>
      <c r="P2811" s="13" t="str">
        <f t="shared" si="305"/>
        <v>ЭТАЖ НЕ ОПРЕДЕЛЕН. ПРИНЯТ ПО ДОПУЩЕНИЮ 1</v>
      </c>
      <c r="Q2811" s="13" t="str">
        <f t="shared" si="306"/>
        <v>ГОТОВ_ИЗМЕНЕН</v>
      </c>
      <c r="R2811" s="13">
        <f>IFERROR(VLOOKUP(P2811,Лист1!A$1:B$20,2,FALSE),0)</f>
        <v>788</v>
      </c>
      <c r="S2811" s="13">
        <f t="shared" si="307"/>
        <v>0</v>
      </c>
    </row>
    <row r="2812" spans="1:19" x14ac:dyDescent="0.25">
      <c r="A2812" s="24" t="s">
        <v>3942</v>
      </c>
      <c r="B2812" s="4" t="s">
        <v>1059</v>
      </c>
      <c r="C2812" s="25" t="s">
        <v>5</v>
      </c>
      <c r="G2812" s="25" t="s">
        <v>1698</v>
      </c>
      <c r="H2812" s="24" t="s">
        <v>1061</v>
      </c>
      <c r="I2812" s="3" t="str">
        <f>IFERROR(VLOOKUP(C2812,'Справочник соответствий'!A$2:D$2981,2,FALSE),IF(VALUE(C2812)=0,1,VLOOKUP(C2812,'Справочник соответствий'!A$2:D$2981,2,FALSE)))</f>
        <v>1</v>
      </c>
      <c r="J2812" s="3">
        <f>IFERROR(VLOOKUP(D2812,'Справочник соответствий'!A$2:D$2981,2,FALSE),IF(VALUE(D2812)=0,0,VLOOKUP(D2812,'Справочник соответствий'!A$2:D$2981,2,FALSE)))</f>
        <v>0</v>
      </c>
      <c r="K2812" s="3" t="str">
        <f t="shared" si="301"/>
        <v>1</v>
      </c>
      <c r="L2812" s="13" t="str">
        <f>IFERROR(VLOOKUP(C2812,'Справочник соответствий'!A$2:D$2981,3,FALSE),IF(VALUE(C2812)=0,"ЭТАЖ НЕ ОПРЕДЕЛЕН. ПРИНЯТ ПО ДОПУЩЕНИЮ 1",VLOOKUP(C2812,'Справочник соответствий'!A$2:D$2981,3,FALSE)))</f>
        <v>ЭТАЖ ЗАДАН ЧИСЛОМ</v>
      </c>
      <c r="M2812" s="13" t="b">
        <f t="shared" si="302"/>
        <v>0</v>
      </c>
      <c r="N2812" s="13">
        <f t="shared" si="303"/>
        <v>1</v>
      </c>
      <c r="O2812" s="13" t="str">
        <f t="shared" si="304"/>
        <v>ЭТАЖ ЗАДАН ЧИСЛОМ</v>
      </c>
      <c r="P2812" s="13" t="str">
        <f t="shared" si="305"/>
        <v>ЭТАЖ ЗАДАН ЧИСЛОМ</v>
      </c>
      <c r="Q2812" s="13" t="str">
        <f t="shared" si="306"/>
        <v>ГОТОВ_ИЗМЕНЕН</v>
      </c>
      <c r="R2812" s="13">
        <f>IFERROR(VLOOKUP(P2812,Лист1!A$1:B$20,2,FALSE),0)</f>
        <v>784</v>
      </c>
      <c r="S2812" s="13">
        <f t="shared" si="307"/>
        <v>0</v>
      </c>
    </row>
    <row r="2813" spans="1:19" x14ac:dyDescent="0.25">
      <c r="A2813" s="24" t="s">
        <v>3943</v>
      </c>
      <c r="B2813" s="4" t="s">
        <v>1063</v>
      </c>
      <c r="C2813" s="25" t="s">
        <v>5</v>
      </c>
      <c r="G2813" s="25" t="s">
        <v>1698</v>
      </c>
      <c r="H2813" s="24" t="s">
        <v>1061</v>
      </c>
      <c r="I2813" s="3" t="str">
        <f>IFERROR(VLOOKUP(C2813,'Справочник соответствий'!A$2:D$2981,2,FALSE),IF(VALUE(C2813)=0,1,VLOOKUP(C2813,'Справочник соответствий'!A$2:D$2981,2,FALSE)))</f>
        <v>1</v>
      </c>
      <c r="J2813" s="3">
        <f>IFERROR(VLOOKUP(D2813,'Справочник соответствий'!A$2:D$2981,2,FALSE),IF(VALUE(D2813)=0,0,VLOOKUP(D2813,'Справочник соответствий'!A$2:D$2981,2,FALSE)))</f>
        <v>0</v>
      </c>
      <c r="K2813" s="3" t="str">
        <f t="shared" si="301"/>
        <v>1</v>
      </c>
      <c r="L2813" s="13" t="str">
        <f>IFERROR(VLOOKUP(C2813,'Справочник соответствий'!A$2:D$2981,3,FALSE),IF(VALUE(C2813)=0,"ЭТАЖ НЕ ОПРЕДЕЛЕН. ПРИНЯТ ПО ДОПУЩЕНИЮ 1",VLOOKUP(C2813,'Справочник соответствий'!A$2:D$2981,3,FALSE)))</f>
        <v>ЭТАЖ ЗАДАН ЧИСЛОМ</v>
      </c>
      <c r="M2813" s="13" t="b">
        <f t="shared" si="302"/>
        <v>0</v>
      </c>
      <c r="N2813" s="13">
        <f t="shared" si="303"/>
        <v>1</v>
      </c>
      <c r="O2813" s="13" t="str">
        <f t="shared" si="304"/>
        <v>ЭТАЖ ЗАДАН ЧИСЛОМ</v>
      </c>
      <c r="P2813" s="13" t="str">
        <f t="shared" si="305"/>
        <v>ЭТАЖ ЗАДАН ЧИСЛОМ</v>
      </c>
      <c r="Q2813" s="13" t="str">
        <f t="shared" si="306"/>
        <v>ГОТОВ_ИЗМЕНЕН</v>
      </c>
      <c r="R2813" s="13">
        <f>IFERROR(VLOOKUP(P2813,Лист1!A$1:B$20,2,FALSE),0)</f>
        <v>784</v>
      </c>
      <c r="S2813" s="13">
        <f t="shared" si="307"/>
        <v>0</v>
      </c>
    </row>
    <row r="2814" spans="1:19" x14ac:dyDescent="0.25">
      <c r="A2814" s="24" t="s">
        <v>3944</v>
      </c>
      <c r="B2814" s="4" t="s">
        <v>1059</v>
      </c>
      <c r="C2814" s="25" t="s">
        <v>7</v>
      </c>
      <c r="G2814" s="25" t="s">
        <v>1698</v>
      </c>
      <c r="H2814" s="24" t="s">
        <v>1061</v>
      </c>
      <c r="I2814" s="3" t="str">
        <f>IFERROR(VLOOKUP(C2814,'Справочник соответствий'!A$2:D$2981,2,FALSE),IF(VALUE(C2814)=0,1,VLOOKUP(C2814,'Справочник соответствий'!A$2:D$2981,2,FALSE)))</f>
        <v>2</v>
      </c>
      <c r="J2814" s="3">
        <f>IFERROR(VLOOKUP(D2814,'Справочник соответствий'!A$2:D$2981,2,FALSE),IF(VALUE(D2814)=0,0,VLOOKUP(D2814,'Справочник соответствий'!A$2:D$2981,2,FALSE)))</f>
        <v>0</v>
      </c>
      <c r="K2814" s="3" t="str">
        <f t="shared" si="301"/>
        <v>2</v>
      </c>
      <c r="L2814" s="13" t="str">
        <f>IFERROR(VLOOKUP(C2814,'Справочник соответствий'!A$2:D$2981,3,FALSE),IF(VALUE(C2814)=0,"ЭТАЖ НЕ ОПРЕДЕЛЕН. ПРИНЯТ ПО ДОПУЩЕНИЮ 1",VLOOKUP(C2814,'Справочник соответствий'!A$2:D$2981,3,FALSE)))</f>
        <v>ЭТАЖ ЗАДАН ЧИСЛОМ</v>
      </c>
      <c r="M2814" s="13" t="b">
        <f t="shared" si="302"/>
        <v>0</v>
      </c>
      <c r="N2814" s="13">
        <f t="shared" si="303"/>
        <v>2</v>
      </c>
      <c r="O2814" s="13" t="str">
        <f t="shared" si="304"/>
        <v>ЭТАЖ ЗАДАН ЧИСЛОМ</v>
      </c>
      <c r="P2814" s="13" t="str">
        <f t="shared" si="305"/>
        <v>ЭТАЖ ЗАДАН ЧИСЛОМ</v>
      </c>
      <c r="Q2814" s="13" t="str">
        <f t="shared" si="306"/>
        <v>ГОТОВ_ИЗМЕНЕН</v>
      </c>
      <c r="R2814" s="13">
        <f>IFERROR(VLOOKUP(P2814,Лист1!A$1:B$20,2,FALSE),0)</f>
        <v>784</v>
      </c>
      <c r="S2814" s="13">
        <f t="shared" si="307"/>
        <v>0</v>
      </c>
    </row>
    <row r="2815" spans="1:19" x14ac:dyDescent="0.25">
      <c r="A2815" s="24" t="s">
        <v>3945</v>
      </c>
      <c r="B2815" s="4" t="s">
        <v>1059</v>
      </c>
      <c r="C2815" s="25" t="s">
        <v>5</v>
      </c>
      <c r="G2815" s="25" t="s">
        <v>1391</v>
      </c>
      <c r="H2815" s="24" t="s">
        <v>1061</v>
      </c>
      <c r="I2815" s="3" t="str">
        <f>IFERROR(VLOOKUP(C2815,'Справочник соответствий'!A$2:D$2981,2,FALSE),IF(VALUE(C2815)=0,1,VLOOKUP(C2815,'Справочник соответствий'!A$2:D$2981,2,FALSE)))</f>
        <v>1</v>
      </c>
      <c r="J2815" s="3">
        <f>IFERROR(VLOOKUP(D2815,'Справочник соответствий'!A$2:D$2981,2,FALSE),IF(VALUE(D2815)=0,0,VLOOKUP(D2815,'Справочник соответствий'!A$2:D$2981,2,FALSE)))</f>
        <v>0</v>
      </c>
      <c r="K2815" s="3" t="str">
        <f t="shared" si="301"/>
        <v>1</v>
      </c>
      <c r="L2815" s="13" t="str">
        <f>IFERROR(VLOOKUP(C2815,'Справочник соответствий'!A$2:D$2981,3,FALSE),IF(VALUE(C2815)=0,"ЭТАЖ НЕ ОПРЕДЕЛЕН. ПРИНЯТ ПО ДОПУЩЕНИЮ 1",VLOOKUP(C2815,'Справочник соответствий'!A$2:D$2981,3,FALSE)))</f>
        <v>ЭТАЖ ЗАДАН ЧИСЛОМ</v>
      </c>
      <c r="M2815" s="13" t="b">
        <f t="shared" si="302"/>
        <v>0</v>
      </c>
      <c r="N2815" s="13">
        <f t="shared" si="303"/>
        <v>1</v>
      </c>
      <c r="O2815" s="13" t="str">
        <f t="shared" si="304"/>
        <v>ЭТАЖ ЗАДАН ЧИСЛОМ</v>
      </c>
      <c r="P2815" s="13" t="str">
        <f t="shared" si="305"/>
        <v>ЭТАЖ ЗАДАН ЧИСЛОМ</v>
      </c>
      <c r="Q2815" s="13" t="str">
        <f t="shared" si="306"/>
        <v>ГОТОВ_ИЗМЕНЕН</v>
      </c>
      <c r="R2815" s="13">
        <f>IFERROR(VLOOKUP(P2815,Лист1!A$1:B$20,2,FALSE),0)</f>
        <v>784</v>
      </c>
      <c r="S2815" s="13">
        <f t="shared" si="307"/>
        <v>0</v>
      </c>
    </row>
    <row r="2816" spans="1:19" x14ac:dyDescent="0.25">
      <c r="A2816" s="24" t="s">
        <v>3946</v>
      </c>
      <c r="B2816" s="4" t="s">
        <v>1063</v>
      </c>
      <c r="G2816" s="25" t="s">
        <v>1391</v>
      </c>
      <c r="H2816" s="24" t="s">
        <v>1061</v>
      </c>
      <c r="I2816" s="3">
        <f>IFERROR(VLOOKUP(C2816,'Справочник соответствий'!A$2:D$2981,2,FALSE),IF(VALUE(C2816)=0,1,VLOOKUP(C2816,'Справочник соответствий'!A$2:D$2981,2,FALSE)))</f>
        <v>1</v>
      </c>
      <c r="J2816" s="3">
        <f>IFERROR(VLOOKUP(D2816,'Справочник соответствий'!A$2:D$2981,2,FALSE),IF(VALUE(D2816)=0,0,VLOOKUP(D2816,'Справочник соответствий'!A$2:D$2981,2,FALSE)))</f>
        <v>0</v>
      </c>
      <c r="K2816" s="3">
        <f t="shared" si="301"/>
        <v>1</v>
      </c>
      <c r="L2816" s="13" t="str">
        <f>IFERROR(VLOOKUP(C2816,'Справочник соответствий'!A$2:D$2981,3,FALSE),IF(VALUE(C2816)=0,"ЭТАЖ НЕ ОПРЕДЕЛЕН. ПРИНЯТ ПО ДОПУЩЕНИЮ 1",VLOOKUP(C2816,'Справочник соответствий'!A$2:D$2981,3,FALSE)))</f>
        <v>ЭТАЖ НЕ ОПРЕДЕЛЕН. ПРИНЯТ ПО ДОПУЩЕНИЮ 1</v>
      </c>
      <c r="M2816" s="13" t="b">
        <f t="shared" si="302"/>
        <v>0</v>
      </c>
      <c r="N2816" s="13">
        <f t="shared" si="303"/>
        <v>1</v>
      </c>
      <c r="O2816" s="13" t="str">
        <f t="shared" si="304"/>
        <v>ЭТАЖ НЕ ОПРЕДЕЛЕН. ПРИНЯТ ПО ДОПУЩЕНИЮ 1</v>
      </c>
      <c r="P2816" s="13" t="str">
        <f t="shared" si="305"/>
        <v>ЭТАЖ НЕ ОПРЕДЕЛЕН. ПРИНЯТ ПО ДОПУЩЕНИЮ 1</v>
      </c>
      <c r="Q2816" s="13" t="str">
        <f t="shared" si="306"/>
        <v>ГОТОВ_ИЗМЕНЕН</v>
      </c>
      <c r="R2816" s="13">
        <f>IFERROR(VLOOKUP(P2816,Лист1!A$1:B$20,2,FALSE),0)</f>
        <v>788</v>
      </c>
      <c r="S2816" s="13">
        <f t="shared" si="307"/>
        <v>0</v>
      </c>
    </row>
    <row r="2817" spans="1:19" x14ac:dyDescent="0.25">
      <c r="A2817" s="24" t="s">
        <v>3947</v>
      </c>
      <c r="B2817" s="4" t="s">
        <v>1063</v>
      </c>
      <c r="C2817" s="25" t="s">
        <v>5</v>
      </c>
      <c r="G2817" s="25" t="s">
        <v>1391</v>
      </c>
      <c r="H2817" s="24" t="s">
        <v>1061</v>
      </c>
      <c r="I2817" s="3" t="str">
        <f>IFERROR(VLOOKUP(C2817,'Справочник соответствий'!A$2:D$2981,2,FALSE),IF(VALUE(C2817)=0,1,VLOOKUP(C2817,'Справочник соответствий'!A$2:D$2981,2,FALSE)))</f>
        <v>1</v>
      </c>
      <c r="J2817" s="3">
        <f>IFERROR(VLOOKUP(D2817,'Справочник соответствий'!A$2:D$2981,2,FALSE),IF(VALUE(D2817)=0,0,VLOOKUP(D2817,'Справочник соответствий'!A$2:D$2981,2,FALSE)))</f>
        <v>0</v>
      </c>
      <c r="K2817" s="3" t="str">
        <f t="shared" si="301"/>
        <v>1</v>
      </c>
      <c r="L2817" s="13" t="str">
        <f>IFERROR(VLOOKUP(C2817,'Справочник соответствий'!A$2:D$2981,3,FALSE),IF(VALUE(C2817)=0,"ЭТАЖ НЕ ОПРЕДЕЛЕН. ПРИНЯТ ПО ДОПУЩЕНИЮ 1",VLOOKUP(C2817,'Справочник соответствий'!A$2:D$2981,3,FALSE)))</f>
        <v>ЭТАЖ ЗАДАН ЧИСЛОМ</v>
      </c>
      <c r="M2817" s="13" t="b">
        <f t="shared" si="302"/>
        <v>0</v>
      </c>
      <c r="N2817" s="13">
        <f t="shared" si="303"/>
        <v>1</v>
      </c>
      <c r="O2817" s="13" t="str">
        <f t="shared" si="304"/>
        <v>ЭТАЖ ЗАДАН ЧИСЛОМ</v>
      </c>
      <c r="P2817" s="13" t="str">
        <f t="shared" si="305"/>
        <v>ЭТАЖ ЗАДАН ЧИСЛОМ</v>
      </c>
      <c r="Q2817" s="13" t="str">
        <f t="shared" si="306"/>
        <v>ГОТОВ_ИЗМЕНЕН</v>
      </c>
      <c r="R2817" s="13">
        <f>IFERROR(VLOOKUP(P2817,Лист1!A$1:B$20,2,FALSE),0)</f>
        <v>784</v>
      </c>
      <c r="S2817" s="13">
        <f t="shared" si="307"/>
        <v>0</v>
      </c>
    </row>
    <row r="2818" spans="1:19" x14ac:dyDescent="0.25">
      <c r="A2818" s="24" t="s">
        <v>3948</v>
      </c>
      <c r="B2818" s="4" t="s">
        <v>1059</v>
      </c>
      <c r="C2818" s="25" t="s">
        <v>7</v>
      </c>
      <c r="G2818" s="25" t="s">
        <v>1347</v>
      </c>
      <c r="H2818" s="24" t="s">
        <v>1061</v>
      </c>
      <c r="I2818" s="3" t="str">
        <f>IFERROR(VLOOKUP(C2818,'Справочник соответствий'!A$2:D$2981,2,FALSE),IF(VALUE(C2818)=0,1,VLOOKUP(C2818,'Справочник соответствий'!A$2:D$2981,2,FALSE)))</f>
        <v>2</v>
      </c>
      <c r="J2818" s="3">
        <f>IFERROR(VLOOKUP(D2818,'Справочник соответствий'!A$2:D$2981,2,FALSE),IF(VALUE(D2818)=0,0,VLOOKUP(D2818,'Справочник соответствий'!A$2:D$2981,2,FALSE)))</f>
        <v>0</v>
      </c>
      <c r="K2818" s="3" t="str">
        <f t="shared" si="301"/>
        <v>2</v>
      </c>
      <c r="L2818" s="13" t="str">
        <f>IFERROR(VLOOKUP(C2818,'Справочник соответствий'!A$2:D$2981,3,FALSE),IF(VALUE(C2818)=0,"ЭТАЖ НЕ ОПРЕДЕЛЕН. ПРИНЯТ ПО ДОПУЩЕНИЮ 1",VLOOKUP(C2818,'Справочник соответствий'!A$2:D$2981,3,FALSE)))</f>
        <v>ЭТАЖ ЗАДАН ЧИСЛОМ</v>
      </c>
      <c r="M2818" s="13" t="b">
        <f t="shared" si="302"/>
        <v>0</v>
      </c>
      <c r="N2818" s="13">
        <f t="shared" si="303"/>
        <v>2</v>
      </c>
      <c r="O2818" s="13" t="str">
        <f t="shared" si="304"/>
        <v>ЭТАЖ ЗАДАН ЧИСЛОМ</v>
      </c>
      <c r="P2818" s="13" t="str">
        <f t="shared" si="305"/>
        <v>ЭТАЖ ЗАДАН ЧИСЛОМ</v>
      </c>
      <c r="Q2818" s="13" t="str">
        <f t="shared" si="306"/>
        <v>ГОТОВ_ИЗМЕНЕН</v>
      </c>
      <c r="R2818" s="13">
        <f>IFERROR(VLOOKUP(P2818,Лист1!A$1:B$20,2,FALSE),0)</f>
        <v>784</v>
      </c>
      <c r="S2818" s="13">
        <f t="shared" si="307"/>
        <v>0</v>
      </c>
    </row>
    <row r="2819" spans="1:19" x14ac:dyDescent="0.25">
      <c r="A2819" s="24" t="s">
        <v>3949</v>
      </c>
      <c r="B2819" s="4" t="s">
        <v>1063</v>
      </c>
      <c r="G2819" s="25" t="s">
        <v>1347</v>
      </c>
      <c r="H2819" s="24" t="s">
        <v>1061</v>
      </c>
      <c r="I2819" s="3">
        <f>IFERROR(VLOOKUP(C2819,'Справочник соответствий'!A$2:D$2981,2,FALSE),IF(VALUE(C2819)=0,1,VLOOKUP(C2819,'Справочник соответствий'!A$2:D$2981,2,FALSE)))</f>
        <v>1</v>
      </c>
      <c r="J2819" s="3">
        <f>IFERROR(VLOOKUP(D2819,'Справочник соответствий'!A$2:D$2981,2,FALSE),IF(VALUE(D2819)=0,0,VLOOKUP(D2819,'Справочник соответствий'!A$2:D$2981,2,FALSE)))</f>
        <v>0</v>
      </c>
      <c r="K2819" s="3">
        <f t="shared" si="301"/>
        <v>1</v>
      </c>
      <c r="L2819" s="13" t="str">
        <f>IFERROR(VLOOKUP(C2819,'Справочник соответствий'!A$2:D$2981,3,FALSE),IF(VALUE(C2819)=0,"ЭТАЖ НЕ ОПРЕДЕЛЕН. ПРИНЯТ ПО ДОПУЩЕНИЮ 1",VLOOKUP(C2819,'Справочник соответствий'!A$2:D$2981,3,FALSE)))</f>
        <v>ЭТАЖ НЕ ОПРЕДЕЛЕН. ПРИНЯТ ПО ДОПУЩЕНИЮ 1</v>
      </c>
      <c r="M2819" s="13" t="b">
        <f t="shared" si="302"/>
        <v>0</v>
      </c>
      <c r="N2819" s="13">
        <f t="shared" si="303"/>
        <v>1</v>
      </c>
      <c r="O2819" s="13" t="str">
        <f t="shared" si="304"/>
        <v>ЭТАЖ НЕ ОПРЕДЕЛЕН. ПРИНЯТ ПО ДОПУЩЕНИЮ 1</v>
      </c>
      <c r="P2819" s="13" t="str">
        <f t="shared" si="305"/>
        <v>ЭТАЖ НЕ ОПРЕДЕЛЕН. ПРИНЯТ ПО ДОПУЩЕНИЮ 1</v>
      </c>
      <c r="Q2819" s="13" t="str">
        <f t="shared" si="306"/>
        <v>ГОТОВ_ИЗМЕНЕН</v>
      </c>
      <c r="R2819" s="13">
        <f>IFERROR(VLOOKUP(P2819,Лист1!A$1:B$20,2,FALSE),0)</f>
        <v>788</v>
      </c>
      <c r="S2819" s="13">
        <f t="shared" si="307"/>
        <v>0</v>
      </c>
    </row>
    <row r="2820" spans="1:19" x14ac:dyDescent="0.25">
      <c r="A2820" s="24" t="s">
        <v>3950</v>
      </c>
      <c r="B2820" s="4" t="s">
        <v>1059</v>
      </c>
      <c r="C2820" s="25" t="s">
        <v>5</v>
      </c>
      <c r="G2820" s="25" t="s">
        <v>1347</v>
      </c>
      <c r="H2820" s="24" t="s">
        <v>1061</v>
      </c>
      <c r="I2820" s="3" t="str">
        <f>IFERROR(VLOOKUP(C2820,'Справочник соответствий'!A$2:D$2981,2,FALSE),IF(VALUE(C2820)=0,1,VLOOKUP(C2820,'Справочник соответствий'!A$2:D$2981,2,FALSE)))</f>
        <v>1</v>
      </c>
      <c r="J2820" s="3">
        <f>IFERROR(VLOOKUP(D2820,'Справочник соответствий'!A$2:D$2981,2,FALSE),IF(VALUE(D2820)=0,0,VLOOKUP(D2820,'Справочник соответствий'!A$2:D$2981,2,FALSE)))</f>
        <v>0</v>
      </c>
      <c r="K2820" s="3" t="str">
        <f t="shared" si="301"/>
        <v>1</v>
      </c>
      <c r="L2820" s="13" t="str">
        <f>IFERROR(VLOOKUP(C2820,'Справочник соответствий'!A$2:D$2981,3,FALSE),IF(VALUE(C2820)=0,"ЭТАЖ НЕ ОПРЕДЕЛЕН. ПРИНЯТ ПО ДОПУЩЕНИЮ 1",VLOOKUP(C2820,'Справочник соответствий'!A$2:D$2981,3,FALSE)))</f>
        <v>ЭТАЖ ЗАДАН ЧИСЛОМ</v>
      </c>
      <c r="M2820" s="13" t="b">
        <f t="shared" si="302"/>
        <v>0</v>
      </c>
      <c r="N2820" s="13">
        <f t="shared" si="303"/>
        <v>1</v>
      </c>
      <c r="O2820" s="13" t="str">
        <f t="shared" si="304"/>
        <v>ЭТАЖ ЗАДАН ЧИСЛОМ</v>
      </c>
      <c r="P2820" s="13" t="str">
        <f t="shared" si="305"/>
        <v>ЭТАЖ ЗАДАН ЧИСЛОМ</v>
      </c>
      <c r="Q2820" s="13" t="str">
        <f t="shared" si="306"/>
        <v>ГОТОВ_ИЗМЕНЕН</v>
      </c>
      <c r="R2820" s="13">
        <f>IFERROR(VLOOKUP(P2820,Лист1!A$1:B$20,2,FALSE),0)</f>
        <v>784</v>
      </c>
      <c r="S2820" s="13">
        <f t="shared" si="307"/>
        <v>0</v>
      </c>
    </row>
    <row r="2821" spans="1:19" x14ac:dyDescent="0.25">
      <c r="A2821" s="24" t="s">
        <v>3951</v>
      </c>
      <c r="B2821" s="4" t="s">
        <v>1063</v>
      </c>
      <c r="C2821" s="25" t="s">
        <v>5</v>
      </c>
      <c r="G2821" s="25" t="s">
        <v>1347</v>
      </c>
      <c r="H2821" s="24" t="s">
        <v>1061</v>
      </c>
      <c r="I2821" s="3" t="str">
        <f>IFERROR(VLOOKUP(C2821,'Справочник соответствий'!A$2:D$2981,2,FALSE),IF(VALUE(C2821)=0,1,VLOOKUP(C2821,'Справочник соответствий'!A$2:D$2981,2,FALSE)))</f>
        <v>1</v>
      </c>
      <c r="J2821" s="3">
        <f>IFERROR(VLOOKUP(D2821,'Справочник соответствий'!A$2:D$2981,2,FALSE),IF(VALUE(D2821)=0,0,VLOOKUP(D2821,'Справочник соответствий'!A$2:D$2981,2,FALSE)))</f>
        <v>0</v>
      </c>
      <c r="K2821" s="3" t="str">
        <f t="shared" ref="K2821:K2884" si="308">IF(B2821="Многоквартирный дом",IF(I2821-J2821&gt;0,I2821-J2821,1),I2821)</f>
        <v>1</v>
      </c>
      <c r="L2821" s="13" t="str">
        <f>IFERROR(VLOOKUP(C2821,'Справочник соответствий'!A$2:D$2981,3,FALSE),IF(VALUE(C2821)=0,"ЭТАЖ НЕ ОПРЕДЕЛЕН. ПРИНЯТ ПО ДОПУЩЕНИЮ 1",VLOOKUP(C2821,'Справочник соответствий'!A$2:D$2981,3,FALSE)))</f>
        <v>ЭТАЖ ЗАДАН ЧИСЛОМ</v>
      </c>
      <c r="M2821" s="13" t="b">
        <f t="shared" ref="M2821:M2884" si="309">I2821=E2821</f>
        <v>0</v>
      </c>
      <c r="N2821" s="13">
        <f t="shared" ref="N2821:N2884" si="310">IF(VALUE(E2821)=0,VALUE(K2821),IF(L2821="ЭТАЖ НЕ ОПРЕДЕЛЕН. ПРИНЯТ ПО ДОПУЩЕНИЮ 1",VALUE(E2821),VALUE(K2821)))</f>
        <v>1</v>
      </c>
      <c r="O2821" s="13" t="str">
        <f t="shared" ref="O2821:O2884" si="311">IF(VALUE(E2821)=0,L2821,IF(L2821="ЭТАЖ НЕ ОПРЕДЕЛЕН. ПРИНЯТ ПО ДОПУЩЕНИЮ 1",F2821,L2821))</f>
        <v>ЭТАЖ ЗАДАН ЧИСЛОМ</v>
      </c>
      <c r="P2821" s="13" t="str">
        <f t="shared" ref="P2821:P2884" si="312">IF(B2821="Многоквартирный дом",CONCATENATE("МКД_",O2821),O2821)</f>
        <v>ЭТАЖ ЗАДАН ЧИСЛОМ</v>
      </c>
      <c r="Q2821" s="13" t="str">
        <f t="shared" ref="Q2821:Q2884" si="313">IFERROR(IF(N2821&gt;0,IF(N2821=VALUE(E2821),"ГОТОВ","ГОТОВ_ИЗМЕНЕН"),"НЕ ГОТОВ"),"НЕ ГОТОВ")</f>
        <v>ГОТОВ_ИЗМЕНЕН</v>
      </c>
      <c r="R2821" s="13">
        <f>IFERROR(VLOOKUP(P2821,Лист1!A$1:B$20,2,FALSE),0)</f>
        <v>784</v>
      </c>
      <c r="S2821" s="13">
        <f t="shared" ref="S2821:S2884" si="314">VALUE(E2821)</f>
        <v>0</v>
      </c>
    </row>
    <row r="2822" spans="1:19" x14ac:dyDescent="0.25">
      <c r="A2822" s="24" t="s">
        <v>3952</v>
      </c>
      <c r="B2822" s="4" t="s">
        <v>1059</v>
      </c>
      <c r="C2822" s="25" t="s">
        <v>7</v>
      </c>
      <c r="G2822" s="25" t="s">
        <v>1347</v>
      </c>
      <c r="H2822" s="24" t="s">
        <v>1061</v>
      </c>
      <c r="I2822" s="3" t="str">
        <f>IFERROR(VLOOKUP(C2822,'Справочник соответствий'!A$2:D$2981,2,FALSE),IF(VALUE(C2822)=0,1,VLOOKUP(C2822,'Справочник соответствий'!A$2:D$2981,2,FALSE)))</f>
        <v>2</v>
      </c>
      <c r="J2822" s="3">
        <f>IFERROR(VLOOKUP(D2822,'Справочник соответствий'!A$2:D$2981,2,FALSE),IF(VALUE(D2822)=0,0,VLOOKUP(D2822,'Справочник соответствий'!A$2:D$2981,2,FALSE)))</f>
        <v>0</v>
      </c>
      <c r="K2822" s="3" t="str">
        <f t="shared" si="308"/>
        <v>2</v>
      </c>
      <c r="L2822" s="13" t="str">
        <f>IFERROR(VLOOKUP(C2822,'Справочник соответствий'!A$2:D$2981,3,FALSE),IF(VALUE(C2822)=0,"ЭТАЖ НЕ ОПРЕДЕЛЕН. ПРИНЯТ ПО ДОПУЩЕНИЮ 1",VLOOKUP(C2822,'Справочник соответствий'!A$2:D$2981,3,FALSE)))</f>
        <v>ЭТАЖ ЗАДАН ЧИСЛОМ</v>
      </c>
      <c r="M2822" s="13" t="b">
        <f t="shared" si="309"/>
        <v>0</v>
      </c>
      <c r="N2822" s="13">
        <f t="shared" si="310"/>
        <v>2</v>
      </c>
      <c r="O2822" s="13" t="str">
        <f t="shared" si="311"/>
        <v>ЭТАЖ ЗАДАН ЧИСЛОМ</v>
      </c>
      <c r="P2822" s="13" t="str">
        <f t="shared" si="312"/>
        <v>ЭТАЖ ЗАДАН ЧИСЛОМ</v>
      </c>
      <c r="Q2822" s="13" t="str">
        <f t="shared" si="313"/>
        <v>ГОТОВ_ИЗМЕНЕН</v>
      </c>
      <c r="R2822" s="13">
        <f>IFERROR(VLOOKUP(P2822,Лист1!A$1:B$20,2,FALSE),0)</f>
        <v>784</v>
      </c>
      <c r="S2822" s="13">
        <f t="shared" si="314"/>
        <v>0</v>
      </c>
    </row>
    <row r="2823" spans="1:19" x14ac:dyDescent="0.25">
      <c r="A2823" s="24" t="s">
        <v>3953</v>
      </c>
      <c r="B2823" s="4" t="s">
        <v>1063</v>
      </c>
      <c r="G2823" s="25" t="s">
        <v>1347</v>
      </c>
      <c r="H2823" s="24" t="s">
        <v>1061</v>
      </c>
      <c r="I2823" s="3">
        <f>IFERROR(VLOOKUP(C2823,'Справочник соответствий'!A$2:D$2981,2,FALSE),IF(VALUE(C2823)=0,1,VLOOKUP(C2823,'Справочник соответствий'!A$2:D$2981,2,FALSE)))</f>
        <v>1</v>
      </c>
      <c r="J2823" s="3">
        <f>IFERROR(VLOOKUP(D2823,'Справочник соответствий'!A$2:D$2981,2,FALSE),IF(VALUE(D2823)=0,0,VLOOKUP(D2823,'Справочник соответствий'!A$2:D$2981,2,FALSE)))</f>
        <v>0</v>
      </c>
      <c r="K2823" s="3">
        <f t="shared" si="308"/>
        <v>1</v>
      </c>
      <c r="L2823" s="13" t="str">
        <f>IFERROR(VLOOKUP(C2823,'Справочник соответствий'!A$2:D$2981,3,FALSE),IF(VALUE(C2823)=0,"ЭТАЖ НЕ ОПРЕДЕЛЕН. ПРИНЯТ ПО ДОПУЩЕНИЮ 1",VLOOKUP(C2823,'Справочник соответствий'!A$2:D$2981,3,FALSE)))</f>
        <v>ЭТАЖ НЕ ОПРЕДЕЛЕН. ПРИНЯТ ПО ДОПУЩЕНИЮ 1</v>
      </c>
      <c r="M2823" s="13" t="b">
        <f t="shared" si="309"/>
        <v>0</v>
      </c>
      <c r="N2823" s="13">
        <f t="shared" si="310"/>
        <v>1</v>
      </c>
      <c r="O2823" s="13" t="str">
        <f t="shared" si="311"/>
        <v>ЭТАЖ НЕ ОПРЕДЕЛЕН. ПРИНЯТ ПО ДОПУЩЕНИЮ 1</v>
      </c>
      <c r="P2823" s="13" t="str">
        <f t="shared" si="312"/>
        <v>ЭТАЖ НЕ ОПРЕДЕЛЕН. ПРИНЯТ ПО ДОПУЩЕНИЮ 1</v>
      </c>
      <c r="Q2823" s="13" t="str">
        <f t="shared" si="313"/>
        <v>ГОТОВ_ИЗМЕНЕН</v>
      </c>
      <c r="R2823" s="13">
        <f>IFERROR(VLOOKUP(P2823,Лист1!A$1:B$20,2,FALSE),0)</f>
        <v>788</v>
      </c>
      <c r="S2823" s="13">
        <f t="shared" si="314"/>
        <v>0</v>
      </c>
    </row>
    <row r="2824" spans="1:19" x14ac:dyDescent="0.25">
      <c r="A2824" s="24" t="s">
        <v>3954</v>
      </c>
      <c r="B2824" s="4" t="s">
        <v>1063</v>
      </c>
      <c r="C2824" s="25" t="s">
        <v>5</v>
      </c>
      <c r="G2824" s="25" t="s">
        <v>1347</v>
      </c>
      <c r="H2824" s="24" t="s">
        <v>1061</v>
      </c>
      <c r="I2824" s="3" t="str">
        <f>IFERROR(VLOOKUP(C2824,'Справочник соответствий'!A$2:D$2981,2,FALSE),IF(VALUE(C2824)=0,1,VLOOKUP(C2824,'Справочник соответствий'!A$2:D$2981,2,FALSE)))</f>
        <v>1</v>
      </c>
      <c r="J2824" s="3">
        <f>IFERROR(VLOOKUP(D2824,'Справочник соответствий'!A$2:D$2981,2,FALSE),IF(VALUE(D2824)=0,0,VLOOKUP(D2824,'Справочник соответствий'!A$2:D$2981,2,FALSE)))</f>
        <v>0</v>
      </c>
      <c r="K2824" s="3" t="str">
        <f t="shared" si="308"/>
        <v>1</v>
      </c>
      <c r="L2824" s="13" t="str">
        <f>IFERROR(VLOOKUP(C2824,'Справочник соответствий'!A$2:D$2981,3,FALSE),IF(VALUE(C2824)=0,"ЭТАЖ НЕ ОПРЕДЕЛЕН. ПРИНЯТ ПО ДОПУЩЕНИЮ 1",VLOOKUP(C2824,'Справочник соответствий'!A$2:D$2981,3,FALSE)))</f>
        <v>ЭТАЖ ЗАДАН ЧИСЛОМ</v>
      </c>
      <c r="M2824" s="13" t="b">
        <f t="shared" si="309"/>
        <v>0</v>
      </c>
      <c r="N2824" s="13">
        <f t="shared" si="310"/>
        <v>1</v>
      </c>
      <c r="O2824" s="13" t="str">
        <f t="shared" si="311"/>
        <v>ЭТАЖ ЗАДАН ЧИСЛОМ</v>
      </c>
      <c r="P2824" s="13" t="str">
        <f t="shared" si="312"/>
        <v>ЭТАЖ ЗАДАН ЧИСЛОМ</v>
      </c>
      <c r="Q2824" s="13" t="str">
        <f t="shared" si="313"/>
        <v>ГОТОВ_ИЗМЕНЕН</v>
      </c>
      <c r="R2824" s="13">
        <f>IFERROR(VLOOKUP(P2824,Лист1!A$1:B$20,2,FALSE),0)</f>
        <v>784</v>
      </c>
      <c r="S2824" s="13">
        <f t="shared" si="314"/>
        <v>0</v>
      </c>
    </row>
    <row r="2825" spans="1:19" x14ac:dyDescent="0.25">
      <c r="A2825" s="24" t="s">
        <v>3955</v>
      </c>
      <c r="B2825" s="4" t="s">
        <v>1059</v>
      </c>
      <c r="C2825" s="25" t="s">
        <v>5</v>
      </c>
      <c r="G2825" s="25" t="s">
        <v>1321</v>
      </c>
      <c r="H2825" s="24" t="s">
        <v>1061</v>
      </c>
      <c r="I2825" s="3" t="str">
        <f>IFERROR(VLOOKUP(C2825,'Справочник соответствий'!A$2:D$2981,2,FALSE),IF(VALUE(C2825)=0,1,VLOOKUP(C2825,'Справочник соответствий'!A$2:D$2981,2,FALSE)))</f>
        <v>1</v>
      </c>
      <c r="J2825" s="3">
        <f>IFERROR(VLOOKUP(D2825,'Справочник соответствий'!A$2:D$2981,2,FALSE),IF(VALUE(D2825)=0,0,VLOOKUP(D2825,'Справочник соответствий'!A$2:D$2981,2,FALSE)))</f>
        <v>0</v>
      </c>
      <c r="K2825" s="3" t="str">
        <f t="shared" si="308"/>
        <v>1</v>
      </c>
      <c r="L2825" s="13" t="str">
        <f>IFERROR(VLOOKUP(C2825,'Справочник соответствий'!A$2:D$2981,3,FALSE),IF(VALUE(C2825)=0,"ЭТАЖ НЕ ОПРЕДЕЛЕН. ПРИНЯТ ПО ДОПУЩЕНИЮ 1",VLOOKUP(C2825,'Справочник соответствий'!A$2:D$2981,3,FALSE)))</f>
        <v>ЭТАЖ ЗАДАН ЧИСЛОМ</v>
      </c>
      <c r="M2825" s="13" t="b">
        <f t="shared" si="309"/>
        <v>0</v>
      </c>
      <c r="N2825" s="13">
        <f t="shared" si="310"/>
        <v>1</v>
      </c>
      <c r="O2825" s="13" t="str">
        <f t="shared" si="311"/>
        <v>ЭТАЖ ЗАДАН ЧИСЛОМ</v>
      </c>
      <c r="P2825" s="13" t="str">
        <f t="shared" si="312"/>
        <v>ЭТАЖ ЗАДАН ЧИСЛОМ</v>
      </c>
      <c r="Q2825" s="13" t="str">
        <f t="shared" si="313"/>
        <v>ГОТОВ_ИЗМЕНЕН</v>
      </c>
      <c r="R2825" s="13">
        <f>IFERROR(VLOOKUP(P2825,Лист1!A$1:B$20,2,FALSE),0)</f>
        <v>784</v>
      </c>
      <c r="S2825" s="13">
        <f t="shared" si="314"/>
        <v>0</v>
      </c>
    </row>
    <row r="2826" spans="1:19" x14ac:dyDescent="0.25">
      <c r="A2826" s="24" t="s">
        <v>3956</v>
      </c>
      <c r="B2826" s="4" t="s">
        <v>1063</v>
      </c>
      <c r="C2826" s="25" t="s">
        <v>5</v>
      </c>
      <c r="G2826" s="25" t="s">
        <v>1321</v>
      </c>
      <c r="H2826" s="24" t="s">
        <v>1061</v>
      </c>
      <c r="I2826" s="3" t="str">
        <f>IFERROR(VLOOKUP(C2826,'Справочник соответствий'!A$2:D$2981,2,FALSE),IF(VALUE(C2826)=0,1,VLOOKUP(C2826,'Справочник соответствий'!A$2:D$2981,2,FALSE)))</f>
        <v>1</v>
      </c>
      <c r="J2826" s="3">
        <f>IFERROR(VLOOKUP(D2826,'Справочник соответствий'!A$2:D$2981,2,FALSE),IF(VALUE(D2826)=0,0,VLOOKUP(D2826,'Справочник соответствий'!A$2:D$2981,2,FALSE)))</f>
        <v>0</v>
      </c>
      <c r="K2826" s="3" t="str">
        <f t="shared" si="308"/>
        <v>1</v>
      </c>
      <c r="L2826" s="13" t="str">
        <f>IFERROR(VLOOKUP(C2826,'Справочник соответствий'!A$2:D$2981,3,FALSE),IF(VALUE(C2826)=0,"ЭТАЖ НЕ ОПРЕДЕЛЕН. ПРИНЯТ ПО ДОПУЩЕНИЮ 1",VLOOKUP(C2826,'Справочник соответствий'!A$2:D$2981,3,FALSE)))</f>
        <v>ЭТАЖ ЗАДАН ЧИСЛОМ</v>
      </c>
      <c r="M2826" s="13" t="b">
        <f t="shared" si="309"/>
        <v>0</v>
      </c>
      <c r="N2826" s="13">
        <f t="shared" si="310"/>
        <v>1</v>
      </c>
      <c r="O2826" s="13" t="str">
        <f t="shared" si="311"/>
        <v>ЭТАЖ ЗАДАН ЧИСЛОМ</v>
      </c>
      <c r="P2826" s="13" t="str">
        <f t="shared" si="312"/>
        <v>ЭТАЖ ЗАДАН ЧИСЛОМ</v>
      </c>
      <c r="Q2826" s="13" t="str">
        <f t="shared" si="313"/>
        <v>ГОТОВ_ИЗМЕНЕН</v>
      </c>
      <c r="R2826" s="13">
        <f>IFERROR(VLOOKUP(P2826,Лист1!A$1:B$20,2,FALSE),0)</f>
        <v>784</v>
      </c>
      <c r="S2826" s="13">
        <f t="shared" si="314"/>
        <v>0</v>
      </c>
    </row>
    <row r="2827" spans="1:19" x14ac:dyDescent="0.25">
      <c r="A2827" s="24" t="s">
        <v>3957</v>
      </c>
      <c r="B2827" s="4" t="s">
        <v>1059</v>
      </c>
      <c r="C2827" s="25" t="s">
        <v>5</v>
      </c>
      <c r="G2827" s="25" t="s">
        <v>1321</v>
      </c>
      <c r="H2827" s="24" t="s">
        <v>1061</v>
      </c>
      <c r="I2827" s="3" t="str">
        <f>IFERROR(VLOOKUP(C2827,'Справочник соответствий'!A$2:D$2981,2,FALSE),IF(VALUE(C2827)=0,1,VLOOKUP(C2827,'Справочник соответствий'!A$2:D$2981,2,FALSE)))</f>
        <v>1</v>
      </c>
      <c r="J2827" s="3">
        <f>IFERROR(VLOOKUP(D2827,'Справочник соответствий'!A$2:D$2981,2,FALSE),IF(VALUE(D2827)=0,0,VLOOKUP(D2827,'Справочник соответствий'!A$2:D$2981,2,FALSE)))</f>
        <v>0</v>
      </c>
      <c r="K2827" s="3" t="str">
        <f t="shared" si="308"/>
        <v>1</v>
      </c>
      <c r="L2827" s="13" t="str">
        <f>IFERROR(VLOOKUP(C2827,'Справочник соответствий'!A$2:D$2981,3,FALSE),IF(VALUE(C2827)=0,"ЭТАЖ НЕ ОПРЕДЕЛЕН. ПРИНЯТ ПО ДОПУЩЕНИЮ 1",VLOOKUP(C2827,'Справочник соответствий'!A$2:D$2981,3,FALSE)))</f>
        <v>ЭТАЖ ЗАДАН ЧИСЛОМ</v>
      </c>
      <c r="M2827" s="13" t="b">
        <f t="shared" si="309"/>
        <v>0</v>
      </c>
      <c r="N2827" s="13">
        <f t="shared" si="310"/>
        <v>1</v>
      </c>
      <c r="O2827" s="13" t="str">
        <f t="shared" si="311"/>
        <v>ЭТАЖ ЗАДАН ЧИСЛОМ</v>
      </c>
      <c r="P2827" s="13" t="str">
        <f t="shared" si="312"/>
        <v>ЭТАЖ ЗАДАН ЧИСЛОМ</v>
      </c>
      <c r="Q2827" s="13" t="str">
        <f t="shared" si="313"/>
        <v>ГОТОВ_ИЗМЕНЕН</v>
      </c>
      <c r="R2827" s="13">
        <f>IFERROR(VLOOKUP(P2827,Лист1!A$1:B$20,2,FALSE),0)</f>
        <v>784</v>
      </c>
      <c r="S2827" s="13">
        <f t="shared" si="314"/>
        <v>0</v>
      </c>
    </row>
    <row r="2828" spans="1:19" x14ac:dyDescent="0.25">
      <c r="A2828" s="24" t="s">
        <v>3958</v>
      </c>
      <c r="B2828" s="4" t="s">
        <v>1059</v>
      </c>
      <c r="C2828" s="25" t="s">
        <v>5</v>
      </c>
      <c r="G2828" s="25" t="s">
        <v>1321</v>
      </c>
      <c r="H2828" s="24" t="s">
        <v>1061</v>
      </c>
      <c r="I2828" s="3" t="str">
        <f>IFERROR(VLOOKUP(C2828,'Справочник соответствий'!A$2:D$2981,2,FALSE),IF(VALUE(C2828)=0,1,VLOOKUP(C2828,'Справочник соответствий'!A$2:D$2981,2,FALSE)))</f>
        <v>1</v>
      </c>
      <c r="J2828" s="3">
        <f>IFERROR(VLOOKUP(D2828,'Справочник соответствий'!A$2:D$2981,2,FALSE),IF(VALUE(D2828)=0,0,VLOOKUP(D2828,'Справочник соответствий'!A$2:D$2981,2,FALSE)))</f>
        <v>0</v>
      </c>
      <c r="K2828" s="3" t="str">
        <f t="shared" si="308"/>
        <v>1</v>
      </c>
      <c r="L2828" s="13" t="str">
        <f>IFERROR(VLOOKUP(C2828,'Справочник соответствий'!A$2:D$2981,3,FALSE),IF(VALUE(C2828)=0,"ЭТАЖ НЕ ОПРЕДЕЛЕН. ПРИНЯТ ПО ДОПУЩЕНИЮ 1",VLOOKUP(C2828,'Справочник соответствий'!A$2:D$2981,3,FALSE)))</f>
        <v>ЭТАЖ ЗАДАН ЧИСЛОМ</v>
      </c>
      <c r="M2828" s="13" t="b">
        <f t="shared" si="309"/>
        <v>0</v>
      </c>
      <c r="N2828" s="13">
        <f t="shared" si="310"/>
        <v>1</v>
      </c>
      <c r="O2828" s="13" t="str">
        <f t="shared" si="311"/>
        <v>ЭТАЖ ЗАДАН ЧИСЛОМ</v>
      </c>
      <c r="P2828" s="13" t="str">
        <f t="shared" si="312"/>
        <v>ЭТАЖ ЗАДАН ЧИСЛОМ</v>
      </c>
      <c r="Q2828" s="13" t="str">
        <f t="shared" si="313"/>
        <v>ГОТОВ_ИЗМЕНЕН</v>
      </c>
      <c r="R2828" s="13">
        <f>IFERROR(VLOOKUP(P2828,Лист1!A$1:B$20,2,FALSE),0)</f>
        <v>784</v>
      </c>
      <c r="S2828" s="13">
        <f t="shared" si="314"/>
        <v>0</v>
      </c>
    </row>
    <row r="2829" spans="1:19" x14ac:dyDescent="0.25">
      <c r="A2829" s="24" t="s">
        <v>3959</v>
      </c>
      <c r="B2829" s="4" t="s">
        <v>1063</v>
      </c>
      <c r="C2829" s="25" t="s">
        <v>5</v>
      </c>
      <c r="G2829" s="25" t="s">
        <v>1321</v>
      </c>
      <c r="H2829" s="24" t="s">
        <v>1061</v>
      </c>
      <c r="I2829" s="3" t="str">
        <f>IFERROR(VLOOKUP(C2829,'Справочник соответствий'!A$2:D$2981,2,FALSE),IF(VALUE(C2829)=0,1,VLOOKUP(C2829,'Справочник соответствий'!A$2:D$2981,2,FALSE)))</f>
        <v>1</v>
      </c>
      <c r="J2829" s="3">
        <f>IFERROR(VLOOKUP(D2829,'Справочник соответствий'!A$2:D$2981,2,FALSE),IF(VALUE(D2829)=0,0,VLOOKUP(D2829,'Справочник соответствий'!A$2:D$2981,2,FALSE)))</f>
        <v>0</v>
      </c>
      <c r="K2829" s="3" t="str">
        <f t="shared" si="308"/>
        <v>1</v>
      </c>
      <c r="L2829" s="13" t="str">
        <f>IFERROR(VLOOKUP(C2829,'Справочник соответствий'!A$2:D$2981,3,FALSE),IF(VALUE(C2829)=0,"ЭТАЖ НЕ ОПРЕДЕЛЕН. ПРИНЯТ ПО ДОПУЩЕНИЮ 1",VLOOKUP(C2829,'Справочник соответствий'!A$2:D$2981,3,FALSE)))</f>
        <v>ЭТАЖ ЗАДАН ЧИСЛОМ</v>
      </c>
      <c r="M2829" s="13" t="b">
        <f t="shared" si="309"/>
        <v>0</v>
      </c>
      <c r="N2829" s="13">
        <f t="shared" si="310"/>
        <v>1</v>
      </c>
      <c r="O2829" s="13" t="str">
        <f t="shared" si="311"/>
        <v>ЭТАЖ ЗАДАН ЧИСЛОМ</v>
      </c>
      <c r="P2829" s="13" t="str">
        <f t="shared" si="312"/>
        <v>ЭТАЖ ЗАДАН ЧИСЛОМ</v>
      </c>
      <c r="Q2829" s="13" t="str">
        <f t="shared" si="313"/>
        <v>ГОТОВ_ИЗМЕНЕН</v>
      </c>
      <c r="R2829" s="13">
        <f>IFERROR(VLOOKUP(P2829,Лист1!A$1:B$20,2,FALSE),0)</f>
        <v>784</v>
      </c>
      <c r="S2829" s="13">
        <f t="shared" si="314"/>
        <v>0</v>
      </c>
    </row>
    <row r="2830" spans="1:19" x14ac:dyDescent="0.25">
      <c r="A2830" s="24" t="s">
        <v>3960</v>
      </c>
      <c r="B2830" s="4" t="s">
        <v>1059</v>
      </c>
      <c r="C2830" s="25" t="s">
        <v>7</v>
      </c>
      <c r="G2830" s="25" t="s">
        <v>2763</v>
      </c>
      <c r="H2830" s="24" t="s">
        <v>1061</v>
      </c>
      <c r="I2830" s="3" t="str">
        <f>IFERROR(VLOOKUP(C2830,'Справочник соответствий'!A$2:D$2981,2,FALSE),IF(VALUE(C2830)=0,1,VLOOKUP(C2830,'Справочник соответствий'!A$2:D$2981,2,FALSE)))</f>
        <v>2</v>
      </c>
      <c r="J2830" s="3">
        <f>IFERROR(VLOOKUP(D2830,'Справочник соответствий'!A$2:D$2981,2,FALSE),IF(VALUE(D2830)=0,0,VLOOKUP(D2830,'Справочник соответствий'!A$2:D$2981,2,FALSE)))</f>
        <v>0</v>
      </c>
      <c r="K2830" s="3" t="str">
        <f t="shared" si="308"/>
        <v>2</v>
      </c>
      <c r="L2830" s="13" t="str">
        <f>IFERROR(VLOOKUP(C2830,'Справочник соответствий'!A$2:D$2981,3,FALSE),IF(VALUE(C2830)=0,"ЭТАЖ НЕ ОПРЕДЕЛЕН. ПРИНЯТ ПО ДОПУЩЕНИЮ 1",VLOOKUP(C2830,'Справочник соответствий'!A$2:D$2981,3,FALSE)))</f>
        <v>ЭТАЖ ЗАДАН ЧИСЛОМ</v>
      </c>
      <c r="M2830" s="13" t="b">
        <f t="shared" si="309"/>
        <v>0</v>
      </c>
      <c r="N2830" s="13">
        <f t="shared" si="310"/>
        <v>2</v>
      </c>
      <c r="O2830" s="13" t="str">
        <f t="shared" si="311"/>
        <v>ЭТАЖ ЗАДАН ЧИСЛОМ</v>
      </c>
      <c r="P2830" s="13" t="str">
        <f t="shared" si="312"/>
        <v>ЭТАЖ ЗАДАН ЧИСЛОМ</v>
      </c>
      <c r="Q2830" s="13" t="str">
        <f t="shared" si="313"/>
        <v>ГОТОВ_ИЗМЕНЕН</v>
      </c>
      <c r="R2830" s="13">
        <f>IFERROR(VLOOKUP(P2830,Лист1!A$1:B$20,2,FALSE),0)</f>
        <v>784</v>
      </c>
      <c r="S2830" s="13">
        <f t="shared" si="314"/>
        <v>0</v>
      </c>
    </row>
    <row r="2831" spans="1:19" x14ac:dyDescent="0.25">
      <c r="A2831" s="24" t="s">
        <v>3961</v>
      </c>
      <c r="B2831" s="4" t="s">
        <v>1031</v>
      </c>
      <c r="C2831" s="25" t="s">
        <v>18</v>
      </c>
      <c r="G2831" s="25" t="s">
        <v>2763</v>
      </c>
      <c r="H2831" s="24" t="s">
        <v>1061</v>
      </c>
      <c r="I2831" s="3" t="str">
        <f>IFERROR(VLOOKUP(C2831,'Справочник соответствий'!A$2:D$2981,2,FALSE),IF(VALUE(C2831)=0,1,VLOOKUP(C2831,'Справочник соответствий'!A$2:D$2981,2,FALSE)))</f>
        <v>9</v>
      </c>
      <c r="J2831" s="3">
        <f>IFERROR(VLOOKUP(D2831,'Справочник соответствий'!A$2:D$2981,2,FALSE),IF(VALUE(D2831)=0,0,VLOOKUP(D2831,'Справочник соответствий'!A$2:D$2981,2,FALSE)))</f>
        <v>0</v>
      </c>
      <c r="K2831" s="3">
        <f t="shared" si="308"/>
        <v>9</v>
      </c>
      <c r="L2831" s="13" t="str">
        <f>IFERROR(VLOOKUP(C2831,'Справочник соответствий'!A$2:D$2981,3,FALSE),IF(VALUE(C2831)=0,"ЭТАЖ НЕ ОПРЕДЕЛЕН. ПРИНЯТ ПО ДОПУЩЕНИЮ 1",VLOOKUP(C2831,'Справочник соответствий'!A$2:D$2981,3,FALSE)))</f>
        <v>ЭТАЖ ЗАДАН ЧИСЛОМ</v>
      </c>
      <c r="M2831" s="13" t="b">
        <f t="shared" si="309"/>
        <v>0</v>
      </c>
      <c r="N2831" s="13">
        <f t="shared" si="310"/>
        <v>9</v>
      </c>
      <c r="O2831" s="13" t="str">
        <f t="shared" si="311"/>
        <v>ЭТАЖ ЗАДАН ЧИСЛОМ</v>
      </c>
      <c r="P2831" s="13" t="str">
        <f t="shared" si="312"/>
        <v>МКД_ЭТАЖ ЗАДАН ЧИСЛОМ</v>
      </c>
      <c r="Q2831" s="13" t="str">
        <f t="shared" si="313"/>
        <v>ГОТОВ_ИЗМЕНЕН</v>
      </c>
      <c r="R2831" s="13">
        <f>IFERROR(VLOOKUP(P2831,Лист1!A$1:B$20,2,FALSE),0)</f>
        <v>786</v>
      </c>
      <c r="S2831" s="13">
        <f t="shared" si="314"/>
        <v>0</v>
      </c>
    </row>
    <row r="2832" spans="1:19" x14ac:dyDescent="0.25">
      <c r="A2832" s="24" t="s">
        <v>3962</v>
      </c>
      <c r="B2832" s="4" t="s">
        <v>1059</v>
      </c>
      <c r="C2832" s="25" t="s">
        <v>5</v>
      </c>
      <c r="E2832" s="3">
        <v>1</v>
      </c>
      <c r="F2832" s="24" t="s">
        <v>1045</v>
      </c>
      <c r="G2832" s="25" t="s">
        <v>1089</v>
      </c>
      <c r="H2832" s="24" t="s">
        <v>1061</v>
      </c>
      <c r="I2832" s="3" t="str">
        <f>IFERROR(VLOOKUP(C2832,'Справочник соответствий'!A$2:D$2981,2,FALSE),IF(VALUE(C2832)=0,1,VLOOKUP(C2832,'Справочник соответствий'!A$2:D$2981,2,FALSE)))</f>
        <v>1</v>
      </c>
      <c r="J2832" s="3">
        <f>IFERROR(VLOOKUP(D2832,'Справочник соответствий'!A$2:D$2981,2,FALSE),IF(VALUE(D2832)=0,0,VLOOKUP(D2832,'Справочник соответствий'!A$2:D$2981,2,FALSE)))</f>
        <v>0</v>
      </c>
      <c r="K2832" s="3" t="str">
        <f t="shared" si="308"/>
        <v>1</v>
      </c>
      <c r="L2832" s="13" t="str">
        <f>IFERROR(VLOOKUP(C2832,'Справочник соответствий'!A$2:D$2981,3,FALSE),IF(VALUE(C2832)=0,"ЭТАЖ НЕ ОПРЕДЕЛЕН. ПРИНЯТ ПО ДОПУЩЕНИЮ 1",VLOOKUP(C2832,'Справочник соответствий'!A$2:D$2981,3,FALSE)))</f>
        <v>ЭТАЖ ЗАДАН ЧИСЛОМ</v>
      </c>
      <c r="M2832" s="13" t="b">
        <f t="shared" si="309"/>
        <v>0</v>
      </c>
      <c r="N2832" s="13">
        <f t="shared" si="310"/>
        <v>1</v>
      </c>
      <c r="O2832" s="13" t="str">
        <f t="shared" si="311"/>
        <v>ЭТАЖ ЗАДАН ЧИСЛОМ</v>
      </c>
      <c r="P2832" s="13" t="str">
        <f t="shared" si="312"/>
        <v>ЭТАЖ ЗАДАН ЧИСЛОМ</v>
      </c>
      <c r="Q2832" s="13" t="str">
        <f t="shared" si="313"/>
        <v>ГОТОВ</v>
      </c>
      <c r="R2832" s="13">
        <f>IFERROR(VLOOKUP(P2832,Лист1!A$1:B$20,2,FALSE),0)</f>
        <v>784</v>
      </c>
      <c r="S2832" s="13">
        <f t="shared" si="314"/>
        <v>1</v>
      </c>
    </row>
    <row r="2833" spans="1:19" x14ac:dyDescent="0.25">
      <c r="A2833" s="24" t="s">
        <v>3963</v>
      </c>
      <c r="B2833" s="4" t="s">
        <v>1059</v>
      </c>
      <c r="C2833" s="25" t="s">
        <v>5</v>
      </c>
      <c r="E2833" s="3">
        <v>1</v>
      </c>
      <c r="F2833" s="24" t="s">
        <v>1045</v>
      </c>
      <c r="G2833" s="25" t="s">
        <v>1174</v>
      </c>
      <c r="H2833" s="24" t="s">
        <v>1061</v>
      </c>
      <c r="I2833" s="3" t="str">
        <f>IFERROR(VLOOKUP(C2833,'Справочник соответствий'!A$2:D$2981,2,FALSE),IF(VALUE(C2833)=0,1,VLOOKUP(C2833,'Справочник соответствий'!A$2:D$2981,2,FALSE)))</f>
        <v>1</v>
      </c>
      <c r="J2833" s="3">
        <f>IFERROR(VLOOKUP(D2833,'Справочник соответствий'!A$2:D$2981,2,FALSE),IF(VALUE(D2833)=0,0,VLOOKUP(D2833,'Справочник соответствий'!A$2:D$2981,2,FALSE)))</f>
        <v>0</v>
      </c>
      <c r="K2833" s="3" t="str">
        <f t="shared" si="308"/>
        <v>1</v>
      </c>
      <c r="L2833" s="13" t="str">
        <f>IFERROR(VLOOKUP(C2833,'Справочник соответствий'!A$2:D$2981,3,FALSE),IF(VALUE(C2833)=0,"ЭТАЖ НЕ ОПРЕДЕЛЕН. ПРИНЯТ ПО ДОПУЩЕНИЮ 1",VLOOKUP(C2833,'Справочник соответствий'!A$2:D$2981,3,FALSE)))</f>
        <v>ЭТАЖ ЗАДАН ЧИСЛОМ</v>
      </c>
      <c r="M2833" s="13" t="b">
        <f t="shared" si="309"/>
        <v>0</v>
      </c>
      <c r="N2833" s="13">
        <f t="shared" si="310"/>
        <v>1</v>
      </c>
      <c r="O2833" s="13" t="str">
        <f t="shared" si="311"/>
        <v>ЭТАЖ ЗАДАН ЧИСЛОМ</v>
      </c>
      <c r="P2833" s="13" t="str">
        <f t="shared" si="312"/>
        <v>ЭТАЖ ЗАДАН ЧИСЛОМ</v>
      </c>
      <c r="Q2833" s="13" t="str">
        <f t="shared" si="313"/>
        <v>ГОТОВ</v>
      </c>
      <c r="R2833" s="13">
        <f>IFERROR(VLOOKUP(P2833,Лист1!A$1:B$20,2,FALSE),0)</f>
        <v>784</v>
      </c>
      <c r="S2833" s="13">
        <f t="shared" si="314"/>
        <v>1</v>
      </c>
    </row>
    <row r="2834" spans="1:19" x14ac:dyDescent="0.25">
      <c r="A2834" s="24" t="s">
        <v>3964</v>
      </c>
      <c r="B2834" s="4" t="s">
        <v>1063</v>
      </c>
      <c r="C2834" s="25" t="s">
        <v>8</v>
      </c>
      <c r="D2834" s="25" t="s">
        <v>24</v>
      </c>
      <c r="E2834" s="3">
        <v>3</v>
      </c>
      <c r="F2834" s="24" t="s">
        <v>1045</v>
      </c>
      <c r="G2834" s="25" t="s">
        <v>1089</v>
      </c>
      <c r="H2834" s="24" t="s">
        <v>1061</v>
      </c>
      <c r="I2834" s="3" t="str">
        <f>IFERROR(VLOOKUP(C2834,'Справочник соответствий'!A$2:D$2981,2,FALSE),IF(VALUE(C2834)=0,1,VLOOKUP(C2834,'Справочник соответствий'!A$2:D$2981,2,FALSE)))</f>
        <v>3</v>
      </c>
      <c r="J2834" s="3" t="str">
        <f>IFERROR(VLOOKUP(D2834,'Справочник соответствий'!A$2:D$2981,2,FALSE),IF(VALUE(D2834)=0,0,VLOOKUP(D2834,'Справочник соответствий'!A$2:D$2981,2,FALSE)))</f>
        <v>1</v>
      </c>
      <c r="K2834" s="3" t="str">
        <f t="shared" si="308"/>
        <v>3</v>
      </c>
      <c r="L2834" s="13" t="str">
        <f>IFERROR(VLOOKUP(C2834,'Справочник соответствий'!A$2:D$2981,3,FALSE),IF(VALUE(C2834)=0,"ЭТАЖ НЕ ОПРЕДЕЛЕН. ПРИНЯТ ПО ДОПУЩЕНИЮ 1",VLOOKUP(C2834,'Справочник соответствий'!A$2:D$2981,3,FALSE)))</f>
        <v>ЭТАЖ ЗАДАН ЧИСЛОМ</v>
      </c>
      <c r="M2834" s="13" t="b">
        <f t="shared" si="309"/>
        <v>0</v>
      </c>
      <c r="N2834" s="13">
        <f t="shared" si="310"/>
        <v>3</v>
      </c>
      <c r="O2834" s="13" t="str">
        <f t="shared" si="311"/>
        <v>ЭТАЖ ЗАДАН ЧИСЛОМ</v>
      </c>
      <c r="P2834" s="13" t="str">
        <f t="shared" si="312"/>
        <v>ЭТАЖ ЗАДАН ЧИСЛОМ</v>
      </c>
      <c r="Q2834" s="13" t="str">
        <f t="shared" si="313"/>
        <v>ГОТОВ</v>
      </c>
      <c r="R2834" s="13">
        <f>IFERROR(VLOOKUP(P2834,Лист1!A$1:B$20,2,FALSE),0)</f>
        <v>784</v>
      </c>
      <c r="S2834" s="13">
        <f t="shared" si="314"/>
        <v>3</v>
      </c>
    </row>
    <row r="2835" spans="1:19" x14ac:dyDescent="0.25">
      <c r="A2835" s="24" t="s">
        <v>3965</v>
      </c>
      <c r="B2835" s="4" t="s">
        <v>1063</v>
      </c>
      <c r="C2835" s="25" t="s">
        <v>5</v>
      </c>
      <c r="D2835" s="25" t="s">
        <v>24</v>
      </c>
      <c r="E2835" s="3">
        <v>1</v>
      </c>
      <c r="F2835" s="24" t="s">
        <v>1304</v>
      </c>
      <c r="G2835" s="25" t="s">
        <v>1193</v>
      </c>
      <c r="H2835" s="24" t="s">
        <v>1061</v>
      </c>
      <c r="I2835" s="3" t="str">
        <f>IFERROR(VLOOKUP(C2835,'Справочник соответствий'!A$2:D$2981,2,FALSE),IF(VALUE(C2835)=0,1,VLOOKUP(C2835,'Справочник соответствий'!A$2:D$2981,2,FALSE)))</f>
        <v>1</v>
      </c>
      <c r="J2835" s="3" t="str">
        <f>IFERROR(VLOOKUP(D2835,'Справочник соответствий'!A$2:D$2981,2,FALSE),IF(VALUE(D2835)=0,0,VLOOKUP(D2835,'Справочник соответствий'!A$2:D$2981,2,FALSE)))</f>
        <v>1</v>
      </c>
      <c r="K2835" s="3" t="str">
        <f t="shared" si="308"/>
        <v>1</v>
      </c>
      <c r="L2835" s="13" t="str">
        <f>IFERROR(VLOOKUP(C2835,'Справочник соответствий'!A$2:D$2981,3,FALSE),IF(VALUE(C2835)=0,"ЭТАЖ НЕ ОПРЕДЕЛЕН. ПРИНЯТ ПО ДОПУЩЕНИЮ 1",VLOOKUP(C2835,'Справочник соответствий'!A$2:D$2981,3,FALSE)))</f>
        <v>ЭТАЖ ЗАДАН ЧИСЛОМ</v>
      </c>
      <c r="M2835" s="13" t="b">
        <f t="shared" si="309"/>
        <v>0</v>
      </c>
      <c r="N2835" s="13">
        <f t="shared" si="310"/>
        <v>1</v>
      </c>
      <c r="O2835" s="13" t="str">
        <f t="shared" si="311"/>
        <v>ЭТАЖ ЗАДАН ЧИСЛОМ</v>
      </c>
      <c r="P2835" s="13" t="str">
        <f t="shared" si="312"/>
        <v>ЭТАЖ ЗАДАН ЧИСЛОМ</v>
      </c>
      <c r="Q2835" s="13" t="str">
        <f t="shared" si="313"/>
        <v>ГОТОВ</v>
      </c>
      <c r="R2835" s="13">
        <f>IFERROR(VLOOKUP(P2835,Лист1!A$1:B$20,2,FALSE),0)</f>
        <v>784</v>
      </c>
      <c r="S2835" s="13">
        <f t="shared" si="314"/>
        <v>1</v>
      </c>
    </row>
    <row r="2836" spans="1:19" x14ac:dyDescent="0.25">
      <c r="A2836" s="24" t="s">
        <v>3966</v>
      </c>
      <c r="B2836" s="4" t="s">
        <v>1059</v>
      </c>
      <c r="C2836" s="25" t="s">
        <v>5</v>
      </c>
      <c r="G2836" s="25" t="s">
        <v>1114</v>
      </c>
      <c r="H2836" s="24" t="s">
        <v>1061</v>
      </c>
      <c r="I2836" s="3" t="str">
        <f>IFERROR(VLOOKUP(C2836,'Справочник соответствий'!A$2:D$2981,2,FALSE),IF(VALUE(C2836)=0,1,VLOOKUP(C2836,'Справочник соответствий'!A$2:D$2981,2,FALSE)))</f>
        <v>1</v>
      </c>
      <c r="J2836" s="3">
        <f>IFERROR(VLOOKUP(D2836,'Справочник соответствий'!A$2:D$2981,2,FALSE),IF(VALUE(D2836)=0,0,VLOOKUP(D2836,'Справочник соответствий'!A$2:D$2981,2,FALSE)))</f>
        <v>0</v>
      </c>
      <c r="K2836" s="3" t="str">
        <f t="shared" si="308"/>
        <v>1</v>
      </c>
      <c r="L2836" s="13" t="str">
        <f>IFERROR(VLOOKUP(C2836,'Справочник соответствий'!A$2:D$2981,3,FALSE),IF(VALUE(C2836)=0,"ЭТАЖ НЕ ОПРЕДЕЛЕН. ПРИНЯТ ПО ДОПУЩЕНИЮ 1",VLOOKUP(C2836,'Справочник соответствий'!A$2:D$2981,3,FALSE)))</f>
        <v>ЭТАЖ ЗАДАН ЧИСЛОМ</v>
      </c>
      <c r="M2836" s="13" t="b">
        <f t="shared" si="309"/>
        <v>0</v>
      </c>
      <c r="N2836" s="13">
        <f t="shared" si="310"/>
        <v>1</v>
      </c>
      <c r="O2836" s="13" t="str">
        <f t="shared" si="311"/>
        <v>ЭТАЖ ЗАДАН ЧИСЛОМ</v>
      </c>
      <c r="P2836" s="13" t="str">
        <f t="shared" si="312"/>
        <v>ЭТАЖ ЗАДАН ЧИСЛОМ</v>
      </c>
      <c r="Q2836" s="13" t="str">
        <f t="shared" si="313"/>
        <v>ГОТОВ_ИЗМЕНЕН</v>
      </c>
      <c r="R2836" s="13">
        <f>IFERROR(VLOOKUP(P2836,Лист1!A$1:B$20,2,FALSE),0)</f>
        <v>784</v>
      </c>
      <c r="S2836" s="13">
        <f t="shared" si="314"/>
        <v>0</v>
      </c>
    </row>
    <row r="2837" spans="1:19" x14ac:dyDescent="0.25">
      <c r="A2837" s="24" t="s">
        <v>3967</v>
      </c>
      <c r="B2837" s="4" t="s">
        <v>1059</v>
      </c>
      <c r="C2837" s="25" t="s">
        <v>7</v>
      </c>
      <c r="G2837" s="25" t="s">
        <v>1114</v>
      </c>
      <c r="H2837" s="24" t="s">
        <v>1061</v>
      </c>
      <c r="I2837" s="3" t="str">
        <f>IFERROR(VLOOKUP(C2837,'Справочник соответствий'!A$2:D$2981,2,FALSE),IF(VALUE(C2837)=0,1,VLOOKUP(C2837,'Справочник соответствий'!A$2:D$2981,2,FALSE)))</f>
        <v>2</v>
      </c>
      <c r="J2837" s="3">
        <f>IFERROR(VLOOKUP(D2837,'Справочник соответствий'!A$2:D$2981,2,FALSE),IF(VALUE(D2837)=0,0,VLOOKUP(D2837,'Справочник соответствий'!A$2:D$2981,2,FALSE)))</f>
        <v>0</v>
      </c>
      <c r="K2837" s="3" t="str">
        <f t="shared" si="308"/>
        <v>2</v>
      </c>
      <c r="L2837" s="13" t="str">
        <f>IFERROR(VLOOKUP(C2837,'Справочник соответствий'!A$2:D$2981,3,FALSE),IF(VALUE(C2837)=0,"ЭТАЖ НЕ ОПРЕДЕЛЕН. ПРИНЯТ ПО ДОПУЩЕНИЮ 1",VLOOKUP(C2837,'Справочник соответствий'!A$2:D$2981,3,FALSE)))</f>
        <v>ЭТАЖ ЗАДАН ЧИСЛОМ</v>
      </c>
      <c r="M2837" s="13" t="b">
        <f t="shared" si="309"/>
        <v>0</v>
      </c>
      <c r="N2837" s="13">
        <f t="shared" si="310"/>
        <v>2</v>
      </c>
      <c r="O2837" s="13" t="str">
        <f t="shared" si="311"/>
        <v>ЭТАЖ ЗАДАН ЧИСЛОМ</v>
      </c>
      <c r="P2837" s="13" t="str">
        <f t="shared" si="312"/>
        <v>ЭТАЖ ЗАДАН ЧИСЛОМ</v>
      </c>
      <c r="Q2837" s="13" t="str">
        <f t="shared" si="313"/>
        <v>ГОТОВ_ИЗМЕНЕН</v>
      </c>
      <c r="R2837" s="13">
        <f>IFERROR(VLOOKUP(P2837,Лист1!A$1:B$20,2,FALSE),0)</f>
        <v>784</v>
      </c>
      <c r="S2837" s="13">
        <f t="shared" si="314"/>
        <v>0</v>
      </c>
    </row>
    <row r="2838" spans="1:19" x14ac:dyDescent="0.25">
      <c r="A2838" s="24" t="s">
        <v>3968</v>
      </c>
      <c r="B2838" s="4" t="s">
        <v>1059</v>
      </c>
      <c r="C2838" s="25" t="s">
        <v>7</v>
      </c>
      <c r="G2838" s="25" t="s">
        <v>1069</v>
      </c>
      <c r="H2838" s="24" t="s">
        <v>1061</v>
      </c>
      <c r="I2838" s="3" t="str">
        <f>IFERROR(VLOOKUP(C2838,'Справочник соответствий'!A$2:D$2981,2,FALSE),IF(VALUE(C2838)=0,1,VLOOKUP(C2838,'Справочник соответствий'!A$2:D$2981,2,FALSE)))</f>
        <v>2</v>
      </c>
      <c r="J2838" s="3">
        <f>IFERROR(VLOOKUP(D2838,'Справочник соответствий'!A$2:D$2981,2,FALSE),IF(VALUE(D2838)=0,0,VLOOKUP(D2838,'Справочник соответствий'!A$2:D$2981,2,FALSE)))</f>
        <v>0</v>
      </c>
      <c r="K2838" s="3" t="str">
        <f t="shared" si="308"/>
        <v>2</v>
      </c>
      <c r="L2838" s="13" t="str">
        <f>IFERROR(VLOOKUP(C2838,'Справочник соответствий'!A$2:D$2981,3,FALSE),IF(VALUE(C2838)=0,"ЭТАЖ НЕ ОПРЕДЕЛЕН. ПРИНЯТ ПО ДОПУЩЕНИЮ 1",VLOOKUP(C2838,'Справочник соответствий'!A$2:D$2981,3,FALSE)))</f>
        <v>ЭТАЖ ЗАДАН ЧИСЛОМ</v>
      </c>
      <c r="M2838" s="13" t="b">
        <f t="shared" si="309"/>
        <v>0</v>
      </c>
      <c r="N2838" s="13">
        <f t="shared" si="310"/>
        <v>2</v>
      </c>
      <c r="O2838" s="13" t="str">
        <f t="shared" si="311"/>
        <v>ЭТАЖ ЗАДАН ЧИСЛОМ</v>
      </c>
      <c r="P2838" s="13" t="str">
        <f t="shared" si="312"/>
        <v>ЭТАЖ ЗАДАН ЧИСЛОМ</v>
      </c>
      <c r="Q2838" s="13" t="str">
        <f t="shared" si="313"/>
        <v>ГОТОВ_ИЗМЕНЕН</v>
      </c>
      <c r="R2838" s="13">
        <f>IFERROR(VLOOKUP(P2838,Лист1!A$1:B$20,2,FALSE),0)</f>
        <v>784</v>
      </c>
      <c r="S2838" s="13">
        <f t="shared" si="314"/>
        <v>0</v>
      </c>
    </row>
    <row r="2839" spans="1:19" x14ac:dyDescent="0.25">
      <c r="A2839" s="24" t="s">
        <v>3969</v>
      </c>
      <c r="B2839" s="4" t="s">
        <v>1059</v>
      </c>
      <c r="C2839" s="25" t="s">
        <v>7</v>
      </c>
      <c r="G2839" s="25" t="s">
        <v>1114</v>
      </c>
      <c r="H2839" s="24" t="s">
        <v>1061</v>
      </c>
      <c r="I2839" s="3" t="str">
        <f>IFERROR(VLOOKUP(C2839,'Справочник соответствий'!A$2:D$2981,2,FALSE),IF(VALUE(C2839)=0,1,VLOOKUP(C2839,'Справочник соответствий'!A$2:D$2981,2,FALSE)))</f>
        <v>2</v>
      </c>
      <c r="J2839" s="3">
        <f>IFERROR(VLOOKUP(D2839,'Справочник соответствий'!A$2:D$2981,2,FALSE),IF(VALUE(D2839)=0,0,VLOOKUP(D2839,'Справочник соответствий'!A$2:D$2981,2,FALSE)))</f>
        <v>0</v>
      </c>
      <c r="K2839" s="3" t="str">
        <f t="shared" si="308"/>
        <v>2</v>
      </c>
      <c r="L2839" s="13" t="str">
        <f>IFERROR(VLOOKUP(C2839,'Справочник соответствий'!A$2:D$2981,3,FALSE),IF(VALUE(C2839)=0,"ЭТАЖ НЕ ОПРЕДЕЛЕН. ПРИНЯТ ПО ДОПУЩЕНИЮ 1",VLOOKUP(C2839,'Справочник соответствий'!A$2:D$2981,3,FALSE)))</f>
        <v>ЭТАЖ ЗАДАН ЧИСЛОМ</v>
      </c>
      <c r="M2839" s="13" t="b">
        <f t="shared" si="309"/>
        <v>0</v>
      </c>
      <c r="N2839" s="13">
        <f t="shared" si="310"/>
        <v>2</v>
      </c>
      <c r="O2839" s="13" t="str">
        <f t="shared" si="311"/>
        <v>ЭТАЖ ЗАДАН ЧИСЛОМ</v>
      </c>
      <c r="P2839" s="13" t="str">
        <f t="shared" si="312"/>
        <v>ЭТАЖ ЗАДАН ЧИСЛОМ</v>
      </c>
      <c r="Q2839" s="13" t="str">
        <f t="shared" si="313"/>
        <v>ГОТОВ_ИЗМЕНЕН</v>
      </c>
      <c r="R2839" s="13">
        <f>IFERROR(VLOOKUP(P2839,Лист1!A$1:B$20,2,FALSE),0)</f>
        <v>784</v>
      </c>
      <c r="S2839" s="13">
        <f t="shared" si="314"/>
        <v>0</v>
      </c>
    </row>
    <row r="2840" spans="1:19" x14ac:dyDescent="0.25">
      <c r="A2840" s="24" t="s">
        <v>3970</v>
      </c>
      <c r="B2840" s="4" t="s">
        <v>1059</v>
      </c>
      <c r="C2840" s="25" t="s">
        <v>7</v>
      </c>
      <c r="G2840" s="25" t="s">
        <v>1069</v>
      </c>
      <c r="H2840" s="24" t="s">
        <v>1061</v>
      </c>
      <c r="I2840" s="3" t="str">
        <f>IFERROR(VLOOKUP(C2840,'Справочник соответствий'!A$2:D$2981,2,FALSE),IF(VALUE(C2840)=0,1,VLOOKUP(C2840,'Справочник соответствий'!A$2:D$2981,2,FALSE)))</f>
        <v>2</v>
      </c>
      <c r="J2840" s="3">
        <f>IFERROR(VLOOKUP(D2840,'Справочник соответствий'!A$2:D$2981,2,FALSE),IF(VALUE(D2840)=0,0,VLOOKUP(D2840,'Справочник соответствий'!A$2:D$2981,2,FALSE)))</f>
        <v>0</v>
      </c>
      <c r="K2840" s="3" t="str">
        <f t="shared" si="308"/>
        <v>2</v>
      </c>
      <c r="L2840" s="13" t="str">
        <f>IFERROR(VLOOKUP(C2840,'Справочник соответствий'!A$2:D$2981,3,FALSE),IF(VALUE(C2840)=0,"ЭТАЖ НЕ ОПРЕДЕЛЕН. ПРИНЯТ ПО ДОПУЩЕНИЮ 1",VLOOKUP(C2840,'Справочник соответствий'!A$2:D$2981,3,FALSE)))</f>
        <v>ЭТАЖ ЗАДАН ЧИСЛОМ</v>
      </c>
      <c r="M2840" s="13" t="b">
        <f t="shared" si="309"/>
        <v>0</v>
      </c>
      <c r="N2840" s="13">
        <f t="shared" si="310"/>
        <v>2</v>
      </c>
      <c r="O2840" s="13" t="str">
        <f t="shared" si="311"/>
        <v>ЭТАЖ ЗАДАН ЧИСЛОМ</v>
      </c>
      <c r="P2840" s="13" t="str">
        <f t="shared" si="312"/>
        <v>ЭТАЖ ЗАДАН ЧИСЛОМ</v>
      </c>
      <c r="Q2840" s="13" t="str">
        <f t="shared" si="313"/>
        <v>ГОТОВ_ИЗМЕНЕН</v>
      </c>
      <c r="R2840" s="13">
        <f>IFERROR(VLOOKUP(P2840,Лист1!A$1:B$20,2,FALSE),0)</f>
        <v>784</v>
      </c>
      <c r="S2840" s="13">
        <f t="shared" si="314"/>
        <v>0</v>
      </c>
    </row>
    <row r="2841" spans="1:19" x14ac:dyDescent="0.25">
      <c r="A2841" s="24" t="s">
        <v>3971</v>
      </c>
      <c r="B2841" s="4" t="s">
        <v>1059</v>
      </c>
      <c r="C2841" s="25" t="s">
        <v>7</v>
      </c>
      <c r="G2841" s="25" t="s">
        <v>1069</v>
      </c>
      <c r="H2841" s="24" t="s">
        <v>1061</v>
      </c>
      <c r="I2841" s="3" t="str">
        <f>IFERROR(VLOOKUP(C2841,'Справочник соответствий'!A$2:D$2981,2,FALSE),IF(VALUE(C2841)=0,1,VLOOKUP(C2841,'Справочник соответствий'!A$2:D$2981,2,FALSE)))</f>
        <v>2</v>
      </c>
      <c r="J2841" s="3">
        <f>IFERROR(VLOOKUP(D2841,'Справочник соответствий'!A$2:D$2981,2,FALSE),IF(VALUE(D2841)=0,0,VLOOKUP(D2841,'Справочник соответствий'!A$2:D$2981,2,FALSE)))</f>
        <v>0</v>
      </c>
      <c r="K2841" s="3" t="str">
        <f t="shared" si="308"/>
        <v>2</v>
      </c>
      <c r="L2841" s="13" t="str">
        <f>IFERROR(VLOOKUP(C2841,'Справочник соответствий'!A$2:D$2981,3,FALSE),IF(VALUE(C2841)=0,"ЭТАЖ НЕ ОПРЕДЕЛЕН. ПРИНЯТ ПО ДОПУЩЕНИЮ 1",VLOOKUP(C2841,'Справочник соответствий'!A$2:D$2981,3,FALSE)))</f>
        <v>ЭТАЖ ЗАДАН ЧИСЛОМ</v>
      </c>
      <c r="M2841" s="13" t="b">
        <f t="shared" si="309"/>
        <v>0</v>
      </c>
      <c r="N2841" s="13">
        <f t="shared" si="310"/>
        <v>2</v>
      </c>
      <c r="O2841" s="13" t="str">
        <f t="shared" si="311"/>
        <v>ЭТАЖ ЗАДАН ЧИСЛОМ</v>
      </c>
      <c r="P2841" s="13" t="str">
        <f t="shared" si="312"/>
        <v>ЭТАЖ ЗАДАН ЧИСЛОМ</v>
      </c>
      <c r="Q2841" s="13" t="str">
        <f t="shared" si="313"/>
        <v>ГОТОВ_ИЗМЕНЕН</v>
      </c>
      <c r="R2841" s="13">
        <f>IFERROR(VLOOKUP(P2841,Лист1!A$1:B$20,2,FALSE),0)</f>
        <v>784</v>
      </c>
      <c r="S2841" s="13">
        <f t="shared" si="314"/>
        <v>0</v>
      </c>
    </row>
    <row r="2842" spans="1:19" x14ac:dyDescent="0.25">
      <c r="A2842" s="24" t="s">
        <v>3972</v>
      </c>
      <c r="B2842" s="4" t="s">
        <v>1063</v>
      </c>
      <c r="G2842" s="25" t="s">
        <v>1114</v>
      </c>
      <c r="H2842" s="24" t="s">
        <v>1061</v>
      </c>
      <c r="I2842" s="3">
        <f>IFERROR(VLOOKUP(C2842,'Справочник соответствий'!A$2:D$2981,2,FALSE),IF(VALUE(C2842)=0,1,VLOOKUP(C2842,'Справочник соответствий'!A$2:D$2981,2,FALSE)))</f>
        <v>1</v>
      </c>
      <c r="J2842" s="3">
        <f>IFERROR(VLOOKUP(D2842,'Справочник соответствий'!A$2:D$2981,2,FALSE),IF(VALUE(D2842)=0,0,VLOOKUP(D2842,'Справочник соответствий'!A$2:D$2981,2,FALSE)))</f>
        <v>0</v>
      </c>
      <c r="K2842" s="3">
        <f t="shared" si="308"/>
        <v>1</v>
      </c>
      <c r="L2842" s="13" t="str">
        <f>IFERROR(VLOOKUP(C2842,'Справочник соответствий'!A$2:D$2981,3,FALSE),IF(VALUE(C2842)=0,"ЭТАЖ НЕ ОПРЕДЕЛЕН. ПРИНЯТ ПО ДОПУЩЕНИЮ 1",VLOOKUP(C2842,'Справочник соответствий'!A$2:D$2981,3,FALSE)))</f>
        <v>ЭТАЖ НЕ ОПРЕДЕЛЕН. ПРИНЯТ ПО ДОПУЩЕНИЮ 1</v>
      </c>
      <c r="M2842" s="13" t="b">
        <f t="shared" si="309"/>
        <v>0</v>
      </c>
      <c r="N2842" s="13">
        <f t="shared" si="310"/>
        <v>1</v>
      </c>
      <c r="O2842" s="13" t="str">
        <f t="shared" si="311"/>
        <v>ЭТАЖ НЕ ОПРЕДЕЛЕН. ПРИНЯТ ПО ДОПУЩЕНИЮ 1</v>
      </c>
      <c r="P2842" s="13" t="str">
        <f t="shared" si="312"/>
        <v>ЭТАЖ НЕ ОПРЕДЕЛЕН. ПРИНЯТ ПО ДОПУЩЕНИЮ 1</v>
      </c>
      <c r="Q2842" s="13" t="str">
        <f t="shared" si="313"/>
        <v>ГОТОВ_ИЗМЕНЕН</v>
      </c>
      <c r="R2842" s="13">
        <f>IFERROR(VLOOKUP(P2842,Лист1!A$1:B$20,2,FALSE),0)</f>
        <v>788</v>
      </c>
      <c r="S2842" s="13">
        <f t="shared" si="314"/>
        <v>0</v>
      </c>
    </row>
    <row r="2843" spans="1:19" x14ac:dyDescent="0.25">
      <c r="A2843" s="24" t="s">
        <v>3973</v>
      </c>
      <c r="B2843" s="4" t="s">
        <v>1059</v>
      </c>
      <c r="C2843" s="25" t="s">
        <v>7</v>
      </c>
      <c r="G2843" s="25" t="s">
        <v>1114</v>
      </c>
      <c r="H2843" s="24" t="s">
        <v>1061</v>
      </c>
      <c r="I2843" s="3" t="str">
        <f>IFERROR(VLOOKUP(C2843,'Справочник соответствий'!A$2:D$2981,2,FALSE),IF(VALUE(C2843)=0,1,VLOOKUP(C2843,'Справочник соответствий'!A$2:D$2981,2,FALSE)))</f>
        <v>2</v>
      </c>
      <c r="J2843" s="3">
        <f>IFERROR(VLOOKUP(D2843,'Справочник соответствий'!A$2:D$2981,2,FALSE),IF(VALUE(D2843)=0,0,VLOOKUP(D2843,'Справочник соответствий'!A$2:D$2981,2,FALSE)))</f>
        <v>0</v>
      </c>
      <c r="K2843" s="3" t="str">
        <f t="shared" si="308"/>
        <v>2</v>
      </c>
      <c r="L2843" s="13" t="str">
        <f>IFERROR(VLOOKUP(C2843,'Справочник соответствий'!A$2:D$2981,3,FALSE),IF(VALUE(C2843)=0,"ЭТАЖ НЕ ОПРЕДЕЛЕН. ПРИНЯТ ПО ДОПУЩЕНИЮ 1",VLOOKUP(C2843,'Справочник соответствий'!A$2:D$2981,3,FALSE)))</f>
        <v>ЭТАЖ ЗАДАН ЧИСЛОМ</v>
      </c>
      <c r="M2843" s="13" t="b">
        <f t="shared" si="309"/>
        <v>0</v>
      </c>
      <c r="N2843" s="13">
        <f t="shared" si="310"/>
        <v>2</v>
      </c>
      <c r="O2843" s="13" t="str">
        <f t="shared" si="311"/>
        <v>ЭТАЖ ЗАДАН ЧИСЛОМ</v>
      </c>
      <c r="P2843" s="13" t="str">
        <f t="shared" si="312"/>
        <v>ЭТАЖ ЗАДАН ЧИСЛОМ</v>
      </c>
      <c r="Q2843" s="13" t="str">
        <f t="shared" si="313"/>
        <v>ГОТОВ_ИЗМЕНЕН</v>
      </c>
      <c r="R2843" s="13">
        <f>IFERROR(VLOOKUP(P2843,Лист1!A$1:B$20,2,FALSE),0)</f>
        <v>784</v>
      </c>
      <c r="S2843" s="13">
        <f t="shared" si="314"/>
        <v>0</v>
      </c>
    </row>
    <row r="2844" spans="1:19" x14ac:dyDescent="0.25">
      <c r="A2844" s="24" t="s">
        <v>3974</v>
      </c>
      <c r="B2844" s="4" t="s">
        <v>1059</v>
      </c>
      <c r="C2844" s="25" t="s">
        <v>5</v>
      </c>
      <c r="G2844" s="25" t="s">
        <v>1325</v>
      </c>
      <c r="H2844" s="24" t="s">
        <v>1061</v>
      </c>
      <c r="I2844" s="3" t="str">
        <f>IFERROR(VLOOKUP(C2844,'Справочник соответствий'!A$2:D$2981,2,FALSE),IF(VALUE(C2844)=0,1,VLOOKUP(C2844,'Справочник соответствий'!A$2:D$2981,2,FALSE)))</f>
        <v>1</v>
      </c>
      <c r="J2844" s="3">
        <f>IFERROR(VLOOKUP(D2844,'Справочник соответствий'!A$2:D$2981,2,FALSE),IF(VALUE(D2844)=0,0,VLOOKUP(D2844,'Справочник соответствий'!A$2:D$2981,2,FALSE)))</f>
        <v>0</v>
      </c>
      <c r="K2844" s="3" t="str">
        <f t="shared" si="308"/>
        <v>1</v>
      </c>
      <c r="L2844" s="13" t="str">
        <f>IFERROR(VLOOKUP(C2844,'Справочник соответствий'!A$2:D$2981,3,FALSE),IF(VALUE(C2844)=0,"ЭТАЖ НЕ ОПРЕДЕЛЕН. ПРИНЯТ ПО ДОПУЩЕНИЮ 1",VLOOKUP(C2844,'Справочник соответствий'!A$2:D$2981,3,FALSE)))</f>
        <v>ЭТАЖ ЗАДАН ЧИСЛОМ</v>
      </c>
      <c r="M2844" s="13" t="b">
        <f t="shared" si="309"/>
        <v>0</v>
      </c>
      <c r="N2844" s="13">
        <f t="shared" si="310"/>
        <v>1</v>
      </c>
      <c r="O2844" s="13" t="str">
        <f t="shared" si="311"/>
        <v>ЭТАЖ ЗАДАН ЧИСЛОМ</v>
      </c>
      <c r="P2844" s="13" t="str">
        <f t="shared" si="312"/>
        <v>ЭТАЖ ЗАДАН ЧИСЛОМ</v>
      </c>
      <c r="Q2844" s="13" t="str">
        <f t="shared" si="313"/>
        <v>ГОТОВ_ИЗМЕНЕН</v>
      </c>
      <c r="R2844" s="13">
        <f>IFERROR(VLOOKUP(P2844,Лист1!A$1:B$20,2,FALSE),0)</f>
        <v>784</v>
      </c>
      <c r="S2844" s="13">
        <f t="shared" si="314"/>
        <v>0</v>
      </c>
    </row>
    <row r="2845" spans="1:19" x14ac:dyDescent="0.25">
      <c r="A2845" s="24" t="s">
        <v>3975</v>
      </c>
      <c r="B2845" s="4" t="s">
        <v>1063</v>
      </c>
      <c r="C2845" s="25" t="s">
        <v>5</v>
      </c>
      <c r="G2845" s="25" t="s">
        <v>1325</v>
      </c>
      <c r="H2845" s="24" t="s">
        <v>1061</v>
      </c>
      <c r="I2845" s="3" t="str">
        <f>IFERROR(VLOOKUP(C2845,'Справочник соответствий'!A$2:D$2981,2,FALSE),IF(VALUE(C2845)=0,1,VLOOKUP(C2845,'Справочник соответствий'!A$2:D$2981,2,FALSE)))</f>
        <v>1</v>
      </c>
      <c r="J2845" s="3">
        <f>IFERROR(VLOOKUP(D2845,'Справочник соответствий'!A$2:D$2981,2,FALSE),IF(VALUE(D2845)=0,0,VLOOKUP(D2845,'Справочник соответствий'!A$2:D$2981,2,FALSE)))</f>
        <v>0</v>
      </c>
      <c r="K2845" s="3" t="str">
        <f t="shared" si="308"/>
        <v>1</v>
      </c>
      <c r="L2845" s="13" t="str">
        <f>IFERROR(VLOOKUP(C2845,'Справочник соответствий'!A$2:D$2981,3,FALSE),IF(VALUE(C2845)=0,"ЭТАЖ НЕ ОПРЕДЕЛЕН. ПРИНЯТ ПО ДОПУЩЕНИЮ 1",VLOOKUP(C2845,'Справочник соответствий'!A$2:D$2981,3,FALSE)))</f>
        <v>ЭТАЖ ЗАДАН ЧИСЛОМ</v>
      </c>
      <c r="M2845" s="13" t="b">
        <f t="shared" si="309"/>
        <v>0</v>
      </c>
      <c r="N2845" s="13">
        <f t="shared" si="310"/>
        <v>1</v>
      </c>
      <c r="O2845" s="13" t="str">
        <f t="shared" si="311"/>
        <v>ЭТАЖ ЗАДАН ЧИСЛОМ</v>
      </c>
      <c r="P2845" s="13" t="str">
        <f t="shared" si="312"/>
        <v>ЭТАЖ ЗАДАН ЧИСЛОМ</v>
      </c>
      <c r="Q2845" s="13" t="str">
        <f t="shared" si="313"/>
        <v>ГОТОВ_ИЗМЕНЕН</v>
      </c>
      <c r="R2845" s="13">
        <f>IFERROR(VLOOKUP(P2845,Лист1!A$1:B$20,2,FALSE),0)</f>
        <v>784</v>
      </c>
      <c r="S2845" s="13">
        <f t="shared" si="314"/>
        <v>0</v>
      </c>
    </row>
    <row r="2846" spans="1:19" x14ac:dyDescent="0.25">
      <c r="A2846" s="24" t="s">
        <v>3976</v>
      </c>
      <c r="B2846" s="4" t="s">
        <v>1063</v>
      </c>
      <c r="C2846" s="25" t="s">
        <v>5</v>
      </c>
      <c r="G2846" s="25" t="s">
        <v>1325</v>
      </c>
      <c r="H2846" s="24" t="s">
        <v>1061</v>
      </c>
      <c r="I2846" s="3" t="str">
        <f>IFERROR(VLOOKUP(C2846,'Справочник соответствий'!A$2:D$2981,2,FALSE),IF(VALUE(C2846)=0,1,VLOOKUP(C2846,'Справочник соответствий'!A$2:D$2981,2,FALSE)))</f>
        <v>1</v>
      </c>
      <c r="J2846" s="3">
        <f>IFERROR(VLOOKUP(D2846,'Справочник соответствий'!A$2:D$2981,2,FALSE),IF(VALUE(D2846)=0,0,VLOOKUP(D2846,'Справочник соответствий'!A$2:D$2981,2,FALSE)))</f>
        <v>0</v>
      </c>
      <c r="K2846" s="3" t="str">
        <f t="shared" si="308"/>
        <v>1</v>
      </c>
      <c r="L2846" s="13" t="str">
        <f>IFERROR(VLOOKUP(C2846,'Справочник соответствий'!A$2:D$2981,3,FALSE),IF(VALUE(C2846)=0,"ЭТАЖ НЕ ОПРЕДЕЛЕН. ПРИНЯТ ПО ДОПУЩЕНИЮ 1",VLOOKUP(C2846,'Справочник соответствий'!A$2:D$2981,3,FALSE)))</f>
        <v>ЭТАЖ ЗАДАН ЧИСЛОМ</v>
      </c>
      <c r="M2846" s="13" t="b">
        <f t="shared" si="309"/>
        <v>0</v>
      </c>
      <c r="N2846" s="13">
        <f t="shared" si="310"/>
        <v>1</v>
      </c>
      <c r="O2846" s="13" t="str">
        <f t="shared" si="311"/>
        <v>ЭТАЖ ЗАДАН ЧИСЛОМ</v>
      </c>
      <c r="P2846" s="13" t="str">
        <f t="shared" si="312"/>
        <v>ЭТАЖ ЗАДАН ЧИСЛОМ</v>
      </c>
      <c r="Q2846" s="13" t="str">
        <f t="shared" si="313"/>
        <v>ГОТОВ_ИЗМЕНЕН</v>
      </c>
      <c r="R2846" s="13">
        <f>IFERROR(VLOOKUP(P2846,Лист1!A$1:B$20,2,FALSE),0)</f>
        <v>784</v>
      </c>
      <c r="S2846" s="13">
        <f t="shared" si="314"/>
        <v>0</v>
      </c>
    </row>
    <row r="2847" spans="1:19" x14ac:dyDescent="0.25">
      <c r="A2847" s="24" t="s">
        <v>3977</v>
      </c>
      <c r="B2847" s="4" t="s">
        <v>1063</v>
      </c>
      <c r="C2847" s="25" t="s">
        <v>7</v>
      </c>
      <c r="G2847" s="25" t="s">
        <v>1108</v>
      </c>
      <c r="H2847" s="24" t="s">
        <v>1061</v>
      </c>
      <c r="I2847" s="3" t="str">
        <f>IFERROR(VLOOKUP(C2847,'Справочник соответствий'!A$2:D$2981,2,FALSE),IF(VALUE(C2847)=0,1,VLOOKUP(C2847,'Справочник соответствий'!A$2:D$2981,2,FALSE)))</f>
        <v>2</v>
      </c>
      <c r="J2847" s="3">
        <f>IFERROR(VLOOKUP(D2847,'Справочник соответствий'!A$2:D$2981,2,FALSE),IF(VALUE(D2847)=0,0,VLOOKUP(D2847,'Справочник соответствий'!A$2:D$2981,2,FALSE)))</f>
        <v>0</v>
      </c>
      <c r="K2847" s="3" t="str">
        <f t="shared" si="308"/>
        <v>2</v>
      </c>
      <c r="L2847" s="13" t="str">
        <f>IFERROR(VLOOKUP(C2847,'Справочник соответствий'!A$2:D$2981,3,FALSE),IF(VALUE(C2847)=0,"ЭТАЖ НЕ ОПРЕДЕЛЕН. ПРИНЯТ ПО ДОПУЩЕНИЮ 1",VLOOKUP(C2847,'Справочник соответствий'!A$2:D$2981,3,FALSE)))</f>
        <v>ЭТАЖ ЗАДАН ЧИСЛОМ</v>
      </c>
      <c r="M2847" s="13" t="b">
        <f t="shared" si="309"/>
        <v>0</v>
      </c>
      <c r="N2847" s="13">
        <f t="shared" si="310"/>
        <v>2</v>
      </c>
      <c r="O2847" s="13" t="str">
        <f t="shared" si="311"/>
        <v>ЭТАЖ ЗАДАН ЧИСЛОМ</v>
      </c>
      <c r="P2847" s="13" t="str">
        <f t="shared" si="312"/>
        <v>ЭТАЖ ЗАДАН ЧИСЛОМ</v>
      </c>
      <c r="Q2847" s="13" t="str">
        <f t="shared" si="313"/>
        <v>ГОТОВ_ИЗМЕНЕН</v>
      </c>
      <c r="R2847" s="13">
        <f>IFERROR(VLOOKUP(P2847,Лист1!A$1:B$20,2,FALSE),0)</f>
        <v>784</v>
      </c>
      <c r="S2847" s="13">
        <f t="shared" si="314"/>
        <v>0</v>
      </c>
    </row>
    <row r="2848" spans="1:19" x14ac:dyDescent="0.25">
      <c r="A2848" s="24" t="s">
        <v>3978</v>
      </c>
      <c r="B2848" s="4" t="s">
        <v>1063</v>
      </c>
      <c r="G2848" s="25" t="s">
        <v>1069</v>
      </c>
      <c r="H2848" s="24" t="s">
        <v>1061</v>
      </c>
      <c r="I2848" s="3">
        <f>IFERROR(VLOOKUP(C2848,'Справочник соответствий'!A$2:D$2981,2,FALSE),IF(VALUE(C2848)=0,1,VLOOKUP(C2848,'Справочник соответствий'!A$2:D$2981,2,FALSE)))</f>
        <v>1</v>
      </c>
      <c r="J2848" s="3">
        <f>IFERROR(VLOOKUP(D2848,'Справочник соответствий'!A$2:D$2981,2,FALSE),IF(VALUE(D2848)=0,0,VLOOKUP(D2848,'Справочник соответствий'!A$2:D$2981,2,FALSE)))</f>
        <v>0</v>
      </c>
      <c r="K2848" s="3">
        <f t="shared" si="308"/>
        <v>1</v>
      </c>
      <c r="L2848" s="13" t="str">
        <f>IFERROR(VLOOKUP(C2848,'Справочник соответствий'!A$2:D$2981,3,FALSE),IF(VALUE(C2848)=0,"ЭТАЖ НЕ ОПРЕДЕЛЕН. ПРИНЯТ ПО ДОПУЩЕНИЮ 1",VLOOKUP(C2848,'Справочник соответствий'!A$2:D$2981,3,FALSE)))</f>
        <v>ЭТАЖ НЕ ОПРЕДЕЛЕН. ПРИНЯТ ПО ДОПУЩЕНИЮ 1</v>
      </c>
      <c r="M2848" s="13" t="b">
        <f t="shared" si="309"/>
        <v>0</v>
      </c>
      <c r="N2848" s="13">
        <f t="shared" si="310"/>
        <v>1</v>
      </c>
      <c r="O2848" s="13" t="str">
        <f t="shared" si="311"/>
        <v>ЭТАЖ НЕ ОПРЕДЕЛЕН. ПРИНЯТ ПО ДОПУЩЕНИЮ 1</v>
      </c>
      <c r="P2848" s="13" t="str">
        <f t="shared" si="312"/>
        <v>ЭТАЖ НЕ ОПРЕДЕЛЕН. ПРИНЯТ ПО ДОПУЩЕНИЮ 1</v>
      </c>
      <c r="Q2848" s="13" t="str">
        <f t="shared" si="313"/>
        <v>ГОТОВ_ИЗМЕНЕН</v>
      </c>
      <c r="R2848" s="13">
        <f>IFERROR(VLOOKUP(P2848,Лист1!A$1:B$20,2,FALSE),0)</f>
        <v>788</v>
      </c>
      <c r="S2848" s="13">
        <f t="shared" si="314"/>
        <v>0</v>
      </c>
    </row>
    <row r="2849" spans="1:19" x14ac:dyDescent="0.25">
      <c r="A2849" s="24" t="s">
        <v>3979</v>
      </c>
      <c r="B2849" s="4" t="s">
        <v>1063</v>
      </c>
      <c r="C2849" s="25" t="s">
        <v>5</v>
      </c>
      <c r="G2849" s="25" t="s">
        <v>1099</v>
      </c>
      <c r="H2849" s="24" t="s">
        <v>1061</v>
      </c>
      <c r="I2849" s="3" t="str">
        <f>IFERROR(VLOOKUP(C2849,'Справочник соответствий'!A$2:D$2981,2,FALSE),IF(VALUE(C2849)=0,1,VLOOKUP(C2849,'Справочник соответствий'!A$2:D$2981,2,FALSE)))</f>
        <v>1</v>
      </c>
      <c r="J2849" s="3">
        <f>IFERROR(VLOOKUP(D2849,'Справочник соответствий'!A$2:D$2981,2,FALSE),IF(VALUE(D2849)=0,0,VLOOKUP(D2849,'Справочник соответствий'!A$2:D$2981,2,FALSE)))</f>
        <v>0</v>
      </c>
      <c r="K2849" s="3" t="str">
        <f t="shared" si="308"/>
        <v>1</v>
      </c>
      <c r="L2849" s="13" t="str">
        <f>IFERROR(VLOOKUP(C2849,'Справочник соответствий'!A$2:D$2981,3,FALSE),IF(VALUE(C2849)=0,"ЭТАЖ НЕ ОПРЕДЕЛЕН. ПРИНЯТ ПО ДОПУЩЕНИЮ 1",VLOOKUP(C2849,'Справочник соответствий'!A$2:D$2981,3,FALSE)))</f>
        <v>ЭТАЖ ЗАДАН ЧИСЛОМ</v>
      </c>
      <c r="M2849" s="13" t="b">
        <f t="shared" si="309"/>
        <v>0</v>
      </c>
      <c r="N2849" s="13">
        <f t="shared" si="310"/>
        <v>1</v>
      </c>
      <c r="O2849" s="13" t="str">
        <f t="shared" si="311"/>
        <v>ЭТАЖ ЗАДАН ЧИСЛОМ</v>
      </c>
      <c r="P2849" s="13" t="str">
        <f t="shared" si="312"/>
        <v>ЭТАЖ ЗАДАН ЧИСЛОМ</v>
      </c>
      <c r="Q2849" s="13" t="str">
        <f t="shared" si="313"/>
        <v>ГОТОВ_ИЗМЕНЕН</v>
      </c>
      <c r="R2849" s="13">
        <f>IFERROR(VLOOKUP(P2849,Лист1!A$1:B$20,2,FALSE),0)</f>
        <v>784</v>
      </c>
      <c r="S2849" s="13">
        <f t="shared" si="314"/>
        <v>0</v>
      </c>
    </row>
    <row r="2850" spans="1:19" x14ac:dyDescent="0.25">
      <c r="A2850" s="24" t="s">
        <v>3980</v>
      </c>
      <c r="B2850" s="4" t="s">
        <v>1059</v>
      </c>
      <c r="C2850" s="25" t="s">
        <v>5</v>
      </c>
      <c r="G2850" s="25" t="s">
        <v>1099</v>
      </c>
      <c r="H2850" s="24" t="s">
        <v>1061</v>
      </c>
      <c r="I2850" s="3" t="str">
        <f>IFERROR(VLOOKUP(C2850,'Справочник соответствий'!A$2:D$2981,2,FALSE),IF(VALUE(C2850)=0,1,VLOOKUP(C2850,'Справочник соответствий'!A$2:D$2981,2,FALSE)))</f>
        <v>1</v>
      </c>
      <c r="J2850" s="3">
        <f>IFERROR(VLOOKUP(D2850,'Справочник соответствий'!A$2:D$2981,2,FALSE),IF(VALUE(D2850)=0,0,VLOOKUP(D2850,'Справочник соответствий'!A$2:D$2981,2,FALSE)))</f>
        <v>0</v>
      </c>
      <c r="K2850" s="3" t="str">
        <f t="shared" si="308"/>
        <v>1</v>
      </c>
      <c r="L2850" s="13" t="str">
        <f>IFERROR(VLOOKUP(C2850,'Справочник соответствий'!A$2:D$2981,3,FALSE),IF(VALUE(C2850)=0,"ЭТАЖ НЕ ОПРЕДЕЛЕН. ПРИНЯТ ПО ДОПУЩЕНИЮ 1",VLOOKUP(C2850,'Справочник соответствий'!A$2:D$2981,3,FALSE)))</f>
        <v>ЭТАЖ ЗАДАН ЧИСЛОМ</v>
      </c>
      <c r="M2850" s="13" t="b">
        <f t="shared" si="309"/>
        <v>0</v>
      </c>
      <c r="N2850" s="13">
        <f t="shared" si="310"/>
        <v>1</v>
      </c>
      <c r="O2850" s="13" t="str">
        <f t="shared" si="311"/>
        <v>ЭТАЖ ЗАДАН ЧИСЛОМ</v>
      </c>
      <c r="P2850" s="13" t="str">
        <f t="shared" si="312"/>
        <v>ЭТАЖ ЗАДАН ЧИСЛОМ</v>
      </c>
      <c r="Q2850" s="13" t="str">
        <f t="shared" si="313"/>
        <v>ГОТОВ_ИЗМЕНЕН</v>
      </c>
      <c r="R2850" s="13">
        <f>IFERROR(VLOOKUP(P2850,Лист1!A$1:B$20,2,FALSE),0)</f>
        <v>784</v>
      </c>
      <c r="S2850" s="13">
        <f t="shared" si="314"/>
        <v>0</v>
      </c>
    </row>
    <row r="2851" spans="1:19" x14ac:dyDescent="0.25">
      <c r="A2851" s="24" t="s">
        <v>3981</v>
      </c>
      <c r="B2851" s="4" t="s">
        <v>1063</v>
      </c>
      <c r="C2851" s="25" t="s">
        <v>5</v>
      </c>
      <c r="G2851" s="25" t="s">
        <v>1205</v>
      </c>
      <c r="H2851" s="24" t="s">
        <v>1061</v>
      </c>
      <c r="I2851" s="3" t="str">
        <f>IFERROR(VLOOKUP(C2851,'Справочник соответствий'!A$2:D$2981,2,FALSE),IF(VALUE(C2851)=0,1,VLOOKUP(C2851,'Справочник соответствий'!A$2:D$2981,2,FALSE)))</f>
        <v>1</v>
      </c>
      <c r="J2851" s="3">
        <f>IFERROR(VLOOKUP(D2851,'Справочник соответствий'!A$2:D$2981,2,FALSE),IF(VALUE(D2851)=0,0,VLOOKUP(D2851,'Справочник соответствий'!A$2:D$2981,2,FALSE)))</f>
        <v>0</v>
      </c>
      <c r="K2851" s="3" t="str">
        <f t="shared" si="308"/>
        <v>1</v>
      </c>
      <c r="L2851" s="13" t="str">
        <f>IFERROR(VLOOKUP(C2851,'Справочник соответствий'!A$2:D$2981,3,FALSE),IF(VALUE(C2851)=0,"ЭТАЖ НЕ ОПРЕДЕЛЕН. ПРИНЯТ ПО ДОПУЩЕНИЮ 1",VLOOKUP(C2851,'Справочник соответствий'!A$2:D$2981,3,FALSE)))</f>
        <v>ЭТАЖ ЗАДАН ЧИСЛОМ</v>
      </c>
      <c r="M2851" s="13" t="b">
        <f t="shared" si="309"/>
        <v>0</v>
      </c>
      <c r="N2851" s="13">
        <f t="shared" si="310"/>
        <v>1</v>
      </c>
      <c r="O2851" s="13" t="str">
        <f t="shared" si="311"/>
        <v>ЭТАЖ ЗАДАН ЧИСЛОМ</v>
      </c>
      <c r="P2851" s="13" t="str">
        <f t="shared" si="312"/>
        <v>ЭТАЖ ЗАДАН ЧИСЛОМ</v>
      </c>
      <c r="Q2851" s="13" t="str">
        <f t="shared" si="313"/>
        <v>ГОТОВ_ИЗМЕНЕН</v>
      </c>
      <c r="R2851" s="13">
        <f>IFERROR(VLOOKUP(P2851,Лист1!A$1:B$20,2,FALSE),0)</f>
        <v>784</v>
      </c>
      <c r="S2851" s="13">
        <f t="shared" si="314"/>
        <v>0</v>
      </c>
    </row>
    <row r="2852" spans="1:19" x14ac:dyDescent="0.25">
      <c r="A2852" s="24" t="s">
        <v>3982</v>
      </c>
      <c r="B2852" s="4" t="s">
        <v>1059</v>
      </c>
      <c r="C2852" s="25" t="s">
        <v>5</v>
      </c>
      <c r="G2852" s="25" t="s">
        <v>1099</v>
      </c>
      <c r="H2852" s="24" t="s">
        <v>1061</v>
      </c>
      <c r="I2852" s="3" t="str">
        <f>IFERROR(VLOOKUP(C2852,'Справочник соответствий'!A$2:D$2981,2,FALSE),IF(VALUE(C2852)=0,1,VLOOKUP(C2852,'Справочник соответствий'!A$2:D$2981,2,FALSE)))</f>
        <v>1</v>
      </c>
      <c r="J2852" s="3">
        <f>IFERROR(VLOOKUP(D2852,'Справочник соответствий'!A$2:D$2981,2,FALSE),IF(VALUE(D2852)=0,0,VLOOKUP(D2852,'Справочник соответствий'!A$2:D$2981,2,FALSE)))</f>
        <v>0</v>
      </c>
      <c r="K2852" s="3" t="str">
        <f t="shared" si="308"/>
        <v>1</v>
      </c>
      <c r="L2852" s="13" t="str">
        <f>IFERROR(VLOOKUP(C2852,'Справочник соответствий'!A$2:D$2981,3,FALSE),IF(VALUE(C2852)=0,"ЭТАЖ НЕ ОПРЕДЕЛЕН. ПРИНЯТ ПО ДОПУЩЕНИЮ 1",VLOOKUP(C2852,'Справочник соответствий'!A$2:D$2981,3,FALSE)))</f>
        <v>ЭТАЖ ЗАДАН ЧИСЛОМ</v>
      </c>
      <c r="M2852" s="13" t="b">
        <f t="shared" si="309"/>
        <v>0</v>
      </c>
      <c r="N2852" s="13">
        <f t="shared" si="310"/>
        <v>1</v>
      </c>
      <c r="O2852" s="13" t="str">
        <f t="shared" si="311"/>
        <v>ЭТАЖ ЗАДАН ЧИСЛОМ</v>
      </c>
      <c r="P2852" s="13" t="str">
        <f t="shared" si="312"/>
        <v>ЭТАЖ ЗАДАН ЧИСЛОМ</v>
      </c>
      <c r="Q2852" s="13" t="str">
        <f t="shared" si="313"/>
        <v>ГОТОВ_ИЗМЕНЕН</v>
      </c>
      <c r="R2852" s="13">
        <f>IFERROR(VLOOKUP(P2852,Лист1!A$1:B$20,2,FALSE),0)</f>
        <v>784</v>
      </c>
      <c r="S2852" s="13">
        <f t="shared" si="314"/>
        <v>0</v>
      </c>
    </row>
    <row r="2853" spans="1:19" x14ac:dyDescent="0.25">
      <c r="A2853" s="24" t="s">
        <v>3983</v>
      </c>
      <c r="B2853" s="4" t="s">
        <v>1059</v>
      </c>
      <c r="C2853" s="25" t="s">
        <v>5</v>
      </c>
      <c r="G2853" s="25" t="s">
        <v>1108</v>
      </c>
      <c r="H2853" s="24" t="s">
        <v>1061</v>
      </c>
      <c r="I2853" s="3" t="str">
        <f>IFERROR(VLOOKUP(C2853,'Справочник соответствий'!A$2:D$2981,2,FALSE),IF(VALUE(C2853)=0,1,VLOOKUP(C2853,'Справочник соответствий'!A$2:D$2981,2,FALSE)))</f>
        <v>1</v>
      </c>
      <c r="J2853" s="3">
        <f>IFERROR(VLOOKUP(D2853,'Справочник соответствий'!A$2:D$2981,2,FALSE),IF(VALUE(D2853)=0,0,VLOOKUP(D2853,'Справочник соответствий'!A$2:D$2981,2,FALSE)))</f>
        <v>0</v>
      </c>
      <c r="K2853" s="3" t="str">
        <f t="shared" si="308"/>
        <v>1</v>
      </c>
      <c r="L2853" s="13" t="str">
        <f>IFERROR(VLOOKUP(C2853,'Справочник соответствий'!A$2:D$2981,3,FALSE),IF(VALUE(C2853)=0,"ЭТАЖ НЕ ОПРЕДЕЛЕН. ПРИНЯТ ПО ДОПУЩЕНИЮ 1",VLOOKUP(C2853,'Справочник соответствий'!A$2:D$2981,3,FALSE)))</f>
        <v>ЭТАЖ ЗАДАН ЧИСЛОМ</v>
      </c>
      <c r="M2853" s="13" t="b">
        <f t="shared" si="309"/>
        <v>0</v>
      </c>
      <c r="N2853" s="13">
        <f t="shared" si="310"/>
        <v>1</v>
      </c>
      <c r="O2853" s="13" t="str">
        <f t="shared" si="311"/>
        <v>ЭТАЖ ЗАДАН ЧИСЛОМ</v>
      </c>
      <c r="P2853" s="13" t="str">
        <f t="shared" si="312"/>
        <v>ЭТАЖ ЗАДАН ЧИСЛОМ</v>
      </c>
      <c r="Q2853" s="13" t="str">
        <f t="shared" si="313"/>
        <v>ГОТОВ_ИЗМЕНЕН</v>
      </c>
      <c r="R2853" s="13">
        <f>IFERROR(VLOOKUP(P2853,Лист1!A$1:B$20,2,FALSE),0)</f>
        <v>784</v>
      </c>
      <c r="S2853" s="13">
        <f t="shared" si="314"/>
        <v>0</v>
      </c>
    </row>
    <row r="2854" spans="1:19" x14ac:dyDescent="0.25">
      <c r="A2854" s="24" t="s">
        <v>3984</v>
      </c>
      <c r="B2854" s="4" t="s">
        <v>1063</v>
      </c>
      <c r="C2854" s="25" t="s">
        <v>5</v>
      </c>
      <c r="G2854" s="25" t="s">
        <v>1069</v>
      </c>
      <c r="H2854" s="24" t="s">
        <v>1061</v>
      </c>
      <c r="I2854" s="3" t="str">
        <f>IFERROR(VLOOKUP(C2854,'Справочник соответствий'!A$2:D$2981,2,FALSE),IF(VALUE(C2854)=0,1,VLOOKUP(C2854,'Справочник соответствий'!A$2:D$2981,2,FALSE)))</f>
        <v>1</v>
      </c>
      <c r="J2854" s="3">
        <f>IFERROR(VLOOKUP(D2854,'Справочник соответствий'!A$2:D$2981,2,FALSE),IF(VALUE(D2854)=0,0,VLOOKUP(D2854,'Справочник соответствий'!A$2:D$2981,2,FALSE)))</f>
        <v>0</v>
      </c>
      <c r="K2854" s="3" t="str">
        <f t="shared" si="308"/>
        <v>1</v>
      </c>
      <c r="L2854" s="13" t="str">
        <f>IFERROR(VLOOKUP(C2854,'Справочник соответствий'!A$2:D$2981,3,FALSE),IF(VALUE(C2854)=0,"ЭТАЖ НЕ ОПРЕДЕЛЕН. ПРИНЯТ ПО ДОПУЩЕНИЮ 1",VLOOKUP(C2854,'Справочник соответствий'!A$2:D$2981,3,FALSE)))</f>
        <v>ЭТАЖ ЗАДАН ЧИСЛОМ</v>
      </c>
      <c r="M2854" s="13" t="b">
        <f t="shared" si="309"/>
        <v>0</v>
      </c>
      <c r="N2854" s="13">
        <f t="shared" si="310"/>
        <v>1</v>
      </c>
      <c r="O2854" s="13" t="str">
        <f t="shared" si="311"/>
        <v>ЭТАЖ ЗАДАН ЧИСЛОМ</v>
      </c>
      <c r="P2854" s="13" t="str">
        <f t="shared" si="312"/>
        <v>ЭТАЖ ЗАДАН ЧИСЛОМ</v>
      </c>
      <c r="Q2854" s="13" t="str">
        <f t="shared" si="313"/>
        <v>ГОТОВ_ИЗМЕНЕН</v>
      </c>
      <c r="R2854" s="13">
        <f>IFERROR(VLOOKUP(P2854,Лист1!A$1:B$20,2,FALSE),0)</f>
        <v>784</v>
      </c>
      <c r="S2854" s="13">
        <f t="shared" si="314"/>
        <v>0</v>
      </c>
    </row>
    <row r="2855" spans="1:19" x14ac:dyDescent="0.25">
      <c r="A2855" s="24" t="s">
        <v>3985</v>
      </c>
      <c r="B2855" s="4" t="s">
        <v>1059</v>
      </c>
      <c r="C2855" s="25" t="s">
        <v>5</v>
      </c>
      <c r="G2855" s="25" t="s">
        <v>1060</v>
      </c>
      <c r="H2855" s="24" t="s">
        <v>1061</v>
      </c>
      <c r="I2855" s="3" t="str">
        <f>IFERROR(VLOOKUP(C2855,'Справочник соответствий'!A$2:D$2981,2,FALSE),IF(VALUE(C2855)=0,1,VLOOKUP(C2855,'Справочник соответствий'!A$2:D$2981,2,FALSE)))</f>
        <v>1</v>
      </c>
      <c r="J2855" s="3">
        <f>IFERROR(VLOOKUP(D2855,'Справочник соответствий'!A$2:D$2981,2,FALSE),IF(VALUE(D2855)=0,0,VLOOKUP(D2855,'Справочник соответствий'!A$2:D$2981,2,FALSE)))</f>
        <v>0</v>
      </c>
      <c r="K2855" s="3" t="str">
        <f t="shared" si="308"/>
        <v>1</v>
      </c>
      <c r="L2855" s="13" t="str">
        <f>IFERROR(VLOOKUP(C2855,'Справочник соответствий'!A$2:D$2981,3,FALSE),IF(VALUE(C2855)=0,"ЭТАЖ НЕ ОПРЕДЕЛЕН. ПРИНЯТ ПО ДОПУЩЕНИЮ 1",VLOOKUP(C2855,'Справочник соответствий'!A$2:D$2981,3,FALSE)))</f>
        <v>ЭТАЖ ЗАДАН ЧИСЛОМ</v>
      </c>
      <c r="M2855" s="13" t="b">
        <f t="shared" si="309"/>
        <v>0</v>
      </c>
      <c r="N2855" s="13">
        <f t="shared" si="310"/>
        <v>1</v>
      </c>
      <c r="O2855" s="13" t="str">
        <f t="shared" si="311"/>
        <v>ЭТАЖ ЗАДАН ЧИСЛОМ</v>
      </c>
      <c r="P2855" s="13" t="str">
        <f t="shared" si="312"/>
        <v>ЭТАЖ ЗАДАН ЧИСЛОМ</v>
      </c>
      <c r="Q2855" s="13" t="str">
        <f t="shared" si="313"/>
        <v>ГОТОВ_ИЗМЕНЕН</v>
      </c>
      <c r="R2855" s="13">
        <f>IFERROR(VLOOKUP(P2855,Лист1!A$1:B$20,2,FALSE),0)</f>
        <v>784</v>
      </c>
      <c r="S2855" s="13">
        <f t="shared" si="314"/>
        <v>0</v>
      </c>
    </row>
    <row r="2856" spans="1:19" x14ac:dyDescent="0.25">
      <c r="A2856" s="24" t="s">
        <v>3986</v>
      </c>
      <c r="B2856" s="4" t="s">
        <v>1059</v>
      </c>
      <c r="C2856" s="25" t="s">
        <v>5</v>
      </c>
      <c r="G2856" s="25" t="s">
        <v>1060</v>
      </c>
      <c r="H2856" s="24" t="s">
        <v>1061</v>
      </c>
      <c r="I2856" s="3" t="str">
        <f>IFERROR(VLOOKUP(C2856,'Справочник соответствий'!A$2:D$2981,2,FALSE),IF(VALUE(C2856)=0,1,VLOOKUP(C2856,'Справочник соответствий'!A$2:D$2981,2,FALSE)))</f>
        <v>1</v>
      </c>
      <c r="J2856" s="3">
        <f>IFERROR(VLOOKUP(D2856,'Справочник соответствий'!A$2:D$2981,2,FALSE),IF(VALUE(D2856)=0,0,VLOOKUP(D2856,'Справочник соответствий'!A$2:D$2981,2,FALSE)))</f>
        <v>0</v>
      </c>
      <c r="K2856" s="3" t="str">
        <f t="shared" si="308"/>
        <v>1</v>
      </c>
      <c r="L2856" s="13" t="str">
        <f>IFERROR(VLOOKUP(C2856,'Справочник соответствий'!A$2:D$2981,3,FALSE),IF(VALUE(C2856)=0,"ЭТАЖ НЕ ОПРЕДЕЛЕН. ПРИНЯТ ПО ДОПУЩЕНИЮ 1",VLOOKUP(C2856,'Справочник соответствий'!A$2:D$2981,3,FALSE)))</f>
        <v>ЭТАЖ ЗАДАН ЧИСЛОМ</v>
      </c>
      <c r="M2856" s="13" t="b">
        <f t="shared" si="309"/>
        <v>0</v>
      </c>
      <c r="N2856" s="13">
        <f t="shared" si="310"/>
        <v>1</v>
      </c>
      <c r="O2856" s="13" t="str">
        <f t="shared" si="311"/>
        <v>ЭТАЖ ЗАДАН ЧИСЛОМ</v>
      </c>
      <c r="P2856" s="13" t="str">
        <f t="shared" si="312"/>
        <v>ЭТАЖ ЗАДАН ЧИСЛОМ</v>
      </c>
      <c r="Q2856" s="13" t="str">
        <f t="shared" si="313"/>
        <v>ГОТОВ_ИЗМЕНЕН</v>
      </c>
      <c r="R2856" s="13">
        <f>IFERROR(VLOOKUP(P2856,Лист1!A$1:B$20,2,FALSE),0)</f>
        <v>784</v>
      </c>
      <c r="S2856" s="13">
        <f t="shared" si="314"/>
        <v>0</v>
      </c>
    </row>
    <row r="2857" spans="1:19" x14ac:dyDescent="0.25">
      <c r="A2857" s="24" t="s">
        <v>3987</v>
      </c>
      <c r="B2857" s="4" t="s">
        <v>1059</v>
      </c>
      <c r="C2857" s="25" t="s">
        <v>7</v>
      </c>
      <c r="G2857" s="25" t="s">
        <v>1060</v>
      </c>
      <c r="H2857" s="24" t="s">
        <v>1061</v>
      </c>
      <c r="I2857" s="3" t="str">
        <f>IFERROR(VLOOKUP(C2857,'Справочник соответствий'!A$2:D$2981,2,FALSE),IF(VALUE(C2857)=0,1,VLOOKUP(C2857,'Справочник соответствий'!A$2:D$2981,2,FALSE)))</f>
        <v>2</v>
      </c>
      <c r="J2857" s="3">
        <f>IFERROR(VLOOKUP(D2857,'Справочник соответствий'!A$2:D$2981,2,FALSE),IF(VALUE(D2857)=0,0,VLOOKUP(D2857,'Справочник соответствий'!A$2:D$2981,2,FALSE)))</f>
        <v>0</v>
      </c>
      <c r="K2857" s="3" t="str">
        <f t="shared" si="308"/>
        <v>2</v>
      </c>
      <c r="L2857" s="13" t="str">
        <f>IFERROR(VLOOKUP(C2857,'Справочник соответствий'!A$2:D$2981,3,FALSE),IF(VALUE(C2857)=0,"ЭТАЖ НЕ ОПРЕДЕЛЕН. ПРИНЯТ ПО ДОПУЩЕНИЮ 1",VLOOKUP(C2857,'Справочник соответствий'!A$2:D$2981,3,FALSE)))</f>
        <v>ЭТАЖ ЗАДАН ЧИСЛОМ</v>
      </c>
      <c r="M2857" s="13" t="b">
        <f t="shared" si="309"/>
        <v>0</v>
      </c>
      <c r="N2857" s="13">
        <f t="shared" si="310"/>
        <v>2</v>
      </c>
      <c r="O2857" s="13" t="str">
        <f t="shared" si="311"/>
        <v>ЭТАЖ ЗАДАН ЧИСЛОМ</v>
      </c>
      <c r="P2857" s="13" t="str">
        <f t="shared" si="312"/>
        <v>ЭТАЖ ЗАДАН ЧИСЛОМ</v>
      </c>
      <c r="Q2857" s="13" t="str">
        <f t="shared" si="313"/>
        <v>ГОТОВ_ИЗМЕНЕН</v>
      </c>
      <c r="R2857" s="13">
        <f>IFERROR(VLOOKUP(P2857,Лист1!A$1:B$20,2,FALSE),0)</f>
        <v>784</v>
      </c>
      <c r="S2857" s="13">
        <f t="shared" si="314"/>
        <v>0</v>
      </c>
    </row>
    <row r="2858" spans="1:19" x14ac:dyDescent="0.25">
      <c r="A2858" s="24" t="s">
        <v>3988</v>
      </c>
      <c r="B2858" s="4" t="s">
        <v>1059</v>
      </c>
      <c r="C2858" s="25" t="s">
        <v>5</v>
      </c>
      <c r="G2858" s="25" t="s">
        <v>1060</v>
      </c>
      <c r="H2858" s="24" t="s">
        <v>1061</v>
      </c>
      <c r="I2858" s="3" t="str">
        <f>IFERROR(VLOOKUP(C2858,'Справочник соответствий'!A$2:D$2981,2,FALSE),IF(VALUE(C2858)=0,1,VLOOKUP(C2858,'Справочник соответствий'!A$2:D$2981,2,FALSE)))</f>
        <v>1</v>
      </c>
      <c r="J2858" s="3">
        <f>IFERROR(VLOOKUP(D2858,'Справочник соответствий'!A$2:D$2981,2,FALSE),IF(VALUE(D2858)=0,0,VLOOKUP(D2858,'Справочник соответствий'!A$2:D$2981,2,FALSE)))</f>
        <v>0</v>
      </c>
      <c r="K2858" s="3" t="str">
        <f t="shared" si="308"/>
        <v>1</v>
      </c>
      <c r="L2858" s="13" t="str">
        <f>IFERROR(VLOOKUP(C2858,'Справочник соответствий'!A$2:D$2981,3,FALSE),IF(VALUE(C2858)=0,"ЭТАЖ НЕ ОПРЕДЕЛЕН. ПРИНЯТ ПО ДОПУЩЕНИЮ 1",VLOOKUP(C2858,'Справочник соответствий'!A$2:D$2981,3,FALSE)))</f>
        <v>ЭТАЖ ЗАДАН ЧИСЛОМ</v>
      </c>
      <c r="M2858" s="13" t="b">
        <f t="shared" si="309"/>
        <v>0</v>
      </c>
      <c r="N2858" s="13">
        <f t="shared" si="310"/>
        <v>1</v>
      </c>
      <c r="O2858" s="13" t="str">
        <f t="shared" si="311"/>
        <v>ЭТАЖ ЗАДАН ЧИСЛОМ</v>
      </c>
      <c r="P2858" s="13" t="str">
        <f t="shared" si="312"/>
        <v>ЭТАЖ ЗАДАН ЧИСЛОМ</v>
      </c>
      <c r="Q2858" s="13" t="str">
        <f t="shared" si="313"/>
        <v>ГОТОВ_ИЗМЕНЕН</v>
      </c>
      <c r="R2858" s="13">
        <f>IFERROR(VLOOKUP(P2858,Лист1!A$1:B$20,2,FALSE),0)</f>
        <v>784</v>
      </c>
      <c r="S2858" s="13">
        <f t="shared" si="314"/>
        <v>0</v>
      </c>
    </row>
    <row r="2859" spans="1:19" x14ac:dyDescent="0.25">
      <c r="A2859" s="24" t="s">
        <v>3989</v>
      </c>
      <c r="B2859" s="4" t="s">
        <v>1059</v>
      </c>
      <c r="C2859" s="25" t="s">
        <v>7</v>
      </c>
      <c r="G2859" s="25" t="s">
        <v>1060</v>
      </c>
      <c r="H2859" s="24" t="s">
        <v>1061</v>
      </c>
      <c r="I2859" s="3" t="str">
        <f>IFERROR(VLOOKUP(C2859,'Справочник соответствий'!A$2:D$2981,2,FALSE),IF(VALUE(C2859)=0,1,VLOOKUP(C2859,'Справочник соответствий'!A$2:D$2981,2,FALSE)))</f>
        <v>2</v>
      </c>
      <c r="J2859" s="3">
        <f>IFERROR(VLOOKUP(D2859,'Справочник соответствий'!A$2:D$2981,2,FALSE),IF(VALUE(D2859)=0,0,VLOOKUP(D2859,'Справочник соответствий'!A$2:D$2981,2,FALSE)))</f>
        <v>0</v>
      </c>
      <c r="K2859" s="3" t="str">
        <f t="shared" si="308"/>
        <v>2</v>
      </c>
      <c r="L2859" s="13" t="str">
        <f>IFERROR(VLOOKUP(C2859,'Справочник соответствий'!A$2:D$2981,3,FALSE),IF(VALUE(C2859)=0,"ЭТАЖ НЕ ОПРЕДЕЛЕН. ПРИНЯТ ПО ДОПУЩЕНИЮ 1",VLOOKUP(C2859,'Справочник соответствий'!A$2:D$2981,3,FALSE)))</f>
        <v>ЭТАЖ ЗАДАН ЧИСЛОМ</v>
      </c>
      <c r="M2859" s="13" t="b">
        <f t="shared" si="309"/>
        <v>0</v>
      </c>
      <c r="N2859" s="13">
        <f t="shared" si="310"/>
        <v>2</v>
      </c>
      <c r="O2859" s="13" t="str">
        <f t="shared" si="311"/>
        <v>ЭТАЖ ЗАДАН ЧИСЛОМ</v>
      </c>
      <c r="P2859" s="13" t="str">
        <f t="shared" si="312"/>
        <v>ЭТАЖ ЗАДАН ЧИСЛОМ</v>
      </c>
      <c r="Q2859" s="13" t="str">
        <f t="shared" si="313"/>
        <v>ГОТОВ_ИЗМЕНЕН</v>
      </c>
      <c r="R2859" s="13">
        <f>IFERROR(VLOOKUP(P2859,Лист1!A$1:B$20,2,FALSE),0)</f>
        <v>784</v>
      </c>
      <c r="S2859" s="13">
        <f t="shared" si="314"/>
        <v>0</v>
      </c>
    </row>
    <row r="2860" spans="1:19" x14ac:dyDescent="0.25">
      <c r="A2860" s="24" t="s">
        <v>3990</v>
      </c>
      <c r="B2860" s="4" t="s">
        <v>1063</v>
      </c>
      <c r="C2860" s="25" t="s">
        <v>5</v>
      </c>
      <c r="G2860" s="25" t="s">
        <v>1060</v>
      </c>
      <c r="H2860" s="24" t="s">
        <v>1061</v>
      </c>
      <c r="I2860" s="3" t="str">
        <f>IFERROR(VLOOKUP(C2860,'Справочник соответствий'!A$2:D$2981,2,FALSE),IF(VALUE(C2860)=0,1,VLOOKUP(C2860,'Справочник соответствий'!A$2:D$2981,2,FALSE)))</f>
        <v>1</v>
      </c>
      <c r="J2860" s="3">
        <f>IFERROR(VLOOKUP(D2860,'Справочник соответствий'!A$2:D$2981,2,FALSE),IF(VALUE(D2860)=0,0,VLOOKUP(D2860,'Справочник соответствий'!A$2:D$2981,2,FALSE)))</f>
        <v>0</v>
      </c>
      <c r="K2860" s="3" t="str">
        <f t="shared" si="308"/>
        <v>1</v>
      </c>
      <c r="L2860" s="13" t="str">
        <f>IFERROR(VLOOKUP(C2860,'Справочник соответствий'!A$2:D$2981,3,FALSE),IF(VALUE(C2860)=0,"ЭТАЖ НЕ ОПРЕДЕЛЕН. ПРИНЯТ ПО ДОПУЩЕНИЮ 1",VLOOKUP(C2860,'Справочник соответствий'!A$2:D$2981,3,FALSE)))</f>
        <v>ЭТАЖ ЗАДАН ЧИСЛОМ</v>
      </c>
      <c r="M2860" s="13" t="b">
        <f t="shared" si="309"/>
        <v>0</v>
      </c>
      <c r="N2860" s="13">
        <f t="shared" si="310"/>
        <v>1</v>
      </c>
      <c r="O2860" s="13" t="str">
        <f t="shared" si="311"/>
        <v>ЭТАЖ ЗАДАН ЧИСЛОМ</v>
      </c>
      <c r="P2860" s="13" t="str">
        <f t="shared" si="312"/>
        <v>ЭТАЖ ЗАДАН ЧИСЛОМ</v>
      </c>
      <c r="Q2860" s="13" t="str">
        <f t="shared" si="313"/>
        <v>ГОТОВ_ИЗМЕНЕН</v>
      </c>
      <c r="R2860" s="13">
        <f>IFERROR(VLOOKUP(P2860,Лист1!A$1:B$20,2,FALSE),0)</f>
        <v>784</v>
      </c>
      <c r="S2860" s="13">
        <f t="shared" si="314"/>
        <v>0</v>
      </c>
    </row>
    <row r="2861" spans="1:19" x14ac:dyDescent="0.25">
      <c r="A2861" s="24" t="s">
        <v>3991</v>
      </c>
      <c r="B2861" s="4" t="s">
        <v>1059</v>
      </c>
      <c r="C2861" s="25" t="s">
        <v>5</v>
      </c>
      <c r="G2861" s="25" t="s">
        <v>1060</v>
      </c>
      <c r="H2861" s="24" t="s">
        <v>1061</v>
      </c>
      <c r="I2861" s="3" t="str">
        <f>IFERROR(VLOOKUP(C2861,'Справочник соответствий'!A$2:D$2981,2,FALSE),IF(VALUE(C2861)=0,1,VLOOKUP(C2861,'Справочник соответствий'!A$2:D$2981,2,FALSE)))</f>
        <v>1</v>
      </c>
      <c r="J2861" s="3">
        <f>IFERROR(VLOOKUP(D2861,'Справочник соответствий'!A$2:D$2981,2,FALSE),IF(VALUE(D2861)=0,0,VLOOKUP(D2861,'Справочник соответствий'!A$2:D$2981,2,FALSE)))</f>
        <v>0</v>
      </c>
      <c r="K2861" s="3" t="str">
        <f t="shared" si="308"/>
        <v>1</v>
      </c>
      <c r="L2861" s="13" t="str">
        <f>IFERROR(VLOOKUP(C2861,'Справочник соответствий'!A$2:D$2981,3,FALSE),IF(VALUE(C2861)=0,"ЭТАЖ НЕ ОПРЕДЕЛЕН. ПРИНЯТ ПО ДОПУЩЕНИЮ 1",VLOOKUP(C2861,'Справочник соответствий'!A$2:D$2981,3,FALSE)))</f>
        <v>ЭТАЖ ЗАДАН ЧИСЛОМ</v>
      </c>
      <c r="M2861" s="13" t="b">
        <f t="shared" si="309"/>
        <v>0</v>
      </c>
      <c r="N2861" s="13">
        <f t="shared" si="310"/>
        <v>1</v>
      </c>
      <c r="O2861" s="13" t="str">
        <f t="shared" si="311"/>
        <v>ЭТАЖ ЗАДАН ЧИСЛОМ</v>
      </c>
      <c r="P2861" s="13" t="str">
        <f t="shared" si="312"/>
        <v>ЭТАЖ ЗАДАН ЧИСЛОМ</v>
      </c>
      <c r="Q2861" s="13" t="str">
        <f t="shared" si="313"/>
        <v>ГОТОВ_ИЗМЕНЕН</v>
      </c>
      <c r="R2861" s="13">
        <f>IFERROR(VLOOKUP(P2861,Лист1!A$1:B$20,2,FALSE),0)</f>
        <v>784</v>
      </c>
      <c r="S2861" s="13">
        <f t="shared" si="314"/>
        <v>0</v>
      </c>
    </row>
    <row r="2862" spans="1:19" x14ac:dyDescent="0.25">
      <c r="A2862" s="24" t="s">
        <v>3992</v>
      </c>
      <c r="B2862" s="4" t="s">
        <v>1063</v>
      </c>
      <c r="C2862" s="25" t="s">
        <v>5</v>
      </c>
      <c r="G2862" s="25" t="s">
        <v>1060</v>
      </c>
      <c r="H2862" s="24" t="s">
        <v>1061</v>
      </c>
      <c r="I2862" s="3" t="str">
        <f>IFERROR(VLOOKUP(C2862,'Справочник соответствий'!A$2:D$2981,2,FALSE),IF(VALUE(C2862)=0,1,VLOOKUP(C2862,'Справочник соответствий'!A$2:D$2981,2,FALSE)))</f>
        <v>1</v>
      </c>
      <c r="J2862" s="3">
        <f>IFERROR(VLOOKUP(D2862,'Справочник соответствий'!A$2:D$2981,2,FALSE),IF(VALUE(D2862)=0,0,VLOOKUP(D2862,'Справочник соответствий'!A$2:D$2981,2,FALSE)))</f>
        <v>0</v>
      </c>
      <c r="K2862" s="3" t="str">
        <f t="shared" si="308"/>
        <v>1</v>
      </c>
      <c r="L2862" s="13" t="str">
        <f>IFERROR(VLOOKUP(C2862,'Справочник соответствий'!A$2:D$2981,3,FALSE),IF(VALUE(C2862)=0,"ЭТАЖ НЕ ОПРЕДЕЛЕН. ПРИНЯТ ПО ДОПУЩЕНИЮ 1",VLOOKUP(C2862,'Справочник соответствий'!A$2:D$2981,3,FALSE)))</f>
        <v>ЭТАЖ ЗАДАН ЧИСЛОМ</v>
      </c>
      <c r="M2862" s="13" t="b">
        <f t="shared" si="309"/>
        <v>0</v>
      </c>
      <c r="N2862" s="13">
        <f t="shared" si="310"/>
        <v>1</v>
      </c>
      <c r="O2862" s="13" t="str">
        <f t="shared" si="311"/>
        <v>ЭТАЖ ЗАДАН ЧИСЛОМ</v>
      </c>
      <c r="P2862" s="13" t="str">
        <f t="shared" si="312"/>
        <v>ЭТАЖ ЗАДАН ЧИСЛОМ</v>
      </c>
      <c r="Q2862" s="13" t="str">
        <f t="shared" si="313"/>
        <v>ГОТОВ_ИЗМЕНЕН</v>
      </c>
      <c r="R2862" s="13">
        <f>IFERROR(VLOOKUP(P2862,Лист1!A$1:B$20,2,FALSE),0)</f>
        <v>784</v>
      </c>
      <c r="S2862" s="13">
        <f t="shared" si="314"/>
        <v>0</v>
      </c>
    </row>
    <row r="2863" spans="1:19" x14ac:dyDescent="0.25">
      <c r="A2863" s="24" t="s">
        <v>3993</v>
      </c>
      <c r="B2863" s="4" t="s">
        <v>1063</v>
      </c>
      <c r="C2863" s="25" t="s">
        <v>5</v>
      </c>
      <c r="G2863" s="25" t="s">
        <v>1060</v>
      </c>
      <c r="H2863" s="24" t="s">
        <v>1061</v>
      </c>
      <c r="I2863" s="3" t="str">
        <f>IFERROR(VLOOKUP(C2863,'Справочник соответствий'!A$2:D$2981,2,FALSE),IF(VALUE(C2863)=0,1,VLOOKUP(C2863,'Справочник соответствий'!A$2:D$2981,2,FALSE)))</f>
        <v>1</v>
      </c>
      <c r="J2863" s="3">
        <f>IFERROR(VLOOKUP(D2863,'Справочник соответствий'!A$2:D$2981,2,FALSE),IF(VALUE(D2863)=0,0,VLOOKUP(D2863,'Справочник соответствий'!A$2:D$2981,2,FALSE)))</f>
        <v>0</v>
      </c>
      <c r="K2863" s="3" t="str">
        <f t="shared" si="308"/>
        <v>1</v>
      </c>
      <c r="L2863" s="13" t="str">
        <f>IFERROR(VLOOKUP(C2863,'Справочник соответствий'!A$2:D$2981,3,FALSE),IF(VALUE(C2863)=0,"ЭТАЖ НЕ ОПРЕДЕЛЕН. ПРИНЯТ ПО ДОПУЩЕНИЮ 1",VLOOKUP(C2863,'Справочник соответствий'!A$2:D$2981,3,FALSE)))</f>
        <v>ЭТАЖ ЗАДАН ЧИСЛОМ</v>
      </c>
      <c r="M2863" s="13" t="b">
        <f t="shared" si="309"/>
        <v>0</v>
      </c>
      <c r="N2863" s="13">
        <f t="shared" si="310"/>
        <v>1</v>
      </c>
      <c r="O2863" s="13" t="str">
        <f t="shared" si="311"/>
        <v>ЭТАЖ ЗАДАН ЧИСЛОМ</v>
      </c>
      <c r="P2863" s="13" t="str">
        <f t="shared" si="312"/>
        <v>ЭТАЖ ЗАДАН ЧИСЛОМ</v>
      </c>
      <c r="Q2863" s="13" t="str">
        <f t="shared" si="313"/>
        <v>ГОТОВ_ИЗМЕНЕН</v>
      </c>
      <c r="R2863" s="13">
        <f>IFERROR(VLOOKUP(P2863,Лист1!A$1:B$20,2,FALSE),0)</f>
        <v>784</v>
      </c>
      <c r="S2863" s="13">
        <f t="shared" si="314"/>
        <v>0</v>
      </c>
    </row>
    <row r="2864" spans="1:19" x14ac:dyDescent="0.25">
      <c r="A2864" s="24" t="s">
        <v>3994</v>
      </c>
      <c r="B2864" s="4" t="s">
        <v>1063</v>
      </c>
      <c r="C2864" s="25" t="s">
        <v>5</v>
      </c>
      <c r="G2864" s="25" t="s">
        <v>1060</v>
      </c>
      <c r="H2864" s="24" t="s">
        <v>1061</v>
      </c>
      <c r="I2864" s="3" t="str">
        <f>IFERROR(VLOOKUP(C2864,'Справочник соответствий'!A$2:D$2981,2,FALSE),IF(VALUE(C2864)=0,1,VLOOKUP(C2864,'Справочник соответствий'!A$2:D$2981,2,FALSE)))</f>
        <v>1</v>
      </c>
      <c r="J2864" s="3">
        <f>IFERROR(VLOOKUP(D2864,'Справочник соответствий'!A$2:D$2981,2,FALSE),IF(VALUE(D2864)=0,0,VLOOKUP(D2864,'Справочник соответствий'!A$2:D$2981,2,FALSE)))</f>
        <v>0</v>
      </c>
      <c r="K2864" s="3" t="str">
        <f t="shared" si="308"/>
        <v>1</v>
      </c>
      <c r="L2864" s="13" t="str">
        <f>IFERROR(VLOOKUP(C2864,'Справочник соответствий'!A$2:D$2981,3,FALSE),IF(VALUE(C2864)=0,"ЭТАЖ НЕ ОПРЕДЕЛЕН. ПРИНЯТ ПО ДОПУЩЕНИЮ 1",VLOOKUP(C2864,'Справочник соответствий'!A$2:D$2981,3,FALSE)))</f>
        <v>ЭТАЖ ЗАДАН ЧИСЛОМ</v>
      </c>
      <c r="M2864" s="13" t="b">
        <f t="shared" si="309"/>
        <v>0</v>
      </c>
      <c r="N2864" s="13">
        <f t="shared" si="310"/>
        <v>1</v>
      </c>
      <c r="O2864" s="13" t="str">
        <f t="shared" si="311"/>
        <v>ЭТАЖ ЗАДАН ЧИСЛОМ</v>
      </c>
      <c r="P2864" s="13" t="str">
        <f t="shared" si="312"/>
        <v>ЭТАЖ ЗАДАН ЧИСЛОМ</v>
      </c>
      <c r="Q2864" s="13" t="str">
        <f t="shared" si="313"/>
        <v>ГОТОВ_ИЗМЕНЕН</v>
      </c>
      <c r="R2864" s="13">
        <f>IFERROR(VLOOKUP(P2864,Лист1!A$1:B$20,2,FALSE),0)</f>
        <v>784</v>
      </c>
      <c r="S2864" s="13">
        <f t="shared" si="314"/>
        <v>0</v>
      </c>
    </row>
    <row r="2865" spans="1:19" x14ac:dyDescent="0.25">
      <c r="A2865" s="24" t="s">
        <v>3995</v>
      </c>
      <c r="B2865" s="4" t="s">
        <v>1059</v>
      </c>
      <c r="C2865" s="25" t="s">
        <v>5</v>
      </c>
      <c r="G2865" s="25" t="s">
        <v>1096</v>
      </c>
      <c r="H2865" s="24" t="s">
        <v>1061</v>
      </c>
      <c r="I2865" s="3" t="str">
        <f>IFERROR(VLOOKUP(C2865,'Справочник соответствий'!A$2:D$2981,2,FALSE),IF(VALUE(C2865)=0,1,VLOOKUP(C2865,'Справочник соответствий'!A$2:D$2981,2,FALSE)))</f>
        <v>1</v>
      </c>
      <c r="J2865" s="3">
        <f>IFERROR(VLOOKUP(D2865,'Справочник соответствий'!A$2:D$2981,2,FALSE),IF(VALUE(D2865)=0,0,VLOOKUP(D2865,'Справочник соответствий'!A$2:D$2981,2,FALSE)))</f>
        <v>0</v>
      </c>
      <c r="K2865" s="3" t="str">
        <f t="shared" si="308"/>
        <v>1</v>
      </c>
      <c r="L2865" s="13" t="str">
        <f>IFERROR(VLOOKUP(C2865,'Справочник соответствий'!A$2:D$2981,3,FALSE),IF(VALUE(C2865)=0,"ЭТАЖ НЕ ОПРЕДЕЛЕН. ПРИНЯТ ПО ДОПУЩЕНИЮ 1",VLOOKUP(C2865,'Справочник соответствий'!A$2:D$2981,3,FALSE)))</f>
        <v>ЭТАЖ ЗАДАН ЧИСЛОМ</v>
      </c>
      <c r="M2865" s="13" t="b">
        <f t="shared" si="309"/>
        <v>0</v>
      </c>
      <c r="N2865" s="13">
        <f t="shared" si="310"/>
        <v>1</v>
      </c>
      <c r="O2865" s="13" t="str">
        <f t="shared" si="311"/>
        <v>ЭТАЖ ЗАДАН ЧИСЛОМ</v>
      </c>
      <c r="P2865" s="13" t="str">
        <f t="shared" si="312"/>
        <v>ЭТАЖ ЗАДАН ЧИСЛОМ</v>
      </c>
      <c r="Q2865" s="13" t="str">
        <f t="shared" si="313"/>
        <v>ГОТОВ_ИЗМЕНЕН</v>
      </c>
      <c r="R2865" s="13">
        <f>IFERROR(VLOOKUP(P2865,Лист1!A$1:B$20,2,FALSE),0)</f>
        <v>784</v>
      </c>
      <c r="S2865" s="13">
        <f t="shared" si="314"/>
        <v>0</v>
      </c>
    </row>
    <row r="2866" spans="1:19" x14ac:dyDescent="0.25">
      <c r="A2866" s="24" t="s">
        <v>3996</v>
      </c>
      <c r="B2866" s="4" t="s">
        <v>1059</v>
      </c>
      <c r="C2866" s="25" t="s">
        <v>5</v>
      </c>
      <c r="G2866" s="25" t="s">
        <v>1096</v>
      </c>
      <c r="H2866" s="24" t="s">
        <v>1061</v>
      </c>
      <c r="I2866" s="3" t="str">
        <f>IFERROR(VLOOKUP(C2866,'Справочник соответствий'!A$2:D$2981,2,FALSE),IF(VALUE(C2866)=0,1,VLOOKUP(C2866,'Справочник соответствий'!A$2:D$2981,2,FALSE)))</f>
        <v>1</v>
      </c>
      <c r="J2866" s="3">
        <f>IFERROR(VLOOKUP(D2866,'Справочник соответствий'!A$2:D$2981,2,FALSE),IF(VALUE(D2866)=0,0,VLOOKUP(D2866,'Справочник соответствий'!A$2:D$2981,2,FALSE)))</f>
        <v>0</v>
      </c>
      <c r="K2866" s="3" t="str">
        <f t="shared" si="308"/>
        <v>1</v>
      </c>
      <c r="L2866" s="13" t="str">
        <f>IFERROR(VLOOKUP(C2866,'Справочник соответствий'!A$2:D$2981,3,FALSE),IF(VALUE(C2866)=0,"ЭТАЖ НЕ ОПРЕДЕЛЕН. ПРИНЯТ ПО ДОПУЩЕНИЮ 1",VLOOKUP(C2866,'Справочник соответствий'!A$2:D$2981,3,FALSE)))</f>
        <v>ЭТАЖ ЗАДАН ЧИСЛОМ</v>
      </c>
      <c r="M2866" s="13" t="b">
        <f t="shared" si="309"/>
        <v>0</v>
      </c>
      <c r="N2866" s="13">
        <f t="shared" si="310"/>
        <v>1</v>
      </c>
      <c r="O2866" s="13" t="str">
        <f t="shared" si="311"/>
        <v>ЭТАЖ ЗАДАН ЧИСЛОМ</v>
      </c>
      <c r="P2866" s="13" t="str">
        <f t="shared" si="312"/>
        <v>ЭТАЖ ЗАДАН ЧИСЛОМ</v>
      </c>
      <c r="Q2866" s="13" t="str">
        <f t="shared" si="313"/>
        <v>ГОТОВ_ИЗМЕНЕН</v>
      </c>
      <c r="R2866" s="13">
        <f>IFERROR(VLOOKUP(P2866,Лист1!A$1:B$20,2,FALSE),0)</f>
        <v>784</v>
      </c>
      <c r="S2866" s="13">
        <f t="shared" si="314"/>
        <v>0</v>
      </c>
    </row>
    <row r="2867" spans="1:19" x14ac:dyDescent="0.25">
      <c r="A2867" s="24" t="s">
        <v>3997</v>
      </c>
      <c r="B2867" s="4" t="s">
        <v>1059</v>
      </c>
      <c r="C2867" s="25" t="s">
        <v>5</v>
      </c>
      <c r="G2867" s="25" t="s">
        <v>1096</v>
      </c>
      <c r="H2867" s="24" t="s">
        <v>1061</v>
      </c>
      <c r="I2867" s="3" t="str">
        <f>IFERROR(VLOOKUP(C2867,'Справочник соответствий'!A$2:D$2981,2,FALSE),IF(VALUE(C2867)=0,1,VLOOKUP(C2867,'Справочник соответствий'!A$2:D$2981,2,FALSE)))</f>
        <v>1</v>
      </c>
      <c r="J2867" s="3">
        <f>IFERROR(VLOOKUP(D2867,'Справочник соответствий'!A$2:D$2981,2,FALSE),IF(VALUE(D2867)=0,0,VLOOKUP(D2867,'Справочник соответствий'!A$2:D$2981,2,FALSE)))</f>
        <v>0</v>
      </c>
      <c r="K2867" s="3" t="str">
        <f t="shared" si="308"/>
        <v>1</v>
      </c>
      <c r="L2867" s="13" t="str">
        <f>IFERROR(VLOOKUP(C2867,'Справочник соответствий'!A$2:D$2981,3,FALSE),IF(VALUE(C2867)=0,"ЭТАЖ НЕ ОПРЕДЕЛЕН. ПРИНЯТ ПО ДОПУЩЕНИЮ 1",VLOOKUP(C2867,'Справочник соответствий'!A$2:D$2981,3,FALSE)))</f>
        <v>ЭТАЖ ЗАДАН ЧИСЛОМ</v>
      </c>
      <c r="M2867" s="13" t="b">
        <f t="shared" si="309"/>
        <v>0</v>
      </c>
      <c r="N2867" s="13">
        <f t="shared" si="310"/>
        <v>1</v>
      </c>
      <c r="O2867" s="13" t="str">
        <f t="shared" si="311"/>
        <v>ЭТАЖ ЗАДАН ЧИСЛОМ</v>
      </c>
      <c r="P2867" s="13" t="str">
        <f t="shared" si="312"/>
        <v>ЭТАЖ ЗАДАН ЧИСЛОМ</v>
      </c>
      <c r="Q2867" s="13" t="str">
        <f t="shared" si="313"/>
        <v>ГОТОВ_ИЗМЕНЕН</v>
      </c>
      <c r="R2867" s="13">
        <f>IFERROR(VLOOKUP(P2867,Лист1!A$1:B$20,2,FALSE),0)</f>
        <v>784</v>
      </c>
      <c r="S2867" s="13">
        <f t="shared" si="314"/>
        <v>0</v>
      </c>
    </row>
    <row r="2868" spans="1:19" x14ac:dyDescent="0.25">
      <c r="A2868" s="24" t="s">
        <v>3998</v>
      </c>
      <c r="B2868" s="4" t="s">
        <v>1063</v>
      </c>
      <c r="C2868" s="25" t="s">
        <v>5</v>
      </c>
      <c r="G2868" s="25" t="s">
        <v>1096</v>
      </c>
      <c r="H2868" s="24" t="s">
        <v>1061</v>
      </c>
      <c r="I2868" s="3" t="str">
        <f>IFERROR(VLOOKUP(C2868,'Справочник соответствий'!A$2:D$2981,2,FALSE),IF(VALUE(C2868)=0,1,VLOOKUP(C2868,'Справочник соответствий'!A$2:D$2981,2,FALSE)))</f>
        <v>1</v>
      </c>
      <c r="J2868" s="3">
        <f>IFERROR(VLOOKUP(D2868,'Справочник соответствий'!A$2:D$2981,2,FALSE),IF(VALUE(D2868)=0,0,VLOOKUP(D2868,'Справочник соответствий'!A$2:D$2981,2,FALSE)))</f>
        <v>0</v>
      </c>
      <c r="K2868" s="3" t="str">
        <f t="shared" si="308"/>
        <v>1</v>
      </c>
      <c r="L2868" s="13" t="str">
        <f>IFERROR(VLOOKUP(C2868,'Справочник соответствий'!A$2:D$2981,3,FALSE),IF(VALUE(C2868)=0,"ЭТАЖ НЕ ОПРЕДЕЛЕН. ПРИНЯТ ПО ДОПУЩЕНИЮ 1",VLOOKUP(C2868,'Справочник соответствий'!A$2:D$2981,3,FALSE)))</f>
        <v>ЭТАЖ ЗАДАН ЧИСЛОМ</v>
      </c>
      <c r="M2868" s="13" t="b">
        <f t="shared" si="309"/>
        <v>0</v>
      </c>
      <c r="N2868" s="13">
        <f t="shared" si="310"/>
        <v>1</v>
      </c>
      <c r="O2868" s="13" t="str">
        <f t="shared" si="311"/>
        <v>ЭТАЖ ЗАДАН ЧИСЛОМ</v>
      </c>
      <c r="P2868" s="13" t="str">
        <f t="shared" si="312"/>
        <v>ЭТАЖ ЗАДАН ЧИСЛОМ</v>
      </c>
      <c r="Q2868" s="13" t="str">
        <f t="shared" si="313"/>
        <v>ГОТОВ_ИЗМЕНЕН</v>
      </c>
      <c r="R2868" s="13">
        <f>IFERROR(VLOOKUP(P2868,Лист1!A$1:B$20,2,FALSE),0)</f>
        <v>784</v>
      </c>
      <c r="S2868" s="13">
        <f t="shared" si="314"/>
        <v>0</v>
      </c>
    </row>
    <row r="2869" spans="1:19" x14ac:dyDescent="0.25">
      <c r="A2869" s="24" t="s">
        <v>3999</v>
      </c>
      <c r="B2869" s="4" t="s">
        <v>1063</v>
      </c>
      <c r="C2869" s="25" t="s">
        <v>5</v>
      </c>
      <c r="D2869" s="25" t="s">
        <v>4000</v>
      </c>
      <c r="G2869" s="25" t="s">
        <v>1096</v>
      </c>
      <c r="H2869" s="24" t="s">
        <v>1061</v>
      </c>
      <c r="I2869" s="3" t="str">
        <f>IFERROR(VLOOKUP(C2869,'Справочник соответствий'!A$2:D$2981,2,FALSE),IF(VALUE(C2869)=0,1,VLOOKUP(C2869,'Справочник соответствий'!A$2:D$2981,2,FALSE)))</f>
        <v>1</v>
      </c>
      <c r="J2869" s="3" t="e">
        <f>IFERROR(VLOOKUP(D2869,'Справочник соответствий'!A$2:D$2981,2,FALSE),IF(VALUE(D2869)=0,0,VLOOKUP(D2869,'Справочник соответствий'!A$2:D$2981,2,FALSE)))</f>
        <v>#VALUE!</v>
      </c>
      <c r="K2869" s="3" t="str">
        <f t="shared" si="308"/>
        <v>1</v>
      </c>
      <c r="L2869" s="13" t="str">
        <f>IFERROR(VLOOKUP(C2869,'Справочник соответствий'!A$2:D$2981,3,FALSE),IF(VALUE(C2869)=0,"ЭТАЖ НЕ ОПРЕДЕЛЕН. ПРИНЯТ ПО ДОПУЩЕНИЮ 1",VLOOKUP(C2869,'Справочник соответствий'!A$2:D$2981,3,FALSE)))</f>
        <v>ЭТАЖ ЗАДАН ЧИСЛОМ</v>
      </c>
      <c r="M2869" s="13" t="b">
        <f t="shared" si="309"/>
        <v>0</v>
      </c>
      <c r="N2869" s="13">
        <f t="shared" si="310"/>
        <v>1</v>
      </c>
      <c r="O2869" s="13" t="str">
        <f t="shared" si="311"/>
        <v>ЭТАЖ ЗАДАН ЧИСЛОМ</v>
      </c>
      <c r="P2869" s="13" t="str">
        <f t="shared" si="312"/>
        <v>ЭТАЖ ЗАДАН ЧИСЛОМ</v>
      </c>
      <c r="Q2869" s="13" t="str">
        <f t="shared" si="313"/>
        <v>ГОТОВ_ИЗМЕНЕН</v>
      </c>
      <c r="R2869" s="13">
        <f>IFERROR(VLOOKUP(P2869,Лист1!A$1:B$20,2,FALSE),0)</f>
        <v>784</v>
      </c>
      <c r="S2869" s="13">
        <f t="shared" si="314"/>
        <v>0</v>
      </c>
    </row>
    <row r="2870" spans="1:19" x14ac:dyDescent="0.25">
      <c r="A2870" s="24" t="s">
        <v>4001</v>
      </c>
      <c r="B2870" s="4" t="s">
        <v>1063</v>
      </c>
      <c r="C2870" s="25" t="s">
        <v>5</v>
      </c>
      <c r="G2870" s="25" t="s">
        <v>1096</v>
      </c>
      <c r="H2870" s="24" t="s">
        <v>1061</v>
      </c>
      <c r="I2870" s="3" t="str">
        <f>IFERROR(VLOOKUP(C2870,'Справочник соответствий'!A$2:D$2981,2,FALSE),IF(VALUE(C2870)=0,1,VLOOKUP(C2870,'Справочник соответствий'!A$2:D$2981,2,FALSE)))</f>
        <v>1</v>
      </c>
      <c r="J2870" s="3">
        <f>IFERROR(VLOOKUP(D2870,'Справочник соответствий'!A$2:D$2981,2,FALSE),IF(VALUE(D2870)=0,0,VLOOKUP(D2870,'Справочник соответствий'!A$2:D$2981,2,FALSE)))</f>
        <v>0</v>
      </c>
      <c r="K2870" s="3" t="str">
        <f t="shared" si="308"/>
        <v>1</v>
      </c>
      <c r="L2870" s="13" t="str">
        <f>IFERROR(VLOOKUP(C2870,'Справочник соответствий'!A$2:D$2981,3,FALSE),IF(VALUE(C2870)=0,"ЭТАЖ НЕ ОПРЕДЕЛЕН. ПРИНЯТ ПО ДОПУЩЕНИЮ 1",VLOOKUP(C2870,'Справочник соответствий'!A$2:D$2981,3,FALSE)))</f>
        <v>ЭТАЖ ЗАДАН ЧИСЛОМ</v>
      </c>
      <c r="M2870" s="13" t="b">
        <f t="shared" si="309"/>
        <v>0</v>
      </c>
      <c r="N2870" s="13">
        <f t="shared" si="310"/>
        <v>1</v>
      </c>
      <c r="O2870" s="13" t="str">
        <f t="shared" si="311"/>
        <v>ЭТАЖ ЗАДАН ЧИСЛОМ</v>
      </c>
      <c r="P2870" s="13" t="str">
        <f t="shared" si="312"/>
        <v>ЭТАЖ ЗАДАН ЧИСЛОМ</v>
      </c>
      <c r="Q2870" s="13" t="str">
        <f t="shared" si="313"/>
        <v>ГОТОВ_ИЗМЕНЕН</v>
      </c>
      <c r="R2870" s="13">
        <f>IFERROR(VLOOKUP(P2870,Лист1!A$1:B$20,2,FALSE),0)</f>
        <v>784</v>
      </c>
      <c r="S2870" s="13">
        <f t="shared" si="314"/>
        <v>0</v>
      </c>
    </row>
    <row r="2871" spans="1:19" x14ac:dyDescent="0.25">
      <c r="A2871" s="24" t="s">
        <v>4002</v>
      </c>
      <c r="B2871" s="4" t="s">
        <v>1059</v>
      </c>
      <c r="C2871" s="25" t="s">
        <v>7</v>
      </c>
      <c r="G2871" s="25" t="s">
        <v>1096</v>
      </c>
      <c r="H2871" s="24" t="s">
        <v>1061</v>
      </c>
      <c r="I2871" s="3" t="str">
        <f>IFERROR(VLOOKUP(C2871,'Справочник соответствий'!A$2:D$2981,2,FALSE),IF(VALUE(C2871)=0,1,VLOOKUP(C2871,'Справочник соответствий'!A$2:D$2981,2,FALSE)))</f>
        <v>2</v>
      </c>
      <c r="J2871" s="3">
        <f>IFERROR(VLOOKUP(D2871,'Справочник соответствий'!A$2:D$2981,2,FALSE),IF(VALUE(D2871)=0,0,VLOOKUP(D2871,'Справочник соответствий'!A$2:D$2981,2,FALSE)))</f>
        <v>0</v>
      </c>
      <c r="K2871" s="3" t="str">
        <f t="shared" si="308"/>
        <v>2</v>
      </c>
      <c r="L2871" s="13" t="str">
        <f>IFERROR(VLOOKUP(C2871,'Справочник соответствий'!A$2:D$2981,3,FALSE),IF(VALUE(C2871)=0,"ЭТАЖ НЕ ОПРЕДЕЛЕН. ПРИНЯТ ПО ДОПУЩЕНИЮ 1",VLOOKUP(C2871,'Справочник соответствий'!A$2:D$2981,3,FALSE)))</f>
        <v>ЭТАЖ ЗАДАН ЧИСЛОМ</v>
      </c>
      <c r="M2871" s="13" t="b">
        <f t="shared" si="309"/>
        <v>0</v>
      </c>
      <c r="N2871" s="13">
        <f t="shared" si="310"/>
        <v>2</v>
      </c>
      <c r="O2871" s="13" t="str">
        <f t="shared" si="311"/>
        <v>ЭТАЖ ЗАДАН ЧИСЛОМ</v>
      </c>
      <c r="P2871" s="13" t="str">
        <f t="shared" si="312"/>
        <v>ЭТАЖ ЗАДАН ЧИСЛОМ</v>
      </c>
      <c r="Q2871" s="13" t="str">
        <f t="shared" si="313"/>
        <v>ГОТОВ_ИЗМЕНЕН</v>
      </c>
      <c r="R2871" s="13">
        <f>IFERROR(VLOOKUP(P2871,Лист1!A$1:B$20,2,FALSE),0)</f>
        <v>784</v>
      </c>
      <c r="S2871" s="13">
        <f t="shared" si="314"/>
        <v>0</v>
      </c>
    </row>
    <row r="2872" spans="1:19" x14ac:dyDescent="0.25">
      <c r="A2872" s="24" t="s">
        <v>4003</v>
      </c>
      <c r="B2872" s="4" t="s">
        <v>1059</v>
      </c>
      <c r="C2872" s="25" t="s">
        <v>7</v>
      </c>
      <c r="G2872" s="25" t="s">
        <v>1096</v>
      </c>
      <c r="H2872" s="24" t="s">
        <v>1061</v>
      </c>
      <c r="I2872" s="3" t="str">
        <f>IFERROR(VLOOKUP(C2872,'Справочник соответствий'!A$2:D$2981,2,FALSE),IF(VALUE(C2872)=0,1,VLOOKUP(C2872,'Справочник соответствий'!A$2:D$2981,2,FALSE)))</f>
        <v>2</v>
      </c>
      <c r="J2872" s="3">
        <f>IFERROR(VLOOKUP(D2872,'Справочник соответствий'!A$2:D$2981,2,FALSE),IF(VALUE(D2872)=0,0,VLOOKUP(D2872,'Справочник соответствий'!A$2:D$2981,2,FALSE)))</f>
        <v>0</v>
      </c>
      <c r="K2872" s="3" t="str">
        <f t="shared" si="308"/>
        <v>2</v>
      </c>
      <c r="L2872" s="13" t="str">
        <f>IFERROR(VLOOKUP(C2872,'Справочник соответствий'!A$2:D$2981,3,FALSE),IF(VALUE(C2872)=0,"ЭТАЖ НЕ ОПРЕДЕЛЕН. ПРИНЯТ ПО ДОПУЩЕНИЮ 1",VLOOKUP(C2872,'Справочник соответствий'!A$2:D$2981,3,FALSE)))</f>
        <v>ЭТАЖ ЗАДАН ЧИСЛОМ</v>
      </c>
      <c r="M2872" s="13" t="b">
        <f t="shared" si="309"/>
        <v>0</v>
      </c>
      <c r="N2872" s="13">
        <f t="shared" si="310"/>
        <v>2</v>
      </c>
      <c r="O2872" s="13" t="str">
        <f t="shared" si="311"/>
        <v>ЭТАЖ ЗАДАН ЧИСЛОМ</v>
      </c>
      <c r="P2872" s="13" t="str">
        <f t="shared" si="312"/>
        <v>ЭТАЖ ЗАДАН ЧИСЛОМ</v>
      </c>
      <c r="Q2872" s="13" t="str">
        <f t="shared" si="313"/>
        <v>ГОТОВ_ИЗМЕНЕН</v>
      </c>
      <c r="R2872" s="13">
        <f>IFERROR(VLOOKUP(P2872,Лист1!A$1:B$20,2,FALSE),0)</f>
        <v>784</v>
      </c>
      <c r="S2872" s="13">
        <f t="shared" si="314"/>
        <v>0</v>
      </c>
    </row>
    <row r="2873" spans="1:19" x14ac:dyDescent="0.25">
      <c r="A2873" s="24" t="s">
        <v>4004</v>
      </c>
      <c r="B2873" s="4" t="s">
        <v>1059</v>
      </c>
      <c r="C2873" s="25" t="s">
        <v>5</v>
      </c>
      <c r="G2873" s="25" t="s">
        <v>1096</v>
      </c>
      <c r="H2873" s="24" t="s">
        <v>1061</v>
      </c>
      <c r="I2873" s="3" t="str">
        <f>IFERROR(VLOOKUP(C2873,'Справочник соответствий'!A$2:D$2981,2,FALSE),IF(VALUE(C2873)=0,1,VLOOKUP(C2873,'Справочник соответствий'!A$2:D$2981,2,FALSE)))</f>
        <v>1</v>
      </c>
      <c r="J2873" s="3">
        <f>IFERROR(VLOOKUP(D2873,'Справочник соответствий'!A$2:D$2981,2,FALSE),IF(VALUE(D2873)=0,0,VLOOKUP(D2873,'Справочник соответствий'!A$2:D$2981,2,FALSE)))</f>
        <v>0</v>
      </c>
      <c r="K2873" s="3" t="str">
        <f t="shared" si="308"/>
        <v>1</v>
      </c>
      <c r="L2873" s="13" t="str">
        <f>IFERROR(VLOOKUP(C2873,'Справочник соответствий'!A$2:D$2981,3,FALSE),IF(VALUE(C2873)=0,"ЭТАЖ НЕ ОПРЕДЕЛЕН. ПРИНЯТ ПО ДОПУЩЕНИЮ 1",VLOOKUP(C2873,'Справочник соответствий'!A$2:D$2981,3,FALSE)))</f>
        <v>ЭТАЖ ЗАДАН ЧИСЛОМ</v>
      </c>
      <c r="M2873" s="13" t="b">
        <f t="shared" si="309"/>
        <v>0</v>
      </c>
      <c r="N2873" s="13">
        <f t="shared" si="310"/>
        <v>1</v>
      </c>
      <c r="O2873" s="13" t="str">
        <f t="shared" si="311"/>
        <v>ЭТАЖ ЗАДАН ЧИСЛОМ</v>
      </c>
      <c r="P2873" s="13" t="str">
        <f t="shared" si="312"/>
        <v>ЭТАЖ ЗАДАН ЧИСЛОМ</v>
      </c>
      <c r="Q2873" s="13" t="str">
        <f t="shared" si="313"/>
        <v>ГОТОВ_ИЗМЕНЕН</v>
      </c>
      <c r="R2873" s="13">
        <f>IFERROR(VLOOKUP(P2873,Лист1!A$1:B$20,2,FALSE),0)</f>
        <v>784</v>
      </c>
      <c r="S2873" s="13">
        <f t="shared" si="314"/>
        <v>0</v>
      </c>
    </row>
    <row r="2874" spans="1:19" x14ac:dyDescent="0.25">
      <c r="A2874" s="24" t="s">
        <v>4005</v>
      </c>
      <c r="B2874" s="4" t="s">
        <v>1059</v>
      </c>
      <c r="C2874" s="25" t="s">
        <v>5</v>
      </c>
      <c r="G2874" s="25" t="s">
        <v>3185</v>
      </c>
      <c r="H2874" s="24" t="s">
        <v>1061</v>
      </c>
      <c r="I2874" s="3" t="str">
        <f>IFERROR(VLOOKUP(C2874,'Справочник соответствий'!A$2:D$2981,2,FALSE),IF(VALUE(C2874)=0,1,VLOOKUP(C2874,'Справочник соответствий'!A$2:D$2981,2,FALSE)))</f>
        <v>1</v>
      </c>
      <c r="J2874" s="3">
        <f>IFERROR(VLOOKUP(D2874,'Справочник соответствий'!A$2:D$2981,2,FALSE),IF(VALUE(D2874)=0,0,VLOOKUP(D2874,'Справочник соответствий'!A$2:D$2981,2,FALSE)))</f>
        <v>0</v>
      </c>
      <c r="K2874" s="3" t="str">
        <f t="shared" si="308"/>
        <v>1</v>
      </c>
      <c r="L2874" s="13" t="str">
        <f>IFERROR(VLOOKUP(C2874,'Справочник соответствий'!A$2:D$2981,3,FALSE),IF(VALUE(C2874)=0,"ЭТАЖ НЕ ОПРЕДЕЛЕН. ПРИНЯТ ПО ДОПУЩЕНИЮ 1",VLOOKUP(C2874,'Справочник соответствий'!A$2:D$2981,3,FALSE)))</f>
        <v>ЭТАЖ ЗАДАН ЧИСЛОМ</v>
      </c>
      <c r="M2874" s="13" t="b">
        <f t="shared" si="309"/>
        <v>0</v>
      </c>
      <c r="N2874" s="13">
        <f t="shared" si="310"/>
        <v>1</v>
      </c>
      <c r="O2874" s="13" t="str">
        <f t="shared" si="311"/>
        <v>ЭТАЖ ЗАДАН ЧИСЛОМ</v>
      </c>
      <c r="P2874" s="13" t="str">
        <f t="shared" si="312"/>
        <v>ЭТАЖ ЗАДАН ЧИСЛОМ</v>
      </c>
      <c r="Q2874" s="13" t="str">
        <f t="shared" si="313"/>
        <v>ГОТОВ_ИЗМЕНЕН</v>
      </c>
      <c r="R2874" s="13">
        <f>IFERROR(VLOOKUP(P2874,Лист1!A$1:B$20,2,FALSE),0)</f>
        <v>784</v>
      </c>
      <c r="S2874" s="13">
        <f t="shared" si="314"/>
        <v>0</v>
      </c>
    </row>
    <row r="2875" spans="1:19" x14ac:dyDescent="0.25">
      <c r="A2875" s="24" t="s">
        <v>4006</v>
      </c>
      <c r="B2875" s="4" t="s">
        <v>1059</v>
      </c>
      <c r="C2875" s="25" t="s">
        <v>5</v>
      </c>
      <c r="G2875" s="25" t="s">
        <v>1117</v>
      </c>
      <c r="H2875" s="24" t="s">
        <v>1061</v>
      </c>
      <c r="I2875" s="3" t="str">
        <f>IFERROR(VLOOKUP(C2875,'Справочник соответствий'!A$2:D$2981,2,FALSE),IF(VALUE(C2875)=0,1,VLOOKUP(C2875,'Справочник соответствий'!A$2:D$2981,2,FALSE)))</f>
        <v>1</v>
      </c>
      <c r="J2875" s="3">
        <f>IFERROR(VLOOKUP(D2875,'Справочник соответствий'!A$2:D$2981,2,FALSE),IF(VALUE(D2875)=0,0,VLOOKUP(D2875,'Справочник соответствий'!A$2:D$2981,2,FALSE)))</f>
        <v>0</v>
      </c>
      <c r="K2875" s="3" t="str">
        <f t="shared" si="308"/>
        <v>1</v>
      </c>
      <c r="L2875" s="13" t="str">
        <f>IFERROR(VLOOKUP(C2875,'Справочник соответствий'!A$2:D$2981,3,FALSE),IF(VALUE(C2875)=0,"ЭТАЖ НЕ ОПРЕДЕЛЕН. ПРИНЯТ ПО ДОПУЩЕНИЮ 1",VLOOKUP(C2875,'Справочник соответствий'!A$2:D$2981,3,FALSE)))</f>
        <v>ЭТАЖ ЗАДАН ЧИСЛОМ</v>
      </c>
      <c r="M2875" s="13" t="b">
        <f t="shared" si="309"/>
        <v>0</v>
      </c>
      <c r="N2875" s="13">
        <f t="shared" si="310"/>
        <v>1</v>
      </c>
      <c r="O2875" s="13" t="str">
        <f t="shared" si="311"/>
        <v>ЭТАЖ ЗАДАН ЧИСЛОМ</v>
      </c>
      <c r="P2875" s="13" t="str">
        <f t="shared" si="312"/>
        <v>ЭТАЖ ЗАДАН ЧИСЛОМ</v>
      </c>
      <c r="Q2875" s="13" t="str">
        <f t="shared" si="313"/>
        <v>ГОТОВ_ИЗМЕНЕН</v>
      </c>
      <c r="R2875" s="13">
        <f>IFERROR(VLOOKUP(P2875,Лист1!A$1:B$20,2,FALSE),0)</f>
        <v>784</v>
      </c>
      <c r="S2875" s="13">
        <f t="shared" si="314"/>
        <v>0</v>
      </c>
    </row>
    <row r="2876" spans="1:19" x14ac:dyDescent="0.25">
      <c r="A2876" s="24" t="s">
        <v>4007</v>
      </c>
      <c r="B2876" s="4" t="s">
        <v>1059</v>
      </c>
      <c r="C2876" s="25" t="s">
        <v>5</v>
      </c>
      <c r="G2876" s="25" t="s">
        <v>1069</v>
      </c>
      <c r="H2876" s="24" t="s">
        <v>1061</v>
      </c>
      <c r="I2876" s="3" t="str">
        <f>IFERROR(VLOOKUP(C2876,'Справочник соответствий'!A$2:D$2981,2,FALSE),IF(VALUE(C2876)=0,1,VLOOKUP(C2876,'Справочник соответствий'!A$2:D$2981,2,FALSE)))</f>
        <v>1</v>
      </c>
      <c r="J2876" s="3">
        <f>IFERROR(VLOOKUP(D2876,'Справочник соответствий'!A$2:D$2981,2,FALSE),IF(VALUE(D2876)=0,0,VLOOKUP(D2876,'Справочник соответствий'!A$2:D$2981,2,FALSE)))</f>
        <v>0</v>
      </c>
      <c r="K2876" s="3" t="str">
        <f t="shared" si="308"/>
        <v>1</v>
      </c>
      <c r="L2876" s="13" t="str">
        <f>IFERROR(VLOOKUP(C2876,'Справочник соответствий'!A$2:D$2981,3,FALSE),IF(VALUE(C2876)=0,"ЭТАЖ НЕ ОПРЕДЕЛЕН. ПРИНЯТ ПО ДОПУЩЕНИЮ 1",VLOOKUP(C2876,'Справочник соответствий'!A$2:D$2981,3,FALSE)))</f>
        <v>ЭТАЖ ЗАДАН ЧИСЛОМ</v>
      </c>
      <c r="M2876" s="13" t="b">
        <f t="shared" si="309"/>
        <v>0</v>
      </c>
      <c r="N2876" s="13">
        <f t="shared" si="310"/>
        <v>1</v>
      </c>
      <c r="O2876" s="13" t="str">
        <f t="shared" si="311"/>
        <v>ЭТАЖ ЗАДАН ЧИСЛОМ</v>
      </c>
      <c r="P2876" s="13" t="str">
        <f t="shared" si="312"/>
        <v>ЭТАЖ ЗАДАН ЧИСЛОМ</v>
      </c>
      <c r="Q2876" s="13" t="str">
        <f t="shared" si="313"/>
        <v>ГОТОВ_ИЗМЕНЕН</v>
      </c>
      <c r="R2876" s="13">
        <f>IFERROR(VLOOKUP(P2876,Лист1!A$1:B$20,2,FALSE),0)</f>
        <v>784</v>
      </c>
      <c r="S2876" s="13">
        <f t="shared" si="314"/>
        <v>0</v>
      </c>
    </row>
    <row r="2877" spans="1:19" x14ac:dyDescent="0.25">
      <c r="A2877" s="24" t="s">
        <v>4008</v>
      </c>
      <c r="B2877" s="4" t="s">
        <v>1063</v>
      </c>
      <c r="C2877" s="25" t="s">
        <v>5</v>
      </c>
      <c r="G2877" s="25" t="s">
        <v>3185</v>
      </c>
      <c r="H2877" s="24" t="s">
        <v>1061</v>
      </c>
      <c r="I2877" s="3" t="str">
        <f>IFERROR(VLOOKUP(C2877,'Справочник соответствий'!A$2:D$2981,2,FALSE),IF(VALUE(C2877)=0,1,VLOOKUP(C2877,'Справочник соответствий'!A$2:D$2981,2,FALSE)))</f>
        <v>1</v>
      </c>
      <c r="J2877" s="3">
        <f>IFERROR(VLOOKUP(D2877,'Справочник соответствий'!A$2:D$2981,2,FALSE),IF(VALUE(D2877)=0,0,VLOOKUP(D2877,'Справочник соответствий'!A$2:D$2981,2,FALSE)))</f>
        <v>0</v>
      </c>
      <c r="K2877" s="3" t="str">
        <f t="shared" si="308"/>
        <v>1</v>
      </c>
      <c r="L2877" s="13" t="str">
        <f>IFERROR(VLOOKUP(C2877,'Справочник соответствий'!A$2:D$2981,3,FALSE),IF(VALUE(C2877)=0,"ЭТАЖ НЕ ОПРЕДЕЛЕН. ПРИНЯТ ПО ДОПУЩЕНИЮ 1",VLOOKUP(C2877,'Справочник соответствий'!A$2:D$2981,3,FALSE)))</f>
        <v>ЭТАЖ ЗАДАН ЧИСЛОМ</v>
      </c>
      <c r="M2877" s="13" t="b">
        <f t="shared" si="309"/>
        <v>0</v>
      </c>
      <c r="N2877" s="13">
        <f t="shared" si="310"/>
        <v>1</v>
      </c>
      <c r="O2877" s="13" t="str">
        <f t="shared" si="311"/>
        <v>ЭТАЖ ЗАДАН ЧИСЛОМ</v>
      </c>
      <c r="P2877" s="13" t="str">
        <f t="shared" si="312"/>
        <v>ЭТАЖ ЗАДАН ЧИСЛОМ</v>
      </c>
      <c r="Q2877" s="13" t="str">
        <f t="shared" si="313"/>
        <v>ГОТОВ_ИЗМЕНЕН</v>
      </c>
      <c r="R2877" s="13">
        <f>IFERROR(VLOOKUP(P2877,Лист1!A$1:B$20,2,FALSE),0)</f>
        <v>784</v>
      </c>
      <c r="S2877" s="13">
        <f t="shared" si="314"/>
        <v>0</v>
      </c>
    </row>
    <row r="2878" spans="1:19" x14ac:dyDescent="0.25">
      <c r="A2878" s="24" t="s">
        <v>4009</v>
      </c>
      <c r="B2878" s="4" t="s">
        <v>1059</v>
      </c>
      <c r="C2878" s="25" t="s">
        <v>8</v>
      </c>
      <c r="D2878" s="25" t="s">
        <v>5</v>
      </c>
      <c r="G2878" s="25" t="s">
        <v>3185</v>
      </c>
      <c r="H2878" s="24" t="s">
        <v>1061</v>
      </c>
      <c r="I2878" s="3" t="str">
        <f>IFERROR(VLOOKUP(C2878,'Справочник соответствий'!A$2:D$2981,2,FALSE),IF(VALUE(C2878)=0,1,VLOOKUP(C2878,'Справочник соответствий'!A$2:D$2981,2,FALSE)))</f>
        <v>3</v>
      </c>
      <c r="J2878" s="3" t="str">
        <f>IFERROR(VLOOKUP(D2878,'Справочник соответствий'!A$2:D$2981,2,FALSE),IF(VALUE(D2878)=0,0,VLOOKUP(D2878,'Справочник соответствий'!A$2:D$2981,2,FALSE)))</f>
        <v>1</v>
      </c>
      <c r="K2878" s="3" t="str">
        <f t="shared" si="308"/>
        <v>3</v>
      </c>
      <c r="L2878" s="13" t="str">
        <f>IFERROR(VLOOKUP(C2878,'Справочник соответствий'!A$2:D$2981,3,FALSE),IF(VALUE(C2878)=0,"ЭТАЖ НЕ ОПРЕДЕЛЕН. ПРИНЯТ ПО ДОПУЩЕНИЮ 1",VLOOKUP(C2878,'Справочник соответствий'!A$2:D$2981,3,FALSE)))</f>
        <v>ЭТАЖ ЗАДАН ЧИСЛОМ</v>
      </c>
      <c r="M2878" s="13" t="b">
        <f t="shared" si="309"/>
        <v>0</v>
      </c>
      <c r="N2878" s="13">
        <f t="shared" si="310"/>
        <v>3</v>
      </c>
      <c r="O2878" s="13" t="str">
        <f t="shared" si="311"/>
        <v>ЭТАЖ ЗАДАН ЧИСЛОМ</v>
      </c>
      <c r="P2878" s="13" t="str">
        <f t="shared" si="312"/>
        <v>ЭТАЖ ЗАДАН ЧИСЛОМ</v>
      </c>
      <c r="Q2878" s="13" t="str">
        <f t="shared" si="313"/>
        <v>ГОТОВ_ИЗМЕНЕН</v>
      </c>
      <c r="R2878" s="13">
        <f>IFERROR(VLOOKUP(P2878,Лист1!A$1:B$20,2,FALSE),0)</f>
        <v>784</v>
      </c>
      <c r="S2878" s="13">
        <f t="shared" si="314"/>
        <v>0</v>
      </c>
    </row>
    <row r="2879" spans="1:19" x14ac:dyDescent="0.25">
      <c r="A2879" s="24" t="s">
        <v>4010</v>
      </c>
      <c r="B2879" s="4" t="s">
        <v>1063</v>
      </c>
      <c r="C2879" s="25" t="s">
        <v>5</v>
      </c>
      <c r="G2879" s="25" t="s">
        <v>1075</v>
      </c>
      <c r="H2879" s="24" t="s">
        <v>1061</v>
      </c>
      <c r="I2879" s="3" t="str">
        <f>IFERROR(VLOOKUP(C2879,'Справочник соответствий'!A$2:D$2981,2,FALSE),IF(VALUE(C2879)=0,1,VLOOKUP(C2879,'Справочник соответствий'!A$2:D$2981,2,FALSE)))</f>
        <v>1</v>
      </c>
      <c r="J2879" s="3">
        <f>IFERROR(VLOOKUP(D2879,'Справочник соответствий'!A$2:D$2981,2,FALSE),IF(VALUE(D2879)=0,0,VLOOKUP(D2879,'Справочник соответствий'!A$2:D$2981,2,FALSE)))</f>
        <v>0</v>
      </c>
      <c r="K2879" s="3" t="str">
        <f t="shared" si="308"/>
        <v>1</v>
      </c>
      <c r="L2879" s="13" t="str">
        <f>IFERROR(VLOOKUP(C2879,'Справочник соответствий'!A$2:D$2981,3,FALSE),IF(VALUE(C2879)=0,"ЭТАЖ НЕ ОПРЕДЕЛЕН. ПРИНЯТ ПО ДОПУЩЕНИЮ 1",VLOOKUP(C2879,'Справочник соответствий'!A$2:D$2981,3,FALSE)))</f>
        <v>ЭТАЖ ЗАДАН ЧИСЛОМ</v>
      </c>
      <c r="M2879" s="13" t="b">
        <f t="shared" si="309"/>
        <v>0</v>
      </c>
      <c r="N2879" s="13">
        <f t="shared" si="310"/>
        <v>1</v>
      </c>
      <c r="O2879" s="13" t="str">
        <f t="shared" si="311"/>
        <v>ЭТАЖ ЗАДАН ЧИСЛОМ</v>
      </c>
      <c r="P2879" s="13" t="str">
        <f t="shared" si="312"/>
        <v>ЭТАЖ ЗАДАН ЧИСЛОМ</v>
      </c>
      <c r="Q2879" s="13" t="str">
        <f t="shared" si="313"/>
        <v>ГОТОВ_ИЗМЕНЕН</v>
      </c>
      <c r="R2879" s="13">
        <f>IFERROR(VLOOKUP(P2879,Лист1!A$1:B$20,2,FALSE),0)</f>
        <v>784</v>
      </c>
      <c r="S2879" s="13">
        <f t="shared" si="314"/>
        <v>0</v>
      </c>
    </row>
    <row r="2880" spans="1:19" x14ac:dyDescent="0.25">
      <c r="A2880" s="24" t="s">
        <v>4011</v>
      </c>
      <c r="B2880" s="4" t="s">
        <v>1059</v>
      </c>
      <c r="G2880" s="25" t="s">
        <v>1075</v>
      </c>
      <c r="H2880" s="24" t="s">
        <v>1061</v>
      </c>
      <c r="I2880" s="3">
        <f>IFERROR(VLOOKUP(C2880,'Справочник соответствий'!A$2:D$2981,2,FALSE),IF(VALUE(C2880)=0,1,VLOOKUP(C2880,'Справочник соответствий'!A$2:D$2981,2,FALSE)))</f>
        <v>1</v>
      </c>
      <c r="J2880" s="3">
        <f>IFERROR(VLOOKUP(D2880,'Справочник соответствий'!A$2:D$2981,2,FALSE),IF(VALUE(D2880)=0,0,VLOOKUP(D2880,'Справочник соответствий'!A$2:D$2981,2,FALSE)))</f>
        <v>0</v>
      </c>
      <c r="K2880" s="3">
        <f t="shared" si="308"/>
        <v>1</v>
      </c>
      <c r="L2880" s="13" t="str">
        <f>IFERROR(VLOOKUP(C2880,'Справочник соответствий'!A$2:D$2981,3,FALSE),IF(VALUE(C2880)=0,"ЭТАЖ НЕ ОПРЕДЕЛЕН. ПРИНЯТ ПО ДОПУЩЕНИЮ 1",VLOOKUP(C2880,'Справочник соответствий'!A$2:D$2981,3,FALSE)))</f>
        <v>ЭТАЖ НЕ ОПРЕДЕЛЕН. ПРИНЯТ ПО ДОПУЩЕНИЮ 1</v>
      </c>
      <c r="M2880" s="13" t="b">
        <f t="shared" si="309"/>
        <v>0</v>
      </c>
      <c r="N2880" s="13">
        <f t="shared" si="310"/>
        <v>1</v>
      </c>
      <c r="O2880" s="13" t="str">
        <f t="shared" si="311"/>
        <v>ЭТАЖ НЕ ОПРЕДЕЛЕН. ПРИНЯТ ПО ДОПУЩЕНИЮ 1</v>
      </c>
      <c r="P2880" s="13" t="str">
        <f t="shared" si="312"/>
        <v>ЭТАЖ НЕ ОПРЕДЕЛЕН. ПРИНЯТ ПО ДОПУЩЕНИЮ 1</v>
      </c>
      <c r="Q2880" s="13" t="str">
        <f t="shared" si="313"/>
        <v>ГОТОВ_ИЗМЕНЕН</v>
      </c>
      <c r="R2880" s="13">
        <f>IFERROR(VLOOKUP(P2880,Лист1!A$1:B$20,2,FALSE),0)</f>
        <v>788</v>
      </c>
      <c r="S2880" s="13">
        <f t="shared" si="314"/>
        <v>0</v>
      </c>
    </row>
    <row r="2881" spans="1:19" x14ac:dyDescent="0.25">
      <c r="A2881" s="24" t="s">
        <v>4012</v>
      </c>
      <c r="B2881" s="4" t="s">
        <v>1059</v>
      </c>
      <c r="C2881" s="25" t="s">
        <v>5</v>
      </c>
      <c r="G2881" s="25" t="s">
        <v>1069</v>
      </c>
      <c r="H2881" s="24" t="s">
        <v>1061</v>
      </c>
      <c r="I2881" s="3" t="str">
        <f>IFERROR(VLOOKUP(C2881,'Справочник соответствий'!A$2:D$2981,2,FALSE),IF(VALUE(C2881)=0,1,VLOOKUP(C2881,'Справочник соответствий'!A$2:D$2981,2,FALSE)))</f>
        <v>1</v>
      </c>
      <c r="J2881" s="3">
        <f>IFERROR(VLOOKUP(D2881,'Справочник соответствий'!A$2:D$2981,2,FALSE),IF(VALUE(D2881)=0,0,VLOOKUP(D2881,'Справочник соответствий'!A$2:D$2981,2,FALSE)))</f>
        <v>0</v>
      </c>
      <c r="K2881" s="3" t="str">
        <f t="shared" si="308"/>
        <v>1</v>
      </c>
      <c r="L2881" s="13" t="str">
        <f>IFERROR(VLOOKUP(C2881,'Справочник соответствий'!A$2:D$2981,3,FALSE),IF(VALUE(C2881)=0,"ЭТАЖ НЕ ОПРЕДЕЛЕН. ПРИНЯТ ПО ДОПУЩЕНИЮ 1",VLOOKUP(C2881,'Справочник соответствий'!A$2:D$2981,3,FALSE)))</f>
        <v>ЭТАЖ ЗАДАН ЧИСЛОМ</v>
      </c>
      <c r="M2881" s="13" t="b">
        <f t="shared" si="309"/>
        <v>0</v>
      </c>
      <c r="N2881" s="13">
        <f t="shared" si="310"/>
        <v>1</v>
      </c>
      <c r="O2881" s="13" t="str">
        <f t="shared" si="311"/>
        <v>ЭТАЖ ЗАДАН ЧИСЛОМ</v>
      </c>
      <c r="P2881" s="13" t="str">
        <f t="shared" si="312"/>
        <v>ЭТАЖ ЗАДАН ЧИСЛОМ</v>
      </c>
      <c r="Q2881" s="13" t="str">
        <f t="shared" si="313"/>
        <v>ГОТОВ_ИЗМЕНЕН</v>
      </c>
      <c r="R2881" s="13">
        <f>IFERROR(VLOOKUP(P2881,Лист1!A$1:B$20,2,FALSE),0)</f>
        <v>784</v>
      </c>
      <c r="S2881" s="13">
        <f t="shared" si="314"/>
        <v>0</v>
      </c>
    </row>
    <row r="2882" spans="1:19" x14ac:dyDescent="0.25">
      <c r="A2882" s="24" t="s">
        <v>4013</v>
      </c>
      <c r="B2882" s="4" t="s">
        <v>1063</v>
      </c>
      <c r="C2882" s="25" t="s">
        <v>5</v>
      </c>
      <c r="G2882" s="25" t="s">
        <v>1075</v>
      </c>
      <c r="H2882" s="24" t="s">
        <v>1061</v>
      </c>
      <c r="I2882" s="3" t="str">
        <f>IFERROR(VLOOKUP(C2882,'Справочник соответствий'!A$2:D$2981,2,FALSE),IF(VALUE(C2882)=0,1,VLOOKUP(C2882,'Справочник соответствий'!A$2:D$2981,2,FALSE)))</f>
        <v>1</v>
      </c>
      <c r="J2882" s="3">
        <f>IFERROR(VLOOKUP(D2882,'Справочник соответствий'!A$2:D$2981,2,FALSE),IF(VALUE(D2882)=0,0,VLOOKUP(D2882,'Справочник соответствий'!A$2:D$2981,2,FALSE)))</f>
        <v>0</v>
      </c>
      <c r="K2882" s="3" t="str">
        <f t="shared" si="308"/>
        <v>1</v>
      </c>
      <c r="L2882" s="13" t="str">
        <f>IFERROR(VLOOKUP(C2882,'Справочник соответствий'!A$2:D$2981,3,FALSE),IF(VALUE(C2882)=0,"ЭТАЖ НЕ ОПРЕДЕЛЕН. ПРИНЯТ ПО ДОПУЩЕНИЮ 1",VLOOKUP(C2882,'Справочник соответствий'!A$2:D$2981,3,FALSE)))</f>
        <v>ЭТАЖ ЗАДАН ЧИСЛОМ</v>
      </c>
      <c r="M2882" s="13" t="b">
        <f t="shared" si="309"/>
        <v>0</v>
      </c>
      <c r="N2882" s="13">
        <f t="shared" si="310"/>
        <v>1</v>
      </c>
      <c r="O2882" s="13" t="str">
        <f t="shared" si="311"/>
        <v>ЭТАЖ ЗАДАН ЧИСЛОМ</v>
      </c>
      <c r="P2882" s="13" t="str">
        <f t="shared" si="312"/>
        <v>ЭТАЖ ЗАДАН ЧИСЛОМ</v>
      </c>
      <c r="Q2882" s="13" t="str">
        <f t="shared" si="313"/>
        <v>ГОТОВ_ИЗМЕНЕН</v>
      </c>
      <c r="R2882" s="13">
        <f>IFERROR(VLOOKUP(P2882,Лист1!A$1:B$20,2,FALSE),0)</f>
        <v>784</v>
      </c>
      <c r="S2882" s="13">
        <f t="shared" si="314"/>
        <v>0</v>
      </c>
    </row>
    <row r="2883" spans="1:19" x14ac:dyDescent="0.25">
      <c r="A2883" s="24" t="s">
        <v>4014</v>
      </c>
      <c r="B2883" s="4" t="s">
        <v>1059</v>
      </c>
      <c r="C2883" s="25" t="s">
        <v>5</v>
      </c>
      <c r="G2883" s="25" t="s">
        <v>1075</v>
      </c>
      <c r="H2883" s="24" t="s">
        <v>1061</v>
      </c>
      <c r="I2883" s="3" t="str">
        <f>IFERROR(VLOOKUP(C2883,'Справочник соответствий'!A$2:D$2981,2,FALSE),IF(VALUE(C2883)=0,1,VLOOKUP(C2883,'Справочник соответствий'!A$2:D$2981,2,FALSE)))</f>
        <v>1</v>
      </c>
      <c r="J2883" s="3">
        <f>IFERROR(VLOOKUP(D2883,'Справочник соответствий'!A$2:D$2981,2,FALSE),IF(VALUE(D2883)=0,0,VLOOKUP(D2883,'Справочник соответствий'!A$2:D$2981,2,FALSE)))</f>
        <v>0</v>
      </c>
      <c r="K2883" s="3" t="str">
        <f t="shared" si="308"/>
        <v>1</v>
      </c>
      <c r="L2883" s="13" t="str">
        <f>IFERROR(VLOOKUP(C2883,'Справочник соответствий'!A$2:D$2981,3,FALSE),IF(VALUE(C2883)=0,"ЭТАЖ НЕ ОПРЕДЕЛЕН. ПРИНЯТ ПО ДОПУЩЕНИЮ 1",VLOOKUP(C2883,'Справочник соответствий'!A$2:D$2981,3,FALSE)))</f>
        <v>ЭТАЖ ЗАДАН ЧИСЛОМ</v>
      </c>
      <c r="M2883" s="13" t="b">
        <f t="shared" si="309"/>
        <v>0</v>
      </c>
      <c r="N2883" s="13">
        <f t="shared" si="310"/>
        <v>1</v>
      </c>
      <c r="O2883" s="13" t="str">
        <f t="shared" si="311"/>
        <v>ЭТАЖ ЗАДАН ЧИСЛОМ</v>
      </c>
      <c r="P2883" s="13" t="str">
        <f t="shared" si="312"/>
        <v>ЭТАЖ ЗАДАН ЧИСЛОМ</v>
      </c>
      <c r="Q2883" s="13" t="str">
        <f t="shared" si="313"/>
        <v>ГОТОВ_ИЗМЕНЕН</v>
      </c>
      <c r="R2883" s="13">
        <f>IFERROR(VLOOKUP(P2883,Лист1!A$1:B$20,2,FALSE),0)</f>
        <v>784</v>
      </c>
      <c r="S2883" s="13">
        <f t="shared" si="314"/>
        <v>0</v>
      </c>
    </row>
    <row r="2884" spans="1:19" x14ac:dyDescent="0.25">
      <c r="A2884" s="24" t="s">
        <v>4015</v>
      </c>
      <c r="B2884" s="4" t="s">
        <v>1059</v>
      </c>
      <c r="C2884" s="25" t="s">
        <v>5</v>
      </c>
      <c r="G2884" s="25" t="s">
        <v>1069</v>
      </c>
      <c r="H2884" s="24" t="s">
        <v>1061</v>
      </c>
      <c r="I2884" s="3" t="str">
        <f>IFERROR(VLOOKUP(C2884,'Справочник соответствий'!A$2:D$2981,2,FALSE),IF(VALUE(C2884)=0,1,VLOOKUP(C2884,'Справочник соответствий'!A$2:D$2981,2,FALSE)))</f>
        <v>1</v>
      </c>
      <c r="J2884" s="3">
        <f>IFERROR(VLOOKUP(D2884,'Справочник соответствий'!A$2:D$2981,2,FALSE),IF(VALUE(D2884)=0,0,VLOOKUP(D2884,'Справочник соответствий'!A$2:D$2981,2,FALSE)))</f>
        <v>0</v>
      </c>
      <c r="K2884" s="3" t="str">
        <f t="shared" si="308"/>
        <v>1</v>
      </c>
      <c r="L2884" s="13" t="str">
        <f>IFERROR(VLOOKUP(C2884,'Справочник соответствий'!A$2:D$2981,3,FALSE),IF(VALUE(C2884)=0,"ЭТАЖ НЕ ОПРЕДЕЛЕН. ПРИНЯТ ПО ДОПУЩЕНИЮ 1",VLOOKUP(C2884,'Справочник соответствий'!A$2:D$2981,3,FALSE)))</f>
        <v>ЭТАЖ ЗАДАН ЧИСЛОМ</v>
      </c>
      <c r="M2884" s="13" t="b">
        <f t="shared" si="309"/>
        <v>0</v>
      </c>
      <c r="N2884" s="13">
        <f t="shared" si="310"/>
        <v>1</v>
      </c>
      <c r="O2884" s="13" t="str">
        <f t="shared" si="311"/>
        <v>ЭТАЖ ЗАДАН ЧИСЛОМ</v>
      </c>
      <c r="P2884" s="13" t="str">
        <f t="shared" si="312"/>
        <v>ЭТАЖ ЗАДАН ЧИСЛОМ</v>
      </c>
      <c r="Q2884" s="13" t="str">
        <f t="shared" si="313"/>
        <v>ГОТОВ_ИЗМЕНЕН</v>
      </c>
      <c r="R2884" s="13">
        <f>IFERROR(VLOOKUP(P2884,Лист1!A$1:B$20,2,FALSE),0)</f>
        <v>784</v>
      </c>
      <c r="S2884" s="13">
        <f t="shared" si="314"/>
        <v>0</v>
      </c>
    </row>
    <row r="2885" spans="1:19" x14ac:dyDescent="0.25">
      <c r="A2885" s="24" t="s">
        <v>4016</v>
      </c>
      <c r="B2885" s="4" t="s">
        <v>1059</v>
      </c>
      <c r="C2885" s="25" t="s">
        <v>5</v>
      </c>
      <c r="G2885" s="25" t="s">
        <v>1150</v>
      </c>
      <c r="H2885" s="24" t="s">
        <v>1061</v>
      </c>
      <c r="I2885" s="3" t="str">
        <f>IFERROR(VLOOKUP(C2885,'Справочник соответствий'!A$2:D$2981,2,FALSE),IF(VALUE(C2885)=0,1,VLOOKUP(C2885,'Справочник соответствий'!A$2:D$2981,2,FALSE)))</f>
        <v>1</v>
      </c>
      <c r="J2885" s="3">
        <f>IFERROR(VLOOKUP(D2885,'Справочник соответствий'!A$2:D$2981,2,FALSE),IF(VALUE(D2885)=0,0,VLOOKUP(D2885,'Справочник соответствий'!A$2:D$2981,2,FALSE)))</f>
        <v>0</v>
      </c>
      <c r="K2885" s="3" t="str">
        <f t="shared" ref="K2885:K2948" si="315">IF(B2885="Многоквартирный дом",IF(I2885-J2885&gt;0,I2885-J2885,1),I2885)</f>
        <v>1</v>
      </c>
      <c r="L2885" s="13" t="str">
        <f>IFERROR(VLOOKUP(C2885,'Справочник соответствий'!A$2:D$2981,3,FALSE),IF(VALUE(C2885)=0,"ЭТАЖ НЕ ОПРЕДЕЛЕН. ПРИНЯТ ПО ДОПУЩЕНИЮ 1",VLOOKUP(C2885,'Справочник соответствий'!A$2:D$2981,3,FALSE)))</f>
        <v>ЭТАЖ ЗАДАН ЧИСЛОМ</v>
      </c>
      <c r="M2885" s="13" t="b">
        <f t="shared" ref="M2885:M2948" si="316">I2885=E2885</f>
        <v>0</v>
      </c>
      <c r="N2885" s="13">
        <f t="shared" ref="N2885:N2948" si="317">IF(VALUE(E2885)=0,VALUE(K2885),IF(L2885="ЭТАЖ НЕ ОПРЕДЕЛЕН. ПРИНЯТ ПО ДОПУЩЕНИЮ 1",VALUE(E2885),VALUE(K2885)))</f>
        <v>1</v>
      </c>
      <c r="O2885" s="13" t="str">
        <f t="shared" ref="O2885:O2948" si="318">IF(VALUE(E2885)=0,L2885,IF(L2885="ЭТАЖ НЕ ОПРЕДЕЛЕН. ПРИНЯТ ПО ДОПУЩЕНИЮ 1",F2885,L2885))</f>
        <v>ЭТАЖ ЗАДАН ЧИСЛОМ</v>
      </c>
      <c r="P2885" s="13" t="str">
        <f t="shared" ref="P2885:P2948" si="319">IF(B2885="Многоквартирный дом",CONCATENATE("МКД_",O2885),O2885)</f>
        <v>ЭТАЖ ЗАДАН ЧИСЛОМ</v>
      </c>
      <c r="Q2885" s="13" t="str">
        <f t="shared" ref="Q2885:Q2948" si="320">IFERROR(IF(N2885&gt;0,IF(N2885=VALUE(E2885),"ГОТОВ","ГОТОВ_ИЗМЕНЕН"),"НЕ ГОТОВ"),"НЕ ГОТОВ")</f>
        <v>ГОТОВ_ИЗМЕНЕН</v>
      </c>
      <c r="R2885" s="13">
        <f>IFERROR(VLOOKUP(P2885,Лист1!A$1:B$20,2,FALSE),0)</f>
        <v>784</v>
      </c>
      <c r="S2885" s="13">
        <f t="shared" ref="S2885:S2948" si="321">VALUE(E2885)</f>
        <v>0</v>
      </c>
    </row>
    <row r="2886" spans="1:19" x14ac:dyDescent="0.25">
      <c r="A2886" s="24" t="s">
        <v>4017</v>
      </c>
      <c r="B2886" s="4" t="s">
        <v>1063</v>
      </c>
      <c r="C2886" s="25" t="s">
        <v>7</v>
      </c>
      <c r="G2886" s="25" t="s">
        <v>1069</v>
      </c>
      <c r="H2886" s="24" t="s">
        <v>1061</v>
      </c>
      <c r="I2886" s="3" t="str">
        <f>IFERROR(VLOOKUP(C2886,'Справочник соответствий'!A$2:D$2981,2,FALSE),IF(VALUE(C2886)=0,1,VLOOKUP(C2886,'Справочник соответствий'!A$2:D$2981,2,FALSE)))</f>
        <v>2</v>
      </c>
      <c r="J2886" s="3">
        <f>IFERROR(VLOOKUP(D2886,'Справочник соответствий'!A$2:D$2981,2,FALSE),IF(VALUE(D2886)=0,0,VLOOKUP(D2886,'Справочник соответствий'!A$2:D$2981,2,FALSE)))</f>
        <v>0</v>
      </c>
      <c r="K2886" s="3" t="str">
        <f t="shared" si="315"/>
        <v>2</v>
      </c>
      <c r="L2886" s="13" t="str">
        <f>IFERROR(VLOOKUP(C2886,'Справочник соответствий'!A$2:D$2981,3,FALSE),IF(VALUE(C2886)=0,"ЭТАЖ НЕ ОПРЕДЕЛЕН. ПРИНЯТ ПО ДОПУЩЕНИЮ 1",VLOOKUP(C2886,'Справочник соответствий'!A$2:D$2981,3,FALSE)))</f>
        <v>ЭТАЖ ЗАДАН ЧИСЛОМ</v>
      </c>
      <c r="M2886" s="13" t="b">
        <f t="shared" si="316"/>
        <v>0</v>
      </c>
      <c r="N2886" s="13">
        <f t="shared" si="317"/>
        <v>2</v>
      </c>
      <c r="O2886" s="13" t="str">
        <f t="shared" si="318"/>
        <v>ЭТАЖ ЗАДАН ЧИСЛОМ</v>
      </c>
      <c r="P2886" s="13" t="str">
        <f t="shared" si="319"/>
        <v>ЭТАЖ ЗАДАН ЧИСЛОМ</v>
      </c>
      <c r="Q2886" s="13" t="str">
        <f t="shared" si="320"/>
        <v>ГОТОВ_ИЗМЕНЕН</v>
      </c>
      <c r="R2886" s="13">
        <f>IFERROR(VLOOKUP(P2886,Лист1!A$1:B$20,2,FALSE),0)</f>
        <v>784</v>
      </c>
      <c r="S2886" s="13">
        <f t="shared" si="321"/>
        <v>0</v>
      </c>
    </row>
    <row r="2887" spans="1:19" x14ac:dyDescent="0.25">
      <c r="A2887" s="24" t="s">
        <v>4018</v>
      </c>
      <c r="B2887" s="4" t="s">
        <v>1059</v>
      </c>
      <c r="C2887" s="25" t="s">
        <v>5</v>
      </c>
      <c r="G2887" s="25" t="s">
        <v>1083</v>
      </c>
      <c r="H2887" s="24" t="s">
        <v>1061</v>
      </c>
      <c r="I2887" s="3" t="str">
        <f>IFERROR(VLOOKUP(C2887,'Справочник соответствий'!A$2:D$2981,2,FALSE),IF(VALUE(C2887)=0,1,VLOOKUP(C2887,'Справочник соответствий'!A$2:D$2981,2,FALSE)))</f>
        <v>1</v>
      </c>
      <c r="J2887" s="3">
        <f>IFERROR(VLOOKUP(D2887,'Справочник соответствий'!A$2:D$2981,2,FALSE),IF(VALUE(D2887)=0,0,VLOOKUP(D2887,'Справочник соответствий'!A$2:D$2981,2,FALSE)))</f>
        <v>0</v>
      </c>
      <c r="K2887" s="3" t="str">
        <f t="shared" si="315"/>
        <v>1</v>
      </c>
      <c r="L2887" s="13" t="str">
        <f>IFERROR(VLOOKUP(C2887,'Справочник соответствий'!A$2:D$2981,3,FALSE),IF(VALUE(C2887)=0,"ЭТАЖ НЕ ОПРЕДЕЛЕН. ПРИНЯТ ПО ДОПУЩЕНИЮ 1",VLOOKUP(C2887,'Справочник соответствий'!A$2:D$2981,3,FALSE)))</f>
        <v>ЭТАЖ ЗАДАН ЧИСЛОМ</v>
      </c>
      <c r="M2887" s="13" t="b">
        <f t="shared" si="316"/>
        <v>0</v>
      </c>
      <c r="N2887" s="13">
        <f t="shared" si="317"/>
        <v>1</v>
      </c>
      <c r="O2887" s="13" t="str">
        <f t="shared" si="318"/>
        <v>ЭТАЖ ЗАДАН ЧИСЛОМ</v>
      </c>
      <c r="P2887" s="13" t="str">
        <f t="shared" si="319"/>
        <v>ЭТАЖ ЗАДАН ЧИСЛОМ</v>
      </c>
      <c r="Q2887" s="13" t="str">
        <f t="shared" si="320"/>
        <v>ГОТОВ_ИЗМЕНЕН</v>
      </c>
      <c r="R2887" s="13">
        <f>IFERROR(VLOOKUP(P2887,Лист1!A$1:B$20,2,FALSE),0)</f>
        <v>784</v>
      </c>
      <c r="S2887" s="13">
        <f t="shared" si="321"/>
        <v>0</v>
      </c>
    </row>
    <row r="2888" spans="1:19" x14ac:dyDescent="0.25">
      <c r="A2888" s="24" t="s">
        <v>4019</v>
      </c>
      <c r="B2888" s="4" t="s">
        <v>1063</v>
      </c>
      <c r="C2888" s="25" t="s">
        <v>5</v>
      </c>
      <c r="G2888" s="25" t="s">
        <v>1089</v>
      </c>
      <c r="H2888" s="24" t="s">
        <v>1061</v>
      </c>
      <c r="I2888" s="3" t="str">
        <f>IFERROR(VLOOKUP(C2888,'Справочник соответствий'!A$2:D$2981,2,FALSE),IF(VALUE(C2888)=0,1,VLOOKUP(C2888,'Справочник соответствий'!A$2:D$2981,2,FALSE)))</f>
        <v>1</v>
      </c>
      <c r="J2888" s="3">
        <f>IFERROR(VLOOKUP(D2888,'Справочник соответствий'!A$2:D$2981,2,FALSE),IF(VALUE(D2888)=0,0,VLOOKUP(D2888,'Справочник соответствий'!A$2:D$2981,2,FALSE)))</f>
        <v>0</v>
      </c>
      <c r="K2888" s="3" t="str">
        <f t="shared" si="315"/>
        <v>1</v>
      </c>
      <c r="L2888" s="13" t="str">
        <f>IFERROR(VLOOKUP(C2888,'Справочник соответствий'!A$2:D$2981,3,FALSE),IF(VALUE(C2888)=0,"ЭТАЖ НЕ ОПРЕДЕЛЕН. ПРИНЯТ ПО ДОПУЩЕНИЮ 1",VLOOKUP(C2888,'Справочник соответствий'!A$2:D$2981,3,FALSE)))</f>
        <v>ЭТАЖ ЗАДАН ЧИСЛОМ</v>
      </c>
      <c r="M2888" s="13" t="b">
        <f t="shared" si="316"/>
        <v>0</v>
      </c>
      <c r="N2888" s="13">
        <f t="shared" si="317"/>
        <v>1</v>
      </c>
      <c r="O2888" s="13" t="str">
        <f t="shared" si="318"/>
        <v>ЭТАЖ ЗАДАН ЧИСЛОМ</v>
      </c>
      <c r="P2888" s="13" t="str">
        <f t="shared" si="319"/>
        <v>ЭТАЖ ЗАДАН ЧИСЛОМ</v>
      </c>
      <c r="Q2888" s="13" t="str">
        <f t="shared" si="320"/>
        <v>ГОТОВ_ИЗМЕНЕН</v>
      </c>
      <c r="R2888" s="13">
        <f>IFERROR(VLOOKUP(P2888,Лист1!A$1:B$20,2,FALSE),0)</f>
        <v>784</v>
      </c>
      <c r="S2888" s="13">
        <f t="shared" si="321"/>
        <v>0</v>
      </c>
    </row>
    <row r="2889" spans="1:19" x14ac:dyDescent="0.25">
      <c r="A2889" s="24" t="s">
        <v>4020</v>
      </c>
      <c r="B2889" s="4" t="s">
        <v>1059</v>
      </c>
      <c r="C2889" s="25" t="s">
        <v>5</v>
      </c>
      <c r="G2889" s="25" t="s">
        <v>1089</v>
      </c>
      <c r="H2889" s="24" t="s">
        <v>1061</v>
      </c>
      <c r="I2889" s="3" t="str">
        <f>IFERROR(VLOOKUP(C2889,'Справочник соответствий'!A$2:D$2981,2,FALSE),IF(VALUE(C2889)=0,1,VLOOKUP(C2889,'Справочник соответствий'!A$2:D$2981,2,FALSE)))</f>
        <v>1</v>
      </c>
      <c r="J2889" s="3">
        <f>IFERROR(VLOOKUP(D2889,'Справочник соответствий'!A$2:D$2981,2,FALSE),IF(VALUE(D2889)=0,0,VLOOKUP(D2889,'Справочник соответствий'!A$2:D$2981,2,FALSE)))</f>
        <v>0</v>
      </c>
      <c r="K2889" s="3" t="str">
        <f t="shared" si="315"/>
        <v>1</v>
      </c>
      <c r="L2889" s="13" t="str">
        <f>IFERROR(VLOOKUP(C2889,'Справочник соответствий'!A$2:D$2981,3,FALSE),IF(VALUE(C2889)=0,"ЭТАЖ НЕ ОПРЕДЕЛЕН. ПРИНЯТ ПО ДОПУЩЕНИЮ 1",VLOOKUP(C2889,'Справочник соответствий'!A$2:D$2981,3,FALSE)))</f>
        <v>ЭТАЖ ЗАДАН ЧИСЛОМ</v>
      </c>
      <c r="M2889" s="13" t="b">
        <f t="shared" si="316"/>
        <v>0</v>
      </c>
      <c r="N2889" s="13">
        <f t="shared" si="317"/>
        <v>1</v>
      </c>
      <c r="O2889" s="13" t="str">
        <f t="shared" si="318"/>
        <v>ЭТАЖ ЗАДАН ЧИСЛОМ</v>
      </c>
      <c r="P2889" s="13" t="str">
        <f t="shared" si="319"/>
        <v>ЭТАЖ ЗАДАН ЧИСЛОМ</v>
      </c>
      <c r="Q2889" s="13" t="str">
        <f t="shared" si="320"/>
        <v>ГОТОВ_ИЗМЕНЕН</v>
      </c>
      <c r="R2889" s="13">
        <f>IFERROR(VLOOKUP(P2889,Лист1!A$1:B$20,2,FALSE),0)</f>
        <v>784</v>
      </c>
      <c r="S2889" s="13">
        <f t="shared" si="321"/>
        <v>0</v>
      </c>
    </row>
    <row r="2890" spans="1:19" x14ac:dyDescent="0.25">
      <c r="A2890" s="24" t="s">
        <v>4021</v>
      </c>
      <c r="B2890" s="4" t="s">
        <v>1063</v>
      </c>
      <c r="C2890" s="25" t="s">
        <v>5</v>
      </c>
      <c r="G2890" s="25" t="s">
        <v>1089</v>
      </c>
      <c r="H2890" s="24" t="s">
        <v>1061</v>
      </c>
      <c r="I2890" s="3" t="str">
        <f>IFERROR(VLOOKUP(C2890,'Справочник соответствий'!A$2:D$2981,2,FALSE),IF(VALUE(C2890)=0,1,VLOOKUP(C2890,'Справочник соответствий'!A$2:D$2981,2,FALSE)))</f>
        <v>1</v>
      </c>
      <c r="J2890" s="3">
        <f>IFERROR(VLOOKUP(D2890,'Справочник соответствий'!A$2:D$2981,2,FALSE),IF(VALUE(D2890)=0,0,VLOOKUP(D2890,'Справочник соответствий'!A$2:D$2981,2,FALSE)))</f>
        <v>0</v>
      </c>
      <c r="K2890" s="3" t="str">
        <f t="shared" si="315"/>
        <v>1</v>
      </c>
      <c r="L2890" s="13" t="str">
        <f>IFERROR(VLOOKUP(C2890,'Справочник соответствий'!A$2:D$2981,3,FALSE),IF(VALUE(C2890)=0,"ЭТАЖ НЕ ОПРЕДЕЛЕН. ПРИНЯТ ПО ДОПУЩЕНИЮ 1",VLOOKUP(C2890,'Справочник соответствий'!A$2:D$2981,3,FALSE)))</f>
        <v>ЭТАЖ ЗАДАН ЧИСЛОМ</v>
      </c>
      <c r="M2890" s="13" t="b">
        <f t="shared" si="316"/>
        <v>0</v>
      </c>
      <c r="N2890" s="13">
        <f t="shared" si="317"/>
        <v>1</v>
      </c>
      <c r="O2890" s="13" t="str">
        <f t="shared" si="318"/>
        <v>ЭТАЖ ЗАДАН ЧИСЛОМ</v>
      </c>
      <c r="P2890" s="13" t="str">
        <f t="shared" si="319"/>
        <v>ЭТАЖ ЗАДАН ЧИСЛОМ</v>
      </c>
      <c r="Q2890" s="13" t="str">
        <f t="shared" si="320"/>
        <v>ГОТОВ_ИЗМЕНЕН</v>
      </c>
      <c r="R2890" s="13">
        <f>IFERROR(VLOOKUP(P2890,Лист1!A$1:B$20,2,FALSE),0)</f>
        <v>784</v>
      </c>
      <c r="S2890" s="13">
        <f t="shared" si="321"/>
        <v>0</v>
      </c>
    </row>
    <row r="2891" spans="1:19" x14ac:dyDescent="0.25">
      <c r="A2891" s="24" t="s">
        <v>4022</v>
      </c>
      <c r="B2891" s="4" t="s">
        <v>1063</v>
      </c>
      <c r="C2891" s="25" t="s">
        <v>5</v>
      </c>
      <c r="G2891" s="25" t="s">
        <v>1089</v>
      </c>
      <c r="H2891" s="24" t="s">
        <v>1061</v>
      </c>
      <c r="I2891" s="3" t="str">
        <f>IFERROR(VLOOKUP(C2891,'Справочник соответствий'!A$2:D$2981,2,FALSE),IF(VALUE(C2891)=0,1,VLOOKUP(C2891,'Справочник соответствий'!A$2:D$2981,2,FALSE)))</f>
        <v>1</v>
      </c>
      <c r="J2891" s="3">
        <f>IFERROR(VLOOKUP(D2891,'Справочник соответствий'!A$2:D$2981,2,FALSE),IF(VALUE(D2891)=0,0,VLOOKUP(D2891,'Справочник соответствий'!A$2:D$2981,2,FALSE)))</f>
        <v>0</v>
      </c>
      <c r="K2891" s="3" t="str">
        <f t="shared" si="315"/>
        <v>1</v>
      </c>
      <c r="L2891" s="13" t="str">
        <f>IFERROR(VLOOKUP(C2891,'Справочник соответствий'!A$2:D$2981,3,FALSE),IF(VALUE(C2891)=0,"ЭТАЖ НЕ ОПРЕДЕЛЕН. ПРИНЯТ ПО ДОПУЩЕНИЮ 1",VLOOKUP(C2891,'Справочник соответствий'!A$2:D$2981,3,FALSE)))</f>
        <v>ЭТАЖ ЗАДАН ЧИСЛОМ</v>
      </c>
      <c r="M2891" s="13" t="b">
        <f t="shared" si="316"/>
        <v>0</v>
      </c>
      <c r="N2891" s="13">
        <f t="shared" si="317"/>
        <v>1</v>
      </c>
      <c r="O2891" s="13" t="str">
        <f t="shared" si="318"/>
        <v>ЭТАЖ ЗАДАН ЧИСЛОМ</v>
      </c>
      <c r="P2891" s="13" t="str">
        <f t="shared" si="319"/>
        <v>ЭТАЖ ЗАДАН ЧИСЛОМ</v>
      </c>
      <c r="Q2891" s="13" t="str">
        <f t="shared" si="320"/>
        <v>ГОТОВ_ИЗМЕНЕН</v>
      </c>
      <c r="R2891" s="13">
        <f>IFERROR(VLOOKUP(P2891,Лист1!A$1:B$20,2,FALSE),0)</f>
        <v>784</v>
      </c>
      <c r="S2891" s="13">
        <f t="shared" si="321"/>
        <v>0</v>
      </c>
    </row>
    <row r="2892" spans="1:19" x14ac:dyDescent="0.25">
      <c r="A2892" s="24" t="s">
        <v>4023</v>
      </c>
      <c r="B2892" s="4" t="s">
        <v>1059</v>
      </c>
      <c r="C2892" s="25" t="s">
        <v>5</v>
      </c>
      <c r="G2892" s="25" t="s">
        <v>1089</v>
      </c>
      <c r="H2892" s="24" t="s">
        <v>1061</v>
      </c>
      <c r="I2892" s="3" t="str">
        <f>IFERROR(VLOOKUP(C2892,'Справочник соответствий'!A$2:D$2981,2,FALSE),IF(VALUE(C2892)=0,1,VLOOKUP(C2892,'Справочник соответствий'!A$2:D$2981,2,FALSE)))</f>
        <v>1</v>
      </c>
      <c r="J2892" s="3">
        <f>IFERROR(VLOOKUP(D2892,'Справочник соответствий'!A$2:D$2981,2,FALSE),IF(VALUE(D2892)=0,0,VLOOKUP(D2892,'Справочник соответствий'!A$2:D$2981,2,FALSE)))</f>
        <v>0</v>
      </c>
      <c r="K2892" s="3" t="str">
        <f t="shared" si="315"/>
        <v>1</v>
      </c>
      <c r="L2892" s="13" t="str">
        <f>IFERROR(VLOOKUP(C2892,'Справочник соответствий'!A$2:D$2981,3,FALSE),IF(VALUE(C2892)=0,"ЭТАЖ НЕ ОПРЕДЕЛЕН. ПРИНЯТ ПО ДОПУЩЕНИЮ 1",VLOOKUP(C2892,'Справочник соответствий'!A$2:D$2981,3,FALSE)))</f>
        <v>ЭТАЖ ЗАДАН ЧИСЛОМ</v>
      </c>
      <c r="M2892" s="13" t="b">
        <f t="shared" si="316"/>
        <v>0</v>
      </c>
      <c r="N2892" s="13">
        <f t="shared" si="317"/>
        <v>1</v>
      </c>
      <c r="O2892" s="13" t="str">
        <f t="shared" si="318"/>
        <v>ЭТАЖ ЗАДАН ЧИСЛОМ</v>
      </c>
      <c r="P2892" s="13" t="str">
        <f t="shared" si="319"/>
        <v>ЭТАЖ ЗАДАН ЧИСЛОМ</v>
      </c>
      <c r="Q2892" s="13" t="str">
        <f t="shared" si="320"/>
        <v>ГОТОВ_ИЗМЕНЕН</v>
      </c>
      <c r="R2892" s="13">
        <f>IFERROR(VLOOKUP(P2892,Лист1!A$1:B$20,2,FALSE),0)</f>
        <v>784</v>
      </c>
      <c r="S2892" s="13">
        <f t="shared" si="321"/>
        <v>0</v>
      </c>
    </row>
    <row r="2893" spans="1:19" x14ac:dyDescent="0.25">
      <c r="A2893" s="24" t="s">
        <v>4024</v>
      </c>
      <c r="B2893" s="4" t="s">
        <v>1059</v>
      </c>
      <c r="C2893" s="25" t="s">
        <v>7</v>
      </c>
      <c r="G2893" s="25" t="s">
        <v>1089</v>
      </c>
      <c r="H2893" s="24" t="s">
        <v>1061</v>
      </c>
      <c r="I2893" s="3" t="str">
        <f>IFERROR(VLOOKUP(C2893,'Справочник соответствий'!A$2:D$2981,2,FALSE),IF(VALUE(C2893)=0,1,VLOOKUP(C2893,'Справочник соответствий'!A$2:D$2981,2,FALSE)))</f>
        <v>2</v>
      </c>
      <c r="J2893" s="3">
        <f>IFERROR(VLOOKUP(D2893,'Справочник соответствий'!A$2:D$2981,2,FALSE),IF(VALUE(D2893)=0,0,VLOOKUP(D2893,'Справочник соответствий'!A$2:D$2981,2,FALSE)))</f>
        <v>0</v>
      </c>
      <c r="K2893" s="3" t="str">
        <f t="shared" si="315"/>
        <v>2</v>
      </c>
      <c r="L2893" s="13" t="str">
        <f>IFERROR(VLOOKUP(C2893,'Справочник соответствий'!A$2:D$2981,3,FALSE),IF(VALUE(C2893)=0,"ЭТАЖ НЕ ОПРЕДЕЛЕН. ПРИНЯТ ПО ДОПУЩЕНИЮ 1",VLOOKUP(C2893,'Справочник соответствий'!A$2:D$2981,3,FALSE)))</f>
        <v>ЭТАЖ ЗАДАН ЧИСЛОМ</v>
      </c>
      <c r="M2893" s="13" t="b">
        <f t="shared" si="316"/>
        <v>0</v>
      </c>
      <c r="N2893" s="13">
        <f t="shared" si="317"/>
        <v>2</v>
      </c>
      <c r="O2893" s="13" t="str">
        <f t="shared" si="318"/>
        <v>ЭТАЖ ЗАДАН ЧИСЛОМ</v>
      </c>
      <c r="P2893" s="13" t="str">
        <f t="shared" si="319"/>
        <v>ЭТАЖ ЗАДАН ЧИСЛОМ</v>
      </c>
      <c r="Q2893" s="13" t="str">
        <f t="shared" si="320"/>
        <v>ГОТОВ_ИЗМЕНЕН</v>
      </c>
      <c r="R2893" s="13">
        <f>IFERROR(VLOOKUP(P2893,Лист1!A$1:B$20,2,FALSE),0)</f>
        <v>784</v>
      </c>
      <c r="S2893" s="13">
        <f t="shared" si="321"/>
        <v>0</v>
      </c>
    </row>
    <row r="2894" spans="1:19" x14ac:dyDescent="0.25">
      <c r="A2894" s="24" t="s">
        <v>4025</v>
      </c>
      <c r="B2894" s="4" t="s">
        <v>1059</v>
      </c>
      <c r="C2894" s="25" t="s">
        <v>7</v>
      </c>
      <c r="G2894" s="25" t="s">
        <v>1089</v>
      </c>
      <c r="H2894" s="24" t="s">
        <v>1061</v>
      </c>
      <c r="I2894" s="3" t="str">
        <f>IFERROR(VLOOKUP(C2894,'Справочник соответствий'!A$2:D$2981,2,FALSE),IF(VALUE(C2894)=0,1,VLOOKUP(C2894,'Справочник соответствий'!A$2:D$2981,2,FALSE)))</f>
        <v>2</v>
      </c>
      <c r="J2894" s="3">
        <f>IFERROR(VLOOKUP(D2894,'Справочник соответствий'!A$2:D$2981,2,FALSE),IF(VALUE(D2894)=0,0,VLOOKUP(D2894,'Справочник соответствий'!A$2:D$2981,2,FALSE)))</f>
        <v>0</v>
      </c>
      <c r="K2894" s="3" t="str">
        <f t="shared" si="315"/>
        <v>2</v>
      </c>
      <c r="L2894" s="13" t="str">
        <f>IFERROR(VLOOKUP(C2894,'Справочник соответствий'!A$2:D$2981,3,FALSE),IF(VALUE(C2894)=0,"ЭТАЖ НЕ ОПРЕДЕЛЕН. ПРИНЯТ ПО ДОПУЩЕНИЮ 1",VLOOKUP(C2894,'Справочник соответствий'!A$2:D$2981,3,FALSE)))</f>
        <v>ЭТАЖ ЗАДАН ЧИСЛОМ</v>
      </c>
      <c r="M2894" s="13" t="b">
        <f t="shared" si="316"/>
        <v>0</v>
      </c>
      <c r="N2894" s="13">
        <f t="shared" si="317"/>
        <v>2</v>
      </c>
      <c r="O2894" s="13" t="str">
        <f t="shared" si="318"/>
        <v>ЭТАЖ ЗАДАН ЧИСЛОМ</v>
      </c>
      <c r="P2894" s="13" t="str">
        <f t="shared" si="319"/>
        <v>ЭТАЖ ЗАДАН ЧИСЛОМ</v>
      </c>
      <c r="Q2894" s="13" t="str">
        <f t="shared" si="320"/>
        <v>ГОТОВ_ИЗМЕНЕН</v>
      </c>
      <c r="R2894" s="13">
        <f>IFERROR(VLOOKUP(P2894,Лист1!A$1:B$20,2,FALSE),0)</f>
        <v>784</v>
      </c>
      <c r="S2894" s="13">
        <f t="shared" si="321"/>
        <v>0</v>
      </c>
    </row>
    <row r="2895" spans="1:19" x14ac:dyDescent="0.25">
      <c r="A2895" s="24" t="s">
        <v>4026</v>
      </c>
      <c r="B2895" s="4" t="s">
        <v>1059</v>
      </c>
      <c r="C2895" s="25" t="s">
        <v>5</v>
      </c>
      <c r="G2895" s="25" t="s">
        <v>1117</v>
      </c>
      <c r="H2895" s="24" t="s">
        <v>1061</v>
      </c>
      <c r="I2895" s="3" t="str">
        <f>IFERROR(VLOOKUP(C2895,'Справочник соответствий'!A$2:D$2981,2,FALSE),IF(VALUE(C2895)=0,1,VLOOKUP(C2895,'Справочник соответствий'!A$2:D$2981,2,FALSE)))</f>
        <v>1</v>
      </c>
      <c r="J2895" s="3">
        <f>IFERROR(VLOOKUP(D2895,'Справочник соответствий'!A$2:D$2981,2,FALSE),IF(VALUE(D2895)=0,0,VLOOKUP(D2895,'Справочник соответствий'!A$2:D$2981,2,FALSE)))</f>
        <v>0</v>
      </c>
      <c r="K2895" s="3" t="str">
        <f t="shared" si="315"/>
        <v>1</v>
      </c>
      <c r="L2895" s="13" t="str">
        <f>IFERROR(VLOOKUP(C2895,'Справочник соответствий'!A$2:D$2981,3,FALSE),IF(VALUE(C2895)=0,"ЭТАЖ НЕ ОПРЕДЕЛЕН. ПРИНЯТ ПО ДОПУЩЕНИЮ 1",VLOOKUP(C2895,'Справочник соответствий'!A$2:D$2981,3,FALSE)))</f>
        <v>ЭТАЖ ЗАДАН ЧИСЛОМ</v>
      </c>
      <c r="M2895" s="13" t="b">
        <f t="shared" si="316"/>
        <v>0</v>
      </c>
      <c r="N2895" s="13">
        <f t="shared" si="317"/>
        <v>1</v>
      </c>
      <c r="O2895" s="13" t="str">
        <f t="shared" si="318"/>
        <v>ЭТАЖ ЗАДАН ЧИСЛОМ</v>
      </c>
      <c r="P2895" s="13" t="str">
        <f t="shared" si="319"/>
        <v>ЭТАЖ ЗАДАН ЧИСЛОМ</v>
      </c>
      <c r="Q2895" s="13" t="str">
        <f t="shared" si="320"/>
        <v>ГОТОВ_ИЗМЕНЕН</v>
      </c>
      <c r="R2895" s="13">
        <f>IFERROR(VLOOKUP(P2895,Лист1!A$1:B$20,2,FALSE),0)</f>
        <v>784</v>
      </c>
      <c r="S2895" s="13">
        <f t="shared" si="321"/>
        <v>0</v>
      </c>
    </row>
    <row r="2896" spans="1:19" x14ac:dyDescent="0.25">
      <c r="A2896" s="24" t="s">
        <v>4027</v>
      </c>
      <c r="B2896" s="4" t="s">
        <v>1059</v>
      </c>
      <c r="C2896" s="25" t="s">
        <v>7</v>
      </c>
      <c r="G2896" s="25" t="s">
        <v>1698</v>
      </c>
      <c r="H2896" s="24" t="s">
        <v>1061</v>
      </c>
      <c r="I2896" s="3" t="str">
        <f>IFERROR(VLOOKUP(C2896,'Справочник соответствий'!A$2:D$2981,2,FALSE),IF(VALUE(C2896)=0,1,VLOOKUP(C2896,'Справочник соответствий'!A$2:D$2981,2,FALSE)))</f>
        <v>2</v>
      </c>
      <c r="J2896" s="3">
        <f>IFERROR(VLOOKUP(D2896,'Справочник соответствий'!A$2:D$2981,2,FALSE),IF(VALUE(D2896)=0,0,VLOOKUP(D2896,'Справочник соответствий'!A$2:D$2981,2,FALSE)))</f>
        <v>0</v>
      </c>
      <c r="K2896" s="3" t="str">
        <f t="shared" si="315"/>
        <v>2</v>
      </c>
      <c r="L2896" s="13" t="str">
        <f>IFERROR(VLOOKUP(C2896,'Справочник соответствий'!A$2:D$2981,3,FALSE),IF(VALUE(C2896)=0,"ЭТАЖ НЕ ОПРЕДЕЛЕН. ПРИНЯТ ПО ДОПУЩЕНИЮ 1",VLOOKUP(C2896,'Справочник соответствий'!A$2:D$2981,3,FALSE)))</f>
        <v>ЭТАЖ ЗАДАН ЧИСЛОМ</v>
      </c>
      <c r="M2896" s="13" t="b">
        <f t="shared" si="316"/>
        <v>0</v>
      </c>
      <c r="N2896" s="13">
        <f t="shared" si="317"/>
        <v>2</v>
      </c>
      <c r="O2896" s="13" t="str">
        <f t="shared" si="318"/>
        <v>ЭТАЖ ЗАДАН ЧИСЛОМ</v>
      </c>
      <c r="P2896" s="13" t="str">
        <f t="shared" si="319"/>
        <v>ЭТАЖ ЗАДАН ЧИСЛОМ</v>
      </c>
      <c r="Q2896" s="13" t="str">
        <f t="shared" si="320"/>
        <v>ГОТОВ_ИЗМЕНЕН</v>
      </c>
      <c r="R2896" s="13">
        <f>IFERROR(VLOOKUP(P2896,Лист1!A$1:B$20,2,FALSE),0)</f>
        <v>784</v>
      </c>
      <c r="S2896" s="13">
        <f t="shared" si="321"/>
        <v>0</v>
      </c>
    </row>
    <row r="2897" spans="1:19" x14ac:dyDescent="0.25">
      <c r="A2897" s="24" t="s">
        <v>4028</v>
      </c>
      <c r="B2897" s="4" t="s">
        <v>1059</v>
      </c>
      <c r="G2897" s="25" t="s">
        <v>1698</v>
      </c>
      <c r="H2897" s="24" t="s">
        <v>1061</v>
      </c>
      <c r="I2897" s="3">
        <f>IFERROR(VLOOKUP(C2897,'Справочник соответствий'!A$2:D$2981,2,FALSE),IF(VALUE(C2897)=0,1,VLOOKUP(C2897,'Справочник соответствий'!A$2:D$2981,2,FALSE)))</f>
        <v>1</v>
      </c>
      <c r="J2897" s="3">
        <f>IFERROR(VLOOKUP(D2897,'Справочник соответствий'!A$2:D$2981,2,FALSE),IF(VALUE(D2897)=0,0,VLOOKUP(D2897,'Справочник соответствий'!A$2:D$2981,2,FALSE)))</f>
        <v>0</v>
      </c>
      <c r="K2897" s="3">
        <f t="shared" si="315"/>
        <v>1</v>
      </c>
      <c r="L2897" s="13" t="str">
        <f>IFERROR(VLOOKUP(C2897,'Справочник соответствий'!A$2:D$2981,3,FALSE),IF(VALUE(C2897)=0,"ЭТАЖ НЕ ОПРЕДЕЛЕН. ПРИНЯТ ПО ДОПУЩЕНИЮ 1",VLOOKUP(C2897,'Справочник соответствий'!A$2:D$2981,3,FALSE)))</f>
        <v>ЭТАЖ НЕ ОПРЕДЕЛЕН. ПРИНЯТ ПО ДОПУЩЕНИЮ 1</v>
      </c>
      <c r="M2897" s="13" t="b">
        <f t="shared" si="316"/>
        <v>0</v>
      </c>
      <c r="N2897" s="13">
        <f t="shared" si="317"/>
        <v>1</v>
      </c>
      <c r="O2897" s="13" t="str">
        <f t="shared" si="318"/>
        <v>ЭТАЖ НЕ ОПРЕДЕЛЕН. ПРИНЯТ ПО ДОПУЩЕНИЮ 1</v>
      </c>
      <c r="P2897" s="13" t="str">
        <f t="shared" si="319"/>
        <v>ЭТАЖ НЕ ОПРЕДЕЛЕН. ПРИНЯТ ПО ДОПУЩЕНИЮ 1</v>
      </c>
      <c r="Q2897" s="13" t="str">
        <f t="shared" si="320"/>
        <v>ГОТОВ_ИЗМЕНЕН</v>
      </c>
      <c r="R2897" s="13">
        <f>IFERROR(VLOOKUP(P2897,Лист1!A$1:B$20,2,FALSE),0)</f>
        <v>788</v>
      </c>
      <c r="S2897" s="13">
        <f t="shared" si="321"/>
        <v>0</v>
      </c>
    </row>
    <row r="2898" spans="1:19" x14ac:dyDescent="0.25">
      <c r="A2898" s="24" t="s">
        <v>4029</v>
      </c>
      <c r="B2898" s="4" t="s">
        <v>1059</v>
      </c>
      <c r="C2898" s="25" t="s">
        <v>7</v>
      </c>
      <c r="G2898" s="25" t="s">
        <v>1698</v>
      </c>
      <c r="H2898" s="24" t="s">
        <v>1061</v>
      </c>
      <c r="I2898" s="3" t="str">
        <f>IFERROR(VLOOKUP(C2898,'Справочник соответствий'!A$2:D$2981,2,FALSE),IF(VALUE(C2898)=0,1,VLOOKUP(C2898,'Справочник соответствий'!A$2:D$2981,2,FALSE)))</f>
        <v>2</v>
      </c>
      <c r="J2898" s="3">
        <f>IFERROR(VLOOKUP(D2898,'Справочник соответствий'!A$2:D$2981,2,FALSE),IF(VALUE(D2898)=0,0,VLOOKUP(D2898,'Справочник соответствий'!A$2:D$2981,2,FALSE)))</f>
        <v>0</v>
      </c>
      <c r="K2898" s="3" t="str">
        <f t="shared" si="315"/>
        <v>2</v>
      </c>
      <c r="L2898" s="13" t="str">
        <f>IFERROR(VLOOKUP(C2898,'Справочник соответствий'!A$2:D$2981,3,FALSE),IF(VALUE(C2898)=0,"ЭТАЖ НЕ ОПРЕДЕЛЕН. ПРИНЯТ ПО ДОПУЩЕНИЮ 1",VLOOKUP(C2898,'Справочник соответствий'!A$2:D$2981,3,FALSE)))</f>
        <v>ЭТАЖ ЗАДАН ЧИСЛОМ</v>
      </c>
      <c r="M2898" s="13" t="b">
        <f t="shared" si="316"/>
        <v>0</v>
      </c>
      <c r="N2898" s="13">
        <f t="shared" si="317"/>
        <v>2</v>
      </c>
      <c r="O2898" s="13" t="str">
        <f t="shared" si="318"/>
        <v>ЭТАЖ ЗАДАН ЧИСЛОМ</v>
      </c>
      <c r="P2898" s="13" t="str">
        <f t="shared" si="319"/>
        <v>ЭТАЖ ЗАДАН ЧИСЛОМ</v>
      </c>
      <c r="Q2898" s="13" t="str">
        <f t="shared" si="320"/>
        <v>ГОТОВ_ИЗМЕНЕН</v>
      </c>
      <c r="R2898" s="13">
        <f>IFERROR(VLOOKUP(P2898,Лист1!A$1:B$20,2,FALSE),0)</f>
        <v>784</v>
      </c>
      <c r="S2898" s="13">
        <f t="shared" si="321"/>
        <v>0</v>
      </c>
    </row>
    <row r="2899" spans="1:19" x14ac:dyDescent="0.25">
      <c r="A2899" s="24" t="s">
        <v>4030</v>
      </c>
      <c r="B2899" s="4" t="s">
        <v>1059</v>
      </c>
      <c r="C2899" s="25" t="s">
        <v>8</v>
      </c>
      <c r="D2899" s="25" t="s">
        <v>5</v>
      </c>
      <c r="G2899" s="25" t="s">
        <v>1698</v>
      </c>
      <c r="H2899" s="24" t="s">
        <v>1061</v>
      </c>
      <c r="I2899" s="3" t="str">
        <f>IFERROR(VLOOKUP(C2899,'Справочник соответствий'!A$2:D$2981,2,FALSE),IF(VALUE(C2899)=0,1,VLOOKUP(C2899,'Справочник соответствий'!A$2:D$2981,2,FALSE)))</f>
        <v>3</v>
      </c>
      <c r="J2899" s="3" t="str">
        <f>IFERROR(VLOOKUP(D2899,'Справочник соответствий'!A$2:D$2981,2,FALSE),IF(VALUE(D2899)=0,0,VLOOKUP(D2899,'Справочник соответствий'!A$2:D$2981,2,FALSE)))</f>
        <v>1</v>
      </c>
      <c r="K2899" s="3" t="str">
        <f t="shared" si="315"/>
        <v>3</v>
      </c>
      <c r="L2899" s="13" t="str">
        <f>IFERROR(VLOOKUP(C2899,'Справочник соответствий'!A$2:D$2981,3,FALSE),IF(VALUE(C2899)=0,"ЭТАЖ НЕ ОПРЕДЕЛЕН. ПРИНЯТ ПО ДОПУЩЕНИЮ 1",VLOOKUP(C2899,'Справочник соответствий'!A$2:D$2981,3,FALSE)))</f>
        <v>ЭТАЖ ЗАДАН ЧИСЛОМ</v>
      </c>
      <c r="M2899" s="13" t="b">
        <f t="shared" si="316"/>
        <v>0</v>
      </c>
      <c r="N2899" s="13">
        <f t="shared" si="317"/>
        <v>3</v>
      </c>
      <c r="O2899" s="13" t="str">
        <f t="shared" si="318"/>
        <v>ЭТАЖ ЗАДАН ЧИСЛОМ</v>
      </c>
      <c r="P2899" s="13" t="str">
        <f t="shared" si="319"/>
        <v>ЭТАЖ ЗАДАН ЧИСЛОМ</v>
      </c>
      <c r="Q2899" s="13" t="str">
        <f t="shared" si="320"/>
        <v>ГОТОВ_ИЗМЕНЕН</v>
      </c>
      <c r="R2899" s="13">
        <f>IFERROR(VLOOKUP(P2899,Лист1!A$1:B$20,2,FALSE),0)</f>
        <v>784</v>
      </c>
      <c r="S2899" s="13">
        <f t="shared" si="321"/>
        <v>0</v>
      </c>
    </row>
    <row r="2900" spans="1:19" x14ac:dyDescent="0.25">
      <c r="A2900" s="24" t="s">
        <v>4031</v>
      </c>
      <c r="B2900" s="4" t="s">
        <v>1059</v>
      </c>
      <c r="C2900" s="25" t="s">
        <v>5</v>
      </c>
      <c r="G2900" s="25" t="s">
        <v>1698</v>
      </c>
      <c r="H2900" s="24" t="s">
        <v>1061</v>
      </c>
      <c r="I2900" s="3" t="str">
        <f>IFERROR(VLOOKUP(C2900,'Справочник соответствий'!A$2:D$2981,2,FALSE),IF(VALUE(C2900)=0,1,VLOOKUP(C2900,'Справочник соответствий'!A$2:D$2981,2,FALSE)))</f>
        <v>1</v>
      </c>
      <c r="J2900" s="3">
        <f>IFERROR(VLOOKUP(D2900,'Справочник соответствий'!A$2:D$2981,2,FALSE),IF(VALUE(D2900)=0,0,VLOOKUP(D2900,'Справочник соответствий'!A$2:D$2981,2,FALSE)))</f>
        <v>0</v>
      </c>
      <c r="K2900" s="3" t="str">
        <f t="shared" si="315"/>
        <v>1</v>
      </c>
      <c r="L2900" s="13" t="str">
        <f>IFERROR(VLOOKUP(C2900,'Справочник соответствий'!A$2:D$2981,3,FALSE),IF(VALUE(C2900)=0,"ЭТАЖ НЕ ОПРЕДЕЛЕН. ПРИНЯТ ПО ДОПУЩЕНИЮ 1",VLOOKUP(C2900,'Справочник соответствий'!A$2:D$2981,3,FALSE)))</f>
        <v>ЭТАЖ ЗАДАН ЧИСЛОМ</v>
      </c>
      <c r="M2900" s="13" t="b">
        <f t="shared" si="316"/>
        <v>0</v>
      </c>
      <c r="N2900" s="13">
        <f t="shared" si="317"/>
        <v>1</v>
      </c>
      <c r="O2900" s="13" t="str">
        <f t="shared" si="318"/>
        <v>ЭТАЖ ЗАДАН ЧИСЛОМ</v>
      </c>
      <c r="P2900" s="13" t="str">
        <f t="shared" si="319"/>
        <v>ЭТАЖ ЗАДАН ЧИСЛОМ</v>
      </c>
      <c r="Q2900" s="13" t="str">
        <f t="shared" si="320"/>
        <v>ГОТОВ_ИЗМЕНЕН</v>
      </c>
      <c r="R2900" s="13">
        <f>IFERROR(VLOOKUP(P2900,Лист1!A$1:B$20,2,FALSE),0)</f>
        <v>784</v>
      </c>
      <c r="S2900" s="13">
        <f t="shared" si="321"/>
        <v>0</v>
      </c>
    </row>
    <row r="2901" spans="1:19" x14ac:dyDescent="0.25">
      <c r="A2901" s="24" t="s">
        <v>4032</v>
      </c>
      <c r="B2901" s="4" t="s">
        <v>1063</v>
      </c>
      <c r="C2901" s="25" t="s">
        <v>7</v>
      </c>
      <c r="G2901" s="25" t="s">
        <v>1698</v>
      </c>
      <c r="H2901" s="24" t="s">
        <v>1061</v>
      </c>
      <c r="I2901" s="3" t="str">
        <f>IFERROR(VLOOKUP(C2901,'Справочник соответствий'!A$2:D$2981,2,FALSE),IF(VALUE(C2901)=0,1,VLOOKUP(C2901,'Справочник соответствий'!A$2:D$2981,2,FALSE)))</f>
        <v>2</v>
      </c>
      <c r="J2901" s="3">
        <f>IFERROR(VLOOKUP(D2901,'Справочник соответствий'!A$2:D$2981,2,FALSE),IF(VALUE(D2901)=0,0,VLOOKUP(D2901,'Справочник соответствий'!A$2:D$2981,2,FALSE)))</f>
        <v>0</v>
      </c>
      <c r="K2901" s="3" t="str">
        <f t="shared" si="315"/>
        <v>2</v>
      </c>
      <c r="L2901" s="13" t="str">
        <f>IFERROR(VLOOKUP(C2901,'Справочник соответствий'!A$2:D$2981,3,FALSE),IF(VALUE(C2901)=0,"ЭТАЖ НЕ ОПРЕДЕЛЕН. ПРИНЯТ ПО ДОПУЩЕНИЮ 1",VLOOKUP(C2901,'Справочник соответствий'!A$2:D$2981,3,FALSE)))</f>
        <v>ЭТАЖ ЗАДАН ЧИСЛОМ</v>
      </c>
      <c r="M2901" s="13" t="b">
        <f t="shared" si="316"/>
        <v>0</v>
      </c>
      <c r="N2901" s="13">
        <f t="shared" si="317"/>
        <v>2</v>
      </c>
      <c r="O2901" s="13" t="str">
        <f t="shared" si="318"/>
        <v>ЭТАЖ ЗАДАН ЧИСЛОМ</v>
      </c>
      <c r="P2901" s="13" t="str">
        <f t="shared" si="319"/>
        <v>ЭТАЖ ЗАДАН ЧИСЛОМ</v>
      </c>
      <c r="Q2901" s="13" t="str">
        <f t="shared" si="320"/>
        <v>ГОТОВ_ИЗМЕНЕН</v>
      </c>
      <c r="R2901" s="13">
        <f>IFERROR(VLOOKUP(P2901,Лист1!A$1:B$20,2,FALSE),0)</f>
        <v>784</v>
      </c>
      <c r="S2901" s="13">
        <f t="shared" si="321"/>
        <v>0</v>
      </c>
    </row>
    <row r="2902" spans="1:19" x14ac:dyDescent="0.25">
      <c r="A2902" s="24" t="s">
        <v>4033</v>
      </c>
      <c r="B2902" s="4" t="s">
        <v>1063</v>
      </c>
      <c r="C2902" s="25" t="s">
        <v>5</v>
      </c>
      <c r="G2902" s="25" t="s">
        <v>1391</v>
      </c>
      <c r="H2902" s="24" t="s">
        <v>1061</v>
      </c>
      <c r="I2902" s="3" t="str">
        <f>IFERROR(VLOOKUP(C2902,'Справочник соответствий'!A$2:D$2981,2,FALSE),IF(VALUE(C2902)=0,1,VLOOKUP(C2902,'Справочник соответствий'!A$2:D$2981,2,FALSE)))</f>
        <v>1</v>
      </c>
      <c r="J2902" s="3">
        <f>IFERROR(VLOOKUP(D2902,'Справочник соответствий'!A$2:D$2981,2,FALSE),IF(VALUE(D2902)=0,0,VLOOKUP(D2902,'Справочник соответствий'!A$2:D$2981,2,FALSE)))</f>
        <v>0</v>
      </c>
      <c r="K2902" s="3" t="str">
        <f t="shared" si="315"/>
        <v>1</v>
      </c>
      <c r="L2902" s="13" t="str">
        <f>IFERROR(VLOOKUP(C2902,'Справочник соответствий'!A$2:D$2981,3,FALSE),IF(VALUE(C2902)=0,"ЭТАЖ НЕ ОПРЕДЕЛЕН. ПРИНЯТ ПО ДОПУЩЕНИЮ 1",VLOOKUP(C2902,'Справочник соответствий'!A$2:D$2981,3,FALSE)))</f>
        <v>ЭТАЖ ЗАДАН ЧИСЛОМ</v>
      </c>
      <c r="M2902" s="13" t="b">
        <f t="shared" si="316"/>
        <v>0</v>
      </c>
      <c r="N2902" s="13">
        <f t="shared" si="317"/>
        <v>1</v>
      </c>
      <c r="O2902" s="13" t="str">
        <f t="shared" si="318"/>
        <v>ЭТАЖ ЗАДАН ЧИСЛОМ</v>
      </c>
      <c r="P2902" s="13" t="str">
        <f t="shared" si="319"/>
        <v>ЭТАЖ ЗАДАН ЧИСЛОМ</v>
      </c>
      <c r="Q2902" s="13" t="str">
        <f t="shared" si="320"/>
        <v>ГОТОВ_ИЗМЕНЕН</v>
      </c>
      <c r="R2902" s="13">
        <f>IFERROR(VLOOKUP(P2902,Лист1!A$1:B$20,2,FALSE),0)</f>
        <v>784</v>
      </c>
      <c r="S2902" s="13">
        <f t="shared" si="321"/>
        <v>0</v>
      </c>
    </row>
    <row r="2903" spans="1:19" x14ac:dyDescent="0.25">
      <c r="A2903" s="24" t="s">
        <v>4034</v>
      </c>
      <c r="B2903" s="4" t="s">
        <v>1063</v>
      </c>
      <c r="G2903" s="25" t="s">
        <v>1391</v>
      </c>
      <c r="H2903" s="24" t="s">
        <v>1061</v>
      </c>
      <c r="I2903" s="3">
        <f>IFERROR(VLOOKUP(C2903,'Справочник соответствий'!A$2:D$2981,2,FALSE),IF(VALUE(C2903)=0,1,VLOOKUP(C2903,'Справочник соответствий'!A$2:D$2981,2,FALSE)))</f>
        <v>1</v>
      </c>
      <c r="J2903" s="3">
        <f>IFERROR(VLOOKUP(D2903,'Справочник соответствий'!A$2:D$2981,2,FALSE),IF(VALUE(D2903)=0,0,VLOOKUP(D2903,'Справочник соответствий'!A$2:D$2981,2,FALSE)))</f>
        <v>0</v>
      </c>
      <c r="K2903" s="3">
        <f t="shared" si="315"/>
        <v>1</v>
      </c>
      <c r="L2903" s="13" t="str">
        <f>IFERROR(VLOOKUP(C2903,'Справочник соответствий'!A$2:D$2981,3,FALSE),IF(VALUE(C2903)=0,"ЭТАЖ НЕ ОПРЕДЕЛЕН. ПРИНЯТ ПО ДОПУЩЕНИЮ 1",VLOOKUP(C2903,'Справочник соответствий'!A$2:D$2981,3,FALSE)))</f>
        <v>ЭТАЖ НЕ ОПРЕДЕЛЕН. ПРИНЯТ ПО ДОПУЩЕНИЮ 1</v>
      </c>
      <c r="M2903" s="13" t="b">
        <f t="shared" si="316"/>
        <v>0</v>
      </c>
      <c r="N2903" s="13">
        <f t="shared" si="317"/>
        <v>1</v>
      </c>
      <c r="O2903" s="13" t="str">
        <f t="shared" si="318"/>
        <v>ЭТАЖ НЕ ОПРЕДЕЛЕН. ПРИНЯТ ПО ДОПУЩЕНИЮ 1</v>
      </c>
      <c r="P2903" s="13" t="str">
        <f t="shared" si="319"/>
        <v>ЭТАЖ НЕ ОПРЕДЕЛЕН. ПРИНЯТ ПО ДОПУЩЕНИЮ 1</v>
      </c>
      <c r="Q2903" s="13" t="str">
        <f t="shared" si="320"/>
        <v>ГОТОВ_ИЗМЕНЕН</v>
      </c>
      <c r="R2903" s="13">
        <f>IFERROR(VLOOKUP(P2903,Лист1!A$1:B$20,2,FALSE),0)</f>
        <v>788</v>
      </c>
      <c r="S2903" s="13">
        <f t="shared" si="321"/>
        <v>0</v>
      </c>
    </row>
    <row r="2904" spans="1:19" x14ac:dyDescent="0.25">
      <c r="A2904" s="24" t="s">
        <v>4035</v>
      </c>
      <c r="B2904" s="4" t="s">
        <v>1059</v>
      </c>
      <c r="C2904" s="25" t="s">
        <v>5</v>
      </c>
      <c r="G2904" s="25" t="s">
        <v>1391</v>
      </c>
      <c r="H2904" s="24" t="s">
        <v>1061</v>
      </c>
      <c r="I2904" s="3" t="str">
        <f>IFERROR(VLOOKUP(C2904,'Справочник соответствий'!A$2:D$2981,2,FALSE),IF(VALUE(C2904)=0,1,VLOOKUP(C2904,'Справочник соответствий'!A$2:D$2981,2,FALSE)))</f>
        <v>1</v>
      </c>
      <c r="J2904" s="3">
        <f>IFERROR(VLOOKUP(D2904,'Справочник соответствий'!A$2:D$2981,2,FALSE),IF(VALUE(D2904)=0,0,VLOOKUP(D2904,'Справочник соответствий'!A$2:D$2981,2,FALSE)))</f>
        <v>0</v>
      </c>
      <c r="K2904" s="3" t="str">
        <f t="shared" si="315"/>
        <v>1</v>
      </c>
      <c r="L2904" s="13" t="str">
        <f>IFERROR(VLOOKUP(C2904,'Справочник соответствий'!A$2:D$2981,3,FALSE),IF(VALUE(C2904)=0,"ЭТАЖ НЕ ОПРЕДЕЛЕН. ПРИНЯТ ПО ДОПУЩЕНИЮ 1",VLOOKUP(C2904,'Справочник соответствий'!A$2:D$2981,3,FALSE)))</f>
        <v>ЭТАЖ ЗАДАН ЧИСЛОМ</v>
      </c>
      <c r="M2904" s="13" t="b">
        <f t="shared" si="316"/>
        <v>0</v>
      </c>
      <c r="N2904" s="13">
        <f t="shared" si="317"/>
        <v>1</v>
      </c>
      <c r="O2904" s="13" t="str">
        <f t="shared" si="318"/>
        <v>ЭТАЖ ЗАДАН ЧИСЛОМ</v>
      </c>
      <c r="P2904" s="13" t="str">
        <f t="shared" si="319"/>
        <v>ЭТАЖ ЗАДАН ЧИСЛОМ</v>
      </c>
      <c r="Q2904" s="13" t="str">
        <f t="shared" si="320"/>
        <v>ГОТОВ_ИЗМЕНЕН</v>
      </c>
      <c r="R2904" s="13">
        <f>IFERROR(VLOOKUP(P2904,Лист1!A$1:B$20,2,FALSE),0)</f>
        <v>784</v>
      </c>
      <c r="S2904" s="13">
        <f t="shared" si="321"/>
        <v>0</v>
      </c>
    </row>
    <row r="2905" spans="1:19" x14ac:dyDescent="0.25">
      <c r="A2905" s="24" t="s">
        <v>4036</v>
      </c>
      <c r="B2905" s="4" t="s">
        <v>1059</v>
      </c>
      <c r="C2905" s="25" t="s">
        <v>5</v>
      </c>
      <c r="G2905" s="25" t="s">
        <v>1347</v>
      </c>
      <c r="H2905" s="24" t="s">
        <v>1061</v>
      </c>
      <c r="I2905" s="3" t="str">
        <f>IFERROR(VLOOKUP(C2905,'Справочник соответствий'!A$2:D$2981,2,FALSE),IF(VALUE(C2905)=0,1,VLOOKUP(C2905,'Справочник соответствий'!A$2:D$2981,2,FALSE)))</f>
        <v>1</v>
      </c>
      <c r="J2905" s="3">
        <f>IFERROR(VLOOKUP(D2905,'Справочник соответствий'!A$2:D$2981,2,FALSE),IF(VALUE(D2905)=0,0,VLOOKUP(D2905,'Справочник соответствий'!A$2:D$2981,2,FALSE)))</f>
        <v>0</v>
      </c>
      <c r="K2905" s="3" t="str">
        <f t="shared" si="315"/>
        <v>1</v>
      </c>
      <c r="L2905" s="13" t="str">
        <f>IFERROR(VLOOKUP(C2905,'Справочник соответствий'!A$2:D$2981,3,FALSE),IF(VALUE(C2905)=0,"ЭТАЖ НЕ ОПРЕДЕЛЕН. ПРИНЯТ ПО ДОПУЩЕНИЮ 1",VLOOKUP(C2905,'Справочник соответствий'!A$2:D$2981,3,FALSE)))</f>
        <v>ЭТАЖ ЗАДАН ЧИСЛОМ</v>
      </c>
      <c r="M2905" s="13" t="b">
        <f t="shared" si="316"/>
        <v>0</v>
      </c>
      <c r="N2905" s="13">
        <f t="shared" si="317"/>
        <v>1</v>
      </c>
      <c r="O2905" s="13" t="str">
        <f t="shared" si="318"/>
        <v>ЭТАЖ ЗАДАН ЧИСЛОМ</v>
      </c>
      <c r="P2905" s="13" t="str">
        <f t="shared" si="319"/>
        <v>ЭТАЖ ЗАДАН ЧИСЛОМ</v>
      </c>
      <c r="Q2905" s="13" t="str">
        <f t="shared" si="320"/>
        <v>ГОТОВ_ИЗМЕНЕН</v>
      </c>
      <c r="R2905" s="13">
        <f>IFERROR(VLOOKUP(P2905,Лист1!A$1:B$20,2,FALSE),0)</f>
        <v>784</v>
      </c>
      <c r="S2905" s="13">
        <f t="shared" si="321"/>
        <v>0</v>
      </c>
    </row>
    <row r="2906" spans="1:19" x14ac:dyDescent="0.25">
      <c r="A2906" s="24" t="s">
        <v>4037</v>
      </c>
      <c r="B2906" s="4" t="s">
        <v>1059</v>
      </c>
      <c r="C2906" s="25" t="s">
        <v>5</v>
      </c>
      <c r="G2906" s="25" t="s">
        <v>1347</v>
      </c>
      <c r="H2906" s="24" t="s">
        <v>1061</v>
      </c>
      <c r="I2906" s="3" t="str">
        <f>IFERROR(VLOOKUP(C2906,'Справочник соответствий'!A$2:D$2981,2,FALSE),IF(VALUE(C2906)=0,1,VLOOKUP(C2906,'Справочник соответствий'!A$2:D$2981,2,FALSE)))</f>
        <v>1</v>
      </c>
      <c r="J2906" s="3">
        <f>IFERROR(VLOOKUP(D2906,'Справочник соответствий'!A$2:D$2981,2,FALSE),IF(VALUE(D2906)=0,0,VLOOKUP(D2906,'Справочник соответствий'!A$2:D$2981,2,FALSE)))</f>
        <v>0</v>
      </c>
      <c r="K2906" s="3" t="str">
        <f t="shared" si="315"/>
        <v>1</v>
      </c>
      <c r="L2906" s="13" t="str">
        <f>IFERROR(VLOOKUP(C2906,'Справочник соответствий'!A$2:D$2981,3,FALSE),IF(VALUE(C2906)=0,"ЭТАЖ НЕ ОПРЕДЕЛЕН. ПРИНЯТ ПО ДОПУЩЕНИЮ 1",VLOOKUP(C2906,'Справочник соответствий'!A$2:D$2981,3,FALSE)))</f>
        <v>ЭТАЖ ЗАДАН ЧИСЛОМ</v>
      </c>
      <c r="M2906" s="13" t="b">
        <f t="shared" si="316"/>
        <v>0</v>
      </c>
      <c r="N2906" s="13">
        <f t="shared" si="317"/>
        <v>1</v>
      </c>
      <c r="O2906" s="13" t="str">
        <f t="shared" si="318"/>
        <v>ЭТАЖ ЗАДАН ЧИСЛОМ</v>
      </c>
      <c r="P2906" s="13" t="str">
        <f t="shared" si="319"/>
        <v>ЭТАЖ ЗАДАН ЧИСЛОМ</v>
      </c>
      <c r="Q2906" s="13" t="str">
        <f t="shared" si="320"/>
        <v>ГОТОВ_ИЗМЕНЕН</v>
      </c>
      <c r="R2906" s="13">
        <f>IFERROR(VLOOKUP(P2906,Лист1!A$1:B$20,2,FALSE),0)</f>
        <v>784</v>
      </c>
      <c r="S2906" s="13">
        <f t="shared" si="321"/>
        <v>0</v>
      </c>
    </row>
    <row r="2907" spans="1:19" x14ac:dyDescent="0.25">
      <c r="A2907" s="24" t="s">
        <v>4038</v>
      </c>
      <c r="B2907" s="4" t="s">
        <v>1059</v>
      </c>
      <c r="C2907" s="25" t="s">
        <v>7</v>
      </c>
      <c r="G2907" s="25" t="s">
        <v>1347</v>
      </c>
      <c r="H2907" s="24" t="s">
        <v>1061</v>
      </c>
      <c r="I2907" s="3" t="str">
        <f>IFERROR(VLOOKUP(C2907,'Справочник соответствий'!A$2:D$2981,2,FALSE),IF(VALUE(C2907)=0,1,VLOOKUP(C2907,'Справочник соответствий'!A$2:D$2981,2,FALSE)))</f>
        <v>2</v>
      </c>
      <c r="J2907" s="3">
        <f>IFERROR(VLOOKUP(D2907,'Справочник соответствий'!A$2:D$2981,2,FALSE),IF(VALUE(D2907)=0,0,VLOOKUP(D2907,'Справочник соответствий'!A$2:D$2981,2,FALSE)))</f>
        <v>0</v>
      </c>
      <c r="K2907" s="3" t="str">
        <f t="shared" si="315"/>
        <v>2</v>
      </c>
      <c r="L2907" s="13" t="str">
        <f>IFERROR(VLOOKUP(C2907,'Справочник соответствий'!A$2:D$2981,3,FALSE),IF(VALUE(C2907)=0,"ЭТАЖ НЕ ОПРЕДЕЛЕН. ПРИНЯТ ПО ДОПУЩЕНИЮ 1",VLOOKUP(C2907,'Справочник соответствий'!A$2:D$2981,3,FALSE)))</f>
        <v>ЭТАЖ ЗАДАН ЧИСЛОМ</v>
      </c>
      <c r="M2907" s="13" t="b">
        <f t="shared" si="316"/>
        <v>0</v>
      </c>
      <c r="N2907" s="13">
        <f t="shared" si="317"/>
        <v>2</v>
      </c>
      <c r="O2907" s="13" t="str">
        <f t="shared" si="318"/>
        <v>ЭТАЖ ЗАДАН ЧИСЛОМ</v>
      </c>
      <c r="P2907" s="13" t="str">
        <f t="shared" si="319"/>
        <v>ЭТАЖ ЗАДАН ЧИСЛОМ</v>
      </c>
      <c r="Q2907" s="13" t="str">
        <f t="shared" si="320"/>
        <v>ГОТОВ_ИЗМЕНЕН</v>
      </c>
      <c r="R2907" s="13">
        <f>IFERROR(VLOOKUP(P2907,Лист1!A$1:B$20,2,FALSE),0)</f>
        <v>784</v>
      </c>
      <c r="S2907" s="13">
        <f t="shared" si="321"/>
        <v>0</v>
      </c>
    </row>
    <row r="2908" spans="1:19" x14ac:dyDescent="0.25">
      <c r="A2908" s="24" t="s">
        <v>4039</v>
      </c>
      <c r="B2908" s="4" t="s">
        <v>1059</v>
      </c>
      <c r="C2908" s="25" t="s">
        <v>12</v>
      </c>
      <c r="D2908" s="25" t="s">
        <v>5</v>
      </c>
      <c r="G2908" s="25" t="s">
        <v>1347</v>
      </c>
      <c r="H2908" s="24" t="s">
        <v>1061</v>
      </c>
      <c r="I2908" s="3" t="str">
        <f>IFERROR(VLOOKUP(C2908,'Справочник соответствий'!A$2:D$2981,2,FALSE),IF(VALUE(C2908)=0,1,VLOOKUP(C2908,'Справочник соответствий'!A$2:D$2981,2,FALSE)))</f>
        <v>4</v>
      </c>
      <c r="J2908" s="3" t="str">
        <f>IFERROR(VLOOKUP(D2908,'Справочник соответствий'!A$2:D$2981,2,FALSE),IF(VALUE(D2908)=0,0,VLOOKUP(D2908,'Справочник соответствий'!A$2:D$2981,2,FALSE)))</f>
        <v>1</v>
      </c>
      <c r="K2908" s="3" t="str">
        <f t="shared" si="315"/>
        <v>4</v>
      </c>
      <c r="L2908" s="13" t="str">
        <f>IFERROR(VLOOKUP(C2908,'Справочник соответствий'!A$2:D$2981,3,FALSE),IF(VALUE(C2908)=0,"ЭТАЖ НЕ ОПРЕДЕЛЕН. ПРИНЯТ ПО ДОПУЩЕНИЮ 1",VLOOKUP(C2908,'Справочник соответствий'!A$2:D$2981,3,FALSE)))</f>
        <v>ЭТАЖ ЗАДАН ЧИСЛОМ</v>
      </c>
      <c r="M2908" s="13" t="b">
        <f t="shared" si="316"/>
        <v>0</v>
      </c>
      <c r="N2908" s="13">
        <f t="shared" si="317"/>
        <v>4</v>
      </c>
      <c r="O2908" s="13" t="str">
        <f t="shared" si="318"/>
        <v>ЭТАЖ ЗАДАН ЧИСЛОМ</v>
      </c>
      <c r="P2908" s="13" t="str">
        <f t="shared" si="319"/>
        <v>ЭТАЖ ЗАДАН ЧИСЛОМ</v>
      </c>
      <c r="Q2908" s="13" t="str">
        <f t="shared" si="320"/>
        <v>ГОТОВ_ИЗМЕНЕН</v>
      </c>
      <c r="R2908" s="13">
        <f>IFERROR(VLOOKUP(P2908,Лист1!A$1:B$20,2,FALSE),0)</f>
        <v>784</v>
      </c>
      <c r="S2908" s="13">
        <f t="shared" si="321"/>
        <v>0</v>
      </c>
    </row>
    <row r="2909" spans="1:19" x14ac:dyDescent="0.25">
      <c r="A2909" s="24" t="s">
        <v>4040</v>
      </c>
      <c r="B2909" s="4" t="s">
        <v>1063</v>
      </c>
      <c r="G2909" s="25" t="s">
        <v>1347</v>
      </c>
      <c r="H2909" s="24" t="s">
        <v>1061</v>
      </c>
      <c r="I2909" s="3">
        <f>IFERROR(VLOOKUP(C2909,'Справочник соответствий'!A$2:D$2981,2,FALSE),IF(VALUE(C2909)=0,1,VLOOKUP(C2909,'Справочник соответствий'!A$2:D$2981,2,FALSE)))</f>
        <v>1</v>
      </c>
      <c r="J2909" s="3">
        <f>IFERROR(VLOOKUP(D2909,'Справочник соответствий'!A$2:D$2981,2,FALSE),IF(VALUE(D2909)=0,0,VLOOKUP(D2909,'Справочник соответствий'!A$2:D$2981,2,FALSE)))</f>
        <v>0</v>
      </c>
      <c r="K2909" s="3">
        <f t="shared" si="315"/>
        <v>1</v>
      </c>
      <c r="L2909" s="13" t="str">
        <f>IFERROR(VLOOKUP(C2909,'Справочник соответствий'!A$2:D$2981,3,FALSE),IF(VALUE(C2909)=0,"ЭТАЖ НЕ ОПРЕДЕЛЕН. ПРИНЯТ ПО ДОПУЩЕНИЮ 1",VLOOKUP(C2909,'Справочник соответствий'!A$2:D$2981,3,FALSE)))</f>
        <v>ЭТАЖ НЕ ОПРЕДЕЛЕН. ПРИНЯТ ПО ДОПУЩЕНИЮ 1</v>
      </c>
      <c r="M2909" s="13" t="b">
        <f t="shared" si="316"/>
        <v>0</v>
      </c>
      <c r="N2909" s="13">
        <f t="shared" si="317"/>
        <v>1</v>
      </c>
      <c r="O2909" s="13" t="str">
        <f t="shared" si="318"/>
        <v>ЭТАЖ НЕ ОПРЕДЕЛЕН. ПРИНЯТ ПО ДОПУЩЕНИЮ 1</v>
      </c>
      <c r="P2909" s="13" t="str">
        <f t="shared" si="319"/>
        <v>ЭТАЖ НЕ ОПРЕДЕЛЕН. ПРИНЯТ ПО ДОПУЩЕНИЮ 1</v>
      </c>
      <c r="Q2909" s="13" t="str">
        <f t="shared" si="320"/>
        <v>ГОТОВ_ИЗМЕНЕН</v>
      </c>
      <c r="R2909" s="13">
        <f>IFERROR(VLOOKUP(P2909,Лист1!A$1:B$20,2,FALSE),0)</f>
        <v>788</v>
      </c>
      <c r="S2909" s="13">
        <f t="shared" si="321"/>
        <v>0</v>
      </c>
    </row>
    <row r="2910" spans="1:19" x14ac:dyDescent="0.25">
      <c r="A2910" s="24" t="s">
        <v>4041</v>
      </c>
      <c r="B2910" s="4" t="s">
        <v>1059</v>
      </c>
      <c r="C2910" s="25" t="s">
        <v>5</v>
      </c>
      <c r="G2910" s="25" t="s">
        <v>1347</v>
      </c>
      <c r="H2910" s="24" t="s">
        <v>1061</v>
      </c>
      <c r="I2910" s="3" t="str">
        <f>IFERROR(VLOOKUP(C2910,'Справочник соответствий'!A$2:D$2981,2,FALSE),IF(VALUE(C2910)=0,1,VLOOKUP(C2910,'Справочник соответствий'!A$2:D$2981,2,FALSE)))</f>
        <v>1</v>
      </c>
      <c r="J2910" s="3">
        <f>IFERROR(VLOOKUP(D2910,'Справочник соответствий'!A$2:D$2981,2,FALSE),IF(VALUE(D2910)=0,0,VLOOKUP(D2910,'Справочник соответствий'!A$2:D$2981,2,FALSE)))</f>
        <v>0</v>
      </c>
      <c r="K2910" s="3" t="str">
        <f t="shared" si="315"/>
        <v>1</v>
      </c>
      <c r="L2910" s="13" t="str">
        <f>IFERROR(VLOOKUP(C2910,'Справочник соответствий'!A$2:D$2981,3,FALSE),IF(VALUE(C2910)=0,"ЭТАЖ НЕ ОПРЕДЕЛЕН. ПРИНЯТ ПО ДОПУЩЕНИЮ 1",VLOOKUP(C2910,'Справочник соответствий'!A$2:D$2981,3,FALSE)))</f>
        <v>ЭТАЖ ЗАДАН ЧИСЛОМ</v>
      </c>
      <c r="M2910" s="13" t="b">
        <f t="shared" si="316"/>
        <v>0</v>
      </c>
      <c r="N2910" s="13">
        <f t="shared" si="317"/>
        <v>1</v>
      </c>
      <c r="O2910" s="13" t="str">
        <f t="shared" si="318"/>
        <v>ЭТАЖ ЗАДАН ЧИСЛОМ</v>
      </c>
      <c r="P2910" s="13" t="str">
        <f t="shared" si="319"/>
        <v>ЭТАЖ ЗАДАН ЧИСЛОМ</v>
      </c>
      <c r="Q2910" s="13" t="str">
        <f t="shared" si="320"/>
        <v>ГОТОВ_ИЗМЕНЕН</v>
      </c>
      <c r="R2910" s="13">
        <f>IFERROR(VLOOKUP(P2910,Лист1!A$1:B$20,2,FALSE),0)</f>
        <v>784</v>
      </c>
      <c r="S2910" s="13">
        <f t="shared" si="321"/>
        <v>0</v>
      </c>
    </row>
    <row r="2911" spans="1:19" x14ac:dyDescent="0.25">
      <c r="A2911" s="24" t="s">
        <v>4042</v>
      </c>
      <c r="B2911" s="4" t="s">
        <v>1059</v>
      </c>
      <c r="C2911" s="25" t="s">
        <v>7</v>
      </c>
      <c r="G2911" s="25" t="s">
        <v>1347</v>
      </c>
      <c r="H2911" s="24" t="s">
        <v>1061</v>
      </c>
      <c r="I2911" s="3" t="str">
        <f>IFERROR(VLOOKUP(C2911,'Справочник соответствий'!A$2:D$2981,2,FALSE),IF(VALUE(C2911)=0,1,VLOOKUP(C2911,'Справочник соответствий'!A$2:D$2981,2,FALSE)))</f>
        <v>2</v>
      </c>
      <c r="J2911" s="3">
        <f>IFERROR(VLOOKUP(D2911,'Справочник соответствий'!A$2:D$2981,2,FALSE),IF(VALUE(D2911)=0,0,VLOOKUP(D2911,'Справочник соответствий'!A$2:D$2981,2,FALSE)))</f>
        <v>0</v>
      </c>
      <c r="K2911" s="3" t="str">
        <f t="shared" si="315"/>
        <v>2</v>
      </c>
      <c r="L2911" s="13" t="str">
        <f>IFERROR(VLOOKUP(C2911,'Справочник соответствий'!A$2:D$2981,3,FALSE),IF(VALUE(C2911)=0,"ЭТАЖ НЕ ОПРЕДЕЛЕН. ПРИНЯТ ПО ДОПУЩЕНИЮ 1",VLOOKUP(C2911,'Справочник соответствий'!A$2:D$2981,3,FALSE)))</f>
        <v>ЭТАЖ ЗАДАН ЧИСЛОМ</v>
      </c>
      <c r="M2911" s="13" t="b">
        <f t="shared" si="316"/>
        <v>0</v>
      </c>
      <c r="N2911" s="13">
        <f t="shared" si="317"/>
        <v>2</v>
      </c>
      <c r="O2911" s="13" t="str">
        <f t="shared" si="318"/>
        <v>ЭТАЖ ЗАДАН ЧИСЛОМ</v>
      </c>
      <c r="P2911" s="13" t="str">
        <f t="shared" si="319"/>
        <v>ЭТАЖ ЗАДАН ЧИСЛОМ</v>
      </c>
      <c r="Q2911" s="13" t="str">
        <f t="shared" si="320"/>
        <v>ГОТОВ_ИЗМЕНЕН</v>
      </c>
      <c r="R2911" s="13">
        <f>IFERROR(VLOOKUP(P2911,Лист1!A$1:B$20,2,FALSE),0)</f>
        <v>784</v>
      </c>
      <c r="S2911" s="13">
        <f t="shared" si="321"/>
        <v>0</v>
      </c>
    </row>
    <row r="2912" spans="1:19" x14ac:dyDescent="0.25">
      <c r="A2912" s="24" t="s">
        <v>4043</v>
      </c>
      <c r="B2912" s="4" t="s">
        <v>1063</v>
      </c>
      <c r="C2912" s="25" t="s">
        <v>5</v>
      </c>
      <c r="G2912" s="25" t="s">
        <v>1321</v>
      </c>
      <c r="H2912" s="24" t="s">
        <v>1061</v>
      </c>
      <c r="I2912" s="3" t="str">
        <f>IFERROR(VLOOKUP(C2912,'Справочник соответствий'!A$2:D$2981,2,FALSE),IF(VALUE(C2912)=0,1,VLOOKUP(C2912,'Справочник соответствий'!A$2:D$2981,2,FALSE)))</f>
        <v>1</v>
      </c>
      <c r="J2912" s="3">
        <f>IFERROR(VLOOKUP(D2912,'Справочник соответствий'!A$2:D$2981,2,FALSE),IF(VALUE(D2912)=0,0,VLOOKUP(D2912,'Справочник соответствий'!A$2:D$2981,2,FALSE)))</f>
        <v>0</v>
      </c>
      <c r="K2912" s="3" t="str">
        <f t="shared" si="315"/>
        <v>1</v>
      </c>
      <c r="L2912" s="13" t="str">
        <f>IFERROR(VLOOKUP(C2912,'Справочник соответствий'!A$2:D$2981,3,FALSE),IF(VALUE(C2912)=0,"ЭТАЖ НЕ ОПРЕДЕЛЕН. ПРИНЯТ ПО ДОПУЩЕНИЮ 1",VLOOKUP(C2912,'Справочник соответствий'!A$2:D$2981,3,FALSE)))</f>
        <v>ЭТАЖ ЗАДАН ЧИСЛОМ</v>
      </c>
      <c r="M2912" s="13" t="b">
        <f t="shared" si="316"/>
        <v>0</v>
      </c>
      <c r="N2912" s="13">
        <f t="shared" si="317"/>
        <v>1</v>
      </c>
      <c r="O2912" s="13" t="str">
        <f t="shared" si="318"/>
        <v>ЭТАЖ ЗАДАН ЧИСЛОМ</v>
      </c>
      <c r="P2912" s="13" t="str">
        <f t="shared" si="319"/>
        <v>ЭТАЖ ЗАДАН ЧИСЛОМ</v>
      </c>
      <c r="Q2912" s="13" t="str">
        <f t="shared" si="320"/>
        <v>ГОТОВ_ИЗМЕНЕН</v>
      </c>
      <c r="R2912" s="13">
        <f>IFERROR(VLOOKUP(P2912,Лист1!A$1:B$20,2,FALSE),0)</f>
        <v>784</v>
      </c>
      <c r="S2912" s="13">
        <f t="shared" si="321"/>
        <v>0</v>
      </c>
    </row>
    <row r="2913" spans="1:19" x14ac:dyDescent="0.25">
      <c r="A2913" s="24" t="s">
        <v>4044</v>
      </c>
      <c r="B2913" s="4" t="s">
        <v>1059</v>
      </c>
      <c r="C2913" s="25" t="s">
        <v>12</v>
      </c>
      <c r="D2913" s="25" t="s">
        <v>5</v>
      </c>
      <c r="G2913" s="25" t="s">
        <v>1321</v>
      </c>
      <c r="H2913" s="24" t="s">
        <v>1061</v>
      </c>
      <c r="I2913" s="3" t="str">
        <f>IFERROR(VLOOKUP(C2913,'Справочник соответствий'!A$2:D$2981,2,FALSE),IF(VALUE(C2913)=0,1,VLOOKUP(C2913,'Справочник соответствий'!A$2:D$2981,2,FALSE)))</f>
        <v>4</v>
      </c>
      <c r="J2913" s="3" t="str">
        <f>IFERROR(VLOOKUP(D2913,'Справочник соответствий'!A$2:D$2981,2,FALSE),IF(VALUE(D2913)=0,0,VLOOKUP(D2913,'Справочник соответствий'!A$2:D$2981,2,FALSE)))</f>
        <v>1</v>
      </c>
      <c r="K2913" s="3" t="str">
        <f t="shared" si="315"/>
        <v>4</v>
      </c>
      <c r="L2913" s="13" t="str">
        <f>IFERROR(VLOOKUP(C2913,'Справочник соответствий'!A$2:D$2981,3,FALSE),IF(VALUE(C2913)=0,"ЭТАЖ НЕ ОПРЕДЕЛЕН. ПРИНЯТ ПО ДОПУЩЕНИЮ 1",VLOOKUP(C2913,'Справочник соответствий'!A$2:D$2981,3,FALSE)))</f>
        <v>ЭТАЖ ЗАДАН ЧИСЛОМ</v>
      </c>
      <c r="M2913" s="13" t="b">
        <f t="shared" si="316"/>
        <v>0</v>
      </c>
      <c r="N2913" s="13">
        <f t="shared" si="317"/>
        <v>4</v>
      </c>
      <c r="O2913" s="13" t="str">
        <f t="shared" si="318"/>
        <v>ЭТАЖ ЗАДАН ЧИСЛОМ</v>
      </c>
      <c r="P2913" s="13" t="str">
        <f t="shared" si="319"/>
        <v>ЭТАЖ ЗАДАН ЧИСЛОМ</v>
      </c>
      <c r="Q2913" s="13" t="str">
        <f t="shared" si="320"/>
        <v>ГОТОВ_ИЗМЕНЕН</v>
      </c>
      <c r="R2913" s="13">
        <f>IFERROR(VLOOKUP(P2913,Лист1!A$1:B$20,2,FALSE),0)</f>
        <v>784</v>
      </c>
      <c r="S2913" s="13">
        <f t="shared" si="321"/>
        <v>0</v>
      </c>
    </row>
    <row r="2914" spans="1:19" x14ac:dyDescent="0.25">
      <c r="A2914" s="24" t="s">
        <v>4045</v>
      </c>
      <c r="B2914" s="4" t="s">
        <v>1059</v>
      </c>
      <c r="C2914" s="25" t="s">
        <v>5</v>
      </c>
      <c r="G2914" s="25" t="s">
        <v>1321</v>
      </c>
      <c r="H2914" s="24" t="s">
        <v>1061</v>
      </c>
      <c r="I2914" s="3" t="str">
        <f>IFERROR(VLOOKUP(C2914,'Справочник соответствий'!A$2:D$2981,2,FALSE),IF(VALUE(C2914)=0,1,VLOOKUP(C2914,'Справочник соответствий'!A$2:D$2981,2,FALSE)))</f>
        <v>1</v>
      </c>
      <c r="J2914" s="3">
        <f>IFERROR(VLOOKUP(D2914,'Справочник соответствий'!A$2:D$2981,2,FALSE),IF(VALUE(D2914)=0,0,VLOOKUP(D2914,'Справочник соответствий'!A$2:D$2981,2,FALSE)))</f>
        <v>0</v>
      </c>
      <c r="K2914" s="3" t="str">
        <f t="shared" si="315"/>
        <v>1</v>
      </c>
      <c r="L2914" s="13" t="str">
        <f>IFERROR(VLOOKUP(C2914,'Справочник соответствий'!A$2:D$2981,3,FALSE),IF(VALUE(C2914)=0,"ЭТАЖ НЕ ОПРЕДЕЛЕН. ПРИНЯТ ПО ДОПУЩЕНИЮ 1",VLOOKUP(C2914,'Справочник соответствий'!A$2:D$2981,3,FALSE)))</f>
        <v>ЭТАЖ ЗАДАН ЧИСЛОМ</v>
      </c>
      <c r="M2914" s="13" t="b">
        <f t="shared" si="316"/>
        <v>0</v>
      </c>
      <c r="N2914" s="13">
        <f t="shared" si="317"/>
        <v>1</v>
      </c>
      <c r="O2914" s="13" t="str">
        <f t="shared" si="318"/>
        <v>ЭТАЖ ЗАДАН ЧИСЛОМ</v>
      </c>
      <c r="P2914" s="13" t="str">
        <f t="shared" si="319"/>
        <v>ЭТАЖ ЗАДАН ЧИСЛОМ</v>
      </c>
      <c r="Q2914" s="13" t="str">
        <f t="shared" si="320"/>
        <v>ГОТОВ_ИЗМЕНЕН</v>
      </c>
      <c r="R2914" s="13">
        <f>IFERROR(VLOOKUP(P2914,Лист1!A$1:B$20,2,FALSE),0)</f>
        <v>784</v>
      </c>
      <c r="S2914" s="13">
        <f t="shared" si="321"/>
        <v>0</v>
      </c>
    </row>
    <row r="2915" spans="1:19" x14ac:dyDescent="0.25">
      <c r="A2915" s="24" t="s">
        <v>4046</v>
      </c>
      <c r="B2915" s="4" t="s">
        <v>1063</v>
      </c>
      <c r="G2915" s="25" t="s">
        <v>1321</v>
      </c>
      <c r="H2915" s="24" t="s">
        <v>1061</v>
      </c>
      <c r="I2915" s="3">
        <f>IFERROR(VLOOKUP(C2915,'Справочник соответствий'!A$2:D$2981,2,FALSE),IF(VALUE(C2915)=0,1,VLOOKUP(C2915,'Справочник соответствий'!A$2:D$2981,2,FALSE)))</f>
        <v>1</v>
      </c>
      <c r="J2915" s="3">
        <f>IFERROR(VLOOKUP(D2915,'Справочник соответствий'!A$2:D$2981,2,FALSE),IF(VALUE(D2915)=0,0,VLOOKUP(D2915,'Справочник соответствий'!A$2:D$2981,2,FALSE)))</f>
        <v>0</v>
      </c>
      <c r="K2915" s="3">
        <f t="shared" si="315"/>
        <v>1</v>
      </c>
      <c r="L2915" s="13" t="str">
        <f>IFERROR(VLOOKUP(C2915,'Справочник соответствий'!A$2:D$2981,3,FALSE),IF(VALUE(C2915)=0,"ЭТАЖ НЕ ОПРЕДЕЛЕН. ПРИНЯТ ПО ДОПУЩЕНИЮ 1",VLOOKUP(C2915,'Справочник соответствий'!A$2:D$2981,3,FALSE)))</f>
        <v>ЭТАЖ НЕ ОПРЕДЕЛЕН. ПРИНЯТ ПО ДОПУЩЕНИЮ 1</v>
      </c>
      <c r="M2915" s="13" t="b">
        <f t="shared" si="316"/>
        <v>0</v>
      </c>
      <c r="N2915" s="13">
        <f t="shared" si="317"/>
        <v>1</v>
      </c>
      <c r="O2915" s="13" t="str">
        <f t="shared" si="318"/>
        <v>ЭТАЖ НЕ ОПРЕДЕЛЕН. ПРИНЯТ ПО ДОПУЩЕНИЮ 1</v>
      </c>
      <c r="P2915" s="13" t="str">
        <f t="shared" si="319"/>
        <v>ЭТАЖ НЕ ОПРЕДЕЛЕН. ПРИНЯТ ПО ДОПУЩЕНИЮ 1</v>
      </c>
      <c r="Q2915" s="13" t="str">
        <f t="shared" si="320"/>
        <v>ГОТОВ_ИЗМЕНЕН</v>
      </c>
      <c r="R2915" s="13">
        <f>IFERROR(VLOOKUP(P2915,Лист1!A$1:B$20,2,FALSE),0)</f>
        <v>788</v>
      </c>
      <c r="S2915" s="13">
        <f t="shared" si="321"/>
        <v>0</v>
      </c>
    </row>
    <row r="2916" spans="1:19" x14ac:dyDescent="0.25">
      <c r="A2916" s="24" t="s">
        <v>4047</v>
      </c>
      <c r="B2916" s="4" t="s">
        <v>1059</v>
      </c>
      <c r="C2916" s="25" t="s">
        <v>7</v>
      </c>
      <c r="G2916" s="25" t="s">
        <v>1321</v>
      </c>
      <c r="H2916" s="24" t="s">
        <v>1061</v>
      </c>
      <c r="I2916" s="3" t="str">
        <f>IFERROR(VLOOKUP(C2916,'Справочник соответствий'!A$2:D$2981,2,FALSE),IF(VALUE(C2916)=0,1,VLOOKUP(C2916,'Справочник соответствий'!A$2:D$2981,2,FALSE)))</f>
        <v>2</v>
      </c>
      <c r="J2916" s="3">
        <f>IFERROR(VLOOKUP(D2916,'Справочник соответствий'!A$2:D$2981,2,FALSE),IF(VALUE(D2916)=0,0,VLOOKUP(D2916,'Справочник соответствий'!A$2:D$2981,2,FALSE)))</f>
        <v>0</v>
      </c>
      <c r="K2916" s="3" t="str">
        <f t="shared" si="315"/>
        <v>2</v>
      </c>
      <c r="L2916" s="13" t="str">
        <f>IFERROR(VLOOKUP(C2916,'Справочник соответствий'!A$2:D$2981,3,FALSE),IF(VALUE(C2916)=0,"ЭТАЖ НЕ ОПРЕДЕЛЕН. ПРИНЯТ ПО ДОПУЩЕНИЮ 1",VLOOKUP(C2916,'Справочник соответствий'!A$2:D$2981,3,FALSE)))</f>
        <v>ЭТАЖ ЗАДАН ЧИСЛОМ</v>
      </c>
      <c r="M2916" s="13" t="b">
        <f t="shared" si="316"/>
        <v>0</v>
      </c>
      <c r="N2916" s="13">
        <f t="shared" si="317"/>
        <v>2</v>
      </c>
      <c r="O2916" s="13" t="str">
        <f t="shared" si="318"/>
        <v>ЭТАЖ ЗАДАН ЧИСЛОМ</v>
      </c>
      <c r="P2916" s="13" t="str">
        <f t="shared" si="319"/>
        <v>ЭТАЖ ЗАДАН ЧИСЛОМ</v>
      </c>
      <c r="Q2916" s="13" t="str">
        <f t="shared" si="320"/>
        <v>ГОТОВ_ИЗМЕНЕН</v>
      </c>
      <c r="R2916" s="13">
        <f>IFERROR(VLOOKUP(P2916,Лист1!A$1:B$20,2,FALSE),0)</f>
        <v>784</v>
      </c>
      <c r="S2916" s="13">
        <f t="shared" si="321"/>
        <v>0</v>
      </c>
    </row>
    <row r="2917" spans="1:19" x14ac:dyDescent="0.25">
      <c r="A2917" s="24" t="s">
        <v>4048</v>
      </c>
      <c r="B2917" s="4" t="s">
        <v>1059</v>
      </c>
      <c r="C2917" s="25" t="s">
        <v>5</v>
      </c>
      <c r="G2917" s="25" t="s">
        <v>2763</v>
      </c>
      <c r="H2917" s="24" t="s">
        <v>1061</v>
      </c>
      <c r="I2917" s="3" t="str">
        <f>IFERROR(VLOOKUP(C2917,'Справочник соответствий'!A$2:D$2981,2,FALSE),IF(VALUE(C2917)=0,1,VLOOKUP(C2917,'Справочник соответствий'!A$2:D$2981,2,FALSE)))</f>
        <v>1</v>
      </c>
      <c r="J2917" s="3">
        <f>IFERROR(VLOOKUP(D2917,'Справочник соответствий'!A$2:D$2981,2,FALSE),IF(VALUE(D2917)=0,0,VLOOKUP(D2917,'Справочник соответствий'!A$2:D$2981,2,FALSE)))</f>
        <v>0</v>
      </c>
      <c r="K2917" s="3" t="str">
        <f t="shared" si="315"/>
        <v>1</v>
      </c>
      <c r="L2917" s="13" t="str">
        <f>IFERROR(VLOOKUP(C2917,'Справочник соответствий'!A$2:D$2981,3,FALSE),IF(VALUE(C2917)=0,"ЭТАЖ НЕ ОПРЕДЕЛЕН. ПРИНЯТ ПО ДОПУЩЕНИЮ 1",VLOOKUP(C2917,'Справочник соответствий'!A$2:D$2981,3,FALSE)))</f>
        <v>ЭТАЖ ЗАДАН ЧИСЛОМ</v>
      </c>
      <c r="M2917" s="13" t="b">
        <f t="shared" si="316"/>
        <v>0</v>
      </c>
      <c r="N2917" s="13">
        <f t="shared" si="317"/>
        <v>1</v>
      </c>
      <c r="O2917" s="13" t="str">
        <f t="shared" si="318"/>
        <v>ЭТАЖ ЗАДАН ЧИСЛОМ</v>
      </c>
      <c r="P2917" s="13" t="str">
        <f t="shared" si="319"/>
        <v>ЭТАЖ ЗАДАН ЧИСЛОМ</v>
      </c>
      <c r="Q2917" s="13" t="str">
        <f t="shared" si="320"/>
        <v>ГОТОВ_ИЗМЕНЕН</v>
      </c>
      <c r="R2917" s="13">
        <f>IFERROR(VLOOKUP(P2917,Лист1!A$1:B$20,2,FALSE),0)</f>
        <v>784</v>
      </c>
      <c r="S2917" s="13">
        <f t="shared" si="321"/>
        <v>0</v>
      </c>
    </row>
    <row r="2918" spans="1:19" x14ac:dyDescent="0.25">
      <c r="A2918" s="24" t="s">
        <v>4049</v>
      </c>
      <c r="B2918" s="4" t="s">
        <v>1063</v>
      </c>
      <c r="G2918" s="25" t="s">
        <v>2763</v>
      </c>
      <c r="H2918" s="24" t="s">
        <v>1061</v>
      </c>
      <c r="I2918" s="3">
        <f>IFERROR(VLOOKUP(C2918,'Справочник соответствий'!A$2:D$2981,2,FALSE),IF(VALUE(C2918)=0,1,VLOOKUP(C2918,'Справочник соответствий'!A$2:D$2981,2,FALSE)))</f>
        <v>1</v>
      </c>
      <c r="J2918" s="3">
        <f>IFERROR(VLOOKUP(D2918,'Справочник соответствий'!A$2:D$2981,2,FALSE),IF(VALUE(D2918)=0,0,VLOOKUP(D2918,'Справочник соответствий'!A$2:D$2981,2,FALSE)))</f>
        <v>0</v>
      </c>
      <c r="K2918" s="3">
        <f t="shared" si="315"/>
        <v>1</v>
      </c>
      <c r="L2918" s="13" t="str">
        <f>IFERROR(VLOOKUP(C2918,'Справочник соответствий'!A$2:D$2981,3,FALSE),IF(VALUE(C2918)=0,"ЭТАЖ НЕ ОПРЕДЕЛЕН. ПРИНЯТ ПО ДОПУЩЕНИЮ 1",VLOOKUP(C2918,'Справочник соответствий'!A$2:D$2981,3,FALSE)))</f>
        <v>ЭТАЖ НЕ ОПРЕДЕЛЕН. ПРИНЯТ ПО ДОПУЩЕНИЮ 1</v>
      </c>
      <c r="M2918" s="13" t="b">
        <f t="shared" si="316"/>
        <v>0</v>
      </c>
      <c r="N2918" s="13">
        <f t="shared" si="317"/>
        <v>1</v>
      </c>
      <c r="O2918" s="13" t="str">
        <f t="shared" si="318"/>
        <v>ЭТАЖ НЕ ОПРЕДЕЛЕН. ПРИНЯТ ПО ДОПУЩЕНИЮ 1</v>
      </c>
      <c r="P2918" s="13" t="str">
        <f t="shared" si="319"/>
        <v>ЭТАЖ НЕ ОПРЕДЕЛЕН. ПРИНЯТ ПО ДОПУЩЕНИЮ 1</v>
      </c>
      <c r="Q2918" s="13" t="str">
        <f t="shared" si="320"/>
        <v>ГОТОВ_ИЗМЕНЕН</v>
      </c>
      <c r="R2918" s="13">
        <f>IFERROR(VLOOKUP(P2918,Лист1!A$1:B$20,2,FALSE),0)</f>
        <v>788</v>
      </c>
      <c r="S2918" s="13">
        <f t="shared" si="321"/>
        <v>0</v>
      </c>
    </row>
    <row r="2919" spans="1:19" x14ac:dyDescent="0.25">
      <c r="A2919" s="24" t="s">
        <v>4050</v>
      </c>
      <c r="B2919" s="4" t="s">
        <v>1031</v>
      </c>
      <c r="C2919" s="25" t="s">
        <v>5</v>
      </c>
      <c r="E2919" s="3">
        <v>1</v>
      </c>
      <c r="F2919" s="24" t="s">
        <v>1307</v>
      </c>
      <c r="G2919" s="25" t="s">
        <v>1075</v>
      </c>
      <c r="H2919" s="24" t="s">
        <v>1061</v>
      </c>
      <c r="I2919" s="3" t="str">
        <f>IFERROR(VLOOKUP(C2919,'Справочник соответствий'!A$2:D$2981,2,FALSE),IF(VALUE(C2919)=0,1,VLOOKUP(C2919,'Справочник соответствий'!A$2:D$2981,2,FALSE)))</f>
        <v>1</v>
      </c>
      <c r="J2919" s="3">
        <f>IFERROR(VLOOKUP(D2919,'Справочник соответствий'!A$2:D$2981,2,FALSE),IF(VALUE(D2919)=0,0,VLOOKUP(D2919,'Справочник соответствий'!A$2:D$2981,2,FALSE)))</f>
        <v>0</v>
      </c>
      <c r="K2919" s="3">
        <f t="shared" si="315"/>
        <v>1</v>
      </c>
      <c r="L2919" s="13" t="str">
        <f>IFERROR(VLOOKUP(C2919,'Справочник соответствий'!A$2:D$2981,3,FALSE),IF(VALUE(C2919)=0,"ЭТАЖ НЕ ОПРЕДЕЛЕН. ПРИНЯТ ПО ДОПУЩЕНИЮ 1",VLOOKUP(C2919,'Справочник соответствий'!A$2:D$2981,3,FALSE)))</f>
        <v>ЭТАЖ ЗАДАН ЧИСЛОМ</v>
      </c>
      <c r="M2919" s="13" t="b">
        <f t="shared" si="316"/>
        <v>0</v>
      </c>
      <c r="N2919" s="13">
        <f t="shared" si="317"/>
        <v>1</v>
      </c>
      <c r="O2919" s="13" t="str">
        <f t="shared" si="318"/>
        <v>ЭТАЖ ЗАДАН ЧИСЛОМ</v>
      </c>
      <c r="P2919" s="13" t="str">
        <f t="shared" si="319"/>
        <v>МКД_ЭТАЖ ЗАДАН ЧИСЛОМ</v>
      </c>
      <c r="Q2919" s="13" t="str">
        <f t="shared" si="320"/>
        <v>ГОТОВ</v>
      </c>
      <c r="R2919" s="13">
        <f>IFERROR(VLOOKUP(P2919,Лист1!A$1:B$20,2,FALSE),0)</f>
        <v>786</v>
      </c>
      <c r="S2919" s="13">
        <f t="shared" si="321"/>
        <v>1</v>
      </c>
    </row>
    <row r="2920" spans="1:19" x14ac:dyDescent="0.25">
      <c r="A2920" s="24" t="s">
        <v>4051</v>
      </c>
      <c r="B2920" s="4" t="s">
        <v>1063</v>
      </c>
      <c r="C2920" s="25" t="s">
        <v>5</v>
      </c>
      <c r="D2920" s="25" t="s">
        <v>4052</v>
      </c>
      <c r="E2920" s="3">
        <v>1</v>
      </c>
      <c r="F2920" s="24" t="s">
        <v>1045</v>
      </c>
      <c r="G2920" s="25" t="s">
        <v>1117</v>
      </c>
      <c r="H2920" s="24" t="s">
        <v>1061</v>
      </c>
      <c r="I2920" s="3" t="str">
        <f>IFERROR(VLOOKUP(C2920,'Справочник соответствий'!A$2:D$2981,2,FALSE),IF(VALUE(C2920)=0,1,VLOOKUP(C2920,'Справочник соответствий'!A$2:D$2981,2,FALSE)))</f>
        <v>1</v>
      </c>
      <c r="J2920" s="3" t="e">
        <f>IFERROR(VLOOKUP(D2920,'Справочник соответствий'!A$2:D$2981,2,FALSE),IF(VALUE(D2920)=0,0,VLOOKUP(D2920,'Справочник соответствий'!A$2:D$2981,2,FALSE)))</f>
        <v>#VALUE!</v>
      </c>
      <c r="K2920" s="3" t="str">
        <f t="shared" si="315"/>
        <v>1</v>
      </c>
      <c r="L2920" s="13" t="str">
        <f>IFERROR(VLOOKUP(C2920,'Справочник соответствий'!A$2:D$2981,3,FALSE),IF(VALUE(C2920)=0,"ЭТАЖ НЕ ОПРЕДЕЛЕН. ПРИНЯТ ПО ДОПУЩЕНИЮ 1",VLOOKUP(C2920,'Справочник соответствий'!A$2:D$2981,3,FALSE)))</f>
        <v>ЭТАЖ ЗАДАН ЧИСЛОМ</v>
      </c>
      <c r="M2920" s="13" t="b">
        <f t="shared" si="316"/>
        <v>0</v>
      </c>
      <c r="N2920" s="13">
        <f t="shared" si="317"/>
        <v>1</v>
      </c>
      <c r="O2920" s="13" t="str">
        <f t="shared" si="318"/>
        <v>ЭТАЖ ЗАДАН ЧИСЛОМ</v>
      </c>
      <c r="P2920" s="13" t="str">
        <f t="shared" si="319"/>
        <v>ЭТАЖ ЗАДАН ЧИСЛОМ</v>
      </c>
      <c r="Q2920" s="13" t="str">
        <f t="shared" si="320"/>
        <v>ГОТОВ</v>
      </c>
      <c r="R2920" s="13">
        <f>IFERROR(VLOOKUP(P2920,Лист1!A$1:B$20,2,FALSE),0)</f>
        <v>784</v>
      </c>
      <c r="S2920" s="13">
        <f t="shared" si="321"/>
        <v>1</v>
      </c>
    </row>
    <row r="2921" spans="1:19" x14ac:dyDescent="0.25">
      <c r="A2921" s="24" t="s">
        <v>4053</v>
      </c>
      <c r="B2921" s="4" t="s">
        <v>1063</v>
      </c>
      <c r="C2921" s="25" t="s">
        <v>7</v>
      </c>
      <c r="D2921" s="25" t="s">
        <v>5</v>
      </c>
      <c r="E2921" s="3">
        <v>2</v>
      </c>
      <c r="F2921" s="24" t="s">
        <v>1045</v>
      </c>
      <c r="G2921" s="25" t="s">
        <v>1069</v>
      </c>
      <c r="H2921" s="24" t="s">
        <v>1061</v>
      </c>
      <c r="I2921" s="3" t="str">
        <f>IFERROR(VLOOKUP(C2921,'Справочник соответствий'!A$2:D$2981,2,FALSE),IF(VALUE(C2921)=0,1,VLOOKUP(C2921,'Справочник соответствий'!A$2:D$2981,2,FALSE)))</f>
        <v>2</v>
      </c>
      <c r="J2921" s="3" t="str">
        <f>IFERROR(VLOOKUP(D2921,'Справочник соответствий'!A$2:D$2981,2,FALSE),IF(VALUE(D2921)=0,0,VLOOKUP(D2921,'Справочник соответствий'!A$2:D$2981,2,FALSE)))</f>
        <v>1</v>
      </c>
      <c r="K2921" s="3" t="str">
        <f t="shared" si="315"/>
        <v>2</v>
      </c>
      <c r="L2921" s="13" t="str">
        <f>IFERROR(VLOOKUP(C2921,'Справочник соответствий'!A$2:D$2981,3,FALSE),IF(VALUE(C2921)=0,"ЭТАЖ НЕ ОПРЕДЕЛЕН. ПРИНЯТ ПО ДОПУЩЕНИЮ 1",VLOOKUP(C2921,'Справочник соответствий'!A$2:D$2981,3,FALSE)))</f>
        <v>ЭТАЖ ЗАДАН ЧИСЛОМ</v>
      </c>
      <c r="M2921" s="13" t="b">
        <f t="shared" si="316"/>
        <v>0</v>
      </c>
      <c r="N2921" s="13">
        <f t="shared" si="317"/>
        <v>2</v>
      </c>
      <c r="O2921" s="13" t="str">
        <f t="shared" si="318"/>
        <v>ЭТАЖ ЗАДАН ЧИСЛОМ</v>
      </c>
      <c r="P2921" s="13" t="str">
        <f t="shared" si="319"/>
        <v>ЭТАЖ ЗАДАН ЧИСЛОМ</v>
      </c>
      <c r="Q2921" s="13" t="str">
        <f t="shared" si="320"/>
        <v>ГОТОВ</v>
      </c>
      <c r="R2921" s="13">
        <f>IFERROR(VLOOKUP(P2921,Лист1!A$1:B$20,2,FALSE),0)</f>
        <v>784</v>
      </c>
      <c r="S2921" s="13">
        <f t="shared" si="321"/>
        <v>2</v>
      </c>
    </row>
    <row r="2922" spans="1:19" x14ac:dyDescent="0.25">
      <c r="A2922" s="24" t="s">
        <v>4054</v>
      </c>
      <c r="B2922" s="4" t="s">
        <v>1063</v>
      </c>
      <c r="C2922" s="25" t="s">
        <v>5</v>
      </c>
      <c r="D2922" s="25" t="s">
        <v>24</v>
      </c>
      <c r="E2922" s="3">
        <v>1</v>
      </c>
      <c r="F2922" s="24" t="s">
        <v>1304</v>
      </c>
      <c r="G2922" s="25" t="s">
        <v>1193</v>
      </c>
      <c r="H2922" s="24" t="s">
        <v>1061</v>
      </c>
      <c r="I2922" s="3" t="str">
        <f>IFERROR(VLOOKUP(C2922,'Справочник соответствий'!A$2:D$2981,2,FALSE),IF(VALUE(C2922)=0,1,VLOOKUP(C2922,'Справочник соответствий'!A$2:D$2981,2,FALSE)))</f>
        <v>1</v>
      </c>
      <c r="J2922" s="3" t="str">
        <f>IFERROR(VLOOKUP(D2922,'Справочник соответствий'!A$2:D$2981,2,FALSE),IF(VALUE(D2922)=0,0,VLOOKUP(D2922,'Справочник соответствий'!A$2:D$2981,2,FALSE)))</f>
        <v>1</v>
      </c>
      <c r="K2922" s="3" t="str">
        <f t="shared" si="315"/>
        <v>1</v>
      </c>
      <c r="L2922" s="13" t="str">
        <f>IFERROR(VLOOKUP(C2922,'Справочник соответствий'!A$2:D$2981,3,FALSE),IF(VALUE(C2922)=0,"ЭТАЖ НЕ ОПРЕДЕЛЕН. ПРИНЯТ ПО ДОПУЩЕНИЮ 1",VLOOKUP(C2922,'Справочник соответствий'!A$2:D$2981,3,FALSE)))</f>
        <v>ЭТАЖ ЗАДАН ЧИСЛОМ</v>
      </c>
      <c r="M2922" s="13" t="b">
        <f t="shared" si="316"/>
        <v>0</v>
      </c>
      <c r="N2922" s="13">
        <f t="shared" si="317"/>
        <v>1</v>
      </c>
      <c r="O2922" s="13" t="str">
        <f t="shared" si="318"/>
        <v>ЭТАЖ ЗАДАН ЧИСЛОМ</v>
      </c>
      <c r="P2922" s="13" t="str">
        <f t="shared" si="319"/>
        <v>ЭТАЖ ЗАДАН ЧИСЛОМ</v>
      </c>
      <c r="Q2922" s="13" t="str">
        <f t="shared" si="320"/>
        <v>ГОТОВ</v>
      </c>
      <c r="R2922" s="13">
        <f>IFERROR(VLOOKUP(P2922,Лист1!A$1:B$20,2,FALSE),0)</f>
        <v>784</v>
      </c>
      <c r="S2922" s="13">
        <f t="shared" si="321"/>
        <v>1</v>
      </c>
    </row>
    <row r="2923" spans="1:19" x14ac:dyDescent="0.25">
      <c r="A2923" s="24" t="s">
        <v>4055</v>
      </c>
      <c r="B2923" s="4" t="s">
        <v>1059</v>
      </c>
      <c r="C2923" s="25" t="s">
        <v>7</v>
      </c>
      <c r="E2923" s="3">
        <v>2</v>
      </c>
      <c r="F2923" s="24" t="s">
        <v>1045</v>
      </c>
      <c r="G2923" s="25" t="s">
        <v>1083</v>
      </c>
      <c r="H2923" s="24" t="s">
        <v>1061</v>
      </c>
      <c r="I2923" s="3" t="str">
        <f>IFERROR(VLOOKUP(C2923,'Справочник соответствий'!A$2:D$2981,2,FALSE),IF(VALUE(C2923)=0,1,VLOOKUP(C2923,'Справочник соответствий'!A$2:D$2981,2,FALSE)))</f>
        <v>2</v>
      </c>
      <c r="J2923" s="3">
        <f>IFERROR(VLOOKUP(D2923,'Справочник соответствий'!A$2:D$2981,2,FALSE),IF(VALUE(D2923)=0,0,VLOOKUP(D2923,'Справочник соответствий'!A$2:D$2981,2,FALSE)))</f>
        <v>0</v>
      </c>
      <c r="K2923" s="3" t="str">
        <f t="shared" si="315"/>
        <v>2</v>
      </c>
      <c r="L2923" s="13" t="str">
        <f>IFERROR(VLOOKUP(C2923,'Справочник соответствий'!A$2:D$2981,3,FALSE),IF(VALUE(C2923)=0,"ЭТАЖ НЕ ОПРЕДЕЛЕН. ПРИНЯТ ПО ДОПУЩЕНИЮ 1",VLOOKUP(C2923,'Справочник соответствий'!A$2:D$2981,3,FALSE)))</f>
        <v>ЭТАЖ ЗАДАН ЧИСЛОМ</v>
      </c>
      <c r="M2923" s="13" t="b">
        <f t="shared" si="316"/>
        <v>0</v>
      </c>
      <c r="N2923" s="13">
        <f t="shared" si="317"/>
        <v>2</v>
      </c>
      <c r="O2923" s="13" t="str">
        <f t="shared" si="318"/>
        <v>ЭТАЖ ЗАДАН ЧИСЛОМ</v>
      </c>
      <c r="P2923" s="13" t="str">
        <f t="shared" si="319"/>
        <v>ЭТАЖ ЗАДАН ЧИСЛОМ</v>
      </c>
      <c r="Q2923" s="13" t="str">
        <f t="shared" si="320"/>
        <v>ГОТОВ</v>
      </c>
      <c r="R2923" s="13">
        <f>IFERROR(VLOOKUP(P2923,Лист1!A$1:B$20,2,FALSE),0)</f>
        <v>784</v>
      </c>
      <c r="S2923" s="13">
        <f t="shared" si="321"/>
        <v>2</v>
      </c>
    </row>
    <row r="2924" spans="1:19" x14ac:dyDescent="0.25">
      <c r="A2924" s="24" t="s">
        <v>4056</v>
      </c>
      <c r="B2924" s="4" t="s">
        <v>1059</v>
      </c>
      <c r="C2924" s="25" t="s">
        <v>7</v>
      </c>
      <c r="G2924" s="25" t="s">
        <v>1114</v>
      </c>
      <c r="H2924" s="24" t="s">
        <v>1061</v>
      </c>
      <c r="I2924" s="3" t="str">
        <f>IFERROR(VLOOKUP(C2924,'Справочник соответствий'!A$2:D$2981,2,FALSE),IF(VALUE(C2924)=0,1,VLOOKUP(C2924,'Справочник соответствий'!A$2:D$2981,2,FALSE)))</f>
        <v>2</v>
      </c>
      <c r="J2924" s="3">
        <f>IFERROR(VLOOKUP(D2924,'Справочник соответствий'!A$2:D$2981,2,FALSE),IF(VALUE(D2924)=0,0,VLOOKUP(D2924,'Справочник соответствий'!A$2:D$2981,2,FALSE)))</f>
        <v>0</v>
      </c>
      <c r="K2924" s="3" t="str">
        <f t="shared" si="315"/>
        <v>2</v>
      </c>
      <c r="L2924" s="13" t="str">
        <f>IFERROR(VLOOKUP(C2924,'Справочник соответствий'!A$2:D$2981,3,FALSE),IF(VALUE(C2924)=0,"ЭТАЖ НЕ ОПРЕДЕЛЕН. ПРИНЯТ ПО ДОПУЩЕНИЮ 1",VLOOKUP(C2924,'Справочник соответствий'!A$2:D$2981,3,FALSE)))</f>
        <v>ЭТАЖ ЗАДАН ЧИСЛОМ</v>
      </c>
      <c r="M2924" s="13" t="b">
        <f t="shared" si="316"/>
        <v>0</v>
      </c>
      <c r="N2924" s="13">
        <f t="shared" si="317"/>
        <v>2</v>
      </c>
      <c r="O2924" s="13" t="str">
        <f t="shared" si="318"/>
        <v>ЭТАЖ ЗАДАН ЧИСЛОМ</v>
      </c>
      <c r="P2924" s="13" t="str">
        <f t="shared" si="319"/>
        <v>ЭТАЖ ЗАДАН ЧИСЛОМ</v>
      </c>
      <c r="Q2924" s="13" t="str">
        <f t="shared" si="320"/>
        <v>ГОТОВ_ИЗМЕНЕН</v>
      </c>
      <c r="R2924" s="13">
        <f>IFERROR(VLOOKUP(P2924,Лист1!A$1:B$20,2,FALSE),0)</f>
        <v>784</v>
      </c>
      <c r="S2924" s="13">
        <f t="shared" si="321"/>
        <v>0</v>
      </c>
    </row>
    <row r="2925" spans="1:19" x14ac:dyDescent="0.25">
      <c r="A2925" s="24" t="s">
        <v>4057</v>
      </c>
      <c r="B2925" s="4" t="s">
        <v>1059</v>
      </c>
      <c r="C2925" s="25" t="s">
        <v>7</v>
      </c>
      <c r="G2925" s="25" t="s">
        <v>1069</v>
      </c>
      <c r="H2925" s="24" t="s">
        <v>1061</v>
      </c>
      <c r="I2925" s="3" t="str">
        <f>IFERROR(VLOOKUP(C2925,'Справочник соответствий'!A$2:D$2981,2,FALSE),IF(VALUE(C2925)=0,1,VLOOKUP(C2925,'Справочник соответствий'!A$2:D$2981,2,FALSE)))</f>
        <v>2</v>
      </c>
      <c r="J2925" s="3">
        <f>IFERROR(VLOOKUP(D2925,'Справочник соответствий'!A$2:D$2981,2,FALSE),IF(VALUE(D2925)=0,0,VLOOKUP(D2925,'Справочник соответствий'!A$2:D$2981,2,FALSE)))</f>
        <v>0</v>
      </c>
      <c r="K2925" s="3" t="str">
        <f t="shared" si="315"/>
        <v>2</v>
      </c>
      <c r="L2925" s="13" t="str">
        <f>IFERROR(VLOOKUP(C2925,'Справочник соответствий'!A$2:D$2981,3,FALSE),IF(VALUE(C2925)=0,"ЭТАЖ НЕ ОПРЕДЕЛЕН. ПРИНЯТ ПО ДОПУЩЕНИЮ 1",VLOOKUP(C2925,'Справочник соответствий'!A$2:D$2981,3,FALSE)))</f>
        <v>ЭТАЖ ЗАДАН ЧИСЛОМ</v>
      </c>
      <c r="M2925" s="13" t="b">
        <f t="shared" si="316"/>
        <v>0</v>
      </c>
      <c r="N2925" s="13">
        <f t="shared" si="317"/>
        <v>2</v>
      </c>
      <c r="O2925" s="13" t="str">
        <f t="shared" si="318"/>
        <v>ЭТАЖ ЗАДАН ЧИСЛОМ</v>
      </c>
      <c r="P2925" s="13" t="str">
        <f t="shared" si="319"/>
        <v>ЭТАЖ ЗАДАН ЧИСЛОМ</v>
      </c>
      <c r="Q2925" s="13" t="str">
        <f t="shared" si="320"/>
        <v>ГОТОВ_ИЗМЕНЕН</v>
      </c>
      <c r="R2925" s="13">
        <f>IFERROR(VLOOKUP(P2925,Лист1!A$1:B$20,2,FALSE),0)</f>
        <v>784</v>
      </c>
      <c r="S2925" s="13">
        <f t="shared" si="321"/>
        <v>0</v>
      </c>
    </row>
    <row r="2926" spans="1:19" x14ac:dyDescent="0.25">
      <c r="A2926" s="24" t="s">
        <v>4058</v>
      </c>
      <c r="B2926" s="4" t="s">
        <v>1059</v>
      </c>
      <c r="C2926" s="25" t="s">
        <v>7</v>
      </c>
      <c r="G2926" s="25" t="s">
        <v>1114</v>
      </c>
      <c r="H2926" s="24" t="s">
        <v>1061</v>
      </c>
      <c r="I2926" s="3" t="str">
        <f>IFERROR(VLOOKUP(C2926,'Справочник соответствий'!A$2:D$2981,2,FALSE),IF(VALUE(C2926)=0,1,VLOOKUP(C2926,'Справочник соответствий'!A$2:D$2981,2,FALSE)))</f>
        <v>2</v>
      </c>
      <c r="J2926" s="3">
        <f>IFERROR(VLOOKUP(D2926,'Справочник соответствий'!A$2:D$2981,2,FALSE),IF(VALUE(D2926)=0,0,VLOOKUP(D2926,'Справочник соответствий'!A$2:D$2981,2,FALSE)))</f>
        <v>0</v>
      </c>
      <c r="K2926" s="3" t="str">
        <f t="shared" si="315"/>
        <v>2</v>
      </c>
      <c r="L2926" s="13" t="str">
        <f>IFERROR(VLOOKUP(C2926,'Справочник соответствий'!A$2:D$2981,3,FALSE),IF(VALUE(C2926)=0,"ЭТАЖ НЕ ОПРЕДЕЛЕН. ПРИНЯТ ПО ДОПУЩЕНИЮ 1",VLOOKUP(C2926,'Справочник соответствий'!A$2:D$2981,3,FALSE)))</f>
        <v>ЭТАЖ ЗАДАН ЧИСЛОМ</v>
      </c>
      <c r="M2926" s="13" t="b">
        <f t="shared" si="316"/>
        <v>0</v>
      </c>
      <c r="N2926" s="13">
        <f t="shared" si="317"/>
        <v>2</v>
      </c>
      <c r="O2926" s="13" t="str">
        <f t="shared" si="318"/>
        <v>ЭТАЖ ЗАДАН ЧИСЛОМ</v>
      </c>
      <c r="P2926" s="13" t="str">
        <f t="shared" si="319"/>
        <v>ЭТАЖ ЗАДАН ЧИСЛОМ</v>
      </c>
      <c r="Q2926" s="13" t="str">
        <f t="shared" si="320"/>
        <v>ГОТОВ_ИЗМЕНЕН</v>
      </c>
      <c r="R2926" s="13">
        <f>IFERROR(VLOOKUP(P2926,Лист1!A$1:B$20,2,FALSE),0)</f>
        <v>784</v>
      </c>
      <c r="S2926" s="13">
        <f t="shared" si="321"/>
        <v>0</v>
      </c>
    </row>
    <row r="2927" spans="1:19" x14ac:dyDescent="0.25">
      <c r="A2927" s="24" t="s">
        <v>4059</v>
      </c>
      <c r="B2927" s="4" t="s">
        <v>1059</v>
      </c>
      <c r="C2927" s="25" t="s">
        <v>5</v>
      </c>
      <c r="G2927" s="25" t="s">
        <v>1069</v>
      </c>
      <c r="H2927" s="24" t="s">
        <v>1061</v>
      </c>
      <c r="I2927" s="3" t="str">
        <f>IFERROR(VLOOKUP(C2927,'Справочник соответствий'!A$2:D$2981,2,FALSE),IF(VALUE(C2927)=0,1,VLOOKUP(C2927,'Справочник соответствий'!A$2:D$2981,2,FALSE)))</f>
        <v>1</v>
      </c>
      <c r="J2927" s="3">
        <f>IFERROR(VLOOKUP(D2927,'Справочник соответствий'!A$2:D$2981,2,FALSE),IF(VALUE(D2927)=0,0,VLOOKUP(D2927,'Справочник соответствий'!A$2:D$2981,2,FALSE)))</f>
        <v>0</v>
      </c>
      <c r="K2927" s="3" t="str">
        <f t="shared" si="315"/>
        <v>1</v>
      </c>
      <c r="L2927" s="13" t="str">
        <f>IFERROR(VLOOKUP(C2927,'Справочник соответствий'!A$2:D$2981,3,FALSE),IF(VALUE(C2927)=0,"ЭТАЖ НЕ ОПРЕДЕЛЕН. ПРИНЯТ ПО ДОПУЩЕНИЮ 1",VLOOKUP(C2927,'Справочник соответствий'!A$2:D$2981,3,FALSE)))</f>
        <v>ЭТАЖ ЗАДАН ЧИСЛОМ</v>
      </c>
      <c r="M2927" s="13" t="b">
        <f t="shared" si="316"/>
        <v>0</v>
      </c>
      <c r="N2927" s="13">
        <f t="shared" si="317"/>
        <v>1</v>
      </c>
      <c r="O2927" s="13" t="str">
        <f t="shared" si="318"/>
        <v>ЭТАЖ ЗАДАН ЧИСЛОМ</v>
      </c>
      <c r="P2927" s="13" t="str">
        <f t="shared" si="319"/>
        <v>ЭТАЖ ЗАДАН ЧИСЛОМ</v>
      </c>
      <c r="Q2927" s="13" t="str">
        <f t="shared" si="320"/>
        <v>ГОТОВ_ИЗМЕНЕН</v>
      </c>
      <c r="R2927" s="13">
        <f>IFERROR(VLOOKUP(P2927,Лист1!A$1:B$20,2,FALSE),0)</f>
        <v>784</v>
      </c>
      <c r="S2927" s="13">
        <f t="shared" si="321"/>
        <v>0</v>
      </c>
    </row>
    <row r="2928" spans="1:19" x14ac:dyDescent="0.25">
      <c r="A2928" s="24" t="s">
        <v>4060</v>
      </c>
      <c r="B2928" s="4" t="s">
        <v>1059</v>
      </c>
      <c r="C2928" s="25" t="s">
        <v>7</v>
      </c>
      <c r="G2928" s="25" t="s">
        <v>1069</v>
      </c>
      <c r="H2928" s="24" t="s">
        <v>1061</v>
      </c>
      <c r="I2928" s="3" t="str">
        <f>IFERROR(VLOOKUP(C2928,'Справочник соответствий'!A$2:D$2981,2,FALSE),IF(VALUE(C2928)=0,1,VLOOKUP(C2928,'Справочник соответствий'!A$2:D$2981,2,FALSE)))</f>
        <v>2</v>
      </c>
      <c r="J2928" s="3">
        <f>IFERROR(VLOOKUP(D2928,'Справочник соответствий'!A$2:D$2981,2,FALSE),IF(VALUE(D2928)=0,0,VLOOKUP(D2928,'Справочник соответствий'!A$2:D$2981,2,FALSE)))</f>
        <v>0</v>
      </c>
      <c r="K2928" s="3" t="str">
        <f t="shared" si="315"/>
        <v>2</v>
      </c>
      <c r="L2928" s="13" t="str">
        <f>IFERROR(VLOOKUP(C2928,'Справочник соответствий'!A$2:D$2981,3,FALSE),IF(VALUE(C2928)=0,"ЭТАЖ НЕ ОПРЕДЕЛЕН. ПРИНЯТ ПО ДОПУЩЕНИЮ 1",VLOOKUP(C2928,'Справочник соответствий'!A$2:D$2981,3,FALSE)))</f>
        <v>ЭТАЖ ЗАДАН ЧИСЛОМ</v>
      </c>
      <c r="M2928" s="13" t="b">
        <f t="shared" si="316"/>
        <v>0</v>
      </c>
      <c r="N2928" s="13">
        <f t="shared" si="317"/>
        <v>2</v>
      </c>
      <c r="O2928" s="13" t="str">
        <f t="shared" si="318"/>
        <v>ЭТАЖ ЗАДАН ЧИСЛОМ</v>
      </c>
      <c r="P2928" s="13" t="str">
        <f t="shared" si="319"/>
        <v>ЭТАЖ ЗАДАН ЧИСЛОМ</v>
      </c>
      <c r="Q2928" s="13" t="str">
        <f t="shared" si="320"/>
        <v>ГОТОВ_ИЗМЕНЕН</v>
      </c>
      <c r="R2928" s="13">
        <f>IFERROR(VLOOKUP(P2928,Лист1!A$1:B$20,2,FALSE),0)</f>
        <v>784</v>
      </c>
      <c r="S2928" s="13">
        <f t="shared" si="321"/>
        <v>0</v>
      </c>
    </row>
    <row r="2929" spans="1:19" x14ac:dyDescent="0.25">
      <c r="A2929" s="24" t="s">
        <v>4061</v>
      </c>
      <c r="B2929" s="4" t="s">
        <v>1063</v>
      </c>
      <c r="G2929" s="25" t="s">
        <v>1060</v>
      </c>
      <c r="H2929" s="24" t="s">
        <v>1061</v>
      </c>
      <c r="I2929" s="3">
        <f>IFERROR(VLOOKUP(C2929,'Справочник соответствий'!A$2:D$2981,2,FALSE),IF(VALUE(C2929)=0,1,VLOOKUP(C2929,'Справочник соответствий'!A$2:D$2981,2,FALSE)))</f>
        <v>1</v>
      </c>
      <c r="J2929" s="3">
        <f>IFERROR(VLOOKUP(D2929,'Справочник соответствий'!A$2:D$2981,2,FALSE),IF(VALUE(D2929)=0,0,VLOOKUP(D2929,'Справочник соответствий'!A$2:D$2981,2,FALSE)))</f>
        <v>0</v>
      </c>
      <c r="K2929" s="3">
        <f t="shared" si="315"/>
        <v>1</v>
      </c>
      <c r="L2929" s="13" t="str">
        <f>IFERROR(VLOOKUP(C2929,'Справочник соответствий'!A$2:D$2981,3,FALSE),IF(VALUE(C2929)=0,"ЭТАЖ НЕ ОПРЕДЕЛЕН. ПРИНЯТ ПО ДОПУЩЕНИЮ 1",VLOOKUP(C2929,'Справочник соответствий'!A$2:D$2981,3,FALSE)))</f>
        <v>ЭТАЖ НЕ ОПРЕДЕЛЕН. ПРИНЯТ ПО ДОПУЩЕНИЮ 1</v>
      </c>
      <c r="M2929" s="13" t="b">
        <f t="shared" si="316"/>
        <v>0</v>
      </c>
      <c r="N2929" s="13">
        <f t="shared" si="317"/>
        <v>1</v>
      </c>
      <c r="O2929" s="13" t="str">
        <f t="shared" si="318"/>
        <v>ЭТАЖ НЕ ОПРЕДЕЛЕН. ПРИНЯТ ПО ДОПУЩЕНИЮ 1</v>
      </c>
      <c r="P2929" s="13" t="str">
        <f t="shared" si="319"/>
        <v>ЭТАЖ НЕ ОПРЕДЕЛЕН. ПРИНЯТ ПО ДОПУЩЕНИЮ 1</v>
      </c>
      <c r="Q2929" s="13" t="str">
        <f t="shared" si="320"/>
        <v>ГОТОВ_ИЗМЕНЕН</v>
      </c>
      <c r="R2929" s="13">
        <f>IFERROR(VLOOKUP(P2929,Лист1!A$1:B$20,2,FALSE),0)</f>
        <v>788</v>
      </c>
      <c r="S2929" s="13">
        <f t="shared" si="321"/>
        <v>0</v>
      </c>
    </row>
    <row r="2930" spans="1:19" x14ac:dyDescent="0.25">
      <c r="A2930" s="24" t="s">
        <v>4062</v>
      </c>
      <c r="B2930" s="4" t="s">
        <v>1063</v>
      </c>
      <c r="C2930" s="25" t="s">
        <v>5</v>
      </c>
      <c r="G2930" s="25" t="s">
        <v>1114</v>
      </c>
      <c r="H2930" s="24" t="s">
        <v>1061</v>
      </c>
      <c r="I2930" s="3" t="str">
        <f>IFERROR(VLOOKUP(C2930,'Справочник соответствий'!A$2:D$2981,2,FALSE),IF(VALUE(C2930)=0,1,VLOOKUP(C2930,'Справочник соответствий'!A$2:D$2981,2,FALSE)))</f>
        <v>1</v>
      </c>
      <c r="J2930" s="3">
        <f>IFERROR(VLOOKUP(D2930,'Справочник соответствий'!A$2:D$2981,2,FALSE),IF(VALUE(D2930)=0,0,VLOOKUP(D2930,'Справочник соответствий'!A$2:D$2981,2,FALSE)))</f>
        <v>0</v>
      </c>
      <c r="K2930" s="3" t="str">
        <f t="shared" si="315"/>
        <v>1</v>
      </c>
      <c r="L2930" s="13" t="str">
        <f>IFERROR(VLOOKUP(C2930,'Справочник соответствий'!A$2:D$2981,3,FALSE),IF(VALUE(C2930)=0,"ЭТАЖ НЕ ОПРЕДЕЛЕН. ПРИНЯТ ПО ДОПУЩЕНИЮ 1",VLOOKUP(C2930,'Справочник соответствий'!A$2:D$2981,3,FALSE)))</f>
        <v>ЭТАЖ ЗАДАН ЧИСЛОМ</v>
      </c>
      <c r="M2930" s="13" t="b">
        <f t="shared" si="316"/>
        <v>0</v>
      </c>
      <c r="N2930" s="13">
        <f t="shared" si="317"/>
        <v>1</v>
      </c>
      <c r="O2930" s="13" t="str">
        <f t="shared" si="318"/>
        <v>ЭТАЖ ЗАДАН ЧИСЛОМ</v>
      </c>
      <c r="P2930" s="13" t="str">
        <f t="shared" si="319"/>
        <v>ЭТАЖ ЗАДАН ЧИСЛОМ</v>
      </c>
      <c r="Q2930" s="13" t="str">
        <f t="shared" si="320"/>
        <v>ГОТОВ_ИЗМЕНЕН</v>
      </c>
      <c r="R2930" s="13">
        <f>IFERROR(VLOOKUP(P2930,Лист1!A$1:B$20,2,FALSE),0)</f>
        <v>784</v>
      </c>
      <c r="S2930" s="13">
        <f t="shared" si="321"/>
        <v>0</v>
      </c>
    </row>
    <row r="2931" spans="1:19" x14ac:dyDescent="0.25">
      <c r="A2931" s="24" t="s">
        <v>4063</v>
      </c>
      <c r="B2931" s="4" t="s">
        <v>1059</v>
      </c>
      <c r="C2931" s="25" t="s">
        <v>5</v>
      </c>
      <c r="G2931" s="25" t="s">
        <v>1069</v>
      </c>
      <c r="H2931" s="24" t="s">
        <v>1061</v>
      </c>
      <c r="I2931" s="3" t="str">
        <f>IFERROR(VLOOKUP(C2931,'Справочник соответствий'!A$2:D$2981,2,FALSE),IF(VALUE(C2931)=0,1,VLOOKUP(C2931,'Справочник соответствий'!A$2:D$2981,2,FALSE)))</f>
        <v>1</v>
      </c>
      <c r="J2931" s="3">
        <f>IFERROR(VLOOKUP(D2931,'Справочник соответствий'!A$2:D$2981,2,FALSE),IF(VALUE(D2931)=0,0,VLOOKUP(D2931,'Справочник соответствий'!A$2:D$2981,2,FALSE)))</f>
        <v>0</v>
      </c>
      <c r="K2931" s="3" t="str">
        <f t="shared" si="315"/>
        <v>1</v>
      </c>
      <c r="L2931" s="13" t="str">
        <f>IFERROR(VLOOKUP(C2931,'Справочник соответствий'!A$2:D$2981,3,FALSE),IF(VALUE(C2931)=0,"ЭТАЖ НЕ ОПРЕДЕЛЕН. ПРИНЯТ ПО ДОПУЩЕНИЮ 1",VLOOKUP(C2931,'Справочник соответствий'!A$2:D$2981,3,FALSE)))</f>
        <v>ЭТАЖ ЗАДАН ЧИСЛОМ</v>
      </c>
      <c r="M2931" s="13" t="b">
        <f t="shared" si="316"/>
        <v>0</v>
      </c>
      <c r="N2931" s="13">
        <f t="shared" si="317"/>
        <v>1</v>
      </c>
      <c r="O2931" s="13" t="str">
        <f t="shared" si="318"/>
        <v>ЭТАЖ ЗАДАН ЧИСЛОМ</v>
      </c>
      <c r="P2931" s="13" t="str">
        <f t="shared" si="319"/>
        <v>ЭТАЖ ЗАДАН ЧИСЛОМ</v>
      </c>
      <c r="Q2931" s="13" t="str">
        <f t="shared" si="320"/>
        <v>ГОТОВ_ИЗМЕНЕН</v>
      </c>
      <c r="R2931" s="13">
        <f>IFERROR(VLOOKUP(P2931,Лист1!A$1:B$20,2,FALSE),0)</f>
        <v>784</v>
      </c>
      <c r="S2931" s="13">
        <f t="shared" si="321"/>
        <v>0</v>
      </c>
    </row>
    <row r="2932" spans="1:19" x14ac:dyDescent="0.25">
      <c r="A2932" s="24" t="s">
        <v>4064</v>
      </c>
      <c r="B2932" s="4" t="s">
        <v>1059</v>
      </c>
      <c r="C2932" s="25" t="s">
        <v>5</v>
      </c>
      <c r="G2932" s="25" t="s">
        <v>1325</v>
      </c>
      <c r="H2932" s="24" t="s">
        <v>1061</v>
      </c>
      <c r="I2932" s="3" t="str">
        <f>IFERROR(VLOOKUP(C2932,'Справочник соответствий'!A$2:D$2981,2,FALSE),IF(VALUE(C2932)=0,1,VLOOKUP(C2932,'Справочник соответствий'!A$2:D$2981,2,FALSE)))</f>
        <v>1</v>
      </c>
      <c r="J2932" s="3">
        <f>IFERROR(VLOOKUP(D2932,'Справочник соответствий'!A$2:D$2981,2,FALSE),IF(VALUE(D2932)=0,0,VLOOKUP(D2932,'Справочник соответствий'!A$2:D$2981,2,FALSE)))</f>
        <v>0</v>
      </c>
      <c r="K2932" s="3" t="str">
        <f t="shared" si="315"/>
        <v>1</v>
      </c>
      <c r="L2932" s="13" t="str">
        <f>IFERROR(VLOOKUP(C2932,'Справочник соответствий'!A$2:D$2981,3,FALSE),IF(VALUE(C2932)=0,"ЭТАЖ НЕ ОПРЕДЕЛЕН. ПРИНЯТ ПО ДОПУЩЕНИЮ 1",VLOOKUP(C2932,'Справочник соответствий'!A$2:D$2981,3,FALSE)))</f>
        <v>ЭТАЖ ЗАДАН ЧИСЛОМ</v>
      </c>
      <c r="M2932" s="13" t="b">
        <f t="shared" si="316"/>
        <v>0</v>
      </c>
      <c r="N2932" s="13">
        <f t="shared" si="317"/>
        <v>1</v>
      </c>
      <c r="O2932" s="13" t="str">
        <f t="shared" si="318"/>
        <v>ЭТАЖ ЗАДАН ЧИСЛОМ</v>
      </c>
      <c r="P2932" s="13" t="str">
        <f t="shared" si="319"/>
        <v>ЭТАЖ ЗАДАН ЧИСЛОМ</v>
      </c>
      <c r="Q2932" s="13" t="str">
        <f t="shared" si="320"/>
        <v>ГОТОВ_ИЗМЕНЕН</v>
      </c>
      <c r="R2932" s="13">
        <f>IFERROR(VLOOKUP(P2932,Лист1!A$1:B$20,2,FALSE),0)</f>
        <v>784</v>
      </c>
      <c r="S2932" s="13">
        <f t="shared" si="321"/>
        <v>0</v>
      </c>
    </row>
    <row r="2933" spans="1:19" x14ac:dyDescent="0.25">
      <c r="A2933" s="24" t="s">
        <v>4065</v>
      </c>
      <c r="B2933" s="4" t="s">
        <v>1063</v>
      </c>
      <c r="C2933" s="25" t="s">
        <v>5</v>
      </c>
      <c r="G2933" s="25" t="s">
        <v>1325</v>
      </c>
      <c r="H2933" s="24" t="s">
        <v>1061</v>
      </c>
      <c r="I2933" s="3" t="str">
        <f>IFERROR(VLOOKUP(C2933,'Справочник соответствий'!A$2:D$2981,2,FALSE),IF(VALUE(C2933)=0,1,VLOOKUP(C2933,'Справочник соответствий'!A$2:D$2981,2,FALSE)))</f>
        <v>1</v>
      </c>
      <c r="J2933" s="3">
        <f>IFERROR(VLOOKUP(D2933,'Справочник соответствий'!A$2:D$2981,2,FALSE),IF(VALUE(D2933)=0,0,VLOOKUP(D2933,'Справочник соответствий'!A$2:D$2981,2,FALSE)))</f>
        <v>0</v>
      </c>
      <c r="K2933" s="3" t="str">
        <f t="shared" si="315"/>
        <v>1</v>
      </c>
      <c r="L2933" s="13" t="str">
        <f>IFERROR(VLOOKUP(C2933,'Справочник соответствий'!A$2:D$2981,3,FALSE),IF(VALUE(C2933)=0,"ЭТАЖ НЕ ОПРЕДЕЛЕН. ПРИНЯТ ПО ДОПУЩЕНИЮ 1",VLOOKUP(C2933,'Справочник соответствий'!A$2:D$2981,3,FALSE)))</f>
        <v>ЭТАЖ ЗАДАН ЧИСЛОМ</v>
      </c>
      <c r="M2933" s="13" t="b">
        <f t="shared" si="316"/>
        <v>0</v>
      </c>
      <c r="N2933" s="13">
        <f t="shared" si="317"/>
        <v>1</v>
      </c>
      <c r="O2933" s="13" t="str">
        <f t="shared" si="318"/>
        <v>ЭТАЖ ЗАДАН ЧИСЛОМ</v>
      </c>
      <c r="P2933" s="13" t="str">
        <f t="shared" si="319"/>
        <v>ЭТАЖ ЗАДАН ЧИСЛОМ</v>
      </c>
      <c r="Q2933" s="13" t="str">
        <f t="shared" si="320"/>
        <v>ГОТОВ_ИЗМЕНЕН</v>
      </c>
      <c r="R2933" s="13">
        <f>IFERROR(VLOOKUP(P2933,Лист1!A$1:B$20,2,FALSE),0)</f>
        <v>784</v>
      </c>
      <c r="S2933" s="13">
        <f t="shared" si="321"/>
        <v>0</v>
      </c>
    </row>
    <row r="2934" spans="1:19" x14ac:dyDescent="0.25">
      <c r="A2934" s="24" t="s">
        <v>4066</v>
      </c>
      <c r="B2934" s="4" t="s">
        <v>1059</v>
      </c>
      <c r="C2934" s="25" t="s">
        <v>5</v>
      </c>
      <c r="G2934" s="25" t="s">
        <v>1069</v>
      </c>
      <c r="H2934" s="24" t="s">
        <v>1061</v>
      </c>
      <c r="I2934" s="3" t="str">
        <f>IFERROR(VLOOKUP(C2934,'Справочник соответствий'!A$2:D$2981,2,FALSE),IF(VALUE(C2934)=0,1,VLOOKUP(C2934,'Справочник соответствий'!A$2:D$2981,2,FALSE)))</f>
        <v>1</v>
      </c>
      <c r="J2934" s="3">
        <f>IFERROR(VLOOKUP(D2934,'Справочник соответствий'!A$2:D$2981,2,FALSE),IF(VALUE(D2934)=0,0,VLOOKUP(D2934,'Справочник соответствий'!A$2:D$2981,2,FALSE)))</f>
        <v>0</v>
      </c>
      <c r="K2934" s="3" t="str">
        <f t="shared" si="315"/>
        <v>1</v>
      </c>
      <c r="L2934" s="13" t="str">
        <f>IFERROR(VLOOKUP(C2934,'Справочник соответствий'!A$2:D$2981,3,FALSE),IF(VALUE(C2934)=0,"ЭТАЖ НЕ ОПРЕДЕЛЕН. ПРИНЯТ ПО ДОПУЩЕНИЮ 1",VLOOKUP(C2934,'Справочник соответствий'!A$2:D$2981,3,FALSE)))</f>
        <v>ЭТАЖ ЗАДАН ЧИСЛОМ</v>
      </c>
      <c r="M2934" s="13" t="b">
        <f t="shared" si="316"/>
        <v>0</v>
      </c>
      <c r="N2934" s="13">
        <f t="shared" si="317"/>
        <v>1</v>
      </c>
      <c r="O2934" s="13" t="str">
        <f t="shared" si="318"/>
        <v>ЭТАЖ ЗАДАН ЧИСЛОМ</v>
      </c>
      <c r="P2934" s="13" t="str">
        <f t="shared" si="319"/>
        <v>ЭТАЖ ЗАДАН ЧИСЛОМ</v>
      </c>
      <c r="Q2934" s="13" t="str">
        <f t="shared" si="320"/>
        <v>ГОТОВ_ИЗМЕНЕН</v>
      </c>
      <c r="R2934" s="13">
        <f>IFERROR(VLOOKUP(P2934,Лист1!A$1:B$20,2,FALSE),0)</f>
        <v>784</v>
      </c>
      <c r="S2934" s="13">
        <f t="shared" si="321"/>
        <v>0</v>
      </c>
    </row>
    <row r="2935" spans="1:19" x14ac:dyDescent="0.25">
      <c r="A2935" s="24" t="s">
        <v>4067</v>
      </c>
      <c r="B2935" s="4" t="s">
        <v>1063</v>
      </c>
      <c r="C2935" s="25" t="s">
        <v>5</v>
      </c>
      <c r="G2935" s="25" t="s">
        <v>1325</v>
      </c>
      <c r="H2935" s="24" t="s">
        <v>1061</v>
      </c>
      <c r="I2935" s="3" t="str">
        <f>IFERROR(VLOOKUP(C2935,'Справочник соответствий'!A$2:D$2981,2,FALSE),IF(VALUE(C2935)=0,1,VLOOKUP(C2935,'Справочник соответствий'!A$2:D$2981,2,FALSE)))</f>
        <v>1</v>
      </c>
      <c r="J2935" s="3">
        <f>IFERROR(VLOOKUP(D2935,'Справочник соответствий'!A$2:D$2981,2,FALSE),IF(VALUE(D2935)=0,0,VLOOKUP(D2935,'Справочник соответствий'!A$2:D$2981,2,FALSE)))</f>
        <v>0</v>
      </c>
      <c r="K2935" s="3" t="str">
        <f t="shared" si="315"/>
        <v>1</v>
      </c>
      <c r="L2935" s="13" t="str">
        <f>IFERROR(VLOOKUP(C2935,'Справочник соответствий'!A$2:D$2981,3,FALSE),IF(VALUE(C2935)=0,"ЭТАЖ НЕ ОПРЕДЕЛЕН. ПРИНЯТ ПО ДОПУЩЕНИЮ 1",VLOOKUP(C2935,'Справочник соответствий'!A$2:D$2981,3,FALSE)))</f>
        <v>ЭТАЖ ЗАДАН ЧИСЛОМ</v>
      </c>
      <c r="M2935" s="13" t="b">
        <f t="shared" si="316"/>
        <v>0</v>
      </c>
      <c r="N2935" s="13">
        <f t="shared" si="317"/>
        <v>1</v>
      </c>
      <c r="O2935" s="13" t="str">
        <f t="shared" si="318"/>
        <v>ЭТАЖ ЗАДАН ЧИСЛОМ</v>
      </c>
      <c r="P2935" s="13" t="str">
        <f t="shared" si="319"/>
        <v>ЭТАЖ ЗАДАН ЧИСЛОМ</v>
      </c>
      <c r="Q2935" s="13" t="str">
        <f t="shared" si="320"/>
        <v>ГОТОВ_ИЗМЕНЕН</v>
      </c>
      <c r="R2935" s="13">
        <f>IFERROR(VLOOKUP(P2935,Лист1!A$1:B$20,2,FALSE),0)</f>
        <v>784</v>
      </c>
      <c r="S2935" s="13">
        <f t="shared" si="321"/>
        <v>0</v>
      </c>
    </row>
    <row r="2936" spans="1:19" x14ac:dyDescent="0.25">
      <c r="A2936" s="24" t="s">
        <v>4068</v>
      </c>
      <c r="B2936" s="4" t="s">
        <v>1063</v>
      </c>
      <c r="C2936" s="25" t="s">
        <v>5</v>
      </c>
      <c r="G2936" s="25" t="s">
        <v>1069</v>
      </c>
      <c r="H2936" s="24" t="s">
        <v>1061</v>
      </c>
      <c r="I2936" s="3" t="str">
        <f>IFERROR(VLOOKUP(C2936,'Справочник соответствий'!A$2:D$2981,2,FALSE),IF(VALUE(C2936)=0,1,VLOOKUP(C2936,'Справочник соответствий'!A$2:D$2981,2,FALSE)))</f>
        <v>1</v>
      </c>
      <c r="J2936" s="3">
        <f>IFERROR(VLOOKUP(D2936,'Справочник соответствий'!A$2:D$2981,2,FALSE),IF(VALUE(D2936)=0,0,VLOOKUP(D2936,'Справочник соответствий'!A$2:D$2981,2,FALSE)))</f>
        <v>0</v>
      </c>
      <c r="K2936" s="3" t="str">
        <f t="shared" si="315"/>
        <v>1</v>
      </c>
      <c r="L2936" s="13" t="str">
        <f>IFERROR(VLOOKUP(C2936,'Справочник соответствий'!A$2:D$2981,3,FALSE),IF(VALUE(C2936)=0,"ЭТАЖ НЕ ОПРЕДЕЛЕН. ПРИНЯТ ПО ДОПУЩЕНИЮ 1",VLOOKUP(C2936,'Справочник соответствий'!A$2:D$2981,3,FALSE)))</f>
        <v>ЭТАЖ ЗАДАН ЧИСЛОМ</v>
      </c>
      <c r="M2936" s="13" t="b">
        <f t="shared" si="316"/>
        <v>0</v>
      </c>
      <c r="N2936" s="13">
        <f t="shared" si="317"/>
        <v>1</v>
      </c>
      <c r="O2936" s="13" t="str">
        <f t="shared" si="318"/>
        <v>ЭТАЖ ЗАДАН ЧИСЛОМ</v>
      </c>
      <c r="P2936" s="13" t="str">
        <f t="shared" si="319"/>
        <v>ЭТАЖ ЗАДАН ЧИСЛОМ</v>
      </c>
      <c r="Q2936" s="13" t="str">
        <f t="shared" si="320"/>
        <v>ГОТОВ_ИЗМЕНЕН</v>
      </c>
      <c r="R2936" s="13">
        <f>IFERROR(VLOOKUP(P2936,Лист1!A$1:B$20,2,FALSE),0)</f>
        <v>784</v>
      </c>
      <c r="S2936" s="13">
        <f t="shared" si="321"/>
        <v>0</v>
      </c>
    </row>
    <row r="2937" spans="1:19" x14ac:dyDescent="0.25">
      <c r="A2937" s="24" t="s">
        <v>4069</v>
      </c>
      <c r="B2937" s="4" t="s">
        <v>1059</v>
      </c>
      <c r="C2937" s="25" t="s">
        <v>5</v>
      </c>
      <c r="G2937" s="25" t="s">
        <v>1108</v>
      </c>
      <c r="H2937" s="24" t="s">
        <v>1061</v>
      </c>
      <c r="I2937" s="3" t="str">
        <f>IFERROR(VLOOKUP(C2937,'Справочник соответствий'!A$2:D$2981,2,FALSE),IF(VALUE(C2937)=0,1,VLOOKUP(C2937,'Справочник соответствий'!A$2:D$2981,2,FALSE)))</f>
        <v>1</v>
      </c>
      <c r="J2937" s="3">
        <f>IFERROR(VLOOKUP(D2937,'Справочник соответствий'!A$2:D$2981,2,FALSE),IF(VALUE(D2937)=0,0,VLOOKUP(D2937,'Справочник соответствий'!A$2:D$2981,2,FALSE)))</f>
        <v>0</v>
      </c>
      <c r="K2937" s="3" t="str">
        <f t="shared" si="315"/>
        <v>1</v>
      </c>
      <c r="L2937" s="13" t="str">
        <f>IFERROR(VLOOKUP(C2937,'Справочник соответствий'!A$2:D$2981,3,FALSE),IF(VALUE(C2937)=0,"ЭТАЖ НЕ ОПРЕДЕЛЕН. ПРИНЯТ ПО ДОПУЩЕНИЮ 1",VLOOKUP(C2937,'Справочник соответствий'!A$2:D$2981,3,FALSE)))</f>
        <v>ЭТАЖ ЗАДАН ЧИСЛОМ</v>
      </c>
      <c r="M2937" s="13" t="b">
        <f t="shared" si="316"/>
        <v>0</v>
      </c>
      <c r="N2937" s="13">
        <f t="shared" si="317"/>
        <v>1</v>
      </c>
      <c r="O2937" s="13" t="str">
        <f t="shared" si="318"/>
        <v>ЭТАЖ ЗАДАН ЧИСЛОМ</v>
      </c>
      <c r="P2937" s="13" t="str">
        <f t="shared" si="319"/>
        <v>ЭТАЖ ЗАДАН ЧИСЛОМ</v>
      </c>
      <c r="Q2937" s="13" t="str">
        <f t="shared" si="320"/>
        <v>ГОТОВ_ИЗМЕНЕН</v>
      </c>
      <c r="R2937" s="13">
        <f>IFERROR(VLOOKUP(P2937,Лист1!A$1:B$20,2,FALSE),0)</f>
        <v>784</v>
      </c>
      <c r="S2937" s="13">
        <f t="shared" si="321"/>
        <v>0</v>
      </c>
    </row>
    <row r="2938" spans="1:19" x14ac:dyDescent="0.25">
      <c r="A2938" s="24" t="s">
        <v>4070</v>
      </c>
      <c r="B2938" s="4" t="s">
        <v>1063</v>
      </c>
      <c r="C2938" s="25" t="s">
        <v>5</v>
      </c>
      <c r="G2938" s="25" t="s">
        <v>1698</v>
      </c>
      <c r="H2938" s="24" t="s">
        <v>1061</v>
      </c>
      <c r="I2938" s="3" t="str">
        <f>IFERROR(VLOOKUP(C2938,'Справочник соответствий'!A$2:D$2981,2,FALSE),IF(VALUE(C2938)=0,1,VLOOKUP(C2938,'Справочник соответствий'!A$2:D$2981,2,FALSE)))</f>
        <v>1</v>
      </c>
      <c r="J2938" s="3">
        <f>IFERROR(VLOOKUP(D2938,'Справочник соответствий'!A$2:D$2981,2,FALSE),IF(VALUE(D2938)=0,0,VLOOKUP(D2938,'Справочник соответствий'!A$2:D$2981,2,FALSE)))</f>
        <v>0</v>
      </c>
      <c r="K2938" s="3" t="str">
        <f t="shared" si="315"/>
        <v>1</v>
      </c>
      <c r="L2938" s="13" t="str">
        <f>IFERROR(VLOOKUP(C2938,'Справочник соответствий'!A$2:D$2981,3,FALSE),IF(VALUE(C2938)=0,"ЭТАЖ НЕ ОПРЕДЕЛЕН. ПРИНЯТ ПО ДОПУЩЕНИЮ 1",VLOOKUP(C2938,'Справочник соответствий'!A$2:D$2981,3,FALSE)))</f>
        <v>ЭТАЖ ЗАДАН ЧИСЛОМ</v>
      </c>
      <c r="M2938" s="13" t="b">
        <f t="shared" si="316"/>
        <v>0</v>
      </c>
      <c r="N2938" s="13">
        <f t="shared" si="317"/>
        <v>1</v>
      </c>
      <c r="O2938" s="13" t="str">
        <f t="shared" si="318"/>
        <v>ЭТАЖ ЗАДАН ЧИСЛОМ</v>
      </c>
      <c r="P2938" s="13" t="str">
        <f t="shared" si="319"/>
        <v>ЭТАЖ ЗАДАН ЧИСЛОМ</v>
      </c>
      <c r="Q2938" s="13" t="str">
        <f t="shared" si="320"/>
        <v>ГОТОВ_ИЗМЕНЕН</v>
      </c>
      <c r="R2938" s="13">
        <f>IFERROR(VLOOKUP(P2938,Лист1!A$1:B$20,2,FALSE),0)</f>
        <v>784</v>
      </c>
      <c r="S2938" s="13">
        <f t="shared" si="321"/>
        <v>0</v>
      </c>
    </row>
    <row r="2939" spans="1:19" x14ac:dyDescent="0.25">
      <c r="A2939" s="24" t="s">
        <v>4071</v>
      </c>
      <c r="B2939" s="4" t="s">
        <v>1059</v>
      </c>
      <c r="C2939" s="25" t="s">
        <v>5</v>
      </c>
      <c r="G2939" s="25" t="s">
        <v>1108</v>
      </c>
      <c r="H2939" s="24" t="s">
        <v>1061</v>
      </c>
      <c r="I2939" s="3" t="str">
        <f>IFERROR(VLOOKUP(C2939,'Справочник соответствий'!A$2:D$2981,2,FALSE),IF(VALUE(C2939)=0,1,VLOOKUP(C2939,'Справочник соответствий'!A$2:D$2981,2,FALSE)))</f>
        <v>1</v>
      </c>
      <c r="J2939" s="3">
        <f>IFERROR(VLOOKUP(D2939,'Справочник соответствий'!A$2:D$2981,2,FALSE),IF(VALUE(D2939)=0,0,VLOOKUP(D2939,'Справочник соответствий'!A$2:D$2981,2,FALSE)))</f>
        <v>0</v>
      </c>
      <c r="K2939" s="3" t="str">
        <f t="shared" si="315"/>
        <v>1</v>
      </c>
      <c r="L2939" s="13" t="str">
        <f>IFERROR(VLOOKUP(C2939,'Справочник соответствий'!A$2:D$2981,3,FALSE),IF(VALUE(C2939)=0,"ЭТАЖ НЕ ОПРЕДЕЛЕН. ПРИНЯТ ПО ДОПУЩЕНИЮ 1",VLOOKUP(C2939,'Справочник соответствий'!A$2:D$2981,3,FALSE)))</f>
        <v>ЭТАЖ ЗАДАН ЧИСЛОМ</v>
      </c>
      <c r="M2939" s="13" t="b">
        <f t="shared" si="316"/>
        <v>0</v>
      </c>
      <c r="N2939" s="13">
        <f t="shared" si="317"/>
        <v>1</v>
      </c>
      <c r="O2939" s="13" t="str">
        <f t="shared" si="318"/>
        <v>ЭТАЖ ЗАДАН ЧИСЛОМ</v>
      </c>
      <c r="P2939" s="13" t="str">
        <f t="shared" si="319"/>
        <v>ЭТАЖ ЗАДАН ЧИСЛОМ</v>
      </c>
      <c r="Q2939" s="13" t="str">
        <f t="shared" si="320"/>
        <v>ГОТОВ_ИЗМЕНЕН</v>
      </c>
      <c r="R2939" s="13">
        <f>IFERROR(VLOOKUP(P2939,Лист1!A$1:B$20,2,FALSE),0)</f>
        <v>784</v>
      </c>
      <c r="S2939" s="13">
        <f t="shared" si="321"/>
        <v>0</v>
      </c>
    </row>
    <row r="2940" spans="1:19" x14ac:dyDescent="0.25">
      <c r="A2940" s="24" t="s">
        <v>4072</v>
      </c>
      <c r="B2940" s="4" t="s">
        <v>1059</v>
      </c>
      <c r="C2940" s="25" t="s">
        <v>5</v>
      </c>
      <c r="G2940" s="25" t="s">
        <v>1108</v>
      </c>
      <c r="H2940" s="24" t="s">
        <v>1061</v>
      </c>
      <c r="I2940" s="3" t="str">
        <f>IFERROR(VLOOKUP(C2940,'Справочник соответствий'!A$2:D$2981,2,FALSE),IF(VALUE(C2940)=0,1,VLOOKUP(C2940,'Справочник соответствий'!A$2:D$2981,2,FALSE)))</f>
        <v>1</v>
      </c>
      <c r="J2940" s="3">
        <f>IFERROR(VLOOKUP(D2940,'Справочник соответствий'!A$2:D$2981,2,FALSE),IF(VALUE(D2940)=0,0,VLOOKUP(D2940,'Справочник соответствий'!A$2:D$2981,2,FALSE)))</f>
        <v>0</v>
      </c>
      <c r="K2940" s="3" t="str">
        <f t="shared" si="315"/>
        <v>1</v>
      </c>
      <c r="L2940" s="13" t="str">
        <f>IFERROR(VLOOKUP(C2940,'Справочник соответствий'!A$2:D$2981,3,FALSE),IF(VALUE(C2940)=0,"ЭТАЖ НЕ ОПРЕДЕЛЕН. ПРИНЯТ ПО ДОПУЩЕНИЮ 1",VLOOKUP(C2940,'Справочник соответствий'!A$2:D$2981,3,FALSE)))</f>
        <v>ЭТАЖ ЗАДАН ЧИСЛОМ</v>
      </c>
      <c r="M2940" s="13" t="b">
        <f t="shared" si="316"/>
        <v>0</v>
      </c>
      <c r="N2940" s="13">
        <f t="shared" si="317"/>
        <v>1</v>
      </c>
      <c r="O2940" s="13" t="str">
        <f t="shared" si="318"/>
        <v>ЭТАЖ ЗАДАН ЧИСЛОМ</v>
      </c>
      <c r="P2940" s="13" t="str">
        <f t="shared" si="319"/>
        <v>ЭТАЖ ЗАДАН ЧИСЛОМ</v>
      </c>
      <c r="Q2940" s="13" t="str">
        <f t="shared" si="320"/>
        <v>ГОТОВ_ИЗМЕНЕН</v>
      </c>
      <c r="R2940" s="13">
        <f>IFERROR(VLOOKUP(P2940,Лист1!A$1:B$20,2,FALSE),0)</f>
        <v>784</v>
      </c>
      <c r="S2940" s="13">
        <f t="shared" si="321"/>
        <v>0</v>
      </c>
    </row>
    <row r="2941" spans="1:19" x14ac:dyDescent="0.25">
      <c r="A2941" s="24" t="s">
        <v>4073</v>
      </c>
      <c r="B2941" s="4" t="s">
        <v>1059</v>
      </c>
      <c r="C2941" s="25" t="s">
        <v>5</v>
      </c>
      <c r="G2941" s="25" t="s">
        <v>1060</v>
      </c>
      <c r="H2941" s="24" t="s">
        <v>1061</v>
      </c>
      <c r="I2941" s="3" t="str">
        <f>IFERROR(VLOOKUP(C2941,'Справочник соответствий'!A$2:D$2981,2,FALSE),IF(VALUE(C2941)=0,1,VLOOKUP(C2941,'Справочник соответствий'!A$2:D$2981,2,FALSE)))</f>
        <v>1</v>
      </c>
      <c r="J2941" s="3">
        <f>IFERROR(VLOOKUP(D2941,'Справочник соответствий'!A$2:D$2981,2,FALSE),IF(VALUE(D2941)=0,0,VLOOKUP(D2941,'Справочник соответствий'!A$2:D$2981,2,FALSE)))</f>
        <v>0</v>
      </c>
      <c r="K2941" s="3" t="str">
        <f t="shared" si="315"/>
        <v>1</v>
      </c>
      <c r="L2941" s="13" t="str">
        <f>IFERROR(VLOOKUP(C2941,'Справочник соответствий'!A$2:D$2981,3,FALSE),IF(VALUE(C2941)=0,"ЭТАЖ НЕ ОПРЕДЕЛЕН. ПРИНЯТ ПО ДОПУЩЕНИЮ 1",VLOOKUP(C2941,'Справочник соответствий'!A$2:D$2981,3,FALSE)))</f>
        <v>ЭТАЖ ЗАДАН ЧИСЛОМ</v>
      </c>
      <c r="M2941" s="13" t="b">
        <f t="shared" si="316"/>
        <v>0</v>
      </c>
      <c r="N2941" s="13">
        <f t="shared" si="317"/>
        <v>1</v>
      </c>
      <c r="O2941" s="13" t="str">
        <f t="shared" si="318"/>
        <v>ЭТАЖ ЗАДАН ЧИСЛОМ</v>
      </c>
      <c r="P2941" s="13" t="str">
        <f t="shared" si="319"/>
        <v>ЭТАЖ ЗАДАН ЧИСЛОМ</v>
      </c>
      <c r="Q2941" s="13" t="str">
        <f t="shared" si="320"/>
        <v>ГОТОВ_ИЗМЕНЕН</v>
      </c>
      <c r="R2941" s="13">
        <f>IFERROR(VLOOKUP(P2941,Лист1!A$1:B$20,2,FALSE),0)</f>
        <v>784</v>
      </c>
      <c r="S2941" s="13">
        <f t="shared" si="321"/>
        <v>0</v>
      </c>
    </row>
    <row r="2942" spans="1:19" x14ac:dyDescent="0.25">
      <c r="A2942" s="24" t="s">
        <v>4074</v>
      </c>
      <c r="B2942" s="4" t="s">
        <v>1059</v>
      </c>
      <c r="C2942" s="25" t="s">
        <v>7</v>
      </c>
      <c r="G2942" s="25" t="s">
        <v>1108</v>
      </c>
      <c r="H2942" s="24" t="s">
        <v>1061</v>
      </c>
      <c r="I2942" s="3" t="str">
        <f>IFERROR(VLOOKUP(C2942,'Справочник соответствий'!A$2:D$2981,2,FALSE),IF(VALUE(C2942)=0,1,VLOOKUP(C2942,'Справочник соответствий'!A$2:D$2981,2,FALSE)))</f>
        <v>2</v>
      </c>
      <c r="J2942" s="3">
        <f>IFERROR(VLOOKUP(D2942,'Справочник соответствий'!A$2:D$2981,2,FALSE),IF(VALUE(D2942)=0,0,VLOOKUP(D2942,'Справочник соответствий'!A$2:D$2981,2,FALSE)))</f>
        <v>0</v>
      </c>
      <c r="K2942" s="3" t="str">
        <f t="shared" si="315"/>
        <v>2</v>
      </c>
      <c r="L2942" s="13" t="str">
        <f>IFERROR(VLOOKUP(C2942,'Справочник соответствий'!A$2:D$2981,3,FALSE),IF(VALUE(C2942)=0,"ЭТАЖ НЕ ОПРЕДЕЛЕН. ПРИНЯТ ПО ДОПУЩЕНИЮ 1",VLOOKUP(C2942,'Справочник соответствий'!A$2:D$2981,3,FALSE)))</f>
        <v>ЭТАЖ ЗАДАН ЧИСЛОМ</v>
      </c>
      <c r="M2942" s="13" t="b">
        <f t="shared" si="316"/>
        <v>0</v>
      </c>
      <c r="N2942" s="13">
        <f t="shared" si="317"/>
        <v>2</v>
      </c>
      <c r="O2942" s="13" t="str">
        <f t="shared" si="318"/>
        <v>ЭТАЖ ЗАДАН ЧИСЛОМ</v>
      </c>
      <c r="P2942" s="13" t="str">
        <f t="shared" si="319"/>
        <v>ЭТАЖ ЗАДАН ЧИСЛОМ</v>
      </c>
      <c r="Q2942" s="13" t="str">
        <f t="shared" si="320"/>
        <v>ГОТОВ_ИЗМЕНЕН</v>
      </c>
      <c r="R2942" s="13">
        <f>IFERROR(VLOOKUP(P2942,Лист1!A$1:B$20,2,FALSE),0)</f>
        <v>784</v>
      </c>
      <c r="S2942" s="13">
        <f t="shared" si="321"/>
        <v>0</v>
      </c>
    </row>
    <row r="2943" spans="1:19" x14ac:dyDescent="0.25">
      <c r="A2943" s="24" t="s">
        <v>4075</v>
      </c>
      <c r="B2943" s="4" t="s">
        <v>1063</v>
      </c>
      <c r="G2943" s="25" t="s">
        <v>1060</v>
      </c>
      <c r="H2943" s="24" t="s">
        <v>1061</v>
      </c>
      <c r="I2943" s="3">
        <f>IFERROR(VLOOKUP(C2943,'Справочник соответствий'!A$2:D$2981,2,FALSE),IF(VALUE(C2943)=0,1,VLOOKUP(C2943,'Справочник соответствий'!A$2:D$2981,2,FALSE)))</f>
        <v>1</v>
      </c>
      <c r="J2943" s="3">
        <f>IFERROR(VLOOKUP(D2943,'Справочник соответствий'!A$2:D$2981,2,FALSE),IF(VALUE(D2943)=0,0,VLOOKUP(D2943,'Справочник соответствий'!A$2:D$2981,2,FALSE)))</f>
        <v>0</v>
      </c>
      <c r="K2943" s="3">
        <f t="shared" si="315"/>
        <v>1</v>
      </c>
      <c r="L2943" s="13" t="str">
        <f>IFERROR(VLOOKUP(C2943,'Справочник соответствий'!A$2:D$2981,3,FALSE),IF(VALUE(C2943)=0,"ЭТАЖ НЕ ОПРЕДЕЛЕН. ПРИНЯТ ПО ДОПУЩЕНИЮ 1",VLOOKUP(C2943,'Справочник соответствий'!A$2:D$2981,3,FALSE)))</f>
        <v>ЭТАЖ НЕ ОПРЕДЕЛЕН. ПРИНЯТ ПО ДОПУЩЕНИЮ 1</v>
      </c>
      <c r="M2943" s="13" t="b">
        <f t="shared" si="316"/>
        <v>0</v>
      </c>
      <c r="N2943" s="13">
        <f t="shared" si="317"/>
        <v>1</v>
      </c>
      <c r="O2943" s="13" t="str">
        <f t="shared" si="318"/>
        <v>ЭТАЖ НЕ ОПРЕДЕЛЕН. ПРИНЯТ ПО ДОПУЩЕНИЮ 1</v>
      </c>
      <c r="P2943" s="13" t="str">
        <f t="shared" si="319"/>
        <v>ЭТАЖ НЕ ОПРЕДЕЛЕН. ПРИНЯТ ПО ДОПУЩЕНИЮ 1</v>
      </c>
      <c r="Q2943" s="13" t="str">
        <f t="shared" si="320"/>
        <v>ГОТОВ_ИЗМЕНЕН</v>
      </c>
      <c r="R2943" s="13">
        <f>IFERROR(VLOOKUP(P2943,Лист1!A$1:B$20,2,FALSE),0)</f>
        <v>788</v>
      </c>
      <c r="S2943" s="13">
        <f t="shared" si="321"/>
        <v>0</v>
      </c>
    </row>
    <row r="2944" spans="1:19" x14ac:dyDescent="0.25">
      <c r="A2944" s="24" t="s">
        <v>4076</v>
      </c>
      <c r="B2944" s="4" t="s">
        <v>1059</v>
      </c>
      <c r="C2944" s="25" t="s">
        <v>5</v>
      </c>
      <c r="G2944" s="25" t="s">
        <v>1060</v>
      </c>
      <c r="H2944" s="24" t="s">
        <v>1061</v>
      </c>
      <c r="I2944" s="3" t="str">
        <f>IFERROR(VLOOKUP(C2944,'Справочник соответствий'!A$2:D$2981,2,FALSE),IF(VALUE(C2944)=0,1,VLOOKUP(C2944,'Справочник соответствий'!A$2:D$2981,2,FALSE)))</f>
        <v>1</v>
      </c>
      <c r="J2944" s="3">
        <f>IFERROR(VLOOKUP(D2944,'Справочник соответствий'!A$2:D$2981,2,FALSE),IF(VALUE(D2944)=0,0,VLOOKUP(D2944,'Справочник соответствий'!A$2:D$2981,2,FALSE)))</f>
        <v>0</v>
      </c>
      <c r="K2944" s="3" t="str">
        <f t="shared" si="315"/>
        <v>1</v>
      </c>
      <c r="L2944" s="13" t="str">
        <f>IFERROR(VLOOKUP(C2944,'Справочник соответствий'!A$2:D$2981,3,FALSE),IF(VALUE(C2944)=0,"ЭТАЖ НЕ ОПРЕДЕЛЕН. ПРИНЯТ ПО ДОПУЩЕНИЮ 1",VLOOKUP(C2944,'Справочник соответствий'!A$2:D$2981,3,FALSE)))</f>
        <v>ЭТАЖ ЗАДАН ЧИСЛОМ</v>
      </c>
      <c r="M2944" s="13" t="b">
        <f t="shared" si="316"/>
        <v>0</v>
      </c>
      <c r="N2944" s="13">
        <f t="shared" si="317"/>
        <v>1</v>
      </c>
      <c r="O2944" s="13" t="str">
        <f t="shared" si="318"/>
        <v>ЭТАЖ ЗАДАН ЧИСЛОМ</v>
      </c>
      <c r="P2944" s="13" t="str">
        <f t="shared" si="319"/>
        <v>ЭТАЖ ЗАДАН ЧИСЛОМ</v>
      </c>
      <c r="Q2944" s="13" t="str">
        <f t="shared" si="320"/>
        <v>ГОТОВ_ИЗМЕНЕН</v>
      </c>
      <c r="R2944" s="13">
        <f>IFERROR(VLOOKUP(P2944,Лист1!A$1:B$20,2,FALSE),0)</f>
        <v>784</v>
      </c>
      <c r="S2944" s="13">
        <f t="shared" si="321"/>
        <v>0</v>
      </c>
    </row>
    <row r="2945" spans="1:19" x14ac:dyDescent="0.25">
      <c r="A2945" s="24" t="s">
        <v>4077</v>
      </c>
      <c r="B2945" s="4" t="s">
        <v>1059</v>
      </c>
      <c r="C2945" s="25" t="s">
        <v>5</v>
      </c>
      <c r="G2945" s="25" t="s">
        <v>1205</v>
      </c>
      <c r="H2945" s="24" t="s">
        <v>1061</v>
      </c>
      <c r="I2945" s="3" t="str">
        <f>IFERROR(VLOOKUP(C2945,'Справочник соответствий'!A$2:D$2981,2,FALSE),IF(VALUE(C2945)=0,1,VLOOKUP(C2945,'Справочник соответствий'!A$2:D$2981,2,FALSE)))</f>
        <v>1</v>
      </c>
      <c r="J2945" s="3">
        <f>IFERROR(VLOOKUP(D2945,'Справочник соответствий'!A$2:D$2981,2,FALSE),IF(VALUE(D2945)=0,0,VLOOKUP(D2945,'Справочник соответствий'!A$2:D$2981,2,FALSE)))</f>
        <v>0</v>
      </c>
      <c r="K2945" s="3" t="str">
        <f t="shared" si="315"/>
        <v>1</v>
      </c>
      <c r="L2945" s="13" t="str">
        <f>IFERROR(VLOOKUP(C2945,'Справочник соответствий'!A$2:D$2981,3,FALSE),IF(VALUE(C2945)=0,"ЭТАЖ НЕ ОПРЕДЕЛЕН. ПРИНЯТ ПО ДОПУЩЕНИЮ 1",VLOOKUP(C2945,'Справочник соответствий'!A$2:D$2981,3,FALSE)))</f>
        <v>ЭТАЖ ЗАДАН ЧИСЛОМ</v>
      </c>
      <c r="M2945" s="13" t="b">
        <f t="shared" si="316"/>
        <v>0</v>
      </c>
      <c r="N2945" s="13">
        <f t="shared" si="317"/>
        <v>1</v>
      </c>
      <c r="O2945" s="13" t="str">
        <f t="shared" si="318"/>
        <v>ЭТАЖ ЗАДАН ЧИСЛОМ</v>
      </c>
      <c r="P2945" s="13" t="str">
        <f t="shared" si="319"/>
        <v>ЭТАЖ ЗАДАН ЧИСЛОМ</v>
      </c>
      <c r="Q2945" s="13" t="str">
        <f t="shared" si="320"/>
        <v>ГОТОВ_ИЗМЕНЕН</v>
      </c>
      <c r="R2945" s="13">
        <f>IFERROR(VLOOKUP(P2945,Лист1!A$1:B$20,2,FALSE),0)</f>
        <v>784</v>
      </c>
      <c r="S2945" s="13">
        <f t="shared" si="321"/>
        <v>0</v>
      </c>
    </row>
    <row r="2946" spans="1:19" x14ac:dyDescent="0.25">
      <c r="A2946" s="24" t="s">
        <v>4078</v>
      </c>
      <c r="B2946" s="4" t="s">
        <v>1059</v>
      </c>
      <c r="C2946" s="25" t="s">
        <v>5</v>
      </c>
      <c r="G2946" s="25" t="s">
        <v>1060</v>
      </c>
      <c r="H2946" s="24" t="s">
        <v>1061</v>
      </c>
      <c r="I2946" s="3" t="str">
        <f>IFERROR(VLOOKUP(C2946,'Справочник соответствий'!A$2:D$2981,2,FALSE),IF(VALUE(C2946)=0,1,VLOOKUP(C2946,'Справочник соответствий'!A$2:D$2981,2,FALSE)))</f>
        <v>1</v>
      </c>
      <c r="J2946" s="3">
        <f>IFERROR(VLOOKUP(D2946,'Справочник соответствий'!A$2:D$2981,2,FALSE),IF(VALUE(D2946)=0,0,VLOOKUP(D2946,'Справочник соответствий'!A$2:D$2981,2,FALSE)))</f>
        <v>0</v>
      </c>
      <c r="K2946" s="3" t="str">
        <f t="shared" si="315"/>
        <v>1</v>
      </c>
      <c r="L2946" s="13" t="str">
        <f>IFERROR(VLOOKUP(C2946,'Справочник соответствий'!A$2:D$2981,3,FALSE),IF(VALUE(C2946)=0,"ЭТАЖ НЕ ОПРЕДЕЛЕН. ПРИНЯТ ПО ДОПУЩЕНИЮ 1",VLOOKUP(C2946,'Справочник соответствий'!A$2:D$2981,3,FALSE)))</f>
        <v>ЭТАЖ ЗАДАН ЧИСЛОМ</v>
      </c>
      <c r="M2946" s="13" t="b">
        <f t="shared" si="316"/>
        <v>0</v>
      </c>
      <c r="N2946" s="13">
        <f t="shared" si="317"/>
        <v>1</v>
      </c>
      <c r="O2946" s="13" t="str">
        <f t="shared" si="318"/>
        <v>ЭТАЖ ЗАДАН ЧИСЛОМ</v>
      </c>
      <c r="P2946" s="13" t="str">
        <f t="shared" si="319"/>
        <v>ЭТАЖ ЗАДАН ЧИСЛОМ</v>
      </c>
      <c r="Q2946" s="13" t="str">
        <f t="shared" si="320"/>
        <v>ГОТОВ_ИЗМЕНЕН</v>
      </c>
      <c r="R2946" s="13">
        <f>IFERROR(VLOOKUP(P2946,Лист1!A$1:B$20,2,FALSE),0)</f>
        <v>784</v>
      </c>
      <c r="S2946" s="13">
        <f t="shared" si="321"/>
        <v>0</v>
      </c>
    </row>
    <row r="2947" spans="1:19" x14ac:dyDescent="0.25">
      <c r="A2947" s="24" t="s">
        <v>4079</v>
      </c>
      <c r="B2947" s="4" t="s">
        <v>1063</v>
      </c>
      <c r="G2947" s="25" t="s">
        <v>1060</v>
      </c>
      <c r="H2947" s="24" t="s">
        <v>1061</v>
      </c>
      <c r="I2947" s="3">
        <f>IFERROR(VLOOKUP(C2947,'Справочник соответствий'!A$2:D$2981,2,FALSE),IF(VALUE(C2947)=0,1,VLOOKUP(C2947,'Справочник соответствий'!A$2:D$2981,2,FALSE)))</f>
        <v>1</v>
      </c>
      <c r="J2947" s="3">
        <f>IFERROR(VLOOKUP(D2947,'Справочник соответствий'!A$2:D$2981,2,FALSE),IF(VALUE(D2947)=0,0,VLOOKUP(D2947,'Справочник соответствий'!A$2:D$2981,2,FALSE)))</f>
        <v>0</v>
      </c>
      <c r="K2947" s="3">
        <f t="shared" si="315"/>
        <v>1</v>
      </c>
      <c r="L2947" s="13" t="str">
        <f>IFERROR(VLOOKUP(C2947,'Справочник соответствий'!A$2:D$2981,3,FALSE),IF(VALUE(C2947)=0,"ЭТАЖ НЕ ОПРЕДЕЛЕН. ПРИНЯТ ПО ДОПУЩЕНИЮ 1",VLOOKUP(C2947,'Справочник соответствий'!A$2:D$2981,3,FALSE)))</f>
        <v>ЭТАЖ НЕ ОПРЕДЕЛЕН. ПРИНЯТ ПО ДОПУЩЕНИЮ 1</v>
      </c>
      <c r="M2947" s="13" t="b">
        <f t="shared" si="316"/>
        <v>0</v>
      </c>
      <c r="N2947" s="13">
        <f t="shared" si="317"/>
        <v>1</v>
      </c>
      <c r="O2947" s="13" t="str">
        <f t="shared" si="318"/>
        <v>ЭТАЖ НЕ ОПРЕДЕЛЕН. ПРИНЯТ ПО ДОПУЩЕНИЮ 1</v>
      </c>
      <c r="P2947" s="13" t="str">
        <f t="shared" si="319"/>
        <v>ЭТАЖ НЕ ОПРЕДЕЛЕН. ПРИНЯТ ПО ДОПУЩЕНИЮ 1</v>
      </c>
      <c r="Q2947" s="13" t="str">
        <f t="shared" si="320"/>
        <v>ГОТОВ_ИЗМЕНЕН</v>
      </c>
      <c r="R2947" s="13">
        <f>IFERROR(VLOOKUP(P2947,Лист1!A$1:B$20,2,FALSE),0)</f>
        <v>788</v>
      </c>
      <c r="S2947" s="13">
        <f t="shared" si="321"/>
        <v>0</v>
      </c>
    </row>
    <row r="2948" spans="1:19" x14ac:dyDescent="0.25">
      <c r="A2948" s="24" t="s">
        <v>4080</v>
      </c>
      <c r="B2948" s="4" t="s">
        <v>1059</v>
      </c>
      <c r="C2948" s="25" t="s">
        <v>5</v>
      </c>
      <c r="G2948" s="25" t="s">
        <v>1060</v>
      </c>
      <c r="H2948" s="24" t="s">
        <v>1061</v>
      </c>
      <c r="I2948" s="3" t="str">
        <f>IFERROR(VLOOKUP(C2948,'Справочник соответствий'!A$2:D$2981,2,FALSE),IF(VALUE(C2948)=0,1,VLOOKUP(C2948,'Справочник соответствий'!A$2:D$2981,2,FALSE)))</f>
        <v>1</v>
      </c>
      <c r="J2948" s="3">
        <f>IFERROR(VLOOKUP(D2948,'Справочник соответствий'!A$2:D$2981,2,FALSE),IF(VALUE(D2948)=0,0,VLOOKUP(D2948,'Справочник соответствий'!A$2:D$2981,2,FALSE)))</f>
        <v>0</v>
      </c>
      <c r="K2948" s="3" t="str">
        <f t="shared" si="315"/>
        <v>1</v>
      </c>
      <c r="L2948" s="13" t="str">
        <f>IFERROR(VLOOKUP(C2948,'Справочник соответствий'!A$2:D$2981,3,FALSE),IF(VALUE(C2948)=0,"ЭТАЖ НЕ ОПРЕДЕЛЕН. ПРИНЯТ ПО ДОПУЩЕНИЮ 1",VLOOKUP(C2948,'Справочник соответствий'!A$2:D$2981,3,FALSE)))</f>
        <v>ЭТАЖ ЗАДАН ЧИСЛОМ</v>
      </c>
      <c r="M2948" s="13" t="b">
        <f t="shared" si="316"/>
        <v>0</v>
      </c>
      <c r="N2948" s="13">
        <f t="shared" si="317"/>
        <v>1</v>
      </c>
      <c r="O2948" s="13" t="str">
        <f t="shared" si="318"/>
        <v>ЭТАЖ ЗАДАН ЧИСЛОМ</v>
      </c>
      <c r="P2948" s="13" t="str">
        <f t="shared" si="319"/>
        <v>ЭТАЖ ЗАДАН ЧИСЛОМ</v>
      </c>
      <c r="Q2948" s="13" t="str">
        <f t="shared" si="320"/>
        <v>ГОТОВ_ИЗМЕНЕН</v>
      </c>
      <c r="R2948" s="13">
        <f>IFERROR(VLOOKUP(P2948,Лист1!A$1:B$20,2,FALSE),0)</f>
        <v>784</v>
      </c>
      <c r="S2948" s="13">
        <f t="shared" si="321"/>
        <v>0</v>
      </c>
    </row>
    <row r="2949" spans="1:19" x14ac:dyDescent="0.25">
      <c r="A2949" s="24" t="s">
        <v>4081</v>
      </c>
      <c r="B2949" s="4" t="s">
        <v>1059</v>
      </c>
      <c r="C2949" s="25" t="s">
        <v>5</v>
      </c>
      <c r="G2949" s="25" t="s">
        <v>1060</v>
      </c>
      <c r="H2949" s="24" t="s">
        <v>1061</v>
      </c>
      <c r="I2949" s="3" t="str">
        <f>IFERROR(VLOOKUP(C2949,'Справочник соответствий'!A$2:D$2981,2,FALSE),IF(VALUE(C2949)=0,1,VLOOKUP(C2949,'Справочник соответствий'!A$2:D$2981,2,FALSE)))</f>
        <v>1</v>
      </c>
      <c r="J2949" s="3">
        <f>IFERROR(VLOOKUP(D2949,'Справочник соответствий'!A$2:D$2981,2,FALSE),IF(VALUE(D2949)=0,0,VLOOKUP(D2949,'Справочник соответствий'!A$2:D$2981,2,FALSE)))</f>
        <v>0</v>
      </c>
      <c r="K2949" s="3" t="str">
        <f t="shared" ref="K2949:K3012" si="322">IF(B2949="Многоквартирный дом",IF(I2949-J2949&gt;0,I2949-J2949,1),I2949)</f>
        <v>1</v>
      </c>
      <c r="L2949" s="13" t="str">
        <f>IFERROR(VLOOKUP(C2949,'Справочник соответствий'!A$2:D$2981,3,FALSE),IF(VALUE(C2949)=0,"ЭТАЖ НЕ ОПРЕДЕЛЕН. ПРИНЯТ ПО ДОПУЩЕНИЮ 1",VLOOKUP(C2949,'Справочник соответствий'!A$2:D$2981,3,FALSE)))</f>
        <v>ЭТАЖ ЗАДАН ЧИСЛОМ</v>
      </c>
      <c r="M2949" s="13" t="b">
        <f t="shared" ref="M2949:M3012" si="323">I2949=E2949</f>
        <v>0</v>
      </c>
      <c r="N2949" s="13">
        <f t="shared" ref="N2949:N3012" si="324">IF(VALUE(E2949)=0,VALUE(K2949),IF(L2949="ЭТАЖ НЕ ОПРЕДЕЛЕН. ПРИНЯТ ПО ДОПУЩЕНИЮ 1",VALUE(E2949),VALUE(K2949)))</f>
        <v>1</v>
      </c>
      <c r="O2949" s="13" t="str">
        <f t="shared" ref="O2949:O3012" si="325">IF(VALUE(E2949)=0,L2949,IF(L2949="ЭТАЖ НЕ ОПРЕДЕЛЕН. ПРИНЯТ ПО ДОПУЩЕНИЮ 1",F2949,L2949))</f>
        <v>ЭТАЖ ЗАДАН ЧИСЛОМ</v>
      </c>
      <c r="P2949" s="13" t="str">
        <f t="shared" ref="P2949:P3012" si="326">IF(B2949="Многоквартирный дом",CONCATENATE("МКД_",O2949),O2949)</f>
        <v>ЭТАЖ ЗАДАН ЧИСЛОМ</v>
      </c>
      <c r="Q2949" s="13" t="str">
        <f t="shared" ref="Q2949:Q3012" si="327">IFERROR(IF(N2949&gt;0,IF(N2949=VALUE(E2949),"ГОТОВ","ГОТОВ_ИЗМЕНЕН"),"НЕ ГОТОВ"),"НЕ ГОТОВ")</f>
        <v>ГОТОВ_ИЗМЕНЕН</v>
      </c>
      <c r="R2949" s="13">
        <f>IFERROR(VLOOKUP(P2949,Лист1!A$1:B$20,2,FALSE),0)</f>
        <v>784</v>
      </c>
      <c r="S2949" s="13">
        <f t="shared" ref="S2949:S3012" si="328">VALUE(E2949)</f>
        <v>0</v>
      </c>
    </row>
    <row r="2950" spans="1:19" x14ac:dyDescent="0.25">
      <c r="A2950" s="24" t="s">
        <v>4082</v>
      </c>
      <c r="B2950" s="4" t="s">
        <v>1059</v>
      </c>
      <c r="C2950" s="25" t="s">
        <v>5</v>
      </c>
      <c r="G2950" s="25" t="s">
        <v>1060</v>
      </c>
      <c r="H2950" s="24" t="s">
        <v>1061</v>
      </c>
      <c r="I2950" s="3" t="str">
        <f>IFERROR(VLOOKUP(C2950,'Справочник соответствий'!A$2:D$2981,2,FALSE),IF(VALUE(C2950)=0,1,VLOOKUP(C2950,'Справочник соответствий'!A$2:D$2981,2,FALSE)))</f>
        <v>1</v>
      </c>
      <c r="J2950" s="3">
        <f>IFERROR(VLOOKUP(D2950,'Справочник соответствий'!A$2:D$2981,2,FALSE),IF(VALUE(D2950)=0,0,VLOOKUP(D2950,'Справочник соответствий'!A$2:D$2981,2,FALSE)))</f>
        <v>0</v>
      </c>
      <c r="K2950" s="3" t="str">
        <f t="shared" si="322"/>
        <v>1</v>
      </c>
      <c r="L2950" s="13" t="str">
        <f>IFERROR(VLOOKUP(C2950,'Справочник соответствий'!A$2:D$2981,3,FALSE),IF(VALUE(C2950)=0,"ЭТАЖ НЕ ОПРЕДЕЛЕН. ПРИНЯТ ПО ДОПУЩЕНИЮ 1",VLOOKUP(C2950,'Справочник соответствий'!A$2:D$2981,3,FALSE)))</f>
        <v>ЭТАЖ ЗАДАН ЧИСЛОМ</v>
      </c>
      <c r="M2950" s="13" t="b">
        <f t="shared" si="323"/>
        <v>0</v>
      </c>
      <c r="N2950" s="13">
        <f t="shared" si="324"/>
        <v>1</v>
      </c>
      <c r="O2950" s="13" t="str">
        <f t="shared" si="325"/>
        <v>ЭТАЖ ЗАДАН ЧИСЛОМ</v>
      </c>
      <c r="P2950" s="13" t="str">
        <f t="shared" si="326"/>
        <v>ЭТАЖ ЗАДАН ЧИСЛОМ</v>
      </c>
      <c r="Q2950" s="13" t="str">
        <f t="shared" si="327"/>
        <v>ГОТОВ_ИЗМЕНЕН</v>
      </c>
      <c r="R2950" s="13">
        <f>IFERROR(VLOOKUP(P2950,Лист1!A$1:B$20,2,FALSE),0)</f>
        <v>784</v>
      </c>
      <c r="S2950" s="13">
        <f t="shared" si="328"/>
        <v>0</v>
      </c>
    </row>
    <row r="2951" spans="1:19" x14ac:dyDescent="0.25">
      <c r="A2951" s="24" t="s">
        <v>4083</v>
      </c>
      <c r="B2951" s="4" t="s">
        <v>1059</v>
      </c>
      <c r="C2951" s="25" t="s">
        <v>7</v>
      </c>
      <c r="G2951" s="25" t="s">
        <v>1060</v>
      </c>
      <c r="H2951" s="24" t="s">
        <v>1061</v>
      </c>
      <c r="I2951" s="3" t="str">
        <f>IFERROR(VLOOKUP(C2951,'Справочник соответствий'!A$2:D$2981,2,FALSE),IF(VALUE(C2951)=0,1,VLOOKUP(C2951,'Справочник соответствий'!A$2:D$2981,2,FALSE)))</f>
        <v>2</v>
      </c>
      <c r="J2951" s="3">
        <f>IFERROR(VLOOKUP(D2951,'Справочник соответствий'!A$2:D$2981,2,FALSE),IF(VALUE(D2951)=0,0,VLOOKUP(D2951,'Справочник соответствий'!A$2:D$2981,2,FALSE)))</f>
        <v>0</v>
      </c>
      <c r="K2951" s="3" t="str">
        <f t="shared" si="322"/>
        <v>2</v>
      </c>
      <c r="L2951" s="13" t="str">
        <f>IFERROR(VLOOKUP(C2951,'Справочник соответствий'!A$2:D$2981,3,FALSE),IF(VALUE(C2951)=0,"ЭТАЖ НЕ ОПРЕДЕЛЕН. ПРИНЯТ ПО ДОПУЩЕНИЮ 1",VLOOKUP(C2951,'Справочник соответствий'!A$2:D$2981,3,FALSE)))</f>
        <v>ЭТАЖ ЗАДАН ЧИСЛОМ</v>
      </c>
      <c r="M2951" s="13" t="b">
        <f t="shared" si="323"/>
        <v>0</v>
      </c>
      <c r="N2951" s="13">
        <f t="shared" si="324"/>
        <v>2</v>
      </c>
      <c r="O2951" s="13" t="str">
        <f t="shared" si="325"/>
        <v>ЭТАЖ ЗАДАН ЧИСЛОМ</v>
      </c>
      <c r="P2951" s="13" t="str">
        <f t="shared" si="326"/>
        <v>ЭТАЖ ЗАДАН ЧИСЛОМ</v>
      </c>
      <c r="Q2951" s="13" t="str">
        <f t="shared" si="327"/>
        <v>ГОТОВ_ИЗМЕНЕН</v>
      </c>
      <c r="R2951" s="13">
        <f>IFERROR(VLOOKUP(P2951,Лист1!A$1:B$20,2,FALSE),0)</f>
        <v>784</v>
      </c>
      <c r="S2951" s="13">
        <f t="shared" si="328"/>
        <v>0</v>
      </c>
    </row>
    <row r="2952" spans="1:19" x14ac:dyDescent="0.25">
      <c r="A2952" s="24" t="s">
        <v>4084</v>
      </c>
      <c r="B2952" s="4" t="s">
        <v>1059</v>
      </c>
      <c r="C2952" s="25" t="s">
        <v>5</v>
      </c>
      <c r="G2952" s="25" t="s">
        <v>1096</v>
      </c>
      <c r="H2952" s="24" t="s">
        <v>1061</v>
      </c>
      <c r="I2952" s="3" t="str">
        <f>IFERROR(VLOOKUP(C2952,'Справочник соответствий'!A$2:D$2981,2,FALSE),IF(VALUE(C2952)=0,1,VLOOKUP(C2952,'Справочник соответствий'!A$2:D$2981,2,FALSE)))</f>
        <v>1</v>
      </c>
      <c r="J2952" s="3">
        <f>IFERROR(VLOOKUP(D2952,'Справочник соответствий'!A$2:D$2981,2,FALSE),IF(VALUE(D2952)=0,0,VLOOKUP(D2952,'Справочник соответствий'!A$2:D$2981,2,FALSE)))</f>
        <v>0</v>
      </c>
      <c r="K2952" s="3" t="str">
        <f t="shared" si="322"/>
        <v>1</v>
      </c>
      <c r="L2952" s="13" t="str">
        <f>IFERROR(VLOOKUP(C2952,'Справочник соответствий'!A$2:D$2981,3,FALSE),IF(VALUE(C2952)=0,"ЭТАЖ НЕ ОПРЕДЕЛЕН. ПРИНЯТ ПО ДОПУЩЕНИЮ 1",VLOOKUP(C2952,'Справочник соответствий'!A$2:D$2981,3,FALSE)))</f>
        <v>ЭТАЖ ЗАДАН ЧИСЛОМ</v>
      </c>
      <c r="M2952" s="13" t="b">
        <f t="shared" si="323"/>
        <v>0</v>
      </c>
      <c r="N2952" s="13">
        <f t="shared" si="324"/>
        <v>1</v>
      </c>
      <c r="O2952" s="13" t="str">
        <f t="shared" si="325"/>
        <v>ЭТАЖ ЗАДАН ЧИСЛОМ</v>
      </c>
      <c r="P2952" s="13" t="str">
        <f t="shared" si="326"/>
        <v>ЭТАЖ ЗАДАН ЧИСЛОМ</v>
      </c>
      <c r="Q2952" s="13" t="str">
        <f t="shared" si="327"/>
        <v>ГОТОВ_ИЗМЕНЕН</v>
      </c>
      <c r="R2952" s="13">
        <f>IFERROR(VLOOKUP(P2952,Лист1!A$1:B$20,2,FALSE),0)</f>
        <v>784</v>
      </c>
      <c r="S2952" s="13">
        <f t="shared" si="328"/>
        <v>0</v>
      </c>
    </row>
    <row r="2953" spans="1:19" x14ac:dyDescent="0.25">
      <c r="A2953" s="24" t="s">
        <v>4085</v>
      </c>
      <c r="B2953" s="4" t="s">
        <v>1063</v>
      </c>
      <c r="C2953" s="25" t="s">
        <v>5</v>
      </c>
      <c r="G2953" s="25" t="s">
        <v>1096</v>
      </c>
      <c r="H2953" s="24" t="s">
        <v>1061</v>
      </c>
      <c r="I2953" s="3" t="str">
        <f>IFERROR(VLOOKUP(C2953,'Справочник соответствий'!A$2:D$2981,2,FALSE),IF(VALUE(C2953)=0,1,VLOOKUP(C2953,'Справочник соответствий'!A$2:D$2981,2,FALSE)))</f>
        <v>1</v>
      </c>
      <c r="J2953" s="3">
        <f>IFERROR(VLOOKUP(D2953,'Справочник соответствий'!A$2:D$2981,2,FALSE),IF(VALUE(D2953)=0,0,VLOOKUP(D2953,'Справочник соответствий'!A$2:D$2981,2,FALSE)))</f>
        <v>0</v>
      </c>
      <c r="K2953" s="3" t="str">
        <f t="shared" si="322"/>
        <v>1</v>
      </c>
      <c r="L2953" s="13" t="str">
        <f>IFERROR(VLOOKUP(C2953,'Справочник соответствий'!A$2:D$2981,3,FALSE),IF(VALUE(C2953)=0,"ЭТАЖ НЕ ОПРЕДЕЛЕН. ПРИНЯТ ПО ДОПУЩЕНИЮ 1",VLOOKUP(C2953,'Справочник соответствий'!A$2:D$2981,3,FALSE)))</f>
        <v>ЭТАЖ ЗАДАН ЧИСЛОМ</v>
      </c>
      <c r="M2953" s="13" t="b">
        <f t="shared" si="323"/>
        <v>0</v>
      </c>
      <c r="N2953" s="13">
        <f t="shared" si="324"/>
        <v>1</v>
      </c>
      <c r="O2953" s="13" t="str">
        <f t="shared" si="325"/>
        <v>ЭТАЖ ЗАДАН ЧИСЛОМ</v>
      </c>
      <c r="P2953" s="13" t="str">
        <f t="shared" si="326"/>
        <v>ЭТАЖ ЗАДАН ЧИСЛОМ</v>
      </c>
      <c r="Q2953" s="13" t="str">
        <f t="shared" si="327"/>
        <v>ГОТОВ_ИЗМЕНЕН</v>
      </c>
      <c r="R2953" s="13">
        <f>IFERROR(VLOOKUP(P2953,Лист1!A$1:B$20,2,FALSE),0)</f>
        <v>784</v>
      </c>
      <c r="S2953" s="13">
        <f t="shared" si="328"/>
        <v>0</v>
      </c>
    </row>
    <row r="2954" spans="1:19" x14ac:dyDescent="0.25">
      <c r="A2954" s="24" t="s">
        <v>4086</v>
      </c>
      <c r="B2954" s="4" t="s">
        <v>1059</v>
      </c>
      <c r="C2954" s="25" t="s">
        <v>5</v>
      </c>
      <c r="G2954" s="25" t="s">
        <v>1096</v>
      </c>
      <c r="H2954" s="24" t="s">
        <v>1061</v>
      </c>
      <c r="I2954" s="3" t="str">
        <f>IFERROR(VLOOKUP(C2954,'Справочник соответствий'!A$2:D$2981,2,FALSE),IF(VALUE(C2954)=0,1,VLOOKUP(C2954,'Справочник соответствий'!A$2:D$2981,2,FALSE)))</f>
        <v>1</v>
      </c>
      <c r="J2954" s="3">
        <f>IFERROR(VLOOKUP(D2954,'Справочник соответствий'!A$2:D$2981,2,FALSE),IF(VALUE(D2954)=0,0,VLOOKUP(D2954,'Справочник соответствий'!A$2:D$2981,2,FALSE)))</f>
        <v>0</v>
      </c>
      <c r="K2954" s="3" t="str">
        <f t="shared" si="322"/>
        <v>1</v>
      </c>
      <c r="L2954" s="13" t="str">
        <f>IFERROR(VLOOKUP(C2954,'Справочник соответствий'!A$2:D$2981,3,FALSE),IF(VALUE(C2954)=0,"ЭТАЖ НЕ ОПРЕДЕЛЕН. ПРИНЯТ ПО ДОПУЩЕНИЮ 1",VLOOKUP(C2954,'Справочник соответствий'!A$2:D$2981,3,FALSE)))</f>
        <v>ЭТАЖ ЗАДАН ЧИСЛОМ</v>
      </c>
      <c r="M2954" s="13" t="b">
        <f t="shared" si="323"/>
        <v>0</v>
      </c>
      <c r="N2954" s="13">
        <f t="shared" si="324"/>
        <v>1</v>
      </c>
      <c r="O2954" s="13" t="str">
        <f t="shared" si="325"/>
        <v>ЭТАЖ ЗАДАН ЧИСЛОМ</v>
      </c>
      <c r="P2954" s="13" t="str">
        <f t="shared" si="326"/>
        <v>ЭТАЖ ЗАДАН ЧИСЛОМ</v>
      </c>
      <c r="Q2954" s="13" t="str">
        <f t="shared" si="327"/>
        <v>ГОТОВ_ИЗМЕНЕН</v>
      </c>
      <c r="R2954" s="13">
        <f>IFERROR(VLOOKUP(P2954,Лист1!A$1:B$20,2,FALSE),0)</f>
        <v>784</v>
      </c>
      <c r="S2954" s="13">
        <f t="shared" si="328"/>
        <v>0</v>
      </c>
    </row>
    <row r="2955" spans="1:19" x14ac:dyDescent="0.25">
      <c r="A2955" s="24" t="s">
        <v>4087</v>
      </c>
      <c r="B2955" s="4" t="s">
        <v>1059</v>
      </c>
      <c r="C2955" s="25" t="s">
        <v>7</v>
      </c>
      <c r="G2955" s="25" t="s">
        <v>1222</v>
      </c>
      <c r="H2955" s="24" t="s">
        <v>1061</v>
      </c>
      <c r="I2955" s="3" t="str">
        <f>IFERROR(VLOOKUP(C2955,'Справочник соответствий'!A$2:D$2981,2,FALSE),IF(VALUE(C2955)=0,1,VLOOKUP(C2955,'Справочник соответствий'!A$2:D$2981,2,FALSE)))</f>
        <v>2</v>
      </c>
      <c r="J2955" s="3">
        <f>IFERROR(VLOOKUP(D2955,'Справочник соответствий'!A$2:D$2981,2,FALSE),IF(VALUE(D2955)=0,0,VLOOKUP(D2955,'Справочник соответствий'!A$2:D$2981,2,FALSE)))</f>
        <v>0</v>
      </c>
      <c r="K2955" s="3" t="str">
        <f t="shared" si="322"/>
        <v>2</v>
      </c>
      <c r="L2955" s="13" t="str">
        <f>IFERROR(VLOOKUP(C2955,'Справочник соответствий'!A$2:D$2981,3,FALSE),IF(VALUE(C2955)=0,"ЭТАЖ НЕ ОПРЕДЕЛЕН. ПРИНЯТ ПО ДОПУЩЕНИЮ 1",VLOOKUP(C2955,'Справочник соответствий'!A$2:D$2981,3,FALSE)))</f>
        <v>ЭТАЖ ЗАДАН ЧИСЛОМ</v>
      </c>
      <c r="M2955" s="13" t="b">
        <f t="shared" si="323"/>
        <v>0</v>
      </c>
      <c r="N2955" s="13">
        <f t="shared" si="324"/>
        <v>2</v>
      </c>
      <c r="O2955" s="13" t="str">
        <f t="shared" si="325"/>
        <v>ЭТАЖ ЗАДАН ЧИСЛОМ</v>
      </c>
      <c r="P2955" s="13" t="str">
        <f t="shared" si="326"/>
        <v>ЭТАЖ ЗАДАН ЧИСЛОМ</v>
      </c>
      <c r="Q2955" s="13" t="str">
        <f t="shared" si="327"/>
        <v>ГОТОВ_ИЗМЕНЕН</v>
      </c>
      <c r="R2955" s="13">
        <f>IFERROR(VLOOKUP(P2955,Лист1!A$1:B$20,2,FALSE),0)</f>
        <v>784</v>
      </c>
      <c r="S2955" s="13">
        <f t="shared" si="328"/>
        <v>0</v>
      </c>
    </row>
    <row r="2956" spans="1:19" x14ac:dyDescent="0.25">
      <c r="A2956" s="24" t="s">
        <v>4088</v>
      </c>
      <c r="B2956" s="4" t="s">
        <v>1063</v>
      </c>
      <c r="C2956" s="25" t="s">
        <v>5</v>
      </c>
      <c r="G2956" s="25" t="s">
        <v>1096</v>
      </c>
      <c r="H2956" s="24" t="s">
        <v>1061</v>
      </c>
      <c r="I2956" s="3" t="str">
        <f>IFERROR(VLOOKUP(C2956,'Справочник соответствий'!A$2:D$2981,2,FALSE),IF(VALUE(C2956)=0,1,VLOOKUP(C2956,'Справочник соответствий'!A$2:D$2981,2,FALSE)))</f>
        <v>1</v>
      </c>
      <c r="J2956" s="3">
        <f>IFERROR(VLOOKUP(D2956,'Справочник соответствий'!A$2:D$2981,2,FALSE),IF(VALUE(D2956)=0,0,VLOOKUP(D2956,'Справочник соответствий'!A$2:D$2981,2,FALSE)))</f>
        <v>0</v>
      </c>
      <c r="K2956" s="3" t="str">
        <f t="shared" si="322"/>
        <v>1</v>
      </c>
      <c r="L2956" s="13" t="str">
        <f>IFERROR(VLOOKUP(C2956,'Справочник соответствий'!A$2:D$2981,3,FALSE),IF(VALUE(C2956)=0,"ЭТАЖ НЕ ОПРЕДЕЛЕН. ПРИНЯТ ПО ДОПУЩЕНИЮ 1",VLOOKUP(C2956,'Справочник соответствий'!A$2:D$2981,3,FALSE)))</f>
        <v>ЭТАЖ ЗАДАН ЧИСЛОМ</v>
      </c>
      <c r="M2956" s="13" t="b">
        <f t="shared" si="323"/>
        <v>0</v>
      </c>
      <c r="N2956" s="13">
        <f t="shared" si="324"/>
        <v>1</v>
      </c>
      <c r="O2956" s="13" t="str">
        <f t="shared" si="325"/>
        <v>ЭТАЖ ЗАДАН ЧИСЛОМ</v>
      </c>
      <c r="P2956" s="13" t="str">
        <f t="shared" si="326"/>
        <v>ЭТАЖ ЗАДАН ЧИСЛОМ</v>
      </c>
      <c r="Q2956" s="13" t="str">
        <f t="shared" si="327"/>
        <v>ГОТОВ_ИЗМЕНЕН</v>
      </c>
      <c r="R2956" s="13">
        <f>IFERROR(VLOOKUP(P2956,Лист1!A$1:B$20,2,FALSE),0)</f>
        <v>784</v>
      </c>
      <c r="S2956" s="13">
        <f t="shared" si="328"/>
        <v>0</v>
      </c>
    </row>
    <row r="2957" spans="1:19" x14ac:dyDescent="0.25">
      <c r="A2957" s="24" t="s">
        <v>4089</v>
      </c>
      <c r="B2957" s="4" t="s">
        <v>1063</v>
      </c>
      <c r="C2957" s="25" t="s">
        <v>5</v>
      </c>
      <c r="G2957" s="25" t="s">
        <v>1096</v>
      </c>
      <c r="H2957" s="24" t="s">
        <v>1061</v>
      </c>
      <c r="I2957" s="3" t="str">
        <f>IFERROR(VLOOKUP(C2957,'Справочник соответствий'!A$2:D$2981,2,FALSE),IF(VALUE(C2957)=0,1,VLOOKUP(C2957,'Справочник соответствий'!A$2:D$2981,2,FALSE)))</f>
        <v>1</v>
      </c>
      <c r="J2957" s="3">
        <f>IFERROR(VLOOKUP(D2957,'Справочник соответствий'!A$2:D$2981,2,FALSE),IF(VALUE(D2957)=0,0,VLOOKUP(D2957,'Справочник соответствий'!A$2:D$2981,2,FALSE)))</f>
        <v>0</v>
      </c>
      <c r="K2957" s="3" t="str">
        <f t="shared" si="322"/>
        <v>1</v>
      </c>
      <c r="L2957" s="13" t="str">
        <f>IFERROR(VLOOKUP(C2957,'Справочник соответствий'!A$2:D$2981,3,FALSE),IF(VALUE(C2957)=0,"ЭТАЖ НЕ ОПРЕДЕЛЕН. ПРИНЯТ ПО ДОПУЩЕНИЮ 1",VLOOKUP(C2957,'Справочник соответствий'!A$2:D$2981,3,FALSE)))</f>
        <v>ЭТАЖ ЗАДАН ЧИСЛОМ</v>
      </c>
      <c r="M2957" s="13" t="b">
        <f t="shared" si="323"/>
        <v>0</v>
      </c>
      <c r="N2957" s="13">
        <f t="shared" si="324"/>
        <v>1</v>
      </c>
      <c r="O2957" s="13" t="str">
        <f t="shared" si="325"/>
        <v>ЭТАЖ ЗАДАН ЧИСЛОМ</v>
      </c>
      <c r="P2957" s="13" t="str">
        <f t="shared" si="326"/>
        <v>ЭТАЖ ЗАДАН ЧИСЛОМ</v>
      </c>
      <c r="Q2957" s="13" t="str">
        <f t="shared" si="327"/>
        <v>ГОТОВ_ИЗМЕНЕН</v>
      </c>
      <c r="R2957" s="13">
        <f>IFERROR(VLOOKUP(P2957,Лист1!A$1:B$20,2,FALSE),0)</f>
        <v>784</v>
      </c>
      <c r="S2957" s="13">
        <f t="shared" si="328"/>
        <v>0</v>
      </c>
    </row>
    <row r="2958" spans="1:19" x14ac:dyDescent="0.25">
      <c r="A2958" s="24" t="s">
        <v>4090</v>
      </c>
      <c r="B2958" s="4" t="s">
        <v>1059</v>
      </c>
      <c r="C2958" s="25" t="s">
        <v>7</v>
      </c>
      <c r="G2958" s="25" t="s">
        <v>1096</v>
      </c>
      <c r="H2958" s="24" t="s">
        <v>1061</v>
      </c>
      <c r="I2958" s="3" t="str">
        <f>IFERROR(VLOOKUP(C2958,'Справочник соответствий'!A$2:D$2981,2,FALSE),IF(VALUE(C2958)=0,1,VLOOKUP(C2958,'Справочник соответствий'!A$2:D$2981,2,FALSE)))</f>
        <v>2</v>
      </c>
      <c r="J2958" s="3">
        <f>IFERROR(VLOOKUP(D2958,'Справочник соответствий'!A$2:D$2981,2,FALSE),IF(VALUE(D2958)=0,0,VLOOKUP(D2958,'Справочник соответствий'!A$2:D$2981,2,FALSE)))</f>
        <v>0</v>
      </c>
      <c r="K2958" s="3" t="str">
        <f t="shared" si="322"/>
        <v>2</v>
      </c>
      <c r="L2958" s="13" t="str">
        <f>IFERROR(VLOOKUP(C2958,'Справочник соответствий'!A$2:D$2981,3,FALSE),IF(VALUE(C2958)=0,"ЭТАЖ НЕ ОПРЕДЕЛЕН. ПРИНЯТ ПО ДОПУЩЕНИЮ 1",VLOOKUP(C2958,'Справочник соответствий'!A$2:D$2981,3,FALSE)))</f>
        <v>ЭТАЖ ЗАДАН ЧИСЛОМ</v>
      </c>
      <c r="M2958" s="13" t="b">
        <f t="shared" si="323"/>
        <v>0</v>
      </c>
      <c r="N2958" s="13">
        <f t="shared" si="324"/>
        <v>2</v>
      </c>
      <c r="O2958" s="13" t="str">
        <f t="shared" si="325"/>
        <v>ЭТАЖ ЗАДАН ЧИСЛОМ</v>
      </c>
      <c r="P2958" s="13" t="str">
        <f t="shared" si="326"/>
        <v>ЭТАЖ ЗАДАН ЧИСЛОМ</v>
      </c>
      <c r="Q2958" s="13" t="str">
        <f t="shared" si="327"/>
        <v>ГОТОВ_ИЗМЕНЕН</v>
      </c>
      <c r="R2958" s="13">
        <f>IFERROR(VLOOKUP(P2958,Лист1!A$1:B$20,2,FALSE),0)</f>
        <v>784</v>
      </c>
      <c r="S2958" s="13">
        <f t="shared" si="328"/>
        <v>0</v>
      </c>
    </row>
    <row r="2959" spans="1:19" x14ac:dyDescent="0.25">
      <c r="A2959" s="24" t="s">
        <v>4091</v>
      </c>
      <c r="B2959" s="4" t="s">
        <v>1063</v>
      </c>
      <c r="C2959" s="25" t="s">
        <v>7</v>
      </c>
      <c r="G2959" s="25" t="s">
        <v>1096</v>
      </c>
      <c r="H2959" s="24" t="s">
        <v>1061</v>
      </c>
      <c r="I2959" s="3" t="str">
        <f>IFERROR(VLOOKUP(C2959,'Справочник соответствий'!A$2:D$2981,2,FALSE),IF(VALUE(C2959)=0,1,VLOOKUP(C2959,'Справочник соответствий'!A$2:D$2981,2,FALSE)))</f>
        <v>2</v>
      </c>
      <c r="J2959" s="3">
        <f>IFERROR(VLOOKUP(D2959,'Справочник соответствий'!A$2:D$2981,2,FALSE),IF(VALUE(D2959)=0,0,VLOOKUP(D2959,'Справочник соответствий'!A$2:D$2981,2,FALSE)))</f>
        <v>0</v>
      </c>
      <c r="K2959" s="3" t="str">
        <f t="shared" si="322"/>
        <v>2</v>
      </c>
      <c r="L2959" s="13" t="str">
        <f>IFERROR(VLOOKUP(C2959,'Справочник соответствий'!A$2:D$2981,3,FALSE),IF(VALUE(C2959)=0,"ЭТАЖ НЕ ОПРЕДЕЛЕН. ПРИНЯТ ПО ДОПУЩЕНИЮ 1",VLOOKUP(C2959,'Справочник соответствий'!A$2:D$2981,3,FALSE)))</f>
        <v>ЭТАЖ ЗАДАН ЧИСЛОМ</v>
      </c>
      <c r="M2959" s="13" t="b">
        <f t="shared" si="323"/>
        <v>0</v>
      </c>
      <c r="N2959" s="13">
        <f t="shared" si="324"/>
        <v>2</v>
      </c>
      <c r="O2959" s="13" t="str">
        <f t="shared" si="325"/>
        <v>ЭТАЖ ЗАДАН ЧИСЛОМ</v>
      </c>
      <c r="P2959" s="13" t="str">
        <f t="shared" si="326"/>
        <v>ЭТАЖ ЗАДАН ЧИСЛОМ</v>
      </c>
      <c r="Q2959" s="13" t="str">
        <f t="shared" si="327"/>
        <v>ГОТОВ_ИЗМЕНЕН</v>
      </c>
      <c r="R2959" s="13">
        <f>IFERROR(VLOOKUP(P2959,Лист1!A$1:B$20,2,FALSE),0)</f>
        <v>784</v>
      </c>
      <c r="S2959" s="13">
        <f t="shared" si="328"/>
        <v>0</v>
      </c>
    </row>
    <row r="2960" spans="1:19" x14ac:dyDescent="0.25">
      <c r="A2960" s="24" t="s">
        <v>4092</v>
      </c>
      <c r="B2960" s="4" t="s">
        <v>1059</v>
      </c>
      <c r="C2960" s="25" t="s">
        <v>5</v>
      </c>
      <c r="G2960" s="25" t="s">
        <v>1069</v>
      </c>
      <c r="H2960" s="24" t="s">
        <v>1061</v>
      </c>
      <c r="I2960" s="3" t="str">
        <f>IFERROR(VLOOKUP(C2960,'Справочник соответствий'!A$2:D$2981,2,FALSE),IF(VALUE(C2960)=0,1,VLOOKUP(C2960,'Справочник соответствий'!A$2:D$2981,2,FALSE)))</f>
        <v>1</v>
      </c>
      <c r="J2960" s="3">
        <f>IFERROR(VLOOKUP(D2960,'Справочник соответствий'!A$2:D$2981,2,FALSE),IF(VALUE(D2960)=0,0,VLOOKUP(D2960,'Справочник соответствий'!A$2:D$2981,2,FALSE)))</f>
        <v>0</v>
      </c>
      <c r="K2960" s="3" t="str">
        <f t="shared" si="322"/>
        <v>1</v>
      </c>
      <c r="L2960" s="13" t="str">
        <f>IFERROR(VLOOKUP(C2960,'Справочник соответствий'!A$2:D$2981,3,FALSE),IF(VALUE(C2960)=0,"ЭТАЖ НЕ ОПРЕДЕЛЕН. ПРИНЯТ ПО ДОПУЩЕНИЮ 1",VLOOKUP(C2960,'Справочник соответствий'!A$2:D$2981,3,FALSE)))</f>
        <v>ЭТАЖ ЗАДАН ЧИСЛОМ</v>
      </c>
      <c r="M2960" s="13" t="b">
        <f t="shared" si="323"/>
        <v>0</v>
      </c>
      <c r="N2960" s="13">
        <f t="shared" si="324"/>
        <v>1</v>
      </c>
      <c r="O2960" s="13" t="str">
        <f t="shared" si="325"/>
        <v>ЭТАЖ ЗАДАН ЧИСЛОМ</v>
      </c>
      <c r="P2960" s="13" t="str">
        <f t="shared" si="326"/>
        <v>ЭТАЖ ЗАДАН ЧИСЛОМ</v>
      </c>
      <c r="Q2960" s="13" t="str">
        <f t="shared" si="327"/>
        <v>ГОТОВ_ИЗМЕНЕН</v>
      </c>
      <c r="R2960" s="13">
        <f>IFERROR(VLOOKUP(P2960,Лист1!A$1:B$20,2,FALSE),0)</f>
        <v>784</v>
      </c>
      <c r="S2960" s="13">
        <f t="shared" si="328"/>
        <v>0</v>
      </c>
    </row>
    <row r="2961" spans="1:19" x14ac:dyDescent="0.25">
      <c r="A2961" s="24" t="s">
        <v>4093</v>
      </c>
      <c r="B2961" s="4" t="s">
        <v>1059</v>
      </c>
      <c r="C2961" s="25" t="s">
        <v>5</v>
      </c>
      <c r="G2961" s="25" t="s">
        <v>3185</v>
      </c>
      <c r="H2961" s="24" t="s">
        <v>1061</v>
      </c>
      <c r="I2961" s="3" t="str">
        <f>IFERROR(VLOOKUP(C2961,'Справочник соответствий'!A$2:D$2981,2,FALSE),IF(VALUE(C2961)=0,1,VLOOKUP(C2961,'Справочник соответствий'!A$2:D$2981,2,FALSE)))</f>
        <v>1</v>
      </c>
      <c r="J2961" s="3">
        <f>IFERROR(VLOOKUP(D2961,'Справочник соответствий'!A$2:D$2981,2,FALSE),IF(VALUE(D2961)=0,0,VLOOKUP(D2961,'Справочник соответствий'!A$2:D$2981,2,FALSE)))</f>
        <v>0</v>
      </c>
      <c r="K2961" s="3" t="str">
        <f t="shared" si="322"/>
        <v>1</v>
      </c>
      <c r="L2961" s="13" t="str">
        <f>IFERROR(VLOOKUP(C2961,'Справочник соответствий'!A$2:D$2981,3,FALSE),IF(VALUE(C2961)=0,"ЭТАЖ НЕ ОПРЕДЕЛЕН. ПРИНЯТ ПО ДОПУЩЕНИЮ 1",VLOOKUP(C2961,'Справочник соответствий'!A$2:D$2981,3,FALSE)))</f>
        <v>ЭТАЖ ЗАДАН ЧИСЛОМ</v>
      </c>
      <c r="M2961" s="13" t="b">
        <f t="shared" si="323"/>
        <v>0</v>
      </c>
      <c r="N2961" s="13">
        <f t="shared" si="324"/>
        <v>1</v>
      </c>
      <c r="O2961" s="13" t="str">
        <f t="shared" si="325"/>
        <v>ЭТАЖ ЗАДАН ЧИСЛОМ</v>
      </c>
      <c r="P2961" s="13" t="str">
        <f t="shared" si="326"/>
        <v>ЭТАЖ ЗАДАН ЧИСЛОМ</v>
      </c>
      <c r="Q2961" s="13" t="str">
        <f t="shared" si="327"/>
        <v>ГОТОВ_ИЗМЕНЕН</v>
      </c>
      <c r="R2961" s="13">
        <f>IFERROR(VLOOKUP(P2961,Лист1!A$1:B$20,2,FALSE),0)</f>
        <v>784</v>
      </c>
      <c r="S2961" s="13">
        <f t="shared" si="328"/>
        <v>0</v>
      </c>
    </row>
    <row r="2962" spans="1:19" x14ac:dyDescent="0.25">
      <c r="A2962" s="24" t="s">
        <v>4094</v>
      </c>
      <c r="B2962" s="4" t="s">
        <v>1059</v>
      </c>
      <c r="C2962" s="25" t="s">
        <v>7</v>
      </c>
      <c r="G2962" s="25" t="s">
        <v>3185</v>
      </c>
      <c r="H2962" s="24" t="s">
        <v>1061</v>
      </c>
      <c r="I2962" s="3" t="str">
        <f>IFERROR(VLOOKUP(C2962,'Справочник соответствий'!A$2:D$2981,2,FALSE),IF(VALUE(C2962)=0,1,VLOOKUP(C2962,'Справочник соответствий'!A$2:D$2981,2,FALSE)))</f>
        <v>2</v>
      </c>
      <c r="J2962" s="3">
        <f>IFERROR(VLOOKUP(D2962,'Справочник соответствий'!A$2:D$2981,2,FALSE),IF(VALUE(D2962)=0,0,VLOOKUP(D2962,'Справочник соответствий'!A$2:D$2981,2,FALSE)))</f>
        <v>0</v>
      </c>
      <c r="K2962" s="3" t="str">
        <f t="shared" si="322"/>
        <v>2</v>
      </c>
      <c r="L2962" s="13" t="str">
        <f>IFERROR(VLOOKUP(C2962,'Справочник соответствий'!A$2:D$2981,3,FALSE),IF(VALUE(C2962)=0,"ЭТАЖ НЕ ОПРЕДЕЛЕН. ПРИНЯТ ПО ДОПУЩЕНИЮ 1",VLOOKUP(C2962,'Справочник соответствий'!A$2:D$2981,3,FALSE)))</f>
        <v>ЭТАЖ ЗАДАН ЧИСЛОМ</v>
      </c>
      <c r="M2962" s="13" t="b">
        <f t="shared" si="323"/>
        <v>0</v>
      </c>
      <c r="N2962" s="13">
        <f t="shared" si="324"/>
        <v>2</v>
      </c>
      <c r="O2962" s="13" t="str">
        <f t="shared" si="325"/>
        <v>ЭТАЖ ЗАДАН ЧИСЛОМ</v>
      </c>
      <c r="P2962" s="13" t="str">
        <f t="shared" si="326"/>
        <v>ЭТАЖ ЗАДАН ЧИСЛОМ</v>
      </c>
      <c r="Q2962" s="13" t="str">
        <f t="shared" si="327"/>
        <v>ГОТОВ_ИЗМЕНЕН</v>
      </c>
      <c r="R2962" s="13">
        <f>IFERROR(VLOOKUP(P2962,Лист1!A$1:B$20,2,FALSE),0)</f>
        <v>784</v>
      </c>
      <c r="S2962" s="13">
        <f t="shared" si="328"/>
        <v>0</v>
      </c>
    </row>
    <row r="2963" spans="1:19" x14ac:dyDescent="0.25">
      <c r="A2963" s="24" t="s">
        <v>4095</v>
      </c>
      <c r="B2963" s="4" t="s">
        <v>1063</v>
      </c>
      <c r="C2963" s="25" t="s">
        <v>5</v>
      </c>
      <c r="G2963" s="25" t="s">
        <v>3185</v>
      </c>
      <c r="H2963" s="24" t="s">
        <v>1061</v>
      </c>
      <c r="I2963" s="3" t="str">
        <f>IFERROR(VLOOKUP(C2963,'Справочник соответствий'!A$2:D$2981,2,FALSE),IF(VALUE(C2963)=0,1,VLOOKUP(C2963,'Справочник соответствий'!A$2:D$2981,2,FALSE)))</f>
        <v>1</v>
      </c>
      <c r="J2963" s="3">
        <f>IFERROR(VLOOKUP(D2963,'Справочник соответствий'!A$2:D$2981,2,FALSE),IF(VALUE(D2963)=0,0,VLOOKUP(D2963,'Справочник соответствий'!A$2:D$2981,2,FALSE)))</f>
        <v>0</v>
      </c>
      <c r="K2963" s="3" t="str">
        <f t="shared" si="322"/>
        <v>1</v>
      </c>
      <c r="L2963" s="13" t="str">
        <f>IFERROR(VLOOKUP(C2963,'Справочник соответствий'!A$2:D$2981,3,FALSE),IF(VALUE(C2963)=0,"ЭТАЖ НЕ ОПРЕДЕЛЕН. ПРИНЯТ ПО ДОПУЩЕНИЮ 1",VLOOKUP(C2963,'Справочник соответствий'!A$2:D$2981,3,FALSE)))</f>
        <v>ЭТАЖ ЗАДАН ЧИСЛОМ</v>
      </c>
      <c r="M2963" s="13" t="b">
        <f t="shared" si="323"/>
        <v>0</v>
      </c>
      <c r="N2963" s="13">
        <f t="shared" si="324"/>
        <v>1</v>
      </c>
      <c r="O2963" s="13" t="str">
        <f t="shared" si="325"/>
        <v>ЭТАЖ ЗАДАН ЧИСЛОМ</v>
      </c>
      <c r="P2963" s="13" t="str">
        <f t="shared" si="326"/>
        <v>ЭТАЖ ЗАДАН ЧИСЛОМ</v>
      </c>
      <c r="Q2963" s="13" t="str">
        <f t="shared" si="327"/>
        <v>ГОТОВ_ИЗМЕНЕН</v>
      </c>
      <c r="R2963" s="13">
        <f>IFERROR(VLOOKUP(P2963,Лист1!A$1:B$20,2,FALSE),0)</f>
        <v>784</v>
      </c>
      <c r="S2963" s="13">
        <f t="shared" si="328"/>
        <v>0</v>
      </c>
    </row>
    <row r="2964" spans="1:19" x14ac:dyDescent="0.25">
      <c r="A2964" s="24" t="s">
        <v>4096</v>
      </c>
      <c r="B2964" s="4" t="s">
        <v>1063</v>
      </c>
      <c r="C2964" s="25" t="s">
        <v>5</v>
      </c>
      <c r="G2964" s="25" t="s">
        <v>1069</v>
      </c>
      <c r="H2964" s="24" t="s">
        <v>1061</v>
      </c>
      <c r="I2964" s="3" t="str">
        <f>IFERROR(VLOOKUP(C2964,'Справочник соответствий'!A$2:D$2981,2,FALSE),IF(VALUE(C2964)=0,1,VLOOKUP(C2964,'Справочник соответствий'!A$2:D$2981,2,FALSE)))</f>
        <v>1</v>
      </c>
      <c r="J2964" s="3">
        <f>IFERROR(VLOOKUP(D2964,'Справочник соответствий'!A$2:D$2981,2,FALSE),IF(VALUE(D2964)=0,0,VLOOKUP(D2964,'Справочник соответствий'!A$2:D$2981,2,FALSE)))</f>
        <v>0</v>
      </c>
      <c r="K2964" s="3" t="str">
        <f t="shared" si="322"/>
        <v>1</v>
      </c>
      <c r="L2964" s="13" t="str">
        <f>IFERROR(VLOOKUP(C2964,'Справочник соответствий'!A$2:D$2981,3,FALSE),IF(VALUE(C2964)=0,"ЭТАЖ НЕ ОПРЕДЕЛЕН. ПРИНЯТ ПО ДОПУЩЕНИЮ 1",VLOOKUP(C2964,'Справочник соответствий'!A$2:D$2981,3,FALSE)))</f>
        <v>ЭТАЖ ЗАДАН ЧИСЛОМ</v>
      </c>
      <c r="M2964" s="13" t="b">
        <f t="shared" si="323"/>
        <v>0</v>
      </c>
      <c r="N2964" s="13">
        <f t="shared" si="324"/>
        <v>1</v>
      </c>
      <c r="O2964" s="13" t="str">
        <f t="shared" si="325"/>
        <v>ЭТАЖ ЗАДАН ЧИСЛОМ</v>
      </c>
      <c r="P2964" s="13" t="str">
        <f t="shared" si="326"/>
        <v>ЭТАЖ ЗАДАН ЧИСЛОМ</v>
      </c>
      <c r="Q2964" s="13" t="str">
        <f t="shared" si="327"/>
        <v>ГОТОВ_ИЗМЕНЕН</v>
      </c>
      <c r="R2964" s="13">
        <f>IFERROR(VLOOKUP(P2964,Лист1!A$1:B$20,2,FALSE),0)</f>
        <v>784</v>
      </c>
      <c r="S2964" s="13">
        <f t="shared" si="328"/>
        <v>0</v>
      </c>
    </row>
    <row r="2965" spans="1:19" x14ac:dyDescent="0.25">
      <c r="A2965" s="24" t="s">
        <v>4097</v>
      </c>
      <c r="B2965" s="4" t="s">
        <v>1059</v>
      </c>
      <c r="C2965" s="25" t="s">
        <v>5</v>
      </c>
      <c r="G2965" s="25" t="s">
        <v>3185</v>
      </c>
      <c r="H2965" s="24" t="s">
        <v>1061</v>
      </c>
      <c r="I2965" s="3" t="str">
        <f>IFERROR(VLOOKUP(C2965,'Справочник соответствий'!A$2:D$2981,2,FALSE),IF(VALUE(C2965)=0,1,VLOOKUP(C2965,'Справочник соответствий'!A$2:D$2981,2,FALSE)))</f>
        <v>1</v>
      </c>
      <c r="J2965" s="3">
        <f>IFERROR(VLOOKUP(D2965,'Справочник соответствий'!A$2:D$2981,2,FALSE),IF(VALUE(D2965)=0,0,VLOOKUP(D2965,'Справочник соответствий'!A$2:D$2981,2,FALSE)))</f>
        <v>0</v>
      </c>
      <c r="K2965" s="3" t="str">
        <f t="shared" si="322"/>
        <v>1</v>
      </c>
      <c r="L2965" s="13" t="str">
        <f>IFERROR(VLOOKUP(C2965,'Справочник соответствий'!A$2:D$2981,3,FALSE),IF(VALUE(C2965)=0,"ЭТАЖ НЕ ОПРЕДЕЛЕН. ПРИНЯТ ПО ДОПУЩЕНИЮ 1",VLOOKUP(C2965,'Справочник соответствий'!A$2:D$2981,3,FALSE)))</f>
        <v>ЭТАЖ ЗАДАН ЧИСЛОМ</v>
      </c>
      <c r="M2965" s="13" t="b">
        <f t="shared" si="323"/>
        <v>0</v>
      </c>
      <c r="N2965" s="13">
        <f t="shared" si="324"/>
        <v>1</v>
      </c>
      <c r="O2965" s="13" t="str">
        <f t="shared" si="325"/>
        <v>ЭТАЖ ЗАДАН ЧИСЛОМ</v>
      </c>
      <c r="P2965" s="13" t="str">
        <f t="shared" si="326"/>
        <v>ЭТАЖ ЗАДАН ЧИСЛОМ</v>
      </c>
      <c r="Q2965" s="13" t="str">
        <f t="shared" si="327"/>
        <v>ГОТОВ_ИЗМЕНЕН</v>
      </c>
      <c r="R2965" s="13">
        <f>IFERROR(VLOOKUP(P2965,Лист1!A$1:B$20,2,FALSE),0)</f>
        <v>784</v>
      </c>
      <c r="S2965" s="13">
        <f t="shared" si="328"/>
        <v>0</v>
      </c>
    </row>
    <row r="2966" spans="1:19" x14ac:dyDescent="0.25">
      <c r="A2966" s="24" t="s">
        <v>4098</v>
      </c>
      <c r="B2966" s="4" t="s">
        <v>1059</v>
      </c>
      <c r="C2966" s="25" t="s">
        <v>5</v>
      </c>
      <c r="G2966" s="25" t="s">
        <v>1075</v>
      </c>
      <c r="H2966" s="24" t="s">
        <v>1061</v>
      </c>
      <c r="I2966" s="3" t="str">
        <f>IFERROR(VLOOKUP(C2966,'Справочник соответствий'!A$2:D$2981,2,FALSE),IF(VALUE(C2966)=0,1,VLOOKUP(C2966,'Справочник соответствий'!A$2:D$2981,2,FALSE)))</f>
        <v>1</v>
      </c>
      <c r="J2966" s="3">
        <f>IFERROR(VLOOKUP(D2966,'Справочник соответствий'!A$2:D$2981,2,FALSE),IF(VALUE(D2966)=0,0,VLOOKUP(D2966,'Справочник соответствий'!A$2:D$2981,2,FALSE)))</f>
        <v>0</v>
      </c>
      <c r="K2966" s="3" t="str">
        <f t="shared" si="322"/>
        <v>1</v>
      </c>
      <c r="L2966" s="13" t="str">
        <f>IFERROR(VLOOKUP(C2966,'Справочник соответствий'!A$2:D$2981,3,FALSE),IF(VALUE(C2966)=0,"ЭТАЖ НЕ ОПРЕДЕЛЕН. ПРИНЯТ ПО ДОПУЩЕНИЮ 1",VLOOKUP(C2966,'Справочник соответствий'!A$2:D$2981,3,FALSE)))</f>
        <v>ЭТАЖ ЗАДАН ЧИСЛОМ</v>
      </c>
      <c r="M2966" s="13" t="b">
        <f t="shared" si="323"/>
        <v>0</v>
      </c>
      <c r="N2966" s="13">
        <f t="shared" si="324"/>
        <v>1</v>
      </c>
      <c r="O2966" s="13" t="str">
        <f t="shared" si="325"/>
        <v>ЭТАЖ ЗАДАН ЧИСЛОМ</v>
      </c>
      <c r="P2966" s="13" t="str">
        <f t="shared" si="326"/>
        <v>ЭТАЖ ЗАДАН ЧИСЛОМ</v>
      </c>
      <c r="Q2966" s="13" t="str">
        <f t="shared" si="327"/>
        <v>ГОТОВ_ИЗМЕНЕН</v>
      </c>
      <c r="R2966" s="13">
        <f>IFERROR(VLOOKUP(P2966,Лист1!A$1:B$20,2,FALSE),0)</f>
        <v>784</v>
      </c>
      <c r="S2966" s="13">
        <f t="shared" si="328"/>
        <v>0</v>
      </c>
    </row>
    <row r="2967" spans="1:19" x14ac:dyDescent="0.25">
      <c r="A2967" s="24" t="s">
        <v>4099</v>
      </c>
      <c r="B2967" s="4" t="s">
        <v>1063</v>
      </c>
      <c r="C2967" s="25" t="s">
        <v>7</v>
      </c>
      <c r="G2967" s="25" t="s">
        <v>1075</v>
      </c>
      <c r="H2967" s="24" t="s">
        <v>1061</v>
      </c>
      <c r="I2967" s="3" t="str">
        <f>IFERROR(VLOOKUP(C2967,'Справочник соответствий'!A$2:D$2981,2,FALSE),IF(VALUE(C2967)=0,1,VLOOKUP(C2967,'Справочник соответствий'!A$2:D$2981,2,FALSE)))</f>
        <v>2</v>
      </c>
      <c r="J2967" s="3">
        <f>IFERROR(VLOOKUP(D2967,'Справочник соответствий'!A$2:D$2981,2,FALSE),IF(VALUE(D2967)=0,0,VLOOKUP(D2967,'Справочник соответствий'!A$2:D$2981,2,FALSE)))</f>
        <v>0</v>
      </c>
      <c r="K2967" s="3" t="str">
        <f t="shared" si="322"/>
        <v>2</v>
      </c>
      <c r="L2967" s="13" t="str">
        <f>IFERROR(VLOOKUP(C2967,'Справочник соответствий'!A$2:D$2981,3,FALSE),IF(VALUE(C2967)=0,"ЭТАЖ НЕ ОПРЕДЕЛЕН. ПРИНЯТ ПО ДОПУЩЕНИЮ 1",VLOOKUP(C2967,'Справочник соответствий'!A$2:D$2981,3,FALSE)))</f>
        <v>ЭТАЖ ЗАДАН ЧИСЛОМ</v>
      </c>
      <c r="M2967" s="13" t="b">
        <f t="shared" si="323"/>
        <v>0</v>
      </c>
      <c r="N2967" s="13">
        <f t="shared" si="324"/>
        <v>2</v>
      </c>
      <c r="O2967" s="13" t="str">
        <f t="shared" si="325"/>
        <v>ЭТАЖ ЗАДАН ЧИСЛОМ</v>
      </c>
      <c r="P2967" s="13" t="str">
        <f t="shared" si="326"/>
        <v>ЭТАЖ ЗАДАН ЧИСЛОМ</v>
      </c>
      <c r="Q2967" s="13" t="str">
        <f t="shared" si="327"/>
        <v>ГОТОВ_ИЗМЕНЕН</v>
      </c>
      <c r="R2967" s="13">
        <f>IFERROR(VLOOKUP(P2967,Лист1!A$1:B$20,2,FALSE),0)</f>
        <v>784</v>
      </c>
      <c r="S2967" s="13">
        <f t="shared" si="328"/>
        <v>0</v>
      </c>
    </row>
    <row r="2968" spans="1:19" x14ac:dyDescent="0.25">
      <c r="A2968" s="24" t="s">
        <v>4100</v>
      </c>
      <c r="B2968" s="4" t="s">
        <v>1059</v>
      </c>
      <c r="C2968" s="25" t="s">
        <v>5</v>
      </c>
      <c r="G2968" s="25" t="s">
        <v>1075</v>
      </c>
      <c r="H2968" s="24" t="s">
        <v>1061</v>
      </c>
      <c r="I2968" s="3" t="str">
        <f>IFERROR(VLOOKUP(C2968,'Справочник соответствий'!A$2:D$2981,2,FALSE),IF(VALUE(C2968)=0,1,VLOOKUP(C2968,'Справочник соответствий'!A$2:D$2981,2,FALSE)))</f>
        <v>1</v>
      </c>
      <c r="J2968" s="3">
        <f>IFERROR(VLOOKUP(D2968,'Справочник соответствий'!A$2:D$2981,2,FALSE),IF(VALUE(D2968)=0,0,VLOOKUP(D2968,'Справочник соответствий'!A$2:D$2981,2,FALSE)))</f>
        <v>0</v>
      </c>
      <c r="K2968" s="3" t="str">
        <f t="shared" si="322"/>
        <v>1</v>
      </c>
      <c r="L2968" s="13" t="str">
        <f>IFERROR(VLOOKUP(C2968,'Справочник соответствий'!A$2:D$2981,3,FALSE),IF(VALUE(C2968)=0,"ЭТАЖ НЕ ОПРЕДЕЛЕН. ПРИНЯТ ПО ДОПУЩЕНИЮ 1",VLOOKUP(C2968,'Справочник соответствий'!A$2:D$2981,3,FALSE)))</f>
        <v>ЭТАЖ ЗАДАН ЧИСЛОМ</v>
      </c>
      <c r="M2968" s="13" t="b">
        <f t="shared" si="323"/>
        <v>0</v>
      </c>
      <c r="N2968" s="13">
        <f t="shared" si="324"/>
        <v>1</v>
      </c>
      <c r="O2968" s="13" t="str">
        <f t="shared" si="325"/>
        <v>ЭТАЖ ЗАДАН ЧИСЛОМ</v>
      </c>
      <c r="P2968" s="13" t="str">
        <f t="shared" si="326"/>
        <v>ЭТАЖ ЗАДАН ЧИСЛОМ</v>
      </c>
      <c r="Q2968" s="13" t="str">
        <f t="shared" si="327"/>
        <v>ГОТОВ_ИЗМЕНЕН</v>
      </c>
      <c r="R2968" s="13">
        <f>IFERROR(VLOOKUP(P2968,Лист1!A$1:B$20,2,FALSE),0)</f>
        <v>784</v>
      </c>
      <c r="S2968" s="13">
        <f t="shared" si="328"/>
        <v>0</v>
      </c>
    </row>
    <row r="2969" spans="1:19" x14ac:dyDescent="0.25">
      <c r="A2969" s="24" t="s">
        <v>4101</v>
      </c>
      <c r="B2969" s="4" t="s">
        <v>1059</v>
      </c>
      <c r="C2969" s="25" t="s">
        <v>5</v>
      </c>
      <c r="G2969" s="25" t="s">
        <v>1075</v>
      </c>
      <c r="H2969" s="24" t="s">
        <v>1061</v>
      </c>
      <c r="I2969" s="3" t="str">
        <f>IFERROR(VLOOKUP(C2969,'Справочник соответствий'!A$2:D$2981,2,FALSE),IF(VALUE(C2969)=0,1,VLOOKUP(C2969,'Справочник соответствий'!A$2:D$2981,2,FALSE)))</f>
        <v>1</v>
      </c>
      <c r="J2969" s="3">
        <f>IFERROR(VLOOKUP(D2969,'Справочник соответствий'!A$2:D$2981,2,FALSE),IF(VALUE(D2969)=0,0,VLOOKUP(D2969,'Справочник соответствий'!A$2:D$2981,2,FALSE)))</f>
        <v>0</v>
      </c>
      <c r="K2969" s="3" t="str">
        <f t="shared" si="322"/>
        <v>1</v>
      </c>
      <c r="L2969" s="13" t="str">
        <f>IFERROR(VLOOKUP(C2969,'Справочник соответствий'!A$2:D$2981,3,FALSE),IF(VALUE(C2969)=0,"ЭТАЖ НЕ ОПРЕДЕЛЕН. ПРИНЯТ ПО ДОПУЩЕНИЮ 1",VLOOKUP(C2969,'Справочник соответствий'!A$2:D$2981,3,FALSE)))</f>
        <v>ЭТАЖ ЗАДАН ЧИСЛОМ</v>
      </c>
      <c r="M2969" s="13" t="b">
        <f t="shared" si="323"/>
        <v>0</v>
      </c>
      <c r="N2969" s="13">
        <f t="shared" si="324"/>
        <v>1</v>
      </c>
      <c r="O2969" s="13" t="str">
        <f t="shared" si="325"/>
        <v>ЭТАЖ ЗАДАН ЧИСЛОМ</v>
      </c>
      <c r="P2969" s="13" t="str">
        <f t="shared" si="326"/>
        <v>ЭТАЖ ЗАДАН ЧИСЛОМ</v>
      </c>
      <c r="Q2969" s="13" t="str">
        <f t="shared" si="327"/>
        <v>ГОТОВ_ИЗМЕНЕН</v>
      </c>
      <c r="R2969" s="13">
        <f>IFERROR(VLOOKUP(P2969,Лист1!A$1:B$20,2,FALSE),0)</f>
        <v>784</v>
      </c>
      <c r="S2969" s="13">
        <f t="shared" si="328"/>
        <v>0</v>
      </c>
    </row>
    <row r="2970" spans="1:19" x14ac:dyDescent="0.25">
      <c r="A2970" s="24" t="s">
        <v>4102</v>
      </c>
      <c r="B2970" s="4" t="s">
        <v>1059</v>
      </c>
      <c r="C2970" s="25" t="s">
        <v>7</v>
      </c>
      <c r="G2970" s="25" t="s">
        <v>1069</v>
      </c>
      <c r="H2970" s="24" t="s">
        <v>1061</v>
      </c>
      <c r="I2970" s="3" t="str">
        <f>IFERROR(VLOOKUP(C2970,'Справочник соответствий'!A$2:D$2981,2,FALSE),IF(VALUE(C2970)=0,1,VLOOKUP(C2970,'Справочник соответствий'!A$2:D$2981,2,FALSE)))</f>
        <v>2</v>
      </c>
      <c r="J2970" s="3">
        <f>IFERROR(VLOOKUP(D2970,'Справочник соответствий'!A$2:D$2981,2,FALSE),IF(VALUE(D2970)=0,0,VLOOKUP(D2970,'Справочник соответствий'!A$2:D$2981,2,FALSE)))</f>
        <v>0</v>
      </c>
      <c r="K2970" s="3" t="str">
        <f t="shared" si="322"/>
        <v>2</v>
      </c>
      <c r="L2970" s="13" t="str">
        <f>IFERROR(VLOOKUP(C2970,'Справочник соответствий'!A$2:D$2981,3,FALSE),IF(VALUE(C2970)=0,"ЭТАЖ НЕ ОПРЕДЕЛЕН. ПРИНЯТ ПО ДОПУЩЕНИЮ 1",VLOOKUP(C2970,'Справочник соответствий'!A$2:D$2981,3,FALSE)))</f>
        <v>ЭТАЖ ЗАДАН ЧИСЛОМ</v>
      </c>
      <c r="M2970" s="13" t="b">
        <f t="shared" si="323"/>
        <v>0</v>
      </c>
      <c r="N2970" s="13">
        <f t="shared" si="324"/>
        <v>2</v>
      </c>
      <c r="O2970" s="13" t="str">
        <f t="shared" si="325"/>
        <v>ЭТАЖ ЗАДАН ЧИСЛОМ</v>
      </c>
      <c r="P2970" s="13" t="str">
        <f t="shared" si="326"/>
        <v>ЭТАЖ ЗАДАН ЧИСЛОМ</v>
      </c>
      <c r="Q2970" s="13" t="str">
        <f t="shared" si="327"/>
        <v>ГОТОВ_ИЗМЕНЕН</v>
      </c>
      <c r="R2970" s="13">
        <f>IFERROR(VLOOKUP(P2970,Лист1!A$1:B$20,2,FALSE),0)</f>
        <v>784</v>
      </c>
      <c r="S2970" s="13">
        <f t="shared" si="328"/>
        <v>0</v>
      </c>
    </row>
    <row r="2971" spans="1:19" x14ac:dyDescent="0.25">
      <c r="A2971" s="24" t="s">
        <v>4103</v>
      </c>
      <c r="B2971" s="4" t="s">
        <v>1996</v>
      </c>
      <c r="C2971" s="25" t="s">
        <v>5</v>
      </c>
      <c r="G2971" s="25" t="s">
        <v>1069</v>
      </c>
      <c r="H2971" s="24" t="s">
        <v>1061</v>
      </c>
      <c r="I2971" s="3" t="str">
        <f>IFERROR(VLOOKUP(C2971,'Справочник соответствий'!A$2:D$2981,2,FALSE),IF(VALUE(C2971)=0,1,VLOOKUP(C2971,'Справочник соответствий'!A$2:D$2981,2,FALSE)))</f>
        <v>1</v>
      </c>
      <c r="J2971" s="3">
        <f>IFERROR(VLOOKUP(D2971,'Справочник соответствий'!A$2:D$2981,2,FALSE),IF(VALUE(D2971)=0,0,VLOOKUP(D2971,'Справочник соответствий'!A$2:D$2981,2,FALSE)))</f>
        <v>0</v>
      </c>
      <c r="K2971" s="3" t="str">
        <f t="shared" si="322"/>
        <v>1</v>
      </c>
      <c r="L2971" s="13" t="str">
        <f>IFERROR(VLOOKUP(C2971,'Справочник соответствий'!A$2:D$2981,3,FALSE),IF(VALUE(C2971)=0,"ЭТАЖ НЕ ОПРЕДЕЛЕН. ПРИНЯТ ПО ДОПУЩЕНИЮ 1",VLOOKUP(C2971,'Справочник соответствий'!A$2:D$2981,3,FALSE)))</f>
        <v>ЭТАЖ ЗАДАН ЧИСЛОМ</v>
      </c>
      <c r="M2971" s="13" t="b">
        <f t="shared" si="323"/>
        <v>0</v>
      </c>
      <c r="N2971" s="13">
        <f t="shared" si="324"/>
        <v>1</v>
      </c>
      <c r="O2971" s="13" t="str">
        <f t="shared" si="325"/>
        <v>ЭТАЖ ЗАДАН ЧИСЛОМ</v>
      </c>
      <c r="P2971" s="13" t="str">
        <f t="shared" si="326"/>
        <v>ЭТАЖ ЗАДАН ЧИСЛОМ</v>
      </c>
      <c r="Q2971" s="13" t="str">
        <f t="shared" si="327"/>
        <v>ГОТОВ_ИЗМЕНЕН</v>
      </c>
      <c r="R2971" s="13">
        <f>IFERROR(VLOOKUP(P2971,Лист1!A$1:B$20,2,FALSE),0)</f>
        <v>784</v>
      </c>
      <c r="S2971" s="13">
        <f t="shared" si="328"/>
        <v>0</v>
      </c>
    </row>
    <row r="2972" spans="1:19" x14ac:dyDescent="0.25">
      <c r="A2972" s="24" t="s">
        <v>4104</v>
      </c>
      <c r="B2972" s="4" t="s">
        <v>1063</v>
      </c>
      <c r="C2972" s="25" t="s">
        <v>5</v>
      </c>
      <c r="G2972" s="25" t="s">
        <v>1069</v>
      </c>
      <c r="H2972" s="24" t="s">
        <v>1061</v>
      </c>
      <c r="I2972" s="3" t="str">
        <f>IFERROR(VLOOKUP(C2972,'Справочник соответствий'!A$2:D$2981,2,FALSE),IF(VALUE(C2972)=0,1,VLOOKUP(C2972,'Справочник соответствий'!A$2:D$2981,2,FALSE)))</f>
        <v>1</v>
      </c>
      <c r="J2972" s="3">
        <f>IFERROR(VLOOKUP(D2972,'Справочник соответствий'!A$2:D$2981,2,FALSE),IF(VALUE(D2972)=0,0,VLOOKUP(D2972,'Справочник соответствий'!A$2:D$2981,2,FALSE)))</f>
        <v>0</v>
      </c>
      <c r="K2972" s="3" t="str">
        <f t="shared" si="322"/>
        <v>1</v>
      </c>
      <c r="L2972" s="13" t="str">
        <f>IFERROR(VLOOKUP(C2972,'Справочник соответствий'!A$2:D$2981,3,FALSE),IF(VALUE(C2972)=0,"ЭТАЖ НЕ ОПРЕДЕЛЕН. ПРИНЯТ ПО ДОПУЩЕНИЮ 1",VLOOKUP(C2972,'Справочник соответствий'!A$2:D$2981,3,FALSE)))</f>
        <v>ЭТАЖ ЗАДАН ЧИСЛОМ</v>
      </c>
      <c r="M2972" s="13" t="b">
        <f t="shared" si="323"/>
        <v>0</v>
      </c>
      <c r="N2972" s="13">
        <f t="shared" si="324"/>
        <v>1</v>
      </c>
      <c r="O2972" s="13" t="str">
        <f t="shared" si="325"/>
        <v>ЭТАЖ ЗАДАН ЧИСЛОМ</v>
      </c>
      <c r="P2972" s="13" t="str">
        <f t="shared" si="326"/>
        <v>ЭТАЖ ЗАДАН ЧИСЛОМ</v>
      </c>
      <c r="Q2972" s="13" t="str">
        <f t="shared" si="327"/>
        <v>ГОТОВ_ИЗМЕНЕН</v>
      </c>
      <c r="R2972" s="13">
        <f>IFERROR(VLOOKUP(P2972,Лист1!A$1:B$20,2,FALSE),0)</f>
        <v>784</v>
      </c>
      <c r="S2972" s="13">
        <f t="shared" si="328"/>
        <v>0</v>
      </c>
    </row>
    <row r="2973" spans="1:19" x14ac:dyDescent="0.25">
      <c r="A2973" s="24" t="s">
        <v>4105</v>
      </c>
      <c r="B2973" s="4" t="s">
        <v>1063</v>
      </c>
      <c r="C2973" s="25" t="s">
        <v>5</v>
      </c>
      <c r="G2973" s="25" t="s">
        <v>1069</v>
      </c>
      <c r="H2973" s="24" t="s">
        <v>1061</v>
      </c>
      <c r="I2973" s="3" t="str">
        <f>IFERROR(VLOOKUP(C2973,'Справочник соответствий'!A$2:D$2981,2,FALSE),IF(VALUE(C2973)=0,1,VLOOKUP(C2973,'Справочник соответствий'!A$2:D$2981,2,FALSE)))</f>
        <v>1</v>
      </c>
      <c r="J2973" s="3">
        <f>IFERROR(VLOOKUP(D2973,'Справочник соответствий'!A$2:D$2981,2,FALSE),IF(VALUE(D2973)=0,0,VLOOKUP(D2973,'Справочник соответствий'!A$2:D$2981,2,FALSE)))</f>
        <v>0</v>
      </c>
      <c r="K2973" s="3" t="str">
        <f t="shared" si="322"/>
        <v>1</v>
      </c>
      <c r="L2973" s="13" t="str">
        <f>IFERROR(VLOOKUP(C2973,'Справочник соответствий'!A$2:D$2981,3,FALSE),IF(VALUE(C2973)=0,"ЭТАЖ НЕ ОПРЕДЕЛЕН. ПРИНЯТ ПО ДОПУЩЕНИЮ 1",VLOOKUP(C2973,'Справочник соответствий'!A$2:D$2981,3,FALSE)))</f>
        <v>ЭТАЖ ЗАДАН ЧИСЛОМ</v>
      </c>
      <c r="M2973" s="13" t="b">
        <f t="shared" si="323"/>
        <v>0</v>
      </c>
      <c r="N2973" s="13">
        <f t="shared" si="324"/>
        <v>1</v>
      </c>
      <c r="O2973" s="13" t="str">
        <f t="shared" si="325"/>
        <v>ЭТАЖ ЗАДАН ЧИСЛОМ</v>
      </c>
      <c r="P2973" s="13" t="str">
        <f t="shared" si="326"/>
        <v>ЭТАЖ ЗАДАН ЧИСЛОМ</v>
      </c>
      <c r="Q2973" s="13" t="str">
        <f t="shared" si="327"/>
        <v>ГОТОВ_ИЗМЕНЕН</v>
      </c>
      <c r="R2973" s="13">
        <f>IFERROR(VLOOKUP(P2973,Лист1!A$1:B$20,2,FALSE),0)</f>
        <v>784</v>
      </c>
      <c r="S2973" s="13">
        <f t="shared" si="328"/>
        <v>0</v>
      </c>
    </row>
    <row r="2974" spans="1:19" x14ac:dyDescent="0.25">
      <c r="A2974" s="24" t="s">
        <v>4106</v>
      </c>
      <c r="B2974" s="4" t="s">
        <v>1059</v>
      </c>
      <c r="C2974" s="25" t="s">
        <v>5</v>
      </c>
      <c r="G2974" s="25" t="s">
        <v>1069</v>
      </c>
      <c r="H2974" s="24" t="s">
        <v>1061</v>
      </c>
      <c r="I2974" s="3" t="str">
        <f>IFERROR(VLOOKUP(C2974,'Справочник соответствий'!A$2:D$2981,2,FALSE),IF(VALUE(C2974)=0,1,VLOOKUP(C2974,'Справочник соответствий'!A$2:D$2981,2,FALSE)))</f>
        <v>1</v>
      </c>
      <c r="J2974" s="3">
        <f>IFERROR(VLOOKUP(D2974,'Справочник соответствий'!A$2:D$2981,2,FALSE),IF(VALUE(D2974)=0,0,VLOOKUP(D2974,'Справочник соответствий'!A$2:D$2981,2,FALSE)))</f>
        <v>0</v>
      </c>
      <c r="K2974" s="3" t="str">
        <f t="shared" si="322"/>
        <v>1</v>
      </c>
      <c r="L2974" s="13" t="str">
        <f>IFERROR(VLOOKUP(C2974,'Справочник соответствий'!A$2:D$2981,3,FALSE),IF(VALUE(C2974)=0,"ЭТАЖ НЕ ОПРЕДЕЛЕН. ПРИНЯТ ПО ДОПУЩЕНИЮ 1",VLOOKUP(C2974,'Справочник соответствий'!A$2:D$2981,3,FALSE)))</f>
        <v>ЭТАЖ ЗАДАН ЧИСЛОМ</v>
      </c>
      <c r="M2974" s="13" t="b">
        <f t="shared" si="323"/>
        <v>0</v>
      </c>
      <c r="N2974" s="13">
        <f t="shared" si="324"/>
        <v>1</v>
      </c>
      <c r="O2974" s="13" t="str">
        <f t="shared" si="325"/>
        <v>ЭТАЖ ЗАДАН ЧИСЛОМ</v>
      </c>
      <c r="P2974" s="13" t="str">
        <f t="shared" si="326"/>
        <v>ЭТАЖ ЗАДАН ЧИСЛОМ</v>
      </c>
      <c r="Q2974" s="13" t="str">
        <f t="shared" si="327"/>
        <v>ГОТОВ_ИЗМЕНЕН</v>
      </c>
      <c r="R2974" s="13">
        <f>IFERROR(VLOOKUP(P2974,Лист1!A$1:B$20,2,FALSE),0)</f>
        <v>784</v>
      </c>
      <c r="S2974" s="13">
        <f t="shared" si="328"/>
        <v>0</v>
      </c>
    </row>
    <row r="2975" spans="1:19" x14ac:dyDescent="0.25">
      <c r="A2975" s="24" t="s">
        <v>4107</v>
      </c>
      <c r="B2975" s="4" t="s">
        <v>1059</v>
      </c>
      <c r="C2975" s="25" t="s">
        <v>7</v>
      </c>
      <c r="G2975" s="25" t="s">
        <v>1083</v>
      </c>
      <c r="H2975" s="24" t="s">
        <v>1061</v>
      </c>
      <c r="I2975" s="3" t="str">
        <f>IFERROR(VLOOKUP(C2975,'Справочник соответствий'!A$2:D$2981,2,FALSE),IF(VALUE(C2975)=0,1,VLOOKUP(C2975,'Справочник соответствий'!A$2:D$2981,2,FALSE)))</f>
        <v>2</v>
      </c>
      <c r="J2975" s="3">
        <f>IFERROR(VLOOKUP(D2975,'Справочник соответствий'!A$2:D$2981,2,FALSE),IF(VALUE(D2975)=0,0,VLOOKUP(D2975,'Справочник соответствий'!A$2:D$2981,2,FALSE)))</f>
        <v>0</v>
      </c>
      <c r="K2975" s="3" t="str">
        <f t="shared" si="322"/>
        <v>2</v>
      </c>
      <c r="L2975" s="13" t="str">
        <f>IFERROR(VLOOKUP(C2975,'Справочник соответствий'!A$2:D$2981,3,FALSE),IF(VALUE(C2975)=0,"ЭТАЖ НЕ ОПРЕДЕЛЕН. ПРИНЯТ ПО ДОПУЩЕНИЮ 1",VLOOKUP(C2975,'Справочник соответствий'!A$2:D$2981,3,FALSE)))</f>
        <v>ЭТАЖ ЗАДАН ЧИСЛОМ</v>
      </c>
      <c r="M2975" s="13" t="b">
        <f t="shared" si="323"/>
        <v>0</v>
      </c>
      <c r="N2975" s="13">
        <f t="shared" si="324"/>
        <v>2</v>
      </c>
      <c r="O2975" s="13" t="str">
        <f t="shared" si="325"/>
        <v>ЭТАЖ ЗАДАН ЧИСЛОМ</v>
      </c>
      <c r="P2975" s="13" t="str">
        <f t="shared" si="326"/>
        <v>ЭТАЖ ЗАДАН ЧИСЛОМ</v>
      </c>
      <c r="Q2975" s="13" t="str">
        <f t="shared" si="327"/>
        <v>ГОТОВ_ИЗМЕНЕН</v>
      </c>
      <c r="R2975" s="13">
        <f>IFERROR(VLOOKUP(P2975,Лист1!A$1:B$20,2,FALSE),0)</f>
        <v>784</v>
      </c>
      <c r="S2975" s="13">
        <f t="shared" si="328"/>
        <v>0</v>
      </c>
    </row>
    <row r="2976" spans="1:19" x14ac:dyDescent="0.25">
      <c r="A2976" s="24" t="s">
        <v>4108</v>
      </c>
      <c r="B2976" s="4" t="s">
        <v>1059</v>
      </c>
      <c r="C2976" s="25" t="s">
        <v>5</v>
      </c>
      <c r="G2976" s="25" t="s">
        <v>1089</v>
      </c>
      <c r="H2976" s="24" t="s">
        <v>1061</v>
      </c>
      <c r="I2976" s="3" t="str">
        <f>IFERROR(VLOOKUP(C2976,'Справочник соответствий'!A$2:D$2981,2,FALSE),IF(VALUE(C2976)=0,1,VLOOKUP(C2976,'Справочник соответствий'!A$2:D$2981,2,FALSE)))</f>
        <v>1</v>
      </c>
      <c r="J2976" s="3">
        <f>IFERROR(VLOOKUP(D2976,'Справочник соответствий'!A$2:D$2981,2,FALSE),IF(VALUE(D2976)=0,0,VLOOKUP(D2976,'Справочник соответствий'!A$2:D$2981,2,FALSE)))</f>
        <v>0</v>
      </c>
      <c r="K2976" s="3" t="str">
        <f t="shared" si="322"/>
        <v>1</v>
      </c>
      <c r="L2976" s="13" t="str">
        <f>IFERROR(VLOOKUP(C2976,'Справочник соответствий'!A$2:D$2981,3,FALSE),IF(VALUE(C2976)=0,"ЭТАЖ НЕ ОПРЕДЕЛЕН. ПРИНЯТ ПО ДОПУЩЕНИЮ 1",VLOOKUP(C2976,'Справочник соответствий'!A$2:D$2981,3,FALSE)))</f>
        <v>ЭТАЖ ЗАДАН ЧИСЛОМ</v>
      </c>
      <c r="M2976" s="13" t="b">
        <f t="shared" si="323"/>
        <v>0</v>
      </c>
      <c r="N2976" s="13">
        <f t="shared" si="324"/>
        <v>1</v>
      </c>
      <c r="O2976" s="13" t="str">
        <f t="shared" si="325"/>
        <v>ЭТАЖ ЗАДАН ЧИСЛОМ</v>
      </c>
      <c r="P2976" s="13" t="str">
        <f t="shared" si="326"/>
        <v>ЭТАЖ ЗАДАН ЧИСЛОМ</v>
      </c>
      <c r="Q2976" s="13" t="str">
        <f t="shared" si="327"/>
        <v>ГОТОВ_ИЗМЕНЕН</v>
      </c>
      <c r="R2976" s="13">
        <f>IFERROR(VLOOKUP(P2976,Лист1!A$1:B$20,2,FALSE),0)</f>
        <v>784</v>
      </c>
      <c r="S2976" s="13">
        <f t="shared" si="328"/>
        <v>0</v>
      </c>
    </row>
    <row r="2977" spans="1:19" x14ac:dyDescent="0.25">
      <c r="A2977" s="24" t="s">
        <v>4109</v>
      </c>
      <c r="B2977" s="4" t="s">
        <v>1059</v>
      </c>
      <c r="C2977" s="25" t="s">
        <v>7</v>
      </c>
      <c r="G2977" s="25" t="s">
        <v>1089</v>
      </c>
      <c r="H2977" s="24" t="s">
        <v>1061</v>
      </c>
      <c r="I2977" s="3" t="str">
        <f>IFERROR(VLOOKUP(C2977,'Справочник соответствий'!A$2:D$2981,2,FALSE),IF(VALUE(C2977)=0,1,VLOOKUP(C2977,'Справочник соответствий'!A$2:D$2981,2,FALSE)))</f>
        <v>2</v>
      </c>
      <c r="J2977" s="3">
        <f>IFERROR(VLOOKUP(D2977,'Справочник соответствий'!A$2:D$2981,2,FALSE),IF(VALUE(D2977)=0,0,VLOOKUP(D2977,'Справочник соответствий'!A$2:D$2981,2,FALSE)))</f>
        <v>0</v>
      </c>
      <c r="K2977" s="3" t="str">
        <f t="shared" si="322"/>
        <v>2</v>
      </c>
      <c r="L2977" s="13" t="str">
        <f>IFERROR(VLOOKUP(C2977,'Справочник соответствий'!A$2:D$2981,3,FALSE),IF(VALUE(C2977)=0,"ЭТАЖ НЕ ОПРЕДЕЛЕН. ПРИНЯТ ПО ДОПУЩЕНИЮ 1",VLOOKUP(C2977,'Справочник соответствий'!A$2:D$2981,3,FALSE)))</f>
        <v>ЭТАЖ ЗАДАН ЧИСЛОМ</v>
      </c>
      <c r="M2977" s="13" t="b">
        <f t="shared" si="323"/>
        <v>0</v>
      </c>
      <c r="N2977" s="13">
        <f t="shared" si="324"/>
        <v>2</v>
      </c>
      <c r="O2977" s="13" t="str">
        <f t="shared" si="325"/>
        <v>ЭТАЖ ЗАДАН ЧИСЛОМ</v>
      </c>
      <c r="P2977" s="13" t="str">
        <f t="shared" si="326"/>
        <v>ЭТАЖ ЗАДАН ЧИСЛОМ</v>
      </c>
      <c r="Q2977" s="13" t="str">
        <f t="shared" si="327"/>
        <v>ГОТОВ_ИЗМЕНЕН</v>
      </c>
      <c r="R2977" s="13">
        <f>IFERROR(VLOOKUP(P2977,Лист1!A$1:B$20,2,FALSE),0)</f>
        <v>784</v>
      </c>
      <c r="S2977" s="13">
        <f t="shared" si="328"/>
        <v>0</v>
      </c>
    </row>
    <row r="2978" spans="1:19" x14ac:dyDescent="0.25">
      <c r="A2978" s="24" t="s">
        <v>4110</v>
      </c>
      <c r="B2978" s="4" t="s">
        <v>1059</v>
      </c>
      <c r="C2978" s="25" t="s">
        <v>5</v>
      </c>
      <c r="G2978" s="25" t="s">
        <v>1089</v>
      </c>
      <c r="H2978" s="24" t="s">
        <v>1061</v>
      </c>
      <c r="I2978" s="3" t="str">
        <f>IFERROR(VLOOKUP(C2978,'Справочник соответствий'!A$2:D$2981,2,FALSE),IF(VALUE(C2978)=0,1,VLOOKUP(C2978,'Справочник соответствий'!A$2:D$2981,2,FALSE)))</f>
        <v>1</v>
      </c>
      <c r="J2978" s="3">
        <f>IFERROR(VLOOKUP(D2978,'Справочник соответствий'!A$2:D$2981,2,FALSE),IF(VALUE(D2978)=0,0,VLOOKUP(D2978,'Справочник соответствий'!A$2:D$2981,2,FALSE)))</f>
        <v>0</v>
      </c>
      <c r="K2978" s="3" t="str">
        <f t="shared" si="322"/>
        <v>1</v>
      </c>
      <c r="L2978" s="13" t="str">
        <f>IFERROR(VLOOKUP(C2978,'Справочник соответствий'!A$2:D$2981,3,FALSE),IF(VALUE(C2978)=0,"ЭТАЖ НЕ ОПРЕДЕЛЕН. ПРИНЯТ ПО ДОПУЩЕНИЮ 1",VLOOKUP(C2978,'Справочник соответствий'!A$2:D$2981,3,FALSE)))</f>
        <v>ЭТАЖ ЗАДАН ЧИСЛОМ</v>
      </c>
      <c r="M2978" s="13" t="b">
        <f t="shared" si="323"/>
        <v>0</v>
      </c>
      <c r="N2978" s="13">
        <f t="shared" si="324"/>
        <v>1</v>
      </c>
      <c r="O2978" s="13" t="str">
        <f t="shared" si="325"/>
        <v>ЭТАЖ ЗАДАН ЧИСЛОМ</v>
      </c>
      <c r="P2978" s="13" t="str">
        <f t="shared" si="326"/>
        <v>ЭТАЖ ЗАДАН ЧИСЛОМ</v>
      </c>
      <c r="Q2978" s="13" t="str">
        <f t="shared" si="327"/>
        <v>ГОТОВ_ИЗМЕНЕН</v>
      </c>
      <c r="R2978" s="13">
        <f>IFERROR(VLOOKUP(P2978,Лист1!A$1:B$20,2,FALSE),0)</f>
        <v>784</v>
      </c>
      <c r="S2978" s="13">
        <f t="shared" si="328"/>
        <v>0</v>
      </c>
    </row>
    <row r="2979" spans="1:19" x14ac:dyDescent="0.25">
      <c r="A2979" s="24" t="s">
        <v>4111</v>
      </c>
      <c r="B2979" s="4" t="s">
        <v>1059</v>
      </c>
      <c r="G2979" s="25" t="s">
        <v>1089</v>
      </c>
      <c r="H2979" s="24" t="s">
        <v>1061</v>
      </c>
      <c r="I2979" s="3">
        <f>IFERROR(VLOOKUP(C2979,'Справочник соответствий'!A$2:D$2981,2,FALSE),IF(VALUE(C2979)=0,1,VLOOKUP(C2979,'Справочник соответствий'!A$2:D$2981,2,FALSE)))</f>
        <v>1</v>
      </c>
      <c r="J2979" s="3">
        <f>IFERROR(VLOOKUP(D2979,'Справочник соответствий'!A$2:D$2981,2,FALSE),IF(VALUE(D2979)=0,0,VLOOKUP(D2979,'Справочник соответствий'!A$2:D$2981,2,FALSE)))</f>
        <v>0</v>
      </c>
      <c r="K2979" s="3">
        <f t="shared" si="322"/>
        <v>1</v>
      </c>
      <c r="L2979" s="13" t="str">
        <f>IFERROR(VLOOKUP(C2979,'Справочник соответствий'!A$2:D$2981,3,FALSE),IF(VALUE(C2979)=0,"ЭТАЖ НЕ ОПРЕДЕЛЕН. ПРИНЯТ ПО ДОПУЩЕНИЮ 1",VLOOKUP(C2979,'Справочник соответствий'!A$2:D$2981,3,FALSE)))</f>
        <v>ЭТАЖ НЕ ОПРЕДЕЛЕН. ПРИНЯТ ПО ДОПУЩЕНИЮ 1</v>
      </c>
      <c r="M2979" s="13" t="b">
        <f t="shared" si="323"/>
        <v>0</v>
      </c>
      <c r="N2979" s="13">
        <f t="shared" si="324"/>
        <v>1</v>
      </c>
      <c r="O2979" s="13" t="str">
        <f t="shared" si="325"/>
        <v>ЭТАЖ НЕ ОПРЕДЕЛЕН. ПРИНЯТ ПО ДОПУЩЕНИЮ 1</v>
      </c>
      <c r="P2979" s="13" t="str">
        <f t="shared" si="326"/>
        <v>ЭТАЖ НЕ ОПРЕДЕЛЕН. ПРИНЯТ ПО ДОПУЩЕНИЮ 1</v>
      </c>
      <c r="Q2979" s="13" t="str">
        <f t="shared" si="327"/>
        <v>ГОТОВ_ИЗМЕНЕН</v>
      </c>
      <c r="R2979" s="13">
        <f>IFERROR(VLOOKUP(P2979,Лист1!A$1:B$20,2,FALSE),0)</f>
        <v>788</v>
      </c>
      <c r="S2979" s="13">
        <f t="shared" si="328"/>
        <v>0</v>
      </c>
    </row>
    <row r="2980" spans="1:19" x14ac:dyDescent="0.25">
      <c r="A2980" s="24" t="s">
        <v>4112</v>
      </c>
      <c r="B2980" s="4" t="s">
        <v>1063</v>
      </c>
      <c r="C2980" s="25" t="s">
        <v>5</v>
      </c>
      <c r="G2980" s="25" t="s">
        <v>1089</v>
      </c>
      <c r="H2980" s="24" t="s">
        <v>1061</v>
      </c>
      <c r="I2980" s="3" t="str">
        <f>IFERROR(VLOOKUP(C2980,'Справочник соответствий'!A$2:D$2981,2,FALSE),IF(VALUE(C2980)=0,1,VLOOKUP(C2980,'Справочник соответствий'!A$2:D$2981,2,FALSE)))</f>
        <v>1</v>
      </c>
      <c r="J2980" s="3">
        <f>IFERROR(VLOOKUP(D2980,'Справочник соответствий'!A$2:D$2981,2,FALSE),IF(VALUE(D2980)=0,0,VLOOKUP(D2980,'Справочник соответствий'!A$2:D$2981,2,FALSE)))</f>
        <v>0</v>
      </c>
      <c r="K2980" s="3" t="str">
        <f t="shared" si="322"/>
        <v>1</v>
      </c>
      <c r="L2980" s="13" t="str">
        <f>IFERROR(VLOOKUP(C2980,'Справочник соответствий'!A$2:D$2981,3,FALSE),IF(VALUE(C2980)=0,"ЭТАЖ НЕ ОПРЕДЕЛЕН. ПРИНЯТ ПО ДОПУЩЕНИЮ 1",VLOOKUP(C2980,'Справочник соответствий'!A$2:D$2981,3,FALSE)))</f>
        <v>ЭТАЖ ЗАДАН ЧИСЛОМ</v>
      </c>
      <c r="M2980" s="13" t="b">
        <f t="shared" si="323"/>
        <v>0</v>
      </c>
      <c r="N2980" s="13">
        <f t="shared" si="324"/>
        <v>1</v>
      </c>
      <c r="O2980" s="13" t="str">
        <f t="shared" si="325"/>
        <v>ЭТАЖ ЗАДАН ЧИСЛОМ</v>
      </c>
      <c r="P2980" s="13" t="str">
        <f t="shared" si="326"/>
        <v>ЭТАЖ ЗАДАН ЧИСЛОМ</v>
      </c>
      <c r="Q2980" s="13" t="str">
        <f t="shared" si="327"/>
        <v>ГОТОВ_ИЗМЕНЕН</v>
      </c>
      <c r="R2980" s="13">
        <f>IFERROR(VLOOKUP(P2980,Лист1!A$1:B$20,2,FALSE),0)</f>
        <v>784</v>
      </c>
      <c r="S2980" s="13">
        <f t="shared" si="328"/>
        <v>0</v>
      </c>
    </row>
    <row r="2981" spans="1:19" x14ac:dyDescent="0.25">
      <c r="A2981" s="24" t="s">
        <v>4113</v>
      </c>
      <c r="B2981" s="4" t="s">
        <v>1059</v>
      </c>
      <c r="C2981" s="25" t="s">
        <v>5</v>
      </c>
      <c r="G2981" s="25" t="s">
        <v>1089</v>
      </c>
      <c r="H2981" s="24" t="s">
        <v>1061</v>
      </c>
      <c r="I2981" s="3" t="str">
        <f>IFERROR(VLOOKUP(C2981,'Справочник соответствий'!A$2:D$2981,2,FALSE),IF(VALUE(C2981)=0,1,VLOOKUP(C2981,'Справочник соответствий'!A$2:D$2981,2,FALSE)))</f>
        <v>1</v>
      </c>
      <c r="J2981" s="3">
        <f>IFERROR(VLOOKUP(D2981,'Справочник соответствий'!A$2:D$2981,2,FALSE),IF(VALUE(D2981)=0,0,VLOOKUP(D2981,'Справочник соответствий'!A$2:D$2981,2,FALSE)))</f>
        <v>0</v>
      </c>
      <c r="K2981" s="3" t="str">
        <f t="shared" si="322"/>
        <v>1</v>
      </c>
      <c r="L2981" s="13" t="str">
        <f>IFERROR(VLOOKUP(C2981,'Справочник соответствий'!A$2:D$2981,3,FALSE),IF(VALUE(C2981)=0,"ЭТАЖ НЕ ОПРЕДЕЛЕН. ПРИНЯТ ПО ДОПУЩЕНИЮ 1",VLOOKUP(C2981,'Справочник соответствий'!A$2:D$2981,3,FALSE)))</f>
        <v>ЭТАЖ ЗАДАН ЧИСЛОМ</v>
      </c>
      <c r="M2981" s="13" t="b">
        <f t="shared" si="323"/>
        <v>0</v>
      </c>
      <c r="N2981" s="13">
        <f t="shared" si="324"/>
        <v>1</v>
      </c>
      <c r="O2981" s="13" t="str">
        <f t="shared" si="325"/>
        <v>ЭТАЖ ЗАДАН ЧИСЛОМ</v>
      </c>
      <c r="P2981" s="13" t="str">
        <f t="shared" si="326"/>
        <v>ЭТАЖ ЗАДАН ЧИСЛОМ</v>
      </c>
      <c r="Q2981" s="13" t="str">
        <f t="shared" si="327"/>
        <v>ГОТОВ_ИЗМЕНЕН</v>
      </c>
      <c r="R2981" s="13">
        <f>IFERROR(VLOOKUP(P2981,Лист1!A$1:B$20,2,FALSE),0)</f>
        <v>784</v>
      </c>
      <c r="S2981" s="13">
        <f t="shared" si="328"/>
        <v>0</v>
      </c>
    </row>
    <row r="2982" spans="1:19" x14ac:dyDescent="0.25">
      <c r="A2982" s="24" t="s">
        <v>4114</v>
      </c>
      <c r="B2982" s="4" t="s">
        <v>1059</v>
      </c>
      <c r="C2982" s="25" t="s">
        <v>5</v>
      </c>
      <c r="G2982" s="25" t="s">
        <v>1089</v>
      </c>
      <c r="H2982" s="24" t="s">
        <v>1061</v>
      </c>
      <c r="I2982" s="3" t="str">
        <f>IFERROR(VLOOKUP(C2982,'Справочник соответствий'!A$2:D$2981,2,FALSE),IF(VALUE(C2982)=0,1,VLOOKUP(C2982,'Справочник соответствий'!A$2:D$2981,2,FALSE)))</f>
        <v>1</v>
      </c>
      <c r="J2982" s="3">
        <f>IFERROR(VLOOKUP(D2982,'Справочник соответствий'!A$2:D$2981,2,FALSE),IF(VALUE(D2982)=0,0,VLOOKUP(D2982,'Справочник соответствий'!A$2:D$2981,2,FALSE)))</f>
        <v>0</v>
      </c>
      <c r="K2982" s="3" t="str">
        <f t="shared" si="322"/>
        <v>1</v>
      </c>
      <c r="L2982" s="13" t="str">
        <f>IFERROR(VLOOKUP(C2982,'Справочник соответствий'!A$2:D$2981,3,FALSE),IF(VALUE(C2982)=0,"ЭТАЖ НЕ ОПРЕДЕЛЕН. ПРИНЯТ ПО ДОПУЩЕНИЮ 1",VLOOKUP(C2982,'Справочник соответствий'!A$2:D$2981,3,FALSE)))</f>
        <v>ЭТАЖ ЗАДАН ЧИСЛОМ</v>
      </c>
      <c r="M2982" s="13" t="b">
        <f t="shared" si="323"/>
        <v>0</v>
      </c>
      <c r="N2982" s="13">
        <f t="shared" si="324"/>
        <v>1</v>
      </c>
      <c r="O2982" s="13" t="str">
        <f t="shared" si="325"/>
        <v>ЭТАЖ ЗАДАН ЧИСЛОМ</v>
      </c>
      <c r="P2982" s="13" t="str">
        <f t="shared" si="326"/>
        <v>ЭТАЖ ЗАДАН ЧИСЛОМ</v>
      </c>
      <c r="Q2982" s="13" t="str">
        <f t="shared" si="327"/>
        <v>ГОТОВ_ИЗМЕНЕН</v>
      </c>
      <c r="R2982" s="13">
        <f>IFERROR(VLOOKUP(P2982,Лист1!A$1:B$20,2,FALSE),0)</f>
        <v>784</v>
      </c>
      <c r="S2982" s="13">
        <f t="shared" si="328"/>
        <v>0</v>
      </c>
    </row>
    <row r="2983" spans="1:19" x14ac:dyDescent="0.25">
      <c r="A2983" s="24" t="s">
        <v>4115</v>
      </c>
      <c r="B2983" s="4" t="s">
        <v>1063</v>
      </c>
      <c r="C2983" s="25" t="s">
        <v>5</v>
      </c>
      <c r="G2983" s="25" t="s">
        <v>1089</v>
      </c>
      <c r="H2983" s="24" t="s">
        <v>1061</v>
      </c>
      <c r="I2983" s="3" t="str">
        <f>IFERROR(VLOOKUP(C2983,'Справочник соответствий'!A$2:D$2981,2,FALSE),IF(VALUE(C2983)=0,1,VLOOKUP(C2983,'Справочник соответствий'!A$2:D$2981,2,FALSE)))</f>
        <v>1</v>
      </c>
      <c r="J2983" s="3">
        <f>IFERROR(VLOOKUP(D2983,'Справочник соответствий'!A$2:D$2981,2,FALSE),IF(VALUE(D2983)=0,0,VLOOKUP(D2983,'Справочник соответствий'!A$2:D$2981,2,FALSE)))</f>
        <v>0</v>
      </c>
      <c r="K2983" s="3" t="str">
        <f t="shared" si="322"/>
        <v>1</v>
      </c>
      <c r="L2983" s="13" t="str">
        <f>IFERROR(VLOOKUP(C2983,'Справочник соответствий'!A$2:D$2981,3,FALSE),IF(VALUE(C2983)=0,"ЭТАЖ НЕ ОПРЕДЕЛЕН. ПРИНЯТ ПО ДОПУЩЕНИЮ 1",VLOOKUP(C2983,'Справочник соответствий'!A$2:D$2981,3,FALSE)))</f>
        <v>ЭТАЖ ЗАДАН ЧИСЛОМ</v>
      </c>
      <c r="M2983" s="13" t="b">
        <f t="shared" si="323"/>
        <v>0</v>
      </c>
      <c r="N2983" s="13">
        <f t="shared" si="324"/>
        <v>1</v>
      </c>
      <c r="O2983" s="13" t="str">
        <f t="shared" si="325"/>
        <v>ЭТАЖ ЗАДАН ЧИСЛОМ</v>
      </c>
      <c r="P2983" s="13" t="str">
        <f t="shared" si="326"/>
        <v>ЭТАЖ ЗАДАН ЧИСЛОМ</v>
      </c>
      <c r="Q2983" s="13" t="str">
        <f t="shared" si="327"/>
        <v>ГОТОВ_ИЗМЕНЕН</v>
      </c>
      <c r="R2983" s="13">
        <f>IFERROR(VLOOKUP(P2983,Лист1!A$1:B$20,2,FALSE),0)</f>
        <v>784</v>
      </c>
      <c r="S2983" s="13">
        <f t="shared" si="328"/>
        <v>0</v>
      </c>
    </row>
    <row r="2984" spans="1:19" x14ac:dyDescent="0.25">
      <c r="A2984" s="24" t="s">
        <v>4116</v>
      </c>
      <c r="B2984" s="4" t="s">
        <v>1063</v>
      </c>
      <c r="C2984" s="25" t="s">
        <v>5</v>
      </c>
      <c r="G2984" s="25" t="s">
        <v>1276</v>
      </c>
      <c r="H2984" s="24" t="s">
        <v>1061</v>
      </c>
      <c r="I2984" s="3" t="str">
        <f>IFERROR(VLOOKUP(C2984,'Справочник соответствий'!A$2:D$2981,2,FALSE),IF(VALUE(C2984)=0,1,VLOOKUP(C2984,'Справочник соответствий'!A$2:D$2981,2,FALSE)))</f>
        <v>1</v>
      </c>
      <c r="J2984" s="3">
        <f>IFERROR(VLOOKUP(D2984,'Справочник соответствий'!A$2:D$2981,2,FALSE),IF(VALUE(D2984)=0,0,VLOOKUP(D2984,'Справочник соответствий'!A$2:D$2981,2,FALSE)))</f>
        <v>0</v>
      </c>
      <c r="K2984" s="3" t="str">
        <f t="shared" si="322"/>
        <v>1</v>
      </c>
      <c r="L2984" s="13" t="str">
        <f>IFERROR(VLOOKUP(C2984,'Справочник соответствий'!A$2:D$2981,3,FALSE),IF(VALUE(C2984)=0,"ЭТАЖ НЕ ОПРЕДЕЛЕН. ПРИНЯТ ПО ДОПУЩЕНИЮ 1",VLOOKUP(C2984,'Справочник соответствий'!A$2:D$2981,3,FALSE)))</f>
        <v>ЭТАЖ ЗАДАН ЧИСЛОМ</v>
      </c>
      <c r="M2984" s="13" t="b">
        <f t="shared" si="323"/>
        <v>0</v>
      </c>
      <c r="N2984" s="13">
        <f t="shared" si="324"/>
        <v>1</v>
      </c>
      <c r="O2984" s="13" t="str">
        <f t="shared" si="325"/>
        <v>ЭТАЖ ЗАДАН ЧИСЛОМ</v>
      </c>
      <c r="P2984" s="13" t="str">
        <f t="shared" si="326"/>
        <v>ЭТАЖ ЗАДАН ЧИСЛОМ</v>
      </c>
      <c r="Q2984" s="13" t="str">
        <f t="shared" si="327"/>
        <v>ГОТОВ_ИЗМЕНЕН</v>
      </c>
      <c r="R2984" s="13">
        <f>IFERROR(VLOOKUP(P2984,Лист1!A$1:B$20,2,FALSE),0)</f>
        <v>784</v>
      </c>
      <c r="S2984" s="13">
        <f t="shared" si="328"/>
        <v>0</v>
      </c>
    </row>
    <row r="2985" spans="1:19" x14ac:dyDescent="0.25">
      <c r="A2985" s="24" t="s">
        <v>4117</v>
      </c>
      <c r="B2985" s="4" t="s">
        <v>1063</v>
      </c>
      <c r="C2985" s="25" t="s">
        <v>7</v>
      </c>
      <c r="G2985" s="25" t="s">
        <v>1698</v>
      </c>
      <c r="H2985" s="24" t="s">
        <v>1061</v>
      </c>
      <c r="I2985" s="3" t="str">
        <f>IFERROR(VLOOKUP(C2985,'Справочник соответствий'!A$2:D$2981,2,FALSE),IF(VALUE(C2985)=0,1,VLOOKUP(C2985,'Справочник соответствий'!A$2:D$2981,2,FALSE)))</f>
        <v>2</v>
      </c>
      <c r="J2985" s="3">
        <f>IFERROR(VLOOKUP(D2985,'Справочник соответствий'!A$2:D$2981,2,FALSE),IF(VALUE(D2985)=0,0,VLOOKUP(D2985,'Справочник соответствий'!A$2:D$2981,2,FALSE)))</f>
        <v>0</v>
      </c>
      <c r="K2985" s="3" t="str">
        <f t="shared" si="322"/>
        <v>2</v>
      </c>
      <c r="L2985" s="13" t="str">
        <f>IFERROR(VLOOKUP(C2985,'Справочник соответствий'!A$2:D$2981,3,FALSE),IF(VALUE(C2985)=0,"ЭТАЖ НЕ ОПРЕДЕЛЕН. ПРИНЯТ ПО ДОПУЩЕНИЮ 1",VLOOKUP(C2985,'Справочник соответствий'!A$2:D$2981,3,FALSE)))</f>
        <v>ЭТАЖ ЗАДАН ЧИСЛОМ</v>
      </c>
      <c r="M2985" s="13" t="b">
        <f t="shared" si="323"/>
        <v>0</v>
      </c>
      <c r="N2985" s="13">
        <f t="shared" si="324"/>
        <v>2</v>
      </c>
      <c r="O2985" s="13" t="str">
        <f t="shared" si="325"/>
        <v>ЭТАЖ ЗАДАН ЧИСЛОМ</v>
      </c>
      <c r="P2985" s="13" t="str">
        <f t="shared" si="326"/>
        <v>ЭТАЖ ЗАДАН ЧИСЛОМ</v>
      </c>
      <c r="Q2985" s="13" t="str">
        <f t="shared" si="327"/>
        <v>ГОТОВ_ИЗМЕНЕН</v>
      </c>
      <c r="R2985" s="13">
        <f>IFERROR(VLOOKUP(P2985,Лист1!A$1:B$20,2,FALSE),0)</f>
        <v>784</v>
      </c>
      <c r="S2985" s="13">
        <f t="shared" si="328"/>
        <v>0</v>
      </c>
    </row>
    <row r="2986" spans="1:19" x14ac:dyDescent="0.25">
      <c r="A2986" s="24" t="s">
        <v>4118</v>
      </c>
      <c r="B2986" s="4" t="s">
        <v>1059</v>
      </c>
      <c r="C2986" s="25" t="s">
        <v>5</v>
      </c>
      <c r="G2986" s="25" t="s">
        <v>1698</v>
      </c>
      <c r="H2986" s="24" t="s">
        <v>1061</v>
      </c>
      <c r="I2986" s="3" t="str">
        <f>IFERROR(VLOOKUP(C2986,'Справочник соответствий'!A$2:D$2981,2,FALSE),IF(VALUE(C2986)=0,1,VLOOKUP(C2986,'Справочник соответствий'!A$2:D$2981,2,FALSE)))</f>
        <v>1</v>
      </c>
      <c r="J2986" s="3">
        <f>IFERROR(VLOOKUP(D2986,'Справочник соответствий'!A$2:D$2981,2,FALSE),IF(VALUE(D2986)=0,0,VLOOKUP(D2986,'Справочник соответствий'!A$2:D$2981,2,FALSE)))</f>
        <v>0</v>
      </c>
      <c r="K2986" s="3" t="str">
        <f t="shared" si="322"/>
        <v>1</v>
      </c>
      <c r="L2986" s="13" t="str">
        <f>IFERROR(VLOOKUP(C2986,'Справочник соответствий'!A$2:D$2981,3,FALSE),IF(VALUE(C2986)=0,"ЭТАЖ НЕ ОПРЕДЕЛЕН. ПРИНЯТ ПО ДОПУЩЕНИЮ 1",VLOOKUP(C2986,'Справочник соответствий'!A$2:D$2981,3,FALSE)))</f>
        <v>ЭТАЖ ЗАДАН ЧИСЛОМ</v>
      </c>
      <c r="M2986" s="13" t="b">
        <f t="shared" si="323"/>
        <v>0</v>
      </c>
      <c r="N2986" s="13">
        <f t="shared" si="324"/>
        <v>1</v>
      </c>
      <c r="O2986" s="13" t="str">
        <f t="shared" si="325"/>
        <v>ЭТАЖ ЗАДАН ЧИСЛОМ</v>
      </c>
      <c r="P2986" s="13" t="str">
        <f t="shared" si="326"/>
        <v>ЭТАЖ ЗАДАН ЧИСЛОМ</v>
      </c>
      <c r="Q2986" s="13" t="str">
        <f t="shared" si="327"/>
        <v>ГОТОВ_ИЗМЕНЕН</v>
      </c>
      <c r="R2986" s="13">
        <f>IFERROR(VLOOKUP(P2986,Лист1!A$1:B$20,2,FALSE),0)</f>
        <v>784</v>
      </c>
      <c r="S2986" s="13">
        <f t="shared" si="328"/>
        <v>0</v>
      </c>
    </row>
    <row r="2987" spans="1:19" x14ac:dyDescent="0.25">
      <c r="A2987" s="24" t="s">
        <v>4119</v>
      </c>
      <c r="B2987" s="4" t="s">
        <v>1063</v>
      </c>
      <c r="G2987" s="25" t="s">
        <v>1698</v>
      </c>
      <c r="H2987" s="24" t="s">
        <v>1061</v>
      </c>
      <c r="I2987" s="3">
        <f>IFERROR(VLOOKUP(C2987,'Справочник соответствий'!A$2:D$2981,2,FALSE),IF(VALUE(C2987)=0,1,VLOOKUP(C2987,'Справочник соответствий'!A$2:D$2981,2,FALSE)))</f>
        <v>1</v>
      </c>
      <c r="J2987" s="3">
        <f>IFERROR(VLOOKUP(D2987,'Справочник соответствий'!A$2:D$2981,2,FALSE),IF(VALUE(D2987)=0,0,VLOOKUP(D2987,'Справочник соответствий'!A$2:D$2981,2,FALSE)))</f>
        <v>0</v>
      </c>
      <c r="K2987" s="3">
        <f t="shared" si="322"/>
        <v>1</v>
      </c>
      <c r="L2987" s="13" t="str">
        <f>IFERROR(VLOOKUP(C2987,'Справочник соответствий'!A$2:D$2981,3,FALSE),IF(VALUE(C2987)=0,"ЭТАЖ НЕ ОПРЕДЕЛЕН. ПРИНЯТ ПО ДОПУЩЕНИЮ 1",VLOOKUP(C2987,'Справочник соответствий'!A$2:D$2981,3,FALSE)))</f>
        <v>ЭТАЖ НЕ ОПРЕДЕЛЕН. ПРИНЯТ ПО ДОПУЩЕНИЮ 1</v>
      </c>
      <c r="M2987" s="13" t="b">
        <f t="shared" si="323"/>
        <v>0</v>
      </c>
      <c r="N2987" s="13">
        <f t="shared" si="324"/>
        <v>1</v>
      </c>
      <c r="O2987" s="13" t="str">
        <f t="shared" si="325"/>
        <v>ЭТАЖ НЕ ОПРЕДЕЛЕН. ПРИНЯТ ПО ДОПУЩЕНИЮ 1</v>
      </c>
      <c r="P2987" s="13" t="str">
        <f t="shared" si="326"/>
        <v>ЭТАЖ НЕ ОПРЕДЕЛЕН. ПРИНЯТ ПО ДОПУЩЕНИЮ 1</v>
      </c>
      <c r="Q2987" s="13" t="str">
        <f t="shared" si="327"/>
        <v>ГОТОВ_ИЗМЕНЕН</v>
      </c>
      <c r="R2987" s="13">
        <f>IFERROR(VLOOKUP(P2987,Лист1!A$1:B$20,2,FALSE),0)</f>
        <v>788</v>
      </c>
      <c r="S2987" s="13">
        <f t="shared" si="328"/>
        <v>0</v>
      </c>
    </row>
    <row r="2988" spans="1:19" x14ac:dyDescent="0.25">
      <c r="A2988" s="24" t="s">
        <v>4120</v>
      </c>
      <c r="B2988" s="4" t="s">
        <v>1063</v>
      </c>
      <c r="C2988" s="25" t="s">
        <v>5</v>
      </c>
      <c r="G2988" s="25" t="s">
        <v>1698</v>
      </c>
      <c r="H2988" s="24" t="s">
        <v>1061</v>
      </c>
      <c r="I2988" s="3" t="str">
        <f>IFERROR(VLOOKUP(C2988,'Справочник соответствий'!A$2:D$2981,2,FALSE),IF(VALUE(C2988)=0,1,VLOOKUP(C2988,'Справочник соответствий'!A$2:D$2981,2,FALSE)))</f>
        <v>1</v>
      </c>
      <c r="J2988" s="3">
        <f>IFERROR(VLOOKUP(D2988,'Справочник соответствий'!A$2:D$2981,2,FALSE),IF(VALUE(D2988)=0,0,VLOOKUP(D2988,'Справочник соответствий'!A$2:D$2981,2,FALSE)))</f>
        <v>0</v>
      </c>
      <c r="K2988" s="3" t="str">
        <f t="shared" si="322"/>
        <v>1</v>
      </c>
      <c r="L2988" s="13" t="str">
        <f>IFERROR(VLOOKUP(C2988,'Справочник соответствий'!A$2:D$2981,3,FALSE),IF(VALUE(C2988)=0,"ЭТАЖ НЕ ОПРЕДЕЛЕН. ПРИНЯТ ПО ДОПУЩЕНИЮ 1",VLOOKUP(C2988,'Справочник соответствий'!A$2:D$2981,3,FALSE)))</f>
        <v>ЭТАЖ ЗАДАН ЧИСЛОМ</v>
      </c>
      <c r="M2988" s="13" t="b">
        <f t="shared" si="323"/>
        <v>0</v>
      </c>
      <c r="N2988" s="13">
        <f t="shared" si="324"/>
        <v>1</v>
      </c>
      <c r="O2988" s="13" t="str">
        <f t="shared" si="325"/>
        <v>ЭТАЖ ЗАДАН ЧИСЛОМ</v>
      </c>
      <c r="P2988" s="13" t="str">
        <f t="shared" si="326"/>
        <v>ЭТАЖ ЗАДАН ЧИСЛОМ</v>
      </c>
      <c r="Q2988" s="13" t="str">
        <f t="shared" si="327"/>
        <v>ГОТОВ_ИЗМЕНЕН</v>
      </c>
      <c r="R2988" s="13">
        <f>IFERROR(VLOOKUP(P2988,Лист1!A$1:B$20,2,FALSE),0)</f>
        <v>784</v>
      </c>
      <c r="S2988" s="13">
        <f t="shared" si="328"/>
        <v>0</v>
      </c>
    </row>
    <row r="2989" spans="1:19" x14ac:dyDescent="0.25">
      <c r="A2989" s="24" t="s">
        <v>4121</v>
      </c>
      <c r="B2989" s="4" t="s">
        <v>1063</v>
      </c>
      <c r="C2989" s="25" t="s">
        <v>5</v>
      </c>
      <c r="G2989" s="25" t="s">
        <v>1698</v>
      </c>
      <c r="H2989" s="24" t="s">
        <v>1061</v>
      </c>
      <c r="I2989" s="3" t="str">
        <f>IFERROR(VLOOKUP(C2989,'Справочник соответствий'!A$2:D$2981,2,FALSE),IF(VALUE(C2989)=0,1,VLOOKUP(C2989,'Справочник соответствий'!A$2:D$2981,2,FALSE)))</f>
        <v>1</v>
      </c>
      <c r="J2989" s="3">
        <f>IFERROR(VLOOKUP(D2989,'Справочник соответствий'!A$2:D$2981,2,FALSE),IF(VALUE(D2989)=0,0,VLOOKUP(D2989,'Справочник соответствий'!A$2:D$2981,2,FALSE)))</f>
        <v>0</v>
      </c>
      <c r="K2989" s="3" t="str">
        <f t="shared" si="322"/>
        <v>1</v>
      </c>
      <c r="L2989" s="13" t="str">
        <f>IFERROR(VLOOKUP(C2989,'Справочник соответствий'!A$2:D$2981,3,FALSE),IF(VALUE(C2989)=0,"ЭТАЖ НЕ ОПРЕДЕЛЕН. ПРИНЯТ ПО ДОПУЩЕНИЮ 1",VLOOKUP(C2989,'Справочник соответствий'!A$2:D$2981,3,FALSE)))</f>
        <v>ЭТАЖ ЗАДАН ЧИСЛОМ</v>
      </c>
      <c r="M2989" s="13" t="b">
        <f t="shared" si="323"/>
        <v>0</v>
      </c>
      <c r="N2989" s="13">
        <f t="shared" si="324"/>
        <v>1</v>
      </c>
      <c r="O2989" s="13" t="str">
        <f t="shared" si="325"/>
        <v>ЭТАЖ ЗАДАН ЧИСЛОМ</v>
      </c>
      <c r="P2989" s="13" t="str">
        <f t="shared" si="326"/>
        <v>ЭТАЖ ЗАДАН ЧИСЛОМ</v>
      </c>
      <c r="Q2989" s="13" t="str">
        <f t="shared" si="327"/>
        <v>ГОТОВ_ИЗМЕНЕН</v>
      </c>
      <c r="R2989" s="13">
        <f>IFERROR(VLOOKUP(P2989,Лист1!A$1:B$20,2,FALSE),0)</f>
        <v>784</v>
      </c>
      <c r="S2989" s="13">
        <f t="shared" si="328"/>
        <v>0</v>
      </c>
    </row>
    <row r="2990" spans="1:19" x14ac:dyDescent="0.25">
      <c r="A2990" s="24" t="s">
        <v>4122</v>
      </c>
      <c r="B2990" s="4" t="s">
        <v>1063</v>
      </c>
      <c r="G2990" s="25" t="s">
        <v>1698</v>
      </c>
      <c r="H2990" s="24" t="s">
        <v>1061</v>
      </c>
      <c r="I2990" s="3">
        <f>IFERROR(VLOOKUP(C2990,'Справочник соответствий'!A$2:D$2981,2,FALSE),IF(VALUE(C2990)=0,1,VLOOKUP(C2990,'Справочник соответствий'!A$2:D$2981,2,FALSE)))</f>
        <v>1</v>
      </c>
      <c r="J2990" s="3">
        <f>IFERROR(VLOOKUP(D2990,'Справочник соответствий'!A$2:D$2981,2,FALSE),IF(VALUE(D2990)=0,0,VLOOKUP(D2990,'Справочник соответствий'!A$2:D$2981,2,FALSE)))</f>
        <v>0</v>
      </c>
      <c r="K2990" s="3">
        <f t="shared" si="322"/>
        <v>1</v>
      </c>
      <c r="L2990" s="13" t="str">
        <f>IFERROR(VLOOKUP(C2990,'Справочник соответствий'!A$2:D$2981,3,FALSE),IF(VALUE(C2990)=0,"ЭТАЖ НЕ ОПРЕДЕЛЕН. ПРИНЯТ ПО ДОПУЩЕНИЮ 1",VLOOKUP(C2990,'Справочник соответствий'!A$2:D$2981,3,FALSE)))</f>
        <v>ЭТАЖ НЕ ОПРЕДЕЛЕН. ПРИНЯТ ПО ДОПУЩЕНИЮ 1</v>
      </c>
      <c r="M2990" s="13" t="b">
        <f t="shared" si="323"/>
        <v>0</v>
      </c>
      <c r="N2990" s="13">
        <f t="shared" si="324"/>
        <v>1</v>
      </c>
      <c r="O2990" s="13" t="str">
        <f t="shared" si="325"/>
        <v>ЭТАЖ НЕ ОПРЕДЕЛЕН. ПРИНЯТ ПО ДОПУЩЕНИЮ 1</v>
      </c>
      <c r="P2990" s="13" t="str">
        <f t="shared" si="326"/>
        <v>ЭТАЖ НЕ ОПРЕДЕЛЕН. ПРИНЯТ ПО ДОПУЩЕНИЮ 1</v>
      </c>
      <c r="Q2990" s="13" t="str">
        <f t="shared" si="327"/>
        <v>ГОТОВ_ИЗМЕНЕН</v>
      </c>
      <c r="R2990" s="13">
        <f>IFERROR(VLOOKUP(P2990,Лист1!A$1:B$20,2,FALSE),0)</f>
        <v>788</v>
      </c>
      <c r="S2990" s="13">
        <f t="shared" si="328"/>
        <v>0</v>
      </c>
    </row>
    <row r="2991" spans="1:19" x14ac:dyDescent="0.25">
      <c r="A2991" s="24" t="s">
        <v>4123</v>
      </c>
      <c r="B2991" s="4" t="s">
        <v>1063</v>
      </c>
      <c r="C2991" s="25" t="s">
        <v>5</v>
      </c>
      <c r="G2991" s="25" t="s">
        <v>1391</v>
      </c>
      <c r="H2991" s="24" t="s">
        <v>1061</v>
      </c>
      <c r="I2991" s="3" t="str">
        <f>IFERROR(VLOOKUP(C2991,'Справочник соответствий'!A$2:D$2981,2,FALSE),IF(VALUE(C2991)=0,1,VLOOKUP(C2991,'Справочник соответствий'!A$2:D$2981,2,FALSE)))</f>
        <v>1</v>
      </c>
      <c r="J2991" s="3">
        <f>IFERROR(VLOOKUP(D2991,'Справочник соответствий'!A$2:D$2981,2,FALSE),IF(VALUE(D2991)=0,0,VLOOKUP(D2991,'Справочник соответствий'!A$2:D$2981,2,FALSE)))</f>
        <v>0</v>
      </c>
      <c r="K2991" s="3" t="str">
        <f t="shared" si="322"/>
        <v>1</v>
      </c>
      <c r="L2991" s="13" t="str">
        <f>IFERROR(VLOOKUP(C2991,'Справочник соответствий'!A$2:D$2981,3,FALSE),IF(VALUE(C2991)=0,"ЭТАЖ НЕ ОПРЕДЕЛЕН. ПРИНЯТ ПО ДОПУЩЕНИЮ 1",VLOOKUP(C2991,'Справочник соответствий'!A$2:D$2981,3,FALSE)))</f>
        <v>ЭТАЖ ЗАДАН ЧИСЛОМ</v>
      </c>
      <c r="M2991" s="13" t="b">
        <f t="shared" si="323"/>
        <v>0</v>
      </c>
      <c r="N2991" s="13">
        <f t="shared" si="324"/>
        <v>1</v>
      </c>
      <c r="O2991" s="13" t="str">
        <f t="shared" si="325"/>
        <v>ЭТАЖ ЗАДАН ЧИСЛОМ</v>
      </c>
      <c r="P2991" s="13" t="str">
        <f t="shared" si="326"/>
        <v>ЭТАЖ ЗАДАН ЧИСЛОМ</v>
      </c>
      <c r="Q2991" s="13" t="str">
        <f t="shared" si="327"/>
        <v>ГОТОВ_ИЗМЕНЕН</v>
      </c>
      <c r="R2991" s="13">
        <f>IFERROR(VLOOKUP(P2991,Лист1!A$1:B$20,2,FALSE),0)</f>
        <v>784</v>
      </c>
      <c r="S2991" s="13">
        <f t="shared" si="328"/>
        <v>0</v>
      </c>
    </row>
    <row r="2992" spans="1:19" x14ac:dyDescent="0.25">
      <c r="A2992" s="24" t="s">
        <v>4124</v>
      </c>
      <c r="B2992" s="4" t="s">
        <v>1063</v>
      </c>
      <c r="G2992" s="25" t="s">
        <v>1391</v>
      </c>
      <c r="H2992" s="24" t="s">
        <v>1061</v>
      </c>
      <c r="I2992" s="3">
        <f>IFERROR(VLOOKUP(C2992,'Справочник соответствий'!A$2:D$2981,2,FALSE),IF(VALUE(C2992)=0,1,VLOOKUP(C2992,'Справочник соответствий'!A$2:D$2981,2,FALSE)))</f>
        <v>1</v>
      </c>
      <c r="J2992" s="3">
        <f>IFERROR(VLOOKUP(D2992,'Справочник соответствий'!A$2:D$2981,2,FALSE),IF(VALUE(D2992)=0,0,VLOOKUP(D2992,'Справочник соответствий'!A$2:D$2981,2,FALSE)))</f>
        <v>0</v>
      </c>
      <c r="K2992" s="3">
        <f t="shared" si="322"/>
        <v>1</v>
      </c>
      <c r="L2992" s="13" t="str">
        <f>IFERROR(VLOOKUP(C2992,'Справочник соответствий'!A$2:D$2981,3,FALSE),IF(VALUE(C2992)=0,"ЭТАЖ НЕ ОПРЕДЕЛЕН. ПРИНЯТ ПО ДОПУЩЕНИЮ 1",VLOOKUP(C2992,'Справочник соответствий'!A$2:D$2981,3,FALSE)))</f>
        <v>ЭТАЖ НЕ ОПРЕДЕЛЕН. ПРИНЯТ ПО ДОПУЩЕНИЮ 1</v>
      </c>
      <c r="M2992" s="13" t="b">
        <f t="shared" si="323"/>
        <v>0</v>
      </c>
      <c r="N2992" s="13">
        <f t="shared" si="324"/>
        <v>1</v>
      </c>
      <c r="O2992" s="13" t="str">
        <f t="shared" si="325"/>
        <v>ЭТАЖ НЕ ОПРЕДЕЛЕН. ПРИНЯТ ПО ДОПУЩЕНИЮ 1</v>
      </c>
      <c r="P2992" s="13" t="str">
        <f t="shared" si="326"/>
        <v>ЭТАЖ НЕ ОПРЕДЕЛЕН. ПРИНЯТ ПО ДОПУЩЕНИЮ 1</v>
      </c>
      <c r="Q2992" s="13" t="str">
        <f t="shared" si="327"/>
        <v>ГОТОВ_ИЗМЕНЕН</v>
      </c>
      <c r="R2992" s="13">
        <f>IFERROR(VLOOKUP(P2992,Лист1!A$1:B$20,2,FALSE),0)</f>
        <v>788</v>
      </c>
      <c r="S2992" s="13">
        <f t="shared" si="328"/>
        <v>0</v>
      </c>
    </row>
    <row r="2993" spans="1:19" x14ac:dyDescent="0.25">
      <c r="A2993" s="24" t="s">
        <v>4125</v>
      </c>
      <c r="B2993" s="4" t="s">
        <v>1059</v>
      </c>
      <c r="C2993" s="25" t="s">
        <v>7</v>
      </c>
      <c r="G2993" s="25" t="s">
        <v>1391</v>
      </c>
      <c r="H2993" s="24" t="s">
        <v>1061</v>
      </c>
      <c r="I2993" s="3" t="str">
        <f>IFERROR(VLOOKUP(C2993,'Справочник соответствий'!A$2:D$2981,2,FALSE),IF(VALUE(C2993)=0,1,VLOOKUP(C2993,'Справочник соответствий'!A$2:D$2981,2,FALSE)))</f>
        <v>2</v>
      </c>
      <c r="J2993" s="3">
        <f>IFERROR(VLOOKUP(D2993,'Справочник соответствий'!A$2:D$2981,2,FALSE),IF(VALUE(D2993)=0,0,VLOOKUP(D2993,'Справочник соответствий'!A$2:D$2981,2,FALSE)))</f>
        <v>0</v>
      </c>
      <c r="K2993" s="3" t="str">
        <f t="shared" si="322"/>
        <v>2</v>
      </c>
      <c r="L2993" s="13" t="str">
        <f>IFERROR(VLOOKUP(C2993,'Справочник соответствий'!A$2:D$2981,3,FALSE),IF(VALUE(C2993)=0,"ЭТАЖ НЕ ОПРЕДЕЛЕН. ПРИНЯТ ПО ДОПУЩЕНИЮ 1",VLOOKUP(C2993,'Справочник соответствий'!A$2:D$2981,3,FALSE)))</f>
        <v>ЭТАЖ ЗАДАН ЧИСЛОМ</v>
      </c>
      <c r="M2993" s="13" t="b">
        <f t="shared" si="323"/>
        <v>0</v>
      </c>
      <c r="N2993" s="13">
        <f t="shared" si="324"/>
        <v>2</v>
      </c>
      <c r="O2993" s="13" t="str">
        <f t="shared" si="325"/>
        <v>ЭТАЖ ЗАДАН ЧИСЛОМ</v>
      </c>
      <c r="P2993" s="13" t="str">
        <f t="shared" si="326"/>
        <v>ЭТАЖ ЗАДАН ЧИСЛОМ</v>
      </c>
      <c r="Q2993" s="13" t="str">
        <f t="shared" si="327"/>
        <v>ГОТОВ_ИЗМЕНЕН</v>
      </c>
      <c r="R2993" s="13">
        <f>IFERROR(VLOOKUP(P2993,Лист1!A$1:B$20,2,FALSE),0)</f>
        <v>784</v>
      </c>
      <c r="S2993" s="13">
        <f t="shared" si="328"/>
        <v>0</v>
      </c>
    </row>
    <row r="2994" spans="1:19" x14ac:dyDescent="0.25">
      <c r="A2994" s="24" t="s">
        <v>4126</v>
      </c>
      <c r="B2994" s="4" t="s">
        <v>1063</v>
      </c>
      <c r="C2994" s="25" t="s">
        <v>5</v>
      </c>
      <c r="G2994" s="25" t="s">
        <v>1347</v>
      </c>
      <c r="H2994" s="24" t="s">
        <v>1061</v>
      </c>
      <c r="I2994" s="3" t="str">
        <f>IFERROR(VLOOKUP(C2994,'Справочник соответствий'!A$2:D$2981,2,FALSE),IF(VALUE(C2994)=0,1,VLOOKUP(C2994,'Справочник соответствий'!A$2:D$2981,2,FALSE)))</f>
        <v>1</v>
      </c>
      <c r="J2994" s="3">
        <f>IFERROR(VLOOKUP(D2994,'Справочник соответствий'!A$2:D$2981,2,FALSE),IF(VALUE(D2994)=0,0,VLOOKUP(D2994,'Справочник соответствий'!A$2:D$2981,2,FALSE)))</f>
        <v>0</v>
      </c>
      <c r="K2994" s="3" t="str">
        <f t="shared" si="322"/>
        <v>1</v>
      </c>
      <c r="L2994" s="13" t="str">
        <f>IFERROR(VLOOKUP(C2994,'Справочник соответствий'!A$2:D$2981,3,FALSE),IF(VALUE(C2994)=0,"ЭТАЖ НЕ ОПРЕДЕЛЕН. ПРИНЯТ ПО ДОПУЩЕНИЮ 1",VLOOKUP(C2994,'Справочник соответствий'!A$2:D$2981,3,FALSE)))</f>
        <v>ЭТАЖ ЗАДАН ЧИСЛОМ</v>
      </c>
      <c r="M2994" s="13" t="b">
        <f t="shared" si="323"/>
        <v>0</v>
      </c>
      <c r="N2994" s="13">
        <f t="shared" si="324"/>
        <v>1</v>
      </c>
      <c r="O2994" s="13" t="str">
        <f t="shared" si="325"/>
        <v>ЭТАЖ ЗАДАН ЧИСЛОМ</v>
      </c>
      <c r="P2994" s="13" t="str">
        <f t="shared" si="326"/>
        <v>ЭТАЖ ЗАДАН ЧИСЛОМ</v>
      </c>
      <c r="Q2994" s="13" t="str">
        <f t="shared" si="327"/>
        <v>ГОТОВ_ИЗМЕНЕН</v>
      </c>
      <c r="R2994" s="13">
        <f>IFERROR(VLOOKUP(P2994,Лист1!A$1:B$20,2,FALSE),0)</f>
        <v>784</v>
      </c>
      <c r="S2994" s="13">
        <f t="shared" si="328"/>
        <v>0</v>
      </c>
    </row>
    <row r="2995" spans="1:19" x14ac:dyDescent="0.25">
      <c r="A2995" s="24" t="s">
        <v>4127</v>
      </c>
      <c r="B2995" s="4" t="s">
        <v>1063</v>
      </c>
      <c r="G2995" s="25" t="s">
        <v>1347</v>
      </c>
      <c r="H2995" s="24" t="s">
        <v>1061</v>
      </c>
      <c r="I2995" s="3">
        <f>IFERROR(VLOOKUP(C2995,'Справочник соответствий'!A$2:D$2981,2,FALSE),IF(VALUE(C2995)=0,1,VLOOKUP(C2995,'Справочник соответствий'!A$2:D$2981,2,FALSE)))</f>
        <v>1</v>
      </c>
      <c r="J2995" s="3">
        <f>IFERROR(VLOOKUP(D2995,'Справочник соответствий'!A$2:D$2981,2,FALSE),IF(VALUE(D2995)=0,0,VLOOKUP(D2995,'Справочник соответствий'!A$2:D$2981,2,FALSE)))</f>
        <v>0</v>
      </c>
      <c r="K2995" s="3">
        <f t="shared" si="322"/>
        <v>1</v>
      </c>
      <c r="L2995" s="13" t="str">
        <f>IFERROR(VLOOKUP(C2995,'Справочник соответствий'!A$2:D$2981,3,FALSE),IF(VALUE(C2995)=0,"ЭТАЖ НЕ ОПРЕДЕЛЕН. ПРИНЯТ ПО ДОПУЩЕНИЮ 1",VLOOKUP(C2995,'Справочник соответствий'!A$2:D$2981,3,FALSE)))</f>
        <v>ЭТАЖ НЕ ОПРЕДЕЛЕН. ПРИНЯТ ПО ДОПУЩЕНИЮ 1</v>
      </c>
      <c r="M2995" s="13" t="b">
        <f t="shared" si="323"/>
        <v>0</v>
      </c>
      <c r="N2995" s="13">
        <f t="shared" si="324"/>
        <v>1</v>
      </c>
      <c r="O2995" s="13" t="str">
        <f t="shared" si="325"/>
        <v>ЭТАЖ НЕ ОПРЕДЕЛЕН. ПРИНЯТ ПО ДОПУЩЕНИЮ 1</v>
      </c>
      <c r="P2995" s="13" t="str">
        <f t="shared" si="326"/>
        <v>ЭТАЖ НЕ ОПРЕДЕЛЕН. ПРИНЯТ ПО ДОПУЩЕНИЮ 1</v>
      </c>
      <c r="Q2995" s="13" t="str">
        <f t="shared" si="327"/>
        <v>ГОТОВ_ИЗМЕНЕН</v>
      </c>
      <c r="R2995" s="13">
        <f>IFERROR(VLOOKUP(P2995,Лист1!A$1:B$20,2,FALSE),0)</f>
        <v>788</v>
      </c>
      <c r="S2995" s="13">
        <f t="shared" si="328"/>
        <v>0</v>
      </c>
    </row>
    <row r="2996" spans="1:19" x14ac:dyDescent="0.25">
      <c r="A2996" s="24" t="s">
        <v>4128</v>
      </c>
      <c r="B2996" s="4" t="s">
        <v>1059</v>
      </c>
      <c r="C2996" s="25" t="s">
        <v>5</v>
      </c>
      <c r="G2996" s="25" t="s">
        <v>1347</v>
      </c>
      <c r="H2996" s="24" t="s">
        <v>1061</v>
      </c>
      <c r="I2996" s="3" t="str">
        <f>IFERROR(VLOOKUP(C2996,'Справочник соответствий'!A$2:D$2981,2,FALSE),IF(VALUE(C2996)=0,1,VLOOKUP(C2996,'Справочник соответствий'!A$2:D$2981,2,FALSE)))</f>
        <v>1</v>
      </c>
      <c r="J2996" s="3">
        <f>IFERROR(VLOOKUP(D2996,'Справочник соответствий'!A$2:D$2981,2,FALSE),IF(VALUE(D2996)=0,0,VLOOKUP(D2996,'Справочник соответствий'!A$2:D$2981,2,FALSE)))</f>
        <v>0</v>
      </c>
      <c r="K2996" s="3" t="str">
        <f t="shared" si="322"/>
        <v>1</v>
      </c>
      <c r="L2996" s="13" t="str">
        <f>IFERROR(VLOOKUP(C2996,'Справочник соответствий'!A$2:D$2981,3,FALSE),IF(VALUE(C2996)=0,"ЭТАЖ НЕ ОПРЕДЕЛЕН. ПРИНЯТ ПО ДОПУЩЕНИЮ 1",VLOOKUP(C2996,'Справочник соответствий'!A$2:D$2981,3,FALSE)))</f>
        <v>ЭТАЖ ЗАДАН ЧИСЛОМ</v>
      </c>
      <c r="M2996" s="13" t="b">
        <f t="shared" si="323"/>
        <v>0</v>
      </c>
      <c r="N2996" s="13">
        <f t="shared" si="324"/>
        <v>1</v>
      </c>
      <c r="O2996" s="13" t="str">
        <f t="shared" si="325"/>
        <v>ЭТАЖ ЗАДАН ЧИСЛОМ</v>
      </c>
      <c r="P2996" s="13" t="str">
        <f t="shared" si="326"/>
        <v>ЭТАЖ ЗАДАН ЧИСЛОМ</v>
      </c>
      <c r="Q2996" s="13" t="str">
        <f t="shared" si="327"/>
        <v>ГОТОВ_ИЗМЕНЕН</v>
      </c>
      <c r="R2996" s="13">
        <f>IFERROR(VLOOKUP(P2996,Лист1!A$1:B$20,2,FALSE),0)</f>
        <v>784</v>
      </c>
      <c r="S2996" s="13">
        <f t="shared" si="328"/>
        <v>0</v>
      </c>
    </row>
    <row r="2997" spans="1:19" x14ac:dyDescent="0.25">
      <c r="A2997" s="24" t="s">
        <v>4129</v>
      </c>
      <c r="B2997" s="4" t="s">
        <v>1059</v>
      </c>
      <c r="C2997" s="25" t="s">
        <v>5</v>
      </c>
      <c r="G2997" s="25" t="s">
        <v>1347</v>
      </c>
      <c r="H2997" s="24" t="s">
        <v>1061</v>
      </c>
      <c r="I2997" s="3" t="str">
        <f>IFERROR(VLOOKUP(C2997,'Справочник соответствий'!A$2:D$2981,2,FALSE),IF(VALUE(C2997)=0,1,VLOOKUP(C2997,'Справочник соответствий'!A$2:D$2981,2,FALSE)))</f>
        <v>1</v>
      </c>
      <c r="J2997" s="3">
        <f>IFERROR(VLOOKUP(D2997,'Справочник соответствий'!A$2:D$2981,2,FALSE),IF(VALUE(D2997)=0,0,VLOOKUP(D2997,'Справочник соответствий'!A$2:D$2981,2,FALSE)))</f>
        <v>0</v>
      </c>
      <c r="K2997" s="3" t="str">
        <f t="shared" si="322"/>
        <v>1</v>
      </c>
      <c r="L2997" s="13" t="str">
        <f>IFERROR(VLOOKUP(C2997,'Справочник соответствий'!A$2:D$2981,3,FALSE),IF(VALUE(C2997)=0,"ЭТАЖ НЕ ОПРЕДЕЛЕН. ПРИНЯТ ПО ДОПУЩЕНИЮ 1",VLOOKUP(C2997,'Справочник соответствий'!A$2:D$2981,3,FALSE)))</f>
        <v>ЭТАЖ ЗАДАН ЧИСЛОМ</v>
      </c>
      <c r="M2997" s="13" t="b">
        <f t="shared" si="323"/>
        <v>0</v>
      </c>
      <c r="N2997" s="13">
        <f t="shared" si="324"/>
        <v>1</v>
      </c>
      <c r="O2997" s="13" t="str">
        <f t="shared" si="325"/>
        <v>ЭТАЖ ЗАДАН ЧИСЛОМ</v>
      </c>
      <c r="P2997" s="13" t="str">
        <f t="shared" si="326"/>
        <v>ЭТАЖ ЗАДАН ЧИСЛОМ</v>
      </c>
      <c r="Q2997" s="13" t="str">
        <f t="shared" si="327"/>
        <v>ГОТОВ_ИЗМЕНЕН</v>
      </c>
      <c r="R2997" s="13">
        <f>IFERROR(VLOOKUP(P2997,Лист1!A$1:B$20,2,FALSE),0)</f>
        <v>784</v>
      </c>
      <c r="S2997" s="13">
        <f t="shared" si="328"/>
        <v>0</v>
      </c>
    </row>
    <row r="2998" spans="1:19" x14ac:dyDescent="0.25">
      <c r="A2998" s="24" t="s">
        <v>4130</v>
      </c>
      <c r="B2998" s="4" t="s">
        <v>1063</v>
      </c>
      <c r="G2998" s="25" t="s">
        <v>1347</v>
      </c>
      <c r="H2998" s="24" t="s">
        <v>1061</v>
      </c>
      <c r="I2998" s="3">
        <f>IFERROR(VLOOKUP(C2998,'Справочник соответствий'!A$2:D$2981,2,FALSE),IF(VALUE(C2998)=0,1,VLOOKUP(C2998,'Справочник соответствий'!A$2:D$2981,2,FALSE)))</f>
        <v>1</v>
      </c>
      <c r="J2998" s="3">
        <f>IFERROR(VLOOKUP(D2998,'Справочник соответствий'!A$2:D$2981,2,FALSE),IF(VALUE(D2998)=0,0,VLOOKUP(D2998,'Справочник соответствий'!A$2:D$2981,2,FALSE)))</f>
        <v>0</v>
      </c>
      <c r="K2998" s="3">
        <f t="shared" si="322"/>
        <v>1</v>
      </c>
      <c r="L2998" s="13" t="str">
        <f>IFERROR(VLOOKUP(C2998,'Справочник соответствий'!A$2:D$2981,3,FALSE),IF(VALUE(C2998)=0,"ЭТАЖ НЕ ОПРЕДЕЛЕН. ПРИНЯТ ПО ДОПУЩЕНИЮ 1",VLOOKUP(C2998,'Справочник соответствий'!A$2:D$2981,3,FALSE)))</f>
        <v>ЭТАЖ НЕ ОПРЕДЕЛЕН. ПРИНЯТ ПО ДОПУЩЕНИЮ 1</v>
      </c>
      <c r="M2998" s="13" t="b">
        <f t="shared" si="323"/>
        <v>0</v>
      </c>
      <c r="N2998" s="13">
        <f t="shared" si="324"/>
        <v>1</v>
      </c>
      <c r="O2998" s="13" t="str">
        <f t="shared" si="325"/>
        <v>ЭТАЖ НЕ ОПРЕДЕЛЕН. ПРИНЯТ ПО ДОПУЩЕНИЮ 1</v>
      </c>
      <c r="P2998" s="13" t="str">
        <f t="shared" si="326"/>
        <v>ЭТАЖ НЕ ОПРЕДЕЛЕН. ПРИНЯТ ПО ДОПУЩЕНИЮ 1</v>
      </c>
      <c r="Q2998" s="13" t="str">
        <f t="shared" si="327"/>
        <v>ГОТОВ_ИЗМЕНЕН</v>
      </c>
      <c r="R2998" s="13">
        <f>IFERROR(VLOOKUP(P2998,Лист1!A$1:B$20,2,FALSE),0)</f>
        <v>788</v>
      </c>
      <c r="S2998" s="13">
        <f t="shared" si="328"/>
        <v>0</v>
      </c>
    </row>
    <row r="2999" spans="1:19" x14ac:dyDescent="0.25">
      <c r="A2999" s="24" t="s">
        <v>4131</v>
      </c>
      <c r="B2999" s="4" t="s">
        <v>1063</v>
      </c>
      <c r="G2999" s="25" t="s">
        <v>1347</v>
      </c>
      <c r="H2999" s="24" t="s">
        <v>1061</v>
      </c>
      <c r="I2999" s="3">
        <f>IFERROR(VLOOKUP(C2999,'Справочник соответствий'!A$2:D$2981,2,FALSE),IF(VALUE(C2999)=0,1,VLOOKUP(C2999,'Справочник соответствий'!A$2:D$2981,2,FALSE)))</f>
        <v>1</v>
      </c>
      <c r="J2999" s="3">
        <f>IFERROR(VLOOKUP(D2999,'Справочник соответствий'!A$2:D$2981,2,FALSE),IF(VALUE(D2999)=0,0,VLOOKUP(D2999,'Справочник соответствий'!A$2:D$2981,2,FALSE)))</f>
        <v>0</v>
      </c>
      <c r="K2999" s="3">
        <f t="shared" si="322"/>
        <v>1</v>
      </c>
      <c r="L2999" s="13" t="str">
        <f>IFERROR(VLOOKUP(C2999,'Справочник соответствий'!A$2:D$2981,3,FALSE),IF(VALUE(C2999)=0,"ЭТАЖ НЕ ОПРЕДЕЛЕН. ПРИНЯТ ПО ДОПУЩЕНИЮ 1",VLOOKUP(C2999,'Справочник соответствий'!A$2:D$2981,3,FALSE)))</f>
        <v>ЭТАЖ НЕ ОПРЕДЕЛЕН. ПРИНЯТ ПО ДОПУЩЕНИЮ 1</v>
      </c>
      <c r="M2999" s="13" t="b">
        <f t="shared" si="323"/>
        <v>0</v>
      </c>
      <c r="N2999" s="13">
        <f t="shared" si="324"/>
        <v>1</v>
      </c>
      <c r="O2999" s="13" t="str">
        <f t="shared" si="325"/>
        <v>ЭТАЖ НЕ ОПРЕДЕЛЕН. ПРИНЯТ ПО ДОПУЩЕНИЮ 1</v>
      </c>
      <c r="P2999" s="13" t="str">
        <f t="shared" si="326"/>
        <v>ЭТАЖ НЕ ОПРЕДЕЛЕН. ПРИНЯТ ПО ДОПУЩЕНИЮ 1</v>
      </c>
      <c r="Q2999" s="13" t="str">
        <f t="shared" si="327"/>
        <v>ГОТОВ_ИЗМЕНЕН</v>
      </c>
      <c r="R2999" s="13">
        <f>IFERROR(VLOOKUP(P2999,Лист1!A$1:B$20,2,FALSE),0)</f>
        <v>788</v>
      </c>
      <c r="S2999" s="13">
        <f t="shared" si="328"/>
        <v>0</v>
      </c>
    </row>
    <row r="3000" spans="1:19" x14ac:dyDescent="0.25">
      <c r="A3000" s="24" t="s">
        <v>4132</v>
      </c>
      <c r="B3000" s="4" t="s">
        <v>1059</v>
      </c>
      <c r="C3000" s="25" t="s">
        <v>5</v>
      </c>
      <c r="G3000" s="25" t="s">
        <v>1347</v>
      </c>
      <c r="H3000" s="24" t="s">
        <v>1061</v>
      </c>
      <c r="I3000" s="3" t="str">
        <f>IFERROR(VLOOKUP(C3000,'Справочник соответствий'!A$2:D$2981,2,FALSE),IF(VALUE(C3000)=0,1,VLOOKUP(C3000,'Справочник соответствий'!A$2:D$2981,2,FALSE)))</f>
        <v>1</v>
      </c>
      <c r="J3000" s="3">
        <f>IFERROR(VLOOKUP(D3000,'Справочник соответствий'!A$2:D$2981,2,FALSE),IF(VALUE(D3000)=0,0,VLOOKUP(D3000,'Справочник соответствий'!A$2:D$2981,2,FALSE)))</f>
        <v>0</v>
      </c>
      <c r="K3000" s="3" t="str">
        <f t="shared" si="322"/>
        <v>1</v>
      </c>
      <c r="L3000" s="13" t="str">
        <f>IFERROR(VLOOKUP(C3000,'Справочник соответствий'!A$2:D$2981,3,FALSE),IF(VALUE(C3000)=0,"ЭТАЖ НЕ ОПРЕДЕЛЕН. ПРИНЯТ ПО ДОПУЩЕНИЮ 1",VLOOKUP(C3000,'Справочник соответствий'!A$2:D$2981,3,FALSE)))</f>
        <v>ЭТАЖ ЗАДАН ЧИСЛОМ</v>
      </c>
      <c r="M3000" s="13" t="b">
        <f t="shared" si="323"/>
        <v>0</v>
      </c>
      <c r="N3000" s="13">
        <f t="shared" si="324"/>
        <v>1</v>
      </c>
      <c r="O3000" s="13" t="str">
        <f t="shared" si="325"/>
        <v>ЭТАЖ ЗАДАН ЧИСЛОМ</v>
      </c>
      <c r="P3000" s="13" t="str">
        <f t="shared" si="326"/>
        <v>ЭТАЖ ЗАДАН ЧИСЛОМ</v>
      </c>
      <c r="Q3000" s="13" t="str">
        <f t="shared" si="327"/>
        <v>ГОТОВ_ИЗМЕНЕН</v>
      </c>
      <c r="R3000" s="13">
        <f>IFERROR(VLOOKUP(P3000,Лист1!A$1:B$20,2,FALSE),0)</f>
        <v>784</v>
      </c>
      <c r="S3000" s="13">
        <f t="shared" si="328"/>
        <v>0</v>
      </c>
    </row>
    <row r="3001" spans="1:19" x14ac:dyDescent="0.25">
      <c r="A3001" s="24" t="s">
        <v>4133</v>
      </c>
      <c r="B3001" s="4" t="s">
        <v>1063</v>
      </c>
      <c r="G3001" s="25" t="s">
        <v>1321</v>
      </c>
      <c r="H3001" s="24" t="s">
        <v>1061</v>
      </c>
      <c r="I3001" s="3">
        <f>IFERROR(VLOOKUP(C3001,'Справочник соответствий'!A$2:D$2981,2,FALSE),IF(VALUE(C3001)=0,1,VLOOKUP(C3001,'Справочник соответствий'!A$2:D$2981,2,FALSE)))</f>
        <v>1</v>
      </c>
      <c r="J3001" s="3">
        <f>IFERROR(VLOOKUP(D3001,'Справочник соответствий'!A$2:D$2981,2,FALSE),IF(VALUE(D3001)=0,0,VLOOKUP(D3001,'Справочник соответствий'!A$2:D$2981,2,FALSE)))</f>
        <v>0</v>
      </c>
      <c r="K3001" s="3">
        <f t="shared" si="322"/>
        <v>1</v>
      </c>
      <c r="L3001" s="13" t="str">
        <f>IFERROR(VLOOKUP(C3001,'Справочник соответствий'!A$2:D$2981,3,FALSE),IF(VALUE(C3001)=0,"ЭТАЖ НЕ ОПРЕДЕЛЕН. ПРИНЯТ ПО ДОПУЩЕНИЮ 1",VLOOKUP(C3001,'Справочник соответствий'!A$2:D$2981,3,FALSE)))</f>
        <v>ЭТАЖ НЕ ОПРЕДЕЛЕН. ПРИНЯТ ПО ДОПУЩЕНИЮ 1</v>
      </c>
      <c r="M3001" s="13" t="b">
        <f t="shared" si="323"/>
        <v>0</v>
      </c>
      <c r="N3001" s="13">
        <f t="shared" si="324"/>
        <v>1</v>
      </c>
      <c r="O3001" s="13" t="str">
        <f t="shared" si="325"/>
        <v>ЭТАЖ НЕ ОПРЕДЕЛЕН. ПРИНЯТ ПО ДОПУЩЕНИЮ 1</v>
      </c>
      <c r="P3001" s="13" t="str">
        <f t="shared" si="326"/>
        <v>ЭТАЖ НЕ ОПРЕДЕЛЕН. ПРИНЯТ ПО ДОПУЩЕНИЮ 1</v>
      </c>
      <c r="Q3001" s="13" t="str">
        <f t="shared" si="327"/>
        <v>ГОТОВ_ИЗМЕНЕН</v>
      </c>
      <c r="R3001" s="13">
        <f>IFERROR(VLOOKUP(P3001,Лист1!A$1:B$20,2,FALSE),0)</f>
        <v>788</v>
      </c>
      <c r="S3001" s="13">
        <f t="shared" si="328"/>
        <v>0</v>
      </c>
    </row>
    <row r="3002" spans="1:19" x14ac:dyDescent="0.25">
      <c r="A3002" s="24" t="s">
        <v>4134</v>
      </c>
      <c r="B3002" s="4" t="s">
        <v>1063</v>
      </c>
      <c r="C3002" s="25" t="s">
        <v>5</v>
      </c>
      <c r="G3002" s="25" t="s">
        <v>1321</v>
      </c>
      <c r="H3002" s="24" t="s">
        <v>1061</v>
      </c>
      <c r="I3002" s="3" t="str">
        <f>IFERROR(VLOOKUP(C3002,'Справочник соответствий'!A$2:D$2981,2,FALSE),IF(VALUE(C3002)=0,1,VLOOKUP(C3002,'Справочник соответствий'!A$2:D$2981,2,FALSE)))</f>
        <v>1</v>
      </c>
      <c r="J3002" s="3">
        <f>IFERROR(VLOOKUP(D3002,'Справочник соответствий'!A$2:D$2981,2,FALSE),IF(VALUE(D3002)=0,0,VLOOKUP(D3002,'Справочник соответствий'!A$2:D$2981,2,FALSE)))</f>
        <v>0</v>
      </c>
      <c r="K3002" s="3" t="str">
        <f t="shared" si="322"/>
        <v>1</v>
      </c>
      <c r="L3002" s="13" t="str">
        <f>IFERROR(VLOOKUP(C3002,'Справочник соответствий'!A$2:D$2981,3,FALSE),IF(VALUE(C3002)=0,"ЭТАЖ НЕ ОПРЕДЕЛЕН. ПРИНЯТ ПО ДОПУЩЕНИЮ 1",VLOOKUP(C3002,'Справочник соответствий'!A$2:D$2981,3,FALSE)))</f>
        <v>ЭТАЖ ЗАДАН ЧИСЛОМ</v>
      </c>
      <c r="M3002" s="13" t="b">
        <f t="shared" si="323"/>
        <v>0</v>
      </c>
      <c r="N3002" s="13">
        <f t="shared" si="324"/>
        <v>1</v>
      </c>
      <c r="O3002" s="13" t="str">
        <f t="shared" si="325"/>
        <v>ЭТАЖ ЗАДАН ЧИСЛОМ</v>
      </c>
      <c r="P3002" s="13" t="str">
        <f t="shared" si="326"/>
        <v>ЭТАЖ ЗАДАН ЧИСЛОМ</v>
      </c>
      <c r="Q3002" s="13" t="str">
        <f t="shared" si="327"/>
        <v>ГОТОВ_ИЗМЕНЕН</v>
      </c>
      <c r="R3002" s="13">
        <f>IFERROR(VLOOKUP(P3002,Лист1!A$1:B$20,2,FALSE),0)</f>
        <v>784</v>
      </c>
      <c r="S3002" s="13">
        <f t="shared" si="328"/>
        <v>0</v>
      </c>
    </row>
    <row r="3003" spans="1:19" x14ac:dyDescent="0.25">
      <c r="A3003" s="24" t="s">
        <v>4135</v>
      </c>
      <c r="B3003" s="4" t="s">
        <v>1031</v>
      </c>
      <c r="C3003" s="25" t="s">
        <v>15</v>
      </c>
      <c r="D3003" s="25" t="s">
        <v>5</v>
      </c>
      <c r="G3003" s="25" t="s">
        <v>1321</v>
      </c>
      <c r="H3003" s="24" t="s">
        <v>1061</v>
      </c>
      <c r="I3003" s="3" t="str">
        <f>IFERROR(VLOOKUP(C3003,'Справочник соответствий'!A$2:D$2981,2,FALSE),IF(VALUE(C3003)=0,1,VLOOKUP(C3003,'Справочник соответствий'!A$2:D$2981,2,FALSE)))</f>
        <v>10</v>
      </c>
      <c r="J3003" s="3" t="str">
        <f>IFERROR(VLOOKUP(D3003,'Справочник соответствий'!A$2:D$2981,2,FALSE),IF(VALUE(D3003)=0,0,VLOOKUP(D3003,'Справочник соответствий'!A$2:D$2981,2,FALSE)))</f>
        <v>1</v>
      </c>
      <c r="K3003" s="3">
        <f t="shared" si="322"/>
        <v>9</v>
      </c>
      <c r="L3003" s="13" t="str">
        <f>IFERROR(VLOOKUP(C3003,'Справочник соответствий'!A$2:D$2981,3,FALSE),IF(VALUE(C3003)=0,"ЭТАЖ НЕ ОПРЕДЕЛЕН. ПРИНЯТ ПО ДОПУЩЕНИЮ 1",VLOOKUP(C3003,'Справочник соответствий'!A$2:D$2981,3,FALSE)))</f>
        <v>ЭТАЖ ЗАДАН ЧИСЛОМ</v>
      </c>
      <c r="M3003" s="13" t="b">
        <f t="shared" si="323"/>
        <v>0</v>
      </c>
      <c r="N3003" s="13">
        <f t="shared" si="324"/>
        <v>9</v>
      </c>
      <c r="O3003" s="13" t="str">
        <f t="shared" si="325"/>
        <v>ЭТАЖ ЗАДАН ЧИСЛОМ</v>
      </c>
      <c r="P3003" s="13" t="str">
        <f t="shared" si="326"/>
        <v>МКД_ЭТАЖ ЗАДАН ЧИСЛОМ</v>
      </c>
      <c r="Q3003" s="13" t="str">
        <f t="shared" si="327"/>
        <v>ГОТОВ_ИЗМЕНЕН</v>
      </c>
      <c r="R3003" s="13">
        <f>IFERROR(VLOOKUP(P3003,Лист1!A$1:B$20,2,FALSE),0)</f>
        <v>786</v>
      </c>
      <c r="S3003" s="13">
        <f t="shared" si="328"/>
        <v>0</v>
      </c>
    </row>
    <row r="3004" spans="1:19" x14ac:dyDescent="0.25">
      <c r="A3004" s="24" t="s">
        <v>4136</v>
      </c>
      <c r="B3004" s="4" t="s">
        <v>1063</v>
      </c>
      <c r="G3004" s="25" t="s">
        <v>1321</v>
      </c>
      <c r="H3004" s="24" t="s">
        <v>1061</v>
      </c>
      <c r="I3004" s="3">
        <f>IFERROR(VLOOKUP(C3004,'Справочник соответствий'!A$2:D$2981,2,FALSE),IF(VALUE(C3004)=0,1,VLOOKUP(C3004,'Справочник соответствий'!A$2:D$2981,2,FALSE)))</f>
        <v>1</v>
      </c>
      <c r="J3004" s="3">
        <f>IFERROR(VLOOKUP(D3004,'Справочник соответствий'!A$2:D$2981,2,FALSE),IF(VALUE(D3004)=0,0,VLOOKUP(D3004,'Справочник соответствий'!A$2:D$2981,2,FALSE)))</f>
        <v>0</v>
      </c>
      <c r="K3004" s="3">
        <f t="shared" si="322"/>
        <v>1</v>
      </c>
      <c r="L3004" s="13" t="str">
        <f>IFERROR(VLOOKUP(C3004,'Справочник соответствий'!A$2:D$2981,3,FALSE),IF(VALUE(C3004)=0,"ЭТАЖ НЕ ОПРЕДЕЛЕН. ПРИНЯТ ПО ДОПУЩЕНИЮ 1",VLOOKUP(C3004,'Справочник соответствий'!A$2:D$2981,3,FALSE)))</f>
        <v>ЭТАЖ НЕ ОПРЕДЕЛЕН. ПРИНЯТ ПО ДОПУЩЕНИЮ 1</v>
      </c>
      <c r="M3004" s="13" t="b">
        <f t="shared" si="323"/>
        <v>0</v>
      </c>
      <c r="N3004" s="13">
        <f t="shared" si="324"/>
        <v>1</v>
      </c>
      <c r="O3004" s="13" t="str">
        <f t="shared" si="325"/>
        <v>ЭТАЖ НЕ ОПРЕДЕЛЕН. ПРИНЯТ ПО ДОПУЩЕНИЮ 1</v>
      </c>
      <c r="P3004" s="13" t="str">
        <f t="shared" si="326"/>
        <v>ЭТАЖ НЕ ОПРЕДЕЛЕН. ПРИНЯТ ПО ДОПУЩЕНИЮ 1</v>
      </c>
      <c r="Q3004" s="13" t="str">
        <f t="shared" si="327"/>
        <v>ГОТОВ_ИЗМЕНЕН</v>
      </c>
      <c r="R3004" s="13">
        <f>IFERROR(VLOOKUP(P3004,Лист1!A$1:B$20,2,FALSE),0)</f>
        <v>788</v>
      </c>
      <c r="S3004" s="13">
        <f t="shared" si="328"/>
        <v>0</v>
      </c>
    </row>
    <row r="3005" spans="1:19" x14ac:dyDescent="0.25">
      <c r="A3005" s="24" t="s">
        <v>4137</v>
      </c>
      <c r="B3005" s="4" t="s">
        <v>1059</v>
      </c>
      <c r="C3005" s="25" t="s">
        <v>5</v>
      </c>
      <c r="G3005" s="25" t="s">
        <v>1321</v>
      </c>
      <c r="H3005" s="24" t="s">
        <v>1061</v>
      </c>
      <c r="I3005" s="3" t="str">
        <f>IFERROR(VLOOKUP(C3005,'Справочник соответствий'!A$2:D$2981,2,FALSE),IF(VALUE(C3005)=0,1,VLOOKUP(C3005,'Справочник соответствий'!A$2:D$2981,2,FALSE)))</f>
        <v>1</v>
      </c>
      <c r="J3005" s="3">
        <f>IFERROR(VLOOKUP(D3005,'Справочник соответствий'!A$2:D$2981,2,FALSE),IF(VALUE(D3005)=0,0,VLOOKUP(D3005,'Справочник соответствий'!A$2:D$2981,2,FALSE)))</f>
        <v>0</v>
      </c>
      <c r="K3005" s="3" t="str">
        <f t="shared" si="322"/>
        <v>1</v>
      </c>
      <c r="L3005" s="13" t="str">
        <f>IFERROR(VLOOKUP(C3005,'Справочник соответствий'!A$2:D$2981,3,FALSE),IF(VALUE(C3005)=0,"ЭТАЖ НЕ ОПРЕДЕЛЕН. ПРИНЯТ ПО ДОПУЩЕНИЮ 1",VLOOKUP(C3005,'Справочник соответствий'!A$2:D$2981,3,FALSE)))</f>
        <v>ЭТАЖ ЗАДАН ЧИСЛОМ</v>
      </c>
      <c r="M3005" s="13" t="b">
        <f t="shared" si="323"/>
        <v>0</v>
      </c>
      <c r="N3005" s="13">
        <f t="shared" si="324"/>
        <v>1</v>
      </c>
      <c r="O3005" s="13" t="str">
        <f t="shared" si="325"/>
        <v>ЭТАЖ ЗАДАН ЧИСЛОМ</v>
      </c>
      <c r="P3005" s="13" t="str">
        <f t="shared" si="326"/>
        <v>ЭТАЖ ЗАДАН ЧИСЛОМ</v>
      </c>
      <c r="Q3005" s="13" t="str">
        <f t="shared" si="327"/>
        <v>ГОТОВ_ИЗМЕНЕН</v>
      </c>
      <c r="R3005" s="13">
        <f>IFERROR(VLOOKUP(P3005,Лист1!A$1:B$20,2,FALSE),0)</f>
        <v>784</v>
      </c>
      <c r="S3005" s="13">
        <f t="shared" si="328"/>
        <v>0</v>
      </c>
    </row>
    <row r="3006" spans="1:19" x14ac:dyDescent="0.25">
      <c r="A3006" s="24" t="s">
        <v>4138</v>
      </c>
      <c r="B3006" s="4" t="s">
        <v>1063</v>
      </c>
      <c r="C3006" s="25" t="s">
        <v>5</v>
      </c>
      <c r="G3006" s="25" t="s">
        <v>2763</v>
      </c>
      <c r="H3006" s="24" t="s">
        <v>1061</v>
      </c>
      <c r="I3006" s="3" t="str">
        <f>IFERROR(VLOOKUP(C3006,'Справочник соответствий'!A$2:D$2981,2,FALSE),IF(VALUE(C3006)=0,1,VLOOKUP(C3006,'Справочник соответствий'!A$2:D$2981,2,FALSE)))</f>
        <v>1</v>
      </c>
      <c r="J3006" s="3">
        <f>IFERROR(VLOOKUP(D3006,'Справочник соответствий'!A$2:D$2981,2,FALSE),IF(VALUE(D3006)=0,0,VLOOKUP(D3006,'Справочник соответствий'!A$2:D$2981,2,FALSE)))</f>
        <v>0</v>
      </c>
      <c r="K3006" s="3" t="str">
        <f t="shared" si="322"/>
        <v>1</v>
      </c>
      <c r="L3006" s="13" t="str">
        <f>IFERROR(VLOOKUP(C3006,'Справочник соответствий'!A$2:D$2981,3,FALSE),IF(VALUE(C3006)=0,"ЭТАЖ НЕ ОПРЕДЕЛЕН. ПРИНЯТ ПО ДОПУЩЕНИЮ 1",VLOOKUP(C3006,'Справочник соответствий'!A$2:D$2981,3,FALSE)))</f>
        <v>ЭТАЖ ЗАДАН ЧИСЛОМ</v>
      </c>
      <c r="M3006" s="13" t="b">
        <f t="shared" si="323"/>
        <v>0</v>
      </c>
      <c r="N3006" s="13">
        <f t="shared" si="324"/>
        <v>1</v>
      </c>
      <c r="O3006" s="13" t="str">
        <f t="shared" si="325"/>
        <v>ЭТАЖ ЗАДАН ЧИСЛОМ</v>
      </c>
      <c r="P3006" s="13" t="str">
        <f t="shared" si="326"/>
        <v>ЭТАЖ ЗАДАН ЧИСЛОМ</v>
      </c>
      <c r="Q3006" s="13" t="str">
        <f t="shared" si="327"/>
        <v>ГОТОВ_ИЗМЕНЕН</v>
      </c>
      <c r="R3006" s="13">
        <f>IFERROR(VLOOKUP(P3006,Лист1!A$1:B$20,2,FALSE),0)</f>
        <v>784</v>
      </c>
      <c r="S3006" s="13">
        <f t="shared" si="328"/>
        <v>0</v>
      </c>
    </row>
    <row r="3007" spans="1:19" x14ac:dyDescent="0.25">
      <c r="A3007" s="24" t="s">
        <v>4139</v>
      </c>
      <c r="B3007" s="4" t="s">
        <v>1063</v>
      </c>
      <c r="C3007" s="25" t="s">
        <v>5</v>
      </c>
      <c r="G3007" s="25" t="s">
        <v>2763</v>
      </c>
      <c r="H3007" s="24" t="s">
        <v>1061</v>
      </c>
      <c r="I3007" s="3" t="str">
        <f>IFERROR(VLOOKUP(C3007,'Справочник соответствий'!A$2:D$2981,2,FALSE),IF(VALUE(C3007)=0,1,VLOOKUP(C3007,'Справочник соответствий'!A$2:D$2981,2,FALSE)))</f>
        <v>1</v>
      </c>
      <c r="J3007" s="3">
        <f>IFERROR(VLOOKUP(D3007,'Справочник соответствий'!A$2:D$2981,2,FALSE),IF(VALUE(D3007)=0,0,VLOOKUP(D3007,'Справочник соответствий'!A$2:D$2981,2,FALSE)))</f>
        <v>0</v>
      </c>
      <c r="K3007" s="3" t="str">
        <f t="shared" si="322"/>
        <v>1</v>
      </c>
      <c r="L3007" s="13" t="str">
        <f>IFERROR(VLOOKUP(C3007,'Справочник соответствий'!A$2:D$2981,3,FALSE),IF(VALUE(C3007)=0,"ЭТАЖ НЕ ОПРЕДЕЛЕН. ПРИНЯТ ПО ДОПУЩЕНИЮ 1",VLOOKUP(C3007,'Справочник соответствий'!A$2:D$2981,3,FALSE)))</f>
        <v>ЭТАЖ ЗАДАН ЧИСЛОМ</v>
      </c>
      <c r="M3007" s="13" t="b">
        <f t="shared" si="323"/>
        <v>0</v>
      </c>
      <c r="N3007" s="13">
        <f t="shared" si="324"/>
        <v>1</v>
      </c>
      <c r="O3007" s="13" t="str">
        <f t="shared" si="325"/>
        <v>ЭТАЖ ЗАДАН ЧИСЛОМ</v>
      </c>
      <c r="P3007" s="13" t="str">
        <f t="shared" si="326"/>
        <v>ЭТАЖ ЗАДАН ЧИСЛОМ</v>
      </c>
      <c r="Q3007" s="13" t="str">
        <f t="shared" si="327"/>
        <v>ГОТОВ_ИЗМЕНЕН</v>
      </c>
      <c r="R3007" s="13">
        <f>IFERROR(VLOOKUP(P3007,Лист1!A$1:B$20,2,FALSE),0)</f>
        <v>784</v>
      </c>
      <c r="S3007" s="13">
        <f t="shared" si="328"/>
        <v>0</v>
      </c>
    </row>
    <row r="3008" spans="1:19" x14ac:dyDescent="0.25">
      <c r="A3008" s="24" t="s">
        <v>4140</v>
      </c>
      <c r="B3008" s="4" t="s">
        <v>1059</v>
      </c>
      <c r="C3008" s="25" t="s">
        <v>5</v>
      </c>
      <c r="E3008" s="3">
        <v>1</v>
      </c>
      <c r="F3008" s="24" t="s">
        <v>1045</v>
      </c>
      <c r="G3008" s="25" t="s">
        <v>1060</v>
      </c>
      <c r="H3008" s="24" t="s">
        <v>1061</v>
      </c>
      <c r="I3008" s="3" t="str">
        <f>IFERROR(VLOOKUP(C3008,'Справочник соответствий'!A$2:D$2981,2,FALSE),IF(VALUE(C3008)=0,1,VLOOKUP(C3008,'Справочник соответствий'!A$2:D$2981,2,FALSE)))</f>
        <v>1</v>
      </c>
      <c r="J3008" s="3">
        <f>IFERROR(VLOOKUP(D3008,'Справочник соответствий'!A$2:D$2981,2,FALSE),IF(VALUE(D3008)=0,0,VLOOKUP(D3008,'Справочник соответствий'!A$2:D$2981,2,FALSE)))</f>
        <v>0</v>
      </c>
      <c r="K3008" s="3" t="str">
        <f t="shared" si="322"/>
        <v>1</v>
      </c>
      <c r="L3008" s="13" t="str">
        <f>IFERROR(VLOOKUP(C3008,'Справочник соответствий'!A$2:D$2981,3,FALSE),IF(VALUE(C3008)=0,"ЭТАЖ НЕ ОПРЕДЕЛЕН. ПРИНЯТ ПО ДОПУЩЕНИЮ 1",VLOOKUP(C3008,'Справочник соответствий'!A$2:D$2981,3,FALSE)))</f>
        <v>ЭТАЖ ЗАДАН ЧИСЛОМ</v>
      </c>
      <c r="M3008" s="13" t="b">
        <f t="shared" si="323"/>
        <v>0</v>
      </c>
      <c r="N3008" s="13">
        <f t="shared" si="324"/>
        <v>1</v>
      </c>
      <c r="O3008" s="13" t="str">
        <f t="shared" si="325"/>
        <v>ЭТАЖ ЗАДАН ЧИСЛОМ</v>
      </c>
      <c r="P3008" s="13" t="str">
        <f t="shared" si="326"/>
        <v>ЭТАЖ ЗАДАН ЧИСЛОМ</v>
      </c>
      <c r="Q3008" s="13" t="str">
        <f t="shared" si="327"/>
        <v>ГОТОВ</v>
      </c>
      <c r="R3008" s="13">
        <f>IFERROR(VLOOKUP(P3008,Лист1!A$1:B$20,2,FALSE),0)</f>
        <v>784</v>
      </c>
      <c r="S3008" s="13">
        <f t="shared" si="328"/>
        <v>1</v>
      </c>
    </row>
    <row r="3009" spans="1:19" x14ac:dyDescent="0.25">
      <c r="A3009" s="24" t="s">
        <v>4141</v>
      </c>
      <c r="B3009" s="4" t="s">
        <v>1059</v>
      </c>
      <c r="C3009" s="25" t="s">
        <v>7</v>
      </c>
      <c r="E3009" s="3">
        <v>1</v>
      </c>
      <c r="F3009" s="24" t="s">
        <v>1045</v>
      </c>
      <c r="G3009" s="25" t="s">
        <v>1106</v>
      </c>
      <c r="H3009" s="24" t="s">
        <v>1061</v>
      </c>
      <c r="I3009" s="3" t="str">
        <f>IFERROR(VLOOKUP(C3009,'Справочник соответствий'!A$2:D$2981,2,FALSE),IF(VALUE(C3009)=0,1,VLOOKUP(C3009,'Справочник соответствий'!A$2:D$2981,2,FALSE)))</f>
        <v>2</v>
      </c>
      <c r="J3009" s="3">
        <f>IFERROR(VLOOKUP(D3009,'Справочник соответствий'!A$2:D$2981,2,FALSE),IF(VALUE(D3009)=0,0,VLOOKUP(D3009,'Справочник соответствий'!A$2:D$2981,2,FALSE)))</f>
        <v>0</v>
      </c>
      <c r="K3009" s="3" t="str">
        <f t="shared" si="322"/>
        <v>2</v>
      </c>
      <c r="L3009" s="13" t="str">
        <f>IFERROR(VLOOKUP(C3009,'Справочник соответствий'!A$2:D$2981,3,FALSE),IF(VALUE(C3009)=0,"ЭТАЖ НЕ ОПРЕДЕЛЕН. ПРИНЯТ ПО ДОПУЩЕНИЮ 1",VLOOKUP(C3009,'Справочник соответствий'!A$2:D$2981,3,FALSE)))</f>
        <v>ЭТАЖ ЗАДАН ЧИСЛОМ</v>
      </c>
      <c r="M3009" s="13" t="b">
        <f t="shared" si="323"/>
        <v>0</v>
      </c>
      <c r="N3009" s="13">
        <f t="shared" si="324"/>
        <v>2</v>
      </c>
      <c r="O3009" s="13" t="str">
        <f t="shared" si="325"/>
        <v>ЭТАЖ ЗАДАН ЧИСЛОМ</v>
      </c>
      <c r="P3009" s="13" t="str">
        <f t="shared" si="326"/>
        <v>ЭТАЖ ЗАДАН ЧИСЛОМ</v>
      </c>
      <c r="Q3009" s="13" t="str">
        <f t="shared" si="327"/>
        <v>ГОТОВ_ИЗМЕНЕН</v>
      </c>
      <c r="R3009" s="13">
        <f>IFERROR(VLOOKUP(P3009,Лист1!A$1:B$20,2,FALSE),0)</f>
        <v>784</v>
      </c>
      <c r="S3009" s="13">
        <f t="shared" si="328"/>
        <v>1</v>
      </c>
    </row>
    <row r="3010" spans="1:19" x14ac:dyDescent="0.25">
      <c r="A3010" s="24" t="s">
        <v>4142</v>
      </c>
      <c r="B3010" s="4" t="s">
        <v>1063</v>
      </c>
      <c r="C3010" s="25" t="s">
        <v>5</v>
      </c>
      <c r="E3010" s="3">
        <v>1</v>
      </c>
      <c r="F3010" s="24" t="s">
        <v>1045</v>
      </c>
      <c r="G3010" s="25" t="s">
        <v>1089</v>
      </c>
      <c r="H3010" s="24" t="s">
        <v>1061</v>
      </c>
      <c r="I3010" s="3" t="str">
        <f>IFERROR(VLOOKUP(C3010,'Справочник соответствий'!A$2:D$2981,2,FALSE),IF(VALUE(C3010)=0,1,VLOOKUP(C3010,'Справочник соответствий'!A$2:D$2981,2,FALSE)))</f>
        <v>1</v>
      </c>
      <c r="J3010" s="3">
        <f>IFERROR(VLOOKUP(D3010,'Справочник соответствий'!A$2:D$2981,2,FALSE),IF(VALUE(D3010)=0,0,VLOOKUP(D3010,'Справочник соответствий'!A$2:D$2981,2,FALSE)))</f>
        <v>0</v>
      </c>
      <c r="K3010" s="3" t="str">
        <f t="shared" si="322"/>
        <v>1</v>
      </c>
      <c r="L3010" s="13" t="str">
        <f>IFERROR(VLOOKUP(C3010,'Справочник соответствий'!A$2:D$2981,3,FALSE),IF(VALUE(C3010)=0,"ЭТАЖ НЕ ОПРЕДЕЛЕН. ПРИНЯТ ПО ДОПУЩЕНИЮ 1",VLOOKUP(C3010,'Справочник соответствий'!A$2:D$2981,3,FALSE)))</f>
        <v>ЭТАЖ ЗАДАН ЧИСЛОМ</v>
      </c>
      <c r="M3010" s="13" t="b">
        <f t="shared" si="323"/>
        <v>0</v>
      </c>
      <c r="N3010" s="13">
        <f t="shared" si="324"/>
        <v>1</v>
      </c>
      <c r="O3010" s="13" t="str">
        <f t="shared" si="325"/>
        <v>ЭТАЖ ЗАДАН ЧИСЛОМ</v>
      </c>
      <c r="P3010" s="13" t="str">
        <f t="shared" si="326"/>
        <v>ЭТАЖ ЗАДАН ЧИСЛОМ</v>
      </c>
      <c r="Q3010" s="13" t="str">
        <f t="shared" si="327"/>
        <v>ГОТОВ</v>
      </c>
      <c r="R3010" s="13">
        <f>IFERROR(VLOOKUP(P3010,Лист1!A$1:B$20,2,FALSE),0)</f>
        <v>784</v>
      </c>
      <c r="S3010" s="13">
        <f t="shared" si="328"/>
        <v>1</v>
      </c>
    </row>
    <row r="3011" spans="1:19" x14ac:dyDescent="0.25">
      <c r="A3011" s="24" t="s">
        <v>4143</v>
      </c>
      <c r="B3011" s="4" t="s">
        <v>1063</v>
      </c>
      <c r="C3011" s="25" t="s">
        <v>5</v>
      </c>
      <c r="D3011" s="25" t="s">
        <v>24</v>
      </c>
      <c r="E3011" s="3">
        <v>1</v>
      </c>
      <c r="F3011" s="24" t="s">
        <v>1304</v>
      </c>
      <c r="G3011" s="25" t="s">
        <v>1230</v>
      </c>
      <c r="H3011" s="24" t="s">
        <v>1061</v>
      </c>
      <c r="I3011" s="3" t="str">
        <f>IFERROR(VLOOKUP(C3011,'Справочник соответствий'!A$2:D$2981,2,FALSE),IF(VALUE(C3011)=0,1,VLOOKUP(C3011,'Справочник соответствий'!A$2:D$2981,2,FALSE)))</f>
        <v>1</v>
      </c>
      <c r="J3011" s="3" t="str">
        <f>IFERROR(VLOOKUP(D3011,'Справочник соответствий'!A$2:D$2981,2,FALSE),IF(VALUE(D3011)=0,0,VLOOKUP(D3011,'Справочник соответствий'!A$2:D$2981,2,FALSE)))</f>
        <v>1</v>
      </c>
      <c r="K3011" s="3" t="str">
        <f t="shared" si="322"/>
        <v>1</v>
      </c>
      <c r="L3011" s="13" t="str">
        <f>IFERROR(VLOOKUP(C3011,'Справочник соответствий'!A$2:D$2981,3,FALSE),IF(VALUE(C3011)=0,"ЭТАЖ НЕ ОПРЕДЕЛЕН. ПРИНЯТ ПО ДОПУЩЕНИЮ 1",VLOOKUP(C3011,'Справочник соответствий'!A$2:D$2981,3,FALSE)))</f>
        <v>ЭТАЖ ЗАДАН ЧИСЛОМ</v>
      </c>
      <c r="M3011" s="13" t="b">
        <f t="shared" si="323"/>
        <v>0</v>
      </c>
      <c r="N3011" s="13">
        <f t="shared" si="324"/>
        <v>1</v>
      </c>
      <c r="O3011" s="13" t="str">
        <f t="shared" si="325"/>
        <v>ЭТАЖ ЗАДАН ЧИСЛОМ</v>
      </c>
      <c r="P3011" s="13" t="str">
        <f t="shared" si="326"/>
        <v>ЭТАЖ ЗАДАН ЧИСЛОМ</v>
      </c>
      <c r="Q3011" s="13" t="str">
        <f t="shared" si="327"/>
        <v>ГОТОВ</v>
      </c>
      <c r="R3011" s="13">
        <f>IFERROR(VLOOKUP(P3011,Лист1!A$1:B$20,2,FALSE),0)</f>
        <v>784</v>
      </c>
      <c r="S3011" s="13">
        <f t="shared" si="328"/>
        <v>1</v>
      </c>
    </row>
    <row r="3012" spans="1:19" x14ac:dyDescent="0.25">
      <c r="A3012" s="24" t="s">
        <v>4144</v>
      </c>
      <c r="B3012" s="4" t="s">
        <v>1059</v>
      </c>
      <c r="E3012" s="3">
        <v>1</v>
      </c>
      <c r="F3012" s="24" t="s">
        <v>1045</v>
      </c>
      <c r="G3012" s="25" t="s">
        <v>1089</v>
      </c>
      <c r="H3012" s="24" t="s">
        <v>1061</v>
      </c>
      <c r="I3012" s="3">
        <f>IFERROR(VLOOKUP(C3012,'Справочник соответствий'!A$2:D$2981,2,FALSE),IF(VALUE(C3012)=0,1,VLOOKUP(C3012,'Справочник соответствий'!A$2:D$2981,2,FALSE)))</f>
        <v>1</v>
      </c>
      <c r="J3012" s="3">
        <f>IFERROR(VLOOKUP(D3012,'Справочник соответствий'!A$2:D$2981,2,FALSE),IF(VALUE(D3012)=0,0,VLOOKUP(D3012,'Справочник соответствий'!A$2:D$2981,2,FALSE)))</f>
        <v>0</v>
      </c>
      <c r="K3012" s="3">
        <f t="shared" si="322"/>
        <v>1</v>
      </c>
      <c r="L3012" s="13" t="str">
        <f>IFERROR(VLOOKUP(C3012,'Справочник соответствий'!A$2:D$2981,3,FALSE),IF(VALUE(C3012)=0,"ЭТАЖ НЕ ОПРЕДЕЛЕН. ПРИНЯТ ПО ДОПУЩЕНИЮ 1",VLOOKUP(C3012,'Справочник соответствий'!A$2:D$2981,3,FALSE)))</f>
        <v>ЭТАЖ НЕ ОПРЕДЕЛЕН. ПРИНЯТ ПО ДОПУЩЕНИЮ 1</v>
      </c>
      <c r="M3012" s="13" t="b">
        <f t="shared" si="323"/>
        <v>1</v>
      </c>
      <c r="N3012" s="13">
        <f t="shared" si="324"/>
        <v>1</v>
      </c>
      <c r="O3012" s="13" t="str">
        <f t="shared" si="325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P3012" s="13" t="str">
        <f t="shared" si="326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Q3012" s="13" t="str">
        <f t="shared" si="327"/>
        <v>ГОТОВ</v>
      </c>
      <c r="R3012" s="13">
        <f>IFERROR(VLOOKUP(P3012,Лист1!A$1:B$20,2,FALSE),0)</f>
        <v>214</v>
      </c>
      <c r="S3012" s="13">
        <f t="shared" si="328"/>
        <v>1</v>
      </c>
    </row>
    <row r="3013" spans="1:19" x14ac:dyDescent="0.25">
      <c r="A3013" s="24" t="s">
        <v>4145</v>
      </c>
      <c r="B3013" s="4" t="s">
        <v>1063</v>
      </c>
      <c r="C3013" s="25" t="s">
        <v>5</v>
      </c>
      <c r="G3013" s="25" t="s">
        <v>1321</v>
      </c>
      <c r="H3013" s="24" t="s">
        <v>1061</v>
      </c>
      <c r="I3013" s="3" t="str">
        <f>IFERROR(VLOOKUP(C3013,'Справочник соответствий'!A$2:D$2981,2,FALSE),IF(VALUE(C3013)=0,1,VLOOKUP(C3013,'Справочник соответствий'!A$2:D$2981,2,FALSE)))</f>
        <v>1</v>
      </c>
      <c r="J3013" s="3">
        <f>IFERROR(VLOOKUP(D3013,'Справочник соответствий'!A$2:D$2981,2,FALSE),IF(VALUE(D3013)=0,0,VLOOKUP(D3013,'Справочник соответствий'!A$2:D$2981,2,FALSE)))</f>
        <v>0</v>
      </c>
      <c r="K3013" s="3" t="str">
        <f t="shared" ref="K3013:K3076" si="329">IF(B3013="Многоквартирный дом",IF(I3013-J3013&gt;0,I3013-J3013,1),I3013)</f>
        <v>1</v>
      </c>
      <c r="L3013" s="13" t="str">
        <f>IFERROR(VLOOKUP(C3013,'Справочник соответствий'!A$2:D$2981,3,FALSE),IF(VALUE(C3013)=0,"ЭТАЖ НЕ ОПРЕДЕЛЕН. ПРИНЯТ ПО ДОПУЩЕНИЮ 1",VLOOKUP(C3013,'Справочник соответствий'!A$2:D$2981,3,FALSE)))</f>
        <v>ЭТАЖ ЗАДАН ЧИСЛОМ</v>
      </c>
      <c r="M3013" s="13" t="b">
        <f t="shared" ref="M3013:M3076" si="330">I3013=E3013</f>
        <v>0</v>
      </c>
      <c r="N3013" s="13">
        <f t="shared" ref="N3013:N3076" si="331">IF(VALUE(E3013)=0,VALUE(K3013),IF(L3013="ЭТАЖ НЕ ОПРЕДЕЛЕН. ПРИНЯТ ПО ДОПУЩЕНИЮ 1",VALUE(E3013),VALUE(K3013)))</f>
        <v>1</v>
      </c>
      <c r="O3013" s="13" t="str">
        <f t="shared" ref="O3013:O3076" si="332">IF(VALUE(E3013)=0,L3013,IF(L3013="ЭТАЖ НЕ ОПРЕДЕЛЕН. ПРИНЯТ ПО ДОПУЩЕНИЮ 1",F3013,L3013))</f>
        <v>ЭТАЖ ЗАДАН ЧИСЛОМ</v>
      </c>
      <c r="P3013" s="13" t="str">
        <f t="shared" ref="P3013:P3076" si="333">IF(B3013="Многоквартирный дом",CONCATENATE("МКД_",O3013),O3013)</f>
        <v>ЭТАЖ ЗАДАН ЧИСЛОМ</v>
      </c>
      <c r="Q3013" s="13" t="str">
        <f t="shared" ref="Q3013:Q3076" si="334">IFERROR(IF(N3013&gt;0,IF(N3013=VALUE(E3013),"ГОТОВ","ГОТОВ_ИЗМЕНЕН"),"НЕ ГОТОВ"),"НЕ ГОТОВ")</f>
        <v>ГОТОВ_ИЗМЕНЕН</v>
      </c>
      <c r="R3013" s="13">
        <f>IFERROR(VLOOKUP(P3013,Лист1!A$1:B$20,2,FALSE),0)</f>
        <v>784</v>
      </c>
      <c r="S3013" s="13">
        <f t="shared" ref="S3013:S3076" si="335">VALUE(E3013)</f>
        <v>0</v>
      </c>
    </row>
    <row r="3014" spans="1:19" x14ac:dyDescent="0.25">
      <c r="A3014" s="24" t="s">
        <v>4146</v>
      </c>
      <c r="B3014" s="4" t="s">
        <v>1063</v>
      </c>
      <c r="C3014" s="25" t="s">
        <v>7</v>
      </c>
      <c r="G3014" s="25" t="s">
        <v>1069</v>
      </c>
      <c r="H3014" s="24" t="s">
        <v>1061</v>
      </c>
      <c r="I3014" s="3" t="str">
        <f>IFERROR(VLOOKUP(C3014,'Справочник соответствий'!A$2:D$2981,2,FALSE),IF(VALUE(C3014)=0,1,VLOOKUP(C3014,'Справочник соответствий'!A$2:D$2981,2,FALSE)))</f>
        <v>2</v>
      </c>
      <c r="J3014" s="3">
        <f>IFERROR(VLOOKUP(D3014,'Справочник соответствий'!A$2:D$2981,2,FALSE),IF(VALUE(D3014)=0,0,VLOOKUP(D3014,'Справочник соответствий'!A$2:D$2981,2,FALSE)))</f>
        <v>0</v>
      </c>
      <c r="K3014" s="3" t="str">
        <f t="shared" si="329"/>
        <v>2</v>
      </c>
      <c r="L3014" s="13" t="str">
        <f>IFERROR(VLOOKUP(C3014,'Справочник соответствий'!A$2:D$2981,3,FALSE),IF(VALUE(C3014)=0,"ЭТАЖ НЕ ОПРЕДЕЛЕН. ПРИНЯТ ПО ДОПУЩЕНИЮ 1",VLOOKUP(C3014,'Справочник соответствий'!A$2:D$2981,3,FALSE)))</f>
        <v>ЭТАЖ ЗАДАН ЧИСЛОМ</v>
      </c>
      <c r="M3014" s="13" t="b">
        <f t="shared" si="330"/>
        <v>0</v>
      </c>
      <c r="N3014" s="13">
        <f t="shared" si="331"/>
        <v>2</v>
      </c>
      <c r="O3014" s="13" t="str">
        <f t="shared" si="332"/>
        <v>ЭТАЖ ЗАДАН ЧИСЛОМ</v>
      </c>
      <c r="P3014" s="13" t="str">
        <f t="shared" si="333"/>
        <v>ЭТАЖ ЗАДАН ЧИСЛОМ</v>
      </c>
      <c r="Q3014" s="13" t="str">
        <f t="shared" si="334"/>
        <v>ГОТОВ_ИЗМЕНЕН</v>
      </c>
      <c r="R3014" s="13">
        <f>IFERROR(VLOOKUP(P3014,Лист1!A$1:B$20,2,FALSE),0)</f>
        <v>784</v>
      </c>
      <c r="S3014" s="13">
        <f t="shared" si="335"/>
        <v>0</v>
      </c>
    </row>
    <row r="3015" spans="1:19" x14ac:dyDescent="0.25">
      <c r="A3015" s="24" t="s">
        <v>4147</v>
      </c>
      <c r="B3015" s="4" t="s">
        <v>1059</v>
      </c>
      <c r="C3015" s="25" t="s">
        <v>7</v>
      </c>
      <c r="D3015" s="25" t="s">
        <v>24</v>
      </c>
      <c r="G3015" s="25" t="s">
        <v>1069</v>
      </c>
      <c r="H3015" s="24" t="s">
        <v>1061</v>
      </c>
      <c r="I3015" s="3" t="str">
        <f>IFERROR(VLOOKUP(C3015,'Справочник соответствий'!A$2:D$2981,2,FALSE),IF(VALUE(C3015)=0,1,VLOOKUP(C3015,'Справочник соответствий'!A$2:D$2981,2,FALSE)))</f>
        <v>2</v>
      </c>
      <c r="J3015" s="3" t="str">
        <f>IFERROR(VLOOKUP(D3015,'Справочник соответствий'!A$2:D$2981,2,FALSE),IF(VALUE(D3015)=0,0,VLOOKUP(D3015,'Справочник соответствий'!A$2:D$2981,2,FALSE)))</f>
        <v>1</v>
      </c>
      <c r="K3015" s="3" t="str">
        <f t="shared" si="329"/>
        <v>2</v>
      </c>
      <c r="L3015" s="13" t="str">
        <f>IFERROR(VLOOKUP(C3015,'Справочник соответствий'!A$2:D$2981,3,FALSE),IF(VALUE(C3015)=0,"ЭТАЖ НЕ ОПРЕДЕЛЕН. ПРИНЯТ ПО ДОПУЩЕНИЮ 1",VLOOKUP(C3015,'Справочник соответствий'!A$2:D$2981,3,FALSE)))</f>
        <v>ЭТАЖ ЗАДАН ЧИСЛОМ</v>
      </c>
      <c r="M3015" s="13" t="b">
        <f t="shared" si="330"/>
        <v>0</v>
      </c>
      <c r="N3015" s="13">
        <f t="shared" si="331"/>
        <v>2</v>
      </c>
      <c r="O3015" s="13" t="str">
        <f t="shared" si="332"/>
        <v>ЭТАЖ ЗАДАН ЧИСЛОМ</v>
      </c>
      <c r="P3015" s="13" t="str">
        <f t="shared" si="333"/>
        <v>ЭТАЖ ЗАДАН ЧИСЛОМ</v>
      </c>
      <c r="Q3015" s="13" t="str">
        <f t="shared" si="334"/>
        <v>ГОТОВ_ИЗМЕНЕН</v>
      </c>
      <c r="R3015" s="13">
        <f>IFERROR(VLOOKUP(P3015,Лист1!A$1:B$20,2,FALSE),0)</f>
        <v>784</v>
      </c>
      <c r="S3015" s="13">
        <f t="shared" si="335"/>
        <v>0</v>
      </c>
    </row>
    <row r="3016" spans="1:19" x14ac:dyDescent="0.25">
      <c r="A3016" s="24" t="s">
        <v>4148</v>
      </c>
      <c r="B3016" s="4" t="s">
        <v>1059</v>
      </c>
      <c r="C3016" s="25" t="s">
        <v>5</v>
      </c>
      <c r="G3016" s="25" t="s">
        <v>1069</v>
      </c>
      <c r="H3016" s="24" t="s">
        <v>1061</v>
      </c>
      <c r="I3016" s="3" t="str">
        <f>IFERROR(VLOOKUP(C3016,'Справочник соответствий'!A$2:D$2981,2,FALSE),IF(VALUE(C3016)=0,1,VLOOKUP(C3016,'Справочник соответствий'!A$2:D$2981,2,FALSE)))</f>
        <v>1</v>
      </c>
      <c r="J3016" s="3">
        <f>IFERROR(VLOOKUP(D3016,'Справочник соответствий'!A$2:D$2981,2,FALSE),IF(VALUE(D3016)=0,0,VLOOKUP(D3016,'Справочник соответствий'!A$2:D$2981,2,FALSE)))</f>
        <v>0</v>
      </c>
      <c r="K3016" s="3" t="str">
        <f t="shared" si="329"/>
        <v>1</v>
      </c>
      <c r="L3016" s="13" t="str">
        <f>IFERROR(VLOOKUP(C3016,'Справочник соответствий'!A$2:D$2981,3,FALSE),IF(VALUE(C3016)=0,"ЭТАЖ НЕ ОПРЕДЕЛЕН. ПРИНЯТ ПО ДОПУЩЕНИЮ 1",VLOOKUP(C3016,'Справочник соответствий'!A$2:D$2981,3,FALSE)))</f>
        <v>ЭТАЖ ЗАДАН ЧИСЛОМ</v>
      </c>
      <c r="M3016" s="13" t="b">
        <f t="shared" si="330"/>
        <v>0</v>
      </c>
      <c r="N3016" s="13">
        <f t="shared" si="331"/>
        <v>1</v>
      </c>
      <c r="O3016" s="13" t="str">
        <f t="shared" si="332"/>
        <v>ЭТАЖ ЗАДАН ЧИСЛОМ</v>
      </c>
      <c r="P3016" s="13" t="str">
        <f t="shared" si="333"/>
        <v>ЭТАЖ ЗАДАН ЧИСЛОМ</v>
      </c>
      <c r="Q3016" s="13" t="str">
        <f t="shared" si="334"/>
        <v>ГОТОВ_ИЗМЕНЕН</v>
      </c>
      <c r="R3016" s="13">
        <f>IFERROR(VLOOKUP(P3016,Лист1!A$1:B$20,2,FALSE),0)</f>
        <v>784</v>
      </c>
      <c r="S3016" s="13">
        <f t="shared" si="335"/>
        <v>0</v>
      </c>
    </row>
    <row r="3017" spans="1:19" x14ac:dyDescent="0.25">
      <c r="A3017" s="24" t="s">
        <v>4149</v>
      </c>
      <c r="B3017" s="4" t="s">
        <v>1063</v>
      </c>
      <c r="C3017" s="25" t="s">
        <v>5</v>
      </c>
      <c r="G3017" s="25" t="s">
        <v>1069</v>
      </c>
      <c r="H3017" s="24" t="s">
        <v>1061</v>
      </c>
      <c r="I3017" s="3" t="str">
        <f>IFERROR(VLOOKUP(C3017,'Справочник соответствий'!A$2:D$2981,2,FALSE),IF(VALUE(C3017)=0,1,VLOOKUP(C3017,'Справочник соответствий'!A$2:D$2981,2,FALSE)))</f>
        <v>1</v>
      </c>
      <c r="J3017" s="3">
        <f>IFERROR(VLOOKUP(D3017,'Справочник соответствий'!A$2:D$2981,2,FALSE),IF(VALUE(D3017)=0,0,VLOOKUP(D3017,'Справочник соответствий'!A$2:D$2981,2,FALSE)))</f>
        <v>0</v>
      </c>
      <c r="K3017" s="3" t="str">
        <f t="shared" si="329"/>
        <v>1</v>
      </c>
      <c r="L3017" s="13" t="str">
        <f>IFERROR(VLOOKUP(C3017,'Справочник соответствий'!A$2:D$2981,3,FALSE),IF(VALUE(C3017)=0,"ЭТАЖ НЕ ОПРЕДЕЛЕН. ПРИНЯТ ПО ДОПУЩЕНИЮ 1",VLOOKUP(C3017,'Справочник соответствий'!A$2:D$2981,3,FALSE)))</f>
        <v>ЭТАЖ ЗАДАН ЧИСЛОМ</v>
      </c>
      <c r="M3017" s="13" t="b">
        <f t="shared" si="330"/>
        <v>0</v>
      </c>
      <c r="N3017" s="13">
        <f t="shared" si="331"/>
        <v>1</v>
      </c>
      <c r="O3017" s="13" t="str">
        <f t="shared" si="332"/>
        <v>ЭТАЖ ЗАДАН ЧИСЛОМ</v>
      </c>
      <c r="P3017" s="13" t="str">
        <f t="shared" si="333"/>
        <v>ЭТАЖ ЗАДАН ЧИСЛОМ</v>
      </c>
      <c r="Q3017" s="13" t="str">
        <f t="shared" si="334"/>
        <v>ГОТОВ_ИЗМЕНЕН</v>
      </c>
      <c r="R3017" s="13">
        <f>IFERROR(VLOOKUP(P3017,Лист1!A$1:B$20,2,FALSE),0)</f>
        <v>784</v>
      </c>
      <c r="S3017" s="13">
        <f t="shared" si="335"/>
        <v>0</v>
      </c>
    </row>
    <row r="3018" spans="1:19" x14ac:dyDescent="0.25">
      <c r="A3018" s="24" t="s">
        <v>4150</v>
      </c>
      <c r="B3018" s="4" t="s">
        <v>1063</v>
      </c>
      <c r="G3018" s="25" t="s">
        <v>1083</v>
      </c>
      <c r="H3018" s="24" t="s">
        <v>1061</v>
      </c>
      <c r="I3018" s="3">
        <f>IFERROR(VLOOKUP(C3018,'Справочник соответствий'!A$2:D$2981,2,FALSE),IF(VALUE(C3018)=0,1,VLOOKUP(C3018,'Справочник соответствий'!A$2:D$2981,2,FALSE)))</f>
        <v>1</v>
      </c>
      <c r="J3018" s="3">
        <f>IFERROR(VLOOKUP(D3018,'Справочник соответствий'!A$2:D$2981,2,FALSE),IF(VALUE(D3018)=0,0,VLOOKUP(D3018,'Справочник соответствий'!A$2:D$2981,2,FALSE)))</f>
        <v>0</v>
      </c>
      <c r="K3018" s="3">
        <f t="shared" si="329"/>
        <v>1</v>
      </c>
      <c r="L3018" s="13" t="str">
        <f>IFERROR(VLOOKUP(C3018,'Справочник соответствий'!A$2:D$2981,3,FALSE),IF(VALUE(C3018)=0,"ЭТАЖ НЕ ОПРЕДЕЛЕН. ПРИНЯТ ПО ДОПУЩЕНИЮ 1",VLOOKUP(C3018,'Справочник соответствий'!A$2:D$2981,3,FALSE)))</f>
        <v>ЭТАЖ НЕ ОПРЕДЕЛЕН. ПРИНЯТ ПО ДОПУЩЕНИЮ 1</v>
      </c>
      <c r="M3018" s="13" t="b">
        <f t="shared" si="330"/>
        <v>0</v>
      </c>
      <c r="N3018" s="13">
        <f t="shared" si="331"/>
        <v>1</v>
      </c>
      <c r="O3018" s="13" t="str">
        <f t="shared" si="332"/>
        <v>ЭТАЖ НЕ ОПРЕДЕЛЕН. ПРИНЯТ ПО ДОПУЩЕНИЮ 1</v>
      </c>
      <c r="P3018" s="13" t="str">
        <f t="shared" si="333"/>
        <v>ЭТАЖ НЕ ОПРЕДЕЛЕН. ПРИНЯТ ПО ДОПУЩЕНИЮ 1</v>
      </c>
      <c r="Q3018" s="13" t="str">
        <f t="shared" si="334"/>
        <v>ГОТОВ_ИЗМЕНЕН</v>
      </c>
      <c r="R3018" s="13">
        <f>IFERROR(VLOOKUP(P3018,Лист1!A$1:B$20,2,FALSE),0)</f>
        <v>788</v>
      </c>
      <c r="S3018" s="13">
        <f t="shared" si="335"/>
        <v>0</v>
      </c>
    </row>
    <row r="3019" spans="1:19" x14ac:dyDescent="0.25">
      <c r="A3019" s="24" t="s">
        <v>4151</v>
      </c>
      <c r="B3019" s="4" t="s">
        <v>1059</v>
      </c>
      <c r="C3019" s="25" t="s">
        <v>7</v>
      </c>
      <c r="G3019" s="25" t="s">
        <v>1114</v>
      </c>
      <c r="H3019" s="24" t="s">
        <v>1061</v>
      </c>
      <c r="I3019" s="3" t="str">
        <f>IFERROR(VLOOKUP(C3019,'Справочник соответствий'!A$2:D$2981,2,FALSE),IF(VALUE(C3019)=0,1,VLOOKUP(C3019,'Справочник соответствий'!A$2:D$2981,2,FALSE)))</f>
        <v>2</v>
      </c>
      <c r="J3019" s="3">
        <f>IFERROR(VLOOKUP(D3019,'Справочник соответствий'!A$2:D$2981,2,FALSE),IF(VALUE(D3019)=0,0,VLOOKUP(D3019,'Справочник соответствий'!A$2:D$2981,2,FALSE)))</f>
        <v>0</v>
      </c>
      <c r="K3019" s="3" t="str">
        <f t="shared" si="329"/>
        <v>2</v>
      </c>
      <c r="L3019" s="13" t="str">
        <f>IFERROR(VLOOKUP(C3019,'Справочник соответствий'!A$2:D$2981,3,FALSE),IF(VALUE(C3019)=0,"ЭТАЖ НЕ ОПРЕДЕЛЕН. ПРИНЯТ ПО ДОПУЩЕНИЮ 1",VLOOKUP(C3019,'Справочник соответствий'!A$2:D$2981,3,FALSE)))</f>
        <v>ЭТАЖ ЗАДАН ЧИСЛОМ</v>
      </c>
      <c r="M3019" s="13" t="b">
        <f t="shared" si="330"/>
        <v>0</v>
      </c>
      <c r="N3019" s="13">
        <f t="shared" si="331"/>
        <v>2</v>
      </c>
      <c r="O3019" s="13" t="str">
        <f t="shared" si="332"/>
        <v>ЭТАЖ ЗАДАН ЧИСЛОМ</v>
      </c>
      <c r="P3019" s="13" t="str">
        <f t="shared" si="333"/>
        <v>ЭТАЖ ЗАДАН ЧИСЛОМ</v>
      </c>
      <c r="Q3019" s="13" t="str">
        <f t="shared" si="334"/>
        <v>ГОТОВ_ИЗМЕНЕН</v>
      </c>
      <c r="R3019" s="13">
        <f>IFERROR(VLOOKUP(P3019,Лист1!A$1:B$20,2,FALSE),0)</f>
        <v>784</v>
      </c>
      <c r="S3019" s="13">
        <f t="shared" si="335"/>
        <v>0</v>
      </c>
    </row>
    <row r="3020" spans="1:19" x14ac:dyDescent="0.25">
      <c r="A3020" s="24" t="s">
        <v>4152</v>
      </c>
      <c r="B3020" s="4" t="s">
        <v>1063</v>
      </c>
      <c r="C3020" s="25" t="s">
        <v>5</v>
      </c>
      <c r="G3020" s="25" t="s">
        <v>1069</v>
      </c>
      <c r="H3020" s="24" t="s">
        <v>1061</v>
      </c>
      <c r="I3020" s="3" t="str">
        <f>IFERROR(VLOOKUP(C3020,'Справочник соответствий'!A$2:D$2981,2,FALSE),IF(VALUE(C3020)=0,1,VLOOKUP(C3020,'Справочник соответствий'!A$2:D$2981,2,FALSE)))</f>
        <v>1</v>
      </c>
      <c r="J3020" s="3">
        <f>IFERROR(VLOOKUP(D3020,'Справочник соответствий'!A$2:D$2981,2,FALSE),IF(VALUE(D3020)=0,0,VLOOKUP(D3020,'Справочник соответствий'!A$2:D$2981,2,FALSE)))</f>
        <v>0</v>
      </c>
      <c r="K3020" s="3" t="str">
        <f t="shared" si="329"/>
        <v>1</v>
      </c>
      <c r="L3020" s="13" t="str">
        <f>IFERROR(VLOOKUP(C3020,'Справочник соответствий'!A$2:D$2981,3,FALSE),IF(VALUE(C3020)=0,"ЭТАЖ НЕ ОПРЕДЕЛЕН. ПРИНЯТ ПО ДОПУЩЕНИЮ 1",VLOOKUP(C3020,'Справочник соответствий'!A$2:D$2981,3,FALSE)))</f>
        <v>ЭТАЖ ЗАДАН ЧИСЛОМ</v>
      </c>
      <c r="M3020" s="13" t="b">
        <f t="shared" si="330"/>
        <v>0</v>
      </c>
      <c r="N3020" s="13">
        <f t="shared" si="331"/>
        <v>1</v>
      </c>
      <c r="O3020" s="13" t="str">
        <f t="shared" si="332"/>
        <v>ЭТАЖ ЗАДАН ЧИСЛОМ</v>
      </c>
      <c r="P3020" s="13" t="str">
        <f t="shared" si="333"/>
        <v>ЭТАЖ ЗАДАН ЧИСЛОМ</v>
      </c>
      <c r="Q3020" s="13" t="str">
        <f t="shared" si="334"/>
        <v>ГОТОВ_ИЗМЕНЕН</v>
      </c>
      <c r="R3020" s="13">
        <f>IFERROR(VLOOKUP(P3020,Лист1!A$1:B$20,2,FALSE),0)</f>
        <v>784</v>
      </c>
      <c r="S3020" s="13">
        <f t="shared" si="335"/>
        <v>0</v>
      </c>
    </row>
    <row r="3021" spans="1:19" x14ac:dyDescent="0.25">
      <c r="A3021" s="24" t="s">
        <v>4153</v>
      </c>
      <c r="B3021" s="4" t="s">
        <v>1059</v>
      </c>
      <c r="C3021" s="25" t="s">
        <v>7</v>
      </c>
      <c r="G3021" s="25" t="s">
        <v>1108</v>
      </c>
      <c r="H3021" s="24" t="s">
        <v>1061</v>
      </c>
      <c r="I3021" s="3" t="str">
        <f>IFERROR(VLOOKUP(C3021,'Справочник соответствий'!A$2:D$2981,2,FALSE),IF(VALUE(C3021)=0,1,VLOOKUP(C3021,'Справочник соответствий'!A$2:D$2981,2,FALSE)))</f>
        <v>2</v>
      </c>
      <c r="J3021" s="3">
        <f>IFERROR(VLOOKUP(D3021,'Справочник соответствий'!A$2:D$2981,2,FALSE),IF(VALUE(D3021)=0,0,VLOOKUP(D3021,'Справочник соответствий'!A$2:D$2981,2,FALSE)))</f>
        <v>0</v>
      </c>
      <c r="K3021" s="3" t="str">
        <f t="shared" si="329"/>
        <v>2</v>
      </c>
      <c r="L3021" s="13" t="str">
        <f>IFERROR(VLOOKUP(C3021,'Справочник соответствий'!A$2:D$2981,3,FALSE),IF(VALUE(C3021)=0,"ЭТАЖ НЕ ОПРЕДЕЛЕН. ПРИНЯТ ПО ДОПУЩЕНИЮ 1",VLOOKUP(C3021,'Справочник соответствий'!A$2:D$2981,3,FALSE)))</f>
        <v>ЭТАЖ ЗАДАН ЧИСЛОМ</v>
      </c>
      <c r="M3021" s="13" t="b">
        <f t="shared" si="330"/>
        <v>0</v>
      </c>
      <c r="N3021" s="13">
        <f t="shared" si="331"/>
        <v>2</v>
      </c>
      <c r="O3021" s="13" t="str">
        <f t="shared" si="332"/>
        <v>ЭТАЖ ЗАДАН ЧИСЛОМ</v>
      </c>
      <c r="P3021" s="13" t="str">
        <f t="shared" si="333"/>
        <v>ЭТАЖ ЗАДАН ЧИСЛОМ</v>
      </c>
      <c r="Q3021" s="13" t="str">
        <f t="shared" si="334"/>
        <v>ГОТОВ_ИЗМЕНЕН</v>
      </c>
      <c r="R3021" s="13">
        <f>IFERROR(VLOOKUP(P3021,Лист1!A$1:B$20,2,FALSE),0)</f>
        <v>784</v>
      </c>
      <c r="S3021" s="13">
        <f t="shared" si="335"/>
        <v>0</v>
      </c>
    </row>
    <row r="3022" spans="1:19" x14ac:dyDescent="0.25">
      <c r="A3022" s="24" t="s">
        <v>4154</v>
      </c>
      <c r="B3022" s="4" t="s">
        <v>1063</v>
      </c>
      <c r="C3022" s="25" t="s">
        <v>5</v>
      </c>
      <c r="G3022" s="25" t="s">
        <v>1325</v>
      </c>
      <c r="H3022" s="24" t="s">
        <v>1061</v>
      </c>
      <c r="I3022" s="3" t="str">
        <f>IFERROR(VLOOKUP(C3022,'Справочник соответствий'!A$2:D$2981,2,FALSE),IF(VALUE(C3022)=0,1,VLOOKUP(C3022,'Справочник соответствий'!A$2:D$2981,2,FALSE)))</f>
        <v>1</v>
      </c>
      <c r="J3022" s="3">
        <f>IFERROR(VLOOKUP(D3022,'Справочник соответствий'!A$2:D$2981,2,FALSE),IF(VALUE(D3022)=0,0,VLOOKUP(D3022,'Справочник соответствий'!A$2:D$2981,2,FALSE)))</f>
        <v>0</v>
      </c>
      <c r="K3022" s="3" t="str">
        <f t="shared" si="329"/>
        <v>1</v>
      </c>
      <c r="L3022" s="13" t="str">
        <f>IFERROR(VLOOKUP(C3022,'Справочник соответствий'!A$2:D$2981,3,FALSE),IF(VALUE(C3022)=0,"ЭТАЖ НЕ ОПРЕДЕЛЕН. ПРИНЯТ ПО ДОПУЩЕНИЮ 1",VLOOKUP(C3022,'Справочник соответствий'!A$2:D$2981,3,FALSE)))</f>
        <v>ЭТАЖ ЗАДАН ЧИСЛОМ</v>
      </c>
      <c r="M3022" s="13" t="b">
        <f t="shared" si="330"/>
        <v>0</v>
      </c>
      <c r="N3022" s="13">
        <f t="shared" si="331"/>
        <v>1</v>
      </c>
      <c r="O3022" s="13" t="str">
        <f t="shared" si="332"/>
        <v>ЭТАЖ ЗАДАН ЧИСЛОМ</v>
      </c>
      <c r="P3022" s="13" t="str">
        <f t="shared" si="333"/>
        <v>ЭТАЖ ЗАДАН ЧИСЛОМ</v>
      </c>
      <c r="Q3022" s="13" t="str">
        <f t="shared" si="334"/>
        <v>ГОТОВ_ИЗМЕНЕН</v>
      </c>
      <c r="R3022" s="13">
        <f>IFERROR(VLOOKUP(P3022,Лист1!A$1:B$20,2,FALSE),0)</f>
        <v>784</v>
      </c>
      <c r="S3022" s="13">
        <f t="shared" si="335"/>
        <v>0</v>
      </c>
    </row>
    <row r="3023" spans="1:19" x14ac:dyDescent="0.25">
      <c r="A3023" s="24" t="s">
        <v>4155</v>
      </c>
      <c r="B3023" s="4" t="s">
        <v>1059</v>
      </c>
      <c r="C3023" s="25" t="s">
        <v>5</v>
      </c>
      <c r="G3023" s="25" t="s">
        <v>1325</v>
      </c>
      <c r="H3023" s="24" t="s">
        <v>1061</v>
      </c>
      <c r="I3023" s="3" t="str">
        <f>IFERROR(VLOOKUP(C3023,'Справочник соответствий'!A$2:D$2981,2,FALSE),IF(VALUE(C3023)=0,1,VLOOKUP(C3023,'Справочник соответствий'!A$2:D$2981,2,FALSE)))</f>
        <v>1</v>
      </c>
      <c r="J3023" s="3">
        <f>IFERROR(VLOOKUP(D3023,'Справочник соответствий'!A$2:D$2981,2,FALSE),IF(VALUE(D3023)=0,0,VLOOKUP(D3023,'Справочник соответствий'!A$2:D$2981,2,FALSE)))</f>
        <v>0</v>
      </c>
      <c r="K3023" s="3" t="str">
        <f t="shared" si="329"/>
        <v>1</v>
      </c>
      <c r="L3023" s="13" t="str">
        <f>IFERROR(VLOOKUP(C3023,'Справочник соответствий'!A$2:D$2981,3,FALSE),IF(VALUE(C3023)=0,"ЭТАЖ НЕ ОПРЕДЕЛЕН. ПРИНЯТ ПО ДОПУЩЕНИЮ 1",VLOOKUP(C3023,'Справочник соответствий'!A$2:D$2981,3,FALSE)))</f>
        <v>ЭТАЖ ЗАДАН ЧИСЛОМ</v>
      </c>
      <c r="M3023" s="13" t="b">
        <f t="shared" si="330"/>
        <v>0</v>
      </c>
      <c r="N3023" s="13">
        <f t="shared" si="331"/>
        <v>1</v>
      </c>
      <c r="O3023" s="13" t="str">
        <f t="shared" si="332"/>
        <v>ЭТАЖ ЗАДАН ЧИСЛОМ</v>
      </c>
      <c r="P3023" s="13" t="str">
        <f t="shared" si="333"/>
        <v>ЭТАЖ ЗАДАН ЧИСЛОМ</v>
      </c>
      <c r="Q3023" s="13" t="str">
        <f t="shared" si="334"/>
        <v>ГОТОВ_ИЗМЕНЕН</v>
      </c>
      <c r="R3023" s="13">
        <f>IFERROR(VLOOKUP(P3023,Лист1!A$1:B$20,2,FALSE),0)</f>
        <v>784</v>
      </c>
      <c r="S3023" s="13">
        <f t="shared" si="335"/>
        <v>0</v>
      </c>
    </row>
    <row r="3024" spans="1:19" x14ac:dyDescent="0.25">
      <c r="A3024" s="24" t="s">
        <v>4156</v>
      </c>
      <c r="B3024" s="4" t="s">
        <v>1063</v>
      </c>
      <c r="C3024" s="25" t="s">
        <v>7</v>
      </c>
      <c r="G3024" s="25" t="s">
        <v>1108</v>
      </c>
      <c r="H3024" s="24" t="s">
        <v>1061</v>
      </c>
      <c r="I3024" s="3" t="str">
        <f>IFERROR(VLOOKUP(C3024,'Справочник соответствий'!A$2:D$2981,2,FALSE),IF(VALUE(C3024)=0,1,VLOOKUP(C3024,'Справочник соответствий'!A$2:D$2981,2,FALSE)))</f>
        <v>2</v>
      </c>
      <c r="J3024" s="3">
        <f>IFERROR(VLOOKUP(D3024,'Справочник соответствий'!A$2:D$2981,2,FALSE),IF(VALUE(D3024)=0,0,VLOOKUP(D3024,'Справочник соответствий'!A$2:D$2981,2,FALSE)))</f>
        <v>0</v>
      </c>
      <c r="K3024" s="3" t="str">
        <f t="shared" si="329"/>
        <v>2</v>
      </c>
      <c r="L3024" s="13" t="str">
        <f>IFERROR(VLOOKUP(C3024,'Справочник соответствий'!A$2:D$2981,3,FALSE),IF(VALUE(C3024)=0,"ЭТАЖ НЕ ОПРЕДЕЛЕН. ПРИНЯТ ПО ДОПУЩЕНИЮ 1",VLOOKUP(C3024,'Справочник соответствий'!A$2:D$2981,3,FALSE)))</f>
        <v>ЭТАЖ ЗАДАН ЧИСЛОМ</v>
      </c>
      <c r="M3024" s="13" t="b">
        <f t="shared" si="330"/>
        <v>0</v>
      </c>
      <c r="N3024" s="13">
        <f t="shared" si="331"/>
        <v>2</v>
      </c>
      <c r="O3024" s="13" t="str">
        <f t="shared" si="332"/>
        <v>ЭТАЖ ЗАДАН ЧИСЛОМ</v>
      </c>
      <c r="P3024" s="13" t="str">
        <f t="shared" si="333"/>
        <v>ЭТАЖ ЗАДАН ЧИСЛОМ</v>
      </c>
      <c r="Q3024" s="13" t="str">
        <f t="shared" si="334"/>
        <v>ГОТОВ_ИЗМЕНЕН</v>
      </c>
      <c r="R3024" s="13">
        <f>IFERROR(VLOOKUP(P3024,Лист1!A$1:B$20,2,FALSE),0)</f>
        <v>784</v>
      </c>
      <c r="S3024" s="13">
        <f t="shared" si="335"/>
        <v>0</v>
      </c>
    </row>
    <row r="3025" spans="1:19" x14ac:dyDescent="0.25">
      <c r="A3025" s="24" t="s">
        <v>4157</v>
      </c>
      <c r="B3025" s="4" t="s">
        <v>1059</v>
      </c>
      <c r="C3025" s="25" t="s">
        <v>5</v>
      </c>
      <c r="G3025" s="25" t="s">
        <v>1069</v>
      </c>
      <c r="H3025" s="24" t="s">
        <v>1061</v>
      </c>
      <c r="I3025" s="3" t="str">
        <f>IFERROR(VLOOKUP(C3025,'Справочник соответствий'!A$2:D$2981,2,FALSE),IF(VALUE(C3025)=0,1,VLOOKUP(C3025,'Справочник соответствий'!A$2:D$2981,2,FALSE)))</f>
        <v>1</v>
      </c>
      <c r="J3025" s="3">
        <f>IFERROR(VLOOKUP(D3025,'Справочник соответствий'!A$2:D$2981,2,FALSE),IF(VALUE(D3025)=0,0,VLOOKUP(D3025,'Справочник соответствий'!A$2:D$2981,2,FALSE)))</f>
        <v>0</v>
      </c>
      <c r="K3025" s="3" t="str">
        <f t="shared" si="329"/>
        <v>1</v>
      </c>
      <c r="L3025" s="13" t="str">
        <f>IFERROR(VLOOKUP(C3025,'Справочник соответствий'!A$2:D$2981,3,FALSE),IF(VALUE(C3025)=0,"ЭТАЖ НЕ ОПРЕДЕЛЕН. ПРИНЯТ ПО ДОПУЩЕНИЮ 1",VLOOKUP(C3025,'Справочник соответствий'!A$2:D$2981,3,FALSE)))</f>
        <v>ЭТАЖ ЗАДАН ЧИСЛОМ</v>
      </c>
      <c r="M3025" s="13" t="b">
        <f t="shared" si="330"/>
        <v>0</v>
      </c>
      <c r="N3025" s="13">
        <f t="shared" si="331"/>
        <v>1</v>
      </c>
      <c r="O3025" s="13" t="str">
        <f t="shared" si="332"/>
        <v>ЭТАЖ ЗАДАН ЧИСЛОМ</v>
      </c>
      <c r="P3025" s="13" t="str">
        <f t="shared" si="333"/>
        <v>ЭТАЖ ЗАДАН ЧИСЛОМ</v>
      </c>
      <c r="Q3025" s="13" t="str">
        <f t="shared" si="334"/>
        <v>ГОТОВ_ИЗМЕНЕН</v>
      </c>
      <c r="R3025" s="13">
        <f>IFERROR(VLOOKUP(P3025,Лист1!A$1:B$20,2,FALSE),0)</f>
        <v>784</v>
      </c>
      <c r="S3025" s="13">
        <f t="shared" si="335"/>
        <v>0</v>
      </c>
    </row>
    <row r="3026" spans="1:19" x14ac:dyDescent="0.25">
      <c r="A3026" s="24" t="s">
        <v>4158</v>
      </c>
      <c r="B3026" s="4" t="s">
        <v>1059</v>
      </c>
      <c r="C3026" s="25" t="s">
        <v>7</v>
      </c>
      <c r="G3026" s="25" t="s">
        <v>1099</v>
      </c>
      <c r="H3026" s="24" t="s">
        <v>1061</v>
      </c>
      <c r="I3026" s="3" t="str">
        <f>IFERROR(VLOOKUP(C3026,'Справочник соответствий'!A$2:D$2981,2,FALSE),IF(VALUE(C3026)=0,1,VLOOKUP(C3026,'Справочник соответствий'!A$2:D$2981,2,FALSE)))</f>
        <v>2</v>
      </c>
      <c r="J3026" s="3">
        <f>IFERROR(VLOOKUP(D3026,'Справочник соответствий'!A$2:D$2981,2,FALSE),IF(VALUE(D3026)=0,0,VLOOKUP(D3026,'Справочник соответствий'!A$2:D$2981,2,FALSE)))</f>
        <v>0</v>
      </c>
      <c r="K3026" s="3" t="str">
        <f t="shared" si="329"/>
        <v>2</v>
      </c>
      <c r="L3026" s="13" t="str">
        <f>IFERROR(VLOOKUP(C3026,'Справочник соответствий'!A$2:D$2981,3,FALSE),IF(VALUE(C3026)=0,"ЭТАЖ НЕ ОПРЕДЕЛЕН. ПРИНЯТ ПО ДОПУЩЕНИЮ 1",VLOOKUP(C3026,'Справочник соответствий'!A$2:D$2981,3,FALSE)))</f>
        <v>ЭТАЖ ЗАДАН ЧИСЛОМ</v>
      </c>
      <c r="M3026" s="13" t="b">
        <f t="shared" si="330"/>
        <v>0</v>
      </c>
      <c r="N3026" s="13">
        <f t="shared" si="331"/>
        <v>2</v>
      </c>
      <c r="O3026" s="13" t="str">
        <f t="shared" si="332"/>
        <v>ЭТАЖ ЗАДАН ЧИСЛОМ</v>
      </c>
      <c r="P3026" s="13" t="str">
        <f t="shared" si="333"/>
        <v>ЭТАЖ ЗАДАН ЧИСЛОМ</v>
      </c>
      <c r="Q3026" s="13" t="str">
        <f t="shared" si="334"/>
        <v>ГОТОВ_ИЗМЕНЕН</v>
      </c>
      <c r="R3026" s="13">
        <f>IFERROR(VLOOKUP(P3026,Лист1!A$1:B$20,2,FALSE),0)</f>
        <v>784</v>
      </c>
      <c r="S3026" s="13">
        <f t="shared" si="335"/>
        <v>0</v>
      </c>
    </row>
    <row r="3027" spans="1:19" x14ac:dyDescent="0.25">
      <c r="A3027" s="24" t="s">
        <v>4159</v>
      </c>
      <c r="B3027" s="4" t="s">
        <v>1059</v>
      </c>
      <c r="C3027" s="25" t="s">
        <v>5</v>
      </c>
      <c r="G3027" s="25" t="s">
        <v>1205</v>
      </c>
      <c r="H3027" s="24" t="s">
        <v>1061</v>
      </c>
      <c r="I3027" s="3" t="str">
        <f>IFERROR(VLOOKUP(C3027,'Справочник соответствий'!A$2:D$2981,2,FALSE),IF(VALUE(C3027)=0,1,VLOOKUP(C3027,'Справочник соответствий'!A$2:D$2981,2,FALSE)))</f>
        <v>1</v>
      </c>
      <c r="J3027" s="3">
        <f>IFERROR(VLOOKUP(D3027,'Справочник соответствий'!A$2:D$2981,2,FALSE),IF(VALUE(D3027)=0,0,VLOOKUP(D3027,'Справочник соответствий'!A$2:D$2981,2,FALSE)))</f>
        <v>0</v>
      </c>
      <c r="K3027" s="3" t="str">
        <f t="shared" si="329"/>
        <v>1</v>
      </c>
      <c r="L3027" s="13" t="str">
        <f>IFERROR(VLOOKUP(C3027,'Справочник соответствий'!A$2:D$2981,3,FALSE),IF(VALUE(C3027)=0,"ЭТАЖ НЕ ОПРЕДЕЛЕН. ПРИНЯТ ПО ДОПУЩЕНИЮ 1",VLOOKUP(C3027,'Справочник соответствий'!A$2:D$2981,3,FALSE)))</f>
        <v>ЭТАЖ ЗАДАН ЧИСЛОМ</v>
      </c>
      <c r="M3027" s="13" t="b">
        <f t="shared" si="330"/>
        <v>0</v>
      </c>
      <c r="N3027" s="13">
        <f t="shared" si="331"/>
        <v>1</v>
      </c>
      <c r="O3027" s="13" t="str">
        <f t="shared" si="332"/>
        <v>ЭТАЖ ЗАДАН ЧИСЛОМ</v>
      </c>
      <c r="P3027" s="13" t="str">
        <f t="shared" si="333"/>
        <v>ЭТАЖ ЗАДАН ЧИСЛОМ</v>
      </c>
      <c r="Q3027" s="13" t="str">
        <f t="shared" si="334"/>
        <v>ГОТОВ_ИЗМЕНЕН</v>
      </c>
      <c r="R3027" s="13">
        <f>IFERROR(VLOOKUP(P3027,Лист1!A$1:B$20,2,FALSE),0)</f>
        <v>784</v>
      </c>
      <c r="S3027" s="13">
        <f t="shared" si="335"/>
        <v>0</v>
      </c>
    </row>
    <row r="3028" spans="1:19" x14ac:dyDescent="0.25">
      <c r="A3028" s="24" t="s">
        <v>4160</v>
      </c>
      <c r="B3028" s="4" t="s">
        <v>1059</v>
      </c>
      <c r="C3028" s="25" t="s">
        <v>5</v>
      </c>
      <c r="G3028" s="25" t="s">
        <v>1108</v>
      </c>
      <c r="H3028" s="24" t="s">
        <v>1061</v>
      </c>
      <c r="I3028" s="3" t="str">
        <f>IFERROR(VLOOKUP(C3028,'Справочник соответствий'!A$2:D$2981,2,FALSE),IF(VALUE(C3028)=0,1,VLOOKUP(C3028,'Справочник соответствий'!A$2:D$2981,2,FALSE)))</f>
        <v>1</v>
      </c>
      <c r="J3028" s="3">
        <f>IFERROR(VLOOKUP(D3028,'Справочник соответствий'!A$2:D$2981,2,FALSE),IF(VALUE(D3028)=0,0,VLOOKUP(D3028,'Справочник соответствий'!A$2:D$2981,2,FALSE)))</f>
        <v>0</v>
      </c>
      <c r="K3028" s="3" t="str">
        <f t="shared" si="329"/>
        <v>1</v>
      </c>
      <c r="L3028" s="13" t="str">
        <f>IFERROR(VLOOKUP(C3028,'Справочник соответствий'!A$2:D$2981,3,FALSE),IF(VALUE(C3028)=0,"ЭТАЖ НЕ ОПРЕДЕЛЕН. ПРИНЯТ ПО ДОПУЩЕНИЮ 1",VLOOKUP(C3028,'Справочник соответствий'!A$2:D$2981,3,FALSE)))</f>
        <v>ЭТАЖ ЗАДАН ЧИСЛОМ</v>
      </c>
      <c r="M3028" s="13" t="b">
        <f t="shared" si="330"/>
        <v>0</v>
      </c>
      <c r="N3028" s="13">
        <f t="shared" si="331"/>
        <v>1</v>
      </c>
      <c r="O3028" s="13" t="str">
        <f t="shared" si="332"/>
        <v>ЭТАЖ ЗАДАН ЧИСЛОМ</v>
      </c>
      <c r="P3028" s="13" t="str">
        <f t="shared" si="333"/>
        <v>ЭТАЖ ЗАДАН ЧИСЛОМ</v>
      </c>
      <c r="Q3028" s="13" t="str">
        <f t="shared" si="334"/>
        <v>ГОТОВ_ИЗМЕНЕН</v>
      </c>
      <c r="R3028" s="13">
        <f>IFERROR(VLOOKUP(P3028,Лист1!A$1:B$20,2,FALSE),0)</f>
        <v>784</v>
      </c>
      <c r="S3028" s="13">
        <f t="shared" si="335"/>
        <v>0</v>
      </c>
    </row>
    <row r="3029" spans="1:19" x14ac:dyDescent="0.25">
      <c r="A3029" s="24" t="s">
        <v>4161</v>
      </c>
      <c r="B3029" s="4" t="s">
        <v>1063</v>
      </c>
      <c r="C3029" s="25" t="s">
        <v>5</v>
      </c>
      <c r="G3029" s="25" t="s">
        <v>1099</v>
      </c>
      <c r="H3029" s="24" t="s">
        <v>1061</v>
      </c>
      <c r="I3029" s="3" t="str">
        <f>IFERROR(VLOOKUP(C3029,'Справочник соответствий'!A$2:D$2981,2,FALSE),IF(VALUE(C3029)=0,1,VLOOKUP(C3029,'Справочник соответствий'!A$2:D$2981,2,FALSE)))</f>
        <v>1</v>
      </c>
      <c r="J3029" s="3">
        <f>IFERROR(VLOOKUP(D3029,'Справочник соответствий'!A$2:D$2981,2,FALSE),IF(VALUE(D3029)=0,0,VLOOKUP(D3029,'Справочник соответствий'!A$2:D$2981,2,FALSE)))</f>
        <v>0</v>
      </c>
      <c r="K3029" s="3" t="str">
        <f t="shared" si="329"/>
        <v>1</v>
      </c>
      <c r="L3029" s="13" t="str">
        <f>IFERROR(VLOOKUP(C3029,'Справочник соответствий'!A$2:D$2981,3,FALSE),IF(VALUE(C3029)=0,"ЭТАЖ НЕ ОПРЕДЕЛЕН. ПРИНЯТ ПО ДОПУЩЕНИЮ 1",VLOOKUP(C3029,'Справочник соответствий'!A$2:D$2981,3,FALSE)))</f>
        <v>ЭТАЖ ЗАДАН ЧИСЛОМ</v>
      </c>
      <c r="M3029" s="13" t="b">
        <f t="shared" si="330"/>
        <v>0</v>
      </c>
      <c r="N3029" s="13">
        <f t="shared" si="331"/>
        <v>1</v>
      </c>
      <c r="O3029" s="13" t="str">
        <f t="shared" si="332"/>
        <v>ЭТАЖ ЗАДАН ЧИСЛОМ</v>
      </c>
      <c r="P3029" s="13" t="str">
        <f t="shared" si="333"/>
        <v>ЭТАЖ ЗАДАН ЧИСЛОМ</v>
      </c>
      <c r="Q3029" s="13" t="str">
        <f t="shared" si="334"/>
        <v>ГОТОВ_ИЗМЕНЕН</v>
      </c>
      <c r="R3029" s="13">
        <f>IFERROR(VLOOKUP(P3029,Лист1!A$1:B$20,2,FALSE),0)</f>
        <v>784</v>
      </c>
      <c r="S3029" s="13">
        <f t="shared" si="335"/>
        <v>0</v>
      </c>
    </row>
    <row r="3030" spans="1:19" x14ac:dyDescent="0.25">
      <c r="A3030" s="24" t="s">
        <v>4162</v>
      </c>
      <c r="B3030" s="4" t="s">
        <v>1059</v>
      </c>
      <c r="C3030" s="25" t="s">
        <v>5</v>
      </c>
      <c r="G3030" s="25" t="s">
        <v>1060</v>
      </c>
      <c r="H3030" s="24" t="s">
        <v>1061</v>
      </c>
      <c r="I3030" s="3" t="str">
        <f>IFERROR(VLOOKUP(C3030,'Справочник соответствий'!A$2:D$2981,2,FALSE),IF(VALUE(C3030)=0,1,VLOOKUP(C3030,'Справочник соответствий'!A$2:D$2981,2,FALSE)))</f>
        <v>1</v>
      </c>
      <c r="J3030" s="3">
        <f>IFERROR(VLOOKUP(D3030,'Справочник соответствий'!A$2:D$2981,2,FALSE),IF(VALUE(D3030)=0,0,VLOOKUP(D3030,'Справочник соответствий'!A$2:D$2981,2,FALSE)))</f>
        <v>0</v>
      </c>
      <c r="K3030" s="3" t="str">
        <f t="shared" si="329"/>
        <v>1</v>
      </c>
      <c r="L3030" s="13" t="str">
        <f>IFERROR(VLOOKUP(C3030,'Справочник соответствий'!A$2:D$2981,3,FALSE),IF(VALUE(C3030)=0,"ЭТАЖ НЕ ОПРЕДЕЛЕН. ПРИНЯТ ПО ДОПУЩЕНИЮ 1",VLOOKUP(C3030,'Справочник соответствий'!A$2:D$2981,3,FALSE)))</f>
        <v>ЭТАЖ ЗАДАН ЧИСЛОМ</v>
      </c>
      <c r="M3030" s="13" t="b">
        <f t="shared" si="330"/>
        <v>0</v>
      </c>
      <c r="N3030" s="13">
        <f t="shared" si="331"/>
        <v>1</v>
      </c>
      <c r="O3030" s="13" t="str">
        <f t="shared" si="332"/>
        <v>ЭТАЖ ЗАДАН ЧИСЛОМ</v>
      </c>
      <c r="P3030" s="13" t="str">
        <f t="shared" si="333"/>
        <v>ЭТАЖ ЗАДАН ЧИСЛОМ</v>
      </c>
      <c r="Q3030" s="13" t="str">
        <f t="shared" si="334"/>
        <v>ГОТОВ_ИЗМЕНЕН</v>
      </c>
      <c r="R3030" s="13">
        <f>IFERROR(VLOOKUP(P3030,Лист1!A$1:B$20,2,FALSE),0)</f>
        <v>784</v>
      </c>
      <c r="S3030" s="13">
        <f t="shared" si="335"/>
        <v>0</v>
      </c>
    </row>
    <row r="3031" spans="1:19" x14ac:dyDescent="0.25">
      <c r="A3031" s="24" t="s">
        <v>4163</v>
      </c>
      <c r="B3031" s="4" t="s">
        <v>1059</v>
      </c>
      <c r="C3031" s="25" t="s">
        <v>7</v>
      </c>
      <c r="G3031" s="25" t="s">
        <v>1060</v>
      </c>
      <c r="H3031" s="24" t="s">
        <v>1061</v>
      </c>
      <c r="I3031" s="3" t="str">
        <f>IFERROR(VLOOKUP(C3031,'Справочник соответствий'!A$2:D$2981,2,FALSE),IF(VALUE(C3031)=0,1,VLOOKUP(C3031,'Справочник соответствий'!A$2:D$2981,2,FALSE)))</f>
        <v>2</v>
      </c>
      <c r="J3031" s="3">
        <f>IFERROR(VLOOKUP(D3031,'Справочник соответствий'!A$2:D$2981,2,FALSE),IF(VALUE(D3031)=0,0,VLOOKUP(D3031,'Справочник соответствий'!A$2:D$2981,2,FALSE)))</f>
        <v>0</v>
      </c>
      <c r="K3031" s="3" t="str">
        <f t="shared" si="329"/>
        <v>2</v>
      </c>
      <c r="L3031" s="13" t="str">
        <f>IFERROR(VLOOKUP(C3031,'Справочник соответствий'!A$2:D$2981,3,FALSE),IF(VALUE(C3031)=0,"ЭТАЖ НЕ ОПРЕДЕЛЕН. ПРИНЯТ ПО ДОПУЩЕНИЮ 1",VLOOKUP(C3031,'Справочник соответствий'!A$2:D$2981,3,FALSE)))</f>
        <v>ЭТАЖ ЗАДАН ЧИСЛОМ</v>
      </c>
      <c r="M3031" s="13" t="b">
        <f t="shared" si="330"/>
        <v>0</v>
      </c>
      <c r="N3031" s="13">
        <f t="shared" si="331"/>
        <v>2</v>
      </c>
      <c r="O3031" s="13" t="str">
        <f t="shared" si="332"/>
        <v>ЭТАЖ ЗАДАН ЧИСЛОМ</v>
      </c>
      <c r="P3031" s="13" t="str">
        <f t="shared" si="333"/>
        <v>ЭТАЖ ЗАДАН ЧИСЛОМ</v>
      </c>
      <c r="Q3031" s="13" t="str">
        <f t="shared" si="334"/>
        <v>ГОТОВ_ИЗМЕНЕН</v>
      </c>
      <c r="R3031" s="13">
        <f>IFERROR(VLOOKUP(P3031,Лист1!A$1:B$20,2,FALSE),0)</f>
        <v>784</v>
      </c>
      <c r="S3031" s="13">
        <f t="shared" si="335"/>
        <v>0</v>
      </c>
    </row>
    <row r="3032" spans="1:19" x14ac:dyDescent="0.25">
      <c r="A3032" s="24" t="s">
        <v>4164</v>
      </c>
      <c r="B3032" s="4" t="s">
        <v>1063</v>
      </c>
      <c r="C3032" s="25" t="s">
        <v>5</v>
      </c>
      <c r="G3032" s="25" t="s">
        <v>1060</v>
      </c>
      <c r="H3032" s="24" t="s">
        <v>1061</v>
      </c>
      <c r="I3032" s="3" t="str">
        <f>IFERROR(VLOOKUP(C3032,'Справочник соответствий'!A$2:D$2981,2,FALSE),IF(VALUE(C3032)=0,1,VLOOKUP(C3032,'Справочник соответствий'!A$2:D$2981,2,FALSE)))</f>
        <v>1</v>
      </c>
      <c r="J3032" s="3">
        <f>IFERROR(VLOOKUP(D3032,'Справочник соответствий'!A$2:D$2981,2,FALSE),IF(VALUE(D3032)=0,0,VLOOKUP(D3032,'Справочник соответствий'!A$2:D$2981,2,FALSE)))</f>
        <v>0</v>
      </c>
      <c r="K3032" s="3" t="str">
        <f t="shared" si="329"/>
        <v>1</v>
      </c>
      <c r="L3032" s="13" t="str">
        <f>IFERROR(VLOOKUP(C3032,'Справочник соответствий'!A$2:D$2981,3,FALSE),IF(VALUE(C3032)=0,"ЭТАЖ НЕ ОПРЕДЕЛЕН. ПРИНЯТ ПО ДОПУЩЕНИЮ 1",VLOOKUP(C3032,'Справочник соответствий'!A$2:D$2981,3,FALSE)))</f>
        <v>ЭТАЖ ЗАДАН ЧИСЛОМ</v>
      </c>
      <c r="M3032" s="13" t="b">
        <f t="shared" si="330"/>
        <v>0</v>
      </c>
      <c r="N3032" s="13">
        <f t="shared" si="331"/>
        <v>1</v>
      </c>
      <c r="O3032" s="13" t="str">
        <f t="shared" si="332"/>
        <v>ЭТАЖ ЗАДАН ЧИСЛОМ</v>
      </c>
      <c r="P3032" s="13" t="str">
        <f t="shared" si="333"/>
        <v>ЭТАЖ ЗАДАН ЧИСЛОМ</v>
      </c>
      <c r="Q3032" s="13" t="str">
        <f t="shared" si="334"/>
        <v>ГОТОВ_ИЗМЕНЕН</v>
      </c>
      <c r="R3032" s="13">
        <f>IFERROR(VLOOKUP(P3032,Лист1!A$1:B$20,2,FALSE),0)</f>
        <v>784</v>
      </c>
      <c r="S3032" s="13">
        <f t="shared" si="335"/>
        <v>0</v>
      </c>
    </row>
    <row r="3033" spans="1:19" x14ac:dyDescent="0.25">
      <c r="A3033" s="24" t="s">
        <v>4165</v>
      </c>
      <c r="B3033" s="4" t="s">
        <v>1059</v>
      </c>
      <c r="C3033" s="25" t="s">
        <v>5</v>
      </c>
      <c r="G3033" s="25" t="s">
        <v>1060</v>
      </c>
      <c r="H3033" s="24" t="s">
        <v>1061</v>
      </c>
      <c r="I3033" s="3" t="str">
        <f>IFERROR(VLOOKUP(C3033,'Справочник соответствий'!A$2:D$2981,2,FALSE),IF(VALUE(C3033)=0,1,VLOOKUP(C3033,'Справочник соответствий'!A$2:D$2981,2,FALSE)))</f>
        <v>1</v>
      </c>
      <c r="J3033" s="3">
        <f>IFERROR(VLOOKUP(D3033,'Справочник соответствий'!A$2:D$2981,2,FALSE),IF(VALUE(D3033)=0,0,VLOOKUP(D3033,'Справочник соответствий'!A$2:D$2981,2,FALSE)))</f>
        <v>0</v>
      </c>
      <c r="K3033" s="3" t="str">
        <f t="shared" si="329"/>
        <v>1</v>
      </c>
      <c r="L3033" s="13" t="str">
        <f>IFERROR(VLOOKUP(C3033,'Справочник соответствий'!A$2:D$2981,3,FALSE),IF(VALUE(C3033)=0,"ЭТАЖ НЕ ОПРЕДЕЛЕН. ПРИНЯТ ПО ДОПУЩЕНИЮ 1",VLOOKUP(C3033,'Справочник соответствий'!A$2:D$2981,3,FALSE)))</f>
        <v>ЭТАЖ ЗАДАН ЧИСЛОМ</v>
      </c>
      <c r="M3033" s="13" t="b">
        <f t="shared" si="330"/>
        <v>0</v>
      </c>
      <c r="N3033" s="13">
        <f t="shared" si="331"/>
        <v>1</v>
      </c>
      <c r="O3033" s="13" t="str">
        <f t="shared" si="332"/>
        <v>ЭТАЖ ЗАДАН ЧИСЛОМ</v>
      </c>
      <c r="P3033" s="13" t="str">
        <f t="shared" si="333"/>
        <v>ЭТАЖ ЗАДАН ЧИСЛОМ</v>
      </c>
      <c r="Q3033" s="13" t="str">
        <f t="shared" si="334"/>
        <v>ГОТОВ_ИЗМЕНЕН</v>
      </c>
      <c r="R3033" s="13">
        <f>IFERROR(VLOOKUP(P3033,Лист1!A$1:B$20,2,FALSE),0)</f>
        <v>784</v>
      </c>
      <c r="S3033" s="13">
        <f t="shared" si="335"/>
        <v>0</v>
      </c>
    </row>
    <row r="3034" spans="1:19" x14ac:dyDescent="0.25">
      <c r="A3034" s="24" t="s">
        <v>4166</v>
      </c>
      <c r="B3034" s="4" t="s">
        <v>1063</v>
      </c>
      <c r="C3034" s="25" t="s">
        <v>5</v>
      </c>
      <c r="G3034" s="25" t="s">
        <v>1205</v>
      </c>
      <c r="H3034" s="24" t="s">
        <v>1061</v>
      </c>
      <c r="I3034" s="3" t="str">
        <f>IFERROR(VLOOKUP(C3034,'Справочник соответствий'!A$2:D$2981,2,FALSE),IF(VALUE(C3034)=0,1,VLOOKUP(C3034,'Справочник соответствий'!A$2:D$2981,2,FALSE)))</f>
        <v>1</v>
      </c>
      <c r="J3034" s="3">
        <f>IFERROR(VLOOKUP(D3034,'Справочник соответствий'!A$2:D$2981,2,FALSE),IF(VALUE(D3034)=0,0,VLOOKUP(D3034,'Справочник соответствий'!A$2:D$2981,2,FALSE)))</f>
        <v>0</v>
      </c>
      <c r="K3034" s="3" t="str">
        <f t="shared" si="329"/>
        <v>1</v>
      </c>
      <c r="L3034" s="13" t="str">
        <f>IFERROR(VLOOKUP(C3034,'Справочник соответствий'!A$2:D$2981,3,FALSE),IF(VALUE(C3034)=0,"ЭТАЖ НЕ ОПРЕДЕЛЕН. ПРИНЯТ ПО ДОПУЩЕНИЮ 1",VLOOKUP(C3034,'Справочник соответствий'!A$2:D$2981,3,FALSE)))</f>
        <v>ЭТАЖ ЗАДАН ЧИСЛОМ</v>
      </c>
      <c r="M3034" s="13" t="b">
        <f t="shared" si="330"/>
        <v>0</v>
      </c>
      <c r="N3034" s="13">
        <f t="shared" si="331"/>
        <v>1</v>
      </c>
      <c r="O3034" s="13" t="str">
        <f t="shared" si="332"/>
        <v>ЭТАЖ ЗАДАН ЧИСЛОМ</v>
      </c>
      <c r="P3034" s="13" t="str">
        <f t="shared" si="333"/>
        <v>ЭТАЖ ЗАДАН ЧИСЛОМ</v>
      </c>
      <c r="Q3034" s="13" t="str">
        <f t="shared" si="334"/>
        <v>ГОТОВ_ИЗМЕНЕН</v>
      </c>
      <c r="R3034" s="13">
        <f>IFERROR(VLOOKUP(P3034,Лист1!A$1:B$20,2,FALSE),0)</f>
        <v>784</v>
      </c>
      <c r="S3034" s="13">
        <f t="shared" si="335"/>
        <v>0</v>
      </c>
    </row>
    <row r="3035" spans="1:19" x14ac:dyDescent="0.25">
      <c r="A3035" s="24" t="s">
        <v>4167</v>
      </c>
      <c r="B3035" s="4" t="s">
        <v>1063</v>
      </c>
      <c r="C3035" s="25" t="s">
        <v>5</v>
      </c>
      <c r="G3035" s="25" t="s">
        <v>1060</v>
      </c>
      <c r="H3035" s="24" t="s">
        <v>1061</v>
      </c>
      <c r="I3035" s="3" t="str">
        <f>IFERROR(VLOOKUP(C3035,'Справочник соответствий'!A$2:D$2981,2,FALSE),IF(VALUE(C3035)=0,1,VLOOKUP(C3035,'Справочник соответствий'!A$2:D$2981,2,FALSE)))</f>
        <v>1</v>
      </c>
      <c r="J3035" s="3">
        <f>IFERROR(VLOOKUP(D3035,'Справочник соответствий'!A$2:D$2981,2,FALSE),IF(VALUE(D3035)=0,0,VLOOKUP(D3035,'Справочник соответствий'!A$2:D$2981,2,FALSE)))</f>
        <v>0</v>
      </c>
      <c r="K3035" s="3" t="str">
        <f t="shared" si="329"/>
        <v>1</v>
      </c>
      <c r="L3035" s="13" t="str">
        <f>IFERROR(VLOOKUP(C3035,'Справочник соответствий'!A$2:D$2981,3,FALSE),IF(VALUE(C3035)=0,"ЭТАЖ НЕ ОПРЕДЕЛЕН. ПРИНЯТ ПО ДОПУЩЕНИЮ 1",VLOOKUP(C3035,'Справочник соответствий'!A$2:D$2981,3,FALSE)))</f>
        <v>ЭТАЖ ЗАДАН ЧИСЛОМ</v>
      </c>
      <c r="M3035" s="13" t="b">
        <f t="shared" si="330"/>
        <v>0</v>
      </c>
      <c r="N3035" s="13">
        <f t="shared" si="331"/>
        <v>1</v>
      </c>
      <c r="O3035" s="13" t="str">
        <f t="shared" si="332"/>
        <v>ЭТАЖ ЗАДАН ЧИСЛОМ</v>
      </c>
      <c r="P3035" s="13" t="str">
        <f t="shared" si="333"/>
        <v>ЭТАЖ ЗАДАН ЧИСЛОМ</v>
      </c>
      <c r="Q3035" s="13" t="str">
        <f t="shared" si="334"/>
        <v>ГОТОВ_ИЗМЕНЕН</v>
      </c>
      <c r="R3035" s="13">
        <f>IFERROR(VLOOKUP(P3035,Лист1!A$1:B$20,2,FALSE),0)</f>
        <v>784</v>
      </c>
      <c r="S3035" s="13">
        <f t="shared" si="335"/>
        <v>0</v>
      </c>
    </row>
    <row r="3036" spans="1:19" x14ac:dyDescent="0.25">
      <c r="A3036" s="24" t="s">
        <v>4168</v>
      </c>
      <c r="B3036" s="4" t="s">
        <v>1063</v>
      </c>
      <c r="G3036" s="25" t="s">
        <v>1060</v>
      </c>
      <c r="H3036" s="24" t="s">
        <v>1061</v>
      </c>
      <c r="I3036" s="3">
        <f>IFERROR(VLOOKUP(C3036,'Справочник соответствий'!A$2:D$2981,2,FALSE),IF(VALUE(C3036)=0,1,VLOOKUP(C3036,'Справочник соответствий'!A$2:D$2981,2,FALSE)))</f>
        <v>1</v>
      </c>
      <c r="J3036" s="3">
        <f>IFERROR(VLOOKUP(D3036,'Справочник соответствий'!A$2:D$2981,2,FALSE),IF(VALUE(D3036)=0,0,VLOOKUP(D3036,'Справочник соответствий'!A$2:D$2981,2,FALSE)))</f>
        <v>0</v>
      </c>
      <c r="K3036" s="3">
        <f t="shared" si="329"/>
        <v>1</v>
      </c>
      <c r="L3036" s="13" t="str">
        <f>IFERROR(VLOOKUP(C3036,'Справочник соответствий'!A$2:D$2981,3,FALSE),IF(VALUE(C3036)=0,"ЭТАЖ НЕ ОПРЕДЕЛЕН. ПРИНЯТ ПО ДОПУЩЕНИЮ 1",VLOOKUP(C3036,'Справочник соответствий'!A$2:D$2981,3,FALSE)))</f>
        <v>ЭТАЖ НЕ ОПРЕДЕЛЕН. ПРИНЯТ ПО ДОПУЩЕНИЮ 1</v>
      </c>
      <c r="M3036" s="13" t="b">
        <f t="shared" si="330"/>
        <v>0</v>
      </c>
      <c r="N3036" s="13">
        <f t="shared" si="331"/>
        <v>1</v>
      </c>
      <c r="O3036" s="13" t="str">
        <f t="shared" si="332"/>
        <v>ЭТАЖ НЕ ОПРЕДЕЛЕН. ПРИНЯТ ПО ДОПУЩЕНИЮ 1</v>
      </c>
      <c r="P3036" s="13" t="str">
        <f t="shared" si="333"/>
        <v>ЭТАЖ НЕ ОПРЕДЕЛЕН. ПРИНЯТ ПО ДОПУЩЕНИЮ 1</v>
      </c>
      <c r="Q3036" s="13" t="str">
        <f t="shared" si="334"/>
        <v>ГОТОВ_ИЗМЕНЕН</v>
      </c>
      <c r="R3036" s="13">
        <f>IFERROR(VLOOKUP(P3036,Лист1!A$1:B$20,2,FALSE),0)</f>
        <v>788</v>
      </c>
      <c r="S3036" s="13">
        <f t="shared" si="335"/>
        <v>0</v>
      </c>
    </row>
    <row r="3037" spans="1:19" x14ac:dyDescent="0.25">
      <c r="A3037" s="24" t="s">
        <v>4169</v>
      </c>
      <c r="B3037" s="4" t="s">
        <v>1059</v>
      </c>
      <c r="C3037" s="25" t="s">
        <v>7</v>
      </c>
      <c r="G3037" s="25" t="s">
        <v>1060</v>
      </c>
      <c r="H3037" s="24" t="s">
        <v>1061</v>
      </c>
      <c r="I3037" s="3" t="str">
        <f>IFERROR(VLOOKUP(C3037,'Справочник соответствий'!A$2:D$2981,2,FALSE),IF(VALUE(C3037)=0,1,VLOOKUP(C3037,'Справочник соответствий'!A$2:D$2981,2,FALSE)))</f>
        <v>2</v>
      </c>
      <c r="J3037" s="3">
        <f>IFERROR(VLOOKUP(D3037,'Справочник соответствий'!A$2:D$2981,2,FALSE),IF(VALUE(D3037)=0,0,VLOOKUP(D3037,'Справочник соответствий'!A$2:D$2981,2,FALSE)))</f>
        <v>0</v>
      </c>
      <c r="K3037" s="3" t="str">
        <f t="shared" si="329"/>
        <v>2</v>
      </c>
      <c r="L3037" s="13" t="str">
        <f>IFERROR(VLOOKUP(C3037,'Справочник соответствий'!A$2:D$2981,3,FALSE),IF(VALUE(C3037)=0,"ЭТАЖ НЕ ОПРЕДЕЛЕН. ПРИНЯТ ПО ДОПУЩЕНИЮ 1",VLOOKUP(C3037,'Справочник соответствий'!A$2:D$2981,3,FALSE)))</f>
        <v>ЭТАЖ ЗАДАН ЧИСЛОМ</v>
      </c>
      <c r="M3037" s="13" t="b">
        <f t="shared" si="330"/>
        <v>0</v>
      </c>
      <c r="N3037" s="13">
        <f t="shared" si="331"/>
        <v>2</v>
      </c>
      <c r="O3037" s="13" t="str">
        <f t="shared" si="332"/>
        <v>ЭТАЖ ЗАДАН ЧИСЛОМ</v>
      </c>
      <c r="P3037" s="13" t="str">
        <f t="shared" si="333"/>
        <v>ЭТАЖ ЗАДАН ЧИСЛОМ</v>
      </c>
      <c r="Q3037" s="13" t="str">
        <f t="shared" si="334"/>
        <v>ГОТОВ_ИЗМЕНЕН</v>
      </c>
      <c r="R3037" s="13">
        <f>IFERROR(VLOOKUP(P3037,Лист1!A$1:B$20,2,FALSE),0)</f>
        <v>784</v>
      </c>
      <c r="S3037" s="13">
        <f t="shared" si="335"/>
        <v>0</v>
      </c>
    </row>
    <row r="3038" spans="1:19" x14ac:dyDescent="0.25">
      <c r="A3038" s="24" t="s">
        <v>4170</v>
      </c>
      <c r="B3038" s="4" t="s">
        <v>1059</v>
      </c>
      <c r="C3038" s="25" t="s">
        <v>7</v>
      </c>
      <c r="G3038" s="25" t="s">
        <v>1060</v>
      </c>
      <c r="H3038" s="24" t="s">
        <v>1061</v>
      </c>
      <c r="I3038" s="3" t="str">
        <f>IFERROR(VLOOKUP(C3038,'Справочник соответствий'!A$2:D$2981,2,FALSE),IF(VALUE(C3038)=0,1,VLOOKUP(C3038,'Справочник соответствий'!A$2:D$2981,2,FALSE)))</f>
        <v>2</v>
      </c>
      <c r="J3038" s="3">
        <f>IFERROR(VLOOKUP(D3038,'Справочник соответствий'!A$2:D$2981,2,FALSE),IF(VALUE(D3038)=0,0,VLOOKUP(D3038,'Справочник соответствий'!A$2:D$2981,2,FALSE)))</f>
        <v>0</v>
      </c>
      <c r="K3038" s="3" t="str">
        <f t="shared" si="329"/>
        <v>2</v>
      </c>
      <c r="L3038" s="13" t="str">
        <f>IFERROR(VLOOKUP(C3038,'Справочник соответствий'!A$2:D$2981,3,FALSE),IF(VALUE(C3038)=0,"ЭТАЖ НЕ ОПРЕДЕЛЕН. ПРИНЯТ ПО ДОПУЩЕНИЮ 1",VLOOKUP(C3038,'Справочник соответствий'!A$2:D$2981,3,FALSE)))</f>
        <v>ЭТАЖ ЗАДАН ЧИСЛОМ</v>
      </c>
      <c r="M3038" s="13" t="b">
        <f t="shared" si="330"/>
        <v>0</v>
      </c>
      <c r="N3038" s="13">
        <f t="shared" si="331"/>
        <v>2</v>
      </c>
      <c r="O3038" s="13" t="str">
        <f t="shared" si="332"/>
        <v>ЭТАЖ ЗАДАН ЧИСЛОМ</v>
      </c>
      <c r="P3038" s="13" t="str">
        <f t="shared" si="333"/>
        <v>ЭТАЖ ЗАДАН ЧИСЛОМ</v>
      </c>
      <c r="Q3038" s="13" t="str">
        <f t="shared" si="334"/>
        <v>ГОТОВ_ИЗМЕНЕН</v>
      </c>
      <c r="R3038" s="13">
        <f>IFERROR(VLOOKUP(P3038,Лист1!A$1:B$20,2,FALSE),0)</f>
        <v>784</v>
      </c>
      <c r="S3038" s="13">
        <f t="shared" si="335"/>
        <v>0</v>
      </c>
    </row>
    <row r="3039" spans="1:19" x14ac:dyDescent="0.25">
      <c r="A3039" s="24" t="s">
        <v>4171</v>
      </c>
      <c r="B3039" s="4" t="s">
        <v>1059</v>
      </c>
      <c r="C3039" s="25" t="s">
        <v>7</v>
      </c>
      <c r="G3039" s="25" t="s">
        <v>1060</v>
      </c>
      <c r="H3039" s="24" t="s">
        <v>1061</v>
      </c>
      <c r="I3039" s="3" t="str">
        <f>IFERROR(VLOOKUP(C3039,'Справочник соответствий'!A$2:D$2981,2,FALSE),IF(VALUE(C3039)=0,1,VLOOKUP(C3039,'Справочник соответствий'!A$2:D$2981,2,FALSE)))</f>
        <v>2</v>
      </c>
      <c r="J3039" s="3">
        <f>IFERROR(VLOOKUP(D3039,'Справочник соответствий'!A$2:D$2981,2,FALSE),IF(VALUE(D3039)=0,0,VLOOKUP(D3039,'Справочник соответствий'!A$2:D$2981,2,FALSE)))</f>
        <v>0</v>
      </c>
      <c r="K3039" s="3" t="str">
        <f t="shared" si="329"/>
        <v>2</v>
      </c>
      <c r="L3039" s="13" t="str">
        <f>IFERROR(VLOOKUP(C3039,'Справочник соответствий'!A$2:D$2981,3,FALSE),IF(VALUE(C3039)=0,"ЭТАЖ НЕ ОПРЕДЕЛЕН. ПРИНЯТ ПО ДОПУЩЕНИЮ 1",VLOOKUP(C3039,'Справочник соответствий'!A$2:D$2981,3,FALSE)))</f>
        <v>ЭТАЖ ЗАДАН ЧИСЛОМ</v>
      </c>
      <c r="M3039" s="13" t="b">
        <f t="shared" si="330"/>
        <v>0</v>
      </c>
      <c r="N3039" s="13">
        <f t="shared" si="331"/>
        <v>2</v>
      </c>
      <c r="O3039" s="13" t="str">
        <f t="shared" si="332"/>
        <v>ЭТАЖ ЗАДАН ЧИСЛОМ</v>
      </c>
      <c r="P3039" s="13" t="str">
        <f t="shared" si="333"/>
        <v>ЭТАЖ ЗАДАН ЧИСЛОМ</v>
      </c>
      <c r="Q3039" s="13" t="str">
        <f t="shared" si="334"/>
        <v>ГОТОВ_ИЗМЕНЕН</v>
      </c>
      <c r="R3039" s="13">
        <f>IFERROR(VLOOKUP(P3039,Лист1!A$1:B$20,2,FALSE),0)</f>
        <v>784</v>
      </c>
      <c r="S3039" s="13">
        <f t="shared" si="335"/>
        <v>0</v>
      </c>
    </row>
    <row r="3040" spans="1:19" x14ac:dyDescent="0.25">
      <c r="A3040" s="24" t="s">
        <v>4172</v>
      </c>
      <c r="B3040" s="4" t="s">
        <v>1059</v>
      </c>
      <c r="C3040" s="25" t="s">
        <v>7</v>
      </c>
      <c r="G3040" s="25" t="s">
        <v>1060</v>
      </c>
      <c r="H3040" s="24" t="s">
        <v>1061</v>
      </c>
      <c r="I3040" s="3" t="str">
        <f>IFERROR(VLOOKUP(C3040,'Справочник соответствий'!A$2:D$2981,2,FALSE),IF(VALUE(C3040)=0,1,VLOOKUP(C3040,'Справочник соответствий'!A$2:D$2981,2,FALSE)))</f>
        <v>2</v>
      </c>
      <c r="J3040" s="3">
        <f>IFERROR(VLOOKUP(D3040,'Справочник соответствий'!A$2:D$2981,2,FALSE),IF(VALUE(D3040)=0,0,VLOOKUP(D3040,'Справочник соответствий'!A$2:D$2981,2,FALSE)))</f>
        <v>0</v>
      </c>
      <c r="K3040" s="3" t="str">
        <f t="shared" si="329"/>
        <v>2</v>
      </c>
      <c r="L3040" s="13" t="str">
        <f>IFERROR(VLOOKUP(C3040,'Справочник соответствий'!A$2:D$2981,3,FALSE),IF(VALUE(C3040)=0,"ЭТАЖ НЕ ОПРЕДЕЛЕН. ПРИНЯТ ПО ДОПУЩЕНИЮ 1",VLOOKUP(C3040,'Справочник соответствий'!A$2:D$2981,3,FALSE)))</f>
        <v>ЭТАЖ ЗАДАН ЧИСЛОМ</v>
      </c>
      <c r="M3040" s="13" t="b">
        <f t="shared" si="330"/>
        <v>0</v>
      </c>
      <c r="N3040" s="13">
        <f t="shared" si="331"/>
        <v>2</v>
      </c>
      <c r="O3040" s="13" t="str">
        <f t="shared" si="332"/>
        <v>ЭТАЖ ЗАДАН ЧИСЛОМ</v>
      </c>
      <c r="P3040" s="13" t="str">
        <f t="shared" si="333"/>
        <v>ЭТАЖ ЗАДАН ЧИСЛОМ</v>
      </c>
      <c r="Q3040" s="13" t="str">
        <f t="shared" si="334"/>
        <v>ГОТОВ_ИЗМЕНЕН</v>
      </c>
      <c r="R3040" s="13">
        <f>IFERROR(VLOOKUP(P3040,Лист1!A$1:B$20,2,FALSE),0)</f>
        <v>784</v>
      </c>
      <c r="S3040" s="13">
        <f t="shared" si="335"/>
        <v>0</v>
      </c>
    </row>
    <row r="3041" spans="1:19" x14ac:dyDescent="0.25">
      <c r="A3041" s="24" t="s">
        <v>4173</v>
      </c>
      <c r="B3041" s="4" t="s">
        <v>1059</v>
      </c>
      <c r="C3041" s="25" t="s">
        <v>7</v>
      </c>
      <c r="G3041" s="25" t="s">
        <v>1108</v>
      </c>
      <c r="H3041" s="24" t="s">
        <v>1061</v>
      </c>
      <c r="I3041" s="3" t="str">
        <f>IFERROR(VLOOKUP(C3041,'Справочник соответствий'!A$2:D$2981,2,FALSE),IF(VALUE(C3041)=0,1,VLOOKUP(C3041,'Справочник соответствий'!A$2:D$2981,2,FALSE)))</f>
        <v>2</v>
      </c>
      <c r="J3041" s="3">
        <f>IFERROR(VLOOKUP(D3041,'Справочник соответствий'!A$2:D$2981,2,FALSE),IF(VALUE(D3041)=0,0,VLOOKUP(D3041,'Справочник соответствий'!A$2:D$2981,2,FALSE)))</f>
        <v>0</v>
      </c>
      <c r="K3041" s="3" t="str">
        <f t="shared" si="329"/>
        <v>2</v>
      </c>
      <c r="L3041" s="13" t="str">
        <f>IFERROR(VLOOKUP(C3041,'Справочник соответствий'!A$2:D$2981,3,FALSE),IF(VALUE(C3041)=0,"ЭТАЖ НЕ ОПРЕДЕЛЕН. ПРИНЯТ ПО ДОПУЩЕНИЮ 1",VLOOKUP(C3041,'Справочник соответствий'!A$2:D$2981,3,FALSE)))</f>
        <v>ЭТАЖ ЗАДАН ЧИСЛОМ</v>
      </c>
      <c r="M3041" s="13" t="b">
        <f t="shared" si="330"/>
        <v>0</v>
      </c>
      <c r="N3041" s="13">
        <f t="shared" si="331"/>
        <v>2</v>
      </c>
      <c r="O3041" s="13" t="str">
        <f t="shared" si="332"/>
        <v>ЭТАЖ ЗАДАН ЧИСЛОМ</v>
      </c>
      <c r="P3041" s="13" t="str">
        <f t="shared" si="333"/>
        <v>ЭТАЖ ЗАДАН ЧИСЛОМ</v>
      </c>
      <c r="Q3041" s="13" t="str">
        <f t="shared" si="334"/>
        <v>ГОТОВ_ИЗМЕНЕН</v>
      </c>
      <c r="R3041" s="13">
        <f>IFERROR(VLOOKUP(P3041,Лист1!A$1:B$20,2,FALSE),0)</f>
        <v>784</v>
      </c>
      <c r="S3041" s="13">
        <f t="shared" si="335"/>
        <v>0</v>
      </c>
    </row>
    <row r="3042" spans="1:19" x14ac:dyDescent="0.25">
      <c r="A3042" s="24" t="s">
        <v>4174</v>
      </c>
      <c r="B3042" s="4" t="s">
        <v>1063</v>
      </c>
      <c r="C3042" s="25" t="s">
        <v>5</v>
      </c>
      <c r="G3042" s="25" t="s">
        <v>1096</v>
      </c>
      <c r="H3042" s="24" t="s">
        <v>1061</v>
      </c>
      <c r="I3042" s="3" t="str">
        <f>IFERROR(VLOOKUP(C3042,'Справочник соответствий'!A$2:D$2981,2,FALSE),IF(VALUE(C3042)=0,1,VLOOKUP(C3042,'Справочник соответствий'!A$2:D$2981,2,FALSE)))</f>
        <v>1</v>
      </c>
      <c r="J3042" s="3">
        <f>IFERROR(VLOOKUP(D3042,'Справочник соответствий'!A$2:D$2981,2,FALSE),IF(VALUE(D3042)=0,0,VLOOKUP(D3042,'Справочник соответствий'!A$2:D$2981,2,FALSE)))</f>
        <v>0</v>
      </c>
      <c r="K3042" s="3" t="str">
        <f t="shared" si="329"/>
        <v>1</v>
      </c>
      <c r="L3042" s="13" t="str">
        <f>IFERROR(VLOOKUP(C3042,'Справочник соответствий'!A$2:D$2981,3,FALSE),IF(VALUE(C3042)=0,"ЭТАЖ НЕ ОПРЕДЕЛЕН. ПРИНЯТ ПО ДОПУЩЕНИЮ 1",VLOOKUP(C3042,'Справочник соответствий'!A$2:D$2981,3,FALSE)))</f>
        <v>ЭТАЖ ЗАДАН ЧИСЛОМ</v>
      </c>
      <c r="M3042" s="13" t="b">
        <f t="shared" si="330"/>
        <v>0</v>
      </c>
      <c r="N3042" s="13">
        <f t="shared" si="331"/>
        <v>1</v>
      </c>
      <c r="O3042" s="13" t="str">
        <f t="shared" si="332"/>
        <v>ЭТАЖ ЗАДАН ЧИСЛОМ</v>
      </c>
      <c r="P3042" s="13" t="str">
        <f t="shared" si="333"/>
        <v>ЭТАЖ ЗАДАН ЧИСЛОМ</v>
      </c>
      <c r="Q3042" s="13" t="str">
        <f t="shared" si="334"/>
        <v>ГОТОВ_ИЗМЕНЕН</v>
      </c>
      <c r="R3042" s="13">
        <f>IFERROR(VLOOKUP(P3042,Лист1!A$1:B$20,2,FALSE),0)</f>
        <v>784</v>
      </c>
      <c r="S3042" s="13">
        <f t="shared" si="335"/>
        <v>0</v>
      </c>
    </row>
    <row r="3043" spans="1:19" x14ac:dyDescent="0.25">
      <c r="A3043" s="24" t="s">
        <v>4175</v>
      </c>
      <c r="B3043" s="4" t="s">
        <v>1059</v>
      </c>
      <c r="C3043" s="25" t="s">
        <v>5</v>
      </c>
      <c r="G3043" s="25" t="s">
        <v>1096</v>
      </c>
      <c r="H3043" s="24" t="s">
        <v>1061</v>
      </c>
      <c r="I3043" s="3" t="str">
        <f>IFERROR(VLOOKUP(C3043,'Справочник соответствий'!A$2:D$2981,2,FALSE),IF(VALUE(C3043)=0,1,VLOOKUP(C3043,'Справочник соответствий'!A$2:D$2981,2,FALSE)))</f>
        <v>1</v>
      </c>
      <c r="J3043" s="3">
        <f>IFERROR(VLOOKUP(D3043,'Справочник соответствий'!A$2:D$2981,2,FALSE),IF(VALUE(D3043)=0,0,VLOOKUP(D3043,'Справочник соответствий'!A$2:D$2981,2,FALSE)))</f>
        <v>0</v>
      </c>
      <c r="K3043" s="3" t="str">
        <f t="shared" si="329"/>
        <v>1</v>
      </c>
      <c r="L3043" s="13" t="str">
        <f>IFERROR(VLOOKUP(C3043,'Справочник соответствий'!A$2:D$2981,3,FALSE),IF(VALUE(C3043)=0,"ЭТАЖ НЕ ОПРЕДЕЛЕН. ПРИНЯТ ПО ДОПУЩЕНИЮ 1",VLOOKUP(C3043,'Справочник соответствий'!A$2:D$2981,3,FALSE)))</f>
        <v>ЭТАЖ ЗАДАН ЧИСЛОМ</v>
      </c>
      <c r="M3043" s="13" t="b">
        <f t="shared" si="330"/>
        <v>0</v>
      </c>
      <c r="N3043" s="13">
        <f t="shared" si="331"/>
        <v>1</v>
      </c>
      <c r="O3043" s="13" t="str">
        <f t="shared" si="332"/>
        <v>ЭТАЖ ЗАДАН ЧИСЛОМ</v>
      </c>
      <c r="P3043" s="13" t="str">
        <f t="shared" si="333"/>
        <v>ЭТАЖ ЗАДАН ЧИСЛОМ</v>
      </c>
      <c r="Q3043" s="13" t="str">
        <f t="shared" si="334"/>
        <v>ГОТОВ_ИЗМЕНЕН</v>
      </c>
      <c r="R3043" s="13">
        <f>IFERROR(VLOOKUP(P3043,Лист1!A$1:B$20,2,FALSE),0)</f>
        <v>784</v>
      </c>
      <c r="S3043" s="13">
        <f t="shared" si="335"/>
        <v>0</v>
      </c>
    </row>
    <row r="3044" spans="1:19" x14ac:dyDescent="0.25">
      <c r="A3044" s="24" t="s">
        <v>4176</v>
      </c>
      <c r="B3044" s="4" t="s">
        <v>1059</v>
      </c>
      <c r="C3044" s="25" t="s">
        <v>5</v>
      </c>
      <c r="G3044" s="25" t="s">
        <v>1106</v>
      </c>
      <c r="H3044" s="24" t="s">
        <v>1061</v>
      </c>
      <c r="I3044" s="3" t="str">
        <f>IFERROR(VLOOKUP(C3044,'Справочник соответствий'!A$2:D$2981,2,FALSE),IF(VALUE(C3044)=0,1,VLOOKUP(C3044,'Справочник соответствий'!A$2:D$2981,2,FALSE)))</f>
        <v>1</v>
      </c>
      <c r="J3044" s="3">
        <f>IFERROR(VLOOKUP(D3044,'Справочник соответствий'!A$2:D$2981,2,FALSE),IF(VALUE(D3044)=0,0,VLOOKUP(D3044,'Справочник соответствий'!A$2:D$2981,2,FALSE)))</f>
        <v>0</v>
      </c>
      <c r="K3044" s="3" t="str">
        <f t="shared" si="329"/>
        <v>1</v>
      </c>
      <c r="L3044" s="13" t="str">
        <f>IFERROR(VLOOKUP(C3044,'Справочник соответствий'!A$2:D$2981,3,FALSE),IF(VALUE(C3044)=0,"ЭТАЖ НЕ ОПРЕДЕЛЕН. ПРИНЯТ ПО ДОПУЩЕНИЮ 1",VLOOKUP(C3044,'Справочник соответствий'!A$2:D$2981,3,FALSE)))</f>
        <v>ЭТАЖ ЗАДАН ЧИСЛОМ</v>
      </c>
      <c r="M3044" s="13" t="b">
        <f t="shared" si="330"/>
        <v>0</v>
      </c>
      <c r="N3044" s="13">
        <f t="shared" si="331"/>
        <v>1</v>
      </c>
      <c r="O3044" s="13" t="str">
        <f t="shared" si="332"/>
        <v>ЭТАЖ ЗАДАН ЧИСЛОМ</v>
      </c>
      <c r="P3044" s="13" t="str">
        <f t="shared" si="333"/>
        <v>ЭТАЖ ЗАДАН ЧИСЛОМ</v>
      </c>
      <c r="Q3044" s="13" t="str">
        <f t="shared" si="334"/>
        <v>ГОТОВ_ИЗМЕНЕН</v>
      </c>
      <c r="R3044" s="13">
        <f>IFERROR(VLOOKUP(P3044,Лист1!A$1:B$20,2,FALSE),0)</f>
        <v>784</v>
      </c>
      <c r="S3044" s="13">
        <f t="shared" si="335"/>
        <v>0</v>
      </c>
    </row>
    <row r="3045" spans="1:19" x14ac:dyDescent="0.25">
      <c r="A3045" s="24" t="s">
        <v>4177</v>
      </c>
      <c r="B3045" s="4" t="s">
        <v>1063</v>
      </c>
      <c r="C3045" s="25" t="s">
        <v>5</v>
      </c>
      <c r="G3045" s="25" t="s">
        <v>1096</v>
      </c>
      <c r="H3045" s="24" t="s">
        <v>1061</v>
      </c>
      <c r="I3045" s="3" t="str">
        <f>IFERROR(VLOOKUP(C3045,'Справочник соответствий'!A$2:D$2981,2,FALSE),IF(VALUE(C3045)=0,1,VLOOKUP(C3045,'Справочник соответствий'!A$2:D$2981,2,FALSE)))</f>
        <v>1</v>
      </c>
      <c r="J3045" s="3">
        <f>IFERROR(VLOOKUP(D3045,'Справочник соответствий'!A$2:D$2981,2,FALSE),IF(VALUE(D3045)=0,0,VLOOKUP(D3045,'Справочник соответствий'!A$2:D$2981,2,FALSE)))</f>
        <v>0</v>
      </c>
      <c r="K3045" s="3" t="str">
        <f t="shared" si="329"/>
        <v>1</v>
      </c>
      <c r="L3045" s="13" t="str">
        <f>IFERROR(VLOOKUP(C3045,'Справочник соответствий'!A$2:D$2981,3,FALSE),IF(VALUE(C3045)=0,"ЭТАЖ НЕ ОПРЕДЕЛЕН. ПРИНЯТ ПО ДОПУЩЕНИЮ 1",VLOOKUP(C3045,'Справочник соответствий'!A$2:D$2981,3,FALSE)))</f>
        <v>ЭТАЖ ЗАДАН ЧИСЛОМ</v>
      </c>
      <c r="M3045" s="13" t="b">
        <f t="shared" si="330"/>
        <v>0</v>
      </c>
      <c r="N3045" s="13">
        <f t="shared" si="331"/>
        <v>1</v>
      </c>
      <c r="O3045" s="13" t="str">
        <f t="shared" si="332"/>
        <v>ЭТАЖ ЗАДАН ЧИСЛОМ</v>
      </c>
      <c r="P3045" s="13" t="str">
        <f t="shared" si="333"/>
        <v>ЭТАЖ ЗАДАН ЧИСЛОМ</v>
      </c>
      <c r="Q3045" s="13" t="str">
        <f t="shared" si="334"/>
        <v>ГОТОВ_ИЗМЕНЕН</v>
      </c>
      <c r="R3045" s="13">
        <f>IFERROR(VLOOKUP(P3045,Лист1!A$1:B$20,2,FALSE),0)</f>
        <v>784</v>
      </c>
      <c r="S3045" s="13">
        <f t="shared" si="335"/>
        <v>0</v>
      </c>
    </row>
    <row r="3046" spans="1:19" x14ac:dyDescent="0.25">
      <c r="A3046" s="24" t="s">
        <v>4178</v>
      </c>
      <c r="B3046" s="4" t="s">
        <v>1059</v>
      </c>
      <c r="C3046" s="25" t="s">
        <v>7</v>
      </c>
      <c r="G3046" s="25" t="s">
        <v>1096</v>
      </c>
      <c r="H3046" s="24" t="s">
        <v>1061</v>
      </c>
      <c r="I3046" s="3" t="str">
        <f>IFERROR(VLOOKUP(C3046,'Справочник соответствий'!A$2:D$2981,2,FALSE),IF(VALUE(C3046)=0,1,VLOOKUP(C3046,'Справочник соответствий'!A$2:D$2981,2,FALSE)))</f>
        <v>2</v>
      </c>
      <c r="J3046" s="3">
        <f>IFERROR(VLOOKUP(D3046,'Справочник соответствий'!A$2:D$2981,2,FALSE),IF(VALUE(D3046)=0,0,VLOOKUP(D3046,'Справочник соответствий'!A$2:D$2981,2,FALSE)))</f>
        <v>0</v>
      </c>
      <c r="K3046" s="3" t="str">
        <f t="shared" si="329"/>
        <v>2</v>
      </c>
      <c r="L3046" s="13" t="str">
        <f>IFERROR(VLOOKUP(C3046,'Справочник соответствий'!A$2:D$2981,3,FALSE),IF(VALUE(C3046)=0,"ЭТАЖ НЕ ОПРЕДЕЛЕН. ПРИНЯТ ПО ДОПУЩЕНИЮ 1",VLOOKUP(C3046,'Справочник соответствий'!A$2:D$2981,3,FALSE)))</f>
        <v>ЭТАЖ ЗАДАН ЧИСЛОМ</v>
      </c>
      <c r="M3046" s="13" t="b">
        <f t="shared" si="330"/>
        <v>0</v>
      </c>
      <c r="N3046" s="13">
        <f t="shared" si="331"/>
        <v>2</v>
      </c>
      <c r="O3046" s="13" t="str">
        <f t="shared" si="332"/>
        <v>ЭТАЖ ЗАДАН ЧИСЛОМ</v>
      </c>
      <c r="P3046" s="13" t="str">
        <f t="shared" si="333"/>
        <v>ЭТАЖ ЗАДАН ЧИСЛОМ</v>
      </c>
      <c r="Q3046" s="13" t="str">
        <f t="shared" si="334"/>
        <v>ГОТОВ_ИЗМЕНЕН</v>
      </c>
      <c r="R3046" s="13">
        <f>IFERROR(VLOOKUP(P3046,Лист1!A$1:B$20,2,FALSE),0)</f>
        <v>784</v>
      </c>
      <c r="S3046" s="13">
        <f t="shared" si="335"/>
        <v>0</v>
      </c>
    </row>
    <row r="3047" spans="1:19" x14ac:dyDescent="0.25">
      <c r="A3047" s="24" t="s">
        <v>4179</v>
      </c>
      <c r="B3047" s="4" t="s">
        <v>1059</v>
      </c>
      <c r="C3047" s="25" t="s">
        <v>5</v>
      </c>
      <c r="G3047" s="25" t="s">
        <v>1096</v>
      </c>
      <c r="H3047" s="24" t="s">
        <v>1061</v>
      </c>
      <c r="I3047" s="3" t="str">
        <f>IFERROR(VLOOKUP(C3047,'Справочник соответствий'!A$2:D$2981,2,FALSE),IF(VALUE(C3047)=0,1,VLOOKUP(C3047,'Справочник соответствий'!A$2:D$2981,2,FALSE)))</f>
        <v>1</v>
      </c>
      <c r="J3047" s="3">
        <f>IFERROR(VLOOKUP(D3047,'Справочник соответствий'!A$2:D$2981,2,FALSE),IF(VALUE(D3047)=0,0,VLOOKUP(D3047,'Справочник соответствий'!A$2:D$2981,2,FALSE)))</f>
        <v>0</v>
      </c>
      <c r="K3047" s="3" t="str">
        <f t="shared" si="329"/>
        <v>1</v>
      </c>
      <c r="L3047" s="13" t="str">
        <f>IFERROR(VLOOKUP(C3047,'Справочник соответствий'!A$2:D$2981,3,FALSE),IF(VALUE(C3047)=0,"ЭТАЖ НЕ ОПРЕДЕЛЕН. ПРИНЯТ ПО ДОПУЩЕНИЮ 1",VLOOKUP(C3047,'Справочник соответствий'!A$2:D$2981,3,FALSE)))</f>
        <v>ЭТАЖ ЗАДАН ЧИСЛОМ</v>
      </c>
      <c r="M3047" s="13" t="b">
        <f t="shared" si="330"/>
        <v>0</v>
      </c>
      <c r="N3047" s="13">
        <f t="shared" si="331"/>
        <v>1</v>
      </c>
      <c r="O3047" s="13" t="str">
        <f t="shared" si="332"/>
        <v>ЭТАЖ ЗАДАН ЧИСЛОМ</v>
      </c>
      <c r="P3047" s="13" t="str">
        <f t="shared" si="333"/>
        <v>ЭТАЖ ЗАДАН ЧИСЛОМ</v>
      </c>
      <c r="Q3047" s="13" t="str">
        <f t="shared" si="334"/>
        <v>ГОТОВ_ИЗМЕНЕН</v>
      </c>
      <c r="R3047" s="13">
        <f>IFERROR(VLOOKUP(P3047,Лист1!A$1:B$20,2,FALSE),0)</f>
        <v>784</v>
      </c>
      <c r="S3047" s="13">
        <f t="shared" si="335"/>
        <v>0</v>
      </c>
    </row>
    <row r="3048" spans="1:19" x14ac:dyDescent="0.25">
      <c r="A3048" s="24" t="s">
        <v>4180</v>
      </c>
      <c r="B3048" s="4" t="s">
        <v>1059</v>
      </c>
      <c r="C3048" s="25" t="s">
        <v>7</v>
      </c>
      <c r="G3048" s="25" t="s">
        <v>1096</v>
      </c>
      <c r="H3048" s="24" t="s">
        <v>1061</v>
      </c>
      <c r="I3048" s="3" t="str">
        <f>IFERROR(VLOOKUP(C3048,'Справочник соответствий'!A$2:D$2981,2,FALSE),IF(VALUE(C3048)=0,1,VLOOKUP(C3048,'Справочник соответствий'!A$2:D$2981,2,FALSE)))</f>
        <v>2</v>
      </c>
      <c r="J3048" s="3">
        <f>IFERROR(VLOOKUP(D3048,'Справочник соответствий'!A$2:D$2981,2,FALSE),IF(VALUE(D3048)=0,0,VLOOKUP(D3048,'Справочник соответствий'!A$2:D$2981,2,FALSE)))</f>
        <v>0</v>
      </c>
      <c r="K3048" s="3" t="str">
        <f t="shared" si="329"/>
        <v>2</v>
      </c>
      <c r="L3048" s="13" t="str">
        <f>IFERROR(VLOOKUP(C3048,'Справочник соответствий'!A$2:D$2981,3,FALSE),IF(VALUE(C3048)=0,"ЭТАЖ НЕ ОПРЕДЕЛЕН. ПРИНЯТ ПО ДОПУЩЕНИЮ 1",VLOOKUP(C3048,'Справочник соответствий'!A$2:D$2981,3,FALSE)))</f>
        <v>ЭТАЖ ЗАДАН ЧИСЛОМ</v>
      </c>
      <c r="M3048" s="13" t="b">
        <f t="shared" si="330"/>
        <v>0</v>
      </c>
      <c r="N3048" s="13">
        <f t="shared" si="331"/>
        <v>2</v>
      </c>
      <c r="O3048" s="13" t="str">
        <f t="shared" si="332"/>
        <v>ЭТАЖ ЗАДАН ЧИСЛОМ</v>
      </c>
      <c r="P3048" s="13" t="str">
        <f t="shared" si="333"/>
        <v>ЭТАЖ ЗАДАН ЧИСЛОМ</v>
      </c>
      <c r="Q3048" s="13" t="str">
        <f t="shared" si="334"/>
        <v>ГОТОВ_ИЗМЕНЕН</v>
      </c>
      <c r="R3048" s="13">
        <f>IFERROR(VLOOKUP(P3048,Лист1!A$1:B$20,2,FALSE),0)</f>
        <v>784</v>
      </c>
      <c r="S3048" s="13">
        <f t="shared" si="335"/>
        <v>0</v>
      </c>
    </row>
    <row r="3049" spans="1:19" x14ac:dyDescent="0.25">
      <c r="A3049" s="24" t="s">
        <v>4181</v>
      </c>
      <c r="B3049" s="4" t="s">
        <v>1059</v>
      </c>
      <c r="C3049" s="25" t="s">
        <v>5</v>
      </c>
      <c r="G3049" s="25" t="s">
        <v>1096</v>
      </c>
      <c r="H3049" s="24" t="s">
        <v>1061</v>
      </c>
      <c r="I3049" s="3" t="str">
        <f>IFERROR(VLOOKUP(C3049,'Справочник соответствий'!A$2:D$2981,2,FALSE),IF(VALUE(C3049)=0,1,VLOOKUP(C3049,'Справочник соответствий'!A$2:D$2981,2,FALSE)))</f>
        <v>1</v>
      </c>
      <c r="J3049" s="3">
        <f>IFERROR(VLOOKUP(D3049,'Справочник соответствий'!A$2:D$2981,2,FALSE),IF(VALUE(D3049)=0,0,VLOOKUP(D3049,'Справочник соответствий'!A$2:D$2981,2,FALSE)))</f>
        <v>0</v>
      </c>
      <c r="K3049" s="3" t="str">
        <f t="shared" si="329"/>
        <v>1</v>
      </c>
      <c r="L3049" s="13" t="str">
        <f>IFERROR(VLOOKUP(C3049,'Справочник соответствий'!A$2:D$2981,3,FALSE),IF(VALUE(C3049)=0,"ЭТАЖ НЕ ОПРЕДЕЛЕН. ПРИНЯТ ПО ДОПУЩЕНИЮ 1",VLOOKUP(C3049,'Справочник соответствий'!A$2:D$2981,3,FALSE)))</f>
        <v>ЭТАЖ ЗАДАН ЧИСЛОМ</v>
      </c>
      <c r="M3049" s="13" t="b">
        <f t="shared" si="330"/>
        <v>0</v>
      </c>
      <c r="N3049" s="13">
        <f t="shared" si="331"/>
        <v>1</v>
      </c>
      <c r="O3049" s="13" t="str">
        <f t="shared" si="332"/>
        <v>ЭТАЖ ЗАДАН ЧИСЛОМ</v>
      </c>
      <c r="P3049" s="13" t="str">
        <f t="shared" si="333"/>
        <v>ЭТАЖ ЗАДАН ЧИСЛОМ</v>
      </c>
      <c r="Q3049" s="13" t="str">
        <f t="shared" si="334"/>
        <v>ГОТОВ_ИЗМЕНЕН</v>
      </c>
      <c r="R3049" s="13">
        <f>IFERROR(VLOOKUP(P3049,Лист1!A$1:B$20,2,FALSE),0)</f>
        <v>784</v>
      </c>
      <c r="S3049" s="13">
        <f t="shared" si="335"/>
        <v>0</v>
      </c>
    </row>
    <row r="3050" spans="1:19" x14ac:dyDescent="0.25">
      <c r="A3050" s="24" t="s">
        <v>4182</v>
      </c>
      <c r="B3050" s="4" t="s">
        <v>1059</v>
      </c>
      <c r="C3050" s="25" t="s">
        <v>5</v>
      </c>
      <c r="G3050" s="25" t="s">
        <v>3185</v>
      </c>
      <c r="H3050" s="24" t="s">
        <v>1061</v>
      </c>
      <c r="I3050" s="3" t="str">
        <f>IFERROR(VLOOKUP(C3050,'Справочник соответствий'!A$2:D$2981,2,FALSE),IF(VALUE(C3050)=0,1,VLOOKUP(C3050,'Справочник соответствий'!A$2:D$2981,2,FALSE)))</f>
        <v>1</v>
      </c>
      <c r="J3050" s="3">
        <f>IFERROR(VLOOKUP(D3050,'Справочник соответствий'!A$2:D$2981,2,FALSE),IF(VALUE(D3050)=0,0,VLOOKUP(D3050,'Справочник соответствий'!A$2:D$2981,2,FALSE)))</f>
        <v>0</v>
      </c>
      <c r="K3050" s="3" t="str">
        <f t="shared" si="329"/>
        <v>1</v>
      </c>
      <c r="L3050" s="13" t="str">
        <f>IFERROR(VLOOKUP(C3050,'Справочник соответствий'!A$2:D$2981,3,FALSE),IF(VALUE(C3050)=0,"ЭТАЖ НЕ ОПРЕДЕЛЕН. ПРИНЯТ ПО ДОПУЩЕНИЮ 1",VLOOKUP(C3050,'Справочник соответствий'!A$2:D$2981,3,FALSE)))</f>
        <v>ЭТАЖ ЗАДАН ЧИСЛОМ</v>
      </c>
      <c r="M3050" s="13" t="b">
        <f t="shared" si="330"/>
        <v>0</v>
      </c>
      <c r="N3050" s="13">
        <f t="shared" si="331"/>
        <v>1</v>
      </c>
      <c r="O3050" s="13" t="str">
        <f t="shared" si="332"/>
        <v>ЭТАЖ ЗАДАН ЧИСЛОМ</v>
      </c>
      <c r="P3050" s="13" t="str">
        <f t="shared" si="333"/>
        <v>ЭТАЖ ЗАДАН ЧИСЛОМ</v>
      </c>
      <c r="Q3050" s="13" t="str">
        <f t="shared" si="334"/>
        <v>ГОТОВ_ИЗМЕНЕН</v>
      </c>
      <c r="R3050" s="13">
        <f>IFERROR(VLOOKUP(P3050,Лист1!A$1:B$20,2,FALSE),0)</f>
        <v>784</v>
      </c>
      <c r="S3050" s="13">
        <f t="shared" si="335"/>
        <v>0</v>
      </c>
    </row>
    <row r="3051" spans="1:19" x14ac:dyDescent="0.25">
      <c r="A3051" s="24" t="s">
        <v>4183</v>
      </c>
      <c r="B3051" s="4" t="s">
        <v>1063</v>
      </c>
      <c r="C3051" s="25" t="s">
        <v>5</v>
      </c>
      <c r="G3051" s="25" t="s">
        <v>3185</v>
      </c>
      <c r="H3051" s="24" t="s">
        <v>1061</v>
      </c>
      <c r="I3051" s="3" t="str">
        <f>IFERROR(VLOOKUP(C3051,'Справочник соответствий'!A$2:D$2981,2,FALSE),IF(VALUE(C3051)=0,1,VLOOKUP(C3051,'Справочник соответствий'!A$2:D$2981,2,FALSE)))</f>
        <v>1</v>
      </c>
      <c r="J3051" s="3">
        <f>IFERROR(VLOOKUP(D3051,'Справочник соответствий'!A$2:D$2981,2,FALSE),IF(VALUE(D3051)=0,0,VLOOKUP(D3051,'Справочник соответствий'!A$2:D$2981,2,FALSE)))</f>
        <v>0</v>
      </c>
      <c r="K3051" s="3" t="str">
        <f t="shared" si="329"/>
        <v>1</v>
      </c>
      <c r="L3051" s="13" t="str">
        <f>IFERROR(VLOOKUP(C3051,'Справочник соответствий'!A$2:D$2981,3,FALSE),IF(VALUE(C3051)=0,"ЭТАЖ НЕ ОПРЕДЕЛЕН. ПРИНЯТ ПО ДОПУЩЕНИЮ 1",VLOOKUP(C3051,'Справочник соответствий'!A$2:D$2981,3,FALSE)))</f>
        <v>ЭТАЖ ЗАДАН ЧИСЛОМ</v>
      </c>
      <c r="M3051" s="13" t="b">
        <f t="shared" si="330"/>
        <v>0</v>
      </c>
      <c r="N3051" s="13">
        <f t="shared" si="331"/>
        <v>1</v>
      </c>
      <c r="O3051" s="13" t="str">
        <f t="shared" si="332"/>
        <v>ЭТАЖ ЗАДАН ЧИСЛОМ</v>
      </c>
      <c r="P3051" s="13" t="str">
        <f t="shared" si="333"/>
        <v>ЭТАЖ ЗАДАН ЧИСЛОМ</v>
      </c>
      <c r="Q3051" s="13" t="str">
        <f t="shared" si="334"/>
        <v>ГОТОВ_ИЗМЕНЕН</v>
      </c>
      <c r="R3051" s="13">
        <f>IFERROR(VLOOKUP(P3051,Лист1!A$1:B$20,2,FALSE),0)</f>
        <v>784</v>
      </c>
      <c r="S3051" s="13">
        <f t="shared" si="335"/>
        <v>0</v>
      </c>
    </row>
    <row r="3052" spans="1:19" x14ac:dyDescent="0.25">
      <c r="A3052" s="24" t="s">
        <v>4184</v>
      </c>
      <c r="B3052" s="4" t="s">
        <v>1059</v>
      </c>
      <c r="C3052" s="25" t="s">
        <v>7</v>
      </c>
      <c r="G3052" s="25" t="s">
        <v>3185</v>
      </c>
      <c r="H3052" s="24" t="s">
        <v>1061</v>
      </c>
      <c r="I3052" s="3" t="str">
        <f>IFERROR(VLOOKUP(C3052,'Справочник соответствий'!A$2:D$2981,2,FALSE),IF(VALUE(C3052)=0,1,VLOOKUP(C3052,'Справочник соответствий'!A$2:D$2981,2,FALSE)))</f>
        <v>2</v>
      </c>
      <c r="J3052" s="3">
        <f>IFERROR(VLOOKUP(D3052,'Справочник соответствий'!A$2:D$2981,2,FALSE),IF(VALUE(D3052)=0,0,VLOOKUP(D3052,'Справочник соответствий'!A$2:D$2981,2,FALSE)))</f>
        <v>0</v>
      </c>
      <c r="K3052" s="3" t="str">
        <f t="shared" si="329"/>
        <v>2</v>
      </c>
      <c r="L3052" s="13" t="str">
        <f>IFERROR(VLOOKUP(C3052,'Справочник соответствий'!A$2:D$2981,3,FALSE),IF(VALUE(C3052)=0,"ЭТАЖ НЕ ОПРЕДЕЛЕН. ПРИНЯТ ПО ДОПУЩЕНИЮ 1",VLOOKUP(C3052,'Справочник соответствий'!A$2:D$2981,3,FALSE)))</f>
        <v>ЭТАЖ ЗАДАН ЧИСЛОМ</v>
      </c>
      <c r="M3052" s="13" t="b">
        <f t="shared" si="330"/>
        <v>0</v>
      </c>
      <c r="N3052" s="13">
        <f t="shared" si="331"/>
        <v>2</v>
      </c>
      <c r="O3052" s="13" t="str">
        <f t="shared" si="332"/>
        <v>ЭТАЖ ЗАДАН ЧИСЛОМ</v>
      </c>
      <c r="P3052" s="13" t="str">
        <f t="shared" si="333"/>
        <v>ЭТАЖ ЗАДАН ЧИСЛОМ</v>
      </c>
      <c r="Q3052" s="13" t="str">
        <f t="shared" si="334"/>
        <v>ГОТОВ_ИЗМЕНЕН</v>
      </c>
      <c r="R3052" s="13">
        <f>IFERROR(VLOOKUP(P3052,Лист1!A$1:B$20,2,FALSE),0)</f>
        <v>784</v>
      </c>
      <c r="S3052" s="13">
        <f t="shared" si="335"/>
        <v>0</v>
      </c>
    </row>
    <row r="3053" spans="1:19" x14ac:dyDescent="0.25">
      <c r="A3053" s="24" t="s">
        <v>4185</v>
      </c>
      <c r="B3053" s="4" t="s">
        <v>1059</v>
      </c>
      <c r="C3053" s="25" t="s">
        <v>7</v>
      </c>
      <c r="G3053" s="25" t="s">
        <v>1069</v>
      </c>
      <c r="H3053" s="24" t="s">
        <v>1061</v>
      </c>
      <c r="I3053" s="3" t="str">
        <f>IFERROR(VLOOKUP(C3053,'Справочник соответствий'!A$2:D$2981,2,FALSE),IF(VALUE(C3053)=0,1,VLOOKUP(C3053,'Справочник соответствий'!A$2:D$2981,2,FALSE)))</f>
        <v>2</v>
      </c>
      <c r="J3053" s="3">
        <f>IFERROR(VLOOKUP(D3053,'Справочник соответствий'!A$2:D$2981,2,FALSE),IF(VALUE(D3053)=0,0,VLOOKUP(D3053,'Справочник соответствий'!A$2:D$2981,2,FALSE)))</f>
        <v>0</v>
      </c>
      <c r="K3053" s="3" t="str">
        <f t="shared" si="329"/>
        <v>2</v>
      </c>
      <c r="L3053" s="13" t="str">
        <f>IFERROR(VLOOKUP(C3053,'Справочник соответствий'!A$2:D$2981,3,FALSE),IF(VALUE(C3053)=0,"ЭТАЖ НЕ ОПРЕДЕЛЕН. ПРИНЯТ ПО ДОПУЩЕНИЮ 1",VLOOKUP(C3053,'Справочник соответствий'!A$2:D$2981,3,FALSE)))</f>
        <v>ЭТАЖ ЗАДАН ЧИСЛОМ</v>
      </c>
      <c r="M3053" s="13" t="b">
        <f t="shared" si="330"/>
        <v>0</v>
      </c>
      <c r="N3053" s="13">
        <f t="shared" si="331"/>
        <v>2</v>
      </c>
      <c r="O3053" s="13" t="str">
        <f t="shared" si="332"/>
        <v>ЭТАЖ ЗАДАН ЧИСЛОМ</v>
      </c>
      <c r="P3053" s="13" t="str">
        <f t="shared" si="333"/>
        <v>ЭТАЖ ЗАДАН ЧИСЛОМ</v>
      </c>
      <c r="Q3053" s="13" t="str">
        <f t="shared" si="334"/>
        <v>ГОТОВ_ИЗМЕНЕН</v>
      </c>
      <c r="R3053" s="13">
        <f>IFERROR(VLOOKUP(P3053,Лист1!A$1:B$20,2,FALSE),0)</f>
        <v>784</v>
      </c>
      <c r="S3053" s="13">
        <f t="shared" si="335"/>
        <v>0</v>
      </c>
    </row>
    <row r="3054" spans="1:19" x14ac:dyDescent="0.25">
      <c r="A3054" s="24" t="s">
        <v>4186</v>
      </c>
      <c r="B3054" s="4" t="s">
        <v>1059</v>
      </c>
      <c r="C3054" s="25" t="s">
        <v>5</v>
      </c>
      <c r="G3054" s="25" t="s">
        <v>3185</v>
      </c>
      <c r="H3054" s="24" t="s">
        <v>1061</v>
      </c>
      <c r="I3054" s="3" t="str">
        <f>IFERROR(VLOOKUP(C3054,'Справочник соответствий'!A$2:D$2981,2,FALSE),IF(VALUE(C3054)=0,1,VLOOKUP(C3054,'Справочник соответствий'!A$2:D$2981,2,FALSE)))</f>
        <v>1</v>
      </c>
      <c r="J3054" s="3">
        <f>IFERROR(VLOOKUP(D3054,'Справочник соответствий'!A$2:D$2981,2,FALSE),IF(VALUE(D3054)=0,0,VLOOKUP(D3054,'Справочник соответствий'!A$2:D$2981,2,FALSE)))</f>
        <v>0</v>
      </c>
      <c r="K3054" s="3" t="str">
        <f t="shared" si="329"/>
        <v>1</v>
      </c>
      <c r="L3054" s="13" t="str">
        <f>IFERROR(VLOOKUP(C3054,'Справочник соответствий'!A$2:D$2981,3,FALSE),IF(VALUE(C3054)=0,"ЭТАЖ НЕ ОПРЕДЕЛЕН. ПРИНЯТ ПО ДОПУЩЕНИЮ 1",VLOOKUP(C3054,'Справочник соответствий'!A$2:D$2981,3,FALSE)))</f>
        <v>ЭТАЖ ЗАДАН ЧИСЛОМ</v>
      </c>
      <c r="M3054" s="13" t="b">
        <f t="shared" si="330"/>
        <v>0</v>
      </c>
      <c r="N3054" s="13">
        <f t="shared" si="331"/>
        <v>1</v>
      </c>
      <c r="O3054" s="13" t="str">
        <f t="shared" si="332"/>
        <v>ЭТАЖ ЗАДАН ЧИСЛОМ</v>
      </c>
      <c r="P3054" s="13" t="str">
        <f t="shared" si="333"/>
        <v>ЭТАЖ ЗАДАН ЧИСЛОМ</v>
      </c>
      <c r="Q3054" s="13" t="str">
        <f t="shared" si="334"/>
        <v>ГОТОВ_ИЗМЕНЕН</v>
      </c>
      <c r="R3054" s="13">
        <f>IFERROR(VLOOKUP(P3054,Лист1!A$1:B$20,2,FALSE),0)</f>
        <v>784</v>
      </c>
      <c r="S3054" s="13">
        <f t="shared" si="335"/>
        <v>0</v>
      </c>
    </row>
    <row r="3055" spans="1:19" x14ac:dyDescent="0.25">
      <c r="A3055" s="24" t="s">
        <v>4187</v>
      </c>
      <c r="B3055" s="4" t="s">
        <v>1063</v>
      </c>
      <c r="C3055" s="25" t="s">
        <v>5</v>
      </c>
      <c r="G3055" s="25" t="s">
        <v>1075</v>
      </c>
      <c r="H3055" s="24" t="s">
        <v>1061</v>
      </c>
      <c r="I3055" s="3" t="str">
        <f>IFERROR(VLOOKUP(C3055,'Справочник соответствий'!A$2:D$2981,2,FALSE),IF(VALUE(C3055)=0,1,VLOOKUP(C3055,'Справочник соответствий'!A$2:D$2981,2,FALSE)))</f>
        <v>1</v>
      </c>
      <c r="J3055" s="3">
        <f>IFERROR(VLOOKUP(D3055,'Справочник соответствий'!A$2:D$2981,2,FALSE),IF(VALUE(D3055)=0,0,VLOOKUP(D3055,'Справочник соответствий'!A$2:D$2981,2,FALSE)))</f>
        <v>0</v>
      </c>
      <c r="K3055" s="3" t="str">
        <f t="shared" si="329"/>
        <v>1</v>
      </c>
      <c r="L3055" s="13" t="str">
        <f>IFERROR(VLOOKUP(C3055,'Справочник соответствий'!A$2:D$2981,3,FALSE),IF(VALUE(C3055)=0,"ЭТАЖ НЕ ОПРЕДЕЛЕН. ПРИНЯТ ПО ДОПУЩЕНИЮ 1",VLOOKUP(C3055,'Справочник соответствий'!A$2:D$2981,3,FALSE)))</f>
        <v>ЭТАЖ ЗАДАН ЧИСЛОМ</v>
      </c>
      <c r="M3055" s="13" t="b">
        <f t="shared" si="330"/>
        <v>0</v>
      </c>
      <c r="N3055" s="13">
        <f t="shared" si="331"/>
        <v>1</v>
      </c>
      <c r="O3055" s="13" t="str">
        <f t="shared" si="332"/>
        <v>ЭТАЖ ЗАДАН ЧИСЛОМ</v>
      </c>
      <c r="P3055" s="13" t="str">
        <f t="shared" si="333"/>
        <v>ЭТАЖ ЗАДАН ЧИСЛОМ</v>
      </c>
      <c r="Q3055" s="13" t="str">
        <f t="shared" si="334"/>
        <v>ГОТОВ_ИЗМЕНЕН</v>
      </c>
      <c r="R3055" s="13">
        <f>IFERROR(VLOOKUP(P3055,Лист1!A$1:B$20,2,FALSE),0)</f>
        <v>784</v>
      </c>
      <c r="S3055" s="13">
        <f t="shared" si="335"/>
        <v>0</v>
      </c>
    </row>
    <row r="3056" spans="1:19" x14ac:dyDescent="0.25">
      <c r="A3056" s="24" t="s">
        <v>4188</v>
      </c>
      <c r="B3056" s="4" t="s">
        <v>1059</v>
      </c>
      <c r="C3056" s="25" t="s">
        <v>7</v>
      </c>
      <c r="G3056" s="25" t="s">
        <v>1075</v>
      </c>
      <c r="H3056" s="24" t="s">
        <v>1061</v>
      </c>
      <c r="I3056" s="3" t="str">
        <f>IFERROR(VLOOKUP(C3056,'Справочник соответствий'!A$2:D$2981,2,FALSE),IF(VALUE(C3056)=0,1,VLOOKUP(C3056,'Справочник соответствий'!A$2:D$2981,2,FALSE)))</f>
        <v>2</v>
      </c>
      <c r="J3056" s="3">
        <f>IFERROR(VLOOKUP(D3056,'Справочник соответствий'!A$2:D$2981,2,FALSE),IF(VALUE(D3056)=0,0,VLOOKUP(D3056,'Справочник соответствий'!A$2:D$2981,2,FALSE)))</f>
        <v>0</v>
      </c>
      <c r="K3056" s="3" t="str">
        <f t="shared" si="329"/>
        <v>2</v>
      </c>
      <c r="L3056" s="13" t="str">
        <f>IFERROR(VLOOKUP(C3056,'Справочник соответствий'!A$2:D$2981,3,FALSE),IF(VALUE(C3056)=0,"ЭТАЖ НЕ ОПРЕДЕЛЕН. ПРИНЯТ ПО ДОПУЩЕНИЮ 1",VLOOKUP(C3056,'Справочник соответствий'!A$2:D$2981,3,FALSE)))</f>
        <v>ЭТАЖ ЗАДАН ЧИСЛОМ</v>
      </c>
      <c r="M3056" s="13" t="b">
        <f t="shared" si="330"/>
        <v>0</v>
      </c>
      <c r="N3056" s="13">
        <f t="shared" si="331"/>
        <v>2</v>
      </c>
      <c r="O3056" s="13" t="str">
        <f t="shared" si="332"/>
        <v>ЭТАЖ ЗАДАН ЧИСЛОМ</v>
      </c>
      <c r="P3056" s="13" t="str">
        <f t="shared" si="333"/>
        <v>ЭТАЖ ЗАДАН ЧИСЛОМ</v>
      </c>
      <c r="Q3056" s="13" t="str">
        <f t="shared" si="334"/>
        <v>ГОТОВ_ИЗМЕНЕН</v>
      </c>
      <c r="R3056" s="13">
        <f>IFERROR(VLOOKUP(P3056,Лист1!A$1:B$20,2,FALSE),0)</f>
        <v>784</v>
      </c>
      <c r="S3056" s="13">
        <f t="shared" si="335"/>
        <v>0</v>
      </c>
    </row>
    <row r="3057" spans="1:19" x14ac:dyDescent="0.25">
      <c r="A3057" s="24" t="s">
        <v>4189</v>
      </c>
      <c r="B3057" s="4" t="s">
        <v>1059</v>
      </c>
      <c r="C3057" s="25" t="s">
        <v>7</v>
      </c>
      <c r="G3057" s="25" t="s">
        <v>1069</v>
      </c>
      <c r="H3057" s="24" t="s">
        <v>1061</v>
      </c>
      <c r="I3057" s="3" t="str">
        <f>IFERROR(VLOOKUP(C3057,'Справочник соответствий'!A$2:D$2981,2,FALSE),IF(VALUE(C3057)=0,1,VLOOKUP(C3057,'Справочник соответствий'!A$2:D$2981,2,FALSE)))</f>
        <v>2</v>
      </c>
      <c r="J3057" s="3">
        <f>IFERROR(VLOOKUP(D3057,'Справочник соответствий'!A$2:D$2981,2,FALSE),IF(VALUE(D3057)=0,0,VLOOKUP(D3057,'Справочник соответствий'!A$2:D$2981,2,FALSE)))</f>
        <v>0</v>
      </c>
      <c r="K3057" s="3" t="str">
        <f t="shared" si="329"/>
        <v>2</v>
      </c>
      <c r="L3057" s="13" t="str">
        <f>IFERROR(VLOOKUP(C3057,'Справочник соответствий'!A$2:D$2981,3,FALSE),IF(VALUE(C3057)=0,"ЭТАЖ НЕ ОПРЕДЕЛЕН. ПРИНЯТ ПО ДОПУЩЕНИЮ 1",VLOOKUP(C3057,'Справочник соответствий'!A$2:D$2981,3,FALSE)))</f>
        <v>ЭТАЖ ЗАДАН ЧИСЛОМ</v>
      </c>
      <c r="M3057" s="13" t="b">
        <f t="shared" si="330"/>
        <v>0</v>
      </c>
      <c r="N3057" s="13">
        <f t="shared" si="331"/>
        <v>2</v>
      </c>
      <c r="O3057" s="13" t="str">
        <f t="shared" si="332"/>
        <v>ЭТАЖ ЗАДАН ЧИСЛОМ</v>
      </c>
      <c r="P3057" s="13" t="str">
        <f t="shared" si="333"/>
        <v>ЭТАЖ ЗАДАН ЧИСЛОМ</v>
      </c>
      <c r="Q3057" s="13" t="str">
        <f t="shared" si="334"/>
        <v>ГОТОВ_ИЗМЕНЕН</v>
      </c>
      <c r="R3057" s="13">
        <f>IFERROR(VLOOKUP(P3057,Лист1!A$1:B$20,2,FALSE),0)</f>
        <v>784</v>
      </c>
      <c r="S3057" s="13">
        <f t="shared" si="335"/>
        <v>0</v>
      </c>
    </row>
    <row r="3058" spans="1:19" x14ac:dyDescent="0.25">
      <c r="A3058" s="24" t="s">
        <v>4190</v>
      </c>
      <c r="B3058" s="4" t="s">
        <v>1063</v>
      </c>
      <c r="C3058" s="25" t="s">
        <v>5</v>
      </c>
      <c r="G3058" s="25" t="s">
        <v>1075</v>
      </c>
      <c r="H3058" s="24" t="s">
        <v>1061</v>
      </c>
      <c r="I3058" s="3" t="str">
        <f>IFERROR(VLOOKUP(C3058,'Справочник соответствий'!A$2:D$2981,2,FALSE),IF(VALUE(C3058)=0,1,VLOOKUP(C3058,'Справочник соответствий'!A$2:D$2981,2,FALSE)))</f>
        <v>1</v>
      </c>
      <c r="J3058" s="3">
        <f>IFERROR(VLOOKUP(D3058,'Справочник соответствий'!A$2:D$2981,2,FALSE),IF(VALUE(D3058)=0,0,VLOOKUP(D3058,'Справочник соответствий'!A$2:D$2981,2,FALSE)))</f>
        <v>0</v>
      </c>
      <c r="K3058" s="3" t="str">
        <f t="shared" si="329"/>
        <v>1</v>
      </c>
      <c r="L3058" s="13" t="str">
        <f>IFERROR(VLOOKUP(C3058,'Справочник соответствий'!A$2:D$2981,3,FALSE),IF(VALUE(C3058)=0,"ЭТАЖ НЕ ОПРЕДЕЛЕН. ПРИНЯТ ПО ДОПУЩЕНИЮ 1",VLOOKUP(C3058,'Справочник соответствий'!A$2:D$2981,3,FALSE)))</f>
        <v>ЭТАЖ ЗАДАН ЧИСЛОМ</v>
      </c>
      <c r="M3058" s="13" t="b">
        <f t="shared" si="330"/>
        <v>0</v>
      </c>
      <c r="N3058" s="13">
        <f t="shared" si="331"/>
        <v>1</v>
      </c>
      <c r="O3058" s="13" t="str">
        <f t="shared" si="332"/>
        <v>ЭТАЖ ЗАДАН ЧИСЛОМ</v>
      </c>
      <c r="P3058" s="13" t="str">
        <f t="shared" si="333"/>
        <v>ЭТАЖ ЗАДАН ЧИСЛОМ</v>
      </c>
      <c r="Q3058" s="13" t="str">
        <f t="shared" si="334"/>
        <v>ГОТОВ_ИЗМЕНЕН</v>
      </c>
      <c r="R3058" s="13">
        <f>IFERROR(VLOOKUP(P3058,Лист1!A$1:B$20,2,FALSE),0)</f>
        <v>784</v>
      </c>
      <c r="S3058" s="13">
        <f t="shared" si="335"/>
        <v>0</v>
      </c>
    </row>
    <row r="3059" spans="1:19" x14ac:dyDescent="0.25">
      <c r="A3059" s="24" t="s">
        <v>4191</v>
      </c>
      <c r="B3059" s="4" t="s">
        <v>1059</v>
      </c>
      <c r="C3059" s="25" t="s">
        <v>7</v>
      </c>
      <c r="G3059" s="25" t="s">
        <v>1069</v>
      </c>
      <c r="H3059" s="24" t="s">
        <v>1061</v>
      </c>
      <c r="I3059" s="3" t="str">
        <f>IFERROR(VLOOKUP(C3059,'Справочник соответствий'!A$2:D$2981,2,FALSE),IF(VALUE(C3059)=0,1,VLOOKUP(C3059,'Справочник соответствий'!A$2:D$2981,2,FALSE)))</f>
        <v>2</v>
      </c>
      <c r="J3059" s="3">
        <f>IFERROR(VLOOKUP(D3059,'Справочник соответствий'!A$2:D$2981,2,FALSE),IF(VALUE(D3059)=0,0,VLOOKUP(D3059,'Справочник соответствий'!A$2:D$2981,2,FALSE)))</f>
        <v>0</v>
      </c>
      <c r="K3059" s="3" t="str">
        <f t="shared" si="329"/>
        <v>2</v>
      </c>
      <c r="L3059" s="13" t="str">
        <f>IFERROR(VLOOKUP(C3059,'Справочник соответствий'!A$2:D$2981,3,FALSE),IF(VALUE(C3059)=0,"ЭТАЖ НЕ ОПРЕДЕЛЕН. ПРИНЯТ ПО ДОПУЩЕНИЮ 1",VLOOKUP(C3059,'Справочник соответствий'!A$2:D$2981,3,FALSE)))</f>
        <v>ЭТАЖ ЗАДАН ЧИСЛОМ</v>
      </c>
      <c r="M3059" s="13" t="b">
        <f t="shared" si="330"/>
        <v>0</v>
      </c>
      <c r="N3059" s="13">
        <f t="shared" si="331"/>
        <v>2</v>
      </c>
      <c r="O3059" s="13" t="str">
        <f t="shared" si="332"/>
        <v>ЭТАЖ ЗАДАН ЧИСЛОМ</v>
      </c>
      <c r="P3059" s="13" t="str">
        <f t="shared" si="333"/>
        <v>ЭТАЖ ЗАДАН ЧИСЛОМ</v>
      </c>
      <c r="Q3059" s="13" t="str">
        <f t="shared" si="334"/>
        <v>ГОТОВ_ИЗМЕНЕН</v>
      </c>
      <c r="R3059" s="13">
        <f>IFERROR(VLOOKUP(P3059,Лист1!A$1:B$20,2,FALSE),0)</f>
        <v>784</v>
      </c>
      <c r="S3059" s="13">
        <f t="shared" si="335"/>
        <v>0</v>
      </c>
    </row>
    <row r="3060" spans="1:19" x14ac:dyDescent="0.25">
      <c r="A3060" s="24" t="s">
        <v>4192</v>
      </c>
      <c r="B3060" s="4" t="s">
        <v>1059</v>
      </c>
      <c r="C3060" s="25" t="s">
        <v>5</v>
      </c>
      <c r="G3060" s="25" t="s">
        <v>1069</v>
      </c>
      <c r="H3060" s="24" t="s">
        <v>1061</v>
      </c>
      <c r="I3060" s="3" t="str">
        <f>IFERROR(VLOOKUP(C3060,'Справочник соответствий'!A$2:D$2981,2,FALSE),IF(VALUE(C3060)=0,1,VLOOKUP(C3060,'Справочник соответствий'!A$2:D$2981,2,FALSE)))</f>
        <v>1</v>
      </c>
      <c r="J3060" s="3">
        <f>IFERROR(VLOOKUP(D3060,'Справочник соответствий'!A$2:D$2981,2,FALSE),IF(VALUE(D3060)=0,0,VLOOKUP(D3060,'Справочник соответствий'!A$2:D$2981,2,FALSE)))</f>
        <v>0</v>
      </c>
      <c r="K3060" s="3" t="str">
        <f t="shared" si="329"/>
        <v>1</v>
      </c>
      <c r="L3060" s="13" t="str">
        <f>IFERROR(VLOOKUP(C3060,'Справочник соответствий'!A$2:D$2981,3,FALSE),IF(VALUE(C3060)=0,"ЭТАЖ НЕ ОПРЕДЕЛЕН. ПРИНЯТ ПО ДОПУЩЕНИЮ 1",VLOOKUP(C3060,'Справочник соответствий'!A$2:D$2981,3,FALSE)))</f>
        <v>ЭТАЖ ЗАДАН ЧИСЛОМ</v>
      </c>
      <c r="M3060" s="13" t="b">
        <f t="shared" si="330"/>
        <v>0</v>
      </c>
      <c r="N3060" s="13">
        <f t="shared" si="331"/>
        <v>1</v>
      </c>
      <c r="O3060" s="13" t="str">
        <f t="shared" si="332"/>
        <v>ЭТАЖ ЗАДАН ЧИСЛОМ</v>
      </c>
      <c r="P3060" s="13" t="str">
        <f t="shared" si="333"/>
        <v>ЭТАЖ ЗАДАН ЧИСЛОМ</v>
      </c>
      <c r="Q3060" s="13" t="str">
        <f t="shared" si="334"/>
        <v>ГОТОВ_ИЗМЕНЕН</v>
      </c>
      <c r="R3060" s="13">
        <f>IFERROR(VLOOKUP(P3060,Лист1!A$1:B$20,2,FALSE),0)</f>
        <v>784</v>
      </c>
      <c r="S3060" s="13">
        <f t="shared" si="335"/>
        <v>0</v>
      </c>
    </row>
    <row r="3061" spans="1:19" x14ac:dyDescent="0.25">
      <c r="A3061" s="24" t="s">
        <v>4193</v>
      </c>
      <c r="B3061" s="4" t="s">
        <v>1063</v>
      </c>
      <c r="C3061" s="25" t="s">
        <v>5</v>
      </c>
      <c r="G3061" s="25" t="s">
        <v>1075</v>
      </c>
      <c r="H3061" s="24" t="s">
        <v>1061</v>
      </c>
      <c r="I3061" s="3" t="str">
        <f>IFERROR(VLOOKUP(C3061,'Справочник соответствий'!A$2:D$2981,2,FALSE),IF(VALUE(C3061)=0,1,VLOOKUP(C3061,'Справочник соответствий'!A$2:D$2981,2,FALSE)))</f>
        <v>1</v>
      </c>
      <c r="J3061" s="3">
        <f>IFERROR(VLOOKUP(D3061,'Справочник соответствий'!A$2:D$2981,2,FALSE),IF(VALUE(D3061)=0,0,VLOOKUP(D3061,'Справочник соответствий'!A$2:D$2981,2,FALSE)))</f>
        <v>0</v>
      </c>
      <c r="K3061" s="3" t="str">
        <f t="shared" si="329"/>
        <v>1</v>
      </c>
      <c r="L3061" s="13" t="str">
        <f>IFERROR(VLOOKUP(C3061,'Справочник соответствий'!A$2:D$2981,3,FALSE),IF(VALUE(C3061)=0,"ЭТАЖ НЕ ОПРЕДЕЛЕН. ПРИНЯТ ПО ДОПУЩЕНИЮ 1",VLOOKUP(C3061,'Справочник соответствий'!A$2:D$2981,3,FALSE)))</f>
        <v>ЭТАЖ ЗАДАН ЧИСЛОМ</v>
      </c>
      <c r="M3061" s="13" t="b">
        <f t="shared" si="330"/>
        <v>0</v>
      </c>
      <c r="N3061" s="13">
        <f t="shared" si="331"/>
        <v>1</v>
      </c>
      <c r="O3061" s="13" t="str">
        <f t="shared" si="332"/>
        <v>ЭТАЖ ЗАДАН ЧИСЛОМ</v>
      </c>
      <c r="P3061" s="13" t="str">
        <f t="shared" si="333"/>
        <v>ЭТАЖ ЗАДАН ЧИСЛОМ</v>
      </c>
      <c r="Q3061" s="13" t="str">
        <f t="shared" si="334"/>
        <v>ГОТОВ_ИЗМЕНЕН</v>
      </c>
      <c r="R3061" s="13">
        <f>IFERROR(VLOOKUP(P3061,Лист1!A$1:B$20,2,FALSE),0)</f>
        <v>784</v>
      </c>
      <c r="S3061" s="13">
        <f t="shared" si="335"/>
        <v>0</v>
      </c>
    </row>
    <row r="3062" spans="1:19" x14ac:dyDescent="0.25">
      <c r="A3062" s="24" t="s">
        <v>4194</v>
      </c>
      <c r="B3062" s="4" t="s">
        <v>1063</v>
      </c>
      <c r="C3062" s="25" t="s">
        <v>5</v>
      </c>
      <c r="G3062" s="25" t="s">
        <v>1069</v>
      </c>
      <c r="H3062" s="24" t="s">
        <v>1061</v>
      </c>
      <c r="I3062" s="3" t="str">
        <f>IFERROR(VLOOKUP(C3062,'Справочник соответствий'!A$2:D$2981,2,FALSE),IF(VALUE(C3062)=0,1,VLOOKUP(C3062,'Справочник соответствий'!A$2:D$2981,2,FALSE)))</f>
        <v>1</v>
      </c>
      <c r="J3062" s="3">
        <f>IFERROR(VLOOKUP(D3062,'Справочник соответствий'!A$2:D$2981,2,FALSE),IF(VALUE(D3062)=0,0,VLOOKUP(D3062,'Справочник соответствий'!A$2:D$2981,2,FALSE)))</f>
        <v>0</v>
      </c>
      <c r="K3062" s="3" t="str">
        <f t="shared" si="329"/>
        <v>1</v>
      </c>
      <c r="L3062" s="13" t="str">
        <f>IFERROR(VLOOKUP(C3062,'Справочник соответствий'!A$2:D$2981,3,FALSE),IF(VALUE(C3062)=0,"ЭТАЖ НЕ ОПРЕДЕЛЕН. ПРИНЯТ ПО ДОПУЩЕНИЮ 1",VLOOKUP(C3062,'Справочник соответствий'!A$2:D$2981,3,FALSE)))</f>
        <v>ЭТАЖ ЗАДАН ЧИСЛОМ</v>
      </c>
      <c r="M3062" s="13" t="b">
        <f t="shared" si="330"/>
        <v>0</v>
      </c>
      <c r="N3062" s="13">
        <f t="shared" si="331"/>
        <v>1</v>
      </c>
      <c r="O3062" s="13" t="str">
        <f t="shared" si="332"/>
        <v>ЭТАЖ ЗАДАН ЧИСЛОМ</v>
      </c>
      <c r="P3062" s="13" t="str">
        <f t="shared" si="333"/>
        <v>ЭТАЖ ЗАДАН ЧИСЛОМ</v>
      </c>
      <c r="Q3062" s="13" t="str">
        <f t="shared" si="334"/>
        <v>ГОТОВ_ИЗМЕНЕН</v>
      </c>
      <c r="R3062" s="13">
        <f>IFERROR(VLOOKUP(P3062,Лист1!A$1:B$20,2,FALSE),0)</f>
        <v>784</v>
      </c>
      <c r="S3062" s="13">
        <f t="shared" si="335"/>
        <v>0</v>
      </c>
    </row>
    <row r="3063" spans="1:19" x14ac:dyDescent="0.25">
      <c r="A3063" s="24" t="s">
        <v>4195</v>
      </c>
      <c r="B3063" s="4" t="s">
        <v>1059</v>
      </c>
      <c r="C3063" s="25" t="s">
        <v>5</v>
      </c>
      <c r="G3063" s="25" t="s">
        <v>1083</v>
      </c>
      <c r="H3063" s="24" t="s">
        <v>1061</v>
      </c>
      <c r="I3063" s="3" t="str">
        <f>IFERROR(VLOOKUP(C3063,'Справочник соответствий'!A$2:D$2981,2,FALSE),IF(VALUE(C3063)=0,1,VLOOKUP(C3063,'Справочник соответствий'!A$2:D$2981,2,FALSE)))</f>
        <v>1</v>
      </c>
      <c r="J3063" s="3">
        <f>IFERROR(VLOOKUP(D3063,'Справочник соответствий'!A$2:D$2981,2,FALSE),IF(VALUE(D3063)=0,0,VLOOKUP(D3063,'Справочник соответствий'!A$2:D$2981,2,FALSE)))</f>
        <v>0</v>
      </c>
      <c r="K3063" s="3" t="str">
        <f t="shared" si="329"/>
        <v>1</v>
      </c>
      <c r="L3063" s="13" t="str">
        <f>IFERROR(VLOOKUP(C3063,'Справочник соответствий'!A$2:D$2981,3,FALSE),IF(VALUE(C3063)=0,"ЭТАЖ НЕ ОПРЕДЕЛЕН. ПРИНЯТ ПО ДОПУЩЕНИЮ 1",VLOOKUP(C3063,'Справочник соответствий'!A$2:D$2981,3,FALSE)))</f>
        <v>ЭТАЖ ЗАДАН ЧИСЛОМ</v>
      </c>
      <c r="M3063" s="13" t="b">
        <f t="shared" si="330"/>
        <v>0</v>
      </c>
      <c r="N3063" s="13">
        <f t="shared" si="331"/>
        <v>1</v>
      </c>
      <c r="O3063" s="13" t="str">
        <f t="shared" si="332"/>
        <v>ЭТАЖ ЗАДАН ЧИСЛОМ</v>
      </c>
      <c r="P3063" s="13" t="str">
        <f t="shared" si="333"/>
        <v>ЭТАЖ ЗАДАН ЧИСЛОМ</v>
      </c>
      <c r="Q3063" s="13" t="str">
        <f t="shared" si="334"/>
        <v>ГОТОВ_ИЗМЕНЕН</v>
      </c>
      <c r="R3063" s="13">
        <f>IFERROR(VLOOKUP(P3063,Лист1!A$1:B$20,2,FALSE),0)</f>
        <v>784</v>
      </c>
      <c r="S3063" s="13">
        <f t="shared" si="335"/>
        <v>0</v>
      </c>
    </row>
    <row r="3064" spans="1:19" x14ac:dyDescent="0.25">
      <c r="A3064" s="24" t="s">
        <v>4196</v>
      </c>
      <c r="B3064" s="4" t="s">
        <v>1059</v>
      </c>
      <c r="C3064" s="25" t="s">
        <v>5</v>
      </c>
      <c r="G3064" s="25" t="s">
        <v>1089</v>
      </c>
      <c r="H3064" s="24" t="s">
        <v>1061</v>
      </c>
      <c r="I3064" s="3" t="str">
        <f>IFERROR(VLOOKUP(C3064,'Справочник соответствий'!A$2:D$2981,2,FALSE),IF(VALUE(C3064)=0,1,VLOOKUP(C3064,'Справочник соответствий'!A$2:D$2981,2,FALSE)))</f>
        <v>1</v>
      </c>
      <c r="J3064" s="3">
        <f>IFERROR(VLOOKUP(D3064,'Справочник соответствий'!A$2:D$2981,2,FALSE),IF(VALUE(D3064)=0,0,VLOOKUP(D3064,'Справочник соответствий'!A$2:D$2981,2,FALSE)))</f>
        <v>0</v>
      </c>
      <c r="K3064" s="3" t="str">
        <f t="shared" si="329"/>
        <v>1</v>
      </c>
      <c r="L3064" s="13" t="str">
        <f>IFERROR(VLOOKUP(C3064,'Справочник соответствий'!A$2:D$2981,3,FALSE),IF(VALUE(C3064)=0,"ЭТАЖ НЕ ОПРЕДЕЛЕН. ПРИНЯТ ПО ДОПУЩЕНИЮ 1",VLOOKUP(C3064,'Справочник соответствий'!A$2:D$2981,3,FALSE)))</f>
        <v>ЭТАЖ ЗАДАН ЧИСЛОМ</v>
      </c>
      <c r="M3064" s="13" t="b">
        <f t="shared" si="330"/>
        <v>0</v>
      </c>
      <c r="N3064" s="13">
        <f t="shared" si="331"/>
        <v>1</v>
      </c>
      <c r="O3064" s="13" t="str">
        <f t="shared" si="332"/>
        <v>ЭТАЖ ЗАДАН ЧИСЛОМ</v>
      </c>
      <c r="P3064" s="13" t="str">
        <f t="shared" si="333"/>
        <v>ЭТАЖ ЗАДАН ЧИСЛОМ</v>
      </c>
      <c r="Q3064" s="13" t="str">
        <f t="shared" si="334"/>
        <v>ГОТОВ_ИЗМЕНЕН</v>
      </c>
      <c r="R3064" s="13">
        <f>IFERROR(VLOOKUP(P3064,Лист1!A$1:B$20,2,FALSE),0)</f>
        <v>784</v>
      </c>
      <c r="S3064" s="13">
        <f t="shared" si="335"/>
        <v>0</v>
      </c>
    </row>
    <row r="3065" spans="1:19" x14ac:dyDescent="0.25">
      <c r="A3065" s="24" t="s">
        <v>4197</v>
      </c>
      <c r="B3065" s="4" t="s">
        <v>1059</v>
      </c>
      <c r="C3065" s="25" t="s">
        <v>5</v>
      </c>
      <c r="G3065" s="25" t="s">
        <v>1089</v>
      </c>
      <c r="H3065" s="24" t="s">
        <v>1061</v>
      </c>
      <c r="I3065" s="3" t="str">
        <f>IFERROR(VLOOKUP(C3065,'Справочник соответствий'!A$2:D$2981,2,FALSE),IF(VALUE(C3065)=0,1,VLOOKUP(C3065,'Справочник соответствий'!A$2:D$2981,2,FALSE)))</f>
        <v>1</v>
      </c>
      <c r="J3065" s="3">
        <f>IFERROR(VLOOKUP(D3065,'Справочник соответствий'!A$2:D$2981,2,FALSE),IF(VALUE(D3065)=0,0,VLOOKUP(D3065,'Справочник соответствий'!A$2:D$2981,2,FALSE)))</f>
        <v>0</v>
      </c>
      <c r="K3065" s="3" t="str">
        <f t="shared" si="329"/>
        <v>1</v>
      </c>
      <c r="L3065" s="13" t="str">
        <f>IFERROR(VLOOKUP(C3065,'Справочник соответствий'!A$2:D$2981,3,FALSE),IF(VALUE(C3065)=0,"ЭТАЖ НЕ ОПРЕДЕЛЕН. ПРИНЯТ ПО ДОПУЩЕНИЮ 1",VLOOKUP(C3065,'Справочник соответствий'!A$2:D$2981,3,FALSE)))</f>
        <v>ЭТАЖ ЗАДАН ЧИСЛОМ</v>
      </c>
      <c r="M3065" s="13" t="b">
        <f t="shared" si="330"/>
        <v>0</v>
      </c>
      <c r="N3065" s="13">
        <f t="shared" si="331"/>
        <v>1</v>
      </c>
      <c r="O3065" s="13" t="str">
        <f t="shared" si="332"/>
        <v>ЭТАЖ ЗАДАН ЧИСЛОМ</v>
      </c>
      <c r="P3065" s="13" t="str">
        <f t="shared" si="333"/>
        <v>ЭТАЖ ЗАДАН ЧИСЛОМ</v>
      </c>
      <c r="Q3065" s="13" t="str">
        <f t="shared" si="334"/>
        <v>ГОТОВ_ИЗМЕНЕН</v>
      </c>
      <c r="R3065" s="13">
        <f>IFERROR(VLOOKUP(P3065,Лист1!A$1:B$20,2,FALSE),0)</f>
        <v>784</v>
      </c>
      <c r="S3065" s="13">
        <f t="shared" si="335"/>
        <v>0</v>
      </c>
    </row>
    <row r="3066" spans="1:19" x14ac:dyDescent="0.25">
      <c r="A3066" s="24" t="s">
        <v>4198</v>
      </c>
      <c r="B3066" s="4" t="s">
        <v>1059</v>
      </c>
      <c r="C3066" s="25" t="s">
        <v>5</v>
      </c>
      <c r="G3066" s="25" t="s">
        <v>1089</v>
      </c>
      <c r="H3066" s="24" t="s">
        <v>1061</v>
      </c>
      <c r="I3066" s="3" t="str">
        <f>IFERROR(VLOOKUP(C3066,'Справочник соответствий'!A$2:D$2981,2,FALSE),IF(VALUE(C3066)=0,1,VLOOKUP(C3066,'Справочник соответствий'!A$2:D$2981,2,FALSE)))</f>
        <v>1</v>
      </c>
      <c r="J3066" s="3">
        <f>IFERROR(VLOOKUP(D3066,'Справочник соответствий'!A$2:D$2981,2,FALSE),IF(VALUE(D3066)=0,0,VLOOKUP(D3066,'Справочник соответствий'!A$2:D$2981,2,FALSE)))</f>
        <v>0</v>
      </c>
      <c r="K3066" s="3" t="str">
        <f t="shared" si="329"/>
        <v>1</v>
      </c>
      <c r="L3066" s="13" t="str">
        <f>IFERROR(VLOOKUP(C3066,'Справочник соответствий'!A$2:D$2981,3,FALSE),IF(VALUE(C3066)=0,"ЭТАЖ НЕ ОПРЕДЕЛЕН. ПРИНЯТ ПО ДОПУЩЕНИЮ 1",VLOOKUP(C3066,'Справочник соответствий'!A$2:D$2981,3,FALSE)))</f>
        <v>ЭТАЖ ЗАДАН ЧИСЛОМ</v>
      </c>
      <c r="M3066" s="13" t="b">
        <f t="shared" si="330"/>
        <v>0</v>
      </c>
      <c r="N3066" s="13">
        <f t="shared" si="331"/>
        <v>1</v>
      </c>
      <c r="O3066" s="13" t="str">
        <f t="shared" si="332"/>
        <v>ЭТАЖ ЗАДАН ЧИСЛОМ</v>
      </c>
      <c r="P3066" s="13" t="str">
        <f t="shared" si="333"/>
        <v>ЭТАЖ ЗАДАН ЧИСЛОМ</v>
      </c>
      <c r="Q3066" s="13" t="str">
        <f t="shared" si="334"/>
        <v>ГОТОВ_ИЗМЕНЕН</v>
      </c>
      <c r="R3066" s="13">
        <f>IFERROR(VLOOKUP(P3066,Лист1!A$1:B$20,2,FALSE),0)</f>
        <v>784</v>
      </c>
      <c r="S3066" s="13">
        <f t="shared" si="335"/>
        <v>0</v>
      </c>
    </row>
    <row r="3067" spans="1:19" x14ac:dyDescent="0.25">
      <c r="A3067" s="24" t="s">
        <v>4199</v>
      </c>
      <c r="B3067" s="4" t="s">
        <v>1059</v>
      </c>
      <c r="C3067" s="25" t="s">
        <v>5</v>
      </c>
      <c r="G3067" s="25" t="s">
        <v>1089</v>
      </c>
      <c r="H3067" s="24" t="s">
        <v>1061</v>
      </c>
      <c r="I3067" s="3" t="str">
        <f>IFERROR(VLOOKUP(C3067,'Справочник соответствий'!A$2:D$2981,2,FALSE),IF(VALUE(C3067)=0,1,VLOOKUP(C3067,'Справочник соответствий'!A$2:D$2981,2,FALSE)))</f>
        <v>1</v>
      </c>
      <c r="J3067" s="3">
        <f>IFERROR(VLOOKUP(D3067,'Справочник соответствий'!A$2:D$2981,2,FALSE),IF(VALUE(D3067)=0,0,VLOOKUP(D3067,'Справочник соответствий'!A$2:D$2981,2,FALSE)))</f>
        <v>0</v>
      </c>
      <c r="K3067" s="3" t="str">
        <f t="shared" si="329"/>
        <v>1</v>
      </c>
      <c r="L3067" s="13" t="str">
        <f>IFERROR(VLOOKUP(C3067,'Справочник соответствий'!A$2:D$2981,3,FALSE),IF(VALUE(C3067)=0,"ЭТАЖ НЕ ОПРЕДЕЛЕН. ПРИНЯТ ПО ДОПУЩЕНИЮ 1",VLOOKUP(C3067,'Справочник соответствий'!A$2:D$2981,3,FALSE)))</f>
        <v>ЭТАЖ ЗАДАН ЧИСЛОМ</v>
      </c>
      <c r="M3067" s="13" t="b">
        <f t="shared" si="330"/>
        <v>0</v>
      </c>
      <c r="N3067" s="13">
        <f t="shared" si="331"/>
        <v>1</v>
      </c>
      <c r="O3067" s="13" t="str">
        <f t="shared" si="332"/>
        <v>ЭТАЖ ЗАДАН ЧИСЛОМ</v>
      </c>
      <c r="P3067" s="13" t="str">
        <f t="shared" si="333"/>
        <v>ЭТАЖ ЗАДАН ЧИСЛОМ</v>
      </c>
      <c r="Q3067" s="13" t="str">
        <f t="shared" si="334"/>
        <v>ГОТОВ_ИЗМЕНЕН</v>
      </c>
      <c r="R3067" s="13">
        <f>IFERROR(VLOOKUP(P3067,Лист1!A$1:B$20,2,FALSE),0)</f>
        <v>784</v>
      </c>
      <c r="S3067" s="13">
        <f t="shared" si="335"/>
        <v>0</v>
      </c>
    </row>
    <row r="3068" spans="1:19" x14ac:dyDescent="0.25">
      <c r="A3068" s="24" t="s">
        <v>4200</v>
      </c>
      <c r="B3068" s="4" t="s">
        <v>1063</v>
      </c>
      <c r="C3068" s="25" t="s">
        <v>5</v>
      </c>
      <c r="G3068" s="25" t="s">
        <v>1089</v>
      </c>
      <c r="H3068" s="24" t="s">
        <v>1061</v>
      </c>
      <c r="I3068" s="3" t="str">
        <f>IFERROR(VLOOKUP(C3068,'Справочник соответствий'!A$2:D$2981,2,FALSE),IF(VALUE(C3068)=0,1,VLOOKUP(C3068,'Справочник соответствий'!A$2:D$2981,2,FALSE)))</f>
        <v>1</v>
      </c>
      <c r="J3068" s="3">
        <f>IFERROR(VLOOKUP(D3068,'Справочник соответствий'!A$2:D$2981,2,FALSE),IF(VALUE(D3068)=0,0,VLOOKUP(D3068,'Справочник соответствий'!A$2:D$2981,2,FALSE)))</f>
        <v>0</v>
      </c>
      <c r="K3068" s="3" t="str">
        <f t="shared" si="329"/>
        <v>1</v>
      </c>
      <c r="L3068" s="13" t="str">
        <f>IFERROR(VLOOKUP(C3068,'Справочник соответствий'!A$2:D$2981,3,FALSE),IF(VALUE(C3068)=0,"ЭТАЖ НЕ ОПРЕДЕЛЕН. ПРИНЯТ ПО ДОПУЩЕНИЮ 1",VLOOKUP(C3068,'Справочник соответствий'!A$2:D$2981,3,FALSE)))</f>
        <v>ЭТАЖ ЗАДАН ЧИСЛОМ</v>
      </c>
      <c r="M3068" s="13" t="b">
        <f t="shared" si="330"/>
        <v>0</v>
      </c>
      <c r="N3068" s="13">
        <f t="shared" si="331"/>
        <v>1</v>
      </c>
      <c r="O3068" s="13" t="str">
        <f t="shared" si="332"/>
        <v>ЭТАЖ ЗАДАН ЧИСЛОМ</v>
      </c>
      <c r="P3068" s="13" t="str">
        <f t="shared" si="333"/>
        <v>ЭТАЖ ЗАДАН ЧИСЛОМ</v>
      </c>
      <c r="Q3068" s="13" t="str">
        <f t="shared" si="334"/>
        <v>ГОТОВ_ИЗМЕНЕН</v>
      </c>
      <c r="R3068" s="13">
        <f>IFERROR(VLOOKUP(P3068,Лист1!A$1:B$20,2,FALSE),0)</f>
        <v>784</v>
      </c>
      <c r="S3068" s="13">
        <f t="shared" si="335"/>
        <v>0</v>
      </c>
    </row>
    <row r="3069" spans="1:19" x14ac:dyDescent="0.25">
      <c r="A3069" s="24" t="s">
        <v>4201</v>
      </c>
      <c r="B3069" s="4" t="s">
        <v>1059</v>
      </c>
      <c r="C3069" s="25" t="s">
        <v>7</v>
      </c>
      <c r="G3069" s="25" t="s">
        <v>1089</v>
      </c>
      <c r="H3069" s="24" t="s">
        <v>1061</v>
      </c>
      <c r="I3069" s="3" t="str">
        <f>IFERROR(VLOOKUP(C3069,'Справочник соответствий'!A$2:D$2981,2,FALSE),IF(VALUE(C3069)=0,1,VLOOKUP(C3069,'Справочник соответствий'!A$2:D$2981,2,FALSE)))</f>
        <v>2</v>
      </c>
      <c r="J3069" s="3">
        <f>IFERROR(VLOOKUP(D3069,'Справочник соответствий'!A$2:D$2981,2,FALSE),IF(VALUE(D3069)=0,0,VLOOKUP(D3069,'Справочник соответствий'!A$2:D$2981,2,FALSE)))</f>
        <v>0</v>
      </c>
      <c r="K3069" s="3" t="str">
        <f t="shared" si="329"/>
        <v>2</v>
      </c>
      <c r="L3069" s="13" t="str">
        <f>IFERROR(VLOOKUP(C3069,'Справочник соответствий'!A$2:D$2981,3,FALSE),IF(VALUE(C3069)=0,"ЭТАЖ НЕ ОПРЕДЕЛЕН. ПРИНЯТ ПО ДОПУЩЕНИЮ 1",VLOOKUP(C3069,'Справочник соответствий'!A$2:D$2981,3,FALSE)))</f>
        <v>ЭТАЖ ЗАДАН ЧИСЛОМ</v>
      </c>
      <c r="M3069" s="13" t="b">
        <f t="shared" si="330"/>
        <v>0</v>
      </c>
      <c r="N3069" s="13">
        <f t="shared" si="331"/>
        <v>2</v>
      </c>
      <c r="O3069" s="13" t="str">
        <f t="shared" si="332"/>
        <v>ЭТАЖ ЗАДАН ЧИСЛОМ</v>
      </c>
      <c r="P3069" s="13" t="str">
        <f t="shared" si="333"/>
        <v>ЭТАЖ ЗАДАН ЧИСЛОМ</v>
      </c>
      <c r="Q3069" s="13" t="str">
        <f t="shared" si="334"/>
        <v>ГОТОВ_ИЗМЕНЕН</v>
      </c>
      <c r="R3069" s="13">
        <f>IFERROR(VLOOKUP(P3069,Лист1!A$1:B$20,2,FALSE),0)</f>
        <v>784</v>
      </c>
      <c r="S3069" s="13">
        <f t="shared" si="335"/>
        <v>0</v>
      </c>
    </row>
    <row r="3070" spans="1:19" x14ac:dyDescent="0.25">
      <c r="A3070" s="24" t="s">
        <v>4202</v>
      </c>
      <c r="B3070" s="4" t="s">
        <v>1063</v>
      </c>
      <c r="G3070" s="25" t="s">
        <v>1089</v>
      </c>
      <c r="H3070" s="24" t="s">
        <v>1061</v>
      </c>
      <c r="I3070" s="3">
        <f>IFERROR(VLOOKUP(C3070,'Справочник соответствий'!A$2:D$2981,2,FALSE),IF(VALUE(C3070)=0,1,VLOOKUP(C3070,'Справочник соответствий'!A$2:D$2981,2,FALSE)))</f>
        <v>1</v>
      </c>
      <c r="J3070" s="3">
        <f>IFERROR(VLOOKUP(D3070,'Справочник соответствий'!A$2:D$2981,2,FALSE),IF(VALUE(D3070)=0,0,VLOOKUP(D3070,'Справочник соответствий'!A$2:D$2981,2,FALSE)))</f>
        <v>0</v>
      </c>
      <c r="K3070" s="3">
        <f t="shared" si="329"/>
        <v>1</v>
      </c>
      <c r="L3070" s="13" t="str">
        <f>IFERROR(VLOOKUP(C3070,'Справочник соответствий'!A$2:D$2981,3,FALSE),IF(VALUE(C3070)=0,"ЭТАЖ НЕ ОПРЕДЕЛЕН. ПРИНЯТ ПО ДОПУЩЕНИЮ 1",VLOOKUP(C3070,'Справочник соответствий'!A$2:D$2981,3,FALSE)))</f>
        <v>ЭТАЖ НЕ ОПРЕДЕЛЕН. ПРИНЯТ ПО ДОПУЩЕНИЮ 1</v>
      </c>
      <c r="M3070" s="13" t="b">
        <f t="shared" si="330"/>
        <v>0</v>
      </c>
      <c r="N3070" s="13">
        <f t="shared" si="331"/>
        <v>1</v>
      </c>
      <c r="O3070" s="13" t="str">
        <f t="shared" si="332"/>
        <v>ЭТАЖ НЕ ОПРЕДЕЛЕН. ПРИНЯТ ПО ДОПУЩЕНИЮ 1</v>
      </c>
      <c r="P3070" s="13" t="str">
        <f t="shared" si="333"/>
        <v>ЭТАЖ НЕ ОПРЕДЕЛЕН. ПРИНЯТ ПО ДОПУЩЕНИЮ 1</v>
      </c>
      <c r="Q3070" s="13" t="str">
        <f t="shared" si="334"/>
        <v>ГОТОВ_ИЗМЕНЕН</v>
      </c>
      <c r="R3070" s="13">
        <f>IFERROR(VLOOKUP(P3070,Лист1!A$1:B$20,2,FALSE),0)</f>
        <v>788</v>
      </c>
      <c r="S3070" s="13">
        <f t="shared" si="335"/>
        <v>0</v>
      </c>
    </row>
    <row r="3071" spans="1:19" x14ac:dyDescent="0.25">
      <c r="A3071" s="24" t="s">
        <v>4203</v>
      </c>
      <c r="B3071" s="4" t="s">
        <v>1059</v>
      </c>
      <c r="C3071" s="25" t="s">
        <v>5</v>
      </c>
      <c r="G3071" s="25" t="s">
        <v>1089</v>
      </c>
      <c r="H3071" s="24" t="s">
        <v>1061</v>
      </c>
      <c r="I3071" s="3" t="str">
        <f>IFERROR(VLOOKUP(C3071,'Справочник соответствий'!A$2:D$2981,2,FALSE),IF(VALUE(C3071)=0,1,VLOOKUP(C3071,'Справочник соответствий'!A$2:D$2981,2,FALSE)))</f>
        <v>1</v>
      </c>
      <c r="J3071" s="3">
        <f>IFERROR(VLOOKUP(D3071,'Справочник соответствий'!A$2:D$2981,2,FALSE),IF(VALUE(D3071)=0,0,VLOOKUP(D3071,'Справочник соответствий'!A$2:D$2981,2,FALSE)))</f>
        <v>0</v>
      </c>
      <c r="K3071" s="3" t="str">
        <f t="shared" si="329"/>
        <v>1</v>
      </c>
      <c r="L3071" s="13" t="str">
        <f>IFERROR(VLOOKUP(C3071,'Справочник соответствий'!A$2:D$2981,3,FALSE),IF(VALUE(C3071)=0,"ЭТАЖ НЕ ОПРЕДЕЛЕН. ПРИНЯТ ПО ДОПУЩЕНИЮ 1",VLOOKUP(C3071,'Справочник соответствий'!A$2:D$2981,3,FALSE)))</f>
        <v>ЭТАЖ ЗАДАН ЧИСЛОМ</v>
      </c>
      <c r="M3071" s="13" t="b">
        <f t="shared" si="330"/>
        <v>0</v>
      </c>
      <c r="N3071" s="13">
        <f t="shared" si="331"/>
        <v>1</v>
      </c>
      <c r="O3071" s="13" t="str">
        <f t="shared" si="332"/>
        <v>ЭТАЖ ЗАДАН ЧИСЛОМ</v>
      </c>
      <c r="P3071" s="13" t="str">
        <f t="shared" si="333"/>
        <v>ЭТАЖ ЗАДАН ЧИСЛОМ</v>
      </c>
      <c r="Q3071" s="13" t="str">
        <f t="shared" si="334"/>
        <v>ГОТОВ_ИЗМЕНЕН</v>
      </c>
      <c r="R3071" s="13">
        <f>IFERROR(VLOOKUP(P3071,Лист1!A$1:B$20,2,FALSE),0)</f>
        <v>784</v>
      </c>
      <c r="S3071" s="13">
        <f t="shared" si="335"/>
        <v>0</v>
      </c>
    </row>
    <row r="3072" spans="1:19" x14ac:dyDescent="0.25">
      <c r="A3072" s="24" t="s">
        <v>4204</v>
      </c>
      <c r="B3072" s="4" t="s">
        <v>1059</v>
      </c>
      <c r="C3072" s="25" t="s">
        <v>5</v>
      </c>
      <c r="G3072" s="25" t="s">
        <v>1276</v>
      </c>
      <c r="H3072" s="24" t="s">
        <v>1061</v>
      </c>
      <c r="I3072" s="3" t="str">
        <f>IFERROR(VLOOKUP(C3072,'Справочник соответствий'!A$2:D$2981,2,FALSE),IF(VALUE(C3072)=0,1,VLOOKUP(C3072,'Справочник соответствий'!A$2:D$2981,2,FALSE)))</f>
        <v>1</v>
      </c>
      <c r="J3072" s="3">
        <f>IFERROR(VLOOKUP(D3072,'Справочник соответствий'!A$2:D$2981,2,FALSE),IF(VALUE(D3072)=0,0,VLOOKUP(D3072,'Справочник соответствий'!A$2:D$2981,2,FALSE)))</f>
        <v>0</v>
      </c>
      <c r="K3072" s="3" t="str">
        <f t="shared" si="329"/>
        <v>1</v>
      </c>
      <c r="L3072" s="13" t="str">
        <f>IFERROR(VLOOKUP(C3072,'Справочник соответствий'!A$2:D$2981,3,FALSE),IF(VALUE(C3072)=0,"ЭТАЖ НЕ ОПРЕДЕЛЕН. ПРИНЯТ ПО ДОПУЩЕНИЮ 1",VLOOKUP(C3072,'Справочник соответствий'!A$2:D$2981,3,FALSE)))</f>
        <v>ЭТАЖ ЗАДАН ЧИСЛОМ</v>
      </c>
      <c r="M3072" s="13" t="b">
        <f t="shared" si="330"/>
        <v>0</v>
      </c>
      <c r="N3072" s="13">
        <f t="shared" si="331"/>
        <v>1</v>
      </c>
      <c r="O3072" s="13" t="str">
        <f t="shared" si="332"/>
        <v>ЭТАЖ ЗАДАН ЧИСЛОМ</v>
      </c>
      <c r="P3072" s="13" t="str">
        <f t="shared" si="333"/>
        <v>ЭТАЖ ЗАДАН ЧИСЛОМ</v>
      </c>
      <c r="Q3072" s="13" t="str">
        <f t="shared" si="334"/>
        <v>ГОТОВ_ИЗМЕНЕН</v>
      </c>
      <c r="R3072" s="13">
        <f>IFERROR(VLOOKUP(P3072,Лист1!A$1:B$20,2,FALSE),0)</f>
        <v>784</v>
      </c>
      <c r="S3072" s="13">
        <f t="shared" si="335"/>
        <v>0</v>
      </c>
    </row>
    <row r="3073" spans="1:19" x14ac:dyDescent="0.25">
      <c r="A3073" s="24" t="s">
        <v>4205</v>
      </c>
      <c r="B3073" s="4" t="s">
        <v>1063</v>
      </c>
      <c r="C3073" s="25" t="s">
        <v>5</v>
      </c>
      <c r="G3073" s="25" t="s">
        <v>1698</v>
      </c>
      <c r="H3073" s="24" t="s">
        <v>1061</v>
      </c>
      <c r="I3073" s="3" t="str">
        <f>IFERROR(VLOOKUP(C3073,'Справочник соответствий'!A$2:D$2981,2,FALSE),IF(VALUE(C3073)=0,1,VLOOKUP(C3073,'Справочник соответствий'!A$2:D$2981,2,FALSE)))</f>
        <v>1</v>
      </c>
      <c r="J3073" s="3">
        <f>IFERROR(VLOOKUP(D3073,'Справочник соответствий'!A$2:D$2981,2,FALSE),IF(VALUE(D3073)=0,0,VLOOKUP(D3073,'Справочник соответствий'!A$2:D$2981,2,FALSE)))</f>
        <v>0</v>
      </c>
      <c r="K3073" s="3" t="str">
        <f t="shared" si="329"/>
        <v>1</v>
      </c>
      <c r="L3073" s="13" t="str">
        <f>IFERROR(VLOOKUP(C3073,'Справочник соответствий'!A$2:D$2981,3,FALSE),IF(VALUE(C3073)=0,"ЭТАЖ НЕ ОПРЕДЕЛЕН. ПРИНЯТ ПО ДОПУЩЕНИЮ 1",VLOOKUP(C3073,'Справочник соответствий'!A$2:D$2981,3,FALSE)))</f>
        <v>ЭТАЖ ЗАДАН ЧИСЛОМ</v>
      </c>
      <c r="M3073" s="13" t="b">
        <f t="shared" si="330"/>
        <v>0</v>
      </c>
      <c r="N3073" s="13">
        <f t="shared" si="331"/>
        <v>1</v>
      </c>
      <c r="O3073" s="13" t="str">
        <f t="shared" si="332"/>
        <v>ЭТАЖ ЗАДАН ЧИСЛОМ</v>
      </c>
      <c r="P3073" s="13" t="str">
        <f t="shared" si="333"/>
        <v>ЭТАЖ ЗАДАН ЧИСЛОМ</v>
      </c>
      <c r="Q3073" s="13" t="str">
        <f t="shared" si="334"/>
        <v>ГОТОВ_ИЗМЕНЕН</v>
      </c>
      <c r="R3073" s="13">
        <f>IFERROR(VLOOKUP(P3073,Лист1!A$1:B$20,2,FALSE),0)</f>
        <v>784</v>
      </c>
      <c r="S3073" s="13">
        <f t="shared" si="335"/>
        <v>0</v>
      </c>
    </row>
    <row r="3074" spans="1:19" x14ac:dyDescent="0.25">
      <c r="A3074" s="24" t="s">
        <v>4206</v>
      </c>
      <c r="B3074" s="4" t="s">
        <v>1059</v>
      </c>
      <c r="C3074" s="25" t="s">
        <v>7</v>
      </c>
      <c r="G3074" s="25" t="s">
        <v>1698</v>
      </c>
      <c r="H3074" s="24" t="s">
        <v>1061</v>
      </c>
      <c r="I3074" s="3" t="str">
        <f>IFERROR(VLOOKUP(C3074,'Справочник соответствий'!A$2:D$2981,2,FALSE),IF(VALUE(C3074)=0,1,VLOOKUP(C3074,'Справочник соответствий'!A$2:D$2981,2,FALSE)))</f>
        <v>2</v>
      </c>
      <c r="J3074" s="3">
        <f>IFERROR(VLOOKUP(D3074,'Справочник соответствий'!A$2:D$2981,2,FALSE),IF(VALUE(D3074)=0,0,VLOOKUP(D3074,'Справочник соответствий'!A$2:D$2981,2,FALSE)))</f>
        <v>0</v>
      </c>
      <c r="K3074" s="3" t="str">
        <f t="shared" si="329"/>
        <v>2</v>
      </c>
      <c r="L3074" s="13" t="str">
        <f>IFERROR(VLOOKUP(C3074,'Справочник соответствий'!A$2:D$2981,3,FALSE),IF(VALUE(C3074)=0,"ЭТАЖ НЕ ОПРЕДЕЛЕН. ПРИНЯТ ПО ДОПУЩЕНИЮ 1",VLOOKUP(C3074,'Справочник соответствий'!A$2:D$2981,3,FALSE)))</f>
        <v>ЭТАЖ ЗАДАН ЧИСЛОМ</v>
      </c>
      <c r="M3074" s="13" t="b">
        <f t="shared" si="330"/>
        <v>0</v>
      </c>
      <c r="N3074" s="13">
        <f t="shared" si="331"/>
        <v>2</v>
      </c>
      <c r="O3074" s="13" t="str">
        <f t="shared" si="332"/>
        <v>ЭТАЖ ЗАДАН ЧИСЛОМ</v>
      </c>
      <c r="P3074" s="13" t="str">
        <f t="shared" si="333"/>
        <v>ЭТАЖ ЗАДАН ЧИСЛОМ</v>
      </c>
      <c r="Q3074" s="13" t="str">
        <f t="shared" si="334"/>
        <v>ГОТОВ_ИЗМЕНЕН</v>
      </c>
      <c r="R3074" s="13">
        <f>IFERROR(VLOOKUP(P3074,Лист1!A$1:B$20,2,FALSE),0)</f>
        <v>784</v>
      </c>
      <c r="S3074" s="13">
        <f t="shared" si="335"/>
        <v>0</v>
      </c>
    </row>
    <row r="3075" spans="1:19" x14ac:dyDescent="0.25">
      <c r="A3075" s="24" t="s">
        <v>4207</v>
      </c>
      <c r="B3075" s="4" t="s">
        <v>1059</v>
      </c>
      <c r="C3075" s="25" t="s">
        <v>21</v>
      </c>
      <c r="G3075" s="25" t="s">
        <v>1698</v>
      </c>
      <c r="H3075" s="24" t="s">
        <v>1061</v>
      </c>
      <c r="I3075" s="3" t="str">
        <f>IFERROR(VLOOKUP(C3075,'Справочник соответствий'!A$2:D$2981,2,FALSE),IF(VALUE(C3075)=0,1,VLOOKUP(C3075,'Справочник соответствий'!A$2:D$2981,2,FALSE)))</f>
        <v>2</v>
      </c>
      <c r="J3075" s="3">
        <f>IFERROR(VLOOKUP(D3075,'Справочник соответствий'!A$2:D$2981,2,FALSE),IF(VALUE(D3075)=0,0,VLOOKUP(D3075,'Справочник соответствий'!A$2:D$2981,2,FALSE)))</f>
        <v>0</v>
      </c>
      <c r="K3075" s="3" t="str">
        <f t="shared" si="329"/>
        <v>2</v>
      </c>
      <c r="L3075" s="13" t="str">
        <f>IFERROR(VLOOKUP(C3075,'Справочник соответствий'!A$2:D$2981,3,FALSE),IF(VALUE(C3075)=0,"ЭТАЖ НЕ ОПРЕДЕЛЕН. ПРИНЯТ ПО ДОПУЩЕНИЮ 1",VLOOKUP(C3075,'Справочник соответствий'!A$2:D$2981,3,FALSE)))</f>
        <v>СПРАВОЧНИК ЭТАЖНОСТИ</v>
      </c>
      <c r="M3075" s="13" t="b">
        <f t="shared" si="330"/>
        <v>0</v>
      </c>
      <c r="N3075" s="13">
        <f t="shared" si="331"/>
        <v>2</v>
      </c>
      <c r="O3075" s="13" t="str">
        <f t="shared" si="332"/>
        <v>СПРАВОЧНИК ЭТАЖНОСТИ</v>
      </c>
      <c r="P3075" s="13" t="str">
        <f t="shared" si="333"/>
        <v>СПРАВОЧНИК ЭТАЖНОСТИ</v>
      </c>
      <c r="Q3075" s="13" t="str">
        <f t="shared" si="334"/>
        <v>ГОТОВ_ИЗМЕНЕН</v>
      </c>
      <c r="R3075" s="13">
        <f>IFERROR(VLOOKUP(P3075,Лист1!A$1:B$20,2,FALSE),0)</f>
        <v>785</v>
      </c>
      <c r="S3075" s="13">
        <f t="shared" si="335"/>
        <v>0</v>
      </c>
    </row>
    <row r="3076" spans="1:19" x14ac:dyDescent="0.25">
      <c r="A3076" s="24" t="s">
        <v>4208</v>
      </c>
      <c r="B3076" s="4" t="s">
        <v>1063</v>
      </c>
      <c r="C3076" s="25" t="s">
        <v>5</v>
      </c>
      <c r="G3076" s="25" t="s">
        <v>1698</v>
      </c>
      <c r="H3076" s="24" t="s">
        <v>1061</v>
      </c>
      <c r="I3076" s="3" t="str">
        <f>IFERROR(VLOOKUP(C3076,'Справочник соответствий'!A$2:D$2981,2,FALSE),IF(VALUE(C3076)=0,1,VLOOKUP(C3076,'Справочник соответствий'!A$2:D$2981,2,FALSE)))</f>
        <v>1</v>
      </c>
      <c r="J3076" s="3">
        <f>IFERROR(VLOOKUP(D3076,'Справочник соответствий'!A$2:D$2981,2,FALSE),IF(VALUE(D3076)=0,0,VLOOKUP(D3076,'Справочник соответствий'!A$2:D$2981,2,FALSE)))</f>
        <v>0</v>
      </c>
      <c r="K3076" s="3" t="str">
        <f t="shared" si="329"/>
        <v>1</v>
      </c>
      <c r="L3076" s="13" t="str">
        <f>IFERROR(VLOOKUP(C3076,'Справочник соответствий'!A$2:D$2981,3,FALSE),IF(VALUE(C3076)=0,"ЭТАЖ НЕ ОПРЕДЕЛЕН. ПРИНЯТ ПО ДОПУЩЕНИЮ 1",VLOOKUP(C3076,'Справочник соответствий'!A$2:D$2981,3,FALSE)))</f>
        <v>ЭТАЖ ЗАДАН ЧИСЛОМ</v>
      </c>
      <c r="M3076" s="13" t="b">
        <f t="shared" si="330"/>
        <v>0</v>
      </c>
      <c r="N3076" s="13">
        <f t="shared" si="331"/>
        <v>1</v>
      </c>
      <c r="O3076" s="13" t="str">
        <f t="shared" si="332"/>
        <v>ЭТАЖ ЗАДАН ЧИСЛОМ</v>
      </c>
      <c r="P3076" s="13" t="str">
        <f t="shared" si="333"/>
        <v>ЭТАЖ ЗАДАН ЧИСЛОМ</v>
      </c>
      <c r="Q3076" s="13" t="str">
        <f t="shared" si="334"/>
        <v>ГОТОВ_ИЗМЕНЕН</v>
      </c>
      <c r="R3076" s="13">
        <f>IFERROR(VLOOKUP(P3076,Лист1!A$1:B$20,2,FALSE),0)</f>
        <v>784</v>
      </c>
      <c r="S3076" s="13">
        <f t="shared" si="335"/>
        <v>0</v>
      </c>
    </row>
    <row r="3077" spans="1:19" x14ac:dyDescent="0.25">
      <c r="A3077" s="24" t="s">
        <v>4209</v>
      </c>
      <c r="B3077" s="4" t="s">
        <v>1063</v>
      </c>
      <c r="C3077" s="25" t="s">
        <v>7</v>
      </c>
      <c r="G3077" s="25" t="s">
        <v>1698</v>
      </c>
      <c r="H3077" s="24" t="s">
        <v>1061</v>
      </c>
      <c r="I3077" s="3" t="str">
        <f>IFERROR(VLOOKUP(C3077,'Справочник соответствий'!A$2:D$2981,2,FALSE),IF(VALUE(C3077)=0,1,VLOOKUP(C3077,'Справочник соответствий'!A$2:D$2981,2,FALSE)))</f>
        <v>2</v>
      </c>
      <c r="J3077" s="3">
        <f>IFERROR(VLOOKUP(D3077,'Справочник соответствий'!A$2:D$2981,2,FALSE),IF(VALUE(D3077)=0,0,VLOOKUP(D3077,'Справочник соответствий'!A$2:D$2981,2,FALSE)))</f>
        <v>0</v>
      </c>
      <c r="K3077" s="3" t="str">
        <f t="shared" ref="K3077:K3140" si="336">IF(B3077="Многоквартирный дом",IF(I3077-J3077&gt;0,I3077-J3077,1),I3077)</f>
        <v>2</v>
      </c>
      <c r="L3077" s="13" t="str">
        <f>IFERROR(VLOOKUP(C3077,'Справочник соответствий'!A$2:D$2981,3,FALSE),IF(VALUE(C3077)=0,"ЭТАЖ НЕ ОПРЕДЕЛЕН. ПРИНЯТ ПО ДОПУЩЕНИЮ 1",VLOOKUP(C3077,'Справочник соответствий'!A$2:D$2981,3,FALSE)))</f>
        <v>ЭТАЖ ЗАДАН ЧИСЛОМ</v>
      </c>
      <c r="M3077" s="13" t="b">
        <f t="shared" ref="M3077:M3140" si="337">I3077=E3077</f>
        <v>0</v>
      </c>
      <c r="N3077" s="13">
        <f t="shared" ref="N3077:N3140" si="338">IF(VALUE(E3077)=0,VALUE(K3077),IF(L3077="ЭТАЖ НЕ ОПРЕДЕЛЕН. ПРИНЯТ ПО ДОПУЩЕНИЮ 1",VALUE(E3077),VALUE(K3077)))</f>
        <v>2</v>
      </c>
      <c r="O3077" s="13" t="str">
        <f t="shared" ref="O3077:O3140" si="339">IF(VALUE(E3077)=0,L3077,IF(L3077="ЭТАЖ НЕ ОПРЕДЕЛЕН. ПРИНЯТ ПО ДОПУЩЕНИЮ 1",F3077,L3077))</f>
        <v>ЭТАЖ ЗАДАН ЧИСЛОМ</v>
      </c>
      <c r="P3077" s="13" t="str">
        <f t="shared" ref="P3077:P3140" si="340">IF(B3077="Многоквартирный дом",CONCATENATE("МКД_",O3077),O3077)</f>
        <v>ЭТАЖ ЗАДАН ЧИСЛОМ</v>
      </c>
      <c r="Q3077" s="13" t="str">
        <f t="shared" ref="Q3077:Q3140" si="341">IFERROR(IF(N3077&gt;0,IF(N3077=VALUE(E3077),"ГОТОВ","ГОТОВ_ИЗМЕНЕН"),"НЕ ГОТОВ"),"НЕ ГОТОВ")</f>
        <v>ГОТОВ_ИЗМЕНЕН</v>
      </c>
      <c r="R3077" s="13">
        <f>IFERROR(VLOOKUP(P3077,Лист1!A$1:B$20,2,FALSE),0)</f>
        <v>784</v>
      </c>
      <c r="S3077" s="13">
        <f t="shared" ref="S3077:S3140" si="342">VALUE(E3077)</f>
        <v>0</v>
      </c>
    </row>
    <row r="3078" spans="1:19" x14ac:dyDescent="0.25">
      <c r="A3078" s="24" t="s">
        <v>4210</v>
      </c>
      <c r="B3078" s="4" t="s">
        <v>1063</v>
      </c>
      <c r="G3078" s="25" t="s">
        <v>1698</v>
      </c>
      <c r="H3078" s="24" t="s">
        <v>1061</v>
      </c>
      <c r="I3078" s="3">
        <f>IFERROR(VLOOKUP(C3078,'Справочник соответствий'!A$2:D$2981,2,FALSE),IF(VALUE(C3078)=0,1,VLOOKUP(C3078,'Справочник соответствий'!A$2:D$2981,2,FALSE)))</f>
        <v>1</v>
      </c>
      <c r="J3078" s="3">
        <f>IFERROR(VLOOKUP(D3078,'Справочник соответствий'!A$2:D$2981,2,FALSE),IF(VALUE(D3078)=0,0,VLOOKUP(D3078,'Справочник соответствий'!A$2:D$2981,2,FALSE)))</f>
        <v>0</v>
      </c>
      <c r="K3078" s="3">
        <f t="shared" si="336"/>
        <v>1</v>
      </c>
      <c r="L3078" s="13" t="str">
        <f>IFERROR(VLOOKUP(C3078,'Справочник соответствий'!A$2:D$2981,3,FALSE),IF(VALUE(C3078)=0,"ЭТАЖ НЕ ОПРЕДЕЛЕН. ПРИНЯТ ПО ДОПУЩЕНИЮ 1",VLOOKUP(C3078,'Справочник соответствий'!A$2:D$2981,3,FALSE)))</f>
        <v>ЭТАЖ НЕ ОПРЕДЕЛЕН. ПРИНЯТ ПО ДОПУЩЕНИЮ 1</v>
      </c>
      <c r="M3078" s="13" t="b">
        <f t="shared" si="337"/>
        <v>0</v>
      </c>
      <c r="N3078" s="13">
        <f t="shared" si="338"/>
        <v>1</v>
      </c>
      <c r="O3078" s="13" t="str">
        <f t="shared" si="339"/>
        <v>ЭТАЖ НЕ ОПРЕДЕЛЕН. ПРИНЯТ ПО ДОПУЩЕНИЮ 1</v>
      </c>
      <c r="P3078" s="13" t="str">
        <f t="shared" si="340"/>
        <v>ЭТАЖ НЕ ОПРЕДЕЛЕН. ПРИНЯТ ПО ДОПУЩЕНИЮ 1</v>
      </c>
      <c r="Q3078" s="13" t="str">
        <f t="shared" si="341"/>
        <v>ГОТОВ_ИЗМЕНЕН</v>
      </c>
      <c r="R3078" s="13">
        <f>IFERROR(VLOOKUP(P3078,Лист1!A$1:B$20,2,FALSE),0)</f>
        <v>788</v>
      </c>
      <c r="S3078" s="13">
        <f t="shared" si="342"/>
        <v>0</v>
      </c>
    </row>
    <row r="3079" spans="1:19" x14ac:dyDescent="0.25">
      <c r="A3079" s="24" t="s">
        <v>4211</v>
      </c>
      <c r="B3079" s="4" t="s">
        <v>1063</v>
      </c>
      <c r="C3079" s="25" t="s">
        <v>5</v>
      </c>
      <c r="G3079" s="25" t="s">
        <v>1391</v>
      </c>
      <c r="H3079" s="24" t="s">
        <v>1061</v>
      </c>
      <c r="I3079" s="3" t="str">
        <f>IFERROR(VLOOKUP(C3079,'Справочник соответствий'!A$2:D$2981,2,FALSE),IF(VALUE(C3079)=0,1,VLOOKUP(C3079,'Справочник соответствий'!A$2:D$2981,2,FALSE)))</f>
        <v>1</v>
      </c>
      <c r="J3079" s="3">
        <f>IFERROR(VLOOKUP(D3079,'Справочник соответствий'!A$2:D$2981,2,FALSE),IF(VALUE(D3079)=0,0,VLOOKUP(D3079,'Справочник соответствий'!A$2:D$2981,2,FALSE)))</f>
        <v>0</v>
      </c>
      <c r="K3079" s="3" t="str">
        <f t="shared" si="336"/>
        <v>1</v>
      </c>
      <c r="L3079" s="13" t="str">
        <f>IFERROR(VLOOKUP(C3079,'Справочник соответствий'!A$2:D$2981,3,FALSE),IF(VALUE(C3079)=0,"ЭТАЖ НЕ ОПРЕДЕЛЕН. ПРИНЯТ ПО ДОПУЩЕНИЮ 1",VLOOKUP(C3079,'Справочник соответствий'!A$2:D$2981,3,FALSE)))</f>
        <v>ЭТАЖ ЗАДАН ЧИСЛОМ</v>
      </c>
      <c r="M3079" s="13" t="b">
        <f t="shared" si="337"/>
        <v>0</v>
      </c>
      <c r="N3079" s="13">
        <f t="shared" si="338"/>
        <v>1</v>
      </c>
      <c r="O3079" s="13" t="str">
        <f t="shared" si="339"/>
        <v>ЭТАЖ ЗАДАН ЧИСЛОМ</v>
      </c>
      <c r="P3079" s="13" t="str">
        <f t="shared" si="340"/>
        <v>ЭТАЖ ЗАДАН ЧИСЛОМ</v>
      </c>
      <c r="Q3079" s="13" t="str">
        <f t="shared" si="341"/>
        <v>ГОТОВ_ИЗМЕНЕН</v>
      </c>
      <c r="R3079" s="13">
        <f>IFERROR(VLOOKUP(P3079,Лист1!A$1:B$20,2,FALSE),0)</f>
        <v>784</v>
      </c>
      <c r="S3079" s="13">
        <f t="shared" si="342"/>
        <v>0</v>
      </c>
    </row>
    <row r="3080" spans="1:19" x14ac:dyDescent="0.25">
      <c r="A3080" s="24" t="s">
        <v>4212</v>
      </c>
      <c r="B3080" s="4" t="s">
        <v>1063</v>
      </c>
      <c r="G3080" s="25" t="s">
        <v>1391</v>
      </c>
      <c r="H3080" s="24" t="s">
        <v>1061</v>
      </c>
      <c r="I3080" s="3">
        <f>IFERROR(VLOOKUP(C3080,'Справочник соответствий'!A$2:D$2981,2,FALSE),IF(VALUE(C3080)=0,1,VLOOKUP(C3080,'Справочник соответствий'!A$2:D$2981,2,FALSE)))</f>
        <v>1</v>
      </c>
      <c r="J3080" s="3">
        <f>IFERROR(VLOOKUP(D3080,'Справочник соответствий'!A$2:D$2981,2,FALSE),IF(VALUE(D3080)=0,0,VLOOKUP(D3080,'Справочник соответствий'!A$2:D$2981,2,FALSE)))</f>
        <v>0</v>
      </c>
      <c r="K3080" s="3">
        <f t="shared" si="336"/>
        <v>1</v>
      </c>
      <c r="L3080" s="13" t="str">
        <f>IFERROR(VLOOKUP(C3080,'Справочник соответствий'!A$2:D$2981,3,FALSE),IF(VALUE(C3080)=0,"ЭТАЖ НЕ ОПРЕДЕЛЕН. ПРИНЯТ ПО ДОПУЩЕНИЮ 1",VLOOKUP(C3080,'Справочник соответствий'!A$2:D$2981,3,FALSE)))</f>
        <v>ЭТАЖ НЕ ОПРЕДЕЛЕН. ПРИНЯТ ПО ДОПУЩЕНИЮ 1</v>
      </c>
      <c r="M3080" s="13" t="b">
        <f t="shared" si="337"/>
        <v>0</v>
      </c>
      <c r="N3080" s="13">
        <f t="shared" si="338"/>
        <v>1</v>
      </c>
      <c r="O3080" s="13" t="str">
        <f t="shared" si="339"/>
        <v>ЭТАЖ НЕ ОПРЕДЕЛЕН. ПРИНЯТ ПО ДОПУЩЕНИЮ 1</v>
      </c>
      <c r="P3080" s="13" t="str">
        <f t="shared" si="340"/>
        <v>ЭТАЖ НЕ ОПРЕДЕЛЕН. ПРИНЯТ ПО ДОПУЩЕНИЮ 1</v>
      </c>
      <c r="Q3080" s="13" t="str">
        <f t="shared" si="341"/>
        <v>ГОТОВ_ИЗМЕНЕН</v>
      </c>
      <c r="R3080" s="13">
        <f>IFERROR(VLOOKUP(P3080,Лист1!A$1:B$20,2,FALSE),0)</f>
        <v>788</v>
      </c>
      <c r="S3080" s="13">
        <f t="shared" si="342"/>
        <v>0</v>
      </c>
    </row>
    <row r="3081" spans="1:19" x14ac:dyDescent="0.25">
      <c r="A3081" s="24" t="s">
        <v>4213</v>
      </c>
      <c r="B3081" s="4" t="s">
        <v>1063</v>
      </c>
      <c r="C3081" s="25" t="s">
        <v>5</v>
      </c>
      <c r="G3081" s="25" t="s">
        <v>1391</v>
      </c>
      <c r="H3081" s="24" t="s">
        <v>1061</v>
      </c>
      <c r="I3081" s="3" t="str">
        <f>IFERROR(VLOOKUP(C3081,'Справочник соответствий'!A$2:D$2981,2,FALSE),IF(VALUE(C3081)=0,1,VLOOKUP(C3081,'Справочник соответствий'!A$2:D$2981,2,FALSE)))</f>
        <v>1</v>
      </c>
      <c r="J3081" s="3">
        <f>IFERROR(VLOOKUP(D3081,'Справочник соответствий'!A$2:D$2981,2,FALSE),IF(VALUE(D3081)=0,0,VLOOKUP(D3081,'Справочник соответствий'!A$2:D$2981,2,FALSE)))</f>
        <v>0</v>
      </c>
      <c r="K3081" s="3" t="str">
        <f t="shared" si="336"/>
        <v>1</v>
      </c>
      <c r="L3081" s="13" t="str">
        <f>IFERROR(VLOOKUP(C3081,'Справочник соответствий'!A$2:D$2981,3,FALSE),IF(VALUE(C3081)=0,"ЭТАЖ НЕ ОПРЕДЕЛЕН. ПРИНЯТ ПО ДОПУЩЕНИЮ 1",VLOOKUP(C3081,'Справочник соответствий'!A$2:D$2981,3,FALSE)))</f>
        <v>ЭТАЖ ЗАДАН ЧИСЛОМ</v>
      </c>
      <c r="M3081" s="13" t="b">
        <f t="shared" si="337"/>
        <v>0</v>
      </c>
      <c r="N3081" s="13">
        <f t="shared" si="338"/>
        <v>1</v>
      </c>
      <c r="O3081" s="13" t="str">
        <f t="shared" si="339"/>
        <v>ЭТАЖ ЗАДАН ЧИСЛОМ</v>
      </c>
      <c r="P3081" s="13" t="str">
        <f t="shared" si="340"/>
        <v>ЭТАЖ ЗАДАН ЧИСЛОМ</v>
      </c>
      <c r="Q3081" s="13" t="str">
        <f t="shared" si="341"/>
        <v>ГОТОВ_ИЗМЕНЕН</v>
      </c>
      <c r="R3081" s="13">
        <f>IFERROR(VLOOKUP(P3081,Лист1!A$1:B$20,2,FALSE),0)</f>
        <v>784</v>
      </c>
      <c r="S3081" s="13">
        <f t="shared" si="342"/>
        <v>0</v>
      </c>
    </row>
    <row r="3082" spans="1:19" x14ac:dyDescent="0.25">
      <c r="A3082" s="24" t="s">
        <v>4214</v>
      </c>
      <c r="B3082" s="4" t="s">
        <v>1059</v>
      </c>
      <c r="C3082" s="25" t="s">
        <v>7</v>
      </c>
      <c r="G3082" s="25" t="s">
        <v>1347</v>
      </c>
      <c r="H3082" s="24" t="s">
        <v>1061</v>
      </c>
      <c r="I3082" s="3" t="str">
        <f>IFERROR(VLOOKUP(C3082,'Справочник соответствий'!A$2:D$2981,2,FALSE),IF(VALUE(C3082)=0,1,VLOOKUP(C3082,'Справочник соответствий'!A$2:D$2981,2,FALSE)))</f>
        <v>2</v>
      </c>
      <c r="J3082" s="3">
        <f>IFERROR(VLOOKUP(D3082,'Справочник соответствий'!A$2:D$2981,2,FALSE),IF(VALUE(D3082)=0,0,VLOOKUP(D3082,'Справочник соответствий'!A$2:D$2981,2,FALSE)))</f>
        <v>0</v>
      </c>
      <c r="K3082" s="3" t="str">
        <f t="shared" si="336"/>
        <v>2</v>
      </c>
      <c r="L3082" s="13" t="str">
        <f>IFERROR(VLOOKUP(C3082,'Справочник соответствий'!A$2:D$2981,3,FALSE),IF(VALUE(C3082)=0,"ЭТАЖ НЕ ОПРЕДЕЛЕН. ПРИНЯТ ПО ДОПУЩЕНИЮ 1",VLOOKUP(C3082,'Справочник соответствий'!A$2:D$2981,3,FALSE)))</f>
        <v>ЭТАЖ ЗАДАН ЧИСЛОМ</v>
      </c>
      <c r="M3082" s="13" t="b">
        <f t="shared" si="337"/>
        <v>0</v>
      </c>
      <c r="N3082" s="13">
        <f t="shared" si="338"/>
        <v>2</v>
      </c>
      <c r="O3082" s="13" t="str">
        <f t="shared" si="339"/>
        <v>ЭТАЖ ЗАДАН ЧИСЛОМ</v>
      </c>
      <c r="P3082" s="13" t="str">
        <f t="shared" si="340"/>
        <v>ЭТАЖ ЗАДАН ЧИСЛОМ</v>
      </c>
      <c r="Q3082" s="13" t="str">
        <f t="shared" si="341"/>
        <v>ГОТОВ_ИЗМЕНЕН</v>
      </c>
      <c r="R3082" s="13">
        <f>IFERROR(VLOOKUP(P3082,Лист1!A$1:B$20,2,FALSE),0)</f>
        <v>784</v>
      </c>
      <c r="S3082" s="13">
        <f t="shared" si="342"/>
        <v>0</v>
      </c>
    </row>
    <row r="3083" spans="1:19" x14ac:dyDescent="0.25">
      <c r="A3083" s="24" t="s">
        <v>4215</v>
      </c>
      <c r="B3083" s="4" t="s">
        <v>1059</v>
      </c>
      <c r="C3083" s="25" t="s">
        <v>5</v>
      </c>
      <c r="G3083" s="25" t="s">
        <v>1347</v>
      </c>
      <c r="H3083" s="24" t="s">
        <v>1061</v>
      </c>
      <c r="I3083" s="3" t="str">
        <f>IFERROR(VLOOKUP(C3083,'Справочник соответствий'!A$2:D$2981,2,FALSE),IF(VALUE(C3083)=0,1,VLOOKUP(C3083,'Справочник соответствий'!A$2:D$2981,2,FALSE)))</f>
        <v>1</v>
      </c>
      <c r="J3083" s="3">
        <f>IFERROR(VLOOKUP(D3083,'Справочник соответствий'!A$2:D$2981,2,FALSE),IF(VALUE(D3083)=0,0,VLOOKUP(D3083,'Справочник соответствий'!A$2:D$2981,2,FALSE)))</f>
        <v>0</v>
      </c>
      <c r="K3083" s="3" t="str">
        <f t="shared" si="336"/>
        <v>1</v>
      </c>
      <c r="L3083" s="13" t="str">
        <f>IFERROR(VLOOKUP(C3083,'Справочник соответствий'!A$2:D$2981,3,FALSE),IF(VALUE(C3083)=0,"ЭТАЖ НЕ ОПРЕДЕЛЕН. ПРИНЯТ ПО ДОПУЩЕНИЮ 1",VLOOKUP(C3083,'Справочник соответствий'!A$2:D$2981,3,FALSE)))</f>
        <v>ЭТАЖ ЗАДАН ЧИСЛОМ</v>
      </c>
      <c r="M3083" s="13" t="b">
        <f t="shared" si="337"/>
        <v>0</v>
      </c>
      <c r="N3083" s="13">
        <f t="shared" si="338"/>
        <v>1</v>
      </c>
      <c r="O3083" s="13" t="str">
        <f t="shared" si="339"/>
        <v>ЭТАЖ ЗАДАН ЧИСЛОМ</v>
      </c>
      <c r="P3083" s="13" t="str">
        <f t="shared" si="340"/>
        <v>ЭТАЖ ЗАДАН ЧИСЛОМ</v>
      </c>
      <c r="Q3083" s="13" t="str">
        <f t="shared" si="341"/>
        <v>ГОТОВ_ИЗМЕНЕН</v>
      </c>
      <c r="R3083" s="13">
        <f>IFERROR(VLOOKUP(P3083,Лист1!A$1:B$20,2,FALSE),0)</f>
        <v>784</v>
      </c>
      <c r="S3083" s="13">
        <f t="shared" si="342"/>
        <v>0</v>
      </c>
    </row>
    <row r="3084" spans="1:19" x14ac:dyDescent="0.25">
      <c r="A3084" s="24" t="s">
        <v>4216</v>
      </c>
      <c r="B3084" s="4" t="s">
        <v>1059</v>
      </c>
      <c r="C3084" s="25" t="s">
        <v>5</v>
      </c>
      <c r="G3084" s="25" t="s">
        <v>1347</v>
      </c>
      <c r="H3084" s="24" t="s">
        <v>1061</v>
      </c>
      <c r="I3084" s="3" t="str">
        <f>IFERROR(VLOOKUP(C3084,'Справочник соответствий'!A$2:D$2981,2,FALSE),IF(VALUE(C3084)=0,1,VLOOKUP(C3084,'Справочник соответствий'!A$2:D$2981,2,FALSE)))</f>
        <v>1</v>
      </c>
      <c r="J3084" s="3">
        <f>IFERROR(VLOOKUP(D3084,'Справочник соответствий'!A$2:D$2981,2,FALSE),IF(VALUE(D3084)=0,0,VLOOKUP(D3084,'Справочник соответствий'!A$2:D$2981,2,FALSE)))</f>
        <v>0</v>
      </c>
      <c r="K3084" s="3" t="str">
        <f t="shared" si="336"/>
        <v>1</v>
      </c>
      <c r="L3084" s="13" t="str">
        <f>IFERROR(VLOOKUP(C3084,'Справочник соответствий'!A$2:D$2981,3,FALSE),IF(VALUE(C3084)=0,"ЭТАЖ НЕ ОПРЕДЕЛЕН. ПРИНЯТ ПО ДОПУЩЕНИЮ 1",VLOOKUP(C3084,'Справочник соответствий'!A$2:D$2981,3,FALSE)))</f>
        <v>ЭТАЖ ЗАДАН ЧИСЛОМ</v>
      </c>
      <c r="M3084" s="13" t="b">
        <f t="shared" si="337"/>
        <v>0</v>
      </c>
      <c r="N3084" s="13">
        <f t="shared" si="338"/>
        <v>1</v>
      </c>
      <c r="O3084" s="13" t="str">
        <f t="shared" si="339"/>
        <v>ЭТАЖ ЗАДАН ЧИСЛОМ</v>
      </c>
      <c r="P3084" s="13" t="str">
        <f t="shared" si="340"/>
        <v>ЭТАЖ ЗАДАН ЧИСЛОМ</v>
      </c>
      <c r="Q3084" s="13" t="str">
        <f t="shared" si="341"/>
        <v>ГОТОВ_ИЗМЕНЕН</v>
      </c>
      <c r="R3084" s="13">
        <f>IFERROR(VLOOKUP(P3084,Лист1!A$1:B$20,2,FALSE),0)</f>
        <v>784</v>
      </c>
      <c r="S3084" s="13">
        <f t="shared" si="342"/>
        <v>0</v>
      </c>
    </row>
    <row r="3085" spans="1:19" x14ac:dyDescent="0.25">
      <c r="A3085" s="24" t="s">
        <v>4217</v>
      </c>
      <c r="B3085" s="4" t="s">
        <v>1059</v>
      </c>
      <c r="C3085" s="25" t="s">
        <v>7</v>
      </c>
      <c r="G3085" s="25" t="s">
        <v>1347</v>
      </c>
      <c r="H3085" s="24" t="s">
        <v>1061</v>
      </c>
      <c r="I3085" s="3" t="str">
        <f>IFERROR(VLOOKUP(C3085,'Справочник соответствий'!A$2:D$2981,2,FALSE),IF(VALUE(C3085)=0,1,VLOOKUP(C3085,'Справочник соответствий'!A$2:D$2981,2,FALSE)))</f>
        <v>2</v>
      </c>
      <c r="J3085" s="3">
        <f>IFERROR(VLOOKUP(D3085,'Справочник соответствий'!A$2:D$2981,2,FALSE),IF(VALUE(D3085)=0,0,VLOOKUP(D3085,'Справочник соответствий'!A$2:D$2981,2,FALSE)))</f>
        <v>0</v>
      </c>
      <c r="K3085" s="3" t="str">
        <f t="shared" si="336"/>
        <v>2</v>
      </c>
      <c r="L3085" s="13" t="str">
        <f>IFERROR(VLOOKUP(C3085,'Справочник соответствий'!A$2:D$2981,3,FALSE),IF(VALUE(C3085)=0,"ЭТАЖ НЕ ОПРЕДЕЛЕН. ПРИНЯТ ПО ДОПУЩЕНИЮ 1",VLOOKUP(C3085,'Справочник соответствий'!A$2:D$2981,3,FALSE)))</f>
        <v>ЭТАЖ ЗАДАН ЧИСЛОМ</v>
      </c>
      <c r="M3085" s="13" t="b">
        <f t="shared" si="337"/>
        <v>0</v>
      </c>
      <c r="N3085" s="13">
        <f t="shared" si="338"/>
        <v>2</v>
      </c>
      <c r="O3085" s="13" t="str">
        <f t="shared" si="339"/>
        <v>ЭТАЖ ЗАДАН ЧИСЛОМ</v>
      </c>
      <c r="P3085" s="13" t="str">
        <f t="shared" si="340"/>
        <v>ЭТАЖ ЗАДАН ЧИСЛОМ</v>
      </c>
      <c r="Q3085" s="13" t="str">
        <f t="shared" si="341"/>
        <v>ГОТОВ_ИЗМЕНЕН</v>
      </c>
      <c r="R3085" s="13">
        <f>IFERROR(VLOOKUP(P3085,Лист1!A$1:B$20,2,FALSE),0)</f>
        <v>784</v>
      </c>
      <c r="S3085" s="13">
        <f t="shared" si="342"/>
        <v>0</v>
      </c>
    </row>
    <row r="3086" spans="1:19" x14ac:dyDescent="0.25">
      <c r="A3086" s="24" t="s">
        <v>4218</v>
      </c>
      <c r="B3086" s="4" t="s">
        <v>1063</v>
      </c>
      <c r="C3086" s="25" t="s">
        <v>5</v>
      </c>
      <c r="G3086" s="25" t="s">
        <v>1347</v>
      </c>
      <c r="H3086" s="24" t="s">
        <v>1061</v>
      </c>
      <c r="I3086" s="3" t="str">
        <f>IFERROR(VLOOKUP(C3086,'Справочник соответствий'!A$2:D$2981,2,FALSE),IF(VALUE(C3086)=0,1,VLOOKUP(C3086,'Справочник соответствий'!A$2:D$2981,2,FALSE)))</f>
        <v>1</v>
      </c>
      <c r="J3086" s="3">
        <f>IFERROR(VLOOKUP(D3086,'Справочник соответствий'!A$2:D$2981,2,FALSE),IF(VALUE(D3086)=0,0,VLOOKUP(D3086,'Справочник соответствий'!A$2:D$2981,2,FALSE)))</f>
        <v>0</v>
      </c>
      <c r="K3086" s="3" t="str">
        <f t="shared" si="336"/>
        <v>1</v>
      </c>
      <c r="L3086" s="13" t="str">
        <f>IFERROR(VLOOKUP(C3086,'Справочник соответствий'!A$2:D$2981,3,FALSE),IF(VALUE(C3086)=0,"ЭТАЖ НЕ ОПРЕДЕЛЕН. ПРИНЯТ ПО ДОПУЩЕНИЮ 1",VLOOKUP(C3086,'Справочник соответствий'!A$2:D$2981,3,FALSE)))</f>
        <v>ЭТАЖ ЗАДАН ЧИСЛОМ</v>
      </c>
      <c r="M3086" s="13" t="b">
        <f t="shared" si="337"/>
        <v>0</v>
      </c>
      <c r="N3086" s="13">
        <f t="shared" si="338"/>
        <v>1</v>
      </c>
      <c r="O3086" s="13" t="str">
        <f t="shared" si="339"/>
        <v>ЭТАЖ ЗАДАН ЧИСЛОМ</v>
      </c>
      <c r="P3086" s="13" t="str">
        <f t="shared" si="340"/>
        <v>ЭТАЖ ЗАДАН ЧИСЛОМ</v>
      </c>
      <c r="Q3086" s="13" t="str">
        <f t="shared" si="341"/>
        <v>ГОТОВ_ИЗМЕНЕН</v>
      </c>
      <c r="R3086" s="13">
        <f>IFERROR(VLOOKUP(P3086,Лист1!A$1:B$20,2,FALSE),0)</f>
        <v>784</v>
      </c>
      <c r="S3086" s="13">
        <f t="shared" si="342"/>
        <v>0</v>
      </c>
    </row>
    <row r="3087" spans="1:19" x14ac:dyDescent="0.25">
      <c r="A3087" s="24" t="s">
        <v>4219</v>
      </c>
      <c r="B3087" s="4" t="s">
        <v>1059</v>
      </c>
      <c r="C3087" s="25" t="s">
        <v>7</v>
      </c>
      <c r="G3087" s="25" t="s">
        <v>1347</v>
      </c>
      <c r="H3087" s="24" t="s">
        <v>1061</v>
      </c>
      <c r="I3087" s="3" t="str">
        <f>IFERROR(VLOOKUP(C3087,'Справочник соответствий'!A$2:D$2981,2,FALSE),IF(VALUE(C3087)=0,1,VLOOKUP(C3087,'Справочник соответствий'!A$2:D$2981,2,FALSE)))</f>
        <v>2</v>
      </c>
      <c r="J3087" s="3">
        <f>IFERROR(VLOOKUP(D3087,'Справочник соответствий'!A$2:D$2981,2,FALSE),IF(VALUE(D3087)=0,0,VLOOKUP(D3087,'Справочник соответствий'!A$2:D$2981,2,FALSE)))</f>
        <v>0</v>
      </c>
      <c r="K3087" s="3" t="str">
        <f t="shared" si="336"/>
        <v>2</v>
      </c>
      <c r="L3087" s="13" t="str">
        <f>IFERROR(VLOOKUP(C3087,'Справочник соответствий'!A$2:D$2981,3,FALSE),IF(VALUE(C3087)=0,"ЭТАЖ НЕ ОПРЕДЕЛЕН. ПРИНЯТ ПО ДОПУЩЕНИЮ 1",VLOOKUP(C3087,'Справочник соответствий'!A$2:D$2981,3,FALSE)))</f>
        <v>ЭТАЖ ЗАДАН ЧИСЛОМ</v>
      </c>
      <c r="M3087" s="13" t="b">
        <f t="shared" si="337"/>
        <v>0</v>
      </c>
      <c r="N3087" s="13">
        <f t="shared" si="338"/>
        <v>2</v>
      </c>
      <c r="O3087" s="13" t="str">
        <f t="shared" si="339"/>
        <v>ЭТАЖ ЗАДАН ЧИСЛОМ</v>
      </c>
      <c r="P3087" s="13" t="str">
        <f t="shared" si="340"/>
        <v>ЭТАЖ ЗАДАН ЧИСЛОМ</v>
      </c>
      <c r="Q3087" s="13" t="str">
        <f t="shared" si="341"/>
        <v>ГОТОВ_ИЗМЕНЕН</v>
      </c>
      <c r="R3087" s="13">
        <f>IFERROR(VLOOKUP(P3087,Лист1!A$1:B$20,2,FALSE),0)</f>
        <v>784</v>
      </c>
      <c r="S3087" s="13">
        <f t="shared" si="342"/>
        <v>0</v>
      </c>
    </row>
    <row r="3088" spans="1:19" x14ac:dyDescent="0.25">
      <c r="A3088" s="24" t="s">
        <v>4220</v>
      </c>
      <c r="B3088" s="4" t="s">
        <v>1059</v>
      </c>
      <c r="C3088" s="25" t="s">
        <v>5</v>
      </c>
      <c r="G3088" s="25" t="s">
        <v>1321</v>
      </c>
      <c r="H3088" s="24" t="s">
        <v>1061</v>
      </c>
      <c r="I3088" s="3" t="str">
        <f>IFERROR(VLOOKUP(C3088,'Справочник соответствий'!A$2:D$2981,2,FALSE),IF(VALUE(C3088)=0,1,VLOOKUP(C3088,'Справочник соответствий'!A$2:D$2981,2,FALSE)))</f>
        <v>1</v>
      </c>
      <c r="J3088" s="3">
        <f>IFERROR(VLOOKUP(D3088,'Справочник соответствий'!A$2:D$2981,2,FALSE),IF(VALUE(D3088)=0,0,VLOOKUP(D3088,'Справочник соответствий'!A$2:D$2981,2,FALSE)))</f>
        <v>0</v>
      </c>
      <c r="K3088" s="3" t="str">
        <f t="shared" si="336"/>
        <v>1</v>
      </c>
      <c r="L3088" s="13" t="str">
        <f>IFERROR(VLOOKUP(C3088,'Справочник соответствий'!A$2:D$2981,3,FALSE),IF(VALUE(C3088)=0,"ЭТАЖ НЕ ОПРЕДЕЛЕН. ПРИНЯТ ПО ДОПУЩЕНИЮ 1",VLOOKUP(C3088,'Справочник соответствий'!A$2:D$2981,3,FALSE)))</f>
        <v>ЭТАЖ ЗАДАН ЧИСЛОМ</v>
      </c>
      <c r="M3088" s="13" t="b">
        <f t="shared" si="337"/>
        <v>0</v>
      </c>
      <c r="N3088" s="13">
        <f t="shared" si="338"/>
        <v>1</v>
      </c>
      <c r="O3088" s="13" t="str">
        <f t="shared" si="339"/>
        <v>ЭТАЖ ЗАДАН ЧИСЛОМ</v>
      </c>
      <c r="P3088" s="13" t="str">
        <f t="shared" si="340"/>
        <v>ЭТАЖ ЗАДАН ЧИСЛОМ</v>
      </c>
      <c r="Q3088" s="13" t="str">
        <f t="shared" si="341"/>
        <v>ГОТОВ_ИЗМЕНЕН</v>
      </c>
      <c r="R3088" s="13">
        <f>IFERROR(VLOOKUP(P3088,Лист1!A$1:B$20,2,FALSE),0)</f>
        <v>784</v>
      </c>
      <c r="S3088" s="13">
        <f t="shared" si="342"/>
        <v>0</v>
      </c>
    </row>
    <row r="3089" spans="1:19" x14ac:dyDescent="0.25">
      <c r="A3089" s="24" t="s">
        <v>4221</v>
      </c>
      <c r="B3089" s="4" t="s">
        <v>1063</v>
      </c>
      <c r="G3089" s="25" t="s">
        <v>1321</v>
      </c>
      <c r="H3089" s="24" t="s">
        <v>1061</v>
      </c>
      <c r="I3089" s="3">
        <f>IFERROR(VLOOKUP(C3089,'Справочник соответствий'!A$2:D$2981,2,FALSE),IF(VALUE(C3089)=0,1,VLOOKUP(C3089,'Справочник соответствий'!A$2:D$2981,2,FALSE)))</f>
        <v>1</v>
      </c>
      <c r="J3089" s="3">
        <f>IFERROR(VLOOKUP(D3089,'Справочник соответствий'!A$2:D$2981,2,FALSE),IF(VALUE(D3089)=0,0,VLOOKUP(D3089,'Справочник соответствий'!A$2:D$2981,2,FALSE)))</f>
        <v>0</v>
      </c>
      <c r="K3089" s="3">
        <f t="shared" si="336"/>
        <v>1</v>
      </c>
      <c r="L3089" s="13" t="str">
        <f>IFERROR(VLOOKUP(C3089,'Справочник соответствий'!A$2:D$2981,3,FALSE),IF(VALUE(C3089)=0,"ЭТАЖ НЕ ОПРЕДЕЛЕН. ПРИНЯТ ПО ДОПУЩЕНИЮ 1",VLOOKUP(C3089,'Справочник соответствий'!A$2:D$2981,3,FALSE)))</f>
        <v>ЭТАЖ НЕ ОПРЕДЕЛЕН. ПРИНЯТ ПО ДОПУЩЕНИЮ 1</v>
      </c>
      <c r="M3089" s="13" t="b">
        <f t="shared" si="337"/>
        <v>0</v>
      </c>
      <c r="N3089" s="13">
        <f t="shared" si="338"/>
        <v>1</v>
      </c>
      <c r="O3089" s="13" t="str">
        <f t="shared" si="339"/>
        <v>ЭТАЖ НЕ ОПРЕДЕЛЕН. ПРИНЯТ ПО ДОПУЩЕНИЮ 1</v>
      </c>
      <c r="P3089" s="13" t="str">
        <f t="shared" si="340"/>
        <v>ЭТАЖ НЕ ОПРЕДЕЛЕН. ПРИНЯТ ПО ДОПУЩЕНИЮ 1</v>
      </c>
      <c r="Q3089" s="13" t="str">
        <f t="shared" si="341"/>
        <v>ГОТОВ_ИЗМЕНЕН</v>
      </c>
      <c r="R3089" s="13">
        <f>IFERROR(VLOOKUP(P3089,Лист1!A$1:B$20,2,FALSE),0)</f>
        <v>788</v>
      </c>
      <c r="S3089" s="13">
        <f t="shared" si="342"/>
        <v>0</v>
      </c>
    </row>
    <row r="3090" spans="1:19" x14ac:dyDescent="0.25">
      <c r="A3090" s="24" t="s">
        <v>4222</v>
      </c>
      <c r="B3090" s="4" t="s">
        <v>1059</v>
      </c>
      <c r="C3090" s="25" t="s">
        <v>5</v>
      </c>
      <c r="G3090" s="25" t="s">
        <v>1321</v>
      </c>
      <c r="H3090" s="24" t="s">
        <v>1061</v>
      </c>
      <c r="I3090" s="3" t="str">
        <f>IFERROR(VLOOKUP(C3090,'Справочник соответствий'!A$2:D$2981,2,FALSE),IF(VALUE(C3090)=0,1,VLOOKUP(C3090,'Справочник соответствий'!A$2:D$2981,2,FALSE)))</f>
        <v>1</v>
      </c>
      <c r="J3090" s="3">
        <f>IFERROR(VLOOKUP(D3090,'Справочник соответствий'!A$2:D$2981,2,FALSE),IF(VALUE(D3090)=0,0,VLOOKUP(D3090,'Справочник соответствий'!A$2:D$2981,2,FALSE)))</f>
        <v>0</v>
      </c>
      <c r="K3090" s="3" t="str">
        <f t="shared" si="336"/>
        <v>1</v>
      </c>
      <c r="L3090" s="13" t="str">
        <f>IFERROR(VLOOKUP(C3090,'Справочник соответствий'!A$2:D$2981,3,FALSE),IF(VALUE(C3090)=0,"ЭТАЖ НЕ ОПРЕДЕЛЕН. ПРИНЯТ ПО ДОПУЩЕНИЮ 1",VLOOKUP(C3090,'Справочник соответствий'!A$2:D$2981,3,FALSE)))</f>
        <v>ЭТАЖ ЗАДАН ЧИСЛОМ</v>
      </c>
      <c r="M3090" s="13" t="b">
        <f t="shared" si="337"/>
        <v>0</v>
      </c>
      <c r="N3090" s="13">
        <f t="shared" si="338"/>
        <v>1</v>
      </c>
      <c r="O3090" s="13" t="str">
        <f t="shared" si="339"/>
        <v>ЭТАЖ ЗАДАН ЧИСЛОМ</v>
      </c>
      <c r="P3090" s="13" t="str">
        <f t="shared" si="340"/>
        <v>ЭТАЖ ЗАДАН ЧИСЛОМ</v>
      </c>
      <c r="Q3090" s="13" t="str">
        <f t="shared" si="341"/>
        <v>ГОТОВ_ИЗМЕНЕН</v>
      </c>
      <c r="R3090" s="13">
        <f>IFERROR(VLOOKUP(P3090,Лист1!A$1:B$20,2,FALSE),0)</f>
        <v>784</v>
      </c>
      <c r="S3090" s="13">
        <f t="shared" si="342"/>
        <v>0</v>
      </c>
    </row>
    <row r="3091" spans="1:19" x14ac:dyDescent="0.25">
      <c r="A3091" s="24" t="s">
        <v>4223</v>
      </c>
      <c r="B3091" s="4" t="s">
        <v>1063</v>
      </c>
      <c r="C3091" s="25" t="s">
        <v>5</v>
      </c>
      <c r="G3091" s="25" t="s">
        <v>1321</v>
      </c>
      <c r="H3091" s="24" t="s">
        <v>1061</v>
      </c>
      <c r="I3091" s="3" t="str">
        <f>IFERROR(VLOOKUP(C3091,'Справочник соответствий'!A$2:D$2981,2,FALSE),IF(VALUE(C3091)=0,1,VLOOKUP(C3091,'Справочник соответствий'!A$2:D$2981,2,FALSE)))</f>
        <v>1</v>
      </c>
      <c r="J3091" s="3">
        <f>IFERROR(VLOOKUP(D3091,'Справочник соответствий'!A$2:D$2981,2,FALSE),IF(VALUE(D3091)=0,0,VLOOKUP(D3091,'Справочник соответствий'!A$2:D$2981,2,FALSE)))</f>
        <v>0</v>
      </c>
      <c r="K3091" s="3" t="str">
        <f t="shared" si="336"/>
        <v>1</v>
      </c>
      <c r="L3091" s="13" t="str">
        <f>IFERROR(VLOOKUP(C3091,'Справочник соответствий'!A$2:D$2981,3,FALSE),IF(VALUE(C3091)=0,"ЭТАЖ НЕ ОПРЕДЕЛЕН. ПРИНЯТ ПО ДОПУЩЕНИЮ 1",VLOOKUP(C3091,'Справочник соответствий'!A$2:D$2981,3,FALSE)))</f>
        <v>ЭТАЖ ЗАДАН ЧИСЛОМ</v>
      </c>
      <c r="M3091" s="13" t="b">
        <f t="shared" si="337"/>
        <v>0</v>
      </c>
      <c r="N3091" s="13">
        <f t="shared" si="338"/>
        <v>1</v>
      </c>
      <c r="O3091" s="13" t="str">
        <f t="shared" si="339"/>
        <v>ЭТАЖ ЗАДАН ЧИСЛОМ</v>
      </c>
      <c r="P3091" s="13" t="str">
        <f t="shared" si="340"/>
        <v>ЭТАЖ ЗАДАН ЧИСЛОМ</v>
      </c>
      <c r="Q3091" s="13" t="str">
        <f t="shared" si="341"/>
        <v>ГОТОВ_ИЗМЕНЕН</v>
      </c>
      <c r="R3091" s="13">
        <f>IFERROR(VLOOKUP(P3091,Лист1!A$1:B$20,2,FALSE),0)</f>
        <v>784</v>
      </c>
      <c r="S3091" s="13">
        <f t="shared" si="342"/>
        <v>0</v>
      </c>
    </row>
    <row r="3092" spans="1:19" x14ac:dyDescent="0.25">
      <c r="A3092" s="24" t="s">
        <v>4224</v>
      </c>
      <c r="B3092" s="4" t="s">
        <v>1063</v>
      </c>
      <c r="G3092" s="25" t="s">
        <v>1321</v>
      </c>
      <c r="H3092" s="24" t="s">
        <v>1061</v>
      </c>
      <c r="I3092" s="3">
        <f>IFERROR(VLOOKUP(C3092,'Справочник соответствий'!A$2:D$2981,2,FALSE),IF(VALUE(C3092)=0,1,VLOOKUP(C3092,'Справочник соответствий'!A$2:D$2981,2,FALSE)))</f>
        <v>1</v>
      </c>
      <c r="J3092" s="3">
        <f>IFERROR(VLOOKUP(D3092,'Справочник соответствий'!A$2:D$2981,2,FALSE),IF(VALUE(D3092)=0,0,VLOOKUP(D3092,'Справочник соответствий'!A$2:D$2981,2,FALSE)))</f>
        <v>0</v>
      </c>
      <c r="K3092" s="3">
        <f t="shared" si="336"/>
        <v>1</v>
      </c>
      <c r="L3092" s="13" t="str">
        <f>IFERROR(VLOOKUP(C3092,'Справочник соответствий'!A$2:D$2981,3,FALSE),IF(VALUE(C3092)=0,"ЭТАЖ НЕ ОПРЕДЕЛЕН. ПРИНЯТ ПО ДОПУЩЕНИЮ 1",VLOOKUP(C3092,'Справочник соответствий'!A$2:D$2981,3,FALSE)))</f>
        <v>ЭТАЖ НЕ ОПРЕДЕЛЕН. ПРИНЯТ ПО ДОПУЩЕНИЮ 1</v>
      </c>
      <c r="M3092" s="13" t="b">
        <f t="shared" si="337"/>
        <v>0</v>
      </c>
      <c r="N3092" s="13">
        <f t="shared" si="338"/>
        <v>1</v>
      </c>
      <c r="O3092" s="13" t="str">
        <f t="shared" si="339"/>
        <v>ЭТАЖ НЕ ОПРЕДЕЛЕН. ПРИНЯТ ПО ДОПУЩЕНИЮ 1</v>
      </c>
      <c r="P3092" s="13" t="str">
        <f t="shared" si="340"/>
        <v>ЭТАЖ НЕ ОПРЕДЕЛЕН. ПРИНЯТ ПО ДОПУЩЕНИЮ 1</v>
      </c>
      <c r="Q3092" s="13" t="str">
        <f t="shared" si="341"/>
        <v>ГОТОВ_ИЗМЕНЕН</v>
      </c>
      <c r="R3092" s="13">
        <f>IFERROR(VLOOKUP(P3092,Лист1!A$1:B$20,2,FALSE),0)</f>
        <v>788</v>
      </c>
      <c r="S3092" s="13">
        <f t="shared" si="342"/>
        <v>0</v>
      </c>
    </row>
    <row r="3093" spans="1:19" x14ac:dyDescent="0.25">
      <c r="A3093" s="24" t="s">
        <v>4225</v>
      </c>
      <c r="B3093" s="4" t="s">
        <v>1059</v>
      </c>
      <c r="C3093" s="25" t="s">
        <v>7</v>
      </c>
      <c r="G3093" s="25" t="s">
        <v>1321</v>
      </c>
      <c r="H3093" s="24" t="s">
        <v>1061</v>
      </c>
      <c r="I3093" s="3" t="str">
        <f>IFERROR(VLOOKUP(C3093,'Справочник соответствий'!A$2:D$2981,2,FALSE),IF(VALUE(C3093)=0,1,VLOOKUP(C3093,'Справочник соответствий'!A$2:D$2981,2,FALSE)))</f>
        <v>2</v>
      </c>
      <c r="J3093" s="3">
        <f>IFERROR(VLOOKUP(D3093,'Справочник соответствий'!A$2:D$2981,2,FALSE),IF(VALUE(D3093)=0,0,VLOOKUP(D3093,'Справочник соответствий'!A$2:D$2981,2,FALSE)))</f>
        <v>0</v>
      </c>
      <c r="K3093" s="3" t="str">
        <f t="shared" si="336"/>
        <v>2</v>
      </c>
      <c r="L3093" s="13" t="str">
        <f>IFERROR(VLOOKUP(C3093,'Справочник соответствий'!A$2:D$2981,3,FALSE),IF(VALUE(C3093)=0,"ЭТАЖ НЕ ОПРЕДЕЛЕН. ПРИНЯТ ПО ДОПУЩЕНИЮ 1",VLOOKUP(C3093,'Справочник соответствий'!A$2:D$2981,3,FALSE)))</f>
        <v>ЭТАЖ ЗАДАН ЧИСЛОМ</v>
      </c>
      <c r="M3093" s="13" t="b">
        <f t="shared" si="337"/>
        <v>0</v>
      </c>
      <c r="N3093" s="13">
        <f t="shared" si="338"/>
        <v>2</v>
      </c>
      <c r="O3093" s="13" t="str">
        <f t="shared" si="339"/>
        <v>ЭТАЖ ЗАДАН ЧИСЛОМ</v>
      </c>
      <c r="P3093" s="13" t="str">
        <f t="shared" si="340"/>
        <v>ЭТАЖ ЗАДАН ЧИСЛОМ</v>
      </c>
      <c r="Q3093" s="13" t="str">
        <f t="shared" si="341"/>
        <v>ГОТОВ_ИЗМЕНЕН</v>
      </c>
      <c r="R3093" s="13">
        <f>IFERROR(VLOOKUP(P3093,Лист1!A$1:B$20,2,FALSE),0)</f>
        <v>784</v>
      </c>
      <c r="S3093" s="13">
        <f t="shared" si="342"/>
        <v>0</v>
      </c>
    </row>
    <row r="3094" spans="1:19" x14ac:dyDescent="0.25">
      <c r="A3094" s="24" t="s">
        <v>4226</v>
      </c>
      <c r="B3094" s="4" t="s">
        <v>1063</v>
      </c>
      <c r="C3094" s="25" t="s">
        <v>5</v>
      </c>
      <c r="G3094" s="25" t="s">
        <v>2763</v>
      </c>
      <c r="H3094" s="24" t="s">
        <v>1061</v>
      </c>
      <c r="I3094" s="3" t="str">
        <f>IFERROR(VLOOKUP(C3094,'Справочник соответствий'!A$2:D$2981,2,FALSE),IF(VALUE(C3094)=0,1,VLOOKUP(C3094,'Справочник соответствий'!A$2:D$2981,2,FALSE)))</f>
        <v>1</v>
      </c>
      <c r="J3094" s="3">
        <f>IFERROR(VLOOKUP(D3094,'Справочник соответствий'!A$2:D$2981,2,FALSE),IF(VALUE(D3094)=0,0,VLOOKUP(D3094,'Справочник соответствий'!A$2:D$2981,2,FALSE)))</f>
        <v>0</v>
      </c>
      <c r="K3094" s="3" t="str">
        <f t="shared" si="336"/>
        <v>1</v>
      </c>
      <c r="L3094" s="13" t="str">
        <f>IFERROR(VLOOKUP(C3094,'Справочник соответствий'!A$2:D$2981,3,FALSE),IF(VALUE(C3094)=0,"ЭТАЖ НЕ ОПРЕДЕЛЕН. ПРИНЯТ ПО ДОПУЩЕНИЮ 1",VLOOKUP(C3094,'Справочник соответствий'!A$2:D$2981,3,FALSE)))</f>
        <v>ЭТАЖ ЗАДАН ЧИСЛОМ</v>
      </c>
      <c r="M3094" s="13" t="b">
        <f t="shared" si="337"/>
        <v>0</v>
      </c>
      <c r="N3094" s="13">
        <f t="shared" si="338"/>
        <v>1</v>
      </c>
      <c r="O3094" s="13" t="str">
        <f t="shared" si="339"/>
        <v>ЭТАЖ ЗАДАН ЧИСЛОМ</v>
      </c>
      <c r="P3094" s="13" t="str">
        <f t="shared" si="340"/>
        <v>ЭТАЖ ЗАДАН ЧИСЛОМ</v>
      </c>
      <c r="Q3094" s="13" t="str">
        <f t="shared" si="341"/>
        <v>ГОТОВ_ИЗМЕНЕН</v>
      </c>
      <c r="R3094" s="13">
        <f>IFERROR(VLOOKUP(P3094,Лист1!A$1:B$20,2,FALSE),0)</f>
        <v>784</v>
      </c>
      <c r="S3094" s="13">
        <f t="shared" si="342"/>
        <v>0</v>
      </c>
    </row>
    <row r="3095" spans="1:19" x14ac:dyDescent="0.25">
      <c r="A3095" s="24" t="s">
        <v>4227</v>
      </c>
      <c r="B3095" s="4" t="s">
        <v>1063</v>
      </c>
      <c r="C3095" s="25" t="s">
        <v>5</v>
      </c>
      <c r="G3095" s="25" t="s">
        <v>2763</v>
      </c>
      <c r="H3095" s="24" t="s">
        <v>1061</v>
      </c>
      <c r="I3095" s="3" t="str">
        <f>IFERROR(VLOOKUP(C3095,'Справочник соответствий'!A$2:D$2981,2,FALSE),IF(VALUE(C3095)=0,1,VLOOKUP(C3095,'Справочник соответствий'!A$2:D$2981,2,FALSE)))</f>
        <v>1</v>
      </c>
      <c r="J3095" s="3">
        <f>IFERROR(VLOOKUP(D3095,'Справочник соответствий'!A$2:D$2981,2,FALSE),IF(VALUE(D3095)=0,0,VLOOKUP(D3095,'Справочник соответствий'!A$2:D$2981,2,FALSE)))</f>
        <v>0</v>
      </c>
      <c r="K3095" s="3" t="str">
        <f t="shared" si="336"/>
        <v>1</v>
      </c>
      <c r="L3095" s="13" t="str">
        <f>IFERROR(VLOOKUP(C3095,'Справочник соответствий'!A$2:D$2981,3,FALSE),IF(VALUE(C3095)=0,"ЭТАЖ НЕ ОПРЕДЕЛЕН. ПРИНЯТ ПО ДОПУЩЕНИЮ 1",VLOOKUP(C3095,'Справочник соответствий'!A$2:D$2981,3,FALSE)))</f>
        <v>ЭТАЖ ЗАДАН ЧИСЛОМ</v>
      </c>
      <c r="M3095" s="13" t="b">
        <f t="shared" si="337"/>
        <v>0</v>
      </c>
      <c r="N3095" s="13">
        <f t="shared" si="338"/>
        <v>1</v>
      </c>
      <c r="O3095" s="13" t="str">
        <f t="shared" si="339"/>
        <v>ЭТАЖ ЗАДАН ЧИСЛОМ</v>
      </c>
      <c r="P3095" s="13" t="str">
        <f t="shared" si="340"/>
        <v>ЭТАЖ ЗАДАН ЧИСЛОМ</v>
      </c>
      <c r="Q3095" s="13" t="str">
        <f t="shared" si="341"/>
        <v>ГОТОВ_ИЗМЕНЕН</v>
      </c>
      <c r="R3095" s="13">
        <f>IFERROR(VLOOKUP(P3095,Лист1!A$1:B$20,2,FALSE),0)</f>
        <v>784</v>
      </c>
      <c r="S3095" s="13">
        <f t="shared" si="342"/>
        <v>0</v>
      </c>
    </row>
    <row r="3096" spans="1:19" x14ac:dyDescent="0.25">
      <c r="A3096" s="24" t="s">
        <v>4228</v>
      </c>
      <c r="B3096" s="4" t="s">
        <v>1031</v>
      </c>
      <c r="C3096" s="25" t="s">
        <v>7</v>
      </c>
      <c r="E3096" s="3">
        <v>2</v>
      </c>
      <c r="F3096" s="24" t="s">
        <v>1045</v>
      </c>
      <c r="G3096" s="25" t="s">
        <v>1150</v>
      </c>
      <c r="H3096" s="24" t="s">
        <v>1061</v>
      </c>
      <c r="I3096" s="3" t="str">
        <f>IFERROR(VLOOKUP(C3096,'Справочник соответствий'!A$2:D$2981,2,FALSE),IF(VALUE(C3096)=0,1,VLOOKUP(C3096,'Справочник соответствий'!A$2:D$2981,2,FALSE)))</f>
        <v>2</v>
      </c>
      <c r="J3096" s="3">
        <f>IFERROR(VLOOKUP(D3096,'Справочник соответствий'!A$2:D$2981,2,FALSE),IF(VALUE(D3096)=0,0,VLOOKUP(D3096,'Справочник соответствий'!A$2:D$2981,2,FALSE)))</f>
        <v>0</v>
      </c>
      <c r="K3096" s="3">
        <f t="shared" si="336"/>
        <v>2</v>
      </c>
      <c r="L3096" s="13" t="str">
        <f>IFERROR(VLOOKUP(C3096,'Справочник соответствий'!A$2:D$2981,3,FALSE),IF(VALUE(C3096)=0,"ЭТАЖ НЕ ОПРЕДЕЛЕН. ПРИНЯТ ПО ДОПУЩЕНИЮ 1",VLOOKUP(C3096,'Справочник соответствий'!A$2:D$2981,3,FALSE)))</f>
        <v>ЭТАЖ ЗАДАН ЧИСЛОМ</v>
      </c>
      <c r="M3096" s="13" t="b">
        <f t="shared" si="337"/>
        <v>0</v>
      </c>
      <c r="N3096" s="13">
        <f t="shared" si="338"/>
        <v>2</v>
      </c>
      <c r="O3096" s="13" t="str">
        <f t="shared" si="339"/>
        <v>ЭТАЖ ЗАДАН ЧИСЛОМ</v>
      </c>
      <c r="P3096" s="13" t="str">
        <f t="shared" si="340"/>
        <v>МКД_ЭТАЖ ЗАДАН ЧИСЛОМ</v>
      </c>
      <c r="Q3096" s="13" t="str">
        <f t="shared" si="341"/>
        <v>ГОТОВ</v>
      </c>
      <c r="R3096" s="13">
        <f>IFERROR(VLOOKUP(P3096,Лист1!A$1:B$20,2,FALSE),0)</f>
        <v>786</v>
      </c>
      <c r="S3096" s="13">
        <f t="shared" si="342"/>
        <v>2</v>
      </c>
    </row>
    <row r="3097" spans="1:19" x14ac:dyDescent="0.25">
      <c r="A3097" s="24" t="s">
        <v>4229</v>
      </c>
      <c r="B3097" s="4" t="s">
        <v>1059</v>
      </c>
      <c r="C3097" s="25" t="s">
        <v>5</v>
      </c>
      <c r="E3097" s="3">
        <v>1</v>
      </c>
      <c r="F3097" s="24" t="s">
        <v>1045</v>
      </c>
      <c r="G3097" s="25" t="s">
        <v>1698</v>
      </c>
      <c r="H3097" s="24" t="s">
        <v>1061</v>
      </c>
      <c r="I3097" s="3" t="str">
        <f>IFERROR(VLOOKUP(C3097,'Справочник соответствий'!A$2:D$2981,2,FALSE),IF(VALUE(C3097)=0,1,VLOOKUP(C3097,'Справочник соответствий'!A$2:D$2981,2,FALSE)))</f>
        <v>1</v>
      </c>
      <c r="J3097" s="3">
        <f>IFERROR(VLOOKUP(D3097,'Справочник соответствий'!A$2:D$2981,2,FALSE),IF(VALUE(D3097)=0,0,VLOOKUP(D3097,'Справочник соответствий'!A$2:D$2981,2,FALSE)))</f>
        <v>0</v>
      </c>
      <c r="K3097" s="3" t="str">
        <f t="shared" si="336"/>
        <v>1</v>
      </c>
      <c r="L3097" s="13" t="str">
        <f>IFERROR(VLOOKUP(C3097,'Справочник соответствий'!A$2:D$2981,3,FALSE),IF(VALUE(C3097)=0,"ЭТАЖ НЕ ОПРЕДЕЛЕН. ПРИНЯТ ПО ДОПУЩЕНИЮ 1",VLOOKUP(C3097,'Справочник соответствий'!A$2:D$2981,3,FALSE)))</f>
        <v>ЭТАЖ ЗАДАН ЧИСЛОМ</v>
      </c>
      <c r="M3097" s="13" t="b">
        <f t="shared" si="337"/>
        <v>0</v>
      </c>
      <c r="N3097" s="13">
        <f t="shared" si="338"/>
        <v>1</v>
      </c>
      <c r="O3097" s="13" t="str">
        <f t="shared" si="339"/>
        <v>ЭТАЖ ЗАДАН ЧИСЛОМ</v>
      </c>
      <c r="P3097" s="13" t="str">
        <f t="shared" si="340"/>
        <v>ЭТАЖ ЗАДАН ЧИСЛОМ</v>
      </c>
      <c r="Q3097" s="13" t="str">
        <f t="shared" si="341"/>
        <v>ГОТОВ</v>
      </c>
      <c r="R3097" s="13">
        <f>IFERROR(VLOOKUP(P3097,Лист1!A$1:B$20,2,FALSE),0)</f>
        <v>784</v>
      </c>
      <c r="S3097" s="13">
        <f t="shared" si="342"/>
        <v>1</v>
      </c>
    </row>
    <row r="3098" spans="1:19" x14ac:dyDescent="0.25">
      <c r="A3098" s="24" t="s">
        <v>4230</v>
      </c>
      <c r="B3098" s="4" t="s">
        <v>1063</v>
      </c>
      <c r="C3098" s="25" t="s">
        <v>5</v>
      </c>
      <c r="D3098" s="25" t="s">
        <v>24</v>
      </c>
      <c r="E3098" s="3">
        <v>1</v>
      </c>
      <c r="F3098" s="24" t="s">
        <v>1045</v>
      </c>
      <c r="G3098" s="25" t="s">
        <v>1174</v>
      </c>
      <c r="H3098" s="24" t="s">
        <v>1061</v>
      </c>
      <c r="I3098" s="3" t="str">
        <f>IFERROR(VLOOKUP(C3098,'Справочник соответствий'!A$2:D$2981,2,FALSE),IF(VALUE(C3098)=0,1,VLOOKUP(C3098,'Справочник соответствий'!A$2:D$2981,2,FALSE)))</f>
        <v>1</v>
      </c>
      <c r="J3098" s="3" t="str">
        <f>IFERROR(VLOOKUP(D3098,'Справочник соответствий'!A$2:D$2981,2,FALSE),IF(VALUE(D3098)=0,0,VLOOKUP(D3098,'Справочник соответствий'!A$2:D$2981,2,FALSE)))</f>
        <v>1</v>
      </c>
      <c r="K3098" s="3" t="str">
        <f t="shared" si="336"/>
        <v>1</v>
      </c>
      <c r="L3098" s="13" t="str">
        <f>IFERROR(VLOOKUP(C3098,'Справочник соответствий'!A$2:D$2981,3,FALSE),IF(VALUE(C3098)=0,"ЭТАЖ НЕ ОПРЕДЕЛЕН. ПРИНЯТ ПО ДОПУЩЕНИЮ 1",VLOOKUP(C3098,'Справочник соответствий'!A$2:D$2981,3,FALSE)))</f>
        <v>ЭТАЖ ЗАДАН ЧИСЛОМ</v>
      </c>
      <c r="M3098" s="13" t="b">
        <f t="shared" si="337"/>
        <v>0</v>
      </c>
      <c r="N3098" s="13">
        <f t="shared" si="338"/>
        <v>1</v>
      </c>
      <c r="O3098" s="13" t="str">
        <f t="shared" si="339"/>
        <v>ЭТАЖ ЗАДАН ЧИСЛОМ</v>
      </c>
      <c r="P3098" s="13" t="str">
        <f t="shared" si="340"/>
        <v>ЭТАЖ ЗАДАН ЧИСЛОМ</v>
      </c>
      <c r="Q3098" s="13" t="str">
        <f t="shared" si="341"/>
        <v>ГОТОВ</v>
      </c>
      <c r="R3098" s="13">
        <f>IFERROR(VLOOKUP(P3098,Лист1!A$1:B$20,2,FALSE),0)</f>
        <v>784</v>
      </c>
      <c r="S3098" s="13">
        <f t="shared" si="342"/>
        <v>1</v>
      </c>
    </row>
    <row r="3099" spans="1:19" x14ac:dyDescent="0.25">
      <c r="A3099" s="24" t="s">
        <v>4231</v>
      </c>
      <c r="B3099" s="4" t="s">
        <v>1063</v>
      </c>
      <c r="C3099" s="25" t="s">
        <v>5</v>
      </c>
      <c r="D3099" s="25" t="s">
        <v>24</v>
      </c>
      <c r="E3099" s="3">
        <v>1</v>
      </c>
      <c r="F3099" s="24" t="s">
        <v>1304</v>
      </c>
      <c r="G3099" s="25" t="s">
        <v>1193</v>
      </c>
      <c r="H3099" s="24" t="s">
        <v>1061</v>
      </c>
      <c r="I3099" s="3" t="str">
        <f>IFERROR(VLOOKUP(C3099,'Справочник соответствий'!A$2:D$2981,2,FALSE),IF(VALUE(C3099)=0,1,VLOOKUP(C3099,'Справочник соответствий'!A$2:D$2981,2,FALSE)))</f>
        <v>1</v>
      </c>
      <c r="J3099" s="3" t="str">
        <f>IFERROR(VLOOKUP(D3099,'Справочник соответствий'!A$2:D$2981,2,FALSE),IF(VALUE(D3099)=0,0,VLOOKUP(D3099,'Справочник соответствий'!A$2:D$2981,2,FALSE)))</f>
        <v>1</v>
      </c>
      <c r="K3099" s="3" t="str">
        <f t="shared" si="336"/>
        <v>1</v>
      </c>
      <c r="L3099" s="13" t="str">
        <f>IFERROR(VLOOKUP(C3099,'Справочник соответствий'!A$2:D$2981,3,FALSE),IF(VALUE(C3099)=0,"ЭТАЖ НЕ ОПРЕДЕЛЕН. ПРИНЯТ ПО ДОПУЩЕНИЮ 1",VLOOKUP(C3099,'Справочник соответствий'!A$2:D$2981,3,FALSE)))</f>
        <v>ЭТАЖ ЗАДАН ЧИСЛОМ</v>
      </c>
      <c r="M3099" s="13" t="b">
        <f t="shared" si="337"/>
        <v>0</v>
      </c>
      <c r="N3099" s="13">
        <f t="shared" si="338"/>
        <v>1</v>
      </c>
      <c r="O3099" s="13" t="str">
        <f t="shared" si="339"/>
        <v>ЭТАЖ ЗАДАН ЧИСЛОМ</v>
      </c>
      <c r="P3099" s="13" t="str">
        <f t="shared" si="340"/>
        <v>ЭТАЖ ЗАДАН ЧИСЛОМ</v>
      </c>
      <c r="Q3099" s="13" t="str">
        <f t="shared" si="341"/>
        <v>ГОТОВ</v>
      </c>
      <c r="R3099" s="13">
        <f>IFERROR(VLOOKUP(P3099,Лист1!A$1:B$20,2,FALSE),0)</f>
        <v>784</v>
      </c>
      <c r="S3099" s="13">
        <f t="shared" si="342"/>
        <v>1</v>
      </c>
    </row>
    <row r="3100" spans="1:19" x14ac:dyDescent="0.25">
      <c r="A3100" s="24" t="s">
        <v>4232</v>
      </c>
      <c r="B3100" s="4" t="s">
        <v>1063</v>
      </c>
      <c r="C3100" s="25" t="s">
        <v>5</v>
      </c>
      <c r="E3100" s="3">
        <v>1</v>
      </c>
      <c r="F3100" s="24" t="s">
        <v>1045</v>
      </c>
      <c r="G3100" s="25" t="s">
        <v>1069</v>
      </c>
      <c r="H3100" s="24" t="s">
        <v>1061</v>
      </c>
      <c r="I3100" s="3" t="str">
        <f>IFERROR(VLOOKUP(C3100,'Справочник соответствий'!A$2:D$2981,2,FALSE),IF(VALUE(C3100)=0,1,VLOOKUP(C3100,'Справочник соответствий'!A$2:D$2981,2,FALSE)))</f>
        <v>1</v>
      </c>
      <c r="J3100" s="3">
        <f>IFERROR(VLOOKUP(D3100,'Справочник соответствий'!A$2:D$2981,2,FALSE),IF(VALUE(D3100)=0,0,VLOOKUP(D3100,'Справочник соответствий'!A$2:D$2981,2,FALSE)))</f>
        <v>0</v>
      </c>
      <c r="K3100" s="3" t="str">
        <f t="shared" si="336"/>
        <v>1</v>
      </c>
      <c r="L3100" s="13" t="str">
        <f>IFERROR(VLOOKUP(C3100,'Справочник соответствий'!A$2:D$2981,3,FALSE),IF(VALUE(C3100)=0,"ЭТАЖ НЕ ОПРЕДЕЛЕН. ПРИНЯТ ПО ДОПУЩЕНИЮ 1",VLOOKUP(C3100,'Справочник соответствий'!A$2:D$2981,3,FALSE)))</f>
        <v>ЭТАЖ ЗАДАН ЧИСЛОМ</v>
      </c>
      <c r="M3100" s="13" t="b">
        <f t="shared" si="337"/>
        <v>0</v>
      </c>
      <c r="N3100" s="13">
        <f t="shared" si="338"/>
        <v>1</v>
      </c>
      <c r="O3100" s="13" t="str">
        <f t="shared" si="339"/>
        <v>ЭТАЖ ЗАДАН ЧИСЛОМ</v>
      </c>
      <c r="P3100" s="13" t="str">
        <f t="shared" si="340"/>
        <v>ЭТАЖ ЗАДАН ЧИСЛОМ</v>
      </c>
      <c r="Q3100" s="13" t="str">
        <f t="shared" si="341"/>
        <v>ГОТОВ</v>
      </c>
      <c r="R3100" s="13">
        <f>IFERROR(VLOOKUP(P3100,Лист1!A$1:B$20,2,FALSE),0)</f>
        <v>784</v>
      </c>
      <c r="S3100" s="13">
        <f t="shared" si="342"/>
        <v>1</v>
      </c>
    </row>
    <row r="3101" spans="1:19" x14ac:dyDescent="0.25">
      <c r="A3101" s="24" t="s">
        <v>4233</v>
      </c>
      <c r="B3101" s="4" t="s">
        <v>1063</v>
      </c>
      <c r="C3101" s="25" t="s">
        <v>5</v>
      </c>
      <c r="G3101" s="25" t="s">
        <v>1114</v>
      </c>
      <c r="H3101" s="24" t="s">
        <v>1061</v>
      </c>
      <c r="I3101" s="3" t="str">
        <f>IFERROR(VLOOKUP(C3101,'Справочник соответствий'!A$2:D$2981,2,FALSE),IF(VALUE(C3101)=0,1,VLOOKUP(C3101,'Справочник соответствий'!A$2:D$2981,2,FALSE)))</f>
        <v>1</v>
      </c>
      <c r="J3101" s="3">
        <f>IFERROR(VLOOKUP(D3101,'Справочник соответствий'!A$2:D$2981,2,FALSE),IF(VALUE(D3101)=0,0,VLOOKUP(D3101,'Справочник соответствий'!A$2:D$2981,2,FALSE)))</f>
        <v>0</v>
      </c>
      <c r="K3101" s="3" t="str">
        <f t="shared" si="336"/>
        <v>1</v>
      </c>
      <c r="L3101" s="13" t="str">
        <f>IFERROR(VLOOKUP(C3101,'Справочник соответствий'!A$2:D$2981,3,FALSE),IF(VALUE(C3101)=0,"ЭТАЖ НЕ ОПРЕДЕЛЕН. ПРИНЯТ ПО ДОПУЩЕНИЮ 1",VLOOKUP(C3101,'Справочник соответствий'!A$2:D$2981,3,FALSE)))</f>
        <v>ЭТАЖ ЗАДАН ЧИСЛОМ</v>
      </c>
      <c r="M3101" s="13" t="b">
        <f t="shared" si="337"/>
        <v>0</v>
      </c>
      <c r="N3101" s="13">
        <f t="shared" si="338"/>
        <v>1</v>
      </c>
      <c r="O3101" s="13" t="str">
        <f t="shared" si="339"/>
        <v>ЭТАЖ ЗАДАН ЧИСЛОМ</v>
      </c>
      <c r="P3101" s="13" t="str">
        <f t="shared" si="340"/>
        <v>ЭТАЖ ЗАДАН ЧИСЛОМ</v>
      </c>
      <c r="Q3101" s="13" t="str">
        <f t="shared" si="341"/>
        <v>ГОТОВ_ИЗМЕНЕН</v>
      </c>
      <c r="R3101" s="13">
        <f>IFERROR(VLOOKUP(P3101,Лист1!A$1:B$20,2,FALSE),0)</f>
        <v>784</v>
      </c>
      <c r="S3101" s="13">
        <f t="shared" si="342"/>
        <v>0</v>
      </c>
    </row>
    <row r="3102" spans="1:19" x14ac:dyDescent="0.25">
      <c r="A3102" s="24" t="s">
        <v>4234</v>
      </c>
      <c r="B3102" s="4" t="s">
        <v>1059</v>
      </c>
      <c r="C3102" s="25" t="s">
        <v>7</v>
      </c>
      <c r="G3102" s="25" t="s">
        <v>1069</v>
      </c>
      <c r="H3102" s="24" t="s">
        <v>1061</v>
      </c>
      <c r="I3102" s="3" t="str">
        <f>IFERROR(VLOOKUP(C3102,'Справочник соответствий'!A$2:D$2981,2,FALSE),IF(VALUE(C3102)=0,1,VLOOKUP(C3102,'Справочник соответствий'!A$2:D$2981,2,FALSE)))</f>
        <v>2</v>
      </c>
      <c r="J3102" s="3">
        <f>IFERROR(VLOOKUP(D3102,'Справочник соответствий'!A$2:D$2981,2,FALSE),IF(VALUE(D3102)=0,0,VLOOKUP(D3102,'Справочник соответствий'!A$2:D$2981,2,FALSE)))</f>
        <v>0</v>
      </c>
      <c r="K3102" s="3" t="str">
        <f t="shared" si="336"/>
        <v>2</v>
      </c>
      <c r="L3102" s="13" t="str">
        <f>IFERROR(VLOOKUP(C3102,'Справочник соответствий'!A$2:D$2981,3,FALSE),IF(VALUE(C3102)=0,"ЭТАЖ НЕ ОПРЕДЕЛЕН. ПРИНЯТ ПО ДОПУЩЕНИЮ 1",VLOOKUP(C3102,'Справочник соответствий'!A$2:D$2981,3,FALSE)))</f>
        <v>ЭТАЖ ЗАДАН ЧИСЛОМ</v>
      </c>
      <c r="M3102" s="13" t="b">
        <f t="shared" si="337"/>
        <v>0</v>
      </c>
      <c r="N3102" s="13">
        <f t="shared" si="338"/>
        <v>2</v>
      </c>
      <c r="O3102" s="13" t="str">
        <f t="shared" si="339"/>
        <v>ЭТАЖ ЗАДАН ЧИСЛОМ</v>
      </c>
      <c r="P3102" s="13" t="str">
        <f t="shared" si="340"/>
        <v>ЭТАЖ ЗАДАН ЧИСЛОМ</v>
      </c>
      <c r="Q3102" s="13" t="str">
        <f t="shared" si="341"/>
        <v>ГОТОВ_ИЗМЕНЕН</v>
      </c>
      <c r="R3102" s="13">
        <f>IFERROR(VLOOKUP(P3102,Лист1!A$1:B$20,2,FALSE),0)</f>
        <v>784</v>
      </c>
      <c r="S3102" s="13">
        <f t="shared" si="342"/>
        <v>0</v>
      </c>
    </row>
    <row r="3103" spans="1:19" x14ac:dyDescent="0.25">
      <c r="A3103" s="24" t="s">
        <v>4235</v>
      </c>
      <c r="B3103" s="4" t="s">
        <v>1059</v>
      </c>
      <c r="C3103" s="25" t="s">
        <v>8</v>
      </c>
      <c r="D3103" s="25" t="s">
        <v>5</v>
      </c>
      <c r="G3103" s="25" t="s">
        <v>1069</v>
      </c>
      <c r="H3103" s="24" t="s">
        <v>1061</v>
      </c>
      <c r="I3103" s="3" t="str">
        <f>IFERROR(VLOOKUP(C3103,'Справочник соответствий'!A$2:D$2981,2,FALSE),IF(VALUE(C3103)=0,1,VLOOKUP(C3103,'Справочник соответствий'!A$2:D$2981,2,FALSE)))</f>
        <v>3</v>
      </c>
      <c r="J3103" s="3" t="str">
        <f>IFERROR(VLOOKUP(D3103,'Справочник соответствий'!A$2:D$2981,2,FALSE),IF(VALUE(D3103)=0,0,VLOOKUP(D3103,'Справочник соответствий'!A$2:D$2981,2,FALSE)))</f>
        <v>1</v>
      </c>
      <c r="K3103" s="3" t="str">
        <f t="shared" si="336"/>
        <v>3</v>
      </c>
      <c r="L3103" s="13" t="str">
        <f>IFERROR(VLOOKUP(C3103,'Справочник соответствий'!A$2:D$2981,3,FALSE),IF(VALUE(C3103)=0,"ЭТАЖ НЕ ОПРЕДЕЛЕН. ПРИНЯТ ПО ДОПУЩЕНИЮ 1",VLOOKUP(C3103,'Справочник соответствий'!A$2:D$2981,3,FALSE)))</f>
        <v>ЭТАЖ ЗАДАН ЧИСЛОМ</v>
      </c>
      <c r="M3103" s="13" t="b">
        <f t="shared" si="337"/>
        <v>0</v>
      </c>
      <c r="N3103" s="13">
        <f t="shared" si="338"/>
        <v>3</v>
      </c>
      <c r="O3103" s="13" t="str">
        <f t="shared" si="339"/>
        <v>ЭТАЖ ЗАДАН ЧИСЛОМ</v>
      </c>
      <c r="P3103" s="13" t="str">
        <f t="shared" si="340"/>
        <v>ЭТАЖ ЗАДАН ЧИСЛОМ</v>
      </c>
      <c r="Q3103" s="13" t="str">
        <f t="shared" si="341"/>
        <v>ГОТОВ_ИЗМЕНЕН</v>
      </c>
      <c r="R3103" s="13">
        <f>IFERROR(VLOOKUP(P3103,Лист1!A$1:B$20,2,FALSE),0)</f>
        <v>784</v>
      </c>
      <c r="S3103" s="13">
        <f t="shared" si="342"/>
        <v>0</v>
      </c>
    </row>
    <row r="3104" spans="1:19" x14ac:dyDescent="0.25">
      <c r="A3104" s="24" t="s">
        <v>4236</v>
      </c>
      <c r="B3104" s="4" t="s">
        <v>1059</v>
      </c>
      <c r="C3104" s="25" t="s">
        <v>5</v>
      </c>
      <c r="G3104" s="25" t="s">
        <v>1205</v>
      </c>
      <c r="H3104" s="24" t="s">
        <v>1061</v>
      </c>
      <c r="I3104" s="3" t="str">
        <f>IFERROR(VLOOKUP(C3104,'Справочник соответствий'!A$2:D$2981,2,FALSE),IF(VALUE(C3104)=0,1,VLOOKUP(C3104,'Справочник соответствий'!A$2:D$2981,2,FALSE)))</f>
        <v>1</v>
      </c>
      <c r="J3104" s="3">
        <f>IFERROR(VLOOKUP(D3104,'Справочник соответствий'!A$2:D$2981,2,FALSE),IF(VALUE(D3104)=0,0,VLOOKUP(D3104,'Справочник соответствий'!A$2:D$2981,2,FALSE)))</f>
        <v>0</v>
      </c>
      <c r="K3104" s="3" t="str">
        <f t="shared" si="336"/>
        <v>1</v>
      </c>
      <c r="L3104" s="13" t="str">
        <f>IFERROR(VLOOKUP(C3104,'Справочник соответствий'!A$2:D$2981,3,FALSE),IF(VALUE(C3104)=0,"ЭТАЖ НЕ ОПРЕДЕЛЕН. ПРИНЯТ ПО ДОПУЩЕНИЮ 1",VLOOKUP(C3104,'Справочник соответствий'!A$2:D$2981,3,FALSE)))</f>
        <v>ЭТАЖ ЗАДАН ЧИСЛОМ</v>
      </c>
      <c r="M3104" s="13" t="b">
        <f t="shared" si="337"/>
        <v>0</v>
      </c>
      <c r="N3104" s="13">
        <f t="shared" si="338"/>
        <v>1</v>
      </c>
      <c r="O3104" s="13" t="str">
        <f t="shared" si="339"/>
        <v>ЭТАЖ ЗАДАН ЧИСЛОМ</v>
      </c>
      <c r="P3104" s="13" t="str">
        <f t="shared" si="340"/>
        <v>ЭТАЖ ЗАДАН ЧИСЛОМ</v>
      </c>
      <c r="Q3104" s="13" t="str">
        <f t="shared" si="341"/>
        <v>ГОТОВ_ИЗМЕНЕН</v>
      </c>
      <c r="R3104" s="13">
        <f>IFERROR(VLOOKUP(P3104,Лист1!A$1:B$20,2,FALSE),0)</f>
        <v>784</v>
      </c>
      <c r="S3104" s="13">
        <f t="shared" si="342"/>
        <v>0</v>
      </c>
    </row>
    <row r="3105" spans="1:19" x14ac:dyDescent="0.25">
      <c r="A3105" s="24" t="s">
        <v>4237</v>
      </c>
      <c r="B3105" s="4" t="s">
        <v>1063</v>
      </c>
      <c r="C3105" s="25" t="s">
        <v>5</v>
      </c>
      <c r="G3105" s="25" t="s">
        <v>1114</v>
      </c>
      <c r="H3105" s="24" t="s">
        <v>1061</v>
      </c>
      <c r="I3105" s="3" t="str">
        <f>IFERROR(VLOOKUP(C3105,'Справочник соответствий'!A$2:D$2981,2,FALSE),IF(VALUE(C3105)=0,1,VLOOKUP(C3105,'Справочник соответствий'!A$2:D$2981,2,FALSE)))</f>
        <v>1</v>
      </c>
      <c r="J3105" s="3">
        <f>IFERROR(VLOOKUP(D3105,'Справочник соответствий'!A$2:D$2981,2,FALSE),IF(VALUE(D3105)=0,0,VLOOKUP(D3105,'Справочник соответствий'!A$2:D$2981,2,FALSE)))</f>
        <v>0</v>
      </c>
      <c r="K3105" s="3" t="str">
        <f t="shared" si="336"/>
        <v>1</v>
      </c>
      <c r="L3105" s="13" t="str">
        <f>IFERROR(VLOOKUP(C3105,'Справочник соответствий'!A$2:D$2981,3,FALSE),IF(VALUE(C3105)=0,"ЭТАЖ НЕ ОПРЕДЕЛЕН. ПРИНЯТ ПО ДОПУЩЕНИЮ 1",VLOOKUP(C3105,'Справочник соответствий'!A$2:D$2981,3,FALSE)))</f>
        <v>ЭТАЖ ЗАДАН ЧИСЛОМ</v>
      </c>
      <c r="M3105" s="13" t="b">
        <f t="shared" si="337"/>
        <v>0</v>
      </c>
      <c r="N3105" s="13">
        <f t="shared" si="338"/>
        <v>1</v>
      </c>
      <c r="O3105" s="13" t="str">
        <f t="shared" si="339"/>
        <v>ЭТАЖ ЗАДАН ЧИСЛОМ</v>
      </c>
      <c r="P3105" s="13" t="str">
        <f t="shared" si="340"/>
        <v>ЭТАЖ ЗАДАН ЧИСЛОМ</v>
      </c>
      <c r="Q3105" s="13" t="str">
        <f t="shared" si="341"/>
        <v>ГОТОВ_ИЗМЕНЕН</v>
      </c>
      <c r="R3105" s="13">
        <f>IFERROR(VLOOKUP(P3105,Лист1!A$1:B$20,2,FALSE),0)</f>
        <v>784</v>
      </c>
      <c r="S3105" s="13">
        <f t="shared" si="342"/>
        <v>0</v>
      </c>
    </row>
    <row r="3106" spans="1:19" x14ac:dyDescent="0.25">
      <c r="A3106" s="24" t="s">
        <v>4238</v>
      </c>
      <c r="B3106" s="4" t="s">
        <v>1063</v>
      </c>
      <c r="C3106" s="25" t="s">
        <v>5</v>
      </c>
      <c r="G3106" s="25" t="s">
        <v>1114</v>
      </c>
      <c r="H3106" s="24" t="s">
        <v>1061</v>
      </c>
      <c r="I3106" s="3" t="str">
        <f>IFERROR(VLOOKUP(C3106,'Справочник соответствий'!A$2:D$2981,2,FALSE),IF(VALUE(C3106)=0,1,VLOOKUP(C3106,'Справочник соответствий'!A$2:D$2981,2,FALSE)))</f>
        <v>1</v>
      </c>
      <c r="J3106" s="3">
        <f>IFERROR(VLOOKUP(D3106,'Справочник соответствий'!A$2:D$2981,2,FALSE),IF(VALUE(D3106)=0,0,VLOOKUP(D3106,'Справочник соответствий'!A$2:D$2981,2,FALSE)))</f>
        <v>0</v>
      </c>
      <c r="K3106" s="3" t="str">
        <f t="shared" si="336"/>
        <v>1</v>
      </c>
      <c r="L3106" s="13" t="str">
        <f>IFERROR(VLOOKUP(C3106,'Справочник соответствий'!A$2:D$2981,3,FALSE),IF(VALUE(C3106)=0,"ЭТАЖ НЕ ОПРЕДЕЛЕН. ПРИНЯТ ПО ДОПУЩЕНИЮ 1",VLOOKUP(C3106,'Справочник соответствий'!A$2:D$2981,3,FALSE)))</f>
        <v>ЭТАЖ ЗАДАН ЧИСЛОМ</v>
      </c>
      <c r="M3106" s="13" t="b">
        <f t="shared" si="337"/>
        <v>0</v>
      </c>
      <c r="N3106" s="13">
        <f t="shared" si="338"/>
        <v>1</v>
      </c>
      <c r="O3106" s="13" t="str">
        <f t="shared" si="339"/>
        <v>ЭТАЖ ЗАДАН ЧИСЛОМ</v>
      </c>
      <c r="P3106" s="13" t="str">
        <f t="shared" si="340"/>
        <v>ЭТАЖ ЗАДАН ЧИСЛОМ</v>
      </c>
      <c r="Q3106" s="13" t="str">
        <f t="shared" si="341"/>
        <v>ГОТОВ_ИЗМЕНЕН</v>
      </c>
      <c r="R3106" s="13">
        <f>IFERROR(VLOOKUP(P3106,Лист1!A$1:B$20,2,FALSE),0)</f>
        <v>784</v>
      </c>
      <c r="S3106" s="13">
        <f t="shared" si="342"/>
        <v>0</v>
      </c>
    </row>
    <row r="3107" spans="1:19" x14ac:dyDescent="0.25">
      <c r="A3107" s="24" t="s">
        <v>4239</v>
      </c>
      <c r="B3107" s="4" t="s">
        <v>1059</v>
      </c>
      <c r="C3107" s="25" t="s">
        <v>5</v>
      </c>
      <c r="G3107" s="25" t="s">
        <v>1114</v>
      </c>
      <c r="H3107" s="24" t="s">
        <v>1061</v>
      </c>
      <c r="I3107" s="3" t="str">
        <f>IFERROR(VLOOKUP(C3107,'Справочник соответствий'!A$2:D$2981,2,FALSE),IF(VALUE(C3107)=0,1,VLOOKUP(C3107,'Справочник соответствий'!A$2:D$2981,2,FALSE)))</f>
        <v>1</v>
      </c>
      <c r="J3107" s="3">
        <f>IFERROR(VLOOKUP(D3107,'Справочник соответствий'!A$2:D$2981,2,FALSE),IF(VALUE(D3107)=0,0,VLOOKUP(D3107,'Справочник соответствий'!A$2:D$2981,2,FALSE)))</f>
        <v>0</v>
      </c>
      <c r="K3107" s="3" t="str">
        <f t="shared" si="336"/>
        <v>1</v>
      </c>
      <c r="L3107" s="13" t="str">
        <f>IFERROR(VLOOKUP(C3107,'Справочник соответствий'!A$2:D$2981,3,FALSE),IF(VALUE(C3107)=0,"ЭТАЖ НЕ ОПРЕДЕЛЕН. ПРИНЯТ ПО ДОПУЩЕНИЮ 1",VLOOKUP(C3107,'Справочник соответствий'!A$2:D$2981,3,FALSE)))</f>
        <v>ЭТАЖ ЗАДАН ЧИСЛОМ</v>
      </c>
      <c r="M3107" s="13" t="b">
        <f t="shared" si="337"/>
        <v>0</v>
      </c>
      <c r="N3107" s="13">
        <f t="shared" si="338"/>
        <v>1</v>
      </c>
      <c r="O3107" s="13" t="str">
        <f t="shared" si="339"/>
        <v>ЭТАЖ ЗАДАН ЧИСЛОМ</v>
      </c>
      <c r="P3107" s="13" t="str">
        <f t="shared" si="340"/>
        <v>ЭТАЖ ЗАДАН ЧИСЛОМ</v>
      </c>
      <c r="Q3107" s="13" t="str">
        <f t="shared" si="341"/>
        <v>ГОТОВ_ИЗМЕНЕН</v>
      </c>
      <c r="R3107" s="13">
        <f>IFERROR(VLOOKUP(P3107,Лист1!A$1:B$20,2,FALSE),0)</f>
        <v>784</v>
      </c>
      <c r="S3107" s="13">
        <f t="shared" si="342"/>
        <v>0</v>
      </c>
    </row>
    <row r="3108" spans="1:19" x14ac:dyDescent="0.25">
      <c r="A3108" s="24" t="s">
        <v>4240</v>
      </c>
      <c r="B3108" s="4" t="s">
        <v>1059</v>
      </c>
      <c r="C3108" s="25" t="s">
        <v>5</v>
      </c>
      <c r="G3108" s="25" t="s">
        <v>1069</v>
      </c>
      <c r="H3108" s="24" t="s">
        <v>1061</v>
      </c>
      <c r="I3108" s="3" t="str">
        <f>IFERROR(VLOOKUP(C3108,'Справочник соответствий'!A$2:D$2981,2,FALSE),IF(VALUE(C3108)=0,1,VLOOKUP(C3108,'Справочник соответствий'!A$2:D$2981,2,FALSE)))</f>
        <v>1</v>
      </c>
      <c r="J3108" s="3">
        <f>IFERROR(VLOOKUP(D3108,'Справочник соответствий'!A$2:D$2981,2,FALSE),IF(VALUE(D3108)=0,0,VLOOKUP(D3108,'Справочник соответствий'!A$2:D$2981,2,FALSE)))</f>
        <v>0</v>
      </c>
      <c r="K3108" s="3" t="str">
        <f t="shared" si="336"/>
        <v>1</v>
      </c>
      <c r="L3108" s="13" t="str">
        <f>IFERROR(VLOOKUP(C3108,'Справочник соответствий'!A$2:D$2981,3,FALSE),IF(VALUE(C3108)=0,"ЭТАЖ НЕ ОПРЕДЕЛЕН. ПРИНЯТ ПО ДОПУЩЕНИЮ 1",VLOOKUP(C3108,'Справочник соответствий'!A$2:D$2981,3,FALSE)))</f>
        <v>ЭТАЖ ЗАДАН ЧИСЛОМ</v>
      </c>
      <c r="M3108" s="13" t="b">
        <f t="shared" si="337"/>
        <v>0</v>
      </c>
      <c r="N3108" s="13">
        <f t="shared" si="338"/>
        <v>1</v>
      </c>
      <c r="O3108" s="13" t="str">
        <f t="shared" si="339"/>
        <v>ЭТАЖ ЗАДАН ЧИСЛОМ</v>
      </c>
      <c r="P3108" s="13" t="str">
        <f t="shared" si="340"/>
        <v>ЭТАЖ ЗАДАН ЧИСЛОМ</v>
      </c>
      <c r="Q3108" s="13" t="str">
        <f t="shared" si="341"/>
        <v>ГОТОВ_ИЗМЕНЕН</v>
      </c>
      <c r="R3108" s="13">
        <f>IFERROR(VLOOKUP(P3108,Лист1!A$1:B$20,2,FALSE),0)</f>
        <v>784</v>
      </c>
      <c r="S3108" s="13">
        <f t="shared" si="342"/>
        <v>0</v>
      </c>
    </row>
    <row r="3109" spans="1:19" x14ac:dyDescent="0.25">
      <c r="A3109" s="24" t="s">
        <v>4241</v>
      </c>
      <c r="B3109" s="4" t="s">
        <v>1063</v>
      </c>
      <c r="C3109" s="25" t="s">
        <v>5</v>
      </c>
      <c r="G3109" s="25" t="s">
        <v>1108</v>
      </c>
      <c r="H3109" s="24" t="s">
        <v>1061</v>
      </c>
      <c r="I3109" s="3" t="str">
        <f>IFERROR(VLOOKUP(C3109,'Справочник соответствий'!A$2:D$2981,2,FALSE),IF(VALUE(C3109)=0,1,VLOOKUP(C3109,'Справочник соответствий'!A$2:D$2981,2,FALSE)))</f>
        <v>1</v>
      </c>
      <c r="J3109" s="3">
        <f>IFERROR(VLOOKUP(D3109,'Справочник соответствий'!A$2:D$2981,2,FALSE),IF(VALUE(D3109)=0,0,VLOOKUP(D3109,'Справочник соответствий'!A$2:D$2981,2,FALSE)))</f>
        <v>0</v>
      </c>
      <c r="K3109" s="3" t="str">
        <f t="shared" si="336"/>
        <v>1</v>
      </c>
      <c r="L3109" s="13" t="str">
        <f>IFERROR(VLOOKUP(C3109,'Справочник соответствий'!A$2:D$2981,3,FALSE),IF(VALUE(C3109)=0,"ЭТАЖ НЕ ОПРЕДЕЛЕН. ПРИНЯТ ПО ДОПУЩЕНИЮ 1",VLOOKUP(C3109,'Справочник соответствий'!A$2:D$2981,3,FALSE)))</f>
        <v>ЭТАЖ ЗАДАН ЧИСЛОМ</v>
      </c>
      <c r="M3109" s="13" t="b">
        <f t="shared" si="337"/>
        <v>0</v>
      </c>
      <c r="N3109" s="13">
        <f t="shared" si="338"/>
        <v>1</v>
      </c>
      <c r="O3109" s="13" t="str">
        <f t="shared" si="339"/>
        <v>ЭТАЖ ЗАДАН ЧИСЛОМ</v>
      </c>
      <c r="P3109" s="13" t="str">
        <f t="shared" si="340"/>
        <v>ЭТАЖ ЗАДАН ЧИСЛОМ</v>
      </c>
      <c r="Q3109" s="13" t="str">
        <f t="shared" si="341"/>
        <v>ГОТОВ_ИЗМЕНЕН</v>
      </c>
      <c r="R3109" s="13">
        <f>IFERROR(VLOOKUP(P3109,Лист1!A$1:B$20,2,FALSE),0)</f>
        <v>784</v>
      </c>
      <c r="S3109" s="13">
        <f t="shared" si="342"/>
        <v>0</v>
      </c>
    </row>
    <row r="3110" spans="1:19" x14ac:dyDescent="0.25">
      <c r="A3110" s="24" t="s">
        <v>4242</v>
      </c>
      <c r="B3110" s="4" t="s">
        <v>1059</v>
      </c>
      <c r="C3110" s="25" t="s">
        <v>5</v>
      </c>
      <c r="G3110" s="25" t="s">
        <v>1325</v>
      </c>
      <c r="H3110" s="24" t="s">
        <v>1061</v>
      </c>
      <c r="I3110" s="3" t="str">
        <f>IFERROR(VLOOKUP(C3110,'Справочник соответствий'!A$2:D$2981,2,FALSE),IF(VALUE(C3110)=0,1,VLOOKUP(C3110,'Справочник соответствий'!A$2:D$2981,2,FALSE)))</f>
        <v>1</v>
      </c>
      <c r="J3110" s="3">
        <f>IFERROR(VLOOKUP(D3110,'Справочник соответствий'!A$2:D$2981,2,FALSE),IF(VALUE(D3110)=0,0,VLOOKUP(D3110,'Справочник соответствий'!A$2:D$2981,2,FALSE)))</f>
        <v>0</v>
      </c>
      <c r="K3110" s="3" t="str">
        <f t="shared" si="336"/>
        <v>1</v>
      </c>
      <c r="L3110" s="13" t="str">
        <f>IFERROR(VLOOKUP(C3110,'Справочник соответствий'!A$2:D$2981,3,FALSE),IF(VALUE(C3110)=0,"ЭТАЖ НЕ ОПРЕДЕЛЕН. ПРИНЯТ ПО ДОПУЩЕНИЮ 1",VLOOKUP(C3110,'Справочник соответствий'!A$2:D$2981,3,FALSE)))</f>
        <v>ЭТАЖ ЗАДАН ЧИСЛОМ</v>
      </c>
      <c r="M3110" s="13" t="b">
        <f t="shared" si="337"/>
        <v>0</v>
      </c>
      <c r="N3110" s="13">
        <f t="shared" si="338"/>
        <v>1</v>
      </c>
      <c r="O3110" s="13" t="str">
        <f t="shared" si="339"/>
        <v>ЭТАЖ ЗАДАН ЧИСЛОМ</v>
      </c>
      <c r="P3110" s="13" t="str">
        <f t="shared" si="340"/>
        <v>ЭТАЖ ЗАДАН ЧИСЛОМ</v>
      </c>
      <c r="Q3110" s="13" t="str">
        <f t="shared" si="341"/>
        <v>ГОТОВ_ИЗМЕНЕН</v>
      </c>
      <c r="R3110" s="13">
        <f>IFERROR(VLOOKUP(P3110,Лист1!A$1:B$20,2,FALSE),0)</f>
        <v>784</v>
      </c>
      <c r="S3110" s="13">
        <f t="shared" si="342"/>
        <v>0</v>
      </c>
    </row>
    <row r="3111" spans="1:19" x14ac:dyDescent="0.25">
      <c r="A3111" s="24" t="s">
        <v>4243</v>
      </c>
      <c r="B3111" s="4" t="s">
        <v>1063</v>
      </c>
      <c r="C3111" s="25" t="s">
        <v>5</v>
      </c>
      <c r="G3111" s="25" t="s">
        <v>1205</v>
      </c>
      <c r="H3111" s="24" t="s">
        <v>1061</v>
      </c>
      <c r="I3111" s="3" t="str">
        <f>IFERROR(VLOOKUP(C3111,'Справочник соответствий'!A$2:D$2981,2,FALSE),IF(VALUE(C3111)=0,1,VLOOKUP(C3111,'Справочник соответствий'!A$2:D$2981,2,FALSE)))</f>
        <v>1</v>
      </c>
      <c r="J3111" s="3">
        <f>IFERROR(VLOOKUP(D3111,'Справочник соответствий'!A$2:D$2981,2,FALSE),IF(VALUE(D3111)=0,0,VLOOKUP(D3111,'Справочник соответствий'!A$2:D$2981,2,FALSE)))</f>
        <v>0</v>
      </c>
      <c r="K3111" s="3" t="str">
        <f t="shared" si="336"/>
        <v>1</v>
      </c>
      <c r="L3111" s="13" t="str">
        <f>IFERROR(VLOOKUP(C3111,'Справочник соответствий'!A$2:D$2981,3,FALSE),IF(VALUE(C3111)=0,"ЭТАЖ НЕ ОПРЕДЕЛЕН. ПРИНЯТ ПО ДОПУЩЕНИЮ 1",VLOOKUP(C3111,'Справочник соответствий'!A$2:D$2981,3,FALSE)))</f>
        <v>ЭТАЖ ЗАДАН ЧИСЛОМ</v>
      </c>
      <c r="M3111" s="13" t="b">
        <f t="shared" si="337"/>
        <v>0</v>
      </c>
      <c r="N3111" s="13">
        <f t="shared" si="338"/>
        <v>1</v>
      </c>
      <c r="O3111" s="13" t="str">
        <f t="shared" si="339"/>
        <v>ЭТАЖ ЗАДАН ЧИСЛОМ</v>
      </c>
      <c r="P3111" s="13" t="str">
        <f t="shared" si="340"/>
        <v>ЭТАЖ ЗАДАН ЧИСЛОМ</v>
      </c>
      <c r="Q3111" s="13" t="str">
        <f t="shared" si="341"/>
        <v>ГОТОВ_ИЗМЕНЕН</v>
      </c>
      <c r="R3111" s="13">
        <f>IFERROR(VLOOKUP(P3111,Лист1!A$1:B$20,2,FALSE),0)</f>
        <v>784</v>
      </c>
      <c r="S3111" s="13">
        <f t="shared" si="342"/>
        <v>0</v>
      </c>
    </row>
    <row r="3112" spans="1:19" x14ac:dyDescent="0.25">
      <c r="A3112" s="24" t="s">
        <v>4244</v>
      </c>
      <c r="B3112" s="4" t="s">
        <v>1059</v>
      </c>
      <c r="C3112" s="25" t="s">
        <v>7</v>
      </c>
      <c r="G3112" s="25" t="s">
        <v>1108</v>
      </c>
      <c r="H3112" s="24" t="s">
        <v>1061</v>
      </c>
      <c r="I3112" s="3" t="str">
        <f>IFERROR(VLOOKUP(C3112,'Справочник соответствий'!A$2:D$2981,2,FALSE),IF(VALUE(C3112)=0,1,VLOOKUP(C3112,'Справочник соответствий'!A$2:D$2981,2,FALSE)))</f>
        <v>2</v>
      </c>
      <c r="J3112" s="3">
        <f>IFERROR(VLOOKUP(D3112,'Справочник соответствий'!A$2:D$2981,2,FALSE),IF(VALUE(D3112)=0,0,VLOOKUP(D3112,'Справочник соответствий'!A$2:D$2981,2,FALSE)))</f>
        <v>0</v>
      </c>
      <c r="K3112" s="3" t="str">
        <f t="shared" si="336"/>
        <v>2</v>
      </c>
      <c r="L3112" s="13" t="str">
        <f>IFERROR(VLOOKUP(C3112,'Справочник соответствий'!A$2:D$2981,3,FALSE),IF(VALUE(C3112)=0,"ЭТАЖ НЕ ОПРЕДЕЛЕН. ПРИНЯТ ПО ДОПУЩЕНИЮ 1",VLOOKUP(C3112,'Справочник соответствий'!A$2:D$2981,3,FALSE)))</f>
        <v>ЭТАЖ ЗАДАН ЧИСЛОМ</v>
      </c>
      <c r="M3112" s="13" t="b">
        <f t="shared" si="337"/>
        <v>0</v>
      </c>
      <c r="N3112" s="13">
        <f t="shared" si="338"/>
        <v>2</v>
      </c>
      <c r="O3112" s="13" t="str">
        <f t="shared" si="339"/>
        <v>ЭТАЖ ЗАДАН ЧИСЛОМ</v>
      </c>
      <c r="P3112" s="13" t="str">
        <f t="shared" si="340"/>
        <v>ЭТАЖ ЗАДАН ЧИСЛОМ</v>
      </c>
      <c r="Q3112" s="13" t="str">
        <f t="shared" si="341"/>
        <v>ГОТОВ_ИЗМЕНЕН</v>
      </c>
      <c r="R3112" s="13">
        <f>IFERROR(VLOOKUP(P3112,Лист1!A$1:B$20,2,FALSE),0)</f>
        <v>784</v>
      </c>
      <c r="S3112" s="13">
        <f t="shared" si="342"/>
        <v>0</v>
      </c>
    </row>
    <row r="3113" spans="1:19" x14ac:dyDescent="0.25">
      <c r="A3113" s="24" t="s">
        <v>4245</v>
      </c>
      <c r="B3113" s="4" t="s">
        <v>1063</v>
      </c>
      <c r="G3113" s="25" t="s">
        <v>1069</v>
      </c>
      <c r="H3113" s="24" t="s">
        <v>1061</v>
      </c>
      <c r="I3113" s="3">
        <f>IFERROR(VLOOKUP(C3113,'Справочник соответствий'!A$2:D$2981,2,FALSE),IF(VALUE(C3113)=0,1,VLOOKUP(C3113,'Справочник соответствий'!A$2:D$2981,2,FALSE)))</f>
        <v>1</v>
      </c>
      <c r="J3113" s="3">
        <f>IFERROR(VLOOKUP(D3113,'Справочник соответствий'!A$2:D$2981,2,FALSE),IF(VALUE(D3113)=0,0,VLOOKUP(D3113,'Справочник соответствий'!A$2:D$2981,2,FALSE)))</f>
        <v>0</v>
      </c>
      <c r="K3113" s="3">
        <f t="shared" si="336"/>
        <v>1</v>
      </c>
      <c r="L3113" s="13" t="str">
        <f>IFERROR(VLOOKUP(C3113,'Справочник соответствий'!A$2:D$2981,3,FALSE),IF(VALUE(C3113)=0,"ЭТАЖ НЕ ОПРЕДЕЛЕН. ПРИНЯТ ПО ДОПУЩЕНИЮ 1",VLOOKUP(C3113,'Справочник соответствий'!A$2:D$2981,3,FALSE)))</f>
        <v>ЭТАЖ НЕ ОПРЕДЕЛЕН. ПРИНЯТ ПО ДОПУЩЕНИЮ 1</v>
      </c>
      <c r="M3113" s="13" t="b">
        <f t="shared" si="337"/>
        <v>0</v>
      </c>
      <c r="N3113" s="13">
        <f t="shared" si="338"/>
        <v>1</v>
      </c>
      <c r="O3113" s="13" t="str">
        <f t="shared" si="339"/>
        <v>ЭТАЖ НЕ ОПРЕДЕЛЕН. ПРИНЯТ ПО ДОПУЩЕНИЮ 1</v>
      </c>
      <c r="P3113" s="13" t="str">
        <f t="shared" si="340"/>
        <v>ЭТАЖ НЕ ОПРЕДЕЛЕН. ПРИНЯТ ПО ДОПУЩЕНИЮ 1</v>
      </c>
      <c r="Q3113" s="13" t="str">
        <f t="shared" si="341"/>
        <v>ГОТОВ_ИЗМЕНЕН</v>
      </c>
      <c r="R3113" s="13">
        <f>IFERROR(VLOOKUP(P3113,Лист1!A$1:B$20,2,FALSE),0)</f>
        <v>788</v>
      </c>
      <c r="S3113" s="13">
        <f t="shared" si="342"/>
        <v>0</v>
      </c>
    </row>
    <row r="3114" spans="1:19" x14ac:dyDescent="0.25">
      <c r="A3114" s="24" t="s">
        <v>4246</v>
      </c>
      <c r="B3114" s="4" t="s">
        <v>1059</v>
      </c>
      <c r="C3114" s="25" t="s">
        <v>7</v>
      </c>
      <c r="G3114" s="25" t="s">
        <v>1099</v>
      </c>
      <c r="H3114" s="24" t="s">
        <v>1061</v>
      </c>
      <c r="I3114" s="3" t="str">
        <f>IFERROR(VLOOKUP(C3114,'Справочник соответствий'!A$2:D$2981,2,FALSE),IF(VALUE(C3114)=0,1,VLOOKUP(C3114,'Справочник соответствий'!A$2:D$2981,2,FALSE)))</f>
        <v>2</v>
      </c>
      <c r="J3114" s="3">
        <f>IFERROR(VLOOKUP(D3114,'Справочник соответствий'!A$2:D$2981,2,FALSE),IF(VALUE(D3114)=0,0,VLOOKUP(D3114,'Справочник соответствий'!A$2:D$2981,2,FALSE)))</f>
        <v>0</v>
      </c>
      <c r="K3114" s="3" t="str">
        <f t="shared" si="336"/>
        <v>2</v>
      </c>
      <c r="L3114" s="13" t="str">
        <f>IFERROR(VLOOKUP(C3114,'Справочник соответствий'!A$2:D$2981,3,FALSE),IF(VALUE(C3114)=0,"ЭТАЖ НЕ ОПРЕДЕЛЕН. ПРИНЯТ ПО ДОПУЩЕНИЮ 1",VLOOKUP(C3114,'Справочник соответствий'!A$2:D$2981,3,FALSE)))</f>
        <v>ЭТАЖ ЗАДАН ЧИСЛОМ</v>
      </c>
      <c r="M3114" s="13" t="b">
        <f t="shared" si="337"/>
        <v>0</v>
      </c>
      <c r="N3114" s="13">
        <f t="shared" si="338"/>
        <v>2</v>
      </c>
      <c r="O3114" s="13" t="str">
        <f t="shared" si="339"/>
        <v>ЭТАЖ ЗАДАН ЧИСЛОМ</v>
      </c>
      <c r="P3114" s="13" t="str">
        <f t="shared" si="340"/>
        <v>ЭТАЖ ЗАДАН ЧИСЛОМ</v>
      </c>
      <c r="Q3114" s="13" t="str">
        <f t="shared" si="341"/>
        <v>ГОТОВ_ИЗМЕНЕН</v>
      </c>
      <c r="R3114" s="13">
        <f>IFERROR(VLOOKUP(P3114,Лист1!A$1:B$20,2,FALSE),0)</f>
        <v>784</v>
      </c>
      <c r="S3114" s="13">
        <f t="shared" si="342"/>
        <v>0</v>
      </c>
    </row>
    <row r="3115" spans="1:19" x14ac:dyDescent="0.25">
      <c r="A3115" s="24" t="s">
        <v>4247</v>
      </c>
      <c r="B3115" s="4" t="s">
        <v>1059</v>
      </c>
      <c r="C3115" s="25" t="s">
        <v>5</v>
      </c>
      <c r="G3115" s="25" t="s">
        <v>1205</v>
      </c>
      <c r="H3115" s="24" t="s">
        <v>1061</v>
      </c>
      <c r="I3115" s="3" t="str">
        <f>IFERROR(VLOOKUP(C3115,'Справочник соответствий'!A$2:D$2981,2,FALSE),IF(VALUE(C3115)=0,1,VLOOKUP(C3115,'Справочник соответствий'!A$2:D$2981,2,FALSE)))</f>
        <v>1</v>
      </c>
      <c r="J3115" s="3">
        <f>IFERROR(VLOOKUP(D3115,'Справочник соответствий'!A$2:D$2981,2,FALSE),IF(VALUE(D3115)=0,0,VLOOKUP(D3115,'Справочник соответствий'!A$2:D$2981,2,FALSE)))</f>
        <v>0</v>
      </c>
      <c r="K3115" s="3" t="str">
        <f t="shared" si="336"/>
        <v>1</v>
      </c>
      <c r="L3115" s="13" t="str">
        <f>IFERROR(VLOOKUP(C3115,'Справочник соответствий'!A$2:D$2981,3,FALSE),IF(VALUE(C3115)=0,"ЭТАЖ НЕ ОПРЕДЕЛЕН. ПРИНЯТ ПО ДОПУЩЕНИЮ 1",VLOOKUP(C3115,'Справочник соответствий'!A$2:D$2981,3,FALSE)))</f>
        <v>ЭТАЖ ЗАДАН ЧИСЛОМ</v>
      </c>
      <c r="M3115" s="13" t="b">
        <f t="shared" si="337"/>
        <v>0</v>
      </c>
      <c r="N3115" s="13">
        <f t="shared" si="338"/>
        <v>1</v>
      </c>
      <c r="O3115" s="13" t="str">
        <f t="shared" si="339"/>
        <v>ЭТАЖ ЗАДАН ЧИСЛОМ</v>
      </c>
      <c r="P3115" s="13" t="str">
        <f t="shared" si="340"/>
        <v>ЭТАЖ ЗАДАН ЧИСЛОМ</v>
      </c>
      <c r="Q3115" s="13" t="str">
        <f t="shared" si="341"/>
        <v>ГОТОВ_ИЗМЕНЕН</v>
      </c>
      <c r="R3115" s="13">
        <f>IFERROR(VLOOKUP(P3115,Лист1!A$1:B$20,2,FALSE),0)</f>
        <v>784</v>
      </c>
      <c r="S3115" s="13">
        <f t="shared" si="342"/>
        <v>0</v>
      </c>
    </row>
    <row r="3116" spans="1:19" x14ac:dyDescent="0.25">
      <c r="A3116" s="24" t="s">
        <v>4248</v>
      </c>
      <c r="B3116" s="4" t="s">
        <v>1059</v>
      </c>
      <c r="C3116" s="25" t="s">
        <v>7</v>
      </c>
      <c r="G3116" s="25" t="s">
        <v>1099</v>
      </c>
      <c r="H3116" s="24" t="s">
        <v>1061</v>
      </c>
      <c r="I3116" s="3" t="str">
        <f>IFERROR(VLOOKUP(C3116,'Справочник соответствий'!A$2:D$2981,2,FALSE),IF(VALUE(C3116)=0,1,VLOOKUP(C3116,'Справочник соответствий'!A$2:D$2981,2,FALSE)))</f>
        <v>2</v>
      </c>
      <c r="J3116" s="3">
        <f>IFERROR(VLOOKUP(D3116,'Справочник соответствий'!A$2:D$2981,2,FALSE),IF(VALUE(D3116)=0,0,VLOOKUP(D3116,'Справочник соответствий'!A$2:D$2981,2,FALSE)))</f>
        <v>0</v>
      </c>
      <c r="K3116" s="3" t="str">
        <f t="shared" si="336"/>
        <v>2</v>
      </c>
      <c r="L3116" s="13" t="str">
        <f>IFERROR(VLOOKUP(C3116,'Справочник соответствий'!A$2:D$2981,3,FALSE),IF(VALUE(C3116)=0,"ЭТАЖ НЕ ОПРЕДЕЛЕН. ПРИНЯТ ПО ДОПУЩЕНИЮ 1",VLOOKUP(C3116,'Справочник соответствий'!A$2:D$2981,3,FALSE)))</f>
        <v>ЭТАЖ ЗАДАН ЧИСЛОМ</v>
      </c>
      <c r="M3116" s="13" t="b">
        <f t="shared" si="337"/>
        <v>0</v>
      </c>
      <c r="N3116" s="13">
        <f t="shared" si="338"/>
        <v>2</v>
      </c>
      <c r="O3116" s="13" t="str">
        <f t="shared" si="339"/>
        <v>ЭТАЖ ЗАДАН ЧИСЛОМ</v>
      </c>
      <c r="P3116" s="13" t="str">
        <f t="shared" si="340"/>
        <v>ЭТАЖ ЗАДАН ЧИСЛОМ</v>
      </c>
      <c r="Q3116" s="13" t="str">
        <f t="shared" si="341"/>
        <v>ГОТОВ_ИЗМЕНЕН</v>
      </c>
      <c r="R3116" s="13">
        <f>IFERROR(VLOOKUP(P3116,Лист1!A$1:B$20,2,FALSE),0)</f>
        <v>784</v>
      </c>
      <c r="S3116" s="13">
        <f t="shared" si="342"/>
        <v>0</v>
      </c>
    </row>
    <row r="3117" spans="1:19" x14ac:dyDescent="0.25">
      <c r="A3117" s="24" t="s">
        <v>4249</v>
      </c>
      <c r="B3117" s="4" t="s">
        <v>1063</v>
      </c>
      <c r="G3117" s="25" t="s">
        <v>1099</v>
      </c>
      <c r="H3117" s="24" t="s">
        <v>1061</v>
      </c>
      <c r="I3117" s="3">
        <f>IFERROR(VLOOKUP(C3117,'Справочник соответствий'!A$2:D$2981,2,FALSE),IF(VALUE(C3117)=0,1,VLOOKUP(C3117,'Справочник соответствий'!A$2:D$2981,2,FALSE)))</f>
        <v>1</v>
      </c>
      <c r="J3117" s="3">
        <f>IFERROR(VLOOKUP(D3117,'Справочник соответствий'!A$2:D$2981,2,FALSE),IF(VALUE(D3117)=0,0,VLOOKUP(D3117,'Справочник соответствий'!A$2:D$2981,2,FALSE)))</f>
        <v>0</v>
      </c>
      <c r="K3117" s="3">
        <f t="shared" si="336"/>
        <v>1</v>
      </c>
      <c r="L3117" s="13" t="str">
        <f>IFERROR(VLOOKUP(C3117,'Справочник соответствий'!A$2:D$2981,3,FALSE),IF(VALUE(C3117)=0,"ЭТАЖ НЕ ОПРЕДЕЛЕН. ПРИНЯТ ПО ДОПУЩЕНИЮ 1",VLOOKUP(C3117,'Справочник соответствий'!A$2:D$2981,3,FALSE)))</f>
        <v>ЭТАЖ НЕ ОПРЕДЕЛЕН. ПРИНЯТ ПО ДОПУЩЕНИЮ 1</v>
      </c>
      <c r="M3117" s="13" t="b">
        <f t="shared" si="337"/>
        <v>0</v>
      </c>
      <c r="N3117" s="13">
        <f t="shared" si="338"/>
        <v>1</v>
      </c>
      <c r="O3117" s="13" t="str">
        <f t="shared" si="339"/>
        <v>ЭТАЖ НЕ ОПРЕДЕЛЕН. ПРИНЯТ ПО ДОПУЩЕНИЮ 1</v>
      </c>
      <c r="P3117" s="13" t="str">
        <f t="shared" si="340"/>
        <v>ЭТАЖ НЕ ОПРЕДЕЛЕН. ПРИНЯТ ПО ДОПУЩЕНИЮ 1</v>
      </c>
      <c r="Q3117" s="13" t="str">
        <f t="shared" si="341"/>
        <v>ГОТОВ_ИЗМЕНЕН</v>
      </c>
      <c r="R3117" s="13">
        <f>IFERROR(VLOOKUP(P3117,Лист1!A$1:B$20,2,FALSE),0)</f>
        <v>788</v>
      </c>
      <c r="S3117" s="13">
        <f t="shared" si="342"/>
        <v>0</v>
      </c>
    </row>
    <row r="3118" spans="1:19" x14ac:dyDescent="0.25">
      <c r="A3118" s="24" t="s">
        <v>4250</v>
      </c>
      <c r="B3118" s="4" t="s">
        <v>1063</v>
      </c>
      <c r="C3118" s="25" t="s">
        <v>5</v>
      </c>
      <c r="G3118" s="25" t="s">
        <v>1060</v>
      </c>
      <c r="H3118" s="24" t="s">
        <v>1061</v>
      </c>
      <c r="I3118" s="3" t="str">
        <f>IFERROR(VLOOKUP(C3118,'Справочник соответствий'!A$2:D$2981,2,FALSE),IF(VALUE(C3118)=0,1,VLOOKUP(C3118,'Справочник соответствий'!A$2:D$2981,2,FALSE)))</f>
        <v>1</v>
      </c>
      <c r="J3118" s="3">
        <f>IFERROR(VLOOKUP(D3118,'Справочник соответствий'!A$2:D$2981,2,FALSE),IF(VALUE(D3118)=0,0,VLOOKUP(D3118,'Справочник соответствий'!A$2:D$2981,2,FALSE)))</f>
        <v>0</v>
      </c>
      <c r="K3118" s="3" t="str">
        <f t="shared" si="336"/>
        <v>1</v>
      </c>
      <c r="L3118" s="13" t="str">
        <f>IFERROR(VLOOKUP(C3118,'Справочник соответствий'!A$2:D$2981,3,FALSE),IF(VALUE(C3118)=0,"ЭТАЖ НЕ ОПРЕДЕЛЕН. ПРИНЯТ ПО ДОПУЩЕНИЮ 1",VLOOKUP(C3118,'Справочник соответствий'!A$2:D$2981,3,FALSE)))</f>
        <v>ЭТАЖ ЗАДАН ЧИСЛОМ</v>
      </c>
      <c r="M3118" s="13" t="b">
        <f t="shared" si="337"/>
        <v>0</v>
      </c>
      <c r="N3118" s="13">
        <f t="shared" si="338"/>
        <v>1</v>
      </c>
      <c r="O3118" s="13" t="str">
        <f t="shared" si="339"/>
        <v>ЭТАЖ ЗАДАН ЧИСЛОМ</v>
      </c>
      <c r="P3118" s="13" t="str">
        <f t="shared" si="340"/>
        <v>ЭТАЖ ЗАДАН ЧИСЛОМ</v>
      </c>
      <c r="Q3118" s="13" t="str">
        <f t="shared" si="341"/>
        <v>ГОТОВ_ИЗМЕНЕН</v>
      </c>
      <c r="R3118" s="13">
        <f>IFERROR(VLOOKUP(P3118,Лист1!A$1:B$20,2,FALSE),0)</f>
        <v>784</v>
      </c>
      <c r="S3118" s="13">
        <f t="shared" si="342"/>
        <v>0</v>
      </c>
    </row>
    <row r="3119" spans="1:19" x14ac:dyDescent="0.25">
      <c r="A3119" s="24" t="s">
        <v>4251</v>
      </c>
      <c r="B3119" s="4" t="s">
        <v>1059</v>
      </c>
      <c r="C3119" s="25" t="s">
        <v>5</v>
      </c>
      <c r="G3119" s="25" t="s">
        <v>1108</v>
      </c>
      <c r="H3119" s="24" t="s">
        <v>1061</v>
      </c>
      <c r="I3119" s="3" t="str">
        <f>IFERROR(VLOOKUP(C3119,'Справочник соответствий'!A$2:D$2981,2,FALSE),IF(VALUE(C3119)=0,1,VLOOKUP(C3119,'Справочник соответствий'!A$2:D$2981,2,FALSE)))</f>
        <v>1</v>
      </c>
      <c r="J3119" s="3">
        <f>IFERROR(VLOOKUP(D3119,'Справочник соответствий'!A$2:D$2981,2,FALSE),IF(VALUE(D3119)=0,0,VLOOKUP(D3119,'Справочник соответствий'!A$2:D$2981,2,FALSE)))</f>
        <v>0</v>
      </c>
      <c r="K3119" s="3" t="str">
        <f t="shared" si="336"/>
        <v>1</v>
      </c>
      <c r="L3119" s="13" t="str">
        <f>IFERROR(VLOOKUP(C3119,'Справочник соответствий'!A$2:D$2981,3,FALSE),IF(VALUE(C3119)=0,"ЭТАЖ НЕ ОПРЕДЕЛЕН. ПРИНЯТ ПО ДОПУЩЕНИЮ 1",VLOOKUP(C3119,'Справочник соответствий'!A$2:D$2981,3,FALSE)))</f>
        <v>ЭТАЖ ЗАДАН ЧИСЛОМ</v>
      </c>
      <c r="M3119" s="13" t="b">
        <f t="shared" si="337"/>
        <v>0</v>
      </c>
      <c r="N3119" s="13">
        <f t="shared" si="338"/>
        <v>1</v>
      </c>
      <c r="O3119" s="13" t="str">
        <f t="shared" si="339"/>
        <v>ЭТАЖ ЗАДАН ЧИСЛОМ</v>
      </c>
      <c r="P3119" s="13" t="str">
        <f t="shared" si="340"/>
        <v>ЭТАЖ ЗАДАН ЧИСЛОМ</v>
      </c>
      <c r="Q3119" s="13" t="str">
        <f t="shared" si="341"/>
        <v>ГОТОВ_ИЗМЕНЕН</v>
      </c>
      <c r="R3119" s="13">
        <f>IFERROR(VLOOKUP(P3119,Лист1!A$1:B$20,2,FALSE),0)</f>
        <v>784</v>
      </c>
      <c r="S3119" s="13">
        <f t="shared" si="342"/>
        <v>0</v>
      </c>
    </row>
    <row r="3120" spans="1:19" x14ac:dyDescent="0.25">
      <c r="A3120" s="24" t="s">
        <v>4252</v>
      </c>
      <c r="B3120" s="4" t="s">
        <v>1063</v>
      </c>
      <c r="C3120" s="25" t="s">
        <v>5</v>
      </c>
      <c r="G3120" s="25" t="s">
        <v>1060</v>
      </c>
      <c r="H3120" s="24" t="s">
        <v>1061</v>
      </c>
      <c r="I3120" s="3" t="str">
        <f>IFERROR(VLOOKUP(C3120,'Справочник соответствий'!A$2:D$2981,2,FALSE),IF(VALUE(C3120)=0,1,VLOOKUP(C3120,'Справочник соответствий'!A$2:D$2981,2,FALSE)))</f>
        <v>1</v>
      </c>
      <c r="J3120" s="3">
        <f>IFERROR(VLOOKUP(D3120,'Справочник соответствий'!A$2:D$2981,2,FALSE),IF(VALUE(D3120)=0,0,VLOOKUP(D3120,'Справочник соответствий'!A$2:D$2981,2,FALSE)))</f>
        <v>0</v>
      </c>
      <c r="K3120" s="3" t="str">
        <f t="shared" si="336"/>
        <v>1</v>
      </c>
      <c r="L3120" s="13" t="str">
        <f>IFERROR(VLOOKUP(C3120,'Справочник соответствий'!A$2:D$2981,3,FALSE),IF(VALUE(C3120)=0,"ЭТАЖ НЕ ОПРЕДЕЛЕН. ПРИНЯТ ПО ДОПУЩЕНИЮ 1",VLOOKUP(C3120,'Справочник соответствий'!A$2:D$2981,3,FALSE)))</f>
        <v>ЭТАЖ ЗАДАН ЧИСЛОМ</v>
      </c>
      <c r="M3120" s="13" t="b">
        <f t="shared" si="337"/>
        <v>0</v>
      </c>
      <c r="N3120" s="13">
        <f t="shared" si="338"/>
        <v>1</v>
      </c>
      <c r="O3120" s="13" t="str">
        <f t="shared" si="339"/>
        <v>ЭТАЖ ЗАДАН ЧИСЛОМ</v>
      </c>
      <c r="P3120" s="13" t="str">
        <f t="shared" si="340"/>
        <v>ЭТАЖ ЗАДАН ЧИСЛОМ</v>
      </c>
      <c r="Q3120" s="13" t="str">
        <f t="shared" si="341"/>
        <v>ГОТОВ_ИЗМЕНЕН</v>
      </c>
      <c r="R3120" s="13">
        <f>IFERROR(VLOOKUP(P3120,Лист1!A$1:B$20,2,FALSE),0)</f>
        <v>784</v>
      </c>
      <c r="S3120" s="13">
        <f t="shared" si="342"/>
        <v>0</v>
      </c>
    </row>
    <row r="3121" spans="1:19" x14ac:dyDescent="0.25">
      <c r="A3121" s="24" t="s">
        <v>4253</v>
      </c>
      <c r="B3121" s="4" t="s">
        <v>1059</v>
      </c>
      <c r="C3121" s="25" t="s">
        <v>5</v>
      </c>
      <c r="G3121" s="25" t="s">
        <v>1089</v>
      </c>
      <c r="H3121" s="24" t="s">
        <v>1061</v>
      </c>
      <c r="I3121" s="3" t="str">
        <f>IFERROR(VLOOKUP(C3121,'Справочник соответствий'!A$2:D$2981,2,FALSE),IF(VALUE(C3121)=0,1,VLOOKUP(C3121,'Справочник соответствий'!A$2:D$2981,2,FALSE)))</f>
        <v>1</v>
      </c>
      <c r="J3121" s="3">
        <f>IFERROR(VLOOKUP(D3121,'Справочник соответствий'!A$2:D$2981,2,FALSE),IF(VALUE(D3121)=0,0,VLOOKUP(D3121,'Справочник соответствий'!A$2:D$2981,2,FALSE)))</f>
        <v>0</v>
      </c>
      <c r="K3121" s="3" t="str">
        <f t="shared" si="336"/>
        <v>1</v>
      </c>
      <c r="L3121" s="13" t="str">
        <f>IFERROR(VLOOKUP(C3121,'Справочник соответствий'!A$2:D$2981,3,FALSE),IF(VALUE(C3121)=0,"ЭТАЖ НЕ ОПРЕДЕЛЕН. ПРИНЯТ ПО ДОПУЩЕНИЮ 1",VLOOKUP(C3121,'Справочник соответствий'!A$2:D$2981,3,FALSE)))</f>
        <v>ЭТАЖ ЗАДАН ЧИСЛОМ</v>
      </c>
      <c r="M3121" s="13" t="b">
        <f t="shared" si="337"/>
        <v>0</v>
      </c>
      <c r="N3121" s="13">
        <f t="shared" si="338"/>
        <v>1</v>
      </c>
      <c r="O3121" s="13" t="str">
        <f t="shared" si="339"/>
        <v>ЭТАЖ ЗАДАН ЧИСЛОМ</v>
      </c>
      <c r="P3121" s="13" t="str">
        <f t="shared" si="340"/>
        <v>ЭТАЖ ЗАДАН ЧИСЛОМ</v>
      </c>
      <c r="Q3121" s="13" t="str">
        <f t="shared" si="341"/>
        <v>ГОТОВ_ИЗМЕНЕН</v>
      </c>
      <c r="R3121" s="13">
        <f>IFERROR(VLOOKUP(P3121,Лист1!A$1:B$20,2,FALSE),0)</f>
        <v>784</v>
      </c>
      <c r="S3121" s="13">
        <f t="shared" si="342"/>
        <v>0</v>
      </c>
    </row>
    <row r="3122" spans="1:19" x14ac:dyDescent="0.25">
      <c r="A3122" s="24" t="s">
        <v>4254</v>
      </c>
      <c r="B3122" s="4" t="s">
        <v>1059</v>
      </c>
      <c r="C3122" s="25" t="s">
        <v>7</v>
      </c>
      <c r="G3122" s="25" t="s">
        <v>1060</v>
      </c>
      <c r="H3122" s="24" t="s">
        <v>1061</v>
      </c>
      <c r="I3122" s="3" t="str">
        <f>IFERROR(VLOOKUP(C3122,'Справочник соответствий'!A$2:D$2981,2,FALSE),IF(VALUE(C3122)=0,1,VLOOKUP(C3122,'Справочник соответствий'!A$2:D$2981,2,FALSE)))</f>
        <v>2</v>
      </c>
      <c r="J3122" s="3">
        <f>IFERROR(VLOOKUP(D3122,'Справочник соответствий'!A$2:D$2981,2,FALSE),IF(VALUE(D3122)=0,0,VLOOKUP(D3122,'Справочник соответствий'!A$2:D$2981,2,FALSE)))</f>
        <v>0</v>
      </c>
      <c r="K3122" s="3" t="str">
        <f t="shared" si="336"/>
        <v>2</v>
      </c>
      <c r="L3122" s="13" t="str">
        <f>IFERROR(VLOOKUP(C3122,'Справочник соответствий'!A$2:D$2981,3,FALSE),IF(VALUE(C3122)=0,"ЭТАЖ НЕ ОПРЕДЕЛЕН. ПРИНЯТ ПО ДОПУЩЕНИЮ 1",VLOOKUP(C3122,'Справочник соответствий'!A$2:D$2981,3,FALSE)))</f>
        <v>ЭТАЖ ЗАДАН ЧИСЛОМ</v>
      </c>
      <c r="M3122" s="13" t="b">
        <f t="shared" si="337"/>
        <v>0</v>
      </c>
      <c r="N3122" s="13">
        <f t="shared" si="338"/>
        <v>2</v>
      </c>
      <c r="O3122" s="13" t="str">
        <f t="shared" si="339"/>
        <v>ЭТАЖ ЗАДАН ЧИСЛОМ</v>
      </c>
      <c r="P3122" s="13" t="str">
        <f t="shared" si="340"/>
        <v>ЭТАЖ ЗАДАН ЧИСЛОМ</v>
      </c>
      <c r="Q3122" s="13" t="str">
        <f t="shared" si="341"/>
        <v>ГОТОВ_ИЗМЕНЕН</v>
      </c>
      <c r="R3122" s="13">
        <f>IFERROR(VLOOKUP(P3122,Лист1!A$1:B$20,2,FALSE),0)</f>
        <v>784</v>
      </c>
      <c r="S3122" s="13">
        <f t="shared" si="342"/>
        <v>0</v>
      </c>
    </row>
    <row r="3123" spans="1:19" x14ac:dyDescent="0.25">
      <c r="A3123" s="24" t="s">
        <v>4255</v>
      </c>
      <c r="B3123" s="4" t="s">
        <v>1063</v>
      </c>
      <c r="C3123" s="25" t="s">
        <v>5</v>
      </c>
      <c r="G3123" s="25" t="s">
        <v>1060</v>
      </c>
      <c r="H3123" s="24" t="s">
        <v>1061</v>
      </c>
      <c r="I3123" s="3" t="str">
        <f>IFERROR(VLOOKUP(C3123,'Справочник соответствий'!A$2:D$2981,2,FALSE),IF(VALUE(C3123)=0,1,VLOOKUP(C3123,'Справочник соответствий'!A$2:D$2981,2,FALSE)))</f>
        <v>1</v>
      </c>
      <c r="J3123" s="3">
        <f>IFERROR(VLOOKUP(D3123,'Справочник соответствий'!A$2:D$2981,2,FALSE),IF(VALUE(D3123)=0,0,VLOOKUP(D3123,'Справочник соответствий'!A$2:D$2981,2,FALSE)))</f>
        <v>0</v>
      </c>
      <c r="K3123" s="3" t="str">
        <f t="shared" si="336"/>
        <v>1</v>
      </c>
      <c r="L3123" s="13" t="str">
        <f>IFERROR(VLOOKUP(C3123,'Справочник соответствий'!A$2:D$2981,3,FALSE),IF(VALUE(C3123)=0,"ЭТАЖ НЕ ОПРЕДЕЛЕН. ПРИНЯТ ПО ДОПУЩЕНИЮ 1",VLOOKUP(C3123,'Справочник соответствий'!A$2:D$2981,3,FALSE)))</f>
        <v>ЭТАЖ ЗАДАН ЧИСЛОМ</v>
      </c>
      <c r="M3123" s="13" t="b">
        <f t="shared" si="337"/>
        <v>0</v>
      </c>
      <c r="N3123" s="13">
        <f t="shared" si="338"/>
        <v>1</v>
      </c>
      <c r="O3123" s="13" t="str">
        <f t="shared" si="339"/>
        <v>ЭТАЖ ЗАДАН ЧИСЛОМ</v>
      </c>
      <c r="P3123" s="13" t="str">
        <f t="shared" si="340"/>
        <v>ЭТАЖ ЗАДАН ЧИСЛОМ</v>
      </c>
      <c r="Q3123" s="13" t="str">
        <f t="shared" si="341"/>
        <v>ГОТОВ_ИЗМЕНЕН</v>
      </c>
      <c r="R3123" s="13">
        <f>IFERROR(VLOOKUP(P3123,Лист1!A$1:B$20,2,FALSE),0)</f>
        <v>784</v>
      </c>
      <c r="S3123" s="13">
        <f t="shared" si="342"/>
        <v>0</v>
      </c>
    </row>
    <row r="3124" spans="1:19" x14ac:dyDescent="0.25">
      <c r="A3124" s="24" t="s">
        <v>4256</v>
      </c>
      <c r="B3124" s="4" t="s">
        <v>1063</v>
      </c>
      <c r="G3124" s="25" t="s">
        <v>1060</v>
      </c>
      <c r="H3124" s="24" t="s">
        <v>1061</v>
      </c>
      <c r="I3124" s="3">
        <f>IFERROR(VLOOKUP(C3124,'Справочник соответствий'!A$2:D$2981,2,FALSE),IF(VALUE(C3124)=0,1,VLOOKUP(C3124,'Справочник соответствий'!A$2:D$2981,2,FALSE)))</f>
        <v>1</v>
      </c>
      <c r="J3124" s="3">
        <f>IFERROR(VLOOKUP(D3124,'Справочник соответствий'!A$2:D$2981,2,FALSE),IF(VALUE(D3124)=0,0,VLOOKUP(D3124,'Справочник соответствий'!A$2:D$2981,2,FALSE)))</f>
        <v>0</v>
      </c>
      <c r="K3124" s="3">
        <f t="shared" si="336"/>
        <v>1</v>
      </c>
      <c r="L3124" s="13" t="str">
        <f>IFERROR(VLOOKUP(C3124,'Справочник соответствий'!A$2:D$2981,3,FALSE),IF(VALUE(C3124)=0,"ЭТАЖ НЕ ОПРЕДЕЛЕН. ПРИНЯТ ПО ДОПУЩЕНИЮ 1",VLOOKUP(C3124,'Справочник соответствий'!A$2:D$2981,3,FALSE)))</f>
        <v>ЭТАЖ НЕ ОПРЕДЕЛЕН. ПРИНЯТ ПО ДОПУЩЕНИЮ 1</v>
      </c>
      <c r="M3124" s="13" t="b">
        <f t="shared" si="337"/>
        <v>0</v>
      </c>
      <c r="N3124" s="13">
        <f t="shared" si="338"/>
        <v>1</v>
      </c>
      <c r="O3124" s="13" t="str">
        <f t="shared" si="339"/>
        <v>ЭТАЖ НЕ ОПРЕДЕЛЕН. ПРИНЯТ ПО ДОПУЩЕНИЮ 1</v>
      </c>
      <c r="P3124" s="13" t="str">
        <f t="shared" si="340"/>
        <v>ЭТАЖ НЕ ОПРЕДЕЛЕН. ПРИНЯТ ПО ДОПУЩЕНИЮ 1</v>
      </c>
      <c r="Q3124" s="13" t="str">
        <f t="shared" si="341"/>
        <v>ГОТОВ_ИЗМЕНЕН</v>
      </c>
      <c r="R3124" s="13">
        <f>IFERROR(VLOOKUP(P3124,Лист1!A$1:B$20,2,FALSE),0)</f>
        <v>788</v>
      </c>
      <c r="S3124" s="13">
        <f t="shared" si="342"/>
        <v>0</v>
      </c>
    </row>
    <row r="3125" spans="1:19" x14ac:dyDescent="0.25">
      <c r="A3125" s="24" t="s">
        <v>4257</v>
      </c>
      <c r="B3125" s="4" t="s">
        <v>1063</v>
      </c>
      <c r="C3125" s="25" t="s">
        <v>5</v>
      </c>
      <c r="G3125" s="25" t="s">
        <v>1060</v>
      </c>
      <c r="H3125" s="24" t="s">
        <v>1061</v>
      </c>
      <c r="I3125" s="3" t="str">
        <f>IFERROR(VLOOKUP(C3125,'Справочник соответствий'!A$2:D$2981,2,FALSE),IF(VALUE(C3125)=0,1,VLOOKUP(C3125,'Справочник соответствий'!A$2:D$2981,2,FALSE)))</f>
        <v>1</v>
      </c>
      <c r="J3125" s="3">
        <f>IFERROR(VLOOKUP(D3125,'Справочник соответствий'!A$2:D$2981,2,FALSE),IF(VALUE(D3125)=0,0,VLOOKUP(D3125,'Справочник соответствий'!A$2:D$2981,2,FALSE)))</f>
        <v>0</v>
      </c>
      <c r="K3125" s="3" t="str">
        <f t="shared" si="336"/>
        <v>1</v>
      </c>
      <c r="L3125" s="13" t="str">
        <f>IFERROR(VLOOKUP(C3125,'Справочник соответствий'!A$2:D$2981,3,FALSE),IF(VALUE(C3125)=0,"ЭТАЖ НЕ ОПРЕДЕЛЕН. ПРИНЯТ ПО ДОПУЩЕНИЮ 1",VLOOKUP(C3125,'Справочник соответствий'!A$2:D$2981,3,FALSE)))</f>
        <v>ЭТАЖ ЗАДАН ЧИСЛОМ</v>
      </c>
      <c r="M3125" s="13" t="b">
        <f t="shared" si="337"/>
        <v>0</v>
      </c>
      <c r="N3125" s="13">
        <f t="shared" si="338"/>
        <v>1</v>
      </c>
      <c r="O3125" s="13" t="str">
        <f t="shared" si="339"/>
        <v>ЭТАЖ ЗАДАН ЧИСЛОМ</v>
      </c>
      <c r="P3125" s="13" t="str">
        <f t="shared" si="340"/>
        <v>ЭТАЖ ЗАДАН ЧИСЛОМ</v>
      </c>
      <c r="Q3125" s="13" t="str">
        <f t="shared" si="341"/>
        <v>ГОТОВ_ИЗМЕНЕН</v>
      </c>
      <c r="R3125" s="13">
        <f>IFERROR(VLOOKUP(P3125,Лист1!A$1:B$20,2,FALSE),0)</f>
        <v>784</v>
      </c>
      <c r="S3125" s="13">
        <f t="shared" si="342"/>
        <v>0</v>
      </c>
    </row>
    <row r="3126" spans="1:19" x14ac:dyDescent="0.25">
      <c r="A3126" s="24" t="s">
        <v>4258</v>
      </c>
      <c r="B3126" s="4" t="s">
        <v>1059</v>
      </c>
      <c r="C3126" s="25" t="s">
        <v>5</v>
      </c>
      <c r="G3126" s="25" t="s">
        <v>1060</v>
      </c>
      <c r="H3126" s="24" t="s">
        <v>1061</v>
      </c>
      <c r="I3126" s="3" t="str">
        <f>IFERROR(VLOOKUP(C3126,'Справочник соответствий'!A$2:D$2981,2,FALSE),IF(VALUE(C3126)=0,1,VLOOKUP(C3126,'Справочник соответствий'!A$2:D$2981,2,FALSE)))</f>
        <v>1</v>
      </c>
      <c r="J3126" s="3">
        <f>IFERROR(VLOOKUP(D3126,'Справочник соответствий'!A$2:D$2981,2,FALSE),IF(VALUE(D3126)=0,0,VLOOKUP(D3126,'Справочник соответствий'!A$2:D$2981,2,FALSE)))</f>
        <v>0</v>
      </c>
      <c r="K3126" s="3" t="str">
        <f t="shared" si="336"/>
        <v>1</v>
      </c>
      <c r="L3126" s="13" t="str">
        <f>IFERROR(VLOOKUP(C3126,'Справочник соответствий'!A$2:D$2981,3,FALSE),IF(VALUE(C3126)=0,"ЭТАЖ НЕ ОПРЕДЕЛЕН. ПРИНЯТ ПО ДОПУЩЕНИЮ 1",VLOOKUP(C3126,'Справочник соответствий'!A$2:D$2981,3,FALSE)))</f>
        <v>ЭТАЖ ЗАДАН ЧИСЛОМ</v>
      </c>
      <c r="M3126" s="13" t="b">
        <f t="shared" si="337"/>
        <v>0</v>
      </c>
      <c r="N3126" s="13">
        <f t="shared" si="338"/>
        <v>1</v>
      </c>
      <c r="O3126" s="13" t="str">
        <f t="shared" si="339"/>
        <v>ЭТАЖ ЗАДАН ЧИСЛОМ</v>
      </c>
      <c r="P3126" s="13" t="str">
        <f t="shared" si="340"/>
        <v>ЭТАЖ ЗАДАН ЧИСЛОМ</v>
      </c>
      <c r="Q3126" s="13" t="str">
        <f t="shared" si="341"/>
        <v>ГОТОВ_ИЗМЕНЕН</v>
      </c>
      <c r="R3126" s="13">
        <f>IFERROR(VLOOKUP(P3126,Лист1!A$1:B$20,2,FALSE),0)</f>
        <v>784</v>
      </c>
      <c r="S3126" s="13">
        <f t="shared" si="342"/>
        <v>0</v>
      </c>
    </row>
    <row r="3127" spans="1:19" x14ac:dyDescent="0.25">
      <c r="A3127" s="24" t="s">
        <v>4259</v>
      </c>
      <c r="B3127" s="4" t="s">
        <v>1059</v>
      </c>
      <c r="C3127" s="25" t="s">
        <v>7</v>
      </c>
      <c r="G3127" s="25" t="s">
        <v>1060</v>
      </c>
      <c r="H3127" s="24" t="s">
        <v>1061</v>
      </c>
      <c r="I3127" s="3" t="str">
        <f>IFERROR(VLOOKUP(C3127,'Справочник соответствий'!A$2:D$2981,2,FALSE),IF(VALUE(C3127)=0,1,VLOOKUP(C3127,'Справочник соответствий'!A$2:D$2981,2,FALSE)))</f>
        <v>2</v>
      </c>
      <c r="J3127" s="3">
        <f>IFERROR(VLOOKUP(D3127,'Справочник соответствий'!A$2:D$2981,2,FALSE),IF(VALUE(D3127)=0,0,VLOOKUP(D3127,'Справочник соответствий'!A$2:D$2981,2,FALSE)))</f>
        <v>0</v>
      </c>
      <c r="K3127" s="3" t="str">
        <f t="shared" si="336"/>
        <v>2</v>
      </c>
      <c r="L3127" s="13" t="str">
        <f>IFERROR(VLOOKUP(C3127,'Справочник соответствий'!A$2:D$2981,3,FALSE),IF(VALUE(C3127)=0,"ЭТАЖ НЕ ОПРЕДЕЛЕН. ПРИНЯТ ПО ДОПУЩЕНИЮ 1",VLOOKUP(C3127,'Справочник соответствий'!A$2:D$2981,3,FALSE)))</f>
        <v>ЭТАЖ ЗАДАН ЧИСЛОМ</v>
      </c>
      <c r="M3127" s="13" t="b">
        <f t="shared" si="337"/>
        <v>0</v>
      </c>
      <c r="N3127" s="13">
        <f t="shared" si="338"/>
        <v>2</v>
      </c>
      <c r="O3127" s="13" t="str">
        <f t="shared" si="339"/>
        <v>ЭТАЖ ЗАДАН ЧИСЛОМ</v>
      </c>
      <c r="P3127" s="13" t="str">
        <f t="shared" si="340"/>
        <v>ЭТАЖ ЗАДАН ЧИСЛОМ</v>
      </c>
      <c r="Q3127" s="13" t="str">
        <f t="shared" si="341"/>
        <v>ГОТОВ_ИЗМЕНЕН</v>
      </c>
      <c r="R3127" s="13">
        <f>IFERROR(VLOOKUP(P3127,Лист1!A$1:B$20,2,FALSE),0)</f>
        <v>784</v>
      </c>
      <c r="S3127" s="13">
        <f t="shared" si="342"/>
        <v>0</v>
      </c>
    </row>
    <row r="3128" spans="1:19" x14ac:dyDescent="0.25">
      <c r="A3128" s="24" t="s">
        <v>4260</v>
      </c>
      <c r="B3128" s="4" t="s">
        <v>1063</v>
      </c>
      <c r="C3128" s="25" t="s">
        <v>5</v>
      </c>
      <c r="G3128" s="25" t="s">
        <v>1060</v>
      </c>
      <c r="H3128" s="24" t="s">
        <v>1061</v>
      </c>
      <c r="I3128" s="3" t="str">
        <f>IFERROR(VLOOKUP(C3128,'Справочник соответствий'!A$2:D$2981,2,FALSE),IF(VALUE(C3128)=0,1,VLOOKUP(C3128,'Справочник соответствий'!A$2:D$2981,2,FALSE)))</f>
        <v>1</v>
      </c>
      <c r="J3128" s="3">
        <f>IFERROR(VLOOKUP(D3128,'Справочник соответствий'!A$2:D$2981,2,FALSE),IF(VALUE(D3128)=0,0,VLOOKUP(D3128,'Справочник соответствий'!A$2:D$2981,2,FALSE)))</f>
        <v>0</v>
      </c>
      <c r="K3128" s="3" t="str">
        <f t="shared" si="336"/>
        <v>1</v>
      </c>
      <c r="L3128" s="13" t="str">
        <f>IFERROR(VLOOKUP(C3128,'Справочник соответствий'!A$2:D$2981,3,FALSE),IF(VALUE(C3128)=0,"ЭТАЖ НЕ ОПРЕДЕЛЕН. ПРИНЯТ ПО ДОПУЩЕНИЮ 1",VLOOKUP(C3128,'Справочник соответствий'!A$2:D$2981,3,FALSE)))</f>
        <v>ЭТАЖ ЗАДАН ЧИСЛОМ</v>
      </c>
      <c r="M3128" s="13" t="b">
        <f t="shared" si="337"/>
        <v>0</v>
      </c>
      <c r="N3128" s="13">
        <f t="shared" si="338"/>
        <v>1</v>
      </c>
      <c r="O3128" s="13" t="str">
        <f t="shared" si="339"/>
        <v>ЭТАЖ ЗАДАН ЧИСЛОМ</v>
      </c>
      <c r="P3128" s="13" t="str">
        <f t="shared" si="340"/>
        <v>ЭТАЖ ЗАДАН ЧИСЛОМ</v>
      </c>
      <c r="Q3128" s="13" t="str">
        <f t="shared" si="341"/>
        <v>ГОТОВ_ИЗМЕНЕН</v>
      </c>
      <c r="R3128" s="13">
        <f>IFERROR(VLOOKUP(P3128,Лист1!A$1:B$20,2,FALSE),0)</f>
        <v>784</v>
      </c>
      <c r="S3128" s="13">
        <f t="shared" si="342"/>
        <v>0</v>
      </c>
    </row>
    <row r="3129" spans="1:19" x14ac:dyDescent="0.25">
      <c r="A3129" s="24" t="s">
        <v>4261</v>
      </c>
      <c r="B3129" s="4" t="s">
        <v>1059</v>
      </c>
      <c r="C3129" s="25" t="s">
        <v>7</v>
      </c>
      <c r="G3129" s="25" t="s">
        <v>1108</v>
      </c>
      <c r="H3129" s="24" t="s">
        <v>1061</v>
      </c>
      <c r="I3129" s="3" t="str">
        <f>IFERROR(VLOOKUP(C3129,'Справочник соответствий'!A$2:D$2981,2,FALSE),IF(VALUE(C3129)=0,1,VLOOKUP(C3129,'Справочник соответствий'!A$2:D$2981,2,FALSE)))</f>
        <v>2</v>
      </c>
      <c r="J3129" s="3">
        <f>IFERROR(VLOOKUP(D3129,'Справочник соответствий'!A$2:D$2981,2,FALSE),IF(VALUE(D3129)=0,0,VLOOKUP(D3129,'Справочник соответствий'!A$2:D$2981,2,FALSE)))</f>
        <v>0</v>
      </c>
      <c r="K3129" s="3" t="str">
        <f t="shared" si="336"/>
        <v>2</v>
      </c>
      <c r="L3129" s="13" t="str">
        <f>IFERROR(VLOOKUP(C3129,'Справочник соответствий'!A$2:D$2981,3,FALSE),IF(VALUE(C3129)=0,"ЭТАЖ НЕ ОПРЕДЕЛЕН. ПРИНЯТ ПО ДОПУЩЕНИЮ 1",VLOOKUP(C3129,'Справочник соответствий'!A$2:D$2981,3,FALSE)))</f>
        <v>ЭТАЖ ЗАДАН ЧИСЛОМ</v>
      </c>
      <c r="M3129" s="13" t="b">
        <f t="shared" si="337"/>
        <v>0</v>
      </c>
      <c r="N3129" s="13">
        <f t="shared" si="338"/>
        <v>2</v>
      </c>
      <c r="O3129" s="13" t="str">
        <f t="shared" si="339"/>
        <v>ЭТАЖ ЗАДАН ЧИСЛОМ</v>
      </c>
      <c r="P3129" s="13" t="str">
        <f t="shared" si="340"/>
        <v>ЭТАЖ ЗАДАН ЧИСЛОМ</v>
      </c>
      <c r="Q3129" s="13" t="str">
        <f t="shared" si="341"/>
        <v>ГОТОВ_ИЗМЕНЕН</v>
      </c>
      <c r="R3129" s="13">
        <f>IFERROR(VLOOKUP(P3129,Лист1!A$1:B$20,2,FALSE),0)</f>
        <v>784</v>
      </c>
      <c r="S3129" s="13">
        <f t="shared" si="342"/>
        <v>0</v>
      </c>
    </row>
    <row r="3130" spans="1:19" x14ac:dyDescent="0.25">
      <c r="A3130" s="24" t="s">
        <v>4262</v>
      </c>
      <c r="B3130" s="4" t="s">
        <v>1059</v>
      </c>
      <c r="C3130" s="25" t="s">
        <v>5</v>
      </c>
      <c r="G3130" s="25" t="s">
        <v>1096</v>
      </c>
      <c r="H3130" s="24" t="s">
        <v>1061</v>
      </c>
      <c r="I3130" s="3" t="str">
        <f>IFERROR(VLOOKUP(C3130,'Справочник соответствий'!A$2:D$2981,2,FALSE),IF(VALUE(C3130)=0,1,VLOOKUP(C3130,'Справочник соответствий'!A$2:D$2981,2,FALSE)))</f>
        <v>1</v>
      </c>
      <c r="J3130" s="3">
        <f>IFERROR(VLOOKUP(D3130,'Справочник соответствий'!A$2:D$2981,2,FALSE),IF(VALUE(D3130)=0,0,VLOOKUP(D3130,'Справочник соответствий'!A$2:D$2981,2,FALSE)))</f>
        <v>0</v>
      </c>
      <c r="K3130" s="3" t="str">
        <f t="shared" si="336"/>
        <v>1</v>
      </c>
      <c r="L3130" s="13" t="str">
        <f>IFERROR(VLOOKUP(C3130,'Справочник соответствий'!A$2:D$2981,3,FALSE),IF(VALUE(C3130)=0,"ЭТАЖ НЕ ОПРЕДЕЛЕН. ПРИНЯТ ПО ДОПУЩЕНИЮ 1",VLOOKUP(C3130,'Справочник соответствий'!A$2:D$2981,3,FALSE)))</f>
        <v>ЭТАЖ ЗАДАН ЧИСЛОМ</v>
      </c>
      <c r="M3130" s="13" t="b">
        <f t="shared" si="337"/>
        <v>0</v>
      </c>
      <c r="N3130" s="13">
        <f t="shared" si="338"/>
        <v>1</v>
      </c>
      <c r="O3130" s="13" t="str">
        <f t="shared" si="339"/>
        <v>ЭТАЖ ЗАДАН ЧИСЛОМ</v>
      </c>
      <c r="P3130" s="13" t="str">
        <f t="shared" si="340"/>
        <v>ЭТАЖ ЗАДАН ЧИСЛОМ</v>
      </c>
      <c r="Q3130" s="13" t="str">
        <f t="shared" si="341"/>
        <v>ГОТОВ_ИЗМЕНЕН</v>
      </c>
      <c r="R3130" s="13">
        <f>IFERROR(VLOOKUP(P3130,Лист1!A$1:B$20,2,FALSE),0)</f>
        <v>784</v>
      </c>
      <c r="S3130" s="13">
        <f t="shared" si="342"/>
        <v>0</v>
      </c>
    </row>
    <row r="3131" spans="1:19" x14ac:dyDescent="0.25">
      <c r="A3131" s="24" t="s">
        <v>4263</v>
      </c>
      <c r="B3131" s="4" t="s">
        <v>1059</v>
      </c>
      <c r="C3131" s="25" t="s">
        <v>5</v>
      </c>
      <c r="G3131" s="25" t="s">
        <v>1096</v>
      </c>
      <c r="H3131" s="24" t="s">
        <v>1061</v>
      </c>
      <c r="I3131" s="3" t="str">
        <f>IFERROR(VLOOKUP(C3131,'Справочник соответствий'!A$2:D$2981,2,FALSE),IF(VALUE(C3131)=0,1,VLOOKUP(C3131,'Справочник соответствий'!A$2:D$2981,2,FALSE)))</f>
        <v>1</v>
      </c>
      <c r="J3131" s="3">
        <f>IFERROR(VLOOKUP(D3131,'Справочник соответствий'!A$2:D$2981,2,FALSE),IF(VALUE(D3131)=0,0,VLOOKUP(D3131,'Справочник соответствий'!A$2:D$2981,2,FALSE)))</f>
        <v>0</v>
      </c>
      <c r="K3131" s="3" t="str">
        <f t="shared" si="336"/>
        <v>1</v>
      </c>
      <c r="L3131" s="13" t="str">
        <f>IFERROR(VLOOKUP(C3131,'Справочник соответствий'!A$2:D$2981,3,FALSE),IF(VALUE(C3131)=0,"ЭТАЖ НЕ ОПРЕДЕЛЕН. ПРИНЯТ ПО ДОПУЩЕНИЮ 1",VLOOKUP(C3131,'Справочник соответствий'!A$2:D$2981,3,FALSE)))</f>
        <v>ЭТАЖ ЗАДАН ЧИСЛОМ</v>
      </c>
      <c r="M3131" s="13" t="b">
        <f t="shared" si="337"/>
        <v>0</v>
      </c>
      <c r="N3131" s="13">
        <f t="shared" si="338"/>
        <v>1</v>
      </c>
      <c r="O3131" s="13" t="str">
        <f t="shared" si="339"/>
        <v>ЭТАЖ ЗАДАН ЧИСЛОМ</v>
      </c>
      <c r="P3131" s="13" t="str">
        <f t="shared" si="340"/>
        <v>ЭТАЖ ЗАДАН ЧИСЛОМ</v>
      </c>
      <c r="Q3131" s="13" t="str">
        <f t="shared" si="341"/>
        <v>ГОТОВ_ИЗМЕНЕН</v>
      </c>
      <c r="R3131" s="13">
        <f>IFERROR(VLOOKUP(P3131,Лист1!A$1:B$20,2,FALSE),0)</f>
        <v>784</v>
      </c>
      <c r="S3131" s="13">
        <f t="shared" si="342"/>
        <v>0</v>
      </c>
    </row>
    <row r="3132" spans="1:19" x14ac:dyDescent="0.25">
      <c r="A3132" s="24" t="s">
        <v>4264</v>
      </c>
      <c r="B3132" s="4" t="s">
        <v>1063</v>
      </c>
      <c r="C3132" s="25" t="s">
        <v>5</v>
      </c>
      <c r="G3132" s="25" t="s">
        <v>1096</v>
      </c>
      <c r="H3132" s="24" t="s">
        <v>1061</v>
      </c>
      <c r="I3132" s="3" t="str">
        <f>IFERROR(VLOOKUP(C3132,'Справочник соответствий'!A$2:D$2981,2,FALSE),IF(VALUE(C3132)=0,1,VLOOKUP(C3132,'Справочник соответствий'!A$2:D$2981,2,FALSE)))</f>
        <v>1</v>
      </c>
      <c r="J3132" s="3">
        <f>IFERROR(VLOOKUP(D3132,'Справочник соответствий'!A$2:D$2981,2,FALSE),IF(VALUE(D3132)=0,0,VLOOKUP(D3132,'Справочник соответствий'!A$2:D$2981,2,FALSE)))</f>
        <v>0</v>
      </c>
      <c r="K3132" s="3" t="str">
        <f t="shared" si="336"/>
        <v>1</v>
      </c>
      <c r="L3132" s="13" t="str">
        <f>IFERROR(VLOOKUP(C3132,'Справочник соответствий'!A$2:D$2981,3,FALSE),IF(VALUE(C3132)=0,"ЭТАЖ НЕ ОПРЕДЕЛЕН. ПРИНЯТ ПО ДОПУЩЕНИЮ 1",VLOOKUP(C3132,'Справочник соответствий'!A$2:D$2981,3,FALSE)))</f>
        <v>ЭТАЖ ЗАДАН ЧИСЛОМ</v>
      </c>
      <c r="M3132" s="13" t="b">
        <f t="shared" si="337"/>
        <v>0</v>
      </c>
      <c r="N3132" s="13">
        <f t="shared" si="338"/>
        <v>1</v>
      </c>
      <c r="O3132" s="13" t="str">
        <f t="shared" si="339"/>
        <v>ЭТАЖ ЗАДАН ЧИСЛОМ</v>
      </c>
      <c r="P3132" s="13" t="str">
        <f t="shared" si="340"/>
        <v>ЭТАЖ ЗАДАН ЧИСЛОМ</v>
      </c>
      <c r="Q3132" s="13" t="str">
        <f t="shared" si="341"/>
        <v>ГОТОВ_ИЗМЕНЕН</v>
      </c>
      <c r="R3132" s="13">
        <f>IFERROR(VLOOKUP(P3132,Лист1!A$1:B$20,2,FALSE),0)</f>
        <v>784</v>
      </c>
      <c r="S3132" s="13">
        <f t="shared" si="342"/>
        <v>0</v>
      </c>
    </row>
    <row r="3133" spans="1:19" x14ac:dyDescent="0.25">
      <c r="A3133" s="24" t="s">
        <v>4265</v>
      </c>
      <c r="B3133" s="4" t="s">
        <v>1063</v>
      </c>
      <c r="C3133" s="25" t="s">
        <v>5</v>
      </c>
      <c r="G3133" s="25" t="s">
        <v>1096</v>
      </c>
      <c r="H3133" s="24" t="s">
        <v>1061</v>
      </c>
      <c r="I3133" s="3" t="str">
        <f>IFERROR(VLOOKUP(C3133,'Справочник соответствий'!A$2:D$2981,2,FALSE),IF(VALUE(C3133)=0,1,VLOOKUP(C3133,'Справочник соответствий'!A$2:D$2981,2,FALSE)))</f>
        <v>1</v>
      </c>
      <c r="J3133" s="3">
        <f>IFERROR(VLOOKUP(D3133,'Справочник соответствий'!A$2:D$2981,2,FALSE),IF(VALUE(D3133)=0,0,VLOOKUP(D3133,'Справочник соответствий'!A$2:D$2981,2,FALSE)))</f>
        <v>0</v>
      </c>
      <c r="K3133" s="3" t="str">
        <f t="shared" si="336"/>
        <v>1</v>
      </c>
      <c r="L3133" s="13" t="str">
        <f>IFERROR(VLOOKUP(C3133,'Справочник соответствий'!A$2:D$2981,3,FALSE),IF(VALUE(C3133)=0,"ЭТАЖ НЕ ОПРЕДЕЛЕН. ПРИНЯТ ПО ДОПУЩЕНИЮ 1",VLOOKUP(C3133,'Справочник соответствий'!A$2:D$2981,3,FALSE)))</f>
        <v>ЭТАЖ ЗАДАН ЧИСЛОМ</v>
      </c>
      <c r="M3133" s="13" t="b">
        <f t="shared" si="337"/>
        <v>0</v>
      </c>
      <c r="N3133" s="13">
        <f t="shared" si="338"/>
        <v>1</v>
      </c>
      <c r="O3133" s="13" t="str">
        <f t="shared" si="339"/>
        <v>ЭТАЖ ЗАДАН ЧИСЛОМ</v>
      </c>
      <c r="P3133" s="13" t="str">
        <f t="shared" si="340"/>
        <v>ЭТАЖ ЗАДАН ЧИСЛОМ</v>
      </c>
      <c r="Q3133" s="13" t="str">
        <f t="shared" si="341"/>
        <v>ГОТОВ_ИЗМЕНЕН</v>
      </c>
      <c r="R3133" s="13">
        <f>IFERROR(VLOOKUP(P3133,Лист1!A$1:B$20,2,FALSE),0)</f>
        <v>784</v>
      </c>
      <c r="S3133" s="13">
        <f t="shared" si="342"/>
        <v>0</v>
      </c>
    </row>
    <row r="3134" spans="1:19" x14ac:dyDescent="0.25">
      <c r="A3134" s="24" t="s">
        <v>4266</v>
      </c>
      <c r="B3134" s="4" t="s">
        <v>1059</v>
      </c>
      <c r="C3134" s="25" t="s">
        <v>5</v>
      </c>
      <c r="G3134" s="25" t="s">
        <v>1096</v>
      </c>
      <c r="H3134" s="24" t="s">
        <v>1061</v>
      </c>
      <c r="I3134" s="3" t="str">
        <f>IFERROR(VLOOKUP(C3134,'Справочник соответствий'!A$2:D$2981,2,FALSE),IF(VALUE(C3134)=0,1,VLOOKUP(C3134,'Справочник соответствий'!A$2:D$2981,2,FALSE)))</f>
        <v>1</v>
      </c>
      <c r="J3134" s="3">
        <f>IFERROR(VLOOKUP(D3134,'Справочник соответствий'!A$2:D$2981,2,FALSE),IF(VALUE(D3134)=0,0,VLOOKUP(D3134,'Справочник соответствий'!A$2:D$2981,2,FALSE)))</f>
        <v>0</v>
      </c>
      <c r="K3134" s="3" t="str">
        <f t="shared" si="336"/>
        <v>1</v>
      </c>
      <c r="L3134" s="13" t="str">
        <f>IFERROR(VLOOKUP(C3134,'Справочник соответствий'!A$2:D$2981,3,FALSE),IF(VALUE(C3134)=0,"ЭТАЖ НЕ ОПРЕДЕЛЕН. ПРИНЯТ ПО ДОПУЩЕНИЮ 1",VLOOKUP(C3134,'Справочник соответствий'!A$2:D$2981,3,FALSE)))</f>
        <v>ЭТАЖ ЗАДАН ЧИСЛОМ</v>
      </c>
      <c r="M3134" s="13" t="b">
        <f t="shared" si="337"/>
        <v>0</v>
      </c>
      <c r="N3134" s="13">
        <f t="shared" si="338"/>
        <v>1</v>
      </c>
      <c r="O3134" s="13" t="str">
        <f t="shared" si="339"/>
        <v>ЭТАЖ ЗАДАН ЧИСЛОМ</v>
      </c>
      <c r="P3134" s="13" t="str">
        <f t="shared" si="340"/>
        <v>ЭТАЖ ЗАДАН ЧИСЛОМ</v>
      </c>
      <c r="Q3134" s="13" t="str">
        <f t="shared" si="341"/>
        <v>ГОТОВ_ИЗМЕНЕН</v>
      </c>
      <c r="R3134" s="13">
        <f>IFERROR(VLOOKUP(P3134,Лист1!A$1:B$20,2,FALSE),0)</f>
        <v>784</v>
      </c>
      <c r="S3134" s="13">
        <f t="shared" si="342"/>
        <v>0</v>
      </c>
    </row>
    <row r="3135" spans="1:19" x14ac:dyDescent="0.25">
      <c r="A3135" s="24" t="s">
        <v>4267</v>
      </c>
      <c r="B3135" s="4" t="s">
        <v>1059</v>
      </c>
      <c r="C3135" s="25" t="s">
        <v>7</v>
      </c>
      <c r="G3135" s="25" t="s">
        <v>1096</v>
      </c>
      <c r="H3135" s="24" t="s">
        <v>1061</v>
      </c>
      <c r="I3135" s="3" t="str">
        <f>IFERROR(VLOOKUP(C3135,'Справочник соответствий'!A$2:D$2981,2,FALSE),IF(VALUE(C3135)=0,1,VLOOKUP(C3135,'Справочник соответствий'!A$2:D$2981,2,FALSE)))</f>
        <v>2</v>
      </c>
      <c r="J3135" s="3">
        <f>IFERROR(VLOOKUP(D3135,'Справочник соответствий'!A$2:D$2981,2,FALSE),IF(VALUE(D3135)=0,0,VLOOKUP(D3135,'Справочник соответствий'!A$2:D$2981,2,FALSE)))</f>
        <v>0</v>
      </c>
      <c r="K3135" s="3" t="str">
        <f t="shared" si="336"/>
        <v>2</v>
      </c>
      <c r="L3135" s="13" t="str">
        <f>IFERROR(VLOOKUP(C3135,'Справочник соответствий'!A$2:D$2981,3,FALSE),IF(VALUE(C3135)=0,"ЭТАЖ НЕ ОПРЕДЕЛЕН. ПРИНЯТ ПО ДОПУЩЕНИЮ 1",VLOOKUP(C3135,'Справочник соответствий'!A$2:D$2981,3,FALSE)))</f>
        <v>ЭТАЖ ЗАДАН ЧИСЛОМ</v>
      </c>
      <c r="M3135" s="13" t="b">
        <f t="shared" si="337"/>
        <v>0</v>
      </c>
      <c r="N3135" s="13">
        <f t="shared" si="338"/>
        <v>2</v>
      </c>
      <c r="O3135" s="13" t="str">
        <f t="shared" si="339"/>
        <v>ЭТАЖ ЗАДАН ЧИСЛОМ</v>
      </c>
      <c r="P3135" s="13" t="str">
        <f t="shared" si="340"/>
        <v>ЭТАЖ ЗАДАН ЧИСЛОМ</v>
      </c>
      <c r="Q3135" s="13" t="str">
        <f t="shared" si="341"/>
        <v>ГОТОВ_ИЗМЕНЕН</v>
      </c>
      <c r="R3135" s="13">
        <f>IFERROR(VLOOKUP(P3135,Лист1!A$1:B$20,2,FALSE),0)</f>
        <v>784</v>
      </c>
      <c r="S3135" s="13">
        <f t="shared" si="342"/>
        <v>0</v>
      </c>
    </row>
    <row r="3136" spans="1:19" x14ac:dyDescent="0.25">
      <c r="A3136" s="24" t="s">
        <v>4268</v>
      </c>
      <c r="B3136" s="4" t="s">
        <v>1059</v>
      </c>
      <c r="C3136" s="25" t="s">
        <v>5</v>
      </c>
      <c r="G3136" s="25" t="s">
        <v>1096</v>
      </c>
      <c r="H3136" s="24" t="s">
        <v>1061</v>
      </c>
      <c r="I3136" s="3" t="str">
        <f>IFERROR(VLOOKUP(C3136,'Справочник соответствий'!A$2:D$2981,2,FALSE),IF(VALUE(C3136)=0,1,VLOOKUP(C3136,'Справочник соответствий'!A$2:D$2981,2,FALSE)))</f>
        <v>1</v>
      </c>
      <c r="J3136" s="3">
        <f>IFERROR(VLOOKUP(D3136,'Справочник соответствий'!A$2:D$2981,2,FALSE),IF(VALUE(D3136)=0,0,VLOOKUP(D3136,'Справочник соответствий'!A$2:D$2981,2,FALSE)))</f>
        <v>0</v>
      </c>
      <c r="K3136" s="3" t="str">
        <f t="shared" si="336"/>
        <v>1</v>
      </c>
      <c r="L3136" s="13" t="str">
        <f>IFERROR(VLOOKUP(C3136,'Справочник соответствий'!A$2:D$2981,3,FALSE),IF(VALUE(C3136)=0,"ЭТАЖ НЕ ОПРЕДЕЛЕН. ПРИНЯТ ПО ДОПУЩЕНИЮ 1",VLOOKUP(C3136,'Справочник соответствий'!A$2:D$2981,3,FALSE)))</f>
        <v>ЭТАЖ ЗАДАН ЧИСЛОМ</v>
      </c>
      <c r="M3136" s="13" t="b">
        <f t="shared" si="337"/>
        <v>0</v>
      </c>
      <c r="N3136" s="13">
        <f t="shared" si="338"/>
        <v>1</v>
      </c>
      <c r="O3136" s="13" t="str">
        <f t="shared" si="339"/>
        <v>ЭТАЖ ЗАДАН ЧИСЛОМ</v>
      </c>
      <c r="P3136" s="13" t="str">
        <f t="shared" si="340"/>
        <v>ЭТАЖ ЗАДАН ЧИСЛОМ</v>
      </c>
      <c r="Q3136" s="13" t="str">
        <f t="shared" si="341"/>
        <v>ГОТОВ_ИЗМЕНЕН</v>
      </c>
      <c r="R3136" s="13">
        <f>IFERROR(VLOOKUP(P3136,Лист1!A$1:B$20,2,FALSE),0)</f>
        <v>784</v>
      </c>
      <c r="S3136" s="13">
        <f t="shared" si="342"/>
        <v>0</v>
      </c>
    </row>
    <row r="3137" spans="1:19" x14ac:dyDescent="0.25">
      <c r="A3137" s="24" t="s">
        <v>4269</v>
      </c>
      <c r="B3137" s="4" t="s">
        <v>1059</v>
      </c>
      <c r="C3137" s="25" t="s">
        <v>7</v>
      </c>
      <c r="G3137" s="25" t="s">
        <v>1096</v>
      </c>
      <c r="H3137" s="24" t="s">
        <v>1061</v>
      </c>
      <c r="I3137" s="3" t="str">
        <f>IFERROR(VLOOKUP(C3137,'Справочник соответствий'!A$2:D$2981,2,FALSE),IF(VALUE(C3137)=0,1,VLOOKUP(C3137,'Справочник соответствий'!A$2:D$2981,2,FALSE)))</f>
        <v>2</v>
      </c>
      <c r="J3137" s="3">
        <f>IFERROR(VLOOKUP(D3137,'Справочник соответствий'!A$2:D$2981,2,FALSE),IF(VALUE(D3137)=0,0,VLOOKUP(D3137,'Справочник соответствий'!A$2:D$2981,2,FALSE)))</f>
        <v>0</v>
      </c>
      <c r="K3137" s="3" t="str">
        <f t="shared" si="336"/>
        <v>2</v>
      </c>
      <c r="L3137" s="13" t="str">
        <f>IFERROR(VLOOKUP(C3137,'Справочник соответствий'!A$2:D$2981,3,FALSE),IF(VALUE(C3137)=0,"ЭТАЖ НЕ ОПРЕДЕЛЕН. ПРИНЯТ ПО ДОПУЩЕНИЮ 1",VLOOKUP(C3137,'Справочник соответствий'!A$2:D$2981,3,FALSE)))</f>
        <v>ЭТАЖ ЗАДАН ЧИСЛОМ</v>
      </c>
      <c r="M3137" s="13" t="b">
        <f t="shared" si="337"/>
        <v>0</v>
      </c>
      <c r="N3137" s="13">
        <f t="shared" si="338"/>
        <v>2</v>
      </c>
      <c r="O3137" s="13" t="str">
        <f t="shared" si="339"/>
        <v>ЭТАЖ ЗАДАН ЧИСЛОМ</v>
      </c>
      <c r="P3137" s="13" t="str">
        <f t="shared" si="340"/>
        <v>ЭТАЖ ЗАДАН ЧИСЛОМ</v>
      </c>
      <c r="Q3137" s="13" t="str">
        <f t="shared" si="341"/>
        <v>ГОТОВ_ИЗМЕНЕН</v>
      </c>
      <c r="R3137" s="13">
        <f>IFERROR(VLOOKUP(P3137,Лист1!A$1:B$20,2,FALSE),0)</f>
        <v>784</v>
      </c>
      <c r="S3137" s="13">
        <f t="shared" si="342"/>
        <v>0</v>
      </c>
    </row>
    <row r="3138" spans="1:19" x14ac:dyDescent="0.25">
      <c r="A3138" s="24" t="s">
        <v>4270</v>
      </c>
      <c r="B3138" s="4" t="s">
        <v>1059</v>
      </c>
      <c r="C3138" s="25" t="s">
        <v>5</v>
      </c>
      <c r="G3138" s="25" t="s">
        <v>3185</v>
      </c>
      <c r="H3138" s="24" t="s">
        <v>1061</v>
      </c>
      <c r="I3138" s="3" t="str">
        <f>IFERROR(VLOOKUP(C3138,'Справочник соответствий'!A$2:D$2981,2,FALSE),IF(VALUE(C3138)=0,1,VLOOKUP(C3138,'Справочник соответствий'!A$2:D$2981,2,FALSE)))</f>
        <v>1</v>
      </c>
      <c r="J3138" s="3">
        <f>IFERROR(VLOOKUP(D3138,'Справочник соответствий'!A$2:D$2981,2,FALSE),IF(VALUE(D3138)=0,0,VLOOKUP(D3138,'Справочник соответствий'!A$2:D$2981,2,FALSE)))</f>
        <v>0</v>
      </c>
      <c r="K3138" s="3" t="str">
        <f t="shared" si="336"/>
        <v>1</v>
      </c>
      <c r="L3138" s="13" t="str">
        <f>IFERROR(VLOOKUP(C3138,'Справочник соответствий'!A$2:D$2981,3,FALSE),IF(VALUE(C3138)=0,"ЭТАЖ НЕ ОПРЕДЕЛЕН. ПРИНЯТ ПО ДОПУЩЕНИЮ 1",VLOOKUP(C3138,'Справочник соответствий'!A$2:D$2981,3,FALSE)))</f>
        <v>ЭТАЖ ЗАДАН ЧИСЛОМ</v>
      </c>
      <c r="M3138" s="13" t="b">
        <f t="shared" si="337"/>
        <v>0</v>
      </c>
      <c r="N3138" s="13">
        <f t="shared" si="338"/>
        <v>1</v>
      </c>
      <c r="O3138" s="13" t="str">
        <f t="shared" si="339"/>
        <v>ЭТАЖ ЗАДАН ЧИСЛОМ</v>
      </c>
      <c r="P3138" s="13" t="str">
        <f t="shared" si="340"/>
        <v>ЭТАЖ ЗАДАН ЧИСЛОМ</v>
      </c>
      <c r="Q3138" s="13" t="str">
        <f t="shared" si="341"/>
        <v>ГОТОВ_ИЗМЕНЕН</v>
      </c>
      <c r="R3138" s="13">
        <f>IFERROR(VLOOKUP(P3138,Лист1!A$1:B$20,2,FALSE),0)</f>
        <v>784</v>
      </c>
      <c r="S3138" s="13">
        <f t="shared" si="342"/>
        <v>0</v>
      </c>
    </row>
    <row r="3139" spans="1:19" x14ac:dyDescent="0.25">
      <c r="A3139" s="24" t="s">
        <v>4271</v>
      </c>
      <c r="B3139" s="4" t="s">
        <v>1059</v>
      </c>
      <c r="C3139" s="25" t="s">
        <v>8</v>
      </c>
      <c r="D3139" s="25" t="s">
        <v>5</v>
      </c>
      <c r="G3139" s="25" t="s">
        <v>3185</v>
      </c>
      <c r="H3139" s="24" t="s">
        <v>1061</v>
      </c>
      <c r="I3139" s="3" t="str">
        <f>IFERROR(VLOOKUP(C3139,'Справочник соответствий'!A$2:D$2981,2,FALSE),IF(VALUE(C3139)=0,1,VLOOKUP(C3139,'Справочник соответствий'!A$2:D$2981,2,FALSE)))</f>
        <v>3</v>
      </c>
      <c r="J3139" s="3" t="str">
        <f>IFERROR(VLOOKUP(D3139,'Справочник соответствий'!A$2:D$2981,2,FALSE),IF(VALUE(D3139)=0,0,VLOOKUP(D3139,'Справочник соответствий'!A$2:D$2981,2,FALSE)))</f>
        <v>1</v>
      </c>
      <c r="K3139" s="3" t="str">
        <f t="shared" si="336"/>
        <v>3</v>
      </c>
      <c r="L3139" s="13" t="str">
        <f>IFERROR(VLOOKUP(C3139,'Справочник соответствий'!A$2:D$2981,3,FALSE),IF(VALUE(C3139)=0,"ЭТАЖ НЕ ОПРЕДЕЛЕН. ПРИНЯТ ПО ДОПУЩЕНИЮ 1",VLOOKUP(C3139,'Справочник соответствий'!A$2:D$2981,3,FALSE)))</f>
        <v>ЭТАЖ ЗАДАН ЧИСЛОМ</v>
      </c>
      <c r="M3139" s="13" t="b">
        <f t="shared" si="337"/>
        <v>0</v>
      </c>
      <c r="N3139" s="13">
        <f t="shared" si="338"/>
        <v>3</v>
      </c>
      <c r="O3139" s="13" t="str">
        <f t="shared" si="339"/>
        <v>ЭТАЖ ЗАДАН ЧИСЛОМ</v>
      </c>
      <c r="P3139" s="13" t="str">
        <f t="shared" si="340"/>
        <v>ЭТАЖ ЗАДАН ЧИСЛОМ</v>
      </c>
      <c r="Q3139" s="13" t="str">
        <f t="shared" si="341"/>
        <v>ГОТОВ_ИЗМЕНЕН</v>
      </c>
      <c r="R3139" s="13">
        <f>IFERROR(VLOOKUP(P3139,Лист1!A$1:B$20,2,FALSE),0)</f>
        <v>784</v>
      </c>
      <c r="S3139" s="13">
        <f t="shared" si="342"/>
        <v>0</v>
      </c>
    </row>
    <row r="3140" spans="1:19" x14ac:dyDescent="0.25">
      <c r="A3140" s="24" t="s">
        <v>4272</v>
      </c>
      <c r="B3140" s="4" t="s">
        <v>1059</v>
      </c>
      <c r="C3140" s="25" t="s">
        <v>5</v>
      </c>
      <c r="G3140" s="25" t="s">
        <v>1069</v>
      </c>
      <c r="H3140" s="24" t="s">
        <v>1061</v>
      </c>
      <c r="I3140" s="3" t="str">
        <f>IFERROR(VLOOKUP(C3140,'Справочник соответствий'!A$2:D$2981,2,FALSE),IF(VALUE(C3140)=0,1,VLOOKUP(C3140,'Справочник соответствий'!A$2:D$2981,2,FALSE)))</f>
        <v>1</v>
      </c>
      <c r="J3140" s="3">
        <f>IFERROR(VLOOKUP(D3140,'Справочник соответствий'!A$2:D$2981,2,FALSE),IF(VALUE(D3140)=0,0,VLOOKUP(D3140,'Справочник соответствий'!A$2:D$2981,2,FALSE)))</f>
        <v>0</v>
      </c>
      <c r="K3140" s="3" t="str">
        <f t="shared" si="336"/>
        <v>1</v>
      </c>
      <c r="L3140" s="13" t="str">
        <f>IFERROR(VLOOKUP(C3140,'Справочник соответствий'!A$2:D$2981,3,FALSE),IF(VALUE(C3140)=0,"ЭТАЖ НЕ ОПРЕДЕЛЕН. ПРИНЯТ ПО ДОПУЩЕНИЮ 1",VLOOKUP(C3140,'Справочник соответствий'!A$2:D$2981,3,FALSE)))</f>
        <v>ЭТАЖ ЗАДАН ЧИСЛОМ</v>
      </c>
      <c r="M3140" s="13" t="b">
        <f t="shared" si="337"/>
        <v>0</v>
      </c>
      <c r="N3140" s="13">
        <f t="shared" si="338"/>
        <v>1</v>
      </c>
      <c r="O3140" s="13" t="str">
        <f t="shared" si="339"/>
        <v>ЭТАЖ ЗАДАН ЧИСЛОМ</v>
      </c>
      <c r="P3140" s="13" t="str">
        <f t="shared" si="340"/>
        <v>ЭТАЖ ЗАДАН ЧИСЛОМ</v>
      </c>
      <c r="Q3140" s="13" t="str">
        <f t="shared" si="341"/>
        <v>ГОТОВ_ИЗМЕНЕН</v>
      </c>
      <c r="R3140" s="13">
        <f>IFERROR(VLOOKUP(P3140,Лист1!A$1:B$20,2,FALSE),0)</f>
        <v>784</v>
      </c>
      <c r="S3140" s="13">
        <f t="shared" si="342"/>
        <v>0</v>
      </c>
    </row>
    <row r="3141" spans="1:19" x14ac:dyDescent="0.25">
      <c r="A3141" s="24" t="s">
        <v>4273</v>
      </c>
      <c r="B3141" s="4" t="s">
        <v>1063</v>
      </c>
      <c r="C3141" s="25" t="s">
        <v>5</v>
      </c>
      <c r="G3141" s="25" t="s">
        <v>3185</v>
      </c>
      <c r="H3141" s="24" t="s">
        <v>1061</v>
      </c>
      <c r="I3141" s="3" t="str">
        <f>IFERROR(VLOOKUP(C3141,'Справочник соответствий'!A$2:D$2981,2,FALSE),IF(VALUE(C3141)=0,1,VLOOKUP(C3141,'Справочник соответствий'!A$2:D$2981,2,FALSE)))</f>
        <v>1</v>
      </c>
      <c r="J3141" s="3">
        <f>IFERROR(VLOOKUP(D3141,'Справочник соответствий'!A$2:D$2981,2,FALSE),IF(VALUE(D3141)=0,0,VLOOKUP(D3141,'Справочник соответствий'!A$2:D$2981,2,FALSE)))</f>
        <v>0</v>
      </c>
      <c r="K3141" s="3" t="str">
        <f t="shared" ref="K3141:K3204" si="343">IF(B3141="Многоквартирный дом",IF(I3141-J3141&gt;0,I3141-J3141,1),I3141)</f>
        <v>1</v>
      </c>
      <c r="L3141" s="13" t="str">
        <f>IFERROR(VLOOKUP(C3141,'Справочник соответствий'!A$2:D$2981,3,FALSE),IF(VALUE(C3141)=0,"ЭТАЖ НЕ ОПРЕДЕЛЕН. ПРИНЯТ ПО ДОПУЩЕНИЮ 1",VLOOKUP(C3141,'Справочник соответствий'!A$2:D$2981,3,FALSE)))</f>
        <v>ЭТАЖ ЗАДАН ЧИСЛОМ</v>
      </c>
      <c r="M3141" s="13" t="b">
        <f t="shared" ref="M3141:M3204" si="344">I3141=E3141</f>
        <v>0</v>
      </c>
      <c r="N3141" s="13">
        <f t="shared" ref="N3141:N3204" si="345">IF(VALUE(E3141)=0,VALUE(K3141),IF(L3141="ЭТАЖ НЕ ОПРЕДЕЛЕН. ПРИНЯТ ПО ДОПУЩЕНИЮ 1",VALUE(E3141),VALUE(K3141)))</f>
        <v>1</v>
      </c>
      <c r="O3141" s="13" t="str">
        <f t="shared" ref="O3141:O3204" si="346">IF(VALUE(E3141)=0,L3141,IF(L3141="ЭТАЖ НЕ ОПРЕДЕЛЕН. ПРИНЯТ ПО ДОПУЩЕНИЮ 1",F3141,L3141))</f>
        <v>ЭТАЖ ЗАДАН ЧИСЛОМ</v>
      </c>
      <c r="P3141" s="13" t="str">
        <f t="shared" ref="P3141:P3204" si="347">IF(B3141="Многоквартирный дом",CONCATENATE("МКД_",O3141),O3141)</f>
        <v>ЭТАЖ ЗАДАН ЧИСЛОМ</v>
      </c>
      <c r="Q3141" s="13" t="str">
        <f t="shared" ref="Q3141:Q3204" si="348">IFERROR(IF(N3141&gt;0,IF(N3141=VALUE(E3141),"ГОТОВ","ГОТОВ_ИЗМЕНЕН"),"НЕ ГОТОВ"),"НЕ ГОТОВ")</f>
        <v>ГОТОВ_ИЗМЕНЕН</v>
      </c>
      <c r="R3141" s="13">
        <f>IFERROR(VLOOKUP(P3141,Лист1!A$1:B$20,2,FALSE),0)</f>
        <v>784</v>
      </c>
      <c r="S3141" s="13">
        <f t="shared" ref="S3141:S3204" si="349">VALUE(E3141)</f>
        <v>0</v>
      </c>
    </row>
    <row r="3142" spans="1:19" x14ac:dyDescent="0.25">
      <c r="A3142" s="24" t="s">
        <v>4274</v>
      </c>
      <c r="B3142" s="4" t="s">
        <v>1059</v>
      </c>
      <c r="C3142" s="25" t="s">
        <v>5</v>
      </c>
      <c r="G3142" s="25" t="s">
        <v>3185</v>
      </c>
      <c r="H3142" s="24" t="s">
        <v>1061</v>
      </c>
      <c r="I3142" s="3" t="str">
        <f>IFERROR(VLOOKUP(C3142,'Справочник соответствий'!A$2:D$2981,2,FALSE),IF(VALUE(C3142)=0,1,VLOOKUP(C3142,'Справочник соответствий'!A$2:D$2981,2,FALSE)))</f>
        <v>1</v>
      </c>
      <c r="J3142" s="3">
        <f>IFERROR(VLOOKUP(D3142,'Справочник соответствий'!A$2:D$2981,2,FALSE),IF(VALUE(D3142)=0,0,VLOOKUP(D3142,'Справочник соответствий'!A$2:D$2981,2,FALSE)))</f>
        <v>0</v>
      </c>
      <c r="K3142" s="3" t="str">
        <f t="shared" si="343"/>
        <v>1</v>
      </c>
      <c r="L3142" s="13" t="str">
        <f>IFERROR(VLOOKUP(C3142,'Справочник соответствий'!A$2:D$2981,3,FALSE),IF(VALUE(C3142)=0,"ЭТАЖ НЕ ОПРЕДЕЛЕН. ПРИНЯТ ПО ДОПУЩЕНИЮ 1",VLOOKUP(C3142,'Справочник соответствий'!A$2:D$2981,3,FALSE)))</f>
        <v>ЭТАЖ ЗАДАН ЧИСЛОМ</v>
      </c>
      <c r="M3142" s="13" t="b">
        <f t="shared" si="344"/>
        <v>0</v>
      </c>
      <c r="N3142" s="13">
        <f t="shared" si="345"/>
        <v>1</v>
      </c>
      <c r="O3142" s="13" t="str">
        <f t="shared" si="346"/>
        <v>ЭТАЖ ЗАДАН ЧИСЛОМ</v>
      </c>
      <c r="P3142" s="13" t="str">
        <f t="shared" si="347"/>
        <v>ЭТАЖ ЗАДАН ЧИСЛОМ</v>
      </c>
      <c r="Q3142" s="13" t="str">
        <f t="shared" si="348"/>
        <v>ГОТОВ_ИЗМЕНЕН</v>
      </c>
      <c r="R3142" s="13">
        <f>IFERROR(VLOOKUP(P3142,Лист1!A$1:B$20,2,FALSE),0)</f>
        <v>784</v>
      </c>
      <c r="S3142" s="13">
        <f t="shared" si="349"/>
        <v>0</v>
      </c>
    </row>
    <row r="3143" spans="1:19" x14ac:dyDescent="0.25">
      <c r="A3143" s="24" t="s">
        <v>4275</v>
      </c>
      <c r="B3143" s="4" t="s">
        <v>1063</v>
      </c>
      <c r="C3143" s="25" t="s">
        <v>5</v>
      </c>
      <c r="G3143" s="25" t="s">
        <v>1075</v>
      </c>
      <c r="H3143" s="24" t="s">
        <v>1061</v>
      </c>
      <c r="I3143" s="3" t="str">
        <f>IFERROR(VLOOKUP(C3143,'Справочник соответствий'!A$2:D$2981,2,FALSE),IF(VALUE(C3143)=0,1,VLOOKUP(C3143,'Справочник соответствий'!A$2:D$2981,2,FALSE)))</f>
        <v>1</v>
      </c>
      <c r="J3143" s="3">
        <f>IFERROR(VLOOKUP(D3143,'Справочник соответствий'!A$2:D$2981,2,FALSE),IF(VALUE(D3143)=0,0,VLOOKUP(D3143,'Справочник соответствий'!A$2:D$2981,2,FALSE)))</f>
        <v>0</v>
      </c>
      <c r="K3143" s="3" t="str">
        <f t="shared" si="343"/>
        <v>1</v>
      </c>
      <c r="L3143" s="13" t="str">
        <f>IFERROR(VLOOKUP(C3143,'Справочник соответствий'!A$2:D$2981,3,FALSE),IF(VALUE(C3143)=0,"ЭТАЖ НЕ ОПРЕДЕЛЕН. ПРИНЯТ ПО ДОПУЩЕНИЮ 1",VLOOKUP(C3143,'Справочник соответствий'!A$2:D$2981,3,FALSE)))</f>
        <v>ЭТАЖ ЗАДАН ЧИСЛОМ</v>
      </c>
      <c r="M3143" s="13" t="b">
        <f t="shared" si="344"/>
        <v>0</v>
      </c>
      <c r="N3143" s="13">
        <f t="shared" si="345"/>
        <v>1</v>
      </c>
      <c r="O3143" s="13" t="str">
        <f t="shared" si="346"/>
        <v>ЭТАЖ ЗАДАН ЧИСЛОМ</v>
      </c>
      <c r="P3143" s="13" t="str">
        <f t="shared" si="347"/>
        <v>ЭТАЖ ЗАДАН ЧИСЛОМ</v>
      </c>
      <c r="Q3143" s="13" t="str">
        <f t="shared" si="348"/>
        <v>ГОТОВ_ИЗМЕНЕН</v>
      </c>
      <c r="R3143" s="13">
        <f>IFERROR(VLOOKUP(P3143,Лист1!A$1:B$20,2,FALSE),0)</f>
        <v>784</v>
      </c>
      <c r="S3143" s="13">
        <f t="shared" si="349"/>
        <v>0</v>
      </c>
    </row>
    <row r="3144" spans="1:19" x14ac:dyDescent="0.25">
      <c r="A3144" s="24" t="s">
        <v>4276</v>
      </c>
      <c r="B3144" s="4" t="s">
        <v>1059</v>
      </c>
      <c r="C3144" s="25" t="s">
        <v>5</v>
      </c>
      <c r="G3144" s="25" t="s">
        <v>1698</v>
      </c>
      <c r="H3144" s="24" t="s">
        <v>1061</v>
      </c>
      <c r="I3144" s="3" t="str">
        <f>IFERROR(VLOOKUP(C3144,'Справочник соответствий'!A$2:D$2981,2,FALSE),IF(VALUE(C3144)=0,1,VLOOKUP(C3144,'Справочник соответствий'!A$2:D$2981,2,FALSE)))</f>
        <v>1</v>
      </c>
      <c r="J3144" s="3">
        <f>IFERROR(VLOOKUP(D3144,'Справочник соответствий'!A$2:D$2981,2,FALSE),IF(VALUE(D3144)=0,0,VLOOKUP(D3144,'Справочник соответствий'!A$2:D$2981,2,FALSE)))</f>
        <v>0</v>
      </c>
      <c r="K3144" s="3" t="str">
        <f t="shared" si="343"/>
        <v>1</v>
      </c>
      <c r="L3144" s="13" t="str">
        <f>IFERROR(VLOOKUP(C3144,'Справочник соответствий'!A$2:D$2981,3,FALSE),IF(VALUE(C3144)=0,"ЭТАЖ НЕ ОПРЕДЕЛЕН. ПРИНЯТ ПО ДОПУЩЕНИЮ 1",VLOOKUP(C3144,'Справочник соответствий'!A$2:D$2981,3,FALSE)))</f>
        <v>ЭТАЖ ЗАДАН ЧИСЛОМ</v>
      </c>
      <c r="M3144" s="13" t="b">
        <f t="shared" si="344"/>
        <v>0</v>
      </c>
      <c r="N3144" s="13">
        <f t="shared" si="345"/>
        <v>1</v>
      </c>
      <c r="O3144" s="13" t="str">
        <f t="shared" si="346"/>
        <v>ЭТАЖ ЗАДАН ЧИСЛОМ</v>
      </c>
      <c r="P3144" s="13" t="str">
        <f t="shared" si="347"/>
        <v>ЭТАЖ ЗАДАН ЧИСЛОМ</v>
      </c>
      <c r="Q3144" s="13" t="str">
        <f t="shared" si="348"/>
        <v>ГОТОВ_ИЗМЕНЕН</v>
      </c>
      <c r="R3144" s="13">
        <f>IFERROR(VLOOKUP(P3144,Лист1!A$1:B$20,2,FALSE),0)</f>
        <v>784</v>
      </c>
      <c r="S3144" s="13">
        <f t="shared" si="349"/>
        <v>0</v>
      </c>
    </row>
    <row r="3145" spans="1:19" x14ac:dyDescent="0.25">
      <c r="A3145" s="24" t="s">
        <v>4277</v>
      </c>
      <c r="B3145" s="4" t="s">
        <v>1063</v>
      </c>
      <c r="C3145" s="25" t="s">
        <v>5</v>
      </c>
      <c r="G3145" s="25" t="s">
        <v>1069</v>
      </c>
      <c r="H3145" s="24" t="s">
        <v>1061</v>
      </c>
      <c r="I3145" s="3" t="str">
        <f>IFERROR(VLOOKUP(C3145,'Справочник соответствий'!A$2:D$2981,2,FALSE),IF(VALUE(C3145)=0,1,VLOOKUP(C3145,'Справочник соответствий'!A$2:D$2981,2,FALSE)))</f>
        <v>1</v>
      </c>
      <c r="J3145" s="3">
        <f>IFERROR(VLOOKUP(D3145,'Справочник соответствий'!A$2:D$2981,2,FALSE),IF(VALUE(D3145)=0,0,VLOOKUP(D3145,'Справочник соответствий'!A$2:D$2981,2,FALSE)))</f>
        <v>0</v>
      </c>
      <c r="K3145" s="3" t="str">
        <f t="shared" si="343"/>
        <v>1</v>
      </c>
      <c r="L3145" s="13" t="str">
        <f>IFERROR(VLOOKUP(C3145,'Справочник соответствий'!A$2:D$2981,3,FALSE),IF(VALUE(C3145)=0,"ЭТАЖ НЕ ОПРЕДЕЛЕН. ПРИНЯТ ПО ДОПУЩЕНИЮ 1",VLOOKUP(C3145,'Справочник соответствий'!A$2:D$2981,3,FALSE)))</f>
        <v>ЭТАЖ ЗАДАН ЧИСЛОМ</v>
      </c>
      <c r="M3145" s="13" t="b">
        <f t="shared" si="344"/>
        <v>0</v>
      </c>
      <c r="N3145" s="13">
        <f t="shared" si="345"/>
        <v>1</v>
      </c>
      <c r="O3145" s="13" t="str">
        <f t="shared" si="346"/>
        <v>ЭТАЖ ЗАДАН ЧИСЛОМ</v>
      </c>
      <c r="P3145" s="13" t="str">
        <f t="shared" si="347"/>
        <v>ЭТАЖ ЗАДАН ЧИСЛОМ</v>
      </c>
      <c r="Q3145" s="13" t="str">
        <f t="shared" si="348"/>
        <v>ГОТОВ_ИЗМЕНЕН</v>
      </c>
      <c r="R3145" s="13">
        <f>IFERROR(VLOOKUP(P3145,Лист1!A$1:B$20,2,FALSE),0)</f>
        <v>784</v>
      </c>
      <c r="S3145" s="13">
        <f t="shared" si="349"/>
        <v>0</v>
      </c>
    </row>
    <row r="3146" spans="1:19" x14ac:dyDescent="0.25">
      <c r="A3146" s="24" t="s">
        <v>4278</v>
      </c>
      <c r="B3146" s="4" t="s">
        <v>1063</v>
      </c>
      <c r="C3146" s="25" t="s">
        <v>5</v>
      </c>
      <c r="G3146" s="25" t="s">
        <v>1075</v>
      </c>
      <c r="H3146" s="24" t="s">
        <v>1061</v>
      </c>
      <c r="I3146" s="3" t="str">
        <f>IFERROR(VLOOKUP(C3146,'Справочник соответствий'!A$2:D$2981,2,FALSE),IF(VALUE(C3146)=0,1,VLOOKUP(C3146,'Справочник соответствий'!A$2:D$2981,2,FALSE)))</f>
        <v>1</v>
      </c>
      <c r="J3146" s="3">
        <f>IFERROR(VLOOKUP(D3146,'Справочник соответствий'!A$2:D$2981,2,FALSE),IF(VALUE(D3146)=0,0,VLOOKUP(D3146,'Справочник соответствий'!A$2:D$2981,2,FALSE)))</f>
        <v>0</v>
      </c>
      <c r="K3146" s="3" t="str">
        <f t="shared" si="343"/>
        <v>1</v>
      </c>
      <c r="L3146" s="13" t="str">
        <f>IFERROR(VLOOKUP(C3146,'Справочник соответствий'!A$2:D$2981,3,FALSE),IF(VALUE(C3146)=0,"ЭТАЖ НЕ ОПРЕДЕЛЕН. ПРИНЯТ ПО ДОПУЩЕНИЮ 1",VLOOKUP(C3146,'Справочник соответствий'!A$2:D$2981,3,FALSE)))</f>
        <v>ЭТАЖ ЗАДАН ЧИСЛОМ</v>
      </c>
      <c r="M3146" s="13" t="b">
        <f t="shared" si="344"/>
        <v>0</v>
      </c>
      <c r="N3146" s="13">
        <f t="shared" si="345"/>
        <v>1</v>
      </c>
      <c r="O3146" s="13" t="str">
        <f t="shared" si="346"/>
        <v>ЭТАЖ ЗАДАН ЧИСЛОМ</v>
      </c>
      <c r="P3146" s="13" t="str">
        <f t="shared" si="347"/>
        <v>ЭТАЖ ЗАДАН ЧИСЛОМ</v>
      </c>
      <c r="Q3146" s="13" t="str">
        <f t="shared" si="348"/>
        <v>ГОТОВ_ИЗМЕНЕН</v>
      </c>
      <c r="R3146" s="13">
        <f>IFERROR(VLOOKUP(P3146,Лист1!A$1:B$20,2,FALSE),0)</f>
        <v>784</v>
      </c>
      <c r="S3146" s="13">
        <f t="shared" si="349"/>
        <v>0</v>
      </c>
    </row>
    <row r="3147" spans="1:19" x14ac:dyDescent="0.25">
      <c r="A3147" s="24" t="s">
        <v>4279</v>
      </c>
      <c r="B3147" s="4" t="s">
        <v>1059</v>
      </c>
      <c r="C3147" s="25" t="s">
        <v>7</v>
      </c>
      <c r="G3147" s="25" t="s">
        <v>1069</v>
      </c>
      <c r="H3147" s="24" t="s">
        <v>1061</v>
      </c>
      <c r="I3147" s="3" t="str">
        <f>IFERROR(VLOOKUP(C3147,'Справочник соответствий'!A$2:D$2981,2,FALSE),IF(VALUE(C3147)=0,1,VLOOKUP(C3147,'Справочник соответствий'!A$2:D$2981,2,FALSE)))</f>
        <v>2</v>
      </c>
      <c r="J3147" s="3">
        <f>IFERROR(VLOOKUP(D3147,'Справочник соответствий'!A$2:D$2981,2,FALSE),IF(VALUE(D3147)=0,0,VLOOKUP(D3147,'Справочник соответствий'!A$2:D$2981,2,FALSE)))</f>
        <v>0</v>
      </c>
      <c r="K3147" s="3" t="str">
        <f t="shared" si="343"/>
        <v>2</v>
      </c>
      <c r="L3147" s="13" t="str">
        <f>IFERROR(VLOOKUP(C3147,'Справочник соответствий'!A$2:D$2981,3,FALSE),IF(VALUE(C3147)=0,"ЭТАЖ НЕ ОПРЕДЕЛЕН. ПРИНЯТ ПО ДОПУЩЕНИЮ 1",VLOOKUP(C3147,'Справочник соответствий'!A$2:D$2981,3,FALSE)))</f>
        <v>ЭТАЖ ЗАДАН ЧИСЛОМ</v>
      </c>
      <c r="M3147" s="13" t="b">
        <f t="shared" si="344"/>
        <v>0</v>
      </c>
      <c r="N3147" s="13">
        <f t="shared" si="345"/>
        <v>2</v>
      </c>
      <c r="O3147" s="13" t="str">
        <f t="shared" si="346"/>
        <v>ЭТАЖ ЗАДАН ЧИСЛОМ</v>
      </c>
      <c r="P3147" s="13" t="str">
        <f t="shared" si="347"/>
        <v>ЭТАЖ ЗАДАН ЧИСЛОМ</v>
      </c>
      <c r="Q3147" s="13" t="str">
        <f t="shared" si="348"/>
        <v>ГОТОВ_ИЗМЕНЕН</v>
      </c>
      <c r="R3147" s="13">
        <f>IFERROR(VLOOKUP(P3147,Лист1!A$1:B$20,2,FALSE),0)</f>
        <v>784</v>
      </c>
      <c r="S3147" s="13">
        <f t="shared" si="349"/>
        <v>0</v>
      </c>
    </row>
    <row r="3148" spans="1:19" x14ac:dyDescent="0.25">
      <c r="A3148" s="24" t="s">
        <v>4280</v>
      </c>
      <c r="B3148" s="4" t="s">
        <v>1059</v>
      </c>
      <c r="C3148" s="25" t="s">
        <v>5</v>
      </c>
      <c r="G3148" s="25" t="s">
        <v>1069</v>
      </c>
      <c r="H3148" s="24" t="s">
        <v>1061</v>
      </c>
      <c r="I3148" s="3" t="str">
        <f>IFERROR(VLOOKUP(C3148,'Справочник соответствий'!A$2:D$2981,2,FALSE),IF(VALUE(C3148)=0,1,VLOOKUP(C3148,'Справочник соответствий'!A$2:D$2981,2,FALSE)))</f>
        <v>1</v>
      </c>
      <c r="J3148" s="3">
        <f>IFERROR(VLOOKUP(D3148,'Справочник соответствий'!A$2:D$2981,2,FALSE),IF(VALUE(D3148)=0,0,VLOOKUP(D3148,'Справочник соответствий'!A$2:D$2981,2,FALSE)))</f>
        <v>0</v>
      </c>
      <c r="K3148" s="3" t="str">
        <f t="shared" si="343"/>
        <v>1</v>
      </c>
      <c r="L3148" s="13" t="str">
        <f>IFERROR(VLOOKUP(C3148,'Справочник соответствий'!A$2:D$2981,3,FALSE),IF(VALUE(C3148)=0,"ЭТАЖ НЕ ОПРЕДЕЛЕН. ПРИНЯТ ПО ДОПУЩЕНИЮ 1",VLOOKUP(C3148,'Справочник соответствий'!A$2:D$2981,3,FALSE)))</f>
        <v>ЭТАЖ ЗАДАН ЧИСЛОМ</v>
      </c>
      <c r="M3148" s="13" t="b">
        <f t="shared" si="344"/>
        <v>0</v>
      </c>
      <c r="N3148" s="13">
        <f t="shared" si="345"/>
        <v>1</v>
      </c>
      <c r="O3148" s="13" t="str">
        <f t="shared" si="346"/>
        <v>ЭТАЖ ЗАДАН ЧИСЛОМ</v>
      </c>
      <c r="P3148" s="13" t="str">
        <f t="shared" si="347"/>
        <v>ЭТАЖ ЗАДАН ЧИСЛОМ</v>
      </c>
      <c r="Q3148" s="13" t="str">
        <f t="shared" si="348"/>
        <v>ГОТОВ_ИЗМЕНЕН</v>
      </c>
      <c r="R3148" s="13">
        <f>IFERROR(VLOOKUP(P3148,Лист1!A$1:B$20,2,FALSE),0)</f>
        <v>784</v>
      </c>
      <c r="S3148" s="13">
        <f t="shared" si="349"/>
        <v>0</v>
      </c>
    </row>
    <row r="3149" spans="1:19" x14ac:dyDescent="0.25">
      <c r="A3149" s="24" t="s">
        <v>4281</v>
      </c>
      <c r="B3149" s="4" t="s">
        <v>1059</v>
      </c>
      <c r="C3149" s="25" t="s">
        <v>5</v>
      </c>
      <c r="G3149" s="25" t="s">
        <v>1069</v>
      </c>
      <c r="H3149" s="24" t="s">
        <v>1061</v>
      </c>
      <c r="I3149" s="3" t="str">
        <f>IFERROR(VLOOKUP(C3149,'Справочник соответствий'!A$2:D$2981,2,FALSE),IF(VALUE(C3149)=0,1,VLOOKUP(C3149,'Справочник соответствий'!A$2:D$2981,2,FALSE)))</f>
        <v>1</v>
      </c>
      <c r="J3149" s="3">
        <f>IFERROR(VLOOKUP(D3149,'Справочник соответствий'!A$2:D$2981,2,FALSE),IF(VALUE(D3149)=0,0,VLOOKUP(D3149,'Справочник соответствий'!A$2:D$2981,2,FALSE)))</f>
        <v>0</v>
      </c>
      <c r="K3149" s="3" t="str">
        <f t="shared" si="343"/>
        <v>1</v>
      </c>
      <c r="L3149" s="13" t="str">
        <f>IFERROR(VLOOKUP(C3149,'Справочник соответствий'!A$2:D$2981,3,FALSE),IF(VALUE(C3149)=0,"ЭТАЖ НЕ ОПРЕДЕЛЕН. ПРИНЯТ ПО ДОПУЩЕНИЮ 1",VLOOKUP(C3149,'Справочник соответствий'!A$2:D$2981,3,FALSE)))</f>
        <v>ЭТАЖ ЗАДАН ЧИСЛОМ</v>
      </c>
      <c r="M3149" s="13" t="b">
        <f t="shared" si="344"/>
        <v>0</v>
      </c>
      <c r="N3149" s="13">
        <f t="shared" si="345"/>
        <v>1</v>
      </c>
      <c r="O3149" s="13" t="str">
        <f t="shared" si="346"/>
        <v>ЭТАЖ ЗАДАН ЧИСЛОМ</v>
      </c>
      <c r="P3149" s="13" t="str">
        <f t="shared" si="347"/>
        <v>ЭТАЖ ЗАДАН ЧИСЛОМ</v>
      </c>
      <c r="Q3149" s="13" t="str">
        <f t="shared" si="348"/>
        <v>ГОТОВ_ИЗМЕНЕН</v>
      </c>
      <c r="R3149" s="13">
        <f>IFERROR(VLOOKUP(P3149,Лист1!A$1:B$20,2,FALSE),0)</f>
        <v>784</v>
      </c>
      <c r="S3149" s="13">
        <f t="shared" si="349"/>
        <v>0</v>
      </c>
    </row>
    <row r="3150" spans="1:19" x14ac:dyDescent="0.25">
      <c r="A3150" s="24" t="s">
        <v>4282</v>
      </c>
      <c r="B3150" s="4" t="s">
        <v>1059</v>
      </c>
      <c r="C3150" s="25" t="s">
        <v>5</v>
      </c>
      <c r="G3150" s="25" t="s">
        <v>1069</v>
      </c>
      <c r="H3150" s="24" t="s">
        <v>1061</v>
      </c>
      <c r="I3150" s="3" t="str">
        <f>IFERROR(VLOOKUP(C3150,'Справочник соответствий'!A$2:D$2981,2,FALSE),IF(VALUE(C3150)=0,1,VLOOKUP(C3150,'Справочник соответствий'!A$2:D$2981,2,FALSE)))</f>
        <v>1</v>
      </c>
      <c r="J3150" s="3">
        <f>IFERROR(VLOOKUP(D3150,'Справочник соответствий'!A$2:D$2981,2,FALSE),IF(VALUE(D3150)=0,0,VLOOKUP(D3150,'Справочник соответствий'!A$2:D$2981,2,FALSE)))</f>
        <v>0</v>
      </c>
      <c r="K3150" s="3" t="str">
        <f t="shared" si="343"/>
        <v>1</v>
      </c>
      <c r="L3150" s="13" t="str">
        <f>IFERROR(VLOOKUP(C3150,'Справочник соответствий'!A$2:D$2981,3,FALSE),IF(VALUE(C3150)=0,"ЭТАЖ НЕ ОПРЕДЕЛЕН. ПРИНЯТ ПО ДОПУЩЕНИЮ 1",VLOOKUP(C3150,'Справочник соответствий'!A$2:D$2981,3,FALSE)))</f>
        <v>ЭТАЖ ЗАДАН ЧИСЛОМ</v>
      </c>
      <c r="M3150" s="13" t="b">
        <f t="shared" si="344"/>
        <v>0</v>
      </c>
      <c r="N3150" s="13">
        <f t="shared" si="345"/>
        <v>1</v>
      </c>
      <c r="O3150" s="13" t="str">
        <f t="shared" si="346"/>
        <v>ЭТАЖ ЗАДАН ЧИСЛОМ</v>
      </c>
      <c r="P3150" s="13" t="str">
        <f t="shared" si="347"/>
        <v>ЭТАЖ ЗАДАН ЧИСЛОМ</v>
      </c>
      <c r="Q3150" s="13" t="str">
        <f t="shared" si="348"/>
        <v>ГОТОВ_ИЗМЕНЕН</v>
      </c>
      <c r="R3150" s="13">
        <f>IFERROR(VLOOKUP(P3150,Лист1!A$1:B$20,2,FALSE),0)</f>
        <v>784</v>
      </c>
      <c r="S3150" s="13">
        <f t="shared" si="349"/>
        <v>0</v>
      </c>
    </row>
    <row r="3151" spans="1:19" x14ac:dyDescent="0.25">
      <c r="A3151" s="24" t="s">
        <v>4283</v>
      </c>
      <c r="B3151" s="4" t="s">
        <v>1063</v>
      </c>
      <c r="C3151" s="25" t="s">
        <v>7</v>
      </c>
      <c r="G3151" s="25" t="s">
        <v>1083</v>
      </c>
      <c r="H3151" s="24" t="s">
        <v>1061</v>
      </c>
      <c r="I3151" s="3" t="str">
        <f>IFERROR(VLOOKUP(C3151,'Справочник соответствий'!A$2:D$2981,2,FALSE),IF(VALUE(C3151)=0,1,VLOOKUP(C3151,'Справочник соответствий'!A$2:D$2981,2,FALSE)))</f>
        <v>2</v>
      </c>
      <c r="J3151" s="3">
        <f>IFERROR(VLOOKUP(D3151,'Справочник соответствий'!A$2:D$2981,2,FALSE),IF(VALUE(D3151)=0,0,VLOOKUP(D3151,'Справочник соответствий'!A$2:D$2981,2,FALSE)))</f>
        <v>0</v>
      </c>
      <c r="K3151" s="3" t="str">
        <f t="shared" si="343"/>
        <v>2</v>
      </c>
      <c r="L3151" s="13" t="str">
        <f>IFERROR(VLOOKUP(C3151,'Справочник соответствий'!A$2:D$2981,3,FALSE),IF(VALUE(C3151)=0,"ЭТАЖ НЕ ОПРЕДЕЛЕН. ПРИНЯТ ПО ДОПУЩЕНИЮ 1",VLOOKUP(C3151,'Справочник соответствий'!A$2:D$2981,3,FALSE)))</f>
        <v>ЭТАЖ ЗАДАН ЧИСЛОМ</v>
      </c>
      <c r="M3151" s="13" t="b">
        <f t="shared" si="344"/>
        <v>0</v>
      </c>
      <c r="N3151" s="13">
        <f t="shared" si="345"/>
        <v>2</v>
      </c>
      <c r="O3151" s="13" t="str">
        <f t="shared" si="346"/>
        <v>ЭТАЖ ЗАДАН ЧИСЛОМ</v>
      </c>
      <c r="P3151" s="13" t="str">
        <f t="shared" si="347"/>
        <v>ЭТАЖ ЗАДАН ЧИСЛОМ</v>
      </c>
      <c r="Q3151" s="13" t="str">
        <f t="shared" si="348"/>
        <v>ГОТОВ_ИЗМЕНЕН</v>
      </c>
      <c r="R3151" s="13">
        <f>IFERROR(VLOOKUP(P3151,Лист1!A$1:B$20,2,FALSE),0)</f>
        <v>784</v>
      </c>
      <c r="S3151" s="13">
        <f t="shared" si="349"/>
        <v>0</v>
      </c>
    </row>
    <row r="3152" spans="1:19" x14ac:dyDescent="0.25">
      <c r="A3152" s="24" t="s">
        <v>4284</v>
      </c>
      <c r="B3152" s="4" t="s">
        <v>1059</v>
      </c>
      <c r="C3152" s="25" t="s">
        <v>5</v>
      </c>
      <c r="G3152" s="25" t="s">
        <v>1083</v>
      </c>
      <c r="H3152" s="24" t="s">
        <v>1061</v>
      </c>
      <c r="I3152" s="3" t="str">
        <f>IFERROR(VLOOKUP(C3152,'Справочник соответствий'!A$2:D$2981,2,FALSE),IF(VALUE(C3152)=0,1,VLOOKUP(C3152,'Справочник соответствий'!A$2:D$2981,2,FALSE)))</f>
        <v>1</v>
      </c>
      <c r="J3152" s="3">
        <f>IFERROR(VLOOKUP(D3152,'Справочник соответствий'!A$2:D$2981,2,FALSE),IF(VALUE(D3152)=0,0,VLOOKUP(D3152,'Справочник соответствий'!A$2:D$2981,2,FALSE)))</f>
        <v>0</v>
      </c>
      <c r="K3152" s="3" t="str">
        <f t="shared" si="343"/>
        <v>1</v>
      </c>
      <c r="L3152" s="13" t="str">
        <f>IFERROR(VLOOKUP(C3152,'Справочник соответствий'!A$2:D$2981,3,FALSE),IF(VALUE(C3152)=0,"ЭТАЖ НЕ ОПРЕДЕЛЕН. ПРИНЯТ ПО ДОПУЩЕНИЮ 1",VLOOKUP(C3152,'Справочник соответствий'!A$2:D$2981,3,FALSE)))</f>
        <v>ЭТАЖ ЗАДАН ЧИСЛОМ</v>
      </c>
      <c r="M3152" s="13" t="b">
        <f t="shared" si="344"/>
        <v>0</v>
      </c>
      <c r="N3152" s="13">
        <f t="shared" si="345"/>
        <v>1</v>
      </c>
      <c r="O3152" s="13" t="str">
        <f t="shared" si="346"/>
        <v>ЭТАЖ ЗАДАН ЧИСЛОМ</v>
      </c>
      <c r="P3152" s="13" t="str">
        <f t="shared" si="347"/>
        <v>ЭТАЖ ЗАДАН ЧИСЛОМ</v>
      </c>
      <c r="Q3152" s="13" t="str">
        <f t="shared" si="348"/>
        <v>ГОТОВ_ИЗМЕНЕН</v>
      </c>
      <c r="R3152" s="13">
        <f>IFERROR(VLOOKUP(P3152,Лист1!A$1:B$20,2,FALSE),0)</f>
        <v>784</v>
      </c>
      <c r="S3152" s="13">
        <f t="shared" si="349"/>
        <v>0</v>
      </c>
    </row>
    <row r="3153" spans="1:19" x14ac:dyDescent="0.25">
      <c r="A3153" s="24" t="s">
        <v>4285</v>
      </c>
      <c r="B3153" s="4" t="s">
        <v>1063</v>
      </c>
      <c r="C3153" s="25" t="s">
        <v>5</v>
      </c>
      <c r="G3153" s="25" t="s">
        <v>1089</v>
      </c>
      <c r="H3153" s="24" t="s">
        <v>1061</v>
      </c>
      <c r="I3153" s="3" t="str">
        <f>IFERROR(VLOOKUP(C3153,'Справочник соответствий'!A$2:D$2981,2,FALSE),IF(VALUE(C3153)=0,1,VLOOKUP(C3153,'Справочник соответствий'!A$2:D$2981,2,FALSE)))</f>
        <v>1</v>
      </c>
      <c r="J3153" s="3">
        <f>IFERROR(VLOOKUP(D3153,'Справочник соответствий'!A$2:D$2981,2,FALSE),IF(VALUE(D3153)=0,0,VLOOKUP(D3153,'Справочник соответствий'!A$2:D$2981,2,FALSE)))</f>
        <v>0</v>
      </c>
      <c r="K3153" s="3" t="str">
        <f t="shared" si="343"/>
        <v>1</v>
      </c>
      <c r="L3153" s="13" t="str">
        <f>IFERROR(VLOOKUP(C3153,'Справочник соответствий'!A$2:D$2981,3,FALSE),IF(VALUE(C3153)=0,"ЭТАЖ НЕ ОПРЕДЕЛЕН. ПРИНЯТ ПО ДОПУЩЕНИЮ 1",VLOOKUP(C3153,'Справочник соответствий'!A$2:D$2981,3,FALSE)))</f>
        <v>ЭТАЖ ЗАДАН ЧИСЛОМ</v>
      </c>
      <c r="M3153" s="13" t="b">
        <f t="shared" si="344"/>
        <v>0</v>
      </c>
      <c r="N3153" s="13">
        <f t="shared" si="345"/>
        <v>1</v>
      </c>
      <c r="O3153" s="13" t="str">
        <f t="shared" si="346"/>
        <v>ЭТАЖ ЗАДАН ЧИСЛОМ</v>
      </c>
      <c r="P3153" s="13" t="str">
        <f t="shared" si="347"/>
        <v>ЭТАЖ ЗАДАН ЧИСЛОМ</v>
      </c>
      <c r="Q3153" s="13" t="str">
        <f t="shared" si="348"/>
        <v>ГОТОВ_ИЗМЕНЕН</v>
      </c>
      <c r="R3153" s="13">
        <f>IFERROR(VLOOKUP(P3153,Лист1!A$1:B$20,2,FALSE),0)</f>
        <v>784</v>
      </c>
      <c r="S3153" s="13">
        <f t="shared" si="349"/>
        <v>0</v>
      </c>
    </row>
    <row r="3154" spans="1:19" x14ac:dyDescent="0.25">
      <c r="A3154" s="24" t="s">
        <v>4286</v>
      </c>
      <c r="B3154" s="4" t="s">
        <v>1059</v>
      </c>
      <c r="C3154" s="25" t="s">
        <v>5</v>
      </c>
      <c r="G3154" s="25" t="s">
        <v>1089</v>
      </c>
      <c r="H3154" s="24" t="s">
        <v>1061</v>
      </c>
      <c r="I3154" s="3" t="str">
        <f>IFERROR(VLOOKUP(C3154,'Справочник соответствий'!A$2:D$2981,2,FALSE),IF(VALUE(C3154)=0,1,VLOOKUP(C3154,'Справочник соответствий'!A$2:D$2981,2,FALSE)))</f>
        <v>1</v>
      </c>
      <c r="J3154" s="3">
        <f>IFERROR(VLOOKUP(D3154,'Справочник соответствий'!A$2:D$2981,2,FALSE),IF(VALUE(D3154)=0,0,VLOOKUP(D3154,'Справочник соответствий'!A$2:D$2981,2,FALSE)))</f>
        <v>0</v>
      </c>
      <c r="K3154" s="3" t="str">
        <f t="shared" si="343"/>
        <v>1</v>
      </c>
      <c r="L3154" s="13" t="str">
        <f>IFERROR(VLOOKUP(C3154,'Справочник соответствий'!A$2:D$2981,3,FALSE),IF(VALUE(C3154)=0,"ЭТАЖ НЕ ОПРЕДЕЛЕН. ПРИНЯТ ПО ДОПУЩЕНИЮ 1",VLOOKUP(C3154,'Справочник соответствий'!A$2:D$2981,3,FALSE)))</f>
        <v>ЭТАЖ ЗАДАН ЧИСЛОМ</v>
      </c>
      <c r="M3154" s="13" t="b">
        <f t="shared" si="344"/>
        <v>0</v>
      </c>
      <c r="N3154" s="13">
        <f t="shared" si="345"/>
        <v>1</v>
      </c>
      <c r="O3154" s="13" t="str">
        <f t="shared" si="346"/>
        <v>ЭТАЖ ЗАДАН ЧИСЛОМ</v>
      </c>
      <c r="P3154" s="13" t="str">
        <f t="shared" si="347"/>
        <v>ЭТАЖ ЗАДАН ЧИСЛОМ</v>
      </c>
      <c r="Q3154" s="13" t="str">
        <f t="shared" si="348"/>
        <v>ГОТОВ_ИЗМЕНЕН</v>
      </c>
      <c r="R3154" s="13">
        <f>IFERROR(VLOOKUP(P3154,Лист1!A$1:B$20,2,FALSE),0)</f>
        <v>784</v>
      </c>
      <c r="S3154" s="13">
        <f t="shared" si="349"/>
        <v>0</v>
      </c>
    </row>
    <row r="3155" spans="1:19" x14ac:dyDescent="0.25">
      <c r="A3155" s="24" t="s">
        <v>4287</v>
      </c>
      <c r="B3155" s="4" t="s">
        <v>1063</v>
      </c>
      <c r="C3155" s="25" t="s">
        <v>7</v>
      </c>
      <c r="G3155" s="25" t="s">
        <v>1089</v>
      </c>
      <c r="H3155" s="24" t="s">
        <v>1061</v>
      </c>
      <c r="I3155" s="3" t="str">
        <f>IFERROR(VLOOKUP(C3155,'Справочник соответствий'!A$2:D$2981,2,FALSE),IF(VALUE(C3155)=0,1,VLOOKUP(C3155,'Справочник соответствий'!A$2:D$2981,2,FALSE)))</f>
        <v>2</v>
      </c>
      <c r="J3155" s="3">
        <f>IFERROR(VLOOKUP(D3155,'Справочник соответствий'!A$2:D$2981,2,FALSE),IF(VALUE(D3155)=0,0,VLOOKUP(D3155,'Справочник соответствий'!A$2:D$2981,2,FALSE)))</f>
        <v>0</v>
      </c>
      <c r="K3155" s="3" t="str">
        <f t="shared" si="343"/>
        <v>2</v>
      </c>
      <c r="L3155" s="13" t="str">
        <f>IFERROR(VLOOKUP(C3155,'Справочник соответствий'!A$2:D$2981,3,FALSE),IF(VALUE(C3155)=0,"ЭТАЖ НЕ ОПРЕДЕЛЕН. ПРИНЯТ ПО ДОПУЩЕНИЮ 1",VLOOKUP(C3155,'Справочник соответствий'!A$2:D$2981,3,FALSE)))</f>
        <v>ЭТАЖ ЗАДАН ЧИСЛОМ</v>
      </c>
      <c r="M3155" s="13" t="b">
        <f t="shared" si="344"/>
        <v>0</v>
      </c>
      <c r="N3155" s="13">
        <f t="shared" si="345"/>
        <v>2</v>
      </c>
      <c r="O3155" s="13" t="str">
        <f t="shared" si="346"/>
        <v>ЭТАЖ ЗАДАН ЧИСЛОМ</v>
      </c>
      <c r="P3155" s="13" t="str">
        <f t="shared" si="347"/>
        <v>ЭТАЖ ЗАДАН ЧИСЛОМ</v>
      </c>
      <c r="Q3155" s="13" t="str">
        <f t="shared" si="348"/>
        <v>ГОТОВ_ИЗМЕНЕН</v>
      </c>
      <c r="R3155" s="13">
        <f>IFERROR(VLOOKUP(P3155,Лист1!A$1:B$20,2,FALSE),0)</f>
        <v>784</v>
      </c>
      <c r="S3155" s="13">
        <f t="shared" si="349"/>
        <v>0</v>
      </c>
    </row>
    <row r="3156" spans="1:19" x14ac:dyDescent="0.25">
      <c r="A3156" s="24" t="s">
        <v>4288</v>
      </c>
      <c r="B3156" s="4" t="s">
        <v>1063</v>
      </c>
      <c r="C3156" s="25" t="s">
        <v>5</v>
      </c>
      <c r="G3156" s="25" t="s">
        <v>1089</v>
      </c>
      <c r="H3156" s="24" t="s">
        <v>1061</v>
      </c>
      <c r="I3156" s="3" t="str">
        <f>IFERROR(VLOOKUP(C3156,'Справочник соответствий'!A$2:D$2981,2,FALSE),IF(VALUE(C3156)=0,1,VLOOKUP(C3156,'Справочник соответствий'!A$2:D$2981,2,FALSE)))</f>
        <v>1</v>
      </c>
      <c r="J3156" s="3">
        <f>IFERROR(VLOOKUP(D3156,'Справочник соответствий'!A$2:D$2981,2,FALSE),IF(VALUE(D3156)=0,0,VLOOKUP(D3156,'Справочник соответствий'!A$2:D$2981,2,FALSE)))</f>
        <v>0</v>
      </c>
      <c r="K3156" s="3" t="str">
        <f t="shared" si="343"/>
        <v>1</v>
      </c>
      <c r="L3156" s="13" t="str">
        <f>IFERROR(VLOOKUP(C3156,'Справочник соответствий'!A$2:D$2981,3,FALSE),IF(VALUE(C3156)=0,"ЭТАЖ НЕ ОПРЕДЕЛЕН. ПРИНЯТ ПО ДОПУЩЕНИЮ 1",VLOOKUP(C3156,'Справочник соответствий'!A$2:D$2981,3,FALSE)))</f>
        <v>ЭТАЖ ЗАДАН ЧИСЛОМ</v>
      </c>
      <c r="M3156" s="13" t="b">
        <f t="shared" si="344"/>
        <v>0</v>
      </c>
      <c r="N3156" s="13">
        <f t="shared" si="345"/>
        <v>1</v>
      </c>
      <c r="O3156" s="13" t="str">
        <f t="shared" si="346"/>
        <v>ЭТАЖ ЗАДАН ЧИСЛОМ</v>
      </c>
      <c r="P3156" s="13" t="str">
        <f t="shared" si="347"/>
        <v>ЭТАЖ ЗАДАН ЧИСЛОМ</v>
      </c>
      <c r="Q3156" s="13" t="str">
        <f t="shared" si="348"/>
        <v>ГОТОВ_ИЗМЕНЕН</v>
      </c>
      <c r="R3156" s="13">
        <f>IFERROR(VLOOKUP(P3156,Лист1!A$1:B$20,2,FALSE),0)</f>
        <v>784</v>
      </c>
      <c r="S3156" s="13">
        <f t="shared" si="349"/>
        <v>0</v>
      </c>
    </row>
    <row r="3157" spans="1:19" x14ac:dyDescent="0.25">
      <c r="A3157" s="24" t="s">
        <v>4289</v>
      </c>
      <c r="B3157" s="4" t="s">
        <v>1059</v>
      </c>
      <c r="C3157" s="25" t="s">
        <v>5</v>
      </c>
      <c r="G3157" s="25" t="s">
        <v>1089</v>
      </c>
      <c r="H3157" s="24" t="s">
        <v>1061</v>
      </c>
      <c r="I3157" s="3" t="str">
        <f>IFERROR(VLOOKUP(C3157,'Справочник соответствий'!A$2:D$2981,2,FALSE),IF(VALUE(C3157)=0,1,VLOOKUP(C3157,'Справочник соответствий'!A$2:D$2981,2,FALSE)))</f>
        <v>1</v>
      </c>
      <c r="J3157" s="3">
        <f>IFERROR(VLOOKUP(D3157,'Справочник соответствий'!A$2:D$2981,2,FALSE),IF(VALUE(D3157)=0,0,VLOOKUP(D3157,'Справочник соответствий'!A$2:D$2981,2,FALSE)))</f>
        <v>0</v>
      </c>
      <c r="K3157" s="3" t="str">
        <f t="shared" si="343"/>
        <v>1</v>
      </c>
      <c r="L3157" s="13" t="str">
        <f>IFERROR(VLOOKUP(C3157,'Справочник соответствий'!A$2:D$2981,3,FALSE),IF(VALUE(C3157)=0,"ЭТАЖ НЕ ОПРЕДЕЛЕН. ПРИНЯТ ПО ДОПУЩЕНИЮ 1",VLOOKUP(C3157,'Справочник соответствий'!A$2:D$2981,3,FALSE)))</f>
        <v>ЭТАЖ ЗАДАН ЧИСЛОМ</v>
      </c>
      <c r="M3157" s="13" t="b">
        <f t="shared" si="344"/>
        <v>0</v>
      </c>
      <c r="N3157" s="13">
        <f t="shared" si="345"/>
        <v>1</v>
      </c>
      <c r="O3157" s="13" t="str">
        <f t="shared" si="346"/>
        <v>ЭТАЖ ЗАДАН ЧИСЛОМ</v>
      </c>
      <c r="P3157" s="13" t="str">
        <f t="shared" si="347"/>
        <v>ЭТАЖ ЗАДАН ЧИСЛОМ</v>
      </c>
      <c r="Q3157" s="13" t="str">
        <f t="shared" si="348"/>
        <v>ГОТОВ_ИЗМЕНЕН</v>
      </c>
      <c r="R3157" s="13">
        <f>IFERROR(VLOOKUP(P3157,Лист1!A$1:B$20,2,FALSE),0)</f>
        <v>784</v>
      </c>
      <c r="S3157" s="13">
        <f t="shared" si="349"/>
        <v>0</v>
      </c>
    </row>
    <row r="3158" spans="1:19" x14ac:dyDescent="0.25">
      <c r="A3158" s="24" t="s">
        <v>4290</v>
      </c>
      <c r="B3158" s="4" t="s">
        <v>1059</v>
      </c>
      <c r="C3158" s="25" t="s">
        <v>7</v>
      </c>
      <c r="G3158" s="25" t="s">
        <v>1089</v>
      </c>
      <c r="H3158" s="24" t="s">
        <v>1061</v>
      </c>
      <c r="I3158" s="3" t="str">
        <f>IFERROR(VLOOKUP(C3158,'Справочник соответствий'!A$2:D$2981,2,FALSE),IF(VALUE(C3158)=0,1,VLOOKUP(C3158,'Справочник соответствий'!A$2:D$2981,2,FALSE)))</f>
        <v>2</v>
      </c>
      <c r="J3158" s="3">
        <f>IFERROR(VLOOKUP(D3158,'Справочник соответствий'!A$2:D$2981,2,FALSE),IF(VALUE(D3158)=0,0,VLOOKUP(D3158,'Справочник соответствий'!A$2:D$2981,2,FALSE)))</f>
        <v>0</v>
      </c>
      <c r="K3158" s="3" t="str">
        <f t="shared" si="343"/>
        <v>2</v>
      </c>
      <c r="L3158" s="13" t="str">
        <f>IFERROR(VLOOKUP(C3158,'Справочник соответствий'!A$2:D$2981,3,FALSE),IF(VALUE(C3158)=0,"ЭТАЖ НЕ ОПРЕДЕЛЕН. ПРИНЯТ ПО ДОПУЩЕНИЮ 1",VLOOKUP(C3158,'Справочник соответствий'!A$2:D$2981,3,FALSE)))</f>
        <v>ЭТАЖ ЗАДАН ЧИСЛОМ</v>
      </c>
      <c r="M3158" s="13" t="b">
        <f t="shared" si="344"/>
        <v>0</v>
      </c>
      <c r="N3158" s="13">
        <f t="shared" si="345"/>
        <v>2</v>
      </c>
      <c r="O3158" s="13" t="str">
        <f t="shared" si="346"/>
        <v>ЭТАЖ ЗАДАН ЧИСЛОМ</v>
      </c>
      <c r="P3158" s="13" t="str">
        <f t="shared" si="347"/>
        <v>ЭТАЖ ЗАДАН ЧИСЛОМ</v>
      </c>
      <c r="Q3158" s="13" t="str">
        <f t="shared" si="348"/>
        <v>ГОТОВ_ИЗМЕНЕН</v>
      </c>
      <c r="R3158" s="13">
        <f>IFERROR(VLOOKUP(P3158,Лист1!A$1:B$20,2,FALSE),0)</f>
        <v>784</v>
      </c>
      <c r="S3158" s="13">
        <f t="shared" si="349"/>
        <v>0</v>
      </c>
    </row>
    <row r="3159" spans="1:19" x14ac:dyDescent="0.25">
      <c r="A3159" s="24" t="s">
        <v>4291</v>
      </c>
      <c r="B3159" s="4" t="s">
        <v>1059</v>
      </c>
      <c r="C3159" s="25" t="s">
        <v>5</v>
      </c>
      <c r="G3159" s="25" t="s">
        <v>1089</v>
      </c>
      <c r="H3159" s="24" t="s">
        <v>1061</v>
      </c>
      <c r="I3159" s="3" t="str">
        <f>IFERROR(VLOOKUP(C3159,'Справочник соответствий'!A$2:D$2981,2,FALSE),IF(VALUE(C3159)=0,1,VLOOKUP(C3159,'Справочник соответствий'!A$2:D$2981,2,FALSE)))</f>
        <v>1</v>
      </c>
      <c r="J3159" s="3">
        <f>IFERROR(VLOOKUP(D3159,'Справочник соответствий'!A$2:D$2981,2,FALSE),IF(VALUE(D3159)=0,0,VLOOKUP(D3159,'Справочник соответствий'!A$2:D$2981,2,FALSE)))</f>
        <v>0</v>
      </c>
      <c r="K3159" s="3" t="str">
        <f t="shared" si="343"/>
        <v>1</v>
      </c>
      <c r="L3159" s="13" t="str">
        <f>IFERROR(VLOOKUP(C3159,'Справочник соответствий'!A$2:D$2981,3,FALSE),IF(VALUE(C3159)=0,"ЭТАЖ НЕ ОПРЕДЕЛЕН. ПРИНЯТ ПО ДОПУЩЕНИЮ 1",VLOOKUP(C3159,'Справочник соответствий'!A$2:D$2981,3,FALSE)))</f>
        <v>ЭТАЖ ЗАДАН ЧИСЛОМ</v>
      </c>
      <c r="M3159" s="13" t="b">
        <f t="shared" si="344"/>
        <v>0</v>
      </c>
      <c r="N3159" s="13">
        <f t="shared" si="345"/>
        <v>1</v>
      </c>
      <c r="O3159" s="13" t="str">
        <f t="shared" si="346"/>
        <v>ЭТАЖ ЗАДАН ЧИСЛОМ</v>
      </c>
      <c r="P3159" s="13" t="str">
        <f t="shared" si="347"/>
        <v>ЭТАЖ ЗАДАН ЧИСЛОМ</v>
      </c>
      <c r="Q3159" s="13" t="str">
        <f t="shared" si="348"/>
        <v>ГОТОВ_ИЗМЕНЕН</v>
      </c>
      <c r="R3159" s="13">
        <f>IFERROR(VLOOKUP(P3159,Лист1!A$1:B$20,2,FALSE),0)</f>
        <v>784</v>
      </c>
      <c r="S3159" s="13">
        <f t="shared" si="349"/>
        <v>0</v>
      </c>
    </row>
    <row r="3160" spans="1:19" x14ac:dyDescent="0.25">
      <c r="A3160" s="24" t="s">
        <v>4292</v>
      </c>
      <c r="B3160" s="4" t="s">
        <v>1059</v>
      </c>
      <c r="C3160" s="25" t="s">
        <v>5</v>
      </c>
      <c r="G3160" s="25" t="s">
        <v>1117</v>
      </c>
      <c r="H3160" s="24" t="s">
        <v>1061</v>
      </c>
      <c r="I3160" s="3" t="str">
        <f>IFERROR(VLOOKUP(C3160,'Справочник соответствий'!A$2:D$2981,2,FALSE),IF(VALUE(C3160)=0,1,VLOOKUP(C3160,'Справочник соответствий'!A$2:D$2981,2,FALSE)))</f>
        <v>1</v>
      </c>
      <c r="J3160" s="3">
        <f>IFERROR(VLOOKUP(D3160,'Справочник соответствий'!A$2:D$2981,2,FALSE),IF(VALUE(D3160)=0,0,VLOOKUP(D3160,'Справочник соответствий'!A$2:D$2981,2,FALSE)))</f>
        <v>0</v>
      </c>
      <c r="K3160" s="3" t="str">
        <f t="shared" si="343"/>
        <v>1</v>
      </c>
      <c r="L3160" s="13" t="str">
        <f>IFERROR(VLOOKUP(C3160,'Справочник соответствий'!A$2:D$2981,3,FALSE),IF(VALUE(C3160)=0,"ЭТАЖ НЕ ОПРЕДЕЛЕН. ПРИНЯТ ПО ДОПУЩЕНИЮ 1",VLOOKUP(C3160,'Справочник соответствий'!A$2:D$2981,3,FALSE)))</f>
        <v>ЭТАЖ ЗАДАН ЧИСЛОМ</v>
      </c>
      <c r="M3160" s="13" t="b">
        <f t="shared" si="344"/>
        <v>0</v>
      </c>
      <c r="N3160" s="13">
        <f t="shared" si="345"/>
        <v>1</v>
      </c>
      <c r="O3160" s="13" t="str">
        <f t="shared" si="346"/>
        <v>ЭТАЖ ЗАДАН ЧИСЛОМ</v>
      </c>
      <c r="P3160" s="13" t="str">
        <f t="shared" si="347"/>
        <v>ЭТАЖ ЗАДАН ЧИСЛОМ</v>
      </c>
      <c r="Q3160" s="13" t="str">
        <f t="shared" si="348"/>
        <v>ГОТОВ_ИЗМЕНЕН</v>
      </c>
      <c r="R3160" s="13">
        <f>IFERROR(VLOOKUP(P3160,Лист1!A$1:B$20,2,FALSE),0)</f>
        <v>784</v>
      </c>
      <c r="S3160" s="13">
        <f t="shared" si="349"/>
        <v>0</v>
      </c>
    </row>
    <row r="3161" spans="1:19" x14ac:dyDescent="0.25">
      <c r="A3161" s="24" t="s">
        <v>4293</v>
      </c>
      <c r="B3161" s="4" t="s">
        <v>1059</v>
      </c>
      <c r="C3161" s="25" t="s">
        <v>5</v>
      </c>
      <c r="G3161" s="25" t="s">
        <v>1698</v>
      </c>
      <c r="H3161" s="24" t="s">
        <v>1061</v>
      </c>
      <c r="I3161" s="3" t="str">
        <f>IFERROR(VLOOKUP(C3161,'Справочник соответствий'!A$2:D$2981,2,FALSE),IF(VALUE(C3161)=0,1,VLOOKUP(C3161,'Справочник соответствий'!A$2:D$2981,2,FALSE)))</f>
        <v>1</v>
      </c>
      <c r="J3161" s="3">
        <f>IFERROR(VLOOKUP(D3161,'Справочник соответствий'!A$2:D$2981,2,FALSE),IF(VALUE(D3161)=0,0,VLOOKUP(D3161,'Справочник соответствий'!A$2:D$2981,2,FALSE)))</f>
        <v>0</v>
      </c>
      <c r="K3161" s="3" t="str">
        <f t="shared" si="343"/>
        <v>1</v>
      </c>
      <c r="L3161" s="13" t="str">
        <f>IFERROR(VLOOKUP(C3161,'Справочник соответствий'!A$2:D$2981,3,FALSE),IF(VALUE(C3161)=0,"ЭТАЖ НЕ ОПРЕДЕЛЕН. ПРИНЯТ ПО ДОПУЩЕНИЮ 1",VLOOKUP(C3161,'Справочник соответствий'!A$2:D$2981,3,FALSE)))</f>
        <v>ЭТАЖ ЗАДАН ЧИСЛОМ</v>
      </c>
      <c r="M3161" s="13" t="b">
        <f t="shared" si="344"/>
        <v>0</v>
      </c>
      <c r="N3161" s="13">
        <f t="shared" si="345"/>
        <v>1</v>
      </c>
      <c r="O3161" s="13" t="str">
        <f t="shared" si="346"/>
        <v>ЭТАЖ ЗАДАН ЧИСЛОМ</v>
      </c>
      <c r="P3161" s="13" t="str">
        <f t="shared" si="347"/>
        <v>ЭТАЖ ЗАДАН ЧИСЛОМ</v>
      </c>
      <c r="Q3161" s="13" t="str">
        <f t="shared" si="348"/>
        <v>ГОТОВ_ИЗМЕНЕН</v>
      </c>
      <c r="R3161" s="13">
        <f>IFERROR(VLOOKUP(P3161,Лист1!A$1:B$20,2,FALSE),0)</f>
        <v>784</v>
      </c>
      <c r="S3161" s="13">
        <f t="shared" si="349"/>
        <v>0</v>
      </c>
    </row>
    <row r="3162" spans="1:19" x14ac:dyDescent="0.25">
      <c r="A3162" s="24" t="s">
        <v>4294</v>
      </c>
      <c r="B3162" s="4" t="s">
        <v>1059</v>
      </c>
      <c r="C3162" s="25" t="s">
        <v>7</v>
      </c>
      <c r="G3162" s="25" t="s">
        <v>1698</v>
      </c>
      <c r="H3162" s="24" t="s">
        <v>1061</v>
      </c>
      <c r="I3162" s="3" t="str">
        <f>IFERROR(VLOOKUP(C3162,'Справочник соответствий'!A$2:D$2981,2,FALSE),IF(VALUE(C3162)=0,1,VLOOKUP(C3162,'Справочник соответствий'!A$2:D$2981,2,FALSE)))</f>
        <v>2</v>
      </c>
      <c r="J3162" s="3">
        <f>IFERROR(VLOOKUP(D3162,'Справочник соответствий'!A$2:D$2981,2,FALSE),IF(VALUE(D3162)=0,0,VLOOKUP(D3162,'Справочник соответствий'!A$2:D$2981,2,FALSE)))</f>
        <v>0</v>
      </c>
      <c r="K3162" s="3" t="str">
        <f t="shared" si="343"/>
        <v>2</v>
      </c>
      <c r="L3162" s="13" t="str">
        <f>IFERROR(VLOOKUP(C3162,'Справочник соответствий'!A$2:D$2981,3,FALSE),IF(VALUE(C3162)=0,"ЭТАЖ НЕ ОПРЕДЕЛЕН. ПРИНЯТ ПО ДОПУЩЕНИЮ 1",VLOOKUP(C3162,'Справочник соответствий'!A$2:D$2981,3,FALSE)))</f>
        <v>ЭТАЖ ЗАДАН ЧИСЛОМ</v>
      </c>
      <c r="M3162" s="13" t="b">
        <f t="shared" si="344"/>
        <v>0</v>
      </c>
      <c r="N3162" s="13">
        <f t="shared" si="345"/>
        <v>2</v>
      </c>
      <c r="O3162" s="13" t="str">
        <f t="shared" si="346"/>
        <v>ЭТАЖ ЗАДАН ЧИСЛОМ</v>
      </c>
      <c r="P3162" s="13" t="str">
        <f t="shared" si="347"/>
        <v>ЭТАЖ ЗАДАН ЧИСЛОМ</v>
      </c>
      <c r="Q3162" s="13" t="str">
        <f t="shared" si="348"/>
        <v>ГОТОВ_ИЗМЕНЕН</v>
      </c>
      <c r="R3162" s="13">
        <f>IFERROR(VLOOKUP(P3162,Лист1!A$1:B$20,2,FALSE),0)</f>
        <v>784</v>
      </c>
      <c r="S3162" s="13">
        <f t="shared" si="349"/>
        <v>0</v>
      </c>
    </row>
    <row r="3163" spans="1:19" x14ac:dyDescent="0.25">
      <c r="A3163" s="24" t="s">
        <v>4295</v>
      </c>
      <c r="B3163" s="4" t="s">
        <v>1063</v>
      </c>
      <c r="C3163" s="25" t="s">
        <v>5</v>
      </c>
      <c r="G3163" s="25" t="s">
        <v>1698</v>
      </c>
      <c r="H3163" s="24" t="s">
        <v>1061</v>
      </c>
      <c r="I3163" s="3" t="str">
        <f>IFERROR(VLOOKUP(C3163,'Справочник соответствий'!A$2:D$2981,2,FALSE),IF(VALUE(C3163)=0,1,VLOOKUP(C3163,'Справочник соответствий'!A$2:D$2981,2,FALSE)))</f>
        <v>1</v>
      </c>
      <c r="J3163" s="3">
        <f>IFERROR(VLOOKUP(D3163,'Справочник соответствий'!A$2:D$2981,2,FALSE),IF(VALUE(D3163)=0,0,VLOOKUP(D3163,'Справочник соответствий'!A$2:D$2981,2,FALSE)))</f>
        <v>0</v>
      </c>
      <c r="K3163" s="3" t="str">
        <f t="shared" si="343"/>
        <v>1</v>
      </c>
      <c r="L3163" s="13" t="str">
        <f>IFERROR(VLOOKUP(C3163,'Справочник соответствий'!A$2:D$2981,3,FALSE),IF(VALUE(C3163)=0,"ЭТАЖ НЕ ОПРЕДЕЛЕН. ПРИНЯТ ПО ДОПУЩЕНИЮ 1",VLOOKUP(C3163,'Справочник соответствий'!A$2:D$2981,3,FALSE)))</f>
        <v>ЭТАЖ ЗАДАН ЧИСЛОМ</v>
      </c>
      <c r="M3163" s="13" t="b">
        <f t="shared" si="344"/>
        <v>0</v>
      </c>
      <c r="N3163" s="13">
        <f t="shared" si="345"/>
        <v>1</v>
      </c>
      <c r="O3163" s="13" t="str">
        <f t="shared" si="346"/>
        <v>ЭТАЖ ЗАДАН ЧИСЛОМ</v>
      </c>
      <c r="P3163" s="13" t="str">
        <f t="shared" si="347"/>
        <v>ЭТАЖ ЗАДАН ЧИСЛОМ</v>
      </c>
      <c r="Q3163" s="13" t="str">
        <f t="shared" si="348"/>
        <v>ГОТОВ_ИЗМЕНЕН</v>
      </c>
      <c r="R3163" s="13">
        <f>IFERROR(VLOOKUP(P3163,Лист1!A$1:B$20,2,FALSE),0)</f>
        <v>784</v>
      </c>
      <c r="S3163" s="13">
        <f t="shared" si="349"/>
        <v>0</v>
      </c>
    </row>
    <row r="3164" spans="1:19" x14ac:dyDescent="0.25">
      <c r="A3164" s="24" t="s">
        <v>4296</v>
      </c>
      <c r="B3164" s="4" t="s">
        <v>1059</v>
      </c>
      <c r="C3164" s="25" t="s">
        <v>7</v>
      </c>
      <c r="G3164" s="25" t="s">
        <v>1698</v>
      </c>
      <c r="H3164" s="24" t="s">
        <v>1061</v>
      </c>
      <c r="I3164" s="3" t="str">
        <f>IFERROR(VLOOKUP(C3164,'Справочник соответствий'!A$2:D$2981,2,FALSE),IF(VALUE(C3164)=0,1,VLOOKUP(C3164,'Справочник соответствий'!A$2:D$2981,2,FALSE)))</f>
        <v>2</v>
      </c>
      <c r="J3164" s="3">
        <f>IFERROR(VLOOKUP(D3164,'Справочник соответствий'!A$2:D$2981,2,FALSE),IF(VALUE(D3164)=0,0,VLOOKUP(D3164,'Справочник соответствий'!A$2:D$2981,2,FALSE)))</f>
        <v>0</v>
      </c>
      <c r="K3164" s="3" t="str">
        <f t="shared" si="343"/>
        <v>2</v>
      </c>
      <c r="L3164" s="13" t="str">
        <f>IFERROR(VLOOKUP(C3164,'Справочник соответствий'!A$2:D$2981,3,FALSE),IF(VALUE(C3164)=0,"ЭТАЖ НЕ ОПРЕДЕЛЕН. ПРИНЯТ ПО ДОПУЩЕНИЮ 1",VLOOKUP(C3164,'Справочник соответствий'!A$2:D$2981,3,FALSE)))</f>
        <v>ЭТАЖ ЗАДАН ЧИСЛОМ</v>
      </c>
      <c r="M3164" s="13" t="b">
        <f t="shared" si="344"/>
        <v>0</v>
      </c>
      <c r="N3164" s="13">
        <f t="shared" si="345"/>
        <v>2</v>
      </c>
      <c r="O3164" s="13" t="str">
        <f t="shared" si="346"/>
        <v>ЭТАЖ ЗАДАН ЧИСЛОМ</v>
      </c>
      <c r="P3164" s="13" t="str">
        <f t="shared" si="347"/>
        <v>ЭТАЖ ЗАДАН ЧИСЛОМ</v>
      </c>
      <c r="Q3164" s="13" t="str">
        <f t="shared" si="348"/>
        <v>ГОТОВ_ИЗМЕНЕН</v>
      </c>
      <c r="R3164" s="13">
        <f>IFERROR(VLOOKUP(P3164,Лист1!A$1:B$20,2,FALSE),0)</f>
        <v>784</v>
      </c>
      <c r="S3164" s="13">
        <f t="shared" si="349"/>
        <v>0</v>
      </c>
    </row>
    <row r="3165" spans="1:19" x14ac:dyDescent="0.25">
      <c r="A3165" s="24" t="s">
        <v>4297</v>
      </c>
      <c r="B3165" s="4" t="s">
        <v>1063</v>
      </c>
      <c r="C3165" s="25" t="s">
        <v>5</v>
      </c>
      <c r="G3165" s="25" t="s">
        <v>1698</v>
      </c>
      <c r="H3165" s="24" t="s">
        <v>1061</v>
      </c>
      <c r="I3165" s="3" t="str">
        <f>IFERROR(VLOOKUP(C3165,'Справочник соответствий'!A$2:D$2981,2,FALSE),IF(VALUE(C3165)=0,1,VLOOKUP(C3165,'Справочник соответствий'!A$2:D$2981,2,FALSE)))</f>
        <v>1</v>
      </c>
      <c r="J3165" s="3">
        <f>IFERROR(VLOOKUP(D3165,'Справочник соответствий'!A$2:D$2981,2,FALSE),IF(VALUE(D3165)=0,0,VLOOKUP(D3165,'Справочник соответствий'!A$2:D$2981,2,FALSE)))</f>
        <v>0</v>
      </c>
      <c r="K3165" s="3" t="str">
        <f t="shared" si="343"/>
        <v>1</v>
      </c>
      <c r="L3165" s="13" t="str">
        <f>IFERROR(VLOOKUP(C3165,'Справочник соответствий'!A$2:D$2981,3,FALSE),IF(VALUE(C3165)=0,"ЭТАЖ НЕ ОПРЕДЕЛЕН. ПРИНЯТ ПО ДОПУЩЕНИЮ 1",VLOOKUP(C3165,'Справочник соответствий'!A$2:D$2981,3,FALSE)))</f>
        <v>ЭТАЖ ЗАДАН ЧИСЛОМ</v>
      </c>
      <c r="M3165" s="13" t="b">
        <f t="shared" si="344"/>
        <v>0</v>
      </c>
      <c r="N3165" s="13">
        <f t="shared" si="345"/>
        <v>1</v>
      </c>
      <c r="O3165" s="13" t="str">
        <f t="shared" si="346"/>
        <v>ЭТАЖ ЗАДАН ЧИСЛОМ</v>
      </c>
      <c r="P3165" s="13" t="str">
        <f t="shared" si="347"/>
        <v>ЭТАЖ ЗАДАН ЧИСЛОМ</v>
      </c>
      <c r="Q3165" s="13" t="str">
        <f t="shared" si="348"/>
        <v>ГОТОВ_ИЗМЕНЕН</v>
      </c>
      <c r="R3165" s="13">
        <f>IFERROR(VLOOKUP(P3165,Лист1!A$1:B$20,2,FALSE),0)</f>
        <v>784</v>
      </c>
      <c r="S3165" s="13">
        <f t="shared" si="349"/>
        <v>0</v>
      </c>
    </row>
    <row r="3166" spans="1:19" x14ac:dyDescent="0.25">
      <c r="A3166" s="24" t="s">
        <v>4298</v>
      </c>
      <c r="B3166" s="4" t="s">
        <v>1059</v>
      </c>
      <c r="C3166" s="25" t="s">
        <v>5</v>
      </c>
      <c r="G3166" s="25" t="s">
        <v>1698</v>
      </c>
      <c r="H3166" s="24" t="s">
        <v>1061</v>
      </c>
      <c r="I3166" s="3" t="str">
        <f>IFERROR(VLOOKUP(C3166,'Справочник соответствий'!A$2:D$2981,2,FALSE),IF(VALUE(C3166)=0,1,VLOOKUP(C3166,'Справочник соответствий'!A$2:D$2981,2,FALSE)))</f>
        <v>1</v>
      </c>
      <c r="J3166" s="3">
        <f>IFERROR(VLOOKUP(D3166,'Справочник соответствий'!A$2:D$2981,2,FALSE),IF(VALUE(D3166)=0,0,VLOOKUP(D3166,'Справочник соответствий'!A$2:D$2981,2,FALSE)))</f>
        <v>0</v>
      </c>
      <c r="K3166" s="3" t="str">
        <f t="shared" si="343"/>
        <v>1</v>
      </c>
      <c r="L3166" s="13" t="str">
        <f>IFERROR(VLOOKUP(C3166,'Справочник соответствий'!A$2:D$2981,3,FALSE),IF(VALUE(C3166)=0,"ЭТАЖ НЕ ОПРЕДЕЛЕН. ПРИНЯТ ПО ДОПУЩЕНИЮ 1",VLOOKUP(C3166,'Справочник соответствий'!A$2:D$2981,3,FALSE)))</f>
        <v>ЭТАЖ ЗАДАН ЧИСЛОМ</v>
      </c>
      <c r="M3166" s="13" t="b">
        <f t="shared" si="344"/>
        <v>0</v>
      </c>
      <c r="N3166" s="13">
        <f t="shared" si="345"/>
        <v>1</v>
      </c>
      <c r="O3166" s="13" t="str">
        <f t="shared" si="346"/>
        <v>ЭТАЖ ЗАДАН ЧИСЛОМ</v>
      </c>
      <c r="P3166" s="13" t="str">
        <f t="shared" si="347"/>
        <v>ЭТАЖ ЗАДАН ЧИСЛОМ</v>
      </c>
      <c r="Q3166" s="13" t="str">
        <f t="shared" si="348"/>
        <v>ГОТОВ_ИЗМЕНЕН</v>
      </c>
      <c r="R3166" s="13">
        <f>IFERROR(VLOOKUP(P3166,Лист1!A$1:B$20,2,FALSE),0)</f>
        <v>784</v>
      </c>
      <c r="S3166" s="13">
        <f t="shared" si="349"/>
        <v>0</v>
      </c>
    </row>
    <row r="3167" spans="1:19" x14ac:dyDescent="0.25">
      <c r="A3167" s="24" t="s">
        <v>4299</v>
      </c>
      <c r="B3167" s="4" t="s">
        <v>1063</v>
      </c>
      <c r="C3167" s="25" t="s">
        <v>7</v>
      </c>
      <c r="G3167" s="25" t="s">
        <v>1391</v>
      </c>
      <c r="H3167" s="24" t="s">
        <v>1061</v>
      </c>
      <c r="I3167" s="3" t="str">
        <f>IFERROR(VLOOKUP(C3167,'Справочник соответствий'!A$2:D$2981,2,FALSE),IF(VALUE(C3167)=0,1,VLOOKUP(C3167,'Справочник соответствий'!A$2:D$2981,2,FALSE)))</f>
        <v>2</v>
      </c>
      <c r="J3167" s="3">
        <f>IFERROR(VLOOKUP(D3167,'Справочник соответствий'!A$2:D$2981,2,FALSE),IF(VALUE(D3167)=0,0,VLOOKUP(D3167,'Справочник соответствий'!A$2:D$2981,2,FALSE)))</f>
        <v>0</v>
      </c>
      <c r="K3167" s="3" t="str">
        <f t="shared" si="343"/>
        <v>2</v>
      </c>
      <c r="L3167" s="13" t="str">
        <f>IFERROR(VLOOKUP(C3167,'Справочник соответствий'!A$2:D$2981,3,FALSE),IF(VALUE(C3167)=0,"ЭТАЖ НЕ ОПРЕДЕЛЕН. ПРИНЯТ ПО ДОПУЩЕНИЮ 1",VLOOKUP(C3167,'Справочник соответствий'!A$2:D$2981,3,FALSE)))</f>
        <v>ЭТАЖ ЗАДАН ЧИСЛОМ</v>
      </c>
      <c r="M3167" s="13" t="b">
        <f t="shared" si="344"/>
        <v>0</v>
      </c>
      <c r="N3167" s="13">
        <f t="shared" si="345"/>
        <v>2</v>
      </c>
      <c r="O3167" s="13" t="str">
        <f t="shared" si="346"/>
        <v>ЭТАЖ ЗАДАН ЧИСЛОМ</v>
      </c>
      <c r="P3167" s="13" t="str">
        <f t="shared" si="347"/>
        <v>ЭТАЖ ЗАДАН ЧИСЛОМ</v>
      </c>
      <c r="Q3167" s="13" t="str">
        <f t="shared" si="348"/>
        <v>ГОТОВ_ИЗМЕНЕН</v>
      </c>
      <c r="R3167" s="13">
        <f>IFERROR(VLOOKUP(P3167,Лист1!A$1:B$20,2,FALSE),0)</f>
        <v>784</v>
      </c>
      <c r="S3167" s="13">
        <f t="shared" si="349"/>
        <v>0</v>
      </c>
    </row>
    <row r="3168" spans="1:19" x14ac:dyDescent="0.25">
      <c r="A3168" s="24" t="s">
        <v>4300</v>
      </c>
      <c r="B3168" s="4" t="s">
        <v>1063</v>
      </c>
      <c r="C3168" s="25" t="s">
        <v>5</v>
      </c>
      <c r="G3168" s="25" t="s">
        <v>1391</v>
      </c>
      <c r="H3168" s="24" t="s">
        <v>1061</v>
      </c>
      <c r="I3168" s="3" t="str">
        <f>IFERROR(VLOOKUP(C3168,'Справочник соответствий'!A$2:D$2981,2,FALSE),IF(VALUE(C3168)=0,1,VLOOKUP(C3168,'Справочник соответствий'!A$2:D$2981,2,FALSE)))</f>
        <v>1</v>
      </c>
      <c r="J3168" s="3">
        <f>IFERROR(VLOOKUP(D3168,'Справочник соответствий'!A$2:D$2981,2,FALSE),IF(VALUE(D3168)=0,0,VLOOKUP(D3168,'Справочник соответствий'!A$2:D$2981,2,FALSE)))</f>
        <v>0</v>
      </c>
      <c r="K3168" s="3" t="str">
        <f t="shared" si="343"/>
        <v>1</v>
      </c>
      <c r="L3168" s="13" t="str">
        <f>IFERROR(VLOOKUP(C3168,'Справочник соответствий'!A$2:D$2981,3,FALSE),IF(VALUE(C3168)=0,"ЭТАЖ НЕ ОПРЕДЕЛЕН. ПРИНЯТ ПО ДОПУЩЕНИЮ 1",VLOOKUP(C3168,'Справочник соответствий'!A$2:D$2981,3,FALSE)))</f>
        <v>ЭТАЖ ЗАДАН ЧИСЛОМ</v>
      </c>
      <c r="M3168" s="13" t="b">
        <f t="shared" si="344"/>
        <v>0</v>
      </c>
      <c r="N3168" s="13">
        <f t="shared" si="345"/>
        <v>1</v>
      </c>
      <c r="O3168" s="13" t="str">
        <f t="shared" si="346"/>
        <v>ЭТАЖ ЗАДАН ЧИСЛОМ</v>
      </c>
      <c r="P3168" s="13" t="str">
        <f t="shared" si="347"/>
        <v>ЭТАЖ ЗАДАН ЧИСЛОМ</v>
      </c>
      <c r="Q3168" s="13" t="str">
        <f t="shared" si="348"/>
        <v>ГОТОВ_ИЗМЕНЕН</v>
      </c>
      <c r="R3168" s="13">
        <f>IFERROR(VLOOKUP(P3168,Лист1!A$1:B$20,2,FALSE),0)</f>
        <v>784</v>
      </c>
      <c r="S3168" s="13">
        <f t="shared" si="349"/>
        <v>0</v>
      </c>
    </row>
    <row r="3169" spans="1:19" x14ac:dyDescent="0.25">
      <c r="A3169" s="24" t="s">
        <v>4301</v>
      </c>
      <c r="B3169" s="4" t="s">
        <v>1059</v>
      </c>
      <c r="C3169" s="25" t="s">
        <v>7</v>
      </c>
      <c r="G3169" s="25" t="s">
        <v>1391</v>
      </c>
      <c r="H3169" s="24" t="s">
        <v>1061</v>
      </c>
      <c r="I3169" s="3" t="str">
        <f>IFERROR(VLOOKUP(C3169,'Справочник соответствий'!A$2:D$2981,2,FALSE),IF(VALUE(C3169)=0,1,VLOOKUP(C3169,'Справочник соответствий'!A$2:D$2981,2,FALSE)))</f>
        <v>2</v>
      </c>
      <c r="J3169" s="3">
        <f>IFERROR(VLOOKUP(D3169,'Справочник соответствий'!A$2:D$2981,2,FALSE),IF(VALUE(D3169)=0,0,VLOOKUP(D3169,'Справочник соответствий'!A$2:D$2981,2,FALSE)))</f>
        <v>0</v>
      </c>
      <c r="K3169" s="3" t="str">
        <f t="shared" si="343"/>
        <v>2</v>
      </c>
      <c r="L3169" s="13" t="str">
        <f>IFERROR(VLOOKUP(C3169,'Справочник соответствий'!A$2:D$2981,3,FALSE),IF(VALUE(C3169)=0,"ЭТАЖ НЕ ОПРЕДЕЛЕН. ПРИНЯТ ПО ДОПУЩЕНИЮ 1",VLOOKUP(C3169,'Справочник соответствий'!A$2:D$2981,3,FALSE)))</f>
        <v>ЭТАЖ ЗАДАН ЧИСЛОМ</v>
      </c>
      <c r="M3169" s="13" t="b">
        <f t="shared" si="344"/>
        <v>0</v>
      </c>
      <c r="N3169" s="13">
        <f t="shared" si="345"/>
        <v>2</v>
      </c>
      <c r="O3169" s="13" t="str">
        <f t="shared" si="346"/>
        <v>ЭТАЖ ЗАДАН ЧИСЛОМ</v>
      </c>
      <c r="P3169" s="13" t="str">
        <f t="shared" si="347"/>
        <v>ЭТАЖ ЗАДАН ЧИСЛОМ</v>
      </c>
      <c r="Q3169" s="13" t="str">
        <f t="shared" si="348"/>
        <v>ГОТОВ_ИЗМЕНЕН</v>
      </c>
      <c r="R3169" s="13">
        <f>IFERROR(VLOOKUP(P3169,Лист1!A$1:B$20,2,FALSE),0)</f>
        <v>784</v>
      </c>
      <c r="S3169" s="13">
        <f t="shared" si="349"/>
        <v>0</v>
      </c>
    </row>
    <row r="3170" spans="1:19" x14ac:dyDescent="0.25">
      <c r="A3170" s="24" t="s">
        <v>4302</v>
      </c>
      <c r="B3170" s="4" t="s">
        <v>1059</v>
      </c>
      <c r="C3170" s="25" t="s">
        <v>5</v>
      </c>
      <c r="G3170" s="25" t="s">
        <v>1347</v>
      </c>
      <c r="H3170" s="24" t="s">
        <v>1061</v>
      </c>
      <c r="I3170" s="3" t="str">
        <f>IFERROR(VLOOKUP(C3170,'Справочник соответствий'!A$2:D$2981,2,FALSE),IF(VALUE(C3170)=0,1,VLOOKUP(C3170,'Справочник соответствий'!A$2:D$2981,2,FALSE)))</f>
        <v>1</v>
      </c>
      <c r="J3170" s="3">
        <f>IFERROR(VLOOKUP(D3170,'Справочник соответствий'!A$2:D$2981,2,FALSE),IF(VALUE(D3170)=0,0,VLOOKUP(D3170,'Справочник соответствий'!A$2:D$2981,2,FALSE)))</f>
        <v>0</v>
      </c>
      <c r="K3170" s="3" t="str">
        <f t="shared" si="343"/>
        <v>1</v>
      </c>
      <c r="L3170" s="13" t="str">
        <f>IFERROR(VLOOKUP(C3170,'Справочник соответствий'!A$2:D$2981,3,FALSE),IF(VALUE(C3170)=0,"ЭТАЖ НЕ ОПРЕДЕЛЕН. ПРИНЯТ ПО ДОПУЩЕНИЮ 1",VLOOKUP(C3170,'Справочник соответствий'!A$2:D$2981,3,FALSE)))</f>
        <v>ЭТАЖ ЗАДАН ЧИСЛОМ</v>
      </c>
      <c r="M3170" s="13" t="b">
        <f t="shared" si="344"/>
        <v>0</v>
      </c>
      <c r="N3170" s="13">
        <f t="shared" si="345"/>
        <v>1</v>
      </c>
      <c r="O3170" s="13" t="str">
        <f t="shared" si="346"/>
        <v>ЭТАЖ ЗАДАН ЧИСЛОМ</v>
      </c>
      <c r="P3170" s="13" t="str">
        <f t="shared" si="347"/>
        <v>ЭТАЖ ЗАДАН ЧИСЛОМ</v>
      </c>
      <c r="Q3170" s="13" t="str">
        <f t="shared" si="348"/>
        <v>ГОТОВ_ИЗМЕНЕН</v>
      </c>
      <c r="R3170" s="13">
        <f>IFERROR(VLOOKUP(P3170,Лист1!A$1:B$20,2,FALSE),0)</f>
        <v>784</v>
      </c>
      <c r="S3170" s="13">
        <f t="shared" si="349"/>
        <v>0</v>
      </c>
    </row>
    <row r="3171" spans="1:19" x14ac:dyDescent="0.25">
      <c r="A3171" s="24" t="s">
        <v>4303</v>
      </c>
      <c r="B3171" s="4" t="s">
        <v>1059</v>
      </c>
      <c r="C3171" s="25" t="s">
        <v>7</v>
      </c>
      <c r="D3171" s="25" t="s">
        <v>4304</v>
      </c>
      <c r="G3171" s="25" t="s">
        <v>1347</v>
      </c>
      <c r="H3171" s="24" t="s">
        <v>1061</v>
      </c>
      <c r="I3171" s="3" t="str">
        <f>IFERROR(VLOOKUP(C3171,'Справочник соответствий'!A$2:D$2981,2,FALSE),IF(VALUE(C3171)=0,1,VLOOKUP(C3171,'Справочник соответствий'!A$2:D$2981,2,FALSE)))</f>
        <v>2</v>
      </c>
      <c r="J3171" s="3" t="e">
        <f>IFERROR(VLOOKUP(D3171,'Справочник соответствий'!A$2:D$2981,2,FALSE),IF(VALUE(D3171)=0,0,VLOOKUP(D3171,'Справочник соответствий'!A$2:D$2981,2,FALSE)))</f>
        <v>#VALUE!</v>
      </c>
      <c r="K3171" s="3" t="str">
        <f t="shared" si="343"/>
        <v>2</v>
      </c>
      <c r="L3171" s="13" t="str">
        <f>IFERROR(VLOOKUP(C3171,'Справочник соответствий'!A$2:D$2981,3,FALSE),IF(VALUE(C3171)=0,"ЭТАЖ НЕ ОПРЕДЕЛЕН. ПРИНЯТ ПО ДОПУЩЕНИЮ 1",VLOOKUP(C3171,'Справочник соответствий'!A$2:D$2981,3,FALSE)))</f>
        <v>ЭТАЖ ЗАДАН ЧИСЛОМ</v>
      </c>
      <c r="M3171" s="13" t="b">
        <f t="shared" si="344"/>
        <v>0</v>
      </c>
      <c r="N3171" s="13">
        <f t="shared" si="345"/>
        <v>2</v>
      </c>
      <c r="O3171" s="13" t="str">
        <f t="shared" si="346"/>
        <v>ЭТАЖ ЗАДАН ЧИСЛОМ</v>
      </c>
      <c r="P3171" s="13" t="str">
        <f t="shared" si="347"/>
        <v>ЭТАЖ ЗАДАН ЧИСЛОМ</v>
      </c>
      <c r="Q3171" s="13" t="str">
        <f t="shared" si="348"/>
        <v>ГОТОВ_ИЗМЕНЕН</v>
      </c>
      <c r="R3171" s="13">
        <f>IFERROR(VLOOKUP(P3171,Лист1!A$1:B$20,2,FALSE),0)</f>
        <v>784</v>
      </c>
      <c r="S3171" s="13">
        <f t="shared" si="349"/>
        <v>0</v>
      </c>
    </row>
    <row r="3172" spans="1:19" x14ac:dyDescent="0.25">
      <c r="A3172" s="24" t="s">
        <v>4305</v>
      </c>
      <c r="B3172" s="4" t="s">
        <v>1059</v>
      </c>
      <c r="C3172" s="25" t="s">
        <v>7</v>
      </c>
      <c r="G3172" s="25" t="s">
        <v>1347</v>
      </c>
      <c r="H3172" s="24" t="s">
        <v>1061</v>
      </c>
      <c r="I3172" s="3" t="str">
        <f>IFERROR(VLOOKUP(C3172,'Справочник соответствий'!A$2:D$2981,2,FALSE),IF(VALUE(C3172)=0,1,VLOOKUP(C3172,'Справочник соответствий'!A$2:D$2981,2,FALSE)))</f>
        <v>2</v>
      </c>
      <c r="J3172" s="3">
        <f>IFERROR(VLOOKUP(D3172,'Справочник соответствий'!A$2:D$2981,2,FALSE),IF(VALUE(D3172)=0,0,VLOOKUP(D3172,'Справочник соответствий'!A$2:D$2981,2,FALSE)))</f>
        <v>0</v>
      </c>
      <c r="K3172" s="3" t="str">
        <f t="shared" si="343"/>
        <v>2</v>
      </c>
      <c r="L3172" s="13" t="str">
        <f>IFERROR(VLOOKUP(C3172,'Справочник соответствий'!A$2:D$2981,3,FALSE),IF(VALUE(C3172)=0,"ЭТАЖ НЕ ОПРЕДЕЛЕН. ПРИНЯТ ПО ДОПУЩЕНИЮ 1",VLOOKUP(C3172,'Справочник соответствий'!A$2:D$2981,3,FALSE)))</f>
        <v>ЭТАЖ ЗАДАН ЧИСЛОМ</v>
      </c>
      <c r="M3172" s="13" t="b">
        <f t="shared" si="344"/>
        <v>0</v>
      </c>
      <c r="N3172" s="13">
        <f t="shared" si="345"/>
        <v>2</v>
      </c>
      <c r="O3172" s="13" t="str">
        <f t="shared" si="346"/>
        <v>ЭТАЖ ЗАДАН ЧИСЛОМ</v>
      </c>
      <c r="P3172" s="13" t="str">
        <f t="shared" si="347"/>
        <v>ЭТАЖ ЗАДАН ЧИСЛОМ</v>
      </c>
      <c r="Q3172" s="13" t="str">
        <f t="shared" si="348"/>
        <v>ГОТОВ_ИЗМЕНЕН</v>
      </c>
      <c r="R3172" s="13">
        <f>IFERROR(VLOOKUP(P3172,Лист1!A$1:B$20,2,FALSE),0)</f>
        <v>784</v>
      </c>
      <c r="S3172" s="13">
        <f t="shared" si="349"/>
        <v>0</v>
      </c>
    </row>
    <row r="3173" spans="1:19" x14ac:dyDescent="0.25">
      <c r="A3173" s="24" t="s">
        <v>4306</v>
      </c>
      <c r="B3173" s="4" t="s">
        <v>1063</v>
      </c>
      <c r="C3173" s="25" t="s">
        <v>7</v>
      </c>
      <c r="G3173" s="25" t="s">
        <v>1347</v>
      </c>
      <c r="H3173" s="24" t="s">
        <v>1061</v>
      </c>
      <c r="I3173" s="3" t="str">
        <f>IFERROR(VLOOKUP(C3173,'Справочник соответствий'!A$2:D$2981,2,FALSE),IF(VALUE(C3173)=0,1,VLOOKUP(C3173,'Справочник соответствий'!A$2:D$2981,2,FALSE)))</f>
        <v>2</v>
      </c>
      <c r="J3173" s="3">
        <f>IFERROR(VLOOKUP(D3173,'Справочник соответствий'!A$2:D$2981,2,FALSE),IF(VALUE(D3173)=0,0,VLOOKUP(D3173,'Справочник соответствий'!A$2:D$2981,2,FALSE)))</f>
        <v>0</v>
      </c>
      <c r="K3173" s="3" t="str">
        <f t="shared" si="343"/>
        <v>2</v>
      </c>
      <c r="L3173" s="13" t="str">
        <f>IFERROR(VLOOKUP(C3173,'Справочник соответствий'!A$2:D$2981,3,FALSE),IF(VALUE(C3173)=0,"ЭТАЖ НЕ ОПРЕДЕЛЕН. ПРИНЯТ ПО ДОПУЩЕНИЮ 1",VLOOKUP(C3173,'Справочник соответствий'!A$2:D$2981,3,FALSE)))</f>
        <v>ЭТАЖ ЗАДАН ЧИСЛОМ</v>
      </c>
      <c r="M3173" s="13" t="b">
        <f t="shared" si="344"/>
        <v>0</v>
      </c>
      <c r="N3173" s="13">
        <f t="shared" si="345"/>
        <v>2</v>
      </c>
      <c r="O3173" s="13" t="str">
        <f t="shared" si="346"/>
        <v>ЭТАЖ ЗАДАН ЧИСЛОМ</v>
      </c>
      <c r="P3173" s="13" t="str">
        <f t="shared" si="347"/>
        <v>ЭТАЖ ЗАДАН ЧИСЛОМ</v>
      </c>
      <c r="Q3173" s="13" t="str">
        <f t="shared" si="348"/>
        <v>ГОТОВ_ИЗМЕНЕН</v>
      </c>
      <c r="R3173" s="13">
        <f>IFERROR(VLOOKUP(P3173,Лист1!A$1:B$20,2,FALSE),0)</f>
        <v>784</v>
      </c>
      <c r="S3173" s="13">
        <f t="shared" si="349"/>
        <v>0</v>
      </c>
    </row>
    <row r="3174" spans="1:19" x14ac:dyDescent="0.25">
      <c r="A3174" s="24" t="s">
        <v>4307</v>
      </c>
      <c r="B3174" s="4" t="s">
        <v>1063</v>
      </c>
      <c r="C3174" s="25" t="s">
        <v>5</v>
      </c>
      <c r="G3174" s="25" t="s">
        <v>1347</v>
      </c>
      <c r="H3174" s="24" t="s">
        <v>1061</v>
      </c>
      <c r="I3174" s="3" t="str">
        <f>IFERROR(VLOOKUP(C3174,'Справочник соответствий'!A$2:D$2981,2,FALSE),IF(VALUE(C3174)=0,1,VLOOKUP(C3174,'Справочник соответствий'!A$2:D$2981,2,FALSE)))</f>
        <v>1</v>
      </c>
      <c r="J3174" s="3">
        <f>IFERROR(VLOOKUP(D3174,'Справочник соответствий'!A$2:D$2981,2,FALSE),IF(VALUE(D3174)=0,0,VLOOKUP(D3174,'Справочник соответствий'!A$2:D$2981,2,FALSE)))</f>
        <v>0</v>
      </c>
      <c r="K3174" s="3" t="str">
        <f t="shared" si="343"/>
        <v>1</v>
      </c>
      <c r="L3174" s="13" t="str">
        <f>IFERROR(VLOOKUP(C3174,'Справочник соответствий'!A$2:D$2981,3,FALSE),IF(VALUE(C3174)=0,"ЭТАЖ НЕ ОПРЕДЕЛЕН. ПРИНЯТ ПО ДОПУЩЕНИЮ 1",VLOOKUP(C3174,'Справочник соответствий'!A$2:D$2981,3,FALSE)))</f>
        <v>ЭТАЖ ЗАДАН ЧИСЛОМ</v>
      </c>
      <c r="M3174" s="13" t="b">
        <f t="shared" si="344"/>
        <v>0</v>
      </c>
      <c r="N3174" s="13">
        <f t="shared" si="345"/>
        <v>1</v>
      </c>
      <c r="O3174" s="13" t="str">
        <f t="shared" si="346"/>
        <v>ЭТАЖ ЗАДАН ЧИСЛОМ</v>
      </c>
      <c r="P3174" s="13" t="str">
        <f t="shared" si="347"/>
        <v>ЭТАЖ ЗАДАН ЧИСЛОМ</v>
      </c>
      <c r="Q3174" s="13" t="str">
        <f t="shared" si="348"/>
        <v>ГОТОВ_ИЗМЕНЕН</v>
      </c>
      <c r="R3174" s="13">
        <f>IFERROR(VLOOKUP(P3174,Лист1!A$1:B$20,2,FALSE),0)</f>
        <v>784</v>
      </c>
      <c r="S3174" s="13">
        <f t="shared" si="349"/>
        <v>0</v>
      </c>
    </row>
    <row r="3175" spans="1:19" x14ac:dyDescent="0.25">
      <c r="A3175" s="24" t="s">
        <v>4308</v>
      </c>
      <c r="B3175" s="4" t="s">
        <v>1063</v>
      </c>
      <c r="D3175" s="25" t="s">
        <v>5</v>
      </c>
      <c r="G3175" s="25" t="s">
        <v>1347</v>
      </c>
      <c r="H3175" s="24" t="s">
        <v>1061</v>
      </c>
      <c r="I3175" s="3">
        <f>IFERROR(VLOOKUP(C3175,'Справочник соответствий'!A$2:D$2981,2,FALSE),IF(VALUE(C3175)=0,1,VLOOKUP(C3175,'Справочник соответствий'!A$2:D$2981,2,FALSE)))</f>
        <v>1</v>
      </c>
      <c r="J3175" s="3" t="str">
        <f>IFERROR(VLOOKUP(D3175,'Справочник соответствий'!A$2:D$2981,2,FALSE),IF(VALUE(D3175)=0,0,VLOOKUP(D3175,'Справочник соответствий'!A$2:D$2981,2,FALSE)))</f>
        <v>1</v>
      </c>
      <c r="K3175" s="3">
        <f t="shared" si="343"/>
        <v>1</v>
      </c>
      <c r="L3175" s="13" t="str">
        <f>IFERROR(VLOOKUP(C3175,'Справочник соответствий'!A$2:D$2981,3,FALSE),IF(VALUE(C3175)=0,"ЭТАЖ НЕ ОПРЕДЕЛЕН. ПРИНЯТ ПО ДОПУЩЕНИЮ 1",VLOOKUP(C3175,'Справочник соответствий'!A$2:D$2981,3,FALSE)))</f>
        <v>ЭТАЖ НЕ ОПРЕДЕЛЕН. ПРИНЯТ ПО ДОПУЩЕНИЮ 1</v>
      </c>
      <c r="M3175" s="13" t="b">
        <f t="shared" si="344"/>
        <v>0</v>
      </c>
      <c r="N3175" s="13">
        <f t="shared" si="345"/>
        <v>1</v>
      </c>
      <c r="O3175" s="13" t="str">
        <f t="shared" si="346"/>
        <v>ЭТАЖ НЕ ОПРЕДЕЛЕН. ПРИНЯТ ПО ДОПУЩЕНИЮ 1</v>
      </c>
      <c r="P3175" s="13" t="str">
        <f t="shared" si="347"/>
        <v>ЭТАЖ НЕ ОПРЕДЕЛЕН. ПРИНЯТ ПО ДОПУЩЕНИЮ 1</v>
      </c>
      <c r="Q3175" s="13" t="str">
        <f t="shared" si="348"/>
        <v>ГОТОВ_ИЗМЕНЕН</v>
      </c>
      <c r="R3175" s="13">
        <f>IFERROR(VLOOKUP(P3175,Лист1!A$1:B$20,2,FALSE),0)</f>
        <v>788</v>
      </c>
      <c r="S3175" s="13">
        <f t="shared" si="349"/>
        <v>0</v>
      </c>
    </row>
    <row r="3176" spans="1:19" x14ac:dyDescent="0.25">
      <c r="A3176" s="24" t="s">
        <v>4309</v>
      </c>
      <c r="B3176" s="4" t="s">
        <v>1063</v>
      </c>
      <c r="C3176" s="25" t="s">
        <v>5</v>
      </c>
      <c r="G3176" s="25" t="s">
        <v>1347</v>
      </c>
      <c r="H3176" s="24" t="s">
        <v>1061</v>
      </c>
      <c r="I3176" s="3" t="str">
        <f>IFERROR(VLOOKUP(C3176,'Справочник соответствий'!A$2:D$2981,2,FALSE),IF(VALUE(C3176)=0,1,VLOOKUP(C3176,'Справочник соответствий'!A$2:D$2981,2,FALSE)))</f>
        <v>1</v>
      </c>
      <c r="J3176" s="3">
        <f>IFERROR(VLOOKUP(D3176,'Справочник соответствий'!A$2:D$2981,2,FALSE),IF(VALUE(D3176)=0,0,VLOOKUP(D3176,'Справочник соответствий'!A$2:D$2981,2,FALSE)))</f>
        <v>0</v>
      </c>
      <c r="K3176" s="3" t="str">
        <f t="shared" si="343"/>
        <v>1</v>
      </c>
      <c r="L3176" s="13" t="str">
        <f>IFERROR(VLOOKUP(C3176,'Справочник соответствий'!A$2:D$2981,3,FALSE),IF(VALUE(C3176)=0,"ЭТАЖ НЕ ОПРЕДЕЛЕН. ПРИНЯТ ПО ДОПУЩЕНИЮ 1",VLOOKUP(C3176,'Справочник соответствий'!A$2:D$2981,3,FALSE)))</f>
        <v>ЭТАЖ ЗАДАН ЧИСЛОМ</v>
      </c>
      <c r="M3176" s="13" t="b">
        <f t="shared" si="344"/>
        <v>0</v>
      </c>
      <c r="N3176" s="13">
        <f t="shared" si="345"/>
        <v>1</v>
      </c>
      <c r="O3176" s="13" t="str">
        <f t="shared" si="346"/>
        <v>ЭТАЖ ЗАДАН ЧИСЛОМ</v>
      </c>
      <c r="P3176" s="13" t="str">
        <f t="shared" si="347"/>
        <v>ЭТАЖ ЗАДАН ЧИСЛОМ</v>
      </c>
      <c r="Q3176" s="13" t="str">
        <f t="shared" si="348"/>
        <v>ГОТОВ_ИЗМЕНЕН</v>
      </c>
      <c r="R3176" s="13">
        <f>IFERROR(VLOOKUP(P3176,Лист1!A$1:B$20,2,FALSE),0)</f>
        <v>784</v>
      </c>
      <c r="S3176" s="13">
        <f t="shared" si="349"/>
        <v>0</v>
      </c>
    </row>
    <row r="3177" spans="1:19" x14ac:dyDescent="0.25">
      <c r="A3177" s="24" t="s">
        <v>4310</v>
      </c>
      <c r="B3177" s="4" t="s">
        <v>1063</v>
      </c>
      <c r="C3177" s="25" t="s">
        <v>5</v>
      </c>
      <c r="G3177" s="25" t="s">
        <v>1321</v>
      </c>
      <c r="H3177" s="24" t="s">
        <v>1061</v>
      </c>
      <c r="I3177" s="3" t="str">
        <f>IFERROR(VLOOKUP(C3177,'Справочник соответствий'!A$2:D$2981,2,FALSE),IF(VALUE(C3177)=0,1,VLOOKUP(C3177,'Справочник соответствий'!A$2:D$2981,2,FALSE)))</f>
        <v>1</v>
      </c>
      <c r="J3177" s="3">
        <f>IFERROR(VLOOKUP(D3177,'Справочник соответствий'!A$2:D$2981,2,FALSE),IF(VALUE(D3177)=0,0,VLOOKUP(D3177,'Справочник соответствий'!A$2:D$2981,2,FALSE)))</f>
        <v>0</v>
      </c>
      <c r="K3177" s="3" t="str">
        <f t="shared" si="343"/>
        <v>1</v>
      </c>
      <c r="L3177" s="13" t="str">
        <f>IFERROR(VLOOKUP(C3177,'Справочник соответствий'!A$2:D$2981,3,FALSE),IF(VALUE(C3177)=0,"ЭТАЖ НЕ ОПРЕДЕЛЕН. ПРИНЯТ ПО ДОПУЩЕНИЮ 1",VLOOKUP(C3177,'Справочник соответствий'!A$2:D$2981,3,FALSE)))</f>
        <v>ЭТАЖ ЗАДАН ЧИСЛОМ</v>
      </c>
      <c r="M3177" s="13" t="b">
        <f t="shared" si="344"/>
        <v>0</v>
      </c>
      <c r="N3177" s="13">
        <f t="shared" si="345"/>
        <v>1</v>
      </c>
      <c r="O3177" s="13" t="str">
        <f t="shared" si="346"/>
        <v>ЭТАЖ ЗАДАН ЧИСЛОМ</v>
      </c>
      <c r="P3177" s="13" t="str">
        <f t="shared" si="347"/>
        <v>ЭТАЖ ЗАДАН ЧИСЛОМ</v>
      </c>
      <c r="Q3177" s="13" t="str">
        <f t="shared" si="348"/>
        <v>ГОТОВ_ИЗМЕНЕН</v>
      </c>
      <c r="R3177" s="13">
        <f>IFERROR(VLOOKUP(P3177,Лист1!A$1:B$20,2,FALSE),0)</f>
        <v>784</v>
      </c>
      <c r="S3177" s="13">
        <f t="shared" si="349"/>
        <v>0</v>
      </c>
    </row>
    <row r="3178" spans="1:19" x14ac:dyDescent="0.25">
      <c r="A3178" s="24" t="s">
        <v>4311</v>
      </c>
      <c r="B3178" s="4" t="s">
        <v>1059</v>
      </c>
      <c r="C3178" s="25" t="s">
        <v>7</v>
      </c>
      <c r="G3178" s="25" t="s">
        <v>1321</v>
      </c>
      <c r="H3178" s="24" t="s">
        <v>1061</v>
      </c>
      <c r="I3178" s="3" t="str">
        <f>IFERROR(VLOOKUP(C3178,'Справочник соответствий'!A$2:D$2981,2,FALSE),IF(VALUE(C3178)=0,1,VLOOKUP(C3178,'Справочник соответствий'!A$2:D$2981,2,FALSE)))</f>
        <v>2</v>
      </c>
      <c r="J3178" s="3">
        <f>IFERROR(VLOOKUP(D3178,'Справочник соответствий'!A$2:D$2981,2,FALSE),IF(VALUE(D3178)=0,0,VLOOKUP(D3178,'Справочник соответствий'!A$2:D$2981,2,FALSE)))</f>
        <v>0</v>
      </c>
      <c r="K3178" s="3" t="str">
        <f t="shared" si="343"/>
        <v>2</v>
      </c>
      <c r="L3178" s="13" t="str">
        <f>IFERROR(VLOOKUP(C3178,'Справочник соответствий'!A$2:D$2981,3,FALSE),IF(VALUE(C3178)=0,"ЭТАЖ НЕ ОПРЕДЕЛЕН. ПРИНЯТ ПО ДОПУЩЕНИЮ 1",VLOOKUP(C3178,'Справочник соответствий'!A$2:D$2981,3,FALSE)))</f>
        <v>ЭТАЖ ЗАДАН ЧИСЛОМ</v>
      </c>
      <c r="M3178" s="13" t="b">
        <f t="shared" si="344"/>
        <v>0</v>
      </c>
      <c r="N3178" s="13">
        <f t="shared" si="345"/>
        <v>2</v>
      </c>
      <c r="O3178" s="13" t="str">
        <f t="shared" si="346"/>
        <v>ЭТАЖ ЗАДАН ЧИСЛОМ</v>
      </c>
      <c r="P3178" s="13" t="str">
        <f t="shared" si="347"/>
        <v>ЭТАЖ ЗАДАН ЧИСЛОМ</v>
      </c>
      <c r="Q3178" s="13" t="str">
        <f t="shared" si="348"/>
        <v>ГОТОВ_ИЗМЕНЕН</v>
      </c>
      <c r="R3178" s="13">
        <f>IFERROR(VLOOKUP(P3178,Лист1!A$1:B$20,2,FALSE),0)</f>
        <v>784</v>
      </c>
      <c r="S3178" s="13">
        <f t="shared" si="349"/>
        <v>0</v>
      </c>
    </row>
    <row r="3179" spans="1:19" x14ac:dyDescent="0.25">
      <c r="A3179" s="24" t="s">
        <v>4312</v>
      </c>
      <c r="B3179" s="4" t="s">
        <v>1063</v>
      </c>
      <c r="C3179" s="25" t="s">
        <v>7</v>
      </c>
      <c r="G3179" s="25" t="s">
        <v>1321</v>
      </c>
      <c r="H3179" s="24" t="s">
        <v>1061</v>
      </c>
      <c r="I3179" s="3" t="str">
        <f>IFERROR(VLOOKUP(C3179,'Справочник соответствий'!A$2:D$2981,2,FALSE),IF(VALUE(C3179)=0,1,VLOOKUP(C3179,'Справочник соответствий'!A$2:D$2981,2,FALSE)))</f>
        <v>2</v>
      </c>
      <c r="J3179" s="3">
        <f>IFERROR(VLOOKUP(D3179,'Справочник соответствий'!A$2:D$2981,2,FALSE),IF(VALUE(D3179)=0,0,VLOOKUP(D3179,'Справочник соответствий'!A$2:D$2981,2,FALSE)))</f>
        <v>0</v>
      </c>
      <c r="K3179" s="3" t="str">
        <f t="shared" si="343"/>
        <v>2</v>
      </c>
      <c r="L3179" s="13" t="str">
        <f>IFERROR(VLOOKUP(C3179,'Справочник соответствий'!A$2:D$2981,3,FALSE),IF(VALUE(C3179)=0,"ЭТАЖ НЕ ОПРЕДЕЛЕН. ПРИНЯТ ПО ДОПУЩЕНИЮ 1",VLOOKUP(C3179,'Справочник соответствий'!A$2:D$2981,3,FALSE)))</f>
        <v>ЭТАЖ ЗАДАН ЧИСЛОМ</v>
      </c>
      <c r="M3179" s="13" t="b">
        <f t="shared" si="344"/>
        <v>0</v>
      </c>
      <c r="N3179" s="13">
        <f t="shared" si="345"/>
        <v>2</v>
      </c>
      <c r="O3179" s="13" t="str">
        <f t="shared" si="346"/>
        <v>ЭТАЖ ЗАДАН ЧИСЛОМ</v>
      </c>
      <c r="P3179" s="13" t="str">
        <f t="shared" si="347"/>
        <v>ЭТАЖ ЗАДАН ЧИСЛОМ</v>
      </c>
      <c r="Q3179" s="13" t="str">
        <f t="shared" si="348"/>
        <v>ГОТОВ_ИЗМЕНЕН</v>
      </c>
      <c r="R3179" s="13">
        <f>IFERROR(VLOOKUP(P3179,Лист1!A$1:B$20,2,FALSE),0)</f>
        <v>784</v>
      </c>
      <c r="S3179" s="13">
        <f t="shared" si="349"/>
        <v>0</v>
      </c>
    </row>
    <row r="3180" spans="1:19" x14ac:dyDescent="0.25">
      <c r="A3180" s="24" t="s">
        <v>4313</v>
      </c>
      <c r="B3180" s="4" t="s">
        <v>1063</v>
      </c>
      <c r="G3180" s="25" t="s">
        <v>1321</v>
      </c>
      <c r="H3180" s="24" t="s">
        <v>1061</v>
      </c>
      <c r="I3180" s="3">
        <f>IFERROR(VLOOKUP(C3180,'Справочник соответствий'!A$2:D$2981,2,FALSE),IF(VALUE(C3180)=0,1,VLOOKUP(C3180,'Справочник соответствий'!A$2:D$2981,2,FALSE)))</f>
        <v>1</v>
      </c>
      <c r="J3180" s="3">
        <f>IFERROR(VLOOKUP(D3180,'Справочник соответствий'!A$2:D$2981,2,FALSE),IF(VALUE(D3180)=0,0,VLOOKUP(D3180,'Справочник соответствий'!A$2:D$2981,2,FALSE)))</f>
        <v>0</v>
      </c>
      <c r="K3180" s="3">
        <f t="shared" si="343"/>
        <v>1</v>
      </c>
      <c r="L3180" s="13" t="str">
        <f>IFERROR(VLOOKUP(C3180,'Справочник соответствий'!A$2:D$2981,3,FALSE),IF(VALUE(C3180)=0,"ЭТАЖ НЕ ОПРЕДЕЛЕН. ПРИНЯТ ПО ДОПУЩЕНИЮ 1",VLOOKUP(C3180,'Справочник соответствий'!A$2:D$2981,3,FALSE)))</f>
        <v>ЭТАЖ НЕ ОПРЕДЕЛЕН. ПРИНЯТ ПО ДОПУЩЕНИЮ 1</v>
      </c>
      <c r="M3180" s="13" t="b">
        <f t="shared" si="344"/>
        <v>0</v>
      </c>
      <c r="N3180" s="13">
        <f t="shared" si="345"/>
        <v>1</v>
      </c>
      <c r="O3180" s="13" t="str">
        <f t="shared" si="346"/>
        <v>ЭТАЖ НЕ ОПРЕДЕЛЕН. ПРИНЯТ ПО ДОПУЩЕНИЮ 1</v>
      </c>
      <c r="P3180" s="13" t="str">
        <f t="shared" si="347"/>
        <v>ЭТАЖ НЕ ОПРЕДЕЛЕН. ПРИНЯТ ПО ДОПУЩЕНИЮ 1</v>
      </c>
      <c r="Q3180" s="13" t="str">
        <f t="shared" si="348"/>
        <v>ГОТОВ_ИЗМЕНЕН</v>
      </c>
      <c r="R3180" s="13">
        <f>IFERROR(VLOOKUP(P3180,Лист1!A$1:B$20,2,FALSE),0)</f>
        <v>788</v>
      </c>
      <c r="S3180" s="13">
        <f t="shared" si="349"/>
        <v>0</v>
      </c>
    </row>
    <row r="3181" spans="1:19" x14ac:dyDescent="0.25">
      <c r="A3181" s="24" t="s">
        <v>4314</v>
      </c>
      <c r="B3181" s="4" t="s">
        <v>1063</v>
      </c>
      <c r="C3181" s="25" t="s">
        <v>5</v>
      </c>
      <c r="G3181" s="25" t="s">
        <v>1321</v>
      </c>
      <c r="H3181" s="24" t="s">
        <v>1061</v>
      </c>
      <c r="I3181" s="3" t="str">
        <f>IFERROR(VLOOKUP(C3181,'Справочник соответствий'!A$2:D$2981,2,FALSE),IF(VALUE(C3181)=0,1,VLOOKUP(C3181,'Справочник соответствий'!A$2:D$2981,2,FALSE)))</f>
        <v>1</v>
      </c>
      <c r="J3181" s="3">
        <f>IFERROR(VLOOKUP(D3181,'Справочник соответствий'!A$2:D$2981,2,FALSE),IF(VALUE(D3181)=0,0,VLOOKUP(D3181,'Справочник соответствий'!A$2:D$2981,2,FALSE)))</f>
        <v>0</v>
      </c>
      <c r="K3181" s="3" t="str">
        <f t="shared" si="343"/>
        <v>1</v>
      </c>
      <c r="L3181" s="13" t="str">
        <f>IFERROR(VLOOKUP(C3181,'Справочник соответствий'!A$2:D$2981,3,FALSE),IF(VALUE(C3181)=0,"ЭТАЖ НЕ ОПРЕДЕЛЕН. ПРИНЯТ ПО ДОПУЩЕНИЮ 1",VLOOKUP(C3181,'Справочник соответствий'!A$2:D$2981,3,FALSE)))</f>
        <v>ЭТАЖ ЗАДАН ЧИСЛОМ</v>
      </c>
      <c r="M3181" s="13" t="b">
        <f t="shared" si="344"/>
        <v>0</v>
      </c>
      <c r="N3181" s="13">
        <f t="shared" si="345"/>
        <v>1</v>
      </c>
      <c r="O3181" s="13" t="str">
        <f t="shared" si="346"/>
        <v>ЭТАЖ ЗАДАН ЧИСЛОМ</v>
      </c>
      <c r="P3181" s="13" t="str">
        <f t="shared" si="347"/>
        <v>ЭТАЖ ЗАДАН ЧИСЛОМ</v>
      </c>
      <c r="Q3181" s="13" t="str">
        <f t="shared" si="348"/>
        <v>ГОТОВ_ИЗМЕНЕН</v>
      </c>
      <c r="R3181" s="13">
        <f>IFERROR(VLOOKUP(P3181,Лист1!A$1:B$20,2,FALSE),0)</f>
        <v>784</v>
      </c>
      <c r="S3181" s="13">
        <f t="shared" si="349"/>
        <v>0</v>
      </c>
    </row>
    <row r="3182" spans="1:19" x14ac:dyDescent="0.25">
      <c r="A3182" s="24" t="s">
        <v>4315</v>
      </c>
      <c r="B3182" s="4" t="s">
        <v>1059</v>
      </c>
      <c r="C3182" s="25" t="s">
        <v>7</v>
      </c>
      <c r="G3182" s="25" t="s">
        <v>2763</v>
      </c>
      <c r="H3182" s="24" t="s">
        <v>1061</v>
      </c>
      <c r="I3182" s="3" t="str">
        <f>IFERROR(VLOOKUP(C3182,'Справочник соответствий'!A$2:D$2981,2,FALSE),IF(VALUE(C3182)=0,1,VLOOKUP(C3182,'Справочник соответствий'!A$2:D$2981,2,FALSE)))</f>
        <v>2</v>
      </c>
      <c r="J3182" s="3">
        <f>IFERROR(VLOOKUP(D3182,'Справочник соответствий'!A$2:D$2981,2,FALSE),IF(VALUE(D3182)=0,0,VLOOKUP(D3182,'Справочник соответствий'!A$2:D$2981,2,FALSE)))</f>
        <v>0</v>
      </c>
      <c r="K3182" s="3" t="str">
        <f t="shared" si="343"/>
        <v>2</v>
      </c>
      <c r="L3182" s="13" t="str">
        <f>IFERROR(VLOOKUP(C3182,'Справочник соответствий'!A$2:D$2981,3,FALSE),IF(VALUE(C3182)=0,"ЭТАЖ НЕ ОПРЕДЕЛЕН. ПРИНЯТ ПО ДОПУЩЕНИЮ 1",VLOOKUP(C3182,'Справочник соответствий'!A$2:D$2981,3,FALSE)))</f>
        <v>ЭТАЖ ЗАДАН ЧИСЛОМ</v>
      </c>
      <c r="M3182" s="13" t="b">
        <f t="shared" si="344"/>
        <v>0</v>
      </c>
      <c r="N3182" s="13">
        <f t="shared" si="345"/>
        <v>2</v>
      </c>
      <c r="O3182" s="13" t="str">
        <f t="shared" si="346"/>
        <v>ЭТАЖ ЗАДАН ЧИСЛОМ</v>
      </c>
      <c r="P3182" s="13" t="str">
        <f t="shared" si="347"/>
        <v>ЭТАЖ ЗАДАН ЧИСЛОМ</v>
      </c>
      <c r="Q3182" s="13" t="str">
        <f t="shared" si="348"/>
        <v>ГОТОВ_ИЗМЕНЕН</v>
      </c>
      <c r="R3182" s="13">
        <f>IFERROR(VLOOKUP(P3182,Лист1!A$1:B$20,2,FALSE),0)</f>
        <v>784</v>
      </c>
      <c r="S3182" s="13">
        <f t="shared" si="349"/>
        <v>0</v>
      </c>
    </row>
    <row r="3183" spans="1:19" x14ac:dyDescent="0.25">
      <c r="A3183" s="24" t="s">
        <v>4316</v>
      </c>
      <c r="B3183" s="4" t="s">
        <v>1059</v>
      </c>
      <c r="C3183" s="25" t="s">
        <v>5</v>
      </c>
      <c r="G3183" s="25" t="s">
        <v>2763</v>
      </c>
      <c r="H3183" s="24" t="s">
        <v>1061</v>
      </c>
      <c r="I3183" s="3" t="str">
        <f>IFERROR(VLOOKUP(C3183,'Справочник соответствий'!A$2:D$2981,2,FALSE),IF(VALUE(C3183)=0,1,VLOOKUP(C3183,'Справочник соответствий'!A$2:D$2981,2,FALSE)))</f>
        <v>1</v>
      </c>
      <c r="J3183" s="3">
        <f>IFERROR(VLOOKUP(D3183,'Справочник соответствий'!A$2:D$2981,2,FALSE),IF(VALUE(D3183)=0,0,VLOOKUP(D3183,'Справочник соответствий'!A$2:D$2981,2,FALSE)))</f>
        <v>0</v>
      </c>
      <c r="K3183" s="3" t="str">
        <f t="shared" si="343"/>
        <v>1</v>
      </c>
      <c r="L3183" s="13" t="str">
        <f>IFERROR(VLOOKUP(C3183,'Справочник соответствий'!A$2:D$2981,3,FALSE),IF(VALUE(C3183)=0,"ЭТАЖ НЕ ОПРЕДЕЛЕН. ПРИНЯТ ПО ДОПУЩЕНИЮ 1",VLOOKUP(C3183,'Справочник соответствий'!A$2:D$2981,3,FALSE)))</f>
        <v>ЭТАЖ ЗАДАН ЧИСЛОМ</v>
      </c>
      <c r="M3183" s="13" t="b">
        <f t="shared" si="344"/>
        <v>0</v>
      </c>
      <c r="N3183" s="13">
        <f t="shared" si="345"/>
        <v>1</v>
      </c>
      <c r="O3183" s="13" t="str">
        <f t="shared" si="346"/>
        <v>ЭТАЖ ЗАДАН ЧИСЛОМ</v>
      </c>
      <c r="P3183" s="13" t="str">
        <f t="shared" si="347"/>
        <v>ЭТАЖ ЗАДАН ЧИСЛОМ</v>
      </c>
      <c r="Q3183" s="13" t="str">
        <f t="shared" si="348"/>
        <v>ГОТОВ_ИЗМЕНЕН</v>
      </c>
      <c r="R3183" s="13">
        <f>IFERROR(VLOOKUP(P3183,Лист1!A$1:B$20,2,FALSE),0)</f>
        <v>784</v>
      </c>
      <c r="S3183" s="13">
        <f t="shared" si="349"/>
        <v>0</v>
      </c>
    </row>
    <row r="3184" spans="1:19" x14ac:dyDescent="0.25">
      <c r="A3184" s="24" t="s">
        <v>4317</v>
      </c>
      <c r="B3184" s="4" t="s">
        <v>1059</v>
      </c>
      <c r="C3184" s="25" t="s">
        <v>7</v>
      </c>
      <c r="E3184" s="3">
        <v>1</v>
      </c>
      <c r="F3184" s="24" t="s">
        <v>1045</v>
      </c>
      <c r="G3184" s="25" t="s">
        <v>1083</v>
      </c>
      <c r="H3184" s="24" t="s">
        <v>1061</v>
      </c>
      <c r="I3184" s="3" t="str">
        <f>IFERROR(VLOOKUP(C3184,'Справочник соответствий'!A$2:D$2981,2,FALSE),IF(VALUE(C3184)=0,1,VLOOKUP(C3184,'Справочник соответствий'!A$2:D$2981,2,FALSE)))</f>
        <v>2</v>
      </c>
      <c r="J3184" s="3">
        <f>IFERROR(VLOOKUP(D3184,'Справочник соответствий'!A$2:D$2981,2,FALSE),IF(VALUE(D3184)=0,0,VLOOKUP(D3184,'Справочник соответствий'!A$2:D$2981,2,FALSE)))</f>
        <v>0</v>
      </c>
      <c r="K3184" s="3" t="str">
        <f t="shared" si="343"/>
        <v>2</v>
      </c>
      <c r="L3184" s="13" t="str">
        <f>IFERROR(VLOOKUP(C3184,'Справочник соответствий'!A$2:D$2981,3,FALSE),IF(VALUE(C3184)=0,"ЭТАЖ НЕ ОПРЕДЕЛЕН. ПРИНЯТ ПО ДОПУЩЕНИЮ 1",VLOOKUP(C3184,'Справочник соответствий'!A$2:D$2981,3,FALSE)))</f>
        <v>ЭТАЖ ЗАДАН ЧИСЛОМ</v>
      </c>
      <c r="M3184" s="13" t="b">
        <f t="shared" si="344"/>
        <v>0</v>
      </c>
      <c r="N3184" s="13">
        <f t="shared" si="345"/>
        <v>2</v>
      </c>
      <c r="O3184" s="13" t="str">
        <f t="shared" si="346"/>
        <v>ЭТАЖ ЗАДАН ЧИСЛОМ</v>
      </c>
      <c r="P3184" s="13" t="str">
        <f t="shared" si="347"/>
        <v>ЭТАЖ ЗАДАН ЧИСЛОМ</v>
      </c>
      <c r="Q3184" s="13" t="str">
        <f t="shared" si="348"/>
        <v>ГОТОВ_ИЗМЕНЕН</v>
      </c>
      <c r="R3184" s="13">
        <f>IFERROR(VLOOKUP(P3184,Лист1!A$1:B$20,2,FALSE),0)</f>
        <v>784</v>
      </c>
      <c r="S3184" s="13">
        <f t="shared" si="349"/>
        <v>1</v>
      </c>
    </row>
    <row r="3185" spans="1:19" x14ac:dyDescent="0.25">
      <c r="A3185" s="24" t="s">
        <v>4318</v>
      </c>
      <c r="B3185" s="4" t="s">
        <v>1031</v>
      </c>
      <c r="C3185" s="25" t="s">
        <v>5</v>
      </c>
      <c r="E3185" s="3">
        <v>1</v>
      </c>
      <c r="F3185" s="24" t="s">
        <v>1045</v>
      </c>
      <c r="G3185" s="25" t="s">
        <v>1089</v>
      </c>
      <c r="H3185" s="24" t="s">
        <v>1061</v>
      </c>
      <c r="I3185" s="3" t="str">
        <f>IFERROR(VLOOKUP(C3185,'Справочник соответствий'!A$2:D$2981,2,FALSE),IF(VALUE(C3185)=0,1,VLOOKUP(C3185,'Справочник соответствий'!A$2:D$2981,2,FALSE)))</f>
        <v>1</v>
      </c>
      <c r="J3185" s="3">
        <f>IFERROR(VLOOKUP(D3185,'Справочник соответствий'!A$2:D$2981,2,FALSE),IF(VALUE(D3185)=0,0,VLOOKUP(D3185,'Справочник соответствий'!A$2:D$2981,2,FALSE)))</f>
        <v>0</v>
      </c>
      <c r="K3185" s="3">
        <f t="shared" si="343"/>
        <v>1</v>
      </c>
      <c r="L3185" s="13" t="str">
        <f>IFERROR(VLOOKUP(C3185,'Справочник соответствий'!A$2:D$2981,3,FALSE),IF(VALUE(C3185)=0,"ЭТАЖ НЕ ОПРЕДЕЛЕН. ПРИНЯТ ПО ДОПУЩЕНИЮ 1",VLOOKUP(C3185,'Справочник соответствий'!A$2:D$2981,3,FALSE)))</f>
        <v>ЭТАЖ ЗАДАН ЧИСЛОМ</v>
      </c>
      <c r="M3185" s="13" t="b">
        <f t="shared" si="344"/>
        <v>0</v>
      </c>
      <c r="N3185" s="13">
        <f t="shared" si="345"/>
        <v>1</v>
      </c>
      <c r="O3185" s="13" t="str">
        <f t="shared" si="346"/>
        <v>ЭТАЖ ЗАДАН ЧИСЛОМ</v>
      </c>
      <c r="P3185" s="13" t="str">
        <f t="shared" si="347"/>
        <v>МКД_ЭТАЖ ЗАДАН ЧИСЛОМ</v>
      </c>
      <c r="Q3185" s="13" t="str">
        <f t="shared" si="348"/>
        <v>ГОТОВ</v>
      </c>
      <c r="R3185" s="13">
        <f>IFERROR(VLOOKUP(P3185,Лист1!A$1:B$20,2,FALSE),0)</f>
        <v>786</v>
      </c>
      <c r="S3185" s="13">
        <f t="shared" si="349"/>
        <v>1</v>
      </c>
    </row>
    <row r="3186" spans="1:19" x14ac:dyDescent="0.25">
      <c r="A3186" s="24" t="s">
        <v>4319</v>
      </c>
      <c r="B3186" s="4" t="s">
        <v>1063</v>
      </c>
      <c r="C3186" s="25" t="s">
        <v>7</v>
      </c>
      <c r="D3186" s="25" t="s">
        <v>5</v>
      </c>
      <c r="E3186" s="3">
        <v>2</v>
      </c>
      <c r="F3186" s="24" t="s">
        <v>1304</v>
      </c>
      <c r="G3186" s="25" t="s">
        <v>1069</v>
      </c>
      <c r="H3186" s="24" t="s">
        <v>1061</v>
      </c>
      <c r="I3186" s="3" t="str">
        <f>IFERROR(VLOOKUP(C3186,'Справочник соответствий'!A$2:D$2981,2,FALSE),IF(VALUE(C3186)=0,1,VLOOKUP(C3186,'Справочник соответствий'!A$2:D$2981,2,FALSE)))</f>
        <v>2</v>
      </c>
      <c r="J3186" s="3" t="str">
        <f>IFERROR(VLOOKUP(D3186,'Справочник соответствий'!A$2:D$2981,2,FALSE),IF(VALUE(D3186)=0,0,VLOOKUP(D3186,'Справочник соответствий'!A$2:D$2981,2,FALSE)))</f>
        <v>1</v>
      </c>
      <c r="K3186" s="3" t="str">
        <f t="shared" si="343"/>
        <v>2</v>
      </c>
      <c r="L3186" s="13" t="str">
        <f>IFERROR(VLOOKUP(C3186,'Справочник соответствий'!A$2:D$2981,3,FALSE),IF(VALUE(C3186)=0,"ЭТАЖ НЕ ОПРЕДЕЛЕН. ПРИНЯТ ПО ДОПУЩЕНИЮ 1",VLOOKUP(C3186,'Справочник соответствий'!A$2:D$2981,3,FALSE)))</f>
        <v>ЭТАЖ ЗАДАН ЧИСЛОМ</v>
      </c>
      <c r="M3186" s="13" t="b">
        <f t="shared" si="344"/>
        <v>0</v>
      </c>
      <c r="N3186" s="13">
        <f t="shared" si="345"/>
        <v>2</v>
      </c>
      <c r="O3186" s="13" t="str">
        <f t="shared" si="346"/>
        <v>ЭТАЖ ЗАДАН ЧИСЛОМ</v>
      </c>
      <c r="P3186" s="13" t="str">
        <f t="shared" si="347"/>
        <v>ЭТАЖ ЗАДАН ЧИСЛОМ</v>
      </c>
      <c r="Q3186" s="13" t="str">
        <f t="shared" si="348"/>
        <v>ГОТОВ</v>
      </c>
      <c r="R3186" s="13">
        <f>IFERROR(VLOOKUP(P3186,Лист1!A$1:B$20,2,FALSE),0)</f>
        <v>784</v>
      </c>
      <c r="S3186" s="13">
        <f t="shared" si="349"/>
        <v>2</v>
      </c>
    </row>
    <row r="3187" spans="1:19" x14ac:dyDescent="0.25">
      <c r="A3187" s="24" t="s">
        <v>4320</v>
      </c>
      <c r="B3187" s="4" t="s">
        <v>1063</v>
      </c>
      <c r="C3187" s="25" t="s">
        <v>5</v>
      </c>
      <c r="D3187" s="25" t="s">
        <v>24</v>
      </c>
      <c r="E3187" s="3">
        <v>1</v>
      </c>
      <c r="F3187" s="24" t="s">
        <v>1304</v>
      </c>
      <c r="G3187" s="25" t="s">
        <v>1193</v>
      </c>
      <c r="H3187" s="24" t="s">
        <v>1061</v>
      </c>
      <c r="I3187" s="3" t="str">
        <f>IFERROR(VLOOKUP(C3187,'Справочник соответствий'!A$2:D$2981,2,FALSE),IF(VALUE(C3187)=0,1,VLOOKUP(C3187,'Справочник соответствий'!A$2:D$2981,2,FALSE)))</f>
        <v>1</v>
      </c>
      <c r="J3187" s="3" t="str">
        <f>IFERROR(VLOOKUP(D3187,'Справочник соответствий'!A$2:D$2981,2,FALSE),IF(VALUE(D3187)=0,0,VLOOKUP(D3187,'Справочник соответствий'!A$2:D$2981,2,FALSE)))</f>
        <v>1</v>
      </c>
      <c r="K3187" s="3" t="str">
        <f t="shared" si="343"/>
        <v>1</v>
      </c>
      <c r="L3187" s="13" t="str">
        <f>IFERROR(VLOOKUP(C3187,'Справочник соответствий'!A$2:D$2981,3,FALSE),IF(VALUE(C3187)=0,"ЭТАЖ НЕ ОПРЕДЕЛЕН. ПРИНЯТ ПО ДОПУЩЕНИЮ 1",VLOOKUP(C3187,'Справочник соответствий'!A$2:D$2981,3,FALSE)))</f>
        <v>ЭТАЖ ЗАДАН ЧИСЛОМ</v>
      </c>
      <c r="M3187" s="13" t="b">
        <f t="shared" si="344"/>
        <v>0</v>
      </c>
      <c r="N3187" s="13">
        <f t="shared" si="345"/>
        <v>1</v>
      </c>
      <c r="O3187" s="13" t="str">
        <f t="shared" si="346"/>
        <v>ЭТАЖ ЗАДАН ЧИСЛОМ</v>
      </c>
      <c r="P3187" s="13" t="str">
        <f t="shared" si="347"/>
        <v>ЭТАЖ ЗАДАН ЧИСЛОМ</v>
      </c>
      <c r="Q3187" s="13" t="str">
        <f t="shared" si="348"/>
        <v>ГОТОВ</v>
      </c>
      <c r="R3187" s="13">
        <f>IFERROR(VLOOKUP(P3187,Лист1!A$1:B$20,2,FALSE),0)</f>
        <v>784</v>
      </c>
      <c r="S3187" s="13">
        <f t="shared" si="349"/>
        <v>1</v>
      </c>
    </row>
    <row r="3188" spans="1:19" x14ac:dyDescent="0.25">
      <c r="A3188" s="24" t="s">
        <v>4321</v>
      </c>
      <c r="B3188" s="4" t="s">
        <v>1059</v>
      </c>
      <c r="C3188" s="25" t="s">
        <v>5</v>
      </c>
      <c r="E3188" s="3">
        <v>1</v>
      </c>
      <c r="F3188" s="24" t="s">
        <v>1045</v>
      </c>
      <c r="G3188" s="25" t="s">
        <v>1080</v>
      </c>
      <c r="H3188" s="24" t="s">
        <v>1061</v>
      </c>
      <c r="I3188" s="3" t="str">
        <f>IFERROR(VLOOKUP(C3188,'Справочник соответствий'!A$2:D$2981,2,FALSE),IF(VALUE(C3188)=0,1,VLOOKUP(C3188,'Справочник соответствий'!A$2:D$2981,2,FALSE)))</f>
        <v>1</v>
      </c>
      <c r="J3188" s="3">
        <f>IFERROR(VLOOKUP(D3188,'Справочник соответствий'!A$2:D$2981,2,FALSE),IF(VALUE(D3188)=0,0,VLOOKUP(D3188,'Справочник соответствий'!A$2:D$2981,2,FALSE)))</f>
        <v>0</v>
      </c>
      <c r="K3188" s="3" t="str">
        <f t="shared" si="343"/>
        <v>1</v>
      </c>
      <c r="L3188" s="13" t="str">
        <f>IFERROR(VLOOKUP(C3188,'Справочник соответствий'!A$2:D$2981,3,FALSE),IF(VALUE(C3188)=0,"ЭТАЖ НЕ ОПРЕДЕЛЕН. ПРИНЯТ ПО ДОПУЩЕНИЮ 1",VLOOKUP(C3188,'Справочник соответствий'!A$2:D$2981,3,FALSE)))</f>
        <v>ЭТАЖ ЗАДАН ЧИСЛОМ</v>
      </c>
      <c r="M3188" s="13" t="b">
        <f t="shared" si="344"/>
        <v>0</v>
      </c>
      <c r="N3188" s="13">
        <f t="shared" si="345"/>
        <v>1</v>
      </c>
      <c r="O3188" s="13" t="str">
        <f t="shared" si="346"/>
        <v>ЭТАЖ ЗАДАН ЧИСЛОМ</v>
      </c>
      <c r="P3188" s="13" t="str">
        <f t="shared" si="347"/>
        <v>ЭТАЖ ЗАДАН ЧИСЛОМ</v>
      </c>
      <c r="Q3188" s="13" t="str">
        <f t="shared" si="348"/>
        <v>ГОТОВ</v>
      </c>
      <c r="R3188" s="13">
        <f>IFERROR(VLOOKUP(P3188,Лист1!A$1:B$20,2,FALSE),0)</f>
        <v>784</v>
      </c>
      <c r="S3188" s="13">
        <f t="shared" si="349"/>
        <v>1</v>
      </c>
    </row>
    <row r="3189" spans="1:19" x14ac:dyDescent="0.25">
      <c r="A3189" s="24" t="s">
        <v>4322</v>
      </c>
      <c r="B3189" s="4" t="s">
        <v>1059</v>
      </c>
      <c r="C3189" s="25" t="s">
        <v>5</v>
      </c>
      <c r="G3189" s="25" t="s">
        <v>1077</v>
      </c>
      <c r="H3189" s="24" t="s">
        <v>1061</v>
      </c>
      <c r="I3189" s="3" t="str">
        <f>IFERROR(VLOOKUP(C3189,'Справочник соответствий'!A$2:D$2981,2,FALSE),IF(VALUE(C3189)=0,1,VLOOKUP(C3189,'Справочник соответствий'!A$2:D$2981,2,FALSE)))</f>
        <v>1</v>
      </c>
      <c r="J3189" s="3">
        <f>IFERROR(VLOOKUP(D3189,'Справочник соответствий'!A$2:D$2981,2,FALSE),IF(VALUE(D3189)=0,0,VLOOKUP(D3189,'Справочник соответствий'!A$2:D$2981,2,FALSE)))</f>
        <v>0</v>
      </c>
      <c r="K3189" s="3" t="str">
        <f t="shared" si="343"/>
        <v>1</v>
      </c>
      <c r="L3189" s="13" t="str">
        <f>IFERROR(VLOOKUP(C3189,'Справочник соответствий'!A$2:D$2981,3,FALSE),IF(VALUE(C3189)=0,"ЭТАЖ НЕ ОПРЕДЕЛЕН. ПРИНЯТ ПО ДОПУЩЕНИЮ 1",VLOOKUP(C3189,'Справочник соответствий'!A$2:D$2981,3,FALSE)))</f>
        <v>ЭТАЖ ЗАДАН ЧИСЛОМ</v>
      </c>
      <c r="M3189" s="13" t="b">
        <f t="shared" si="344"/>
        <v>0</v>
      </c>
      <c r="N3189" s="13">
        <f t="shared" si="345"/>
        <v>1</v>
      </c>
      <c r="O3189" s="13" t="str">
        <f t="shared" si="346"/>
        <v>ЭТАЖ ЗАДАН ЧИСЛОМ</v>
      </c>
      <c r="P3189" s="13" t="str">
        <f t="shared" si="347"/>
        <v>ЭТАЖ ЗАДАН ЧИСЛОМ</v>
      </c>
      <c r="Q3189" s="13" t="str">
        <f t="shared" si="348"/>
        <v>ГОТОВ_ИЗМЕНЕН</v>
      </c>
      <c r="R3189" s="13">
        <f>IFERROR(VLOOKUP(P3189,Лист1!A$1:B$20,2,FALSE),0)</f>
        <v>784</v>
      </c>
      <c r="S3189" s="13">
        <f t="shared" si="349"/>
        <v>0</v>
      </c>
    </row>
    <row r="3190" spans="1:19" x14ac:dyDescent="0.25">
      <c r="A3190" s="24" t="s">
        <v>4323</v>
      </c>
      <c r="B3190" s="4" t="s">
        <v>1059</v>
      </c>
      <c r="C3190" s="25" t="s">
        <v>5</v>
      </c>
      <c r="G3190" s="25" t="s">
        <v>1069</v>
      </c>
      <c r="H3190" s="24" t="s">
        <v>1061</v>
      </c>
      <c r="I3190" s="3" t="str">
        <f>IFERROR(VLOOKUP(C3190,'Справочник соответствий'!A$2:D$2981,2,FALSE),IF(VALUE(C3190)=0,1,VLOOKUP(C3190,'Справочник соответствий'!A$2:D$2981,2,FALSE)))</f>
        <v>1</v>
      </c>
      <c r="J3190" s="3">
        <f>IFERROR(VLOOKUP(D3190,'Справочник соответствий'!A$2:D$2981,2,FALSE),IF(VALUE(D3190)=0,0,VLOOKUP(D3190,'Справочник соответствий'!A$2:D$2981,2,FALSE)))</f>
        <v>0</v>
      </c>
      <c r="K3190" s="3" t="str">
        <f t="shared" si="343"/>
        <v>1</v>
      </c>
      <c r="L3190" s="13" t="str">
        <f>IFERROR(VLOOKUP(C3190,'Справочник соответствий'!A$2:D$2981,3,FALSE),IF(VALUE(C3190)=0,"ЭТАЖ НЕ ОПРЕДЕЛЕН. ПРИНЯТ ПО ДОПУЩЕНИЮ 1",VLOOKUP(C3190,'Справочник соответствий'!A$2:D$2981,3,FALSE)))</f>
        <v>ЭТАЖ ЗАДАН ЧИСЛОМ</v>
      </c>
      <c r="M3190" s="13" t="b">
        <f t="shared" si="344"/>
        <v>0</v>
      </c>
      <c r="N3190" s="13">
        <f t="shared" si="345"/>
        <v>1</v>
      </c>
      <c r="O3190" s="13" t="str">
        <f t="shared" si="346"/>
        <v>ЭТАЖ ЗАДАН ЧИСЛОМ</v>
      </c>
      <c r="P3190" s="13" t="str">
        <f t="shared" si="347"/>
        <v>ЭТАЖ ЗАДАН ЧИСЛОМ</v>
      </c>
      <c r="Q3190" s="13" t="str">
        <f t="shared" si="348"/>
        <v>ГОТОВ_ИЗМЕНЕН</v>
      </c>
      <c r="R3190" s="13">
        <f>IFERROR(VLOOKUP(P3190,Лист1!A$1:B$20,2,FALSE),0)</f>
        <v>784</v>
      </c>
      <c r="S3190" s="13">
        <f t="shared" si="349"/>
        <v>0</v>
      </c>
    </row>
    <row r="3191" spans="1:19" x14ac:dyDescent="0.25">
      <c r="A3191" s="24" t="s">
        <v>4324</v>
      </c>
      <c r="B3191" s="4" t="s">
        <v>1063</v>
      </c>
      <c r="C3191" s="25" t="s">
        <v>5</v>
      </c>
      <c r="G3191" s="25" t="s">
        <v>1069</v>
      </c>
      <c r="H3191" s="24" t="s">
        <v>1061</v>
      </c>
      <c r="I3191" s="3" t="str">
        <f>IFERROR(VLOOKUP(C3191,'Справочник соответствий'!A$2:D$2981,2,FALSE),IF(VALUE(C3191)=0,1,VLOOKUP(C3191,'Справочник соответствий'!A$2:D$2981,2,FALSE)))</f>
        <v>1</v>
      </c>
      <c r="J3191" s="3">
        <f>IFERROR(VLOOKUP(D3191,'Справочник соответствий'!A$2:D$2981,2,FALSE),IF(VALUE(D3191)=0,0,VLOOKUP(D3191,'Справочник соответствий'!A$2:D$2981,2,FALSE)))</f>
        <v>0</v>
      </c>
      <c r="K3191" s="3" t="str">
        <f t="shared" si="343"/>
        <v>1</v>
      </c>
      <c r="L3191" s="13" t="str">
        <f>IFERROR(VLOOKUP(C3191,'Справочник соответствий'!A$2:D$2981,3,FALSE),IF(VALUE(C3191)=0,"ЭТАЖ НЕ ОПРЕДЕЛЕН. ПРИНЯТ ПО ДОПУЩЕНИЮ 1",VLOOKUP(C3191,'Справочник соответствий'!A$2:D$2981,3,FALSE)))</f>
        <v>ЭТАЖ ЗАДАН ЧИСЛОМ</v>
      </c>
      <c r="M3191" s="13" t="b">
        <f t="shared" si="344"/>
        <v>0</v>
      </c>
      <c r="N3191" s="13">
        <f t="shared" si="345"/>
        <v>1</v>
      </c>
      <c r="O3191" s="13" t="str">
        <f t="shared" si="346"/>
        <v>ЭТАЖ ЗАДАН ЧИСЛОМ</v>
      </c>
      <c r="P3191" s="13" t="str">
        <f t="shared" si="347"/>
        <v>ЭТАЖ ЗАДАН ЧИСЛОМ</v>
      </c>
      <c r="Q3191" s="13" t="str">
        <f t="shared" si="348"/>
        <v>ГОТОВ_ИЗМЕНЕН</v>
      </c>
      <c r="R3191" s="13">
        <f>IFERROR(VLOOKUP(P3191,Лист1!A$1:B$20,2,FALSE),0)</f>
        <v>784</v>
      </c>
      <c r="S3191" s="13">
        <f t="shared" si="349"/>
        <v>0</v>
      </c>
    </row>
    <row r="3192" spans="1:19" x14ac:dyDescent="0.25">
      <c r="A3192" s="24" t="s">
        <v>4325</v>
      </c>
      <c r="B3192" s="4" t="s">
        <v>1059</v>
      </c>
      <c r="C3192" s="25" t="s">
        <v>5</v>
      </c>
      <c r="G3192" s="25" t="s">
        <v>1069</v>
      </c>
      <c r="H3192" s="24" t="s">
        <v>1061</v>
      </c>
      <c r="I3192" s="3" t="str">
        <f>IFERROR(VLOOKUP(C3192,'Справочник соответствий'!A$2:D$2981,2,FALSE),IF(VALUE(C3192)=0,1,VLOOKUP(C3192,'Справочник соответствий'!A$2:D$2981,2,FALSE)))</f>
        <v>1</v>
      </c>
      <c r="J3192" s="3">
        <f>IFERROR(VLOOKUP(D3192,'Справочник соответствий'!A$2:D$2981,2,FALSE),IF(VALUE(D3192)=0,0,VLOOKUP(D3192,'Справочник соответствий'!A$2:D$2981,2,FALSE)))</f>
        <v>0</v>
      </c>
      <c r="K3192" s="3" t="str">
        <f t="shared" si="343"/>
        <v>1</v>
      </c>
      <c r="L3192" s="13" t="str">
        <f>IFERROR(VLOOKUP(C3192,'Справочник соответствий'!A$2:D$2981,3,FALSE),IF(VALUE(C3192)=0,"ЭТАЖ НЕ ОПРЕДЕЛЕН. ПРИНЯТ ПО ДОПУЩЕНИЮ 1",VLOOKUP(C3192,'Справочник соответствий'!A$2:D$2981,3,FALSE)))</f>
        <v>ЭТАЖ ЗАДАН ЧИСЛОМ</v>
      </c>
      <c r="M3192" s="13" t="b">
        <f t="shared" si="344"/>
        <v>0</v>
      </c>
      <c r="N3192" s="13">
        <f t="shared" si="345"/>
        <v>1</v>
      </c>
      <c r="O3192" s="13" t="str">
        <f t="shared" si="346"/>
        <v>ЭТАЖ ЗАДАН ЧИСЛОМ</v>
      </c>
      <c r="P3192" s="13" t="str">
        <f t="shared" si="347"/>
        <v>ЭТАЖ ЗАДАН ЧИСЛОМ</v>
      </c>
      <c r="Q3192" s="13" t="str">
        <f t="shared" si="348"/>
        <v>ГОТОВ_ИЗМЕНЕН</v>
      </c>
      <c r="R3192" s="13">
        <f>IFERROR(VLOOKUP(P3192,Лист1!A$1:B$20,2,FALSE),0)</f>
        <v>784</v>
      </c>
      <c r="S3192" s="13">
        <f t="shared" si="349"/>
        <v>0</v>
      </c>
    </row>
    <row r="3193" spans="1:19" x14ac:dyDescent="0.25">
      <c r="A3193" s="24" t="s">
        <v>4326</v>
      </c>
      <c r="B3193" s="4" t="s">
        <v>1059</v>
      </c>
      <c r="C3193" s="25" t="s">
        <v>8</v>
      </c>
      <c r="D3193" s="25" t="s">
        <v>5</v>
      </c>
      <c r="G3193" s="25" t="s">
        <v>1069</v>
      </c>
      <c r="H3193" s="24" t="s">
        <v>1061</v>
      </c>
      <c r="I3193" s="3" t="str">
        <f>IFERROR(VLOOKUP(C3193,'Справочник соответствий'!A$2:D$2981,2,FALSE),IF(VALUE(C3193)=0,1,VLOOKUP(C3193,'Справочник соответствий'!A$2:D$2981,2,FALSE)))</f>
        <v>3</v>
      </c>
      <c r="J3193" s="3" t="str">
        <f>IFERROR(VLOOKUP(D3193,'Справочник соответствий'!A$2:D$2981,2,FALSE),IF(VALUE(D3193)=0,0,VLOOKUP(D3193,'Справочник соответствий'!A$2:D$2981,2,FALSE)))</f>
        <v>1</v>
      </c>
      <c r="K3193" s="3" t="str">
        <f t="shared" si="343"/>
        <v>3</v>
      </c>
      <c r="L3193" s="13" t="str">
        <f>IFERROR(VLOOKUP(C3193,'Справочник соответствий'!A$2:D$2981,3,FALSE),IF(VALUE(C3193)=0,"ЭТАЖ НЕ ОПРЕДЕЛЕН. ПРИНЯТ ПО ДОПУЩЕНИЮ 1",VLOOKUP(C3193,'Справочник соответствий'!A$2:D$2981,3,FALSE)))</f>
        <v>ЭТАЖ ЗАДАН ЧИСЛОМ</v>
      </c>
      <c r="M3193" s="13" t="b">
        <f t="shared" si="344"/>
        <v>0</v>
      </c>
      <c r="N3193" s="13">
        <f t="shared" si="345"/>
        <v>3</v>
      </c>
      <c r="O3193" s="13" t="str">
        <f t="shared" si="346"/>
        <v>ЭТАЖ ЗАДАН ЧИСЛОМ</v>
      </c>
      <c r="P3193" s="13" t="str">
        <f t="shared" si="347"/>
        <v>ЭТАЖ ЗАДАН ЧИСЛОМ</v>
      </c>
      <c r="Q3193" s="13" t="str">
        <f t="shared" si="348"/>
        <v>ГОТОВ_ИЗМЕНЕН</v>
      </c>
      <c r="R3193" s="13">
        <f>IFERROR(VLOOKUP(P3193,Лист1!A$1:B$20,2,FALSE),0)</f>
        <v>784</v>
      </c>
      <c r="S3193" s="13">
        <f t="shared" si="349"/>
        <v>0</v>
      </c>
    </row>
    <row r="3194" spans="1:19" x14ac:dyDescent="0.25">
      <c r="A3194" s="24" t="s">
        <v>4327</v>
      </c>
      <c r="B3194" s="4" t="s">
        <v>1063</v>
      </c>
      <c r="G3194" s="25" t="s">
        <v>1083</v>
      </c>
      <c r="H3194" s="24" t="s">
        <v>1061</v>
      </c>
      <c r="I3194" s="3">
        <f>IFERROR(VLOOKUP(C3194,'Справочник соответствий'!A$2:D$2981,2,FALSE),IF(VALUE(C3194)=0,1,VLOOKUP(C3194,'Справочник соответствий'!A$2:D$2981,2,FALSE)))</f>
        <v>1</v>
      </c>
      <c r="J3194" s="3">
        <f>IFERROR(VLOOKUP(D3194,'Справочник соответствий'!A$2:D$2981,2,FALSE),IF(VALUE(D3194)=0,0,VLOOKUP(D3194,'Справочник соответствий'!A$2:D$2981,2,FALSE)))</f>
        <v>0</v>
      </c>
      <c r="K3194" s="3">
        <f t="shared" si="343"/>
        <v>1</v>
      </c>
      <c r="L3194" s="13" t="str">
        <f>IFERROR(VLOOKUP(C3194,'Справочник соответствий'!A$2:D$2981,3,FALSE),IF(VALUE(C3194)=0,"ЭТАЖ НЕ ОПРЕДЕЛЕН. ПРИНЯТ ПО ДОПУЩЕНИЮ 1",VLOOKUP(C3194,'Справочник соответствий'!A$2:D$2981,3,FALSE)))</f>
        <v>ЭТАЖ НЕ ОПРЕДЕЛЕН. ПРИНЯТ ПО ДОПУЩЕНИЮ 1</v>
      </c>
      <c r="M3194" s="13" t="b">
        <f t="shared" si="344"/>
        <v>0</v>
      </c>
      <c r="N3194" s="13">
        <f t="shared" si="345"/>
        <v>1</v>
      </c>
      <c r="O3194" s="13" t="str">
        <f t="shared" si="346"/>
        <v>ЭТАЖ НЕ ОПРЕДЕЛЕН. ПРИНЯТ ПО ДОПУЩЕНИЮ 1</v>
      </c>
      <c r="P3194" s="13" t="str">
        <f t="shared" si="347"/>
        <v>ЭТАЖ НЕ ОПРЕДЕЛЕН. ПРИНЯТ ПО ДОПУЩЕНИЮ 1</v>
      </c>
      <c r="Q3194" s="13" t="str">
        <f t="shared" si="348"/>
        <v>ГОТОВ_ИЗМЕНЕН</v>
      </c>
      <c r="R3194" s="13">
        <f>IFERROR(VLOOKUP(P3194,Лист1!A$1:B$20,2,FALSE),0)</f>
        <v>788</v>
      </c>
      <c r="S3194" s="13">
        <f t="shared" si="349"/>
        <v>0</v>
      </c>
    </row>
    <row r="3195" spans="1:19" x14ac:dyDescent="0.25">
      <c r="A3195" s="24" t="s">
        <v>4328</v>
      </c>
      <c r="B3195" s="4" t="s">
        <v>1059</v>
      </c>
      <c r="C3195" s="25" t="s">
        <v>5</v>
      </c>
      <c r="G3195" s="25" t="s">
        <v>1114</v>
      </c>
      <c r="H3195" s="24" t="s">
        <v>1061</v>
      </c>
      <c r="I3195" s="3" t="str">
        <f>IFERROR(VLOOKUP(C3195,'Справочник соответствий'!A$2:D$2981,2,FALSE),IF(VALUE(C3195)=0,1,VLOOKUP(C3195,'Справочник соответствий'!A$2:D$2981,2,FALSE)))</f>
        <v>1</v>
      </c>
      <c r="J3195" s="3">
        <f>IFERROR(VLOOKUP(D3195,'Справочник соответствий'!A$2:D$2981,2,FALSE),IF(VALUE(D3195)=0,0,VLOOKUP(D3195,'Справочник соответствий'!A$2:D$2981,2,FALSE)))</f>
        <v>0</v>
      </c>
      <c r="K3195" s="3" t="str">
        <f t="shared" si="343"/>
        <v>1</v>
      </c>
      <c r="L3195" s="13" t="str">
        <f>IFERROR(VLOOKUP(C3195,'Справочник соответствий'!A$2:D$2981,3,FALSE),IF(VALUE(C3195)=0,"ЭТАЖ НЕ ОПРЕДЕЛЕН. ПРИНЯТ ПО ДОПУЩЕНИЮ 1",VLOOKUP(C3195,'Справочник соответствий'!A$2:D$2981,3,FALSE)))</f>
        <v>ЭТАЖ ЗАДАН ЧИСЛОМ</v>
      </c>
      <c r="M3195" s="13" t="b">
        <f t="shared" si="344"/>
        <v>0</v>
      </c>
      <c r="N3195" s="13">
        <f t="shared" si="345"/>
        <v>1</v>
      </c>
      <c r="O3195" s="13" t="str">
        <f t="shared" si="346"/>
        <v>ЭТАЖ ЗАДАН ЧИСЛОМ</v>
      </c>
      <c r="P3195" s="13" t="str">
        <f t="shared" si="347"/>
        <v>ЭТАЖ ЗАДАН ЧИСЛОМ</v>
      </c>
      <c r="Q3195" s="13" t="str">
        <f t="shared" si="348"/>
        <v>ГОТОВ_ИЗМЕНЕН</v>
      </c>
      <c r="R3195" s="13">
        <f>IFERROR(VLOOKUP(P3195,Лист1!A$1:B$20,2,FALSE),0)</f>
        <v>784</v>
      </c>
      <c r="S3195" s="13">
        <f t="shared" si="349"/>
        <v>0</v>
      </c>
    </row>
    <row r="3196" spans="1:19" x14ac:dyDescent="0.25">
      <c r="A3196" s="24" t="s">
        <v>4329</v>
      </c>
      <c r="B3196" s="4" t="s">
        <v>1063</v>
      </c>
      <c r="G3196" s="25" t="s">
        <v>1069</v>
      </c>
      <c r="H3196" s="24" t="s">
        <v>1061</v>
      </c>
      <c r="I3196" s="3">
        <f>IFERROR(VLOOKUP(C3196,'Справочник соответствий'!A$2:D$2981,2,FALSE),IF(VALUE(C3196)=0,1,VLOOKUP(C3196,'Справочник соответствий'!A$2:D$2981,2,FALSE)))</f>
        <v>1</v>
      </c>
      <c r="J3196" s="3">
        <f>IFERROR(VLOOKUP(D3196,'Справочник соответствий'!A$2:D$2981,2,FALSE),IF(VALUE(D3196)=0,0,VLOOKUP(D3196,'Справочник соответствий'!A$2:D$2981,2,FALSE)))</f>
        <v>0</v>
      </c>
      <c r="K3196" s="3">
        <f t="shared" si="343"/>
        <v>1</v>
      </c>
      <c r="L3196" s="13" t="str">
        <f>IFERROR(VLOOKUP(C3196,'Справочник соответствий'!A$2:D$2981,3,FALSE),IF(VALUE(C3196)=0,"ЭТАЖ НЕ ОПРЕДЕЛЕН. ПРИНЯТ ПО ДОПУЩЕНИЮ 1",VLOOKUP(C3196,'Справочник соответствий'!A$2:D$2981,3,FALSE)))</f>
        <v>ЭТАЖ НЕ ОПРЕДЕЛЕН. ПРИНЯТ ПО ДОПУЩЕНИЮ 1</v>
      </c>
      <c r="M3196" s="13" t="b">
        <f t="shared" si="344"/>
        <v>0</v>
      </c>
      <c r="N3196" s="13">
        <f t="shared" si="345"/>
        <v>1</v>
      </c>
      <c r="O3196" s="13" t="str">
        <f t="shared" si="346"/>
        <v>ЭТАЖ НЕ ОПРЕДЕЛЕН. ПРИНЯТ ПО ДОПУЩЕНИЮ 1</v>
      </c>
      <c r="P3196" s="13" t="str">
        <f t="shared" si="347"/>
        <v>ЭТАЖ НЕ ОПРЕДЕЛЕН. ПРИНЯТ ПО ДОПУЩЕНИЮ 1</v>
      </c>
      <c r="Q3196" s="13" t="str">
        <f t="shared" si="348"/>
        <v>ГОТОВ_ИЗМЕНЕН</v>
      </c>
      <c r="R3196" s="13">
        <f>IFERROR(VLOOKUP(P3196,Лист1!A$1:B$20,2,FALSE),0)</f>
        <v>788</v>
      </c>
      <c r="S3196" s="13">
        <f t="shared" si="349"/>
        <v>0</v>
      </c>
    </row>
    <row r="3197" spans="1:19" x14ac:dyDescent="0.25">
      <c r="A3197" s="24" t="s">
        <v>4330</v>
      </c>
      <c r="B3197" s="4" t="s">
        <v>1059</v>
      </c>
      <c r="C3197" s="25" t="s">
        <v>5</v>
      </c>
      <c r="G3197" s="25" t="s">
        <v>1069</v>
      </c>
      <c r="H3197" s="24" t="s">
        <v>1061</v>
      </c>
      <c r="I3197" s="3" t="str">
        <f>IFERROR(VLOOKUP(C3197,'Справочник соответствий'!A$2:D$2981,2,FALSE),IF(VALUE(C3197)=0,1,VLOOKUP(C3197,'Справочник соответствий'!A$2:D$2981,2,FALSE)))</f>
        <v>1</v>
      </c>
      <c r="J3197" s="3">
        <f>IFERROR(VLOOKUP(D3197,'Справочник соответствий'!A$2:D$2981,2,FALSE),IF(VALUE(D3197)=0,0,VLOOKUP(D3197,'Справочник соответствий'!A$2:D$2981,2,FALSE)))</f>
        <v>0</v>
      </c>
      <c r="K3197" s="3" t="str">
        <f t="shared" si="343"/>
        <v>1</v>
      </c>
      <c r="L3197" s="13" t="str">
        <f>IFERROR(VLOOKUP(C3197,'Справочник соответствий'!A$2:D$2981,3,FALSE),IF(VALUE(C3197)=0,"ЭТАЖ НЕ ОПРЕДЕЛЕН. ПРИНЯТ ПО ДОПУЩЕНИЮ 1",VLOOKUP(C3197,'Справочник соответствий'!A$2:D$2981,3,FALSE)))</f>
        <v>ЭТАЖ ЗАДАН ЧИСЛОМ</v>
      </c>
      <c r="M3197" s="13" t="b">
        <f t="shared" si="344"/>
        <v>0</v>
      </c>
      <c r="N3197" s="13">
        <f t="shared" si="345"/>
        <v>1</v>
      </c>
      <c r="O3197" s="13" t="str">
        <f t="shared" si="346"/>
        <v>ЭТАЖ ЗАДАН ЧИСЛОМ</v>
      </c>
      <c r="P3197" s="13" t="str">
        <f t="shared" si="347"/>
        <v>ЭТАЖ ЗАДАН ЧИСЛОМ</v>
      </c>
      <c r="Q3197" s="13" t="str">
        <f t="shared" si="348"/>
        <v>ГОТОВ_ИЗМЕНЕН</v>
      </c>
      <c r="R3197" s="13">
        <f>IFERROR(VLOOKUP(P3197,Лист1!A$1:B$20,2,FALSE),0)</f>
        <v>784</v>
      </c>
      <c r="S3197" s="13">
        <f t="shared" si="349"/>
        <v>0</v>
      </c>
    </row>
    <row r="3198" spans="1:19" x14ac:dyDescent="0.25">
      <c r="A3198" s="24" t="s">
        <v>4331</v>
      </c>
      <c r="B3198" s="4" t="s">
        <v>1063</v>
      </c>
      <c r="C3198" s="25" t="s">
        <v>5</v>
      </c>
      <c r="G3198" s="25" t="s">
        <v>1325</v>
      </c>
      <c r="H3198" s="24" t="s">
        <v>1061</v>
      </c>
      <c r="I3198" s="3" t="str">
        <f>IFERROR(VLOOKUP(C3198,'Справочник соответствий'!A$2:D$2981,2,FALSE),IF(VALUE(C3198)=0,1,VLOOKUP(C3198,'Справочник соответствий'!A$2:D$2981,2,FALSE)))</f>
        <v>1</v>
      </c>
      <c r="J3198" s="3">
        <f>IFERROR(VLOOKUP(D3198,'Справочник соответствий'!A$2:D$2981,2,FALSE),IF(VALUE(D3198)=0,0,VLOOKUP(D3198,'Справочник соответствий'!A$2:D$2981,2,FALSE)))</f>
        <v>0</v>
      </c>
      <c r="K3198" s="3" t="str">
        <f t="shared" si="343"/>
        <v>1</v>
      </c>
      <c r="L3198" s="13" t="str">
        <f>IFERROR(VLOOKUP(C3198,'Справочник соответствий'!A$2:D$2981,3,FALSE),IF(VALUE(C3198)=0,"ЭТАЖ НЕ ОПРЕДЕЛЕН. ПРИНЯТ ПО ДОПУЩЕНИЮ 1",VLOOKUP(C3198,'Справочник соответствий'!A$2:D$2981,3,FALSE)))</f>
        <v>ЭТАЖ ЗАДАН ЧИСЛОМ</v>
      </c>
      <c r="M3198" s="13" t="b">
        <f t="shared" si="344"/>
        <v>0</v>
      </c>
      <c r="N3198" s="13">
        <f t="shared" si="345"/>
        <v>1</v>
      </c>
      <c r="O3198" s="13" t="str">
        <f t="shared" si="346"/>
        <v>ЭТАЖ ЗАДАН ЧИСЛОМ</v>
      </c>
      <c r="P3198" s="13" t="str">
        <f t="shared" si="347"/>
        <v>ЭТАЖ ЗАДАН ЧИСЛОМ</v>
      </c>
      <c r="Q3198" s="13" t="str">
        <f t="shared" si="348"/>
        <v>ГОТОВ_ИЗМЕНЕН</v>
      </c>
      <c r="R3198" s="13">
        <f>IFERROR(VLOOKUP(P3198,Лист1!A$1:B$20,2,FALSE),0)</f>
        <v>784</v>
      </c>
      <c r="S3198" s="13">
        <f t="shared" si="349"/>
        <v>0</v>
      </c>
    </row>
    <row r="3199" spans="1:19" x14ac:dyDescent="0.25">
      <c r="A3199" s="24" t="s">
        <v>4332</v>
      </c>
      <c r="B3199" s="4" t="s">
        <v>1059</v>
      </c>
      <c r="C3199" s="25" t="s">
        <v>5</v>
      </c>
      <c r="G3199" s="25" t="s">
        <v>1069</v>
      </c>
      <c r="H3199" s="24" t="s">
        <v>1061</v>
      </c>
      <c r="I3199" s="3" t="str">
        <f>IFERROR(VLOOKUP(C3199,'Справочник соответствий'!A$2:D$2981,2,FALSE),IF(VALUE(C3199)=0,1,VLOOKUP(C3199,'Справочник соответствий'!A$2:D$2981,2,FALSE)))</f>
        <v>1</v>
      </c>
      <c r="J3199" s="3">
        <f>IFERROR(VLOOKUP(D3199,'Справочник соответствий'!A$2:D$2981,2,FALSE),IF(VALUE(D3199)=0,0,VLOOKUP(D3199,'Справочник соответствий'!A$2:D$2981,2,FALSE)))</f>
        <v>0</v>
      </c>
      <c r="K3199" s="3" t="str">
        <f t="shared" si="343"/>
        <v>1</v>
      </c>
      <c r="L3199" s="13" t="str">
        <f>IFERROR(VLOOKUP(C3199,'Справочник соответствий'!A$2:D$2981,3,FALSE),IF(VALUE(C3199)=0,"ЭТАЖ НЕ ОПРЕДЕЛЕН. ПРИНЯТ ПО ДОПУЩЕНИЮ 1",VLOOKUP(C3199,'Справочник соответствий'!A$2:D$2981,3,FALSE)))</f>
        <v>ЭТАЖ ЗАДАН ЧИСЛОМ</v>
      </c>
      <c r="M3199" s="13" t="b">
        <f t="shared" si="344"/>
        <v>0</v>
      </c>
      <c r="N3199" s="13">
        <f t="shared" si="345"/>
        <v>1</v>
      </c>
      <c r="O3199" s="13" t="str">
        <f t="shared" si="346"/>
        <v>ЭТАЖ ЗАДАН ЧИСЛОМ</v>
      </c>
      <c r="P3199" s="13" t="str">
        <f t="shared" si="347"/>
        <v>ЭТАЖ ЗАДАН ЧИСЛОМ</v>
      </c>
      <c r="Q3199" s="13" t="str">
        <f t="shared" si="348"/>
        <v>ГОТОВ_ИЗМЕНЕН</v>
      </c>
      <c r="R3199" s="13">
        <f>IFERROR(VLOOKUP(P3199,Лист1!A$1:B$20,2,FALSE),0)</f>
        <v>784</v>
      </c>
      <c r="S3199" s="13">
        <f t="shared" si="349"/>
        <v>0</v>
      </c>
    </row>
    <row r="3200" spans="1:19" x14ac:dyDescent="0.25">
      <c r="A3200" s="24" t="s">
        <v>4333</v>
      </c>
      <c r="B3200" s="4" t="s">
        <v>1063</v>
      </c>
      <c r="C3200" s="25" t="s">
        <v>5</v>
      </c>
      <c r="G3200" s="25" t="s">
        <v>1325</v>
      </c>
      <c r="H3200" s="24" t="s">
        <v>1061</v>
      </c>
      <c r="I3200" s="3" t="str">
        <f>IFERROR(VLOOKUP(C3200,'Справочник соответствий'!A$2:D$2981,2,FALSE),IF(VALUE(C3200)=0,1,VLOOKUP(C3200,'Справочник соответствий'!A$2:D$2981,2,FALSE)))</f>
        <v>1</v>
      </c>
      <c r="J3200" s="3">
        <f>IFERROR(VLOOKUP(D3200,'Справочник соответствий'!A$2:D$2981,2,FALSE),IF(VALUE(D3200)=0,0,VLOOKUP(D3200,'Справочник соответствий'!A$2:D$2981,2,FALSE)))</f>
        <v>0</v>
      </c>
      <c r="K3200" s="3" t="str">
        <f t="shared" si="343"/>
        <v>1</v>
      </c>
      <c r="L3200" s="13" t="str">
        <f>IFERROR(VLOOKUP(C3200,'Справочник соответствий'!A$2:D$2981,3,FALSE),IF(VALUE(C3200)=0,"ЭТАЖ НЕ ОПРЕДЕЛЕН. ПРИНЯТ ПО ДОПУЩЕНИЮ 1",VLOOKUP(C3200,'Справочник соответствий'!A$2:D$2981,3,FALSE)))</f>
        <v>ЭТАЖ ЗАДАН ЧИСЛОМ</v>
      </c>
      <c r="M3200" s="13" t="b">
        <f t="shared" si="344"/>
        <v>0</v>
      </c>
      <c r="N3200" s="13">
        <f t="shared" si="345"/>
        <v>1</v>
      </c>
      <c r="O3200" s="13" t="str">
        <f t="shared" si="346"/>
        <v>ЭТАЖ ЗАДАН ЧИСЛОМ</v>
      </c>
      <c r="P3200" s="13" t="str">
        <f t="shared" si="347"/>
        <v>ЭТАЖ ЗАДАН ЧИСЛОМ</v>
      </c>
      <c r="Q3200" s="13" t="str">
        <f t="shared" si="348"/>
        <v>ГОТОВ_ИЗМЕНЕН</v>
      </c>
      <c r="R3200" s="13">
        <f>IFERROR(VLOOKUP(P3200,Лист1!A$1:B$20,2,FALSE),0)</f>
        <v>784</v>
      </c>
      <c r="S3200" s="13">
        <f t="shared" si="349"/>
        <v>0</v>
      </c>
    </row>
    <row r="3201" spans="1:19" x14ac:dyDescent="0.25">
      <c r="A3201" s="24" t="s">
        <v>4334</v>
      </c>
      <c r="B3201" s="4" t="s">
        <v>1059</v>
      </c>
      <c r="C3201" s="25" t="s">
        <v>5</v>
      </c>
      <c r="G3201" s="25" t="s">
        <v>1099</v>
      </c>
      <c r="H3201" s="24" t="s">
        <v>1061</v>
      </c>
      <c r="I3201" s="3" t="str">
        <f>IFERROR(VLOOKUP(C3201,'Справочник соответствий'!A$2:D$2981,2,FALSE),IF(VALUE(C3201)=0,1,VLOOKUP(C3201,'Справочник соответствий'!A$2:D$2981,2,FALSE)))</f>
        <v>1</v>
      </c>
      <c r="J3201" s="3">
        <f>IFERROR(VLOOKUP(D3201,'Справочник соответствий'!A$2:D$2981,2,FALSE),IF(VALUE(D3201)=0,0,VLOOKUP(D3201,'Справочник соответствий'!A$2:D$2981,2,FALSE)))</f>
        <v>0</v>
      </c>
      <c r="K3201" s="3" t="str">
        <f t="shared" si="343"/>
        <v>1</v>
      </c>
      <c r="L3201" s="13" t="str">
        <f>IFERROR(VLOOKUP(C3201,'Справочник соответствий'!A$2:D$2981,3,FALSE),IF(VALUE(C3201)=0,"ЭТАЖ НЕ ОПРЕДЕЛЕН. ПРИНЯТ ПО ДОПУЩЕНИЮ 1",VLOOKUP(C3201,'Справочник соответствий'!A$2:D$2981,3,FALSE)))</f>
        <v>ЭТАЖ ЗАДАН ЧИСЛОМ</v>
      </c>
      <c r="M3201" s="13" t="b">
        <f t="shared" si="344"/>
        <v>0</v>
      </c>
      <c r="N3201" s="13">
        <f t="shared" si="345"/>
        <v>1</v>
      </c>
      <c r="O3201" s="13" t="str">
        <f t="shared" si="346"/>
        <v>ЭТАЖ ЗАДАН ЧИСЛОМ</v>
      </c>
      <c r="P3201" s="13" t="str">
        <f t="shared" si="347"/>
        <v>ЭТАЖ ЗАДАН ЧИСЛОМ</v>
      </c>
      <c r="Q3201" s="13" t="str">
        <f t="shared" si="348"/>
        <v>ГОТОВ_ИЗМЕНЕН</v>
      </c>
      <c r="R3201" s="13">
        <f>IFERROR(VLOOKUP(P3201,Лист1!A$1:B$20,2,FALSE),0)</f>
        <v>784</v>
      </c>
      <c r="S3201" s="13">
        <f t="shared" si="349"/>
        <v>0</v>
      </c>
    </row>
    <row r="3202" spans="1:19" x14ac:dyDescent="0.25">
      <c r="A3202" s="24" t="s">
        <v>4335</v>
      </c>
      <c r="B3202" s="4" t="s">
        <v>1063</v>
      </c>
      <c r="C3202" s="25" t="s">
        <v>5</v>
      </c>
      <c r="G3202" s="25" t="s">
        <v>1099</v>
      </c>
      <c r="H3202" s="24" t="s">
        <v>1061</v>
      </c>
      <c r="I3202" s="3" t="str">
        <f>IFERROR(VLOOKUP(C3202,'Справочник соответствий'!A$2:D$2981,2,FALSE),IF(VALUE(C3202)=0,1,VLOOKUP(C3202,'Справочник соответствий'!A$2:D$2981,2,FALSE)))</f>
        <v>1</v>
      </c>
      <c r="J3202" s="3">
        <f>IFERROR(VLOOKUP(D3202,'Справочник соответствий'!A$2:D$2981,2,FALSE),IF(VALUE(D3202)=0,0,VLOOKUP(D3202,'Справочник соответствий'!A$2:D$2981,2,FALSE)))</f>
        <v>0</v>
      </c>
      <c r="K3202" s="3" t="str">
        <f t="shared" si="343"/>
        <v>1</v>
      </c>
      <c r="L3202" s="13" t="str">
        <f>IFERROR(VLOOKUP(C3202,'Справочник соответствий'!A$2:D$2981,3,FALSE),IF(VALUE(C3202)=0,"ЭТАЖ НЕ ОПРЕДЕЛЕН. ПРИНЯТ ПО ДОПУЩЕНИЮ 1",VLOOKUP(C3202,'Справочник соответствий'!A$2:D$2981,3,FALSE)))</f>
        <v>ЭТАЖ ЗАДАН ЧИСЛОМ</v>
      </c>
      <c r="M3202" s="13" t="b">
        <f t="shared" si="344"/>
        <v>0</v>
      </c>
      <c r="N3202" s="13">
        <f t="shared" si="345"/>
        <v>1</v>
      </c>
      <c r="O3202" s="13" t="str">
        <f t="shared" si="346"/>
        <v>ЭТАЖ ЗАДАН ЧИСЛОМ</v>
      </c>
      <c r="P3202" s="13" t="str">
        <f t="shared" si="347"/>
        <v>ЭТАЖ ЗАДАН ЧИСЛОМ</v>
      </c>
      <c r="Q3202" s="13" t="str">
        <f t="shared" si="348"/>
        <v>ГОТОВ_ИЗМЕНЕН</v>
      </c>
      <c r="R3202" s="13">
        <f>IFERROR(VLOOKUP(P3202,Лист1!A$1:B$20,2,FALSE),0)</f>
        <v>784</v>
      </c>
      <c r="S3202" s="13">
        <f t="shared" si="349"/>
        <v>0</v>
      </c>
    </row>
    <row r="3203" spans="1:19" x14ac:dyDescent="0.25">
      <c r="A3203" s="24" t="s">
        <v>4336</v>
      </c>
      <c r="B3203" s="4" t="s">
        <v>1059</v>
      </c>
      <c r="C3203" s="25" t="s">
        <v>5</v>
      </c>
      <c r="G3203" s="25" t="s">
        <v>1099</v>
      </c>
      <c r="H3203" s="24" t="s">
        <v>1061</v>
      </c>
      <c r="I3203" s="3" t="str">
        <f>IFERROR(VLOOKUP(C3203,'Справочник соответствий'!A$2:D$2981,2,FALSE),IF(VALUE(C3203)=0,1,VLOOKUP(C3203,'Справочник соответствий'!A$2:D$2981,2,FALSE)))</f>
        <v>1</v>
      </c>
      <c r="J3203" s="3">
        <f>IFERROR(VLOOKUP(D3203,'Справочник соответствий'!A$2:D$2981,2,FALSE),IF(VALUE(D3203)=0,0,VLOOKUP(D3203,'Справочник соответствий'!A$2:D$2981,2,FALSE)))</f>
        <v>0</v>
      </c>
      <c r="K3203" s="3" t="str">
        <f t="shared" si="343"/>
        <v>1</v>
      </c>
      <c r="L3203" s="13" t="str">
        <f>IFERROR(VLOOKUP(C3203,'Справочник соответствий'!A$2:D$2981,3,FALSE),IF(VALUE(C3203)=0,"ЭТАЖ НЕ ОПРЕДЕЛЕН. ПРИНЯТ ПО ДОПУЩЕНИЮ 1",VLOOKUP(C3203,'Справочник соответствий'!A$2:D$2981,3,FALSE)))</f>
        <v>ЭТАЖ ЗАДАН ЧИСЛОМ</v>
      </c>
      <c r="M3203" s="13" t="b">
        <f t="shared" si="344"/>
        <v>0</v>
      </c>
      <c r="N3203" s="13">
        <f t="shared" si="345"/>
        <v>1</v>
      </c>
      <c r="O3203" s="13" t="str">
        <f t="shared" si="346"/>
        <v>ЭТАЖ ЗАДАН ЧИСЛОМ</v>
      </c>
      <c r="P3203" s="13" t="str">
        <f t="shared" si="347"/>
        <v>ЭТАЖ ЗАДАН ЧИСЛОМ</v>
      </c>
      <c r="Q3203" s="13" t="str">
        <f t="shared" si="348"/>
        <v>ГОТОВ_ИЗМЕНЕН</v>
      </c>
      <c r="R3203" s="13">
        <f>IFERROR(VLOOKUP(P3203,Лист1!A$1:B$20,2,FALSE),0)</f>
        <v>784</v>
      </c>
      <c r="S3203" s="13">
        <f t="shared" si="349"/>
        <v>0</v>
      </c>
    </row>
    <row r="3204" spans="1:19" x14ac:dyDescent="0.25">
      <c r="A3204" s="24" t="s">
        <v>4337</v>
      </c>
      <c r="B3204" s="4" t="s">
        <v>1063</v>
      </c>
      <c r="C3204" s="25" t="s">
        <v>5</v>
      </c>
      <c r="G3204" s="25" t="s">
        <v>1099</v>
      </c>
      <c r="H3204" s="24" t="s">
        <v>1061</v>
      </c>
      <c r="I3204" s="3" t="str">
        <f>IFERROR(VLOOKUP(C3204,'Справочник соответствий'!A$2:D$2981,2,FALSE),IF(VALUE(C3204)=0,1,VLOOKUP(C3204,'Справочник соответствий'!A$2:D$2981,2,FALSE)))</f>
        <v>1</v>
      </c>
      <c r="J3204" s="3">
        <f>IFERROR(VLOOKUP(D3204,'Справочник соответствий'!A$2:D$2981,2,FALSE),IF(VALUE(D3204)=0,0,VLOOKUP(D3204,'Справочник соответствий'!A$2:D$2981,2,FALSE)))</f>
        <v>0</v>
      </c>
      <c r="K3204" s="3" t="str">
        <f t="shared" si="343"/>
        <v>1</v>
      </c>
      <c r="L3204" s="13" t="str">
        <f>IFERROR(VLOOKUP(C3204,'Справочник соответствий'!A$2:D$2981,3,FALSE),IF(VALUE(C3204)=0,"ЭТАЖ НЕ ОПРЕДЕЛЕН. ПРИНЯТ ПО ДОПУЩЕНИЮ 1",VLOOKUP(C3204,'Справочник соответствий'!A$2:D$2981,3,FALSE)))</f>
        <v>ЭТАЖ ЗАДАН ЧИСЛОМ</v>
      </c>
      <c r="M3204" s="13" t="b">
        <f t="shared" si="344"/>
        <v>0</v>
      </c>
      <c r="N3204" s="13">
        <f t="shared" si="345"/>
        <v>1</v>
      </c>
      <c r="O3204" s="13" t="str">
        <f t="shared" si="346"/>
        <v>ЭТАЖ ЗАДАН ЧИСЛОМ</v>
      </c>
      <c r="P3204" s="13" t="str">
        <f t="shared" si="347"/>
        <v>ЭТАЖ ЗАДАН ЧИСЛОМ</v>
      </c>
      <c r="Q3204" s="13" t="str">
        <f t="shared" si="348"/>
        <v>ГОТОВ_ИЗМЕНЕН</v>
      </c>
      <c r="R3204" s="13">
        <f>IFERROR(VLOOKUP(P3204,Лист1!A$1:B$20,2,FALSE),0)</f>
        <v>784</v>
      </c>
      <c r="S3204" s="13">
        <f t="shared" si="349"/>
        <v>0</v>
      </c>
    </row>
    <row r="3205" spans="1:19" x14ac:dyDescent="0.25">
      <c r="A3205" s="24" t="s">
        <v>4338</v>
      </c>
      <c r="B3205" s="4" t="s">
        <v>1063</v>
      </c>
      <c r="C3205" s="25" t="s">
        <v>5</v>
      </c>
      <c r="G3205" s="25" t="s">
        <v>1099</v>
      </c>
      <c r="H3205" s="24" t="s">
        <v>1061</v>
      </c>
      <c r="I3205" s="3" t="str">
        <f>IFERROR(VLOOKUP(C3205,'Справочник соответствий'!A$2:D$2981,2,FALSE),IF(VALUE(C3205)=0,1,VLOOKUP(C3205,'Справочник соответствий'!A$2:D$2981,2,FALSE)))</f>
        <v>1</v>
      </c>
      <c r="J3205" s="3">
        <f>IFERROR(VLOOKUP(D3205,'Справочник соответствий'!A$2:D$2981,2,FALSE),IF(VALUE(D3205)=0,0,VLOOKUP(D3205,'Справочник соответствий'!A$2:D$2981,2,FALSE)))</f>
        <v>0</v>
      </c>
      <c r="K3205" s="3" t="str">
        <f t="shared" ref="K3205:K3268" si="350">IF(B3205="Многоквартирный дом",IF(I3205-J3205&gt;0,I3205-J3205,1),I3205)</f>
        <v>1</v>
      </c>
      <c r="L3205" s="13" t="str">
        <f>IFERROR(VLOOKUP(C3205,'Справочник соответствий'!A$2:D$2981,3,FALSE),IF(VALUE(C3205)=0,"ЭТАЖ НЕ ОПРЕДЕЛЕН. ПРИНЯТ ПО ДОПУЩЕНИЮ 1",VLOOKUP(C3205,'Справочник соответствий'!A$2:D$2981,3,FALSE)))</f>
        <v>ЭТАЖ ЗАДАН ЧИСЛОМ</v>
      </c>
      <c r="M3205" s="13" t="b">
        <f t="shared" ref="M3205:M3268" si="351">I3205=E3205</f>
        <v>0</v>
      </c>
      <c r="N3205" s="13">
        <f t="shared" ref="N3205:N3268" si="352">IF(VALUE(E3205)=0,VALUE(K3205),IF(L3205="ЭТАЖ НЕ ОПРЕДЕЛЕН. ПРИНЯТ ПО ДОПУЩЕНИЮ 1",VALUE(E3205),VALUE(K3205)))</f>
        <v>1</v>
      </c>
      <c r="O3205" s="13" t="str">
        <f t="shared" ref="O3205:O3268" si="353">IF(VALUE(E3205)=0,L3205,IF(L3205="ЭТАЖ НЕ ОПРЕДЕЛЕН. ПРИНЯТ ПО ДОПУЩЕНИЮ 1",F3205,L3205))</f>
        <v>ЭТАЖ ЗАДАН ЧИСЛОМ</v>
      </c>
      <c r="P3205" s="13" t="str">
        <f t="shared" ref="P3205:P3268" si="354">IF(B3205="Многоквартирный дом",CONCATENATE("МКД_",O3205),O3205)</f>
        <v>ЭТАЖ ЗАДАН ЧИСЛОМ</v>
      </c>
      <c r="Q3205" s="13" t="str">
        <f t="shared" ref="Q3205:Q3268" si="355">IFERROR(IF(N3205&gt;0,IF(N3205=VALUE(E3205),"ГОТОВ","ГОТОВ_ИЗМЕНЕН"),"НЕ ГОТОВ"),"НЕ ГОТОВ")</f>
        <v>ГОТОВ_ИЗМЕНЕН</v>
      </c>
      <c r="R3205" s="13">
        <f>IFERROR(VLOOKUP(P3205,Лист1!A$1:B$20,2,FALSE),0)</f>
        <v>784</v>
      </c>
      <c r="S3205" s="13">
        <f t="shared" ref="S3205:S3268" si="356">VALUE(E3205)</f>
        <v>0</v>
      </c>
    </row>
    <row r="3206" spans="1:19" x14ac:dyDescent="0.25">
      <c r="A3206" s="24" t="s">
        <v>4339</v>
      </c>
      <c r="B3206" s="4" t="s">
        <v>1063</v>
      </c>
      <c r="C3206" s="25" t="s">
        <v>5</v>
      </c>
      <c r="G3206" s="25" t="s">
        <v>1060</v>
      </c>
      <c r="H3206" s="24" t="s">
        <v>1061</v>
      </c>
      <c r="I3206" s="3" t="str">
        <f>IFERROR(VLOOKUP(C3206,'Справочник соответствий'!A$2:D$2981,2,FALSE),IF(VALUE(C3206)=0,1,VLOOKUP(C3206,'Справочник соответствий'!A$2:D$2981,2,FALSE)))</f>
        <v>1</v>
      </c>
      <c r="J3206" s="3">
        <f>IFERROR(VLOOKUP(D3206,'Справочник соответствий'!A$2:D$2981,2,FALSE),IF(VALUE(D3206)=0,0,VLOOKUP(D3206,'Справочник соответствий'!A$2:D$2981,2,FALSE)))</f>
        <v>0</v>
      </c>
      <c r="K3206" s="3" t="str">
        <f t="shared" si="350"/>
        <v>1</v>
      </c>
      <c r="L3206" s="13" t="str">
        <f>IFERROR(VLOOKUP(C3206,'Справочник соответствий'!A$2:D$2981,3,FALSE),IF(VALUE(C3206)=0,"ЭТАЖ НЕ ОПРЕДЕЛЕН. ПРИНЯТ ПО ДОПУЩЕНИЮ 1",VLOOKUP(C3206,'Справочник соответствий'!A$2:D$2981,3,FALSE)))</f>
        <v>ЭТАЖ ЗАДАН ЧИСЛОМ</v>
      </c>
      <c r="M3206" s="13" t="b">
        <f t="shared" si="351"/>
        <v>0</v>
      </c>
      <c r="N3206" s="13">
        <f t="shared" si="352"/>
        <v>1</v>
      </c>
      <c r="O3206" s="13" t="str">
        <f t="shared" si="353"/>
        <v>ЭТАЖ ЗАДАН ЧИСЛОМ</v>
      </c>
      <c r="P3206" s="13" t="str">
        <f t="shared" si="354"/>
        <v>ЭТАЖ ЗАДАН ЧИСЛОМ</v>
      </c>
      <c r="Q3206" s="13" t="str">
        <f t="shared" si="355"/>
        <v>ГОТОВ_ИЗМЕНЕН</v>
      </c>
      <c r="R3206" s="13">
        <f>IFERROR(VLOOKUP(P3206,Лист1!A$1:B$20,2,FALSE),0)</f>
        <v>784</v>
      </c>
      <c r="S3206" s="13">
        <f t="shared" si="356"/>
        <v>0</v>
      </c>
    </row>
    <row r="3207" spans="1:19" x14ac:dyDescent="0.25">
      <c r="A3207" s="24" t="s">
        <v>4340</v>
      </c>
      <c r="B3207" s="4" t="s">
        <v>1059</v>
      </c>
      <c r="C3207" s="25" t="s">
        <v>5</v>
      </c>
      <c r="G3207" s="25" t="s">
        <v>1108</v>
      </c>
      <c r="H3207" s="24" t="s">
        <v>1061</v>
      </c>
      <c r="I3207" s="3" t="str">
        <f>IFERROR(VLOOKUP(C3207,'Справочник соответствий'!A$2:D$2981,2,FALSE),IF(VALUE(C3207)=0,1,VLOOKUP(C3207,'Справочник соответствий'!A$2:D$2981,2,FALSE)))</f>
        <v>1</v>
      </c>
      <c r="J3207" s="3">
        <f>IFERROR(VLOOKUP(D3207,'Справочник соответствий'!A$2:D$2981,2,FALSE),IF(VALUE(D3207)=0,0,VLOOKUP(D3207,'Справочник соответствий'!A$2:D$2981,2,FALSE)))</f>
        <v>0</v>
      </c>
      <c r="K3207" s="3" t="str">
        <f t="shared" si="350"/>
        <v>1</v>
      </c>
      <c r="L3207" s="13" t="str">
        <f>IFERROR(VLOOKUP(C3207,'Справочник соответствий'!A$2:D$2981,3,FALSE),IF(VALUE(C3207)=0,"ЭТАЖ НЕ ОПРЕДЕЛЕН. ПРИНЯТ ПО ДОПУЩЕНИЮ 1",VLOOKUP(C3207,'Справочник соответствий'!A$2:D$2981,3,FALSE)))</f>
        <v>ЭТАЖ ЗАДАН ЧИСЛОМ</v>
      </c>
      <c r="M3207" s="13" t="b">
        <f t="shared" si="351"/>
        <v>0</v>
      </c>
      <c r="N3207" s="13">
        <f t="shared" si="352"/>
        <v>1</v>
      </c>
      <c r="O3207" s="13" t="str">
        <f t="shared" si="353"/>
        <v>ЭТАЖ ЗАДАН ЧИСЛОМ</v>
      </c>
      <c r="P3207" s="13" t="str">
        <f t="shared" si="354"/>
        <v>ЭТАЖ ЗАДАН ЧИСЛОМ</v>
      </c>
      <c r="Q3207" s="13" t="str">
        <f t="shared" si="355"/>
        <v>ГОТОВ_ИЗМЕНЕН</v>
      </c>
      <c r="R3207" s="13">
        <f>IFERROR(VLOOKUP(P3207,Лист1!A$1:B$20,2,FALSE),0)</f>
        <v>784</v>
      </c>
      <c r="S3207" s="13">
        <f t="shared" si="356"/>
        <v>0</v>
      </c>
    </row>
    <row r="3208" spans="1:19" x14ac:dyDescent="0.25">
      <c r="A3208" s="24" t="s">
        <v>4341</v>
      </c>
      <c r="B3208" s="4" t="s">
        <v>1063</v>
      </c>
      <c r="C3208" s="25" t="s">
        <v>5</v>
      </c>
      <c r="G3208" s="25" t="s">
        <v>1060</v>
      </c>
      <c r="H3208" s="24" t="s">
        <v>1061</v>
      </c>
      <c r="I3208" s="3" t="str">
        <f>IFERROR(VLOOKUP(C3208,'Справочник соответствий'!A$2:D$2981,2,FALSE),IF(VALUE(C3208)=0,1,VLOOKUP(C3208,'Справочник соответствий'!A$2:D$2981,2,FALSE)))</f>
        <v>1</v>
      </c>
      <c r="J3208" s="3">
        <f>IFERROR(VLOOKUP(D3208,'Справочник соответствий'!A$2:D$2981,2,FALSE),IF(VALUE(D3208)=0,0,VLOOKUP(D3208,'Справочник соответствий'!A$2:D$2981,2,FALSE)))</f>
        <v>0</v>
      </c>
      <c r="K3208" s="3" t="str">
        <f t="shared" si="350"/>
        <v>1</v>
      </c>
      <c r="L3208" s="13" t="str">
        <f>IFERROR(VLOOKUP(C3208,'Справочник соответствий'!A$2:D$2981,3,FALSE),IF(VALUE(C3208)=0,"ЭТАЖ НЕ ОПРЕДЕЛЕН. ПРИНЯТ ПО ДОПУЩЕНИЮ 1",VLOOKUP(C3208,'Справочник соответствий'!A$2:D$2981,3,FALSE)))</f>
        <v>ЭТАЖ ЗАДАН ЧИСЛОМ</v>
      </c>
      <c r="M3208" s="13" t="b">
        <f t="shared" si="351"/>
        <v>0</v>
      </c>
      <c r="N3208" s="13">
        <f t="shared" si="352"/>
        <v>1</v>
      </c>
      <c r="O3208" s="13" t="str">
        <f t="shared" si="353"/>
        <v>ЭТАЖ ЗАДАН ЧИСЛОМ</v>
      </c>
      <c r="P3208" s="13" t="str">
        <f t="shared" si="354"/>
        <v>ЭТАЖ ЗАДАН ЧИСЛОМ</v>
      </c>
      <c r="Q3208" s="13" t="str">
        <f t="shared" si="355"/>
        <v>ГОТОВ_ИЗМЕНЕН</v>
      </c>
      <c r="R3208" s="13">
        <f>IFERROR(VLOOKUP(P3208,Лист1!A$1:B$20,2,FALSE),0)</f>
        <v>784</v>
      </c>
      <c r="S3208" s="13">
        <f t="shared" si="356"/>
        <v>0</v>
      </c>
    </row>
    <row r="3209" spans="1:19" x14ac:dyDescent="0.25">
      <c r="A3209" s="24" t="s">
        <v>4342</v>
      </c>
      <c r="B3209" s="4" t="s">
        <v>1059</v>
      </c>
      <c r="C3209" s="25" t="s">
        <v>7</v>
      </c>
      <c r="D3209" s="25" t="s">
        <v>5</v>
      </c>
      <c r="G3209" s="25" t="s">
        <v>1060</v>
      </c>
      <c r="H3209" s="24" t="s">
        <v>1061</v>
      </c>
      <c r="I3209" s="3" t="str">
        <f>IFERROR(VLOOKUP(C3209,'Справочник соответствий'!A$2:D$2981,2,FALSE),IF(VALUE(C3209)=0,1,VLOOKUP(C3209,'Справочник соответствий'!A$2:D$2981,2,FALSE)))</f>
        <v>2</v>
      </c>
      <c r="J3209" s="3" t="str">
        <f>IFERROR(VLOOKUP(D3209,'Справочник соответствий'!A$2:D$2981,2,FALSE),IF(VALUE(D3209)=0,0,VLOOKUP(D3209,'Справочник соответствий'!A$2:D$2981,2,FALSE)))</f>
        <v>1</v>
      </c>
      <c r="K3209" s="3" t="str">
        <f t="shared" si="350"/>
        <v>2</v>
      </c>
      <c r="L3209" s="13" t="str">
        <f>IFERROR(VLOOKUP(C3209,'Справочник соответствий'!A$2:D$2981,3,FALSE),IF(VALUE(C3209)=0,"ЭТАЖ НЕ ОПРЕДЕЛЕН. ПРИНЯТ ПО ДОПУЩЕНИЮ 1",VLOOKUP(C3209,'Справочник соответствий'!A$2:D$2981,3,FALSE)))</f>
        <v>ЭТАЖ ЗАДАН ЧИСЛОМ</v>
      </c>
      <c r="M3209" s="13" t="b">
        <f t="shared" si="351"/>
        <v>0</v>
      </c>
      <c r="N3209" s="13">
        <f t="shared" si="352"/>
        <v>2</v>
      </c>
      <c r="O3209" s="13" t="str">
        <f t="shared" si="353"/>
        <v>ЭТАЖ ЗАДАН ЧИСЛОМ</v>
      </c>
      <c r="P3209" s="13" t="str">
        <f t="shared" si="354"/>
        <v>ЭТАЖ ЗАДАН ЧИСЛОМ</v>
      </c>
      <c r="Q3209" s="13" t="str">
        <f t="shared" si="355"/>
        <v>ГОТОВ_ИЗМЕНЕН</v>
      </c>
      <c r="R3209" s="13">
        <f>IFERROR(VLOOKUP(P3209,Лист1!A$1:B$20,2,FALSE),0)</f>
        <v>784</v>
      </c>
      <c r="S3209" s="13">
        <f t="shared" si="356"/>
        <v>0</v>
      </c>
    </row>
    <row r="3210" spans="1:19" x14ac:dyDescent="0.25">
      <c r="A3210" s="24" t="s">
        <v>4343</v>
      </c>
      <c r="B3210" s="4" t="s">
        <v>1059</v>
      </c>
      <c r="C3210" s="25" t="s">
        <v>5</v>
      </c>
      <c r="G3210" s="25" t="s">
        <v>1289</v>
      </c>
      <c r="H3210" s="24" t="s">
        <v>1061</v>
      </c>
      <c r="I3210" s="3" t="str">
        <f>IFERROR(VLOOKUP(C3210,'Справочник соответствий'!A$2:D$2981,2,FALSE),IF(VALUE(C3210)=0,1,VLOOKUP(C3210,'Справочник соответствий'!A$2:D$2981,2,FALSE)))</f>
        <v>1</v>
      </c>
      <c r="J3210" s="3">
        <f>IFERROR(VLOOKUP(D3210,'Справочник соответствий'!A$2:D$2981,2,FALSE),IF(VALUE(D3210)=0,0,VLOOKUP(D3210,'Справочник соответствий'!A$2:D$2981,2,FALSE)))</f>
        <v>0</v>
      </c>
      <c r="K3210" s="3" t="str">
        <f t="shared" si="350"/>
        <v>1</v>
      </c>
      <c r="L3210" s="13" t="str">
        <f>IFERROR(VLOOKUP(C3210,'Справочник соответствий'!A$2:D$2981,3,FALSE),IF(VALUE(C3210)=0,"ЭТАЖ НЕ ОПРЕДЕЛЕН. ПРИНЯТ ПО ДОПУЩЕНИЮ 1",VLOOKUP(C3210,'Справочник соответствий'!A$2:D$2981,3,FALSE)))</f>
        <v>ЭТАЖ ЗАДАН ЧИСЛОМ</v>
      </c>
      <c r="M3210" s="13" t="b">
        <f t="shared" si="351"/>
        <v>0</v>
      </c>
      <c r="N3210" s="13">
        <f t="shared" si="352"/>
        <v>1</v>
      </c>
      <c r="O3210" s="13" t="str">
        <f t="shared" si="353"/>
        <v>ЭТАЖ ЗАДАН ЧИСЛОМ</v>
      </c>
      <c r="P3210" s="13" t="str">
        <f t="shared" si="354"/>
        <v>ЭТАЖ ЗАДАН ЧИСЛОМ</v>
      </c>
      <c r="Q3210" s="13" t="str">
        <f t="shared" si="355"/>
        <v>ГОТОВ_ИЗМЕНЕН</v>
      </c>
      <c r="R3210" s="13">
        <f>IFERROR(VLOOKUP(P3210,Лист1!A$1:B$20,2,FALSE),0)</f>
        <v>784</v>
      </c>
      <c r="S3210" s="13">
        <f t="shared" si="356"/>
        <v>0</v>
      </c>
    </row>
    <row r="3211" spans="1:19" x14ac:dyDescent="0.25">
      <c r="A3211" s="24" t="s">
        <v>4344</v>
      </c>
      <c r="B3211" s="4" t="s">
        <v>1059</v>
      </c>
      <c r="C3211" s="25" t="s">
        <v>7</v>
      </c>
      <c r="G3211" s="25" t="s">
        <v>1060</v>
      </c>
      <c r="H3211" s="24" t="s">
        <v>1061</v>
      </c>
      <c r="I3211" s="3" t="str">
        <f>IFERROR(VLOOKUP(C3211,'Справочник соответствий'!A$2:D$2981,2,FALSE),IF(VALUE(C3211)=0,1,VLOOKUP(C3211,'Справочник соответствий'!A$2:D$2981,2,FALSE)))</f>
        <v>2</v>
      </c>
      <c r="J3211" s="3">
        <f>IFERROR(VLOOKUP(D3211,'Справочник соответствий'!A$2:D$2981,2,FALSE),IF(VALUE(D3211)=0,0,VLOOKUP(D3211,'Справочник соответствий'!A$2:D$2981,2,FALSE)))</f>
        <v>0</v>
      </c>
      <c r="K3211" s="3" t="str">
        <f t="shared" si="350"/>
        <v>2</v>
      </c>
      <c r="L3211" s="13" t="str">
        <f>IFERROR(VLOOKUP(C3211,'Справочник соответствий'!A$2:D$2981,3,FALSE),IF(VALUE(C3211)=0,"ЭТАЖ НЕ ОПРЕДЕЛЕН. ПРИНЯТ ПО ДОПУЩЕНИЮ 1",VLOOKUP(C3211,'Справочник соответствий'!A$2:D$2981,3,FALSE)))</f>
        <v>ЭТАЖ ЗАДАН ЧИСЛОМ</v>
      </c>
      <c r="M3211" s="13" t="b">
        <f t="shared" si="351"/>
        <v>0</v>
      </c>
      <c r="N3211" s="13">
        <f t="shared" si="352"/>
        <v>2</v>
      </c>
      <c r="O3211" s="13" t="str">
        <f t="shared" si="353"/>
        <v>ЭТАЖ ЗАДАН ЧИСЛОМ</v>
      </c>
      <c r="P3211" s="13" t="str">
        <f t="shared" si="354"/>
        <v>ЭТАЖ ЗАДАН ЧИСЛОМ</v>
      </c>
      <c r="Q3211" s="13" t="str">
        <f t="shared" si="355"/>
        <v>ГОТОВ_ИЗМЕНЕН</v>
      </c>
      <c r="R3211" s="13">
        <f>IFERROR(VLOOKUP(P3211,Лист1!A$1:B$20,2,FALSE),0)</f>
        <v>784</v>
      </c>
      <c r="S3211" s="13">
        <f t="shared" si="356"/>
        <v>0</v>
      </c>
    </row>
    <row r="3212" spans="1:19" x14ac:dyDescent="0.25">
      <c r="A3212" s="24" t="s">
        <v>4345</v>
      </c>
      <c r="B3212" s="4" t="s">
        <v>1059</v>
      </c>
      <c r="C3212" s="25" t="s">
        <v>5</v>
      </c>
      <c r="G3212" s="25" t="s">
        <v>1060</v>
      </c>
      <c r="H3212" s="24" t="s">
        <v>1061</v>
      </c>
      <c r="I3212" s="3" t="str">
        <f>IFERROR(VLOOKUP(C3212,'Справочник соответствий'!A$2:D$2981,2,FALSE),IF(VALUE(C3212)=0,1,VLOOKUP(C3212,'Справочник соответствий'!A$2:D$2981,2,FALSE)))</f>
        <v>1</v>
      </c>
      <c r="J3212" s="3">
        <f>IFERROR(VLOOKUP(D3212,'Справочник соответствий'!A$2:D$2981,2,FALSE),IF(VALUE(D3212)=0,0,VLOOKUP(D3212,'Справочник соответствий'!A$2:D$2981,2,FALSE)))</f>
        <v>0</v>
      </c>
      <c r="K3212" s="3" t="str">
        <f t="shared" si="350"/>
        <v>1</v>
      </c>
      <c r="L3212" s="13" t="str">
        <f>IFERROR(VLOOKUP(C3212,'Справочник соответствий'!A$2:D$2981,3,FALSE),IF(VALUE(C3212)=0,"ЭТАЖ НЕ ОПРЕДЕЛЕН. ПРИНЯТ ПО ДОПУЩЕНИЮ 1",VLOOKUP(C3212,'Справочник соответствий'!A$2:D$2981,3,FALSE)))</f>
        <v>ЭТАЖ ЗАДАН ЧИСЛОМ</v>
      </c>
      <c r="M3212" s="13" t="b">
        <f t="shared" si="351"/>
        <v>0</v>
      </c>
      <c r="N3212" s="13">
        <f t="shared" si="352"/>
        <v>1</v>
      </c>
      <c r="O3212" s="13" t="str">
        <f t="shared" si="353"/>
        <v>ЭТАЖ ЗАДАН ЧИСЛОМ</v>
      </c>
      <c r="P3212" s="13" t="str">
        <f t="shared" si="354"/>
        <v>ЭТАЖ ЗАДАН ЧИСЛОМ</v>
      </c>
      <c r="Q3212" s="13" t="str">
        <f t="shared" si="355"/>
        <v>ГОТОВ_ИЗМЕНЕН</v>
      </c>
      <c r="R3212" s="13">
        <f>IFERROR(VLOOKUP(P3212,Лист1!A$1:B$20,2,FALSE),0)</f>
        <v>784</v>
      </c>
      <c r="S3212" s="13">
        <f t="shared" si="356"/>
        <v>0</v>
      </c>
    </row>
    <row r="3213" spans="1:19" x14ac:dyDescent="0.25">
      <c r="A3213" s="24" t="s">
        <v>4346</v>
      </c>
      <c r="B3213" s="4" t="s">
        <v>1063</v>
      </c>
      <c r="C3213" s="25" t="s">
        <v>5</v>
      </c>
      <c r="G3213" s="25" t="s">
        <v>1060</v>
      </c>
      <c r="H3213" s="24" t="s">
        <v>1061</v>
      </c>
      <c r="I3213" s="3" t="str">
        <f>IFERROR(VLOOKUP(C3213,'Справочник соответствий'!A$2:D$2981,2,FALSE),IF(VALUE(C3213)=0,1,VLOOKUP(C3213,'Справочник соответствий'!A$2:D$2981,2,FALSE)))</f>
        <v>1</v>
      </c>
      <c r="J3213" s="3">
        <f>IFERROR(VLOOKUP(D3213,'Справочник соответствий'!A$2:D$2981,2,FALSE),IF(VALUE(D3213)=0,0,VLOOKUP(D3213,'Справочник соответствий'!A$2:D$2981,2,FALSE)))</f>
        <v>0</v>
      </c>
      <c r="K3213" s="3" t="str">
        <f t="shared" si="350"/>
        <v>1</v>
      </c>
      <c r="L3213" s="13" t="str">
        <f>IFERROR(VLOOKUP(C3213,'Справочник соответствий'!A$2:D$2981,3,FALSE),IF(VALUE(C3213)=0,"ЭТАЖ НЕ ОПРЕДЕЛЕН. ПРИНЯТ ПО ДОПУЩЕНИЮ 1",VLOOKUP(C3213,'Справочник соответствий'!A$2:D$2981,3,FALSE)))</f>
        <v>ЭТАЖ ЗАДАН ЧИСЛОМ</v>
      </c>
      <c r="M3213" s="13" t="b">
        <f t="shared" si="351"/>
        <v>0</v>
      </c>
      <c r="N3213" s="13">
        <f t="shared" si="352"/>
        <v>1</v>
      </c>
      <c r="O3213" s="13" t="str">
        <f t="shared" si="353"/>
        <v>ЭТАЖ ЗАДАН ЧИСЛОМ</v>
      </c>
      <c r="P3213" s="13" t="str">
        <f t="shared" si="354"/>
        <v>ЭТАЖ ЗАДАН ЧИСЛОМ</v>
      </c>
      <c r="Q3213" s="13" t="str">
        <f t="shared" si="355"/>
        <v>ГОТОВ_ИЗМЕНЕН</v>
      </c>
      <c r="R3213" s="13">
        <f>IFERROR(VLOOKUP(P3213,Лист1!A$1:B$20,2,FALSE),0)</f>
        <v>784</v>
      </c>
      <c r="S3213" s="13">
        <f t="shared" si="356"/>
        <v>0</v>
      </c>
    </row>
    <row r="3214" spans="1:19" x14ac:dyDescent="0.25">
      <c r="A3214" s="24" t="s">
        <v>4347</v>
      </c>
      <c r="B3214" s="4" t="s">
        <v>1059</v>
      </c>
      <c r="C3214" s="25" t="s">
        <v>5</v>
      </c>
      <c r="G3214" s="25" t="s">
        <v>1086</v>
      </c>
      <c r="H3214" s="24" t="s">
        <v>1061</v>
      </c>
      <c r="I3214" s="3" t="str">
        <f>IFERROR(VLOOKUP(C3214,'Справочник соответствий'!A$2:D$2981,2,FALSE),IF(VALUE(C3214)=0,1,VLOOKUP(C3214,'Справочник соответствий'!A$2:D$2981,2,FALSE)))</f>
        <v>1</v>
      </c>
      <c r="J3214" s="3">
        <f>IFERROR(VLOOKUP(D3214,'Справочник соответствий'!A$2:D$2981,2,FALSE),IF(VALUE(D3214)=0,0,VLOOKUP(D3214,'Справочник соответствий'!A$2:D$2981,2,FALSE)))</f>
        <v>0</v>
      </c>
      <c r="K3214" s="3" t="str">
        <f t="shared" si="350"/>
        <v>1</v>
      </c>
      <c r="L3214" s="13" t="str">
        <f>IFERROR(VLOOKUP(C3214,'Справочник соответствий'!A$2:D$2981,3,FALSE),IF(VALUE(C3214)=0,"ЭТАЖ НЕ ОПРЕДЕЛЕН. ПРИНЯТ ПО ДОПУЩЕНИЮ 1",VLOOKUP(C3214,'Справочник соответствий'!A$2:D$2981,3,FALSE)))</f>
        <v>ЭТАЖ ЗАДАН ЧИСЛОМ</v>
      </c>
      <c r="M3214" s="13" t="b">
        <f t="shared" si="351"/>
        <v>0</v>
      </c>
      <c r="N3214" s="13">
        <f t="shared" si="352"/>
        <v>1</v>
      </c>
      <c r="O3214" s="13" t="str">
        <f t="shared" si="353"/>
        <v>ЭТАЖ ЗАДАН ЧИСЛОМ</v>
      </c>
      <c r="P3214" s="13" t="str">
        <f t="shared" si="354"/>
        <v>ЭТАЖ ЗАДАН ЧИСЛОМ</v>
      </c>
      <c r="Q3214" s="13" t="str">
        <f t="shared" si="355"/>
        <v>ГОТОВ_ИЗМЕНЕН</v>
      </c>
      <c r="R3214" s="13">
        <f>IFERROR(VLOOKUP(P3214,Лист1!A$1:B$20,2,FALSE),0)</f>
        <v>784</v>
      </c>
      <c r="S3214" s="13">
        <f t="shared" si="356"/>
        <v>0</v>
      </c>
    </row>
    <row r="3215" spans="1:19" x14ac:dyDescent="0.25">
      <c r="A3215" s="24" t="s">
        <v>4348</v>
      </c>
      <c r="B3215" s="4" t="s">
        <v>1059</v>
      </c>
      <c r="C3215" s="25" t="s">
        <v>7</v>
      </c>
      <c r="G3215" s="25" t="s">
        <v>1060</v>
      </c>
      <c r="H3215" s="24" t="s">
        <v>1061</v>
      </c>
      <c r="I3215" s="3" t="str">
        <f>IFERROR(VLOOKUP(C3215,'Справочник соответствий'!A$2:D$2981,2,FALSE),IF(VALUE(C3215)=0,1,VLOOKUP(C3215,'Справочник соответствий'!A$2:D$2981,2,FALSE)))</f>
        <v>2</v>
      </c>
      <c r="J3215" s="3">
        <f>IFERROR(VLOOKUP(D3215,'Справочник соответствий'!A$2:D$2981,2,FALSE),IF(VALUE(D3215)=0,0,VLOOKUP(D3215,'Справочник соответствий'!A$2:D$2981,2,FALSE)))</f>
        <v>0</v>
      </c>
      <c r="K3215" s="3" t="str">
        <f t="shared" si="350"/>
        <v>2</v>
      </c>
      <c r="L3215" s="13" t="str">
        <f>IFERROR(VLOOKUP(C3215,'Справочник соответствий'!A$2:D$2981,3,FALSE),IF(VALUE(C3215)=0,"ЭТАЖ НЕ ОПРЕДЕЛЕН. ПРИНЯТ ПО ДОПУЩЕНИЮ 1",VLOOKUP(C3215,'Справочник соответствий'!A$2:D$2981,3,FALSE)))</f>
        <v>ЭТАЖ ЗАДАН ЧИСЛОМ</v>
      </c>
      <c r="M3215" s="13" t="b">
        <f t="shared" si="351"/>
        <v>0</v>
      </c>
      <c r="N3215" s="13">
        <f t="shared" si="352"/>
        <v>2</v>
      </c>
      <c r="O3215" s="13" t="str">
        <f t="shared" si="353"/>
        <v>ЭТАЖ ЗАДАН ЧИСЛОМ</v>
      </c>
      <c r="P3215" s="13" t="str">
        <f t="shared" si="354"/>
        <v>ЭТАЖ ЗАДАН ЧИСЛОМ</v>
      </c>
      <c r="Q3215" s="13" t="str">
        <f t="shared" si="355"/>
        <v>ГОТОВ_ИЗМЕНЕН</v>
      </c>
      <c r="R3215" s="13">
        <f>IFERROR(VLOOKUP(P3215,Лист1!A$1:B$20,2,FALSE),0)</f>
        <v>784</v>
      </c>
      <c r="S3215" s="13">
        <f t="shared" si="356"/>
        <v>0</v>
      </c>
    </row>
    <row r="3216" spans="1:19" x14ac:dyDescent="0.25">
      <c r="A3216" s="24" t="s">
        <v>4349</v>
      </c>
      <c r="B3216" s="4" t="s">
        <v>1063</v>
      </c>
      <c r="C3216" s="25" t="s">
        <v>7</v>
      </c>
      <c r="G3216" s="25" t="s">
        <v>1060</v>
      </c>
      <c r="H3216" s="24" t="s">
        <v>1061</v>
      </c>
      <c r="I3216" s="3" t="str">
        <f>IFERROR(VLOOKUP(C3216,'Справочник соответствий'!A$2:D$2981,2,FALSE),IF(VALUE(C3216)=0,1,VLOOKUP(C3216,'Справочник соответствий'!A$2:D$2981,2,FALSE)))</f>
        <v>2</v>
      </c>
      <c r="J3216" s="3">
        <f>IFERROR(VLOOKUP(D3216,'Справочник соответствий'!A$2:D$2981,2,FALSE),IF(VALUE(D3216)=0,0,VLOOKUP(D3216,'Справочник соответствий'!A$2:D$2981,2,FALSE)))</f>
        <v>0</v>
      </c>
      <c r="K3216" s="3" t="str">
        <f t="shared" si="350"/>
        <v>2</v>
      </c>
      <c r="L3216" s="13" t="str">
        <f>IFERROR(VLOOKUP(C3216,'Справочник соответствий'!A$2:D$2981,3,FALSE),IF(VALUE(C3216)=0,"ЭТАЖ НЕ ОПРЕДЕЛЕН. ПРИНЯТ ПО ДОПУЩЕНИЮ 1",VLOOKUP(C3216,'Справочник соответствий'!A$2:D$2981,3,FALSE)))</f>
        <v>ЭТАЖ ЗАДАН ЧИСЛОМ</v>
      </c>
      <c r="M3216" s="13" t="b">
        <f t="shared" si="351"/>
        <v>0</v>
      </c>
      <c r="N3216" s="13">
        <f t="shared" si="352"/>
        <v>2</v>
      </c>
      <c r="O3216" s="13" t="str">
        <f t="shared" si="353"/>
        <v>ЭТАЖ ЗАДАН ЧИСЛОМ</v>
      </c>
      <c r="P3216" s="13" t="str">
        <f t="shared" si="354"/>
        <v>ЭТАЖ ЗАДАН ЧИСЛОМ</v>
      </c>
      <c r="Q3216" s="13" t="str">
        <f t="shared" si="355"/>
        <v>ГОТОВ_ИЗМЕНЕН</v>
      </c>
      <c r="R3216" s="13">
        <f>IFERROR(VLOOKUP(P3216,Лист1!A$1:B$20,2,FALSE),0)</f>
        <v>784</v>
      </c>
      <c r="S3216" s="13">
        <f t="shared" si="356"/>
        <v>0</v>
      </c>
    </row>
    <row r="3217" spans="1:19" x14ac:dyDescent="0.25">
      <c r="A3217" s="24" t="s">
        <v>4350</v>
      </c>
      <c r="B3217" s="4" t="s">
        <v>1059</v>
      </c>
      <c r="C3217" s="25" t="s">
        <v>5</v>
      </c>
      <c r="G3217" s="25" t="s">
        <v>1096</v>
      </c>
      <c r="H3217" s="24" t="s">
        <v>1061</v>
      </c>
      <c r="I3217" s="3" t="str">
        <f>IFERROR(VLOOKUP(C3217,'Справочник соответствий'!A$2:D$2981,2,FALSE),IF(VALUE(C3217)=0,1,VLOOKUP(C3217,'Справочник соответствий'!A$2:D$2981,2,FALSE)))</f>
        <v>1</v>
      </c>
      <c r="J3217" s="3">
        <f>IFERROR(VLOOKUP(D3217,'Справочник соответствий'!A$2:D$2981,2,FALSE),IF(VALUE(D3217)=0,0,VLOOKUP(D3217,'Справочник соответствий'!A$2:D$2981,2,FALSE)))</f>
        <v>0</v>
      </c>
      <c r="K3217" s="3" t="str">
        <f t="shared" si="350"/>
        <v>1</v>
      </c>
      <c r="L3217" s="13" t="str">
        <f>IFERROR(VLOOKUP(C3217,'Справочник соответствий'!A$2:D$2981,3,FALSE),IF(VALUE(C3217)=0,"ЭТАЖ НЕ ОПРЕДЕЛЕН. ПРИНЯТ ПО ДОПУЩЕНИЮ 1",VLOOKUP(C3217,'Справочник соответствий'!A$2:D$2981,3,FALSE)))</f>
        <v>ЭТАЖ ЗАДАН ЧИСЛОМ</v>
      </c>
      <c r="M3217" s="13" t="b">
        <f t="shared" si="351"/>
        <v>0</v>
      </c>
      <c r="N3217" s="13">
        <f t="shared" si="352"/>
        <v>1</v>
      </c>
      <c r="O3217" s="13" t="str">
        <f t="shared" si="353"/>
        <v>ЭТАЖ ЗАДАН ЧИСЛОМ</v>
      </c>
      <c r="P3217" s="13" t="str">
        <f t="shared" si="354"/>
        <v>ЭТАЖ ЗАДАН ЧИСЛОМ</v>
      </c>
      <c r="Q3217" s="13" t="str">
        <f t="shared" si="355"/>
        <v>ГОТОВ_ИЗМЕНЕН</v>
      </c>
      <c r="R3217" s="13">
        <f>IFERROR(VLOOKUP(P3217,Лист1!A$1:B$20,2,FALSE),0)</f>
        <v>784</v>
      </c>
      <c r="S3217" s="13">
        <f t="shared" si="356"/>
        <v>0</v>
      </c>
    </row>
    <row r="3218" spans="1:19" x14ac:dyDescent="0.25">
      <c r="A3218" s="24" t="s">
        <v>4351</v>
      </c>
      <c r="B3218" s="4" t="s">
        <v>1063</v>
      </c>
      <c r="C3218" s="25" t="s">
        <v>5</v>
      </c>
      <c r="G3218" s="25" t="s">
        <v>1096</v>
      </c>
      <c r="H3218" s="24" t="s">
        <v>1061</v>
      </c>
      <c r="I3218" s="3" t="str">
        <f>IFERROR(VLOOKUP(C3218,'Справочник соответствий'!A$2:D$2981,2,FALSE),IF(VALUE(C3218)=0,1,VLOOKUP(C3218,'Справочник соответствий'!A$2:D$2981,2,FALSE)))</f>
        <v>1</v>
      </c>
      <c r="J3218" s="3">
        <f>IFERROR(VLOOKUP(D3218,'Справочник соответствий'!A$2:D$2981,2,FALSE),IF(VALUE(D3218)=0,0,VLOOKUP(D3218,'Справочник соответствий'!A$2:D$2981,2,FALSE)))</f>
        <v>0</v>
      </c>
      <c r="K3218" s="3" t="str">
        <f t="shared" si="350"/>
        <v>1</v>
      </c>
      <c r="L3218" s="13" t="str">
        <f>IFERROR(VLOOKUP(C3218,'Справочник соответствий'!A$2:D$2981,3,FALSE),IF(VALUE(C3218)=0,"ЭТАЖ НЕ ОПРЕДЕЛЕН. ПРИНЯТ ПО ДОПУЩЕНИЮ 1",VLOOKUP(C3218,'Справочник соответствий'!A$2:D$2981,3,FALSE)))</f>
        <v>ЭТАЖ ЗАДАН ЧИСЛОМ</v>
      </c>
      <c r="M3218" s="13" t="b">
        <f t="shared" si="351"/>
        <v>0</v>
      </c>
      <c r="N3218" s="13">
        <f t="shared" si="352"/>
        <v>1</v>
      </c>
      <c r="O3218" s="13" t="str">
        <f t="shared" si="353"/>
        <v>ЭТАЖ ЗАДАН ЧИСЛОМ</v>
      </c>
      <c r="P3218" s="13" t="str">
        <f t="shared" si="354"/>
        <v>ЭТАЖ ЗАДАН ЧИСЛОМ</v>
      </c>
      <c r="Q3218" s="13" t="str">
        <f t="shared" si="355"/>
        <v>ГОТОВ_ИЗМЕНЕН</v>
      </c>
      <c r="R3218" s="13">
        <f>IFERROR(VLOOKUP(P3218,Лист1!A$1:B$20,2,FALSE),0)</f>
        <v>784</v>
      </c>
      <c r="S3218" s="13">
        <f t="shared" si="356"/>
        <v>0</v>
      </c>
    </row>
    <row r="3219" spans="1:19" x14ac:dyDescent="0.25">
      <c r="A3219" s="24" t="s">
        <v>4352</v>
      </c>
      <c r="B3219" s="4" t="s">
        <v>1059</v>
      </c>
      <c r="C3219" s="25" t="s">
        <v>7</v>
      </c>
      <c r="G3219" s="25" t="s">
        <v>1096</v>
      </c>
      <c r="H3219" s="24" t="s">
        <v>1061</v>
      </c>
      <c r="I3219" s="3" t="str">
        <f>IFERROR(VLOOKUP(C3219,'Справочник соответствий'!A$2:D$2981,2,FALSE),IF(VALUE(C3219)=0,1,VLOOKUP(C3219,'Справочник соответствий'!A$2:D$2981,2,FALSE)))</f>
        <v>2</v>
      </c>
      <c r="J3219" s="3">
        <f>IFERROR(VLOOKUP(D3219,'Справочник соответствий'!A$2:D$2981,2,FALSE),IF(VALUE(D3219)=0,0,VLOOKUP(D3219,'Справочник соответствий'!A$2:D$2981,2,FALSE)))</f>
        <v>0</v>
      </c>
      <c r="K3219" s="3" t="str">
        <f t="shared" si="350"/>
        <v>2</v>
      </c>
      <c r="L3219" s="13" t="str">
        <f>IFERROR(VLOOKUP(C3219,'Справочник соответствий'!A$2:D$2981,3,FALSE),IF(VALUE(C3219)=0,"ЭТАЖ НЕ ОПРЕДЕЛЕН. ПРИНЯТ ПО ДОПУЩЕНИЮ 1",VLOOKUP(C3219,'Справочник соответствий'!A$2:D$2981,3,FALSE)))</f>
        <v>ЭТАЖ ЗАДАН ЧИСЛОМ</v>
      </c>
      <c r="M3219" s="13" t="b">
        <f t="shared" si="351"/>
        <v>0</v>
      </c>
      <c r="N3219" s="13">
        <f t="shared" si="352"/>
        <v>2</v>
      </c>
      <c r="O3219" s="13" t="str">
        <f t="shared" si="353"/>
        <v>ЭТАЖ ЗАДАН ЧИСЛОМ</v>
      </c>
      <c r="P3219" s="13" t="str">
        <f t="shared" si="354"/>
        <v>ЭТАЖ ЗАДАН ЧИСЛОМ</v>
      </c>
      <c r="Q3219" s="13" t="str">
        <f t="shared" si="355"/>
        <v>ГОТОВ_ИЗМЕНЕН</v>
      </c>
      <c r="R3219" s="13">
        <f>IFERROR(VLOOKUP(P3219,Лист1!A$1:B$20,2,FALSE),0)</f>
        <v>784</v>
      </c>
      <c r="S3219" s="13">
        <f t="shared" si="356"/>
        <v>0</v>
      </c>
    </row>
    <row r="3220" spans="1:19" x14ac:dyDescent="0.25">
      <c r="A3220" s="24" t="s">
        <v>4353</v>
      </c>
      <c r="B3220" s="4" t="s">
        <v>1059</v>
      </c>
      <c r="C3220" s="25" t="s">
        <v>5</v>
      </c>
      <c r="G3220" s="25" t="s">
        <v>1096</v>
      </c>
      <c r="H3220" s="24" t="s">
        <v>1061</v>
      </c>
      <c r="I3220" s="3" t="str">
        <f>IFERROR(VLOOKUP(C3220,'Справочник соответствий'!A$2:D$2981,2,FALSE),IF(VALUE(C3220)=0,1,VLOOKUP(C3220,'Справочник соответствий'!A$2:D$2981,2,FALSE)))</f>
        <v>1</v>
      </c>
      <c r="J3220" s="3">
        <f>IFERROR(VLOOKUP(D3220,'Справочник соответствий'!A$2:D$2981,2,FALSE),IF(VALUE(D3220)=0,0,VLOOKUP(D3220,'Справочник соответствий'!A$2:D$2981,2,FALSE)))</f>
        <v>0</v>
      </c>
      <c r="K3220" s="3" t="str">
        <f t="shared" si="350"/>
        <v>1</v>
      </c>
      <c r="L3220" s="13" t="str">
        <f>IFERROR(VLOOKUP(C3220,'Справочник соответствий'!A$2:D$2981,3,FALSE),IF(VALUE(C3220)=0,"ЭТАЖ НЕ ОПРЕДЕЛЕН. ПРИНЯТ ПО ДОПУЩЕНИЮ 1",VLOOKUP(C3220,'Справочник соответствий'!A$2:D$2981,3,FALSE)))</f>
        <v>ЭТАЖ ЗАДАН ЧИСЛОМ</v>
      </c>
      <c r="M3220" s="13" t="b">
        <f t="shared" si="351"/>
        <v>0</v>
      </c>
      <c r="N3220" s="13">
        <f t="shared" si="352"/>
        <v>1</v>
      </c>
      <c r="O3220" s="13" t="str">
        <f t="shared" si="353"/>
        <v>ЭТАЖ ЗАДАН ЧИСЛОМ</v>
      </c>
      <c r="P3220" s="13" t="str">
        <f t="shared" si="354"/>
        <v>ЭТАЖ ЗАДАН ЧИСЛОМ</v>
      </c>
      <c r="Q3220" s="13" t="str">
        <f t="shared" si="355"/>
        <v>ГОТОВ_ИЗМЕНЕН</v>
      </c>
      <c r="R3220" s="13">
        <f>IFERROR(VLOOKUP(P3220,Лист1!A$1:B$20,2,FALSE),0)</f>
        <v>784</v>
      </c>
      <c r="S3220" s="13">
        <f t="shared" si="356"/>
        <v>0</v>
      </c>
    </row>
    <row r="3221" spans="1:19" x14ac:dyDescent="0.25">
      <c r="A3221" s="24" t="s">
        <v>4354</v>
      </c>
      <c r="B3221" s="4" t="s">
        <v>1059</v>
      </c>
      <c r="C3221" s="25" t="s">
        <v>7</v>
      </c>
      <c r="G3221" s="25" t="s">
        <v>1096</v>
      </c>
      <c r="H3221" s="24" t="s">
        <v>1061</v>
      </c>
      <c r="I3221" s="3" t="str">
        <f>IFERROR(VLOOKUP(C3221,'Справочник соответствий'!A$2:D$2981,2,FALSE),IF(VALUE(C3221)=0,1,VLOOKUP(C3221,'Справочник соответствий'!A$2:D$2981,2,FALSE)))</f>
        <v>2</v>
      </c>
      <c r="J3221" s="3">
        <f>IFERROR(VLOOKUP(D3221,'Справочник соответствий'!A$2:D$2981,2,FALSE),IF(VALUE(D3221)=0,0,VLOOKUP(D3221,'Справочник соответствий'!A$2:D$2981,2,FALSE)))</f>
        <v>0</v>
      </c>
      <c r="K3221" s="3" t="str">
        <f t="shared" si="350"/>
        <v>2</v>
      </c>
      <c r="L3221" s="13" t="str">
        <f>IFERROR(VLOOKUP(C3221,'Справочник соответствий'!A$2:D$2981,3,FALSE),IF(VALUE(C3221)=0,"ЭТАЖ НЕ ОПРЕДЕЛЕН. ПРИНЯТ ПО ДОПУЩЕНИЮ 1",VLOOKUP(C3221,'Справочник соответствий'!A$2:D$2981,3,FALSE)))</f>
        <v>ЭТАЖ ЗАДАН ЧИСЛОМ</v>
      </c>
      <c r="M3221" s="13" t="b">
        <f t="shared" si="351"/>
        <v>0</v>
      </c>
      <c r="N3221" s="13">
        <f t="shared" si="352"/>
        <v>2</v>
      </c>
      <c r="O3221" s="13" t="str">
        <f t="shared" si="353"/>
        <v>ЭТАЖ ЗАДАН ЧИСЛОМ</v>
      </c>
      <c r="P3221" s="13" t="str">
        <f t="shared" si="354"/>
        <v>ЭТАЖ ЗАДАН ЧИСЛОМ</v>
      </c>
      <c r="Q3221" s="13" t="str">
        <f t="shared" si="355"/>
        <v>ГОТОВ_ИЗМЕНЕН</v>
      </c>
      <c r="R3221" s="13">
        <f>IFERROR(VLOOKUP(P3221,Лист1!A$1:B$20,2,FALSE),0)</f>
        <v>784</v>
      </c>
      <c r="S3221" s="13">
        <f t="shared" si="356"/>
        <v>0</v>
      </c>
    </row>
    <row r="3222" spans="1:19" x14ac:dyDescent="0.25">
      <c r="A3222" s="24" t="s">
        <v>4355</v>
      </c>
      <c r="B3222" s="4" t="s">
        <v>1059</v>
      </c>
      <c r="C3222" s="25" t="s">
        <v>5</v>
      </c>
      <c r="G3222" s="25" t="s">
        <v>1096</v>
      </c>
      <c r="H3222" s="24" t="s">
        <v>1061</v>
      </c>
      <c r="I3222" s="3" t="str">
        <f>IFERROR(VLOOKUP(C3222,'Справочник соответствий'!A$2:D$2981,2,FALSE),IF(VALUE(C3222)=0,1,VLOOKUP(C3222,'Справочник соответствий'!A$2:D$2981,2,FALSE)))</f>
        <v>1</v>
      </c>
      <c r="J3222" s="3">
        <f>IFERROR(VLOOKUP(D3222,'Справочник соответствий'!A$2:D$2981,2,FALSE),IF(VALUE(D3222)=0,0,VLOOKUP(D3222,'Справочник соответствий'!A$2:D$2981,2,FALSE)))</f>
        <v>0</v>
      </c>
      <c r="K3222" s="3" t="str">
        <f t="shared" si="350"/>
        <v>1</v>
      </c>
      <c r="L3222" s="13" t="str">
        <f>IFERROR(VLOOKUP(C3222,'Справочник соответствий'!A$2:D$2981,3,FALSE),IF(VALUE(C3222)=0,"ЭТАЖ НЕ ОПРЕДЕЛЕН. ПРИНЯТ ПО ДОПУЩЕНИЮ 1",VLOOKUP(C3222,'Справочник соответствий'!A$2:D$2981,3,FALSE)))</f>
        <v>ЭТАЖ ЗАДАН ЧИСЛОМ</v>
      </c>
      <c r="M3222" s="13" t="b">
        <f t="shared" si="351"/>
        <v>0</v>
      </c>
      <c r="N3222" s="13">
        <f t="shared" si="352"/>
        <v>1</v>
      </c>
      <c r="O3222" s="13" t="str">
        <f t="shared" si="353"/>
        <v>ЭТАЖ ЗАДАН ЧИСЛОМ</v>
      </c>
      <c r="P3222" s="13" t="str">
        <f t="shared" si="354"/>
        <v>ЭТАЖ ЗАДАН ЧИСЛОМ</v>
      </c>
      <c r="Q3222" s="13" t="str">
        <f t="shared" si="355"/>
        <v>ГОТОВ_ИЗМЕНЕН</v>
      </c>
      <c r="R3222" s="13">
        <f>IFERROR(VLOOKUP(P3222,Лист1!A$1:B$20,2,FALSE),0)</f>
        <v>784</v>
      </c>
      <c r="S3222" s="13">
        <f t="shared" si="356"/>
        <v>0</v>
      </c>
    </row>
    <row r="3223" spans="1:19" x14ac:dyDescent="0.25">
      <c r="A3223" s="24" t="s">
        <v>4356</v>
      </c>
      <c r="B3223" s="4" t="s">
        <v>1059</v>
      </c>
      <c r="C3223" s="25" t="s">
        <v>7</v>
      </c>
      <c r="G3223" s="25" t="s">
        <v>1096</v>
      </c>
      <c r="H3223" s="24" t="s">
        <v>1061</v>
      </c>
      <c r="I3223" s="3" t="str">
        <f>IFERROR(VLOOKUP(C3223,'Справочник соответствий'!A$2:D$2981,2,FALSE),IF(VALUE(C3223)=0,1,VLOOKUP(C3223,'Справочник соответствий'!A$2:D$2981,2,FALSE)))</f>
        <v>2</v>
      </c>
      <c r="J3223" s="3">
        <f>IFERROR(VLOOKUP(D3223,'Справочник соответствий'!A$2:D$2981,2,FALSE),IF(VALUE(D3223)=0,0,VLOOKUP(D3223,'Справочник соответствий'!A$2:D$2981,2,FALSE)))</f>
        <v>0</v>
      </c>
      <c r="K3223" s="3" t="str">
        <f t="shared" si="350"/>
        <v>2</v>
      </c>
      <c r="L3223" s="13" t="str">
        <f>IFERROR(VLOOKUP(C3223,'Справочник соответствий'!A$2:D$2981,3,FALSE),IF(VALUE(C3223)=0,"ЭТАЖ НЕ ОПРЕДЕЛЕН. ПРИНЯТ ПО ДОПУЩЕНИЮ 1",VLOOKUP(C3223,'Справочник соответствий'!A$2:D$2981,3,FALSE)))</f>
        <v>ЭТАЖ ЗАДАН ЧИСЛОМ</v>
      </c>
      <c r="M3223" s="13" t="b">
        <f t="shared" si="351"/>
        <v>0</v>
      </c>
      <c r="N3223" s="13">
        <f t="shared" si="352"/>
        <v>2</v>
      </c>
      <c r="O3223" s="13" t="str">
        <f t="shared" si="353"/>
        <v>ЭТАЖ ЗАДАН ЧИСЛОМ</v>
      </c>
      <c r="P3223" s="13" t="str">
        <f t="shared" si="354"/>
        <v>ЭТАЖ ЗАДАН ЧИСЛОМ</v>
      </c>
      <c r="Q3223" s="13" t="str">
        <f t="shared" si="355"/>
        <v>ГОТОВ_ИЗМЕНЕН</v>
      </c>
      <c r="R3223" s="13">
        <f>IFERROR(VLOOKUP(P3223,Лист1!A$1:B$20,2,FALSE),0)</f>
        <v>784</v>
      </c>
      <c r="S3223" s="13">
        <f t="shared" si="356"/>
        <v>0</v>
      </c>
    </row>
    <row r="3224" spans="1:19" x14ac:dyDescent="0.25">
      <c r="A3224" s="24" t="s">
        <v>4357</v>
      </c>
      <c r="B3224" s="4" t="s">
        <v>1059</v>
      </c>
      <c r="C3224" s="25" t="s">
        <v>5</v>
      </c>
      <c r="G3224" s="25" t="s">
        <v>1096</v>
      </c>
      <c r="H3224" s="24" t="s">
        <v>1061</v>
      </c>
      <c r="I3224" s="3" t="str">
        <f>IFERROR(VLOOKUP(C3224,'Справочник соответствий'!A$2:D$2981,2,FALSE),IF(VALUE(C3224)=0,1,VLOOKUP(C3224,'Справочник соответствий'!A$2:D$2981,2,FALSE)))</f>
        <v>1</v>
      </c>
      <c r="J3224" s="3">
        <f>IFERROR(VLOOKUP(D3224,'Справочник соответствий'!A$2:D$2981,2,FALSE),IF(VALUE(D3224)=0,0,VLOOKUP(D3224,'Справочник соответствий'!A$2:D$2981,2,FALSE)))</f>
        <v>0</v>
      </c>
      <c r="K3224" s="3" t="str">
        <f t="shared" si="350"/>
        <v>1</v>
      </c>
      <c r="L3224" s="13" t="str">
        <f>IFERROR(VLOOKUP(C3224,'Справочник соответствий'!A$2:D$2981,3,FALSE),IF(VALUE(C3224)=0,"ЭТАЖ НЕ ОПРЕДЕЛЕН. ПРИНЯТ ПО ДОПУЩЕНИЮ 1",VLOOKUP(C3224,'Справочник соответствий'!A$2:D$2981,3,FALSE)))</f>
        <v>ЭТАЖ ЗАДАН ЧИСЛОМ</v>
      </c>
      <c r="M3224" s="13" t="b">
        <f t="shared" si="351"/>
        <v>0</v>
      </c>
      <c r="N3224" s="13">
        <f t="shared" si="352"/>
        <v>1</v>
      </c>
      <c r="O3224" s="13" t="str">
        <f t="shared" si="353"/>
        <v>ЭТАЖ ЗАДАН ЧИСЛОМ</v>
      </c>
      <c r="P3224" s="13" t="str">
        <f t="shared" si="354"/>
        <v>ЭТАЖ ЗАДАН ЧИСЛОМ</v>
      </c>
      <c r="Q3224" s="13" t="str">
        <f t="shared" si="355"/>
        <v>ГОТОВ_ИЗМЕНЕН</v>
      </c>
      <c r="R3224" s="13">
        <f>IFERROR(VLOOKUP(P3224,Лист1!A$1:B$20,2,FALSE),0)</f>
        <v>784</v>
      </c>
      <c r="S3224" s="13">
        <f t="shared" si="356"/>
        <v>0</v>
      </c>
    </row>
    <row r="3225" spans="1:19" x14ac:dyDescent="0.25">
      <c r="A3225" s="24" t="s">
        <v>4358</v>
      </c>
      <c r="B3225" s="4" t="s">
        <v>1063</v>
      </c>
      <c r="C3225" s="25" t="s">
        <v>5</v>
      </c>
      <c r="G3225" s="25" t="s">
        <v>1069</v>
      </c>
      <c r="H3225" s="24" t="s">
        <v>1061</v>
      </c>
      <c r="I3225" s="3" t="str">
        <f>IFERROR(VLOOKUP(C3225,'Справочник соответствий'!A$2:D$2981,2,FALSE),IF(VALUE(C3225)=0,1,VLOOKUP(C3225,'Справочник соответствий'!A$2:D$2981,2,FALSE)))</f>
        <v>1</v>
      </c>
      <c r="J3225" s="3">
        <f>IFERROR(VLOOKUP(D3225,'Справочник соответствий'!A$2:D$2981,2,FALSE),IF(VALUE(D3225)=0,0,VLOOKUP(D3225,'Справочник соответствий'!A$2:D$2981,2,FALSE)))</f>
        <v>0</v>
      </c>
      <c r="K3225" s="3" t="str">
        <f t="shared" si="350"/>
        <v>1</v>
      </c>
      <c r="L3225" s="13" t="str">
        <f>IFERROR(VLOOKUP(C3225,'Справочник соответствий'!A$2:D$2981,3,FALSE),IF(VALUE(C3225)=0,"ЭТАЖ НЕ ОПРЕДЕЛЕН. ПРИНЯТ ПО ДОПУЩЕНИЮ 1",VLOOKUP(C3225,'Справочник соответствий'!A$2:D$2981,3,FALSE)))</f>
        <v>ЭТАЖ ЗАДАН ЧИСЛОМ</v>
      </c>
      <c r="M3225" s="13" t="b">
        <f t="shared" si="351"/>
        <v>0</v>
      </c>
      <c r="N3225" s="13">
        <f t="shared" si="352"/>
        <v>1</v>
      </c>
      <c r="O3225" s="13" t="str">
        <f t="shared" si="353"/>
        <v>ЭТАЖ ЗАДАН ЧИСЛОМ</v>
      </c>
      <c r="P3225" s="13" t="str">
        <f t="shared" si="354"/>
        <v>ЭТАЖ ЗАДАН ЧИСЛОМ</v>
      </c>
      <c r="Q3225" s="13" t="str">
        <f t="shared" si="355"/>
        <v>ГОТОВ_ИЗМЕНЕН</v>
      </c>
      <c r="R3225" s="13">
        <f>IFERROR(VLOOKUP(P3225,Лист1!A$1:B$20,2,FALSE),0)</f>
        <v>784</v>
      </c>
      <c r="S3225" s="13">
        <f t="shared" si="356"/>
        <v>0</v>
      </c>
    </row>
    <row r="3226" spans="1:19" x14ac:dyDescent="0.25">
      <c r="A3226" s="24" t="s">
        <v>4359</v>
      </c>
      <c r="B3226" s="4" t="s">
        <v>1063</v>
      </c>
      <c r="C3226" s="25" t="s">
        <v>5</v>
      </c>
      <c r="G3226" s="25" t="s">
        <v>3185</v>
      </c>
      <c r="H3226" s="24" t="s">
        <v>1061</v>
      </c>
      <c r="I3226" s="3" t="str">
        <f>IFERROR(VLOOKUP(C3226,'Справочник соответствий'!A$2:D$2981,2,FALSE),IF(VALUE(C3226)=0,1,VLOOKUP(C3226,'Справочник соответствий'!A$2:D$2981,2,FALSE)))</f>
        <v>1</v>
      </c>
      <c r="J3226" s="3">
        <f>IFERROR(VLOOKUP(D3226,'Справочник соответствий'!A$2:D$2981,2,FALSE),IF(VALUE(D3226)=0,0,VLOOKUP(D3226,'Справочник соответствий'!A$2:D$2981,2,FALSE)))</f>
        <v>0</v>
      </c>
      <c r="K3226" s="3" t="str">
        <f t="shared" si="350"/>
        <v>1</v>
      </c>
      <c r="L3226" s="13" t="str">
        <f>IFERROR(VLOOKUP(C3226,'Справочник соответствий'!A$2:D$2981,3,FALSE),IF(VALUE(C3226)=0,"ЭТАЖ НЕ ОПРЕДЕЛЕН. ПРИНЯТ ПО ДОПУЩЕНИЮ 1",VLOOKUP(C3226,'Справочник соответствий'!A$2:D$2981,3,FALSE)))</f>
        <v>ЭТАЖ ЗАДАН ЧИСЛОМ</v>
      </c>
      <c r="M3226" s="13" t="b">
        <f t="shared" si="351"/>
        <v>0</v>
      </c>
      <c r="N3226" s="13">
        <f t="shared" si="352"/>
        <v>1</v>
      </c>
      <c r="O3226" s="13" t="str">
        <f t="shared" si="353"/>
        <v>ЭТАЖ ЗАДАН ЧИСЛОМ</v>
      </c>
      <c r="P3226" s="13" t="str">
        <f t="shared" si="354"/>
        <v>ЭТАЖ ЗАДАН ЧИСЛОМ</v>
      </c>
      <c r="Q3226" s="13" t="str">
        <f t="shared" si="355"/>
        <v>ГОТОВ_ИЗМЕНЕН</v>
      </c>
      <c r="R3226" s="13">
        <f>IFERROR(VLOOKUP(P3226,Лист1!A$1:B$20,2,FALSE),0)</f>
        <v>784</v>
      </c>
      <c r="S3226" s="13">
        <f t="shared" si="356"/>
        <v>0</v>
      </c>
    </row>
    <row r="3227" spans="1:19" x14ac:dyDescent="0.25">
      <c r="A3227" s="24" t="s">
        <v>4360</v>
      </c>
      <c r="B3227" s="4" t="s">
        <v>1059</v>
      </c>
      <c r="C3227" s="25" t="s">
        <v>5</v>
      </c>
      <c r="G3227" s="25" t="s">
        <v>3185</v>
      </c>
      <c r="H3227" s="24" t="s">
        <v>1061</v>
      </c>
      <c r="I3227" s="3" t="str">
        <f>IFERROR(VLOOKUP(C3227,'Справочник соответствий'!A$2:D$2981,2,FALSE),IF(VALUE(C3227)=0,1,VLOOKUP(C3227,'Справочник соответствий'!A$2:D$2981,2,FALSE)))</f>
        <v>1</v>
      </c>
      <c r="J3227" s="3">
        <f>IFERROR(VLOOKUP(D3227,'Справочник соответствий'!A$2:D$2981,2,FALSE),IF(VALUE(D3227)=0,0,VLOOKUP(D3227,'Справочник соответствий'!A$2:D$2981,2,FALSE)))</f>
        <v>0</v>
      </c>
      <c r="K3227" s="3" t="str">
        <f t="shared" si="350"/>
        <v>1</v>
      </c>
      <c r="L3227" s="13" t="str">
        <f>IFERROR(VLOOKUP(C3227,'Справочник соответствий'!A$2:D$2981,3,FALSE),IF(VALUE(C3227)=0,"ЭТАЖ НЕ ОПРЕДЕЛЕН. ПРИНЯТ ПО ДОПУЩЕНИЮ 1",VLOOKUP(C3227,'Справочник соответствий'!A$2:D$2981,3,FALSE)))</f>
        <v>ЭТАЖ ЗАДАН ЧИСЛОМ</v>
      </c>
      <c r="M3227" s="13" t="b">
        <f t="shared" si="351"/>
        <v>0</v>
      </c>
      <c r="N3227" s="13">
        <f t="shared" si="352"/>
        <v>1</v>
      </c>
      <c r="O3227" s="13" t="str">
        <f t="shared" si="353"/>
        <v>ЭТАЖ ЗАДАН ЧИСЛОМ</v>
      </c>
      <c r="P3227" s="13" t="str">
        <f t="shared" si="354"/>
        <v>ЭТАЖ ЗАДАН ЧИСЛОМ</v>
      </c>
      <c r="Q3227" s="13" t="str">
        <f t="shared" si="355"/>
        <v>ГОТОВ_ИЗМЕНЕН</v>
      </c>
      <c r="R3227" s="13">
        <f>IFERROR(VLOOKUP(P3227,Лист1!A$1:B$20,2,FALSE),0)</f>
        <v>784</v>
      </c>
      <c r="S3227" s="13">
        <f t="shared" si="356"/>
        <v>0</v>
      </c>
    </row>
    <row r="3228" spans="1:19" x14ac:dyDescent="0.25">
      <c r="A3228" s="24" t="s">
        <v>4361</v>
      </c>
      <c r="B3228" s="4" t="s">
        <v>1059</v>
      </c>
      <c r="C3228" s="25" t="s">
        <v>7</v>
      </c>
      <c r="G3228" s="25" t="s">
        <v>3185</v>
      </c>
      <c r="H3228" s="24" t="s">
        <v>1061</v>
      </c>
      <c r="I3228" s="3" t="str">
        <f>IFERROR(VLOOKUP(C3228,'Справочник соответствий'!A$2:D$2981,2,FALSE),IF(VALUE(C3228)=0,1,VLOOKUP(C3228,'Справочник соответствий'!A$2:D$2981,2,FALSE)))</f>
        <v>2</v>
      </c>
      <c r="J3228" s="3">
        <f>IFERROR(VLOOKUP(D3228,'Справочник соответствий'!A$2:D$2981,2,FALSE),IF(VALUE(D3228)=0,0,VLOOKUP(D3228,'Справочник соответствий'!A$2:D$2981,2,FALSE)))</f>
        <v>0</v>
      </c>
      <c r="K3228" s="3" t="str">
        <f t="shared" si="350"/>
        <v>2</v>
      </c>
      <c r="L3228" s="13" t="str">
        <f>IFERROR(VLOOKUP(C3228,'Справочник соответствий'!A$2:D$2981,3,FALSE),IF(VALUE(C3228)=0,"ЭТАЖ НЕ ОПРЕДЕЛЕН. ПРИНЯТ ПО ДОПУЩЕНИЮ 1",VLOOKUP(C3228,'Справочник соответствий'!A$2:D$2981,3,FALSE)))</f>
        <v>ЭТАЖ ЗАДАН ЧИСЛОМ</v>
      </c>
      <c r="M3228" s="13" t="b">
        <f t="shared" si="351"/>
        <v>0</v>
      </c>
      <c r="N3228" s="13">
        <f t="shared" si="352"/>
        <v>2</v>
      </c>
      <c r="O3228" s="13" t="str">
        <f t="shared" si="353"/>
        <v>ЭТАЖ ЗАДАН ЧИСЛОМ</v>
      </c>
      <c r="P3228" s="13" t="str">
        <f t="shared" si="354"/>
        <v>ЭТАЖ ЗАДАН ЧИСЛОМ</v>
      </c>
      <c r="Q3228" s="13" t="str">
        <f t="shared" si="355"/>
        <v>ГОТОВ_ИЗМЕНЕН</v>
      </c>
      <c r="R3228" s="13">
        <f>IFERROR(VLOOKUP(P3228,Лист1!A$1:B$20,2,FALSE),0)</f>
        <v>784</v>
      </c>
      <c r="S3228" s="13">
        <f t="shared" si="356"/>
        <v>0</v>
      </c>
    </row>
    <row r="3229" spans="1:19" x14ac:dyDescent="0.25">
      <c r="A3229" s="24" t="s">
        <v>4362</v>
      </c>
      <c r="B3229" s="4" t="s">
        <v>1059</v>
      </c>
      <c r="C3229" s="25" t="s">
        <v>5</v>
      </c>
      <c r="G3229" s="25" t="s">
        <v>1069</v>
      </c>
      <c r="H3229" s="24" t="s">
        <v>1061</v>
      </c>
      <c r="I3229" s="3" t="str">
        <f>IFERROR(VLOOKUP(C3229,'Справочник соответствий'!A$2:D$2981,2,FALSE),IF(VALUE(C3229)=0,1,VLOOKUP(C3229,'Справочник соответствий'!A$2:D$2981,2,FALSE)))</f>
        <v>1</v>
      </c>
      <c r="J3229" s="3">
        <f>IFERROR(VLOOKUP(D3229,'Справочник соответствий'!A$2:D$2981,2,FALSE),IF(VALUE(D3229)=0,0,VLOOKUP(D3229,'Справочник соответствий'!A$2:D$2981,2,FALSE)))</f>
        <v>0</v>
      </c>
      <c r="K3229" s="3" t="str">
        <f t="shared" si="350"/>
        <v>1</v>
      </c>
      <c r="L3229" s="13" t="str">
        <f>IFERROR(VLOOKUP(C3229,'Справочник соответствий'!A$2:D$2981,3,FALSE),IF(VALUE(C3229)=0,"ЭТАЖ НЕ ОПРЕДЕЛЕН. ПРИНЯТ ПО ДОПУЩЕНИЮ 1",VLOOKUP(C3229,'Справочник соответствий'!A$2:D$2981,3,FALSE)))</f>
        <v>ЭТАЖ ЗАДАН ЧИСЛОМ</v>
      </c>
      <c r="M3229" s="13" t="b">
        <f t="shared" si="351"/>
        <v>0</v>
      </c>
      <c r="N3229" s="13">
        <f t="shared" si="352"/>
        <v>1</v>
      </c>
      <c r="O3229" s="13" t="str">
        <f t="shared" si="353"/>
        <v>ЭТАЖ ЗАДАН ЧИСЛОМ</v>
      </c>
      <c r="P3229" s="13" t="str">
        <f t="shared" si="354"/>
        <v>ЭТАЖ ЗАДАН ЧИСЛОМ</v>
      </c>
      <c r="Q3229" s="13" t="str">
        <f t="shared" si="355"/>
        <v>ГОТОВ_ИЗМЕНЕН</v>
      </c>
      <c r="R3229" s="13">
        <f>IFERROR(VLOOKUP(P3229,Лист1!A$1:B$20,2,FALSE),0)</f>
        <v>784</v>
      </c>
      <c r="S3229" s="13">
        <f t="shared" si="356"/>
        <v>0</v>
      </c>
    </row>
    <row r="3230" spans="1:19" x14ac:dyDescent="0.25">
      <c r="A3230" s="24" t="s">
        <v>4363</v>
      </c>
      <c r="B3230" s="4" t="s">
        <v>1059</v>
      </c>
      <c r="C3230" s="25" t="s">
        <v>5</v>
      </c>
      <c r="G3230" s="25" t="s">
        <v>3185</v>
      </c>
      <c r="H3230" s="24" t="s">
        <v>1061</v>
      </c>
      <c r="I3230" s="3" t="str">
        <f>IFERROR(VLOOKUP(C3230,'Справочник соответствий'!A$2:D$2981,2,FALSE),IF(VALUE(C3230)=0,1,VLOOKUP(C3230,'Справочник соответствий'!A$2:D$2981,2,FALSE)))</f>
        <v>1</v>
      </c>
      <c r="J3230" s="3">
        <f>IFERROR(VLOOKUP(D3230,'Справочник соответствий'!A$2:D$2981,2,FALSE),IF(VALUE(D3230)=0,0,VLOOKUP(D3230,'Справочник соответствий'!A$2:D$2981,2,FALSE)))</f>
        <v>0</v>
      </c>
      <c r="K3230" s="3" t="str">
        <f t="shared" si="350"/>
        <v>1</v>
      </c>
      <c r="L3230" s="13" t="str">
        <f>IFERROR(VLOOKUP(C3230,'Справочник соответствий'!A$2:D$2981,3,FALSE),IF(VALUE(C3230)=0,"ЭТАЖ НЕ ОПРЕДЕЛЕН. ПРИНЯТ ПО ДОПУЩЕНИЮ 1",VLOOKUP(C3230,'Справочник соответствий'!A$2:D$2981,3,FALSE)))</f>
        <v>ЭТАЖ ЗАДАН ЧИСЛОМ</v>
      </c>
      <c r="M3230" s="13" t="b">
        <f t="shared" si="351"/>
        <v>0</v>
      </c>
      <c r="N3230" s="13">
        <f t="shared" si="352"/>
        <v>1</v>
      </c>
      <c r="O3230" s="13" t="str">
        <f t="shared" si="353"/>
        <v>ЭТАЖ ЗАДАН ЧИСЛОМ</v>
      </c>
      <c r="P3230" s="13" t="str">
        <f t="shared" si="354"/>
        <v>ЭТАЖ ЗАДАН ЧИСЛОМ</v>
      </c>
      <c r="Q3230" s="13" t="str">
        <f t="shared" si="355"/>
        <v>ГОТОВ_ИЗМЕНЕН</v>
      </c>
      <c r="R3230" s="13">
        <f>IFERROR(VLOOKUP(P3230,Лист1!A$1:B$20,2,FALSE),0)</f>
        <v>784</v>
      </c>
      <c r="S3230" s="13">
        <f t="shared" si="356"/>
        <v>0</v>
      </c>
    </row>
    <row r="3231" spans="1:19" x14ac:dyDescent="0.25">
      <c r="A3231" s="24" t="s">
        <v>4364</v>
      </c>
      <c r="B3231" s="4" t="s">
        <v>1059</v>
      </c>
      <c r="C3231" s="25" t="s">
        <v>5</v>
      </c>
      <c r="G3231" s="25" t="s">
        <v>1075</v>
      </c>
      <c r="H3231" s="24" t="s">
        <v>1061</v>
      </c>
      <c r="I3231" s="3" t="str">
        <f>IFERROR(VLOOKUP(C3231,'Справочник соответствий'!A$2:D$2981,2,FALSE),IF(VALUE(C3231)=0,1,VLOOKUP(C3231,'Справочник соответствий'!A$2:D$2981,2,FALSE)))</f>
        <v>1</v>
      </c>
      <c r="J3231" s="3">
        <f>IFERROR(VLOOKUP(D3231,'Справочник соответствий'!A$2:D$2981,2,FALSE),IF(VALUE(D3231)=0,0,VLOOKUP(D3231,'Справочник соответствий'!A$2:D$2981,2,FALSE)))</f>
        <v>0</v>
      </c>
      <c r="K3231" s="3" t="str">
        <f t="shared" si="350"/>
        <v>1</v>
      </c>
      <c r="L3231" s="13" t="str">
        <f>IFERROR(VLOOKUP(C3231,'Справочник соответствий'!A$2:D$2981,3,FALSE),IF(VALUE(C3231)=0,"ЭТАЖ НЕ ОПРЕДЕЛЕН. ПРИНЯТ ПО ДОПУЩЕНИЮ 1",VLOOKUP(C3231,'Справочник соответствий'!A$2:D$2981,3,FALSE)))</f>
        <v>ЭТАЖ ЗАДАН ЧИСЛОМ</v>
      </c>
      <c r="M3231" s="13" t="b">
        <f t="shared" si="351"/>
        <v>0</v>
      </c>
      <c r="N3231" s="13">
        <f t="shared" si="352"/>
        <v>1</v>
      </c>
      <c r="O3231" s="13" t="str">
        <f t="shared" si="353"/>
        <v>ЭТАЖ ЗАДАН ЧИСЛОМ</v>
      </c>
      <c r="P3231" s="13" t="str">
        <f t="shared" si="354"/>
        <v>ЭТАЖ ЗАДАН ЧИСЛОМ</v>
      </c>
      <c r="Q3231" s="13" t="str">
        <f t="shared" si="355"/>
        <v>ГОТОВ_ИЗМЕНЕН</v>
      </c>
      <c r="R3231" s="13">
        <f>IFERROR(VLOOKUP(P3231,Лист1!A$1:B$20,2,FALSE),0)</f>
        <v>784</v>
      </c>
      <c r="S3231" s="13">
        <f t="shared" si="356"/>
        <v>0</v>
      </c>
    </row>
    <row r="3232" spans="1:19" x14ac:dyDescent="0.25">
      <c r="A3232" s="24" t="s">
        <v>4365</v>
      </c>
      <c r="B3232" s="4" t="s">
        <v>1059</v>
      </c>
      <c r="C3232" s="25" t="s">
        <v>7</v>
      </c>
      <c r="G3232" s="25" t="s">
        <v>1075</v>
      </c>
      <c r="H3232" s="24" t="s">
        <v>1061</v>
      </c>
      <c r="I3232" s="3" t="str">
        <f>IFERROR(VLOOKUP(C3232,'Справочник соответствий'!A$2:D$2981,2,FALSE),IF(VALUE(C3232)=0,1,VLOOKUP(C3232,'Справочник соответствий'!A$2:D$2981,2,FALSE)))</f>
        <v>2</v>
      </c>
      <c r="J3232" s="3">
        <f>IFERROR(VLOOKUP(D3232,'Справочник соответствий'!A$2:D$2981,2,FALSE),IF(VALUE(D3232)=0,0,VLOOKUP(D3232,'Справочник соответствий'!A$2:D$2981,2,FALSE)))</f>
        <v>0</v>
      </c>
      <c r="K3232" s="3" t="str">
        <f t="shared" si="350"/>
        <v>2</v>
      </c>
      <c r="L3232" s="13" t="str">
        <f>IFERROR(VLOOKUP(C3232,'Справочник соответствий'!A$2:D$2981,3,FALSE),IF(VALUE(C3232)=0,"ЭТАЖ НЕ ОПРЕДЕЛЕН. ПРИНЯТ ПО ДОПУЩЕНИЮ 1",VLOOKUP(C3232,'Справочник соответствий'!A$2:D$2981,3,FALSE)))</f>
        <v>ЭТАЖ ЗАДАН ЧИСЛОМ</v>
      </c>
      <c r="M3232" s="13" t="b">
        <f t="shared" si="351"/>
        <v>0</v>
      </c>
      <c r="N3232" s="13">
        <f t="shared" si="352"/>
        <v>2</v>
      </c>
      <c r="O3232" s="13" t="str">
        <f t="shared" si="353"/>
        <v>ЭТАЖ ЗАДАН ЧИСЛОМ</v>
      </c>
      <c r="P3232" s="13" t="str">
        <f t="shared" si="354"/>
        <v>ЭТАЖ ЗАДАН ЧИСЛОМ</v>
      </c>
      <c r="Q3232" s="13" t="str">
        <f t="shared" si="355"/>
        <v>ГОТОВ_ИЗМЕНЕН</v>
      </c>
      <c r="R3232" s="13">
        <f>IFERROR(VLOOKUP(P3232,Лист1!A$1:B$20,2,FALSE),0)</f>
        <v>784</v>
      </c>
      <c r="S3232" s="13">
        <f t="shared" si="356"/>
        <v>0</v>
      </c>
    </row>
    <row r="3233" spans="1:19" x14ac:dyDescent="0.25">
      <c r="A3233" s="24" t="s">
        <v>4366</v>
      </c>
      <c r="B3233" s="4" t="s">
        <v>1059</v>
      </c>
      <c r="C3233" s="25" t="s">
        <v>7</v>
      </c>
      <c r="G3233" s="25" t="s">
        <v>1075</v>
      </c>
      <c r="H3233" s="24" t="s">
        <v>1061</v>
      </c>
      <c r="I3233" s="3" t="str">
        <f>IFERROR(VLOOKUP(C3233,'Справочник соответствий'!A$2:D$2981,2,FALSE),IF(VALUE(C3233)=0,1,VLOOKUP(C3233,'Справочник соответствий'!A$2:D$2981,2,FALSE)))</f>
        <v>2</v>
      </c>
      <c r="J3233" s="3">
        <f>IFERROR(VLOOKUP(D3233,'Справочник соответствий'!A$2:D$2981,2,FALSE),IF(VALUE(D3233)=0,0,VLOOKUP(D3233,'Справочник соответствий'!A$2:D$2981,2,FALSE)))</f>
        <v>0</v>
      </c>
      <c r="K3233" s="3" t="str">
        <f t="shared" si="350"/>
        <v>2</v>
      </c>
      <c r="L3233" s="13" t="str">
        <f>IFERROR(VLOOKUP(C3233,'Справочник соответствий'!A$2:D$2981,3,FALSE),IF(VALUE(C3233)=0,"ЭТАЖ НЕ ОПРЕДЕЛЕН. ПРИНЯТ ПО ДОПУЩЕНИЮ 1",VLOOKUP(C3233,'Справочник соответствий'!A$2:D$2981,3,FALSE)))</f>
        <v>ЭТАЖ ЗАДАН ЧИСЛОМ</v>
      </c>
      <c r="M3233" s="13" t="b">
        <f t="shared" si="351"/>
        <v>0</v>
      </c>
      <c r="N3233" s="13">
        <f t="shared" si="352"/>
        <v>2</v>
      </c>
      <c r="O3233" s="13" t="str">
        <f t="shared" si="353"/>
        <v>ЭТАЖ ЗАДАН ЧИСЛОМ</v>
      </c>
      <c r="P3233" s="13" t="str">
        <f t="shared" si="354"/>
        <v>ЭТАЖ ЗАДАН ЧИСЛОМ</v>
      </c>
      <c r="Q3233" s="13" t="str">
        <f t="shared" si="355"/>
        <v>ГОТОВ_ИЗМЕНЕН</v>
      </c>
      <c r="R3233" s="13">
        <f>IFERROR(VLOOKUP(P3233,Лист1!A$1:B$20,2,FALSE),0)</f>
        <v>784</v>
      </c>
      <c r="S3233" s="13">
        <f t="shared" si="356"/>
        <v>0</v>
      </c>
    </row>
    <row r="3234" spans="1:19" x14ac:dyDescent="0.25">
      <c r="A3234" s="24" t="s">
        <v>4367</v>
      </c>
      <c r="B3234" s="4" t="s">
        <v>1063</v>
      </c>
      <c r="C3234" s="25" t="s">
        <v>5</v>
      </c>
      <c r="G3234" s="25" t="s">
        <v>1075</v>
      </c>
      <c r="H3234" s="24" t="s">
        <v>1061</v>
      </c>
      <c r="I3234" s="3" t="str">
        <f>IFERROR(VLOOKUP(C3234,'Справочник соответствий'!A$2:D$2981,2,FALSE),IF(VALUE(C3234)=0,1,VLOOKUP(C3234,'Справочник соответствий'!A$2:D$2981,2,FALSE)))</f>
        <v>1</v>
      </c>
      <c r="J3234" s="3">
        <f>IFERROR(VLOOKUP(D3234,'Справочник соответствий'!A$2:D$2981,2,FALSE),IF(VALUE(D3234)=0,0,VLOOKUP(D3234,'Справочник соответствий'!A$2:D$2981,2,FALSE)))</f>
        <v>0</v>
      </c>
      <c r="K3234" s="3" t="str">
        <f t="shared" si="350"/>
        <v>1</v>
      </c>
      <c r="L3234" s="13" t="str">
        <f>IFERROR(VLOOKUP(C3234,'Справочник соответствий'!A$2:D$2981,3,FALSE),IF(VALUE(C3234)=0,"ЭТАЖ НЕ ОПРЕДЕЛЕН. ПРИНЯТ ПО ДОПУЩЕНИЮ 1",VLOOKUP(C3234,'Справочник соответствий'!A$2:D$2981,3,FALSE)))</f>
        <v>ЭТАЖ ЗАДАН ЧИСЛОМ</v>
      </c>
      <c r="M3234" s="13" t="b">
        <f t="shared" si="351"/>
        <v>0</v>
      </c>
      <c r="N3234" s="13">
        <f t="shared" si="352"/>
        <v>1</v>
      </c>
      <c r="O3234" s="13" t="str">
        <f t="shared" si="353"/>
        <v>ЭТАЖ ЗАДАН ЧИСЛОМ</v>
      </c>
      <c r="P3234" s="13" t="str">
        <f t="shared" si="354"/>
        <v>ЭТАЖ ЗАДАН ЧИСЛОМ</v>
      </c>
      <c r="Q3234" s="13" t="str">
        <f t="shared" si="355"/>
        <v>ГОТОВ_ИЗМЕНЕН</v>
      </c>
      <c r="R3234" s="13">
        <f>IFERROR(VLOOKUP(P3234,Лист1!A$1:B$20,2,FALSE),0)</f>
        <v>784</v>
      </c>
      <c r="S3234" s="13">
        <f t="shared" si="356"/>
        <v>0</v>
      </c>
    </row>
    <row r="3235" spans="1:19" x14ac:dyDescent="0.25">
      <c r="A3235" s="24" t="s">
        <v>4368</v>
      </c>
      <c r="B3235" s="4" t="s">
        <v>1063</v>
      </c>
      <c r="C3235" s="25" t="s">
        <v>5</v>
      </c>
      <c r="G3235" s="25" t="s">
        <v>1069</v>
      </c>
      <c r="H3235" s="24" t="s">
        <v>1061</v>
      </c>
      <c r="I3235" s="3" t="str">
        <f>IFERROR(VLOOKUP(C3235,'Справочник соответствий'!A$2:D$2981,2,FALSE),IF(VALUE(C3235)=0,1,VLOOKUP(C3235,'Справочник соответствий'!A$2:D$2981,2,FALSE)))</f>
        <v>1</v>
      </c>
      <c r="J3235" s="3">
        <f>IFERROR(VLOOKUP(D3235,'Справочник соответствий'!A$2:D$2981,2,FALSE),IF(VALUE(D3235)=0,0,VLOOKUP(D3235,'Справочник соответствий'!A$2:D$2981,2,FALSE)))</f>
        <v>0</v>
      </c>
      <c r="K3235" s="3" t="str">
        <f t="shared" si="350"/>
        <v>1</v>
      </c>
      <c r="L3235" s="13" t="str">
        <f>IFERROR(VLOOKUP(C3235,'Справочник соответствий'!A$2:D$2981,3,FALSE),IF(VALUE(C3235)=0,"ЭТАЖ НЕ ОПРЕДЕЛЕН. ПРИНЯТ ПО ДОПУЩЕНИЮ 1",VLOOKUP(C3235,'Справочник соответствий'!A$2:D$2981,3,FALSE)))</f>
        <v>ЭТАЖ ЗАДАН ЧИСЛОМ</v>
      </c>
      <c r="M3235" s="13" t="b">
        <f t="shared" si="351"/>
        <v>0</v>
      </c>
      <c r="N3235" s="13">
        <f t="shared" si="352"/>
        <v>1</v>
      </c>
      <c r="O3235" s="13" t="str">
        <f t="shared" si="353"/>
        <v>ЭТАЖ ЗАДАН ЧИСЛОМ</v>
      </c>
      <c r="P3235" s="13" t="str">
        <f t="shared" si="354"/>
        <v>ЭТАЖ ЗАДАН ЧИСЛОМ</v>
      </c>
      <c r="Q3235" s="13" t="str">
        <f t="shared" si="355"/>
        <v>ГОТОВ_ИЗМЕНЕН</v>
      </c>
      <c r="R3235" s="13">
        <f>IFERROR(VLOOKUP(P3235,Лист1!A$1:B$20,2,FALSE),0)</f>
        <v>784</v>
      </c>
      <c r="S3235" s="13">
        <f t="shared" si="356"/>
        <v>0</v>
      </c>
    </row>
    <row r="3236" spans="1:19" x14ac:dyDescent="0.25">
      <c r="A3236" s="24" t="s">
        <v>4369</v>
      </c>
      <c r="B3236" s="4" t="s">
        <v>1996</v>
      </c>
      <c r="C3236" s="25" t="s">
        <v>5</v>
      </c>
      <c r="G3236" s="25" t="s">
        <v>1069</v>
      </c>
      <c r="H3236" s="24" t="s">
        <v>1061</v>
      </c>
      <c r="I3236" s="3" t="str">
        <f>IFERROR(VLOOKUP(C3236,'Справочник соответствий'!A$2:D$2981,2,FALSE),IF(VALUE(C3236)=0,1,VLOOKUP(C3236,'Справочник соответствий'!A$2:D$2981,2,FALSE)))</f>
        <v>1</v>
      </c>
      <c r="J3236" s="3">
        <f>IFERROR(VLOOKUP(D3236,'Справочник соответствий'!A$2:D$2981,2,FALSE),IF(VALUE(D3236)=0,0,VLOOKUP(D3236,'Справочник соответствий'!A$2:D$2981,2,FALSE)))</f>
        <v>0</v>
      </c>
      <c r="K3236" s="3" t="str">
        <f t="shared" si="350"/>
        <v>1</v>
      </c>
      <c r="L3236" s="13" t="str">
        <f>IFERROR(VLOOKUP(C3236,'Справочник соответствий'!A$2:D$2981,3,FALSE),IF(VALUE(C3236)=0,"ЭТАЖ НЕ ОПРЕДЕЛЕН. ПРИНЯТ ПО ДОПУЩЕНИЮ 1",VLOOKUP(C3236,'Справочник соответствий'!A$2:D$2981,3,FALSE)))</f>
        <v>ЭТАЖ ЗАДАН ЧИСЛОМ</v>
      </c>
      <c r="M3236" s="13" t="b">
        <f t="shared" si="351"/>
        <v>0</v>
      </c>
      <c r="N3236" s="13">
        <f t="shared" si="352"/>
        <v>1</v>
      </c>
      <c r="O3236" s="13" t="str">
        <f t="shared" si="353"/>
        <v>ЭТАЖ ЗАДАН ЧИСЛОМ</v>
      </c>
      <c r="P3236" s="13" t="str">
        <f t="shared" si="354"/>
        <v>ЭТАЖ ЗАДАН ЧИСЛОМ</v>
      </c>
      <c r="Q3236" s="13" t="str">
        <f t="shared" si="355"/>
        <v>ГОТОВ_ИЗМЕНЕН</v>
      </c>
      <c r="R3236" s="13">
        <f>IFERROR(VLOOKUP(P3236,Лист1!A$1:B$20,2,FALSE),0)</f>
        <v>784</v>
      </c>
      <c r="S3236" s="13">
        <f t="shared" si="356"/>
        <v>0</v>
      </c>
    </row>
    <row r="3237" spans="1:19" x14ac:dyDescent="0.25">
      <c r="A3237" s="24" t="s">
        <v>4370</v>
      </c>
      <c r="B3237" s="4" t="s">
        <v>1059</v>
      </c>
      <c r="C3237" s="25" t="s">
        <v>7</v>
      </c>
      <c r="G3237" s="25" t="s">
        <v>1069</v>
      </c>
      <c r="H3237" s="24" t="s">
        <v>1061</v>
      </c>
      <c r="I3237" s="3" t="str">
        <f>IFERROR(VLOOKUP(C3237,'Справочник соответствий'!A$2:D$2981,2,FALSE),IF(VALUE(C3237)=0,1,VLOOKUP(C3237,'Справочник соответствий'!A$2:D$2981,2,FALSE)))</f>
        <v>2</v>
      </c>
      <c r="J3237" s="3">
        <f>IFERROR(VLOOKUP(D3237,'Справочник соответствий'!A$2:D$2981,2,FALSE),IF(VALUE(D3237)=0,0,VLOOKUP(D3237,'Справочник соответствий'!A$2:D$2981,2,FALSE)))</f>
        <v>0</v>
      </c>
      <c r="K3237" s="3" t="str">
        <f t="shared" si="350"/>
        <v>2</v>
      </c>
      <c r="L3237" s="13" t="str">
        <f>IFERROR(VLOOKUP(C3237,'Справочник соответствий'!A$2:D$2981,3,FALSE),IF(VALUE(C3237)=0,"ЭТАЖ НЕ ОПРЕДЕЛЕН. ПРИНЯТ ПО ДОПУЩЕНИЮ 1",VLOOKUP(C3237,'Справочник соответствий'!A$2:D$2981,3,FALSE)))</f>
        <v>ЭТАЖ ЗАДАН ЧИСЛОМ</v>
      </c>
      <c r="M3237" s="13" t="b">
        <f t="shared" si="351"/>
        <v>0</v>
      </c>
      <c r="N3237" s="13">
        <f t="shared" si="352"/>
        <v>2</v>
      </c>
      <c r="O3237" s="13" t="str">
        <f t="shared" si="353"/>
        <v>ЭТАЖ ЗАДАН ЧИСЛОМ</v>
      </c>
      <c r="P3237" s="13" t="str">
        <f t="shared" si="354"/>
        <v>ЭТАЖ ЗАДАН ЧИСЛОМ</v>
      </c>
      <c r="Q3237" s="13" t="str">
        <f t="shared" si="355"/>
        <v>ГОТОВ_ИЗМЕНЕН</v>
      </c>
      <c r="R3237" s="13">
        <f>IFERROR(VLOOKUP(P3237,Лист1!A$1:B$20,2,FALSE),0)</f>
        <v>784</v>
      </c>
      <c r="S3237" s="13">
        <f t="shared" si="356"/>
        <v>0</v>
      </c>
    </row>
    <row r="3238" spans="1:19" x14ac:dyDescent="0.25">
      <c r="A3238" s="24" t="s">
        <v>4371</v>
      </c>
      <c r="B3238" s="4" t="s">
        <v>1031</v>
      </c>
      <c r="C3238" s="25" t="s">
        <v>5</v>
      </c>
      <c r="G3238" s="25" t="s">
        <v>2431</v>
      </c>
      <c r="H3238" s="24" t="s">
        <v>1061</v>
      </c>
      <c r="I3238" s="3" t="str">
        <f>IFERROR(VLOOKUP(C3238,'Справочник соответствий'!A$2:D$2981,2,FALSE),IF(VALUE(C3238)=0,1,VLOOKUP(C3238,'Справочник соответствий'!A$2:D$2981,2,FALSE)))</f>
        <v>1</v>
      </c>
      <c r="J3238" s="3">
        <f>IFERROR(VLOOKUP(D3238,'Справочник соответствий'!A$2:D$2981,2,FALSE),IF(VALUE(D3238)=0,0,VLOOKUP(D3238,'Справочник соответствий'!A$2:D$2981,2,FALSE)))</f>
        <v>0</v>
      </c>
      <c r="K3238" s="3">
        <f t="shared" si="350"/>
        <v>1</v>
      </c>
      <c r="L3238" s="13" t="str">
        <f>IFERROR(VLOOKUP(C3238,'Справочник соответствий'!A$2:D$2981,3,FALSE),IF(VALUE(C3238)=0,"ЭТАЖ НЕ ОПРЕДЕЛЕН. ПРИНЯТ ПО ДОПУЩЕНИЮ 1",VLOOKUP(C3238,'Справочник соответствий'!A$2:D$2981,3,FALSE)))</f>
        <v>ЭТАЖ ЗАДАН ЧИСЛОМ</v>
      </c>
      <c r="M3238" s="13" t="b">
        <f t="shared" si="351"/>
        <v>0</v>
      </c>
      <c r="N3238" s="13">
        <f t="shared" si="352"/>
        <v>1</v>
      </c>
      <c r="O3238" s="13" t="str">
        <f t="shared" si="353"/>
        <v>ЭТАЖ ЗАДАН ЧИСЛОМ</v>
      </c>
      <c r="P3238" s="13" t="str">
        <f t="shared" si="354"/>
        <v>МКД_ЭТАЖ ЗАДАН ЧИСЛОМ</v>
      </c>
      <c r="Q3238" s="13" t="str">
        <f t="shared" si="355"/>
        <v>ГОТОВ_ИЗМЕНЕН</v>
      </c>
      <c r="R3238" s="13">
        <f>IFERROR(VLOOKUP(P3238,Лист1!A$1:B$20,2,FALSE),0)</f>
        <v>786</v>
      </c>
      <c r="S3238" s="13">
        <f t="shared" si="356"/>
        <v>0</v>
      </c>
    </row>
    <row r="3239" spans="1:19" x14ac:dyDescent="0.25">
      <c r="A3239" s="24" t="s">
        <v>4372</v>
      </c>
      <c r="B3239" s="4" t="s">
        <v>1063</v>
      </c>
      <c r="C3239" s="25" t="s">
        <v>5</v>
      </c>
      <c r="G3239" s="25" t="s">
        <v>1069</v>
      </c>
      <c r="H3239" s="24" t="s">
        <v>1061</v>
      </c>
      <c r="I3239" s="3" t="str">
        <f>IFERROR(VLOOKUP(C3239,'Справочник соответствий'!A$2:D$2981,2,FALSE),IF(VALUE(C3239)=0,1,VLOOKUP(C3239,'Справочник соответствий'!A$2:D$2981,2,FALSE)))</f>
        <v>1</v>
      </c>
      <c r="J3239" s="3">
        <f>IFERROR(VLOOKUP(D3239,'Справочник соответствий'!A$2:D$2981,2,FALSE),IF(VALUE(D3239)=0,0,VLOOKUP(D3239,'Справочник соответствий'!A$2:D$2981,2,FALSE)))</f>
        <v>0</v>
      </c>
      <c r="K3239" s="3" t="str">
        <f t="shared" si="350"/>
        <v>1</v>
      </c>
      <c r="L3239" s="13" t="str">
        <f>IFERROR(VLOOKUP(C3239,'Справочник соответствий'!A$2:D$2981,3,FALSE),IF(VALUE(C3239)=0,"ЭТАЖ НЕ ОПРЕДЕЛЕН. ПРИНЯТ ПО ДОПУЩЕНИЮ 1",VLOOKUP(C3239,'Справочник соответствий'!A$2:D$2981,3,FALSE)))</f>
        <v>ЭТАЖ ЗАДАН ЧИСЛОМ</v>
      </c>
      <c r="M3239" s="13" t="b">
        <f t="shared" si="351"/>
        <v>0</v>
      </c>
      <c r="N3239" s="13">
        <f t="shared" si="352"/>
        <v>1</v>
      </c>
      <c r="O3239" s="13" t="str">
        <f t="shared" si="353"/>
        <v>ЭТАЖ ЗАДАН ЧИСЛОМ</v>
      </c>
      <c r="P3239" s="13" t="str">
        <f t="shared" si="354"/>
        <v>ЭТАЖ ЗАДАН ЧИСЛОМ</v>
      </c>
      <c r="Q3239" s="13" t="str">
        <f t="shared" si="355"/>
        <v>ГОТОВ_ИЗМЕНЕН</v>
      </c>
      <c r="R3239" s="13">
        <f>IFERROR(VLOOKUP(P3239,Лист1!A$1:B$20,2,FALSE),0)</f>
        <v>784</v>
      </c>
      <c r="S3239" s="13">
        <f t="shared" si="356"/>
        <v>0</v>
      </c>
    </row>
    <row r="3240" spans="1:19" x14ac:dyDescent="0.25">
      <c r="A3240" s="24" t="s">
        <v>4373</v>
      </c>
      <c r="B3240" s="4" t="s">
        <v>1059</v>
      </c>
      <c r="C3240" s="25" t="s">
        <v>7</v>
      </c>
      <c r="G3240" s="25" t="s">
        <v>1089</v>
      </c>
      <c r="H3240" s="24" t="s">
        <v>1061</v>
      </c>
      <c r="I3240" s="3" t="str">
        <f>IFERROR(VLOOKUP(C3240,'Справочник соответствий'!A$2:D$2981,2,FALSE),IF(VALUE(C3240)=0,1,VLOOKUP(C3240,'Справочник соответствий'!A$2:D$2981,2,FALSE)))</f>
        <v>2</v>
      </c>
      <c r="J3240" s="3">
        <f>IFERROR(VLOOKUP(D3240,'Справочник соответствий'!A$2:D$2981,2,FALSE),IF(VALUE(D3240)=0,0,VLOOKUP(D3240,'Справочник соответствий'!A$2:D$2981,2,FALSE)))</f>
        <v>0</v>
      </c>
      <c r="K3240" s="3" t="str">
        <f t="shared" si="350"/>
        <v>2</v>
      </c>
      <c r="L3240" s="13" t="str">
        <f>IFERROR(VLOOKUP(C3240,'Справочник соответствий'!A$2:D$2981,3,FALSE),IF(VALUE(C3240)=0,"ЭТАЖ НЕ ОПРЕДЕЛЕН. ПРИНЯТ ПО ДОПУЩЕНИЮ 1",VLOOKUP(C3240,'Справочник соответствий'!A$2:D$2981,3,FALSE)))</f>
        <v>ЭТАЖ ЗАДАН ЧИСЛОМ</v>
      </c>
      <c r="M3240" s="13" t="b">
        <f t="shared" si="351"/>
        <v>0</v>
      </c>
      <c r="N3240" s="13">
        <f t="shared" si="352"/>
        <v>2</v>
      </c>
      <c r="O3240" s="13" t="str">
        <f t="shared" si="353"/>
        <v>ЭТАЖ ЗАДАН ЧИСЛОМ</v>
      </c>
      <c r="P3240" s="13" t="str">
        <f t="shared" si="354"/>
        <v>ЭТАЖ ЗАДАН ЧИСЛОМ</v>
      </c>
      <c r="Q3240" s="13" t="str">
        <f t="shared" si="355"/>
        <v>ГОТОВ_ИЗМЕНЕН</v>
      </c>
      <c r="R3240" s="13">
        <f>IFERROR(VLOOKUP(P3240,Лист1!A$1:B$20,2,FALSE),0)</f>
        <v>784</v>
      </c>
      <c r="S3240" s="13">
        <f t="shared" si="356"/>
        <v>0</v>
      </c>
    </row>
    <row r="3241" spans="1:19" x14ac:dyDescent="0.25">
      <c r="A3241" s="24" t="s">
        <v>4374</v>
      </c>
      <c r="B3241" s="4" t="s">
        <v>1063</v>
      </c>
      <c r="C3241" s="25" t="s">
        <v>5</v>
      </c>
      <c r="G3241" s="25" t="s">
        <v>1089</v>
      </c>
      <c r="H3241" s="24" t="s">
        <v>1061</v>
      </c>
      <c r="I3241" s="3" t="str">
        <f>IFERROR(VLOOKUP(C3241,'Справочник соответствий'!A$2:D$2981,2,FALSE),IF(VALUE(C3241)=0,1,VLOOKUP(C3241,'Справочник соответствий'!A$2:D$2981,2,FALSE)))</f>
        <v>1</v>
      </c>
      <c r="J3241" s="3">
        <f>IFERROR(VLOOKUP(D3241,'Справочник соответствий'!A$2:D$2981,2,FALSE),IF(VALUE(D3241)=0,0,VLOOKUP(D3241,'Справочник соответствий'!A$2:D$2981,2,FALSE)))</f>
        <v>0</v>
      </c>
      <c r="K3241" s="3" t="str">
        <f t="shared" si="350"/>
        <v>1</v>
      </c>
      <c r="L3241" s="13" t="str">
        <f>IFERROR(VLOOKUP(C3241,'Справочник соответствий'!A$2:D$2981,3,FALSE),IF(VALUE(C3241)=0,"ЭТАЖ НЕ ОПРЕДЕЛЕН. ПРИНЯТ ПО ДОПУЩЕНИЮ 1",VLOOKUP(C3241,'Справочник соответствий'!A$2:D$2981,3,FALSE)))</f>
        <v>ЭТАЖ ЗАДАН ЧИСЛОМ</v>
      </c>
      <c r="M3241" s="13" t="b">
        <f t="shared" si="351"/>
        <v>0</v>
      </c>
      <c r="N3241" s="13">
        <f t="shared" si="352"/>
        <v>1</v>
      </c>
      <c r="O3241" s="13" t="str">
        <f t="shared" si="353"/>
        <v>ЭТАЖ ЗАДАН ЧИСЛОМ</v>
      </c>
      <c r="P3241" s="13" t="str">
        <f t="shared" si="354"/>
        <v>ЭТАЖ ЗАДАН ЧИСЛОМ</v>
      </c>
      <c r="Q3241" s="13" t="str">
        <f t="shared" si="355"/>
        <v>ГОТОВ_ИЗМЕНЕН</v>
      </c>
      <c r="R3241" s="13">
        <f>IFERROR(VLOOKUP(P3241,Лист1!A$1:B$20,2,FALSE),0)</f>
        <v>784</v>
      </c>
      <c r="S3241" s="13">
        <f t="shared" si="356"/>
        <v>0</v>
      </c>
    </row>
    <row r="3242" spans="1:19" x14ac:dyDescent="0.25">
      <c r="A3242" s="24" t="s">
        <v>4375</v>
      </c>
      <c r="B3242" s="4" t="s">
        <v>1059</v>
      </c>
      <c r="C3242" s="25" t="s">
        <v>5</v>
      </c>
      <c r="G3242" s="25" t="s">
        <v>1089</v>
      </c>
      <c r="H3242" s="24" t="s">
        <v>1061</v>
      </c>
      <c r="I3242" s="3" t="str">
        <f>IFERROR(VLOOKUP(C3242,'Справочник соответствий'!A$2:D$2981,2,FALSE),IF(VALUE(C3242)=0,1,VLOOKUP(C3242,'Справочник соответствий'!A$2:D$2981,2,FALSE)))</f>
        <v>1</v>
      </c>
      <c r="J3242" s="3">
        <f>IFERROR(VLOOKUP(D3242,'Справочник соответствий'!A$2:D$2981,2,FALSE),IF(VALUE(D3242)=0,0,VLOOKUP(D3242,'Справочник соответствий'!A$2:D$2981,2,FALSE)))</f>
        <v>0</v>
      </c>
      <c r="K3242" s="3" t="str">
        <f t="shared" si="350"/>
        <v>1</v>
      </c>
      <c r="L3242" s="13" t="str">
        <f>IFERROR(VLOOKUP(C3242,'Справочник соответствий'!A$2:D$2981,3,FALSE),IF(VALUE(C3242)=0,"ЭТАЖ НЕ ОПРЕДЕЛЕН. ПРИНЯТ ПО ДОПУЩЕНИЮ 1",VLOOKUP(C3242,'Справочник соответствий'!A$2:D$2981,3,FALSE)))</f>
        <v>ЭТАЖ ЗАДАН ЧИСЛОМ</v>
      </c>
      <c r="M3242" s="13" t="b">
        <f t="shared" si="351"/>
        <v>0</v>
      </c>
      <c r="N3242" s="13">
        <f t="shared" si="352"/>
        <v>1</v>
      </c>
      <c r="O3242" s="13" t="str">
        <f t="shared" si="353"/>
        <v>ЭТАЖ ЗАДАН ЧИСЛОМ</v>
      </c>
      <c r="P3242" s="13" t="str">
        <f t="shared" si="354"/>
        <v>ЭТАЖ ЗАДАН ЧИСЛОМ</v>
      </c>
      <c r="Q3242" s="13" t="str">
        <f t="shared" si="355"/>
        <v>ГОТОВ_ИЗМЕНЕН</v>
      </c>
      <c r="R3242" s="13">
        <f>IFERROR(VLOOKUP(P3242,Лист1!A$1:B$20,2,FALSE),0)</f>
        <v>784</v>
      </c>
      <c r="S3242" s="13">
        <f t="shared" si="356"/>
        <v>0</v>
      </c>
    </row>
    <row r="3243" spans="1:19" x14ac:dyDescent="0.25">
      <c r="A3243" s="24" t="s">
        <v>4376</v>
      </c>
      <c r="B3243" s="4" t="s">
        <v>1059</v>
      </c>
      <c r="C3243" s="25" t="s">
        <v>8</v>
      </c>
      <c r="D3243" s="25" t="s">
        <v>5</v>
      </c>
      <c r="G3243" s="25" t="s">
        <v>1089</v>
      </c>
      <c r="H3243" s="24" t="s">
        <v>1061</v>
      </c>
      <c r="I3243" s="3" t="str">
        <f>IFERROR(VLOOKUP(C3243,'Справочник соответствий'!A$2:D$2981,2,FALSE),IF(VALUE(C3243)=0,1,VLOOKUP(C3243,'Справочник соответствий'!A$2:D$2981,2,FALSE)))</f>
        <v>3</v>
      </c>
      <c r="J3243" s="3" t="str">
        <f>IFERROR(VLOOKUP(D3243,'Справочник соответствий'!A$2:D$2981,2,FALSE),IF(VALUE(D3243)=0,0,VLOOKUP(D3243,'Справочник соответствий'!A$2:D$2981,2,FALSE)))</f>
        <v>1</v>
      </c>
      <c r="K3243" s="3" t="str">
        <f t="shared" si="350"/>
        <v>3</v>
      </c>
      <c r="L3243" s="13" t="str">
        <f>IFERROR(VLOOKUP(C3243,'Справочник соответствий'!A$2:D$2981,3,FALSE),IF(VALUE(C3243)=0,"ЭТАЖ НЕ ОПРЕДЕЛЕН. ПРИНЯТ ПО ДОПУЩЕНИЮ 1",VLOOKUP(C3243,'Справочник соответствий'!A$2:D$2981,3,FALSE)))</f>
        <v>ЭТАЖ ЗАДАН ЧИСЛОМ</v>
      </c>
      <c r="M3243" s="13" t="b">
        <f t="shared" si="351"/>
        <v>0</v>
      </c>
      <c r="N3243" s="13">
        <f t="shared" si="352"/>
        <v>3</v>
      </c>
      <c r="O3243" s="13" t="str">
        <f t="shared" si="353"/>
        <v>ЭТАЖ ЗАДАН ЧИСЛОМ</v>
      </c>
      <c r="P3243" s="13" t="str">
        <f t="shared" si="354"/>
        <v>ЭТАЖ ЗАДАН ЧИСЛОМ</v>
      </c>
      <c r="Q3243" s="13" t="str">
        <f t="shared" si="355"/>
        <v>ГОТОВ_ИЗМЕНЕН</v>
      </c>
      <c r="R3243" s="13">
        <f>IFERROR(VLOOKUP(P3243,Лист1!A$1:B$20,2,FALSE),0)</f>
        <v>784</v>
      </c>
      <c r="S3243" s="13">
        <f t="shared" si="356"/>
        <v>0</v>
      </c>
    </row>
    <row r="3244" spans="1:19" x14ac:dyDescent="0.25">
      <c r="A3244" s="24" t="s">
        <v>4377</v>
      </c>
      <c r="B3244" s="4" t="s">
        <v>1063</v>
      </c>
      <c r="G3244" s="25" t="s">
        <v>1089</v>
      </c>
      <c r="H3244" s="24" t="s">
        <v>1061</v>
      </c>
      <c r="I3244" s="3">
        <f>IFERROR(VLOOKUP(C3244,'Справочник соответствий'!A$2:D$2981,2,FALSE),IF(VALUE(C3244)=0,1,VLOOKUP(C3244,'Справочник соответствий'!A$2:D$2981,2,FALSE)))</f>
        <v>1</v>
      </c>
      <c r="J3244" s="3">
        <f>IFERROR(VLOOKUP(D3244,'Справочник соответствий'!A$2:D$2981,2,FALSE),IF(VALUE(D3244)=0,0,VLOOKUP(D3244,'Справочник соответствий'!A$2:D$2981,2,FALSE)))</f>
        <v>0</v>
      </c>
      <c r="K3244" s="3">
        <f t="shared" si="350"/>
        <v>1</v>
      </c>
      <c r="L3244" s="13" t="str">
        <f>IFERROR(VLOOKUP(C3244,'Справочник соответствий'!A$2:D$2981,3,FALSE),IF(VALUE(C3244)=0,"ЭТАЖ НЕ ОПРЕДЕЛЕН. ПРИНЯТ ПО ДОПУЩЕНИЮ 1",VLOOKUP(C3244,'Справочник соответствий'!A$2:D$2981,3,FALSE)))</f>
        <v>ЭТАЖ НЕ ОПРЕДЕЛЕН. ПРИНЯТ ПО ДОПУЩЕНИЮ 1</v>
      </c>
      <c r="M3244" s="13" t="b">
        <f t="shared" si="351"/>
        <v>0</v>
      </c>
      <c r="N3244" s="13">
        <f t="shared" si="352"/>
        <v>1</v>
      </c>
      <c r="O3244" s="13" t="str">
        <f t="shared" si="353"/>
        <v>ЭТАЖ НЕ ОПРЕДЕЛЕН. ПРИНЯТ ПО ДОПУЩЕНИЮ 1</v>
      </c>
      <c r="P3244" s="13" t="str">
        <f t="shared" si="354"/>
        <v>ЭТАЖ НЕ ОПРЕДЕЛЕН. ПРИНЯТ ПО ДОПУЩЕНИЮ 1</v>
      </c>
      <c r="Q3244" s="13" t="str">
        <f t="shared" si="355"/>
        <v>ГОТОВ_ИЗМЕНЕН</v>
      </c>
      <c r="R3244" s="13">
        <f>IFERROR(VLOOKUP(P3244,Лист1!A$1:B$20,2,FALSE),0)</f>
        <v>788</v>
      </c>
      <c r="S3244" s="13">
        <f t="shared" si="356"/>
        <v>0</v>
      </c>
    </row>
    <row r="3245" spans="1:19" x14ac:dyDescent="0.25">
      <c r="A3245" s="24" t="s">
        <v>4378</v>
      </c>
      <c r="B3245" s="4" t="s">
        <v>1063</v>
      </c>
      <c r="C3245" s="25" t="s">
        <v>5</v>
      </c>
      <c r="G3245" s="25" t="s">
        <v>1089</v>
      </c>
      <c r="H3245" s="24" t="s">
        <v>1061</v>
      </c>
      <c r="I3245" s="3" t="str">
        <f>IFERROR(VLOOKUP(C3245,'Справочник соответствий'!A$2:D$2981,2,FALSE),IF(VALUE(C3245)=0,1,VLOOKUP(C3245,'Справочник соответствий'!A$2:D$2981,2,FALSE)))</f>
        <v>1</v>
      </c>
      <c r="J3245" s="3">
        <f>IFERROR(VLOOKUP(D3245,'Справочник соответствий'!A$2:D$2981,2,FALSE),IF(VALUE(D3245)=0,0,VLOOKUP(D3245,'Справочник соответствий'!A$2:D$2981,2,FALSE)))</f>
        <v>0</v>
      </c>
      <c r="K3245" s="3" t="str">
        <f t="shared" si="350"/>
        <v>1</v>
      </c>
      <c r="L3245" s="13" t="str">
        <f>IFERROR(VLOOKUP(C3245,'Справочник соответствий'!A$2:D$2981,3,FALSE),IF(VALUE(C3245)=0,"ЭТАЖ НЕ ОПРЕДЕЛЕН. ПРИНЯТ ПО ДОПУЩЕНИЮ 1",VLOOKUP(C3245,'Справочник соответствий'!A$2:D$2981,3,FALSE)))</f>
        <v>ЭТАЖ ЗАДАН ЧИСЛОМ</v>
      </c>
      <c r="M3245" s="13" t="b">
        <f t="shared" si="351"/>
        <v>0</v>
      </c>
      <c r="N3245" s="13">
        <f t="shared" si="352"/>
        <v>1</v>
      </c>
      <c r="O3245" s="13" t="str">
        <f t="shared" si="353"/>
        <v>ЭТАЖ ЗАДАН ЧИСЛОМ</v>
      </c>
      <c r="P3245" s="13" t="str">
        <f t="shared" si="354"/>
        <v>ЭТАЖ ЗАДАН ЧИСЛОМ</v>
      </c>
      <c r="Q3245" s="13" t="str">
        <f t="shared" si="355"/>
        <v>ГОТОВ_ИЗМЕНЕН</v>
      </c>
      <c r="R3245" s="13">
        <f>IFERROR(VLOOKUP(P3245,Лист1!A$1:B$20,2,FALSE),0)</f>
        <v>784</v>
      </c>
      <c r="S3245" s="13">
        <f t="shared" si="356"/>
        <v>0</v>
      </c>
    </row>
    <row r="3246" spans="1:19" x14ac:dyDescent="0.25">
      <c r="A3246" s="24" t="s">
        <v>4379</v>
      </c>
      <c r="B3246" s="4" t="s">
        <v>1059</v>
      </c>
      <c r="C3246" s="25" t="s">
        <v>5</v>
      </c>
      <c r="G3246" s="25" t="s">
        <v>1089</v>
      </c>
      <c r="H3246" s="24" t="s">
        <v>1061</v>
      </c>
      <c r="I3246" s="3" t="str">
        <f>IFERROR(VLOOKUP(C3246,'Справочник соответствий'!A$2:D$2981,2,FALSE),IF(VALUE(C3246)=0,1,VLOOKUP(C3246,'Справочник соответствий'!A$2:D$2981,2,FALSE)))</f>
        <v>1</v>
      </c>
      <c r="J3246" s="3">
        <f>IFERROR(VLOOKUP(D3246,'Справочник соответствий'!A$2:D$2981,2,FALSE),IF(VALUE(D3246)=0,0,VLOOKUP(D3246,'Справочник соответствий'!A$2:D$2981,2,FALSE)))</f>
        <v>0</v>
      </c>
      <c r="K3246" s="3" t="str">
        <f t="shared" si="350"/>
        <v>1</v>
      </c>
      <c r="L3246" s="13" t="str">
        <f>IFERROR(VLOOKUP(C3246,'Справочник соответствий'!A$2:D$2981,3,FALSE),IF(VALUE(C3246)=0,"ЭТАЖ НЕ ОПРЕДЕЛЕН. ПРИНЯТ ПО ДОПУЩЕНИЮ 1",VLOOKUP(C3246,'Справочник соответствий'!A$2:D$2981,3,FALSE)))</f>
        <v>ЭТАЖ ЗАДАН ЧИСЛОМ</v>
      </c>
      <c r="M3246" s="13" t="b">
        <f t="shared" si="351"/>
        <v>0</v>
      </c>
      <c r="N3246" s="13">
        <f t="shared" si="352"/>
        <v>1</v>
      </c>
      <c r="O3246" s="13" t="str">
        <f t="shared" si="353"/>
        <v>ЭТАЖ ЗАДАН ЧИСЛОМ</v>
      </c>
      <c r="P3246" s="13" t="str">
        <f t="shared" si="354"/>
        <v>ЭТАЖ ЗАДАН ЧИСЛОМ</v>
      </c>
      <c r="Q3246" s="13" t="str">
        <f t="shared" si="355"/>
        <v>ГОТОВ_ИЗМЕНЕН</v>
      </c>
      <c r="R3246" s="13">
        <f>IFERROR(VLOOKUP(P3246,Лист1!A$1:B$20,2,FALSE),0)</f>
        <v>784</v>
      </c>
      <c r="S3246" s="13">
        <f t="shared" si="356"/>
        <v>0</v>
      </c>
    </row>
    <row r="3247" spans="1:19" x14ac:dyDescent="0.25">
      <c r="A3247" s="24" t="s">
        <v>4380</v>
      </c>
      <c r="B3247" s="4" t="s">
        <v>1063</v>
      </c>
      <c r="C3247" s="25" t="s">
        <v>5</v>
      </c>
      <c r="G3247" s="25" t="s">
        <v>1089</v>
      </c>
      <c r="H3247" s="24" t="s">
        <v>1061</v>
      </c>
      <c r="I3247" s="3" t="str">
        <f>IFERROR(VLOOKUP(C3247,'Справочник соответствий'!A$2:D$2981,2,FALSE),IF(VALUE(C3247)=0,1,VLOOKUP(C3247,'Справочник соответствий'!A$2:D$2981,2,FALSE)))</f>
        <v>1</v>
      </c>
      <c r="J3247" s="3">
        <f>IFERROR(VLOOKUP(D3247,'Справочник соответствий'!A$2:D$2981,2,FALSE),IF(VALUE(D3247)=0,0,VLOOKUP(D3247,'Справочник соответствий'!A$2:D$2981,2,FALSE)))</f>
        <v>0</v>
      </c>
      <c r="K3247" s="3" t="str">
        <f t="shared" si="350"/>
        <v>1</v>
      </c>
      <c r="L3247" s="13" t="str">
        <f>IFERROR(VLOOKUP(C3247,'Справочник соответствий'!A$2:D$2981,3,FALSE),IF(VALUE(C3247)=0,"ЭТАЖ НЕ ОПРЕДЕЛЕН. ПРИНЯТ ПО ДОПУЩЕНИЮ 1",VLOOKUP(C3247,'Справочник соответствий'!A$2:D$2981,3,FALSE)))</f>
        <v>ЭТАЖ ЗАДАН ЧИСЛОМ</v>
      </c>
      <c r="M3247" s="13" t="b">
        <f t="shared" si="351"/>
        <v>0</v>
      </c>
      <c r="N3247" s="13">
        <f t="shared" si="352"/>
        <v>1</v>
      </c>
      <c r="O3247" s="13" t="str">
        <f t="shared" si="353"/>
        <v>ЭТАЖ ЗАДАН ЧИСЛОМ</v>
      </c>
      <c r="P3247" s="13" t="str">
        <f t="shared" si="354"/>
        <v>ЭТАЖ ЗАДАН ЧИСЛОМ</v>
      </c>
      <c r="Q3247" s="13" t="str">
        <f t="shared" si="355"/>
        <v>ГОТОВ_ИЗМЕНЕН</v>
      </c>
      <c r="R3247" s="13">
        <f>IFERROR(VLOOKUP(P3247,Лист1!A$1:B$20,2,FALSE),0)</f>
        <v>784</v>
      </c>
      <c r="S3247" s="13">
        <f t="shared" si="356"/>
        <v>0</v>
      </c>
    </row>
    <row r="3248" spans="1:19" x14ac:dyDescent="0.25">
      <c r="A3248" s="24" t="s">
        <v>4381</v>
      </c>
      <c r="B3248" s="4" t="s">
        <v>1059</v>
      </c>
      <c r="C3248" s="25" t="s">
        <v>5</v>
      </c>
      <c r="G3248" s="25" t="s">
        <v>1289</v>
      </c>
      <c r="H3248" s="24" t="s">
        <v>1061</v>
      </c>
      <c r="I3248" s="3" t="str">
        <f>IFERROR(VLOOKUP(C3248,'Справочник соответствий'!A$2:D$2981,2,FALSE),IF(VALUE(C3248)=0,1,VLOOKUP(C3248,'Справочник соответствий'!A$2:D$2981,2,FALSE)))</f>
        <v>1</v>
      </c>
      <c r="J3248" s="3">
        <f>IFERROR(VLOOKUP(D3248,'Справочник соответствий'!A$2:D$2981,2,FALSE),IF(VALUE(D3248)=0,0,VLOOKUP(D3248,'Справочник соответствий'!A$2:D$2981,2,FALSE)))</f>
        <v>0</v>
      </c>
      <c r="K3248" s="3" t="str">
        <f t="shared" si="350"/>
        <v>1</v>
      </c>
      <c r="L3248" s="13" t="str">
        <f>IFERROR(VLOOKUP(C3248,'Справочник соответствий'!A$2:D$2981,3,FALSE),IF(VALUE(C3248)=0,"ЭТАЖ НЕ ОПРЕДЕЛЕН. ПРИНЯТ ПО ДОПУЩЕНИЮ 1",VLOOKUP(C3248,'Справочник соответствий'!A$2:D$2981,3,FALSE)))</f>
        <v>ЭТАЖ ЗАДАН ЧИСЛОМ</v>
      </c>
      <c r="M3248" s="13" t="b">
        <f t="shared" si="351"/>
        <v>0</v>
      </c>
      <c r="N3248" s="13">
        <f t="shared" si="352"/>
        <v>1</v>
      </c>
      <c r="O3248" s="13" t="str">
        <f t="shared" si="353"/>
        <v>ЭТАЖ ЗАДАН ЧИСЛОМ</v>
      </c>
      <c r="P3248" s="13" t="str">
        <f t="shared" si="354"/>
        <v>ЭТАЖ ЗАДАН ЧИСЛОМ</v>
      </c>
      <c r="Q3248" s="13" t="str">
        <f t="shared" si="355"/>
        <v>ГОТОВ_ИЗМЕНЕН</v>
      </c>
      <c r="R3248" s="13">
        <f>IFERROR(VLOOKUP(P3248,Лист1!A$1:B$20,2,FALSE),0)</f>
        <v>784</v>
      </c>
      <c r="S3248" s="13">
        <f t="shared" si="356"/>
        <v>0</v>
      </c>
    </row>
    <row r="3249" spans="1:19" x14ac:dyDescent="0.25">
      <c r="A3249" s="24" t="s">
        <v>4382</v>
      </c>
      <c r="B3249" s="4" t="s">
        <v>1059</v>
      </c>
      <c r="C3249" s="25" t="s">
        <v>7</v>
      </c>
      <c r="G3249" s="25" t="s">
        <v>1698</v>
      </c>
      <c r="H3249" s="24" t="s">
        <v>1061</v>
      </c>
      <c r="I3249" s="3" t="str">
        <f>IFERROR(VLOOKUP(C3249,'Справочник соответствий'!A$2:D$2981,2,FALSE),IF(VALUE(C3249)=0,1,VLOOKUP(C3249,'Справочник соответствий'!A$2:D$2981,2,FALSE)))</f>
        <v>2</v>
      </c>
      <c r="J3249" s="3">
        <f>IFERROR(VLOOKUP(D3249,'Справочник соответствий'!A$2:D$2981,2,FALSE),IF(VALUE(D3249)=0,0,VLOOKUP(D3249,'Справочник соответствий'!A$2:D$2981,2,FALSE)))</f>
        <v>0</v>
      </c>
      <c r="K3249" s="3" t="str">
        <f t="shared" si="350"/>
        <v>2</v>
      </c>
      <c r="L3249" s="13" t="str">
        <f>IFERROR(VLOOKUP(C3249,'Справочник соответствий'!A$2:D$2981,3,FALSE),IF(VALUE(C3249)=0,"ЭТАЖ НЕ ОПРЕДЕЛЕН. ПРИНЯТ ПО ДОПУЩЕНИЮ 1",VLOOKUP(C3249,'Справочник соответствий'!A$2:D$2981,3,FALSE)))</f>
        <v>ЭТАЖ ЗАДАН ЧИСЛОМ</v>
      </c>
      <c r="M3249" s="13" t="b">
        <f t="shared" si="351"/>
        <v>0</v>
      </c>
      <c r="N3249" s="13">
        <f t="shared" si="352"/>
        <v>2</v>
      </c>
      <c r="O3249" s="13" t="str">
        <f t="shared" si="353"/>
        <v>ЭТАЖ ЗАДАН ЧИСЛОМ</v>
      </c>
      <c r="P3249" s="13" t="str">
        <f t="shared" si="354"/>
        <v>ЭТАЖ ЗАДАН ЧИСЛОМ</v>
      </c>
      <c r="Q3249" s="13" t="str">
        <f t="shared" si="355"/>
        <v>ГОТОВ_ИЗМЕНЕН</v>
      </c>
      <c r="R3249" s="13">
        <f>IFERROR(VLOOKUP(P3249,Лист1!A$1:B$20,2,FALSE),0)</f>
        <v>784</v>
      </c>
      <c r="S3249" s="13">
        <f t="shared" si="356"/>
        <v>0</v>
      </c>
    </row>
    <row r="3250" spans="1:19" x14ac:dyDescent="0.25">
      <c r="A3250" s="24" t="s">
        <v>4383</v>
      </c>
      <c r="B3250" s="4" t="s">
        <v>1063</v>
      </c>
      <c r="G3250" s="25" t="s">
        <v>1698</v>
      </c>
      <c r="H3250" s="24" t="s">
        <v>1061</v>
      </c>
      <c r="I3250" s="3">
        <f>IFERROR(VLOOKUP(C3250,'Справочник соответствий'!A$2:D$2981,2,FALSE),IF(VALUE(C3250)=0,1,VLOOKUP(C3250,'Справочник соответствий'!A$2:D$2981,2,FALSE)))</f>
        <v>1</v>
      </c>
      <c r="J3250" s="3">
        <f>IFERROR(VLOOKUP(D3250,'Справочник соответствий'!A$2:D$2981,2,FALSE),IF(VALUE(D3250)=0,0,VLOOKUP(D3250,'Справочник соответствий'!A$2:D$2981,2,FALSE)))</f>
        <v>0</v>
      </c>
      <c r="K3250" s="3">
        <f t="shared" si="350"/>
        <v>1</v>
      </c>
      <c r="L3250" s="13" t="str">
        <f>IFERROR(VLOOKUP(C3250,'Справочник соответствий'!A$2:D$2981,3,FALSE),IF(VALUE(C3250)=0,"ЭТАЖ НЕ ОПРЕДЕЛЕН. ПРИНЯТ ПО ДОПУЩЕНИЮ 1",VLOOKUP(C3250,'Справочник соответствий'!A$2:D$2981,3,FALSE)))</f>
        <v>ЭТАЖ НЕ ОПРЕДЕЛЕН. ПРИНЯТ ПО ДОПУЩЕНИЮ 1</v>
      </c>
      <c r="M3250" s="13" t="b">
        <f t="shared" si="351"/>
        <v>0</v>
      </c>
      <c r="N3250" s="13">
        <f t="shared" si="352"/>
        <v>1</v>
      </c>
      <c r="O3250" s="13" t="str">
        <f t="shared" si="353"/>
        <v>ЭТАЖ НЕ ОПРЕДЕЛЕН. ПРИНЯТ ПО ДОПУЩЕНИЮ 1</v>
      </c>
      <c r="P3250" s="13" t="str">
        <f t="shared" si="354"/>
        <v>ЭТАЖ НЕ ОПРЕДЕЛЕН. ПРИНЯТ ПО ДОПУЩЕНИЮ 1</v>
      </c>
      <c r="Q3250" s="13" t="str">
        <f t="shared" si="355"/>
        <v>ГОТОВ_ИЗМЕНЕН</v>
      </c>
      <c r="R3250" s="13">
        <f>IFERROR(VLOOKUP(P3250,Лист1!A$1:B$20,2,FALSE),0)</f>
        <v>788</v>
      </c>
      <c r="S3250" s="13">
        <f t="shared" si="356"/>
        <v>0</v>
      </c>
    </row>
    <row r="3251" spans="1:19" x14ac:dyDescent="0.25">
      <c r="A3251" s="24" t="s">
        <v>4384</v>
      </c>
      <c r="B3251" s="4" t="s">
        <v>1063</v>
      </c>
      <c r="C3251" s="25" t="s">
        <v>5</v>
      </c>
      <c r="G3251" s="25" t="s">
        <v>1698</v>
      </c>
      <c r="H3251" s="24" t="s">
        <v>1061</v>
      </c>
      <c r="I3251" s="3" t="str">
        <f>IFERROR(VLOOKUP(C3251,'Справочник соответствий'!A$2:D$2981,2,FALSE),IF(VALUE(C3251)=0,1,VLOOKUP(C3251,'Справочник соответствий'!A$2:D$2981,2,FALSE)))</f>
        <v>1</v>
      </c>
      <c r="J3251" s="3">
        <f>IFERROR(VLOOKUP(D3251,'Справочник соответствий'!A$2:D$2981,2,FALSE),IF(VALUE(D3251)=0,0,VLOOKUP(D3251,'Справочник соответствий'!A$2:D$2981,2,FALSE)))</f>
        <v>0</v>
      </c>
      <c r="K3251" s="3" t="str">
        <f t="shared" si="350"/>
        <v>1</v>
      </c>
      <c r="L3251" s="13" t="str">
        <f>IFERROR(VLOOKUP(C3251,'Справочник соответствий'!A$2:D$2981,3,FALSE),IF(VALUE(C3251)=0,"ЭТАЖ НЕ ОПРЕДЕЛЕН. ПРИНЯТ ПО ДОПУЩЕНИЮ 1",VLOOKUP(C3251,'Справочник соответствий'!A$2:D$2981,3,FALSE)))</f>
        <v>ЭТАЖ ЗАДАН ЧИСЛОМ</v>
      </c>
      <c r="M3251" s="13" t="b">
        <f t="shared" si="351"/>
        <v>0</v>
      </c>
      <c r="N3251" s="13">
        <f t="shared" si="352"/>
        <v>1</v>
      </c>
      <c r="O3251" s="13" t="str">
        <f t="shared" si="353"/>
        <v>ЭТАЖ ЗАДАН ЧИСЛОМ</v>
      </c>
      <c r="P3251" s="13" t="str">
        <f t="shared" si="354"/>
        <v>ЭТАЖ ЗАДАН ЧИСЛОМ</v>
      </c>
      <c r="Q3251" s="13" t="str">
        <f t="shared" si="355"/>
        <v>ГОТОВ_ИЗМЕНЕН</v>
      </c>
      <c r="R3251" s="13">
        <f>IFERROR(VLOOKUP(P3251,Лист1!A$1:B$20,2,FALSE),0)</f>
        <v>784</v>
      </c>
      <c r="S3251" s="13">
        <f t="shared" si="356"/>
        <v>0</v>
      </c>
    </row>
    <row r="3252" spans="1:19" x14ac:dyDescent="0.25">
      <c r="A3252" s="24" t="s">
        <v>4385</v>
      </c>
      <c r="B3252" s="4" t="s">
        <v>1059</v>
      </c>
      <c r="C3252" s="25" t="s">
        <v>5</v>
      </c>
      <c r="G3252" s="25" t="s">
        <v>1698</v>
      </c>
      <c r="H3252" s="24" t="s">
        <v>1061</v>
      </c>
      <c r="I3252" s="3" t="str">
        <f>IFERROR(VLOOKUP(C3252,'Справочник соответствий'!A$2:D$2981,2,FALSE),IF(VALUE(C3252)=0,1,VLOOKUP(C3252,'Справочник соответствий'!A$2:D$2981,2,FALSE)))</f>
        <v>1</v>
      </c>
      <c r="J3252" s="3">
        <f>IFERROR(VLOOKUP(D3252,'Справочник соответствий'!A$2:D$2981,2,FALSE),IF(VALUE(D3252)=0,0,VLOOKUP(D3252,'Справочник соответствий'!A$2:D$2981,2,FALSE)))</f>
        <v>0</v>
      </c>
      <c r="K3252" s="3" t="str">
        <f t="shared" si="350"/>
        <v>1</v>
      </c>
      <c r="L3252" s="13" t="str">
        <f>IFERROR(VLOOKUP(C3252,'Справочник соответствий'!A$2:D$2981,3,FALSE),IF(VALUE(C3252)=0,"ЭТАЖ НЕ ОПРЕДЕЛЕН. ПРИНЯТ ПО ДОПУЩЕНИЮ 1",VLOOKUP(C3252,'Справочник соответствий'!A$2:D$2981,3,FALSE)))</f>
        <v>ЭТАЖ ЗАДАН ЧИСЛОМ</v>
      </c>
      <c r="M3252" s="13" t="b">
        <f t="shared" si="351"/>
        <v>0</v>
      </c>
      <c r="N3252" s="13">
        <f t="shared" si="352"/>
        <v>1</v>
      </c>
      <c r="O3252" s="13" t="str">
        <f t="shared" si="353"/>
        <v>ЭТАЖ ЗАДАН ЧИСЛОМ</v>
      </c>
      <c r="P3252" s="13" t="str">
        <f t="shared" si="354"/>
        <v>ЭТАЖ ЗАДАН ЧИСЛОМ</v>
      </c>
      <c r="Q3252" s="13" t="str">
        <f t="shared" si="355"/>
        <v>ГОТОВ_ИЗМЕНЕН</v>
      </c>
      <c r="R3252" s="13">
        <f>IFERROR(VLOOKUP(P3252,Лист1!A$1:B$20,2,FALSE),0)</f>
        <v>784</v>
      </c>
      <c r="S3252" s="13">
        <f t="shared" si="356"/>
        <v>0</v>
      </c>
    </row>
    <row r="3253" spans="1:19" x14ac:dyDescent="0.25">
      <c r="A3253" s="24" t="s">
        <v>4386</v>
      </c>
      <c r="B3253" s="4" t="s">
        <v>1059</v>
      </c>
      <c r="C3253" s="25" t="s">
        <v>8</v>
      </c>
      <c r="D3253" s="25" t="s">
        <v>5</v>
      </c>
      <c r="G3253" s="25" t="s">
        <v>1698</v>
      </c>
      <c r="H3253" s="24" t="s">
        <v>1061</v>
      </c>
      <c r="I3253" s="3" t="str">
        <f>IFERROR(VLOOKUP(C3253,'Справочник соответствий'!A$2:D$2981,2,FALSE),IF(VALUE(C3253)=0,1,VLOOKUP(C3253,'Справочник соответствий'!A$2:D$2981,2,FALSE)))</f>
        <v>3</v>
      </c>
      <c r="J3253" s="3" t="str">
        <f>IFERROR(VLOOKUP(D3253,'Справочник соответствий'!A$2:D$2981,2,FALSE),IF(VALUE(D3253)=0,0,VLOOKUP(D3253,'Справочник соответствий'!A$2:D$2981,2,FALSE)))</f>
        <v>1</v>
      </c>
      <c r="K3253" s="3" t="str">
        <f t="shared" si="350"/>
        <v>3</v>
      </c>
      <c r="L3253" s="13" t="str">
        <f>IFERROR(VLOOKUP(C3253,'Справочник соответствий'!A$2:D$2981,3,FALSE),IF(VALUE(C3253)=0,"ЭТАЖ НЕ ОПРЕДЕЛЕН. ПРИНЯТ ПО ДОПУЩЕНИЮ 1",VLOOKUP(C3253,'Справочник соответствий'!A$2:D$2981,3,FALSE)))</f>
        <v>ЭТАЖ ЗАДАН ЧИСЛОМ</v>
      </c>
      <c r="M3253" s="13" t="b">
        <f t="shared" si="351"/>
        <v>0</v>
      </c>
      <c r="N3253" s="13">
        <f t="shared" si="352"/>
        <v>3</v>
      </c>
      <c r="O3253" s="13" t="str">
        <f t="shared" si="353"/>
        <v>ЭТАЖ ЗАДАН ЧИСЛОМ</v>
      </c>
      <c r="P3253" s="13" t="str">
        <f t="shared" si="354"/>
        <v>ЭТАЖ ЗАДАН ЧИСЛОМ</v>
      </c>
      <c r="Q3253" s="13" t="str">
        <f t="shared" si="355"/>
        <v>ГОТОВ_ИЗМЕНЕН</v>
      </c>
      <c r="R3253" s="13">
        <f>IFERROR(VLOOKUP(P3253,Лист1!A$1:B$20,2,FALSE),0)</f>
        <v>784</v>
      </c>
      <c r="S3253" s="13">
        <f t="shared" si="356"/>
        <v>0</v>
      </c>
    </row>
    <row r="3254" spans="1:19" x14ac:dyDescent="0.25">
      <c r="A3254" s="24" t="s">
        <v>4387</v>
      </c>
      <c r="B3254" s="4" t="s">
        <v>1059</v>
      </c>
      <c r="C3254" s="25" t="s">
        <v>7</v>
      </c>
      <c r="G3254" s="25" t="s">
        <v>1391</v>
      </c>
      <c r="H3254" s="24" t="s">
        <v>1061</v>
      </c>
      <c r="I3254" s="3" t="str">
        <f>IFERROR(VLOOKUP(C3254,'Справочник соответствий'!A$2:D$2981,2,FALSE),IF(VALUE(C3254)=0,1,VLOOKUP(C3254,'Справочник соответствий'!A$2:D$2981,2,FALSE)))</f>
        <v>2</v>
      </c>
      <c r="J3254" s="3">
        <f>IFERROR(VLOOKUP(D3254,'Справочник соответствий'!A$2:D$2981,2,FALSE),IF(VALUE(D3254)=0,0,VLOOKUP(D3254,'Справочник соответствий'!A$2:D$2981,2,FALSE)))</f>
        <v>0</v>
      </c>
      <c r="K3254" s="3" t="str">
        <f t="shared" si="350"/>
        <v>2</v>
      </c>
      <c r="L3254" s="13" t="str">
        <f>IFERROR(VLOOKUP(C3254,'Справочник соответствий'!A$2:D$2981,3,FALSE),IF(VALUE(C3254)=0,"ЭТАЖ НЕ ОПРЕДЕЛЕН. ПРИНЯТ ПО ДОПУЩЕНИЮ 1",VLOOKUP(C3254,'Справочник соответствий'!A$2:D$2981,3,FALSE)))</f>
        <v>ЭТАЖ ЗАДАН ЧИСЛОМ</v>
      </c>
      <c r="M3254" s="13" t="b">
        <f t="shared" si="351"/>
        <v>0</v>
      </c>
      <c r="N3254" s="13">
        <f t="shared" si="352"/>
        <v>2</v>
      </c>
      <c r="O3254" s="13" t="str">
        <f t="shared" si="353"/>
        <v>ЭТАЖ ЗАДАН ЧИСЛОМ</v>
      </c>
      <c r="P3254" s="13" t="str">
        <f t="shared" si="354"/>
        <v>ЭТАЖ ЗАДАН ЧИСЛОМ</v>
      </c>
      <c r="Q3254" s="13" t="str">
        <f t="shared" si="355"/>
        <v>ГОТОВ_ИЗМЕНЕН</v>
      </c>
      <c r="R3254" s="13">
        <f>IFERROR(VLOOKUP(P3254,Лист1!A$1:B$20,2,FALSE),0)</f>
        <v>784</v>
      </c>
      <c r="S3254" s="13">
        <f t="shared" si="356"/>
        <v>0</v>
      </c>
    </row>
    <row r="3255" spans="1:19" x14ac:dyDescent="0.25">
      <c r="A3255" s="24" t="s">
        <v>4388</v>
      </c>
      <c r="B3255" s="4" t="s">
        <v>1063</v>
      </c>
      <c r="G3255" s="25" t="s">
        <v>1391</v>
      </c>
      <c r="H3255" s="24" t="s">
        <v>1061</v>
      </c>
      <c r="I3255" s="3">
        <f>IFERROR(VLOOKUP(C3255,'Справочник соответствий'!A$2:D$2981,2,FALSE),IF(VALUE(C3255)=0,1,VLOOKUP(C3255,'Справочник соответствий'!A$2:D$2981,2,FALSE)))</f>
        <v>1</v>
      </c>
      <c r="J3255" s="3">
        <f>IFERROR(VLOOKUP(D3255,'Справочник соответствий'!A$2:D$2981,2,FALSE),IF(VALUE(D3255)=0,0,VLOOKUP(D3255,'Справочник соответствий'!A$2:D$2981,2,FALSE)))</f>
        <v>0</v>
      </c>
      <c r="K3255" s="3">
        <f t="shared" si="350"/>
        <v>1</v>
      </c>
      <c r="L3255" s="13" t="str">
        <f>IFERROR(VLOOKUP(C3255,'Справочник соответствий'!A$2:D$2981,3,FALSE),IF(VALUE(C3255)=0,"ЭТАЖ НЕ ОПРЕДЕЛЕН. ПРИНЯТ ПО ДОПУЩЕНИЮ 1",VLOOKUP(C3255,'Справочник соответствий'!A$2:D$2981,3,FALSE)))</f>
        <v>ЭТАЖ НЕ ОПРЕДЕЛЕН. ПРИНЯТ ПО ДОПУЩЕНИЮ 1</v>
      </c>
      <c r="M3255" s="13" t="b">
        <f t="shared" si="351"/>
        <v>0</v>
      </c>
      <c r="N3255" s="13">
        <f t="shared" si="352"/>
        <v>1</v>
      </c>
      <c r="O3255" s="13" t="str">
        <f t="shared" si="353"/>
        <v>ЭТАЖ НЕ ОПРЕДЕЛЕН. ПРИНЯТ ПО ДОПУЩЕНИЮ 1</v>
      </c>
      <c r="P3255" s="13" t="str">
        <f t="shared" si="354"/>
        <v>ЭТАЖ НЕ ОПРЕДЕЛЕН. ПРИНЯТ ПО ДОПУЩЕНИЮ 1</v>
      </c>
      <c r="Q3255" s="13" t="str">
        <f t="shared" si="355"/>
        <v>ГОТОВ_ИЗМЕНЕН</v>
      </c>
      <c r="R3255" s="13">
        <f>IFERROR(VLOOKUP(P3255,Лист1!A$1:B$20,2,FALSE),0)</f>
        <v>788</v>
      </c>
      <c r="S3255" s="13">
        <f t="shared" si="356"/>
        <v>0</v>
      </c>
    </row>
    <row r="3256" spans="1:19" x14ac:dyDescent="0.25">
      <c r="A3256" s="24" t="s">
        <v>4389</v>
      </c>
      <c r="B3256" s="4" t="s">
        <v>1063</v>
      </c>
      <c r="C3256" s="25" t="s">
        <v>5</v>
      </c>
      <c r="G3256" s="25" t="s">
        <v>1391</v>
      </c>
      <c r="H3256" s="24" t="s">
        <v>1061</v>
      </c>
      <c r="I3256" s="3" t="str">
        <f>IFERROR(VLOOKUP(C3256,'Справочник соответствий'!A$2:D$2981,2,FALSE),IF(VALUE(C3256)=0,1,VLOOKUP(C3256,'Справочник соответствий'!A$2:D$2981,2,FALSE)))</f>
        <v>1</v>
      </c>
      <c r="J3256" s="3">
        <f>IFERROR(VLOOKUP(D3256,'Справочник соответствий'!A$2:D$2981,2,FALSE),IF(VALUE(D3256)=0,0,VLOOKUP(D3256,'Справочник соответствий'!A$2:D$2981,2,FALSE)))</f>
        <v>0</v>
      </c>
      <c r="K3256" s="3" t="str">
        <f t="shared" si="350"/>
        <v>1</v>
      </c>
      <c r="L3256" s="13" t="str">
        <f>IFERROR(VLOOKUP(C3256,'Справочник соответствий'!A$2:D$2981,3,FALSE),IF(VALUE(C3256)=0,"ЭТАЖ НЕ ОПРЕДЕЛЕН. ПРИНЯТ ПО ДОПУЩЕНИЮ 1",VLOOKUP(C3256,'Справочник соответствий'!A$2:D$2981,3,FALSE)))</f>
        <v>ЭТАЖ ЗАДАН ЧИСЛОМ</v>
      </c>
      <c r="M3256" s="13" t="b">
        <f t="shared" si="351"/>
        <v>0</v>
      </c>
      <c r="N3256" s="13">
        <f t="shared" si="352"/>
        <v>1</v>
      </c>
      <c r="O3256" s="13" t="str">
        <f t="shared" si="353"/>
        <v>ЭТАЖ ЗАДАН ЧИСЛОМ</v>
      </c>
      <c r="P3256" s="13" t="str">
        <f t="shared" si="354"/>
        <v>ЭТАЖ ЗАДАН ЧИСЛОМ</v>
      </c>
      <c r="Q3256" s="13" t="str">
        <f t="shared" si="355"/>
        <v>ГОТОВ_ИЗМЕНЕН</v>
      </c>
      <c r="R3256" s="13">
        <f>IFERROR(VLOOKUP(P3256,Лист1!A$1:B$20,2,FALSE),0)</f>
        <v>784</v>
      </c>
      <c r="S3256" s="13">
        <f t="shared" si="356"/>
        <v>0</v>
      </c>
    </row>
    <row r="3257" spans="1:19" x14ac:dyDescent="0.25">
      <c r="A3257" s="24" t="s">
        <v>4390</v>
      </c>
      <c r="B3257" s="4" t="s">
        <v>1059</v>
      </c>
      <c r="C3257" s="25" t="s">
        <v>5</v>
      </c>
      <c r="G3257" s="25" t="s">
        <v>1347</v>
      </c>
      <c r="H3257" s="24" t="s">
        <v>1061</v>
      </c>
      <c r="I3257" s="3" t="str">
        <f>IFERROR(VLOOKUP(C3257,'Справочник соответствий'!A$2:D$2981,2,FALSE),IF(VALUE(C3257)=0,1,VLOOKUP(C3257,'Справочник соответствий'!A$2:D$2981,2,FALSE)))</f>
        <v>1</v>
      </c>
      <c r="J3257" s="3">
        <f>IFERROR(VLOOKUP(D3257,'Справочник соответствий'!A$2:D$2981,2,FALSE),IF(VALUE(D3257)=0,0,VLOOKUP(D3257,'Справочник соответствий'!A$2:D$2981,2,FALSE)))</f>
        <v>0</v>
      </c>
      <c r="K3257" s="3" t="str">
        <f t="shared" si="350"/>
        <v>1</v>
      </c>
      <c r="L3257" s="13" t="str">
        <f>IFERROR(VLOOKUP(C3257,'Справочник соответствий'!A$2:D$2981,3,FALSE),IF(VALUE(C3257)=0,"ЭТАЖ НЕ ОПРЕДЕЛЕН. ПРИНЯТ ПО ДОПУЩЕНИЮ 1",VLOOKUP(C3257,'Справочник соответствий'!A$2:D$2981,3,FALSE)))</f>
        <v>ЭТАЖ ЗАДАН ЧИСЛОМ</v>
      </c>
      <c r="M3257" s="13" t="b">
        <f t="shared" si="351"/>
        <v>0</v>
      </c>
      <c r="N3257" s="13">
        <f t="shared" si="352"/>
        <v>1</v>
      </c>
      <c r="O3257" s="13" t="str">
        <f t="shared" si="353"/>
        <v>ЭТАЖ ЗАДАН ЧИСЛОМ</v>
      </c>
      <c r="P3257" s="13" t="str">
        <f t="shared" si="354"/>
        <v>ЭТАЖ ЗАДАН ЧИСЛОМ</v>
      </c>
      <c r="Q3257" s="13" t="str">
        <f t="shared" si="355"/>
        <v>ГОТОВ_ИЗМЕНЕН</v>
      </c>
      <c r="R3257" s="13">
        <f>IFERROR(VLOOKUP(P3257,Лист1!A$1:B$20,2,FALSE),0)</f>
        <v>784</v>
      </c>
      <c r="S3257" s="13">
        <f t="shared" si="356"/>
        <v>0</v>
      </c>
    </row>
    <row r="3258" spans="1:19" x14ac:dyDescent="0.25">
      <c r="A3258" s="24" t="s">
        <v>4391</v>
      </c>
      <c r="B3258" s="4" t="s">
        <v>1063</v>
      </c>
      <c r="C3258" s="25" t="s">
        <v>7</v>
      </c>
      <c r="G3258" s="25" t="s">
        <v>1347</v>
      </c>
      <c r="H3258" s="24" t="s">
        <v>1061</v>
      </c>
      <c r="I3258" s="3" t="str">
        <f>IFERROR(VLOOKUP(C3258,'Справочник соответствий'!A$2:D$2981,2,FALSE),IF(VALUE(C3258)=0,1,VLOOKUP(C3258,'Справочник соответствий'!A$2:D$2981,2,FALSE)))</f>
        <v>2</v>
      </c>
      <c r="J3258" s="3">
        <f>IFERROR(VLOOKUP(D3258,'Справочник соответствий'!A$2:D$2981,2,FALSE),IF(VALUE(D3258)=0,0,VLOOKUP(D3258,'Справочник соответствий'!A$2:D$2981,2,FALSE)))</f>
        <v>0</v>
      </c>
      <c r="K3258" s="3" t="str">
        <f t="shared" si="350"/>
        <v>2</v>
      </c>
      <c r="L3258" s="13" t="str">
        <f>IFERROR(VLOOKUP(C3258,'Справочник соответствий'!A$2:D$2981,3,FALSE),IF(VALUE(C3258)=0,"ЭТАЖ НЕ ОПРЕДЕЛЕН. ПРИНЯТ ПО ДОПУЩЕНИЮ 1",VLOOKUP(C3258,'Справочник соответствий'!A$2:D$2981,3,FALSE)))</f>
        <v>ЭТАЖ ЗАДАН ЧИСЛОМ</v>
      </c>
      <c r="M3258" s="13" t="b">
        <f t="shared" si="351"/>
        <v>0</v>
      </c>
      <c r="N3258" s="13">
        <f t="shared" si="352"/>
        <v>2</v>
      </c>
      <c r="O3258" s="13" t="str">
        <f t="shared" si="353"/>
        <v>ЭТАЖ ЗАДАН ЧИСЛОМ</v>
      </c>
      <c r="P3258" s="13" t="str">
        <f t="shared" si="354"/>
        <v>ЭТАЖ ЗАДАН ЧИСЛОМ</v>
      </c>
      <c r="Q3258" s="13" t="str">
        <f t="shared" si="355"/>
        <v>ГОТОВ_ИЗМЕНЕН</v>
      </c>
      <c r="R3258" s="13">
        <f>IFERROR(VLOOKUP(P3258,Лист1!A$1:B$20,2,FALSE),0)</f>
        <v>784</v>
      </c>
      <c r="S3258" s="13">
        <f t="shared" si="356"/>
        <v>0</v>
      </c>
    </row>
    <row r="3259" spans="1:19" x14ac:dyDescent="0.25">
      <c r="A3259" s="24" t="s">
        <v>4392</v>
      </c>
      <c r="B3259" s="4" t="s">
        <v>1059</v>
      </c>
      <c r="C3259" s="25" t="s">
        <v>5</v>
      </c>
      <c r="G3259" s="25" t="s">
        <v>1347</v>
      </c>
      <c r="H3259" s="24" t="s">
        <v>1061</v>
      </c>
      <c r="I3259" s="3" t="str">
        <f>IFERROR(VLOOKUP(C3259,'Справочник соответствий'!A$2:D$2981,2,FALSE),IF(VALUE(C3259)=0,1,VLOOKUP(C3259,'Справочник соответствий'!A$2:D$2981,2,FALSE)))</f>
        <v>1</v>
      </c>
      <c r="J3259" s="3">
        <f>IFERROR(VLOOKUP(D3259,'Справочник соответствий'!A$2:D$2981,2,FALSE),IF(VALUE(D3259)=0,0,VLOOKUP(D3259,'Справочник соответствий'!A$2:D$2981,2,FALSE)))</f>
        <v>0</v>
      </c>
      <c r="K3259" s="3" t="str">
        <f t="shared" si="350"/>
        <v>1</v>
      </c>
      <c r="L3259" s="13" t="str">
        <f>IFERROR(VLOOKUP(C3259,'Справочник соответствий'!A$2:D$2981,3,FALSE),IF(VALUE(C3259)=0,"ЭТАЖ НЕ ОПРЕДЕЛЕН. ПРИНЯТ ПО ДОПУЩЕНИЮ 1",VLOOKUP(C3259,'Справочник соответствий'!A$2:D$2981,3,FALSE)))</f>
        <v>ЭТАЖ ЗАДАН ЧИСЛОМ</v>
      </c>
      <c r="M3259" s="13" t="b">
        <f t="shared" si="351"/>
        <v>0</v>
      </c>
      <c r="N3259" s="13">
        <f t="shared" si="352"/>
        <v>1</v>
      </c>
      <c r="O3259" s="13" t="str">
        <f t="shared" si="353"/>
        <v>ЭТАЖ ЗАДАН ЧИСЛОМ</v>
      </c>
      <c r="P3259" s="13" t="str">
        <f t="shared" si="354"/>
        <v>ЭТАЖ ЗАДАН ЧИСЛОМ</v>
      </c>
      <c r="Q3259" s="13" t="str">
        <f t="shared" si="355"/>
        <v>ГОТОВ_ИЗМЕНЕН</v>
      </c>
      <c r="R3259" s="13">
        <f>IFERROR(VLOOKUP(P3259,Лист1!A$1:B$20,2,FALSE),0)</f>
        <v>784</v>
      </c>
      <c r="S3259" s="13">
        <f t="shared" si="356"/>
        <v>0</v>
      </c>
    </row>
    <row r="3260" spans="1:19" x14ac:dyDescent="0.25">
      <c r="A3260" s="24" t="s">
        <v>4393</v>
      </c>
      <c r="B3260" s="4" t="s">
        <v>1059</v>
      </c>
      <c r="C3260" s="25" t="s">
        <v>7</v>
      </c>
      <c r="G3260" s="25" t="s">
        <v>1347</v>
      </c>
      <c r="H3260" s="24" t="s">
        <v>1061</v>
      </c>
      <c r="I3260" s="3" t="str">
        <f>IFERROR(VLOOKUP(C3260,'Справочник соответствий'!A$2:D$2981,2,FALSE),IF(VALUE(C3260)=0,1,VLOOKUP(C3260,'Справочник соответствий'!A$2:D$2981,2,FALSE)))</f>
        <v>2</v>
      </c>
      <c r="J3260" s="3">
        <f>IFERROR(VLOOKUP(D3260,'Справочник соответствий'!A$2:D$2981,2,FALSE),IF(VALUE(D3260)=0,0,VLOOKUP(D3260,'Справочник соответствий'!A$2:D$2981,2,FALSE)))</f>
        <v>0</v>
      </c>
      <c r="K3260" s="3" t="str">
        <f t="shared" si="350"/>
        <v>2</v>
      </c>
      <c r="L3260" s="13" t="str">
        <f>IFERROR(VLOOKUP(C3260,'Справочник соответствий'!A$2:D$2981,3,FALSE),IF(VALUE(C3260)=0,"ЭТАЖ НЕ ОПРЕДЕЛЕН. ПРИНЯТ ПО ДОПУЩЕНИЮ 1",VLOOKUP(C3260,'Справочник соответствий'!A$2:D$2981,3,FALSE)))</f>
        <v>ЭТАЖ ЗАДАН ЧИСЛОМ</v>
      </c>
      <c r="M3260" s="13" t="b">
        <f t="shared" si="351"/>
        <v>0</v>
      </c>
      <c r="N3260" s="13">
        <f t="shared" si="352"/>
        <v>2</v>
      </c>
      <c r="O3260" s="13" t="str">
        <f t="shared" si="353"/>
        <v>ЭТАЖ ЗАДАН ЧИСЛОМ</v>
      </c>
      <c r="P3260" s="13" t="str">
        <f t="shared" si="354"/>
        <v>ЭТАЖ ЗАДАН ЧИСЛОМ</v>
      </c>
      <c r="Q3260" s="13" t="str">
        <f t="shared" si="355"/>
        <v>ГОТОВ_ИЗМЕНЕН</v>
      </c>
      <c r="R3260" s="13">
        <f>IFERROR(VLOOKUP(P3260,Лист1!A$1:B$20,2,FALSE),0)</f>
        <v>784</v>
      </c>
      <c r="S3260" s="13">
        <f t="shared" si="356"/>
        <v>0</v>
      </c>
    </row>
    <row r="3261" spans="1:19" x14ac:dyDescent="0.25">
      <c r="A3261" s="24" t="s">
        <v>4394</v>
      </c>
      <c r="B3261" s="4" t="s">
        <v>1063</v>
      </c>
      <c r="G3261" s="25" t="s">
        <v>1347</v>
      </c>
      <c r="H3261" s="24" t="s">
        <v>1061</v>
      </c>
      <c r="I3261" s="3">
        <f>IFERROR(VLOOKUP(C3261,'Справочник соответствий'!A$2:D$2981,2,FALSE),IF(VALUE(C3261)=0,1,VLOOKUP(C3261,'Справочник соответствий'!A$2:D$2981,2,FALSE)))</f>
        <v>1</v>
      </c>
      <c r="J3261" s="3">
        <f>IFERROR(VLOOKUP(D3261,'Справочник соответствий'!A$2:D$2981,2,FALSE),IF(VALUE(D3261)=0,0,VLOOKUP(D3261,'Справочник соответствий'!A$2:D$2981,2,FALSE)))</f>
        <v>0</v>
      </c>
      <c r="K3261" s="3">
        <f t="shared" si="350"/>
        <v>1</v>
      </c>
      <c r="L3261" s="13" t="str">
        <f>IFERROR(VLOOKUP(C3261,'Справочник соответствий'!A$2:D$2981,3,FALSE),IF(VALUE(C3261)=0,"ЭТАЖ НЕ ОПРЕДЕЛЕН. ПРИНЯТ ПО ДОПУЩЕНИЮ 1",VLOOKUP(C3261,'Справочник соответствий'!A$2:D$2981,3,FALSE)))</f>
        <v>ЭТАЖ НЕ ОПРЕДЕЛЕН. ПРИНЯТ ПО ДОПУЩЕНИЮ 1</v>
      </c>
      <c r="M3261" s="13" t="b">
        <f t="shared" si="351"/>
        <v>0</v>
      </c>
      <c r="N3261" s="13">
        <f t="shared" si="352"/>
        <v>1</v>
      </c>
      <c r="O3261" s="13" t="str">
        <f t="shared" si="353"/>
        <v>ЭТАЖ НЕ ОПРЕДЕЛЕН. ПРИНЯТ ПО ДОПУЩЕНИЮ 1</v>
      </c>
      <c r="P3261" s="13" t="str">
        <f t="shared" si="354"/>
        <v>ЭТАЖ НЕ ОПРЕДЕЛЕН. ПРИНЯТ ПО ДОПУЩЕНИЮ 1</v>
      </c>
      <c r="Q3261" s="13" t="str">
        <f t="shared" si="355"/>
        <v>ГОТОВ_ИЗМЕНЕН</v>
      </c>
      <c r="R3261" s="13">
        <f>IFERROR(VLOOKUP(P3261,Лист1!A$1:B$20,2,FALSE),0)</f>
        <v>788</v>
      </c>
      <c r="S3261" s="13">
        <f t="shared" si="356"/>
        <v>0</v>
      </c>
    </row>
    <row r="3262" spans="1:19" x14ac:dyDescent="0.25">
      <c r="A3262" s="24" t="s">
        <v>4395</v>
      </c>
      <c r="B3262" s="4" t="s">
        <v>1059</v>
      </c>
      <c r="C3262" s="25" t="s">
        <v>7</v>
      </c>
      <c r="G3262" s="25" t="s">
        <v>1347</v>
      </c>
      <c r="H3262" s="24" t="s">
        <v>1061</v>
      </c>
      <c r="I3262" s="3" t="str">
        <f>IFERROR(VLOOKUP(C3262,'Справочник соответствий'!A$2:D$2981,2,FALSE),IF(VALUE(C3262)=0,1,VLOOKUP(C3262,'Справочник соответствий'!A$2:D$2981,2,FALSE)))</f>
        <v>2</v>
      </c>
      <c r="J3262" s="3">
        <f>IFERROR(VLOOKUP(D3262,'Справочник соответствий'!A$2:D$2981,2,FALSE),IF(VALUE(D3262)=0,0,VLOOKUP(D3262,'Справочник соответствий'!A$2:D$2981,2,FALSE)))</f>
        <v>0</v>
      </c>
      <c r="K3262" s="3" t="str">
        <f t="shared" si="350"/>
        <v>2</v>
      </c>
      <c r="L3262" s="13" t="str">
        <f>IFERROR(VLOOKUP(C3262,'Справочник соответствий'!A$2:D$2981,3,FALSE),IF(VALUE(C3262)=0,"ЭТАЖ НЕ ОПРЕДЕЛЕН. ПРИНЯТ ПО ДОПУЩЕНИЮ 1",VLOOKUP(C3262,'Справочник соответствий'!A$2:D$2981,3,FALSE)))</f>
        <v>ЭТАЖ ЗАДАН ЧИСЛОМ</v>
      </c>
      <c r="M3262" s="13" t="b">
        <f t="shared" si="351"/>
        <v>0</v>
      </c>
      <c r="N3262" s="13">
        <f t="shared" si="352"/>
        <v>2</v>
      </c>
      <c r="O3262" s="13" t="str">
        <f t="shared" si="353"/>
        <v>ЭТАЖ ЗАДАН ЧИСЛОМ</v>
      </c>
      <c r="P3262" s="13" t="str">
        <f t="shared" si="354"/>
        <v>ЭТАЖ ЗАДАН ЧИСЛОМ</v>
      </c>
      <c r="Q3262" s="13" t="str">
        <f t="shared" si="355"/>
        <v>ГОТОВ_ИЗМЕНЕН</v>
      </c>
      <c r="R3262" s="13">
        <f>IFERROR(VLOOKUP(P3262,Лист1!A$1:B$20,2,FALSE),0)</f>
        <v>784</v>
      </c>
      <c r="S3262" s="13">
        <f t="shared" si="356"/>
        <v>0</v>
      </c>
    </row>
    <row r="3263" spans="1:19" x14ac:dyDescent="0.25">
      <c r="A3263" s="24" t="s">
        <v>4396</v>
      </c>
      <c r="B3263" s="4" t="s">
        <v>1059</v>
      </c>
      <c r="C3263" s="25" t="s">
        <v>5</v>
      </c>
      <c r="G3263" s="25" t="s">
        <v>1347</v>
      </c>
      <c r="H3263" s="24" t="s">
        <v>1061</v>
      </c>
      <c r="I3263" s="3" t="str">
        <f>IFERROR(VLOOKUP(C3263,'Справочник соответствий'!A$2:D$2981,2,FALSE),IF(VALUE(C3263)=0,1,VLOOKUP(C3263,'Справочник соответствий'!A$2:D$2981,2,FALSE)))</f>
        <v>1</v>
      </c>
      <c r="J3263" s="3">
        <f>IFERROR(VLOOKUP(D3263,'Справочник соответствий'!A$2:D$2981,2,FALSE),IF(VALUE(D3263)=0,0,VLOOKUP(D3263,'Справочник соответствий'!A$2:D$2981,2,FALSE)))</f>
        <v>0</v>
      </c>
      <c r="K3263" s="3" t="str">
        <f t="shared" si="350"/>
        <v>1</v>
      </c>
      <c r="L3263" s="13" t="str">
        <f>IFERROR(VLOOKUP(C3263,'Справочник соответствий'!A$2:D$2981,3,FALSE),IF(VALUE(C3263)=0,"ЭТАЖ НЕ ОПРЕДЕЛЕН. ПРИНЯТ ПО ДОПУЩЕНИЮ 1",VLOOKUP(C3263,'Справочник соответствий'!A$2:D$2981,3,FALSE)))</f>
        <v>ЭТАЖ ЗАДАН ЧИСЛОМ</v>
      </c>
      <c r="M3263" s="13" t="b">
        <f t="shared" si="351"/>
        <v>0</v>
      </c>
      <c r="N3263" s="13">
        <f t="shared" si="352"/>
        <v>1</v>
      </c>
      <c r="O3263" s="13" t="str">
        <f t="shared" si="353"/>
        <v>ЭТАЖ ЗАДАН ЧИСЛОМ</v>
      </c>
      <c r="P3263" s="13" t="str">
        <f t="shared" si="354"/>
        <v>ЭТАЖ ЗАДАН ЧИСЛОМ</v>
      </c>
      <c r="Q3263" s="13" t="str">
        <f t="shared" si="355"/>
        <v>ГОТОВ_ИЗМЕНЕН</v>
      </c>
      <c r="R3263" s="13">
        <f>IFERROR(VLOOKUP(P3263,Лист1!A$1:B$20,2,FALSE),0)</f>
        <v>784</v>
      </c>
      <c r="S3263" s="13">
        <f t="shared" si="356"/>
        <v>0</v>
      </c>
    </row>
    <row r="3264" spans="1:19" x14ac:dyDescent="0.25">
      <c r="A3264" s="24" t="s">
        <v>4397</v>
      </c>
      <c r="B3264" s="4" t="s">
        <v>1063</v>
      </c>
      <c r="C3264" s="25" t="s">
        <v>5</v>
      </c>
      <c r="G3264" s="25" t="s">
        <v>1321</v>
      </c>
      <c r="H3264" s="24" t="s">
        <v>1061</v>
      </c>
      <c r="I3264" s="3" t="str">
        <f>IFERROR(VLOOKUP(C3264,'Справочник соответствий'!A$2:D$2981,2,FALSE),IF(VALUE(C3264)=0,1,VLOOKUP(C3264,'Справочник соответствий'!A$2:D$2981,2,FALSE)))</f>
        <v>1</v>
      </c>
      <c r="J3264" s="3">
        <f>IFERROR(VLOOKUP(D3264,'Справочник соответствий'!A$2:D$2981,2,FALSE),IF(VALUE(D3264)=0,0,VLOOKUP(D3264,'Справочник соответствий'!A$2:D$2981,2,FALSE)))</f>
        <v>0</v>
      </c>
      <c r="K3264" s="3" t="str">
        <f t="shared" si="350"/>
        <v>1</v>
      </c>
      <c r="L3264" s="13" t="str">
        <f>IFERROR(VLOOKUP(C3264,'Справочник соответствий'!A$2:D$2981,3,FALSE),IF(VALUE(C3264)=0,"ЭТАЖ НЕ ОПРЕДЕЛЕН. ПРИНЯТ ПО ДОПУЩЕНИЮ 1",VLOOKUP(C3264,'Справочник соответствий'!A$2:D$2981,3,FALSE)))</f>
        <v>ЭТАЖ ЗАДАН ЧИСЛОМ</v>
      </c>
      <c r="M3264" s="13" t="b">
        <f t="shared" si="351"/>
        <v>0</v>
      </c>
      <c r="N3264" s="13">
        <f t="shared" si="352"/>
        <v>1</v>
      </c>
      <c r="O3264" s="13" t="str">
        <f t="shared" si="353"/>
        <v>ЭТАЖ ЗАДАН ЧИСЛОМ</v>
      </c>
      <c r="P3264" s="13" t="str">
        <f t="shared" si="354"/>
        <v>ЭТАЖ ЗАДАН ЧИСЛОМ</v>
      </c>
      <c r="Q3264" s="13" t="str">
        <f t="shared" si="355"/>
        <v>ГОТОВ_ИЗМЕНЕН</v>
      </c>
      <c r="R3264" s="13">
        <f>IFERROR(VLOOKUP(P3264,Лист1!A$1:B$20,2,FALSE),0)</f>
        <v>784</v>
      </c>
      <c r="S3264" s="13">
        <f t="shared" si="356"/>
        <v>0</v>
      </c>
    </row>
    <row r="3265" spans="1:19" x14ac:dyDescent="0.25">
      <c r="A3265" s="24" t="s">
        <v>4398</v>
      </c>
      <c r="B3265" s="4" t="s">
        <v>1063</v>
      </c>
      <c r="C3265" s="25" t="s">
        <v>5</v>
      </c>
      <c r="G3265" s="25" t="s">
        <v>1321</v>
      </c>
      <c r="H3265" s="24" t="s">
        <v>1061</v>
      </c>
      <c r="I3265" s="3" t="str">
        <f>IFERROR(VLOOKUP(C3265,'Справочник соответствий'!A$2:D$2981,2,FALSE),IF(VALUE(C3265)=0,1,VLOOKUP(C3265,'Справочник соответствий'!A$2:D$2981,2,FALSE)))</f>
        <v>1</v>
      </c>
      <c r="J3265" s="3">
        <f>IFERROR(VLOOKUP(D3265,'Справочник соответствий'!A$2:D$2981,2,FALSE),IF(VALUE(D3265)=0,0,VLOOKUP(D3265,'Справочник соответствий'!A$2:D$2981,2,FALSE)))</f>
        <v>0</v>
      </c>
      <c r="K3265" s="3" t="str">
        <f t="shared" si="350"/>
        <v>1</v>
      </c>
      <c r="L3265" s="13" t="str">
        <f>IFERROR(VLOOKUP(C3265,'Справочник соответствий'!A$2:D$2981,3,FALSE),IF(VALUE(C3265)=0,"ЭТАЖ НЕ ОПРЕДЕЛЕН. ПРИНЯТ ПО ДОПУЩЕНИЮ 1",VLOOKUP(C3265,'Справочник соответствий'!A$2:D$2981,3,FALSE)))</f>
        <v>ЭТАЖ ЗАДАН ЧИСЛОМ</v>
      </c>
      <c r="M3265" s="13" t="b">
        <f t="shared" si="351"/>
        <v>0</v>
      </c>
      <c r="N3265" s="13">
        <f t="shared" si="352"/>
        <v>1</v>
      </c>
      <c r="O3265" s="13" t="str">
        <f t="shared" si="353"/>
        <v>ЭТАЖ ЗАДАН ЧИСЛОМ</v>
      </c>
      <c r="P3265" s="13" t="str">
        <f t="shared" si="354"/>
        <v>ЭТАЖ ЗАДАН ЧИСЛОМ</v>
      </c>
      <c r="Q3265" s="13" t="str">
        <f t="shared" si="355"/>
        <v>ГОТОВ_ИЗМЕНЕН</v>
      </c>
      <c r="R3265" s="13">
        <f>IFERROR(VLOOKUP(P3265,Лист1!A$1:B$20,2,FALSE),0)</f>
        <v>784</v>
      </c>
      <c r="S3265" s="13">
        <f t="shared" si="356"/>
        <v>0</v>
      </c>
    </row>
    <row r="3266" spans="1:19" x14ac:dyDescent="0.25">
      <c r="A3266" s="24" t="s">
        <v>4399</v>
      </c>
      <c r="B3266" s="4" t="s">
        <v>1059</v>
      </c>
      <c r="C3266" s="25" t="s">
        <v>5</v>
      </c>
      <c r="G3266" s="25" t="s">
        <v>1321</v>
      </c>
      <c r="H3266" s="24" t="s">
        <v>1061</v>
      </c>
      <c r="I3266" s="3" t="str">
        <f>IFERROR(VLOOKUP(C3266,'Справочник соответствий'!A$2:D$2981,2,FALSE),IF(VALUE(C3266)=0,1,VLOOKUP(C3266,'Справочник соответствий'!A$2:D$2981,2,FALSE)))</f>
        <v>1</v>
      </c>
      <c r="J3266" s="3">
        <f>IFERROR(VLOOKUP(D3266,'Справочник соответствий'!A$2:D$2981,2,FALSE),IF(VALUE(D3266)=0,0,VLOOKUP(D3266,'Справочник соответствий'!A$2:D$2981,2,FALSE)))</f>
        <v>0</v>
      </c>
      <c r="K3266" s="3" t="str">
        <f t="shared" si="350"/>
        <v>1</v>
      </c>
      <c r="L3266" s="13" t="str">
        <f>IFERROR(VLOOKUP(C3266,'Справочник соответствий'!A$2:D$2981,3,FALSE),IF(VALUE(C3266)=0,"ЭТАЖ НЕ ОПРЕДЕЛЕН. ПРИНЯТ ПО ДОПУЩЕНИЮ 1",VLOOKUP(C3266,'Справочник соответствий'!A$2:D$2981,3,FALSE)))</f>
        <v>ЭТАЖ ЗАДАН ЧИСЛОМ</v>
      </c>
      <c r="M3266" s="13" t="b">
        <f t="shared" si="351"/>
        <v>0</v>
      </c>
      <c r="N3266" s="13">
        <f t="shared" si="352"/>
        <v>1</v>
      </c>
      <c r="O3266" s="13" t="str">
        <f t="shared" si="353"/>
        <v>ЭТАЖ ЗАДАН ЧИСЛОМ</v>
      </c>
      <c r="P3266" s="13" t="str">
        <f t="shared" si="354"/>
        <v>ЭТАЖ ЗАДАН ЧИСЛОМ</v>
      </c>
      <c r="Q3266" s="13" t="str">
        <f t="shared" si="355"/>
        <v>ГОТОВ_ИЗМЕНЕН</v>
      </c>
      <c r="R3266" s="13">
        <f>IFERROR(VLOOKUP(P3266,Лист1!A$1:B$20,2,FALSE),0)</f>
        <v>784</v>
      </c>
      <c r="S3266" s="13">
        <f t="shared" si="356"/>
        <v>0</v>
      </c>
    </row>
    <row r="3267" spans="1:19" x14ac:dyDescent="0.25">
      <c r="A3267" s="24" t="s">
        <v>4400</v>
      </c>
      <c r="B3267" s="4" t="s">
        <v>1063</v>
      </c>
      <c r="C3267" s="25" t="s">
        <v>21</v>
      </c>
      <c r="G3267" s="25" t="s">
        <v>1321</v>
      </c>
      <c r="H3267" s="24" t="s">
        <v>1061</v>
      </c>
      <c r="I3267" s="3" t="str">
        <f>IFERROR(VLOOKUP(C3267,'Справочник соответствий'!A$2:D$2981,2,FALSE),IF(VALUE(C3267)=0,1,VLOOKUP(C3267,'Справочник соответствий'!A$2:D$2981,2,FALSE)))</f>
        <v>2</v>
      </c>
      <c r="J3267" s="3">
        <f>IFERROR(VLOOKUP(D3267,'Справочник соответствий'!A$2:D$2981,2,FALSE),IF(VALUE(D3267)=0,0,VLOOKUP(D3267,'Справочник соответствий'!A$2:D$2981,2,FALSE)))</f>
        <v>0</v>
      </c>
      <c r="K3267" s="3" t="str">
        <f t="shared" si="350"/>
        <v>2</v>
      </c>
      <c r="L3267" s="13" t="str">
        <f>IFERROR(VLOOKUP(C3267,'Справочник соответствий'!A$2:D$2981,3,FALSE),IF(VALUE(C3267)=0,"ЭТАЖ НЕ ОПРЕДЕЛЕН. ПРИНЯТ ПО ДОПУЩЕНИЮ 1",VLOOKUP(C3267,'Справочник соответствий'!A$2:D$2981,3,FALSE)))</f>
        <v>СПРАВОЧНИК ЭТАЖНОСТИ</v>
      </c>
      <c r="M3267" s="13" t="b">
        <f t="shared" si="351"/>
        <v>0</v>
      </c>
      <c r="N3267" s="13">
        <f t="shared" si="352"/>
        <v>2</v>
      </c>
      <c r="O3267" s="13" t="str">
        <f t="shared" si="353"/>
        <v>СПРАВОЧНИК ЭТАЖНОСТИ</v>
      </c>
      <c r="P3267" s="13" t="str">
        <f t="shared" si="354"/>
        <v>СПРАВОЧНИК ЭТАЖНОСТИ</v>
      </c>
      <c r="Q3267" s="13" t="str">
        <f t="shared" si="355"/>
        <v>ГОТОВ_ИЗМЕНЕН</v>
      </c>
      <c r="R3267" s="13">
        <f>IFERROR(VLOOKUP(P3267,Лист1!A$1:B$20,2,FALSE),0)</f>
        <v>785</v>
      </c>
      <c r="S3267" s="13">
        <f t="shared" si="356"/>
        <v>0</v>
      </c>
    </row>
    <row r="3268" spans="1:19" x14ac:dyDescent="0.25">
      <c r="A3268" s="24" t="s">
        <v>4401</v>
      </c>
      <c r="B3268" s="4" t="s">
        <v>1059</v>
      </c>
      <c r="C3268" s="25" t="s">
        <v>5</v>
      </c>
      <c r="G3268" s="25" t="s">
        <v>1321</v>
      </c>
      <c r="H3268" s="24" t="s">
        <v>1061</v>
      </c>
      <c r="I3268" s="3" t="str">
        <f>IFERROR(VLOOKUP(C3268,'Справочник соответствий'!A$2:D$2981,2,FALSE),IF(VALUE(C3268)=0,1,VLOOKUP(C3268,'Справочник соответствий'!A$2:D$2981,2,FALSE)))</f>
        <v>1</v>
      </c>
      <c r="J3268" s="3">
        <f>IFERROR(VLOOKUP(D3268,'Справочник соответствий'!A$2:D$2981,2,FALSE),IF(VALUE(D3268)=0,0,VLOOKUP(D3268,'Справочник соответствий'!A$2:D$2981,2,FALSE)))</f>
        <v>0</v>
      </c>
      <c r="K3268" s="3" t="str">
        <f t="shared" si="350"/>
        <v>1</v>
      </c>
      <c r="L3268" s="13" t="str">
        <f>IFERROR(VLOOKUP(C3268,'Справочник соответствий'!A$2:D$2981,3,FALSE),IF(VALUE(C3268)=0,"ЭТАЖ НЕ ОПРЕДЕЛЕН. ПРИНЯТ ПО ДОПУЩЕНИЮ 1",VLOOKUP(C3268,'Справочник соответствий'!A$2:D$2981,3,FALSE)))</f>
        <v>ЭТАЖ ЗАДАН ЧИСЛОМ</v>
      </c>
      <c r="M3268" s="13" t="b">
        <f t="shared" si="351"/>
        <v>0</v>
      </c>
      <c r="N3268" s="13">
        <f t="shared" si="352"/>
        <v>1</v>
      </c>
      <c r="O3268" s="13" t="str">
        <f t="shared" si="353"/>
        <v>ЭТАЖ ЗАДАН ЧИСЛОМ</v>
      </c>
      <c r="P3268" s="13" t="str">
        <f t="shared" si="354"/>
        <v>ЭТАЖ ЗАДАН ЧИСЛОМ</v>
      </c>
      <c r="Q3268" s="13" t="str">
        <f t="shared" si="355"/>
        <v>ГОТОВ_ИЗМЕНЕН</v>
      </c>
      <c r="R3268" s="13">
        <f>IFERROR(VLOOKUP(P3268,Лист1!A$1:B$20,2,FALSE),0)</f>
        <v>784</v>
      </c>
      <c r="S3268" s="13">
        <f t="shared" si="356"/>
        <v>0</v>
      </c>
    </row>
    <row r="3269" spans="1:19" x14ac:dyDescent="0.25">
      <c r="A3269" s="24" t="s">
        <v>4402</v>
      </c>
      <c r="B3269" s="4" t="s">
        <v>1059</v>
      </c>
      <c r="C3269" s="25" t="s">
        <v>5</v>
      </c>
      <c r="G3269" s="25" t="s">
        <v>2763</v>
      </c>
      <c r="H3269" s="24" t="s">
        <v>1061</v>
      </c>
      <c r="I3269" s="3" t="str">
        <f>IFERROR(VLOOKUP(C3269,'Справочник соответствий'!A$2:D$2981,2,FALSE),IF(VALUE(C3269)=0,1,VLOOKUP(C3269,'Справочник соответствий'!A$2:D$2981,2,FALSE)))</f>
        <v>1</v>
      </c>
      <c r="J3269" s="3">
        <f>IFERROR(VLOOKUP(D3269,'Справочник соответствий'!A$2:D$2981,2,FALSE),IF(VALUE(D3269)=0,0,VLOOKUP(D3269,'Справочник соответствий'!A$2:D$2981,2,FALSE)))</f>
        <v>0</v>
      </c>
      <c r="K3269" s="3" t="str">
        <f t="shared" ref="K3269:K3332" si="357">IF(B3269="Многоквартирный дом",IF(I3269-J3269&gt;0,I3269-J3269,1),I3269)</f>
        <v>1</v>
      </c>
      <c r="L3269" s="13" t="str">
        <f>IFERROR(VLOOKUP(C3269,'Справочник соответствий'!A$2:D$2981,3,FALSE),IF(VALUE(C3269)=0,"ЭТАЖ НЕ ОПРЕДЕЛЕН. ПРИНЯТ ПО ДОПУЩЕНИЮ 1",VLOOKUP(C3269,'Справочник соответствий'!A$2:D$2981,3,FALSE)))</f>
        <v>ЭТАЖ ЗАДАН ЧИСЛОМ</v>
      </c>
      <c r="M3269" s="13" t="b">
        <f t="shared" ref="M3269:M3332" si="358">I3269=E3269</f>
        <v>0</v>
      </c>
      <c r="N3269" s="13">
        <f t="shared" ref="N3269:N3332" si="359">IF(VALUE(E3269)=0,VALUE(K3269),IF(L3269="ЭТАЖ НЕ ОПРЕДЕЛЕН. ПРИНЯТ ПО ДОПУЩЕНИЮ 1",VALUE(E3269),VALUE(K3269)))</f>
        <v>1</v>
      </c>
      <c r="O3269" s="13" t="str">
        <f t="shared" ref="O3269:O3332" si="360">IF(VALUE(E3269)=0,L3269,IF(L3269="ЭТАЖ НЕ ОПРЕДЕЛЕН. ПРИНЯТ ПО ДОПУЩЕНИЮ 1",F3269,L3269))</f>
        <v>ЭТАЖ ЗАДАН ЧИСЛОМ</v>
      </c>
      <c r="P3269" s="13" t="str">
        <f t="shared" ref="P3269:P3332" si="361">IF(B3269="Многоквартирный дом",CONCATENATE("МКД_",O3269),O3269)</f>
        <v>ЭТАЖ ЗАДАН ЧИСЛОМ</v>
      </c>
      <c r="Q3269" s="13" t="str">
        <f t="shared" ref="Q3269:Q3332" si="362">IFERROR(IF(N3269&gt;0,IF(N3269=VALUE(E3269),"ГОТОВ","ГОТОВ_ИЗМЕНЕН"),"НЕ ГОТОВ"),"НЕ ГОТОВ")</f>
        <v>ГОТОВ_ИЗМЕНЕН</v>
      </c>
      <c r="R3269" s="13">
        <f>IFERROR(VLOOKUP(P3269,Лист1!A$1:B$20,2,FALSE),0)</f>
        <v>784</v>
      </c>
      <c r="S3269" s="13">
        <f t="shared" ref="S3269:S3332" si="363">VALUE(E3269)</f>
        <v>0</v>
      </c>
    </row>
    <row r="3270" spans="1:19" x14ac:dyDescent="0.25">
      <c r="A3270" s="24" t="s">
        <v>4403</v>
      </c>
      <c r="B3270" s="4" t="s">
        <v>1059</v>
      </c>
      <c r="C3270" s="25" t="s">
        <v>5</v>
      </c>
      <c r="G3270" s="25" t="s">
        <v>2763</v>
      </c>
      <c r="H3270" s="24" t="s">
        <v>1061</v>
      </c>
      <c r="I3270" s="3" t="str">
        <f>IFERROR(VLOOKUP(C3270,'Справочник соответствий'!A$2:D$2981,2,FALSE),IF(VALUE(C3270)=0,1,VLOOKUP(C3270,'Справочник соответствий'!A$2:D$2981,2,FALSE)))</f>
        <v>1</v>
      </c>
      <c r="J3270" s="3">
        <f>IFERROR(VLOOKUP(D3270,'Справочник соответствий'!A$2:D$2981,2,FALSE),IF(VALUE(D3270)=0,0,VLOOKUP(D3270,'Справочник соответствий'!A$2:D$2981,2,FALSE)))</f>
        <v>0</v>
      </c>
      <c r="K3270" s="3" t="str">
        <f t="shared" si="357"/>
        <v>1</v>
      </c>
      <c r="L3270" s="13" t="str">
        <f>IFERROR(VLOOKUP(C3270,'Справочник соответствий'!A$2:D$2981,3,FALSE),IF(VALUE(C3270)=0,"ЭТАЖ НЕ ОПРЕДЕЛЕН. ПРИНЯТ ПО ДОПУЩЕНИЮ 1",VLOOKUP(C3270,'Справочник соответствий'!A$2:D$2981,3,FALSE)))</f>
        <v>ЭТАЖ ЗАДАН ЧИСЛОМ</v>
      </c>
      <c r="M3270" s="13" t="b">
        <f t="shared" si="358"/>
        <v>0</v>
      </c>
      <c r="N3270" s="13">
        <f t="shared" si="359"/>
        <v>1</v>
      </c>
      <c r="O3270" s="13" t="str">
        <f t="shared" si="360"/>
        <v>ЭТАЖ ЗАДАН ЧИСЛОМ</v>
      </c>
      <c r="P3270" s="13" t="str">
        <f t="shared" si="361"/>
        <v>ЭТАЖ ЗАДАН ЧИСЛОМ</v>
      </c>
      <c r="Q3270" s="13" t="str">
        <f t="shared" si="362"/>
        <v>ГОТОВ_ИЗМЕНЕН</v>
      </c>
      <c r="R3270" s="13">
        <f>IFERROR(VLOOKUP(P3270,Лист1!A$1:B$20,2,FALSE),0)</f>
        <v>784</v>
      </c>
      <c r="S3270" s="13">
        <f t="shared" si="363"/>
        <v>0</v>
      </c>
    </row>
    <row r="3271" spans="1:19" x14ac:dyDescent="0.25">
      <c r="A3271" s="24" t="s">
        <v>4404</v>
      </c>
      <c r="B3271" s="4" t="s">
        <v>1059</v>
      </c>
      <c r="C3271" s="25" t="s">
        <v>5</v>
      </c>
      <c r="E3271" s="3">
        <v>1</v>
      </c>
      <c r="F3271" s="24" t="s">
        <v>1045</v>
      </c>
      <c r="G3271" s="25" t="s">
        <v>1205</v>
      </c>
      <c r="H3271" s="24" t="s">
        <v>1061</v>
      </c>
      <c r="I3271" s="3" t="str">
        <f>IFERROR(VLOOKUP(C3271,'Справочник соответствий'!A$2:D$2981,2,FALSE),IF(VALUE(C3271)=0,1,VLOOKUP(C3271,'Справочник соответствий'!A$2:D$2981,2,FALSE)))</f>
        <v>1</v>
      </c>
      <c r="J3271" s="3">
        <f>IFERROR(VLOOKUP(D3271,'Справочник соответствий'!A$2:D$2981,2,FALSE),IF(VALUE(D3271)=0,0,VLOOKUP(D3271,'Справочник соответствий'!A$2:D$2981,2,FALSE)))</f>
        <v>0</v>
      </c>
      <c r="K3271" s="3" t="str">
        <f t="shared" si="357"/>
        <v>1</v>
      </c>
      <c r="L3271" s="13" t="str">
        <f>IFERROR(VLOOKUP(C3271,'Справочник соответствий'!A$2:D$2981,3,FALSE),IF(VALUE(C3271)=0,"ЭТАЖ НЕ ОПРЕДЕЛЕН. ПРИНЯТ ПО ДОПУЩЕНИЮ 1",VLOOKUP(C3271,'Справочник соответствий'!A$2:D$2981,3,FALSE)))</f>
        <v>ЭТАЖ ЗАДАН ЧИСЛОМ</v>
      </c>
      <c r="M3271" s="13" t="b">
        <f t="shared" si="358"/>
        <v>0</v>
      </c>
      <c r="N3271" s="13">
        <f t="shared" si="359"/>
        <v>1</v>
      </c>
      <c r="O3271" s="13" t="str">
        <f t="shared" si="360"/>
        <v>ЭТАЖ ЗАДАН ЧИСЛОМ</v>
      </c>
      <c r="P3271" s="13" t="str">
        <f t="shared" si="361"/>
        <v>ЭТАЖ ЗАДАН ЧИСЛОМ</v>
      </c>
      <c r="Q3271" s="13" t="str">
        <f t="shared" si="362"/>
        <v>ГОТОВ</v>
      </c>
      <c r="R3271" s="13">
        <f>IFERROR(VLOOKUP(P3271,Лист1!A$1:B$20,2,FALSE),0)</f>
        <v>784</v>
      </c>
      <c r="S3271" s="13">
        <f t="shared" si="363"/>
        <v>1</v>
      </c>
    </row>
    <row r="3272" spans="1:19" x14ac:dyDescent="0.25">
      <c r="A3272" s="24" t="s">
        <v>4405</v>
      </c>
      <c r="B3272" s="4" t="s">
        <v>1063</v>
      </c>
      <c r="C3272" s="25" t="s">
        <v>7</v>
      </c>
      <c r="E3272" s="3">
        <v>2</v>
      </c>
      <c r="F3272" s="24" t="s">
        <v>1045</v>
      </c>
      <c r="G3272" s="25" t="s">
        <v>1347</v>
      </c>
      <c r="H3272" s="24" t="s">
        <v>1061</v>
      </c>
      <c r="I3272" s="3" t="str">
        <f>IFERROR(VLOOKUP(C3272,'Справочник соответствий'!A$2:D$2981,2,FALSE),IF(VALUE(C3272)=0,1,VLOOKUP(C3272,'Справочник соответствий'!A$2:D$2981,2,FALSE)))</f>
        <v>2</v>
      </c>
      <c r="J3272" s="3">
        <f>IFERROR(VLOOKUP(D3272,'Справочник соответствий'!A$2:D$2981,2,FALSE),IF(VALUE(D3272)=0,0,VLOOKUP(D3272,'Справочник соответствий'!A$2:D$2981,2,FALSE)))</f>
        <v>0</v>
      </c>
      <c r="K3272" s="3" t="str">
        <f t="shared" si="357"/>
        <v>2</v>
      </c>
      <c r="L3272" s="13" t="str">
        <f>IFERROR(VLOOKUP(C3272,'Справочник соответствий'!A$2:D$2981,3,FALSE),IF(VALUE(C3272)=0,"ЭТАЖ НЕ ОПРЕДЕЛЕН. ПРИНЯТ ПО ДОПУЩЕНИЮ 1",VLOOKUP(C3272,'Справочник соответствий'!A$2:D$2981,3,FALSE)))</f>
        <v>ЭТАЖ ЗАДАН ЧИСЛОМ</v>
      </c>
      <c r="M3272" s="13" t="b">
        <f t="shared" si="358"/>
        <v>0</v>
      </c>
      <c r="N3272" s="13">
        <f t="shared" si="359"/>
        <v>2</v>
      </c>
      <c r="O3272" s="13" t="str">
        <f t="shared" si="360"/>
        <v>ЭТАЖ ЗАДАН ЧИСЛОМ</v>
      </c>
      <c r="P3272" s="13" t="str">
        <f t="shared" si="361"/>
        <v>ЭТАЖ ЗАДАН ЧИСЛОМ</v>
      </c>
      <c r="Q3272" s="13" t="str">
        <f t="shared" si="362"/>
        <v>ГОТОВ</v>
      </c>
      <c r="R3272" s="13">
        <f>IFERROR(VLOOKUP(P3272,Лист1!A$1:B$20,2,FALSE),0)</f>
        <v>784</v>
      </c>
      <c r="S3272" s="13">
        <f t="shared" si="363"/>
        <v>2</v>
      </c>
    </row>
    <row r="3273" spans="1:19" x14ac:dyDescent="0.25">
      <c r="A3273" s="24" t="s">
        <v>4406</v>
      </c>
      <c r="B3273" s="4" t="s">
        <v>1063</v>
      </c>
      <c r="C3273" s="25" t="s">
        <v>7</v>
      </c>
      <c r="D3273" s="25" t="s">
        <v>24</v>
      </c>
      <c r="E3273" s="3">
        <v>2</v>
      </c>
      <c r="F3273" s="24" t="s">
        <v>1045</v>
      </c>
      <c r="G3273" s="25" t="s">
        <v>1174</v>
      </c>
      <c r="H3273" s="24" t="s">
        <v>1061</v>
      </c>
      <c r="I3273" s="3" t="str">
        <f>IFERROR(VLOOKUP(C3273,'Справочник соответствий'!A$2:D$2981,2,FALSE),IF(VALUE(C3273)=0,1,VLOOKUP(C3273,'Справочник соответствий'!A$2:D$2981,2,FALSE)))</f>
        <v>2</v>
      </c>
      <c r="J3273" s="3" t="str">
        <f>IFERROR(VLOOKUP(D3273,'Справочник соответствий'!A$2:D$2981,2,FALSE),IF(VALUE(D3273)=0,0,VLOOKUP(D3273,'Справочник соответствий'!A$2:D$2981,2,FALSE)))</f>
        <v>1</v>
      </c>
      <c r="K3273" s="3" t="str">
        <f t="shared" si="357"/>
        <v>2</v>
      </c>
      <c r="L3273" s="13" t="str">
        <f>IFERROR(VLOOKUP(C3273,'Справочник соответствий'!A$2:D$2981,3,FALSE),IF(VALUE(C3273)=0,"ЭТАЖ НЕ ОПРЕДЕЛЕН. ПРИНЯТ ПО ДОПУЩЕНИЮ 1",VLOOKUP(C3273,'Справочник соответствий'!A$2:D$2981,3,FALSE)))</f>
        <v>ЭТАЖ ЗАДАН ЧИСЛОМ</v>
      </c>
      <c r="M3273" s="13" t="b">
        <f t="shared" si="358"/>
        <v>0</v>
      </c>
      <c r="N3273" s="13">
        <f t="shared" si="359"/>
        <v>2</v>
      </c>
      <c r="O3273" s="13" t="str">
        <f t="shared" si="360"/>
        <v>ЭТАЖ ЗАДАН ЧИСЛОМ</v>
      </c>
      <c r="P3273" s="13" t="str">
        <f t="shared" si="361"/>
        <v>ЭТАЖ ЗАДАН ЧИСЛОМ</v>
      </c>
      <c r="Q3273" s="13" t="str">
        <f t="shared" si="362"/>
        <v>ГОТОВ</v>
      </c>
      <c r="R3273" s="13">
        <f>IFERROR(VLOOKUP(P3273,Лист1!A$1:B$20,2,FALSE),0)</f>
        <v>784</v>
      </c>
      <c r="S3273" s="13">
        <f t="shared" si="363"/>
        <v>2</v>
      </c>
    </row>
    <row r="3274" spans="1:19" x14ac:dyDescent="0.25">
      <c r="A3274" s="24" t="s">
        <v>4407</v>
      </c>
      <c r="B3274" s="4" t="s">
        <v>1063</v>
      </c>
      <c r="C3274" s="25" t="s">
        <v>5</v>
      </c>
      <c r="D3274" s="25" t="s">
        <v>24</v>
      </c>
      <c r="E3274" s="3">
        <v>1</v>
      </c>
      <c r="F3274" s="24" t="s">
        <v>1304</v>
      </c>
      <c r="G3274" s="25" t="s">
        <v>1193</v>
      </c>
      <c r="H3274" s="24" t="s">
        <v>1061</v>
      </c>
      <c r="I3274" s="3" t="str">
        <f>IFERROR(VLOOKUP(C3274,'Справочник соответствий'!A$2:D$2981,2,FALSE),IF(VALUE(C3274)=0,1,VLOOKUP(C3274,'Справочник соответствий'!A$2:D$2981,2,FALSE)))</f>
        <v>1</v>
      </c>
      <c r="J3274" s="3" t="str">
        <f>IFERROR(VLOOKUP(D3274,'Справочник соответствий'!A$2:D$2981,2,FALSE),IF(VALUE(D3274)=0,0,VLOOKUP(D3274,'Справочник соответствий'!A$2:D$2981,2,FALSE)))</f>
        <v>1</v>
      </c>
      <c r="K3274" s="3" t="str">
        <f t="shared" si="357"/>
        <v>1</v>
      </c>
      <c r="L3274" s="13" t="str">
        <f>IFERROR(VLOOKUP(C3274,'Справочник соответствий'!A$2:D$2981,3,FALSE),IF(VALUE(C3274)=0,"ЭТАЖ НЕ ОПРЕДЕЛЕН. ПРИНЯТ ПО ДОПУЩЕНИЮ 1",VLOOKUP(C3274,'Справочник соответствий'!A$2:D$2981,3,FALSE)))</f>
        <v>ЭТАЖ ЗАДАН ЧИСЛОМ</v>
      </c>
      <c r="M3274" s="13" t="b">
        <f t="shared" si="358"/>
        <v>0</v>
      </c>
      <c r="N3274" s="13">
        <f t="shared" si="359"/>
        <v>1</v>
      </c>
      <c r="O3274" s="13" t="str">
        <f t="shared" si="360"/>
        <v>ЭТАЖ ЗАДАН ЧИСЛОМ</v>
      </c>
      <c r="P3274" s="13" t="str">
        <f t="shared" si="361"/>
        <v>ЭТАЖ ЗАДАН ЧИСЛОМ</v>
      </c>
      <c r="Q3274" s="13" t="str">
        <f t="shared" si="362"/>
        <v>ГОТОВ</v>
      </c>
      <c r="R3274" s="13">
        <f>IFERROR(VLOOKUP(P3274,Лист1!A$1:B$20,2,FALSE),0)</f>
        <v>784</v>
      </c>
      <c r="S3274" s="13">
        <f t="shared" si="363"/>
        <v>1</v>
      </c>
    </row>
    <row r="3275" spans="1:19" x14ac:dyDescent="0.25">
      <c r="A3275" s="24" t="s">
        <v>4408</v>
      </c>
      <c r="B3275" s="4" t="s">
        <v>1059</v>
      </c>
      <c r="C3275" s="25" t="s">
        <v>5</v>
      </c>
      <c r="G3275" s="25" t="s">
        <v>1114</v>
      </c>
      <c r="H3275" s="24" t="s">
        <v>1061</v>
      </c>
      <c r="I3275" s="3" t="str">
        <f>IFERROR(VLOOKUP(C3275,'Справочник соответствий'!A$2:D$2981,2,FALSE),IF(VALUE(C3275)=0,1,VLOOKUP(C3275,'Справочник соответствий'!A$2:D$2981,2,FALSE)))</f>
        <v>1</v>
      </c>
      <c r="J3275" s="3">
        <f>IFERROR(VLOOKUP(D3275,'Справочник соответствий'!A$2:D$2981,2,FALSE),IF(VALUE(D3275)=0,0,VLOOKUP(D3275,'Справочник соответствий'!A$2:D$2981,2,FALSE)))</f>
        <v>0</v>
      </c>
      <c r="K3275" s="3" t="str">
        <f t="shared" si="357"/>
        <v>1</v>
      </c>
      <c r="L3275" s="13" t="str">
        <f>IFERROR(VLOOKUP(C3275,'Справочник соответствий'!A$2:D$2981,3,FALSE),IF(VALUE(C3275)=0,"ЭТАЖ НЕ ОПРЕДЕЛЕН. ПРИНЯТ ПО ДОПУЩЕНИЮ 1",VLOOKUP(C3275,'Справочник соответствий'!A$2:D$2981,3,FALSE)))</f>
        <v>ЭТАЖ ЗАДАН ЧИСЛОМ</v>
      </c>
      <c r="M3275" s="13" t="b">
        <f t="shared" si="358"/>
        <v>0</v>
      </c>
      <c r="N3275" s="13">
        <f t="shared" si="359"/>
        <v>1</v>
      </c>
      <c r="O3275" s="13" t="str">
        <f t="shared" si="360"/>
        <v>ЭТАЖ ЗАДАН ЧИСЛОМ</v>
      </c>
      <c r="P3275" s="13" t="str">
        <f t="shared" si="361"/>
        <v>ЭТАЖ ЗАДАН ЧИСЛОМ</v>
      </c>
      <c r="Q3275" s="13" t="str">
        <f t="shared" si="362"/>
        <v>ГОТОВ_ИЗМЕНЕН</v>
      </c>
      <c r="R3275" s="13">
        <f>IFERROR(VLOOKUP(P3275,Лист1!A$1:B$20,2,FALSE),0)</f>
        <v>784</v>
      </c>
      <c r="S3275" s="13">
        <f t="shared" si="363"/>
        <v>0</v>
      </c>
    </row>
    <row r="3276" spans="1:19" x14ac:dyDescent="0.25">
      <c r="A3276" s="24" t="s">
        <v>4409</v>
      </c>
      <c r="B3276" s="4" t="s">
        <v>1059</v>
      </c>
      <c r="C3276" s="25" t="s">
        <v>5</v>
      </c>
      <c r="G3276" s="25" t="s">
        <v>1069</v>
      </c>
      <c r="H3276" s="24" t="s">
        <v>1061</v>
      </c>
      <c r="I3276" s="3" t="str">
        <f>IFERROR(VLOOKUP(C3276,'Справочник соответствий'!A$2:D$2981,2,FALSE),IF(VALUE(C3276)=0,1,VLOOKUP(C3276,'Справочник соответствий'!A$2:D$2981,2,FALSE)))</f>
        <v>1</v>
      </c>
      <c r="J3276" s="3">
        <f>IFERROR(VLOOKUP(D3276,'Справочник соответствий'!A$2:D$2981,2,FALSE),IF(VALUE(D3276)=0,0,VLOOKUP(D3276,'Справочник соответствий'!A$2:D$2981,2,FALSE)))</f>
        <v>0</v>
      </c>
      <c r="K3276" s="3" t="str">
        <f t="shared" si="357"/>
        <v>1</v>
      </c>
      <c r="L3276" s="13" t="str">
        <f>IFERROR(VLOOKUP(C3276,'Справочник соответствий'!A$2:D$2981,3,FALSE),IF(VALUE(C3276)=0,"ЭТАЖ НЕ ОПРЕДЕЛЕН. ПРИНЯТ ПО ДОПУЩЕНИЮ 1",VLOOKUP(C3276,'Справочник соответствий'!A$2:D$2981,3,FALSE)))</f>
        <v>ЭТАЖ ЗАДАН ЧИСЛОМ</v>
      </c>
      <c r="M3276" s="13" t="b">
        <f t="shared" si="358"/>
        <v>0</v>
      </c>
      <c r="N3276" s="13">
        <f t="shared" si="359"/>
        <v>1</v>
      </c>
      <c r="O3276" s="13" t="str">
        <f t="shared" si="360"/>
        <v>ЭТАЖ ЗАДАН ЧИСЛОМ</v>
      </c>
      <c r="P3276" s="13" t="str">
        <f t="shared" si="361"/>
        <v>ЭТАЖ ЗАДАН ЧИСЛОМ</v>
      </c>
      <c r="Q3276" s="13" t="str">
        <f t="shared" si="362"/>
        <v>ГОТОВ_ИЗМЕНЕН</v>
      </c>
      <c r="R3276" s="13">
        <f>IFERROR(VLOOKUP(P3276,Лист1!A$1:B$20,2,FALSE),0)</f>
        <v>784</v>
      </c>
      <c r="S3276" s="13">
        <f t="shared" si="363"/>
        <v>0</v>
      </c>
    </row>
    <row r="3277" spans="1:19" x14ac:dyDescent="0.25">
      <c r="A3277" s="24" t="s">
        <v>4410</v>
      </c>
      <c r="B3277" s="4" t="s">
        <v>1063</v>
      </c>
      <c r="C3277" s="25" t="s">
        <v>5</v>
      </c>
      <c r="G3277" s="25" t="s">
        <v>1069</v>
      </c>
      <c r="H3277" s="24" t="s">
        <v>1061</v>
      </c>
      <c r="I3277" s="3" t="str">
        <f>IFERROR(VLOOKUP(C3277,'Справочник соответствий'!A$2:D$2981,2,FALSE),IF(VALUE(C3277)=0,1,VLOOKUP(C3277,'Справочник соответствий'!A$2:D$2981,2,FALSE)))</f>
        <v>1</v>
      </c>
      <c r="J3277" s="3">
        <f>IFERROR(VLOOKUP(D3277,'Справочник соответствий'!A$2:D$2981,2,FALSE),IF(VALUE(D3277)=0,0,VLOOKUP(D3277,'Справочник соответствий'!A$2:D$2981,2,FALSE)))</f>
        <v>0</v>
      </c>
      <c r="K3277" s="3" t="str">
        <f t="shared" si="357"/>
        <v>1</v>
      </c>
      <c r="L3277" s="13" t="str">
        <f>IFERROR(VLOOKUP(C3277,'Справочник соответствий'!A$2:D$2981,3,FALSE),IF(VALUE(C3277)=0,"ЭТАЖ НЕ ОПРЕДЕЛЕН. ПРИНЯТ ПО ДОПУЩЕНИЮ 1",VLOOKUP(C3277,'Справочник соответствий'!A$2:D$2981,3,FALSE)))</f>
        <v>ЭТАЖ ЗАДАН ЧИСЛОМ</v>
      </c>
      <c r="M3277" s="13" t="b">
        <f t="shared" si="358"/>
        <v>0</v>
      </c>
      <c r="N3277" s="13">
        <f t="shared" si="359"/>
        <v>1</v>
      </c>
      <c r="O3277" s="13" t="str">
        <f t="shared" si="360"/>
        <v>ЭТАЖ ЗАДАН ЧИСЛОМ</v>
      </c>
      <c r="P3277" s="13" t="str">
        <f t="shared" si="361"/>
        <v>ЭТАЖ ЗАДАН ЧИСЛОМ</v>
      </c>
      <c r="Q3277" s="13" t="str">
        <f t="shared" si="362"/>
        <v>ГОТОВ_ИЗМЕНЕН</v>
      </c>
      <c r="R3277" s="13">
        <f>IFERROR(VLOOKUP(P3277,Лист1!A$1:B$20,2,FALSE),0)</f>
        <v>784</v>
      </c>
      <c r="S3277" s="13">
        <f t="shared" si="363"/>
        <v>0</v>
      </c>
    </row>
    <row r="3278" spans="1:19" x14ac:dyDescent="0.25">
      <c r="A3278" s="24" t="s">
        <v>4411</v>
      </c>
      <c r="B3278" s="4" t="s">
        <v>1059</v>
      </c>
      <c r="C3278" s="25" t="s">
        <v>5</v>
      </c>
      <c r="G3278" s="25" t="s">
        <v>1069</v>
      </c>
      <c r="H3278" s="24" t="s">
        <v>1061</v>
      </c>
      <c r="I3278" s="3" t="str">
        <f>IFERROR(VLOOKUP(C3278,'Справочник соответствий'!A$2:D$2981,2,FALSE),IF(VALUE(C3278)=0,1,VLOOKUP(C3278,'Справочник соответствий'!A$2:D$2981,2,FALSE)))</f>
        <v>1</v>
      </c>
      <c r="J3278" s="3">
        <f>IFERROR(VLOOKUP(D3278,'Справочник соответствий'!A$2:D$2981,2,FALSE),IF(VALUE(D3278)=0,0,VLOOKUP(D3278,'Справочник соответствий'!A$2:D$2981,2,FALSE)))</f>
        <v>0</v>
      </c>
      <c r="K3278" s="3" t="str">
        <f t="shared" si="357"/>
        <v>1</v>
      </c>
      <c r="L3278" s="13" t="str">
        <f>IFERROR(VLOOKUP(C3278,'Справочник соответствий'!A$2:D$2981,3,FALSE),IF(VALUE(C3278)=0,"ЭТАЖ НЕ ОПРЕДЕЛЕН. ПРИНЯТ ПО ДОПУЩЕНИЮ 1",VLOOKUP(C3278,'Справочник соответствий'!A$2:D$2981,3,FALSE)))</f>
        <v>ЭТАЖ ЗАДАН ЧИСЛОМ</v>
      </c>
      <c r="M3278" s="13" t="b">
        <f t="shared" si="358"/>
        <v>0</v>
      </c>
      <c r="N3278" s="13">
        <f t="shared" si="359"/>
        <v>1</v>
      </c>
      <c r="O3278" s="13" t="str">
        <f t="shared" si="360"/>
        <v>ЭТАЖ ЗАДАН ЧИСЛОМ</v>
      </c>
      <c r="P3278" s="13" t="str">
        <f t="shared" si="361"/>
        <v>ЭТАЖ ЗАДАН ЧИСЛОМ</v>
      </c>
      <c r="Q3278" s="13" t="str">
        <f t="shared" si="362"/>
        <v>ГОТОВ_ИЗМЕНЕН</v>
      </c>
      <c r="R3278" s="13">
        <f>IFERROR(VLOOKUP(P3278,Лист1!A$1:B$20,2,FALSE),0)</f>
        <v>784</v>
      </c>
      <c r="S3278" s="13">
        <f t="shared" si="363"/>
        <v>0</v>
      </c>
    </row>
    <row r="3279" spans="1:19" x14ac:dyDescent="0.25">
      <c r="A3279" s="24" t="s">
        <v>4412</v>
      </c>
      <c r="B3279" s="4" t="s">
        <v>1059</v>
      </c>
      <c r="C3279" s="25" t="s">
        <v>7</v>
      </c>
      <c r="G3279" s="25" t="s">
        <v>1114</v>
      </c>
      <c r="H3279" s="24" t="s">
        <v>1061</v>
      </c>
      <c r="I3279" s="3" t="str">
        <f>IFERROR(VLOOKUP(C3279,'Справочник соответствий'!A$2:D$2981,2,FALSE),IF(VALUE(C3279)=0,1,VLOOKUP(C3279,'Справочник соответствий'!A$2:D$2981,2,FALSE)))</f>
        <v>2</v>
      </c>
      <c r="J3279" s="3">
        <f>IFERROR(VLOOKUP(D3279,'Справочник соответствий'!A$2:D$2981,2,FALSE),IF(VALUE(D3279)=0,0,VLOOKUP(D3279,'Справочник соответствий'!A$2:D$2981,2,FALSE)))</f>
        <v>0</v>
      </c>
      <c r="K3279" s="3" t="str">
        <f t="shared" si="357"/>
        <v>2</v>
      </c>
      <c r="L3279" s="13" t="str">
        <f>IFERROR(VLOOKUP(C3279,'Справочник соответствий'!A$2:D$2981,3,FALSE),IF(VALUE(C3279)=0,"ЭТАЖ НЕ ОПРЕДЕЛЕН. ПРИНЯТ ПО ДОПУЩЕНИЮ 1",VLOOKUP(C3279,'Справочник соответствий'!A$2:D$2981,3,FALSE)))</f>
        <v>ЭТАЖ ЗАДАН ЧИСЛОМ</v>
      </c>
      <c r="M3279" s="13" t="b">
        <f t="shared" si="358"/>
        <v>0</v>
      </c>
      <c r="N3279" s="13">
        <f t="shared" si="359"/>
        <v>2</v>
      </c>
      <c r="O3279" s="13" t="str">
        <f t="shared" si="360"/>
        <v>ЭТАЖ ЗАДАН ЧИСЛОМ</v>
      </c>
      <c r="P3279" s="13" t="str">
        <f t="shared" si="361"/>
        <v>ЭТАЖ ЗАДАН ЧИСЛОМ</v>
      </c>
      <c r="Q3279" s="13" t="str">
        <f t="shared" si="362"/>
        <v>ГОТОВ_ИЗМЕНЕН</v>
      </c>
      <c r="R3279" s="13">
        <f>IFERROR(VLOOKUP(P3279,Лист1!A$1:B$20,2,FALSE),0)</f>
        <v>784</v>
      </c>
      <c r="S3279" s="13">
        <f t="shared" si="363"/>
        <v>0</v>
      </c>
    </row>
    <row r="3280" spans="1:19" x14ac:dyDescent="0.25">
      <c r="A3280" s="24" t="s">
        <v>4413</v>
      </c>
      <c r="B3280" s="4" t="s">
        <v>1059</v>
      </c>
      <c r="C3280" s="25" t="s">
        <v>5</v>
      </c>
      <c r="G3280" s="25" t="s">
        <v>1230</v>
      </c>
      <c r="H3280" s="24" t="s">
        <v>1061</v>
      </c>
      <c r="I3280" s="3" t="str">
        <f>IFERROR(VLOOKUP(C3280,'Справочник соответствий'!A$2:D$2981,2,FALSE),IF(VALUE(C3280)=0,1,VLOOKUP(C3280,'Справочник соответствий'!A$2:D$2981,2,FALSE)))</f>
        <v>1</v>
      </c>
      <c r="J3280" s="3">
        <f>IFERROR(VLOOKUP(D3280,'Справочник соответствий'!A$2:D$2981,2,FALSE),IF(VALUE(D3280)=0,0,VLOOKUP(D3280,'Справочник соответствий'!A$2:D$2981,2,FALSE)))</f>
        <v>0</v>
      </c>
      <c r="K3280" s="3" t="str">
        <f t="shared" si="357"/>
        <v>1</v>
      </c>
      <c r="L3280" s="13" t="str">
        <f>IFERROR(VLOOKUP(C3280,'Справочник соответствий'!A$2:D$2981,3,FALSE),IF(VALUE(C3280)=0,"ЭТАЖ НЕ ОПРЕДЕЛЕН. ПРИНЯТ ПО ДОПУЩЕНИЮ 1",VLOOKUP(C3280,'Справочник соответствий'!A$2:D$2981,3,FALSE)))</f>
        <v>ЭТАЖ ЗАДАН ЧИСЛОМ</v>
      </c>
      <c r="M3280" s="13" t="b">
        <f t="shared" si="358"/>
        <v>0</v>
      </c>
      <c r="N3280" s="13">
        <f t="shared" si="359"/>
        <v>1</v>
      </c>
      <c r="O3280" s="13" t="str">
        <f t="shared" si="360"/>
        <v>ЭТАЖ ЗАДАН ЧИСЛОМ</v>
      </c>
      <c r="P3280" s="13" t="str">
        <f t="shared" si="361"/>
        <v>ЭТАЖ ЗАДАН ЧИСЛОМ</v>
      </c>
      <c r="Q3280" s="13" t="str">
        <f t="shared" si="362"/>
        <v>ГОТОВ_ИЗМЕНЕН</v>
      </c>
      <c r="R3280" s="13">
        <f>IFERROR(VLOOKUP(P3280,Лист1!A$1:B$20,2,FALSE),0)</f>
        <v>784</v>
      </c>
      <c r="S3280" s="13">
        <f t="shared" si="363"/>
        <v>0</v>
      </c>
    </row>
    <row r="3281" spans="1:19" x14ac:dyDescent="0.25">
      <c r="A3281" s="24" t="s">
        <v>4414</v>
      </c>
      <c r="B3281" s="4" t="s">
        <v>1063</v>
      </c>
      <c r="G3281" s="25" t="s">
        <v>1114</v>
      </c>
      <c r="H3281" s="24" t="s">
        <v>1061</v>
      </c>
      <c r="I3281" s="3">
        <f>IFERROR(VLOOKUP(C3281,'Справочник соответствий'!A$2:D$2981,2,FALSE),IF(VALUE(C3281)=0,1,VLOOKUP(C3281,'Справочник соответствий'!A$2:D$2981,2,FALSE)))</f>
        <v>1</v>
      </c>
      <c r="J3281" s="3">
        <f>IFERROR(VLOOKUP(D3281,'Справочник соответствий'!A$2:D$2981,2,FALSE),IF(VALUE(D3281)=0,0,VLOOKUP(D3281,'Справочник соответствий'!A$2:D$2981,2,FALSE)))</f>
        <v>0</v>
      </c>
      <c r="K3281" s="3">
        <f t="shared" si="357"/>
        <v>1</v>
      </c>
      <c r="L3281" s="13" t="str">
        <f>IFERROR(VLOOKUP(C3281,'Справочник соответствий'!A$2:D$2981,3,FALSE),IF(VALUE(C3281)=0,"ЭТАЖ НЕ ОПРЕДЕЛЕН. ПРИНЯТ ПО ДОПУЩЕНИЮ 1",VLOOKUP(C3281,'Справочник соответствий'!A$2:D$2981,3,FALSE)))</f>
        <v>ЭТАЖ НЕ ОПРЕДЕЛЕН. ПРИНЯТ ПО ДОПУЩЕНИЮ 1</v>
      </c>
      <c r="M3281" s="13" t="b">
        <f t="shared" si="358"/>
        <v>0</v>
      </c>
      <c r="N3281" s="13">
        <f t="shared" si="359"/>
        <v>1</v>
      </c>
      <c r="O3281" s="13" t="str">
        <f t="shared" si="360"/>
        <v>ЭТАЖ НЕ ОПРЕДЕЛЕН. ПРИНЯТ ПО ДОПУЩЕНИЮ 1</v>
      </c>
      <c r="P3281" s="13" t="str">
        <f t="shared" si="361"/>
        <v>ЭТАЖ НЕ ОПРЕДЕЛЕН. ПРИНЯТ ПО ДОПУЩЕНИЮ 1</v>
      </c>
      <c r="Q3281" s="13" t="str">
        <f t="shared" si="362"/>
        <v>ГОТОВ_ИЗМЕНЕН</v>
      </c>
      <c r="R3281" s="13">
        <f>IFERROR(VLOOKUP(P3281,Лист1!A$1:B$20,2,FALSE),0)</f>
        <v>788</v>
      </c>
      <c r="S3281" s="13">
        <f t="shared" si="363"/>
        <v>0</v>
      </c>
    </row>
    <row r="3282" spans="1:19" x14ac:dyDescent="0.25">
      <c r="A3282" s="24" t="s">
        <v>4415</v>
      </c>
      <c r="B3282" s="4" t="s">
        <v>1059</v>
      </c>
      <c r="C3282" s="25" t="s">
        <v>7</v>
      </c>
      <c r="G3282" s="25" t="s">
        <v>1114</v>
      </c>
      <c r="H3282" s="24" t="s">
        <v>1061</v>
      </c>
      <c r="I3282" s="3" t="str">
        <f>IFERROR(VLOOKUP(C3282,'Справочник соответствий'!A$2:D$2981,2,FALSE),IF(VALUE(C3282)=0,1,VLOOKUP(C3282,'Справочник соответствий'!A$2:D$2981,2,FALSE)))</f>
        <v>2</v>
      </c>
      <c r="J3282" s="3">
        <f>IFERROR(VLOOKUP(D3282,'Справочник соответствий'!A$2:D$2981,2,FALSE),IF(VALUE(D3282)=0,0,VLOOKUP(D3282,'Справочник соответствий'!A$2:D$2981,2,FALSE)))</f>
        <v>0</v>
      </c>
      <c r="K3282" s="3" t="str">
        <f t="shared" si="357"/>
        <v>2</v>
      </c>
      <c r="L3282" s="13" t="str">
        <f>IFERROR(VLOOKUP(C3282,'Справочник соответствий'!A$2:D$2981,3,FALSE),IF(VALUE(C3282)=0,"ЭТАЖ НЕ ОПРЕДЕЛЕН. ПРИНЯТ ПО ДОПУЩЕНИЮ 1",VLOOKUP(C3282,'Справочник соответствий'!A$2:D$2981,3,FALSE)))</f>
        <v>ЭТАЖ ЗАДАН ЧИСЛОМ</v>
      </c>
      <c r="M3282" s="13" t="b">
        <f t="shared" si="358"/>
        <v>0</v>
      </c>
      <c r="N3282" s="13">
        <f t="shared" si="359"/>
        <v>2</v>
      </c>
      <c r="O3282" s="13" t="str">
        <f t="shared" si="360"/>
        <v>ЭТАЖ ЗАДАН ЧИСЛОМ</v>
      </c>
      <c r="P3282" s="13" t="str">
        <f t="shared" si="361"/>
        <v>ЭТАЖ ЗАДАН ЧИСЛОМ</v>
      </c>
      <c r="Q3282" s="13" t="str">
        <f t="shared" si="362"/>
        <v>ГОТОВ_ИЗМЕНЕН</v>
      </c>
      <c r="R3282" s="13">
        <f>IFERROR(VLOOKUP(P3282,Лист1!A$1:B$20,2,FALSE),0)</f>
        <v>784</v>
      </c>
      <c r="S3282" s="13">
        <f t="shared" si="363"/>
        <v>0</v>
      </c>
    </row>
    <row r="3283" spans="1:19" x14ac:dyDescent="0.25">
      <c r="A3283" s="24" t="s">
        <v>4416</v>
      </c>
      <c r="B3283" s="4" t="s">
        <v>1059</v>
      </c>
      <c r="C3283" s="25" t="s">
        <v>5</v>
      </c>
      <c r="G3283" s="25" t="s">
        <v>1069</v>
      </c>
      <c r="H3283" s="24" t="s">
        <v>1061</v>
      </c>
      <c r="I3283" s="3" t="str">
        <f>IFERROR(VLOOKUP(C3283,'Справочник соответствий'!A$2:D$2981,2,FALSE),IF(VALUE(C3283)=0,1,VLOOKUP(C3283,'Справочник соответствий'!A$2:D$2981,2,FALSE)))</f>
        <v>1</v>
      </c>
      <c r="J3283" s="3">
        <f>IFERROR(VLOOKUP(D3283,'Справочник соответствий'!A$2:D$2981,2,FALSE),IF(VALUE(D3283)=0,0,VLOOKUP(D3283,'Справочник соответствий'!A$2:D$2981,2,FALSE)))</f>
        <v>0</v>
      </c>
      <c r="K3283" s="3" t="str">
        <f t="shared" si="357"/>
        <v>1</v>
      </c>
      <c r="L3283" s="13" t="str">
        <f>IFERROR(VLOOKUP(C3283,'Справочник соответствий'!A$2:D$2981,3,FALSE),IF(VALUE(C3283)=0,"ЭТАЖ НЕ ОПРЕДЕЛЕН. ПРИНЯТ ПО ДОПУЩЕНИЮ 1",VLOOKUP(C3283,'Справочник соответствий'!A$2:D$2981,3,FALSE)))</f>
        <v>ЭТАЖ ЗАДАН ЧИСЛОМ</v>
      </c>
      <c r="M3283" s="13" t="b">
        <f t="shared" si="358"/>
        <v>0</v>
      </c>
      <c r="N3283" s="13">
        <f t="shared" si="359"/>
        <v>1</v>
      </c>
      <c r="O3283" s="13" t="str">
        <f t="shared" si="360"/>
        <v>ЭТАЖ ЗАДАН ЧИСЛОМ</v>
      </c>
      <c r="P3283" s="13" t="str">
        <f t="shared" si="361"/>
        <v>ЭТАЖ ЗАДАН ЧИСЛОМ</v>
      </c>
      <c r="Q3283" s="13" t="str">
        <f t="shared" si="362"/>
        <v>ГОТОВ_ИЗМЕНЕН</v>
      </c>
      <c r="R3283" s="13">
        <f>IFERROR(VLOOKUP(P3283,Лист1!A$1:B$20,2,FALSE),0)</f>
        <v>784</v>
      </c>
      <c r="S3283" s="13">
        <f t="shared" si="363"/>
        <v>0</v>
      </c>
    </row>
    <row r="3284" spans="1:19" x14ac:dyDescent="0.25">
      <c r="A3284" s="24" t="s">
        <v>4417</v>
      </c>
      <c r="B3284" s="4" t="s">
        <v>1059</v>
      </c>
      <c r="C3284" s="25" t="s">
        <v>5</v>
      </c>
      <c r="G3284" s="25" t="s">
        <v>1325</v>
      </c>
      <c r="H3284" s="24" t="s">
        <v>1061</v>
      </c>
      <c r="I3284" s="3" t="str">
        <f>IFERROR(VLOOKUP(C3284,'Справочник соответствий'!A$2:D$2981,2,FALSE),IF(VALUE(C3284)=0,1,VLOOKUP(C3284,'Справочник соответствий'!A$2:D$2981,2,FALSE)))</f>
        <v>1</v>
      </c>
      <c r="J3284" s="3">
        <f>IFERROR(VLOOKUP(D3284,'Справочник соответствий'!A$2:D$2981,2,FALSE),IF(VALUE(D3284)=0,0,VLOOKUP(D3284,'Справочник соответствий'!A$2:D$2981,2,FALSE)))</f>
        <v>0</v>
      </c>
      <c r="K3284" s="3" t="str">
        <f t="shared" si="357"/>
        <v>1</v>
      </c>
      <c r="L3284" s="13" t="str">
        <f>IFERROR(VLOOKUP(C3284,'Справочник соответствий'!A$2:D$2981,3,FALSE),IF(VALUE(C3284)=0,"ЭТАЖ НЕ ОПРЕДЕЛЕН. ПРИНЯТ ПО ДОПУЩЕНИЮ 1",VLOOKUP(C3284,'Справочник соответствий'!A$2:D$2981,3,FALSE)))</f>
        <v>ЭТАЖ ЗАДАН ЧИСЛОМ</v>
      </c>
      <c r="M3284" s="13" t="b">
        <f t="shared" si="358"/>
        <v>0</v>
      </c>
      <c r="N3284" s="13">
        <f t="shared" si="359"/>
        <v>1</v>
      </c>
      <c r="O3284" s="13" t="str">
        <f t="shared" si="360"/>
        <v>ЭТАЖ ЗАДАН ЧИСЛОМ</v>
      </c>
      <c r="P3284" s="13" t="str">
        <f t="shared" si="361"/>
        <v>ЭТАЖ ЗАДАН ЧИСЛОМ</v>
      </c>
      <c r="Q3284" s="13" t="str">
        <f t="shared" si="362"/>
        <v>ГОТОВ_ИЗМЕНЕН</v>
      </c>
      <c r="R3284" s="13">
        <f>IFERROR(VLOOKUP(P3284,Лист1!A$1:B$20,2,FALSE),0)</f>
        <v>784</v>
      </c>
      <c r="S3284" s="13">
        <f t="shared" si="363"/>
        <v>0</v>
      </c>
    </row>
    <row r="3285" spans="1:19" x14ac:dyDescent="0.25">
      <c r="A3285" s="24" t="s">
        <v>4418</v>
      </c>
      <c r="B3285" s="4" t="s">
        <v>1063</v>
      </c>
      <c r="C3285" s="25" t="s">
        <v>5</v>
      </c>
      <c r="G3285" s="25" t="s">
        <v>1325</v>
      </c>
      <c r="H3285" s="24" t="s">
        <v>1061</v>
      </c>
      <c r="I3285" s="3" t="str">
        <f>IFERROR(VLOOKUP(C3285,'Справочник соответствий'!A$2:D$2981,2,FALSE),IF(VALUE(C3285)=0,1,VLOOKUP(C3285,'Справочник соответствий'!A$2:D$2981,2,FALSE)))</f>
        <v>1</v>
      </c>
      <c r="J3285" s="3">
        <f>IFERROR(VLOOKUP(D3285,'Справочник соответствий'!A$2:D$2981,2,FALSE),IF(VALUE(D3285)=0,0,VLOOKUP(D3285,'Справочник соответствий'!A$2:D$2981,2,FALSE)))</f>
        <v>0</v>
      </c>
      <c r="K3285" s="3" t="str">
        <f t="shared" si="357"/>
        <v>1</v>
      </c>
      <c r="L3285" s="13" t="str">
        <f>IFERROR(VLOOKUP(C3285,'Справочник соответствий'!A$2:D$2981,3,FALSE),IF(VALUE(C3285)=0,"ЭТАЖ НЕ ОПРЕДЕЛЕН. ПРИНЯТ ПО ДОПУЩЕНИЮ 1",VLOOKUP(C3285,'Справочник соответствий'!A$2:D$2981,3,FALSE)))</f>
        <v>ЭТАЖ ЗАДАН ЧИСЛОМ</v>
      </c>
      <c r="M3285" s="13" t="b">
        <f t="shared" si="358"/>
        <v>0</v>
      </c>
      <c r="N3285" s="13">
        <f t="shared" si="359"/>
        <v>1</v>
      </c>
      <c r="O3285" s="13" t="str">
        <f t="shared" si="360"/>
        <v>ЭТАЖ ЗАДАН ЧИСЛОМ</v>
      </c>
      <c r="P3285" s="13" t="str">
        <f t="shared" si="361"/>
        <v>ЭТАЖ ЗАДАН ЧИСЛОМ</v>
      </c>
      <c r="Q3285" s="13" t="str">
        <f t="shared" si="362"/>
        <v>ГОТОВ_ИЗМЕНЕН</v>
      </c>
      <c r="R3285" s="13">
        <f>IFERROR(VLOOKUP(P3285,Лист1!A$1:B$20,2,FALSE),0)</f>
        <v>784</v>
      </c>
      <c r="S3285" s="13">
        <f t="shared" si="363"/>
        <v>0</v>
      </c>
    </row>
    <row r="3286" spans="1:19" x14ac:dyDescent="0.25">
      <c r="A3286" s="24" t="s">
        <v>4419</v>
      </c>
      <c r="B3286" s="4" t="s">
        <v>1063</v>
      </c>
      <c r="C3286" s="25" t="s">
        <v>5</v>
      </c>
      <c r="G3286" s="25" t="s">
        <v>1325</v>
      </c>
      <c r="H3286" s="24" t="s">
        <v>1061</v>
      </c>
      <c r="I3286" s="3" t="str">
        <f>IFERROR(VLOOKUP(C3286,'Справочник соответствий'!A$2:D$2981,2,FALSE),IF(VALUE(C3286)=0,1,VLOOKUP(C3286,'Справочник соответствий'!A$2:D$2981,2,FALSE)))</f>
        <v>1</v>
      </c>
      <c r="J3286" s="3">
        <f>IFERROR(VLOOKUP(D3286,'Справочник соответствий'!A$2:D$2981,2,FALSE),IF(VALUE(D3286)=0,0,VLOOKUP(D3286,'Справочник соответствий'!A$2:D$2981,2,FALSE)))</f>
        <v>0</v>
      </c>
      <c r="K3286" s="3" t="str">
        <f t="shared" si="357"/>
        <v>1</v>
      </c>
      <c r="L3286" s="13" t="str">
        <f>IFERROR(VLOOKUP(C3286,'Справочник соответствий'!A$2:D$2981,3,FALSE),IF(VALUE(C3286)=0,"ЭТАЖ НЕ ОПРЕДЕЛЕН. ПРИНЯТ ПО ДОПУЩЕНИЮ 1",VLOOKUP(C3286,'Справочник соответствий'!A$2:D$2981,3,FALSE)))</f>
        <v>ЭТАЖ ЗАДАН ЧИСЛОМ</v>
      </c>
      <c r="M3286" s="13" t="b">
        <f t="shared" si="358"/>
        <v>0</v>
      </c>
      <c r="N3286" s="13">
        <f t="shared" si="359"/>
        <v>1</v>
      </c>
      <c r="O3286" s="13" t="str">
        <f t="shared" si="360"/>
        <v>ЭТАЖ ЗАДАН ЧИСЛОМ</v>
      </c>
      <c r="P3286" s="13" t="str">
        <f t="shared" si="361"/>
        <v>ЭТАЖ ЗАДАН ЧИСЛОМ</v>
      </c>
      <c r="Q3286" s="13" t="str">
        <f t="shared" si="362"/>
        <v>ГОТОВ_ИЗМЕНЕН</v>
      </c>
      <c r="R3286" s="13">
        <f>IFERROR(VLOOKUP(P3286,Лист1!A$1:B$20,2,FALSE),0)</f>
        <v>784</v>
      </c>
      <c r="S3286" s="13">
        <f t="shared" si="363"/>
        <v>0</v>
      </c>
    </row>
    <row r="3287" spans="1:19" x14ac:dyDescent="0.25">
      <c r="A3287" s="24" t="s">
        <v>4420</v>
      </c>
      <c r="B3287" s="4" t="s">
        <v>1059</v>
      </c>
      <c r="C3287" s="25" t="s">
        <v>7</v>
      </c>
      <c r="G3287" s="25" t="s">
        <v>1069</v>
      </c>
      <c r="H3287" s="24" t="s">
        <v>1061</v>
      </c>
      <c r="I3287" s="3" t="str">
        <f>IFERROR(VLOOKUP(C3287,'Справочник соответствий'!A$2:D$2981,2,FALSE),IF(VALUE(C3287)=0,1,VLOOKUP(C3287,'Справочник соответствий'!A$2:D$2981,2,FALSE)))</f>
        <v>2</v>
      </c>
      <c r="J3287" s="3">
        <f>IFERROR(VLOOKUP(D3287,'Справочник соответствий'!A$2:D$2981,2,FALSE),IF(VALUE(D3287)=0,0,VLOOKUP(D3287,'Справочник соответствий'!A$2:D$2981,2,FALSE)))</f>
        <v>0</v>
      </c>
      <c r="K3287" s="3" t="str">
        <f t="shared" si="357"/>
        <v>2</v>
      </c>
      <c r="L3287" s="13" t="str">
        <f>IFERROR(VLOOKUP(C3287,'Справочник соответствий'!A$2:D$2981,3,FALSE),IF(VALUE(C3287)=0,"ЭТАЖ НЕ ОПРЕДЕЛЕН. ПРИНЯТ ПО ДОПУЩЕНИЮ 1",VLOOKUP(C3287,'Справочник соответствий'!A$2:D$2981,3,FALSE)))</f>
        <v>ЭТАЖ ЗАДАН ЧИСЛОМ</v>
      </c>
      <c r="M3287" s="13" t="b">
        <f t="shared" si="358"/>
        <v>0</v>
      </c>
      <c r="N3287" s="13">
        <f t="shared" si="359"/>
        <v>2</v>
      </c>
      <c r="O3287" s="13" t="str">
        <f t="shared" si="360"/>
        <v>ЭТАЖ ЗАДАН ЧИСЛОМ</v>
      </c>
      <c r="P3287" s="13" t="str">
        <f t="shared" si="361"/>
        <v>ЭТАЖ ЗАДАН ЧИСЛОМ</v>
      </c>
      <c r="Q3287" s="13" t="str">
        <f t="shared" si="362"/>
        <v>ГОТОВ_ИЗМЕНЕН</v>
      </c>
      <c r="R3287" s="13">
        <f>IFERROR(VLOOKUP(P3287,Лист1!A$1:B$20,2,FALSE),0)</f>
        <v>784</v>
      </c>
      <c r="S3287" s="13">
        <f t="shared" si="363"/>
        <v>0</v>
      </c>
    </row>
    <row r="3288" spans="1:19" x14ac:dyDescent="0.25">
      <c r="A3288" s="24" t="s">
        <v>4421</v>
      </c>
      <c r="B3288" s="4" t="s">
        <v>1059</v>
      </c>
      <c r="C3288" s="25" t="s">
        <v>7</v>
      </c>
      <c r="G3288" s="25" t="s">
        <v>1099</v>
      </c>
      <c r="H3288" s="24" t="s">
        <v>1061</v>
      </c>
      <c r="I3288" s="3" t="str">
        <f>IFERROR(VLOOKUP(C3288,'Справочник соответствий'!A$2:D$2981,2,FALSE),IF(VALUE(C3288)=0,1,VLOOKUP(C3288,'Справочник соответствий'!A$2:D$2981,2,FALSE)))</f>
        <v>2</v>
      </c>
      <c r="J3288" s="3">
        <f>IFERROR(VLOOKUP(D3288,'Справочник соответствий'!A$2:D$2981,2,FALSE),IF(VALUE(D3288)=0,0,VLOOKUP(D3288,'Справочник соответствий'!A$2:D$2981,2,FALSE)))</f>
        <v>0</v>
      </c>
      <c r="K3288" s="3" t="str">
        <f t="shared" si="357"/>
        <v>2</v>
      </c>
      <c r="L3288" s="13" t="str">
        <f>IFERROR(VLOOKUP(C3288,'Справочник соответствий'!A$2:D$2981,3,FALSE),IF(VALUE(C3288)=0,"ЭТАЖ НЕ ОПРЕДЕЛЕН. ПРИНЯТ ПО ДОПУЩЕНИЮ 1",VLOOKUP(C3288,'Справочник соответствий'!A$2:D$2981,3,FALSE)))</f>
        <v>ЭТАЖ ЗАДАН ЧИСЛОМ</v>
      </c>
      <c r="M3288" s="13" t="b">
        <f t="shared" si="358"/>
        <v>0</v>
      </c>
      <c r="N3288" s="13">
        <f t="shared" si="359"/>
        <v>2</v>
      </c>
      <c r="O3288" s="13" t="str">
        <f t="shared" si="360"/>
        <v>ЭТАЖ ЗАДАН ЧИСЛОМ</v>
      </c>
      <c r="P3288" s="13" t="str">
        <f t="shared" si="361"/>
        <v>ЭТАЖ ЗАДАН ЧИСЛОМ</v>
      </c>
      <c r="Q3288" s="13" t="str">
        <f t="shared" si="362"/>
        <v>ГОТОВ_ИЗМЕНЕН</v>
      </c>
      <c r="R3288" s="13">
        <f>IFERROR(VLOOKUP(P3288,Лист1!A$1:B$20,2,FALSE),0)</f>
        <v>784</v>
      </c>
      <c r="S3288" s="13">
        <f t="shared" si="363"/>
        <v>0</v>
      </c>
    </row>
    <row r="3289" spans="1:19" x14ac:dyDescent="0.25">
      <c r="A3289" s="24" t="s">
        <v>4422</v>
      </c>
      <c r="B3289" s="4" t="s">
        <v>1063</v>
      </c>
      <c r="C3289" s="25" t="s">
        <v>5</v>
      </c>
      <c r="G3289" s="25" t="s">
        <v>1099</v>
      </c>
      <c r="H3289" s="24" t="s">
        <v>1061</v>
      </c>
      <c r="I3289" s="3" t="str">
        <f>IFERROR(VLOOKUP(C3289,'Справочник соответствий'!A$2:D$2981,2,FALSE),IF(VALUE(C3289)=0,1,VLOOKUP(C3289,'Справочник соответствий'!A$2:D$2981,2,FALSE)))</f>
        <v>1</v>
      </c>
      <c r="J3289" s="3">
        <f>IFERROR(VLOOKUP(D3289,'Справочник соответствий'!A$2:D$2981,2,FALSE),IF(VALUE(D3289)=0,0,VLOOKUP(D3289,'Справочник соответствий'!A$2:D$2981,2,FALSE)))</f>
        <v>0</v>
      </c>
      <c r="K3289" s="3" t="str">
        <f t="shared" si="357"/>
        <v>1</v>
      </c>
      <c r="L3289" s="13" t="str">
        <f>IFERROR(VLOOKUP(C3289,'Справочник соответствий'!A$2:D$2981,3,FALSE),IF(VALUE(C3289)=0,"ЭТАЖ НЕ ОПРЕДЕЛЕН. ПРИНЯТ ПО ДОПУЩЕНИЮ 1",VLOOKUP(C3289,'Справочник соответствий'!A$2:D$2981,3,FALSE)))</f>
        <v>ЭТАЖ ЗАДАН ЧИСЛОМ</v>
      </c>
      <c r="M3289" s="13" t="b">
        <f t="shared" si="358"/>
        <v>0</v>
      </c>
      <c r="N3289" s="13">
        <f t="shared" si="359"/>
        <v>1</v>
      </c>
      <c r="O3289" s="13" t="str">
        <f t="shared" si="360"/>
        <v>ЭТАЖ ЗАДАН ЧИСЛОМ</v>
      </c>
      <c r="P3289" s="13" t="str">
        <f t="shared" si="361"/>
        <v>ЭТАЖ ЗАДАН ЧИСЛОМ</v>
      </c>
      <c r="Q3289" s="13" t="str">
        <f t="shared" si="362"/>
        <v>ГОТОВ_ИЗМЕНЕН</v>
      </c>
      <c r="R3289" s="13">
        <f>IFERROR(VLOOKUP(P3289,Лист1!A$1:B$20,2,FALSE),0)</f>
        <v>784</v>
      </c>
      <c r="S3289" s="13">
        <f t="shared" si="363"/>
        <v>0</v>
      </c>
    </row>
    <row r="3290" spans="1:19" x14ac:dyDescent="0.25">
      <c r="A3290" s="24" t="s">
        <v>4423</v>
      </c>
      <c r="B3290" s="4" t="s">
        <v>1059</v>
      </c>
      <c r="C3290" s="25" t="s">
        <v>5</v>
      </c>
      <c r="G3290" s="25" t="s">
        <v>1205</v>
      </c>
      <c r="H3290" s="24" t="s">
        <v>1061</v>
      </c>
      <c r="I3290" s="3" t="str">
        <f>IFERROR(VLOOKUP(C3290,'Справочник соответствий'!A$2:D$2981,2,FALSE),IF(VALUE(C3290)=0,1,VLOOKUP(C3290,'Справочник соответствий'!A$2:D$2981,2,FALSE)))</f>
        <v>1</v>
      </c>
      <c r="J3290" s="3">
        <f>IFERROR(VLOOKUP(D3290,'Справочник соответствий'!A$2:D$2981,2,FALSE),IF(VALUE(D3290)=0,0,VLOOKUP(D3290,'Справочник соответствий'!A$2:D$2981,2,FALSE)))</f>
        <v>0</v>
      </c>
      <c r="K3290" s="3" t="str">
        <f t="shared" si="357"/>
        <v>1</v>
      </c>
      <c r="L3290" s="13" t="str">
        <f>IFERROR(VLOOKUP(C3290,'Справочник соответствий'!A$2:D$2981,3,FALSE),IF(VALUE(C3290)=0,"ЭТАЖ НЕ ОПРЕДЕЛЕН. ПРИНЯТ ПО ДОПУЩЕНИЮ 1",VLOOKUP(C3290,'Справочник соответствий'!A$2:D$2981,3,FALSE)))</f>
        <v>ЭТАЖ ЗАДАН ЧИСЛОМ</v>
      </c>
      <c r="M3290" s="13" t="b">
        <f t="shared" si="358"/>
        <v>0</v>
      </c>
      <c r="N3290" s="13">
        <f t="shared" si="359"/>
        <v>1</v>
      </c>
      <c r="O3290" s="13" t="str">
        <f t="shared" si="360"/>
        <v>ЭТАЖ ЗАДАН ЧИСЛОМ</v>
      </c>
      <c r="P3290" s="13" t="str">
        <f t="shared" si="361"/>
        <v>ЭТАЖ ЗАДАН ЧИСЛОМ</v>
      </c>
      <c r="Q3290" s="13" t="str">
        <f t="shared" si="362"/>
        <v>ГОТОВ_ИЗМЕНЕН</v>
      </c>
      <c r="R3290" s="13">
        <f>IFERROR(VLOOKUP(P3290,Лист1!A$1:B$20,2,FALSE),0)</f>
        <v>784</v>
      </c>
      <c r="S3290" s="13">
        <f t="shared" si="363"/>
        <v>0</v>
      </c>
    </row>
    <row r="3291" spans="1:19" x14ac:dyDescent="0.25">
      <c r="A3291" s="24" t="s">
        <v>4424</v>
      </c>
      <c r="B3291" s="4" t="s">
        <v>1063</v>
      </c>
      <c r="C3291" s="25" t="s">
        <v>5</v>
      </c>
      <c r="G3291" s="25" t="s">
        <v>1099</v>
      </c>
      <c r="H3291" s="24" t="s">
        <v>1061</v>
      </c>
      <c r="I3291" s="3" t="str">
        <f>IFERROR(VLOOKUP(C3291,'Справочник соответствий'!A$2:D$2981,2,FALSE),IF(VALUE(C3291)=0,1,VLOOKUP(C3291,'Справочник соответствий'!A$2:D$2981,2,FALSE)))</f>
        <v>1</v>
      </c>
      <c r="J3291" s="3">
        <f>IFERROR(VLOOKUP(D3291,'Справочник соответствий'!A$2:D$2981,2,FALSE),IF(VALUE(D3291)=0,0,VLOOKUP(D3291,'Справочник соответствий'!A$2:D$2981,2,FALSE)))</f>
        <v>0</v>
      </c>
      <c r="K3291" s="3" t="str">
        <f t="shared" si="357"/>
        <v>1</v>
      </c>
      <c r="L3291" s="13" t="str">
        <f>IFERROR(VLOOKUP(C3291,'Справочник соответствий'!A$2:D$2981,3,FALSE),IF(VALUE(C3291)=0,"ЭТАЖ НЕ ОПРЕДЕЛЕН. ПРИНЯТ ПО ДОПУЩЕНИЮ 1",VLOOKUP(C3291,'Справочник соответствий'!A$2:D$2981,3,FALSE)))</f>
        <v>ЭТАЖ ЗАДАН ЧИСЛОМ</v>
      </c>
      <c r="M3291" s="13" t="b">
        <f t="shared" si="358"/>
        <v>0</v>
      </c>
      <c r="N3291" s="13">
        <f t="shared" si="359"/>
        <v>1</v>
      </c>
      <c r="O3291" s="13" t="str">
        <f t="shared" si="360"/>
        <v>ЭТАЖ ЗАДАН ЧИСЛОМ</v>
      </c>
      <c r="P3291" s="13" t="str">
        <f t="shared" si="361"/>
        <v>ЭТАЖ ЗАДАН ЧИСЛОМ</v>
      </c>
      <c r="Q3291" s="13" t="str">
        <f t="shared" si="362"/>
        <v>ГОТОВ_ИЗМЕНЕН</v>
      </c>
      <c r="R3291" s="13">
        <f>IFERROR(VLOOKUP(P3291,Лист1!A$1:B$20,2,FALSE),0)</f>
        <v>784</v>
      </c>
      <c r="S3291" s="13">
        <f t="shared" si="363"/>
        <v>0</v>
      </c>
    </row>
    <row r="3292" spans="1:19" x14ac:dyDescent="0.25">
      <c r="A3292" s="24" t="s">
        <v>4425</v>
      </c>
      <c r="B3292" s="4" t="s">
        <v>1063</v>
      </c>
      <c r="G3292" s="25" t="s">
        <v>1108</v>
      </c>
      <c r="H3292" s="24" t="s">
        <v>1061</v>
      </c>
      <c r="I3292" s="3">
        <f>IFERROR(VLOOKUP(C3292,'Справочник соответствий'!A$2:D$2981,2,FALSE),IF(VALUE(C3292)=0,1,VLOOKUP(C3292,'Справочник соответствий'!A$2:D$2981,2,FALSE)))</f>
        <v>1</v>
      </c>
      <c r="J3292" s="3">
        <f>IFERROR(VLOOKUP(D3292,'Справочник соответствий'!A$2:D$2981,2,FALSE),IF(VALUE(D3292)=0,0,VLOOKUP(D3292,'Справочник соответствий'!A$2:D$2981,2,FALSE)))</f>
        <v>0</v>
      </c>
      <c r="K3292" s="3">
        <f t="shared" si="357"/>
        <v>1</v>
      </c>
      <c r="L3292" s="13" t="str">
        <f>IFERROR(VLOOKUP(C3292,'Справочник соответствий'!A$2:D$2981,3,FALSE),IF(VALUE(C3292)=0,"ЭТАЖ НЕ ОПРЕДЕЛЕН. ПРИНЯТ ПО ДОПУЩЕНИЮ 1",VLOOKUP(C3292,'Справочник соответствий'!A$2:D$2981,3,FALSE)))</f>
        <v>ЭТАЖ НЕ ОПРЕДЕЛЕН. ПРИНЯТ ПО ДОПУЩЕНИЮ 1</v>
      </c>
      <c r="M3292" s="13" t="b">
        <f t="shared" si="358"/>
        <v>0</v>
      </c>
      <c r="N3292" s="13">
        <f t="shared" si="359"/>
        <v>1</v>
      </c>
      <c r="O3292" s="13" t="str">
        <f t="shared" si="360"/>
        <v>ЭТАЖ НЕ ОПРЕДЕЛЕН. ПРИНЯТ ПО ДОПУЩЕНИЮ 1</v>
      </c>
      <c r="P3292" s="13" t="str">
        <f t="shared" si="361"/>
        <v>ЭТАЖ НЕ ОПРЕДЕЛЕН. ПРИНЯТ ПО ДОПУЩЕНИЮ 1</v>
      </c>
      <c r="Q3292" s="13" t="str">
        <f t="shared" si="362"/>
        <v>ГОТОВ_ИЗМЕНЕН</v>
      </c>
      <c r="R3292" s="13">
        <f>IFERROR(VLOOKUP(P3292,Лист1!A$1:B$20,2,FALSE),0)</f>
        <v>788</v>
      </c>
      <c r="S3292" s="13">
        <f t="shared" si="363"/>
        <v>0</v>
      </c>
    </row>
    <row r="3293" spans="1:19" x14ac:dyDescent="0.25">
      <c r="A3293" s="24" t="s">
        <v>4426</v>
      </c>
      <c r="B3293" s="4" t="s">
        <v>1063</v>
      </c>
      <c r="C3293" s="25" t="s">
        <v>5</v>
      </c>
      <c r="G3293" s="25" t="s">
        <v>1069</v>
      </c>
      <c r="H3293" s="24" t="s">
        <v>1061</v>
      </c>
      <c r="I3293" s="3" t="str">
        <f>IFERROR(VLOOKUP(C3293,'Справочник соответствий'!A$2:D$2981,2,FALSE),IF(VALUE(C3293)=0,1,VLOOKUP(C3293,'Справочник соответствий'!A$2:D$2981,2,FALSE)))</f>
        <v>1</v>
      </c>
      <c r="J3293" s="3">
        <f>IFERROR(VLOOKUP(D3293,'Справочник соответствий'!A$2:D$2981,2,FALSE),IF(VALUE(D3293)=0,0,VLOOKUP(D3293,'Справочник соответствий'!A$2:D$2981,2,FALSE)))</f>
        <v>0</v>
      </c>
      <c r="K3293" s="3" t="str">
        <f t="shared" si="357"/>
        <v>1</v>
      </c>
      <c r="L3293" s="13" t="str">
        <f>IFERROR(VLOOKUP(C3293,'Справочник соответствий'!A$2:D$2981,3,FALSE),IF(VALUE(C3293)=0,"ЭТАЖ НЕ ОПРЕДЕЛЕН. ПРИНЯТ ПО ДОПУЩЕНИЮ 1",VLOOKUP(C3293,'Справочник соответствий'!A$2:D$2981,3,FALSE)))</f>
        <v>ЭТАЖ ЗАДАН ЧИСЛОМ</v>
      </c>
      <c r="M3293" s="13" t="b">
        <f t="shared" si="358"/>
        <v>0</v>
      </c>
      <c r="N3293" s="13">
        <f t="shared" si="359"/>
        <v>1</v>
      </c>
      <c r="O3293" s="13" t="str">
        <f t="shared" si="360"/>
        <v>ЭТАЖ ЗАДАН ЧИСЛОМ</v>
      </c>
      <c r="P3293" s="13" t="str">
        <f t="shared" si="361"/>
        <v>ЭТАЖ ЗАДАН ЧИСЛОМ</v>
      </c>
      <c r="Q3293" s="13" t="str">
        <f t="shared" si="362"/>
        <v>ГОТОВ_ИЗМЕНЕН</v>
      </c>
      <c r="R3293" s="13">
        <f>IFERROR(VLOOKUP(P3293,Лист1!A$1:B$20,2,FALSE),0)</f>
        <v>784</v>
      </c>
      <c r="S3293" s="13">
        <f t="shared" si="363"/>
        <v>0</v>
      </c>
    </row>
    <row r="3294" spans="1:19" x14ac:dyDescent="0.25">
      <c r="A3294" s="24" t="s">
        <v>4427</v>
      </c>
      <c r="B3294" s="4" t="s">
        <v>1063</v>
      </c>
      <c r="C3294" s="25" t="s">
        <v>5</v>
      </c>
      <c r="G3294" s="25" t="s">
        <v>1108</v>
      </c>
      <c r="H3294" s="24" t="s">
        <v>1061</v>
      </c>
      <c r="I3294" s="3" t="str">
        <f>IFERROR(VLOOKUP(C3294,'Справочник соответствий'!A$2:D$2981,2,FALSE),IF(VALUE(C3294)=0,1,VLOOKUP(C3294,'Справочник соответствий'!A$2:D$2981,2,FALSE)))</f>
        <v>1</v>
      </c>
      <c r="J3294" s="3">
        <f>IFERROR(VLOOKUP(D3294,'Справочник соответствий'!A$2:D$2981,2,FALSE),IF(VALUE(D3294)=0,0,VLOOKUP(D3294,'Справочник соответствий'!A$2:D$2981,2,FALSE)))</f>
        <v>0</v>
      </c>
      <c r="K3294" s="3" t="str">
        <f t="shared" si="357"/>
        <v>1</v>
      </c>
      <c r="L3294" s="13" t="str">
        <f>IFERROR(VLOOKUP(C3294,'Справочник соответствий'!A$2:D$2981,3,FALSE),IF(VALUE(C3294)=0,"ЭТАЖ НЕ ОПРЕДЕЛЕН. ПРИНЯТ ПО ДОПУЩЕНИЮ 1",VLOOKUP(C3294,'Справочник соответствий'!A$2:D$2981,3,FALSE)))</f>
        <v>ЭТАЖ ЗАДАН ЧИСЛОМ</v>
      </c>
      <c r="M3294" s="13" t="b">
        <f t="shared" si="358"/>
        <v>0</v>
      </c>
      <c r="N3294" s="13">
        <f t="shared" si="359"/>
        <v>1</v>
      </c>
      <c r="O3294" s="13" t="str">
        <f t="shared" si="360"/>
        <v>ЭТАЖ ЗАДАН ЧИСЛОМ</v>
      </c>
      <c r="P3294" s="13" t="str">
        <f t="shared" si="361"/>
        <v>ЭТАЖ ЗАДАН ЧИСЛОМ</v>
      </c>
      <c r="Q3294" s="13" t="str">
        <f t="shared" si="362"/>
        <v>ГОТОВ_ИЗМЕНЕН</v>
      </c>
      <c r="R3294" s="13">
        <f>IFERROR(VLOOKUP(P3294,Лист1!A$1:B$20,2,FALSE),0)</f>
        <v>784</v>
      </c>
      <c r="S3294" s="13">
        <f t="shared" si="363"/>
        <v>0</v>
      </c>
    </row>
    <row r="3295" spans="1:19" x14ac:dyDescent="0.25">
      <c r="A3295" s="24" t="s">
        <v>4428</v>
      </c>
      <c r="B3295" s="4" t="s">
        <v>1059</v>
      </c>
      <c r="C3295" s="25" t="s">
        <v>5</v>
      </c>
      <c r="G3295" s="25" t="s">
        <v>1077</v>
      </c>
      <c r="H3295" s="24" t="s">
        <v>1061</v>
      </c>
      <c r="I3295" s="3" t="str">
        <f>IFERROR(VLOOKUP(C3295,'Справочник соответствий'!A$2:D$2981,2,FALSE),IF(VALUE(C3295)=0,1,VLOOKUP(C3295,'Справочник соответствий'!A$2:D$2981,2,FALSE)))</f>
        <v>1</v>
      </c>
      <c r="J3295" s="3">
        <f>IFERROR(VLOOKUP(D3295,'Справочник соответствий'!A$2:D$2981,2,FALSE),IF(VALUE(D3295)=0,0,VLOOKUP(D3295,'Справочник соответствий'!A$2:D$2981,2,FALSE)))</f>
        <v>0</v>
      </c>
      <c r="K3295" s="3" t="str">
        <f t="shared" si="357"/>
        <v>1</v>
      </c>
      <c r="L3295" s="13" t="str">
        <f>IFERROR(VLOOKUP(C3295,'Справочник соответствий'!A$2:D$2981,3,FALSE),IF(VALUE(C3295)=0,"ЭТАЖ НЕ ОПРЕДЕЛЕН. ПРИНЯТ ПО ДОПУЩЕНИЮ 1",VLOOKUP(C3295,'Справочник соответствий'!A$2:D$2981,3,FALSE)))</f>
        <v>ЭТАЖ ЗАДАН ЧИСЛОМ</v>
      </c>
      <c r="M3295" s="13" t="b">
        <f t="shared" si="358"/>
        <v>0</v>
      </c>
      <c r="N3295" s="13">
        <f t="shared" si="359"/>
        <v>1</v>
      </c>
      <c r="O3295" s="13" t="str">
        <f t="shared" si="360"/>
        <v>ЭТАЖ ЗАДАН ЧИСЛОМ</v>
      </c>
      <c r="P3295" s="13" t="str">
        <f t="shared" si="361"/>
        <v>ЭТАЖ ЗАДАН ЧИСЛОМ</v>
      </c>
      <c r="Q3295" s="13" t="str">
        <f t="shared" si="362"/>
        <v>ГОТОВ_ИЗМЕНЕН</v>
      </c>
      <c r="R3295" s="13">
        <f>IFERROR(VLOOKUP(P3295,Лист1!A$1:B$20,2,FALSE),0)</f>
        <v>784</v>
      </c>
      <c r="S3295" s="13">
        <f t="shared" si="363"/>
        <v>0</v>
      </c>
    </row>
    <row r="3296" spans="1:19" x14ac:dyDescent="0.25">
      <c r="A3296" s="24" t="s">
        <v>4429</v>
      </c>
      <c r="B3296" s="4" t="s">
        <v>1059</v>
      </c>
      <c r="C3296" s="25" t="s">
        <v>5</v>
      </c>
      <c r="G3296" s="25" t="s">
        <v>1060</v>
      </c>
      <c r="H3296" s="24" t="s">
        <v>1061</v>
      </c>
      <c r="I3296" s="3" t="str">
        <f>IFERROR(VLOOKUP(C3296,'Справочник соответствий'!A$2:D$2981,2,FALSE),IF(VALUE(C3296)=0,1,VLOOKUP(C3296,'Справочник соответствий'!A$2:D$2981,2,FALSE)))</f>
        <v>1</v>
      </c>
      <c r="J3296" s="3">
        <f>IFERROR(VLOOKUP(D3296,'Справочник соответствий'!A$2:D$2981,2,FALSE),IF(VALUE(D3296)=0,0,VLOOKUP(D3296,'Справочник соответствий'!A$2:D$2981,2,FALSE)))</f>
        <v>0</v>
      </c>
      <c r="K3296" s="3" t="str">
        <f t="shared" si="357"/>
        <v>1</v>
      </c>
      <c r="L3296" s="13" t="str">
        <f>IFERROR(VLOOKUP(C3296,'Справочник соответствий'!A$2:D$2981,3,FALSE),IF(VALUE(C3296)=0,"ЭТАЖ НЕ ОПРЕДЕЛЕН. ПРИНЯТ ПО ДОПУЩЕНИЮ 1",VLOOKUP(C3296,'Справочник соответствий'!A$2:D$2981,3,FALSE)))</f>
        <v>ЭТАЖ ЗАДАН ЧИСЛОМ</v>
      </c>
      <c r="M3296" s="13" t="b">
        <f t="shared" si="358"/>
        <v>0</v>
      </c>
      <c r="N3296" s="13">
        <f t="shared" si="359"/>
        <v>1</v>
      </c>
      <c r="O3296" s="13" t="str">
        <f t="shared" si="360"/>
        <v>ЭТАЖ ЗАДАН ЧИСЛОМ</v>
      </c>
      <c r="P3296" s="13" t="str">
        <f t="shared" si="361"/>
        <v>ЭТАЖ ЗАДАН ЧИСЛОМ</v>
      </c>
      <c r="Q3296" s="13" t="str">
        <f t="shared" si="362"/>
        <v>ГОТОВ_ИЗМЕНЕН</v>
      </c>
      <c r="R3296" s="13">
        <f>IFERROR(VLOOKUP(P3296,Лист1!A$1:B$20,2,FALSE),0)</f>
        <v>784</v>
      </c>
      <c r="S3296" s="13">
        <f t="shared" si="363"/>
        <v>0</v>
      </c>
    </row>
    <row r="3297" spans="1:19" x14ac:dyDescent="0.25">
      <c r="A3297" s="24" t="s">
        <v>4430</v>
      </c>
      <c r="B3297" s="4" t="s">
        <v>1063</v>
      </c>
      <c r="C3297" s="25" t="s">
        <v>7</v>
      </c>
      <c r="G3297" s="25" t="s">
        <v>1060</v>
      </c>
      <c r="H3297" s="24" t="s">
        <v>1061</v>
      </c>
      <c r="I3297" s="3" t="str">
        <f>IFERROR(VLOOKUP(C3297,'Справочник соответствий'!A$2:D$2981,2,FALSE),IF(VALUE(C3297)=0,1,VLOOKUP(C3297,'Справочник соответствий'!A$2:D$2981,2,FALSE)))</f>
        <v>2</v>
      </c>
      <c r="J3297" s="3">
        <f>IFERROR(VLOOKUP(D3297,'Справочник соответствий'!A$2:D$2981,2,FALSE),IF(VALUE(D3297)=0,0,VLOOKUP(D3297,'Справочник соответствий'!A$2:D$2981,2,FALSE)))</f>
        <v>0</v>
      </c>
      <c r="K3297" s="3" t="str">
        <f t="shared" si="357"/>
        <v>2</v>
      </c>
      <c r="L3297" s="13" t="str">
        <f>IFERROR(VLOOKUP(C3297,'Справочник соответствий'!A$2:D$2981,3,FALSE),IF(VALUE(C3297)=0,"ЭТАЖ НЕ ОПРЕДЕЛЕН. ПРИНЯТ ПО ДОПУЩЕНИЮ 1",VLOOKUP(C3297,'Справочник соответствий'!A$2:D$2981,3,FALSE)))</f>
        <v>ЭТАЖ ЗАДАН ЧИСЛОМ</v>
      </c>
      <c r="M3297" s="13" t="b">
        <f t="shared" si="358"/>
        <v>0</v>
      </c>
      <c r="N3297" s="13">
        <f t="shared" si="359"/>
        <v>2</v>
      </c>
      <c r="O3297" s="13" t="str">
        <f t="shared" si="360"/>
        <v>ЭТАЖ ЗАДАН ЧИСЛОМ</v>
      </c>
      <c r="P3297" s="13" t="str">
        <f t="shared" si="361"/>
        <v>ЭТАЖ ЗАДАН ЧИСЛОМ</v>
      </c>
      <c r="Q3297" s="13" t="str">
        <f t="shared" si="362"/>
        <v>ГОТОВ_ИЗМЕНЕН</v>
      </c>
      <c r="R3297" s="13">
        <f>IFERROR(VLOOKUP(P3297,Лист1!A$1:B$20,2,FALSE),0)</f>
        <v>784</v>
      </c>
      <c r="S3297" s="13">
        <f t="shared" si="363"/>
        <v>0</v>
      </c>
    </row>
    <row r="3298" spans="1:19" x14ac:dyDescent="0.25">
      <c r="A3298" s="24" t="s">
        <v>4431</v>
      </c>
      <c r="B3298" s="4" t="s">
        <v>1059</v>
      </c>
      <c r="C3298" s="25" t="s">
        <v>5</v>
      </c>
      <c r="G3298" s="25" t="s">
        <v>1060</v>
      </c>
      <c r="H3298" s="24" t="s">
        <v>1061</v>
      </c>
      <c r="I3298" s="3" t="str">
        <f>IFERROR(VLOOKUP(C3298,'Справочник соответствий'!A$2:D$2981,2,FALSE),IF(VALUE(C3298)=0,1,VLOOKUP(C3298,'Справочник соответствий'!A$2:D$2981,2,FALSE)))</f>
        <v>1</v>
      </c>
      <c r="J3298" s="3">
        <f>IFERROR(VLOOKUP(D3298,'Справочник соответствий'!A$2:D$2981,2,FALSE),IF(VALUE(D3298)=0,0,VLOOKUP(D3298,'Справочник соответствий'!A$2:D$2981,2,FALSE)))</f>
        <v>0</v>
      </c>
      <c r="K3298" s="3" t="str">
        <f t="shared" si="357"/>
        <v>1</v>
      </c>
      <c r="L3298" s="13" t="str">
        <f>IFERROR(VLOOKUP(C3298,'Справочник соответствий'!A$2:D$2981,3,FALSE),IF(VALUE(C3298)=0,"ЭТАЖ НЕ ОПРЕДЕЛЕН. ПРИНЯТ ПО ДОПУЩЕНИЮ 1",VLOOKUP(C3298,'Справочник соответствий'!A$2:D$2981,3,FALSE)))</f>
        <v>ЭТАЖ ЗАДАН ЧИСЛОМ</v>
      </c>
      <c r="M3298" s="13" t="b">
        <f t="shared" si="358"/>
        <v>0</v>
      </c>
      <c r="N3298" s="13">
        <f t="shared" si="359"/>
        <v>1</v>
      </c>
      <c r="O3298" s="13" t="str">
        <f t="shared" si="360"/>
        <v>ЭТАЖ ЗАДАН ЧИСЛОМ</v>
      </c>
      <c r="P3298" s="13" t="str">
        <f t="shared" si="361"/>
        <v>ЭТАЖ ЗАДАН ЧИСЛОМ</v>
      </c>
      <c r="Q3298" s="13" t="str">
        <f t="shared" si="362"/>
        <v>ГОТОВ_ИЗМЕНЕН</v>
      </c>
      <c r="R3298" s="13">
        <f>IFERROR(VLOOKUP(P3298,Лист1!A$1:B$20,2,FALSE),0)</f>
        <v>784</v>
      </c>
      <c r="S3298" s="13">
        <f t="shared" si="363"/>
        <v>0</v>
      </c>
    </row>
    <row r="3299" spans="1:19" x14ac:dyDescent="0.25">
      <c r="A3299" s="24" t="s">
        <v>4432</v>
      </c>
      <c r="B3299" s="4" t="s">
        <v>1063</v>
      </c>
      <c r="C3299" s="25" t="s">
        <v>5</v>
      </c>
      <c r="G3299" s="25" t="s">
        <v>1060</v>
      </c>
      <c r="H3299" s="24" t="s">
        <v>1061</v>
      </c>
      <c r="I3299" s="3" t="str">
        <f>IFERROR(VLOOKUP(C3299,'Справочник соответствий'!A$2:D$2981,2,FALSE),IF(VALUE(C3299)=0,1,VLOOKUP(C3299,'Справочник соответствий'!A$2:D$2981,2,FALSE)))</f>
        <v>1</v>
      </c>
      <c r="J3299" s="3">
        <f>IFERROR(VLOOKUP(D3299,'Справочник соответствий'!A$2:D$2981,2,FALSE),IF(VALUE(D3299)=0,0,VLOOKUP(D3299,'Справочник соответствий'!A$2:D$2981,2,FALSE)))</f>
        <v>0</v>
      </c>
      <c r="K3299" s="3" t="str">
        <f t="shared" si="357"/>
        <v>1</v>
      </c>
      <c r="L3299" s="13" t="str">
        <f>IFERROR(VLOOKUP(C3299,'Справочник соответствий'!A$2:D$2981,3,FALSE),IF(VALUE(C3299)=0,"ЭТАЖ НЕ ОПРЕДЕЛЕН. ПРИНЯТ ПО ДОПУЩЕНИЮ 1",VLOOKUP(C3299,'Справочник соответствий'!A$2:D$2981,3,FALSE)))</f>
        <v>ЭТАЖ ЗАДАН ЧИСЛОМ</v>
      </c>
      <c r="M3299" s="13" t="b">
        <f t="shared" si="358"/>
        <v>0</v>
      </c>
      <c r="N3299" s="13">
        <f t="shared" si="359"/>
        <v>1</v>
      </c>
      <c r="O3299" s="13" t="str">
        <f t="shared" si="360"/>
        <v>ЭТАЖ ЗАДАН ЧИСЛОМ</v>
      </c>
      <c r="P3299" s="13" t="str">
        <f t="shared" si="361"/>
        <v>ЭТАЖ ЗАДАН ЧИСЛОМ</v>
      </c>
      <c r="Q3299" s="13" t="str">
        <f t="shared" si="362"/>
        <v>ГОТОВ_ИЗМЕНЕН</v>
      </c>
      <c r="R3299" s="13">
        <f>IFERROR(VLOOKUP(P3299,Лист1!A$1:B$20,2,FALSE),0)</f>
        <v>784</v>
      </c>
      <c r="S3299" s="13">
        <f t="shared" si="363"/>
        <v>0</v>
      </c>
    </row>
    <row r="3300" spans="1:19" x14ac:dyDescent="0.25">
      <c r="A3300" s="24" t="s">
        <v>4433</v>
      </c>
      <c r="B3300" s="4" t="s">
        <v>1059</v>
      </c>
      <c r="C3300" s="25" t="s">
        <v>5</v>
      </c>
      <c r="G3300" s="25" t="s">
        <v>1060</v>
      </c>
      <c r="H3300" s="24" t="s">
        <v>1061</v>
      </c>
      <c r="I3300" s="3" t="str">
        <f>IFERROR(VLOOKUP(C3300,'Справочник соответствий'!A$2:D$2981,2,FALSE),IF(VALUE(C3300)=0,1,VLOOKUP(C3300,'Справочник соответствий'!A$2:D$2981,2,FALSE)))</f>
        <v>1</v>
      </c>
      <c r="J3300" s="3">
        <f>IFERROR(VLOOKUP(D3300,'Справочник соответствий'!A$2:D$2981,2,FALSE),IF(VALUE(D3300)=0,0,VLOOKUP(D3300,'Справочник соответствий'!A$2:D$2981,2,FALSE)))</f>
        <v>0</v>
      </c>
      <c r="K3300" s="3" t="str">
        <f t="shared" si="357"/>
        <v>1</v>
      </c>
      <c r="L3300" s="13" t="str">
        <f>IFERROR(VLOOKUP(C3300,'Справочник соответствий'!A$2:D$2981,3,FALSE),IF(VALUE(C3300)=0,"ЭТАЖ НЕ ОПРЕДЕЛЕН. ПРИНЯТ ПО ДОПУЩЕНИЮ 1",VLOOKUP(C3300,'Справочник соответствий'!A$2:D$2981,3,FALSE)))</f>
        <v>ЭТАЖ ЗАДАН ЧИСЛОМ</v>
      </c>
      <c r="M3300" s="13" t="b">
        <f t="shared" si="358"/>
        <v>0</v>
      </c>
      <c r="N3300" s="13">
        <f t="shared" si="359"/>
        <v>1</v>
      </c>
      <c r="O3300" s="13" t="str">
        <f t="shared" si="360"/>
        <v>ЭТАЖ ЗАДАН ЧИСЛОМ</v>
      </c>
      <c r="P3300" s="13" t="str">
        <f t="shared" si="361"/>
        <v>ЭТАЖ ЗАДАН ЧИСЛОМ</v>
      </c>
      <c r="Q3300" s="13" t="str">
        <f t="shared" si="362"/>
        <v>ГОТОВ_ИЗМЕНЕН</v>
      </c>
      <c r="R3300" s="13">
        <f>IFERROR(VLOOKUP(P3300,Лист1!A$1:B$20,2,FALSE),0)</f>
        <v>784</v>
      </c>
      <c r="S3300" s="13">
        <f t="shared" si="363"/>
        <v>0</v>
      </c>
    </row>
    <row r="3301" spans="1:19" x14ac:dyDescent="0.25">
      <c r="A3301" s="24" t="s">
        <v>4434</v>
      </c>
      <c r="B3301" s="4" t="s">
        <v>1059</v>
      </c>
      <c r="G3301" s="25" t="s">
        <v>1060</v>
      </c>
      <c r="H3301" s="24" t="s">
        <v>1061</v>
      </c>
      <c r="I3301" s="3">
        <f>IFERROR(VLOOKUP(C3301,'Справочник соответствий'!A$2:D$2981,2,FALSE),IF(VALUE(C3301)=0,1,VLOOKUP(C3301,'Справочник соответствий'!A$2:D$2981,2,FALSE)))</f>
        <v>1</v>
      </c>
      <c r="J3301" s="3">
        <f>IFERROR(VLOOKUP(D3301,'Справочник соответствий'!A$2:D$2981,2,FALSE),IF(VALUE(D3301)=0,0,VLOOKUP(D3301,'Справочник соответствий'!A$2:D$2981,2,FALSE)))</f>
        <v>0</v>
      </c>
      <c r="K3301" s="3">
        <f t="shared" si="357"/>
        <v>1</v>
      </c>
      <c r="L3301" s="13" t="str">
        <f>IFERROR(VLOOKUP(C3301,'Справочник соответствий'!A$2:D$2981,3,FALSE),IF(VALUE(C3301)=0,"ЭТАЖ НЕ ОПРЕДЕЛЕН. ПРИНЯТ ПО ДОПУЩЕНИЮ 1",VLOOKUP(C3301,'Справочник соответствий'!A$2:D$2981,3,FALSE)))</f>
        <v>ЭТАЖ НЕ ОПРЕДЕЛЕН. ПРИНЯТ ПО ДОПУЩЕНИЮ 1</v>
      </c>
      <c r="M3301" s="13" t="b">
        <f t="shared" si="358"/>
        <v>0</v>
      </c>
      <c r="N3301" s="13">
        <f t="shared" si="359"/>
        <v>1</v>
      </c>
      <c r="O3301" s="13" t="str">
        <f t="shared" si="360"/>
        <v>ЭТАЖ НЕ ОПРЕДЕЛЕН. ПРИНЯТ ПО ДОПУЩЕНИЮ 1</v>
      </c>
      <c r="P3301" s="13" t="str">
        <f t="shared" si="361"/>
        <v>ЭТАЖ НЕ ОПРЕДЕЛЕН. ПРИНЯТ ПО ДОПУЩЕНИЮ 1</v>
      </c>
      <c r="Q3301" s="13" t="str">
        <f t="shared" si="362"/>
        <v>ГОТОВ_ИЗМЕНЕН</v>
      </c>
      <c r="R3301" s="13">
        <f>IFERROR(VLOOKUP(P3301,Лист1!A$1:B$20,2,FALSE),0)</f>
        <v>788</v>
      </c>
      <c r="S3301" s="13">
        <f t="shared" si="363"/>
        <v>0</v>
      </c>
    </row>
    <row r="3302" spans="1:19" x14ac:dyDescent="0.25">
      <c r="A3302" s="24" t="s">
        <v>4435</v>
      </c>
      <c r="B3302" s="4" t="s">
        <v>1063</v>
      </c>
      <c r="C3302" s="25" t="s">
        <v>5</v>
      </c>
      <c r="G3302" s="25" t="s">
        <v>1060</v>
      </c>
      <c r="H3302" s="24" t="s">
        <v>1061</v>
      </c>
      <c r="I3302" s="3" t="str">
        <f>IFERROR(VLOOKUP(C3302,'Справочник соответствий'!A$2:D$2981,2,FALSE),IF(VALUE(C3302)=0,1,VLOOKUP(C3302,'Справочник соответствий'!A$2:D$2981,2,FALSE)))</f>
        <v>1</v>
      </c>
      <c r="J3302" s="3">
        <f>IFERROR(VLOOKUP(D3302,'Справочник соответствий'!A$2:D$2981,2,FALSE),IF(VALUE(D3302)=0,0,VLOOKUP(D3302,'Справочник соответствий'!A$2:D$2981,2,FALSE)))</f>
        <v>0</v>
      </c>
      <c r="K3302" s="3" t="str">
        <f t="shared" si="357"/>
        <v>1</v>
      </c>
      <c r="L3302" s="13" t="str">
        <f>IFERROR(VLOOKUP(C3302,'Справочник соответствий'!A$2:D$2981,3,FALSE),IF(VALUE(C3302)=0,"ЭТАЖ НЕ ОПРЕДЕЛЕН. ПРИНЯТ ПО ДОПУЩЕНИЮ 1",VLOOKUP(C3302,'Справочник соответствий'!A$2:D$2981,3,FALSE)))</f>
        <v>ЭТАЖ ЗАДАН ЧИСЛОМ</v>
      </c>
      <c r="M3302" s="13" t="b">
        <f t="shared" si="358"/>
        <v>0</v>
      </c>
      <c r="N3302" s="13">
        <f t="shared" si="359"/>
        <v>1</v>
      </c>
      <c r="O3302" s="13" t="str">
        <f t="shared" si="360"/>
        <v>ЭТАЖ ЗАДАН ЧИСЛОМ</v>
      </c>
      <c r="P3302" s="13" t="str">
        <f t="shared" si="361"/>
        <v>ЭТАЖ ЗАДАН ЧИСЛОМ</v>
      </c>
      <c r="Q3302" s="13" t="str">
        <f t="shared" si="362"/>
        <v>ГОТОВ_ИЗМЕНЕН</v>
      </c>
      <c r="R3302" s="13">
        <f>IFERROR(VLOOKUP(P3302,Лист1!A$1:B$20,2,FALSE),0)</f>
        <v>784</v>
      </c>
      <c r="S3302" s="13">
        <f t="shared" si="363"/>
        <v>0</v>
      </c>
    </row>
    <row r="3303" spans="1:19" x14ac:dyDescent="0.25">
      <c r="A3303" s="24" t="s">
        <v>4436</v>
      </c>
      <c r="B3303" s="4" t="s">
        <v>1063</v>
      </c>
      <c r="C3303" s="25" t="s">
        <v>5</v>
      </c>
      <c r="G3303" s="25" t="s">
        <v>1205</v>
      </c>
      <c r="H3303" s="24" t="s">
        <v>1061</v>
      </c>
      <c r="I3303" s="3" t="str">
        <f>IFERROR(VLOOKUP(C3303,'Справочник соответствий'!A$2:D$2981,2,FALSE),IF(VALUE(C3303)=0,1,VLOOKUP(C3303,'Справочник соответствий'!A$2:D$2981,2,FALSE)))</f>
        <v>1</v>
      </c>
      <c r="J3303" s="3">
        <f>IFERROR(VLOOKUP(D3303,'Справочник соответствий'!A$2:D$2981,2,FALSE),IF(VALUE(D3303)=0,0,VLOOKUP(D3303,'Справочник соответствий'!A$2:D$2981,2,FALSE)))</f>
        <v>0</v>
      </c>
      <c r="K3303" s="3" t="str">
        <f t="shared" si="357"/>
        <v>1</v>
      </c>
      <c r="L3303" s="13" t="str">
        <f>IFERROR(VLOOKUP(C3303,'Справочник соответствий'!A$2:D$2981,3,FALSE),IF(VALUE(C3303)=0,"ЭТАЖ НЕ ОПРЕДЕЛЕН. ПРИНЯТ ПО ДОПУЩЕНИЮ 1",VLOOKUP(C3303,'Справочник соответствий'!A$2:D$2981,3,FALSE)))</f>
        <v>ЭТАЖ ЗАДАН ЧИСЛОМ</v>
      </c>
      <c r="M3303" s="13" t="b">
        <f t="shared" si="358"/>
        <v>0</v>
      </c>
      <c r="N3303" s="13">
        <f t="shared" si="359"/>
        <v>1</v>
      </c>
      <c r="O3303" s="13" t="str">
        <f t="shared" si="360"/>
        <v>ЭТАЖ ЗАДАН ЧИСЛОМ</v>
      </c>
      <c r="P3303" s="13" t="str">
        <f t="shared" si="361"/>
        <v>ЭТАЖ ЗАДАН ЧИСЛОМ</v>
      </c>
      <c r="Q3303" s="13" t="str">
        <f t="shared" si="362"/>
        <v>ГОТОВ_ИЗМЕНЕН</v>
      </c>
      <c r="R3303" s="13">
        <f>IFERROR(VLOOKUP(P3303,Лист1!A$1:B$20,2,FALSE),0)</f>
        <v>784</v>
      </c>
      <c r="S3303" s="13">
        <f t="shared" si="363"/>
        <v>0</v>
      </c>
    </row>
    <row r="3304" spans="1:19" x14ac:dyDescent="0.25">
      <c r="A3304" s="24" t="s">
        <v>4437</v>
      </c>
      <c r="B3304" s="4" t="s">
        <v>1059</v>
      </c>
      <c r="C3304" s="25" t="s">
        <v>7</v>
      </c>
      <c r="G3304" s="25" t="s">
        <v>1096</v>
      </c>
      <c r="H3304" s="24" t="s">
        <v>1061</v>
      </c>
      <c r="I3304" s="3" t="str">
        <f>IFERROR(VLOOKUP(C3304,'Справочник соответствий'!A$2:D$2981,2,FALSE),IF(VALUE(C3304)=0,1,VLOOKUP(C3304,'Справочник соответствий'!A$2:D$2981,2,FALSE)))</f>
        <v>2</v>
      </c>
      <c r="J3304" s="3">
        <f>IFERROR(VLOOKUP(D3304,'Справочник соответствий'!A$2:D$2981,2,FALSE),IF(VALUE(D3304)=0,0,VLOOKUP(D3304,'Справочник соответствий'!A$2:D$2981,2,FALSE)))</f>
        <v>0</v>
      </c>
      <c r="K3304" s="3" t="str">
        <f t="shared" si="357"/>
        <v>2</v>
      </c>
      <c r="L3304" s="13" t="str">
        <f>IFERROR(VLOOKUP(C3304,'Справочник соответствий'!A$2:D$2981,3,FALSE),IF(VALUE(C3304)=0,"ЭТАЖ НЕ ОПРЕДЕЛЕН. ПРИНЯТ ПО ДОПУЩЕНИЮ 1",VLOOKUP(C3304,'Справочник соответствий'!A$2:D$2981,3,FALSE)))</f>
        <v>ЭТАЖ ЗАДАН ЧИСЛОМ</v>
      </c>
      <c r="M3304" s="13" t="b">
        <f t="shared" si="358"/>
        <v>0</v>
      </c>
      <c r="N3304" s="13">
        <f t="shared" si="359"/>
        <v>2</v>
      </c>
      <c r="O3304" s="13" t="str">
        <f t="shared" si="360"/>
        <v>ЭТАЖ ЗАДАН ЧИСЛОМ</v>
      </c>
      <c r="P3304" s="13" t="str">
        <f t="shared" si="361"/>
        <v>ЭТАЖ ЗАДАН ЧИСЛОМ</v>
      </c>
      <c r="Q3304" s="13" t="str">
        <f t="shared" si="362"/>
        <v>ГОТОВ_ИЗМЕНЕН</v>
      </c>
      <c r="R3304" s="13">
        <f>IFERROR(VLOOKUP(P3304,Лист1!A$1:B$20,2,FALSE),0)</f>
        <v>784</v>
      </c>
      <c r="S3304" s="13">
        <f t="shared" si="363"/>
        <v>0</v>
      </c>
    </row>
    <row r="3305" spans="1:19" x14ac:dyDescent="0.25">
      <c r="A3305" s="24" t="s">
        <v>4438</v>
      </c>
      <c r="B3305" s="4" t="s">
        <v>1031</v>
      </c>
      <c r="C3305" s="25" t="s">
        <v>11</v>
      </c>
      <c r="D3305" s="25" t="s">
        <v>5</v>
      </c>
      <c r="G3305" s="25" t="s">
        <v>1108</v>
      </c>
      <c r="H3305" s="24" t="s">
        <v>1061</v>
      </c>
      <c r="I3305" s="3" t="str">
        <f>IFERROR(VLOOKUP(C3305,'Справочник соответствий'!A$2:D$2981,2,FALSE),IF(VALUE(C3305)=0,1,VLOOKUP(C3305,'Справочник соответствий'!A$2:D$2981,2,FALSE)))</f>
        <v>6</v>
      </c>
      <c r="J3305" s="3" t="str">
        <f>IFERROR(VLOOKUP(D3305,'Справочник соответствий'!A$2:D$2981,2,FALSE),IF(VALUE(D3305)=0,0,VLOOKUP(D3305,'Справочник соответствий'!A$2:D$2981,2,FALSE)))</f>
        <v>1</v>
      </c>
      <c r="K3305" s="3">
        <f t="shared" si="357"/>
        <v>5</v>
      </c>
      <c r="L3305" s="13" t="str">
        <f>IFERROR(VLOOKUP(C3305,'Справочник соответствий'!A$2:D$2981,3,FALSE),IF(VALUE(C3305)=0,"ЭТАЖ НЕ ОПРЕДЕЛЕН. ПРИНЯТ ПО ДОПУЩЕНИЮ 1",VLOOKUP(C3305,'Справочник соответствий'!A$2:D$2981,3,FALSE)))</f>
        <v>ЭТАЖ ЗАДАН ЧИСЛОМ</v>
      </c>
      <c r="M3305" s="13" t="b">
        <f t="shared" si="358"/>
        <v>0</v>
      </c>
      <c r="N3305" s="13">
        <f t="shared" si="359"/>
        <v>5</v>
      </c>
      <c r="O3305" s="13" t="str">
        <f t="shared" si="360"/>
        <v>ЭТАЖ ЗАДАН ЧИСЛОМ</v>
      </c>
      <c r="P3305" s="13" t="str">
        <f t="shared" si="361"/>
        <v>МКД_ЭТАЖ ЗАДАН ЧИСЛОМ</v>
      </c>
      <c r="Q3305" s="13" t="str">
        <f t="shared" si="362"/>
        <v>ГОТОВ_ИЗМЕНЕН</v>
      </c>
      <c r="R3305" s="13">
        <f>IFERROR(VLOOKUP(P3305,Лист1!A$1:B$20,2,FALSE),0)</f>
        <v>786</v>
      </c>
      <c r="S3305" s="13">
        <f t="shared" si="363"/>
        <v>0</v>
      </c>
    </row>
    <row r="3306" spans="1:19" x14ac:dyDescent="0.25">
      <c r="A3306" s="24" t="s">
        <v>4439</v>
      </c>
      <c r="B3306" s="4" t="s">
        <v>1059</v>
      </c>
      <c r="C3306" s="25" t="s">
        <v>5</v>
      </c>
      <c r="G3306" s="25" t="s">
        <v>1195</v>
      </c>
      <c r="H3306" s="24" t="s">
        <v>1061</v>
      </c>
      <c r="I3306" s="3" t="str">
        <f>IFERROR(VLOOKUP(C3306,'Справочник соответствий'!A$2:D$2981,2,FALSE),IF(VALUE(C3306)=0,1,VLOOKUP(C3306,'Справочник соответствий'!A$2:D$2981,2,FALSE)))</f>
        <v>1</v>
      </c>
      <c r="J3306" s="3">
        <f>IFERROR(VLOOKUP(D3306,'Справочник соответствий'!A$2:D$2981,2,FALSE),IF(VALUE(D3306)=0,0,VLOOKUP(D3306,'Справочник соответствий'!A$2:D$2981,2,FALSE)))</f>
        <v>0</v>
      </c>
      <c r="K3306" s="3" t="str">
        <f t="shared" si="357"/>
        <v>1</v>
      </c>
      <c r="L3306" s="13" t="str">
        <f>IFERROR(VLOOKUP(C3306,'Справочник соответствий'!A$2:D$2981,3,FALSE),IF(VALUE(C3306)=0,"ЭТАЖ НЕ ОПРЕДЕЛЕН. ПРИНЯТ ПО ДОПУЩЕНИЮ 1",VLOOKUP(C3306,'Справочник соответствий'!A$2:D$2981,3,FALSE)))</f>
        <v>ЭТАЖ ЗАДАН ЧИСЛОМ</v>
      </c>
      <c r="M3306" s="13" t="b">
        <f t="shared" si="358"/>
        <v>0</v>
      </c>
      <c r="N3306" s="13">
        <f t="shared" si="359"/>
        <v>1</v>
      </c>
      <c r="O3306" s="13" t="str">
        <f t="shared" si="360"/>
        <v>ЭТАЖ ЗАДАН ЧИСЛОМ</v>
      </c>
      <c r="P3306" s="13" t="str">
        <f t="shared" si="361"/>
        <v>ЭТАЖ ЗАДАН ЧИСЛОМ</v>
      </c>
      <c r="Q3306" s="13" t="str">
        <f t="shared" si="362"/>
        <v>ГОТОВ_ИЗМЕНЕН</v>
      </c>
      <c r="R3306" s="13">
        <f>IFERROR(VLOOKUP(P3306,Лист1!A$1:B$20,2,FALSE),0)</f>
        <v>784</v>
      </c>
      <c r="S3306" s="13">
        <f t="shared" si="363"/>
        <v>0</v>
      </c>
    </row>
    <row r="3307" spans="1:19" x14ac:dyDescent="0.25">
      <c r="A3307" s="24" t="s">
        <v>4440</v>
      </c>
      <c r="B3307" s="4" t="s">
        <v>1063</v>
      </c>
      <c r="C3307" s="25" t="s">
        <v>5</v>
      </c>
      <c r="G3307" s="25" t="s">
        <v>1698</v>
      </c>
      <c r="H3307" s="24" t="s">
        <v>1061</v>
      </c>
      <c r="I3307" s="3" t="str">
        <f>IFERROR(VLOOKUP(C3307,'Справочник соответствий'!A$2:D$2981,2,FALSE),IF(VALUE(C3307)=0,1,VLOOKUP(C3307,'Справочник соответствий'!A$2:D$2981,2,FALSE)))</f>
        <v>1</v>
      </c>
      <c r="J3307" s="3">
        <f>IFERROR(VLOOKUP(D3307,'Справочник соответствий'!A$2:D$2981,2,FALSE),IF(VALUE(D3307)=0,0,VLOOKUP(D3307,'Справочник соответствий'!A$2:D$2981,2,FALSE)))</f>
        <v>0</v>
      </c>
      <c r="K3307" s="3" t="str">
        <f t="shared" si="357"/>
        <v>1</v>
      </c>
      <c r="L3307" s="13" t="str">
        <f>IFERROR(VLOOKUP(C3307,'Справочник соответствий'!A$2:D$2981,3,FALSE),IF(VALUE(C3307)=0,"ЭТАЖ НЕ ОПРЕДЕЛЕН. ПРИНЯТ ПО ДОПУЩЕНИЮ 1",VLOOKUP(C3307,'Справочник соответствий'!A$2:D$2981,3,FALSE)))</f>
        <v>ЭТАЖ ЗАДАН ЧИСЛОМ</v>
      </c>
      <c r="M3307" s="13" t="b">
        <f t="shared" si="358"/>
        <v>0</v>
      </c>
      <c r="N3307" s="13">
        <f t="shared" si="359"/>
        <v>1</v>
      </c>
      <c r="O3307" s="13" t="str">
        <f t="shared" si="360"/>
        <v>ЭТАЖ ЗАДАН ЧИСЛОМ</v>
      </c>
      <c r="P3307" s="13" t="str">
        <f t="shared" si="361"/>
        <v>ЭТАЖ ЗАДАН ЧИСЛОМ</v>
      </c>
      <c r="Q3307" s="13" t="str">
        <f t="shared" si="362"/>
        <v>ГОТОВ_ИЗМЕНЕН</v>
      </c>
      <c r="R3307" s="13">
        <f>IFERROR(VLOOKUP(P3307,Лист1!A$1:B$20,2,FALSE),0)</f>
        <v>784</v>
      </c>
      <c r="S3307" s="13">
        <f t="shared" si="363"/>
        <v>0</v>
      </c>
    </row>
    <row r="3308" spans="1:19" x14ac:dyDescent="0.25">
      <c r="A3308" s="24" t="s">
        <v>4441</v>
      </c>
      <c r="B3308" s="4" t="s">
        <v>1063</v>
      </c>
      <c r="C3308" s="25" t="s">
        <v>5</v>
      </c>
      <c r="G3308" s="25" t="s">
        <v>1096</v>
      </c>
      <c r="H3308" s="24" t="s">
        <v>1061</v>
      </c>
      <c r="I3308" s="3" t="str">
        <f>IFERROR(VLOOKUP(C3308,'Справочник соответствий'!A$2:D$2981,2,FALSE),IF(VALUE(C3308)=0,1,VLOOKUP(C3308,'Справочник соответствий'!A$2:D$2981,2,FALSE)))</f>
        <v>1</v>
      </c>
      <c r="J3308" s="3">
        <f>IFERROR(VLOOKUP(D3308,'Справочник соответствий'!A$2:D$2981,2,FALSE),IF(VALUE(D3308)=0,0,VLOOKUP(D3308,'Справочник соответствий'!A$2:D$2981,2,FALSE)))</f>
        <v>0</v>
      </c>
      <c r="K3308" s="3" t="str">
        <f t="shared" si="357"/>
        <v>1</v>
      </c>
      <c r="L3308" s="13" t="str">
        <f>IFERROR(VLOOKUP(C3308,'Справочник соответствий'!A$2:D$2981,3,FALSE),IF(VALUE(C3308)=0,"ЭТАЖ НЕ ОПРЕДЕЛЕН. ПРИНЯТ ПО ДОПУЩЕНИЮ 1",VLOOKUP(C3308,'Справочник соответствий'!A$2:D$2981,3,FALSE)))</f>
        <v>ЭТАЖ ЗАДАН ЧИСЛОМ</v>
      </c>
      <c r="M3308" s="13" t="b">
        <f t="shared" si="358"/>
        <v>0</v>
      </c>
      <c r="N3308" s="13">
        <f t="shared" si="359"/>
        <v>1</v>
      </c>
      <c r="O3308" s="13" t="str">
        <f t="shared" si="360"/>
        <v>ЭТАЖ ЗАДАН ЧИСЛОМ</v>
      </c>
      <c r="P3308" s="13" t="str">
        <f t="shared" si="361"/>
        <v>ЭТАЖ ЗАДАН ЧИСЛОМ</v>
      </c>
      <c r="Q3308" s="13" t="str">
        <f t="shared" si="362"/>
        <v>ГОТОВ_ИЗМЕНЕН</v>
      </c>
      <c r="R3308" s="13">
        <f>IFERROR(VLOOKUP(P3308,Лист1!A$1:B$20,2,FALSE),0)</f>
        <v>784</v>
      </c>
      <c r="S3308" s="13">
        <f t="shared" si="363"/>
        <v>0</v>
      </c>
    </row>
    <row r="3309" spans="1:19" x14ac:dyDescent="0.25">
      <c r="A3309" s="24" t="s">
        <v>4442</v>
      </c>
      <c r="B3309" s="4" t="s">
        <v>1059</v>
      </c>
      <c r="C3309" s="25" t="s">
        <v>5</v>
      </c>
      <c r="G3309" s="25" t="s">
        <v>1096</v>
      </c>
      <c r="H3309" s="24" t="s">
        <v>1061</v>
      </c>
      <c r="I3309" s="3" t="str">
        <f>IFERROR(VLOOKUP(C3309,'Справочник соответствий'!A$2:D$2981,2,FALSE),IF(VALUE(C3309)=0,1,VLOOKUP(C3309,'Справочник соответствий'!A$2:D$2981,2,FALSE)))</f>
        <v>1</v>
      </c>
      <c r="J3309" s="3">
        <f>IFERROR(VLOOKUP(D3309,'Справочник соответствий'!A$2:D$2981,2,FALSE),IF(VALUE(D3309)=0,0,VLOOKUP(D3309,'Справочник соответствий'!A$2:D$2981,2,FALSE)))</f>
        <v>0</v>
      </c>
      <c r="K3309" s="3" t="str">
        <f t="shared" si="357"/>
        <v>1</v>
      </c>
      <c r="L3309" s="13" t="str">
        <f>IFERROR(VLOOKUP(C3309,'Справочник соответствий'!A$2:D$2981,3,FALSE),IF(VALUE(C3309)=0,"ЭТАЖ НЕ ОПРЕДЕЛЕН. ПРИНЯТ ПО ДОПУЩЕНИЮ 1",VLOOKUP(C3309,'Справочник соответствий'!A$2:D$2981,3,FALSE)))</f>
        <v>ЭТАЖ ЗАДАН ЧИСЛОМ</v>
      </c>
      <c r="M3309" s="13" t="b">
        <f t="shared" si="358"/>
        <v>0</v>
      </c>
      <c r="N3309" s="13">
        <f t="shared" si="359"/>
        <v>1</v>
      </c>
      <c r="O3309" s="13" t="str">
        <f t="shared" si="360"/>
        <v>ЭТАЖ ЗАДАН ЧИСЛОМ</v>
      </c>
      <c r="P3309" s="13" t="str">
        <f t="shared" si="361"/>
        <v>ЭТАЖ ЗАДАН ЧИСЛОМ</v>
      </c>
      <c r="Q3309" s="13" t="str">
        <f t="shared" si="362"/>
        <v>ГОТОВ_ИЗМЕНЕН</v>
      </c>
      <c r="R3309" s="13">
        <f>IFERROR(VLOOKUP(P3309,Лист1!A$1:B$20,2,FALSE),0)</f>
        <v>784</v>
      </c>
      <c r="S3309" s="13">
        <f t="shared" si="363"/>
        <v>0</v>
      </c>
    </row>
    <row r="3310" spans="1:19" x14ac:dyDescent="0.25">
      <c r="A3310" s="24" t="s">
        <v>4443</v>
      </c>
      <c r="B3310" s="4" t="s">
        <v>1059</v>
      </c>
      <c r="C3310" s="25" t="s">
        <v>5</v>
      </c>
      <c r="G3310" s="25" t="s">
        <v>1096</v>
      </c>
      <c r="H3310" s="24" t="s">
        <v>1061</v>
      </c>
      <c r="I3310" s="3" t="str">
        <f>IFERROR(VLOOKUP(C3310,'Справочник соответствий'!A$2:D$2981,2,FALSE),IF(VALUE(C3310)=0,1,VLOOKUP(C3310,'Справочник соответствий'!A$2:D$2981,2,FALSE)))</f>
        <v>1</v>
      </c>
      <c r="J3310" s="3">
        <f>IFERROR(VLOOKUP(D3310,'Справочник соответствий'!A$2:D$2981,2,FALSE),IF(VALUE(D3310)=0,0,VLOOKUP(D3310,'Справочник соответствий'!A$2:D$2981,2,FALSE)))</f>
        <v>0</v>
      </c>
      <c r="K3310" s="3" t="str">
        <f t="shared" si="357"/>
        <v>1</v>
      </c>
      <c r="L3310" s="13" t="str">
        <f>IFERROR(VLOOKUP(C3310,'Справочник соответствий'!A$2:D$2981,3,FALSE),IF(VALUE(C3310)=0,"ЭТАЖ НЕ ОПРЕДЕЛЕН. ПРИНЯТ ПО ДОПУЩЕНИЮ 1",VLOOKUP(C3310,'Справочник соответствий'!A$2:D$2981,3,FALSE)))</f>
        <v>ЭТАЖ ЗАДАН ЧИСЛОМ</v>
      </c>
      <c r="M3310" s="13" t="b">
        <f t="shared" si="358"/>
        <v>0</v>
      </c>
      <c r="N3310" s="13">
        <f t="shared" si="359"/>
        <v>1</v>
      </c>
      <c r="O3310" s="13" t="str">
        <f t="shared" si="360"/>
        <v>ЭТАЖ ЗАДАН ЧИСЛОМ</v>
      </c>
      <c r="P3310" s="13" t="str">
        <f t="shared" si="361"/>
        <v>ЭТАЖ ЗАДАН ЧИСЛОМ</v>
      </c>
      <c r="Q3310" s="13" t="str">
        <f t="shared" si="362"/>
        <v>ГОТОВ_ИЗМЕНЕН</v>
      </c>
      <c r="R3310" s="13">
        <f>IFERROR(VLOOKUP(P3310,Лист1!A$1:B$20,2,FALSE),0)</f>
        <v>784</v>
      </c>
      <c r="S3310" s="13">
        <f t="shared" si="363"/>
        <v>0</v>
      </c>
    </row>
    <row r="3311" spans="1:19" x14ac:dyDescent="0.25">
      <c r="A3311" s="24" t="s">
        <v>4444</v>
      </c>
      <c r="B3311" s="4" t="s">
        <v>1059</v>
      </c>
      <c r="C3311" s="25" t="s">
        <v>7</v>
      </c>
      <c r="G3311" s="25" t="s">
        <v>1096</v>
      </c>
      <c r="H3311" s="24" t="s">
        <v>1061</v>
      </c>
      <c r="I3311" s="3" t="str">
        <f>IFERROR(VLOOKUP(C3311,'Справочник соответствий'!A$2:D$2981,2,FALSE),IF(VALUE(C3311)=0,1,VLOOKUP(C3311,'Справочник соответствий'!A$2:D$2981,2,FALSE)))</f>
        <v>2</v>
      </c>
      <c r="J3311" s="3">
        <f>IFERROR(VLOOKUP(D3311,'Справочник соответствий'!A$2:D$2981,2,FALSE),IF(VALUE(D3311)=0,0,VLOOKUP(D3311,'Справочник соответствий'!A$2:D$2981,2,FALSE)))</f>
        <v>0</v>
      </c>
      <c r="K3311" s="3" t="str">
        <f t="shared" si="357"/>
        <v>2</v>
      </c>
      <c r="L3311" s="13" t="str">
        <f>IFERROR(VLOOKUP(C3311,'Справочник соответствий'!A$2:D$2981,3,FALSE),IF(VALUE(C3311)=0,"ЭТАЖ НЕ ОПРЕДЕЛЕН. ПРИНЯТ ПО ДОПУЩЕНИЮ 1",VLOOKUP(C3311,'Справочник соответствий'!A$2:D$2981,3,FALSE)))</f>
        <v>ЭТАЖ ЗАДАН ЧИСЛОМ</v>
      </c>
      <c r="M3311" s="13" t="b">
        <f t="shared" si="358"/>
        <v>0</v>
      </c>
      <c r="N3311" s="13">
        <f t="shared" si="359"/>
        <v>2</v>
      </c>
      <c r="O3311" s="13" t="str">
        <f t="shared" si="360"/>
        <v>ЭТАЖ ЗАДАН ЧИСЛОМ</v>
      </c>
      <c r="P3311" s="13" t="str">
        <f t="shared" si="361"/>
        <v>ЭТАЖ ЗАДАН ЧИСЛОМ</v>
      </c>
      <c r="Q3311" s="13" t="str">
        <f t="shared" si="362"/>
        <v>ГОТОВ_ИЗМЕНЕН</v>
      </c>
      <c r="R3311" s="13">
        <f>IFERROR(VLOOKUP(P3311,Лист1!A$1:B$20,2,FALSE),0)</f>
        <v>784</v>
      </c>
      <c r="S3311" s="13">
        <f t="shared" si="363"/>
        <v>0</v>
      </c>
    </row>
    <row r="3312" spans="1:19" x14ac:dyDescent="0.25">
      <c r="A3312" s="24" t="s">
        <v>4445</v>
      </c>
      <c r="B3312" s="4" t="s">
        <v>1059</v>
      </c>
      <c r="C3312" s="25" t="s">
        <v>8</v>
      </c>
      <c r="D3312" s="25" t="s">
        <v>5</v>
      </c>
      <c r="G3312" s="25" t="s">
        <v>1096</v>
      </c>
      <c r="H3312" s="24" t="s">
        <v>1061</v>
      </c>
      <c r="I3312" s="3" t="str">
        <f>IFERROR(VLOOKUP(C3312,'Справочник соответствий'!A$2:D$2981,2,FALSE),IF(VALUE(C3312)=0,1,VLOOKUP(C3312,'Справочник соответствий'!A$2:D$2981,2,FALSE)))</f>
        <v>3</v>
      </c>
      <c r="J3312" s="3" t="str">
        <f>IFERROR(VLOOKUP(D3312,'Справочник соответствий'!A$2:D$2981,2,FALSE),IF(VALUE(D3312)=0,0,VLOOKUP(D3312,'Справочник соответствий'!A$2:D$2981,2,FALSE)))</f>
        <v>1</v>
      </c>
      <c r="K3312" s="3" t="str">
        <f t="shared" si="357"/>
        <v>3</v>
      </c>
      <c r="L3312" s="13" t="str">
        <f>IFERROR(VLOOKUP(C3312,'Справочник соответствий'!A$2:D$2981,3,FALSE),IF(VALUE(C3312)=0,"ЭТАЖ НЕ ОПРЕДЕЛЕН. ПРИНЯТ ПО ДОПУЩЕНИЮ 1",VLOOKUP(C3312,'Справочник соответствий'!A$2:D$2981,3,FALSE)))</f>
        <v>ЭТАЖ ЗАДАН ЧИСЛОМ</v>
      </c>
      <c r="M3312" s="13" t="b">
        <f t="shared" si="358"/>
        <v>0</v>
      </c>
      <c r="N3312" s="13">
        <f t="shared" si="359"/>
        <v>3</v>
      </c>
      <c r="O3312" s="13" t="str">
        <f t="shared" si="360"/>
        <v>ЭТАЖ ЗАДАН ЧИСЛОМ</v>
      </c>
      <c r="P3312" s="13" t="str">
        <f t="shared" si="361"/>
        <v>ЭТАЖ ЗАДАН ЧИСЛОМ</v>
      </c>
      <c r="Q3312" s="13" t="str">
        <f t="shared" si="362"/>
        <v>ГОТОВ_ИЗМЕНЕН</v>
      </c>
      <c r="R3312" s="13">
        <f>IFERROR(VLOOKUP(P3312,Лист1!A$1:B$20,2,FALSE),0)</f>
        <v>784</v>
      </c>
      <c r="S3312" s="13">
        <f t="shared" si="363"/>
        <v>0</v>
      </c>
    </row>
    <row r="3313" spans="1:19" x14ac:dyDescent="0.25">
      <c r="A3313" s="24" t="s">
        <v>4446</v>
      </c>
      <c r="B3313" s="4" t="s">
        <v>1059</v>
      </c>
      <c r="C3313" s="25" t="s">
        <v>5</v>
      </c>
      <c r="G3313" s="25" t="s">
        <v>3185</v>
      </c>
      <c r="H3313" s="24" t="s">
        <v>1061</v>
      </c>
      <c r="I3313" s="3" t="str">
        <f>IFERROR(VLOOKUP(C3313,'Справочник соответствий'!A$2:D$2981,2,FALSE),IF(VALUE(C3313)=0,1,VLOOKUP(C3313,'Справочник соответствий'!A$2:D$2981,2,FALSE)))</f>
        <v>1</v>
      </c>
      <c r="J3313" s="3">
        <f>IFERROR(VLOOKUP(D3313,'Справочник соответствий'!A$2:D$2981,2,FALSE),IF(VALUE(D3313)=0,0,VLOOKUP(D3313,'Справочник соответствий'!A$2:D$2981,2,FALSE)))</f>
        <v>0</v>
      </c>
      <c r="K3313" s="3" t="str">
        <f t="shared" si="357"/>
        <v>1</v>
      </c>
      <c r="L3313" s="13" t="str">
        <f>IFERROR(VLOOKUP(C3313,'Справочник соответствий'!A$2:D$2981,3,FALSE),IF(VALUE(C3313)=0,"ЭТАЖ НЕ ОПРЕДЕЛЕН. ПРИНЯТ ПО ДОПУЩЕНИЮ 1",VLOOKUP(C3313,'Справочник соответствий'!A$2:D$2981,3,FALSE)))</f>
        <v>ЭТАЖ ЗАДАН ЧИСЛОМ</v>
      </c>
      <c r="M3313" s="13" t="b">
        <f t="shared" si="358"/>
        <v>0</v>
      </c>
      <c r="N3313" s="13">
        <f t="shared" si="359"/>
        <v>1</v>
      </c>
      <c r="O3313" s="13" t="str">
        <f t="shared" si="360"/>
        <v>ЭТАЖ ЗАДАН ЧИСЛОМ</v>
      </c>
      <c r="P3313" s="13" t="str">
        <f t="shared" si="361"/>
        <v>ЭТАЖ ЗАДАН ЧИСЛОМ</v>
      </c>
      <c r="Q3313" s="13" t="str">
        <f t="shared" si="362"/>
        <v>ГОТОВ_ИЗМЕНЕН</v>
      </c>
      <c r="R3313" s="13">
        <f>IFERROR(VLOOKUP(P3313,Лист1!A$1:B$20,2,FALSE),0)</f>
        <v>784</v>
      </c>
      <c r="S3313" s="13">
        <f t="shared" si="363"/>
        <v>0</v>
      </c>
    </row>
    <row r="3314" spans="1:19" x14ac:dyDescent="0.25">
      <c r="A3314" s="24" t="s">
        <v>4447</v>
      </c>
      <c r="B3314" s="4" t="s">
        <v>1031</v>
      </c>
      <c r="C3314" s="25" t="s">
        <v>8</v>
      </c>
      <c r="G3314" s="25" t="s">
        <v>3185</v>
      </c>
      <c r="H3314" s="24" t="s">
        <v>1061</v>
      </c>
      <c r="I3314" s="3" t="str">
        <f>IFERROR(VLOOKUP(C3314,'Справочник соответствий'!A$2:D$2981,2,FALSE),IF(VALUE(C3314)=0,1,VLOOKUP(C3314,'Справочник соответствий'!A$2:D$2981,2,FALSE)))</f>
        <v>3</v>
      </c>
      <c r="J3314" s="3">
        <f>IFERROR(VLOOKUP(D3314,'Справочник соответствий'!A$2:D$2981,2,FALSE),IF(VALUE(D3314)=0,0,VLOOKUP(D3314,'Справочник соответствий'!A$2:D$2981,2,FALSE)))</f>
        <v>0</v>
      </c>
      <c r="K3314" s="3">
        <f t="shared" si="357"/>
        <v>3</v>
      </c>
      <c r="L3314" s="13" t="str">
        <f>IFERROR(VLOOKUP(C3314,'Справочник соответствий'!A$2:D$2981,3,FALSE),IF(VALUE(C3314)=0,"ЭТАЖ НЕ ОПРЕДЕЛЕН. ПРИНЯТ ПО ДОПУЩЕНИЮ 1",VLOOKUP(C3314,'Справочник соответствий'!A$2:D$2981,3,FALSE)))</f>
        <v>ЭТАЖ ЗАДАН ЧИСЛОМ</v>
      </c>
      <c r="M3314" s="13" t="b">
        <f t="shared" si="358"/>
        <v>0</v>
      </c>
      <c r="N3314" s="13">
        <f t="shared" si="359"/>
        <v>3</v>
      </c>
      <c r="O3314" s="13" t="str">
        <f t="shared" si="360"/>
        <v>ЭТАЖ ЗАДАН ЧИСЛОМ</v>
      </c>
      <c r="P3314" s="13" t="str">
        <f t="shared" si="361"/>
        <v>МКД_ЭТАЖ ЗАДАН ЧИСЛОМ</v>
      </c>
      <c r="Q3314" s="13" t="str">
        <f t="shared" si="362"/>
        <v>ГОТОВ_ИЗМЕНЕН</v>
      </c>
      <c r="R3314" s="13">
        <f>IFERROR(VLOOKUP(P3314,Лист1!A$1:B$20,2,FALSE),0)</f>
        <v>786</v>
      </c>
      <c r="S3314" s="13">
        <f t="shared" si="363"/>
        <v>0</v>
      </c>
    </row>
    <row r="3315" spans="1:19" x14ac:dyDescent="0.25">
      <c r="A3315" s="24" t="s">
        <v>4448</v>
      </c>
      <c r="B3315" s="4" t="s">
        <v>1059</v>
      </c>
      <c r="C3315" s="25" t="s">
        <v>7</v>
      </c>
      <c r="G3315" s="25" t="s">
        <v>1069</v>
      </c>
      <c r="H3315" s="24" t="s">
        <v>1061</v>
      </c>
      <c r="I3315" s="3" t="str">
        <f>IFERROR(VLOOKUP(C3315,'Справочник соответствий'!A$2:D$2981,2,FALSE),IF(VALUE(C3315)=0,1,VLOOKUP(C3315,'Справочник соответствий'!A$2:D$2981,2,FALSE)))</f>
        <v>2</v>
      </c>
      <c r="J3315" s="3">
        <f>IFERROR(VLOOKUP(D3315,'Справочник соответствий'!A$2:D$2981,2,FALSE),IF(VALUE(D3315)=0,0,VLOOKUP(D3315,'Справочник соответствий'!A$2:D$2981,2,FALSE)))</f>
        <v>0</v>
      </c>
      <c r="K3315" s="3" t="str">
        <f t="shared" si="357"/>
        <v>2</v>
      </c>
      <c r="L3315" s="13" t="str">
        <f>IFERROR(VLOOKUP(C3315,'Справочник соответствий'!A$2:D$2981,3,FALSE),IF(VALUE(C3315)=0,"ЭТАЖ НЕ ОПРЕДЕЛЕН. ПРИНЯТ ПО ДОПУЩЕНИЮ 1",VLOOKUP(C3315,'Справочник соответствий'!A$2:D$2981,3,FALSE)))</f>
        <v>ЭТАЖ ЗАДАН ЧИСЛОМ</v>
      </c>
      <c r="M3315" s="13" t="b">
        <f t="shared" si="358"/>
        <v>0</v>
      </c>
      <c r="N3315" s="13">
        <f t="shared" si="359"/>
        <v>2</v>
      </c>
      <c r="O3315" s="13" t="str">
        <f t="shared" si="360"/>
        <v>ЭТАЖ ЗАДАН ЧИСЛОМ</v>
      </c>
      <c r="P3315" s="13" t="str">
        <f t="shared" si="361"/>
        <v>ЭТАЖ ЗАДАН ЧИСЛОМ</v>
      </c>
      <c r="Q3315" s="13" t="str">
        <f t="shared" si="362"/>
        <v>ГОТОВ_ИЗМЕНЕН</v>
      </c>
      <c r="R3315" s="13">
        <f>IFERROR(VLOOKUP(P3315,Лист1!A$1:B$20,2,FALSE),0)</f>
        <v>784</v>
      </c>
      <c r="S3315" s="13">
        <f t="shared" si="363"/>
        <v>0</v>
      </c>
    </row>
    <row r="3316" spans="1:19" x14ac:dyDescent="0.25">
      <c r="A3316" s="24" t="s">
        <v>4449</v>
      </c>
      <c r="B3316" s="4" t="s">
        <v>1063</v>
      </c>
      <c r="G3316" s="25" t="s">
        <v>3185</v>
      </c>
      <c r="H3316" s="24" t="s">
        <v>1061</v>
      </c>
      <c r="I3316" s="3">
        <f>IFERROR(VLOOKUP(C3316,'Справочник соответствий'!A$2:D$2981,2,FALSE),IF(VALUE(C3316)=0,1,VLOOKUP(C3316,'Справочник соответствий'!A$2:D$2981,2,FALSE)))</f>
        <v>1</v>
      </c>
      <c r="J3316" s="3">
        <f>IFERROR(VLOOKUP(D3316,'Справочник соответствий'!A$2:D$2981,2,FALSE),IF(VALUE(D3316)=0,0,VLOOKUP(D3316,'Справочник соответствий'!A$2:D$2981,2,FALSE)))</f>
        <v>0</v>
      </c>
      <c r="K3316" s="3">
        <f t="shared" si="357"/>
        <v>1</v>
      </c>
      <c r="L3316" s="13" t="str">
        <f>IFERROR(VLOOKUP(C3316,'Справочник соответствий'!A$2:D$2981,3,FALSE),IF(VALUE(C3316)=0,"ЭТАЖ НЕ ОПРЕДЕЛЕН. ПРИНЯТ ПО ДОПУЩЕНИЮ 1",VLOOKUP(C3316,'Справочник соответствий'!A$2:D$2981,3,FALSE)))</f>
        <v>ЭТАЖ НЕ ОПРЕДЕЛЕН. ПРИНЯТ ПО ДОПУЩЕНИЮ 1</v>
      </c>
      <c r="M3316" s="13" t="b">
        <f t="shared" si="358"/>
        <v>0</v>
      </c>
      <c r="N3316" s="13">
        <f t="shared" si="359"/>
        <v>1</v>
      </c>
      <c r="O3316" s="13" t="str">
        <f t="shared" si="360"/>
        <v>ЭТАЖ НЕ ОПРЕДЕЛЕН. ПРИНЯТ ПО ДОПУЩЕНИЮ 1</v>
      </c>
      <c r="P3316" s="13" t="str">
        <f t="shared" si="361"/>
        <v>ЭТАЖ НЕ ОПРЕДЕЛЕН. ПРИНЯТ ПО ДОПУЩЕНИЮ 1</v>
      </c>
      <c r="Q3316" s="13" t="str">
        <f t="shared" si="362"/>
        <v>ГОТОВ_ИЗМЕНЕН</v>
      </c>
      <c r="R3316" s="13">
        <f>IFERROR(VLOOKUP(P3316,Лист1!A$1:B$20,2,FALSE),0)</f>
        <v>788</v>
      </c>
      <c r="S3316" s="13">
        <f t="shared" si="363"/>
        <v>0</v>
      </c>
    </row>
    <row r="3317" spans="1:19" x14ac:dyDescent="0.25">
      <c r="A3317" s="24" t="s">
        <v>4450</v>
      </c>
      <c r="B3317" s="4" t="s">
        <v>1063</v>
      </c>
      <c r="C3317" s="25" t="s">
        <v>5</v>
      </c>
      <c r="G3317" s="25" t="s">
        <v>1075</v>
      </c>
      <c r="H3317" s="24" t="s">
        <v>1061</v>
      </c>
      <c r="I3317" s="3" t="str">
        <f>IFERROR(VLOOKUP(C3317,'Справочник соответствий'!A$2:D$2981,2,FALSE),IF(VALUE(C3317)=0,1,VLOOKUP(C3317,'Справочник соответствий'!A$2:D$2981,2,FALSE)))</f>
        <v>1</v>
      </c>
      <c r="J3317" s="3">
        <f>IFERROR(VLOOKUP(D3317,'Справочник соответствий'!A$2:D$2981,2,FALSE),IF(VALUE(D3317)=0,0,VLOOKUP(D3317,'Справочник соответствий'!A$2:D$2981,2,FALSE)))</f>
        <v>0</v>
      </c>
      <c r="K3317" s="3" t="str">
        <f t="shared" si="357"/>
        <v>1</v>
      </c>
      <c r="L3317" s="13" t="str">
        <f>IFERROR(VLOOKUP(C3317,'Справочник соответствий'!A$2:D$2981,3,FALSE),IF(VALUE(C3317)=0,"ЭТАЖ НЕ ОПРЕДЕЛЕН. ПРИНЯТ ПО ДОПУЩЕНИЮ 1",VLOOKUP(C3317,'Справочник соответствий'!A$2:D$2981,3,FALSE)))</f>
        <v>ЭТАЖ ЗАДАН ЧИСЛОМ</v>
      </c>
      <c r="M3317" s="13" t="b">
        <f t="shared" si="358"/>
        <v>0</v>
      </c>
      <c r="N3317" s="13">
        <f t="shared" si="359"/>
        <v>1</v>
      </c>
      <c r="O3317" s="13" t="str">
        <f t="shared" si="360"/>
        <v>ЭТАЖ ЗАДАН ЧИСЛОМ</v>
      </c>
      <c r="P3317" s="13" t="str">
        <f t="shared" si="361"/>
        <v>ЭТАЖ ЗАДАН ЧИСЛОМ</v>
      </c>
      <c r="Q3317" s="13" t="str">
        <f t="shared" si="362"/>
        <v>ГОТОВ_ИЗМЕНЕН</v>
      </c>
      <c r="R3317" s="13">
        <f>IFERROR(VLOOKUP(P3317,Лист1!A$1:B$20,2,FALSE),0)</f>
        <v>784</v>
      </c>
      <c r="S3317" s="13">
        <f t="shared" si="363"/>
        <v>0</v>
      </c>
    </row>
    <row r="3318" spans="1:19" x14ac:dyDescent="0.25">
      <c r="A3318" s="24" t="s">
        <v>4451</v>
      </c>
      <c r="B3318" s="4" t="s">
        <v>1059</v>
      </c>
      <c r="C3318" s="25" t="s">
        <v>7</v>
      </c>
      <c r="G3318" s="25" t="s">
        <v>1321</v>
      </c>
      <c r="H3318" s="24" t="s">
        <v>1061</v>
      </c>
      <c r="I3318" s="3" t="str">
        <f>IFERROR(VLOOKUP(C3318,'Справочник соответствий'!A$2:D$2981,2,FALSE),IF(VALUE(C3318)=0,1,VLOOKUP(C3318,'Справочник соответствий'!A$2:D$2981,2,FALSE)))</f>
        <v>2</v>
      </c>
      <c r="J3318" s="3">
        <f>IFERROR(VLOOKUP(D3318,'Справочник соответствий'!A$2:D$2981,2,FALSE),IF(VALUE(D3318)=0,0,VLOOKUP(D3318,'Справочник соответствий'!A$2:D$2981,2,FALSE)))</f>
        <v>0</v>
      </c>
      <c r="K3318" s="3" t="str">
        <f t="shared" si="357"/>
        <v>2</v>
      </c>
      <c r="L3318" s="13" t="str">
        <f>IFERROR(VLOOKUP(C3318,'Справочник соответствий'!A$2:D$2981,3,FALSE),IF(VALUE(C3318)=0,"ЭТАЖ НЕ ОПРЕДЕЛЕН. ПРИНЯТ ПО ДОПУЩЕНИЮ 1",VLOOKUP(C3318,'Справочник соответствий'!A$2:D$2981,3,FALSE)))</f>
        <v>ЭТАЖ ЗАДАН ЧИСЛОМ</v>
      </c>
      <c r="M3318" s="13" t="b">
        <f t="shared" si="358"/>
        <v>0</v>
      </c>
      <c r="N3318" s="13">
        <f t="shared" si="359"/>
        <v>2</v>
      </c>
      <c r="O3318" s="13" t="str">
        <f t="shared" si="360"/>
        <v>ЭТАЖ ЗАДАН ЧИСЛОМ</v>
      </c>
      <c r="P3318" s="13" t="str">
        <f t="shared" si="361"/>
        <v>ЭТАЖ ЗАДАН ЧИСЛОМ</v>
      </c>
      <c r="Q3318" s="13" t="str">
        <f t="shared" si="362"/>
        <v>ГОТОВ_ИЗМЕНЕН</v>
      </c>
      <c r="R3318" s="13">
        <f>IFERROR(VLOOKUP(P3318,Лист1!A$1:B$20,2,FALSE),0)</f>
        <v>784</v>
      </c>
      <c r="S3318" s="13">
        <f t="shared" si="363"/>
        <v>0</v>
      </c>
    </row>
    <row r="3319" spans="1:19" x14ac:dyDescent="0.25">
      <c r="A3319" s="24" t="s">
        <v>4452</v>
      </c>
      <c r="B3319" s="4" t="s">
        <v>1059</v>
      </c>
      <c r="C3319" s="25" t="s">
        <v>5</v>
      </c>
      <c r="G3319" s="25" t="s">
        <v>1075</v>
      </c>
      <c r="H3319" s="24" t="s">
        <v>1061</v>
      </c>
      <c r="I3319" s="3" t="str">
        <f>IFERROR(VLOOKUP(C3319,'Справочник соответствий'!A$2:D$2981,2,FALSE),IF(VALUE(C3319)=0,1,VLOOKUP(C3319,'Справочник соответствий'!A$2:D$2981,2,FALSE)))</f>
        <v>1</v>
      </c>
      <c r="J3319" s="3">
        <f>IFERROR(VLOOKUP(D3319,'Справочник соответствий'!A$2:D$2981,2,FALSE),IF(VALUE(D3319)=0,0,VLOOKUP(D3319,'Справочник соответствий'!A$2:D$2981,2,FALSE)))</f>
        <v>0</v>
      </c>
      <c r="K3319" s="3" t="str">
        <f t="shared" si="357"/>
        <v>1</v>
      </c>
      <c r="L3319" s="13" t="str">
        <f>IFERROR(VLOOKUP(C3319,'Справочник соответствий'!A$2:D$2981,3,FALSE),IF(VALUE(C3319)=0,"ЭТАЖ НЕ ОПРЕДЕЛЕН. ПРИНЯТ ПО ДОПУЩЕНИЮ 1",VLOOKUP(C3319,'Справочник соответствий'!A$2:D$2981,3,FALSE)))</f>
        <v>ЭТАЖ ЗАДАН ЧИСЛОМ</v>
      </c>
      <c r="M3319" s="13" t="b">
        <f t="shared" si="358"/>
        <v>0</v>
      </c>
      <c r="N3319" s="13">
        <f t="shared" si="359"/>
        <v>1</v>
      </c>
      <c r="O3319" s="13" t="str">
        <f t="shared" si="360"/>
        <v>ЭТАЖ ЗАДАН ЧИСЛОМ</v>
      </c>
      <c r="P3319" s="13" t="str">
        <f t="shared" si="361"/>
        <v>ЭТАЖ ЗАДАН ЧИСЛОМ</v>
      </c>
      <c r="Q3319" s="13" t="str">
        <f t="shared" si="362"/>
        <v>ГОТОВ_ИЗМЕНЕН</v>
      </c>
      <c r="R3319" s="13">
        <f>IFERROR(VLOOKUP(P3319,Лист1!A$1:B$20,2,FALSE),0)</f>
        <v>784</v>
      </c>
      <c r="S3319" s="13">
        <f t="shared" si="363"/>
        <v>0</v>
      </c>
    </row>
    <row r="3320" spans="1:19" x14ac:dyDescent="0.25">
      <c r="A3320" s="24" t="s">
        <v>4453</v>
      </c>
      <c r="B3320" s="4" t="s">
        <v>1059</v>
      </c>
      <c r="C3320" s="25" t="s">
        <v>5</v>
      </c>
      <c r="G3320" s="25" t="s">
        <v>1069</v>
      </c>
      <c r="H3320" s="24" t="s">
        <v>1061</v>
      </c>
      <c r="I3320" s="3" t="str">
        <f>IFERROR(VLOOKUP(C3320,'Справочник соответствий'!A$2:D$2981,2,FALSE),IF(VALUE(C3320)=0,1,VLOOKUP(C3320,'Справочник соответствий'!A$2:D$2981,2,FALSE)))</f>
        <v>1</v>
      </c>
      <c r="J3320" s="3">
        <f>IFERROR(VLOOKUP(D3320,'Справочник соответствий'!A$2:D$2981,2,FALSE),IF(VALUE(D3320)=0,0,VLOOKUP(D3320,'Справочник соответствий'!A$2:D$2981,2,FALSE)))</f>
        <v>0</v>
      </c>
      <c r="K3320" s="3" t="str">
        <f t="shared" si="357"/>
        <v>1</v>
      </c>
      <c r="L3320" s="13" t="str">
        <f>IFERROR(VLOOKUP(C3320,'Справочник соответствий'!A$2:D$2981,3,FALSE),IF(VALUE(C3320)=0,"ЭТАЖ НЕ ОПРЕДЕЛЕН. ПРИНЯТ ПО ДОПУЩЕНИЮ 1",VLOOKUP(C3320,'Справочник соответствий'!A$2:D$2981,3,FALSE)))</f>
        <v>ЭТАЖ ЗАДАН ЧИСЛОМ</v>
      </c>
      <c r="M3320" s="13" t="b">
        <f t="shared" si="358"/>
        <v>0</v>
      </c>
      <c r="N3320" s="13">
        <f t="shared" si="359"/>
        <v>1</v>
      </c>
      <c r="O3320" s="13" t="str">
        <f t="shared" si="360"/>
        <v>ЭТАЖ ЗАДАН ЧИСЛОМ</v>
      </c>
      <c r="P3320" s="13" t="str">
        <f t="shared" si="361"/>
        <v>ЭТАЖ ЗАДАН ЧИСЛОМ</v>
      </c>
      <c r="Q3320" s="13" t="str">
        <f t="shared" si="362"/>
        <v>ГОТОВ_ИЗМЕНЕН</v>
      </c>
      <c r="R3320" s="13">
        <f>IFERROR(VLOOKUP(P3320,Лист1!A$1:B$20,2,FALSE),0)</f>
        <v>784</v>
      </c>
      <c r="S3320" s="13">
        <f t="shared" si="363"/>
        <v>0</v>
      </c>
    </row>
    <row r="3321" spans="1:19" x14ac:dyDescent="0.25">
      <c r="A3321" s="24" t="s">
        <v>4454</v>
      </c>
      <c r="B3321" s="4" t="s">
        <v>1063</v>
      </c>
      <c r="G3321" s="25" t="s">
        <v>1347</v>
      </c>
      <c r="H3321" s="24" t="s">
        <v>1061</v>
      </c>
      <c r="I3321" s="3">
        <f>IFERROR(VLOOKUP(C3321,'Справочник соответствий'!A$2:D$2981,2,FALSE),IF(VALUE(C3321)=0,1,VLOOKUP(C3321,'Справочник соответствий'!A$2:D$2981,2,FALSE)))</f>
        <v>1</v>
      </c>
      <c r="J3321" s="3">
        <f>IFERROR(VLOOKUP(D3321,'Справочник соответствий'!A$2:D$2981,2,FALSE),IF(VALUE(D3321)=0,0,VLOOKUP(D3321,'Справочник соответствий'!A$2:D$2981,2,FALSE)))</f>
        <v>0</v>
      </c>
      <c r="K3321" s="3">
        <f t="shared" si="357"/>
        <v>1</v>
      </c>
      <c r="L3321" s="13" t="str">
        <f>IFERROR(VLOOKUP(C3321,'Справочник соответствий'!A$2:D$2981,3,FALSE),IF(VALUE(C3321)=0,"ЭТАЖ НЕ ОПРЕДЕЛЕН. ПРИНЯТ ПО ДОПУЩЕНИЮ 1",VLOOKUP(C3321,'Справочник соответствий'!A$2:D$2981,3,FALSE)))</f>
        <v>ЭТАЖ НЕ ОПРЕДЕЛЕН. ПРИНЯТ ПО ДОПУЩЕНИЮ 1</v>
      </c>
      <c r="M3321" s="13" t="b">
        <f t="shared" si="358"/>
        <v>0</v>
      </c>
      <c r="N3321" s="13">
        <f t="shared" si="359"/>
        <v>1</v>
      </c>
      <c r="O3321" s="13" t="str">
        <f t="shared" si="360"/>
        <v>ЭТАЖ НЕ ОПРЕДЕЛЕН. ПРИНЯТ ПО ДОПУЩЕНИЮ 1</v>
      </c>
      <c r="P3321" s="13" t="str">
        <f t="shared" si="361"/>
        <v>ЭТАЖ НЕ ОПРЕДЕЛЕН. ПРИНЯТ ПО ДОПУЩЕНИЮ 1</v>
      </c>
      <c r="Q3321" s="13" t="str">
        <f t="shared" si="362"/>
        <v>ГОТОВ_ИЗМЕНЕН</v>
      </c>
      <c r="R3321" s="13">
        <f>IFERROR(VLOOKUP(P3321,Лист1!A$1:B$20,2,FALSE),0)</f>
        <v>788</v>
      </c>
      <c r="S3321" s="13">
        <f t="shared" si="363"/>
        <v>0</v>
      </c>
    </row>
    <row r="3322" spans="1:19" x14ac:dyDescent="0.25">
      <c r="A3322" s="24" t="s">
        <v>4455</v>
      </c>
      <c r="B3322" s="4" t="s">
        <v>1059</v>
      </c>
      <c r="C3322" s="25" t="s">
        <v>5</v>
      </c>
      <c r="G3322" s="25" t="s">
        <v>1069</v>
      </c>
      <c r="H3322" s="24" t="s">
        <v>1061</v>
      </c>
      <c r="I3322" s="3" t="str">
        <f>IFERROR(VLOOKUP(C3322,'Справочник соответствий'!A$2:D$2981,2,FALSE),IF(VALUE(C3322)=0,1,VLOOKUP(C3322,'Справочник соответствий'!A$2:D$2981,2,FALSE)))</f>
        <v>1</v>
      </c>
      <c r="J3322" s="3">
        <f>IFERROR(VLOOKUP(D3322,'Справочник соответствий'!A$2:D$2981,2,FALSE),IF(VALUE(D3322)=0,0,VLOOKUP(D3322,'Справочник соответствий'!A$2:D$2981,2,FALSE)))</f>
        <v>0</v>
      </c>
      <c r="K3322" s="3" t="str">
        <f t="shared" si="357"/>
        <v>1</v>
      </c>
      <c r="L3322" s="13" t="str">
        <f>IFERROR(VLOOKUP(C3322,'Справочник соответствий'!A$2:D$2981,3,FALSE),IF(VALUE(C3322)=0,"ЭТАЖ НЕ ОПРЕДЕЛЕН. ПРИНЯТ ПО ДОПУЩЕНИЮ 1",VLOOKUP(C3322,'Справочник соответствий'!A$2:D$2981,3,FALSE)))</f>
        <v>ЭТАЖ ЗАДАН ЧИСЛОМ</v>
      </c>
      <c r="M3322" s="13" t="b">
        <f t="shared" si="358"/>
        <v>0</v>
      </c>
      <c r="N3322" s="13">
        <f t="shared" si="359"/>
        <v>1</v>
      </c>
      <c r="O3322" s="13" t="str">
        <f t="shared" si="360"/>
        <v>ЭТАЖ ЗАДАН ЧИСЛОМ</v>
      </c>
      <c r="P3322" s="13" t="str">
        <f t="shared" si="361"/>
        <v>ЭТАЖ ЗАДАН ЧИСЛОМ</v>
      </c>
      <c r="Q3322" s="13" t="str">
        <f t="shared" si="362"/>
        <v>ГОТОВ_ИЗМЕНЕН</v>
      </c>
      <c r="R3322" s="13">
        <f>IFERROR(VLOOKUP(P3322,Лист1!A$1:B$20,2,FALSE),0)</f>
        <v>784</v>
      </c>
      <c r="S3322" s="13">
        <f t="shared" si="363"/>
        <v>0</v>
      </c>
    </row>
    <row r="3323" spans="1:19" x14ac:dyDescent="0.25">
      <c r="A3323" s="24" t="s">
        <v>4456</v>
      </c>
      <c r="B3323" s="4" t="s">
        <v>1059</v>
      </c>
      <c r="C3323" s="25" t="s">
        <v>5</v>
      </c>
      <c r="G3323" s="25" t="s">
        <v>1075</v>
      </c>
      <c r="H3323" s="24" t="s">
        <v>1061</v>
      </c>
      <c r="I3323" s="3" t="str">
        <f>IFERROR(VLOOKUP(C3323,'Справочник соответствий'!A$2:D$2981,2,FALSE),IF(VALUE(C3323)=0,1,VLOOKUP(C3323,'Справочник соответствий'!A$2:D$2981,2,FALSE)))</f>
        <v>1</v>
      </c>
      <c r="J3323" s="3">
        <f>IFERROR(VLOOKUP(D3323,'Справочник соответствий'!A$2:D$2981,2,FALSE),IF(VALUE(D3323)=0,0,VLOOKUP(D3323,'Справочник соответствий'!A$2:D$2981,2,FALSE)))</f>
        <v>0</v>
      </c>
      <c r="K3323" s="3" t="str">
        <f t="shared" si="357"/>
        <v>1</v>
      </c>
      <c r="L3323" s="13" t="str">
        <f>IFERROR(VLOOKUP(C3323,'Справочник соответствий'!A$2:D$2981,3,FALSE),IF(VALUE(C3323)=0,"ЭТАЖ НЕ ОПРЕДЕЛЕН. ПРИНЯТ ПО ДОПУЩЕНИЮ 1",VLOOKUP(C3323,'Справочник соответствий'!A$2:D$2981,3,FALSE)))</f>
        <v>ЭТАЖ ЗАДАН ЧИСЛОМ</v>
      </c>
      <c r="M3323" s="13" t="b">
        <f t="shared" si="358"/>
        <v>0</v>
      </c>
      <c r="N3323" s="13">
        <f t="shared" si="359"/>
        <v>1</v>
      </c>
      <c r="O3323" s="13" t="str">
        <f t="shared" si="360"/>
        <v>ЭТАЖ ЗАДАН ЧИСЛОМ</v>
      </c>
      <c r="P3323" s="13" t="str">
        <f t="shared" si="361"/>
        <v>ЭТАЖ ЗАДАН ЧИСЛОМ</v>
      </c>
      <c r="Q3323" s="13" t="str">
        <f t="shared" si="362"/>
        <v>ГОТОВ_ИЗМЕНЕН</v>
      </c>
      <c r="R3323" s="13">
        <f>IFERROR(VLOOKUP(P3323,Лист1!A$1:B$20,2,FALSE),0)</f>
        <v>784</v>
      </c>
      <c r="S3323" s="13">
        <f t="shared" si="363"/>
        <v>0</v>
      </c>
    </row>
    <row r="3324" spans="1:19" x14ac:dyDescent="0.25">
      <c r="A3324" s="24" t="s">
        <v>4457</v>
      </c>
      <c r="B3324" s="4" t="s">
        <v>1059</v>
      </c>
      <c r="C3324" s="25" t="s">
        <v>7</v>
      </c>
      <c r="G3324" s="25" t="s">
        <v>1069</v>
      </c>
      <c r="H3324" s="24" t="s">
        <v>1061</v>
      </c>
      <c r="I3324" s="3" t="str">
        <f>IFERROR(VLOOKUP(C3324,'Справочник соответствий'!A$2:D$2981,2,FALSE),IF(VALUE(C3324)=0,1,VLOOKUP(C3324,'Справочник соответствий'!A$2:D$2981,2,FALSE)))</f>
        <v>2</v>
      </c>
      <c r="J3324" s="3">
        <f>IFERROR(VLOOKUP(D3324,'Справочник соответствий'!A$2:D$2981,2,FALSE),IF(VALUE(D3324)=0,0,VLOOKUP(D3324,'Справочник соответствий'!A$2:D$2981,2,FALSE)))</f>
        <v>0</v>
      </c>
      <c r="K3324" s="3" t="str">
        <f t="shared" si="357"/>
        <v>2</v>
      </c>
      <c r="L3324" s="13" t="str">
        <f>IFERROR(VLOOKUP(C3324,'Справочник соответствий'!A$2:D$2981,3,FALSE),IF(VALUE(C3324)=0,"ЭТАЖ НЕ ОПРЕДЕЛЕН. ПРИНЯТ ПО ДОПУЩЕНИЮ 1",VLOOKUP(C3324,'Справочник соответствий'!A$2:D$2981,3,FALSE)))</f>
        <v>ЭТАЖ ЗАДАН ЧИСЛОМ</v>
      </c>
      <c r="M3324" s="13" t="b">
        <f t="shared" si="358"/>
        <v>0</v>
      </c>
      <c r="N3324" s="13">
        <f t="shared" si="359"/>
        <v>2</v>
      </c>
      <c r="O3324" s="13" t="str">
        <f t="shared" si="360"/>
        <v>ЭТАЖ ЗАДАН ЧИСЛОМ</v>
      </c>
      <c r="P3324" s="13" t="str">
        <f t="shared" si="361"/>
        <v>ЭТАЖ ЗАДАН ЧИСЛОМ</v>
      </c>
      <c r="Q3324" s="13" t="str">
        <f t="shared" si="362"/>
        <v>ГОТОВ_ИЗМЕНЕН</v>
      </c>
      <c r="R3324" s="13">
        <f>IFERROR(VLOOKUP(P3324,Лист1!A$1:B$20,2,FALSE),0)</f>
        <v>784</v>
      </c>
      <c r="S3324" s="13">
        <f t="shared" si="363"/>
        <v>0</v>
      </c>
    </row>
    <row r="3325" spans="1:19" x14ac:dyDescent="0.25">
      <c r="A3325" s="24" t="s">
        <v>4458</v>
      </c>
      <c r="B3325" s="4" t="s">
        <v>1059</v>
      </c>
      <c r="C3325" s="25" t="s">
        <v>5</v>
      </c>
      <c r="G3325" s="25" t="s">
        <v>1069</v>
      </c>
      <c r="H3325" s="24" t="s">
        <v>1061</v>
      </c>
      <c r="I3325" s="3" t="str">
        <f>IFERROR(VLOOKUP(C3325,'Справочник соответствий'!A$2:D$2981,2,FALSE),IF(VALUE(C3325)=0,1,VLOOKUP(C3325,'Справочник соответствий'!A$2:D$2981,2,FALSE)))</f>
        <v>1</v>
      </c>
      <c r="J3325" s="3">
        <f>IFERROR(VLOOKUP(D3325,'Справочник соответствий'!A$2:D$2981,2,FALSE),IF(VALUE(D3325)=0,0,VLOOKUP(D3325,'Справочник соответствий'!A$2:D$2981,2,FALSE)))</f>
        <v>0</v>
      </c>
      <c r="K3325" s="3" t="str">
        <f t="shared" si="357"/>
        <v>1</v>
      </c>
      <c r="L3325" s="13" t="str">
        <f>IFERROR(VLOOKUP(C3325,'Справочник соответствий'!A$2:D$2981,3,FALSE),IF(VALUE(C3325)=0,"ЭТАЖ НЕ ОПРЕДЕЛЕН. ПРИНЯТ ПО ДОПУЩЕНИЮ 1",VLOOKUP(C3325,'Справочник соответствий'!A$2:D$2981,3,FALSE)))</f>
        <v>ЭТАЖ ЗАДАН ЧИСЛОМ</v>
      </c>
      <c r="M3325" s="13" t="b">
        <f t="shared" si="358"/>
        <v>0</v>
      </c>
      <c r="N3325" s="13">
        <f t="shared" si="359"/>
        <v>1</v>
      </c>
      <c r="O3325" s="13" t="str">
        <f t="shared" si="360"/>
        <v>ЭТАЖ ЗАДАН ЧИСЛОМ</v>
      </c>
      <c r="P3325" s="13" t="str">
        <f t="shared" si="361"/>
        <v>ЭТАЖ ЗАДАН ЧИСЛОМ</v>
      </c>
      <c r="Q3325" s="13" t="str">
        <f t="shared" si="362"/>
        <v>ГОТОВ_ИЗМЕНЕН</v>
      </c>
      <c r="R3325" s="13">
        <f>IFERROR(VLOOKUP(P3325,Лист1!A$1:B$20,2,FALSE),0)</f>
        <v>784</v>
      </c>
      <c r="S3325" s="13">
        <f t="shared" si="363"/>
        <v>0</v>
      </c>
    </row>
    <row r="3326" spans="1:19" x14ac:dyDescent="0.25">
      <c r="A3326" s="24" t="s">
        <v>4459</v>
      </c>
      <c r="B3326" s="4" t="s">
        <v>1059</v>
      </c>
      <c r="C3326" s="25" t="s">
        <v>7</v>
      </c>
      <c r="G3326" s="25" t="s">
        <v>1089</v>
      </c>
      <c r="H3326" s="24" t="s">
        <v>1061</v>
      </c>
      <c r="I3326" s="3" t="str">
        <f>IFERROR(VLOOKUP(C3326,'Справочник соответствий'!A$2:D$2981,2,FALSE),IF(VALUE(C3326)=0,1,VLOOKUP(C3326,'Справочник соответствий'!A$2:D$2981,2,FALSE)))</f>
        <v>2</v>
      </c>
      <c r="J3326" s="3">
        <f>IFERROR(VLOOKUP(D3326,'Справочник соответствий'!A$2:D$2981,2,FALSE),IF(VALUE(D3326)=0,0,VLOOKUP(D3326,'Справочник соответствий'!A$2:D$2981,2,FALSE)))</f>
        <v>0</v>
      </c>
      <c r="K3326" s="3" t="str">
        <f t="shared" si="357"/>
        <v>2</v>
      </c>
      <c r="L3326" s="13" t="str">
        <f>IFERROR(VLOOKUP(C3326,'Справочник соответствий'!A$2:D$2981,3,FALSE),IF(VALUE(C3326)=0,"ЭТАЖ НЕ ОПРЕДЕЛЕН. ПРИНЯТ ПО ДОПУЩЕНИЮ 1",VLOOKUP(C3326,'Справочник соответствий'!A$2:D$2981,3,FALSE)))</f>
        <v>ЭТАЖ ЗАДАН ЧИСЛОМ</v>
      </c>
      <c r="M3326" s="13" t="b">
        <f t="shared" si="358"/>
        <v>0</v>
      </c>
      <c r="N3326" s="13">
        <f t="shared" si="359"/>
        <v>2</v>
      </c>
      <c r="O3326" s="13" t="str">
        <f t="shared" si="360"/>
        <v>ЭТАЖ ЗАДАН ЧИСЛОМ</v>
      </c>
      <c r="P3326" s="13" t="str">
        <f t="shared" si="361"/>
        <v>ЭТАЖ ЗАДАН ЧИСЛОМ</v>
      </c>
      <c r="Q3326" s="13" t="str">
        <f t="shared" si="362"/>
        <v>ГОТОВ_ИЗМЕНЕН</v>
      </c>
      <c r="R3326" s="13">
        <f>IFERROR(VLOOKUP(P3326,Лист1!A$1:B$20,2,FALSE),0)</f>
        <v>784</v>
      </c>
      <c r="S3326" s="13">
        <f t="shared" si="363"/>
        <v>0</v>
      </c>
    </row>
    <row r="3327" spans="1:19" x14ac:dyDescent="0.25">
      <c r="A3327" s="24" t="s">
        <v>4460</v>
      </c>
      <c r="B3327" s="4" t="s">
        <v>1063</v>
      </c>
      <c r="C3327" s="25" t="s">
        <v>5</v>
      </c>
      <c r="G3327" s="25" t="s">
        <v>1089</v>
      </c>
      <c r="H3327" s="24" t="s">
        <v>1061</v>
      </c>
      <c r="I3327" s="3" t="str">
        <f>IFERROR(VLOOKUP(C3327,'Справочник соответствий'!A$2:D$2981,2,FALSE),IF(VALUE(C3327)=0,1,VLOOKUP(C3327,'Справочник соответствий'!A$2:D$2981,2,FALSE)))</f>
        <v>1</v>
      </c>
      <c r="J3327" s="3">
        <f>IFERROR(VLOOKUP(D3327,'Справочник соответствий'!A$2:D$2981,2,FALSE),IF(VALUE(D3327)=0,0,VLOOKUP(D3327,'Справочник соответствий'!A$2:D$2981,2,FALSE)))</f>
        <v>0</v>
      </c>
      <c r="K3327" s="3" t="str">
        <f t="shared" si="357"/>
        <v>1</v>
      </c>
      <c r="L3327" s="13" t="str">
        <f>IFERROR(VLOOKUP(C3327,'Справочник соответствий'!A$2:D$2981,3,FALSE),IF(VALUE(C3327)=0,"ЭТАЖ НЕ ОПРЕДЕЛЕН. ПРИНЯТ ПО ДОПУЩЕНИЮ 1",VLOOKUP(C3327,'Справочник соответствий'!A$2:D$2981,3,FALSE)))</f>
        <v>ЭТАЖ ЗАДАН ЧИСЛОМ</v>
      </c>
      <c r="M3327" s="13" t="b">
        <f t="shared" si="358"/>
        <v>0</v>
      </c>
      <c r="N3327" s="13">
        <f t="shared" si="359"/>
        <v>1</v>
      </c>
      <c r="O3327" s="13" t="str">
        <f t="shared" si="360"/>
        <v>ЭТАЖ ЗАДАН ЧИСЛОМ</v>
      </c>
      <c r="P3327" s="13" t="str">
        <f t="shared" si="361"/>
        <v>ЭТАЖ ЗАДАН ЧИСЛОМ</v>
      </c>
      <c r="Q3327" s="13" t="str">
        <f t="shared" si="362"/>
        <v>ГОТОВ_ИЗМЕНЕН</v>
      </c>
      <c r="R3327" s="13">
        <f>IFERROR(VLOOKUP(P3327,Лист1!A$1:B$20,2,FALSE),0)</f>
        <v>784</v>
      </c>
      <c r="S3327" s="13">
        <f t="shared" si="363"/>
        <v>0</v>
      </c>
    </row>
    <row r="3328" spans="1:19" x14ac:dyDescent="0.25">
      <c r="A3328" s="24" t="s">
        <v>4461</v>
      </c>
      <c r="B3328" s="4" t="s">
        <v>1059</v>
      </c>
      <c r="C3328" s="25" t="s">
        <v>8</v>
      </c>
      <c r="D3328" s="25" t="s">
        <v>5</v>
      </c>
      <c r="G3328" s="25" t="s">
        <v>1089</v>
      </c>
      <c r="H3328" s="24" t="s">
        <v>1061</v>
      </c>
      <c r="I3328" s="3" t="str">
        <f>IFERROR(VLOOKUP(C3328,'Справочник соответствий'!A$2:D$2981,2,FALSE),IF(VALUE(C3328)=0,1,VLOOKUP(C3328,'Справочник соответствий'!A$2:D$2981,2,FALSE)))</f>
        <v>3</v>
      </c>
      <c r="J3328" s="3" t="str">
        <f>IFERROR(VLOOKUP(D3328,'Справочник соответствий'!A$2:D$2981,2,FALSE),IF(VALUE(D3328)=0,0,VLOOKUP(D3328,'Справочник соответствий'!A$2:D$2981,2,FALSE)))</f>
        <v>1</v>
      </c>
      <c r="K3328" s="3" t="str">
        <f t="shared" si="357"/>
        <v>3</v>
      </c>
      <c r="L3328" s="13" t="str">
        <f>IFERROR(VLOOKUP(C3328,'Справочник соответствий'!A$2:D$2981,3,FALSE),IF(VALUE(C3328)=0,"ЭТАЖ НЕ ОПРЕДЕЛЕН. ПРИНЯТ ПО ДОПУЩЕНИЮ 1",VLOOKUP(C3328,'Справочник соответствий'!A$2:D$2981,3,FALSE)))</f>
        <v>ЭТАЖ ЗАДАН ЧИСЛОМ</v>
      </c>
      <c r="M3328" s="13" t="b">
        <f t="shared" si="358"/>
        <v>0</v>
      </c>
      <c r="N3328" s="13">
        <f t="shared" si="359"/>
        <v>3</v>
      </c>
      <c r="O3328" s="13" t="str">
        <f t="shared" si="360"/>
        <v>ЭТАЖ ЗАДАН ЧИСЛОМ</v>
      </c>
      <c r="P3328" s="13" t="str">
        <f t="shared" si="361"/>
        <v>ЭТАЖ ЗАДАН ЧИСЛОМ</v>
      </c>
      <c r="Q3328" s="13" t="str">
        <f t="shared" si="362"/>
        <v>ГОТОВ_ИЗМЕНЕН</v>
      </c>
      <c r="R3328" s="13">
        <f>IFERROR(VLOOKUP(P3328,Лист1!A$1:B$20,2,FALSE),0)</f>
        <v>784</v>
      </c>
      <c r="S3328" s="13">
        <f t="shared" si="363"/>
        <v>0</v>
      </c>
    </row>
    <row r="3329" spans="1:19" x14ac:dyDescent="0.25">
      <c r="A3329" s="24" t="s">
        <v>4462</v>
      </c>
      <c r="B3329" s="4" t="s">
        <v>1059</v>
      </c>
      <c r="C3329" s="25" t="s">
        <v>7</v>
      </c>
      <c r="G3329" s="25" t="s">
        <v>1089</v>
      </c>
      <c r="H3329" s="24" t="s">
        <v>1061</v>
      </c>
      <c r="I3329" s="3" t="str">
        <f>IFERROR(VLOOKUP(C3329,'Справочник соответствий'!A$2:D$2981,2,FALSE),IF(VALUE(C3329)=0,1,VLOOKUP(C3329,'Справочник соответствий'!A$2:D$2981,2,FALSE)))</f>
        <v>2</v>
      </c>
      <c r="J3329" s="3">
        <f>IFERROR(VLOOKUP(D3329,'Справочник соответствий'!A$2:D$2981,2,FALSE),IF(VALUE(D3329)=0,0,VLOOKUP(D3329,'Справочник соответствий'!A$2:D$2981,2,FALSE)))</f>
        <v>0</v>
      </c>
      <c r="K3329" s="3" t="str">
        <f t="shared" si="357"/>
        <v>2</v>
      </c>
      <c r="L3329" s="13" t="str">
        <f>IFERROR(VLOOKUP(C3329,'Справочник соответствий'!A$2:D$2981,3,FALSE),IF(VALUE(C3329)=0,"ЭТАЖ НЕ ОПРЕДЕЛЕН. ПРИНЯТ ПО ДОПУЩЕНИЮ 1",VLOOKUP(C3329,'Справочник соответствий'!A$2:D$2981,3,FALSE)))</f>
        <v>ЭТАЖ ЗАДАН ЧИСЛОМ</v>
      </c>
      <c r="M3329" s="13" t="b">
        <f t="shared" si="358"/>
        <v>0</v>
      </c>
      <c r="N3329" s="13">
        <f t="shared" si="359"/>
        <v>2</v>
      </c>
      <c r="O3329" s="13" t="str">
        <f t="shared" si="360"/>
        <v>ЭТАЖ ЗАДАН ЧИСЛОМ</v>
      </c>
      <c r="P3329" s="13" t="str">
        <f t="shared" si="361"/>
        <v>ЭТАЖ ЗАДАН ЧИСЛОМ</v>
      </c>
      <c r="Q3329" s="13" t="str">
        <f t="shared" si="362"/>
        <v>ГОТОВ_ИЗМЕНЕН</v>
      </c>
      <c r="R3329" s="13">
        <f>IFERROR(VLOOKUP(P3329,Лист1!A$1:B$20,2,FALSE),0)</f>
        <v>784</v>
      </c>
      <c r="S3329" s="13">
        <f t="shared" si="363"/>
        <v>0</v>
      </c>
    </row>
    <row r="3330" spans="1:19" x14ac:dyDescent="0.25">
      <c r="A3330" s="24" t="s">
        <v>4463</v>
      </c>
      <c r="B3330" s="4" t="s">
        <v>1063</v>
      </c>
      <c r="G3330" s="25" t="s">
        <v>1089</v>
      </c>
      <c r="H3330" s="24" t="s">
        <v>1061</v>
      </c>
      <c r="I3330" s="3">
        <f>IFERROR(VLOOKUP(C3330,'Справочник соответствий'!A$2:D$2981,2,FALSE),IF(VALUE(C3330)=0,1,VLOOKUP(C3330,'Справочник соответствий'!A$2:D$2981,2,FALSE)))</f>
        <v>1</v>
      </c>
      <c r="J3330" s="3">
        <f>IFERROR(VLOOKUP(D3330,'Справочник соответствий'!A$2:D$2981,2,FALSE),IF(VALUE(D3330)=0,0,VLOOKUP(D3330,'Справочник соответствий'!A$2:D$2981,2,FALSE)))</f>
        <v>0</v>
      </c>
      <c r="K3330" s="3">
        <f t="shared" si="357"/>
        <v>1</v>
      </c>
      <c r="L3330" s="13" t="str">
        <f>IFERROR(VLOOKUP(C3330,'Справочник соответствий'!A$2:D$2981,3,FALSE),IF(VALUE(C3330)=0,"ЭТАЖ НЕ ОПРЕДЕЛЕН. ПРИНЯТ ПО ДОПУЩЕНИЮ 1",VLOOKUP(C3330,'Справочник соответствий'!A$2:D$2981,3,FALSE)))</f>
        <v>ЭТАЖ НЕ ОПРЕДЕЛЕН. ПРИНЯТ ПО ДОПУЩЕНИЮ 1</v>
      </c>
      <c r="M3330" s="13" t="b">
        <f t="shared" si="358"/>
        <v>0</v>
      </c>
      <c r="N3330" s="13">
        <f t="shared" si="359"/>
        <v>1</v>
      </c>
      <c r="O3330" s="13" t="str">
        <f t="shared" si="360"/>
        <v>ЭТАЖ НЕ ОПРЕДЕЛЕН. ПРИНЯТ ПО ДОПУЩЕНИЮ 1</v>
      </c>
      <c r="P3330" s="13" t="str">
        <f t="shared" si="361"/>
        <v>ЭТАЖ НЕ ОПРЕДЕЛЕН. ПРИНЯТ ПО ДОПУЩЕНИЮ 1</v>
      </c>
      <c r="Q3330" s="13" t="str">
        <f t="shared" si="362"/>
        <v>ГОТОВ_ИЗМЕНЕН</v>
      </c>
      <c r="R3330" s="13">
        <f>IFERROR(VLOOKUP(P3330,Лист1!A$1:B$20,2,FALSE),0)</f>
        <v>788</v>
      </c>
      <c r="S3330" s="13">
        <f t="shared" si="363"/>
        <v>0</v>
      </c>
    </row>
    <row r="3331" spans="1:19" x14ac:dyDescent="0.25">
      <c r="A3331" s="24" t="s">
        <v>4464</v>
      </c>
      <c r="B3331" s="4" t="s">
        <v>1059</v>
      </c>
      <c r="C3331" s="25" t="s">
        <v>5</v>
      </c>
      <c r="G3331" s="25" t="s">
        <v>1089</v>
      </c>
      <c r="H3331" s="24" t="s">
        <v>1061</v>
      </c>
      <c r="I3331" s="3" t="str">
        <f>IFERROR(VLOOKUP(C3331,'Справочник соответствий'!A$2:D$2981,2,FALSE),IF(VALUE(C3331)=0,1,VLOOKUP(C3331,'Справочник соответствий'!A$2:D$2981,2,FALSE)))</f>
        <v>1</v>
      </c>
      <c r="J3331" s="3">
        <f>IFERROR(VLOOKUP(D3331,'Справочник соответствий'!A$2:D$2981,2,FALSE),IF(VALUE(D3331)=0,0,VLOOKUP(D3331,'Справочник соответствий'!A$2:D$2981,2,FALSE)))</f>
        <v>0</v>
      </c>
      <c r="K3331" s="3" t="str">
        <f t="shared" si="357"/>
        <v>1</v>
      </c>
      <c r="L3331" s="13" t="str">
        <f>IFERROR(VLOOKUP(C3331,'Справочник соответствий'!A$2:D$2981,3,FALSE),IF(VALUE(C3331)=0,"ЭТАЖ НЕ ОПРЕДЕЛЕН. ПРИНЯТ ПО ДОПУЩЕНИЮ 1",VLOOKUP(C3331,'Справочник соответствий'!A$2:D$2981,3,FALSE)))</f>
        <v>ЭТАЖ ЗАДАН ЧИСЛОМ</v>
      </c>
      <c r="M3331" s="13" t="b">
        <f t="shared" si="358"/>
        <v>0</v>
      </c>
      <c r="N3331" s="13">
        <f t="shared" si="359"/>
        <v>1</v>
      </c>
      <c r="O3331" s="13" t="str">
        <f t="shared" si="360"/>
        <v>ЭТАЖ ЗАДАН ЧИСЛОМ</v>
      </c>
      <c r="P3331" s="13" t="str">
        <f t="shared" si="361"/>
        <v>ЭТАЖ ЗАДАН ЧИСЛОМ</v>
      </c>
      <c r="Q3331" s="13" t="str">
        <f t="shared" si="362"/>
        <v>ГОТОВ_ИЗМЕНЕН</v>
      </c>
      <c r="R3331" s="13">
        <f>IFERROR(VLOOKUP(P3331,Лист1!A$1:B$20,2,FALSE),0)</f>
        <v>784</v>
      </c>
      <c r="S3331" s="13">
        <f t="shared" si="363"/>
        <v>0</v>
      </c>
    </row>
    <row r="3332" spans="1:19" x14ac:dyDescent="0.25">
      <c r="A3332" s="24" t="s">
        <v>4465</v>
      </c>
      <c r="B3332" s="4" t="s">
        <v>1059</v>
      </c>
      <c r="C3332" s="25" t="s">
        <v>8</v>
      </c>
      <c r="G3332" s="25" t="s">
        <v>1117</v>
      </c>
      <c r="H3332" s="24" t="s">
        <v>1061</v>
      </c>
      <c r="I3332" s="3" t="str">
        <f>IFERROR(VLOOKUP(C3332,'Справочник соответствий'!A$2:D$2981,2,FALSE),IF(VALUE(C3332)=0,1,VLOOKUP(C3332,'Справочник соответствий'!A$2:D$2981,2,FALSE)))</f>
        <v>3</v>
      </c>
      <c r="J3332" s="3">
        <f>IFERROR(VLOOKUP(D3332,'Справочник соответствий'!A$2:D$2981,2,FALSE),IF(VALUE(D3332)=0,0,VLOOKUP(D3332,'Справочник соответствий'!A$2:D$2981,2,FALSE)))</f>
        <v>0</v>
      </c>
      <c r="K3332" s="3" t="str">
        <f t="shared" si="357"/>
        <v>3</v>
      </c>
      <c r="L3332" s="13" t="str">
        <f>IFERROR(VLOOKUP(C3332,'Справочник соответствий'!A$2:D$2981,3,FALSE),IF(VALUE(C3332)=0,"ЭТАЖ НЕ ОПРЕДЕЛЕН. ПРИНЯТ ПО ДОПУЩЕНИЮ 1",VLOOKUP(C3332,'Справочник соответствий'!A$2:D$2981,3,FALSE)))</f>
        <v>ЭТАЖ ЗАДАН ЧИСЛОМ</v>
      </c>
      <c r="M3332" s="13" t="b">
        <f t="shared" si="358"/>
        <v>0</v>
      </c>
      <c r="N3332" s="13">
        <f t="shared" si="359"/>
        <v>3</v>
      </c>
      <c r="O3332" s="13" t="str">
        <f t="shared" si="360"/>
        <v>ЭТАЖ ЗАДАН ЧИСЛОМ</v>
      </c>
      <c r="P3332" s="13" t="str">
        <f t="shared" si="361"/>
        <v>ЭТАЖ ЗАДАН ЧИСЛОМ</v>
      </c>
      <c r="Q3332" s="13" t="str">
        <f t="shared" si="362"/>
        <v>ГОТОВ_ИЗМЕНЕН</v>
      </c>
      <c r="R3332" s="13">
        <f>IFERROR(VLOOKUP(P3332,Лист1!A$1:B$20,2,FALSE),0)</f>
        <v>784</v>
      </c>
      <c r="S3332" s="13">
        <f t="shared" si="363"/>
        <v>0</v>
      </c>
    </row>
    <row r="3333" spans="1:19" x14ac:dyDescent="0.25">
      <c r="A3333" s="24" t="s">
        <v>4466</v>
      </c>
      <c r="B3333" s="4" t="s">
        <v>1059</v>
      </c>
      <c r="G3333" s="25" t="s">
        <v>1698</v>
      </c>
      <c r="H3333" s="24" t="s">
        <v>1061</v>
      </c>
      <c r="I3333" s="3">
        <f>IFERROR(VLOOKUP(C3333,'Справочник соответствий'!A$2:D$2981,2,FALSE),IF(VALUE(C3333)=0,1,VLOOKUP(C3333,'Справочник соответствий'!A$2:D$2981,2,FALSE)))</f>
        <v>1</v>
      </c>
      <c r="J3333" s="3">
        <f>IFERROR(VLOOKUP(D3333,'Справочник соответствий'!A$2:D$2981,2,FALSE),IF(VALUE(D3333)=0,0,VLOOKUP(D3333,'Справочник соответствий'!A$2:D$2981,2,FALSE)))</f>
        <v>0</v>
      </c>
      <c r="K3333" s="3">
        <f t="shared" ref="K3333:K3396" si="364">IF(B3333="Многоквартирный дом",IF(I3333-J3333&gt;0,I3333-J3333,1),I3333)</f>
        <v>1</v>
      </c>
      <c r="L3333" s="13" t="str">
        <f>IFERROR(VLOOKUP(C3333,'Справочник соответствий'!A$2:D$2981,3,FALSE),IF(VALUE(C3333)=0,"ЭТАЖ НЕ ОПРЕДЕЛЕН. ПРИНЯТ ПО ДОПУЩЕНИЮ 1",VLOOKUP(C3333,'Справочник соответствий'!A$2:D$2981,3,FALSE)))</f>
        <v>ЭТАЖ НЕ ОПРЕДЕЛЕН. ПРИНЯТ ПО ДОПУЩЕНИЮ 1</v>
      </c>
      <c r="M3333" s="13" t="b">
        <f t="shared" ref="M3333:M3396" si="365">I3333=E3333</f>
        <v>0</v>
      </c>
      <c r="N3333" s="13">
        <f t="shared" ref="N3333:N3396" si="366">IF(VALUE(E3333)=0,VALUE(K3333),IF(L3333="ЭТАЖ НЕ ОПРЕДЕЛЕН. ПРИНЯТ ПО ДОПУЩЕНИЮ 1",VALUE(E3333),VALUE(K3333)))</f>
        <v>1</v>
      </c>
      <c r="O3333" s="13" t="str">
        <f t="shared" ref="O3333:O3396" si="367">IF(VALUE(E3333)=0,L3333,IF(L3333="ЭТАЖ НЕ ОПРЕДЕЛЕН. ПРИНЯТ ПО ДОПУЩЕНИЮ 1",F3333,L3333))</f>
        <v>ЭТАЖ НЕ ОПРЕДЕЛЕН. ПРИНЯТ ПО ДОПУЩЕНИЮ 1</v>
      </c>
      <c r="P3333" s="13" t="str">
        <f t="shared" ref="P3333:P3396" si="368">IF(B3333="Многоквартирный дом",CONCATENATE("МКД_",O3333),O3333)</f>
        <v>ЭТАЖ НЕ ОПРЕДЕЛЕН. ПРИНЯТ ПО ДОПУЩЕНИЮ 1</v>
      </c>
      <c r="Q3333" s="13" t="str">
        <f t="shared" ref="Q3333:Q3396" si="369">IFERROR(IF(N3333&gt;0,IF(N3333=VALUE(E3333),"ГОТОВ","ГОТОВ_ИЗМЕНЕН"),"НЕ ГОТОВ"),"НЕ ГОТОВ")</f>
        <v>ГОТОВ_ИЗМЕНЕН</v>
      </c>
      <c r="R3333" s="13">
        <f>IFERROR(VLOOKUP(P3333,Лист1!A$1:B$20,2,FALSE),0)</f>
        <v>788</v>
      </c>
      <c r="S3333" s="13">
        <f t="shared" ref="S3333:S3396" si="370">VALUE(E3333)</f>
        <v>0</v>
      </c>
    </row>
    <row r="3334" spans="1:19" x14ac:dyDescent="0.25">
      <c r="A3334" s="24" t="s">
        <v>4467</v>
      </c>
      <c r="B3334" s="4" t="s">
        <v>1059</v>
      </c>
      <c r="C3334" s="25" t="s">
        <v>5</v>
      </c>
      <c r="G3334" s="25" t="s">
        <v>1698</v>
      </c>
      <c r="H3334" s="24" t="s">
        <v>1061</v>
      </c>
      <c r="I3334" s="3" t="str">
        <f>IFERROR(VLOOKUP(C3334,'Справочник соответствий'!A$2:D$2981,2,FALSE),IF(VALUE(C3334)=0,1,VLOOKUP(C3334,'Справочник соответствий'!A$2:D$2981,2,FALSE)))</f>
        <v>1</v>
      </c>
      <c r="J3334" s="3">
        <f>IFERROR(VLOOKUP(D3334,'Справочник соответствий'!A$2:D$2981,2,FALSE),IF(VALUE(D3334)=0,0,VLOOKUP(D3334,'Справочник соответствий'!A$2:D$2981,2,FALSE)))</f>
        <v>0</v>
      </c>
      <c r="K3334" s="3" t="str">
        <f t="shared" si="364"/>
        <v>1</v>
      </c>
      <c r="L3334" s="13" t="str">
        <f>IFERROR(VLOOKUP(C3334,'Справочник соответствий'!A$2:D$2981,3,FALSE),IF(VALUE(C3334)=0,"ЭТАЖ НЕ ОПРЕДЕЛЕН. ПРИНЯТ ПО ДОПУЩЕНИЮ 1",VLOOKUP(C3334,'Справочник соответствий'!A$2:D$2981,3,FALSE)))</f>
        <v>ЭТАЖ ЗАДАН ЧИСЛОМ</v>
      </c>
      <c r="M3334" s="13" t="b">
        <f t="shared" si="365"/>
        <v>0</v>
      </c>
      <c r="N3334" s="13">
        <f t="shared" si="366"/>
        <v>1</v>
      </c>
      <c r="O3334" s="13" t="str">
        <f t="shared" si="367"/>
        <v>ЭТАЖ ЗАДАН ЧИСЛОМ</v>
      </c>
      <c r="P3334" s="13" t="str">
        <f t="shared" si="368"/>
        <v>ЭТАЖ ЗАДАН ЧИСЛОМ</v>
      </c>
      <c r="Q3334" s="13" t="str">
        <f t="shared" si="369"/>
        <v>ГОТОВ_ИЗМЕНЕН</v>
      </c>
      <c r="R3334" s="13">
        <f>IFERROR(VLOOKUP(P3334,Лист1!A$1:B$20,2,FALSE),0)</f>
        <v>784</v>
      </c>
      <c r="S3334" s="13">
        <f t="shared" si="370"/>
        <v>0</v>
      </c>
    </row>
    <row r="3335" spans="1:19" x14ac:dyDescent="0.25">
      <c r="A3335" s="24" t="s">
        <v>4468</v>
      </c>
      <c r="B3335" s="4" t="s">
        <v>1059</v>
      </c>
      <c r="C3335" s="25" t="s">
        <v>8</v>
      </c>
      <c r="D3335" s="25" t="s">
        <v>5</v>
      </c>
      <c r="G3335" s="25" t="s">
        <v>1698</v>
      </c>
      <c r="H3335" s="24" t="s">
        <v>1061</v>
      </c>
      <c r="I3335" s="3" t="str">
        <f>IFERROR(VLOOKUP(C3335,'Справочник соответствий'!A$2:D$2981,2,FALSE),IF(VALUE(C3335)=0,1,VLOOKUP(C3335,'Справочник соответствий'!A$2:D$2981,2,FALSE)))</f>
        <v>3</v>
      </c>
      <c r="J3335" s="3" t="str">
        <f>IFERROR(VLOOKUP(D3335,'Справочник соответствий'!A$2:D$2981,2,FALSE),IF(VALUE(D3335)=0,0,VLOOKUP(D3335,'Справочник соответствий'!A$2:D$2981,2,FALSE)))</f>
        <v>1</v>
      </c>
      <c r="K3335" s="3" t="str">
        <f t="shared" si="364"/>
        <v>3</v>
      </c>
      <c r="L3335" s="13" t="str">
        <f>IFERROR(VLOOKUP(C3335,'Справочник соответствий'!A$2:D$2981,3,FALSE),IF(VALUE(C3335)=0,"ЭТАЖ НЕ ОПРЕДЕЛЕН. ПРИНЯТ ПО ДОПУЩЕНИЮ 1",VLOOKUP(C3335,'Справочник соответствий'!A$2:D$2981,3,FALSE)))</f>
        <v>ЭТАЖ ЗАДАН ЧИСЛОМ</v>
      </c>
      <c r="M3335" s="13" t="b">
        <f t="shared" si="365"/>
        <v>0</v>
      </c>
      <c r="N3335" s="13">
        <f t="shared" si="366"/>
        <v>3</v>
      </c>
      <c r="O3335" s="13" t="str">
        <f t="shared" si="367"/>
        <v>ЭТАЖ ЗАДАН ЧИСЛОМ</v>
      </c>
      <c r="P3335" s="13" t="str">
        <f t="shared" si="368"/>
        <v>ЭТАЖ ЗАДАН ЧИСЛОМ</v>
      </c>
      <c r="Q3335" s="13" t="str">
        <f t="shared" si="369"/>
        <v>ГОТОВ_ИЗМЕНЕН</v>
      </c>
      <c r="R3335" s="13">
        <f>IFERROR(VLOOKUP(P3335,Лист1!A$1:B$20,2,FALSE),0)</f>
        <v>784</v>
      </c>
      <c r="S3335" s="13">
        <f t="shared" si="370"/>
        <v>0</v>
      </c>
    </row>
    <row r="3336" spans="1:19" x14ac:dyDescent="0.25">
      <c r="A3336" s="24" t="s">
        <v>4469</v>
      </c>
      <c r="B3336" s="4" t="s">
        <v>1059</v>
      </c>
      <c r="C3336" s="25" t="s">
        <v>5</v>
      </c>
      <c r="G3336" s="25" t="s">
        <v>1698</v>
      </c>
      <c r="H3336" s="24" t="s">
        <v>1061</v>
      </c>
      <c r="I3336" s="3" t="str">
        <f>IFERROR(VLOOKUP(C3336,'Справочник соответствий'!A$2:D$2981,2,FALSE),IF(VALUE(C3336)=0,1,VLOOKUP(C3336,'Справочник соответствий'!A$2:D$2981,2,FALSE)))</f>
        <v>1</v>
      </c>
      <c r="J3336" s="3">
        <f>IFERROR(VLOOKUP(D3336,'Справочник соответствий'!A$2:D$2981,2,FALSE),IF(VALUE(D3336)=0,0,VLOOKUP(D3336,'Справочник соответствий'!A$2:D$2981,2,FALSE)))</f>
        <v>0</v>
      </c>
      <c r="K3336" s="3" t="str">
        <f t="shared" si="364"/>
        <v>1</v>
      </c>
      <c r="L3336" s="13" t="str">
        <f>IFERROR(VLOOKUP(C3336,'Справочник соответствий'!A$2:D$2981,3,FALSE),IF(VALUE(C3336)=0,"ЭТАЖ НЕ ОПРЕДЕЛЕН. ПРИНЯТ ПО ДОПУЩЕНИЮ 1",VLOOKUP(C3336,'Справочник соответствий'!A$2:D$2981,3,FALSE)))</f>
        <v>ЭТАЖ ЗАДАН ЧИСЛОМ</v>
      </c>
      <c r="M3336" s="13" t="b">
        <f t="shared" si="365"/>
        <v>0</v>
      </c>
      <c r="N3336" s="13">
        <f t="shared" si="366"/>
        <v>1</v>
      </c>
      <c r="O3336" s="13" t="str">
        <f t="shared" si="367"/>
        <v>ЭТАЖ ЗАДАН ЧИСЛОМ</v>
      </c>
      <c r="P3336" s="13" t="str">
        <f t="shared" si="368"/>
        <v>ЭТАЖ ЗАДАН ЧИСЛОМ</v>
      </c>
      <c r="Q3336" s="13" t="str">
        <f t="shared" si="369"/>
        <v>ГОТОВ_ИЗМЕНЕН</v>
      </c>
      <c r="R3336" s="13">
        <f>IFERROR(VLOOKUP(P3336,Лист1!A$1:B$20,2,FALSE),0)</f>
        <v>784</v>
      </c>
      <c r="S3336" s="13">
        <f t="shared" si="370"/>
        <v>0</v>
      </c>
    </row>
    <row r="3337" spans="1:19" x14ac:dyDescent="0.25">
      <c r="A3337" s="24" t="s">
        <v>4470</v>
      </c>
      <c r="B3337" s="4" t="s">
        <v>1063</v>
      </c>
      <c r="C3337" s="25" t="s">
        <v>5</v>
      </c>
      <c r="G3337" s="25" t="s">
        <v>1698</v>
      </c>
      <c r="H3337" s="24" t="s">
        <v>1061</v>
      </c>
      <c r="I3337" s="3" t="str">
        <f>IFERROR(VLOOKUP(C3337,'Справочник соответствий'!A$2:D$2981,2,FALSE),IF(VALUE(C3337)=0,1,VLOOKUP(C3337,'Справочник соответствий'!A$2:D$2981,2,FALSE)))</f>
        <v>1</v>
      </c>
      <c r="J3337" s="3">
        <f>IFERROR(VLOOKUP(D3337,'Справочник соответствий'!A$2:D$2981,2,FALSE),IF(VALUE(D3337)=0,0,VLOOKUP(D3337,'Справочник соответствий'!A$2:D$2981,2,FALSE)))</f>
        <v>0</v>
      </c>
      <c r="K3337" s="3" t="str">
        <f t="shared" si="364"/>
        <v>1</v>
      </c>
      <c r="L3337" s="13" t="str">
        <f>IFERROR(VLOOKUP(C3337,'Справочник соответствий'!A$2:D$2981,3,FALSE),IF(VALUE(C3337)=0,"ЭТАЖ НЕ ОПРЕДЕЛЕН. ПРИНЯТ ПО ДОПУЩЕНИЮ 1",VLOOKUP(C3337,'Справочник соответствий'!A$2:D$2981,3,FALSE)))</f>
        <v>ЭТАЖ ЗАДАН ЧИСЛОМ</v>
      </c>
      <c r="M3337" s="13" t="b">
        <f t="shared" si="365"/>
        <v>0</v>
      </c>
      <c r="N3337" s="13">
        <f t="shared" si="366"/>
        <v>1</v>
      </c>
      <c r="O3337" s="13" t="str">
        <f t="shared" si="367"/>
        <v>ЭТАЖ ЗАДАН ЧИСЛОМ</v>
      </c>
      <c r="P3337" s="13" t="str">
        <f t="shared" si="368"/>
        <v>ЭТАЖ ЗАДАН ЧИСЛОМ</v>
      </c>
      <c r="Q3337" s="13" t="str">
        <f t="shared" si="369"/>
        <v>ГОТОВ_ИЗМЕНЕН</v>
      </c>
      <c r="R3337" s="13">
        <f>IFERROR(VLOOKUP(P3337,Лист1!A$1:B$20,2,FALSE),0)</f>
        <v>784</v>
      </c>
      <c r="S3337" s="13">
        <f t="shared" si="370"/>
        <v>0</v>
      </c>
    </row>
    <row r="3338" spans="1:19" x14ac:dyDescent="0.25">
      <c r="A3338" s="24" t="s">
        <v>4471</v>
      </c>
      <c r="B3338" s="4" t="s">
        <v>1059</v>
      </c>
      <c r="C3338" s="25" t="s">
        <v>7</v>
      </c>
      <c r="G3338" s="25" t="s">
        <v>1698</v>
      </c>
      <c r="H3338" s="24" t="s">
        <v>1061</v>
      </c>
      <c r="I3338" s="3" t="str">
        <f>IFERROR(VLOOKUP(C3338,'Справочник соответствий'!A$2:D$2981,2,FALSE),IF(VALUE(C3338)=0,1,VLOOKUP(C3338,'Справочник соответствий'!A$2:D$2981,2,FALSE)))</f>
        <v>2</v>
      </c>
      <c r="J3338" s="3">
        <f>IFERROR(VLOOKUP(D3338,'Справочник соответствий'!A$2:D$2981,2,FALSE),IF(VALUE(D3338)=0,0,VLOOKUP(D3338,'Справочник соответствий'!A$2:D$2981,2,FALSE)))</f>
        <v>0</v>
      </c>
      <c r="K3338" s="3" t="str">
        <f t="shared" si="364"/>
        <v>2</v>
      </c>
      <c r="L3338" s="13" t="str">
        <f>IFERROR(VLOOKUP(C3338,'Справочник соответствий'!A$2:D$2981,3,FALSE),IF(VALUE(C3338)=0,"ЭТАЖ НЕ ОПРЕДЕЛЕН. ПРИНЯТ ПО ДОПУЩЕНИЮ 1",VLOOKUP(C3338,'Справочник соответствий'!A$2:D$2981,3,FALSE)))</f>
        <v>ЭТАЖ ЗАДАН ЧИСЛОМ</v>
      </c>
      <c r="M3338" s="13" t="b">
        <f t="shared" si="365"/>
        <v>0</v>
      </c>
      <c r="N3338" s="13">
        <f t="shared" si="366"/>
        <v>2</v>
      </c>
      <c r="O3338" s="13" t="str">
        <f t="shared" si="367"/>
        <v>ЭТАЖ ЗАДАН ЧИСЛОМ</v>
      </c>
      <c r="P3338" s="13" t="str">
        <f t="shared" si="368"/>
        <v>ЭТАЖ ЗАДАН ЧИСЛОМ</v>
      </c>
      <c r="Q3338" s="13" t="str">
        <f t="shared" si="369"/>
        <v>ГОТОВ_ИЗМЕНЕН</v>
      </c>
      <c r="R3338" s="13">
        <f>IFERROR(VLOOKUP(P3338,Лист1!A$1:B$20,2,FALSE),0)</f>
        <v>784</v>
      </c>
      <c r="S3338" s="13">
        <f t="shared" si="370"/>
        <v>0</v>
      </c>
    </row>
    <row r="3339" spans="1:19" x14ac:dyDescent="0.25">
      <c r="A3339" s="24" t="s">
        <v>4472</v>
      </c>
      <c r="B3339" s="4" t="s">
        <v>1063</v>
      </c>
      <c r="C3339" s="25" t="s">
        <v>5</v>
      </c>
      <c r="G3339" s="25" t="s">
        <v>1391</v>
      </c>
      <c r="H3339" s="24" t="s">
        <v>1061</v>
      </c>
      <c r="I3339" s="3" t="str">
        <f>IFERROR(VLOOKUP(C3339,'Справочник соответствий'!A$2:D$2981,2,FALSE),IF(VALUE(C3339)=0,1,VLOOKUP(C3339,'Справочник соответствий'!A$2:D$2981,2,FALSE)))</f>
        <v>1</v>
      </c>
      <c r="J3339" s="3">
        <f>IFERROR(VLOOKUP(D3339,'Справочник соответствий'!A$2:D$2981,2,FALSE),IF(VALUE(D3339)=0,0,VLOOKUP(D3339,'Справочник соответствий'!A$2:D$2981,2,FALSE)))</f>
        <v>0</v>
      </c>
      <c r="K3339" s="3" t="str">
        <f t="shared" si="364"/>
        <v>1</v>
      </c>
      <c r="L3339" s="13" t="str">
        <f>IFERROR(VLOOKUP(C3339,'Справочник соответствий'!A$2:D$2981,3,FALSE),IF(VALUE(C3339)=0,"ЭТАЖ НЕ ОПРЕДЕЛЕН. ПРИНЯТ ПО ДОПУЩЕНИЮ 1",VLOOKUP(C3339,'Справочник соответствий'!A$2:D$2981,3,FALSE)))</f>
        <v>ЭТАЖ ЗАДАН ЧИСЛОМ</v>
      </c>
      <c r="M3339" s="13" t="b">
        <f t="shared" si="365"/>
        <v>0</v>
      </c>
      <c r="N3339" s="13">
        <f t="shared" si="366"/>
        <v>1</v>
      </c>
      <c r="O3339" s="13" t="str">
        <f t="shared" si="367"/>
        <v>ЭТАЖ ЗАДАН ЧИСЛОМ</v>
      </c>
      <c r="P3339" s="13" t="str">
        <f t="shared" si="368"/>
        <v>ЭТАЖ ЗАДАН ЧИСЛОМ</v>
      </c>
      <c r="Q3339" s="13" t="str">
        <f t="shared" si="369"/>
        <v>ГОТОВ_ИЗМЕНЕН</v>
      </c>
      <c r="R3339" s="13">
        <f>IFERROR(VLOOKUP(P3339,Лист1!A$1:B$20,2,FALSE),0)</f>
        <v>784</v>
      </c>
      <c r="S3339" s="13">
        <f t="shared" si="370"/>
        <v>0</v>
      </c>
    </row>
    <row r="3340" spans="1:19" x14ac:dyDescent="0.25">
      <c r="A3340" s="24" t="s">
        <v>4473</v>
      </c>
      <c r="B3340" s="4" t="s">
        <v>1063</v>
      </c>
      <c r="G3340" s="25" t="s">
        <v>1391</v>
      </c>
      <c r="H3340" s="24" t="s">
        <v>1061</v>
      </c>
      <c r="I3340" s="3">
        <f>IFERROR(VLOOKUP(C3340,'Справочник соответствий'!A$2:D$2981,2,FALSE),IF(VALUE(C3340)=0,1,VLOOKUP(C3340,'Справочник соответствий'!A$2:D$2981,2,FALSE)))</f>
        <v>1</v>
      </c>
      <c r="J3340" s="3">
        <f>IFERROR(VLOOKUP(D3340,'Справочник соответствий'!A$2:D$2981,2,FALSE),IF(VALUE(D3340)=0,0,VLOOKUP(D3340,'Справочник соответствий'!A$2:D$2981,2,FALSE)))</f>
        <v>0</v>
      </c>
      <c r="K3340" s="3">
        <f t="shared" si="364"/>
        <v>1</v>
      </c>
      <c r="L3340" s="13" t="str">
        <f>IFERROR(VLOOKUP(C3340,'Справочник соответствий'!A$2:D$2981,3,FALSE),IF(VALUE(C3340)=0,"ЭТАЖ НЕ ОПРЕДЕЛЕН. ПРИНЯТ ПО ДОПУЩЕНИЮ 1",VLOOKUP(C3340,'Справочник соответствий'!A$2:D$2981,3,FALSE)))</f>
        <v>ЭТАЖ НЕ ОПРЕДЕЛЕН. ПРИНЯТ ПО ДОПУЩЕНИЮ 1</v>
      </c>
      <c r="M3340" s="13" t="b">
        <f t="shared" si="365"/>
        <v>0</v>
      </c>
      <c r="N3340" s="13">
        <f t="shared" si="366"/>
        <v>1</v>
      </c>
      <c r="O3340" s="13" t="str">
        <f t="shared" si="367"/>
        <v>ЭТАЖ НЕ ОПРЕДЕЛЕН. ПРИНЯТ ПО ДОПУЩЕНИЮ 1</v>
      </c>
      <c r="P3340" s="13" t="str">
        <f t="shared" si="368"/>
        <v>ЭТАЖ НЕ ОПРЕДЕЛЕН. ПРИНЯТ ПО ДОПУЩЕНИЮ 1</v>
      </c>
      <c r="Q3340" s="13" t="str">
        <f t="shared" si="369"/>
        <v>ГОТОВ_ИЗМЕНЕН</v>
      </c>
      <c r="R3340" s="13">
        <f>IFERROR(VLOOKUP(P3340,Лист1!A$1:B$20,2,FALSE),0)</f>
        <v>788</v>
      </c>
      <c r="S3340" s="13">
        <f t="shared" si="370"/>
        <v>0</v>
      </c>
    </row>
    <row r="3341" spans="1:19" x14ac:dyDescent="0.25">
      <c r="A3341" s="24" t="s">
        <v>4474</v>
      </c>
      <c r="B3341" s="4" t="s">
        <v>1063</v>
      </c>
      <c r="C3341" s="25" t="s">
        <v>5</v>
      </c>
      <c r="G3341" s="25" t="s">
        <v>1391</v>
      </c>
      <c r="H3341" s="24" t="s">
        <v>1061</v>
      </c>
      <c r="I3341" s="3" t="str">
        <f>IFERROR(VLOOKUP(C3341,'Справочник соответствий'!A$2:D$2981,2,FALSE),IF(VALUE(C3341)=0,1,VLOOKUP(C3341,'Справочник соответствий'!A$2:D$2981,2,FALSE)))</f>
        <v>1</v>
      </c>
      <c r="J3341" s="3">
        <f>IFERROR(VLOOKUP(D3341,'Справочник соответствий'!A$2:D$2981,2,FALSE),IF(VALUE(D3341)=0,0,VLOOKUP(D3341,'Справочник соответствий'!A$2:D$2981,2,FALSE)))</f>
        <v>0</v>
      </c>
      <c r="K3341" s="3" t="str">
        <f t="shared" si="364"/>
        <v>1</v>
      </c>
      <c r="L3341" s="13" t="str">
        <f>IFERROR(VLOOKUP(C3341,'Справочник соответствий'!A$2:D$2981,3,FALSE),IF(VALUE(C3341)=0,"ЭТАЖ НЕ ОПРЕДЕЛЕН. ПРИНЯТ ПО ДОПУЩЕНИЮ 1",VLOOKUP(C3341,'Справочник соответствий'!A$2:D$2981,3,FALSE)))</f>
        <v>ЭТАЖ ЗАДАН ЧИСЛОМ</v>
      </c>
      <c r="M3341" s="13" t="b">
        <f t="shared" si="365"/>
        <v>0</v>
      </c>
      <c r="N3341" s="13">
        <f t="shared" si="366"/>
        <v>1</v>
      </c>
      <c r="O3341" s="13" t="str">
        <f t="shared" si="367"/>
        <v>ЭТАЖ ЗАДАН ЧИСЛОМ</v>
      </c>
      <c r="P3341" s="13" t="str">
        <f t="shared" si="368"/>
        <v>ЭТАЖ ЗАДАН ЧИСЛОМ</v>
      </c>
      <c r="Q3341" s="13" t="str">
        <f t="shared" si="369"/>
        <v>ГОТОВ_ИЗМЕНЕН</v>
      </c>
      <c r="R3341" s="13">
        <f>IFERROR(VLOOKUP(P3341,Лист1!A$1:B$20,2,FALSE),0)</f>
        <v>784</v>
      </c>
      <c r="S3341" s="13">
        <f t="shared" si="370"/>
        <v>0</v>
      </c>
    </row>
    <row r="3342" spans="1:19" x14ac:dyDescent="0.25">
      <c r="A3342" s="24" t="s">
        <v>4475</v>
      </c>
      <c r="B3342" s="4" t="s">
        <v>1059</v>
      </c>
      <c r="C3342" s="25" t="s">
        <v>7</v>
      </c>
      <c r="G3342" s="25" t="s">
        <v>1347</v>
      </c>
      <c r="H3342" s="24" t="s">
        <v>1061</v>
      </c>
      <c r="I3342" s="3" t="str">
        <f>IFERROR(VLOOKUP(C3342,'Справочник соответствий'!A$2:D$2981,2,FALSE),IF(VALUE(C3342)=0,1,VLOOKUP(C3342,'Справочник соответствий'!A$2:D$2981,2,FALSE)))</f>
        <v>2</v>
      </c>
      <c r="J3342" s="3">
        <f>IFERROR(VLOOKUP(D3342,'Справочник соответствий'!A$2:D$2981,2,FALSE),IF(VALUE(D3342)=0,0,VLOOKUP(D3342,'Справочник соответствий'!A$2:D$2981,2,FALSE)))</f>
        <v>0</v>
      </c>
      <c r="K3342" s="3" t="str">
        <f t="shared" si="364"/>
        <v>2</v>
      </c>
      <c r="L3342" s="13" t="str">
        <f>IFERROR(VLOOKUP(C3342,'Справочник соответствий'!A$2:D$2981,3,FALSE),IF(VALUE(C3342)=0,"ЭТАЖ НЕ ОПРЕДЕЛЕН. ПРИНЯТ ПО ДОПУЩЕНИЮ 1",VLOOKUP(C3342,'Справочник соответствий'!A$2:D$2981,3,FALSE)))</f>
        <v>ЭТАЖ ЗАДАН ЧИСЛОМ</v>
      </c>
      <c r="M3342" s="13" t="b">
        <f t="shared" si="365"/>
        <v>0</v>
      </c>
      <c r="N3342" s="13">
        <f t="shared" si="366"/>
        <v>2</v>
      </c>
      <c r="O3342" s="13" t="str">
        <f t="shared" si="367"/>
        <v>ЭТАЖ ЗАДАН ЧИСЛОМ</v>
      </c>
      <c r="P3342" s="13" t="str">
        <f t="shared" si="368"/>
        <v>ЭТАЖ ЗАДАН ЧИСЛОМ</v>
      </c>
      <c r="Q3342" s="13" t="str">
        <f t="shared" si="369"/>
        <v>ГОТОВ_ИЗМЕНЕН</v>
      </c>
      <c r="R3342" s="13">
        <f>IFERROR(VLOOKUP(P3342,Лист1!A$1:B$20,2,FALSE),0)</f>
        <v>784</v>
      </c>
      <c r="S3342" s="13">
        <f t="shared" si="370"/>
        <v>0</v>
      </c>
    </row>
    <row r="3343" spans="1:19" x14ac:dyDescent="0.25">
      <c r="A3343" s="24" t="s">
        <v>4476</v>
      </c>
      <c r="B3343" s="4" t="s">
        <v>1063</v>
      </c>
      <c r="G3343" s="25" t="s">
        <v>1347</v>
      </c>
      <c r="H3343" s="24" t="s">
        <v>1061</v>
      </c>
      <c r="I3343" s="3">
        <f>IFERROR(VLOOKUP(C3343,'Справочник соответствий'!A$2:D$2981,2,FALSE),IF(VALUE(C3343)=0,1,VLOOKUP(C3343,'Справочник соответствий'!A$2:D$2981,2,FALSE)))</f>
        <v>1</v>
      </c>
      <c r="J3343" s="3">
        <f>IFERROR(VLOOKUP(D3343,'Справочник соответствий'!A$2:D$2981,2,FALSE),IF(VALUE(D3343)=0,0,VLOOKUP(D3343,'Справочник соответствий'!A$2:D$2981,2,FALSE)))</f>
        <v>0</v>
      </c>
      <c r="K3343" s="3">
        <f t="shared" si="364"/>
        <v>1</v>
      </c>
      <c r="L3343" s="13" t="str">
        <f>IFERROR(VLOOKUP(C3343,'Справочник соответствий'!A$2:D$2981,3,FALSE),IF(VALUE(C3343)=0,"ЭТАЖ НЕ ОПРЕДЕЛЕН. ПРИНЯТ ПО ДОПУЩЕНИЮ 1",VLOOKUP(C3343,'Справочник соответствий'!A$2:D$2981,3,FALSE)))</f>
        <v>ЭТАЖ НЕ ОПРЕДЕЛЕН. ПРИНЯТ ПО ДОПУЩЕНИЮ 1</v>
      </c>
      <c r="M3343" s="13" t="b">
        <f t="shared" si="365"/>
        <v>0</v>
      </c>
      <c r="N3343" s="13">
        <f t="shared" si="366"/>
        <v>1</v>
      </c>
      <c r="O3343" s="13" t="str">
        <f t="shared" si="367"/>
        <v>ЭТАЖ НЕ ОПРЕДЕЛЕН. ПРИНЯТ ПО ДОПУЩЕНИЮ 1</v>
      </c>
      <c r="P3343" s="13" t="str">
        <f t="shared" si="368"/>
        <v>ЭТАЖ НЕ ОПРЕДЕЛЕН. ПРИНЯТ ПО ДОПУЩЕНИЮ 1</v>
      </c>
      <c r="Q3343" s="13" t="str">
        <f t="shared" si="369"/>
        <v>ГОТОВ_ИЗМЕНЕН</v>
      </c>
      <c r="R3343" s="13">
        <f>IFERROR(VLOOKUP(P3343,Лист1!A$1:B$20,2,FALSE),0)</f>
        <v>788</v>
      </c>
      <c r="S3343" s="13">
        <f t="shared" si="370"/>
        <v>0</v>
      </c>
    </row>
    <row r="3344" spans="1:19" x14ac:dyDescent="0.25">
      <c r="A3344" s="24" t="s">
        <v>4477</v>
      </c>
      <c r="B3344" s="4" t="s">
        <v>1063</v>
      </c>
      <c r="C3344" s="25" t="s">
        <v>5</v>
      </c>
      <c r="G3344" s="25" t="s">
        <v>1347</v>
      </c>
      <c r="H3344" s="24" t="s">
        <v>1061</v>
      </c>
      <c r="I3344" s="3" t="str">
        <f>IFERROR(VLOOKUP(C3344,'Справочник соответствий'!A$2:D$2981,2,FALSE),IF(VALUE(C3344)=0,1,VLOOKUP(C3344,'Справочник соответствий'!A$2:D$2981,2,FALSE)))</f>
        <v>1</v>
      </c>
      <c r="J3344" s="3">
        <f>IFERROR(VLOOKUP(D3344,'Справочник соответствий'!A$2:D$2981,2,FALSE),IF(VALUE(D3344)=0,0,VLOOKUP(D3344,'Справочник соответствий'!A$2:D$2981,2,FALSE)))</f>
        <v>0</v>
      </c>
      <c r="K3344" s="3" t="str">
        <f t="shared" si="364"/>
        <v>1</v>
      </c>
      <c r="L3344" s="13" t="str">
        <f>IFERROR(VLOOKUP(C3344,'Справочник соответствий'!A$2:D$2981,3,FALSE),IF(VALUE(C3344)=0,"ЭТАЖ НЕ ОПРЕДЕЛЕН. ПРИНЯТ ПО ДОПУЩЕНИЮ 1",VLOOKUP(C3344,'Справочник соответствий'!A$2:D$2981,3,FALSE)))</f>
        <v>ЭТАЖ ЗАДАН ЧИСЛОМ</v>
      </c>
      <c r="M3344" s="13" t="b">
        <f t="shared" si="365"/>
        <v>0</v>
      </c>
      <c r="N3344" s="13">
        <f t="shared" si="366"/>
        <v>1</v>
      </c>
      <c r="O3344" s="13" t="str">
        <f t="shared" si="367"/>
        <v>ЭТАЖ ЗАДАН ЧИСЛОМ</v>
      </c>
      <c r="P3344" s="13" t="str">
        <f t="shared" si="368"/>
        <v>ЭТАЖ ЗАДАН ЧИСЛОМ</v>
      </c>
      <c r="Q3344" s="13" t="str">
        <f t="shared" si="369"/>
        <v>ГОТОВ_ИЗМЕНЕН</v>
      </c>
      <c r="R3344" s="13">
        <f>IFERROR(VLOOKUP(P3344,Лист1!A$1:B$20,2,FALSE),0)</f>
        <v>784</v>
      </c>
      <c r="S3344" s="13">
        <f t="shared" si="370"/>
        <v>0</v>
      </c>
    </row>
    <row r="3345" spans="1:19" x14ac:dyDescent="0.25">
      <c r="A3345" s="24" t="s">
        <v>4478</v>
      </c>
      <c r="B3345" s="4" t="s">
        <v>1059</v>
      </c>
      <c r="C3345" s="25" t="s">
        <v>7</v>
      </c>
      <c r="G3345" s="25" t="s">
        <v>1347</v>
      </c>
      <c r="H3345" s="24" t="s">
        <v>1061</v>
      </c>
      <c r="I3345" s="3" t="str">
        <f>IFERROR(VLOOKUP(C3345,'Справочник соответствий'!A$2:D$2981,2,FALSE),IF(VALUE(C3345)=0,1,VLOOKUP(C3345,'Справочник соответствий'!A$2:D$2981,2,FALSE)))</f>
        <v>2</v>
      </c>
      <c r="J3345" s="3">
        <f>IFERROR(VLOOKUP(D3345,'Справочник соответствий'!A$2:D$2981,2,FALSE),IF(VALUE(D3345)=0,0,VLOOKUP(D3345,'Справочник соответствий'!A$2:D$2981,2,FALSE)))</f>
        <v>0</v>
      </c>
      <c r="K3345" s="3" t="str">
        <f t="shared" si="364"/>
        <v>2</v>
      </c>
      <c r="L3345" s="13" t="str">
        <f>IFERROR(VLOOKUP(C3345,'Справочник соответствий'!A$2:D$2981,3,FALSE),IF(VALUE(C3345)=0,"ЭТАЖ НЕ ОПРЕДЕЛЕН. ПРИНЯТ ПО ДОПУЩЕНИЮ 1",VLOOKUP(C3345,'Справочник соответствий'!A$2:D$2981,3,FALSE)))</f>
        <v>ЭТАЖ ЗАДАН ЧИСЛОМ</v>
      </c>
      <c r="M3345" s="13" t="b">
        <f t="shared" si="365"/>
        <v>0</v>
      </c>
      <c r="N3345" s="13">
        <f t="shared" si="366"/>
        <v>2</v>
      </c>
      <c r="O3345" s="13" t="str">
        <f t="shared" si="367"/>
        <v>ЭТАЖ ЗАДАН ЧИСЛОМ</v>
      </c>
      <c r="P3345" s="13" t="str">
        <f t="shared" si="368"/>
        <v>ЭТАЖ ЗАДАН ЧИСЛОМ</v>
      </c>
      <c r="Q3345" s="13" t="str">
        <f t="shared" si="369"/>
        <v>ГОТОВ_ИЗМЕНЕН</v>
      </c>
      <c r="R3345" s="13">
        <f>IFERROR(VLOOKUP(P3345,Лист1!A$1:B$20,2,FALSE),0)</f>
        <v>784</v>
      </c>
      <c r="S3345" s="13">
        <f t="shared" si="370"/>
        <v>0</v>
      </c>
    </row>
    <row r="3346" spans="1:19" x14ac:dyDescent="0.25">
      <c r="A3346" s="24" t="s">
        <v>4479</v>
      </c>
      <c r="B3346" s="4" t="s">
        <v>1063</v>
      </c>
      <c r="G3346" s="25" t="s">
        <v>1347</v>
      </c>
      <c r="H3346" s="24" t="s">
        <v>1061</v>
      </c>
      <c r="I3346" s="3">
        <f>IFERROR(VLOOKUP(C3346,'Справочник соответствий'!A$2:D$2981,2,FALSE),IF(VALUE(C3346)=0,1,VLOOKUP(C3346,'Справочник соответствий'!A$2:D$2981,2,FALSE)))</f>
        <v>1</v>
      </c>
      <c r="J3346" s="3">
        <f>IFERROR(VLOOKUP(D3346,'Справочник соответствий'!A$2:D$2981,2,FALSE),IF(VALUE(D3346)=0,0,VLOOKUP(D3346,'Справочник соответствий'!A$2:D$2981,2,FALSE)))</f>
        <v>0</v>
      </c>
      <c r="K3346" s="3">
        <f t="shared" si="364"/>
        <v>1</v>
      </c>
      <c r="L3346" s="13" t="str">
        <f>IFERROR(VLOOKUP(C3346,'Справочник соответствий'!A$2:D$2981,3,FALSE),IF(VALUE(C3346)=0,"ЭТАЖ НЕ ОПРЕДЕЛЕН. ПРИНЯТ ПО ДОПУЩЕНИЮ 1",VLOOKUP(C3346,'Справочник соответствий'!A$2:D$2981,3,FALSE)))</f>
        <v>ЭТАЖ НЕ ОПРЕДЕЛЕН. ПРИНЯТ ПО ДОПУЩЕНИЮ 1</v>
      </c>
      <c r="M3346" s="13" t="b">
        <f t="shared" si="365"/>
        <v>0</v>
      </c>
      <c r="N3346" s="13">
        <f t="shared" si="366"/>
        <v>1</v>
      </c>
      <c r="O3346" s="13" t="str">
        <f t="shared" si="367"/>
        <v>ЭТАЖ НЕ ОПРЕДЕЛЕН. ПРИНЯТ ПО ДОПУЩЕНИЮ 1</v>
      </c>
      <c r="P3346" s="13" t="str">
        <f t="shared" si="368"/>
        <v>ЭТАЖ НЕ ОПРЕДЕЛЕН. ПРИНЯТ ПО ДОПУЩЕНИЮ 1</v>
      </c>
      <c r="Q3346" s="13" t="str">
        <f t="shared" si="369"/>
        <v>ГОТОВ_ИЗМЕНЕН</v>
      </c>
      <c r="R3346" s="13">
        <f>IFERROR(VLOOKUP(P3346,Лист1!A$1:B$20,2,FALSE),0)</f>
        <v>788</v>
      </c>
      <c r="S3346" s="13">
        <f t="shared" si="370"/>
        <v>0</v>
      </c>
    </row>
    <row r="3347" spans="1:19" x14ac:dyDescent="0.25">
      <c r="A3347" s="24" t="s">
        <v>4480</v>
      </c>
      <c r="B3347" s="4" t="s">
        <v>1059</v>
      </c>
      <c r="C3347" s="25" t="s">
        <v>8</v>
      </c>
      <c r="G3347" s="25" t="s">
        <v>1347</v>
      </c>
      <c r="H3347" s="24" t="s">
        <v>1061</v>
      </c>
      <c r="I3347" s="3" t="str">
        <f>IFERROR(VLOOKUP(C3347,'Справочник соответствий'!A$2:D$2981,2,FALSE),IF(VALUE(C3347)=0,1,VLOOKUP(C3347,'Справочник соответствий'!A$2:D$2981,2,FALSE)))</f>
        <v>3</v>
      </c>
      <c r="J3347" s="3">
        <f>IFERROR(VLOOKUP(D3347,'Справочник соответствий'!A$2:D$2981,2,FALSE),IF(VALUE(D3347)=0,0,VLOOKUP(D3347,'Справочник соответствий'!A$2:D$2981,2,FALSE)))</f>
        <v>0</v>
      </c>
      <c r="K3347" s="3" t="str">
        <f t="shared" si="364"/>
        <v>3</v>
      </c>
      <c r="L3347" s="13" t="str">
        <f>IFERROR(VLOOKUP(C3347,'Справочник соответствий'!A$2:D$2981,3,FALSE),IF(VALUE(C3347)=0,"ЭТАЖ НЕ ОПРЕДЕЛЕН. ПРИНЯТ ПО ДОПУЩЕНИЮ 1",VLOOKUP(C3347,'Справочник соответствий'!A$2:D$2981,3,FALSE)))</f>
        <v>ЭТАЖ ЗАДАН ЧИСЛОМ</v>
      </c>
      <c r="M3347" s="13" t="b">
        <f t="shared" si="365"/>
        <v>0</v>
      </c>
      <c r="N3347" s="13">
        <f t="shared" si="366"/>
        <v>3</v>
      </c>
      <c r="O3347" s="13" t="str">
        <f t="shared" si="367"/>
        <v>ЭТАЖ ЗАДАН ЧИСЛОМ</v>
      </c>
      <c r="P3347" s="13" t="str">
        <f t="shared" si="368"/>
        <v>ЭТАЖ ЗАДАН ЧИСЛОМ</v>
      </c>
      <c r="Q3347" s="13" t="str">
        <f t="shared" si="369"/>
        <v>ГОТОВ_ИЗМЕНЕН</v>
      </c>
      <c r="R3347" s="13">
        <f>IFERROR(VLOOKUP(P3347,Лист1!A$1:B$20,2,FALSE),0)</f>
        <v>784</v>
      </c>
      <c r="S3347" s="13">
        <f t="shared" si="370"/>
        <v>0</v>
      </c>
    </row>
    <row r="3348" spans="1:19" x14ac:dyDescent="0.25">
      <c r="A3348" s="24" t="s">
        <v>4481</v>
      </c>
      <c r="B3348" s="4" t="s">
        <v>1059</v>
      </c>
      <c r="C3348" s="25" t="s">
        <v>7</v>
      </c>
      <c r="G3348" s="25" t="s">
        <v>1347</v>
      </c>
      <c r="H3348" s="24" t="s">
        <v>1061</v>
      </c>
      <c r="I3348" s="3" t="str">
        <f>IFERROR(VLOOKUP(C3348,'Справочник соответствий'!A$2:D$2981,2,FALSE),IF(VALUE(C3348)=0,1,VLOOKUP(C3348,'Справочник соответствий'!A$2:D$2981,2,FALSE)))</f>
        <v>2</v>
      </c>
      <c r="J3348" s="3">
        <f>IFERROR(VLOOKUP(D3348,'Справочник соответствий'!A$2:D$2981,2,FALSE),IF(VALUE(D3348)=0,0,VLOOKUP(D3348,'Справочник соответствий'!A$2:D$2981,2,FALSE)))</f>
        <v>0</v>
      </c>
      <c r="K3348" s="3" t="str">
        <f t="shared" si="364"/>
        <v>2</v>
      </c>
      <c r="L3348" s="13" t="str">
        <f>IFERROR(VLOOKUP(C3348,'Справочник соответствий'!A$2:D$2981,3,FALSE),IF(VALUE(C3348)=0,"ЭТАЖ НЕ ОПРЕДЕЛЕН. ПРИНЯТ ПО ДОПУЩЕНИЮ 1",VLOOKUP(C3348,'Справочник соответствий'!A$2:D$2981,3,FALSE)))</f>
        <v>ЭТАЖ ЗАДАН ЧИСЛОМ</v>
      </c>
      <c r="M3348" s="13" t="b">
        <f t="shared" si="365"/>
        <v>0</v>
      </c>
      <c r="N3348" s="13">
        <f t="shared" si="366"/>
        <v>2</v>
      </c>
      <c r="O3348" s="13" t="str">
        <f t="shared" si="367"/>
        <v>ЭТАЖ ЗАДАН ЧИСЛОМ</v>
      </c>
      <c r="P3348" s="13" t="str">
        <f t="shared" si="368"/>
        <v>ЭТАЖ ЗАДАН ЧИСЛОМ</v>
      </c>
      <c r="Q3348" s="13" t="str">
        <f t="shared" si="369"/>
        <v>ГОТОВ_ИЗМЕНЕН</v>
      </c>
      <c r="R3348" s="13">
        <f>IFERROR(VLOOKUP(P3348,Лист1!A$1:B$20,2,FALSE),0)</f>
        <v>784</v>
      </c>
      <c r="S3348" s="13">
        <f t="shared" si="370"/>
        <v>0</v>
      </c>
    </row>
    <row r="3349" spans="1:19" x14ac:dyDescent="0.25">
      <c r="A3349" s="24" t="s">
        <v>4482</v>
      </c>
      <c r="B3349" s="4" t="s">
        <v>1063</v>
      </c>
      <c r="C3349" s="25" t="s">
        <v>5</v>
      </c>
      <c r="G3349" s="25" t="s">
        <v>1321</v>
      </c>
      <c r="H3349" s="24" t="s">
        <v>1061</v>
      </c>
      <c r="I3349" s="3" t="str">
        <f>IFERROR(VLOOKUP(C3349,'Справочник соответствий'!A$2:D$2981,2,FALSE),IF(VALUE(C3349)=0,1,VLOOKUP(C3349,'Справочник соответствий'!A$2:D$2981,2,FALSE)))</f>
        <v>1</v>
      </c>
      <c r="J3349" s="3">
        <f>IFERROR(VLOOKUP(D3349,'Справочник соответствий'!A$2:D$2981,2,FALSE),IF(VALUE(D3349)=0,0,VLOOKUP(D3349,'Справочник соответствий'!A$2:D$2981,2,FALSE)))</f>
        <v>0</v>
      </c>
      <c r="K3349" s="3" t="str">
        <f t="shared" si="364"/>
        <v>1</v>
      </c>
      <c r="L3349" s="13" t="str">
        <f>IFERROR(VLOOKUP(C3349,'Справочник соответствий'!A$2:D$2981,3,FALSE),IF(VALUE(C3349)=0,"ЭТАЖ НЕ ОПРЕДЕЛЕН. ПРИНЯТ ПО ДОПУЩЕНИЮ 1",VLOOKUP(C3349,'Справочник соответствий'!A$2:D$2981,3,FALSE)))</f>
        <v>ЭТАЖ ЗАДАН ЧИСЛОМ</v>
      </c>
      <c r="M3349" s="13" t="b">
        <f t="shared" si="365"/>
        <v>0</v>
      </c>
      <c r="N3349" s="13">
        <f t="shared" si="366"/>
        <v>1</v>
      </c>
      <c r="O3349" s="13" t="str">
        <f t="shared" si="367"/>
        <v>ЭТАЖ ЗАДАН ЧИСЛОМ</v>
      </c>
      <c r="P3349" s="13" t="str">
        <f t="shared" si="368"/>
        <v>ЭТАЖ ЗАДАН ЧИСЛОМ</v>
      </c>
      <c r="Q3349" s="13" t="str">
        <f t="shared" si="369"/>
        <v>ГОТОВ_ИЗМЕНЕН</v>
      </c>
      <c r="R3349" s="13">
        <f>IFERROR(VLOOKUP(P3349,Лист1!A$1:B$20,2,FALSE),0)</f>
        <v>784</v>
      </c>
      <c r="S3349" s="13">
        <f t="shared" si="370"/>
        <v>0</v>
      </c>
    </row>
    <row r="3350" spans="1:19" x14ac:dyDescent="0.25">
      <c r="A3350" s="24" t="s">
        <v>4483</v>
      </c>
      <c r="B3350" s="4" t="s">
        <v>1063</v>
      </c>
      <c r="C3350" s="25" t="s">
        <v>5</v>
      </c>
      <c r="G3350" s="25" t="s">
        <v>1321</v>
      </c>
      <c r="H3350" s="24" t="s">
        <v>1061</v>
      </c>
      <c r="I3350" s="3" t="str">
        <f>IFERROR(VLOOKUP(C3350,'Справочник соответствий'!A$2:D$2981,2,FALSE),IF(VALUE(C3350)=0,1,VLOOKUP(C3350,'Справочник соответствий'!A$2:D$2981,2,FALSE)))</f>
        <v>1</v>
      </c>
      <c r="J3350" s="3">
        <f>IFERROR(VLOOKUP(D3350,'Справочник соответствий'!A$2:D$2981,2,FALSE),IF(VALUE(D3350)=0,0,VLOOKUP(D3350,'Справочник соответствий'!A$2:D$2981,2,FALSE)))</f>
        <v>0</v>
      </c>
      <c r="K3350" s="3" t="str">
        <f t="shared" si="364"/>
        <v>1</v>
      </c>
      <c r="L3350" s="13" t="str">
        <f>IFERROR(VLOOKUP(C3350,'Справочник соответствий'!A$2:D$2981,3,FALSE),IF(VALUE(C3350)=0,"ЭТАЖ НЕ ОПРЕДЕЛЕН. ПРИНЯТ ПО ДОПУЩЕНИЮ 1",VLOOKUP(C3350,'Справочник соответствий'!A$2:D$2981,3,FALSE)))</f>
        <v>ЭТАЖ ЗАДАН ЧИСЛОМ</v>
      </c>
      <c r="M3350" s="13" t="b">
        <f t="shared" si="365"/>
        <v>0</v>
      </c>
      <c r="N3350" s="13">
        <f t="shared" si="366"/>
        <v>1</v>
      </c>
      <c r="O3350" s="13" t="str">
        <f t="shared" si="367"/>
        <v>ЭТАЖ ЗАДАН ЧИСЛОМ</v>
      </c>
      <c r="P3350" s="13" t="str">
        <f t="shared" si="368"/>
        <v>ЭТАЖ ЗАДАН ЧИСЛОМ</v>
      </c>
      <c r="Q3350" s="13" t="str">
        <f t="shared" si="369"/>
        <v>ГОТОВ_ИЗМЕНЕН</v>
      </c>
      <c r="R3350" s="13">
        <f>IFERROR(VLOOKUP(P3350,Лист1!A$1:B$20,2,FALSE),0)</f>
        <v>784</v>
      </c>
      <c r="S3350" s="13">
        <f t="shared" si="370"/>
        <v>0</v>
      </c>
    </row>
    <row r="3351" spans="1:19" x14ac:dyDescent="0.25">
      <c r="A3351" s="24" t="s">
        <v>4484</v>
      </c>
      <c r="B3351" s="4" t="s">
        <v>1059</v>
      </c>
      <c r="C3351" s="25" t="s">
        <v>5</v>
      </c>
      <c r="G3351" s="25" t="s">
        <v>1321</v>
      </c>
      <c r="H3351" s="24" t="s">
        <v>1061</v>
      </c>
      <c r="I3351" s="3" t="str">
        <f>IFERROR(VLOOKUP(C3351,'Справочник соответствий'!A$2:D$2981,2,FALSE),IF(VALUE(C3351)=0,1,VLOOKUP(C3351,'Справочник соответствий'!A$2:D$2981,2,FALSE)))</f>
        <v>1</v>
      </c>
      <c r="J3351" s="3">
        <f>IFERROR(VLOOKUP(D3351,'Справочник соответствий'!A$2:D$2981,2,FALSE),IF(VALUE(D3351)=0,0,VLOOKUP(D3351,'Справочник соответствий'!A$2:D$2981,2,FALSE)))</f>
        <v>0</v>
      </c>
      <c r="K3351" s="3" t="str">
        <f t="shared" si="364"/>
        <v>1</v>
      </c>
      <c r="L3351" s="13" t="str">
        <f>IFERROR(VLOOKUP(C3351,'Справочник соответствий'!A$2:D$2981,3,FALSE),IF(VALUE(C3351)=0,"ЭТАЖ НЕ ОПРЕДЕЛЕН. ПРИНЯТ ПО ДОПУЩЕНИЮ 1",VLOOKUP(C3351,'Справочник соответствий'!A$2:D$2981,3,FALSE)))</f>
        <v>ЭТАЖ ЗАДАН ЧИСЛОМ</v>
      </c>
      <c r="M3351" s="13" t="b">
        <f t="shared" si="365"/>
        <v>0</v>
      </c>
      <c r="N3351" s="13">
        <f t="shared" si="366"/>
        <v>1</v>
      </c>
      <c r="O3351" s="13" t="str">
        <f t="shared" si="367"/>
        <v>ЭТАЖ ЗАДАН ЧИСЛОМ</v>
      </c>
      <c r="P3351" s="13" t="str">
        <f t="shared" si="368"/>
        <v>ЭТАЖ ЗАДАН ЧИСЛОМ</v>
      </c>
      <c r="Q3351" s="13" t="str">
        <f t="shared" si="369"/>
        <v>ГОТОВ_ИЗМЕНЕН</v>
      </c>
      <c r="R3351" s="13">
        <f>IFERROR(VLOOKUP(P3351,Лист1!A$1:B$20,2,FALSE),0)</f>
        <v>784</v>
      </c>
      <c r="S3351" s="13">
        <f t="shared" si="370"/>
        <v>0</v>
      </c>
    </row>
    <row r="3352" spans="1:19" x14ac:dyDescent="0.25">
      <c r="A3352" s="24" t="s">
        <v>4485</v>
      </c>
      <c r="B3352" s="4" t="s">
        <v>1063</v>
      </c>
      <c r="G3352" s="25" t="s">
        <v>1321</v>
      </c>
      <c r="H3352" s="24" t="s">
        <v>1061</v>
      </c>
      <c r="I3352" s="3">
        <f>IFERROR(VLOOKUP(C3352,'Справочник соответствий'!A$2:D$2981,2,FALSE),IF(VALUE(C3352)=0,1,VLOOKUP(C3352,'Справочник соответствий'!A$2:D$2981,2,FALSE)))</f>
        <v>1</v>
      </c>
      <c r="J3352" s="3">
        <f>IFERROR(VLOOKUP(D3352,'Справочник соответствий'!A$2:D$2981,2,FALSE),IF(VALUE(D3352)=0,0,VLOOKUP(D3352,'Справочник соответствий'!A$2:D$2981,2,FALSE)))</f>
        <v>0</v>
      </c>
      <c r="K3352" s="3">
        <f t="shared" si="364"/>
        <v>1</v>
      </c>
      <c r="L3352" s="13" t="str">
        <f>IFERROR(VLOOKUP(C3352,'Справочник соответствий'!A$2:D$2981,3,FALSE),IF(VALUE(C3352)=0,"ЭТАЖ НЕ ОПРЕДЕЛЕН. ПРИНЯТ ПО ДОПУЩЕНИЮ 1",VLOOKUP(C3352,'Справочник соответствий'!A$2:D$2981,3,FALSE)))</f>
        <v>ЭТАЖ НЕ ОПРЕДЕЛЕН. ПРИНЯТ ПО ДОПУЩЕНИЮ 1</v>
      </c>
      <c r="M3352" s="13" t="b">
        <f t="shared" si="365"/>
        <v>0</v>
      </c>
      <c r="N3352" s="13">
        <f t="shared" si="366"/>
        <v>1</v>
      </c>
      <c r="O3352" s="13" t="str">
        <f t="shared" si="367"/>
        <v>ЭТАЖ НЕ ОПРЕДЕЛЕН. ПРИНЯТ ПО ДОПУЩЕНИЮ 1</v>
      </c>
      <c r="P3352" s="13" t="str">
        <f t="shared" si="368"/>
        <v>ЭТАЖ НЕ ОПРЕДЕЛЕН. ПРИНЯТ ПО ДОПУЩЕНИЮ 1</v>
      </c>
      <c r="Q3352" s="13" t="str">
        <f t="shared" si="369"/>
        <v>ГОТОВ_ИЗМЕНЕН</v>
      </c>
      <c r="R3352" s="13">
        <f>IFERROR(VLOOKUP(P3352,Лист1!A$1:B$20,2,FALSE),0)</f>
        <v>788</v>
      </c>
      <c r="S3352" s="13">
        <f t="shared" si="370"/>
        <v>0</v>
      </c>
    </row>
    <row r="3353" spans="1:19" x14ac:dyDescent="0.25">
      <c r="A3353" s="24" t="s">
        <v>4486</v>
      </c>
      <c r="B3353" s="4" t="s">
        <v>1059</v>
      </c>
      <c r="C3353" s="25" t="s">
        <v>7</v>
      </c>
      <c r="G3353" s="25" t="s">
        <v>1321</v>
      </c>
      <c r="H3353" s="24" t="s">
        <v>1061</v>
      </c>
      <c r="I3353" s="3" t="str">
        <f>IFERROR(VLOOKUP(C3353,'Справочник соответствий'!A$2:D$2981,2,FALSE),IF(VALUE(C3353)=0,1,VLOOKUP(C3353,'Справочник соответствий'!A$2:D$2981,2,FALSE)))</f>
        <v>2</v>
      </c>
      <c r="J3353" s="3">
        <f>IFERROR(VLOOKUP(D3353,'Справочник соответствий'!A$2:D$2981,2,FALSE),IF(VALUE(D3353)=0,0,VLOOKUP(D3353,'Справочник соответствий'!A$2:D$2981,2,FALSE)))</f>
        <v>0</v>
      </c>
      <c r="K3353" s="3" t="str">
        <f t="shared" si="364"/>
        <v>2</v>
      </c>
      <c r="L3353" s="13" t="str">
        <f>IFERROR(VLOOKUP(C3353,'Справочник соответствий'!A$2:D$2981,3,FALSE),IF(VALUE(C3353)=0,"ЭТАЖ НЕ ОПРЕДЕЛЕН. ПРИНЯТ ПО ДОПУЩЕНИЮ 1",VLOOKUP(C3353,'Справочник соответствий'!A$2:D$2981,3,FALSE)))</f>
        <v>ЭТАЖ ЗАДАН ЧИСЛОМ</v>
      </c>
      <c r="M3353" s="13" t="b">
        <f t="shared" si="365"/>
        <v>0</v>
      </c>
      <c r="N3353" s="13">
        <f t="shared" si="366"/>
        <v>2</v>
      </c>
      <c r="O3353" s="13" t="str">
        <f t="shared" si="367"/>
        <v>ЭТАЖ ЗАДАН ЧИСЛОМ</v>
      </c>
      <c r="P3353" s="13" t="str">
        <f t="shared" si="368"/>
        <v>ЭТАЖ ЗАДАН ЧИСЛОМ</v>
      </c>
      <c r="Q3353" s="13" t="str">
        <f t="shared" si="369"/>
        <v>ГОТОВ_ИЗМЕНЕН</v>
      </c>
      <c r="R3353" s="13">
        <f>IFERROR(VLOOKUP(P3353,Лист1!A$1:B$20,2,FALSE),0)</f>
        <v>784</v>
      </c>
      <c r="S3353" s="13">
        <f t="shared" si="370"/>
        <v>0</v>
      </c>
    </row>
    <row r="3354" spans="1:19" x14ac:dyDescent="0.25">
      <c r="A3354" s="24" t="s">
        <v>4487</v>
      </c>
      <c r="B3354" s="4" t="s">
        <v>1059</v>
      </c>
      <c r="C3354" s="25" t="s">
        <v>5</v>
      </c>
      <c r="G3354" s="25" t="s">
        <v>2763</v>
      </c>
      <c r="H3354" s="24" t="s">
        <v>1061</v>
      </c>
      <c r="I3354" s="3" t="str">
        <f>IFERROR(VLOOKUP(C3354,'Справочник соответствий'!A$2:D$2981,2,FALSE),IF(VALUE(C3354)=0,1,VLOOKUP(C3354,'Справочник соответствий'!A$2:D$2981,2,FALSE)))</f>
        <v>1</v>
      </c>
      <c r="J3354" s="3">
        <f>IFERROR(VLOOKUP(D3354,'Справочник соответствий'!A$2:D$2981,2,FALSE),IF(VALUE(D3354)=0,0,VLOOKUP(D3354,'Справочник соответствий'!A$2:D$2981,2,FALSE)))</f>
        <v>0</v>
      </c>
      <c r="K3354" s="3" t="str">
        <f t="shared" si="364"/>
        <v>1</v>
      </c>
      <c r="L3354" s="13" t="str">
        <f>IFERROR(VLOOKUP(C3354,'Справочник соответствий'!A$2:D$2981,3,FALSE),IF(VALUE(C3354)=0,"ЭТАЖ НЕ ОПРЕДЕЛЕН. ПРИНЯТ ПО ДОПУЩЕНИЮ 1",VLOOKUP(C3354,'Справочник соответствий'!A$2:D$2981,3,FALSE)))</f>
        <v>ЭТАЖ ЗАДАН ЧИСЛОМ</v>
      </c>
      <c r="M3354" s="13" t="b">
        <f t="shared" si="365"/>
        <v>0</v>
      </c>
      <c r="N3354" s="13">
        <f t="shared" si="366"/>
        <v>1</v>
      </c>
      <c r="O3354" s="13" t="str">
        <f t="shared" si="367"/>
        <v>ЭТАЖ ЗАДАН ЧИСЛОМ</v>
      </c>
      <c r="P3354" s="13" t="str">
        <f t="shared" si="368"/>
        <v>ЭТАЖ ЗАДАН ЧИСЛОМ</v>
      </c>
      <c r="Q3354" s="13" t="str">
        <f t="shared" si="369"/>
        <v>ГОТОВ_ИЗМЕНЕН</v>
      </c>
      <c r="R3354" s="13">
        <f>IFERROR(VLOOKUP(P3354,Лист1!A$1:B$20,2,FALSE),0)</f>
        <v>784</v>
      </c>
      <c r="S3354" s="13">
        <f t="shared" si="370"/>
        <v>0</v>
      </c>
    </row>
    <row r="3355" spans="1:19" x14ac:dyDescent="0.25">
      <c r="A3355" s="24" t="s">
        <v>4488</v>
      </c>
      <c r="B3355" s="4" t="s">
        <v>1063</v>
      </c>
      <c r="C3355" s="25" t="s">
        <v>7</v>
      </c>
      <c r="G3355" s="25" t="s">
        <v>2763</v>
      </c>
      <c r="H3355" s="24" t="s">
        <v>1061</v>
      </c>
      <c r="I3355" s="3" t="str">
        <f>IFERROR(VLOOKUP(C3355,'Справочник соответствий'!A$2:D$2981,2,FALSE),IF(VALUE(C3355)=0,1,VLOOKUP(C3355,'Справочник соответствий'!A$2:D$2981,2,FALSE)))</f>
        <v>2</v>
      </c>
      <c r="J3355" s="3">
        <f>IFERROR(VLOOKUP(D3355,'Справочник соответствий'!A$2:D$2981,2,FALSE),IF(VALUE(D3355)=0,0,VLOOKUP(D3355,'Справочник соответствий'!A$2:D$2981,2,FALSE)))</f>
        <v>0</v>
      </c>
      <c r="K3355" s="3" t="str">
        <f t="shared" si="364"/>
        <v>2</v>
      </c>
      <c r="L3355" s="13" t="str">
        <f>IFERROR(VLOOKUP(C3355,'Справочник соответствий'!A$2:D$2981,3,FALSE),IF(VALUE(C3355)=0,"ЭТАЖ НЕ ОПРЕДЕЛЕН. ПРИНЯТ ПО ДОПУЩЕНИЮ 1",VLOOKUP(C3355,'Справочник соответствий'!A$2:D$2981,3,FALSE)))</f>
        <v>ЭТАЖ ЗАДАН ЧИСЛОМ</v>
      </c>
      <c r="M3355" s="13" t="b">
        <f t="shared" si="365"/>
        <v>0</v>
      </c>
      <c r="N3355" s="13">
        <f t="shared" si="366"/>
        <v>2</v>
      </c>
      <c r="O3355" s="13" t="str">
        <f t="shared" si="367"/>
        <v>ЭТАЖ ЗАДАН ЧИСЛОМ</v>
      </c>
      <c r="P3355" s="13" t="str">
        <f t="shared" si="368"/>
        <v>ЭТАЖ ЗАДАН ЧИСЛОМ</v>
      </c>
      <c r="Q3355" s="13" t="str">
        <f t="shared" si="369"/>
        <v>ГОТОВ_ИЗМЕНЕН</v>
      </c>
      <c r="R3355" s="13">
        <f>IFERROR(VLOOKUP(P3355,Лист1!A$1:B$20,2,FALSE),0)</f>
        <v>784</v>
      </c>
      <c r="S3355" s="13">
        <f t="shared" si="370"/>
        <v>0</v>
      </c>
    </row>
    <row r="3356" spans="1:19" x14ac:dyDescent="0.25">
      <c r="A3356" s="24" t="s">
        <v>4489</v>
      </c>
      <c r="B3356" s="4" t="s">
        <v>1059</v>
      </c>
      <c r="C3356" s="25" t="s">
        <v>5</v>
      </c>
      <c r="E3356" s="3">
        <v>1</v>
      </c>
      <c r="F3356" s="24" t="s">
        <v>1045</v>
      </c>
      <c r="G3356" s="25" t="s">
        <v>1067</v>
      </c>
      <c r="H3356" s="24" t="s">
        <v>1061</v>
      </c>
      <c r="I3356" s="3" t="str">
        <f>IFERROR(VLOOKUP(C3356,'Справочник соответствий'!A$2:D$2981,2,FALSE),IF(VALUE(C3356)=0,1,VLOOKUP(C3356,'Справочник соответствий'!A$2:D$2981,2,FALSE)))</f>
        <v>1</v>
      </c>
      <c r="J3356" s="3">
        <f>IFERROR(VLOOKUP(D3356,'Справочник соответствий'!A$2:D$2981,2,FALSE),IF(VALUE(D3356)=0,0,VLOOKUP(D3356,'Справочник соответствий'!A$2:D$2981,2,FALSE)))</f>
        <v>0</v>
      </c>
      <c r="K3356" s="3" t="str">
        <f t="shared" si="364"/>
        <v>1</v>
      </c>
      <c r="L3356" s="13" t="str">
        <f>IFERROR(VLOOKUP(C3356,'Справочник соответствий'!A$2:D$2981,3,FALSE),IF(VALUE(C3356)=0,"ЭТАЖ НЕ ОПРЕДЕЛЕН. ПРИНЯТ ПО ДОПУЩЕНИЮ 1",VLOOKUP(C3356,'Справочник соответствий'!A$2:D$2981,3,FALSE)))</f>
        <v>ЭТАЖ ЗАДАН ЧИСЛОМ</v>
      </c>
      <c r="M3356" s="13" t="b">
        <f t="shared" si="365"/>
        <v>0</v>
      </c>
      <c r="N3356" s="13">
        <f t="shared" si="366"/>
        <v>1</v>
      </c>
      <c r="O3356" s="13" t="str">
        <f t="shared" si="367"/>
        <v>ЭТАЖ ЗАДАН ЧИСЛОМ</v>
      </c>
      <c r="P3356" s="13" t="str">
        <f t="shared" si="368"/>
        <v>ЭТАЖ ЗАДАН ЧИСЛОМ</v>
      </c>
      <c r="Q3356" s="13" t="str">
        <f t="shared" si="369"/>
        <v>ГОТОВ</v>
      </c>
      <c r="R3356" s="13">
        <f>IFERROR(VLOOKUP(P3356,Лист1!A$1:B$20,2,FALSE),0)</f>
        <v>784</v>
      </c>
      <c r="S3356" s="13">
        <f t="shared" si="370"/>
        <v>1</v>
      </c>
    </row>
    <row r="3357" spans="1:19" x14ac:dyDescent="0.25">
      <c r="A3357" s="24" t="s">
        <v>4490</v>
      </c>
      <c r="B3357" s="4" t="s">
        <v>1063</v>
      </c>
      <c r="C3357" s="25" t="s">
        <v>5</v>
      </c>
      <c r="E3357" s="3">
        <v>1</v>
      </c>
      <c r="F3357" s="24" t="s">
        <v>1045</v>
      </c>
      <c r="G3357" s="25" t="s">
        <v>1289</v>
      </c>
      <c r="H3357" s="24" t="s">
        <v>1061</v>
      </c>
      <c r="I3357" s="3" t="str">
        <f>IFERROR(VLOOKUP(C3357,'Справочник соответствий'!A$2:D$2981,2,FALSE),IF(VALUE(C3357)=0,1,VLOOKUP(C3357,'Справочник соответствий'!A$2:D$2981,2,FALSE)))</f>
        <v>1</v>
      </c>
      <c r="J3357" s="3">
        <f>IFERROR(VLOOKUP(D3357,'Справочник соответствий'!A$2:D$2981,2,FALSE),IF(VALUE(D3357)=0,0,VLOOKUP(D3357,'Справочник соответствий'!A$2:D$2981,2,FALSE)))</f>
        <v>0</v>
      </c>
      <c r="K3357" s="3" t="str">
        <f t="shared" si="364"/>
        <v>1</v>
      </c>
      <c r="L3357" s="13" t="str">
        <f>IFERROR(VLOOKUP(C3357,'Справочник соответствий'!A$2:D$2981,3,FALSE),IF(VALUE(C3357)=0,"ЭТАЖ НЕ ОПРЕДЕЛЕН. ПРИНЯТ ПО ДОПУЩЕНИЮ 1",VLOOKUP(C3357,'Справочник соответствий'!A$2:D$2981,3,FALSE)))</f>
        <v>ЭТАЖ ЗАДАН ЧИСЛОМ</v>
      </c>
      <c r="M3357" s="13" t="b">
        <f t="shared" si="365"/>
        <v>0</v>
      </c>
      <c r="N3357" s="13">
        <f t="shared" si="366"/>
        <v>1</v>
      </c>
      <c r="O3357" s="13" t="str">
        <f t="shared" si="367"/>
        <v>ЭТАЖ ЗАДАН ЧИСЛОМ</v>
      </c>
      <c r="P3357" s="13" t="str">
        <f t="shared" si="368"/>
        <v>ЭТАЖ ЗАДАН ЧИСЛОМ</v>
      </c>
      <c r="Q3357" s="13" t="str">
        <f t="shared" si="369"/>
        <v>ГОТОВ</v>
      </c>
      <c r="R3357" s="13">
        <f>IFERROR(VLOOKUP(P3357,Лист1!A$1:B$20,2,FALSE),0)</f>
        <v>784</v>
      </c>
      <c r="S3357" s="13">
        <f t="shared" si="370"/>
        <v>1</v>
      </c>
    </row>
    <row r="3358" spans="1:19" x14ac:dyDescent="0.25">
      <c r="A3358" s="24" t="s">
        <v>4491</v>
      </c>
      <c r="B3358" s="4" t="s">
        <v>1063</v>
      </c>
      <c r="C3358" s="25" t="s">
        <v>12</v>
      </c>
      <c r="D3358" s="25" t="s">
        <v>5</v>
      </c>
      <c r="E3358" s="3">
        <v>4</v>
      </c>
      <c r="F3358" s="24" t="s">
        <v>1045</v>
      </c>
      <c r="G3358" s="25" t="s">
        <v>1089</v>
      </c>
      <c r="H3358" s="24" t="s">
        <v>1061</v>
      </c>
      <c r="I3358" s="3" t="str">
        <f>IFERROR(VLOOKUP(C3358,'Справочник соответствий'!A$2:D$2981,2,FALSE),IF(VALUE(C3358)=0,1,VLOOKUP(C3358,'Справочник соответствий'!A$2:D$2981,2,FALSE)))</f>
        <v>4</v>
      </c>
      <c r="J3358" s="3" t="str">
        <f>IFERROR(VLOOKUP(D3358,'Справочник соответствий'!A$2:D$2981,2,FALSE),IF(VALUE(D3358)=0,0,VLOOKUP(D3358,'Справочник соответствий'!A$2:D$2981,2,FALSE)))</f>
        <v>1</v>
      </c>
      <c r="K3358" s="3" t="str">
        <f t="shared" si="364"/>
        <v>4</v>
      </c>
      <c r="L3358" s="13" t="str">
        <f>IFERROR(VLOOKUP(C3358,'Справочник соответствий'!A$2:D$2981,3,FALSE),IF(VALUE(C3358)=0,"ЭТАЖ НЕ ОПРЕДЕЛЕН. ПРИНЯТ ПО ДОПУЩЕНИЮ 1",VLOOKUP(C3358,'Справочник соответствий'!A$2:D$2981,3,FALSE)))</f>
        <v>ЭТАЖ ЗАДАН ЧИСЛОМ</v>
      </c>
      <c r="M3358" s="13" t="b">
        <f t="shared" si="365"/>
        <v>0</v>
      </c>
      <c r="N3358" s="13">
        <f t="shared" si="366"/>
        <v>4</v>
      </c>
      <c r="O3358" s="13" t="str">
        <f t="shared" si="367"/>
        <v>ЭТАЖ ЗАДАН ЧИСЛОМ</v>
      </c>
      <c r="P3358" s="13" t="str">
        <f t="shared" si="368"/>
        <v>ЭТАЖ ЗАДАН ЧИСЛОМ</v>
      </c>
      <c r="Q3358" s="13" t="str">
        <f t="shared" si="369"/>
        <v>ГОТОВ</v>
      </c>
      <c r="R3358" s="13">
        <f>IFERROR(VLOOKUP(P3358,Лист1!A$1:B$20,2,FALSE),0)</f>
        <v>784</v>
      </c>
      <c r="S3358" s="13">
        <f t="shared" si="370"/>
        <v>4</v>
      </c>
    </row>
    <row r="3359" spans="1:19" x14ac:dyDescent="0.25">
      <c r="A3359" s="24" t="s">
        <v>4492</v>
      </c>
      <c r="B3359" s="4" t="s">
        <v>1063</v>
      </c>
      <c r="C3359" s="25" t="s">
        <v>5</v>
      </c>
      <c r="D3359" s="25" t="s">
        <v>24</v>
      </c>
      <c r="E3359" s="3">
        <v>1</v>
      </c>
      <c r="F3359" s="24" t="s">
        <v>1304</v>
      </c>
      <c r="G3359" s="25" t="s">
        <v>1222</v>
      </c>
      <c r="H3359" s="24" t="s">
        <v>1061</v>
      </c>
      <c r="I3359" s="3" t="str">
        <f>IFERROR(VLOOKUP(C3359,'Справочник соответствий'!A$2:D$2981,2,FALSE),IF(VALUE(C3359)=0,1,VLOOKUP(C3359,'Справочник соответствий'!A$2:D$2981,2,FALSE)))</f>
        <v>1</v>
      </c>
      <c r="J3359" s="3" t="str">
        <f>IFERROR(VLOOKUP(D3359,'Справочник соответствий'!A$2:D$2981,2,FALSE),IF(VALUE(D3359)=0,0,VLOOKUP(D3359,'Справочник соответствий'!A$2:D$2981,2,FALSE)))</f>
        <v>1</v>
      </c>
      <c r="K3359" s="3" t="str">
        <f t="shared" si="364"/>
        <v>1</v>
      </c>
      <c r="L3359" s="13" t="str">
        <f>IFERROR(VLOOKUP(C3359,'Справочник соответствий'!A$2:D$2981,3,FALSE),IF(VALUE(C3359)=0,"ЭТАЖ НЕ ОПРЕДЕЛЕН. ПРИНЯТ ПО ДОПУЩЕНИЮ 1",VLOOKUP(C3359,'Справочник соответствий'!A$2:D$2981,3,FALSE)))</f>
        <v>ЭТАЖ ЗАДАН ЧИСЛОМ</v>
      </c>
      <c r="M3359" s="13" t="b">
        <f t="shared" si="365"/>
        <v>0</v>
      </c>
      <c r="N3359" s="13">
        <f t="shared" si="366"/>
        <v>1</v>
      </c>
      <c r="O3359" s="13" t="str">
        <f t="shared" si="367"/>
        <v>ЭТАЖ ЗАДАН ЧИСЛОМ</v>
      </c>
      <c r="P3359" s="13" t="str">
        <f t="shared" si="368"/>
        <v>ЭТАЖ ЗАДАН ЧИСЛОМ</v>
      </c>
      <c r="Q3359" s="13" t="str">
        <f t="shared" si="369"/>
        <v>ГОТОВ</v>
      </c>
      <c r="R3359" s="13">
        <f>IFERROR(VLOOKUP(P3359,Лист1!A$1:B$20,2,FALSE),0)</f>
        <v>784</v>
      </c>
      <c r="S3359" s="13">
        <f t="shared" si="370"/>
        <v>1</v>
      </c>
    </row>
    <row r="3360" spans="1:19" x14ac:dyDescent="0.25">
      <c r="A3360" s="24" t="s">
        <v>4493</v>
      </c>
      <c r="B3360" s="4" t="s">
        <v>1063</v>
      </c>
      <c r="C3360" s="25" t="s">
        <v>5</v>
      </c>
      <c r="D3360" s="25" t="s">
        <v>24</v>
      </c>
      <c r="E3360" s="3">
        <v>1</v>
      </c>
      <c r="F3360" s="24" t="s">
        <v>1304</v>
      </c>
      <c r="G3360" s="25" t="s">
        <v>1193</v>
      </c>
      <c r="H3360" s="24" t="s">
        <v>1061</v>
      </c>
      <c r="I3360" s="3" t="str">
        <f>IFERROR(VLOOKUP(C3360,'Справочник соответствий'!A$2:D$2981,2,FALSE),IF(VALUE(C3360)=0,1,VLOOKUP(C3360,'Справочник соответствий'!A$2:D$2981,2,FALSE)))</f>
        <v>1</v>
      </c>
      <c r="J3360" s="3" t="str">
        <f>IFERROR(VLOOKUP(D3360,'Справочник соответствий'!A$2:D$2981,2,FALSE),IF(VALUE(D3360)=0,0,VLOOKUP(D3360,'Справочник соответствий'!A$2:D$2981,2,FALSE)))</f>
        <v>1</v>
      </c>
      <c r="K3360" s="3" t="str">
        <f t="shared" si="364"/>
        <v>1</v>
      </c>
      <c r="L3360" s="13" t="str">
        <f>IFERROR(VLOOKUP(C3360,'Справочник соответствий'!A$2:D$2981,3,FALSE),IF(VALUE(C3360)=0,"ЭТАЖ НЕ ОПРЕДЕЛЕН. ПРИНЯТ ПО ДОПУЩЕНИЮ 1",VLOOKUP(C3360,'Справочник соответствий'!A$2:D$2981,3,FALSE)))</f>
        <v>ЭТАЖ ЗАДАН ЧИСЛОМ</v>
      </c>
      <c r="M3360" s="13" t="b">
        <f t="shared" si="365"/>
        <v>0</v>
      </c>
      <c r="N3360" s="13">
        <f t="shared" si="366"/>
        <v>1</v>
      </c>
      <c r="O3360" s="13" t="str">
        <f t="shared" si="367"/>
        <v>ЭТАЖ ЗАДАН ЧИСЛОМ</v>
      </c>
      <c r="P3360" s="13" t="str">
        <f t="shared" si="368"/>
        <v>ЭТАЖ ЗАДАН ЧИСЛОМ</v>
      </c>
      <c r="Q3360" s="13" t="str">
        <f t="shared" si="369"/>
        <v>ГОТОВ</v>
      </c>
      <c r="R3360" s="13">
        <f>IFERROR(VLOOKUP(P3360,Лист1!A$1:B$20,2,FALSE),0)</f>
        <v>784</v>
      </c>
      <c r="S3360" s="13">
        <f t="shared" si="370"/>
        <v>1</v>
      </c>
    </row>
    <row r="3361" spans="1:19" x14ac:dyDescent="0.25">
      <c r="A3361" s="24" t="s">
        <v>4494</v>
      </c>
      <c r="B3361" s="4" t="s">
        <v>1059</v>
      </c>
      <c r="C3361" s="25" t="s">
        <v>5</v>
      </c>
      <c r="G3361" s="25" t="s">
        <v>1114</v>
      </c>
      <c r="H3361" s="24" t="s">
        <v>1061</v>
      </c>
      <c r="I3361" s="3" t="str">
        <f>IFERROR(VLOOKUP(C3361,'Справочник соответствий'!A$2:D$2981,2,FALSE),IF(VALUE(C3361)=0,1,VLOOKUP(C3361,'Справочник соответствий'!A$2:D$2981,2,FALSE)))</f>
        <v>1</v>
      </c>
      <c r="J3361" s="3">
        <f>IFERROR(VLOOKUP(D3361,'Справочник соответствий'!A$2:D$2981,2,FALSE),IF(VALUE(D3361)=0,0,VLOOKUP(D3361,'Справочник соответствий'!A$2:D$2981,2,FALSE)))</f>
        <v>0</v>
      </c>
      <c r="K3361" s="3" t="str">
        <f t="shared" si="364"/>
        <v>1</v>
      </c>
      <c r="L3361" s="13" t="str">
        <f>IFERROR(VLOOKUP(C3361,'Справочник соответствий'!A$2:D$2981,3,FALSE),IF(VALUE(C3361)=0,"ЭТАЖ НЕ ОПРЕДЕЛЕН. ПРИНЯТ ПО ДОПУЩЕНИЮ 1",VLOOKUP(C3361,'Справочник соответствий'!A$2:D$2981,3,FALSE)))</f>
        <v>ЭТАЖ ЗАДАН ЧИСЛОМ</v>
      </c>
      <c r="M3361" s="13" t="b">
        <f t="shared" si="365"/>
        <v>0</v>
      </c>
      <c r="N3361" s="13">
        <f t="shared" si="366"/>
        <v>1</v>
      </c>
      <c r="O3361" s="13" t="str">
        <f t="shared" si="367"/>
        <v>ЭТАЖ ЗАДАН ЧИСЛОМ</v>
      </c>
      <c r="P3361" s="13" t="str">
        <f t="shared" si="368"/>
        <v>ЭТАЖ ЗАДАН ЧИСЛОМ</v>
      </c>
      <c r="Q3361" s="13" t="str">
        <f t="shared" si="369"/>
        <v>ГОТОВ_ИЗМЕНЕН</v>
      </c>
      <c r="R3361" s="13">
        <f>IFERROR(VLOOKUP(P3361,Лист1!A$1:B$20,2,FALSE),0)</f>
        <v>784</v>
      </c>
      <c r="S3361" s="13">
        <f t="shared" si="370"/>
        <v>0</v>
      </c>
    </row>
    <row r="3362" spans="1:19" x14ac:dyDescent="0.25">
      <c r="A3362" s="24" t="s">
        <v>4495</v>
      </c>
      <c r="B3362" s="4" t="s">
        <v>1059</v>
      </c>
      <c r="C3362" s="25" t="s">
        <v>5</v>
      </c>
      <c r="G3362" s="25" t="s">
        <v>1069</v>
      </c>
      <c r="H3362" s="24" t="s">
        <v>1061</v>
      </c>
      <c r="I3362" s="3" t="str">
        <f>IFERROR(VLOOKUP(C3362,'Справочник соответствий'!A$2:D$2981,2,FALSE),IF(VALUE(C3362)=0,1,VLOOKUP(C3362,'Справочник соответствий'!A$2:D$2981,2,FALSE)))</f>
        <v>1</v>
      </c>
      <c r="J3362" s="3">
        <f>IFERROR(VLOOKUP(D3362,'Справочник соответствий'!A$2:D$2981,2,FALSE),IF(VALUE(D3362)=0,0,VLOOKUP(D3362,'Справочник соответствий'!A$2:D$2981,2,FALSE)))</f>
        <v>0</v>
      </c>
      <c r="K3362" s="3" t="str">
        <f t="shared" si="364"/>
        <v>1</v>
      </c>
      <c r="L3362" s="13" t="str">
        <f>IFERROR(VLOOKUP(C3362,'Справочник соответствий'!A$2:D$2981,3,FALSE),IF(VALUE(C3362)=0,"ЭТАЖ НЕ ОПРЕДЕЛЕН. ПРИНЯТ ПО ДОПУЩЕНИЮ 1",VLOOKUP(C3362,'Справочник соответствий'!A$2:D$2981,3,FALSE)))</f>
        <v>ЭТАЖ ЗАДАН ЧИСЛОМ</v>
      </c>
      <c r="M3362" s="13" t="b">
        <f t="shared" si="365"/>
        <v>0</v>
      </c>
      <c r="N3362" s="13">
        <f t="shared" si="366"/>
        <v>1</v>
      </c>
      <c r="O3362" s="13" t="str">
        <f t="shared" si="367"/>
        <v>ЭТАЖ ЗАДАН ЧИСЛОМ</v>
      </c>
      <c r="P3362" s="13" t="str">
        <f t="shared" si="368"/>
        <v>ЭТАЖ ЗАДАН ЧИСЛОМ</v>
      </c>
      <c r="Q3362" s="13" t="str">
        <f t="shared" si="369"/>
        <v>ГОТОВ_ИЗМЕНЕН</v>
      </c>
      <c r="R3362" s="13">
        <f>IFERROR(VLOOKUP(P3362,Лист1!A$1:B$20,2,FALSE),0)</f>
        <v>784</v>
      </c>
      <c r="S3362" s="13">
        <f t="shared" si="370"/>
        <v>0</v>
      </c>
    </row>
    <row r="3363" spans="1:19" x14ac:dyDescent="0.25">
      <c r="A3363" s="24" t="s">
        <v>4496</v>
      </c>
      <c r="B3363" s="4" t="s">
        <v>1059</v>
      </c>
      <c r="C3363" s="25" t="s">
        <v>7</v>
      </c>
      <c r="G3363" s="25" t="s">
        <v>1069</v>
      </c>
      <c r="H3363" s="24" t="s">
        <v>1061</v>
      </c>
      <c r="I3363" s="3" t="str">
        <f>IFERROR(VLOOKUP(C3363,'Справочник соответствий'!A$2:D$2981,2,FALSE),IF(VALUE(C3363)=0,1,VLOOKUP(C3363,'Справочник соответствий'!A$2:D$2981,2,FALSE)))</f>
        <v>2</v>
      </c>
      <c r="J3363" s="3">
        <f>IFERROR(VLOOKUP(D3363,'Справочник соответствий'!A$2:D$2981,2,FALSE),IF(VALUE(D3363)=0,0,VLOOKUP(D3363,'Справочник соответствий'!A$2:D$2981,2,FALSE)))</f>
        <v>0</v>
      </c>
      <c r="K3363" s="3" t="str">
        <f t="shared" si="364"/>
        <v>2</v>
      </c>
      <c r="L3363" s="13" t="str">
        <f>IFERROR(VLOOKUP(C3363,'Справочник соответствий'!A$2:D$2981,3,FALSE),IF(VALUE(C3363)=0,"ЭТАЖ НЕ ОПРЕДЕЛЕН. ПРИНЯТ ПО ДОПУЩЕНИЮ 1",VLOOKUP(C3363,'Справочник соответствий'!A$2:D$2981,3,FALSE)))</f>
        <v>ЭТАЖ ЗАДАН ЧИСЛОМ</v>
      </c>
      <c r="M3363" s="13" t="b">
        <f t="shared" si="365"/>
        <v>0</v>
      </c>
      <c r="N3363" s="13">
        <f t="shared" si="366"/>
        <v>2</v>
      </c>
      <c r="O3363" s="13" t="str">
        <f t="shared" si="367"/>
        <v>ЭТАЖ ЗАДАН ЧИСЛОМ</v>
      </c>
      <c r="P3363" s="13" t="str">
        <f t="shared" si="368"/>
        <v>ЭТАЖ ЗАДАН ЧИСЛОМ</v>
      </c>
      <c r="Q3363" s="13" t="str">
        <f t="shared" si="369"/>
        <v>ГОТОВ_ИЗМЕНЕН</v>
      </c>
      <c r="R3363" s="13">
        <f>IFERROR(VLOOKUP(P3363,Лист1!A$1:B$20,2,FALSE),0)</f>
        <v>784</v>
      </c>
      <c r="S3363" s="13">
        <f t="shared" si="370"/>
        <v>0</v>
      </c>
    </row>
    <row r="3364" spans="1:19" x14ac:dyDescent="0.25">
      <c r="A3364" s="24" t="s">
        <v>4497</v>
      </c>
      <c r="B3364" s="4" t="s">
        <v>1059</v>
      </c>
      <c r="C3364" s="25" t="s">
        <v>5</v>
      </c>
      <c r="G3364" s="25" t="s">
        <v>1069</v>
      </c>
      <c r="H3364" s="24" t="s">
        <v>1061</v>
      </c>
      <c r="I3364" s="3" t="str">
        <f>IFERROR(VLOOKUP(C3364,'Справочник соответствий'!A$2:D$2981,2,FALSE),IF(VALUE(C3364)=0,1,VLOOKUP(C3364,'Справочник соответствий'!A$2:D$2981,2,FALSE)))</f>
        <v>1</v>
      </c>
      <c r="J3364" s="3">
        <f>IFERROR(VLOOKUP(D3364,'Справочник соответствий'!A$2:D$2981,2,FALSE),IF(VALUE(D3364)=0,0,VLOOKUP(D3364,'Справочник соответствий'!A$2:D$2981,2,FALSE)))</f>
        <v>0</v>
      </c>
      <c r="K3364" s="3" t="str">
        <f t="shared" si="364"/>
        <v>1</v>
      </c>
      <c r="L3364" s="13" t="str">
        <f>IFERROR(VLOOKUP(C3364,'Справочник соответствий'!A$2:D$2981,3,FALSE),IF(VALUE(C3364)=0,"ЭТАЖ НЕ ОПРЕДЕЛЕН. ПРИНЯТ ПО ДОПУЩЕНИЮ 1",VLOOKUP(C3364,'Справочник соответствий'!A$2:D$2981,3,FALSE)))</f>
        <v>ЭТАЖ ЗАДАН ЧИСЛОМ</v>
      </c>
      <c r="M3364" s="13" t="b">
        <f t="shared" si="365"/>
        <v>0</v>
      </c>
      <c r="N3364" s="13">
        <f t="shared" si="366"/>
        <v>1</v>
      </c>
      <c r="O3364" s="13" t="str">
        <f t="shared" si="367"/>
        <v>ЭТАЖ ЗАДАН ЧИСЛОМ</v>
      </c>
      <c r="P3364" s="13" t="str">
        <f t="shared" si="368"/>
        <v>ЭТАЖ ЗАДАН ЧИСЛОМ</v>
      </c>
      <c r="Q3364" s="13" t="str">
        <f t="shared" si="369"/>
        <v>ГОТОВ_ИЗМЕНЕН</v>
      </c>
      <c r="R3364" s="13">
        <f>IFERROR(VLOOKUP(P3364,Лист1!A$1:B$20,2,FALSE),0)</f>
        <v>784</v>
      </c>
      <c r="S3364" s="13">
        <f t="shared" si="370"/>
        <v>0</v>
      </c>
    </row>
    <row r="3365" spans="1:19" x14ac:dyDescent="0.25">
      <c r="A3365" s="24" t="s">
        <v>4498</v>
      </c>
      <c r="B3365" s="4" t="s">
        <v>1059</v>
      </c>
      <c r="C3365" s="25" t="s">
        <v>5</v>
      </c>
      <c r="G3365" s="25" t="s">
        <v>1069</v>
      </c>
      <c r="H3365" s="24" t="s">
        <v>1061</v>
      </c>
      <c r="I3365" s="3" t="str">
        <f>IFERROR(VLOOKUP(C3365,'Справочник соответствий'!A$2:D$2981,2,FALSE),IF(VALUE(C3365)=0,1,VLOOKUP(C3365,'Справочник соответствий'!A$2:D$2981,2,FALSE)))</f>
        <v>1</v>
      </c>
      <c r="J3365" s="3">
        <f>IFERROR(VLOOKUP(D3365,'Справочник соответствий'!A$2:D$2981,2,FALSE),IF(VALUE(D3365)=0,0,VLOOKUP(D3365,'Справочник соответствий'!A$2:D$2981,2,FALSE)))</f>
        <v>0</v>
      </c>
      <c r="K3365" s="3" t="str">
        <f t="shared" si="364"/>
        <v>1</v>
      </c>
      <c r="L3365" s="13" t="str">
        <f>IFERROR(VLOOKUP(C3365,'Справочник соответствий'!A$2:D$2981,3,FALSE),IF(VALUE(C3365)=0,"ЭТАЖ НЕ ОПРЕДЕЛЕН. ПРИНЯТ ПО ДОПУЩЕНИЮ 1",VLOOKUP(C3365,'Справочник соответствий'!A$2:D$2981,3,FALSE)))</f>
        <v>ЭТАЖ ЗАДАН ЧИСЛОМ</v>
      </c>
      <c r="M3365" s="13" t="b">
        <f t="shared" si="365"/>
        <v>0</v>
      </c>
      <c r="N3365" s="13">
        <f t="shared" si="366"/>
        <v>1</v>
      </c>
      <c r="O3365" s="13" t="str">
        <f t="shared" si="367"/>
        <v>ЭТАЖ ЗАДАН ЧИСЛОМ</v>
      </c>
      <c r="P3365" s="13" t="str">
        <f t="shared" si="368"/>
        <v>ЭТАЖ ЗАДАН ЧИСЛОМ</v>
      </c>
      <c r="Q3365" s="13" t="str">
        <f t="shared" si="369"/>
        <v>ГОТОВ_ИЗМЕНЕН</v>
      </c>
      <c r="R3365" s="13">
        <f>IFERROR(VLOOKUP(P3365,Лист1!A$1:B$20,2,FALSE),0)</f>
        <v>784</v>
      </c>
      <c r="S3365" s="13">
        <f t="shared" si="370"/>
        <v>0</v>
      </c>
    </row>
    <row r="3366" spans="1:19" x14ac:dyDescent="0.25">
      <c r="A3366" s="24" t="s">
        <v>4499</v>
      </c>
      <c r="B3366" s="4" t="s">
        <v>1059</v>
      </c>
      <c r="C3366" s="25" t="s">
        <v>7</v>
      </c>
      <c r="G3366" s="25" t="s">
        <v>1114</v>
      </c>
      <c r="H3366" s="24" t="s">
        <v>1061</v>
      </c>
      <c r="I3366" s="3" t="str">
        <f>IFERROR(VLOOKUP(C3366,'Справочник соответствий'!A$2:D$2981,2,FALSE),IF(VALUE(C3366)=0,1,VLOOKUP(C3366,'Справочник соответствий'!A$2:D$2981,2,FALSE)))</f>
        <v>2</v>
      </c>
      <c r="J3366" s="3">
        <f>IFERROR(VLOOKUP(D3366,'Справочник соответствий'!A$2:D$2981,2,FALSE),IF(VALUE(D3366)=0,0,VLOOKUP(D3366,'Справочник соответствий'!A$2:D$2981,2,FALSE)))</f>
        <v>0</v>
      </c>
      <c r="K3366" s="3" t="str">
        <f t="shared" si="364"/>
        <v>2</v>
      </c>
      <c r="L3366" s="13" t="str">
        <f>IFERROR(VLOOKUP(C3366,'Справочник соответствий'!A$2:D$2981,3,FALSE),IF(VALUE(C3366)=0,"ЭТАЖ НЕ ОПРЕДЕЛЕН. ПРИНЯТ ПО ДОПУЩЕНИЮ 1",VLOOKUP(C3366,'Справочник соответствий'!A$2:D$2981,3,FALSE)))</f>
        <v>ЭТАЖ ЗАДАН ЧИСЛОМ</v>
      </c>
      <c r="M3366" s="13" t="b">
        <f t="shared" si="365"/>
        <v>0</v>
      </c>
      <c r="N3366" s="13">
        <f t="shared" si="366"/>
        <v>2</v>
      </c>
      <c r="O3366" s="13" t="str">
        <f t="shared" si="367"/>
        <v>ЭТАЖ ЗАДАН ЧИСЛОМ</v>
      </c>
      <c r="P3366" s="13" t="str">
        <f t="shared" si="368"/>
        <v>ЭТАЖ ЗАДАН ЧИСЛОМ</v>
      </c>
      <c r="Q3366" s="13" t="str">
        <f t="shared" si="369"/>
        <v>ГОТОВ_ИЗМЕНЕН</v>
      </c>
      <c r="R3366" s="13">
        <f>IFERROR(VLOOKUP(P3366,Лист1!A$1:B$20,2,FALSE),0)</f>
        <v>784</v>
      </c>
      <c r="S3366" s="13">
        <f t="shared" si="370"/>
        <v>0</v>
      </c>
    </row>
    <row r="3367" spans="1:19" x14ac:dyDescent="0.25">
      <c r="A3367" s="24" t="s">
        <v>4500</v>
      </c>
      <c r="B3367" s="4" t="s">
        <v>1059</v>
      </c>
      <c r="C3367" s="25" t="s">
        <v>7</v>
      </c>
      <c r="D3367" s="25" t="s">
        <v>5</v>
      </c>
      <c r="G3367" s="25" t="s">
        <v>1114</v>
      </c>
      <c r="H3367" s="24" t="s">
        <v>1061</v>
      </c>
      <c r="I3367" s="3" t="str">
        <f>IFERROR(VLOOKUP(C3367,'Справочник соответствий'!A$2:D$2981,2,FALSE),IF(VALUE(C3367)=0,1,VLOOKUP(C3367,'Справочник соответствий'!A$2:D$2981,2,FALSE)))</f>
        <v>2</v>
      </c>
      <c r="J3367" s="3" t="str">
        <f>IFERROR(VLOOKUP(D3367,'Справочник соответствий'!A$2:D$2981,2,FALSE),IF(VALUE(D3367)=0,0,VLOOKUP(D3367,'Справочник соответствий'!A$2:D$2981,2,FALSE)))</f>
        <v>1</v>
      </c>
      <c r="K3367" s="3" t="str">
        <f t="shared" si="364"/>
        <v>2</v>
      </c>
      <c r="L3367" s="13" t="str">
        <f>IFERROR(VLOOKUP(C3367,'Справочник соответствий'!A$2:D$2981,3,FALSE),IF(VALUE(C3367)=0,"ЭТАЖ НЕ ОПРЕДЕЛЕН. ПРИНЯТ ПО ДОПУЩЕНИЮ 1",VLOOKUP(C3367,'Справочник соответствий'!A$2:D$2981,3,FALSE)))</f>
        <v>ЭТАЖ ЗАДАН ЧИСЛОМ</v>
      </c>
      <c r="M3367" s="13" t="b">
        <f t="shared" si="365"/>
        <v>0</v>
      </c>
      <c r="N3367" s="13">
        <f t="shared" si="366"/>
        <v>2</v>
      </c>
      <c r="O3367" s="13" t="str">
        <f t="shared" si="367"/>
        <v>ЭТАЖ ЗАДАН ЧИСЛОМ</v>
      </c>
      <c r="P3367" s="13" t="str">
        <f t="shared" si="368"/>
        <v>ЭТАЖ ЗАДАН ЧИСЛОМ</v>
      </c>
      <c r="Q3367" s="13" t="str">
        <f t="shared" si="369"/>
        <v>ГОТОВ_ИЗМЕНЕН</v>
      </c>
      <c r="R3367" s="13">
        <f>IFERROR(VLOOKUP(P3367,Лист1!A$1:B$20,2,FALSE),0)</f>
        <v>784</v>
      </c>
      <c r="S3367" s="13">
        <f t="shared" si="370"/>
        <v>0</v>
      </c>
    </row>
    <row r="3368" spans="1:19" x14ac:dyDescent="0.25">
      <c r="A3368" s="24" t="s">
        <v>4501</v>
      </c>
      <c r="B3368" s="4" t="s">
        <v>1059</v>
      </c>
      <c r="C3368" s="25" t="s">
        <v>7</v>
      </c>
      <c r="G3368" s="25" t="s">
        <v>1114</v>
      </c>
      <c r="H3368" s="24" t="s">
        <v>1061</v>
      </c>
      <c r="I3368" s="3" t="str">
        <f>IFERROR(VLOOKUP(C3368,'Справочник соответствий'!A$2:D$2981,2,FALSE),IF(VALUE(C3368)=0,1,VLOOKUP(C3368,'Справочник соответствий'!A$2:D$2981,2,FALSE)))</f>
        <v>2</v>
      </c>
      <c r="J3368" s="3">
        <f>IFERROR(VLOOKUP(D3368,'Справочник соответствий'!A$2:D$2981,2,FALSE),IF(VALUE(D3368)=0,0,VLOOKUP(D3368,'Справочник соответствий'!A$2:D$2981,2,FALSE)))</f>
        <v>0</v>
      </c>
      <c r="K3368" s="3" t="str">
        <f t="shared" si="364"/>
        <v>2</v>
      </c>
      <c r="L3368" s="13" t="str">
        <f>IFERROR(VLOOKUP(C3368,'Справочник соответствий'!A$2:D$2981,3,FALSE),IF(VALUE(C3368)=0,"ЭТАЖ НЕ ОПРЕДЕЛЕН. ПРИНЯТ ПО ДОПУЩЕНИЮ 1",VLOOKUP(C3368,'Справочник соответствий'!A$2:D$2981,3,FALSE)))</f>
        <v>ЭТАЖ ЗАДАН ЧИСЛОМ</v>
      </c>
      <c r="M3368" s="13" t="b">
        <f t="shared" si="365"/>
        <v>0</v>
      </c>
      <c r="N3368" s="13">
        <f t="shared" si="366"/>
        <v>2</v>
      </c>
      <c r="O3368" s="13" t="str">
        <f t="shared" si="367"/>
        <v>ЭТАЖ ЗАДАН ЧИСЛОМ</v>
      </c>
      <c r="P3368" s="13" t="str">
        <f t="shared" si="368"/>
        <v>ЭТАЖ ЗАДАН ЧИСЛОМ</v>
      </c>
      <c r="Q3368" s="13" t="str">
        <f t="shared" si="369"/>
        <v>ГОТОВ_ИЗМЕНЕН</v>
      </c>
      <c r="R3368" s="13">
        <f>IFERROR(VLOOKUP(P3368,Лист1!A$1:B$20,2,FALSE),0)</f>
        <v>784</v>
      </c>
      <c r="S3368" s="13">
        <f t="shared" si="370"/>
        <v>0</v>
      </c>
    </row>
    <row r="3369" spans="1:19" x14ac:dyDescent="0.25">
      <c r="A3369" s="24" t="s">
        <v>4502</v>
      </c>
      <c r="B3369" s="4" t="s">
        <v>1059</v>
      </c>
      <c r="C3369" s="25" t="s">
        <v>7</v>
      </c>
      <c r="G3369" s="25" t="s">
        <v>1069</v>
      </c>
      <c r="H3369" s="24" t="s">
        <v>1061</v>
      </c>
      <c r="I3369" s="3" t="str">
        <f>IFERROR(VLOOKUP(C3369,'Справочник соответствий'!A$2:D$2981,2,FALSE),IF(VALUE(C3369)=0,1,VLOOKUP(C3369,'Справочник соответствий'!A$2:D$2981,2,FALSE)))</f>
        <v>2</v>
      </c>
      <c r="J3369" s="3">
        <f>IFERROR(VLOOKUP(D3369,'Справочник соответствий'!A$2:D$2981,2,FALSE),IF(VALUE(D3369)=0,0,VLOOKUP(D3369,'Справочник соответствий'!A$2:D$2981,2,FALSE)))</f>
        <v>0</v>
      </c>
      <c r="K3369" s="3" t="str">
        <f t="shared" si="364"/>
        <v>2</v>
      </c>
      <c r="L3369" s="13" t="str">
        <f>IFERROR(VLOOKUP(C3369,'Справочник соответствий'!A$2:D$2981,3,FALSE),IF(VALUE(C3369)=0,"ЭТАЖ НЕ ОПРЕДЕЛЕН. ПРИНЯТ ПО ДОПУЩЕНИЮ 1",VLOOKUP(C3369,'Справочник соответствий'!A$2:D$2981,3,FALSE)))</f>
        <v>ЭТАЖ ЗАДАН ЧИСЛОМ</v>
      </c>
      <c r="M3369" s="13" t="b">
        <f t="shared" si="365"/>
        <v>0</v>
      </c>
      <c r="N3369" s="13">
        <f t="shared" si="366"/>
        <v>2</v>
      </c>
      <c r="O3369" s="13" t="str">
        <f t="shared" si="367"/>
        <v>ЭТАЖ ЗАДАН ЧИСЛОМ</v>
      </c>
      <c r="P3369" s="13" t="str">
        <f t="shared" si="368"/>
        <v>ЭТАЖ ЗАДАН ЧИСЛОМ</v>
      </c>
      <c r="Q3369" s="13" t="str">
        <f t="shared" si="369"/>
        <v>ГОТОВ_ИЗМЕНЕН</v>
      </c>
      <c r="R3369" s="13">
        <f>IFERROR(VLOOKUP(P3369,Лист1!A$1:B$20,2,FALSE),0)</f>
        <v>784</v>
      </c>
      <c r="S3369" s="13">
        <f t="shared" si="370"/>
        <v>0</v>
      </c>
    </row>
    <row r="3370" spans="1:19" x14ac:dyDescent="0.25">
      <c r="A3370" s="24" t="s">
        <v>4503</v>
      </c>
      <c r="B3370" s="4" t="s">
        <v>1059</v>
      </c>
      <c r="C3370" s="25" t="s">
        <v>7</v>
      </c>
      <c r="G3370" s="25" t="s">
        <v>1086</v>
      </c>
      <c r="H3370" s="24" t="s">
        <v>1061</v>
      </c>
      <c r="I3370" s="3" t="str">
        <f>IFERROR(VLOOKUP(C3370,'Справочник соответствий'!A$2:D$2981,2,FALSE),IF(VALUE(C3370)=0,1,VLOOKUP(C3370,'Справочник соответствий'!A$2:D$2981,2,FALSE)))</f>
        <v>2</v>
      </c>
      <c r="J3370" s="3">
        <f>IFERROR(VLOOKUP(D3370,'Справочник соответствий'!A$2:D$2981,2,FALSE),IF(VALUE(D3370)=0,0,VLOOKUP(D3370,'Справочник соответствий'!A$2:D$2981,2,FALSE)))</f>
        <v>0</v>
      </c>
      <c r="K3370" s="3" t="str">
        <f t="shared" si="364"/>
        <v>2</v>
      </c>
      <c r="L3370" s="13" t="str">
        <f>IFERROR(VLOOKUP(C3370,'Справочник соответствий'!A$2:D$2981,3,FALSE),IF(VALUE(C3370)=0,"ЭТАЖ НЕ ОПРЕДЕЛЕН. ПРИНЯТ ПО ДОПУЩЕНИЮ 1",VLOOKUP(C3370,'Справочник соответствий'!A$2:D$2981,3,FALSE)))</f>
        <v>ЭТАЖ ЗАДАН ЧИСЛОМ</v>
      </c>
      <c r="M3370" s="13" t="b">
        <f t="shared" si="365"/>
        <v>0</v>
      </c>
      <c r="N3370" s="13">
        <f t="shared" si="366"/>
        <v>2</v>
      </c>
      <c r="O3370" s="13" t="str">
        <f t="shared" si="367"/>
        <v>ЭТАЖ ЗАДАН ЧИСЛОМ</v>
      </c>
      <c r="P3370" s="13" t="str">
        <f t="shared" si="368"/>
        <v>ЭТАЖ ЗАДАН ЧИСЛОМ</v>
      </c>
      <c r="Q3370" s="13" t="str">
        <f t="shared" si="369"/>
        <v>ГОТОВ_ИЗМЕНЕН</v>
      </c>
      <c r="R3370" s="13">
        <f>IFERROR(VLOOKUP(P3370,Лист1!A$1:B$20,2,FALSE),0)</f>
        <v>784</v>
      </c>
      <c r="S3370" s="13">
        <f t="shared" si="370"/>
        <v>0</v>
      </c>
    </row>
    <row r="3371" spans="1:19" x14ac:dyDescent="0.25">
      <c r="A3371" s="24" t="s">
        <v>4504</v>
      </c>
      <c r="B3371" s="4" t="s">
        <v>1059</v>
      </c>
      <c r="C3371" s="25" t="s">
        <v>7</v>
      </c>
      <c r="G3371" s="25" t="s">
        <v>1325</v>
      </c>
      <c r="H3371" s="24" t="s">
        <v>1061</v>
      </c>
      <c r="I3371" s="3" t="str">
        <f>IFERROR(VLOOKUP(C3371,'Справочник соответствий'!A$2:D$2981,2,FALSE),IF(VALUE(C3371)=0,1,VLOOKUP(C3371,'Справочник соответствий'!A$2:D$2981,2,FALSE)))</f>
        <v>2</v>
      </c>
      <c r="J3371" s="3">
        <f>IFERROR(VLOOKUP(D3371,'Справочник соответствий'!A$2:D$2981,2,FALSE),IF(VALUE(D3371)=0,0,VLOOKUP(D3371,'Справочник соответствий'!A$2:D$2981,2,FALSE)))</f>
        <v>0</v>
      </c>
      <c r="K3371" s="3" t="str">
        <f t="shared" si="364"/>
        <v>2</v>
      </c>
      <c r="L3371" s="13" t="str">
        <f>IFERROR(VLOOKUP(C3371,'Справочник соответствий'!A$2:D$2981,3,FALSE),IF(VALUE(C3371)=0,"ЭТАЖ НЕ ОПРЕДЕЛЕН. ПРИНЯТ ПО ДОПУЩЕНИЮ 1",VLOOKUP(C3371,'Справочник соответствий'!A$2:D$2981,3,FALSE)))</f>
        <v>ЭТАЖ ЗАДАН ЧИСЛОМ</v>
      </c>
      <c r="M3371" s="13" t="b">
        <f t="shared" si="365"/>
        <v>0</v>
      </c>
      <c r="N3371" s="13">
        <f t="shared" si="366"/>
        <v>2</v>
      </c>
      <c r="O3371" s="13" t="str">
        <f t="shared" si="367"/>
        <v>ЭТАЖ ЗАДАН ЧИСЛОМ</v>
      </c>
      <c r="P3371" s="13" t="str">
        <f t="shared" si="368"/>
        <v>ЭТАЖ ЗАДАН ЧИСЛОМ</v>
      </c>
      <c r="Q3371" s="13" t="str">
        <f t="shared" si="369"/>
        <v>ГОТОВ_ИЗМЕНЕН</v>
      </c>
      <c r="R3371" s="13">
        <f>IFERROR(VLOOKUP(P3371,Лист1!A$1:B$20,2,FALSE),0)</f>
        <v>784</v>
      </c>
      <c r="S3371" s="13">
        <f t="shared" si="370"/>
        <v>0</v>
      </c>
    </row>
    <row r="3372" spans="1:19" x14ac:dyDescent="0.25">
      <c r="A3372" s="24" t="s">
        <v>4505</v>
      </c>
      <c r="B3372" s="4" t="s">
        <v>1063</v>
      </c>
      <c r="C3372" s="25" t="s">
        <v>5</v>
      </c>
      <c r="G3372" s="25" t="s">
        <v>1325</v>
      </c>
      <c r="H3372" s="24" t="s">
        <v>1061</v>
      </c>
      <c r="I3372" s="3" t="str">
        <f>IFERROR(VLOOKUP(C3372,'Справочник соответствий'!A$2:D$2981,2,FALSE),IF(VALUE(C3372)=0,1,VLOOKUP(C3372,'Справочник соответствий'!A$2:D$2981,2,FALSE)))</f>
        <v>1</v>
      </c>
      <c r="J3372" s="3">
        <f>IFERROR(VLOOKUP(D3372,'Справочник соответствий'!A$2:D$2981,2,FALSE),IF(VALUE(D3372)=0,0,VLOOKUP(D3372,'Справочник соответствий'!A$2:D$2981,2,FALSE)))</f>
        <v>0</v>
      </c>
      <c r="K3372" s="3" t="str">
        <f t="shared" si="364"/>
        <v>1</v>
      </c>
      <c r="L3372" s="13" t="str">
        <f>IFERROR(VLOOKUP(C3372,'Справочник соответствий'!A$2:D$2981,3,FALSE),IF(VALUE(C3372)=0,"ЭТАЖ НЕ ОПРЕДЕЛЕН. ПРИНЯТ ПО ДОПУЩЕНИЮ 1",VLOOKUP(C3372,'Справочник соответствий'!A$2:D$2981,3,FALSE)))</f>
        <v>ЭТАЖ ЗАДАН ЧИСЛОМ</v>
      </c>
      <c r="M3372" s="13" t="b">
        <f t="shared" si="365"/>
        <v>0</v>
      </c>
      <c r="N3372" s="13">
        <f t="shared" si="366"/>
        <v>1</v>
      </c>
      <c r="O3372" s="13" t="str">
        <f t="shared" si="367"/>
        <v>ЭТАЖ ЗАДАН ЧИСЛОМ</v>
      </c>
      <c r="P3372" s="13" t="str">
        <f t="shared" si="368"/>
        <v>ЭТАЖ ЗАДАН ЧИСЛОМ</v>
      </c>
      <c r="Q3372" s="13" t="str">
        <f t="shared" si="369"/>
        <v>ГОТОВ_ИЗМЕНЕН</v>
      </c>
      <c r="R3372" s="13">
        <f>IFERROR(VLOOKUP(P3372,Лист1!A$1:B$20,2,FALSE),0)</f>
        <v>784</v>
      </c>
      <c r="S3372" s="13">
        <f t="shared" si="370"/>
        <v>0</v>
      </c>
    </row>
    <row r="3373" spans="1:19" x14ac:dyDescent="0.25">
      <c r="A3373" s="24" t="s">
        <v>4506</v>
      </c>
      <c r="B3373" s="4" t="s">
        <v>1059</v>
      </c>
      <c r="C3373" s="25" t="s">
        <v>5</v>
      </c>
      <c r="G3373" s="25" t="s">
        <v>1099</v>
      </c>
      <c r="H3373" s="24" t="s">
        <v>1061</v>
      </c>
      <c r="I3373" s="3" t="str">
        <f>IFERROR(VLOOKUP(C3373,'Справочник соответствий'!A$2:D$2981,2,FALSE),IF(VALUE(C3373)=0,1,VLOOKUP(C3373,'Справочник соответствий'!A$2:D$2981,2,FALSE)))</f>
        <v>1</v>
      </c>
      <c r="J3373" s="3">
        <f>IFERROR(VLOOKUP(D3373,'Справочник соответствий'!A$2:D$2981,2,FALSE),IF(VALUE(D3373)=0,0,VLOOKUP(D3373,'Справочник соответствий'!A$2:D$2981,2,FALSE)))</f>
        <v>0</v>
      </c>
      <c r="K3373" s="3" t="str">
        <f t="shared" si="364"/>
        <v>1</v>
      </c>
      <c r="L3373" s="13" t="str">
        <f>IFERROR(VLOOKUP(C3373,'Справочник соответствий'!A$2:D$2981,3,FALSE),IF(VALUE(C3373)=0,"ЭТАЖ НЕ ОПРЕДЕЛЕН. ПРИНЯТ ПО ДОПУЩЕНИЮ 1",VLOOKUP(C3373,'Справочник соответствий'!A$2:D$2981,3,FALSE)))</f>
        <v>ЭТАЖ ЗАДАН ЧИСЛОМ</v>
      </c>
      <c r="M3373" s="13" t="b">
        <f t="shared" si="365"/>
        <v>0</v>
      </c>
      <c r="N3373" s="13">
        <f t="shared" si="366"/>
        <v>1</v>
      </c>
      <c r="O3373" s="13" t="str">
        <f t="shared" si="367"/>
        <v>ЭТАЖ ЗАДАН ЧИСЛОМ</v>
      </c>
      <c r="P3373" s="13" t="str">
        <f t="shared" si="368"/>
        <v>ЭТАЖ ЗАДАН ЧИСЛОМ</v>
      </c>
      <c r="Q3373" s="13" t="str">
        <f t="shared" si="369"/>
        <v>ГОТОВ_ИЗМЕНЕН</v>
      </c>
      <c r="R3373" s="13">
        <f>IFERROR(VLOOKUP(P3373,Лист1!A$1:B$20,2,FALSE),0)</f>
        <v>784</v>
      </c>
      <c r="S3373" s="13">
        <f t="shared" si="370"/>
        <v>0</v>
      </c>
    </row>
    <row r="3374" spans="1:19" x14ac:dyDescent="0.25">
      <c r="A3374" s="24" t="s">
        <v>4507</v>
      </c>
      <c r="B3374" s="4" t="s">
        <v>1059</v>
      </c>
      <c r="C3374" s="25" t="s">
        <v>5</v>
      </c>
      <c r="G3374" s="25" t="s">
        <v>1099</v>
      </c>
      <c r="H3374" s="24" t="s">
        <v>1061</v>
      </c>
      <c r="I3374" s="3" t="str">
        <f>IFERROR(VLOOKUP(C3374,'Справочник соответствий'!A$2:D$2981,2,FALSE),IF(VALUE(C3374)=0,1,VLOOKUP(C3374,'Справочник соответствий'!A$2:D$2981,2,FALSE)))</f>
        <v>1</v>
      </c>
      <c r="J3374" s="3">
        <f>IFERROR(VLOOKUP(D3374,'Справочник соответствий'!A$2:D$2981,2,FALSE),IF(VALUE(D3374)=0,0,VLOOKUP(D3374,'Справочник соответствий'!A$2:D$2981,2,FALSE)))</f>
        <v>0</v>
      </c>
      <c r="K3374" s="3" t="str">
        <f t="shared" si="364"/>
        <v>1</v>
      </c>
      <c r="L3374" s="13" t="str">
        <f>IFERROR(VLOOKUP(C3374,'Справочник соответствий'!A$2:D$2981,3,FALSE),IF(VALUE(C3374)=0,"ЭТАЖ НЕ ОПРЕДЕЛЕН. ПРИНЯТ ПО ДОПУЩЕНИЮ 1",VLOOKUP(C3374,'Справочник соответствий'!A$2:D$2981,3,FALSE)))</f>
        <v>ЭТАЖ ЗАДАН ЧИСЛОМ</v>
      </c>
      <c r="M3374" s="13" t="b">
        <f t="shared" si="365"/>
        <v>0</v>
      </c>
      <c r="N3374" s="13">
        <f t="shared" si="366"/>
        <v>1</v>
      </c>
      <c r="O3374" s="13" t="str">
        <f t="shared" si="367"/>
        <v>ЭТАЖ ЗАДАН ЧИСЛОМ</v>
      </c>
      <c r="P3374" s="13" t="str">
        <f t="shared" si="368"/>
        <v>ЭТАЖ ЗАДАН ЧИСЛОМ</v>
      </c>
      <c r="Q3374" s="13" t="str">
        <f t="shared" si="369"/>
        <v>ГОТОВ_ИЗМЕНЕН</v>
      </c>
      <c r="R3374" s="13">
        <f>IFERROR(VLOOKUP(P3374,Лист1!A$1:B$20,2,FALSE),0)</f>
        <v>784</v>
      </c>
      <c r="S3374" s="13">
        <f t="shared" si="370"/>
        <v>0</v>
      </c>
    </row>
    <row r="3375" spans="1:19" x14ac:dyDescent="0.25">
      <c r="A3375" s="24" t="s">
        <v>4508</v>
      </c>
      <c r="B3375" s="4" t="s">
        <v>1059</v>
      </c>
      <c r="C3375" s="25" t="s">
        <v>5</v>
      </c>
      <c r="G3375" s="25" t="s">
        <v>1099</v>
      </c>
      <c r="H3375" s="24" t="s">
        <v>1061</v>
      </c>
      <c r="I3375" s="3" t="str">
        <f>IFERROR(VLOOKUP(C3375,'Справочник соответствий'!A$2:D$2981,2,FALSE),IF(VALUE(C3375)=0,1,VLOOKUP(C3375,'Справочник соответствий'!A$2:D$2981,2,FALSE)))</f>
        <v>1</v>
      </c>
      <c r="J3375" s="3">
        <f>IFERROR(VLOOKUP(D3375,'Справочник соответствий'!A$2:D$2981,2,FALSE),IF(VALUE(D3375)=0,0,VLOOKUP(D3375,'Справочник соответствий'!A$2:D$2981,2,FALSE)))</f>
        <v>0</v>
      </c>
      <c r="K3375" s="3" t="str">
        <f t="shared" si="364"/>
        <v>1</v>
      </c>
      <c r="L3375" s="13" t="str">
        <f>IFERROR(VLOOKUP(C3375,'Справочник соответствий'!A$2:D$2981,3,FALSE),IF(VALUE(C3375)=0,"ЭТАЖ НЕ ОПРЕДЕЛЕН. ПРИНЯТ ПО ДОПУЩЕНИЮ 1",VLOOKUP(C3375,'Справочник соответствий'!A$2:D$2981,3,FALSE)))</f>
        <v>ЭТАЖ ЗАДАН ЧИСЛОМ</v>
      </c>
      <c r="M3375" s="13" t="b">
        <f t="shared" si="365"/>
        <v>0</v>
      </c>
      <c r="N3375" s="13">
        <f t="shared" si="366"/>
        <v>1</v>
      </c>
      <c r="O3375" s="13" t="str">
        <f t="shared" si="367"/>
        <v>ЭТАЖ ЗАДАН ЧИСЛОМ</v>
      </c>
      <c r="P3375" s="13" t="str">
        <f t="shared" si="368"/>
        <v>ЭТАЖ ЗАДАН ЧИСЛОМ</v>
      </c>
      <c r="Q3375" s="13" t="str">
        <f t="shared" si="369"/>
        <v>ГОТОВ_ИЗМЕНЕН</v>
      </c>
      <c r="R3375" s="13">
        <f>IFERROR(VLOOKUP(P3375,Лист1!A$1:B$20,2,FALSE),0)</f>
        <v>784</v>
      </c>
      <c r="S3375" s="13">
        <f t="shared" si="370"/>
        <v>0</v>
      </c>
    </row>
    <row r="3376" spans="1:19" x14ac:dyDescent="0.25">
      <c r="A3376" s="24" t="s">
        <v>4509</v>
      </c>
      <c r="B3376" s="4" t="s">
        <v>1059</v>
      </c>
      <c r="C3376" s="25" t="s">
        <v>5</v>
      </c>
      <c r="G3376" s="25" t="s">
        <v>1108</v>
      </c>
      <c r="H3376" s="24" t="s">
        <v>1061</v>
      </c>
      <c r="I3376" s="3" t="str">
        <f>IFERROR(VLOOKUP(C3376,'Справочник соответствий'!A$2:D$2981,2,FALSE),IF(VALUE(C3376)=0,1,VLOOKUP(C3376,'Справочник соответствий'!A$2:D$2981,2,FALSE)))</f>
        <v>1</v>
      </c>
      <c r="J3376" s="3">
        <f>IFERROR(VLOOKUP(D3376,'Справочник соответствий'!A$2:D$2981,2,FALSE),IF(VALUE(D3376)=0,0,VLOOKUP(D3376,'Справочник соответствий'!A$2:D$2981,2,FALSE)))</f>
        <v>0</v>
      </c>
      <c r="K3376" s="3" t="str">
        <f t="shared" si="364"/>
        <v>1</v>
      </c>
      <c r="L3376" s="13" t="str">
        <f>IFERROR(VLOOKUP(C3376,'Справочник соответствий'!A$2:D$2981,3,FALSE),IF(VALUE(C3376)=0,"ЭТАЖ НЕ ОПРЕДЕЛЕН. ПРИНЯТ ПО ДОПУЩЕНИЮ 1",VLOOKUP(C3376,'Справочник соответствий'!A$2:D$2981,3,FALSE)))</f>
        <v>ЭТАЖ ЗАДАН ЧИСЛОМ</v>
      </c>
      <c r="M3376" s="13" t="b">
        <f t="shared" si="365"/>
        <v>0</v>
      </c>
      <c r="N3376" s="13">
        <f t="shared" si="366"/>
        <v>1</v>
      </c>
      <c r="O3376" s="13" t="str">
        <f t="shared" si="367"/>
        <v>ЭТАЖ ЗАДАН ЧИСЛОМ</v>
      </c>
      <c r="P3376" s="13" t="str">
        <f t="shared" si="368"/>
        <v>ЭТАЖ ЗАДАН ЧИСЛОМ</v>
      </c>
      <c r="Q3376" s="13" t="str">
        <f t="shared" si="369"/>
        <v>ГОТОВ_ИЗМЕНЕН</v>
      </c>
      <c r="R3376" s="13">
        <f>IFERROR(VLOOKUP(P3376,Лист1!A$1:B$20,2,FALSE),0)</f>
        <v>784</v>
      </c>
      <c r="S3376" s="13">
        <f t="shared" si="370"/>
        <v>0</v>
      </c>
    </row>
    <row r="3377" spans="1:19" x14ac:dyDescent="0.25">
      <c r="A3377" s="24" t="s">
        <v>4510</v>
      </c>
      <c r="B3377" s="4" t="s">
        <v>1063</v>
      </c>
      <c r="C3377" s="25" t="s">
        <v>5</v>
      </c>
      <c r="G3377" s="25" t="s">
        <v>1099</v>
      </c>
      <c r="H3377" s="24" t="s">
        <v>1061</v>
      </c>
      <c r="I3377" s="3" t="str">
        <f>IFERROR(VLOOKUP(C3377,'Справочник соответствий'!A$2:D$2981,2,FALSE),IF(VALUE(C3377)=0,1,VLOOKUP(C3377,'Справочник соответствий'!A$2:D$2981,2,FALSE)))</f>
        <v>1</v>
      </c>
      <c r="J3377" s="3">
        <f>IFERROR(VLOOKUP(D3377,'Справочник соответствий'!A$2:D$2981,2,FALSE),IF(VALUE(D3377)=0,0,VLOOKUP(D3377,'Справочник соответствий'!A$2:D$2981,2,FALSE)))</f>
        <v>0</v>
      </c>
      <c r="K3377" s="3" t="str">
        <f t="shared" si="364"/>
        <v>1</v>
      </c>
      <c r="L3377" s="13" t="str">
        <f>IFERROR(VLOOKUP(C3377,'Справочник соответствий'!A$2:D$2981,3,FALSE),IF(VALUE(C3377)=0,"ЭТАЖ НЕ ОПРЕДЕЛЕН. ПРИНЯТ ПО ДОПУЩЕНИЮ 1",VLOOKUP(C3377,'Справочник соответствий'!A$2:D$2981,3,FALSE)))</f>
        <v>ЭТАЖ ЗАДАН ЧИСЛОМ</v>
      </c>
      <c r="M3377" s="13" t="b">
        <f t="shared" si="365"/>
        <v>0</v>
      </c>
      <c r="N3377" s="13">
        <f t="shared" si="366"/>
        <v>1</v>
      </c>
      <c r="O3377" s="13" t="str">
        <f t="shared" si="367"/>
        <v>ЭТАЖ ЗАДАН ЧИСЛОМ</v>
      </c>
      <c r="P3377" s="13" t="str">
        <f t="shared" si="368"/>
        <v>ЭТАЖ ЗАДАН ЧИСЛОМ</v>
      </c>
      <c r="Q3377" s="13" t="str">
        <f t="shared" si="369"/>
        <v>ГОТОВ_ИЗМЕНЕН</v>
      </c>
      <c r="R3377" s="13">
        <f>IFERROR(VLOOKUP(P3377,Лист1!A$1:B$20,2,FALSE),0)</f>
        <v>784</v>
      </c>
      <c r="S3377" s="13">
        <f t="shared" si="370"/>
        <v>0</v>
      </c>
    </row>
    <row r="3378" spans="1:19" x14ac:dyDescent="0.25">
      <c r="A3378" s="24" t="s">
        <v>4511</v>
      </c>
      <c r="B3378" s="4" t="s">
        <v>1059</v>
      </c>
      <c r="C3378" s="25" t="s">
        <v>5</v>
      </c>
      <c r="G3378" s="25" t="s">
        <v>1099</v>
      </c>
      <c r="H3378" s="24" t="s">
        <v>1061</v>
      </c>
      <c r="I3378" s="3" t="str">
        <f>IFERROR(VLOOKUP(C3378,'Справочник соответствий'!A$2:D$2981,2,FALSE),IF(VALUE(C3378)=0,1,VLOOKUP(C3378,'Справочник соответствий'!A$2:D$2981,2,FALSE)))</f>
        <v>1</v>
      </c>
      <c r="J3378" s="3">
        <f>IFERROR(VLOOKUP(D3378,'Справочник соответствий'!A$2:D$2981,2,FALSE),IF(VALUE(D3378)=0,0,VLOOKUP(D3378,'Справочник соответствий'!A$2:D$2981,2,FALSE)))</f>
        <v>0</v>
      </c>
      <c r="K3378" s="3" t="str">
        <f t="shared" si="364"/>
        <v>1</v>
      </c>
      <c r="L3378" s="13" t="str">
        <f>IFERROR(VLOOKUP(C3378,'Справочник соответствий'!A$2:D$2981,3,FALSE),IF(VALUE(C3378)=0,"ЭТАЖ НЕ ОПРЕДЕЛЕН. ПРИНЯТ ПО ДОПУЩЕНИЮ 1",VLOOKUP(C3378,'Справочник соответствий'!A$2:D$2981,3,FALSE)))</f>
        <v>ЭТАЖ ЗАДАН ЧИСЛОМ</v>
      </c>
      <c r="M3378" s="13" t="b">
        <f t="shared" si="365"/>
        <v>0</v>
      </c>
      <c r="N3378" s="13">
        <f t="shared" si="366"/>
        <v>1</v>
      </c>
      <c r="O3378" s="13" t="str">
        <f t="shared" si="367"/>
        <v>ЭТАЖ ЗАДАН ЧИСЛОМ</v>
      </c>
      <c r="P3378" s="13" t="str">
        <f t="shared" si="368"/>
        <v>ЭТАЖ ЗАДАН ЧИСЛОМ</v>
      </c>
      <c r="Q3378" s="13" t="str">
        <f t="shared" si="369"/>
        <v>ГОТОВ_ИЗМЕНЕН</v>
      </c>
      <c r="R3378" s="13">
        <f>IFERROR(VLOOKUP(P3378,Лист1!A$1:B$20,2,FALSE),0)</f>
        <v>784</v>
      </c>
      <c r="S3378" s="13">
        <f t="shared" si="370"/>
        <v>0</v>
      </c>
    </row>
    <row r="3379" spans="1:19" x14ac:dyDescent="0.25">
      <c r="A3379" s="24" t="s">
        <v>4512</v>
      </c>
      <c r="B3379" s="4" t="s">
        <v>1059</v>
      </c>
      <c r="C3379" s="25" t="s">
        <v>7</v>
      </c>
      <c r="G3379" s="25" t="s">
        <v>1205</v>
      </c>
      <c r="H3379" s="24" t="s">
        <v>1061</v>
      </c>
      <c r="I3379" s="3" t="str">
        <f>IFERROR(VLOOKUP(C3379,'Справочник соответствий'!A$2:D$2981,2,FALSE),IF(VALUE(C3379)=0,1,VLOOKUP(C3379,'Справочник соответствий'!A$2:D$2981,2,FALSE)))</f>
        <v>2</v>
      </c>
      <c r="J3379" s="3">
        <f>IFERROR(VLOOKUP(D3379,'Справочник соответствий'!A$2:D$2981,2,FALSE),IF(VALUE(D3379)=0,0,VLOOKUP(D3379,'Справочник соответствий'!A$2:D$2981,2,FALSE)))</f>
        <v>0</v>
      </c>
      <c r="K3379" s="3" t="str">
        <f t="shared" si="364"/>
        <v>2</v>
      </c>
      <c r="L3379" s="13" t="str">
        <f>IFERROR(VLOOKUP(C3379,'Справочник соответствий'!A$2:D$2981,3,FALSE),IF(VALUE(C3379)=0,"ЭТАЖ НЕ ОПРЕДЕЛЕН. ПРИНЯТ ПО ДОПУЩЕНИЮ 1",VLOOKUP(C3379,'Справочник соответствий'!A$2:D$2981,3,FALSE)))</f>
        <v>ЭТАЖ ЗАДАН ЧИСЛОМ</v>
      </c>
      <c r="M3379" s="13" t="b">
        <f t="shared" si="365"/>
        <v>0</v>
      </c>
      <c r="N3379" s="13">
        <f t="shared" si="366"/>
        <v>2</v>
      </c>
      <c r="O3379" s="13" t="str">
        <f t="shared" si="367"/>
        <v>ЭТАЖ ЗАДАН ЧИСЛОМ</v>
      </c>
      <c r="P3379" s="13" t="str">
        <f t="shared" si="368"/>
        <v>ЭТАЖ ЗАДАН ЧИСЛОМ</v>
      </c>
      <c r="Q3379" s="13" t="str">
        <f t="shared" si="369"/>
        <v>ГОТОВ_ИЗМЕНЕН</v>
      </c>
      <c r="R3379" s="13">
        <f>IFERROR(VLOOKUP(P3379,Лист1!A$1:B$20,2,FALSE),0)</f>
        <v>784</v>
      </c>
      <c r="S3379" s="13">
        <f t="shared" si="370"/>
        <v>0</v>
      </c>
    </row>
    <row r="3380" spans="1:19" x14ac:dyDescent="0.25">
      <c r="A3380" s="24" t="s">
        <v>4513</v>
      </c>
      <c r="B3380" s="4" t="s">
        <v>1063</v>
      </c>
      <c r="C3380" s="25" t="s">
        <v>5</v>
      </c>
      <c r="G3380" s="25" t="s">
        <v>1060</v>
      </c>
      <c r="H3380" s="24" t="s">
        <v>1061</v>
      </c>
      <c r="I3380" s="3" t="str">
        <f>IFERROR(VLOOKUP(C3380,'Справочник соответствий'!A$2:D$2981,2,FALSE),IF(VALUE(C3380)=0,1,VLOOKUP(C3380,'Справочник соответствий'!A$2:D$2981,2,FALSE)))</f>
        <v>1</v>
      </c>
      <c r="J3380" s="3">
        <f>IFERROR(VLOOKUP(D3380,'Справочник соответствий'!A$2:D$2981,2,FALSE),IF(VALUE(D3380)=0,0,VLOOKUP(D3380,'Справочник соответствий'!A$2:D$2981,2,FALSE)))</f>
        <v>0</v>
      </c>
      <c r="K3380" s="3" t="str">
        <f t="shared" si="364"/>
        <v>1</v>
      </c>
      <c r="L3380" s="13" t="str">
        <f>IFERROR(VLOOKUP(C3380,'Справочник соответствий'!A$2:D$2981,3,FALSE),IF(VALUE(C3380)=0,"ЭТАЖ НЕ ОПРЕДЕЛЕН. ПРИНЯТ ПО ДОПУЩЕНИЮ 1",VLOOKUP(C3380,'Справочник соответствий'!A$2:D$2981,3,FALSE)))</f>
        <v>ЭТАЖ ЗАДАН ЧИСЛОМ</v>
      </c>
      <c r="M3380" s="13" t="b">
        <f t="shared" si="365"/>
        <v>0</v>
      </c>
      <c r="N3380" s="13">
        <f t="shared" si="366"/>
        <v>1</v>
      </c>
      <c r="O3380" s="13" t="str">
        <f t="shared" si="367"/>
        <v>ЭТАЖ ЗАДАН ЧИСЛОМ</v>
      </c>
      <c r="P3380" s="13" t="str">
        <f t="shared" si="368"/>
        <v>ЭТАЖ ЗАДАН ЧИСЛОМ</v>
      </c>
      <c r="Q3380" s="13" t="str">
        <f t="shared" si="369"/>
        <v>ГОТОВ_ИЗМЕНЕН</v>
      </c>
      <c r="R3380" s="13">
        <f>IFERROR(VLOOKUP(P3380,Лист1!A$1:B$20,2,FALSE),0)</f>
        <v>784</v>
      </c>
      <c r="S3380" s="13">
        <f t="shared" si="370"/>
        <v>0</v>
      </c>
    </row>
    <row r="3381" spans="1:19" x14ac:dyDescent="0.25">
      <c r="A3381" s="24" t="s">
        <v>4514</v>
      </c>
      <c r="B3381" s="4" t="s">
        <v>1063</v>
      </c>
      <c r="C3381" s="25" t="s">
        <v>5</v>
      </c>
      <c r="G3381" s="25" t="s">
        <v>1060</v>
      </c>
      <c r="H3381" s="24" t="s">
        <v>1061</v>
      </c>
      <c r="I3381" s="3" t="str">
        <f>IFERROR(VLOOKUP(C3381,'Справочник соответствий'!A$2:D$2981,2,FALSE),IF(VALUE(C3381)=0,1,VLOOKUP(C3381,'Справочник соответствий'!A$2:D$2981,2,FALSE)))</f>
        <v>1</v>
      </c>
      <c r="J3381" s="3">
        <f>IFERROR(VLOOKUP(D3381,'Справочник соответствий'!A$2:D$2981,2,FALSE),IF(VALUE(D3381)=0,0,VLOOKUP(D3381,'Справочник соответствий'!A$2:D$2981,2,FALSE)))</f>
        <v>0</v>
      </c>
      <c r="K3381" s="3" t="str">
        <f t="shared" si="364"/>
        <v>1</v>
      </c>
      <c r="L3381" s="13" t="str">
        <f>IFERROR(VLOOKUP(C3381,'Справочник соответствий'!A$2:D$2981,3,FALSE),IF(VALUE(C3381)=0,"ЭТАЖ НЕ ОПРЕДЕЛЕН. ПРИНЯТ ПО ДОПУЩЕНИЮ 1",VLOOKUP(C3381,'Справочник соответствий'!A$2:D$2981,3,FALSE)))</f>
        <v>ЭТАЖ ЗАДАН ЧИСЛОМ</v>
      </c>
      <c r="M3381" s="13" t="b">
        <f t="shared" si="365"/>
        <v>0</v>
      </c>
      <c r="N3381" s="13">
        <f t="shared" si="366"/>
        <v>1</v>
      </c>
      <c r="O3381" s="13" t="str">
        <f t="shared" si="367"/>
        <v>ЭТАЖ ЗАДАН ЧИСЛОМ</v>
      </c>
      <c r="P3381" s="13" t="str">
        <f t="shared" si="368"/>
        <v>ЭТАЖ ЗАДАН ЧИСЛОМ</v>
      </c>
      <c r="Q3381" s="13" t="str">
        <f t="shared" si="369"/>
        <v>ГОТОВ_ИЗМЕНЕН</v>
      </c>
      <c r="R3381" s="13">
        <f>IFERROR(VLOOKUP(P3381,Лист1!A$1:B$20,2,FALSE),0)</f>
        <v>784</v>
      </c>
      <c r="S3381" s="13">
        <f t="shared" si="370"/>
        <v>0</v>
      </c>
    </row>
    <row r="3382" spans="1:19" x14ac:dyDescent="0.25">
      <c r="A3382" s="24" t="s">
        <v>4515</v>
      </c>
      <c r="B3382" s="4" t="s">
        <v>1059</v>
      </c>
      <c r="C3382" s="25" t="s">
        <v>7</v>
      </c>
      <c r="G3382" s="25" t="s">
        <v>1060</v>
      </c>
      <c r="H3382" s="24" t="s">
        <v>1061</v>
      </c>
      <c r="I3382" s="3" t="str">
        <f>IFERROR(VLOOKUP(C3382,'Справочник соответствий'!A$2:D$2981,2,FALSE),IF(VALUE(C3382)=0,1,VLOOKUP(C3382,'Справочник соответствий'!A$2:D$2981,2,FALSE)))</f>
        <v>2</v>
      </c>
      <c r="J3382" s="3">
        <f>IFERROR(VLOOKUP(D3382,'Справочник соответствий'!A$2:D$2981,2,FALSE),IF(VALUE(D3382)=0,0,VLOOKUP(D3382,'Справочник соответствий'!A$2:D$2981,2,FALSE)))</f>
        <v>0</v>
      </c>
      <c r="K3382" s="3" t="str">
        <f t="shared" si="364"/>
        <v>2</v>
      </c>
      <c r="L3382" s="13" t="str">
        <f>IFERROR(VLOOKUP(C3382,'Справочник соответствий'!A$2:D$2981,3,FALSE),IF(VALUE(C3382)=0,"ЭТАЖ НЕ ОПРЕДЕЛЕН. ПРИНЯТ ПО ДОПУЩЕНИЮ 1",VLOOKUP(C3382,'Справочник соответствий'!A$2:D$2981,3,FALSE)))</f>
        <v>ЭТАЖ ЗАДАН ЧИСЛОМ</v>
      </c>
      <c r="M3382" s="13" t="b">
        <f t="shared" si="365"/>
        <v>0</v>
      </c>
      <c r="N3382" s="13">
        <f t="shared" si="366"/>
        <v>2</v>
      </c>
      <c r="O3382" s="13" t="str">
        <f t="shared" si="367"/>
        <v>ЭТАЖ ЗАДАН ЧИСЛОМ</v>
      </c>
      <c r="P3382" s="13" t="str">
        <f t="shared" si="368"/>
        <v>ЭТАЖ ЗАДАН ЧИСЛОМ</v>
      </c>
      <c r="Q3382" s="13" t="str">
        <f t="shared" si="369"/>
        <v>ГОТОВ_ИЗМЕНЕН</v>
      </c>
      <c r="R3382" s="13">
        <f>IFERROR(VLOOKUP(P3382,Лист1!A$1:B$20,2,FALSE),0)</f>
        <v>784</v>
      </c>
      <c r="S3382" s="13">
        <f t="shared" si="370"/>
        <v>0</v>
      </c>
    </row>
    <row r="3383" spans="1:19" x14ac:dyDescent="0.25">
      <c r="A3383" s="24" t="s">
        <v>4516</v>
      </c>
      <c r="B3383" s="4" t="s">
        <v>1059</v>
      </c>
      <c r="C3383" s="25" t="s">
        <v>7</v>
      </c>
      <c r="G3383" s="25" t="s">
        <v>1060</v>
      </c>
      <c r="H3383" s="24" t="s">
        <v>1061</v>
      </c>
      <c r="I3383" s="3" t="str">
        <f>IFERROR(VLOOKUP(C3383,'Справочник соответствий'!A$2:D$2981,2,FALSE),IF(VALUE(C3383)=0,1,VLOOKUP(C3383,'Справочник соответствий'!A$2:D$2981,2,FALSE)))</f>
        <v>2</v>
      </c>
      <c r="J3383" s="3">
        <f>IFERROR(VLOOKUP(D3383,'Справочник соответствий'!A$2:D$2981,2,FALSE),IF(VALUE(D3383)=0,0,VLOOKUP(D3383,'Справочник соответствий'!A$2:D$2981,2,FALSE)))</f>
        <v>0</v>
      </c>
      <c r="K3383" s="3" t="str">
        <f t="shared" si="364"/>
        <v>2</v>
      </c>
      <c r="L3383" s="13" t="str">
        <f>IFERROR(VLOOKUP(C3383,'Справочник соответствий'!A$2:D$2981,3,FALSE),IF(VALUE(C3383)=0,"ЭТАЖ НЕ ОПРЕДЕЛЕН. ПРИНЯТ ПО ДОПУЩЕНИЮ 1",VLOOKUP(C3383,'Справочник соответствий'!A$2:D$2981,3,FALSE)))</f>
        <v>ЭТАЖ ЗАДАН ЧИСЛОМ</v>
      </c>
      <c r="M3383" s="13" t="b">
        <f t="shared" si="365"/>
        <v>0</v>
      </c>
      <c r="N3383" s="13">
        <f t="shared" si="366"/>
        <v>2</v>
      </c>
      <c r="O3383" s="13" t="str">
        <f t="shared" si="367"/>
        <v>ЭТАЖ ЗАДАН ЧИСЛОМ</v>
      </c>
      <c r="P3383" s="13" t="str">
        <f t="shared" si="368"/>
        <v>ЭТАЖ ЗАДАН ЧИСЛОМ</v>
      </c>
      <c r="Q3383" s="13" t="str">
        <f t="shared" si="369"/>
        <v>ГОТОВ_ИЗМЕНЕН</v>
      </c>
      <c r="R3383" s="13">
        <f>IFERROR(VLOOKUP(P3383,Лист1!A$1:B$20,2,FALSE),0)</f>
        <v>784</v>
      </c>
      <c r="S3383" s="13">
        <f t="shared" si="370"/>
        <v>0</v>
      </c>
    </row>
    <row r="3384" spans="1:19" x14ac:dyDescent="0.25">
      <c r="A3384" s="24" t="s">
        <v>4517</v>
      </c>
      <c r="B3384" s="4" t="s">
        <v>1063</v>
      </c>
      <c r="C3384" s="25" t="s">
        <v>7</v>
      </c>
      <c r="G3384" s="25" t="s">
        <v>1060</v>
      </c>
      <c r="H3384" s="24" t="s">
        <v>1061</v>
      </c>
      <c r="I3384" s="3" t="str">
        <f>IFERROR(VLOOKUP(C3384,'Справочник соответствий'!A$2:D$2981,2,FALSE),IF(VALUE(C3384)=0,1,VLOOKUP(C3384,'Справочник соответствий'!A$2:D$2981,2,FALSE)))</f>
        <v>2</v>
      </c>
      <c r="J3384" s="3">
        <f>IFERROR(VLOOKUP(D3384,'Справочник соответствий'!A$2:D$2981,2,FALSE),IF(VALUE(D3384)=0,0,VLOOKUP(D3384,'Справочник соответствий'!A$2:D$2981,2,FALSE)))</f>
        <v>0</v>
      </c>
      <c r="K3384" s="3" t="str">
        <f t="shared" si="364"/>
        <v>2</v>
      </c>
      <c r="L3384" s="13" t="str">
        <f>IFERROR(VLOOKUP(C3384,'Справочник соответствий'!A$2:D$2981,3,FALSE),IF(VALUE(C3384)=0,"ЭТАЖ НЕ ОПРЕДЕЛЕН. ПРИНЯТ ПО ДОПУЩЕНИЮ 1",VLOOKUP(C3384,'Справочник соответствий'!A$2:D$2981,3,FALSE)))</f>
        <v>ЭТАЖ ЗАДАН ЧИСЛОМ</v>
      </c>
      <c r="M3384" s="13" t="b">
        <f t="shared" si="365"/>
        <v>0</v>
      </c>
      <c r="N3384" s="13">
        <f t="shared" si="366"/>
        <v>2</v>
      </c>
      <c r="O3384" s="13" t="str">
        <f t="shared" si="367"/>
        <v>ЭТАЖ ЗАДАН ЧИСЛОМ</v>
      </c>
      <c r="P3384" s="13" t="str">
        <f t="shared" si="368"/>
        <v>ЭТАЖ ЗАДАН ЧИСЛОМ</v>
      </c>
      <c r="Q3384" s="13" t="str">
        <f t="shared" si="369"/>
        <v>ГОТОВ_ИЗМЕНЕН</v>
      </c>
      <c r="R3384" s="13">
        <f>IFERROR(VLOOKUP(P3384,Лист1!A$1:B$20,2,FALSE),0)</f>
        <v>784</v>
      </c>
      <c r="S3384" s="13">
        <f t="shared" si="370"/>
        <v>0</v>
      </c>
    </row>
    <row r="3385" spans="1:19" x14ac:dyDescent="0.25">
      <c r="A3385" s="24" t="s">
        <v>4518</v>
      </c>
      <c r="B3385" s="4" t="s">
        <v>1059</v>
      </c>
      <c r="C3385" s="25" t="s">
        <v>5</v>
      </c>
      <c r="G3385" s="25" t="s">
        <v>1077</v>
      </c>
      <c r="H3385" s="24" t="s">
        <v>1061</v>
      </c>
      <c r="I3385" s="3" t="str">
        <f>IFERROR(VLOOKUP(C3385,'Справочник соответствий'!A$2:D$2981,2,FALSE),IF(VALUE(C3385)=0,1,VLOOKUP(C3385,'Справочник соответствий'!A$2:D$2981,2,FALSE)))</f>
        <v>1</v>
      </c>
      <c r="J3385" s="3">
        <f>IFERROR(VLOOKUP(D3385,'Справочник соответствий'!A$2:D$2981,2,FALSE),IF(VALUE(D3385)=0,0,VLOOKUP(D3385,'Справочник соответствий'!A$2:D$2981,2,FALSE)))</f>
        <v>0</v>
      </c>
      <c r="K3385" s="3" t="str">
        <f t="shared" si="364"/>
        <v>1</v>
      </c>
      <c r="L3385" s="13" t="str">
        <f>IFERROR(VLOOKUP(C3385,'Справочник соответствий'!A$2:D$2981,3,FALSE),IF(VALUE(C3385)=0,"ЭТАЖ НЕ ОПРЕДЕЛЕН. ПРИНЯТ ПО ДОПУЩЕНИЮ 1",VLOOKUP(C3385,'Справочник соответствий'!A$2:D$2981,3,FALSE)))</f>
        <v>ЭТАЖ ЗАДАН ЧИСЛОМ</v>
      </c>
      <c r="M3385" s="13" t="b">
        <f t="shared" si="365"/>
        <v>0</v>
      </c>
      <c r="N3385" s="13">
        <f t="shared" si="366"/>
        <v>1</v>
      </c>
      <c r="O3385" s="13" t="str">
        <f t="shared" si="367"/>
        <v>ЭТАЖ ЗАДАН ЧИСЛОМ</v>
      </c>
      <c r="P3385" s="13" t="str">
        <f t="shared" si="368"/>
        <v>ЭТАЖ ЗАДАН ЧИСЛОМ</v>
      </c>
      <c r="Q3385" s="13" t="str">
        <f t="shared" si="369"/>
        <v>ГОТОВ_ИЗМЕНЕН</v>
      </c>
      <c r="R3385" s="13">
        <f>IFERROR(VLOOKUP(P3385,Лист1!A$1:B$20,2,FALSE),0)</f>
        <v>784</v>
      </c>
      <c r="S3385" s="13">
        <f t="shared" si="370"/>
        <v>0</v>
      </c>
    </row>
    <row r="3386" spans="1:19" x14ac:dyDescent="0.25">
      <c r="A3386" s="24" t="s">
        <v>4519</v>
      </c>
      <c r="B3386" s="4" t="s">
        <v>1059</v>
      </c>
      <c r="C3386" s="25" t="s">
        <v>5</v>
      </c>
      <c r="G3386" s="25" t="s">
        <v>1108</v>
      </c>
      <c r="H3386" s="24" t="s">
        <v>1061</v>
      </c>
      <c r="I3386" s="3" t="str">
        <f>IFERROR(VLOOKUP(C3386,'Справочник соответствий'!A$2:D$2981,2,FALSE),IF(VALUE(C3386)=0,1,VLOOKUP(C3386,'Справочник соответствий'!A$2:D$2981,2,FALSE)))</f>
        <v>1</v>
      </c>
      <c r="J3386" s="3">
        <f>IFERROR(VLOOKUP(D3386,'Справочник соответствий'!A$2:D$2981,2,FALSE),IF(VALUE(D3386)=0,0,VLOOKUP(D3386,'Справочник соответствий'!A$2:D$2981,2,FALSE)))</f>
        <v>0</v>
      </c>
      <c r="K3386" s="3" t="str">
        <f t="shared" si="364"/>
        <v>1</v>
      </c>
      <c r="L3386" s="13" t="str">
        <f>IFERROR(VLOOKUP(C3386,'Справочник соответствий'!A$2:D$2981,3,FALSE),IF(VALUE(C3386)=0,"ЭТАЖ НЕ ОПРЕДЕЛЕН. ПРИНЯТ ПО ДОПУЩЕНИЮ 1",VLOOKUP(C3386,'Справочник соответствий'!A$2:D$2981,3,FALSE)))</f>
        <v>ЭТАЖ ЗАДАН ЧИСЛОМ</v>
      </c>
      <c r="M3386" s="13" t="b">
        <f t="shared" si="365"/>
        <v>0</v>
      </c>
      <c r="N3386" s="13">
        <f t="shared" si="366"/>
        <v>1</v>
      </c>
      <c r="O3386" s="13" t="str">
        <f t="shared" si="367"/>
        <v>ЭТАЖ ЗАДАН ЧИСЛОМ</v>
      </c>
      <c r="P3386" s="13" t="str">
        <f t="shared" si="368"/>
        <v>ЭТАЖ ЗАДАН ЧИСЛОМ</v>
      </c>
      <c r="Q3386" s="13" t="str">
        <f t="shared" si="369"/>
        <v>ГОТОВ_ИЗМЕНЕН</v>
      </c>
      <c r="R3386" s="13">
        <f>IFERROR(VLOOKUP(P3386,Лист1!A$1:B$20,2,FALSE),0)</f>
        <v>784</v>
      </c>
      <c r="S3386" s="13">
        <f t="shared" si="370"/>
        <v>0</v>
      </c>
    </row>
    <row r="3387" spans="1:19" x14ac:dyDescent="0.25">
      <c r="A3387" s="24" t="s">
        <v>4520</v>
      </c>
      <c r="B3387" s="4" t="s">
        <v>1059</v>
      </c>
      <c r="C3387" s="25" t="s">
        <v>7</v>
      </c>
      <c r="G3387" s="25" t="s">
        <v>1060</v>
      </c>
      <c r="H3387" s="24" t="s">
        <v>1061</v>
      </c>
      <c r="I3387" s="3" t="str">
        <f>IFERROR(VLOOKUP(C3387,'Справочник соответствий'!A$2:D$2981,2,FALSE),IF(VALUE(C3387)=0,1,VLOOKUP(C3387,'Справочник соответствий'!A$2:D$2981,2,FALSE)))</f>
        <v>2</v>
      </c>
      <c r="J3387" s="3">
        <f>IFERROR(VLOOKUP(D3387,'Справочник соответствий'!A$2:D$2981,2,FALSE),IF(VALUE(D3387)=0,0,VLOOKUP(D3387,'Справочник соответствий'!A$2:D$2981,2,FALSE)))</f>
        <v>0</v>
      </c>
      <c r="K3387" s="3" t="str">
        <f t="shared" si="364"/>
        <v>2</v>
      </c>
      <c r="L3387" s="13" t="str">
        <f>IFERROR(VLOOKUP(C3387,'Справочник соответствий'!A$2:D$2981,3,FALSE),IF(VALUE(C3387)=0,"ЭТАЖ НЕ ОПРЕДЕЛЕН. ПРИНЯТ ПО ДОПУЩЕНИЮ 1",VLOOKUP(C3387,'Справочник соответствий'!A$2:D$2981,3,FALSE)))</f>
        <v>ЭТАЖ ЗАДАН ЧИСЛОМ</v>
      </c>
      <c r="M3387" s="13" t="b">
        <f t="shared" si="365"/>
        <v>0</v>
      </c>
      <c r="N3387" s="13">
        <f t="shared" si="366"/>
        <v>2</v>
      </c>
      <c r="O3387" s="13" t="str">
        <f t="shared" si="367"/>
        <v>ЭТАЖ ЗАДАН ЧИСЛОМ</v>
      </c>
      <c r="P3387" s="13" t="str">
        <f t="shared" si="368"/>
        <v>ЭТАЖ ЗАДАН ЧИСЛОМ</v>
      </c>
      <c r="Q3387" s="13" t="str">
        <f t="shared" si="369"/>
        <v>ГОТОВ_ИЗМЕНЕН</v>
      </c>
      <c r="R3387" s="13">
        <f>IFERROR(VLOOKUP(P3387,Лист1!A$1:B$20,2,FALSE),0)</f>
        <v>784</v>
      </c>
      <c r="S3387" s="13">
        <f t="shared" si="370"/>
        <v>0</v>
      </c>
    </row>
    <row r="3388" spans="1:19" x14ac:dyDescent="0.25">
      <c r="A3388" s="24" t="s">
        <v>4521</v>
      </c>
      <c r="B3388" s="4" t="s">
        <v>1063</v>
      </c>
      <c r="C3388" s="25" t="s">
        <v>5</v>
      </c>
      <c r="G3388" s="25" t="s">
        <v>1060</v>
      </c>
      <c r="H3388" s="24" t="s">
        <v>1061</v>
      </c>
      <c r="I3388" s="3" t="str">
        <f>IFERROR(VLOOKUP(C3388,'Справочник соответствий'!A$2:D$2981,2,FALSE),IF(VALUE(C3388)=0,1,VLOOKUP(C3388,'Справочник соответствий'!A$2:D$2981,2,FALSE)))</f>
        <v>1</v>
      </c>
      <c r="J3388" s="3">
        <f>IFERROR(VLOOKUP(D3388,'Справочник соответствий'!A$2:D$2981,2,FALSE),IF(VALUE(D3388)=0,0,VLOOKUP(D3388,'Справочник соответствий'!A$2:D$2981,2,FALSE)))</f>
        <v>0</v>
      </c>
      <c r="K3388" s="3" t="str">
        <f t="shared" si="364"/>
        <v>1</v>
      </c>
      <c r="L3388" s="13" t="str">
        <f>IFERROR(VLOOKUP(C3388,'Справочник соответствий'!A$2:D$2981,3,FALSE),IF(VALUE(C3388)=0,"ЭТАЖ НЕ ОПРЕДЕЛЕН. ПРИНЯТ ПО ДОПУЩЕНИЮ 1",VLOOKUP(C3388,'Справочник соответствий'!A$2:D$2981,3,FALSE)))</f>
        <v>ЭТАЖ ЗАДАН ЧИСЛОМ</v>
      </c>
      <c r="M3388" s="13" t="b">
        <f t="shared" si="365"/>
        <v>0</v>
      </c>
      <c r="N3388" s="13">
        <f t="shared" si="366"/>
        <v>1</v>
      </c>
      <c r="O3388" s="13" t="str">
        <f t="shared" si="367"/>
        <v>ЭТАЖ ЗАДАН ЧИСЛОМ</v>
      </c>
      <c r="P3388" s="13" t="str">
        <f t="shared" si="368"/>
        <v>ЭТАЖ ЗАДАН ЧИСЛОМ</v>
      </c>
      <c r="Q3388" s="13" t="str">
        <f t="shared" si="369"/>
        <v>ГОТОВ_ИЗМЕНЕН</v>
      </c>
      <c r="R3388" s="13">
        <f>IFERROR(VLOOKUP(P3388,Лист1!A$1:B$20,2,FALSE),0)</f>
        <v>784</v>
      </c>
      <c r="S3388" s="13">
        <f t="shared" si="370"/>
        <v>0</v>
      </c>
    </row>
    <row r="3389" spans="1:19" x14ac:dyDescent="0.25">
      <c r="A3389" s="24" t="s">
        <v>4522</v>
      </c>
      <c r="B3389" s="4" t="s">
        <v>1059</v>
      </c>
      <c r="C3389" s="25" t="s">
        <v>5</v>
      </c>
      <c r="G3389" s="25" t="s">
        <v>1096</v>
      </c>
      <c r="H3389" s="24" t="s">
        <v>1061</v>
      </c>
      <c r="I3389" s="3" t="str">
        <f>IFERROR(VLOOKUP(C3389,'Справочник соответствий'!A$2:D$2981,2,FALSE),IF(VALUE(C3389)=0,1,VLOOKUP(C3389,'Справочник соответствий'!A$2:D$2981,2,FALSE)))</f>
        <v>1</v>
      </c>
      <c r="J3389" s="3">
        <f>IFERROR(VLOOKUP(D3389,'Справочник соответствий'!A$2:D$2981,2,FALSE),IF(VALUE(D3389)=0,0,VLOOKUP(D3389,'Справочник соответствий'!A$2:D$2981,2,FALSE)))</f>
        <v>0</v>
      </c>
      <c r="K3389" s="3" t="str">
        <f t="shared" si="364"/>
        <v>1</v>
      </c>
      <c r="L3389" s="13" t="str">
        <f>IFERROR(VLOOKUP(C3389,'Справочник соответствий'!A$2:D$2981,3,FALSE),IF(VALUE(C3389)=0,"ЭТАЖ НЕ ОПРЕДЕЛЕН. ПРИНЯТ ПО ДОПУЩЕНИЮ 1",VLOOKUP(C3389,'Справочник соответствий'!A$2:D$2981,3,FALSE)))</f>
        <v>ЭТАЖ ЗАДАН ЧИСЛОМ</v>
      </c>
      <c r="M3389" s="13" t="b">
        <f t="shared" si="365"/>
        <v>0</v>
      </c>
      <c r="N3389" s="13">
        <f t="shared" si="366"/>
        <v>1</v>
      </c>
      <c r="O3389" s="13" t="str">
        <f t="shared" si="367"/>
        <v>ЭТАЖ ЗАДАН ЧИСЛОМ</v>
      </c>
      <c r="P3389" s="13" t="str">
        <f t="shared" si="368"/>
        <v>ЭТАЖ ЗАДАН ЧИСЛОМ</v>
      </c>
      <c r="Q3389" s="13" t="str">
        <f t="shared" si="369"/>
        <v>ГОТОВ_ИЗМЕНЕН</v>
      </c>
      <c r="R3389" s="13">
        <f>IFERROR(VLOOKUP(P3389,Лист1!A$1:B$20,2,FALSE),0)</f>
        <v>784</v>
      </c>
      <c r="S3389" s="13">
        <f t="shared" si="370"/>
        <v>0</v>
      </c>
    </row>
    <row r="3390" spans="1:19" x14ac:dyDescent="0.25">
      <c r="A3390" s="24" t="s">
        <v>4523</v>
      </c>
      <c r="B3390" s="4" t="s">
        <v>1059</v>
      </c>
      <c r="C3390" s="25" t="s">
        <v>5</v>
      </c>
      <c r="G3390" s="25" t="s">
        <v>1108</v>
      </c>
      <c r="H3390" s="24" t="s">
        <v>1061</v>
      </c>
      <c r="I3390" s="3" t="str">
        <f>IFERROR(VLOOKUP(C3390,'Справочник соответствий'!A$2:D$2981,2,FALSE),IF(VALUE(C3390)=0,1,VLOOKUP(C3390,'Справочник соответствий'!A$2:D$2981,2,FALSE)))</f>
        <v>1</v>
      </c>
      <c r="J3390" s="3">
        <f>IFERROR(VLOOKUP(D3390,'Справочник соответствий'!A$2:D$2981,2,FALSE),IF(VALUE(D3390)=0,0,VLOOKUP(D3390,'Справочник соответствий'!A$2:D$2981,2,FALSE)))</f>
        <v>0</v>
      </c>
      <c r="K3390" s="3" t="str">
        <f t="shared" si="364"/>
        <v>1</v>
      </c>
      <c r="L3390" s="13" t="str">
        <f>IFERROR(VLOOKUP(C3390,'Справочник соответствий'!A$2:D$2981,3,FALSE),IF(VALUE(C3390)=0,"ЭТАЖ НЕ ОПРЕДЕЛЕН. ПРИНЯТ ПО ДОПУЩЕНИЮ 1",VLOOKUP(C3390,'Справочник соответствий'!A$2:D$2981,3,FALSE)))</f>
        <v>ЭТАЖ ЗАДАН ЧИСЛОМ</v>
      </c>
      <c r="M3390" s="13" t="b">
        <f t="shared" si="365"/>
        <v>0</v>
      </c>
      <c r="N3390" s="13">
        <f t="shared" si="366"/>
        <v>1</v>
      </c>
      <c r="O3390" s="13" t="str">
        <f t="shared" si="367"/>
        <v>ЭТАЖ ЗАДАН ЧИСЛОМ</v>
      </c>
      <c r="P3390" s="13" t="str">
        <f t="shared" si="368"/>
        <v>ЭТАЖ ЗАДАН ЧИСЛОМ</v>
      </c>
      <c r="Q3390" s="13" t="str">
        <f t="shared" si="369"/>
        <v>ГОТОВ_ИЗМЕНЕН</v>
      </c>
      <c r="R3390" s="13">
        <f>IFERROR(VLOOKUP(P3390,Лист1!A$1:B$20,2,FALSE),0)</f>
        <v>784</v>
      </c>
      <c r="S3390" s="13">
        <f t="shared" si="370"/>
        <v>0</v>
      </c>
    </row>
    <row r="3391" spans="1:19" x14ac:dyDescent="0.25">
      <c r="A3391" s="24" t="s">
        <v>4524</v>
      </c>
      <c r="B3391" s="4" t="s">
        <v>1063</v>
      </c>
      <c r="C3391" s="25" t="s">
        <v>5</v>
      </c>
      <c r="G3391" s="25" t="s">
        <v>1096</v>
      </c>
      <c r="H3391" s="24" t="s">
        <v>1061</v>
      </c>
      <c r="I3391" s="3" t="str">
        <f>IFERROR(VLOOKUP(C3391,'Справочник соответствий'!A$2:D$2981,2,FALSE),IF(VALUE(C3391)=0,1,VLOOKUP(C3391,'Справочник соответствий'!A$2:D$2981,2,FALSE)))</f>
        <v>1</v>
      </c>
      <c r="J3391" s="3">
        <f>IFERROR(VLOOKUP(D3391,'Справочник соответствий'!A$2:D$2981,2,FALSE),IF(VALUE(D3391)=0,0,VLOOKUP(D3391,'Справочник соответствий'!A$2:D$2981,2,FALSE)))</f>
        <v>0</v>
      </c>
      <c r="K3391" s="3" t="str">
        <f t="shared" si="364"/>
        <v>1</v>
      </c>
      <c r="L3391" s="13" t="str">
        <f>IFERROR(VLOOKUP(C3391,'Справочник соответствий'!A$2:D$2981,3,FALSE),IF(VALUE(C3391)=0,"ЭТАЖ НЕ ОПРЕДЕЛЕН. ПРИНЯТ ПО ДОПУЩЕНИЮ 1",VLOOKUP(C3391,'Справочник соответствий'!A$2:D$2981,3,FALSE)))</f>
        <v>ЭТАЖ ЗАДАН ЧИСЛОМ</v>
      </c>
      <c r="M3391" s="13" t="b">
        <f t="shared" si="365"/>
        <v>0</v>
      </c>
      <c r="N3391" s="13">
        <f t="shared" si="366"/>
        <v>1</v>
      </c>
      <c r="O3391" s="13" t="str">
        <f t="shared" si="367"/>
        <v>ЭТАЖ ЗАДАН ЧИСЛОМ</v>
      </c>
      <c r="P3391" s="13" t="str">
        <f t="shared" si="368"/>
        <v>ЭТАЖ ЗАДАН ЧИСЛОМ</v>
      </c>
      <c r="Q3391" s="13" t="str">
        <f t="shared" si="369"/>
        <v>ГОТОВ_ИЗМЕНЕН</v>
      </c>
      <c r="R3391" s="13">
        <f>IFERROR(VLOOKUP(P3391,Лист1!A$1:B$20,2,FALSE),0)</f>
        <v>784</v>
      </c>
      <c r="S3391" s="13">
        <f t="shared" si="370"/>
        <v>0</v>
      </c>
    </row>
    <row r="3392" spans="1:19" x14ac:dyDescent="0.25">
      <c r="A3392" s="24" t="s">
        <v>4525</v>
      </c>
      <c r="B3392" s="4" t="s">
        <v>1063</v>
      </c>
      <c r="C3392" s="25" t="s">
        <v>5</v>
      </c>
      <c r="G3392" s="25" t="s">
        <v>1096</v>
      </c>
      <c r="H3392" s="24" t="s">
        <v>1061</v>
      </c>
      <c r="I3392" s="3" t="str">
        <f>IFERROR(VLOOKUP(C3392,'Справочник соответствий'!A$2:D$2981,2,FALSE),IF(VALUE(C3392)=0,1,VLOOKUP(C3392,'Справочник соответствий'!A$2:D$2981,2,FALSE)))</f>
        <v>1</v>
      </c>
      <c r="J3392" s="3">
        <f>IFERROR(VLOOKUP(D3392,'Справочник соответствий'!A$2:D$2981,2,FALSE),IF(VALUE(D3392)=0,0,VLOOKUP(D3392,'Справочник соответствий'!A$2:D$2981,2,FALSE)))</f>
        <v>0</v>
      </c>
      <c r="K3392" s="3" t="str">
        <f t="shared" si="364"/>
        <v>1</v>
      </c>
      <c r="L3392" s="13" t="str">
        <f>IFERROR(VLOOKUP(C3392,'Справочник соответствий'!A$2:D$2981,3,FALSE),IF(VALUE(C3392)=0,"ЭТАЖ НЕ ОПРЕДЕЛЕН. ПРИНЯТ ПО ДОПУЩЕНИЮ 1",VLOOKUP(C3392,'Справочник соответствий'!A$2:D$2981,3,FALSE)))</f>
        <v>ЭТАЖ ЗАДАН ЧИСЛОМ</v>
      </c>
      <c r="M3392" s="13" t="b">
        <f t="shared" si="365"/>
        <v>0</v>
      </c>
      <c r="N3392" s="13">
        <f t="shared" si="366"/>
        <v>1</v>
      </c>
      <c r="O3392" s="13" t="str">
        <f t="shared" si="367"/>
        <v>ЭТАЖ ЗАДАН ЧИСЛОМ</v>
      </c>
      <c r="P3392" s="13" t="str">
        <f t="shared" si="368"/>
        <v>ЭТАЖ ЗАДАН ЧИСЛОМ</v>
      </c>
      <c r="Q3392" s="13" t="str">
        <f t="shared" si="369"/>
        <v>ГОТОВ_ИЗМЕНЕН</v>
      </c>
      <c r="R3392" s="13">
        <f>IFERROR(VLOOKUP(P3392,Лист1!A$1:B$20,2,FALSE),0)</f>
        <v>784</v>
      </c>
      <c r="S3392" s="13">
        <f t="shared" si="370"/>
        <v>0</v>
      </c>
    </row>
    <row r="3393" spans="1:19" x14ac:dyDescent="0.25">
      <c r="A3393" s="24" t="s">
        <v>4526</v>
      </c>
      <c r="B3393" s="4" t="s">
        <v>1059</v>
      </c>
      <c r="C3393" s="25" t="s">
        <v>7</v>
      </c>
      <c r="G3393" s="25" t="s">
        <v>1096</v>
      </c>
      <c r="H3393" s="24" t="s">
        <v>1061</v>
      </c>
      <c r="I3393" s="3" t="str">
        <f>IFERROR(VLOOKUP(C3393,'Справочник соответствий'!A$2:D$2981,2,FALSE),IF(VALUE(C3393)=0,1,VLOOKUP(C3393,'Справочник соответствий'!A$2:D$2981,2,FALSE)))</f>
        <v>2</v>
      </c>
      <c r="J3393" s="3">
        <f>IFERROR(VLOOKUP(D3393,'Справочник соответствий'!A$2:D$2981,2,FALSE),IF(VALUE(D3393)=0,0,VLOOKUP(D3393,'Справочник соответствий'!A$2:D$2981,2,FALSE)))</f>
        <v>0</v>
      </c>
      <c r="K3393" s="3" t="str">
        <f t="shared" si="364"/>
        <v>2</v>
      </c>
      <c r="L3393" s="13" t="str">
        <f>IFERROR(VLOOKUP(C3393,'Справочник соответствий'!A$2:D$2981,3,FALSE),IF(VALUE(C3393)=0,"ЭТАЖ НЕ ОПРЕДЕЛЕН. ПРИНЯТ ПО ДОПУЩЕНИЮ 1",VLOOKUP(C3393,'Справочник соответствий'!A$2:D$2981,3,FALSE)))</f>
        <v>ЭТАЖ ЗАДАН ЧИСЛОМ</v>
      </c>
      <c r="M3393" s="13" t="b">
        <f t="shared" si="365"/>
        <v>0</v>
      </c>
      <c r="N3393" s="13">
        <f t="shared" si="366"/>
        <v>2</v>
      </c>
      <c r="O3393" s="13" t="str">
        <f t="shared" si="367"/>
        <v>ЭТАЖ ЗАДАН ЧИСЛОМ</v>
      </c>
      <c r="P3393" s="13" t="str">
        <f t="shared" si="368"/>
        <v>ЭТАЖ ЗАДАН ЧИСЛОМ</v>
      </c>
      <c r="Q3393" s="13" t="str">
        <f t="shared" si="369"/>
        <v>ГОТОВ_ИЗМЕНЕН</v>
      </c>
      <c r="R3393" s="13">
        <f>IFERROR(VLOOKUP(P3393,Лист1!A$1:B$20,2,FALSE),0)</f>
        <v>784</v>
      </c>
      <c r="S3393" s="13">
        <f t="shared" si="370"/>
        <v>0</v>
      </c>
    </row>
    <row r="3394" spans="1:19" x14ac:dyDescent="0.25">
      <c r="A3394" s="24" t="s">
        <v>4527</v>
      </c>
      <c r="B3394" s="4" t="s">
        <v>1059</v>
      </c>
      <c r="C3394" s="25" t="s">
        <v>5</v>
      </c>
      <c r="G3394" s="25" t="s">
        <v>1096</v>
      </c>
      <c r="H3394" s="24" t="s">
        <v>1061</v>
      </c>
      <c r="I3394" s="3" t="str">
        <f>IFERROR(VLOOKUP(C3394,'Справочник соответствий'!A$2:D$2981,2,FALSE),IF(VALUE(C3394)=0,1,VLOOKUP(C3394,'Справочник соответствий'!A$2:D$2981,2,FALSE)))</f>
        <v>1</v>
      </c>
      <c r="J3394" s="3">
        <f>IFERROR(VLOOKUP(D3394,'Справочник соответствий'!A$2:D$2981,2,FALSE),IF(VALUE(D3394)=0,0,VLOOKUP(D3394,'Справочник соответствий'!A$2:D$2981,2,FALSE)))</f>
        <v>0</v>
      </c>
      <c r="K3394" s="3" t="str">
        <f t="shared" si="364"/>
        <v>1</v>
      </c>
      <c r="L3394" s="13" t="str">
        <f>IFERROR(VLOOKUP(C3394,'Справочник соответствий'!A$2:D$2981,3,FALSE),IF(VALUE(C3394)=0,"ЭТАЖ НЕ ОПРЕДЕЛЕН. ПРИНЯТ ПО ДОПУЩЕНИЮ 1",VLOOKUP(C3394,'Справочник соответствий'!A$2:D$2981,3,FALSE)))</f>
        <v>ЭТАЖ ЗАДАН ЧИСЛОМ</v>
      </c>
      <c r="M3394" s="13" t="b">
        <f t="shared" si="365"/>
        <v>0</v>
      </c>
      <c r="N3394" s="13">
        <f t="shared" si="366"/>
        <v>1</v>
      </c>
      <c r="O3394" s="13" t="str">
        <f t="shared" si="367"/>
        <v>ЭТАЖ ЗАДАН ЧИСЛОМ</v>
      </c>
      <c r="P3394" s="13" t="str">
        <f t="shared" si="368"/>
        <v>ЭТАЖ ЗАДАН ЧИСЛОМ</v>
      </c>
      <c r="Q3394" s="13" t="str">
        <f t="shared" si="369"/>
        <v>ГОТОВ_ИЗМЕНЕН</v>
      </c>
      <c r="R3394" s="13">
        <f>IFERROR(VLOOKUP(P3394,Лист1!A$1:B$20,2,FALSE),0)</f>
        <v>784</v>
      </c>
      <c r="S3394" s="13">
        <f t="shared" si="370"/>
        <v>0</v>
      </c>
    </row>
    <row r="3395" spans="1:19" x14ac:dyDescent="0.25">
      <c r="A3395" s="24" t="s">
        <v>4528</v>
      </c>
      <c r="B3395" s="4" t="s">
        <v>1059</v>
      </c>
      <c r="C3395" s="25" t="s">
        <v>7</v>
      </c>
      <c r="G3395" s="25" t="s">
        <v>1096</v>
      </c>
      <c r="H3395" s="24" t="s">
        <v>1061</v>
      </c>
      <c r="I3395" s="3" t="str">
        <f>IFERROR(VLOOKUP(C3395,'Справочник соответствий'!A$2:D$2981,2,FALSE),IF(VALUE(C3395)=0,1,VLOOKUP(C3395,'Справочник соответствий'!A$2:D$2981,2,FALSE)))</f>
        <v>2</v>
      </c>
      <c r="J3395" s="3">
        <f>IFERROR(VLOOKUP(D3395,'Справочник соответствий'!A$2:D$2981,2,FALSE),IF(VALUE(D3395)=0,0,VLOOKUP(D3395,'Справочник соответствий'!A$2:D$2981,2,FALSE)))</f>
        <v>0</v>
      </c>
      <c r="K3395" s="3" t="str">
        <f t="shared" si="364"/>
        <v>2</v>
      </c>
      <c r="L3395" s="13" t="str">
        <f>IFERROR(VLOOKUP(C3395,'Справочник соответствий'!A$2:D$2981,3,FALSE),IF(VALUE(C3395)=0,"ЭТАЖ НЕ ОПРЕДЕЛЕН. ПРИНЯТ ПО ДОПУЩЕНИЮ 1",VLOOKUP(C3395,'Справочник соответствий'!A$2:D$2981,3,FALSE)))</f>
        <v>ЭТАЖ ЗАДАН ЧИСЛОМ</v>
      </c>
      <c r="M3395" s="13" t="b">
        <f t="shared" si="365"/>
        <v>0</v>
      </c>
      <c r="N3395" s="13">
        <f t="shared" si="366"/>
        <v>2</v>
      </c>
      <c r="O3395" s="13" t="str">
        <f t="shared" si="367"/>
        <v>ЭТАЖ ЗАДАН ЧИСЛОМ</v>
      </c>
      <c r="P3395" s="13" t="str">
        <f t="shared" si="368"/>
        <v>ЭТАЖ ЗАДАН ЧИСЛОМ</v>
      </c>
      <c r="Q3395" s="13" t="str">
        <f t="shared" si="369"/>
        <v>ГОТОВ_ИЗМЕНЕН</v>
      </c>
      <c r="R3395" s="13">
        <f>IFERROR(VLOOKUP(P3395,Лист1!A$1:B$20,2,FALSE),0)</f>
        <v>784</v>
      </c>
      <c r="S3395" s="13">
        <f t="shared" si="370"/>
        <v>0</v>
      </c>
    </row>
    <row r="3396" spans="1:19" x14ac:dyDescent="0.25">
      <c r="A3396" s="24" t="s">
        <v>4529</v>
      </c>
      <c r="B3396" s="4" t="s">
        <v>1059</v>
      </c>
      <c r="C3396" s="25" t="s">
        <v>7</v>
      </c>
      <c r="G3396" s="25" t="s">
        <v>1096</v>
      </c>
      <c r="H3396" s="24" t="s">
        <v>1061</v>
      </c>
      <c r="I3396" s="3" t="str">
        <f>IFERROR(VLOOKUP(C3396,'Справочник соответствий'!A$2:D$2981,2,FALSE),IF(VALUE(C3396)=0,1,VLOOKUP(C3396,'Справочник соответствий'!A$2:D$2981,2,FALSE)))</f>
        <v>2</v>
      </c>
      <c r="J3396" s="3">
        <f>IFERROR(VLOOKUP(D3396,'Справочник соответствий'!A$2:D$2981,2,FALSE),IF(VALUE(D3396)=0,0,VLOOKUP(D3396,'Справочник соответствий'!A$2:D$2981,2,FALSE)))</f>
        <v>0</v>
      </c>
      <c r="K3396" s="3" t="str">
        <f t="shared" si="364"/>
        <v>2</v>
      </c>
      <c r="L3396" s="13" t="str">
        <f>IFERROR(VLOOKUP(C3396,'Справочник соответствий'!A$2:D$2981,3,FALSE),IF(VALUE(C3396)=0,"ЭТАЖ НЕ ОПРЕДЕЛЕН. ПРИНЯТ ПО ДОПУЩЕНИЮ 1",VLOOKUP(C3396,'Справочник соответствий'!A$2:D$2981,3,FALSE)))</f>
        <v>ЭТАЖ ЗАДАН ЧИСЛОМ</v>
      </c>
      <c r="M3396" s="13" t="b">
        <f t="shared" si="365"/>
        <v>0</v>
      </c>
      <c r="N3396" s="13">
        <f t="shared" si="366"/>
        <v>2</v>
      </c>
      <c r="O3396" s="13" t="str">
        <f t="shared" si="367"/>
        <v>ЭТАЖ ЗАДАН ЧИСЛОМ</v>
      </c>
      <c r="P3396" s="13" t="str">
        <f t="shared" si="368"/>
        <v>ЭТАЖ ЗАДАН ЧИСЛОМ</v>
      </c>
      <c r="Q3396" s="13" t="str">
        <f t="shared" si="369"/>
        <v>ГОТОВ_ИЗМЕНЕН</v>
      </c>
      <c r="R3396" s="13">
        <f>IFERROR(VLOOKUP(P3396,Лист1!A$1:B$20,2,FALSE),0)</f>
        <v>784</v>
      </c>
      <c r="S3396" s="13">
        <f t="shared" si="370"/>
        <v>0</v>
      </c>
    </row>
    <row r="3397" spans="1:19" x14ac:dyDescent="0.25">
      <c r="A3397" s="24" t="s">
        <v>4530</v>
      </c>
      <c r="B3397" s="4" t="s">
        <v>1059</v>
      </c>
      <c r="C3397" s="25" t="s">
        <v>7</v>
      </c>
      <c r="G3397" s="25" t="s">
        <v>1096</v>
      </c>
      <c r="H3397" s="24" t="s">
        <v>1061</v>
      </c>
      <c r="I3397" s="3" t="str">
        <f>IFERROR(VLOOKUP(C3397,'Справочник соответствий'!A$2:D$2981,2,FALSE),IF(VALUE(C3397)=0,1,VLOOKUP(C3397,'Справочник соответствий'!A$2:D$2981,2,FALSE)))</f>
        <v>2</v>
      </c>
      <c r="J3397" s="3">
        <f>IFERROR(VLOOKUP(D3397,'Справочник соответствий'!A$2:D$2981,2,FALSE),IF(VALUE(D3397)=0,0,VLOOKUP(D3397,'Справочник соответствий'!A$2:D$2981,2,FALSE)))</f>
        <v>0</v>
      </c>
      <c r="K3397" s="3" t="str">
        <f t="shared" ref="K3397:K3460" si="371">IF(B3397="Многоквартирный дом",IF(I3397-J3397&gt;0,I3397-J3397,1),I3397)</f>
        <v>2</v>
      </c>
      <c r="L3397" s="13" t="str">
        <f>IFERROR(VLOOKUP(C3397,'Справочник соответствий'!A$2:D$2981,3,FALSE),IF(VALUE(C3397)=0,"ЭТАЖ НЕ ОПРЕДЕЛЕН. ПРИНЯТ ПО ДОПУЩЕНИЮ 1",VLOOKUP(C3397,'Справочник соответствий'!A$2:D$2981,3,FALSE)))</f>
        <v>ЭТАЖ ЗАДАН ЧИСЛОМ</v>
      </c>
      <c r="M3397" s="13" t="b">
        <f t="shared" ref="M3397:M3460" si="372">I3397=E3397</f>
        <v>0</v>
      </c>
      <c r="N3397" s="13">
        <f t="shared" ref="N3397:N3460" si="373">IF(VALUE(E3397)=0,VALUE(K3397),IF(L3397="ЭТАЖ НЕ ОПРЕДЕЛЕН. ПРИНЯТ ПО ДОПУЩЕНИЮ 1",VALUE(E3397),VALUE(K3397)))</f>
        <v>2</v>
      </c>
      <c r="O3397" s="13" t="str">
        <f t="shared" ref="O3397:O3460" si="374">IF(VALUE(E3397)=0,L3397,IF(L3397="ЭТАЖ НЕ ОПРЕДЕЛЕН. ПРИНЯТ ПО ДОПУЩЕНИЮ 1",F3397,L3397))</f>
        <v>ЭТАЖ ЗАДАН ЧИСЛОМ</v>
      </c>
      <c r="P3397" s="13" t="str">
        <f t="shared" ref="P3397:P3460" si="375">IF(B3397="Многоквартирный дом",CONCATENATE("МКД_",O3397),O3397)</f>
        <v>ЭТАЖ ЗАДАН ЧИСЛОМ</v>
      </c>
      <c r="Q3397" s="13" t="str">
        <f t="shared" ref="Q3397:Q3460" si="376">IFERROR(IF(N3397&gt;0,IF(N3397=VALUE(E3397),"ГОТОВ","ГОТОВ_ИЗМЕНЕН"),"НЕ ГОТОВ"),"НЕ ГОТОВ")</f>
        <v>ГОТОВ_ИЗМЕНЕН</v>
      </c>
      <c r="R3397" s="13">
        <f>IFERROR(VLOOKUP(P3397,Лист1!A$1:B$20,2,FALSE),0)</f>
        <v>784</v>
      </c>
      <c r="S3397" s="13">
        <f t="shared" ref="S3397:S3460" si="377">VALUE(E3397)</f>
        <v>0</v>
      </c>
    </row>
    <row r="3398" spans="1:19" x14ac:dyDescent="0.25">
      <c r="A3398" s="24" t="s">
        <v>4531</v>
      </c>
      <c r="B3398" s="4" t="s">
        <v>1059</v>
      </c>
      <c r="C3398" s="25" t="s">
        <v>5</v>
      </c>
      <c r="G3398" s="25" t="s">
        <v>3185</v>
      </c>
      <c r="H3398" s="24" t="s">
        <v>1061</v>
      </c>
      <c r="I3398" s="3" t="str">
        <f>IFERROR(VLOOKUP(C3398,'Справочник соответствий'!A$2:D$2981,2,FALSE),IF(VALUE(C3398)=0,1,VLOOKUP(C3398,'Справочник соответствий'!A$2:D$2981,2,FALSE)))</f>
        <v>1</v>
      </c>
      <c r="J3398" s="3">
        <f>IFERROR(VLOOKUP(D3398,'Справочник соответствий'!A$2:D$2981,2,FALSE),IF(VALUE(D3398)=0,0,VLOOKUP(D3398,'Справочник соответствий'!A$2:D$2981,2,FALSE)))</f>
        <v>0</v>
      </c>
      <c r="K3398" s="3" t="str">
        <f t="shared" si="371"/>
        <v>1</v>
      </c>
      <c r="L3398" s="13" t="str">
        <f>IFERROR(VLOOKUP(C3398,'Справочник соответствий'!A$2:D$2981,3,FALSE),IF(VALUE(C3398)=0,"ЭТАЖ НЕ ОПРЕДЕЛЕН. ПРИНЯТ ПО ДОПУЩЕНИЮ 1",VLOOKUP(C3398,'Справочник соответствий'!A$2:D$2981,3,FALSE)))</f>
        <v>ЭТАЖ ЗАДАН ЧИСЛОМ</v>
      </c>
      <c r="M3398" s="13" t="b">
        <f t="shared" si="372"/>
        <v>0</v>
      </c>
      <c r="N3398" s="13">
        <f t="shared" si="373"/>
        <v>1</v>
      </c>
      <c r="O3398" s="13" t="str">
        <f t="shared" si="374"/>
        <v>ЭТАЖ ЗАДАН ЧИСЛОМ</v>
      </c>
      <c r="P3398" s="13" t="str">
        <f t="shared" si="375"/>
        <v>ЭТАЖ ЗАДАН ЧИСЛОМ</v>
      </c>
      <c r="Q3398" s="13" t="str">
        <f t="shared" si="376"/>
        <v>ГОТОВ_ИЗМЕНЕН</v>
      </c>
      <c r="R3398" s="13">
        <f>IFERROR(VLOOKUP(P3398,Лист1!A$1:B$20,2,FALSE),0)</f>
        <v>784</v>
      </c>
      <c r="S3398" s="13">
        <f t="shared" si="377"/>
        <v>0</v>
      </c>
    </row>
    <row r="3399" spans="1:19" x14ac:dyDescent="0.25">
      <c r="A3399" s="24" t="s">
        <v>4532</v>
      </c>
      <c r="B3399" s="4" t="s">
        <v>1063</v>
      </c>
      <c r="G3399" s="25" t="s">
        <v>3185</v>
      </c>
      <c r="H3399" s="24" t="s">
        <v>1061</v>
      </c>
      <c r="I3399" s="3">
        <f>IFERROR(VLOOKUP(C3399,'Справочник соответствий'!A$2:D$2981,2,FALSE),IF(VALUE(C3399)=0,1,VLOOKUP(C3399,'Справочник соответствий'!A$2:D$2981,2,FALSE)))</f>
        <v>1</v>
      </c>
      <c r="J3399" s="3">
        <f>IFERROR(VLOOKUP(D3399,'Справочник соответствий'!A$2:D$2981,2,FALSE),IF(VALUE(D3399)=0,0,VLOOKUP(D3399,'Справочник соответствий'!A$2:D$2981,2,FALSE)))</f>
        <v>0</v>
      </c>
      <c r="K3399" s="3">
        <f t="shared" si="371"/>
        <v>1</v>
      </c>
      <c r="L3399" s="13" t="str">
        <f>IFERROR(VLOOKUP(C3399,'Справочник соответствий'!A$2:D$2981,3,FALSE),IF(VALUE(C3399)=0,"ЭТАЖ НЕ ОПРЕДЕЛЕН. ПРИНЯТ ПО ДОПУЩЕНИЮ 1",VLOOKUP(C3399,'Справочник соответствий'!A$2:D$2981,3,FALSE)))</f>
        <v>ЭТАЖ НЕ ОПРЕДЕЛЕН. ПРИНЯТ ПО ДОПУЩЕНИЮ 1</v>
      </c>
      <c r="M3399" s="13" t="b">
        <f t="shared" si="372"/>
        <v>0</v>
      </c>
      <c r="N3399" s="13">
        <f t="shared" si="373"/>
        <v>1</v>
      </c>
      <c r="O3399" s="13" t="str">
        <f t="shared" si="374"/>
        <v>ЭТАЖ НЕ ОПРЕДЕЛЕН. ПРИНЯТ ПО ДОПУЩЕНИЮ 1</v>
      </c>
      <c r="P3399" s="13" t="str">
        <f t="shared" si="375"/>
        <v>ЭТАЖ НЕ ОПРЕДЕЛЕН. ПРИНЯТ ПО ДОПУЩЕНИЮ 1</v>
      </c>
      <c r="Q3399" s="13" t="str">
        <f t="shared" si="376"/>
        <v>ГОТОВ_ИЗМЕНЕН</v>
      </c>
      <c r="R3399" s="13">
        <f>IFERROR(VLOOKUP(P3399,Лист1!A$1:B$20,2,FALSE),0)</f>
        <v>788</v>
      </c>
      <c r="S3399" s="13">
        <f t="shared" si="377"/>
        <v>0</v>
      </c>
    </row>
    <row r="3400" spans="1:19" x14ac:dyDescent="0.25">
      <c r="A3400" s="24" t="s">
        <v>4533</v>
      </c>
      <c r="B3400" s="4" t="s">
        <v>1059</v>
      </c>
      <c r="C3400" s="25" t="s">
        <v>5</v>
      </c>
      <c r="G3400" s="25" t="s">
        <v>1698</v>
      </c>
      <c r="H3400" s="24" t="s">
        <v>1061</v>
      </c>
      <c r="I3400" s="3" t="str">
        <f>IFERROR(VLOOKUP(C3400,'Справочник соответствий'!A$2:D$2981,2,FALSE),IF(VALUE(C3400)=0,1,VLOOKUP(C3400,'Справочник соответствий'!A$2:D$2981,2,FALSE)))</f>
        <v>1</v>
      </c>
      <c r="J3400" s="3">
        <f>IFERROR(VLOOKUP(D3400,'Справочник соответствий'!A$2:D$2981,2,FALSE),IF(VALUE(D3400)=0,0,VLOOKUP(D3400,'Справочник соответствий'!A$2:D$2981,2,FALSE)))</f>
        <v>0</v>
      </c>
      <c r="K3400" s="3" t="str">
        <f t="shared" si="371"/>
        <v>1</v>
      </c>
      <c r="L3400" s="13" t="str">
        <f>IFERROR(VLOOKUP(C3400,'Справочник соответствий'!A$2:D$2981,3,FALSE),IF(VALUE(C3400)=0,"ЭТАЖ НЕ ОПРЕДЕЛЕН. ПРИНЯТ ПО ДОПУЩЕНИЮ 1",VLOOKUP(C3400,'Справочник соответствий'!A$2:D$2981,3,FALSE)))</f>
        <v>ЭТАЖ ЗАДАН ЧИСЛОМ</v>
      </c>
      <c r="M3400" s="13" t="b">
        <f t="shared" si="372"/>
        <v>0</v>
      </c>
      <c r="N3400" s="13">
        <f t="shared" si="373"/>
        <v>1</v>
      </c>
      <c r="O3400" s="13" t="str">
        <f t="shared" si="374"/>
        <v>ЭТАЖ ЗАДАН ЧИСЛОМ</v>
      </c>
      <c r="P3400" s="13" t="str">
        <f t="shared" si="375"/>
        <v>ЭТАЖ ЗАДАН ЧИСЛОМ</v>
      </c>
      <c r="Q3400" s="13" t="str">
        <f t="shared" si="376"/>
        <v>ГОТОВ_ИЗМЕНЕН</v>
      </c>
      <c r="R3400" s="13">
        <f>IFERROR(VLOOKUP(P3400,Лист1!A$1:B$20,2,FALSE),0)</f>
        <v>784</v>
      </c>
      <c r="S3400" s="13">
        <f t="shared" si="377"/>
        <v>0</v>
      </c>
    </row>
    <row r="3401" spans="1:19" x14ac:dyDescent="0.25">
      <c r="A3401" s="24" t="s">
        <v>4534</v>
      </c>
      <c r="B3401" s="4" t="s">
        <v>1063</v>
      </c>
      <c r="C3401" s="25" t="s">
        <v>5</v>
      </c>
      <c r="G3401" s="25" t="s">
        <v>1069</v>
      </c>
      <c r="H3401" s="24" t="s">
        <v>1061</v>
      </c>
      <c r="I3401" s="3" t="str">
        <f>IFERROR(VLOOKUP(C3401,'Справочник соответствий'!A$2:D$2981,2,FALSE),IF(VALUE(C3401)=0,1,VLOOKUP(C3401,'Справочник соответствий'!A$2:D$2981,2,FALSE)))</f>
        <v>1</v>
      </c>
      <c r="J3401" s="3">
        <f>IFERROR(VLOOKUP(D3401,'Справочник соответствий'!A$2:D$2981,2,FALSE),IF(VALUE(D3401)=0,0,VLOOKUP(D3401,'Справочник соответствий'!A$2:D$2981,2,FALSE)))</f>
        <v>0</v>
      </c>
      <c r="K3401" s="3" t="str">
        <f t="shared" si="371"/>
        <v>1</v>
      </c>
      <c r="L3401" s="13" t="str">
        <f>IFERROR(VLOOKUP(C3401,'Справочник соответствий'!A$2:D$2981,3,FALSE),IF(VALUE(C3401)=0,"ЭТАЖ НЕ ОПРЕДЕЛЕН. ПРИНЯТ ПО ДОПУЩЕНИЮ 1",VLOOKUP(C3401,'Справочник соответствий'!A$2:D$2981,3,FALSE)))</f>
        <v>ЭТАЖ ЗАДАН ЧИСЛОМ</v>
      </c>
      <c r="M3401" s="13" t="b">
        <f t="shared" si="372"/>
        <v>0</v>
      </c>
      <c r="N3401" s="13">
        <f t="shared" si="373"/>
        <v>1</v>
      </c>
      <c r="O3401" s="13" t="str">
        <f t="shared" si="374"/>
        <v>ЭТАЖ ЗАДАН ЧИСЛОМ</v>
      </c>
      <c r="P3401" s="13" t="str">
        <f t="shared" si="375"/>
        <v>ЭТАЖ ЗАДАН ЧИСЛОМ</v>
      </c>
      <c r="Q3401" s="13" t="str">
        <f t="shared" si="376"/>
        <v>ГОТОВ_ИЗМЕНЕН</v>
      </c>
      <c r="R3401" s="13">
        <f>IFERROR(VLOOKUP(P3401,Лист1!A$1:B$20,2,FALSE),0)</f>
        <v>784</v>
      </c>
      <c r="S3401" s="13">
        <f t="shared" si="377"/>
        <v>0</v>
      </c>
    </row>
    <row r="3402" spans="1:19" x14ac:dyDescent="0.25">
      <c r="A3402" s="24" t="s">
        <v>4535</v>
      </c>
      <c r="B3402" s="4" t="s">
        <v>1063</v>
      </c>
      <c r="C3402" s="25" t="s">
        <v>5</v>
      </c>
      <c r="G3402" s="25" t="s">
        <v>3185</v>
      </c>
      <c r="H3402" s="24" t="s">
        <v>1061</v>
      </c>
      <c r="I3402" s="3" t="str">
        <f>IFERROR(VLOOKUP(C3402,'Справочник соответствий'!A$2:D$2981,2,FALSE),IF(VALUE(C3402)=0,1,VLOOKUP(C3402,'Справочник соответствий'!A$2:D$2981,2,FALSE)))</f>
        <v>1</v>
      </c>
      <c r="J3402" s="3">
        <f>IFERROR(VLOOKUP(D3402,'Справочник соответствий'!A$2:D$2981,2,FALSE),IF(VALUE(D3402)=0,0,VLOOKUP(D3402,'Справочник соответствий'!A$2:D$2981,2,FALSE)))</f>
        <v>0</v>
      </c>
      <c r="K3402" s="3" t="str">
        <f t="shared" si="371"/>
        <v>1</v>
      </c>
      <c r="L3402" s="13" t="str">
        <f>IFERROR(VLOOKUP(C3402,'Справочник соответствий'!A$2:D$2981,3,FALSE),IF(VALUE(C3402)=0,"ЭТАЖ НЕ ОПРЕДЕЛЕН. ПРИНЯТ ПО ДОПУЩЕНИЮ 1",VLOOKUP(C3402,'Справочник соответствий'!A$2:D$2981,3,FALSE)))</f>
        <v>ЭТАЖ ЗАДАН ЧИСЛОМ</v>
      </c>
      <c r="M3402" s="13" t="b">
        <f t="shared" si="372"/>
        <v>0</v>
      </c>
      <c r="N3402" s="13">
        <f t="shared" si="373"/>
        <v>1</v>
      </c>
      <c r="O3402" s="13" t="str">
        <f t="shared" si="374"/>
        <v>ЭТАЖ ЗАДАН ЧИСЛОМ</v>
      </c>
      <c r="P3402" s="13" t="str">
        <f t="shared" si="375"/>
        <v>ЭТАЖ ЗАДАН ЧИСЛОМ</v>
      </c>
      <c r="Q3402" s="13" t="str">
        <f t="shared" si="376"/>
        <v>ГОТОВ_ИЗМЕНЕН</v>
      </c>
      <c r="R3402" s="13">
        <f>IFERROR(VLOOKUP(P3402,Лист1!A$1:B$20,2,FALSE),0)</f>
        <v>784</v>
      </c>
      <c r="S3402" s="13">
        <f t="shared" si="377"/>
        <v>0</v>
      </c>
    </row>
    <row r="3403" spans="1:19" x14ac:dyDescent="0.25">
      <c r="A3403" s="24" t="s">
        <v>4536</v>
      </c>
      <c r="B3403" s="4" t="s">
        <v>1063</v>
      </c>
      <c r="C3403" s="25" t="s">
        <v>5</v>
      </c>
      <c r="G3403" s="25" t="s">
        <v>1075</v>
      </c>
      <c r="H3403" s="24" t="s">
        <v>1061</v>
      </c>
      <c r="I3403" s="3" t="str">
        <f>IFERROR(VLOOKUP(C3403,'Справочник соответствий'!A$2:D$2981,2,FALSE),IF(VALUE(C3403)=0,1,VLOOKUP(C3403,'Справочник соответствий'!A$2:D$2981,2,FALSE)))</f>
        <v>1</v>
      </c>
      <c r="J3403" s="3">
        <f>IFERROR(VLOOKUP(D3403,'Справочник соответствий'!A$2:D$2981,2,FALSE),IF(VALUE(D3403)=0,0,VLOOKUP(D3403,'Справочник соответствий'!A$2:D$2981,2,FALSE)))</f>
        <v>0</v>
      </c>
      <c r="K3403" s="3" t="str">
        <f t="shared" si="371"/>
        <v>1</v>
      </c>
      <c r="L3403" s="13" t="str">
        <f>IFERROR(VLOOKUP(C3403,'Справочник соответствий'!A$2:D$2981,3,FALSE),IF(VALUE(C3403)=0,"ЭТАЖ НЕ ОПРЕДЕЛЕН. ПРИНЯТ ПО ДОПУЩЕНИЮ 1",VLOOKUP(C3403,'Справочник соответствий'!A$2:D$2981,3,FALSE)))</f>
        <v>ЭТАЖ ЗАДАН ЧИСЛОМ</v>
      </c>
      <c r="M3403" s="13" t="b">
        <f t="shared" si="372"/>
        <v>0</v>
      </c>
      <c r="N3403" s="13">
        <f t="shared" si="373"/>
        <v>1</v>
      </c>
      <c r="O3403" s="13" t="str">
        <f t="shared" si="374"/>
        <v>ЭТАЖ ЗАДАН ЧИСЛОМ</v>
      </c>
      <c r="P3403" s="13" t="str">
        <f t="shared" si="375"/>
        <v>ЭТАЖ ЗАДАН ЧИСЛОМ</v>
      </c>
      <c r="Q3403" s="13" t="str">
        <f t="shared" si="376"/>
        <v>ГОТОВ_ИЗМЕНЕН</v>
      </c>
      <c r="R3403" s="13">
        <f>IFERROR(VLOOKUP(P3403,Лист1!A$1:B$20,2,FALSE),0)</f>
        <v>784</v>
      </c>
      <c r="S3403" s="13">
        <f t="shared" si="377"/>
        <v>0</v>
      </c>
    </row>
    <row r="3404" spans="1:19" x14ac:dyDescent="0.25">
      <c r="A3404" s="24" t="s">
        <v>4537</v>
      </c>
      <c r="B3404" s="4" t="s">
        <v>1059</v>
      </c>
      <c r="C3404" s="25" t="s">
        <v>5</v>
      </c>
      <c r="G3404" s="25" t="s">
        <v>1075</v>
      </c>
      <c r="H3404" s="24" t="s">
        <v>1061</v>
      </c>
      <c r="I3404" s="3" t="str">
        <f>IFERROR(VLOOKUP(C3404,'Справочник соответствий'!A$2:D$2981,2,FALSE),IF(VALUE(C3404)=0,1,VLOOKUP(C3404,'Справочник соответствий'!A$2:D$2981,2,FALSE)))</f>
        <v>1</v>
      </c>
      <c r="J3404" s="3">
        <f>IFERROR(VLOOKUP(D3404,'Справочник соответствий'!A$2:D$2981,2,FALSE),IF(VALUE(D3404)=0,0,VLOOKUP(D3404,'Справочник соответствий'!A$2:D$2981,2,FALSE)))</f>
        <v>0</v>
      </c>
      <c r="K3404" s="3" t="str">
        <f t="shared" si="371"/>
        <v>1</v>
      </c>
      <c r="L3404" s="13" t="str">
        <f>IFERROR(VLOOKUP(C3404,'Справочник соответствий'!A$2:D$2981,3,FALSE),IF(VALUE(C3404)=0,"ЭТАЖ НЕ ОПРЕДЕЛЕН. ПРИНЯТ ПО ДОПУЩЕНИЮ 1",VLOOKUP(C3404,'Справочник соответствий'!A$2:D$2981,3,FALSE)))</f>
        <v>ЭТАЖ ЗАДАН ЧИСЛОМ</v>
      </c>
      <c r="M3404" s="13" t="b">
        <f t="shared" si="372"/>
        <v>0</v>
      </c>
      <c r="N3404" s="13">
        <f t="shared" si="373"/>
        <v>1</v>
      </c>
      <c r="O3404" s="13" t="str">
        <f t="shared" si="374"/>
        <v>ЭТАЖ ЗАДАН ЧИСЛОМ</v>
      </c>
      <c r="P3404" s="13" t="str">
        <f t="shared" si="375"/>
        <v>ЭТАЖ ЗАДАН ЧИСЛОМ</v>
      </c>
      <c r="Q3404" s="13" t="str">
        <f t="shared" si="376"/>
        <v>ГОТОВ_ИЗМЕНЕН</v>
      </c>
      <c r="R3404" s="13">
        <f>IFERROR(VLOOKUP(P3404,Лист1!A$1:B$20,2,FALSE),0)</f>
        <v>784</v>
      </c>
      <c r="S3404" s="13">
        <f t="shared" si="377"/>
        <v>0</v>
      </c>
    </row>
    <row r="3405" spans="1:19" x14ac:dyDescent="0.25">
      <c r="A3405" s="24" t="s">
        <v>4538</v>
      </c>
      <c r="B3405" s="4" t="s">
        <v>1063</v>
      </c>
      <c r="C3405" s="25" t="s">
        <v>5</v>
      </c>
      <c r="G3405" s="25" t="s">
        <v>1075</v>
      </c>
      <c r="H3405" s="24" t="s">
        <v>1061</v>
      </c>
      <c r="I3405" s="3" t="str">
        <f>IFERROR(VLOOKUP(C3405,'Справочник соответствий'!A$2:D$2981,2,FALSE),IF(VALUE(C3405)=0,1,VLOOKUP(C3405,'Справочник соответствий'!A$2:D$2981,2,FALSE)))</f>
        <v>1</v>
      </c>
      <c r="J3405" s="3">
        <f>IFERROR(VLOOKUP(D3405,'Справочник соответствий'!A$2:D$2981,2,FALSE),IF(VALUE(D3405)=0,0,VLOOKUP(D3405,'Справочник соответствий'!A$2:D$2981,2,FALSE)))</f>
        <v>0</v>
      </c>
      <c r="K3405" s="3" t="str">
        <f t="shared" si="371"/>
        <v>1</v>
      </c>
      <c r="L3405" s="13" t="str">
        <f>IFERROR(VLOOKUP(C3405,'Справочник соответствий'!A$2:D$2981,3,FALSE),IF(VALUE(C3405)=0,"ЭТАЖ НЕ ОПРЕДЕЛЕН. ПРИНЯТ ПО ДОПУЩЕНИЮ 1",VLOOKUP(C3405,'Справочник соответствий'!A$2:D$2981,3,FALSE)))</f>
        <v>ЭТАЖ ЗАДАН ЧИСЛОМ</v>
      </c>
      <c r="M3405" s="13" t="b">
        <f t="shared" si="372"/>
        <v>0</v>
      </c>
      <c r="N3405" s="13">
        <f t="shared" si="373"/>
        <v>1</v>
      </c>
      <c r="O3405" s="13" t="str">
        <f t="shared" si="374"/>
        <v>ЭТАЖ ЗАДАН ЧИСЛОМ</v>
      </c>
      <c r="P3405" s="13" t="str">
        <f t="shared" si="375"/>
        <v>ЭТАЖ ЗАДАН ЧИСЛОМ</v>
      </c>
      <c r="Q3405" s="13" t="str">
        <f t="shared" si="376"/>
        <v>ГОТОВ_ИЗМЕНЕН</v>
      </c>
      <c r="R3405" s="13">
        <f>IFERROR(VLOOKUP(P3405,Лист1!A$1:B$20,2,FALSE),0)</f>
        <v>784</v>
      </c>
      <c r="S3405" s="13">
        <f t="shared" si="377"/>
        <v>0</v>
      </c>
    </row>
    <row r="3406" spans="1:19" x14ac:dyDescent="0.25">
      <c r="A3406" s="24" t="s">
        <v>4539</v>
      </c>
      <c r="B3406" s="4" t="s">
        <v>1063</v>
      </c>
      <c r="C3406" s="25" t="s">
        <v>5</v>
      </c>
      <c r="G3406" s="25" t="s">
        <v>1075</v>
      </c>
      <c r="H3406" s="24" t="s">
        <v>1061</v>
      </c>
      <c r="I3406" s="3" t="str">
        <f>IFERROR(VLOOKUP(C3406,'Справочник соответствий'!A$2:D$2981,2,FALSE),IF(VALUE(C3406)=0,1,VLOOKUP(C3406,'Справочник соответствий'!A$2:D$2981,2,FALSE)))</f>
        <v>1</v>
      </c>
      <c r="J3406" s="3">
        <f>IFERROR(VLOOKUP(D3406,'Справочник соответствий'!A$2:D$2981,2,FALSE),IF(VALUE(D3406)=0,0,VLOOKUP(D3406,'Справочник соответствий'!A$2:D$2981,2,FALSE)))</f>
        <v>0</v>
      </c>
      <c r="K3406" s="3" t="str">
        <f t="shared" si="371"/>
        <v>1</v>
      </c>
      <c r="L3406" s="13" t="str">
        <f>IFERROR(VLOOKUP(C3406,'Справочник соответствий'!A$2:D$2981,3,FALSE),IF(VALUE(C3406)=0,"ЭТАЖ НЕ ОПРЕДЕЛЕН. ПРИНЯТ ПО ДОПУЩЕНИЮ 1",VLOOKUP(C3406,'Справочник соответствий'!A$2:D$2981,3,FALSE)))</f>
        <v>ЭТАЖ ЗАДАН ЧИСЛОМ</v>
      </c>
      <c r="M3406" s="13" t="b">
        <f t="shared" si="372"/>
        <v>0</v>
      </c>
      <c r="N3406" s="13">
        <f t="shared" si="373"/>
        <v>1</v>
      </c>
      <c r="O3406" s="13" t="str">
        <f t="shared" si="374"/>
        <v>ЭТАЖ ЗАДАН ЧИСЛОМ</v>
      </c>
      <c r="P3406" s="13" t="str">
        <f t="shared" si="375"/>
        <v>ЭТАЖ ЗАДАН ЧИСЛОМ</v>
      </c>
      <c r="Q3406" s="13" t="str">
        <f t="shared" si="376"/>
        <v>ГОТОВ_ИЗМЕНЕН</v>
      </c>
      <c r="R3406" s="13">
        <f>IFERROR(VLOOKUP(P3406,Лист1!A$1:B$20,2,FALSE),0)</f>
        <v>784</v>
      </c>
      <c r="S3406" s="13">
        <f t="shared" si="377"/>
        <v>0</v>
      </c>
    </row>
    <row r="3407" spans="1:19" x14ac:dyDescent="0.25">
      <c r="A3407" s="24" t="s">
        <v>4540</v>
      </c>
      <c r="B3407" s="4" t="s">
        <v>1059</v>
      </c>
      <c r="C3407" s="25" t="s">
        <v>7</v>
      </c>
      <c r="G3407" s="25" t="s">
        <v>1075</v>
      </c>
      <c r="H3407" s="24" t="s">
        <v>1061</v>
      </c>
      <c r="I3407" s="3" t="str">
        <f>IFERROR(VLOOKUP(C3407,'Справочник соответствий'!A$2:D$2981,2,FALSE),IF(VALUE(C3407)=0,1,VLOOKUP(C3407,'Справочник соответствий'!A$2:D$2981,2,FALSE)))</f>
        <v>2</v>
      </c>
      <c r="J3407" s="3">
        <f>IFERROR(VLOOKUP(D3407,'Справочник соответствий'!A$2:D$2981,2,FALSE),IF(VALUE(D3407)=0,0,VLOOKUP(D3407,'Справочник соответствий'!A$2:D$2981,2,FALSE)))</f>
        <v>0</v>
      </c>
      <c r="K3407" s="3" t="str">
        <f t="shared" si="371"/>
        <v>2</v>
      </c>
      <c r="L3407" s="13" t="str">
        <f>IFERROR(VLOOKUP(C3407,'Справочник соответствий'!A$2:D$2981,3,FALSE),IF(VALUE(C3407)=0,"ЭТАЖ НЕ ОПРЕДЕЛЕН. ПРИНЯТ ПО ДОПУЩЕНИЮ 1",VLOOKUP(C3407,'Справочник соответствий'!A$2:D$2981,3,FALSE)))</f>
        <v>ЭТАЖ ЗАДАН ЧИСЛОМ</v>
      </c>
      <c r="M3407" s="13" t="b">
        <f t="shared" si="372"/>
        <v>0</v>
      </c>
      <c r="N3407" s="13">
        <f t="shared" si="373"/>
        <v>2</v>
      </c>
      <c r="O3407" s="13" t="str">
        <f t="shared" si="374"/>
        <v>ЭТАЖ ЗАДАН ЧИСЛОМ</v>
      </c>
      <c r="P3407" s="13" t="str">
        <f t="shared" si="375"/>
        <v>ЭТАЖ ЗАДАН ЧИСЛОМ</v>
      </c>
      <c r="Q3407" s="13" t="str">
        <f t="shared" si="376"/>
        <v>ГОТОВ_ИЗМЕНЕН</v>
      </c>
      <c r="R3407" s="13">
        <f>IFERROR(VLOOKUP(P3407,Лист1!A$1:B$20,2,FALSE),0)</f>
        <v>784</v>
      </c>
      <c r="S3407" s="13">
        <f t="shared" si="377"/>
        <v>0</v>
      </c>
    </row>
    <row r="3408" spans="1:19" x14ac:dyDescent="0.25">
      <c r="A3408" s="24" t="s">
        <v>4541</v>
      </c>
      <c r="B3408" s="4" t="s">
        <v>1063</v>
      </c>
      <c r="C3408" s="25" t="s">
        <v>5</v>
      </c>
      <c r="G3408" s="25" t="s">
        <v>1069</v>
      </c>
      <c r="H3408" s="24" t="s">
        <v>1061</v>
      </c>
      <c r="I3408" s="3" t="str">
        <f>IFERROR(VLOOKUP(C3408,'Справочник соответствий'!A$2:D$2981,2,FALSE),IF(VALUE(C3408)=0,1,VLOOKUP(C3408,'Справочник соответствий'!A$2:D$2981,2,FALSE)))</f>
        <v>1</v>
      </c>
      <c r="J3408" s="3">
        <f>IFERROR(VLOOKUP(D3408,'Справочник соответствий'!A$2:D$2981,2,FALSE),IF(VALUE(D3408)=0,0,VLOOKUP(D3408,'Справочник соответствий'!A$2:D$2981,2,FALSE)))</f>
        <v>0</v>
      </c>
      <c r="K3408" s="3" t="str">
        <f t="shared" si="371"/>
        <v>1</v>
      </c>
      <c r="L3408" s="13" t="str">
        <f>IFERROR(VLOOKUP(C3408,'Справочник соответствий'!A$2:D$2981,3,FALSE),IF(VALUE(C3408)=0,"ЭТАЖ НЕ ОПРЕДЕЛЕН. ПРИНЯТ ПО ДОПУЩЕНИЮ 1",VLOOKUP(C3408,'Справочник соответствий'!A$2:D$2981,3,FALSE)))</f>
        <v>ЭТАЖ ЗАДАН ЧИСЛОМ</v>
      </c>
      <c r="M3408" s="13" t="b">
        <f t="shared" si="372"/>
        <v>0</v>
      </c>
      <c r="N3408" s="13">
        <f t="shared" si="373"/>
        <v>1</v>
      </c>
      <c r="O3408" s="13" t="str">
        <f t="shared" si="374"/>
        <v>ЭТАЖ ЗАДАН ЧИСЛОМ</v>
      </c>
      <c r="P3408" s="13" t="str">
        <f t="shared" si="375"/>
        <v>ЭТАЖ ЗАДАН ЧИСЛОМ</v>
      </c>
      <c r="Q3408" s="13" t="str">
        <f t="shared" si="376"/>
        <v>ГОТОВ_ИЗМЕНЕН</v>
      </c>
      <c r="R3408" s="13">
        <f>IFERROR(VLOOKUP(P3408,Лист1!A$1:B$20,2,FALSE),0)</f>
        <v>784</v>
      </c>
      <c r="S3408" s="13">
        <f t="shared" si="377"/>
        <v>0</v>
      </c>
    </row>
    <row r="3409" spans="1:19" x14ac:dyDescent="0.25">
      <c r="A3409" s="24" t="s">
        <v>4542</v>
      </c>
      <c r="B3409" s="4" t="s">
        <v>1059</v>
      </c>
      <c r="C3409" s="25" t="s">
        <v>7</v>
      </c>
      <c r="D3409" s="25" t="s">
        <v>24</v>
      </c>
      <c r="G3409" s="25" t="s">
        <v>1069</v>
      </c>
      <c r="H3409" s="24" t="s">
        <v>1061</v>
      </c>
      <c r="I3409" s="3" t="str">
        <f>IFERROR(VLOOKUP(C3409,'Справочник соответствий'!A$2:D$2981,2,FALSE),IF(VALUE(C3409)=0,1,VLOOKUP(C3409,'Справочник соответствий'!A$2:D$2981,2,FALSE)))</f>
        <v>2</v>
      </c>
      <c r="J3409" s="3" t="str">
        <f>IFERROR(VLOOKUP(D3409,'Справочник соответствий'!A$2:D$2981,2,FALSE),IF(VALUE(D3409)=0,0,VLOOKUP(D3409,'Справочник соответствий'!A$2:D$2981,2,FALSE)))</f>
        <v>1</v>
      </c>
      <c r="K3409" s="3" t="str">
        <f t="shared" si="371"/>
        <v>2</v>
      </c>
      <c r="L3409" s="13" t="str">
        <f>IFERROR(VLOOKUP(C3409,'Справочник соответствий'!A$2:D$2981,3,FALSE),IF(VALUE(C3409)=0,"ЭТАЖ НЕ ОПРЕДЕЛЕН. ПРИНЯТ ПО ДОПУЩЕНИЮ 1",VLOOKUP(C3409,'Справочник соответствий'!A$2:D$2981,3,FALSE)))</f>
        <v>ЭТАЖ ЗАДАН ЧИСЛОМ</v>
      </c>
      <c r="M3409" s="13" t="b">
        <f t="shared" si="372"/>
        <v>0</v>
      </c>
      <c r="N3409" s="13">
        <f t="shared" si="373"/>
        <v>2</v>
      </c>
      <c r="O3409" s="13" t="str">
        <f t="shared" si="374"/>
        <v>ЭТАЖ ЗАДАН ЧИСЛОМ</v>
      </c>
      <c r="P3409" s="13" t="str">
        <f t="shared" si="375"/>
        <v>ЭТАЖ ЗАДАН ЧИСЛОМ</v>
      </c>
      <c r="Q3409" s="13" t="str">
        <f t="shared" si="376"/>
        <v>ГОТОВ_ИЗМЕНЕН</v>
      </c>
      <c r="R3409" s="13">
        <f>IFERROR(VLOOKUP(P3409,Лист1!A$1:B$20,2,FALSE),0)</f>
        <v>784</v>
      </c>
      <c r="S3409" s="13">
        <f t="shared" si="377"/>
        <v>0</v>
      </c>
    </row>
    <row r="3410" spans="1:19" x14ac:dyDescent="0.25">
      <c r="A3410" s="24" t="s">
        <v>4543</v>
      </c>
      <c r="B3410" s="4" t="s">
        <v>1059</v>
      </c>
      <c r="C3410" s="25" t="s">
        <v>7</v>
      </c>
      <c r="G3410" s="25" t="s">
        <v>2431</v>
      </c>
      <c r="H3410" s="24" t="s">
        <v>1061</v>
      </c>
      <c r="I3410" s="3" t="str">
        <f>IFERROR(VLOOKUP(C3410,'Справочник соответствий'!A$2:D$2981,2,FALSE),IF(VALUE(C3410)=0,1,VLOOKUP(C3410,'Справочник соответствий'!A$2:D$2981,2,FALSE)))</f>
        <v>2</v>
      </c>
      <c r="J3410" s="3">
        <f>IFERROR(VLOOKUP(D3410,'Справочник соответствий'!A$2:D$2981,2,FALSE),IF(VALUE(D3410)=0,0,VLOOKUP(D3410,'Справочник соответствий'!A$2:D$2981,2,FALSE)))</f>
        <v>0</v>
      </c>
      <c r="K3410" s="3" t="str">
        <f t="shared" si="371"/>
        <v>2</v>
      </c>
      <c r="L3410" s="13" t="str">
        <f>IFERROR(VLOOKUP(C3410,'Справочник соответствий'!A$2:D$2981,3,FALSE),IF(VALUE(C3410)=0,"ЭТАЖ НЕ ОПРЕДЕЛЕН. ПРИНЯТ ПО ДОПУЩЕНИЮ 1",VLOOKUP(C3410,'Справочник соответствий'!A$2:D$2981,3,FALSE)))</f>
        <v>ЭТАЖ ЗАДАН ЧИСЛОМ</v>
      </c>
      <c r="M3410" s="13" t="b">
        <f t="shared" si="372"/>
        <v>0</v>
      </c>
      <c r="N3410" s="13">
        <f t="shared" si="373"/>
        <v>2</v>
      </c>
      <c r="O3410" s="13" t="str">
        <f t="shared" si="374"/>
        <v>ЭТАЖ ЗАДАН ЧИСЛОМ</v>
      </c>
      <c r="P3410" s="13" t="str">
        <f t="shared" si="375"/>
        <v>ЭТАЖ ЗАДАН ЧИСЛОМ</v>
      </c>
      <c r="Q3410" s="13" t="str">
        <f t="shared" si="376"/>
        <v>ГОТОВ_ИЗМЕНЕН</v>
      </c>
      <c r="R3410" s="13">
        <f>IFERROR(VLOOKUP(P3410,Лист1!A$1:B$20,2,FALSE),0)</f>
        <v>784</v>
      </c>
      <c r="S3410" s="13">
        <f t="shared" si="377"/>
        <v>0</v>
      </c>
    </row>
    <row r="3411" spans="1:19" x14ac:dyDescent="0.25">
      <c r="A3411" s="24" t="s">
        <v>4544</v>
      </c>
      <c r="B3411" s="4" t="s">
        <v>1063</v>
      </c>
      <c r="C3411" s="25" t="s">
        <v>5</v>
      </c>
      <c r="G3411" s="25" t="s">
        <v>1069</v>
      </c>
      <c r="H3411" s="24" t="s">
        <v>1061</v>
      </c>
      <c r="I3411" s="3" t="str">
        <f>IFERROR(VLOOKUP(C3411,'Справочник соответствий'!A$2:D$2981,2,FALSE),IF(VALUE(C3411)=0,1,VLOOKUP(C3411,'Справочник соответствий'!A$2:D$2981,2,FALSE)))</f>
        <v>1</v>
      </c>
      <c r="J3411" s="3">
        <f>IFERROR(VLOOKUP(D3411,'Справочник соответствий'!A$2:D$2981,2,FALSE),IF(VALUE(D3411)=0,0,VLOOKUP(D3411,'Справочник соответствий'!A$2:D$2981,2,FALSE)))</f>
        <v>0</v>
      </c>
      <c r="K3411" s="3" t="str">
        <f t="shared" si="371"/>
        <v>1</v>
      </c>
      <c r="L3411" s="13" t="str">
        <f>IFERROR(VLOOKUP(C3411,'Справочник соответствий'!A$2:D$2981,3,FALSE),IF(VALUE(C3411)=0,"ЭТАЖ НЕ ОПРЕДЕЛЕН. ПРИНЯТ ПО ДОПУЩЕНИЮ 1",VLOOKUP(C3411,'Справочник соответствий'!A$2:D$2981,3,FALSE)))</f>
        <v>ЭТАЖ ЗАДАН ЧИСЛОМ</v>
      </c>
      <c r="M3411" s="13" t="b">
        <f t="shared" si="372"/>
        <v>0</v>
      </c>
      <c r="N3411" s="13">
        <f t="shared" si="373"/>
        <v>1</v>
      </c>
      <c r="O3411" s="13" t="str">
        <f t="shared" si="374"/>
        <v>ЭТАЖ ЗАДАН ЧИСЛОМ</v>
      </c>
      <c r="P3411" s="13" t="str">
        <f t="shared" si="375"/>
        <v>ЭТАЖ ЗАДАН ЧИСЛОМ</v>
      </c>
      <c r="Q3411" s="13" t="str">
        <f t="shared" si="376"/>
        <v>ГОТОВ_ИЗМЕНЕН</v>
      </c>
      <c r="R3411" s="13">
        <f>IFERROR(VLOOKUP(P3411,Лист1!A$1:B$20,2,FALSE),0)</f>
        <v>784</v>
      </c>
      <c r="S3411" s="13">
        <f t="shared" si="377"/>
        <v>0</v>
      </c>
    </row>
    <row r="3412" spans="1:19" x14ac:dyDescent="0.25">
      <c r="A3412" s="24" t="s">
        <v>4545</v>
      </c>
      <c r="B3412" s="4" t="s">
        <v>1063</v>
      </c>
      <c r="C3412" s="25" t="s">
        <v>5</v>
      </c>
      <c r="G3412" s="25" t="s">
        <v>1089</v>
      </c>
      <c r="H3412" s="24" t="s">
        <v>1061</v>
      </c>
      <c r="I3412" s="3" t="str">
        <f>IFERROR(VLOOKUP(C3412,'Справочник соответствий'!A$2:D$2981,2,FALSE),IF(VALUE(C3412)=0,1,VLOOKUP(C3412,'Справочник соответствий'!A$2:D$2981,2,FALSE)))</f>
        <v>1</v>
      </c>
      <c r="J3412" s="3">
        <f>IFERROR(VLOOKUP(D3412,'Справочник соответствий'!A$2:D$2981,2,FALSE),IF(VALUE(D3412)=0,0,VLOOKUP(D3412,'Справочник соответствий'!A$2:D$2981,2,FALSE)))</f>
        <v>0</v>
      </c>
      <c r="K3412" s="3" t="str">
        <f t="shared" si="371"/>
        <v>1</v>
      </c>
      <c r="L3412" s="13" t="str">
        <f>IFERROR(VLOOKUP(C3412,'Справочник соответствий'!A$2:D$2981,3,FALSE),IF(VALUE(C3412)=0,"ЭТАЖ НЕ ОПРЕДЕЛЕН. ПРИНЯТ ПО ДОПУЩЕНИЮ 1",VLOOKUP(C3412,'Справочник соответствий'!A$2:D$2981,3,FALSE)))</f>
        <v>ЭТАЖ ЗАДАН ЧИСЛОМ</v>
      </c>
      <c r="M3412" s="13" t="b">
        <f t="shared" si="372"/>
        <v>0</v>
      </c>
      <c r="N3412" s="13">
        <f t="shared" si="373"/>
        <v>1</v>
      </c>
      <c r="O3412" s="13" t="str">
        <f t="shared" si="374"/>
        <v>ЭТАЖ ЗАДАН ЧИСЛОМ</v>
      </c>
      <c r="P3412" s="13" t="str">
        <f t="shared" si="375"/>
        <v>ЭТАЖ ЗАДАН ЧИСЛОМ</v>
      </c>
      <c r="Q3412" s="13" t="str">
        <f t="shared" si="376"/>
        <v>ГОТОВ_ИЗМЕНЕН</v>
      </c>
      <c r="R3412" s="13">
        <f>IFERROR(VLOOKUP(P3412,Лист1!A$1:B$20,2,FALSE),0)</f>
        <v>784</v>
      </c>
      <c r="S3412" s="13">
        <f t="shared" si="377"/>
        <v>0</v>
      </c>
    </row>
    <row r="3413" spans="1:19" x14ac:dyDescent="0.25">
      <c r="A3413" s="24" t="s">
        <v>4546</v>
      </c>
      <c r="B3413" s="4" t="s">
        <v>1059</v>
      </c>
      <c r="C3413" s="25" t="s">
        <v>5</v>
      </c>
      <c r="G3413" s="25" t="s">
        <v>1089</v>
      </c>
      <c r="H3413" s="24" t="s">
        <v>1061</v>
      </c>
      <c r="I3413" s="3" t="str">
        <f>IFERROR(VLOOKUP(C3413,'Справочник соответствий'!A$2:D$2981,2,FALSE),IF(VALUE(C3413)=0,1,VLOOKUP(C3413,'Справочник соответствий'!A$2:D$2981,2,FALSE)))</f>
        <v>1</v>
      </c>
      <c r="J3413" s="3">
        <f>IFERROR(VLOOKUP(D3413,'Справочник соответствий'!A$2:D$2981,2,FALSE),IF(VALUE(D3413)=0,0,VLOOKUP(D3413,'Справочник соответствий'!A$2:D$2981,2,FALSE)))</f>
        <v>0</v>
      </c>
      <c r="K3413" s="3" t="str">
        <f t="shared" si="371"/>
        <v>1</v>
      </c>
      <c r="L3413" s="13" t="str">
        <f>IFERROR(VLOOKUP(C3413,'Справочник соответствий'!A$2:D$2981,3,FALSE),IF(VALUE(C3413)=0,"ЭТАЖ НЕ ОПРЕДЕЛЕН. ПРИНЯТ ПО ДОПУЩЕНИЮ 1",VLOOKUP(C3413,'Справочник соответствий'!A$2:D$2981,3,FALSE)))</f>
        <v>ЭТАЖ ЗАДАН ЧИСЛОМ</v>
      </c>
      <c r="M3413" s="13" t="b">
        <f t="shared" si="372"/>
        <v>0</v>
      </c>
      <c r="N3413" s="13">
        <f t="shared" si="373"/>
        <v>1</v>
      </c>
      <c r="O3413" s="13" t="str">
        <f t="shared" si="374"/>
        <v>ЭТАЖ ЗАДАН ЧИСЛОМ</v>
      </c>
      <c r="P3413" s="13" t="str">
        <f t="shared" si="375"/>
        <v>ЭТАЖ ЗАДАН ЧИСЛОМ</v>
      </c>
      <c r="Q3413" s="13" t="str">
        <f t="shared" si="376"/>
        <v>ГОТОВ_ИЗМЕНЕН</v>
      </c>
      <c r="R3413" s="13">
        <f>IFERROR(VLOOKUP(P3413,Лист1!A$1:B$20,2,FALSE),0)</f>
        <v>784</v>
      </c>
      <c r="S3413" s="13">
        <f t="shared" si="377"/>
        <v>0</v>
      </c>
    </row>
    <row r="3414" spans="1:19" x14ac:dyDescent="0.25">
      <c r="A3414" s="24" t="s">
        <v>4547</v>
      </c>
      <c r="B3414" s="4" t="s">
        <v>1063</v>
      </c>
      <c r="C3414" s="25" t="s">
        <v>28</v>
      </c>
      <c r="D3414" s="25" t="s">
        <v>5</v>
      </c>
      <c r="G3414" s="25" t="s">
        <v>1089</v>
      </c>
      <c r="H3414" s="24" t="s">
        <v>1061</v>
      </c>
      <c r="I3414" s="3" t="str">
        <f>IFERROR(VLOOKUP(C3414,'Справочник соответствий'!A$2:D$2981,2,FALSE),IF(VALUE(C3414)=0,1,VLOOKUP(C3414,'Справочник соответствий'!A$2:D$2981,2,FALSE)))</f>
        <v>7</v>
      </c>
      <c r="J3414" s="3" t="str">
        <f>IFERROR(VLOOKUP(D3414,'Справочник соответствий'!A$2:D$2981,2,FALSE),IF(VALUE(D3414)=0,0,VLOOKUP(D3414,'Справочник соответствий'!A$2:D$2981,2,FALSE)))</f>
        <v>1</v>
      </c>
      <c r="K3414" s="3" t="str">
        <f t="shared" si="371"/>
        <v>7</v>
      </c>
      <c r="L3414" s="13" t="str">
        <f>IFERROR(VLOOKUP(C3414,'Справочник соответствий'!A$2:D$2981,3,FALSE),IF(VALUE(C3414)=0,"ЭТАЖ НЕ ОПРЕДЕЛЕН. ПРИНЯТ ПО ДОПУЩЕНИЮ 1",VLOOKUP(C3414,'Справочник соответствий'!A$2:D$2981,3,FALSE)))</f>
        <v>ЭТАЖ ЗАДАН ЧИСЛОМ</v>
      </c>
      <c r="M3414" s="13" t="b">
        <f t="shared" si="372"/>
        <v>0</v>
      </c>
      <c r="N3414" s="13">
        <f t="shared" si="373"/>
        <v>7</v>
      </c>
      <c r="O3414" s="13" t="str">
        <f t="shared" si="374"/>
        <v>ЭТАЖ ЗАДАН ЧИСЛОМ</v>
      </c>
      <c r="P3414" s="13" t="str">
        <f t="shared" si="375"/>
        <v>ЭТАЖ ЗАДАН ЧИСЛОМ</v>
      </c>
      <c r="Q3414" s="13" t="str">
        <f t="shared" si="376"/>
        <v>ГОТОВ_ИЗМЕНЕН</v>
      </c>
      <c r="R3414" s="13">
        <f>IFERROR(VLOOKUP(P3414,Лист1!A$1:B$20,2,FALSE),0)</f>
        <v>784</v>
      </c>
      <c r="S3414" s="13">
        <f t="shared" si="377"/>
        <v>0</v>
      </c>
    </row>
    <row r="3415" spans="1:19" x14ac:dyDescent="0.25">
      <c r="A3415" s="24" t="s">
        <v>4548</v>
      </c>
      <c r="B3415" s="4" t="s">
        <v>1059</v>
      </c>
      <c r="C3415" s="25" t="s">
        <v>5</v>
      </c>
      <c r="G3415" s="25" t="s">
        <v>1089</v>
      </c>
      <c r="H3415" s="24" t="s">
        <v>1061</v>
      </c>
      <c r="I3415" s="3" t="str">
        <f>IFERROR(VLOOKUP(C3415,'Справочник соответствий'!A$2:D$2981,2,FALSE),IF(VALUE(C3415)=0,1,VLOOKUP(C3415,'Справочник соответствий'!A$2:D$2981,2,FALSE)))</f>
        <v>1</v>
      </c>
      <c r="J3415" s="3">
        <f>IFERROR(VLOOKUP(D3415,'Справочник соответствий'!A$2:D$2981,2,FALSE),IF(VALUE(D3415)=0,0,VLOOKUP(D3415,'Справочник соответствий'!A$2:D$2981,2,FALSE)))</f>
        <v>0</v>
      </c>
      <c r="K3415" s="3" t="str">
        <f t="shared" si="371"/>
        <v>1</v>
      </c>
      <c r="L3415" s="13" t="str">
        <f>IFERROR(VLOOKUP(C3415,'Справочник соответствий'!A$2:D$2981,3,FALSE),IF(VALUE(C3415)=0,"ЭТАЖ НЕ ОПРЕДЕЛЕН. ПРИНЯТ ПО ДОПУЩЕНИЮ 1",VLOOKUP(C3415,'Справочник соответствий'!A$2:D$2981,3,FALSE)))</f>
        <v>ЭТАЖ ЗАДАН ЧИСЛОМ</v>
      </c>
      <c r="M3415" s="13" t="b">
        <f t="shared" si="372"/>
        <v>0</v>
      </c>
      <c r="N3415" s="13">
        <f t="shared" si="373"/>
        <v>1</v>
      </c>
      <c r="O3415" s="13" t="str">
        <f t="shared" si="374"/>
        <v>ЭТАЖ ЗАДАН ЧИСЛОМ</v>
      </c>
      <c r="P3415" s="13" t="str">
        <f t="shared" si="375"/>
        <v>ЭТАЖ ЗАДАН ЧИСЛОМ</v>
      </c>
      <c r="Q3415" s="13" t="str">
        <f t="shared" si="376"/>
        <v>ГОТОВ_ИЗМЕНЕН</v>
      </c>
      <c r="R3415" s="13">
        <f>IFERROR(VLOOKUP(P3415,Лист1!A$1:B$20,2,FALSE),0)</f>
        <v>784</v>
      </c>
      <c r="S3415" s="13">
        <f t="shared" si="377"/>
        <v>0</v>
      </c>
    </row>
    <row r="3416" spans="1:19" x14ac:dyDescent="0.25">
      <c r="A3416" s="24" t="s">
        <v>4549</v>
      </c>
      <c r="B3416" s="4" t="s">
        <v>1059</v>
      </c>
      <c r="G3416" s="25" t="s">
        <v>1089</v>
      </c>
      <c r="H3416" s="24" t="s">
        <v>1061</v>
      </c>
      <c r="I3416" s="3">
        <f>IFERROR(VLOOKUP(C3416,'Справочник соответствий'!A$2:D$2981,2,FALSE),IF(VALUE(C3416)=0,1,VLOOKUP(C3416,'Справочник соответствий'!A$2:D$2981,2,FALSE)))</f>
        <v>1</v>
      </c>
      <c r="J3416" s="3">
        <f>IFERROR(VLOOKUP(D3416,'Справочник соответствий'!A$2:D$2981,2,FALSE),IF(VALUE(D3416)=0,0,VLOOKUP(D3416,'Справочник соответствий'!A$2:D$2981,2,FALSE)))</f>
        <v>0</v>
      </c>
      <c r="K3416" s="3">
        <f t="shared" si="371"/>
        <v>1</v>
      </c>
      <c r="L3416" s="13" t="str">
        <f>IFERROR(VLOOKUP(C3416,'Справочник соответствий'!A$2:D$2981,3,FALSE),IF(VALUE(C3416)=0,"ЭТАЖ НЕ ОПРЕДЕЛЕН. ПРИНЯТ ПО ДОПУЩЕНИЮ 1",VLOOKUP(C3416,'Справочник соответствий'!A$2:D$2981,3,FALSE)))</f>
        <v>ЭТАЖ НЕ ОПРЕДЕЛЕН. ПРИНЯТ ПО ДОПУЩЕНИЮ 1</v>
      </c>
      <c r="M3416" s="13" t="b">
        <f t="shared" si="372"/>
        <v>0</v>
      </c>
      <c r="N3416" s="13">
        <f t="shared" si="373"/>
        <v>1</v>
      </c>
      <c r="O3416" s="13" t="str">
        <f t="shared" si="374"/>
        <v>ЭТАЖ НЕ ОПРЕДЕЛЕН. ПРИНЯТ ПО ДОПУЩЕНИЮ 1</v>
      </c>
      <c r="P3416" s="13" t="str">
        <f t="shared" si="375"/>
        <v>ЭТАЖ НЕ ОПРЕДЕЛЕН. ПРИНЯТ ПО ДОПУЩЕНИЮ 1</v>
      </c>
      <c r="Q3416" s="13" t="str">
        <f t="shared" si="376"/>
        <v>ГОТОВ_ИЗМЕНЕН</v>
      </c>
      <c r="R3416" s="13">
        <f>IFERROR(VLOOKUP(P3416,Лист1!A$1:B$20,2,FALSE),0)</f>
        <v>788</v>
      </c>
      <c r="S3416" s="13">
        <f t="shared" si="377"/>
        <v>0</v>
      </c>
    </row>
    <row r="3417" spans="1:19" x14ac:dyDescent="0.25">
      <c r="A3417" s="24" t="s">
        <v>4550</v>
      </c>
      <c r="B3417" s="4" t="s">
        <v>1063</v>
      </c>
      <c r="G3417" s="25" t="s">
        <v>1089</v>
      </c>
      <c r="H3417" s="24" t="s">
        <v>1061</v>
      </c>
      <c r="I3417" s="3">
        <f>IFERROR(VLOOKUP(C3417,'Справочник соответствий'!A$2:D$2981,2,FALSE),IF(VALUE(C3417)=0,1,VLOOKUP(C3417,'Справочник соответствий'!A$2:D$2981,2,FALSE)))</f>
        <v>1</v>
      </c>
      <c r="J3417" s="3">
        <f>IFERROR(VLOOKUP(D3417,'Справочник соответствий'!A$2:D$2981,2,FALSE),IF(VALUE(D3417)=0,0,VLOOKUP(D3417,'Справочник соответствий'!A$2:D$2981,2,FALSE)))</f>
        <v>0</v>
      </c>
      <c r="K3417" s="3">
        <f t="shared" si="371"/>
        <v>1</v>
      </c>
      <c r="L3417" s="13" t="str">
        <f>IFERROR(VLOOKUP(C3417,'Справочник соответствий'!A$2:D$2981,3,FALSE),IF(VALUE(C3417)=0,"ЭТАЖ НЕ ОПРЕДЕЛЕН. ПРИНЯТ ПО ДОПУЩЕНИЮ 1",VLOOKUP(C3417,'Справочник соответствий'!A$2:D$2981,3,FALSE)))</f>
        <v>ЭТАЖ НЕ ОПРЕДЕЛЕН. ПРИНЯТ ПО ДОПУЩЕНИЮ 1</v>
      </c>
      <c r="M3417" s="13" t="b">
        <f t="shared" si="372"/>
        <v>0</v>
      </c>
      <c r="N3417" s="13">
        <f t="shared" si="373"/>
        <v>1</v>
      </c>
      <c r="O3417" s="13" t="str">
        <f t="shared" si="374"/>
        <v>ЭТАЖ НЕ ОПРЕДЕЛЕН. ПРИНЯТ ПО ДОПУЩЕНИЮ 1</v>
      </c>
      <c r="P3417" s="13" t="str">
        <f t="shared" si="375"/>
        <v>ЭТАЖ НЕ ОПРЕДЕЛЕН. ПРИНЯТ ПО ДОПУЩЕНИЮ 1</v>
      </c>
      <c r="Q3417" s="13" t="str">
        <f t="shared" si="376"/>
        <v>ГОТОВ_ИЗМЕНЕН</v>
      </c>
      <c r="R3417" s="13">
        <f>IFERROR(VLOOKUP(P3417,Лист1!A$1:B$20,2,FALSE),0)</f>
        <v>788</v>
      </c>
      <c r="S3417" s="13">
        <f t="shared" si="377"/>
        <v>0</v>
      </c>
    </row>
    <row r="3418" spans="1:19" x14ac:dyDescent="0.25">
      <c r="A3418" s="24" t="s">
        <v>4551</v>
      </c>
      <c r="B3418" s="4" t="s">
        <v>1059</v>
      </c>
      <c r="C3418" s="25" t="s">
        <v>5</v>
      </c>
      <c r="G3418" s="25" t="s">
        <v>1089</v>
      </c>
      <c r="H3418" s="24" t="s">
        <v>1061</v>
      </c>
      <c r="I3418" s="3" t="str">
        <f>IFERROR(VLOOKUP(C3418,'Справочник соответствий'!A$2:D$2981,2,FALSE),IF(VALUE(C3418)=0,1,VLOOKUP(C3418,'Справочник соответствий'!A$2:D$2981,2,FALSE)))</f>
        <v>1</v>
      </c>
      <c r="J3418" s="3">
        <f>IFERROR(VLOOKUP(D3418,'Справочник соответствий'!A$2:D$2981,2,FALSE),IF(VALUE(D3418)=0,0,VLOOKUP(D3418,'Справочник соответствий'!A$2:D$2981,2,FALSE)))</f>
        <v>0</v>
      </c>
      <c r="K3418" s="3" t="str">
        <f t="shared" si="371"/>
        <v>1</v>
      </c>
      <c r="L3418" s="13" t="str">
        <f>IFERROR(VLOOKUP(C3418,'Справочник соответствий'!A$2:D$2981,3,FALSE),IF(VALUE(C3418)=0,"ЭТАЖ НЕ ОПРЕДЕЛЕН. ПРИНЯТ ПО ДОПУЩЕНИЮ 1",VLOOKUP(C3418,'Справочник соответствий'!A$2:D$2981,3,FALSE)))</f>
        <v>ЭТАЖ ЗАДАН ЧИСЛОМ</v>
      </c>
      <c r="M3418" s="13" t="b">
        <f t="shared" si="372"/>
        <v>0</v>
      </c>
      <c r="N3418" s="13">
        <f t="shared" si="373"/>
        <v>1</v>
      </c>
      <c r="O3418" s="13" t="str">
        <f t="shared" si="374"/>
        <v>ЭТАЖ ЗАДАН ЧИСЛОМ</v>
      </c>
      <c r="P3418" s="13" t="str">
        <f t="shared" si="375"/>
        <v>ЭТАЖ ЗАДАН ЧИСЛОМ</v>
      </c>
      <c r="Q3418" s="13" t="str">
        <f t="shared" si="376"/>
        <v>ГОТОВ_ИЗМЕНЕН</v>
      </c>
      <c r="R3418" s="13">
        <f>IFERROR(VLOOKUP(P3418,Лист1!A$1:B$20,2,FALSE),0)</f>
        <v>784</v>
      </c>
      <c r="S3418" s="13">
        <f t="shared" si="377"/>
        <v>0</v>
      </c>
    </row>
    <row r="3419" spans="1:19" x14ac:dyDescent="0.25">
      <c r="A3419" s="24" t="s">
        <v>4552</v>
      </c>
      <c r="B3419" s="4" t="s">
        <v>1063</v>
      </c>
      <c r="C3419" s="25" t="s">
        <v>5</v>
      </c>
      <c r="G3419" s="25" t="s">
        <v>1289</v>
      </c>
      <c r="H3419" s="24" t="s">
        <v>1061</v>
      </c>
      <c r="I3419" s="3" t="str">
        <f>IFERROR(VLOOKUP(C3419,'Справочник соответствий'!A$2:D$2981,2,FALSE),IF(VALUE(C3419)=0,1,VLOOKUP(C3419,'Справочник соответствий'!A$2:D$2981,2,FALSE)))</f>
        <v>1</v>
      </c>
      <c r="J3419" s="3">
        <f>IFERROR(VLOOKUP(D3419,'Справочник соответствий'!A$2:D$2981,2,FALSE),IF(VALUE(D3419)=0,0,VLOOKUP(D3419,'Справочник соответствий'!A$2:D$2981,2,FALSE)))</f>
        <v>0</v>
      </c>
      <c r="K3419" s="3" t="str">
        <f t="shared" si="371"/>
        <v>1</v>
      </c>
      <c r="L3419" s="13" t="str">
        <f>IFERROR(VLOOKUP(C3419,'Справочник соответствий'!A$2:D$2981,3,FALSE),IF(VALUE(C3419)=0,"ЭТАЖ НЕ ОПРЕДЕЛЕН. ПРИНЯТ ПО ДОПУЩЕНИЮ 1",VLOOKUP(C3419,'Справочник соответствий'!A$2:D$2981,3,FALSE)))</f>
        <v>ЭТАЖ ЗАДАН ЧИСЛОМ</v>
      </c>
      <c r="M3419" s="13" t="b">
        <f t="shared" si="372"/>
        <v>0</v>
      </c>
      <c r="N3419" s="13">
        <f t="shared" si="373"/>
        <v>1</v>
      </c>
      <c r="O3419" s="13" t="str">
        <f t="shared" si="374"/>
        <v>ЭТАЖ ЗАДАН ЧИСЛОМ</v>
      </c>
      <c r="P3419" s="13" t="str">
        <f t="shared" si="375"/>
        <v>ЭТАЖ ЗАДАН ЧИСЛОМ</v>
      </c>
      <c r="Q3419" s="13" t="str">
        <f t="shared" si="376"/>
        <v>ГОТОВ_ИЗМЕНЕН</v>
      </c>
      <c r="R3419" s="13">
        <f>IFERROR(VLOOKUP(P3419,Лист1!A$1:B$20,2,FALSE),0)</f>
        <v>784</v>
      </c>
      <c r="S3419" s="13">
        <f t="shared" si="377"/>
        <v>0</v>
      </c>
    </row>
    <row r="3420" spans="1:19" x14ac:dyDescent="0.25">
      <c r="A3420" s="24" t="s">
        <v>4553</v>
      </c>
      <c r="B3420" s="4" t="s">
        <v>1063</v>
      </c>
      <c r="G3420" s="25" t="s">
        <v>1698</v>
      </c>
      <c r="H3420" s="24" t="s">
        <v>1061</v>
      </c>
      <c r="I3420" s="3">
        <f>IFERROR(VLOOKUP(C3420,'Справочник соответствий'!A$2:D$2981,2,FALSE),IF(VALUE(C3420)=0,1,VLOOKUP(C3420,'Справочник соответствий'!A$2:D$2981,2,FALSE)))</f>
        <v>1</v>
      </c>
      <c r="J3420" s="3">
        <f>IFERROR(VLOOKUP(D3420,'Справочник соответствий'!A$2:D$2981,2,FALSE),IF(VALUE(D3420)=0,0,VLOOKUP(D3420,'Справочник соответствий'!A$2:D$2981,2,FALSE)))</f>
        <v>0</v>
      </c>
      <c r="K3420" s="3">
        <f t="shared" si="371"/>
        <v>1</v>
      </c>
      <c r="L3420" s="13" t="str">
        <f>IFERROR(VLOOKUP(C3420,'Справочник соответствий'!A$2:D$2981,3,FALSE),IF(VALUE(C3420)=0,"ЭТАЖ НЕ ОПРЕДЕЛЕН. ПРИНЯТ ПО ДОПУЩЕНИЮ 1",VLOOKUP(C3420,'Справочник соответствий'!A$2:D$2981,3,FALSE)))</f>
        <v>ЭТАЖ НЕ ОПРЕДЕЛЕН. ПРИНЯТ ПО ДОПУЩЕНИЮ 1</v>
      </c>
      <c r="M3420" s="13" t="b">
        <f t="shared" si="372"/>
        <v>0</v>
      </c>
      <c r="N3420" s="13">
        <f t="shared" si="373"/>
        <v>1</v>
      </c>
      <c r="O3420" s="13" t="str">
        <f t="shared" si="374"/>
        <v>ЭТАЖ НЕ ОПРЕДЕЛЕН. ПРИНЯТ ПО ДОПУЩЕНИЮ 1</v>
      </c>
      <c r="P3420" s="13" t="str">
        <f t="shared" si="375"/>
        <v>ЭТАЖ НЕ ОПРЕДЕЛЕН. ПРИНЯТ ПО ДОПУЩЕНИЮ 1</v>
      </c>
      <c r="Q3420" s="13" t="str">
        <f t="shared" si="376"/>
        <v>ГОТОВ_ИЗМЕНЕН</v>
      </c>
      <c r="R3420" s="13">
        <f>IFERROR(VLOOKUP(P3420,Лист1!A$1:B$20,2,FALSE),0)</f>
        <v>788</v>
      </c>
      <c r="S3420" s="13">
        <f t="shared" si="377"/>
        <v>0</v>
      </c>
    </row>
    <row r="3421" spans="1:19" x14ac:dyDescent="0.25">
      <c r="A3421" s="24" t="s">
        <v>4554</v>
      </c>
      <c r="B3421" s="4" t="s">
        <v>1063</v>
      </c>
      <c r="C3421" s="25" t="s">
        <v>5</v>
      </c>
      <c r="G3421" s="25" t="s">
        <v>1698</v>
      </c>
      <c r="H3421" s="24" t="s">
        <v>1061</v>
      </c>
      <c r="I3421" s="3" t="str">
        <f>IFERROR(VLOOKUP(C3421,'Справочник соответствий'!A$2:D$2981,2,FALSE),IF(VALUE(C3421)=0,1,VLOOKUP(C3421,'Справочник соответствий'!A$2:D$2981,2,FALSE)))</f>
        <v>1</v>
      </c>
      <c r="J3421" s="3">
        <f>IFERROR(VLOOKUP(D3421,'Справочник соответствий'!A$2:D$2981,2,FALSE),IF(VALUE(D3421)=0,0,VLOOKUP(D3421,'Справочник соответствий'!A$2:D$2981,2,FALSE)))</f>
        <v>0</v>
      </c>
      <c r="K3421" s="3" t="str">
        <f t="shared" si="371"/>
        <v>1</v>
      </c>
      <c r="L3421" s="13" t="str">
        <f>IFERROR(VLOOKUP(C3421,'Справочник соответствий'!A$2:D$2981,3,FALSE),IF(VALUE(C3421)=0,"ЭТАЖ НЕ ОПРЕДЕЛЕН. ПРИНЯТ ПО ДОПУЩЕНИЮ 1",VLOOKUP(C3421,'Справочник соответствий'!A$2:D$2981,3,FALSE)))</f>
        <v>ЭТАЖ ЗАДАН ЧИСЛОМ</v>
      </c>
      <c r="M3421" s="13" t="b">
        <f t="shared" si="372"/>
        <v>0</v>
      </c>
      <c r="N3421" s="13">
        <f t="shared" si="373"/>
        <v>1</v>
      </c>
      <c r="O3421" s="13" t="str">
        <f t="shared" si="374"/>
        <v>ЭТАЖ ЗАДАН ЧИСЛОМ</v>
      </c>
      <c r="P3421" s="13" t="str">
        <f t="shared" si="375"/>
        <v>ЭТАЖ ЗАДАН ЧИСЛОМ</v>
      </c>
      <c r="Q3421" s="13" t="str">
        <f t="shared" si="376"/>
        <v>ГОТОВ_ИЗМЕНЕН</v>
      </c>
      <c r="R3421" s="13">
        <f>IFERROR(VLOOKUP(P3421,Лист1!A$1:B$20,2,FALSE),0)</f>
        <v>784</v>
      </c>
      <c r="S3421" s="13">
        <f t="shared" si="377"/>
        <v>0</v>
      </c>
    </row>
    <row r="3422" spans="1:19" x14ac:dyDescent="0.25">
      <c r="A3422" s="24" t="s">
        <v>4555</v>
      </c>
      <c r="B3422" s="4" t="s">
        <v>1059</v>
      </c>
      <c r="C3422" s="25" t="s">
        <v>5</v>
      </c>
      <c r="G3422" s="25" t="s">
        <v>1698</v>
      </c>
      <c r="H3422" s="24" t="s">
        <v>1061</v>
      </c>
      <c r="I3422" s="3" t="str">
        <f>IFERROR(VLOOKUP(C3422,'Справочник соответствий'!A$2:D$2981,2,FALSE),IF(VALUE(C3422)=0,1,VLOOKUP(C3422,'Справочник соответствий'!A$2:D$2981,2,FALSE)))</f>
        <v>1</v>
      </c>
      <c r="J3422" s="3">
        <f>IFERROR(VLOOKUP(D3422,'Справочник соответствий'!A$2:D$2981,2,FALSE),IF(VALUE(D3422)=0,0,VLOOKUP(D3422,'Справочник соответствий'!A$2:D$2981,2,FALSE)))</f>
        <v>0</v>
      </c>
      <c r="K3422" s="3" t="str">
        <f t="shared" si="371"/>
        <v>1</v>
      </c>
      <c r="L3422" s="13" t="str">
        <f>IFERROR(VLOOKUP(C3422,'Справочник соответствий'!A$2:D$2981,3,FALSE),IF(VALUE(C3422)=0,"ЭТАЖ НЕ ОПРЕДЕЛЕН. ПРИНЯТ ПО ДОПУЩЕНИЮ 1",VLOOKUP(C3422,'Справочник соответствий'!A$2:D$2981,3,FALSE)))</f>
        <v>ЭТАЖ ЗАДАН ЧИСЛОМ</v>
      </c>
      <c r="M3422" s="13" t="b">
        <f t="shared" si="372"/>
        <v>0</v>
      </c>
      <c r="N3422" s="13">
        <f t="shared" si="373"/>
        <v>1</v>
      </c>
      <c r="O3422" s="13" t="str">
        <f t="shared" si="374"/>
        <v>ЭТАЖ ЗАДАН ЧИСЛОМ</v>
      </c>
      <c r="P3422" s="13" t="str">
        <f t="shared" si="375"/>
        <v>ЭТАЖ ЗАДАН ЧИСЛОМ</v>
      </c>
      <c r="Q3422" s="13" t="str">
        <f t="shared" si="376"/>
        <v>ГОТОВ_ИЗМЕНЕН</v>
      </c>
      <c r="R3422" s="13">
        <f>IFERROR(VLOOKUP(P3422,Лист1!A$1:B$20,2,FALSE),0)</f>
        <v>784</v>
      </c>
      <c r="S3422" s="13">
        <f t="shared" si="377"/>
        <v>0</v>
      </c>
    </row>
    <row r="3423" spans="1:19" x14ac:dyDescent="0.25">
      <c r="A3423" s="24" t="s">
        <v>4556</v>
      </c>
      <c r="B3423" s="4" t="s">
        <v>1059</v>
      </c>
      <c r="C3423" s="25" t="s">
        <v>7</v>
      </c>
      <c r="G3423" s="25" t="s">
        <v>1698</v>
      </c>
      <c r="H3423" s="24" t="s">
        <v>1061</v>
      </c>
      <c r="I3423" s="3" t="str">
        <f>IFERROR(VLOOKUP(C3423,'Справочник соответствий'!A$2:D$2981,2,FALSE),IF(VALUE(C3423)=0,1,VLOOKUP(C3423,'Справочник соответствий'!A$2:D$2981,2,FALSE)))</f>
        <v>2</v>
      </c>
      <c r="J3423" s="3">
        <f>IFERROR(VLOOKUP(D3423,'Справочник соответствий'!A$2:D$2981,2,FALSE),IF(VALUE(D3423)=0,0,VLOOKUP(D3423,'Справочник соответствий'!A$2:D$2981,2,FALSE)))</f>
        <v>0</v>
      </c>
      <c r="K3423" s="3" t="str">
        <f t="shared" si="371"/>
        <v>2</v>
      </c>
      <c r="L3423" s="13" t="str">
        <f>IFERROR(VLOOKUP(C3423,'Справочник соответствий'!A$2:D$2981,3,FALSE),IF(VALUE(C3423)=0,"ЭТАЖ НЕ ОПРЕДЕЛЕН. ПРИНЯТ ПО ДОПУЩЕНИЮ 1",VLOOKUP(C3423,'Справочник соответствий'!A$2:D$2981,3,FALSE)))</f>
        <v>ЭТАЖ ЗАДАН ЧИСЛОМ</v>
      </c>
      <c r="M3423" s="13" t="b">
        <f t="shared" si="372"/>
        <v>0</v>
      </c>
      <c r="N3423" s="13">
        <f t="shared" si="373"/>
        <v>2</v>
      </c>
      <c r="O3423" s="13" t="str">
        <f t="shared" si="374"/>
        <v>ЭТАЖ ЗАДАН ЧИСЛОМ</v>
      </c>
      <c r="P3423" s="13" t="str">
        <f t="shared" si="375"/>
        <v>ЭТАЖ ЗАДАН ЧИСЛОМ</v>
      </c>
      <c r="Q3423" s="13" t="str">
        <f t="shared" si="376"/>
        <v>ГОТОВ_ИЗМЕНЕН</v>
      </c>
      <c r="R3423" s="13">
        <f>IFERROR(VLOOKUP(P3423,Лист1!A$1:B$20,2,FALSE),0)</f>
        <v>784</v>
      </c>
      <c r="S3423" s="13">
        <f t="shared" si="377"/>
        <v>0</v>
      </c>
    </row>
    <row r="3424" spans="1:19" x14ac:dyDescent="0.25">
      <c r="A3424" s="24" t="s">
        <v>4557</v>
      </c>
      <c r="B3424" s="4" t="s">
        <v>1059</v>
      </c>
      <c r="C3424" s="25" t="s">
        <v>7</v>
      </c>
      <c r="G3424" s="25" t="s">
        <v>1698</v>
      </c>
      <c r="H3424" s="24" t="s">
        <v>1061</v>
      </c>
      <c r="I3424" s="3" t="str">
        <f>IFERROR(VLOOKUP(C3424,'Справочник соответствий'!A$2:D$2981,2,FALSE),IF(VALUE(C3424)=0,1,VLOOKUP(C3424,'Справочник соответствий'!A$2:D$2981,2,FALSE)))</f>
        <v>2</v>
      </c>
      <c r="J3424" s="3">
        <f>IFERROR(VLOOKUP(D3424,'Справочник соответствий'!A$2:D$2981,2,FALSE),IF(VALUE(D3424)=0,0,VLOOKUP(D3424,'Справочник соответствий'!A$2:D$2981,2,FALSE)))</f>
        <v>0</v>
      </c>
      <c r="K3424" s="3" t="str">
        <f t="shared" si="371"/>
        <v>2</v>
      </c>
      <c r="L3424" s="13" t="str">
        <f>IFERROR(VLOOKUP(C3424,'Справочник соответствий'!A$2:D$2981,3,FALSE),IF(VALUE(C3424)=0,"ЭТАЖ НЕ ОПРЕДЕЛЕН. ПРИНЯТ ПО ДОПУЩЕНИЮ 1",VLOOKUP(C3424,'Справочник соответствий'!A$2:D$2981,3,FALSE)))</f>
        <v>ЭТАЖ ЗАДАН ЧИСЛОМ</v>
      </c>
      <c r="M3424" s="13" t="b">
        <f t="shared" si="372"/>
        <v>0</v>
      </c>
      <c r="N3424" s="13">
        <f t="shared" si="373"/>
        <v>2</v>
      </c>
      <c r="O3424" s="13" t="str">
        <f t="shared" si="374"/>
        <v>ЭТАЖ ЗАДАН ЧИСЛОМ</v>
      </c>
      <c r="P3424" s="13" t="str">
        <f t="shared" si="375"/>
        <v>ЭТАЖ ЗАДАН ЧИСЛОМ</v>
      </c>
      <c r="Q3424" s="13" t="str">
        <f t="shared" si="376"/>
        <v>ГОТОВ_ИЗМЕНЕН</v>
      </c>
      <c r="R3424" s="13">
        <f>IFERROR(VLOOKUP(P3424,Лист1!A$1:B$20,2,FALSE),0)</f>
        <v>784</v>
      </c>
      <c r="S3424" s="13">
        <f t="shared" si="377"/>
        <v>0</v>
      </c>
    </row>
    <row r="3425" spans="1:19" x14ac:dyDescent="0.25">
      <c r="A3425" s="24" t="s">
        <v>4558</v>
      </c>
      <c r="B3425" s="4" t="s">
        <v>1063</v>
      </c>
      <c r="C3425" s="25" t="s">
        <v>5</v>
      </c>
      <c r="G3425" s="25" t="s">
        <v>1391</v>
      </c>
      <c r="H3425" s="24" t="s">
        <v>1061</v>
      </c>
      <c r="I3425" s="3" t="str">
        <f>IFERROR(VLOOKUP(C3425,'Справочник соответствий'!A$2:D$2981,2,FALSE),IF(VALUE(C3425)=0,1,VLOOKUP(C3425,'Справочник соответствий'!A$2:D$2981,2,FALSE)))</f>
        <v>1</v>
      </c>
      <c r="J3425" s="3">
        <f>IFERROR(VLOOKUP(D3425,'Справочник соответствий'!A$2:D$2981,2,FALSE),IF(VALUE(D3425)=0,0,VLOOKUP(D3425,'Справочник соответствий'!A$2:D$2981,2,FALSE)))</f>
        <v>0</v>
      </c>
      <c r="K3425" s="3" t="str">
        <f t="shared" si="371"/>
        <v>1</v>
      </c>
      <c r="L3425" s="13" t="str">
        <f>IFERROR(VLOOKUP(C3425,'Справочник соответствий'!A$2:D$2981,3,FALSE),IF(VALUE(C3425)=0,"ЭТАЖ НЕ ОПРЕДЕЛЕН. ПРИНЯТ ПО ДОПУЩЕНИЮ 1",VLOOKUP(C3425,'Справочник соответствий'!A$2:D$2981,3,FALSE)))</f>
        <v>ЭТАЖ ЗАДАН ЧИСЛОМ</v>
      </c>
      <c r="M3425" s="13" t="b">
        <f t="shared" si="372"/>
        <v>0</v>
      </c>
      <c r="N3425" s="13">
        <f t="shared" si="373"/>
        <v>1</v>
      </c>
      <c r="O3425" s="13" t="str">
        <f t="shared" si="374"/>
        <v>ЭТАЖ ЗАДАН ЧИСЛОМ</v>
      </c>
      <c r="P3425" s="13" t="str">
        <f t="shared" si="375"/>
        <v>ЭТАЖ ЗАДАН ЧИСЛОМ</v>
      </c>
      <c r="Q3425" s="13" t="str">
        <f t="shared" si="376"/>
        <v>ГОТОВ_ИЗМЕНЕН</v>
      </c>
      <c r="R3425" s="13">
        <f>IFERROR(VLOOKUP(P3425,Лист1!A$1:B$20,2,FALSE),0)</f>
        <v>784</v>
      </c>
      <c r="S3425" s="13">
        <f t="shared" si="377"/>
        <v>0</v>
      </c>
    </row>
    <row r="3426" spans="1:19" x14ac:dyDescent="0.25">
      <c r="A3426" s="24" t="s">
        <v>4559</v>
      </c>
      <c r="B3426" s="4" t="s">
        <v>1063</v>
      </c>
      <c r="G3426" s="25" t="s">
        <v>1391</v>
      </c>
      <c r="H3426" s="24" t="s">
        <v>1061</v>
      </c>
      <c r="I3426" s="3">
        <f>IFERROR(VLOOKUP(C3426,'Справочник соответствий'!A$2:D$2981,2,FALSE),IF(VALUE(C3426)=0,1,VLOOKUP(C3426,'Справочник соответствий'!A$2:D$2981,2,FALSE)))</f>
        <v>1</v>
      </c>
      <c r="J3426" s="3">
        <f>IFERROR(VLOOKUP(D3426,'Справочник соответствий'!A$2:D$2981,2,FALSE),IF(VALUE(D3426)=0,0,VLOOKUP(D3426,'Справочник соответствий'!A$2:D$2981,2,FALSE)))</f>
        <v>0</v>
      </c>
      <c r="K3426" s="3">
        <f t="shared" si="371"/>
        <v>1</v>
      </c>
      <c r="L3426" s="13" t="str">
        <f>IFERROR(VLOOKUP(C3426,'Справочник соответствий'!A$2:D$2981,3,FALSE),IF(VALUE(C3426)=0,"ЭТАЖ НЕ ОПРЕДЕЛЕН. ПРИНЯТ ПО ДОПУЩЕНИЮ 1",VLOOKUP(C3426,'Справочник соответствий'!A$2:D$2981,3,FALSE)))</f>
        <v>ЭТАЖ НЕ ОПРЕДЕЛЕН. ПРИНЯТ ПО ДОПУЩЕНИЮ 1</v>
      </c>
      <c r="M3426" s="13" t="b">
        <f t="shared" si="372"/>
        <v>0</v>
      </c>
      <c r="N3426" s="13">
        <f t="shared" si="373"/>
        <v>1</v>
      </c>
      <c r="O3426" s="13" t="str">
        <f t="shared" si="374"/>
        <v>ЭТАЖ НЕ ОПРЕДЕЛЕН. ПРИНЯТ ПО ДОПУЩЕНИЮ 1</v>
      </c>
      <c r="P3426" s="13" t="str">
        <f t="shared" si="375"/>
        <v>ЭТАЖ НЕ ОПРЕДЕЛЕН. ПРИНЯТ ПО ДОПУЩЕНИЮ 1</v>
      </c>
      <c r="Q3426" s="13" t="str">
        <f t="shared" si="376"/>
        <v>ГОТОВ_ИЗМЕНЕН</v>
      </c>
      <c r="R3426" s="13">
        <f>IFERROR(VLOOKUP(P3426,Лист1!A$1:B$20,2,FALSE),0)</f>
        <v>788</v>
      </c>
      <c r="S3426" s="13">
        <f t="shared" si="377"/>
        <v>0</v>
      </c>
    </row>
    <row r="3427" spans="1:19" x14ac:dyDescent="0.25">
      <c r="A3427" s="24" t="s">
        <v>4560</v>
      </c>
      <c r="B3427" s="4" t="s">
        <v>1063</v>
      </c>
      <c r="C3427" s="25" t="s">
        <v>5</v>
      </c>
      <c r="G3427" s="25" t="s">
        <v>1391</v>
      </c>
      <c r="H3427" s="24" t="s">
        <v>1061</v>
      </c>
      <c r="I3427" s="3" t="str">
        <f>IFERROR(VLOOKUP(C3427,'Справочник соответствий'!A$2:D$2981,2,FALSE),IF(VALUE(C3427)=0,1,VLOOKUP(C3427,'Справочник соответствий'!A$2:D$2981,2,FALSE)))</f>
        <v>1</v>
      </c>
      <c r="J3427" s="3">
        <f>IFERROR(VLOOKUP(D3427,'Справочник соответствий'!A$2:D$2981,2,FALSE),IF(VALUE(D3427)=0,0,VLOOKUP(D3427,'Справочник соответствий'!A$2:D$2981,2,FALSE)))</f>
        <v>0</v>
      </c>
      <c r="K3427" s="3" t="str">
        <f t="shared" si="371"/>
        <v>1</v>
      </c>
      <c r="L3427" s="13" t="str">
        <f>IFERROR(VLOOKUP(C3427,'Справочник соответствий'!A$2:D$2981,3,FALSE),IF(VALUE(C3427)=0,"ЭТАЖ НЕ ОПРЕДЕЛЕН. ПРИНЯТ ПО ДОПУЩЕНИЮ 1",VLOOKUP(C3427,'Справочник соответствий'!A$2:D$2981,3,FALSE)))</f>
        <v>ЭТАЖ ЗАДАН ЧИСЛОМ</v>
      </c>
      <c r="M3427" s="13" t="b">
        <f t="shared" si="372"/>
        <v>0</v>
      </c>
      <c r="N3427" s="13">
        <f t="shared" si="373"/>
        <v>1</v>
      </c>
      <c r="O3427" s="13" t="str">
        <f t="shared" si="374"/>
        <v>ЭТАЖ ЗАДАН ЧИСЛОМ</v>
      </c>
      <c r="P3427" s="13" t="str">
        <f t="shared" si="375"/>
        <v>ЭТАЖ ЗАДАН ЧИСЛОМ</v>
      </c>
      <c r="Q3427" s="13" t="str">
        <f t="shared" si="376"/>
        <v>ГОТОВ_ИЗМЕНЕН</v>
      </c>
      <c r="R3427" s="13">
        <f>IFERROR(VLOOKUP(P3427,Лист1!A$1:B$20,2,FALSE),0)</f>
        <v>784</v>
      </c>
      <c r="S3427" s="13">
        <f t="shared" si="377"/>
        <v>0</v>
      </c>
    </row>
    <row r="3428" spans="1:19" x14ac:dyDescent="0.25">
      <c r="A3428" s="24" t="s">
        <v>4561</v>
      </c>
      <c r="B3428" s="4" t="s">
        <v>1059</v>
      </c>
      <c r="C3428" s="25" t="s">
        <v>5</v>
      </c>
      <c r="G3428" s="25" t="s">
        <v>1347</v>
      </c>
      <c r="H3428" s="24" t="s">
        <v>1061</v>
      </c>
      <c r="I3428" s="3" t="str">
        <f>IFERROR(VLOOKUP(C3428,'Справочник соответствий'!A$2:D$2981,2,FALSE),IF(VALUE(C3428)=0,1,VLOOKUP(C3428,'Справочник соответствий'!A$2:D$2981,2,FALSE)))</f>
        <v>1</v>
      </c>
      <c r="J3428" s="3">
        <f>IFERROR(VLOOKUP(D3428,'Справочник соответствий'!A$2:D$2981,2,FALSE),IF(VALUE(D3428)=0,0,VLOOKUP(D3428,'Справочник соответствий'!A$2:D$2981,2,FALSE)))</f>
        <v>0</v>
      </c>
      <c r="K3428" s="3" t="str">
        <f t="shared" si="371"/>
        <v>1</v>
      </c>
      <c r="L3428" s="13" t="str">
        <f>IFERROR(VLOOKUP(C3428,'Справочник соответствий'!A$2:D$2981,3,FALSE),IF(VALUE(C3428)=0,"ЭТАЖ НЕ ОПРЕДЕЛЕН. ПРИНЯТ ПО ДОПУЩЕНИЮ 1",VLOOKUP(C3428,'Справочник соответствий'!A$2:D$2981,3,FALSE)))</f>
        <v>ЭТАЖ ЗАДАН ЧИСЛОМ</v>
      </c>
      <c r="M3428" s="13" t="b">
        <f t="shared" si="372"/>
        <v>0</v>
      </c>
      <c r="N3428" s="13">
        <f t="shared" si="373"/>
        <v>1</v>
      </c>
      <c r="O3428" s="13" t="str">
        <f t="shared" si="374"/>
        <v>ЭТАЖ ЗАДАН ЧИСЛОМ</v>
      </c>
      <c r="P3428" s="13" t="str">
        <f t="shared" si="375"/>
        <v>ЭТАЖ ЗАДАН ЧИСЛОМ</v>
      </c>
      <c r="Q3428" s="13" t="str">
        <f t="shared" si="376"/>
        <v>ГОТОВ_ИЗМЕНЕН</v>
      </c>
      <c r="R3428" s="13">
        <f>IFERROR(VLOOKUP(P3428,Лист1!A$1:B$20,2,FALSE),0)</f>
        <v>784</v>
      </c>
      <c r="S3428" s="13">
        <f t="shared" si="377"/>
        <v>0</v>
      </c>
    </row>
    <row r="3429" spans="1:19" x14ac:dyDescent="0.25">
      <c r="A3429" s="24" t="s">
        <v>4562</v>
      </c>
      <c r="B3429" s="4" t="s">
        <v>1063</v>
      </c>
      <c r="C3429" s="25" t="s">
        <v>5</v>
      </c>
      <c r="G3429" s="25" t="s">
        <v>1347</v>
      </c>
      <c r="H3429" s="24" t="s">
        <v>1061</v>
      </c>
      <c r="I3429" s="3" t="str">
        <f>IFERROR(VLOOKUP(C3429,'Справочник соответствий'!A$2:D$2981,2,FALSE),IF(VALUE(C3429)=0,1,VLOOKUP(C3429,'Справочник соответствий'!A$2:D$2981,2,FALSE)))</f>
        <v>1</v>
      </c>
      <c r="J3429" s="3">
        <f>IFERROR(VLOOKUP(D3429,'Справочник соответствий'!A$2:D$2981,2,FALSE),IF(VALUE(D3429)=0,0,VLOOKUP(D3429,'Справочник соответствий'!A$2:D$2981,2,FALSE)))</f>
        <v>0</v>
      </c>
      <c r="K3429" s="3" t="str">
        <f t="shared" si="371"/>
        <v>1</v>
      </c>
      <c r="L3429" s="13" t="str">
        <f>IFERROR(VLOOKUP(C3429,'Справочник соответствий'!A$2:D$2981,3,FALSE),IF(VALUE(C3429)=0,"ЭТАЖ НЕ ОПРЕДЕЛЕН. ПРИНЯТ ПО ДОПУЩЕНИЮ 1",VLOOKUP(C3429,'Справочник соответствий'!A$2:D$2981,3,FALSE)))</f>
        <v>ЭТАЖ ЗАДАН ЧИСЛОМ</v>
      </c>
      <c r="M3429" s="13" t="b">
        <f t="shared" si="372"/>
        <v>0</v>
      </c>
      <c r="N3429" s="13">
        <f t="shared" si="373"/>
        <v>1</v>
      </c>
      <c r="O3429" s="13" t="str">
        <f t="shared" si="374"/>
        <v>ЭТАЖ ЗАДАН ЧИСЛОМ</v>
      </c>
      <c r="P3429" s="13" t="str">
        <f t="shared" si="375"/>
        <v>ЭТАЖ ЗАДАН ЧИСЛОМ</v>
      </c>
      <c r="Q3429" s="13" t="str">
        <f t="shared" si="376"/>
        <v>ГОТОВ_ИЗМЕНЕН</v>
      </c>
      <c r="R3429" s="13">
        <f>IFERROR(VLOOKUP(P3429,Лист1!A$1:B$20,2,FALSE),0)</f>
        <v>784</v>
      </c>
      <c r="S3429" s="13">
        <f t="shared" si="377"/>
        <v>0</v>
      </c>
    </row>
    <row r="3430" spans="1:19" x14ac:dyDescent="0.25">
      <c r="A3430" s="24" t="s">
        <v>4563</v>
      </c>
      <c r="B3430" s="4" t="s">
        <v>1059</v>
      </c>
      <c r="C3430" s="25" t="s">
        <v>5</v>
      </c>
      <c r="G3430" s="25" t="s">
        <v>1347</v>
      </c>
      <c r="H3430" s="24" t="s">
        <v>1061</v>
      </c>
      <c r="I3430" s="3" t="str">
        <f>IFERROR(VLOOKUP(C3430,'Справочник соответствий'!A$2:D$2981,2,FALSE),IF(VALUE(C3430)=0,1,VLOOKUP(C3430,'Справочник соответствий'!A$2:D$2981,2,FALSE)))</f>
        <v>1</v>
      </c>
      <c r="J3430" s="3">
        <f>IFERROR(VLOOKUP(D3430,'Справочник соответствий'!A$2:D$2981,2,FALSE),IF(VALUE(D3430)=0,0,VLOOKUP(D3430,'Справочник соответствий'!A$2:D$2981,2,FALSE)))</f>
        <v>0</v>
      </c>
      <c r="K3430" s="3" t="str">
        <f t="shared" si="371"/>
        <v>1</v>
      </c>
      <c r="L3430" s="13" t="str">
        <f>IFERROR(VLOOKUP(C3430,'Справочник соответствий'!A$2:D$2981,3,FALSE),IF(VALUE(C3430)=0,"ЭТАЖ НЕ ОПРЕДЕЛЕН. ПРИНЯТ ПО ДОПУЩЕНИЮ 1",VLOOKUP(C3430,'Справочник соответствий'!A$2:D$2981,3,FALSE)))</f>
        <v>ЭТАЖ ЗАДАН ЧИСЛОМ</v>
      </c>
      <c r="M3430" s="13" t="b">
        <f t="shared" si="372"/>
        <v>0</v>
      </c>
      <c r="N3430" s="13">
        <f t="shared" si="373"/>
        <v>1</v>
      </c>
      <c r="O3430" s="13" t="str">
        <f t="shared" si="374"/>
        <v>ЭТАЖ ЗАДАН ЧИСЛОМ</v>
      </c>
      <c r="P3430" s="13" t="str">
        <f t="shared" si="375"/>
        <v>ЭТАЖ ЗАДАН ЧИСЛОМ</v>
      </c>
      <c r="Q3430" s="13" t="str">
        <f t="shared" si="376"/>
        <v>ГОТОВ_ИЗМЕНЕН</v>
      </c>
      <c r="R3430" s="13">
        <f>IFERROR(VLOOKUP(P3430,Лист1!A$1:B$20,2,FALSE),0)</f>
        <v>784</v>
      </c>
      <c r="S3430" s="13">
        <f t="shared" si="377"/>
        <v>0</v>
      </c>
    </row>
    <row r="3431" spans="1:19" x14ac:dyDescent="0.25">
      <c r="A3431" s="24" t="s">
        <v>4564</v>
      </c>
      <c r="B3431" s="4" t="s">
        <v>1063</v>
      </c>
      <c r="C3431" s="25" t="s">
        <v>5</v>
      </c>
      <c r="G3431" s="25" t="s">
        <v>1347</v>
      </c>
      <c r="H3431" s="24" t="s">
        <v>1061</v>
      </c>
      <c r="I3431" s="3" t="str">
        <f>IFERROR(VLOOKUP(C3431,'Справочник соответствий'!A$2:D$2981,2,FALSE),IF(VALUE(C3431)=0,1,VLOOKUP(C3431,'Справочник соответствий'!A$2:D$2981,2,FALSE)))</f>
        <v>1</v>
      </c>
      <c r="J3431" s="3">
        <f>IFERROR(VLOOKUP(D3431,'Справочник соответствий'!A$2:D$2981,2,FALSE),IF(VALUE(D3431)=0,0,VLOOKUP(D3431,'Справочник соответствий'!A$2:D$2981,2,FALSE)))</f>
        <v>0</v>
      </c>
      <c r="K3431" s="3" t="str">
        <f t="shared" si="371"/>
        <v>1</v>
      </c>
      <c r="L3431" s="13" t="str">
        <f>IFERROR(VLOOKUP(C3431,'Справочник соответствий'!A$2:D$2981,3,FALSE),IF(VALUE(C3431)=0,"ЭТАЖ НЕ ОПРЕДЕЛЕН. ПРИНЯТ ПО ДОПУЩЕНИЮ 1",VLOOKUP(C3431,'Справочник соответствий'!A$2:D$2981,3,FALSE)))</f>
        <v>ЭТАЖ ЗАДАН ЧИСЛОМ</v>
      </c>
      <c r="M3431" s="13" t="b">
        <f t="shared" si="372"/>
        <v>0</v>
      </c>
      <c r="N3431" s="13">
        <f t="shared" si="373"/>
        <v>1</v>
      </c>
      <c r="O3431" s="13" t="str">
        <f t="shared" si="374"/>
        <v>ЭТАЖ ЗАДАН ЧИСЛОМ</v>
      </c>
      <c r="P3431" s="13" t="str">
        <f t="shared" si="375"/>
        <v>ЭТАЖ ЗАДАН ЧИСЛОМ</v>
      </c>
      <c r="Q3431" s="13" t="str">
        <f t="shared" si="376"/>
        <v>ГОТОВ_ИЗМЕНЕН</v>
      </c>
      <c r="R3431" s="13">
        <f>IFERROR(VLOOKUP(P3431,Лист1!A$1:B$20,2,FALSE),0)</f>
        <v>784</v>
      </c>
      <c r="S3431" s="13">
        <f t="shared" si="377"/>
        <v>0</v>
      </c>
    </row>
    <row r="3432" spans="1:19" x14ac:dyDescent="0.25">
      <c r="A3432" s="24" t="s">
        <v>4565</v>
      </c>
      <c r="B3432" s="4" t="s">
        <v>1063</v>
      </c>
      <c r="C3432" s="25" t="s">
        <v>5</v>
      </c>
      <c r="G3432" s="25" t="s">
        <v>1347</v>
      </c>
      <c r="H3432" s="24" t="s">
        <v>1061</v>
      </c>
      <c r="I3432" s="3" t="str">
        <f>IFERROR(VLOOKUP(C3432,'Справочник соответствий'!A$2:D$2981,2,FALSE),IF(VALUE(C3432)=0,1,VLOOKUP(C3432,'Справочник соответствий'!A$2:D$2981,2,FALSE)))</f>
        <v>1</v>
      </c>
      <c r="J3432" s="3">
        <f>IFERROR(VLOOKUP(D3432,'Справочник соответствий'!A$2:D$2981,2,FALSE),IF(VALUE(D3432)=0,0,VLOOKUP(D3432,'Справочник соответствий'!A$2:D$2981,2,FALSE)))</f>
        <v>0</v>
      </c>
      <c r="K3432" s="3" t="str">
        <f t="shared" si="371"/>
        <v>1</v>
      </c>
      <c r="L3432" s="13" t="str">
        <f>IFERROR(VLOOKUP(C3432,'Справочник соответствий'!A$2:D$2981,3,FALSE),IF(VALUE(C3432)=0,"ЭТАЖ НЕ ОПРЕДЕЛЕН. ПРИНЯТ ПО ДОПУЩЕНИЮ 1",VLOOKUP(C3432,'Справочник соответствий'!A$2:D$2981,3,FALSE)))</f>
        <v>ЭТАЖ ЗАДАН ЧИСЛОМ</v>
      </c>
      <c r="M3432" s="13" t="b">
        <f t="shared" si="372"/>
        <v>0</v>
      </c>
      <c r="N3432" s="13">
        <f t="shared" si="373"/>
        <v>1</v>
      </c>
      <c r="O3432" s="13" t="str">
        <f t="shared" si="374"/>
        <v>ЭТАЖ ЗАДАН ЧИСЛОМ</v>
      </c>
      <c r="P3432" s="13" t="str">
        <f t="shared" si="375"/>
        <v>ЭТАЖ ЗАДАН ЧИСЛОМ</v>
      </c>
      <c r="Q3432" s="13" t="str">
        <f t="shared" si="376"/>
        <v>ГОТОВ_ИЗМЕНЕН</v>
      </c>
      <c r="R3432" s="13">
        <f>IFERROR(VLOOKUP(P3432,Лист1!A$1:B$20,2,FALSE),0)</f>
        <v>784</v>
      </c>
      <c r="S3432" s="13">
        <f t="shared" si="377"/>
        <v>0</v>
      </c>
    </row>
    <row r="3433" spans="1:19" x14ac:dyDescent="0.25">
      <c r="A3433" s="24" t="s">
        <v>4566</v>
      </c>
      <c r="B3433" s="4" t="s">
        <v>1063</v>
      </c>
      <c r="G3433" s="25" t="s">
        <v>1347</v>
      </c>
      <c r="H3433" s="24" t="s">
        <v>1061</v>
      </c>
      <c r="I3433" s="3">
        <f>IFERROR(VLOOKUP(C3433,'Справочник соответствий'!A$2:D$2981,2,FALSE),IF(VALUE(C3433)=0,1,VLOOKUP(C3433,'Справочник соответствий'!A$2:D$2981,2,FALSE)))</f>
        <v>1</v>
      </c>
      <c r="J3433" s="3">
        <f>IFERROR(VLOOKUP(D3433,'Справочник соответствий'!A$2:D$2981,2,FALSE),IF(VALUE(D3433)=0,0,VLOOKUP(D3433,'Справочник соответствий'!A$2:D$2981,2,FALSE)))</f>
        <v>0</v>
      </c>
      <c r="K3433" s="3">
        <f t="shared" si="371"/>
        <v>1</v>
      </c>
      <c r="L3433" s="13" t="str">
        <f>IFERROR(VLOOKUP(C3433,'Справочник соответствий'!A$2:D$2981,3,FALSE),IF(VALUE(C3433)=0,"ЭТАЖ НЕ ОПРЕДЕЛЕН. ПРИНЯТ ПО ДОПУЩЕНИЮ 1",VLOOKUP(C3433,'Справочник соответствий'!A$2:D$2981,3,FALSE)))</f>
        <v>ЭТАЖ НЕ ОПРЕДЕЛЕН. ПРИНЯТ ПО ДОПУЩЕНИЮ 1</v>
      </c>
      <c r="M3433" s="13" t="b">
        <f t="shared" si="372"/>
        <v>0</v>
      </c>
      <c r="N3433" s="13">
        <f t="shared" si="373"/>
        <v>1</v>
      </c>
      <c r="O3433" s="13" t="str">
        <f t="shared" si="374"/>
        <v>ЭТАЖ НЕ ОПРЕДЕЛЕН. ПРИНЯТ ПО ДОПУЩЕНИЮ 1</v>
      </c>
      <c r="P3433" s="13" t="str">
        <f t="shared" si="375"/>
        <v>ЭТАЖ НЕ ОПРЕДЕЛЕН. ПРИНЯТ ПО ДОПУЩЕНИЮ 1</v>
      </c>
      <c r="Q3433" s="13" t="str">
        <f t="shared" si="376"/>
        <v>ГОТОВ_ИЗМЕНЕН</v>
      </c>
      <c r="R3433" s="13">
        <f>IFERROR(VLOOKUP(P3433,Лист1!A$1:B$20,2,FALSE),0)</f>
        <v>788</v>
      </c>
      <c r="S3433" s="13">
        <f t="shared" si="377"/>
        <v>0</v>
      </c>
    </row>
    <row r="3434" spans="1:19" x14ac:dyDescent="0.25">
      <c r="A3434" s="24" t="s">
        <v>4567</v>
      </c>
      <c r="B3434" s="4" t="s">
        <v>1059</v>
      </c>
      <c r="C3434" s="25" t="s">
        <v>5</v>
      </c>
      <c r="G3434" s="25" t="s">
        <v>1347</v>
      </c>
      <c r="H3434" s="24" t="s">
        <v>1061</v>
      </c>
      <c r="I3434" s="3" t="str">
        <f>IFERROR(VLOOKUP(C3434,'Справочник соответствий'!A$2:D$2981,2,FALSE),IF(VALUE(C3434)=0,1,VLOOKUP(C3434,'Справочник соответствий'!A$2:D$2981,2,FALSE)))</f>
        <v>1</v>
      </c>
      <c r="J3434" s="3">
        <f>IFERROR(VLOOKUP(D3434,'Справочник соответствий'!A$2:D$2981,2,FALSE),IF(VALUE(D3434)=0,0,VLOOKUP(D3434,'Справочник соответствий'!A$2:D$2981,2,FALSE)))</f>
        <v>0</v>
      </c>
      <c r="K3434" s="3" t="str">
        <f t="shared" si="371"/>
        <v>1</v>
      </c>
      <c r="L3434" s="13" t="str">
        <f>IFERROR(VLOOKUP(C3434,'Справочник соответствий'!A$2:D$2981,3,FALSE),IF(VALUE(C3434)=0,"ЭТАЖ НЕ ОПРЕДЕЛЕН. ПРИНЯТ ПО ДОПУЩЕНИЮ 1",VLOOKUP(C3434,'Справочник соответствий'!A$2:D$2981,3,FALSE)))</f>
        <v>ЭТАЖ ЗАДАН ЧИСЛОМ</v>
      </c>
      <c r="M3434" s="13" t="b">
        <f t="shared" si="372"/>
        <v>0</v>
      </c>
      <c r="N3434" s="13">
        <f t="shared" si="373"/>
        <v>1</v>
      </c>
      <c r="O3434" s="13" t="str">
        <f t="shared" si="374"/>
        <v>ЭТАЖ ЗАДАН ЧИСЛОМ</v>
      </c>
      <c r="P3434" s="13" t="str">
        <f t="shared" si="375"/>
        <v>ЭТАЖ ЗАДАН ЧИСЛОМ</v>
      </c>
      <c r="Q3434" s="13" t="str">
        <f t="shared" si="376"/>
        <v>ГОТОВ_ИЗМЕНЕН</v>
      </c>
      <c r="R3434" s="13">
        <f>IFERROR(VLOOKUP(P3434,Лист1!A$1:B$20,2,FALSE),0)</f>
        <v>784</v>
      </c>
      <c r="S3434" s="13">
        <f t="shared" si="377"/>
        <v>0</v>
      </c>
    </row>
    <row r="3435" spans="1:19" x14ac:dyDescent="0.25">
      <c r="A3435" s="24" t="s">
        <v>4568</v>
      </c>
      <c r="B3435" s="4" t="s">
        <v>1031</v>
      </c>
      <c r="C3435" s="25" t="s">
        <v>4569</v>
      </c>
      <c r="D3435" s="25" t="s">
        <v>5</v>
      </c>
      <c r="G3435" s="25" t="s">
        <v>1321</v>
      </c>
      <c r="H3435" s="24" t="s">
        <v>1061</v>
      </c>
      <c r="I3435" s="3" t="e">
        <f>IFERROR(VLOOKUP(C3435,'Справочник соответствий'!A$2:D$2981,2,FALSE),IF(VALUE(C3435)=0,1,VLOOKUP(C3435,'Справочник соответствий'!A$2:D$2981,2,FALSE)))</f>
        <v>#VALUE!</v>
      </c>
      <c r="J3435" s="3" t="str">
        <f>IFERROR(VLOOKUP(D3435,'Справочник соответствий'!A$2:D$2981,2,FALSE),IF(VALUE(D3435)=0,0,VLOOKUP(D3435,'Справочник соответствий'!A$2:D$2981,2,FALSE)))</f>
        <v>1</v>
      </c>
      <c r="K3435" s="3" t="e">
        <f t="shared" si="371"/>
        <v>#VALUE!</v>
      </c>
      <c r="L3435" s="13" t="e">
        <f>IFERROR(VLOOKUP(C3435,'Справочник соответствий'!A$2:D$2981,3,FALSE),IF(VALUE(C3435)=0,"ЭТАЖ НЕ ОПРЕДЕЛЕН. ПРИНЯТ ПО ДОПУЩЕНИЮ 1",VLOOKUP(C3435,'Справочник соответствий'!A$2:D$2981,3,FALSE)))</f>
        <v>#VALUE!</v>
      </c>
      <c r="M3435" s="13" t="e">
        <f t="shared" si="372"/>
        <v>#VALUE!</v>
      </c>
      <c r="N3435" s="13" t="e">
        <f t="shared" si="373"/>
        <v>#VALUE!</v>
      </c>
      <c r="O3435" s="13" t="e">
        <f t="shared" si="374"/>
        <v>#VALUE!</v>
      </c>
      <c r="P3435" s="13" t="e">
        <f t="shared" si="375"/>
        <v>#VALUE!</v>
      </c>
      <c r="Q3435" s="13" t="str">
        <f t="shared" si="376"/>
        <v>НЕ ГОТОВ</v>
      </c>
      <c r="R3435" s="13">
        <f>IFERROR(VLOOKUP(P3435,Лист1!A$1:B$20,2,FALSE),0)</f>
        <v>0</v>
      </c>
      <c r="S3435" s="13">
        <f t="shared" si="377"/>
        <v>0</v>
      </c>
    </row>
    <row r="3436" spans="1:19" x14ac:dyDescent="0.25">
      <c r="A3436" s="24" t="s">
        <v>4570</v>
      </c>
      <c r="B3436" s="4" t="s">
        <v>1063</v>
      </c>
      <c r="C3436" s="25" t="s">
        <v>5</v>
      </c>
      <c r="G3436" s="25" t="s">
        <v>1321</v>
      </c>
      <c r="H3436" s="24" t="s">
        <v>1061</v>
      </c>
      <c r="I3436" s="3" t="str">
        <f>IFERROR(VLOOKUP(C3436,'Справочник соответствий'!A$2:D$2981,2,FALSE),IF(VALUE(C3436)=0,1,VLOOKUP(C3436,'Справочник соответствий'!A$2:D$2981,2,FALSE)))</f>
        <v>1</v>
      </c>
      <c r="J3436" s="3">
        <f>IFERROR(VLOOKUP(D3436,'Справочник соответствий'!A$2:D$2981,2,FALSE),IF(VALUE(D3436)=0,0,VLOOKUP(D3436,'Справочник соответствий'!A$2:D$2981,2,FALSE)))</f>
        <v>0</v>
      </c>
      <c r="K3436" s="3" t="str">
        <f t="shared" si="371"/>
        <v>1</v>
      </c>
      <c r="L3436" s="13" t="str">
        <f>IFERROR(VLOOKUP(C3436,'Справочник соответствий'!A$2:D$2981,3,FALSE),IF(VALUE(C3436)=0,"ЭТАЖ НЕ ОПРЕДЕЛЕН. ПРИНЯТ ПО ДОПУЩЕНИЮ 1",VLOOKUP(C3436,'Справочник соответствий'!A$2:D$2981,3,FALSE)))</f>
        <v>ЭТАЖ ЗАДАН ЧИСЛОМ</v>
      </c>
      <c r="M3436" s="13" t="b">
        <f t="shared" si="372"/>
        <v>0</v>
      </c>
      <c r="N3436" s="13">
        <f t="shared" si="373"/>
        <v>1</v>
      </c>
      <c r="O3436" s="13" t="str">
        <f t="shared" si="374"/>
        <v>ЭТАЖ ЗАДАН ЧИСЛОМ</v>
      </c>
      <c r="P3436" s="13" t="str">
        <f t="shared" si="375"/>
        <v>ЭТАЖ ЗАДАН ЧИСЛОМ</v>
      </c>
      <c r="Q3436" s="13" t="str">
        <f t="shared" si="376"/>
        <v>ГОТОВ_ИЗМЕНЕН</v>
      </c>
      <c r="R3436" s="13">
        <f>IFERROR(VLOOKUP(P3436,Лист1!A$1:B$20,2,FALSE),0)</f>
        <v>784</v>
      </c>
      <c r="S3436" s="13">
        <f t="shared" si="377"/>
        <v>0</v>
      </c>
    </row>
    <row r="3437" spans="1:19" x14ac:dyDescent="0.25">
      <c r="A3437" s="24" t="s">
        <v>4571</v>
      </c>
      <c r="B3437" s="4" t="s">
        <v>1059</v>
      </c>
      <c r="C3437" s="25" t="s">
        <v>5</v>
      </c>
      <c r="G3437" s="25" t="s">
        <v>1321</v>
      </c>
      <c r="H3437" s="24" t="s">
        <v>1061</v>
      </c>
      <c r="I3437" s="3" t="str">
        <f>IFERROR(VLOOKUP(C3437,'Справочник соответствий'!A$2:D$2981,2,FALSE),IF(VALUE(C3437)=0,1,VLOOKUP(C3437,'Справочник соответствий'!A$2:D$2981,2,FALSE)))</f>
        <v>1</v>
      </c>
      <c r="J3437" s="3">
        <f>IFERROR(VLOOKUP(D3437,'Справочник соответствий'!A$2:D$2981,2,FALSE),IF(VALUE(D3437)=0,0,VLOOKUP(D3437,'Справочник соответствий'!A$2:D$2981,2,FALSE)))</f>
        <v>0</v>
      </c>
      <c r="K3437" s="3" t="str">
        <f t="shared" si="371"/>
        <v>1</v>
      </c>
      <c r="L3437" s="13" t="str">
        <f>IFERROR(VLOOKUP(C3437,'Справочник соответствий'!A$2:D$2981,3,FALSE),IF(VALUE(C3437)=0,"ЭТАЖ НЕ ОПРЕДЕЛЕН. ПРИНЯТ ПО ДОПУЩЕНИЮ 1",VLOOKUP(C3437,'Справочник соответствий'!A$2:D$2981,3,FALSE)))</f>
        <v>ЭТАЖ ЗАДАН ЧИСЛОМ</v>
      </c>
      <c r="M3437" s="13" t="b">
        <f t="shared" si="372"/>
        <v>0</v>
      </c>
      <c r="N3437" s="13">
        <f t="shared" si="373"/>
        <v>1</v>
      </c>
      <c r="O3437" s="13" t="str">
        <f t="shared" si="374"/>
        <v>ЭТАЖ ЗАДАН ЧИСЛОМ</v>
      </c>
      <c r="P3437" s="13" t="str">
        <f t="shared" si="375"/>
        <v>ЭТАЖ ЗАДАН ЧИСЛОМ</v>
      </c>
      <c r="Q3437" s="13" t="str">
        <f t="shared" si="376"/>
        <v>ГОТОВ_ИЗМЕНЕН</v>
      </c>
      <c r="R3437" s="13">
        <f>IFERROR(VLOOKUP(P3437,Лист1!A$1:B$20,2,FALSE),0)</f>
        <v>784</v>
      </c>
      <c r="S3437" s="13">
        <f t="shared" si="377"/>
        <v>0</v>
      </c>
    </row>
    <row r="3438" spans="1:19" x14ac:dyDescent="0.25">
      <c r="A3438" s="24" t="s">
        <v>4572</v>
      </c>
      <c r="B3438" s="4" t="s">
        <v>1063</v>
      </c>
      <c r="C3438" s="25" t="s">
        <v>5</v>
      </c>
      <c r="G3438" s="25" t="s">
        <v>1321</v>
      </c>
      <c r="H3438" s="24" t="s">
        <v>1061</v>
      </c>
      <c r="I3438" s="3" t="str">
        <f>IFERROR(VLOOKUP(C3438,'Справочник соответствий'!A$2:D$2981,2,FALSE),IF(VALUE(C3438)=0,1,VLOOKUP(C3438,'Справочник соответствий'!A$2:D$2981,2,FALSE)))</f>
        <v>1</v>
      </c>
      <c r="J3438" s="3">
        <f>IFERROR(VLOOKUP(D3438,'Справочник соответствий'!A$2:D$2981,2,FALSE),IF(VALUE(D3438)=0,0,VLOOKUP(D3438,'Справочник соответствий'!A$2:D$2981,2,FALSE)))</f>
        <v>0</v>
      </c>
      <c r="K3438" s="3" t="str">
        <f t="shared" si="371"/>
        <v>1</v>
      </c>
      <c r="L3438" s="13" t="str">
        <f>IFERROR(VLOOKUP(C3438,'Справочник соответствий'!A$2:D$2981,3,FALSE),IF(VALUE(C3438)=0,"ЭТАЖ НЕ ОПРЕДЕЛЕН. ПРИНЯТ ПО ДОПУЩЕНИЮ 1",VLOOKUP(C3438,'Справочник соответствий'!A$2:D$2981,3,FALSE)))</f>
        <v>ЭТАЖ ЗАДАН ЧИСЛОМ</v>
      </c>
      <c r="M3438" s="13" t="b">
        <f t="shared" si="372"/>
        <v>0</v>
      </c>
      <c r="N3438" s="13">
        <f t="shared" si="373"/>
        <v>1</v>
      </c>
      <c r="O3438" s="13" t="str">
        <f t="shared" si="374"/>
        <v>ЭТАЖ ЗАДАН ЧИСЛОМ</v>
      </c>
      <c r="P3438" s="13" t="str">
        <f t="shared" si="375"/>
        <v>ЭТАЖ ЗАДАН ЧИСЛОМ</v>
      </c>
      <c r="Q3438" s="13" t="str">
        <f t="shared" si="376"/>
        <v>ГОТОВ_ИЗМЕНЕН</v>
      </c>
      <c r="R3438" s="13">
        <f>IFERROR(VLOOKUP(P3438,Лист1!A$1:B$20,2,FALSE),0)</f>
        <v>784</v>
      </c>
      <c r="S3438" s="13">
        <f t="shared" si="377"/>
        <v>0</v>
      </c>
    </row>
    <row r="3439" spans="1:19" x14ac:dyDescent="0.25">
      <c r="A3439" s="24" t="s">
        <v>4573</v>
      </c>
      <c r="B3439" s="4" t="s">
        <v>1059</v>
      </c>
      <c r="C3439" s="25" t="s">
        <v>7</v>
      </c>
      <c r="G3439" s="25" t="s">
        <v>1321</v>
      </c>
      <c r="H3439" s="24" t="s">
        <v>1061</v>
      </c>
      <c r="I3439" s="3" t="str">
        <f>IFERROR(VLOOKUP(C3439,'Справочник соответствий'!A$2:D$2981,2,FALSE),IF(VALUE(C3439)=0,1,VLOOKUP(C3439,'Справочник соответствий'!A$2:D$2981,2,FALSE)))</f>
        <v>2</v>
      </c>
      <c r="J3439" s="3">
        <f>IFERROR(VLOOKUP(D3439,'Справочник соответствий'!A$2:D$2981,2,FALSE),IF(VALUE(D3439)=0,0,VLOOKUP(D3439,'Справочник соответствий'!A$2:D$2981,2,FALSE)))</f>
        <v>0</v>
      </c>
      <c r="K3439" s="3" t="str">
        <f t="shared" si="371"/>
        <v>2</v>
      </c>
      <c r="L3439" s="13" t="str">
        <f>IFERROR(VLOOKUP(C3439,'Справочник соответствий'!A$2:D$2981,3,FALSE),IF(VALUE(C3439)=0,"ЭТАЖ НЕ ОПРЕДЕЛЕН. ПРИНЯТ ПО ДОПУЩЕНИЮ 1",VLOOKUP(C3439,'Справочник соответствий'!A$2:D$2981,3,FALSE)))</f>
        <v>ЭТАЖ ЗАДАН ЧИСЛОМ</v>
      </c>
      <c r="M3439" s="13" t="b">
        <f t="shared" si="372"/>
        <v>0</v>
      </c>
      <c r="N3439" s="13">
        <f t="shared" si="373"/>
        <v>2</v>
      </c>
      <c r="O3439" s="13" t="str">
        <f t="shared" si="374"/>
        <v>ЭТАЖ ЗАДАН ЧИСЛОМ</v>
      </c>
      <c r="P3439" s="13" t="str">
        <f t="shared" si="375"/>
        <v>ЭТАЖ ЗАДАН ЧИСЛОМ</v>
      </c>
      <c r="Q3439" s="13" t="str">
        <f t="shared" si="376"/>
        <v>ГОТОВ_ИЗМЕНЕН</v>
      </c>
      <c r="R3439" s="13">
        <f>IFERROR(VLOOKUP(P3439,Лист1!A$1:B$20,2,FALSE),0)</f>
        <v>784</v>
      </c>
      <c r="S3439" s="13">
        <f t="shared" si="377"/>
        <v>0</v>
      </c>
    </row>
    <row r="3440" spans="1:19" x14ac:dyDescent="0.25">
      <c r="A3440" s="24" t="s">
        <v>4574</v>
      </c>
      <c r="B3440" s="4" t="s">
        <v>1059</v>
      </c>
      <c r="C3440" s="25" t="s">
        <v>5</v>
      </c>
      <c r="G3440" s="25" t="s">
        <v>2763</v>
      </c>
      <c r="H3440" s="24" t="s">
        <v>1061</v>
      </c>
      <c r="I3440" s="3" t="str">
        <f>IFERROR(VLOOKUP(C3440,'Справочник соответствий'!A$2:D$2981,2,FALSE),IF(VALUE(C3440)=0,1,VLOOKUP(C3440,'Справочник соответствий'!A$2:D$2981,2,FALSE)))</f>
        <v>1</v>
      </c>
      <c r="J3440" s="3">
        <f>IFERROR(VLOOKUP(D3440,'Справочник соответствий'!A$2:D$2981,2,FALSE),IF(VALUE(D3440)=0,0,VLOOKUP(D3440,'Справочник соответствий'!A$2:D$2981,2,FALSE)))</f>
        <v>0</v>
      </c>
      <c r="K3440" s="3" t="str">
        <f t="shared" si="371"/>
        <v>1</v>
      </c>
      <c r="L3440" s="13" t="str">
        <f>IFERROR(VLOOKUP(C3440,'Справочник соответствий'!A$2:D$2981,3,FALSE),IF(VALUE(C3440)=0,"ЭТАЖ НЕ ОПРЕДЕЛЕН. ПРИНЯТ ПО ДОПУЩЕНИЮ 1",VLOOKUP(C3440,'Справочник соответствий'!A$2:D$2981,3,FALSE)))</f>
        <v>ЭТАЖ ЗАДАН ЧИСЛОМ</v>
      </c>
      <c r="M3440" s="13" t="b">
        <f t="shared" si="372"/>
        <v>0</v>
      </c>
      <c r="N3440" s="13">
        <f t="shared" si="373"/>
        <v>1</v>
      </c>
      <c r="O3440" s="13" t="str">
        <f t="shared" si="374"/>
        <v>ЭТАЖ ЗАДАН ЧИСЛОМ</v>
      </c>
      <c r="P3440" s="13" t="str">
        <f t="shared" si="375"/>
        <v>ЭТАЖ ЗАДАН ЧИСЛОМ</v>
      </c>
      <c r="Q3440" s="13" t="str">
        <f t="shared" si="376"/>
        <v>ГОТОВ_ИЗМЕНЕН</v>
      </c>
      <c r="R3440" s="13">
        <f>IFERROR(VLOOKUP(P3440,Лист1!A$1:B$20,2,FALSE),0)</f>
        <v>784</v>
      </c>
      <c r="S3440" s="13">
        <f t="shared" si="377"/>
        <v>0</v>
      </c>
    </row>
    <row r="3441" spans="1:19" x14ac:dyDescent="0.25">
      <c r="A3441" s="24" t="s">
        <v>4575</v>
      </c>
      <c r="B3441" s="4" t="s">
        <v>1059</v>
      </c>
      <c r="C3441" s="25" t="s">
        <v>5</v>
      </c>
      <c r="G3441" s="25" t="s">
        <v>2763</v>
      </c>
      <c r="H3441" s="24" t="s">
        <v>1061</v>
      </c>
      <c r="I3441" s="3" t="str">
        <f>IFERROR(VLOOKUP(C3441,'Справочник соответствий'!A$2:D$2981,2,FALSE),IF(VALUE(C3441)=0,1,VLOOKUP(C3441,'Справочник соответствий'!A$2:D$2981,2,FALSE)))</f>
        <v>1</v>
      </c>
      <c r="J3441" s="3">
        <f>IFERROR(VLOOKUP(D3441,'Справочник соответствий'!A$2:D$2981,2,FALSE),IF(VALUE(D3441)=0,0,VLOOKUP(D3441,'Справочник соответствий'!A$2:D$2981,2,FALSE)))</f>
        <v>0</v>
      </c>
      <c r="K3441" s="3" t="str">
        <f t="shared" si="371"/>
        <v>1</v>
      </c>
      <c r="L3441" s="13" t="str">
        <f>IFERROR(VLOOKUP(C3441,'Справочник соответствий'!A$2:D$2981,3,FALSE),IF(VALUE(C3441)=0,"ЭТАЖ НЕ ОПРЕДЕЛЕН. ПРИНЯТ ПО ДОПУЩЕНИЮ 1",VLOOKUP(C3441,'Справочник соответствий'!A$2:D$2981,3,FALSE)))</f>
        <v>ЭТАЖ ЗАДАН ЧИСЛОМ</v>
      </c>
      <c r="M3441" s="13" t="b">
        <f t="shared" si="372"/>
        <v>0</v>
      </c>
      <c r="N3441" s="13">
        <f t="shared" si="373"/>
        <v>1</v>
      </c>
      <c r="O3441" s="13" t="str">
        <f t="shared" si="374"/>
        <v>ЭТАЖ ЗАДАН ЧИСЛОМ</v>
      </c>
      <c r="P3441" s="13" t="str">
        <f t="shared" si="375"/>
        <v>ЭТАЖ ЗАДАН ЧИСЛОМ</v>
      </c>
      <c r="Q3441" s="13" t="str">
        <f t="shared" si="376"/>
        <v>ГОТОВ_ИЗМЕНЕН</v>
      </c>
      <c r="R3441" s="13">
        <f>IFERROR(VLOOKUP(P3441,Лист1!A$1:B$20,2,FALSE),0)</f>
        <v>784</v>
      </c>
      <c r="S3441" s="13">
        <f t="shared" si="377"/>
        <v>0</v>
      </c>
    </row>
    <row r="3442" spans="1:19" x14ac:dyDescent="0.25">
      <c r="A3442" s="24" t="s">
        <v>4576</v>
      </c>
      <c r="B3442" s="4" t="s">
        <v>1063</v>
      </c>
      <c r="C3442" s="25" t="s">
        <v>5</v>
      </c>
      <c r="E3442" s="3">
        <v>1</v>
      </c>
      <c r="F3442" s="24" t="s">
        <v>1045</v>
      </c>
      <c r="G3442" s="25" t="s">
        <v>1089</v>
      </c>
      <c r="H3442" s="24" t="s">
        <v>1061</v>
      </c>
      <c r="I3442" s="3" t="str">
        <f>IFERROR(VLOOKUP(C3442,'Справочник соответствий'!A$2:D$2981,2,FALSE),IF(VALUE(C3442)=0,1,VLOOKUP(C3442,'Справочник соответствий'!A$2:D$2981,2,FALSE)))</f>
        <v>1</v>
      </c>
      <c r="J3442" s="3">
        <f>IFERROR(VLOOKUP(D3442,'Справочник соответствий'!A$2:D$2981,2,FALSE),IF(VALUE(D3442)=0,0,VLOOKUP(D3442,'Справочник соответствий'!A$2:D$2981,2,FALSE)))</f>
        <v>0</v>
      </c>
      <c r="K3442" s="3" t="str">
        <f t="shared" si="371"/>
        <v>1</v>
      </c>
      <c r="L3442" s="13" t="str">
        <f>IFERROR(VLOOKUP(C3442,'Справочник соответствий'!A$2:D$2981,3,FALSE),IF(VALUE(C3442)=0,"ЭТАЖ НЕ ОПРЕДЕЛЕН. ПРИНЯТ ПО ДОПУЩЕНИЮ 1",VLOOKUP(C3442,'Справочник соответствий'!A$2:D$2981,3,FALSE)))</f>
        <v>ЭТАЖ ЗАДАН ЧИСЛОМ</v>
      </c>
      <c r="M3442" s="13" t="b">
        <f t="shared" si="372"/>
        <v>0</v>
      </c>
      <c r="N3442" s="13">
        <f t="shared" si="373"/>
        <v>1</v>
      </c>
      <c r="O3442" s="13" t="str">
        <f t="shared" si="374"/>
        <v>ЭТАЖ ЗАДАН ЧИСЛОМ</v>
      </c>
      <c r="P3442" s="13" t="str">
        <f t="shared" si="375"/>
        <v>ЭТАЖ ЗАДАН ЧИСЛОМ</v>
      </c>
      <c r="Q3442" s="13" t="str">
        <f t="shared" si="376"/>
        <v>ГОТОВ</v>
      </c>
      <c r="R3442" s="13">
        <f>IFERROR(VLOOKUP(P3442,Лист1!A$1:B$20,2,FALSE),0)</f>
        <v>784</v>
      </c>
      <c r="S3442" s="13">
        <f t="shared" si="377"/>
        <v>1</v>
      </c>
    </row>
    <row r="3443" spans="1:19" x14ac:dyDescent="0.25">
      <c r="A3443" s="24" t="s">
        <v>4577</v>
      </c>
      <c r="B3443" s="4" t="s">
        <v>1059</v>
      </c>
      <c r="C3443" s="25" t="s">
        <v>5</v>
      </c>
      <c r="E3443" s="3">
        <v>1</v>
      </c>
      <c r="F3443" s="24" t="s">
        <v>1045</v>
      </c>
      <c r="G3443" s="25" t="s">
        <v>1205</v>
      </c>
      <c r="H3443" s="24" t="s">
        <v>1061</v>
      </c>
      <c r="I3443" s="3" t="str">
        <f>IFERROR(VLOOKUP(C3443,'Справочник соответствий'!A$2:D$2981,2,FALSE),IF(VALUE(C3443)=0,1,VLOOKUP(C3443,'Справочник соответствий'!A$2:D$2981,2,FALSE)))</f>
        <v>1</v>
      </c>
      <c r="J3443" s="3">
        <f>IFERROR(VLOOKUP(D3443,'Справочник соответствий'!A$2:D$2981,2,FALSE),IF(VALUE(D3443)=0,0,VLOOKUP(D3443,'Справочник соответствий'!A$2:D$2981,2,FALSE)))</f>
        <v>0</v>
      </c>
      <c r="K3443" s="3" t="str">
        <f t="shared" si="371"/>
        <v>1</v>
      </c>
      <c r="L3443" s="13" t="str">
        <f>IFERROR(VLOOKUP(C3443,'Справочник соответствий'!A$2:D$2981,3,FALSE),IF(VALUE(C3443)=0,"ЭТАЖ НЕ ОПРЕДЕЛЕН. ПРИНЯТ ПО ДОПУЩЕНИЮ 1",VLOOKUP(C3443,'Справочник соответствий'!A$2:D$2981,3,FALSE)))</f>
        <v>ЭТАЖ ЗАДАН ЧИСЛОМ</v>
      </c>
      <c r="M3443" s="13" t="b">
        <f t="shared" si="372"/>
        <v>0</v>
      </c>
      <c r="N3443" s="13">
        <f t="shared" si="373"/>
        <v>1</v>
      </c>
      <c r="O3443" s="13" t="str">
        <f t="shared" si="374"/>
        <v>ЭТАЖ ЗАДАН ЧИСЛОМ</v>
      </c>
      <c r="P3443" s="13" t="str">
        <f t="shared" si="375"/>
        <v>ЭТАЖ ЗАДАН ЧИСЛОМ</v>
      </c>
      <c r="Q3443" s="13" t="str">
        <f t="shared" si="376"/>
        <v>ГОТОВ</v>
      </c>
      <c r="R3443" s="13">
        <f>IFERROR(VLOOKUP(P3443,Лист1!A$1:B$20,2,FALSE),0)</f>
        <v>784</v>
      </c>
      <c r="S3443" s="13">
        <f t="shared" si="377"/>
        <v>1</v>
      </c>
    </row>
    <row r="3444" spans="1:19" x14ac:dyDescent="0.25">
      <c r="A3444" s="24" t="s">
        <v>4578</v>
      </c>
      <c r="B3444" s="4" t="s">
        <v>1063</v>
      </c>
      <c r="C3444" s="25" t="s">
        <v>7</v>
      </c>
      <c r="D3444" s="25" t="s">
        <v>5</v>
      </c>
      <c r="E3444" s="3">
        <v>2</v>
      </c>
      <c r="F3444" s="24" t="s">
        <v>1304</v>
      </c>
      <c r="G3444" s="25" t="s">
        <v>1089</v>
      </c>
      <c r="H3444" s="24" t="s">
        <v>1061</v>
      </c>
      <c r="I3444" s="3" t="str">
        <f>IFERROR(VLOOKUP(C3444,'Справочник соответствий'!A$2:D$2981,2,FALSE),IF(VALUE(C3444)=0,1,VLOOKUP(C3444,'Справочник соответствий'!A$2:D$2981,2,FALSE)))</f>
        <v>2</v>
      </c>
      <c r="J3444" s="3" t="str">
        <f>IFERROR(VLOOKUP(D3444,'Справочник соответствий'!A$2:D$2981,2,FALSE),IF(VALUE(D3444)=0,0,VLOOKUP(D3444,'Справочник соответствий'!A$2:D$2981,2,FALSE)))</f>
        <v>1</v>
      </c>
      <c r="K3444" s="3" t="str">
        <f t="shared" si="371"/>
        <v>2</v>
      </c>
      <c r="L3444" s="13" t="str">
        <f>IFERROR(VLOOKUP(C3444,'Справочник соответствий'!A$2:D$2981,3,FALSE),IF(VALUE(C3444)=0,"ЭТАЖ НЕ ОПРЕДЕЛЕН. ПРИНЯТ ПО ДОПУЩЕНИЮ 1",VLOOKUP(C3444,'Справочник соответствий'!A$2:D$2981,3,FALSE)))</f>
        <v>ЭТАЖ ЗАДАН ЧИСЛОМ</v>
      </c>
      <c r="M3444" s="13" t="b">
        <f t="shared" si="372"/>
        <v>0</v>
      </c>
      <c r="N3444" s="13">
        <f t="shared" si="373"/>
        <v>2</v>
      </c>
      <c r="O3444" s="13" t="str">
        <f t="shared" si="374"/>
        <v>ЭТАЖ ЗАДАН ЧИСЛОМ</v>
      </c>
      <c r="P3444" s="13" t="str">
        <f t="shared" si="375"/>
        <v>ЭТАЖ ЗАДАН ЧИСЛОМ</v>
      </c>
      <c r="Q3444" s="13" t="str">
        <f t="shared" si="376"/>
        <v>ГОТОВ</v>
      </c>
      <c r="R3444" s="13">
        <f>IFERROR(VLOOKUP(P3444,Лист1!A$1:B$20,2,FALSE),0)</f>
        <v>784</v>
      </c>
      <c r="S3444" s="13">
        <f t="shared" si="377"/>
        <v>2</v>
      </c>
    </row>
    <row r="3445" spans="1:19" x14ac:dyDescent="0.25">
      <c r="A3445" s="24" t="s">
        <v>4579</v>
      </c>
      <c r="B3445" s="4" t="s">
        <v>1063</v>
      </c>
      <c r="C3445" s="25" t="s">
        <v>5</v>
      </c>
      <c r="D3445" s="25" t="s">
        <v>24</v>
      </c>
      <c r="E3445" s="3">
        <v>1</v>
      </c>
      <c r="F3445" s="24" t="s">
        <v>1304</v>
      </c>
      <c r="G3445" s="25" t="s">
        <v>1174</v>
      </c>
      <c r="H3445" s="24" t="s">
        <v>1061</v>
      </c>
      <c r="I3445" s="3" t="str">
        <f>IFERROR(VLOOKUP(C3445,'Справочник соответствий'!A$2:D$2981,2,FALSE),IF(VALUE(C3445)=0,1,VLOOKUP(C3445,'Справочник соответствий'!A$2:D$2981,2,FALSE)))</f>
        <v>1</v>
      </c>
      <c r="J3445" s="3" t="str">
        <f>IFERROR(VLOOKUP(D3445,'Справочник соответствий'!A$2:D$2981,2,FALSE),IF(VALUE(D3445)=0,0,VLOOKUP(D3445,'Справочник соответствий'!A$2:D$2981,2,FALSE)))</f>
        <v>1</v>
      </c>
      <c r="K3445" s="3" t="str">
        <f t="shared" si="371"/>
        <v>1</v>
      </c>
      <c r="L3445" s="13" t="str">
        <f>IFERROR(VLOOKUP(C3445,'Справочник соответствий'!A$2:D$2981,3,FALSE),IF(VALUE(C3445)=0,"ЭТАЖ НЕ ОПРЕДЕЛЕН. ПРИНЯТ ПО ДОПУЩЕНИЮ 1",VLOOKUP(C3445,'Справочник соответствий'!A$2:D$2981,3,FALSE)))</f>
        <v>ЭТАЖ ЗАДАН ЧИСЛОМ</v>
      </c>
      <c r="M3445" s="13" t="b">
        <f t="shared" si="372"/>
        <v>0</v>
      </c>
      <c r="N3445" s="13">
        <f t="shared" si="373"/>
        <v>1</v>
      </c>
      <c r="O3445" s="13" t="str">
        <f t="shared" si="374"/>
        <v>ЭТАЖ ЗАДАН ЧИСЛОМ</v>
      </c>
      <c r="P3445" s="13" t="str">
        <f t="shared" si="375"/>
        <v>ЭТАЖ ЗАДАН ЧИСЛОМ</v>
      </c>
      <c r="Q3445" s="13" t="str">
        <f t="shared" si="376"/>
        <v>ГОТОВ</v>
      </c>
      <c r="R3445" s="13">
        <f>IFERROR(VLOOKUP(P3445,Лист1!A$1:B$20,2,FALSE),0)</f>
        <v>784</v>
      </c>
      <c r="S3445" s="13">
        <f t="shared" si="377"/>
        <v>1</v>
      </c>
    </row>
    <row r="3446" spans="1:19" x14ac:dyDescent="0.25">
      <c r="A3446" s="24" t="s">
        <v>4580</v>
      </c>
      <c r="B3446" s="4" t="s">
        <v>1063</v>
      </c>
      <c r="C3446" s="25" t="s">
        <v>5</v>
      </c>
      <c r="D3446" s="25" t="s">
        <v>24</v>
      </c>
      <c r="E3446" s="3">
        <v>1</v>
      </c>
      <c r="F3446" s="24" t="s">
        <v>1304</v>
      </c>
      <c r="G3446" s="25" t="s">
        <v>1193</v>
      </c>
      <c r="H3446" s="24" t="s">
        <v>1061</v>
      </c>
      <c r="I3446" s="3" t="str">
        <f>IFERROR(VLOOKUP(C3446,'Справочник соответствий'!A$2:D$2981,2,FALSE),IF(VALUE(C3446)=0,1,VLOOKUP(C3446,'Справочник соответствий'!A$2:D$2981,2,FALSE)))</f>
        <v>1</v>
      </c>
      <c r="J3446" s="3" t="str">
        <f>IFERROR(VLOOKUP(D3446,'Справочник соответствий'!A$2:D$2981,2,FALSE),IF(VALUE(D3446)=0,0,VLOOKUP(D3446,'Справочник соответствий'!A$2:D$2981,2,FALSE)))</f>
        <v>1</v>
      </c>
      <c r="K3446" s="3" t="str">
        <f t="shared" si="371"/>
        <v>1</v>
      </c>
      <c r="L3446" s="13" t="str">
        <f>IFERROR(VLOOKUP(C3446,'Справочник соответствий'!A$2:D$2981,3,FALSE),IF(VALUE(C3446)=0,"ЭТАЖ НЕ ОПРЕДЕЛЕН. ПРИНЯТ ПО ДОПУЩЕНИЮ 1",VLOOKUP(C3446,'Справочник соответствий'!A$2:D$2981,3,FALSE)))</f>
        <v>ЭТАЖ ЗАДАН ЧИСЛОМ</v>
      </c>
      <c r="M3446" s="13" t="b">
        <f t="shared" si="372"/>
        <v>0</v>
      </c>
      <c r="N3446" s="13">
        <f t="shared" si="373"/>
        <v>1</v>
      </c>
      <c r="O3446" s="13" t="str">
        <f t="shared" si="374"/>
        <v>ЭТАЖ ЗАДАН ЧИСЛОМ</v>
      </c>
      <c r="P3446" s="13" t="str">
        <f t="shared" si="375"/>
        <v>ЭТАЖ ЗАДАН ЧИСЛОМ</v>
      </c>
      <c r="Q3446" s="13" t="str">
        <f t="shared" si="376"/>
        <v>ГОТОВ</v>
      </c>
      <c r="R3446" s="13">
        <f>IFERROR(VLOOKUP(P3446,Лист1!A$1:B$20,2,FALSE),0)</f>
        <v>784</v>
      </c>
      <c r="S3446" s="13">
        <f t="shared" si="377"/>
        <v>1</v>
      </c>
    </row>
    <row r="3447" spans="1:19" x14ac:dyDescent="0.25">
      <c r="A3447" s="24" t="s">
        <v>4581</v>
      </c>
      <c r="B3447" s="4" t="s">
        <v>1059</v>
      </c>
      <c r="C3447" s="25" t="s">
        <v>5</v>
      </c>
      <c r="G3447" s="25" t="s">
        <v>1114</v>
      </c>
      <c r="H3447" s="24" t="s">
        <v>1061</v>
      </c>
      <c r="I3447" s="3" t="str">
        <f>IFERROR(VLOOKUP(C3447,'Справочник соответствий'!A$2:D$2981,2,FALSE),IF(VALUE(C3447)=0,1,VLOOKUP(C3447,'Справочник соответствий'!A$2:D$2981,2,FALSE)))</f>
        <v>1</v>
      </c>
      <c r="J3447" s="3">
        <f>IFERROR(VLOOKUP(D3447,'Справочник соответствий'!A$2:D$2981,2,FALSE),IF(VALUE(D3447)=0,0,VLOOKUP(D3447,'Справочник соответствий'!A$2:D$2981,2,FALSE)))</f>
        <v>0</v>
      </c>
      <c r="K3447" s="3" t="str">
        <f t="shared" si="371"/>
        <v>1</v>
      </c>
      <c r="L3447" s="13" t="str">
        <f>IFERROR(VLOOKUP(C3447,'Справочник соответствий'!A$2:D$2981,3,FALSE),IF(VALUE(C3447)=0,"ЭТАЖ НЕ ОПРЕДЕЛЕН. ПРИНЯТ ПО ДОПУЩЕНИЮ 1",VLOOKUP(C3447,'Справочник соответствий'!A$2:D$2981,3,FALSE)))</f>
        <v>ЭТАЖ ЗАДАН ЧИСЛОМ</v>
      </c>
      <c r="M3447" s="13" t="b">
        <f t="shared" si="372"/>
        <v>0</v>
      </c>
      <c r="N3447" s="13">
        <f t="shared" si="373"/>
        <v>1</v>
      </c>
      <c r="O3447" s="13" t="str">
        <f t="shared" si="374"/>
        <v>ЭТАЖ ЗАДАН ЧИСЛОМ</v>
      </c>
      <c r="P3447" s="13" t="str">
        <f t="shared" si="375"/>
        <v>ЭТАЖ ЗАДАН ЧИСЛОМ</v>
      </c>
      <c r="Q3447" s="13" t="str">
        <f t="shared" si="376"/>
        <v>ГОТОВ_ИЗМЕНЕН</v>
      </c>
      <c r="R3447" s="13">
        <f>IFERROR(VLOOKUP(P3447,Лист1!A$1:B$20,2,FALSE),0)</f>
        <v>784</v>
      </c>
      <c r="S3447" s="13">
        <f t="shared" si="377"/>
        <v>0</v>
      </c>
    </row>
    <row r="3448" spans="1:19" x14ac:dyDescent="0.25">
      <c r="A3448" s="24" t="s">
        <v>4582</v>
      </c>
      <c r="B3448" s="4" t="s">
        <v>1059</v>
      </c>
      <c r="C3448" s="25" t="s">
        <v>5</v>
      </c>
      <c r="G3448" s="25" t="s">
        <v>1069</v>
      </c>
      <c r="H3448" s="24" t="s">
        <v>1061</v>
      </c>
      <c r="I3448" s="3" t="str">
        <f>IFERROR(VLOOKUP(C3448,'Справочник соответствий'!A$2:D$2981,2,FALSE),IF(VALUE(C3448)=0,1,VLOOKUP(C3448,'Справочник соответствий'!A$2:D$2981,2,FALSE)))</f>
        <v>1</v>
      </c>
      <c r="J3448" s="3">
        <f>IFERROR(VLOOKUP(D3448,'Справочник соответствий'!A$2:D$2981,2,FALSE),IF(VALUE(D3448)=0,0,VLOOKUP(D3448,'Справочник соответствий'!A$2:D$2981,2,FALSE)))</f>
        <v>0</v>
      </c>
      <c r="K3448" s="3" t="str">
        <f t="shared" si="371"/>
        <v>1</v>
      </c>
      <c r="L3448" s="13" t="str">
        <f>IFERROR(VLOOKUP(C3448,'Справочник соответствий'!A$2:D$2981,3,FALSE),IF(VALUE(C3448)=0,"ЭТАЖ НЕ ОПРЕДЕЛЕН. ПРИНЯТ ПО ДОПУЩЕНИЮ 1",VLOOKUP(C3448,'Справочник соответствий'!A$2:D$2981,3,FALSE)))</f>
        <v>ЭТАЖ ЗАДАН ЧИСЛОМ</v>
      </c>
      <c r="M3448" s="13" t="b">
        <f t="shared" si="372"/>
        <v>0</v>
      </c>
      <c r="N3448" s="13">
        <f t="shared" si="373"/>
        <v>1</v>
      </c>
      <c r="O3448" s="13" t="str">
        <f t="shared" si="374"/>
        <v>ЭТАЖ ЗАДАН ЧИСЛОМ</v>
      </c>
      <c r="P3448" s="13" t="str">
        <f t="shared" si="375"/>
        <v>ЭТАЖ ЗАДАН ЧИСЛОМ</v>
      </c>
      <c r="Q3448" s="13" t="str">
        <f t="shared" si="376"/>
        <v>ГОТОВ_ИЗМЕНЕН</v>
      </c>
      <c r="R3448" s="13">
        <f>IFERROR(VLOOKUP(P3448,Лист1!A$1:B$20,2,FALSE),0)</f>
        <v>784</v>
      </c>
      <c r="S3448" s="13">
        <f t="shared" si="377"/>
        <v>0</v>
      </c>
    </row>
    <row r="3449" spans="1:19" x14ac:dyDescent="0.25">
      <c r="A3449" s="24" t="s">
        <v>4583</v>
      </c>
      <c r="B3449" s="4" t="s">
        <v>1059</v>
      </c>
      <c r="C3449" s="25" t="s">
        <v>5</v>
      </c>
      <c r="G3449" s="25" t="s">
        <v>1069</v>
      </c>
      <c r="H3449" s="24" t="s">
        <v>1061</v>
      </c>
      <c r="I3449" s="3" t="str">
        <f>IFERROR(VLOOKUP(C3449,'Справочник соответствий'!A$2:D$2981,2,FALSE),IF(VALUE(C3449)=0,1,VLOOKUP(C3449,'Справочник соответствий'!A$2:D$2981,2,FALSE)))</f>
        <v>1</v>
      </c>
      <c r="J3449" s="3">
        <f>IFERROR(VLOOKUP(D3449,'Справочник соответствий'!A$2:D$2981,2,FALSE),IF(VALUE(D3449)=0,0,VLOOKUP(D3449,'Справочник соответствий'!A$2:D$2981,2,FALSE)))</f>
        <v>0</v>
      </c>
      <c r="K3449" s="3" t="str">
        <f t="shared" si="371"/>
        <v>1</v>
      </c>
      <c r="L3449" s="13" t="str">
        <f>IFERROR(VLOOKUP(C3449,'Справочник соответствий'!A$2:D$2981,3,FALSE),IF(VALUE(C3449)=0,"ЭТАЖ НЕ ОПРЕДЕЛЕН. ПРИНЯТ ПО ДОПУЩЕНИЮ 1",VLOOKUP(C3449,'Справочник соответствий'!A$2:D$2981,3,FALSE)))</f>
        <v>ЭТАЖ ЗАДАН ЧИСЛОМ</v>
      </c>
      <c r="M3449" s="13" t="b">
        <f t="shared" si="372"/>
        <v>0</v>
      </c>
      <c r="N3449" s="13">
        <f t="shared" si="373"/>
        <v>1</v>
      </c>
      <c r="O3449" s="13" t="str">
        <f t="shared" si="374"/>
        <v>ЭТАЖ ЗАДАН ЧИСЛОМ</v>
      </c>
      <c r="P3449" s="13" t="str">
        <f t="shared" si="375"/>
        <v>ЭТАЖ ЗАДАН ЧИСЛОМ</v>
      </c>
      <c r="Q3449" s="13" t="str">
        <f t="shared" si="376"/>
        <v>ГОТОВ_ИЗМЕНЕН</v>
      </c>
      <c r="R3449" s="13">
        <f>IFERROR(VLOOKUP(P3449,Лист1!A$1:B$20,2,FALSE),0)</f>
        <v>784</v>
      </c>
      <c r="S3449" s="13">
        <f t="shared" si="377"/>
        <v>0</v>
      </c>
    </row>
    <row r="3450" spans="1:19" x14ac:dyDescent="0.25">
      <c r="A3450" s="24" t="s">
        <v>4584</v>
      </c>
      <c r="B3450" s="4" t="s">
        <v>1059</v>
      </c>
      <c r="C3450" s="25" t="s">
        <v>7</v>
      </c>
      <c r="G3450" s="25" t="s">
        <v>1114</v>
      </c>
      <c r="H3450" s="24" t="s">
        <v>1061</v>
      </c>
      <c r="I3450" s="3" t="str">
        <f>IFERROR(VLOOKUP(C3450,'Справочник соответствий'!A$2:D$2981,2,FALSE),IF(VALUE(C3450)=0,1,VLOOKUP(C3450,'Справочник соответствий'!A$2:D$2981,2,FALSE)))</f>
        <v>2</v>
      </c>
      <c r="J3450" s="3">
        <f>IFERROR(VLOOKUP(D3450,'Справочник соответствий'!A$2:D$2981,2,FALSE),IF(VALUE(D3450)=0,0,VLOOKUP(D3450,'Справочник соответствий'!A$2:D$2981,2,FALSE)))</f>
        <v>0</v>
      </c>
      <c r="K3450" s="3" t="str">
        <f t="shared" si="371"/>
        <v>2</v>
      </c>
      <c r="L3450" s="13" t="str">
        <f>IFERROR(VLOOKUP(C3450,'Справочник соответствий'!A$2:D$2981,3,FALSE),IF(VALUE(C3450)=0,"ЭТАЖ НЕ ОПРЕДЕЛЕН. ПРИНЯТ ПО ДОПУЩЕНИЮ 1",VLOOKUP(C3450,'Справочник соответствий'!A$2:D$2981,3,FALSE)))</f>
        <v>ЭТАЖ ЗАДАН ЧИСЛОМ</v>
      </c>
      <c r="M3450" s="13" t="b">
        <f t="shared" si="372"/>
        <v>0</v>
      </c>
      <c r="N3450" s="13">
        <f t="shared" si="373"/>
        <v>2</v>
      </c>
      <c r="O3450" s="13" t="str">
        <f t="shared" si="374"/>
        <v>ЭТАЖ ЗАДАН ЧИСЛОМ</v>
      </c>
      <c r="P3450" s="13" t="str">
        <f t="shared" si="375"/>
        <v>ЭТАЖ ЗАДАН ЧИСЛОМ</v>
      </c>
      <c r="Q3450" s="13" t="str">
        <f t="shared" si="376"/>
        <v>ГОТОВ_ИЗМЕНЕН</v>
      </c>
      <c r="R3450" s="13">
        <f>IFERROR(VLOOKUP(P3450,Лист1!A$1:B$20,2,FALSE),0)</f>
        <v>784</v>
      </c>
      <c r="S3450" s="13">
        <f t="shared" si="377"/>
        <v>0</v>
      </c>
    </row>
    <row r="3451" spans="1:19" x14ac:dyDescent="0.25">
      <c r="A3451" s="24" t="s">
        <v>4585</v>
      </c>
      <c r="B3451" s="4" t="s">
        <v>1059</v>
      </c>
      <c r="C3451" s="25" t="s">
        <v>5</v>
      </c>
      <c r="G3451" s="25" t="s">
        <v>1069</v>
      </c>
      <c r="H3451" s="24" t="s">
        <v>1061</v>
      </c>
      <c r="I3451" s="3" t="str">
        <f>IFERROR(VLOOKUP(C3451,'Справочник соответствий'!A$2:D$2981,2,FALSE),IF(VALUE(C3451)=0,1,VLOOKUP(C3451,'Справочник соответствий'!A$2:D$2981,2,FALSE)))</f>
        <v>1</v>
      </c>
      <c r="J3451" s="3">
        <f>IFERROR(VLOOKUP(D3451,'Справочник соответствий'!A$2:D$2981,2,FALSE),IF(VALUE(D3451)=0,0,VLOOKUP(D3451,'Справочник соответствий'!A$2:D$2981,2,FALSE)))</f>
        <v>0</v>
      </c>
      <c r="K3451" s="3" t="str">
        <f t="shared" si="371"/>
        <v>1</v>
      </c>
      <c r="L3451" s="13" t="str">
        <f>IFERROR(VLOOKUP(C3451,'Справочник соответствий'!A$2:D$2981,3,FALSE),IF(VALUE(C3451)=0,"ЭТАЖ НЕ ОПРЕДЕЛЕН. ПРИНЯТ ПО ДОПУЩЕНИЮ 1",VLOOKUP(C3451,'Справочник соответствий'!A$2:D$2981,3,FALSE)))</f>
        <v>ЭТАЖ ЗАДАН ЧИСЛОМ</v>
      </c>
      <c r="M3451" s="13" t="b">
        <f t="shared" si="372"/>
        <v>0</v>
      </c>
      <c r="N3451" s="13">
        <f t="shared" si="373"/>
        <v>1</v>
      </c>
      <c r="O3451" s="13" t="str">
        <f t="shared" si="374"/>
        <v>ЭТАЖ ЗАДАН ЧИСЛОМ</v>
      </c>
      <c r="P3451" s="13" t="str">
        <f t="shared" si="375"/>
        <v>ЭТАЖ ЗАДАН ЧИСЛОМ</v>
      </c>
      <c r="Q3451" s="13" t="str">
        <f t="shared" si="376"/>
        <v>ГОТОВ_ИЗМЕНЕН</v>
      </c>
      <c r="R3451" s="13">
        <f>IFERROR(VLOOKUP(P3451,Лист1!A$1:B$20,2,FALSE),0)</f>
        <v>784</v>
      </c>
      <c r="S3451" s="13">
        <f t="shared" si="377"/>
        <v>0</v>
      </c>
    </row>
    <row r="3452" spans="1:19" x14ac:dyDescent="0.25">
      <c r="A3452" s="24" t="s">
        <v>4586</v>
      </c>
      <c r="B3452" s="4" t="s">
        <v>1059</v>
      </c>
      <c r="C3452" s="25" t="s">
        <v>7</v>
      </c>
      <c r="G3452" s="25" t="s">
        <v>1108</v>
      </c>
      <c r="H3452" s="24" t="s">
        <v>1061</v>
      </c>
      <c r="I3452" s="3" t="str">
        <f>IFERROR(VLOOKUP(C3452,'Справочник соответствий'!A$2:D$2981,2,FALSE),IF(VALUE(C3452)=0,1,VLOOKUP(C3452,'Справочник соответствий'!A$2:D$2981,2,FALSE)))</f>
        <v>2</v>
      </c>
      <c r="J3452" s="3">
        <f>IFERROR(VLOOKUP(D3452,'Справочник соответствий'!A$2:D$2981,2,FALSE),IF(VALUE(D3452)=0,0,VLOOKUP(D3452,'Справочник соответствий'!A$2:D$2981,2,FALSE)))</f>
        <v>0</v>
      </c>
      <c r="K3452" s="3" t="str">
        <f t="shared" si="371"/>
        <v>2</v>
      </c>
      <c r="L3452" s="13" t="str">
        <f>IFERROR(VLOOKUP(C3452,'Справочник соответствий'!A$2:D$2981,3,FALSE),IF(VALUE(C3452)=0,"ЭТАЖ НЕ ОПРЕДЕЛЕН. ПРИНЯТ ПО ДОПУЩЕНИЮ 1",VLOOKUP(C3452,'Справочник соответствий'!A$2:D$2981,3,FALSE)))</f>
        <v>ЭТАЖ ЗАДАН ЧИСЛОМ</v>
      </c>
      <c r="M3452" s="13" t="b">
        <f t="shared" si="372"/>
        <v>0</v>
      </c>
      <c r="N3452" s="13">
        <f t="shared" si="373"/>
        <v>2</v>
      </c>
      <c r="O3452" s="13" t="str">
        <f t="shared" si="374"/>
        <v>ЭТАЖ ЗАДАН ЧИСЛОМ</v>
      </c>
      <c r="P3452" s="13" t="str">
        <f t="shared" si="375"/>
        <v>ЭТАЖ ЗАДАН ЧИСЛОМ</v>
      </c>
      <c r="Q3452" s="13" t="str">
        <f t="shared" si="376"/>
        <v>ГОТОВ_ИЗМЕНЕН</v>
      </c>
      <c r="R3452" s="13">
        <f>IFERROR(VLOOKUP(P3452,Лист1!A$1:B$20,2,FALSE),0)</f>
        <v>784</v>
      </c>
      <c r="S3452" s="13">
        <f t="shared" si="377"/>
        <v>0</v>
      </c>
    </row>
    <row r="3453" spans="1:19" x14ac:dyDescent="0.25">
      <c r="A3453" s="24" t="s">
        <v>4587</v>
      </c>
      <c r="B3453" s="4" t="s">
        <v>1059</v>
      </c>
      <c r="G3453" s="25" t="s">
        <v>1114</v>
      </c>
      <c r="H3453" s="24" t="s">
        <v>1061</v>
      </c>
      <c r="I3453" s="3">
        <f>IFERROR(VLOOKUP(C3453,'Справочник соответствий'!A$2:D$2981,2,FALSE),IF(VALUE(C3453)=0,1,VLOOKUP(C3453,'Справочник соответствий'!A$2:D$2981,2,FALSE)))</f>
        <v>1</v>
      </c>
      <c r="J3453" s="3">
        <f>IFERROR(VLOOKUP(D3453,'Справочник соответствий'!A$2:D$2981,2,FALSE),IF(VALUE(D3453)=0,0,VLOOKUP(D3453,'Справочник соответствий'!A$2:D$2981,2,FALSE)))</f>
        <v>0</v>
      </c>
      <c r="K3453" s="3">
        <f t="shared" si="371"/>
        <v>1</v>
      </c>
      <c r="L3453" s="13" t="str">
        <f>IFERROR(VLOOKUP(C3453,'Справочник соответствий'!A$2:D$2981,3,FALSE),IF(VALUE(C3453)=0,"ЭТАЖ НЕ ОПРЕДЕЛЕН. ПРИНЯТ ПО ДОПУЩЕНИЮ 1",VLOOKUP(C3453,'Справочник соответствий'!A$2:D$2981,3,FALSE)))</f>
        <v>ЭТАЖ НЕ ОПРЕДЕЛЕН. ПРИНЯТ ПО ДОПУЩЕНИЮ 1</v>
      </c>
      <c r="M3453" s="13" t="b">
        <f t="shared" si="372"/>
        <v>0</v>
      </c>
      <c r="N3453" s="13">
        <f t="shared" si="373"/>
        <v>1</v>
      </c>
      <c r="O3453" s="13" t="str">
        <f t="shared" si="374"/>
        <v>ЭТАЖ НЕ ОПРЕДЕЛЕН. ПРИНЯТ ПО ДОПУЩЕНИЮ 1</v>
      </c>
      <c r="P3453" s="13" t="str">
        <f t="shared" si="375"/>
        <v>ЭТАЖ НЕ ОПРЕДЕЛЕН. ПРИНЯТ ПО ДОПУЩЕНИЮ 1</v>
      </c>
      <c r="Q3453" s="13" t="str">
        <f t="shared" si="376"/>
        <v>ГОТОВ_ИЗМЕНЕН</v>
      </c>
      <c r="R3453" s="13">
        <f>IFERROR(VLOOKUP(P3453,Лист1!A$1:B$20,2,FALSE),0)</f>
        <v>788</v>
      </c>
      <c r="S3453" s="13">
        <f t="shared" si="377"/>
        <v>0</v>
      </c>
    </row>
    <row r="3454" spans="1:19" x14ac:dyDescent="0.25">
      <c r="A3454" s="24" t="s">
        <v>4588</v>
      </c>
      <c r="B3454" s="4" t="s">
        <v>1063</v>
      </c>
      <c r="C3454" s="25" t="s">
        <v>5</v>
      </c>
      <c r="G3454" s="25" t="s">
        <v>1106</v>
      </c>
      <c r="H3454" s="24" t="s">
        <v>1061</v>
      </c>
      <c r="I3454" s="3" t="str">
        <f>IFERROR(VLOOKUP(C3454,'Справочник соответствий'!A$2:D$2981,2,FALSE),IF(VALUE(C3454)=0,1,VLOOKUP(C3454,'Справочник соответствий'!A$2:D$2981,2,FALSE)))</f>
        <v>1</v>
      </c>
      <c r="J3454" s="3">
        <f>IFERROR(VLOOKUP(D3454,'Справочник соответствий'!A$2:D$2981,2,FALSE),IF(VALUE(D3454)=0,0,VLOOKUP(D3454,'Справочник соответствий'!A$2:D$2981,2,FALSE)))</f>
        <v>0</v>
      </c>
      <c r="K3454" s="3" t="str">
        <f t="shared" si="371"/>
        <v>1</v>
      </c>
      <c r="L3454" s="13" t="str">
        <f>IFERROR(VLOOKUP(C3454,'Справочник соответствий'!A$2:D$2981,3,FALSE),IF(VALUE(C3454)=0,"ЭТАЖ НЕ ОПРЕДЕЛЕН. ПРИНЯТ ПО ДОПУЩЕНИЮ 1",VLOOKUP(C3454,'Справочник соответствий'!A$2:D$2981,3,FALSE)))</f>
        <v>ЭТАЖ ЗАДАН ЧИСЛОМ</v>
      </c>
      <c r="M3454" s="13" t="b">
        <f t="shared" si="372"/>
        <v>0</v>
      </c>
      <c r="N3454" s="13">
        <f t="shared" si="373"/>
        <v>1</v>
      </c>
      <c r="O3454" s="13" t="str">
        <f t="shared" si="374"/>
        <v>ЭТАЖ ЗАДАН ЧИСЛОМ</v>
      </c>
      <c r="P3454" s="13" t="str">
        <f t="shared" si="375"/>
        <v>ЭТАЖ ЗАДАН ЧИСЛОМ</v>
      </c>
      <c r="Q3454" s="13" t="str">
        <f t="shared" si="376"/>
        <v>ГОТОВ_ИЗМЕНЕН</v>
      </c>
      <c r="R3454" s="13">
        <f>IFERROR(VLOOKUP(P3454,Лист1!A$1:B$20,2,FALSE),0)</f>
        <v>784</v>
      </c>
      <c r="S3454" s="13">
        <f t="shared" si="377"/>
        <v>0</v>
      </c>
    </row>
    <row r="3455" spans="1:19" x14ac:dyDescent="0.25">
      <c r="A3455" s="24" t="s">
        <v>4589</v>
      </c>
      <c r="B3455" s="4" t="s">
        <v>1063</v>
      </c>
      <c r="C3455" s="25" t="s">
        <v>5</v>
      </c>
      <c r="G3455" s="25" t="s">
        <v>1069</v>
      </c>
      <c r="H3455" s="24" t="s">
        <v>1061</v>
      </c>
      <c r="I3455" s="3" t="str">
        <f>IFERROR(VLOOKUP(C3455,'Справочник соответствий'!A$2:D$2981,2,FALSE),IF(VALUE(C3455)=0,1,VLOOKUP(C3455,'Справочник соответствий'!A$2:D$2981,2,FALSE)))</f>
        <v>1</v>
      </c>
      <c r="J3455" s="3">
        <f>IFERROR(VLOOKUP(D3455,'Справочник соответствий'!A$2:D$2981,2,FALSE),IF(VALUE(D3455)=0,0,VLOOKUP(D3455,'Справочник соответствий'!A$2:D$2981,2,FALSE)))</f>
        <v>0</v>
      </c>
      <c r="K3455" s="3" t="str">
        <f t="shared" si="371"/>
        <v>1</v>
      </c>
      <c r="L3455" s="13" t="str">
        <f>IFERROR(VLOOKUP(C3455,'Справочник соответствий'!A$2:D$2981,3,FALSE),IF(VALUE(C3455)=0,"ЭТАЖ НЕ ОПРЕДЕЛЕН. ПРИНЯТ ПО ДОПУЩЕНИЮ 1",VLOOKUP(C3455,'Справочник соответствий'!A$2:D$2981,3,FALSE)))</f>
        <v>ЭТАЖ ЗАДАН ЧИСЛОМ</v>
      </c>
      <c r="M3455" s="13" t="b">
        <f t="shared" si="372"/>
        <v>0</v>
      </c>
      <c r="N3455" s="13">
        <f t="shared" si="373"/>
        <v>1</v>
      </c>
      <c r="O3455" s="13" t="str">
        <f t="shared" si="374"/>
        <v>ЭТАЖ ЗАДАН ЧИСЛОМ</v>
      </c>
      <c r="P3455" s="13" t="str">
        <f t="shared" si="375"/>
        <v>ЭТАЖ ЗАДАН ЧИСЛОМ</v>
      </c>
      <c r="Q3455" s="13" t="str">
        <f t="shared" si="376"/>
        <v>ГОТОВ_ИЗМЕНЕН</v>
      </c>
      <c r="R3455" s="13">
        <f>IFERROR(VLOOKUP(P3455,Лист1!A$1:B$20,2,FALSE),0)</f>
        <v>784</v>
      </c>
      <c r="S3455" s="13">
        <f t="shared" si="377"/>
        <v>0</v>
      </c>
    </row>
    <row r="3456" spans="1:19" x14ac:dyDescent="0.25">
      <c r="A3456" s="24" t="s">
        <v>4590</v>
      </c>
      <c r="B3456" s="4" t="s">
        <v>1059</v>
      </c>
      <c r="C3456" s="25" t="s">
        <v>5</v>
      </c>
      <c r="G3456" s="25" t="s">
        <v>1325</v>
      </c>
      <c r="H3456" s="24" t="s">
        <v>1061</v>
      </c>
      <c r="I3456" s="3" t="str">
        <f>IFERROR(VLOOKUP(C3456,'Справочник соответствий'!A$2:D$2981,2,FALSE),IF(VALUE(C3456)=0,1,VLOOKUP(C3456,'Справочник соответствий'!A$2:D$2981,2,FALSE)))</f>
        <v>1</v>
      </c>
      <c r="J3456" s="3">
        <f>IFERROR(VLOOKUP(D3456,'Справочник соответствий'!A$2:D$2981,2,FALSE),IF(VALUE(D3456)=0,0,VLOOKUP(D3456,'Справочник соответствий'!A$2:D$2981,2,FALSE)))</f>
        <v>0</v>
      </c>
      <c r="K3456" s="3" t="str">
        <f t="shared" si="371"/>
        <v>1</v>
      </c>
      <c r="L3456" s="13" t="str">
        <f>IFERROR(VLOOKUP(C3456,'Справочник соответствий'!A$2:D$2981,3,FALSE),IF(VALUE(C3456)=0,"ЭТАЖ НЕ ОПРЕДЕЛЕН. ПРИНЯТ ПО ДОПУЩЕНИЮ 1",VLOOKUP(C3456,'Справочник соответствий'!A$2:D$2981,3,FALSE)))</f>
        <v>ЭТАЖ ЗАДАН ЧИСЛОМ</v>
      </c>
      <c r="M3456" s="13" t="b">
        <f t="shared" si="372"/>
        <v>0</v>
      </c>
      <c r="N3456" s="13">
        <f t="shared" si="373"/>
        <v>1</v>
      </c>
      <c r="O3456" s="13" t="str">
        <f t="shared" si="374"/>
        <v>ЭТАЖ ЗАДАН ЧИСЛОМ</v>
      </c>
      <c r="P3456" s="13" t="str">
        <f t="shared" si="375"/>
        <v>ЭТАЖ ЗАДАН ЧИСЛОМ</v>
      </c>
      <c r="Q3456" s="13" t="str">
        <f t="shared" si="376"/>
        <v>ГОТОВ_ИЗМЕНЕН</v>
      </c>
      <c r="R3456" s="13">
        <f>IFERROR(VLOOKUP(P3456,Лист1!A$1:B$20,2,FALSE),0)</f>
        <v>784</v>
      </c>
      <c r="S3456" s="13">
        <f t="shared" si="377"/>
        <v>0</v>
      </c>
    </row>
    <row r="3457" spans="1:19" x14ac:dyDescent="0.25">
      <c r="A3457" s="24" t="s">
        <v>4591</v>
      </c>
      <c r="B3457" s="4" t="s">
        <v>1059</v>
      </c>
      <c r="C3457" s="25" t="s">
        <v>5</v>
      </c>
      <c r="G3457" s="25" t="s">
        <v>1325</v>
      </c>
      <c r="H3457" s="24" t="s">
        <v>1061</v>
      </c>
      <c r="I3457" s="3" t="str">
        <f>IFERROR(VLOOKUP(C3457,'Справочник соответствий'!A$2:D$2981,2,FALSE),IF(VALUE(C3457)=0,1,VLOOKUP(C3457,'Справочник соответствий'!A$2:D$2981,2,FALSE)))</f>
        <v>1</v>
      </c>
      <c r="J3457" s="3">
        <f>IFERROR(VLOOKUP(D3457,'Справочник соответствий'!A$2:D$2981,2,FALSE),IF(VALUE(D3457)=0,0,VLOOKUP(D3457,'Справочник соответствий'!A$2:D$2981,2,FALSE)))</f>
        <v>0</v>
      </c>
      <c r="K3457" s="3" t="str">
        <f t="shared" si="371"/>
        <v>1</v>
      </c>
      <c r="L3457" s="13" t="str">
        <f>IFERROR(VLOOKUP(C3457,'Справочник соответствий'!A$2:D$2981,3,FALSE),IF(VALUE(C3457)=0,"ЭТАЖ НЕ ОПРЕДЕЛЕН. ПРИНЯТ ПО ДОПУЩЕНИЮ 1",VLOOKUP(C3457,'Справочник соответствий'!A$2:D$2981,3,FALSE)))</f>
        <v>ЭТАЖ ЗАДАН ЧИСЛОМ</v>
      </c>
      <c r="M3457" s="13" t="b">
        <f t="shared" si="372"/>
        <v>0</v>
      </c>
      <c r="N3457" s="13">
        <f t="shared" si="373"/>
        <v>1</v>
      </c>
      <c r="O3457" s="13" t="str">
        <f t="shared" si="374"/>
        <v>ЭТАЖ ЗАДАН ЧИСЛОМ</v>
      </c>
      <c r="P3457" s="13" t="str">
        <f t="shared" si="375"/>
        <v>ЭТАЖ ЗАДАН ЧИСЛОМ</v>
      </c>
      <c r="Q3457" s="13" t="str">
        <f t="shared" si="376"/>
        <v>ГОТОВ_ИЗМЕНЕН</v>
      </c>
      <c r="R3457" s="13">
        <f>IFERROR(VLOOKUP(P3457,Лист1!A$1:B$20,2,FALSE),0)</f>
        <v>784</v>
      </c>
      <c r="S3457" s="13">
        <f t="shared" si="377"/>
        <v>0</v>
      </c>
    </row>
    <row r="3458" spans="1:19" x14ac:dyDescent="0.25">
      <c r="A3458" s="24" t="s">
        <v>4592</v>
      </c>
      <c r="B3458" s="4" t="s">
        <v>1063</v>
      </c>
      <c r="C3458" s="25" t="s">
        <v>5</v>
      </c>
      <c r="G3458" s="25" t="s">
        <v>1325</v>
      </c>
      <c r="H3458" s="24" t="s">
        <v>1061</v>
      </c>
      <c r="I3458" s="3" t="str">
        <f>IFERROR(VLOOKUP(C3458,'Справочник соответствий'!A$2:D$2981,2,FALSE),IF(VALUE(C3458)=0,1,VLOOKUP(C3458,'Справочник соответствий'!A$2:D$2981,2,FALSE)))</f>
        <v>1</v>
      </c>
      <c r="J3458" s="3">
        <f>IFERROR(VLOOKUP(D3458,'Справочник соответствий'!A$2:D$2981,2,FALSE),IF(VALUE(D3458)=0,0,VLOOKUP(D3458,'Справочник соответствий'!A$2:D$2981,2,FALSE)))</f>
        <v>0</v>
      </c>
      <c r="K3458" s="3" t="str">
        <f t="shared" si="371"/>
        <v>1</v>
      </c>
      <c r="L3458" s="13" t="str">
        <f>IFERROR(VLOOKUP(C3458,'Справочник соответствий'!A$2:D$2981,3,FALSE),IF(VALUE(C3458)=0,"ЭТАЖ НЕ ОПРЕДЕЛЕН. ПРИНЯТ ПО ДОПУЩЕНИЮ 1",VLOOKUP(C3458,'Справочник соответствий'!A$2:D$2981,3,FALSE)))</f>
        <v>ЭТАЖ ЗАДАН ЧИСЛОМ</v>
      </c>
      <c r="M3458" s="13" t="b">
        <f t="shared" si="372"/>
        <v>0</v>
      </c>
      <c r="N3458" s="13">
        <f t="shared" si="373"/>
        <v>1</v>
      </c>
      <c r="O3458" s="13" t="str">
        <f t="shared" si="374"/>
        <v>ЭТАЖ ЗАДАН ЧИСЛОМ</v>
      </c>
      <c r="P3458" s="13" t="str">
        <f t="shared" si="375"/>
        <v>ЭТАЖ ЗАДАН ЧИСЛОМ</v>
      </c>
      <c r="Q3458" s="13" t="str">
        <f t="shared" si="376"/>
        <v>ГОТОВ_ИЗМЕНЕН</v>
      </c>
      <c r="R3458" s="13">
        <f>IFERROR(VLOOKUP(P3458,Лист1!A$1:B$20,2,FALSE),0)</f>
        <v>784</v>
      </c>
      <c r="S3458" s="13">
        <f t="shared" si="377"/>
        <v>0</v>
      </c>
    </row>
    <row r="3459" spans="1:19" x14ac:dyDescent="0.25">
      <c r="A3459" s="24" t="s">
        <v>4593</v>
      </c>
      <c r="B3459" s="4" t="s">
        <v>1059</v>
      </c>
      <c r="C3459" s="25" t="s">
        <v>5</v>
      </c>
      <c r="G3459" s="25" t="s">
        <v>1099</v>
      </c>
      <c r="H3459" s="24" t="s">
        <v>1061</v>
      </c>
      <c r="I3459" s="3" t="str">
        <f>IFERROR(VLOOKUP(C3459,'Справочник соответствий'!A$2:D$2981,2,FALSE),IF(VALUE(C3459)=0,1,VLOOKUP(C3459,'Справочник соответствий'!A$2:D$2981,2,FALSE)))</f>
        <v>1</v>
      </c>
      <c r="J3459" s="3">
        <f>IFERROR(VLOOKUP(D3459,'Справочник соответствий'!A$2:D$2981,2,FALSE),IF(VALUE(D3459)=0,0,VLOOKUP(D3459,'Справочник соответствий'!A$2:D$2981,2,FALSE)))</f>
        <v>0</v>
      </c>
      <c r="K3459" s="3" t="str">
        <f t="shared" si="371"/>
        <v>1</v>
      </c>
      <c r="L3459" s="13" t="str">
        <f>IFERROR(VLOOKUP(C3459,'Справочник соответствий'!A$2:D$2981,3,FALSE),IF(VALUE(C3459)=0,"ЭТАЖ НЕ ОПРЕДЕЛЕН. ПРИНЯТ ПО ДОПУЩЕНИЮ 1",VLOOKUP(C3459,'Справочник соответствий'!A$2:D$2981,3,FALSE)))</f>
        <v>ЭТАЖ ЗАДАН ЧИСЛОМ</v>
      </c>
      <c r="M3459" s="13" t="b">
        <f t="shared" si="372"/>
        <v>0</v>
      </c>
      <c r="N3459" s="13">
        <f t="shared" si="373"/>
        <v>1</v>
      </c>
      <c r="O3459" s="13" t="str">
        <f t="shared" si="374"/>
        <v>ЭТАЖ ЗАДАН ЧИСЛОМ</v>
      </c>
      <c r="P3459" s="13" t="str">
        <f t="shared" si="375"/>
        <v>ЭТАЖ ЗАДАН ЧИСЛОМ</v>
      </c>
      <c r="Q3459" s="13" t="str">
        <f t="shared" si="376"/>
        <v>ГОТОВ_ИЗМЕНЕН</v>
      </c>
      <c r="R3459" s="13">
        <f>IFERROR(VLOOKUP(P3459,Лист1!A$1:B$20,2,FALSE),0)</f>
        <v>784</v>
      </c>
      <c r="S3459" s="13">
        <f t="shared" si="377"/>
        <v>0</v>
      </c>
    </row>
    <row r="3460" spans="1:19" x14ac:dyDescent="0.25">
      <c r="A3460" s="24" t="s">
        <v>4594</v>
      </c>
      <c r="B3460" s="4" t="s">
        <v>1059</v>
      </c>
      <c r="C3460" s="25" t="s">
        <v>5</v>
      </c>
      <c r="G3460" s="25" t="s">
        <v>1099</v>
      </c>
      <c r="H3460" s="24" t="s">
        <v>1061</v>
      </c>
      <c r="I3460" s="3" t="str">
        <f>IFERROR(VLOOKUP(C3460,'Справочник соответствий'!A$2:D$2981,2,FALSE),IF(VALUE(C3460)=0,1,VLOOKUP(C3460,'Справочник соответствий'!A$2:D$2981,2,FALSE)))</f>
        <v>1</v>
      </c>
      <c r="J3460" s="3">
        <f>IFERROR(VLOOKUP(D3460,'Справочник соответствий'!A$2:D$2981,2,FALSE),IF(VALUE(D3460)=0,0,VLOOKUP(D3460,'Справочник соответствий'!A$2:D$2981,2,FALSE)))</f>
        <v>0</v>
      </c>
      <c r="K3460" s="3" t="str">
        <f t="shared" si="371"/>
        <v>1</v>
      </c>
      <c r="L3460" s="13" t="str">
        <f>IFERROR(VLOOKUP(C3460,'Справочник соответствий'!A$2:D$2981,3,FALSE),IF(VALUE(C3460)=0,"ЭТАЖ НЕ ОПРЕДЕЛЕН. ПРИНЯТ ПО ДОПУЩЕНИЮ 1",VLOOKUP(C3460,'Справочник соответствий'!A$2:D$2981,3,FALSE)))</f>
        <v>ЭТАЖ ЗАДАН ЧИСЛОМ</v>
      </c>
      <c r="M3460" s="13" t="b">
        <f t="shared" si="372"/>
        <v>0</v>
      </c>
      <c r="N3460" s="13">
        <f t="shared" si="373"/>
        <v>1</v>
      </c>
      <c r="O3460" s="13" t="str">
        <f t="shared" si="374"/>
        <v>ЭТАЖ ЗАДАН ЧИСЛОМ</v>
      </c>
      <c r="P3460" s="13" t="str">
        <f t="shared" si="375"/>
        <v>ЭТАЖ ЗАДАН ЧИСЛОМ</v>
      </c>
      <c r="Q3460" s="13" t="str">
        <f t="shared" si="376"/>
        <v>ГОТОВ_ИЗМЕНЕН</v>
      </c>
      <c r="R3460" s="13">
        <f>IFERROR(VLOOKUP(P3460,Лист1!A$1:B$20,2,FALSE),0)</f>
        <v>784</v>
      </c>
      <c r="S3460" s="13">
        <f t="shared" si="377"/>
        <v>0</v>
      </c>
    </row>
    <row r="3461" spans="1:19" x14ac:dyDescent="0.25">
      <c r="A3461" s="24" t="s">
        <v>4595</v>
      </c>
      <c r="B3461" s="4" t="s">
        <v>1059</v>
      </c>
      <c r="C3461" s="25" t="s">
        <v>7</v>
      </c>
      <c r="G3461" s="25" t="s">
        <v>1099</v>
      </c>
      <c r="H3461" s="24" t="s">
        <v>1061</v>
      </c>
      <c r="I3461" s="3" t="str">
        <f>IFERROR(VLOOKUP(C3461,'Справочник соответствий'!A$2:D$2981,2,FALSE),IF(VALUE(C3461)=0,1,VLOOKUP(C3461,'Справочник соответствий'!A$2:D$2981,2,FALSE)))</f>
        <v>2</v>
      </c>
      <c r="J3461" s="3">
        <f>IFERROR(VLOOKUP(D3461,'Справочник соответствий'!A$2:D$2981,2,FALSE),IF(VALUE(D3461)=0,0,VLOOKUP(D3461,'Справочник соответствий'!A$2:D$2981,2,FALSE)))</f>
        <v>0</v>
      </c>
      <c r="K3461" s="3" t="str">
        <f t="shared" ref="K3461:K3497" si="378">IF(B3461="Многоквартирный дом",IF(I3461-J3461&gt;0,I3461-J3461,1),I3461)</f>
        <v>2</v>
      </c>
      <c r="L3461" s="13" t="str">
        <f>IFERROR(VLOOKUP(C3461,'Справочник соответствий'!A$2:D$2981,3,FALSE),IF(VALUE(C3461)=0,"ЭТАЖ НЕ ОПРЕДЕЛЕН. ПРИНЯТ ПО ДОПУЩЕНИЮ 1",VLOOKUP(C3461,'Справочник соответствий'!A$2:D$2981,3,FALSE)))</f>
        <v>ЭТАЖ ЗАДАН ЧИСЛОМ</v>
      </c>
      <c r="M3461" s="13" t="b">
        <f t="shared" ref="M3461:M3497" si="379">I3461=E3461</f>
        <v>0</v>
      </c>
      <c r="N3461" s="13">
        <f t="shared" ref="N3461:N3497" si="380">IF(VALUE(E3461)=0,VALUE(K3461),IF(L3461="ЭТАЖ НЕ ОПРЕДЕЛЕН. ПРИНЯТ ПО ДОПУЩЕНИЮ 1",VALUE(E3461),VALUE(K3461)))</f>
        <v>2</v>
      </c>
      <c r="O3461" s="13" t="str">
        <f t="shared" ref="O3461:O3497" si="381">IF(VALUE(E3461)=0,L3461,IF(L3461="ЭТАЖ НЕ ОПРЕДЕЛЕН. ПРИНЯТ ПО ДОПУЩЕНИЮ 1",F3461,L3461))</f>
        <v>ЭТАЖ ЗАДАН ЧИСЛОМ</v>
      </c>
      <c r="P3461" s="13" t="str">
        <f t="shared" ref="P3461:P3497" si="382">IF(B3461="Многоквартирный дом",CONCATENATE("МКД_",O3461),O3461)</f>
        <v>ЭТАЖ ЗАДАН ЧИСЛОМ</v>
      </c>
      <c r="Q3461" s="13" t="str">
        <f t="shared" ref="Q3461:Q3497" si="383">IFERROR(IF(N3461&gt;0,IF(N3461=VALUE(E3461),"ГОТОВ","ГОТОВ_ИЗМЕНЕН"),"НЕ ГОТОВ"),"НЕ ГОТОВ")</f>
        <v>ГОТОВ_ИЗМЕНЕН</v>
      </c>
      <c r="R3461" s="13">
        <f>IFERROR(VLOOKUP(P3461,Лист1!A$1:B$20,2,FALSE),0)</f>
        <v>784</v>
      </c>
      <c r="S3461" s="13">
        <f t="shared" ref="S3461:S3497" si="384">VALUE(E3461)</f>
        <v>0</v>
      </c>
    </row>
    <row r="3462" spans="1:19" x14ac:dyDescent="0.25">
      <c r="A3462" s="24" t="s">
        <v>4596</v>
      </c>
      <c r="B3462" s="4" t="s">
        <v>1063</v>
      </c>
      <c r="C3462" s="25" t="s">
        <v>5</v>
      </c>
      <c r="G3462" s="25" t="s">
        <v>1108</v>
      </c>
      <c r="H3462" s="24" t="s">
        <v>1061</v>
      </c>
      <c r="I3462" s="3" t="str">
        <f>IFERROR(VLOOKUP(C3462,'Справочник соответствий'!A$2:D$2981,2,FALSE),IF(VALUE(C3462)=0,1,VLOOKUP(C3462,'Справочник соответствий'!A$2:D$2981,2,FALSE)))</f>
        <v>1</v>
      </c>
      <c r="J3462" s="3">
        <f>IFERROR(VLOOKUP(D3462,'Справочник соответствий'!A$2:D$2981,2,FALSE),IF(VALUE(D3462)=0,0,VLOOKUP(D3462,'Справочник соответствий'!A$2:D$2981,2,FALSE)))</f>
        <v>0</v>
      </c>
      <c r="K3462" s="3" t="str">
        <f t="shared" si="378"/>
        <v>1</v>
      </c>
      <c r="L3462" s="13" t="str">
        <f>IFERROR(VLOOKUP(C3462,'Справочник соответствий'!A$2:D$2981,3,FALSE),IF(VALUE(C3462)=0,"ЭТАЖ НЕ ОПРЕДЕЛЕН. ПРИНЯТ ПО ДОПУЩЕНИЮ 1",VLOOKUP(C3462,'Справочник соответствий'!A$2:D$2981,3,FALSE)))</f>
        <v>ЭТАЖ ЗАДАН ЧИСЛОМ</v>
      </c>
      <c r="M3462" s="13" t="b">
        <f t="shared" si="379"/>
        <v>0</v>
      </c>
      <c r="N3462" s="13">
        <f t="shared" si="380"/>
        <v>1</v>
      </c>
      <c r="O3462" s="13" t="str">
        <f t="shared" si="381"/>
        <v>ЭТАЖ ЗАДАН ЧИСЛОМ</v>
      </c>
      <c r="P3462" s="13" t="str">
        <f t="shared" si="382"/>
        <v>ЭТАЖ ЗАДАН ЧИСЛОМ</v>
      </c>
      <c r="Q3462" s="13" t="str">
        <f t="shared" si="383"/>
        <v>ГОТОВ_ИЗМЕНЕН</v>
      </c>
      <c r="R3462" s="13">
        <f>IFERROR(VLOOKUP(P3462,Лист1!A$1:B$20,2,FALSE),0)</f>
        <v>784</v>
      </c>
      <c r="S3462" s="13">
        <f t="shared" si="384"/>
        <v>0</v>
      </c>
    </row>
    <row r="3463" spans="1:19" x14ac:dyDescent="0.25">
      <c r="A3463" s="24" t="s">
        <v>4597</v>
      </c>
      <c r="B3463" s="4" t="s">
        <v>1063</v>
      </c>
      <c r="C3463" s="25" t="s">
        <v>5</v>
      </c>
      <c r="G3463" s="25" t="s">
        <v>1099</v>
      </c>
      <c r="H3463" s="24" t="s">
        <v>1061</v>
      </c>
      <c r="I3463" s="3" t="str">
        <f>IFERROR(VLOOKUP(C3463,'Справочник соответствий'!A$2:D$2981,2,FALSE),IF(VALUE(C3463)=0,1,VLOOKUP(C3463,'Справочник соответствий'!A$2:D$2981,2,FALSE)))</f>
        <v>1</v>
      </c>
      <c r="J3463" s="3">
        <f>IFERROR(VLOOKUP(D3463,'Справочник соответствий'!A$2:D$2981,2,FALSE),IF(VALUE(D3463)=0,0,VLOOKUP(D3463,'Справочник соответствий'!A$2:D$2981,2,FALSE)))</f>
        <v>0</v>
      </c>
      <c r="K3463" s="3" t="str">
        <f t="shared" si="378"/>
        <v>1</v>
      </c>
      <c r="L3463" s="13" t="str">
        <f>IFERROR(VLOOKUP(C3463,'Справочник соответствий'!A$2:D$2981,3,FALSE),IF(VALUE(C3463)=0,"ЭТАЖ НЕ ОПРЕДЕЛЕН. ПРИНЯТ ПО ДОПУЩЕНИЮ 1",VLOOKUP(C3463,'Справочник соответствий'!A$2:D$2981,3,FALSE)))</f>
        <v>ЭТАЖ ЗАДАН ЧИСЛОМ</v>
      </c>
      <c r="M3463" s="13" t="b">
        <f t="shared" si="379"/>
        <v>0</v>
      </c>
      <c r="N3463" s="13">
        <f t="shared" si="380"/>
        <v>1</v>
      </c>
      <c r="O3463" s="13" t="str">
        <f t="shared" si="381"/>
        <v>ЭТАЖ ЗАДАН ЧИСЛОМ</v>
      </c>
      <c r="P3463" s="13" t="str">
        <f t="shared" si="382"/>
        <v>ЭТАЖ ЗАДАН ЧИСЛОМ</v>
      </c>
      <c r="Q3463" s="13" t="str">
        <f t="shared" si="383"/>
        <v>ГОТОВ_ИЗМЕНЕН</v>
      </c>
      <c r="R3463" s="13">
        <f>IFERROR(VLOOKUP(P3463,Лист1!A$1:B$20,2,FALSE),0)</f>
        <v>784</v>
      </c>
      <c r="S3463" s="13">
        <f t="shared" si="384"/>
        <v>0</v>
      </c>
    </row>
    <row r="3464" spans="1:19" x14ac:dyDescent="0.25">
      <c r="A3464" s="24" t="s">
        <v>4598</v>
      </c>
      <c r="B3464" s="4" t="s">
        <v>1059</v>
      </c>
      <c r="C3464" s="25" t="s">
        <v>5</v>
      </c>
      <c r="G3464" s="25" t="s">
        <v>1108</v>
      </c>
      <c r="H3464" s="24" t="s">
        <v>1061</v>
      </c>
      <c r="I3464" s="3" t="str">
        <f>IFERROR(VLOOKUP(C3464,'Справочник соответствий'!A$2:D$2981,2,FALSE),IF(VALUE(C3464)=0,1,VLOOKUP(C3464,'Справочник соответствий'!A$2:D$2981,2,FALSE)))</f>
        <v>1</v>
      </c>
      <c r="J3464" s="3">
        <f>IFERROR(VLOOKUP(D3464,'Справочник соответствий'!A$2:D$2981,2,FALSE),IF(VALUE(D3464)=0,0,VLOOKUP(D3464,'Справочник соответствий'!A$2:D$2981,2,FALSE)))</f>
        <v>0</v>
      </c>
      <c r="K3464" s="3" t="str">
        <f t="shared" si="378"/>
        <v>1</v>
      </c>
      <c r="L3464" s="13" t="str">
        <f>IFERROR(VLOOKUP(C3464,'Справочник соответствий'!A$2:D$2981,3,FALSE),IF(VALUE(C3464)=0,"ЭТАЖ НЕ ОПРЕДЕЛЕН. ПРИНЯТ ПО ДОПУЩЕНИЮ 1",VLOOKUP(C3464,'Справочник соответствий'!A$2:D$2981,3,FALSE)))</f>
        <v>ЭТАЖ ЗАДАН ЧИСЛОМ</v>
      </c>
      <c r="M3464" s="13" t="b">
        <f t="shared" si="379"/>
        <v>0</v>
      </c>
      <c r="N3464" s="13">
        <f t="shared" si="380"/>
        <v>1</v>
      </c>
      <c r="O3464" s="13" t="str">
        <f t="shared" si="381"/>
        <v>ЭТАЖ ЗАДАН ЧИСЛОМ</v>
      </c>
      <c r="P3464" s="13" t="str">
        <f t="shared" si="382"/>
        <v>ЭТАЖ ЗАДАН ЧИСЛОМ</v>
      </c>
      <c r="Q3464" s="13" t="str">
        <f t="shared" si="383"/>
        <v>ГОТОВ_ИЗМЕНЕН</v>
      </c>
      <c r="R3464" s="13">
        <f>IFERROR(VLOOKUP(P3464,Лист1!A$1:B$20,2,FALSE),0)</f>
        <v>784</v>
      </c>
      <c r="S3464" s="13">
        <f t="shared" si="384"/>
        <v>0</v>
      </c>
    </row>
    <row r="3465" spans="1:19" x14ac:dyDescent="0.25">
      <c r="A3465" s="24" t="s">
        <v>4599</v>
      </c>
      <c r="B3465" s="4" t="s">
        <v>1063</v>
      </c>
      <c r="C3465" s="25" t="s">
        <v>5</v>
      </c>
      <c r="G3465" s="25" t="s">
        <v>1205</v>
      </c>
      <c r="H3465" s="24" t="s">
        <v>1061</v>
      </c>
      <c r="I3465" s="3" t="str">
        <f>IFERROR(VLOOKUP(C3465,'Справочник соответствий'!A$2:D$2981,2,FALSE),IF(VALUE(C3465)=0,1,VLOOKUP(C3465,'Справочник соответствий'!A$2:D$2981,2,FALSE)))</f>
        <v>1</v>
      </c>
      <c r="J3465" s="3">
        <f>IFERROR(VLOOKUP(D3465,'Справочник соответствий'!A$2:D$2981,2,FALSE),IF(VALUE(D3465)=0,0,VLOOKUP(D3465,'Справочник соответствий'!A$2:D$2981,2,FALSE)))</f>
        <v>0</v>
      </c>
      <c r="K3465" s="3" t="str">
        <f t="shared" si="378"/>
        <v>1</v>
      </c>
      <c r="L3465" s="13" t="str">
        <f>IFERROR(VLOOKUP(C3465,'Справочник соответствий'!A$2:D$2981,3,FALSE),IF(VALUE(C3465)=0,"ЭТАЖ НЕ ОПРЕДЕЛЕН. ПРИНЯТ ПО ДОПУЩЕНИЮ 1",VLOOKUP(C3465,'Справочник соответствий'!A$2:D$2981,3,FALSE)))</f>
        <v>ЭТАЖ ЗАДАН ЧИСЛОМ</v>
      </c>
      <c r="M3465" s="13" t="b">
        <f t="shared" si="379"/>
        <v>0</v>
      </c>
      <c r="N3465" s="13">
        <f t="shared" si="380"/>
        <v>1</v>
      </c>
      <c r="O3465" s="13" t="str">
        <f t="shared" si="381"/>
        <v>ЭТАЖ ЗАДАН ЧИСЛОМ</v>
      </c>
      <c r="P3465" s="13" t="str">
        <f t="shared" si="382"/>
        <v>ЭТАЖ ЗАДАН ЧИСЛОМ</v>
      </c>
      <c r="Q3465" s="13" t="str">
        <f t="shared" si="383"/>
        <v>ГОТОВ_ИЗМЕНЕН</v>
      </c>
      <c r="R3465" s="13">
        <f>IFERROR(VLOOKUP(P3465,Лист1!A$1:B$20,2,FALSE),0)</f>
        <v>784</v>
      </c>
      <c r="S3465" s="13">
        <f t="shared" si="384"/>
        <v>0</v>
      </c>
    </row>
    <row r="3466" spans="1:19" x14ac:dyDescent="0.25">
      <c r="A3466" s="24" t="s">
        <v>4600</v>
      </c>
      <c r="B3466" s="4" t="s">
        <v>1063</v>
      </c>
      <c r="C3466" s="25" t="s">
        <v>5</v>
      </c>
      <c r="G3466" s="25" t="s">
        <v>1060</v>
      </c>
      <c r="H3466" s="24" t="s">
        <v>1061</v>
      </c>
      <c r="I3466" s="3" t="str">
        <f>IFERROR(VLOOKUP(C3466,'Справочник соответствий'!A$2:D$2981,2,FALSE),IF(VALUE(C3466)=0,1,VLOOKUP(C3466,'Справочник соответствий'!A$2:D$2981,2,FALSE)))</f>
        <v>1</v>
      </c>
      <c r="J3466" s="3">
        <f>IFERROR(VLOOKUP(D3466,'Справочник соответствий'!A$2:D$2981,2,FALSE),IF(VALUE(D3466)=0,0,VLOOKUP(D3466,'Справочник соответствий'!A$2:D$2981,2,FALSE)))</f>
        <v>0</v>
      </c>
      <c r="K3466" s="3" t="str">
        <f t="shared" si="378"/>
        <v>1</v>
      </c>
      <c r="L3466" s="13" t="str">
        <f>IFERROR(VLOOKUP(C3466,'Справочник соответствий'!A$2:D$2981,3,FALSE),IF(VALUE(C3466)=0,"ЭТАЖ НЕ ОПРЕДЕЛЕН. ПРИНЯТ ПО ДОПУЩЕНИЮ 1",VLOOKUP(C3466,'Справочник соответствий'!A$2:D$2981,3,FALSE)))</f>
        <v>ЭТАЖ ЗАДАН ЧИСЛОМ</v>
      </c>
      <c r="M3466" s="13" t="b">
        <f t="shared" si="379"/>
        <v>0</v>
      </c>
      <c r="N3466" s="13">
        <f t="shared" si="380"/>
        <v>1</v>
      </c>
      <c r="O3466" s="13" t="str">
        <f t="shared" si="381"/>
        <v>ЭТАЖ ЗАДАН ЧИСЛОМ</v>
      </c>
      <c r="P3466" s="13" t="str">
        <f t="shared" si="382"/>
        <v>ЭТАЖ ЗАДАН ЧИСЛОМ</v>
      </c>
      <c r="Q3466" s="13" t="str">
        <f t="shared" si="383"/>
        <v>ГОТОВ_ИЗМЕНЕН</v>
      </c>
      <c r="R3466" s="13">
        <f>IFERROR(VLOOKUP(P3466,Лист1!A$1:B$20,2,FALSE),0)</f>
        <v>784</v>
      </c>
      <c r="S3466" s="13">
        <f t="shared" si="384"/>
        <v>0</v>
      </c>
    </row>
    <row r="3467" spans="1:19" x14ac:dyDescent="0.25">
      <c r="A3467" s="24" t="s">
        <v>4601</v>
      </c>
      <c r="B3467" s="4" t="s">
        <v>1059</v>
      </c>
      <c r="C3467" s="25" t="s">
        <v>5</v>
      </c>
      <c r="G3467" s="25" t="s">
        <v>1060</v>
      </c>
      <c r="H3467" s="24" t="s">
        <v>1061</v>
      </c>
      <c r="I3467" s="3" t="str">
        <f>IFERROR(VLOOKUP(C3467,'Справочник соответствий'!A$2:D$2981,2,FALSE),IF(VALUE(C3467)=0,1,VLOOKUP(C3467,'Справочник соответствий'!A$2:D$2981,2,FALSE)))</f>
        <v>1</v>
      </c>
      <c r="J3467" s="3">
        <f>IFERROR(VLOOKUP(D3467,'Справочник соответствий'!A$2:D$2981,2,FALSE),IF(VALUE(D3467)=0,0,VLOOKUP(D3467,'Справочник соответствий'!A$2:D$2981,2,FALSE)))</f>
        <v>0</v>
      </c>
      <c r="K3467" s="3" t="str">
        <f t="shared" si="378"/>
        <v>1</v>
      </c>
      <c r="L3467" s="13" t="str">
        <f>IFERROR(VLOOKUP(C3467,'Справочник соответствий'!A$2:D$2981,3,FALSE),IF(VALUE(C3467)=0,"ЭТАЖ НЕ ОПРЕДЕЛЕН. ПРИНЯТ ПО ДОПУЩЕНИЮ 1",VLOOKUP(C3467,'Справочник соответствий'!A$2:D$2981,3,FALSE)))</f>
        <v>ЭТАЖ ЗАДАН ЧИСЛОМ</v>
      </c>
      <c r="M3467" s="13" t="b">
        <f t="shared" si="379"/>
        <v>0</v>
      </c>
      <c r="N3467" s="13">
        <f t="shared" si="380"/>
        <v>1</v>
      </c>
      <c r="O3467" s="13" t="str">
        <f t="shared" si="381"/>
        <v>ЭТАЖ ЗАДАН ЧИСЛОМ</v>
      </c>
      <c r="P3467" s="13" t="str">
        <f t="shared" si="382"/>
        <v>ЭТАЖ ЗАДАН ЧИСЛОМ</v>
      </c>
      <c r="Q3467" s="13" t="str">
        <f t="shared" si="383"/>
        <v>ГОТОВ_ИЗМЕНЕН</v>
      </c>
      <c r="R3467" s="13">
        <f>IFERROR(VLOOKUP(P3467,Лист1!A$1:B$20,2,FALSE),0)</f>
        <v>784</v>
      </c>
      <c r="S3467" s="13">
        <f t="shared" si="384"/>
        <v>0</v>
      </c>
    </row>
    <row r="3468" spans="1:19" x14ac:dyDescent="0.25">
      <c r="A3468" s="24" t="s">
        <v>4602</v>
      </c>
      <c r="B3468" s="4" t="s">
        <v>1059</v>
      </c>
      <c r="C3468" s="25" t="s">
        <v>7</v>
      </c>
      <c r="G3468" s="25" t="s">
        <v>1060</v>
      </c>
      <c r="H3468" s="24" t="s">
        <v>1061</v>
      </c>
      <c r="I3468" s="3" t="str">
        <f>IFERROR(VLOOKUP(C3468,'Справочник соответствий'!A$2:D$2981,2,FALSE),IF(VALUE(C3468)=0,1,VLOOKUP(C3468,'Справочник соответствий'!A$2:D$2981,2,FALSE)))</f>
        <v>2</v>
      </c>
      <c r="J3468" s="3">
        <f>IFERROR(VLOOKUP(D3468,'Справочник соответствий'!A$2:D$2981,2,FALSE),IF(VALUE(D3468)=0,0,VLOOKUP(D3468,'Справочник соответствий'!A$2:D$2981,2,FALSE)))</f>
        <v>0</v>
      </c>
      <c r="K3468" s="3" t="str">
        <f t="shared" si="378"/>
        <v>2</v>
      </c>
      <c r="L3468" s="13" t="str">
        <f>IFERROR(VLOOKUP(C3468,'Справочник соответствий'!A$2:D$2981,3,FALSE),IF(VALUE(C3468)=0,"ЭТАЖ НЕ ОПРЕДЕЛЕН. ПРИНЯТ ПО ДОПУЩЕНИЮ 1",VLOOKUP(C3468,'Справочник соответствий'!A$2:D$2981,3,FALSE)))</f>
        <v>ЭТАЖ ЗАДАН ЧИСЛОМ</v>
      </c>
      <c r="M3468" s="13" t="b">
        <f t="shared" si="379"/>
        <v>0</v>
      </c>
      <c r="N3468" s="13">
        <f t="shared" si="380"/>
        <v>2</v>
      </c>
      <c r="O3468" s="13" t="str">
        <f t="shared" si="381"/>
        <v>ЭТАЖ ЗАДАН ЧИСЛОМ</v>
      </c>
      <c r="P3468" s="13" t="str">
        <f t="shared" si="382"/>
        <v>ЭТАЖ ЗАДАН ЧИСЛОМ</v>
      </c>
      <c r="Q3468" s="13" t="str">
        <f t="shared" si="383"/>
        <v>ГОТОВ_ИЗМЕНЕН</v>
      </c>
      <c r="R3468" s="13">
        <f>IFERROR(VLOOKUP(P3468,Лист1!A$1:B$20,2,FALSE),0)</f>
        <v>784</v>
      </c>
      <c r="S3468" s="13">
        <f t="shared" si="384"/>
        <v>0</v>
      </c>
    </row>
    <row r="3469" spans="1:19" x14ac:dyDescent="0.25">
      <c r="A3469" s="24" t="s">
        <v>4603</v>
      </c>
      <c r="B3469" s="4" t="s">
        <v>1063</v>
      </c>
      <c r="C3469" s="25" t="s">
        <v>5</v>
      </c>
      <c r="G3469" s="25" t="s">
        <v>1060</v>
      </c>
      <c r="H3469" s="24" t="s">
        <v>1061</v>
      </c>
      <c r="I3469" s="3" t="str">
        <f>IFERROR(VLOOKUP(C3469,'Справочник соответствий'!A$2:D$2981,2,FALSE),IF(VALUE(C3469)=0,1,VLOOKUP(C3469,'Справочник соответствий'!A$2:D$2981,2,FALSE)))</f>
        <v>1</v>
      </c>
      <c r="J3469" s="3">
        <f>IFERROR(VLOOKUP(D3469,'Справочник соответствий'!A$2:D$2981,2,FALSE),IF(VALUE(D3469)=0,0,VLOOKUP(D3469,'Справочник соответствий'!A$2:D$2981,2,FALSE)))</f>
        <v>0</v>
      </c>
      <c r="K3469" s="3" t="str">
        <f t="shared" si="378"/>
        <v>1</v>
      </c>
      <c r="L3469" s="13" t="str">
        <f>IFERROR(VLOOKUP(C3469,'Справочник соответствий'!A$2:D$2981,3,FALSE),IF(VALUE(C3469)=0,"ЭТАЖ НЕ ОПРЕДЕЛЕН. ПРИНЯТ ПО ДОПУЩЕНИЮ 1",VLOOKUP(C3469,'Справочник соответствий'!A$2:D$2981,3,FALSE)))</f>
        <v>ЭТАЖ ЗАДАН ЧИСЛОМ</v>
      </c>
      <c r="M3469" s="13" t="b">
        <f t="shared" si="379"/>
        <v>0</v>
      </c>
      <c r="N3469" s="13">
        <f t="shared" si="380"/>
        <v>1</v>
      </c>
      <c r="O3469" s="13" t="str">
        <f t="shared" si="381"/>
        <v>ЭТАЖ ЗАДАН ЧИСЛОМ</v>
      </c>
      <c r="P3469" s="13" t="str">
        <f t="shared" si="382"/>
        <v>ЭТАЖ ЗАДАН ЧИСЛОМ</v>
      </c>
      <c r="Q3469" s="13" t="str">
        <f t="shared" si="383"/>
        <v>ГОТОВ_ИЗМЕНЕН</v>
      </c>
      <c r="R3469" s="13">
        <f>IFERROR(VLOOKUP(P3469,Лист1!A$1:B$20,2,FALSE),0)</f>
        <v>784</v>
      </c>
      <c r="S3469" s="13">
        <f t="shared" si="384"/>
        <v>0</v>
      </c>
    </row>
    <row r="3470" spans="1:19" x14ac:dyDescent="0.25">
      <c r="A3470" s="24" t="s">
        <v>4604</v>
      </c>
      <c r="B3470" s="4" t="s">
        <v>1063</v>
      </c>
      <c r="C3470" s="25" t="s">
        <v>5</v>
      </c>
      <c r="G3470" s="25" t="s">
        <v>1060</v>
      </c>
      <c r="H3470" s="24" t="s">
        <v>1061</v>
      </c>
      <c r="I3470" s="3" t="str">
        <f>IFERROR(VLOOKUP(C3470,'Справочник соответствий'!A$2:D$2981,2,FALSE),IF(VALUE(C3470)=0,1,VLOOKUP(C3470,'Справочник соответствий'!A$2:D$2981,2,FALSE)))</f>
        <v>1</v>
      </c>
      <c r="J3470" s="3">
        <f>IFERROR(VLOOKUP(D3470,'Справочник соответствий'!A$2:D$2981,2,FALSE),IF(VALUE(D3470)=0,0,VLOOKUP(D3470,'Справочник соответствий'!A$2:D$2981,2,FALSE)))</f>
        <v>0</v>
      </c>
      <c r="K3470" s="3" t="str">
        <f t="shared" si="378"/>
        <v>1</v>
      </c>
      <c r="L3470" s="13" t="str">
        <f>IFERROR(VLOOKUP(C3470,'Справочник соответствий'!A$2:D$2981,3,FALSE),IF(VALUE(C3470)=0,"ЭТАЖ НЕ ОПРЕДЕЛЕН. ПРИНЯТ ПО ДОПУЩЕНИЮ 1",VLOOKUP(C3470,'Справочник соответствий'!A$2:D$2981,3,FALSE)))</f>
        <v>ЭТАЖ ЗАДАН ЧИСЛОМ</v>
      </c>
      <c r="M3470" s="13" t="b">
        <f t="shared" si="379"/>
        <v>0</v>
      </c>
      <c r="N3470" s="13">
        <f t="shared" si="380"/>
        <v>1</v>
      </c>
      <c r="O3470" s="13" t="str">
        <f t="shared" si="381"/>
        <v>ЭТАЖ ЗАДАН ЧИСЛОМ</v>
      </c>
      <c r="P3470" s="13" t="str">
        <f t="shared" si="382"/>
        <v>ЭТАЖ ЗАДАН ЧИСЛОМ</v>
      </c>
      <c r="Q3470" s="13" t="str">
        <f t="shared" si="383"/>
        <v>ГОТОВ_ИЗМЕНЕН</v>
      </c>
      <c r="R3470" s="13">
        <f>IFERROR(VLOOKUP(P3470,Лист1!A$1:B$20,2,FALSE),0)</f>
        <v>784</v>
      </c>
      <c r="S3470" s="13">
        <f t="shared" si="384"/>
        <v>0</v>
      </c>
    </row>
    <row r="3471" spans="1:19" x14ac:dyDescent="0.25">
      <c r="A3471" s="24" t="s">
        <v>4605</v>
      </c>
      <c r="B3471" s="4" t="s">
        <v>1059</v>
      </c>
      <c r="C3471" s="25" t="s">
        <v>7</v>
      </c>
      <c r="G3471" s="25" t="s">
        <v>1060</v>
      </c>
      <c r="H3471" s="24" t="s">
        <v>1061</v>
      </c>
      <c r="I3471" s="3" t="str">
        <f>IFERROR(VLOOKUP(C3471,'Справочник соответствий'!A$2:D$2981,2,FALSE),IF(VALUE(C3471)=0,1,VLOOKUP(C3471,'Справочник соответствий'!A$2:D$2981,2,FALSE)))</f>
        <v>2</v>
      </c>
      <c r="J3471" s="3">
        <f>IFERROR(VLOOKUP(D3471,'Справочник соответствий'!A$2:D$2981,2,FALSE),IF(VALUE(D3471)=0,0,VLOOKUP(D3471,'Справочник соответствий'!A$2:D$2981,2,FALSE)))</f>
        <v>0</v>
      </c>
      <c r="K3471" s="3" t="str">
        <f t="shared" si="378"/>
        <v>2</v>
      </c>
      <c r="L3471" s="13" t="str">
        <f>IFERROR(VLOOKUP(C3471,'Справочник соответствий'!A$2:D$2981,3,FALSE),IF(VALUE(C3471)=0,"ЭТАЖ НЕ ОПРЕДЕЛЕН. ПРИНЯТ ПО ДОПУЩЕНИЮ 1",VLOOKUP(C3471,'Справочник соответствий'!A$2:D$2981,3,FALSE)))</f>
        <v>ЭТАЖ ЗАДАН ЧИСЛОМ</v>
      </c>
      <c r="M3471" s="13" t="b">
        <f t="shared" si="379"/>
        <v>0</v>
      </c>
      <c r="N3471" s="13">
        <f t="shared" si="380"/>
        <v>2</v>
      </c>
      <c r="O3471" s="13" t="str">
        <f t="shared" si="381"/>
        <v>ЭТАЖ ЗАДАН ЧИСЛОМ</v>
      </c>
      <c r="P3471" s="13" t="str">
        <f t="shared" si="382"/>
        <v>ЭТАЖ ЗАДАН ЧИСЛОМ</v>
      </c>
      <c r="Q3471" s="13" t="str">
        <f t="shared" si="383"/>
        <v>ГОТОВ_ИЗМЕНЕН</v>
      </c>
      <c r="R3471" s="13">
        <f>IFERROR(VLOOKUP(P3471,Лист1!A$1:B$20,2,FALSE),0)</f>
        <v>784</v>
      </c>
      <c r="S3471" s="13">
        <f t="shared" si="384"/>
        <v>0</v>
      </c>
    </row>
    <row r="3472" spans="1:19" x14ac:dyDescent="0.25">
      <c r="A3472" s="24" t="s">
        <v>4606</v>
      </c>
      <c r="B3472" s="4" t="s">
        <v>1059</v>
      </c>
      <c r="C3472" s="25" t="s">
        <v>7</v>
      </c>
      <c r="G3472" s="25" t="s">
        <v>1060</v>
      </c>
      <c r="H3472" s="24" t="s">
        <v>1061</v>
      </c>
      <c r="I3472" s="3" t="str">
        <f>IFERROR(VLOOKUP(C3472,'Справочник соответствий'!A$2:D$2981,2,FALSE),IF(VALUE(C3472)=0,1,VLOOKUP(C3472,'Справочник соответствий'!A$2:D$2981,2,FALSE)))</f>
        <v>2</v>
      </c>
      <c r="J3472" s="3">
        <f>IFERROR(VLOOKUP(D3472,'Справочник соответствий'!A$2:D$2981,2,FALSE),IF(VALUE(D3472)=0,0,VLOOKUP(D3472,'Справочник соответствий'!A$2:D$2981,2,FALSE)))</f>
        <v>0</v>
      </c>
      <c r="K3472" s="3" t="str">
        <f t="shared" si="378"/>
        <v>2</v>
      </c>
      <c r="L3472" s="13" t="str">
        <f>IFERROR(VLOOKUP(C3472,'Справочник соответствий'!A$2:D$2981,3,FALSE),IF(VALUE(C3472)=0,"ЭТАЖ НЕ ОПРЕДЕЛЕН. ПРИНЯТ ПО ДОПУЩЕНИЮ 1",VLOOKUP(C3472,'Справочник соответствий'!A$2:D$2981,3,FALSE)))</f>
        <v>ЭТАЖ ЗАДАН ЧИСЛОМ</v>
      </c>
      <c r="M3472" s="13" t="b">
        <f t="shared" si="379"/>
        <v>0</v>
      </c>
      <c r="N3472" s="13">
        <f t="shared" si="380"/>
        <v>2</v>
      </c>
      <c r="O3472" s="13" t="str">
        <f t="shared" si="381"/>
        <v>ЭТАЖ ЗАДАН ЧИСЛОМ</v>
      </c>
      <c r="P3472" s="13" t="str">
        <f t="shared" si="382"/>
        <v>ЭТАЖ ЗАДАН ЧИСЛОМ</v>
      </c>
      <c r="Q3472" s="13" t="str">
        <f t="shared" si="383"/>
        <v>ГОТОВ_ИЗМЕНЕН</v>
      </c>
      <c r="R3472" s="13">
        <f>IFERROR(VLOOKUP(P3472,Лист1!A$1:B$20,2,FALSE),0)</f>
        <v>784</v>
      </c>
      <c r="S3472" s="13">
        <f t="shared" si="384"/>
        <v>0</v>
      </c>
    </row>
    <row r="3473" spans="1:19" x14ac:dyDescent="0.25">
      <c r="A3473" s="24" t="s">
        <v>4607</v>
      </c>
      <c r="B3473" s="4" t="s">
        <v>1059</v>
      </c>
      <c r="C3473" s="25" t="s">
        <v>5</v>
      </c>
      <c r="G3473" s="25" t="s">
        <v>1060</v>
      </c>
      <c r="H3473" s="24" t="s">
        <v>1061</v>
      </c>
      <c r="I3473" s="3" t="str">
        <f>IFERROR(VLOOKUP(C3473,'Справочник соответствий'!A$2:D$2981,2,FALSE),IF(VALUE(C3473)=0,1,VLOOKUP(C3473,'Справочник соответствий'!A$2:D$2981,2,FALSE)))</f>
        <v>1</v>
      </c>
      <c r="J3473" s="3">
        <f>IFERROR(VLOOKUP(D3473,'Справочник соответствий'!A$2:D$2981,2,FALSE),IF(VALUE(D3473)=0,0,VLOOKUP(D3473,'Справочник соответствий'!A$2:D$2981,2,FALSE)))</f>
        <v>0</v>
      </c>
      <c r="K3473" s="3" t="str">
        <f t="shared" si="378"/>
        <v>1</v>
      </c>
      <c r="L3473" s="13" t="str">
        <f>IFERROR(VLOOKUP(C3473,'Справочник соответствий'!A$2:D$2981,3,FALSE),IF(VALUE(C3473)=0,"ЭТАЖ НЕ ОПРЕДЕЛЕН. ПРИНЯТ ПО ДОПУЩЕНИЮ 1",VLOOKUP(C3473,'Справочник соответствий'!A$2:D$2981,3,FALSE)))</f>
        <v>ЭТАЖ ЗАДАН ЧИСЛОМ</v>
      </c>
      <c r="M3473" s="13" t="b">
        <f t="shared" si="379"/>
        <v>0</v>
      </c>
      <c r="N3473" s="13">
        <f t="shared" si="380"/>
        <v>1</v>
      </c>
      <c r="O3473" s="13" t="str">
        <f t="shared" si="381"/>
        <v>ЭТАЖ ЗАДАН ЧИСЛОМ</v>
      </c>
      <c r="P3473" s="13" t="str">
        <f t="shared" si="382"/>
        <v>ЭТАЖ ЗАДАН ЧИСЛОМ</v>
      </c>
      <c r="Q3473" s="13" t="str">
        <f t="shared" si="383"/>
        <v>ГОТОВ_ИЗМЕНЕН</v>
      </c>
      <c r="R3473" s="13">
        <f>IFERROR(VLOOKUP(P3473,Лист1!A$1:B$20,2,FALSE),0)</f>
        <v>784</v>
      </c>
      <c r="S3473" s="13">
        <f t="shared" si="384"/>
        <v>0</v>
      </c>
    </row>
    <row r="3474" spans="1:19" x14ac:dyDescent="0.25">
      <c r="A3474" s="24" t="s">
        <v>4608</v>
      </c>
      <c r="B3474" s="4" t="s">
        <v>1059</v>
      </c>
      <c r="C3474" s="25" t="s">
        <v>5</v>
      </c>
      <c r="G3474" s="25" t="s">
        <v>1276</v>
      </c>
      <c r="H3474" s="24" t="s">
        <v>1061</v>
      </c>
      <c r="I3474" s="3" t="str">
        <f>IFERROR(VLOOKUP(C3474,'Справочник соответствий'!A$2:D$2981,2,FALSE),IF(VALUE(C3474)=0,1,VLOOKUP(C3474,'Справочник соответствий'!A$2:D$2981,2,FALSE)))</f>
        <v>1</v>
      </c>
      <c r="J3474" s="3">
        <f>IFERROR(VLOOKUP(D3474,'Справочник соответствий'!A$2:D$2981,2,FALSE),IF(VALUE(D3474)=0,0,VLOOKUP(D3474,'Справочник соответствий'!A$2:D$2981,2,FALSE)))</f>
        <v>0</v>
      </c>
      <c r="K3474" s="3" t="str">
        <f t="shared" si="378"/>
        <v>1</v>
      </c>
      <c r="L3474" s="13" t="str">
        <f>IFERROR(VLOOKUP(C3474,'Справочник соответствий'!A$2:D$2981,3,FALSE),IF(VALUE(C3474)=0,"ЭТАЖ НЕ ОПРЕДЕЛЕН. ПРИНЯТ ПО ДОПУЩЕНИЮ 1",VLOOKUP(C3474,'Справочник соответствий'!A$2:D$2981,3,FALSE)))</f>
        <v>ЭТАЖ ЗАДАН ЧИСЛОМ</v>
      </c>
      <c r="M3474" s="13" t="b">
        <f t="shared" si="379"/>
        <v>0</v>
      </c>
      <c r="N3474" s="13">
        <f t="shared" si="380"/>
        <v>1</v>
      </c>
      <c r="O3474" s="13" t="str">
        <f t="shared" si="381"/>
        <v>ЭТАЖ ЗАДАН ЧИСЛОМ</v>
      </c>
      <c r="P3474" s="13" t="str">
        <f t="shared" si="382"/>
        <v>ЭТАЖ ЗАДАН ЧИСЛОМ</v>
      </c>
      <c r="Q3474" s="13" t="str">
        <f t="shared" si="383"/>
        <v>ГОТОВ_ИЗМЕНЕН</v>
      </c>
      <c r="R3474" s="13">
        <f>IFERROR(VLOOKUP(P3474,Лист1!A$1:B$20,2,FALSE),0)</f>
        <v>784</v>
      </c>
      <c r="S3474" s="13">
        <f t="shared" si="384"/>
        <v>0</v>
      </c>
    </row>
    <row r="3475" spans="1:19" x14ac:dyDescent="0.25">
      <c r="A3475" s="24" t="s">
        <v>4609</v>
      </c>
      <c r="B3475" s="4" t="s">
        <v>1059</v>
      </c>
      <c r="C3475" s="25" t="s">
        <v>7</v>
      </c>
      <c r="G3475" s="25" t="s">
        <v>1096</v>
      </c>
      <c r="H3475" s="24" t="s">
        <v>1061</v>
      </c>
      <c r="I3475" s="3" t="str">
        <f>IFERROR(VLOOKUP(C3475,'Справочник соответствий'!A$2:D$2981,2,FALSE),IF(VALUE(C3475)=0,1,VLOOKUP(C3475,'Справочник соответствий'!A$2:D$2981,2,FALSE)))</f>
        <v>2</v>
      </c>
      <c r="J3475" s="3">
        <f>IFERROR(VLOOKUP(D3475,'Справочник соответствий'!A$2:D$2981,2,FALSE),IF(VALUE(D3475)=0,0,VLOOKUP(D3475,'Справочник соответствий'!A$2:D$2981,2,FALSE)))</f>
        <v>0</v>
      </c>
      <c r="K3475" s="3" t="str">
        <f t="shared" si="378"/>
        <v>2</v>
      </c>
      <c r="L3475" s="13" t="str">
        <f>IFERROR(VLOOKUP(C3475,'Справочник соответствий'!A$2:D$2981,3,FALSE),IF(VALUE(C3475)=0,"ЭТАЖ НЕ ОПРЕДЕЛЕН. ПРИНЯТ ПО ДОПУЩЕНИЮ 1",VLOOKUP(C3475,'Справочник соответствий'!A$2:D$2981,3,FALSE)))</f>
        <v>ЭТАЖ ЗАДАН ЧИСЛОМ</v>
      </c>
      <c r="M3475" s="13" t="b">
        <f t="shared" si="379"/>
        <v>0</v>
      </c>
      <c r="N3475" s="13">
        <f t="shared" si="380"/>
        <v>2</v>
      </c>
      <c r="O3475" s="13" t="str">
        <f t="shared" si="381"/>
        <v>ЭТАЖ ЗАДАН ЧИСЛОМ</v>
      </c>
      <c r="P3475" s="13" t="str">
        <f t="shared" si="382"/>
        <v>ЭТАЖ ЗАДАН ЧИСЛОМ</v>
      </c>
      <c r="Q3475" s="13" t="str">
        <f t="shared" si="383"/>
        <v>ГОТОВ_ИЗМЕНЕН</v>
      </c>
      <c r="R3475" s="13">
        <f>IFERROR(VLOOKUP(P3475,Лист1!A$1:B$20,2,FALSE),0)</f>
        <v>784</v>
      </c>
      <c r="S3475" s="13">
        <f t="shared" si="384"/>
        <v>0</v>
      </c>
    </row>
    <row r="3476" spans="1:19" x14ac:dyDescent="0.25">
      <c r="A3476" s="24" t="s">
        <v>4610</v>
      </c>
      <c r="B3476" s="4" t="s">
        <v>1059</v>
      </c>
      <c r="C3476" s="25" t="s">
        <v>5</v>
      </c>
      <c r="G3476" s="25" t="s">
        <v>1096</v>
      </c>
      <c r="H3476" s="24" t="s">
        <v>1061</v>
      </c>
      <c r="I3476" s="3" t="str">
        <f>IFERROR(VLOOKUP(C3476,'Справочник соответствий'!A$2:D$2981,2,FALSE),IF(VALUE(C3476)=0,1,VLOOKUP(C3476,'Справочник соответствий'!A$2:D$2981,2,FALSE)))</f>
        <v>1</v>
      </c>
      <c r="J3476" s="3">
        <f>IFERROR(VLOOKUP(D3476,'Справочник соответствий'!A$2:D$2981,2,FALSE),IF(VALUE(D3476)=0,0,VLOOKUP(D3476,'Справочник соответствий'!A$2:D$2981,2,FALSE)))</f>
        <v>0</v>
      </c>
      <c r="K3476" s="3" t="str">
        <f t="shared" si="378"/>
        <v>1</v>
      </c>
      <c r="L3476" s="13" t="str">
        <f>IFERROR(VLOOKUP(C3476,'Справочник соответствий'!A$2:D$2981,3,FALSE),IF(VALUE(C3476)=0,"ЭТАЖ НЕ ОПРЕДЕЛЕН. ПРИНЯТ ПО ДОПУЩЕНИЮ 1",VLOOKUP(C3476,'Справочник соответствий'!A$2:D$2981,3,FALSE)))</f>
        <v>ЭТАЖ ЗАДАН ЧИСЛОМ</v>
      </c>
      <c r="M3476" s="13" t="b">
        <f t="shared" si="379"/>
        <v>0</v>
      </c>
      <c r="N3476" s="13">
        <f t="shared" si="380"/>
        <v>1</v>
      </c>
      <c r="O3476" s="13" t="str">
        <f t="shared" si="381"/>
        <v>ЭТАЖ ЗАДАН ЧИСЛОМ</v>
      </c>
      <c r="P3476" s="13" t="str">
        <f t="shared" si="382"/>
        <v>ЭТАЖ ЗАДАН ЧИСЛОМ</v>
      </c>
      <c r="Q3476" s="13" t="str">
        <f t="shared" si="383"/>
        <v>ГОТОВ_ИЗМЕНЕН</v>
      </c>
      <c r="R3476" s="13">
        <f>IFERROR(VLOOKUP(P3476,Лист1!A$1:B$20,2,FALSE),0)</f>
        <v>784</v>
      </c>
      <c r="S3476" s="13">
        <f t="shared" si="384"/>
        <v>0</v>
      </c>
    </row>
    <row r="3477" spans="1:19" x14ac:dyDescent="0.25">
      <c r="A3477" s="24" t="s">
        <v>4611</v>
      </c>
      <c r="B3477" s="4" t="s">
        <v>1059</v>
      </c>
      <c r="C3477" s="25" t="s">
        <v>5</v>
      </c>
      <c r="G3477" s="25" t="s">
        <v>1096</v>
      </c>
      <c r="H3477" s="24" t="s">
        <v>1061</v>
      </c>
      <c r="I3477" s="3" t="str">
        <f>IFERROR(VLOOKUP(C3477,'Справочник соответствий'!A$2:D$2981,2,FALSE),IF(VALUE(C3477)=0,1,VLOOKUP(C3477,'Справочник соответствий'!A$2:D$2981,2,FALSE)))</f>
        <v>1</v>
      </c>
      <c r="J3477" s="3">
        <f>IFERROR(VLOOKUP(D3477,'Справочник соответствий'!A$2:D$2981,2,FALSE),IF(VALUE(D3477)=0,0,VLOOKUP(D3477,'Справочник соответствий'!A$2:D$2981,2,FALSE)))</f>
        <v>0</v>
      </c>
      <c r="K3477" s="3" t="str">
        <f t="shared" si="378"/>
        <v>1</v>
      </c>
      <c r="L3477" s="13" t="str">
        <f>IFERROR(VLOOKUP(C3477,'Справочник соответствий'!A$2:D$2981,3,FALSE),IF(VALUE(C3477)=0,"ЭТАЖ НЕ ОПРЕДЕЛЕН. ПРИНЯТ ПО ДОПУЩЕНИЮ 1",VLOOKUP(C3477,'Справочник соответствий'!A$2:D$2981,3,FALSE)))</f>
        <v>ЭТАЖ ЗАДАН ЧИСЛОМ</v>
      </c>
      <c r="M3477" s="13" t="b">
        <f t="shared" si="379"/>
        <v>0</v>
      </c>
      <c r="N3477" s="13">
        <f t="shared" si="380"/>
        <v>1</v>
      </c>
      <c r="O3477" s="13" t="str">
        <f t="shared" si="381"/>
        <v>ЭТАЖ ЗАДАН ЧИСЛОМ</v>
      </c>
      <c r="P3477" s="13" t="str">
        <f t="shared" si="382"/>
        <v>ЭТАЖ ЗАДАН ЧИСЛОМ</v>
      </c>
      <c r="Q3477" s="13" t="str">
        <f t="shared" si="383"/>
        <v>ГОТОВ_ИЗМЕНЕН</v>
      </c>
      <c r="R3477" s="13">
        <f>IFERROR(VLOOKUP(P3477,Лист1!A$1:B$20,2,FALSE),0)</f>
        <v>784</v>
      </c>
      <c r="S3477" s="13">
        <f t="shared" si="384"/>
        <v>0</v>
      </c>
    </row>
    <row r="3478" spans="1:19" x14ac:dyDescent="0.25">
      <c r="A3478" s="24" t="s">
        <v>4612</v>
      </c>
      <c r="B3478" s="4" t="s">
        <v>1063</v>
      </c>
      <c r="C3478" s="25" t="s">
        <v>5</v>
      </c>
      <c r="G3478" s="25" t="s">
        <v>1096</v>
      </c>
      <c r="H3478" s="24" t="s">
        <v>1061</v>
      </c>
      <c r="I3478" s="3" t="str">
        <f>IFERROR(VLOOKUP(C3478,'Справочник соответствий'!A$2:D$2981,2,FALSE),IF(VALUE(C3478)=0,1,VLOOKUP(C3478,'Справочник соответствий'!A$2:D$2981,2,FALSE)))</f>
        <v>1</v>
      </c>
      <c r="J3478" s="3">
        <f>IFERROR(VLOOKUP(D3478,'Справочник соответствий'!A$2:D$2981,2,FALSE),IF(VALUE(D3478)=0,0,VLOOKUP(D3478,'Справочник соответствий'!A$2:D$2981,2,FALSE)))</f>
        <v>0</v>
      </c>
      <c r="K3478" s="3" t="str">
        <f t="shared" si="378"/>
        <v>1</v>
      </c>
      <c r="L3478" s="13" t="str">
        <f>IFERROR(VLOOKUP(C3478,'Справочник соответствий'!A$2:D$2981,3,FALSE),IF(VALUE(C3478)=0,"ЭТАЖ НЕ ОПРЕДЕЛЕН. ПРИНЯТ ПО ДОПУЩЕНИЮ 1",VLOOKUP(C3478,'Справочник соответствий'!A$2:D$2981,3,FALSE)))</f>
        <v>ЭТАЖ ЗАДАН ЧИСЛОМ</v>
      </c>
      <c r="M3478" s="13" t="b">
        <f t="shared" si="379"/>
        <v>0</v>
      </c>
      <c r="N3478" s="13">
        <f t="shared" si="380"/>
        <v>1</v>
      </c>
      <c r="O3478" s="13" t="str">
        <f t="shared" si="381"/>
        <v>ЭТАЖ ЗАДАН ЧИСЛОМ</v>
      </c>
      <c r="P3478" s="13" t="str">
        <f t="shared" si="382"/>
        <v>ЭТАЖ ЗАДАН ЧИСЛОМ</v>
      </c>
      <c r="Q3478" s="13" t="str">
        <f t="shared" si="383"/>
        <v>ГОТОВ_ИЗМЕНЕН</v>
      </c>
      <c r="R3478" s="13">
        <f>IFERROR(VLOOKUP(P3478,Лист1!A$1:B$20,2,FALSE),0)</f>
        <v>784</v>
      </c>
      <c r="S3478" s="13">
        <f t="shared" si="384"/>
        <v>0</v>
      </c>
    </row>
    <row r="3479" spans="1:19" x14ac:dyDescent="0.25">
      <c r="A3479" s="24" t="s">
        <v>4613</v>
      </c>
      <c r="B3479" s="4" t="s">
        <v>1059</v>
      </c>
      <c r="C3479" s="25" t="s">
        <v>7</v>
      </c>
      <c r="G3479" s="25" t="s">
        <v>1096</v>
      </c>
      <c r="H3479" s="24" t="s">
        <v>1061</v>
      </c>
      <c r="I3479" s="3" t="str">
        <f>IFERROR(VLOOKUP(C3479,'Справочник соответствий'!A$2:D$2981,2,FALSE),IF(VALUE(C3479)=0,1,VLOOKUP(C3479,'Справочник соответствий'!A$2:D$2981,2,FALSE)))</f>
        <v>2</v>
      </c>
      <c r="J3479" s="3">
        <f>IFERROR(VLOOKUP(D3479,'Справочник соответствий'!A$2:D$2981,2,FALSE),IF(VALUE(D3479)=0,0,VLOOKUP(D3479,'Справочник соответствий'!A$2:D$2981,2,FALSE)))</f>
        <v>0</v>
      </c>
      <c r="K3479" s="3" t="str">
        <f t="shared" si="378"/>
        <v>2</v>
      </c>
      <c r="L3479" s="13" t="str">
        <f>IFERROR(VLOOKUP(C3479,'Справочник соответствий'!A$2:D$2981,3,FALSE),IF(VALUE(C3479)=0,"ЭТАЖ НЕ ОПРЕДЕЛЕН. ПРИНЯТ ПО ДОПУЩЕНИЮ 1",VLOOKUP(C3479,'Справочник соответствий'!A$2:D$2981,3,FALSE)))</f>
        <v>ЭТАЖ ЗАДАН ЧИСЛОМ</v>
      </c>
      <c r="M3479" s="13" t="b">
        <f t="shared" si="379"/>
        <v>0</v>
      </c>
      <c r="N3479" s="13">
        <f t="shared" si="380"/>
        <v>2</v>
      </c>
      <c r="O3479" s="13" t="str">
        <f t="shared" si="381"/>
        <v>ЭТАЖ ЗАДАН ЧИСЛОМ</v>
      </c>
      <c r="P3479" s="13" t="str">
        <f t="shared" si="382"/>
        <v>ЭТАЖ ЗАДАН ЧИСЛОМ</v>
      </c>
      <c r="Q3479" s="13" t="str">
        <f t="shared" si="383"/>
        <v>ГОТОВ_ИЗМЕНЕН</v>
      </c>
      <c r="R3479" s="13">
        <f>IFERROR(VLOOKUP(P3479,Лист1!A$1:B$20,2,FALSE),0)</f>
        <v>784</v>
      </c>
      <c r="S3479" s="13">
        <f t="shared" si="384"/>
        <v>0</v>
      </c>
    </row>
    <row r="3480" spans="1:19" x14ac:dyDescent="0.25">
      <c r="A3480" s="24" t="s">
        <v>4614</v>
      </c>
      <c r="B3480" s="4" t="s">
        <v>1059</v>
      </c>
      <c r="C3480" s="25" t="s">
        <v>7</v>
      </c>
      <c r="G3480" s="25" t="s">
        <v>1096</v>
      </c>
      <c r="H3480" s="24" t="s">
        <v>1061</v>
      </c>
      <c r="I3480" s="3" t="str">
        <f>IFERROR(VLOOKUP(C3480,'Справочник соответствий'!A$2:D$2981,2,FALSE),IF(VALUE(C3480)=0,1,VLOOKUP(C3480,'Справочник соответствий'!A$2:D$2981,2,FALSE)))</f>
        <v>2</v>
      </c>
      <c r="J3480" s="3">
        <f>IFERROR(VLOOKUP(D3480,'Справочник соответствий'!A$2:D$2981,2,FALSE),IF(VALUE(D3480)=0,0,VLOOKUP(D3480,'Справочник соответствий'!A$2:D$2981,2,FALSE)))</f>
        <v>0</v>
      </c>
      <c r="K3480" s="3" t="str">
        <f t="shared" si="378"/>
        <v>2</v>
      </c>
      <c r="L3480" s="13" t="str">
        <f>IFERROR(VLOOKUP(C3480,'Справочник соответствий'!A$2:D$2981,3,FALSE),IF(VALUE(C3480)=0,"ЭТАЖ НЕ ОПРЕДЕЛЕН. ПРИНЯТ ПО ДОПУЩЕНИЮ 1",VLOOKUP(C3480,'Справочник соответствий'!A$2:D$2981,3,FALSE)))</f>
        <v>ЭТАЖ ЗАДАН ЧИСЛОМ</v>
      </c>
      <c r="M3480" s="13" t="b">
        <f t="shared" si="379"/>
        <v>0</v>
      </c>
      <c r="N3480" s="13">
        <f t="shared" si="380"/>
        <v>2</v>
      </c>
      <c r="O3480" s="13" t="str">
        <f t="shared" si="381"/>
        <v>ЭТАЖ ЗАДАН ЧИСЛОМ</v>
      </c>
      <c r="P3480" s="13" t="str">
        <f t="shared" si="382"/>
        <v>ЭТАЖ ЗАДАН ЧИСЛОМ</v>
      </c>
      <c r="Q3480" s="13" t="str">
        <f t="shared" si="383"/>
        <v>ГОТОВ_ИЗМЕНЕН</v>
      </c>
      <c r="R3480" s="13">
        <f>IFERROR(VLOOKUP(P3480,Лист1!A$1:B$20,2,FALSE),0)</f>
        <v>784</v>
      </c>
      <c r="S3480" s="13">
        <f t="shared" si="384"/>
        <v>0</v>
      </c>
    </row>
    <row r="3481" spans="1:19" x14ac:dyDescent="0.25">
      <c r="A3481" s="24" t="s">
        <v>4615</v>
      </c>
      <c r="B3481" s="4" t="s">
        <v>1063</v>
      </c>
      <c r="C3481" s="25" t="s">
        <v>5</v>
      </c>
      <c r="G3481" s="25" t="s">
        <v>1096</v>
      </c>
      <c r="H3481" s="24" t="s">
        <v>1061</v>
      </c>
      <c r="I3481" s="3" t="str">
        <f>IFERROR(VLOOKUP(C3481,'Справочник соответствий'!A$2:D$2981,2,FALSE),IF(VALUE(C3481)=0,1,VLOOKUP(C3481,'Справочник соответствий'!A$2:D$2981,2,FALSE)))</f>
        <v>1</v>
      </c>
      <c r="J3481" s="3">
        <f>IFERROR(VLOOKUP(D3481,'Справочник соответствий'!A$2:D$2981,2,FALSE),IF(VALUE(D3481)=0,0,VLOOKUP(D3481,'Справочник соответствий'!A$2:D$2981,2,FALSE)))</f>
        <v>0</v>
      </c>
      <c r="K3481" s="3" t="str">
        <f t="shared" si="378"/>
        <v>1</v>
      </c>
      <c r="L3481" s="13" t="str">
        <f>IFERROR(VLOOKUP(C3481,'Справочник соответствий'!A$2:D$2981,3,FALSE),IF(VALUE(C3481)=0,"ЭТАЖ НЕ ОПРЕДЕЛЕН. ПРИНЯТ ПО ДОПУЩЕНИЮ 1",VLOOKUP(C3481,'Справочник соответствий'!A$2:D$2981,3,FALSE)))</f>
        <v>ЭТАЖ ЗАДАН ЧИСЛОМ</v>
      </c>
      <c r="M3481" s="13" t="b">
        <f t="shared" si="379"/>
        <v>0</v>
      </c>
      <c r="N3481" s="13">
        <f t="shared" si="380"/>
        <v>1</v>
      </c>
      <c r="O3481" s="13" t="str">
        <f t="shared" si="381"/>
        <v>ЭТАЖ ЗАДАН ЧИСЛОМ</v>
      </c>
      <c r="P3481" s="13" t="str">
        <f t="shared" si="382"/>
        <v>ЭТАЖ ЗАДАН ЧИСЛОМ</v>
      </c>
      <c r="Q3481" s="13" t="str">
        <f t="shared" si="383"/>
        <v>ГОТОВ_ИЗМЕНЕН</v>
      </c>
      <c r="R3481" s="13">
        <f>IFERROR(VLOOKUP(P3481,Лист1!A$1:B$20,2,FALSE),0)</f>
        <v>784</v>
      </c>
      <c r="S3481" s="13">
        <f t="shared" si="384"/>
        <v>0</v>
      </c>
    </row>
    <row r="3482" spans="1:19" x14ac:dyDescent="0.25">
      <c r="A3482" s="24" t="s">
        <v>4616</v>
      </c>
      <c r="B3482" s="4" t="s">
        <v>1063</v>
      </c>
      <c r="C3482" s="25" t="s">
        <v>5</v>
      </c>
      <c r="G3482" s="25" t="s">
        <v>1096</v>
      </c>
      <c r="H3482" s="24" t="s">
        <v>1061</v>
      </c>
      <c r="I3482" s="3" t="str">
        <f>IFERROR(VLOOKUP(C3482,'Справочник соответствий'!A$2:D$2981,2,FALSE),IF(VALUE(C3482)=0,1,VLOOKUP(C3482,'Справочник соответствий'!A$2:D$2981,2,FALSE)))</f>
        <v>1</v>
      </c>
      <c r="J3482" s="3">
        <f>IFERROR(VLOOKUP(D3482,'Справочник соответствий'!A$2:D$2981,2,FALSE),IF(VALUE(D3482)=0,0,VLOOKUP(D3482,'Справочник соответствий'!A$2:D$2981,2,FALSE)))</f>
        <v>0</v>
      </c>
      <c r="K3482" s="3" t="str">
        <f t="shared" si="378"/>
        <v>1</v>
      </c>
      <c r="L3482" s="13" t="str">
        <f>IFERROR(VLOOKUP(C3482,'Справочник соответствий'!A$2:D$2981,3,FALSE),IF(VALUE(C3482)=0,"ЭТАЖ НЕ ОПРЕДЕЛЕН. ПРИНЯТ ПО ДОПУЩЕНИЮ 1",VLOOKUP(C3482,'Справочник соответствий'!A$2:D$2981,3,FALSE)))</f>
        <v>ЭТАЖ ЗАДАН ЧИСЛОМ</v>
      </c>
      <c r="M3482" s="13" t="b">
        <f t="shared" si="379"/>
        <v>0</v>
      </c>
      <c r="N3482" s="13">
        <f t="shared" si="380"/>
        <v>1</v>
      </c>
      <c r="O3482" s="13" t="str">
        <f t="shared" si="381"/>
        <v>ЭТАЖ ЗАДАН ЧИСЛОМ</v>
      </c>
      <c r="P3482" s="13" t="str">
        <f t="shared" si="382"/>
        <v>ЭТАЖ ЗАДАН ЧИСЛОМ</v>
      </c>
      <c r="Q3482" s="13" t="str">
        <f t="shared" si="383"/>
        <v>ГОТОВ_ИЗМЕНЕН</v>
      </c>
      <c r="R3482" s="13">
        <f>IFERROR(VLOOKUP(P3482,Лист1!A$1:B$20,2,FALSE),0)</f>
        <v>784</v>
      </c>
      <c r="S3482" s="13">
        <f t="shared" si="384"/>
        <v>0</v>
      </c>
    </row>
    <row r="3483" spans="1:19" x14ac:dyDescent="0.25">
      <c r="A3483" s="24" t="s">
        <v>4617</v>
      </c>
      <c r="B3483" s="4" t="s">
        <v>1059</v>
      </c>
      <c r="C3483" s="25" t="s">
        <v>5</v>
      </c>
      <c r="G3483" s="25" t="s">
        <v>1096</v>
      </c>
      <c r="H3483" s="24" t="s">
        <v>1061</v>
      </c>
      <c r="I3483" s="3" t="str">
        <f>IFERROR(VLOOKUP(C3483,'Справочник соответствий'!A$2:D$2981,2,FALSE),IF(VALUE(C3483)=0,1,VLOOKUP(C3483,'Справочник соответствий'!A$2:D$2981,2,FALSE)))</f>
        <v>1</v>
      </c>
      <c r="J3483" s="3">
        <f>IFERROR(VLOOKUP(D3483,'Справочник соответствий'!A$2:D$2981,2,FALSE),IF(VALUE(D3483)=0,0,VLOOKUP(D3483,'Справочник соответствий'!A$2:D$2981,2,FALSE)))</f>
        <v>0</v>
      </c>
      <c r="K3483" s="3" t="str">
        <f t="shared" si="378"/>
        <v>1</v>
      </c>
      <c r="L3483" s="13" t="str">
        <f>IFERROR(VLOOKUP(C3483,'Справочник соответствий'!A$2:D$2981,3,FALSE),IF(VALUE(C3483)=0,"ЭТАЖ НЕ ОПРЕДЕЛЕН. ПРИНЯТ ПО ДОПУЩЕНИЮ 1",VLOOKUP(C3483,'Справочник соответствий'!A$2:D$2981,3,FALSE)))</f>
        <v>ЭТАЖ ЗАДАН ЧИСЛОМ</v>
      </c>
      <c r="M3483" s="13" t="b">
        <f t="shared" si="379"/>
        <v>0</v>
      </c>
      <c r="N3483" s="13">
        <f t="shared" si="380"/>
        <v>1</v>
      </c>
      <c r="O3483" s="13" t="str">
        <f t="shared" si="381"/>
        <v>ЭТАЖ ЗАДАН ЧИСЛОМ</v>
      </c>
      <c r="P3483" s="13" t="str">
        <f t="shared" si="382"/>
        <v>ЭТАЖ ЗАДАН ЧИСЛОМ</v>
      </c>
      <c r="Q3483" s="13" t="str">
        <f t="shared" si="383"/>
        <v>ГОТОВ_ИЗМЕНЕН</v>
      </c>
      <c r="R3483" s="13">
        <f>IFERROR(VLOOKUP(P3483,Лист1!A$1:B$20,2,FALSE),0)</f>
        <v>784</v>
      </c>
      <c r="S3483" s="13">
        <f t="shared" si="384"/>
        <v>0</v>
      </c>
    </row>
    <row r="3484" spans="1:19" x14ac:dyDescent="0.25">
      <c r="A3484" s="24" t="s">
        <v>4618</v>
      </c>
      <c r="B3484" s="4" t="s">
        <v>1059</v>
      </c>
      <c r="C3484" s="25" t="s">
        <v>5</v>
      </c>
      <c r="G3484" s="25" t="s">
        <v>3185</v>
      </c>
      <c r="H3484" s="24" t="s">
        <v>1061</v>
      </c>
      <c r="I3484" s="3" t="str">
        <f>IFERROR(VLOOKUP(C3484,'Справочник соответствий'!A$2:D$2981,2,FALSE),IF(VALUE(C3484)=0,1,VLOOKUP(C3484,'Справочник соответствий'!A$2:D$2981,2,FALSE)))</f>
        <v>1</v>
      </c>
      <c r="J3484" s="3">
        <f>IFERROR(VLOOKUP(D3484,'Справочник соответствий'!A$2:D$2981,2,FALSE),IF(VALUE(D3484)=0,0,VLOOKUP(D3484,'Справочник соответствий'!A$2:D$2981,2,FALSE)))</f>
        <v>0</v>
      </c>
      <c r="K3484" s="3" t="str">
        <f t="shared" si="378"/>
        <v>1</v>
      </c>
      <c r="L3484" s="13" t="str">
        <f>IFERROR(VLOOKUP(C3484,'Справочник соответствий'!A$2:D$2981,3,FALSE),IF(VALUE(C3484)=0,"ЭТАЖ НЕ ОПРЕДЕЛЕН. ПРИНЯТ ПО ДОПУЩЕНИЮ 1",VLOOKUP(C3484,'Справочник соответствий'!A$2:D$2981,3,FALSE)))</f>
        <v>ЭТАЖ ЗАДАН ЧИСЛОМ</v>
      </c>
      <c r="M3484" s="13" t="b">
        <f t="shared" si="379"/>
        <v>0</v>
      </c>
      <c r="N3484" s="13">
        <f t="shared" si="380"/>
        <v>1</v>
      </c>
      <c r="O3484" s="13" t="str">
        <f t="shared" si="381"/>
        <v>ЭТАЖ ЗАДАН ЧИСЛОМ</v>
      </c>
      <c r="P3484" s="13" t="str">
        <f t="shared" si="382"/>
        <v>ЭТАЖ ЗАДАН ЧИСЛОМ</v>
      </c>
      <c r="Q3484" s="13" t="str">
        <f t="shared" si="383"/>
        <v>ГОТОВ_ИЗМЕНЕН</v>
      </c>
      <c r="R3484" s="13">
        <f>IFERROR(VLOOKUP(P3484,Лист1!A$1:B$20,2,FALSE),0)</f>
        <v>784</v>
      </c>
      <c r="S3484" s="13">
        <f t="shared" si="384"/>
        <v>0</v>
      </c>
    </row>
    <row r="3485" spans="1:19" x14ac:dyDescent="0.25">
      <c r="A3485" s="24" t="s">
        <v>4619</v>
      </c>
      <c r="B3485" s="4" t="s">
        <v>1063</v>
      </c>
      <c r="G3485" s="25" t="s">
        <v>3185</v>
      </c>
      <c r="H3485" s="24" t="s">
        <v>1061</v>
      </c>
      <c r="I3485" s="3">
        <f>IFERROR(VLOOKUP(C3485,'Справочник соответствий'!A$2:D$2981,2,FALSE),IF(VALUE(C3485)=0,1,VLOOKUP(C3485,'Справочник соответствий'!A$2:D$2981,2,FALSE)))</f>
        <v>1</v>
      </c>
      <c r="J3485" s="3">
        <f>IFERROR(VLOOKUP(D3485,'Справочник соответствий'!A$2:D$2981,2,FALSE),IF(VALUE(D3485)=0,0,VLOOKUP(D3485,'Справочник соответствий'!A$2:D$2981,2,FALSE)))</f>
        <v>0</v>
      </c>
      <c r="K3485" s="3">
        <f t="shared" si="378"/>
        <v>1</v>
      </c>
      <c r="L3485" s="13" t="str">
        <f>IFERROR(VLOOKUP(C3485,'Справочник соответствий'!A$2:D$2981,3,FALSE),IF(VALUE(C3485)=0,"ЭТАЖ НЕ ОПРЕДЕЛЕН. ПРИНЯТ ПО ДОПУЩЕНИЮ 1",VLOOKUP(C3485,'Справочник соответствий'!A$2:D$2981,3,FALSE)))</f>
        <v>ЭТАЖ НЕ ОПРЕДЕЛЕН. ПРИНЯТ ПО ДОПУЩЕНИЮ 1</v>
      </c>
      <c r="M3485" s="13" t="b">
        <f t="shared" si="379"/>
        <v>0</v>
      </c>
      <c r="N3485" s="13">
        <f t="shared" si="380"/>
        <v>1</v>
      </c>
      <c r="O3485" s="13" t="str">
        <f t="shared" si="381"/>
        <v>ЭТАЖ НЕ ОПРЕДЕЛЕН. ПРИНЯТ ПО ДОПУЩЕНИЮ 1</v>
      </c>
      <c r="P3485" s="13" t="str">
        <f t="shared" si="382"/>
        <v>ЭТАЖ НЕ ОПРЕДЕЛЕН. ПРИНЯТ ПО ДОПУЩЕНИЮ 1</v>
      </c>
      <c r="Q3485" s="13" t="str">
        <f t="shared" si="383"/>
        <v>ГОТОВ_ИЗМЕНЕН</v>
      </c>
      <c r="R3485" s="13">
        <f>IFERROR(VLOOKUP(P3485,Лист1!A$1:B$20,2,FALSE),0)</f>
        <v>788</v>
      </c>
      <c r="S3485" s="13">
        <f t="shared" si="384"/>
        <v>0</v>
      </c>
    </row>
    <row r="3486" spans="1:19" x14ac:dyDescent="0.25">
      <c r="A3486" s="24" t="s">
        <v>4620</v>
      </c>
      <c r="B3486" s="4" t="s">
        <v>1063</v>
      </c>
      <c r="C3486" s="25" t="s">
        <v>5</v>
      </c>
      <c r="G3486" s="25" t="s">
        <v>3185</v>
      </c>
      <c r="H3486" s="24" t="s">
        <v>1061</v>
      </c>
      <c r="I3486" s="3" t="str">
        <f>IFERROR(VLOOKUP(C3486,'Справочник соответствий'!A$2:D$2981,2,FALSE),IF(VALUE(C3486)=0,1,VLOOKUP(C3486,'Справочник соответствий'!A$2:D$2981,2,FALSE)))</f>
        <v>1</v>
      </c>
      <c r="J3486" s="3">
        <f>IFERROR(VLOOKUP(D3486,'Справочник соответствий'!A$2:D$2981,2,FALSE),IF(VALUE(D3486)=0,0,VLOOKUP(D3486,'Справочник соответствий'!A$2:D$2981,2,FALSE)))</f>
        <v>0</v>
      </c>
      <c r="K3486" s="3" t="str">
        <f t="shared" si="378"/>
        <v>1</v>
      </c>
      <c r="L3486" s="13" t="str">
        <f>IFERROR(VLOOKUP(C3486,'Справочник соответствий'!A$2:D$2981,3,FALSE),IF(VALUE(C3486)=0,"ЭТАЖ НЕ ОПРЕДЕЛЕН. ПРИНЯТ ПО ДОПУЩЕНИЮ 1",VLOOKUP(C3486,'Справочник соответствий'!A$2:D$2981,3,FALSE)))</f>
        <v>ЭТАЖ ЗАДАН ЧИСЛОМ</v>
      </c>
      <c r="M3486" s="13" t="b">
        <f t="shared" si="379"/>
        <v>0</v>
      </c>
      <c r="N3486" s="13">
        <f t="shared" si="380"/>
        <v>1</v>
      </c>
      <c r="O3486" s="13" t="str">
        <f t="shared" si="381"/>
        <v>ЭТАЖ ЗАДАН ЧИСЛОМ</v>
      </c>
      <c r="P3486" s="13" t="str">
        <f t="shared" si="382"/>
        <v>ЭТАЖ ЗАДАН ЧИСЛОМ</v>
      </c>
      <c r="Q3486" s="13" t="str">
        <f t="shared" si="383"/>
        <v>ГОТОВ_ИЗМЕНЕН</v>
      </c>
      <c r="R3486" s="13">
        <f>IFERROR(VLOOKUP(P3486,Лист1!A$1:B$20,2,FALSE),0)</f>
        <v>784</v>
      </c>
      <c r="S3486" s="13">
        <f t="shared" si="384"/>
        <v>0</v>
      </c>
    </row>
    <row r="3487" spans="1:19" x14ac:dyDescent="0.25">
      <c r="A3487" s="24" t="s">
        <v>4621</v>
      </c>
      <c r="B3487" s="4" t="s">
        <v>1059</v>
      </c>
      <c r="C3487" s="25" t="s">
        <v>5</v>
      </c>
      <c r="G3487" s="25" t="s">
        <v>1069</v>
      </c>
      <c r="H3487" s="24" t="s">
        <v>1061</v>
      </c>
      <c r="I3487" s="3" t="str">
        <f>IFERROR(VLOOKUP(C3487,'Справочник соответствий'!A$2:D$2981,2,FALSE),IF(VALUE(C3487)=0,1,VLOOKUP(C3487,'Справочник соответствий'!A$2:D$2981,2,FALSE)))</f>
        <v>1</v>
      </c>
      <c r="J3487" s="3">
        <f>IFERROR(VLOOKUP(D3487,'Справочник соответствий'!A$2:D$2981,2,FALSE),IF(VALUE(D3487)=0,0,VLOOKUP(D3487,'Справочник соответствий'!A$2:D$2981,2,FALSE)))</f>
        <v>0</v>
      </c>
      <c r="K3487" s="3" t="str">
        <f t="shared" si="378"/>
        <v>1</v>
      </c>
      <c r="L3487" s="13" t="str">
        <f>IFERROR(VLOOKUP(C3487,'Справочник соответствий'!A$2:D$2981,3,FALSE),IF(VALUE(C3487)=0,"ЭТАЖ НЕ ОПРЕДЕЛЕН. ПРИНЯТ ПО ДОПУЩЕНИЮ 1",VLOOKUP(C3487,'Справочник соответствий'!A$2:D$2981,3,FALSE)))</f>
        <v>ЭТАЖ ЗАДАН ЧИСЛОМ</v>
      </c>
      <c r="M3487" s="13" t="b">
        <f t="shared" si="379"/>
        <v>0</v>
      </c>
      <c r="N3487" s="13">
        <f t="shared" si="380"/>
        <v>1</v>
      </c>
      <c r="O3487" s="13" t="str">
        <f t="shared" si="381"/>
        <v>ЭТАЖ ЗАДАН ЧИСЛОМ</v>
      </c>
      <c r="P3487" s="13" t="str">
        <f t="shared" si="382"/>
        <v>ЭТАЖ ЗАДАН ЧИСЛОМ</v>
      </c>
      <c r="Q3487" s="13" t="str">
        <f t="shared" si="383"/>
        <v>ГОТОВ_ИЗМЕНЕН</v>
      </c>
      <c r="R3487" s="13">
        <f>IFERROR(VLOOKUP(P3487,Лист1!A$1:B$20,2,FALSE),0)</f>
        <v>784</v>
      </c>
      <c r="S3487" s="13">
        <f t="shared" si="384"/>
        <v>0</v>
      </c>
    </row>
    <row r="3488" spans="1:19" x14ac:dyDescent="0.25">
      <c r="A3488" s="24" t="s">
        <v>4622</v>
      </c>
      <c r="B3488" s="4" t="s">
        <v>1063</v>
      </c>
      <c r="C3488" s="25" t="s">
        <v>7</v>
      </c>
      <c r="D3488" s="25" t="s">
        <v>5</v>
      </c>
      <c r="G3488" s="25" t="s">
        <v>3185</v>
      </c>
      <c r="H3488" s="24" t="s">
        <v>1061</v>
      </c>
      <c r="I3488" s="3" t="str">
        <f>IFERROR(VLOOKUP(C3488,'Справочник соответствий'!A$2:D$2981,2,FALSE),IF(VALUE(C3488)=0,1,VLOOKUP(C3488,'Справочник соответствий'!A$2:D$2981,2,FALSE)))</f>
        <v>2</v>
      </c>
      <c r="J3488" s="3" t="str">
        <f>IFERROR(VLOOKUP(D3488,'Справочник соответствий'!A$2:D$2981,2,FALSE),IF(VALUE(D3488)=0,0,VLOOKUP(D3488,'Справочник соответствий'!A$2:D$2981,2,FALSE)))</f>
        <v>1</v>
      </c>
      <c r="K3488" s="3" t="str">
        <f t="shared" si="378"/>
        <v>2</v>
      </c>
      <c r="L3488" s="13" t="str">
        <f>IFERROR(VLOOKUP(C3488,'Справочник соответствий'!A$2:D$2981,3,FALSE),IF(VALUE(C3488)=0,"ЭТАЖ НЕ ОПРЕДЕЛЕН. ПРИНЯТ ПО ДОПУЩЕНИЮ 1",VLOOKUP(C3488,'Справочник соответствий'!A$2:D$2981,3,FALSE)))</f>
        <v>ЭТАЖ ЗАДАН ЧИСЛОМ</v>
      </c>
      <c r="M3488" s="13" t="b">
        <f t="shared" si="379"/>
        <v>0</v>
      </c>
      <c r="N3488" s="13">
        <f t="shared" si="380"/>
        <v>2</v>
      </c>
      <c r="O3488" s="13" t="str">
        <f t="shared" si="381"/>
        <v>ЭТАЖ ЗАДАН ЧИСЛОМ</v>
      </c>
      <c r="P3488" s="13" t="str">
        <f t="shared" si="382"/>
        <v>ЭТАЖ ЗАДАН ЧИСЛОМ</v>
      </c>
      <c r="Q3488" s="13" t="str">
        <f t="shared" si="383"/>
        <v>ГОТОВ_ИЗМЕНЕН</v>
      </c>
      <c r="R3488" s="13">
        <f>IFERROR(VLOOKUP(P3488,Лист1!A$1:B$20,2,FALSE),0)</f>
        <v>784</v>
      </c>
      <c r="S3488" s="13">
        <f t="shared" si="384"/>
        <v>0</v>
      </c>
    </row>
    <row r="3489" spans="1:19" x14ac:dyDescent="0.25">
      <c r="A3489" s="24" t="s">
        <v>4623</v>
      </c>
      <c r="B3489" s="4" t="s">
        <v>1059</v>
      </c>
      <c r="C3489" s="25" t="s">
        <v>5</v>
      </c>
      <c r="G3489" s="25" t="s">
        <v>1075</v>
      </c>
      <c r="H3489" s="24" t="s">
        <v>1061</v>
      </c>
      <c r="I3489" s="3" t="str">
        <f>IFERROR(VLOOKUP(C3489,'Справочник соответствий'!A$2:D$2981,2,FALSE),IF(VALUE(C3489)=0,1,VLOOKUP(C3489,'Справочник соответствий'!A$2:D$2981,2,FALSE)))</f>
        <v>1</v>
      </c>
      <c r="J3489" s="3">
        <f>IFERROR(VLOOKUP(D3489,'Справочник соответствий'!A$2:D$2981,2,FALSE),IF(VALUE(D3489)=0,0,VLOOKUP(D3489,'Справочник соответствий'!A$2:D$2981,2,FALSE)))</f>
        <v>0</v>
      </c>
      <c r="K3489" s="3" t="str">
        <f t="shared" si="378"/>
        <v>1</v>
      </c>
      <c r="L3489" s="13" t="str">
        <f>IFERROR(VLOOKUP(C3489,'Справочник соответствий'!A$2:D$2981,3,FALSE),IF(VALUE(C3489)=0,"ЭТАЖ НЕ ОПРЕДЕЛЕН. ПРИНЯТ ПО ДОПУЩЕНИЮ 1",VLOOKUP(C3489,'Справочник соответствий'!A$2:D$2981,3,FALSE)))</f>
        <v>ЭТАЖ ЗАДАН ЧИСЛОМ</v>
      </c>
      <c r="M3489" s="13" t="b">
        <f t="shared" si="379"/>
        <v>0</v>
      </c>
      <c r="N3489" s="13">
        <f t="shared" si="380"/>
        <v>1</v>
      </c>
      <c r="O3489" s="13" t="str">
        <f t="shared" si="381"/>
        <v>ЭТАЖ ЗАДАН ЧИСЛОМ</v>
      </c>
      <c r="P3489" s="13" t="str">
        <f t="shared" si="382"/>
        <v>ЭТАЖ ЗАДАН ЧИСЛОМ</v>
      </c>
      <c r="Q3489" s="13" t="str">
        <f t="shared" si="383"/>
        <v>ГОТОВ_ИЗМЕНЕН</v>
      </c>
      <c r="R3489" s="13">
        <f>IFERROR(VLOOKUP(P3489,Лист1!A$1:B$20,2,FALSE),0)</f>
        <v>784</v>
      </c>
      <c r="S3489" s="13">
        <f t="shared" si="384"/>
        <v>0</v>
      </c>
    </row>
    <row r="3490" spans="1:19" x14ac:dyDescent="0.25">
      <c r="A3490" s="24" t="s">
        <v>4624</v>
      </c>
      <c r="B3490" s="4" t="s">
        <v>1063</v>
      </c>
      <c r="C3490" s="25" t="s">
        <v>5</v>
      </c>
      <c r="G3490" s="25" t="s">
        <v>1075</v>
      </c>
      <c r="H3490" s="24" t="s">
        <v>1061</v>
      </c>
      <c r="I3490" s="3" t="str">
        <f>IFERROR(VLOOKUP(C3490,'Справочник соответствий'!A$2:D$2981,2,FALSE),IF(VALUE(C3490)=0,1,VLOOKUP(C3490,'Справочник соответствий'!A$2:D$2981,2,FALSE)))</f>
        <v>1</v>
      </c>
      <c r="J3490" s="3">
        <f>IFERROR(VLOOKUP(D3490,'Справочник соответствий'!A$2:D$2981,2,FALSE),IF(VALUE(D3490)=0,0,VLOOKUP(D3490,'Справочник соответствий'!A$2:D$2981,2,FALSE)))</f>
        <v>0</v>
      </c>
      <c r="K3490" s="3" t="str">
        <f t="shared" si="378"/>
        <v>1</v>
      </c>
      <c r="L3490" s="13" t="str">
        <f>IFERROR(VLOOKUP(C3490,'Справочник соответствий'!A$2:D$2981,3,FALSE),IF(VALUE(C3490)=0,"ЭТАЖ НЕ ОПРЕДЕЛЕН. ПРИНЯТ ПО ДОПУЩЕНИЮ 1",VLOOKUP(C3490,'Справочник соответствий'!A$2:D$2981,3,FALSE)))</f>
        <v>ЭТАЖ ЗАДАН ЧИСЛОМ</v>
      </c>
      <c r="M3490" s="13" t="b">
        <f t="shared" si="379"/>
        <v>0</v>
      </c>
      <c r="N3490" s="13">
        <f t="shared" si="380"/>
        <v>1</v>
      </c>
      <c r="O3490" s="13" t="str">
        <f t="shared" si="381"/>
        <v>ЭТАЖ ЗАДАН ЧИСЛОМ</v>
      </c>
      <c r="P3490" s="13" t="str">
        <f t="shared" si="382"/>
        <v>ЭТАЖ ЗАДАН ЧИСЛОМ</v>
      </c>
      <c r="Q3490" s="13" t="str">
        <f t="shared" si="383"/>
        <v>ГОТОВ_ИЗМЕНЕН</v>
      </c>
      <c r="R3490" s="13">
        <f>IFERROR(VLOOKUP(P3490,Лист1!A$1:B$20,2,FALSE),0)</f>
        <v>784</v>
      </c>
      <c r="S3490" s="13">
        <f t="shared" si="384"/>
        <v>0</v>
      </c>
    </row>
    <row r="3491" spans="1:19" x14ac:dyDescent="0.25">
      <c r="A3491" s="24" t="s">
        <v>4625</v>
      </c>
      <c r="B3491" s="4" t="s">
        <v>1063</v>
      </c>
      <c r="C3491" s="25" t="s">
        <v>5</v>
      </c>
      <c r="D3491" s="25" t="s">
        <v>4052</v>
      </c>
      <c r="G3491" s="25" t="s">
        <v>1075</v>
      </c>
      <c r="H3491" s="24" t="s">
        <v>1061</v>
      </c>
      <c r="I3491" s="3" t="str">
        <f>IFERROR(VLOOKUP(C3491,'Справочник соответствий'!A$2:D$2981,2,FALSE),IF(VALUE(C3491)=0,1,VLOOKUP(C3491,'Справочник соответствий'!A$2:D$2981,2,FALSE)))</f>
        <v>1</v>
      </c>
      <c r="J3491" s="3" t="e">
        <f>IFERROR(VLOOKUP(D3491,'Справочник соответствий'!A$2:D$2981,2,FALSE),IF(VALUE(D3491)=0,0,VLOOKUP(D3491,'Справочник соответствий'!A$2:D$2981,2,FALSE)))</f>
        <v>#VALUE!</v>
      </c>
      <c r="K3491" s="3" t="str">
        <f t="shared" si="378"/>
        <v>1</v>
      </c>
      <c r="L3491" s="13" t="str">
        <f>IFERROR(VLOOKUP(C3491,'Справочник соответствий'!A$2:D$2981,3,FALSE),IF(VALUE(C3491)=0,"ЭТАЖ НЕ ОПРЕДЕЛЕН. ПРИНЯТ ПО ДОПУЩЕНИЮ 1",VLOOKUP(C3491,'Справочник соответствий'!A$2:D$2981,3,FALSE)))</f>
        <v>ЭТАЖ ЗАДАН ЧИСЛОМ</v>
      </c>
      <c r="M3491" s="13" t="b">
        <f t="shared" si="379"/>
        <v>0</v>
      </c>
      <c r="N3491" s="13">
        <f t="shared" si="380"/>
        <v>1</v>
      </c>
      <c r="O3491" s="13" t="str">
        <f t="shared" si="381"/>
        <v>ЭТАЖ ЗАДАН ЧИСЛОМ</v>
      </c>
      <c r="P3491" s="13" t="str">
        <f t="shared" si="382"/>
        <v>ЭТАЖ ЗАДАН ЧИСЛОМ</v>
      </c>
      <c r="Q3491" s="13" t="str">
        <f t="shared" si="383"/>
        <v>ГОТОВ_ИЗМЕНЕН</v>
      </c>
      <c r="R3491" s="13">
        <f>IFERROR(VLOOKUP(P3491,Лист1!A$1:B$20,2,FALSE),0)</f>
        <v>784</v>
      </c>
      <c r="S3491" s="13">
        <f t="shared" si="384"/>
        <v>0</v>
      </c>
    </row>
    <row r="3492" spans="1:19" x14ac:dyDescent="0.25">
      <c r="A3492" s="24" t="s">
        <v>4626</v>
      </c>
      <c r="B3492" s="4" t="s">
        <v>1063</v>
      </c>
      <c r="C3492" s="25" t="s">
        <v>5</v>
      </c>
      <c r="G3492" s="25" t="s">
        <v>1075</v>
      </c>
      <c r="H3492" s="24" t="s">
        <v>1061</v>
      </c>
      <c r="I3492" s="3" t="str">
        <f>IFERROR(VLOOKUP(C3492,'Справочник соответствий'!A$2:D$2981,2,FALSE),IF(VALUE(C3492)=0,1,VLOOKUP(C3492,'Справочник соответствий'!A$2:D$2981,2,FALSE)))</f>
        <v>1</v>
      </c>
      <c r="J3492" s="3">
        <f>IFERROR(VLOOKUP(D3492,'Справочник соответствий'!A$2:D$2981,2,FALSE),IF(VALUE(D3492)=0,0,VLOOKUP(D3492,'Справочник соответствий'!A$2:D$2981,2,FALSE)))</f>
        <v>0</v>
      </c>
      <c r="K3492" s="3" t="str">
        <f t="shared" si="378"/>
        <v>1</v>
      </c>
      <c r="L3492" s="13" t="str">
        <f>IFERROR(VLOOKUP(C3492,'Справочник соответствий'!A$2:D$2981,3,FALSE),IF(VALUE(C3492)=0,"ЭТАЖ НЕ ОПРЕДЕЛЕН. ПРИНЯТ ПО ДОПУЩЕНИЮ 1",VLOOKUP(C3492,'Справочник соответствий'!A$2:D$2981,3,FALSE)))</f>
        <v>ЭТАЖ ЗАДАН ЧИСЛОМ</v>
      </c>
      <c r="M3492" s="13" t="b">
        <f t="shared" si="379"/>
        <v>0</v>
      </c>
      <c r="N3492" s="13">
        <f t="shared" si="380"/>
        <v>1</v>
      </c>
      <c r="O3492" s="13" t="str">
        <f t="shared" si="381"/>
        <v>ЭТАЖ ЗАДАН ЧИСЛОМ</v>
      </c>
      <c r="P3492" s="13" t="str">
        <f t="shared" si="382"/>
        <v>ЭТАЖ ЗАДАН ЧИСЛОМ</v>
      </c>
      <c r="Q3492" s="13" t="str">
        <f t="shared" si="383"/>
        <v>ГОТОВ_ИЗМЕНЕН</v>
      </c>
      <c r="R3492" s="13">
        <f>IFERROR(VLOOKUP(P3492,Лист1!A$1:B$20,2,FALSE),0)</f>
        <v>784</v>
      </c>
      <c r="S3492" s="13">
        <f t="shared" si="384"/>
        <v>0</v>
      </c>
    </row>
    <row r="3493" spans="1:19" x14ac:dyDescent="0.25">
      <c r="A3493" s="24" t="s">
        <v>4627</v>
      </c>
      <c r="B3493" s="4" t="s">
        <v>1063</v>
      </c>
      <c r="C3493" s="25" t="s">
        <v>5</v>
      </c>
      <c r="G3493" s="25" t="s">
        <v>1075</v>
      </c>
      <c r="H3493" s="24" t="s">
        <v>1061</v>
      </c>
      <c r="I3493" s="3" t="str">
        <f>IFERROR(VLOOKUP(C3493,'Справочник соответствий'!A$2:D$2981,2,FALSE),IF(VALUE(C3493)=0,1,VLOOKUP(C3493,'Справочник соответствий'!A$2:D$2981,2,FALSE)))</f>
        <v>1</v>
      </c>
      <c r="J3493" s="3">
        <f>IFERROR(VLOOKUP(D3493,'Справочник соответствий'!A$2:D$2981,2,FALSE),IF(VALUE(D3493)=0,0,VLOOKUP(D3493,'Справочник соответствий'!A$2:D$2981,2,FALSE)))</f>
        <v>0</v>
      </c>
      <c r="K3493" s="3" t="str">
        <f t="shared" si="378"/>
        <v>1</v>
      </c>
      <c r="L3493" s="13" t="str">
        <f>IFERROR(VLOOKUP(C3493,'Справочник соответствий'!A$2:D$2981,3,FALSE),IF(VALUE(C3493)=0,"ЭТАЖ НЕ ОПРЕДЕЛЕН. ПРИНЯТ ПО ДОПУЩЕНИЮ 1",VLOOKUP(C3493,'Справочник соответствий'!A$2:D$2981,3,FALSE)))</f>
        <v>ЭТАЖ ЗАДАН ЧИСЛОМ</v>
      </c>
      <c r="M3493" s="13" t="b">
        <f t="shared" si="379"/>
        <v>0</v>
      </c>
      <c r="N3493" s="13">
        <f t="shared" si="380"/>
        <v>1</v>
      </c>
      <c r="O3493" s="13" t="str">
        <f t="shared" si="381"/>
        <v>ЭТАЖ ЗАДАН ЧИСЛОМ</v>
      </c>
      <c r="P3493" s="13" t="str">
        <f t="shared" si="382"/>
        <v>ЭТАЖ ЗАДАН ЧИСЛОМ</v>
      </c>
      <c r="Q3493" s="13" t="str">
        <f t="shared" si="383"/>
        <v>ГОТОВ_ИЗМЕНЕН</v>
      </c>
      <c r="R3493" s="13">
        <f>IFERROR(VLOOKUP(P3493,Лист1!A$1:B$20,2,FALSE),0)</f>
        <v>784</v>
      </c>
      <c r="S3493" s="13">
        <f t="shared" si="384"/>
        <v>0</v>
      </c>
    </row>
    <row r="3494" spans="1:19" x14ac:dyDescent="0.25">
      <c r="A3494" s="24" t="s">
        <v>4628</v>
      </c>
      <c r="B3494" s="4" t="s">
        <v>1059</v>
      </c>
      <c r="C3494" s="25" t="s">
        <v>5</v>
      </c>
      <c r="G3494" s="25" t="s">
        <v>1069</v>
      </c>
      <c r="H3494" s="24" t="s">
        <v>1061</v>
      </c>
      <c r="I3494" s="3" t="str">
        <f>IFERROR(VLOOKUP(C3494,'Справочник соответствий'!A$2:D$2981,2,FALSE),IF(VALUE(C3494)=0,1,VLOOKUP(C3494,'Справочник соответствий'!A$2:D$2981,2,FALSE)))</f>
        <v>1</v>
      </c>
      <c r="J3494" s="3">
        <f>IFERROR(VLOOKUP(D3494,'Справочник соответствий'!A$2:D$2981,2,FALSE),IF(VALUE(D3494)=0,0,VLOOKUP(D3494,'Справочник соответствий'!A$2:D$2981,2,FALSE)))</f>
        <v>0</v>
      </c>
      <c r="K3494" s="3" t="str">
        <f t="shared" si="378"/>
        <v>1</v>
      </c>
      <c r="L3494" s="13" t="str">
        <f>IFERROR(VLOOKUP(C3494,'Справочник соответствий'!A$2:D$2981,3,FALSE),IF(VALUE(C3494)=0,"ЭТАЖ НЕ ОПРЕДЕЛЕН. ПРИНЯТ ПО ДОПУЩЕНИЮ 1",VLOOKUP(C3494,'Справочник соответствий'!A$2:D$2981,3,FALSE)))</f>
        <v>ЭТАЖ ЗАДАН ЧИСЛОМ</v>
      </c>
      <c r="M3494" s="13" t="b">
        <f t="shared" si="379"/>
        <v>0</v>
      </c>
      <c r="N3494" s="13">
        <f t="shared" si="380"/>
        <v>1</v>
      </c>
      <c r="O3494" s="13" t="str">
        <f t="shared" si="381"/>
        <v>ЭТАЖ ЗАДАН ЧИСЛОМ</v>
      </c>
      <c r="P3494" s="13" t="str">
        <f t="shared" si="382"/>
        <v>ЭТАЖ ЗАДАН ЧИСЛОМ</v>
      </c>
      <c r="Q3494" s="13" t="str">
        <f t="shared" si="383"/>
        <v>ГОТОВ_ИЗМЕНЕН</v>
      </c>
      <c r="R3494" s="13">
        <f>IFERROR(VLOOKUP(P3494,Лист1!A$1:B$20,2,FALSE),0)</f>
        <v>784</v>
      </c>
      <c r="S3494" s="13">
        <f t="shared" si="384"/>
        <v>0</v>
      </c>
    </row>
    <row r="3495" spans="1:19" x14ac:dyDescent="0.25">
      <c r="A3495" s="24" t="s">
        <v>4629</v>
      </c>
      <c r="B3495" s="4" t="s">
        <v>1063</v>
      </c>
      <c r="C3495" s="25" t="s">
        <v>5</v>
      </c>
      <c r="G3495" s="25" t="s">
        <v>1069</v>
      </c>
      <c r="H3495" s="24" t="s">
        <v>1061</v>
      </c>
      <c r="I3495" s="3" t="str">
        <f>IFERROR(VLOOKUP(C3495,'Справочник соответствий'!A$2:D$2981,2,FALSE),IF(VALUE(C3495)=0,1,VLOOKUP(C3495,'Справочник соответствий'!A$2:D$2981,2,FALSE)))</f>
        <v>1</v>
      </c>
      <c r="J3495" s="3">
        <f>IFERROR(VLOOKUP(D3495,'Справочник соответствий'!A$2:D$2981,2,FALSE),IF(VALUE(D3495)=0,0,VLOOKUP(D3495,'Справочник соответствий'!A$2:D$2981,2,FALSE)))</f>
        <v>0</v>
      </c>
      <c r="K3495" s="3" t="str">
        <f t="shared" si="378"/>
        <v>1</v>
      </c>
      <c r="L3495" s="13" t="str">
        <f>IFERROR(VLOOKUP(C3495,'Справочник соответствий'!A$2:D$2981,3,FALSE),IF(VALUE(C3495)=0,"ЭТАЖ НЕ ОПРЕДЕЛЕН. ПРИНЯТ ПО ДОПУЩЕНИЮ 1",VLOOKUP(C3495,'Справочник соответствий'!A$2:D$2981,3,FALSE)))</f>
        <v>ЭТАЖ ЗАДАН ЧИСЛОМ</v>
      </c>
      <c r="M3495" s="13" t="b">
        <f t="shared" si="379"/>
        <v>0</v>
      </c>
      <c r="N3495" s="13">
        <f t="shared" si="380"/>
        <v>1</v>
      </c>
      <c r="O3495" s="13" t="str">
        <f t="shared" si="381"/>
        <v>ЭТАЖ ЗАДАН ЧИСЛОМ</v>
      </c>
      <c r="P3495" s="13" t="str">
        <f t="shared" si="382"/>
        <v>ЭТАЖ ЗАДАН ЧИСЛОМ</v>
      </c>
      <c r="Q3495" s="13" t="str">
        <f t="shared" si="383"/>
        <v>ГОТОВ_ИЗМЕНЕН</v>
      </c>
      <c r="R3495" s="13">
        <f>IFERROR(VLOOKUP(P3495,Лист1!A$1:B$20,2,FALSE),0)</f>
        <v>784</v>
      </c>
      <c r="S3495" s="13">
        <f t="shared" si="384"/>
        <v>0</v>
      </c>
    </row>
    <row r="3496" spans="1:19" x14ac:dyDescent="0.25">
      <c r="A3496" s="24" t="s">
        <v>4630</v>
      </c>
      <c r="B3496" s="4" t="s">
        <v>1059</v>
      </c>
      <c r="C3496" s="25" t="s">
        <v>8</v>
      </c>
      <c r="D3496" s="25" t="s">
        <v>5</v>
      </c>
      <c r="G3496" s="25" t="s">
        <v>1075</v>
      </c>
      <c r="H3496" s="24" t="s">
        <v>1061</v>
      </c>
      <c r="I3496" s="3" t="str">
        <f>IFERROR(VLOOKUP(C3496,'Справочник соответствий'!A$2:D$2981,2,FALSE),IF(VALUE(C3496)=0,1,VLOOKUP(C3496,'Справочник соответствий'!A$2:D$2981,2,FALSE)))</f>
        <v>3</v>
      </c>
      <c r="J3496" s="3" t="str">
        <f>IFERROR(VLOOKUP(D3496,'Справочник соответствий'!A$2:D$2981,2,FALSE),IF(VALUE(D3496)=0,0,VLOOKUP(D3496,'Справочник соответствий'!A$2:D$2981,2,FALSE)))</f>
        <v>1</v>
      </c>
      <c r="K3496" s="3" t="str">
        <f t="shared" si="378"/>
        <v>3</v>
      </c>
      <c r="L3496" s="13" t="str">
        <f>IFERROR(VLOOKUP(C3496,'Справочник соответствий'!A$2:D$2981,3,FALSE),IF(VALUE(C3496)=0,"ЭТАЖ НЕ ОПРЕДЕЛЕН. ПРИНЯТ ПО ДОПУЩЕНИЮ 1",VLOOKUP(C3496,'Справочник соответствий'!A$2:D$2981,3,FALSE)))</f>
        <v>ЭТАЖ ЗАДАН ЧИСЛОМ</v>
      </c>
      <c r="M3496" s="13" t="b">
        <f t="shared" si="379"/>
        <v>0</v>
      </c>
      <c r="N3496" s="13">
        <f t="shared" si="380"/>
        <v>3</v>
      </c>
      <c r="O3496" s="13" t="str">
        <f t="shared" si="381"/>
        <v>ЭТАЖ ЗАДАН ЧИСЛОМ</v>
      </c>
      <c r="P3496" s="13" t="str">
        <f t="shared" si="382"/>
        <v>ЭТАЖ ЗАДАН ЧИСЛОМ</v>
      </c>
      <c r="Q3496" s="13" t="str">
        <f t="shared" si="383"/>
        <v>ГОТОВ_ИЗМЕНЕН</v>
      </c>
      <c r="R3496" s="13">
        <f>IFERROR(VLOOKUP(P3496,Лист1!A$1:B$20,2,FALSE),0)</f>
        <v>784</v>
      </c>
      <c r="S3496" s="13">
        <f t="shared" si="384"/>
        <v>0</v>
      </c>
    </row>
    <row r="3497" spans="1:19" x14ac:dyDescent="0.25">
      <c r="A3497" s="24" t="s">
        <v>4631</v>
      </c>
      <c r="B3497" s="4" t="s">
        <v>1059</v>
      </c>
      <c r="C3497" s="25" t="s">
        <v>5</v>
      </c>
      <c r="G3497" s="25" t="s">
        <v>1069</v>
      </c>
      <c r="H3497" s="24" t="s">
        <v>1061</v>
      </c>
      <c r="I3497" s="3" t="str">
        <f>IFERROR(VLOOKUP(C3497,'Справочник соответствий'!A$2:D$2981,2,FALSE),IF(VALUE(C3497)=0,1,VLOOKUP(C3497,'Справочник соответствий'!A$2:D$2981,2,FALSE)))</f>
        <v>1</v>
      </c>
      <c r="J3497" s="3">
        <f>IFERROR(VLOOKUP(D3497,'Справочник соответствий'!A$2:D$2981,2,FALSE),IF(VALUE(D3497)=0,0,VLOOKUP(D3497,'Справочник соответствий'!A$2:D$2981,2,FALSE)))</f>
        <v>0</v>
      </c>
      <c r="K3497" s="3" t="str">
        <f t="shared" si="378"/>
        <v>1</v>
      </c>
      <c r="L3497" s="13" t="str">
        <f>IFERROR(VLOOKUP(C3497,'Справочник соответствий'!A$2:D$2981,3,FALSE),IF(VALUE(C3497)=0,"ЭТАЖ НЕ ОПРЕДЕЛЕН. ПРИНЯТ ПО ДОПУЩЕНИЮ 1",VLOOKUP(C3497,'Справочник соответствий'!A$2:D$2981,3,FALSE)))</f>
        <v>ЭТАЖ ЗАДАН ЧИСЛОМ</v>
      </c>
      <c r="M3497" s="13" t="b">
        <f t="shared" si="379"/>
        <v>0</v>
      </c>
      <c r="N3497" s="13">
        <f t="shared" si="380"/>
        <v>1</v>
      </c>
      <c r="O3497" s="13" t="str">
        <f t="shared" si="381"/>
        <v>ЭТАЖ ЗАДАН ЧИСЛОМ</v>
      </c>
      <c r="P3497" s="13" t="str">
        <f t="shared" si="382"/>
        <v>ЭТАЖ ЗАДАН ЧИСЛОМ</v>
      </c>
      <c r="Q3497" s="13" t="str">
        <f t="shared" si="383"/>
        <v>ГОТОВ_ИЗМЕНЕН</v>
      </c>
      <c r="R3497" s="13">
        <f>IFERROR(VLOOKUP(P3497,Лист1!A$1:B$20,2,FALSE),0)</f>
        <v>784</v>
      </c>
      <c r="S3497" s="13">
        <f t="shared" si="384"/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38" sqref="A38"/>
    </sheetView>
  </sheetViews>
  <sheetFormatPr defaultRowHeight="15" x14ac:dyDescent="0.25"/>
  <cols>
    <col min="1" max="1" width="151.5703125" customWidth="1"/>
    <col min="2" max="2" width="12.7109375" customWidth="1"/>
  </cols>
  <sheetData>
    <row r="1" spans="1:2" x14ac:dyDescent="0.25">
      <c r="A1" s="7" t="s">
        <v>1011</v>
      </c>
      <c r="B1" s="9">
        <v>784</v>
      </c>
    </row>
    <row r="2" spans="1:2" x14ac:dyDescent="0.25">
      <c r="A2" s="7" t="s">
        <v>1013</v>
      </c>
      <c r="B2" s="9">
        <v>785</v>
      </c>
    </row>
    <row r="3" spans="1:2" x14ac:dyDescent="0.25">
      <c r="A3" s="7" t="s">
        <v>1025</v>
      </c>
      <c r="B3" s="9">
        <v>786</v>
      </c>
    </row>
    <row r="4" spans="1:2" x14ac:dyDescent="0.25">
      <c r="A4" s="7" t="s">
        <v>1026</v>
      </c>
      <c r="B4" s="9">
        <v>787</v>
      </c>
    </row>
    <row r="5" spans="1:2" x14ac:dyDescent="0.25">
      <c r="A5" s="7" t="s">
        <v>6</v>
      </c>
      <c r="B5" s="9">
        <v>214</v>
      </c>
    </row>
    <row r="6" spans="1:2" x14ac:dyDescent="0.25">
      <c r="A6" s="7" t="s">
        <v>1010</v>
      </c>
      <c r="B6" s="9">
        <v>788</v>
      </c>
    </row>
    <row r="7" spans="1:2" x14ac:dyDescent="0.25">
      <c r="A7" t="s">
        <v>1040</v>
      </c>
      <c r="B7">
        <v>788</v>
      </c>
    </row>
    <row r="8" spans="1:2" x14ac:dyDescent="0.25">
      <c r="A8" t="s">
        <v>1045</v>
      </c>
      <c r="B8" s="9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2"/>
  <sheetViews>
    <sheetView workbookViewId="0">
      <pane ySplit="1" topLeftCell="A1002" activePane="bottomLeft" state="frozen"/>
      <selection pane="bottomLeft" activeCell="A1019" sqref="A1019:XFD1033"/>
    </sheetView>
  </sheetViews>
  <sheetFormatPr defaultRowHeight="15" x14ac:dyDescent="0.25"/>
  <cols>
    <col min="1" max="1" width="29.5703125" style="3" customWidth="1"/>
    <col min="2" max="2" width="27.7109375" customWidth="1"/>
    <col min="3" max="3" width="50.85546875" customWidth="1"/>
  </cols>
  <sheetData>
    <row r="1" spans="1:3" x14ac:dyDescent="0.25">
      <c r="A1" s="19" t="s">
        <v>3</v>
      </c>
      <c r="B1" t="s">
        <v>157</v>
      </c>
      <c r="C1" t="s">
        <v>1012</v>
      </c>
    </row>
    <row r="2" spans="1:3" x14ac:dyDescent="0.25">
      <c r="A2" s="3" t="s">
        <v>5</v>
      </c>
      <c r="B2" t="s">
        <v>5</v>
      </c>
      <c r="C2" t="s">
        <v>1011</v>
      </c>
    </row>
    <row r="3" spans="1:3" x14ac:dyDescent="0.25">
      <c r="A3" s="3" t="s">
        <v>7</v>
      </c>
      <c r="B3" t="s">
        <v>7</v>
      </c>
      <c r="C3" t="s">
        <v>1011</v>
      </c>
    </row>
    <row r="4" spans="1:3" x14ac:dyDescent="0.25">
      <c r="A4" s="3" t="s">
        <v>8</v>
      </c>
      <c r="B4" t="s">
        <v>8</v>
      </c>
      <c r="C4" t="s">
        <v>1011</v>
      </c>
    </row>
    <row r="5" spans="1:3" x14ac:dyDescent="0.25">
      <c r="A5" s="3" t="s">
        <v>12</v>
      </c>
      <c r="B5" t="s">
        <v>12</v>
      </c>
      <c r="C5" t="s">
        <v>1011</v>
      </c>
    </row>
    <row r="6" spans="1:3" x14ac:dyDescent="0.25">
      <c r="A6" s="3" t="s">
        <v>16</v>
      </c>
      <c r="B6" t="s">
        <v>16</v>
      </c>
      <c r="C6" t="s">
        <v>1011</v>
      </c>
    </row>
    <row r="7" spans="1:3" x14ac:dyDescent="0.25">
      <c r="A7" s="3" t="s">
        <v>11</v>
      </c>
      <c r="B7" t="s">
        <v>11</v>
      </c>
      <c r="C7" t="s">
        <v>1011</v>
      </c>
    </row>
    <row r="8" spans="1:3" x14ac:dyDescent="0.25">
      <c r="A8" s="3" t="s">
        <v>28</v>
      </c>
      <c r="B8" t="s">
        <v>28</v>
      </c>
      <c r="C8" t="s">
        <v>1011</v>
      </c>
    </row>
    <row r="9" spans="1:3" x14ac:dyDescent="0.25">
      <c r="A9" s="3" t="s">
        <v>33</v>
      </c>
      <c r="B9" t="s">
        <v>33</v>
      </c>
      <c r="C9" t="s">
        <v>1011</v>
      </c>
    </row>
    <row r="10" spans="1:3" x14ac:dyDescent="0.25">
      <c r="A10" s="3" t="s">
        <v>18</v>
      </c>
      <c r="B10" t="s">
        <v>18</v>
      </c>
      <c r="C10" t="s">
        <v>1011</v>
      </c>
    </row>
    <row r="11" spans="1:3" x14ac:dyDescent="0.25">
      <c r="A11" s="3" t="s">
        <v>15</v>
      </c>
      <c r="B11" t="s">
        <v>15</v>
      </c>
      <c r="C11" t="s">
        <v>1011</v>
      </c>
    </row>
    <row r="12" spans="1:3" x14ac:dyDescent="0.25">
      <c r="A12" s="3" t="s">
        <v>39</v>
      </c>
      <c r="B12" t="s">
        <v>39</v>
      </c>
      <c r="C12" t="s">
        <v>1011</v>
      </c>
    </row>
    <row r="13" spans="1:3" x14ac:dyDescent="0.25">
      <c r="A13" s="3" t="s">
        <v>31</v>
      </c>
      <c r="B13" t="s">
        <v>31</v>
      </c>
      <c r="C13" t="s">
        <v>1011</v>
      </c>
    </row>
    <row r="14" spans="1:3" x14ac:dyDescent="0.25">
      <c r="A14" s="3" t="s">
        <v>86</v>
      </c>
      <c r="B14" t="s">
        <v>86</v>
      </c>
      <c r="C14" t="s">
        <v>1011</v>
      </c>
    </row>
    <row r="15" spans="1:3" x14ac:dyDescent="0.25">
      <c r="A15" s="3" t="s">
        <v>100</v>
      </c>
      <c r="B15" t="s">
        <v>100</v>
      </c>
      <c r="C15" t="s">
        <v>1011</v>
      </c>
    </row>
    <row r="16" spans="1:3" x14ac:dyDescent="0.25">
      <c r="A16" s="3" t="s">
        <v>91</v>
      </c>
      <c r="B16" t="s">
        <v>91</v>
      </c>
      <c r="C16" t="s">
        <v>1011</v>
      </c>
    </row>
    <row r="17" spans="1:3" x14ac:dyDescent="0.25">
      <c r="A17" s="3" t="s">
        <v>70</v>
      </c>
      <c r="B17" t="s">
        <v>70</v>
      </c>
      <c r="C17" t="s">
        <v>1011</v>
      </c>
    </row>
    <row r="18" spans="1:3" x14ac:dyDescent="0.25">
      <c r="A18" s="3" t="s">
        <v>14</v>
      </c>
      <c r="B18" t="s">
        <v>14</v>
      </c>
      <c r="C18" t="s">
        <v>1011</v>
      </c>
    </row>
    <row r="19" spans="1:3" x14ac:dyDescent="0.25">
      <c r="A19" s="3" t="s">
        <v>82</v>
      </c>
      <c r="B19" t="s">
        <v>82</v>
      </c>
      <c r="C19" t="s">
        <v>1011</v>
      </c>
    </row>
    <row r="20" spans="1:3" x14ac:dyDescent="0.25">
      <c r="A20" s="3" t="s">
        <v>102</v>
      </c>
      <c r="B20" t="s">
        <v>102</v>
      </c>
      <c r="C20" t="s">
        <v>1011</v>
      </c>
    </row>
    <row r="21" spans="1:3" x14ac:dyDescent="0.25">
      <c r="A21" s="3" t="s">
        <v>84</v>
      </c>
      <c r="B21" t="s">
        <v>84</v>
      </c>
      <c r="C21" t="s">
        <v>1011</v>
      </c>
    </row>
    <row r="22" spans="1:3" x14ac:dyDescent="0.25">
      <c r="A22" s="3" t="s">
        <v>112</v>
      </c>
      <c r="B22" t="s">
        <v>112</v>
      </c>
      <c r="C22" t="s">
        <v>1011</v>
      </c>
    </row>
    <row r="23" spans="1:3" x14ac:dyDescent="0.25">
      <c r="A23" s="3" t="s">
        <v>32</v>
      </c>
      <c r="B23" t="s">
        <v>32</v>
      </c>
      <c r="C23" t="s">
        <v>1011</v>
      </c>
    </row>
    <row r="24" spans="1:3" x14ac:dyDescent="0.25">
      <c r="A24" s="3" t="s">
        <v>25</v>
      </c>
      <c r="B24" t="s">
        <v>25</v>
      </c>
      <c r="C24" t="s">
        <v>1011</v>
      </c>
    </row>
    <row r="25" spans="1:3" x14ac:dyDescent="0.25">
      <c r="A25" s="3" t="s">
        <v>87</v>
      </c>
      <c r="B25" t="s">
        <v>87</v>
      </c>
      <c r="C25" t="s">
        <v>1011</v>
      </c>
    </row>
    <row r="26" spans="1:3" x14ac:dyDescent="0.25">
      <c r="A26" s="3" t="s">
        <v>97</v>
      </c>
      <c r="B26" t="s">
        <v>97</v>
      </c>
      <c r="C26" t="s">
        <v>1011</v>
      </c>
    </row>
    <row r="27" spans="1:3" x14ac:dyDescent="0.25">
      <c r="A27" s="3" t="s">
        <v>85</v>
      </c>
      <c r="B27" t="s">
        <v>85</v>
      </c>
      <c r="C27" t="s">
        <v>1011</v>
      </c>
    </row>
    <row r="28" spans="1:3" x14ac:dyDescent="0.25">
      <c r="A28" s="3" t="s">
        <v>136</v>
      </c>
      <c r="B28" t="s">
        <v>136</v>
      </c>
      <c r="C28" t="s">
        <v>1011</v>
      </c>
    </row>
    <row r="29" spans="1:3" x14ac:dyDescent="0.25">
      <c r="A29" s="3" t="s">
        <v>126</v>
      </c>
      <c r="B29" t="s">
        <v>126</v>
      </c>
      <c r="C29" t="s">
        <v>1011</v>
      </c>
    </row>
    <row r="30" spans="1:3" x14ac:dyDescent="0.25">
      <c r="A30" s="3" t="s">
        <v>115</v>
      </c>
      <c r="B30" t="s">
        <v>115</v>
      </c>
      <c r="C30" t="s">
        <v>1011</v>
      </c>
    </row>
    <row r="31" spans="1:3" x14ac:dyDescent="0.25">
      <c r="A31" s="3" t="s">
        <v>158</v>
      </c>
      <c r="B31" t="s">
        <v>158</v>
      </c>
      <c r="C31" t="s">
        <v>1011</v>
      </c>
    </row>
    <row r="32" spans="1:3" x14ac:dyDescent="0.25">
      <c r="A32" s="3" t="s">
        <v>159</v>
      </c>
      <c r="B32" t="s">
        <v>159</v>
      </c>
      <c r="C32" t="s">
        <v>1011</v>
      </c>
    </row>
    <row r="33" spans="1:3" x14ac:dyDescent="0.25">
      <c r="A33" s="3" t="s">
        <v>160</v>
      </c>
      <c r="B33" t="s">
        <v>160</v>
      </c>
      <c r="C33" t="s">
        <v>1011</v>
      </c>
    </row>
    <row r="34" spans="1:3" x14ac:dyDescent="0.25">
      <c r="A34" s="3" t="s">
        <v>124</v>
      </c>
      <c r="B34" t="s">
        <v>124</v>
      </c>
      <c r="C34" t="s">
        <v>1011</v>
      </c>
    </row>
    <row r="35" spans="1:3" x14ac:dyDescent="0.25">
      <c r="A35" s="3" t="s">
        <v>129</v>
      </c>
      <c r="B35" t="s">
        <v>129</v>
      </c>
      <c r="C35" t="s">
        <v>1011</v>
      </c>
    </row>
    <row r="36" spans="1:3" x14ac:dyDescent="0.25">
      <c r="A36" s="3" t="s">
        <v>161</v>
      </c>
      <c r="B36" t="s">
        <v>161</v>
      </c>
      <c r="C36" t="s">
        <v>1011</v>
      </c>
    </row>
    <row r="37" spans="1:3" x14ac:dyDescent="0.25">
      <c r="A37" s="3" t="s">
        <v>162</v>
      </c>
      <c r="B37" t="s">
        <v>162</v>
      </c>
      <c r="C37" t="s">
        <v>1011</v>
      </c>
    </row>
    <row r="38" spans="1:3" x14ac:dyDescent="0.25">
      <c r="A38" s="3" t="s">
        <v>163</v>
      </c>
      <c r="B38" t="s">
        <v>163</v>
      </c>
      <c r="C38" t="s">
        <v>1011</v>
      </c>
    </row>
    <row r="39" spans="1:3" x14ac:dyDescent="0.25">
      <c r="A39" s="3" t="s">
        <v>164</v>
      </c>
      <c r="B39" t="s">
        <v>164</v>
      </c>
      <c r="C39" t="s">
        <v>1011</v>
      </c>
    </row>
    <row r="40" spans="1:3" x14ac:dyDescent="0.25">
      <c r="A40" s="3" t="s">
        <v>165</v>
      </c>
      <c r="B40" t="s">
        <v>165</v>
      </c>
      <c r="C40" t="s">
        <v>1011</v>
      </c>
    </row>
    <row r="41" spans="1:3" x14ac:dyDescent="0.25">
      <c r="A41" s="3" t="s">
        <v>166</v>
      </c>
      <c r="B41" t="s">
        <v>166</v>
      </c>
      <c r="C41" t="s">
        <v>1011</v>
      </c>
    </row>
    <row r="42" spans="1:3" x14ac:dyDescent="0.25">
      <c r="A42" s="3" t="s">
        <v>167</v>
      </c>
      <c r="B42" t="s">
        <v>167</v>
      </c>
      <c r="C42" t="s">
        <v>1011</v>
      </c>
    </row>
    <row r="43" spans="1:3" x14ac:dyDescent="0.25">
      <c r="A43" s="3" t="s">
        <v>168</v>
      </c>
      <c r="B43" t="s">
        <v>168</v>
      </c>
      <c r="C43" t="s">
        <v>1011</v>
      </c>
    </row>
    <row r="44" spans="1:3" x14ac:dyDescent="0.25">
      <c r="A44" s="3" t="s">
        <v>169</v>
      </c>
      <c r="B44" t="s">
        <v>169</v>
      </c>
      <c r="C44" t="s">
        <v>1011</v>
      </c>
    </row>
    <row r="45" spans="1:3" x14ac:dyDescent="0.25">
      <c r="A45" s="3" t="s">
        <v>170</v>
      </c>
      <c r="B45" t="s">
        <v>170</v>
      </c>
      <c r="C45" t="s">
        <v>1011</v>
      </c>
    </row>
    <row r="46" spans="1:3" x14ac:dyDescent="0.25">
      <c r="A46" s="3" t="s">
        <v>171</v>
      </c>
      <c r="B46" t="s">
        <v>171</v>
      </c>
      <c r="C46" t="s">
        <v>1011</v>
      </c>
    </row>
    <row r="47" spans="1:3" x14ac:dyDescent="0.25">
      <c r="A47" s="3" t="s">
        <v>172</v>
      </c>
      <c r="B47" t="s">
        <v>172</v>
      </c>
      <c r="C47" t="s">
        <v>1011</v>
      </c>
    </row>
    <row r="48" spans="1:3" x14ac:dyDescent="0.25">
      <c r="A48" s="3" t="s">
        <v>173</v>
      </c>
      <c r="B48" t="s">
        <v>173</v>
      </c>
      <c r="C48" t="s">
        <v>1011</v>
      </c>
    </row>
    <row r="49" spans="1:3" x14ac:dyDescent="0.25">
      <c r="A49" s="3" t="s">
        <v>174</v>
      </c>
      <c r="B49" t="s">
        <v>174</v>
      </c>
      <c r="C49" t="s">
        <v>1011</v>
      </c>
    </row>
    <row r="50" spans="1:3" x14ac:dyDescent="0.25">
      <c r="A50" s="3" t="s">
        <v>175</v>
      </c>
      <c r="B50" t="s">
        <v>175</v>
      </c>
      <c r="C50" t="s">
        <v>1011</v>
      </c>
    </row>
    <row r="51" spans="1:3" x14ac:dyDescent="0.25">
      <c r="A51" s="3" t="s">
        <v>176</v>
      </c>
      <c r="B51" t="s">
        <v>176</v>
      </c>
      <c r="C51" t="s">
        <v>1011</v>
      </c>
    </row>
    <row r="52" spans="1:3" x14ac:dyDescent="0.25">
      <c r="A52" s="3" t="s">
        <v>177</v>
      </c>
      <c r="B52" t="s">
        <v>177</v>
      </c>
      <c r="C52" t="s">
        <v>1011</v>
      </c>
    </row>
    <row r="53" spans="1:3" x14ac:dyDescent="0.25">
      <c r="A53" s="3" t="s">
        <v>178</v>
      </c>
      <c r="B53" t="s">
        <v>178</v>
      </c>
      <c r="C53" t="s">
        <v>1011</v>
      </c>
    </row>
    <row r="54" spans="1:3" x14ac:dyDescent="0.25">
      <c r="A54" s="3" t="s">
        <v>179</v>
      </c>
      <c r="B54" t="s">
        <v>179</v>
      </c>
      <c r="C54" t="s">
        <v>1011</v>
      </c>
    </row>
    <row r="55" spans="1:3" x14ac:dyDescent="0.25">
      <c r="A55" s="3" t="s">
        <v>180</v>
      </c>
      <c r="B55" t="s">
        <v>180</v>
      </c>
      <c r="C55" t="s">
        <v>1011</v>
      </c>
    </row>
    <row r="56" spans="1:3" x14ac:dyDescent="0.25">
      <c r="A56" s="3" t="s">
        <v>181</v>
      </c>
      <c r="B56" t="s">
        <v>181</v>
      </c>
      <c r="C56" t="s">
        <v>1011</v>
      </c>
    </row>
    <row r="57" spans="1:3" x14ac:dyDescent="0.25">
      <c r="A57" s="3" t="s">
        <v>182</v>
      </c>
      <c r="B57" t="s">
        <v>182</v>
      </c>
      <c r="C57" t="s">
        <v>1011</v>
      </c>
    </row>
    <row r="58" spans="1:3" x14ac:dyDescent="0.25">
      <c r="A58" s="3" t="s">
        <v>183</v>
      </c>
      <c r="B58" t="s">
        <v>183</v>
      </c>
      <c r="C58" t="s">
        <v>1011</v>
      </c>
    </row>
    <row r="59" spans="1:3" x14ac:dyDescent="0.25">
      <c r="A59" s="3" t="s">
        <v>184</v>
      </c>
      <c r="B59" t="s">
        <v>184</v>
      </c>
      <c r="C59" t="s">
        <v>1011</v>
      </c>
    </row>
    <row r="60" spans="1:3" x14ac:dyDescent="0.25">
      <c r="A60" s="3" t="s">
        <v>185</v>
      </c>
      <c r="B60" t="s">
        <v>185</v>
      </c>
      <c r="C60" t="s">
        <v>1011</v>
      </c>
    </row>
    <row r="61" spans="1:3" x14ac:dyDescent="0.25">
      <c r="A61" s="3" t="s">
        <v>186</v>
      </c>
      <c r="B61" t="s">
        <v>186</v>
      </c>
      <c r="C61" t="s">
        <v>1011</v>
      </c>
    </row>
    <row r="62" spans="1:3" x14ac:dyDescent="0.25">
      <c r="A62" s="3" t="s">
        <v>187</v>
      </c>
      <c r="B62" t="s">
        <v>187</v>
      </c>
      <c r="C62" t="s">
        <v>1011</v>
      </c>
    </row>
    <row r="63" spans="1:3" x14ac:dyDescent="0.25">
      <c r="A63" s="3" t="s">
        <v>188</v>
      </c>
      <c r="B63" t="s">
        <v>188</v>
      </c>
      <c r="C63" t="s">
        <v>1011</v>
      </c>
    </row>
    <row r="64" spans="1:3" x14ac:dyDescent="0.25">
      <c r="A64" s="3" t="s">
        <v>189</v>
      </c>
      <c r="B64" t="s">
        <v>189</v>
      </c>
      <c r="C64" t="s">
        <v>1011</v>
      </c>
    </row>
    <row r="65" spans="1:3" x14ac:dyDescent="0.25">
      <c r="A65" s="3" t="s">
        <v>190</v>
      </c>
      <c r="B65" t="s">
        <v>190</v>
      </c>
      <c r="C65" t="s">
        <v>1011</v>
      </c>
    </row>
    <row r="66" spans="1:3" x14ac:dyDescent="0.25">
      <c r="A66" s="3" t="s">
        <v>191</v>
      </c>
      <c r="B66" t="s">
        <v>191</v>
      </c>
      <c r="C66" t="s">
        <v>1011</v>
      </c>
    </row>
    <row r="67" spans="1:3" x14ac:dyDescent="0.25">
      <c r="A67" s="3" t="s">
        <v>192</v>
      </c>
      <c r="B67" t="s">
        <v>192</v>
      </c>
      <c r="C67" t="s">
        <v>1011</v>
      </c>
    </row>
    <row r="68" spans="1:3" x14ac:dyDescent="0.25">
      <c r="A68" s="3" t="s">
        <v>193</v>
      </c>
      <c r="B68" t="s">
        <v>193</v>
      </c>
      <c r="C68" t="s">
        <v>1011</v>
      </c>
    </row>
    <row r="69" spans="1:3" x14ac:dyDescent="0.25">
      <c r="A69" s="3" t="s">
        <v>194</v>
      </c>
      <c r="B69" t="s">
        <v>194</v>
      </c>
      <c r="C69" t="s">
        <v>1011</v>
      </c>
    </row>
    <row r="70" spans="1:3" x14ac:dyDescent="0.25">
      <c r="A70" s="3" t="s">
        <v>195</v>
      </c>
      <c r="B70" t="s">
        <v>195</v>
      </c>
      <c r="C70" t="s">
        <v>1011</v>
      </c>
    </row>
    <row r="71" spans="1:3" x14ac:dyDescent="0.25">
      <c r="A71" s="3" t="s">
        <v>196</v>
      </c>
      <c r="B71" t="s">
        <v>100</v>
      </c>
      <c r="C71" t="s">
        <v>1013</v>
      </c>
    </row>
    <row r="72" spans="1:3" x14ac:dyDescent="0.25">
      <c r="A72" s="3" t="s">
        <v>21</v>
      </c>
      <c r="B72" t="s">
        <v>7</v>
      </c>
      <c r="C72" t="s">
        <v>1013</v>
      </c>
    </row>
    <row r="73" spans="1:3" x14ac:dyDescent="0.25">
      <c r="A73" s="3" t="s">
        <v>197</v>
      </c>
      <c r="B73" t="s">
        <v>7</v>
      </c>
      <c r="C73" t="s">
        <v>1013</v>
      </c>
    </row>
    <row r="74" spans="1:3" x14ac:dyDescent="0.25">
      <c r="A74" s="3" t="s">
        <v>198</v>
      </c>
      <c r="B74" t="s">
        <v>16</v>
      </c>
      <c r="C74" t="s">
        <v>1013</v>
      </c>
    </row>
    <row r="75" spans="1:3" x14ac:dyDescent="0.25">
      <c r="A75" s="3" t="s">
        <v>29</v>
      </c>
      <c r="B75" t="s">
        <v>8</v>
      </c>
      <c r="C75" t="s">
        <v>1013</v>
      </c>
    </row>
    <row r="76" spans="1:3" x14ac:dyDescent="0.25">
      <c r="A76" s="3" t="s">
        <v>9</v>
      </c>
      <c r="B76" t="s">
        <v>8</v>
      </c>
      <c r="C76" t="s">
        <v>1013</v>
      </c>
    </row>
    <row r="77" spans="1:3" x14ac:dyDescent="0.25">
      <c r="A77" s="3" t="s">
        <v>199</v>
      </c>
      <c r="B77" t="s">
        <v>11</v>
      </c>
      <c r="C77" t="s">
        <v>1013</v>
      </c>
    </row>
    <row r="78" spans="1:3" x14ac:dyDescent="0.25">
      <c r="A78" s="3" t="s">
        <v>200</v>
      </c>
      <c r="B78" t="s">
        <v>11</v>
      </c>
      <c r="C78" t="s">
        <v>1013</v>
      </c>
    </row>
    <row r="79" spans="1:3" x14ac:dyDescent="0.25">
      <c r="A79" s="3" t="s">
        <v>40</v>
      </c>
      <c r="B79" t="s">
        <v>7</v>
      </c>
      <c r="C79" t="s">
        <v>1013</v>
      </c>
    </row>
    <row r="80" spans="1:3" x14ac:dyDescent="0.25">
      <c r="A80" s="3" t="s">
        <v>36</v>
      </c>
      <c r="B80" t="s">
        <v>8</v>
      </c>
      <c r="C80" t="s">
        <v>1013</v>
      </c>
    </row>
    <row r="81" spans="1:3" x14ac:dyDescent="0.25">
      <c r="A81" s="3" t="s">
        <v>201</v>
      </c>
      <c r="B81" t="s">
        <v>8</v>
      </c>
      <c r="C81" t="s">
        <v>1013</v>
      </c>
    </row>
    <row r="82" spans="1:3" x14ac:dyDescent="0.25">
      <c r="A82" s="3" t="s">
        <v>202</v>
      </c>
      <c r="B82" t="s">
        <v>12</v>
      </c>
      <c r="C82" t="s">
        <v>1013</v>
      </c>
    </row>
    <row r="83" spans="1:3" x14ac:dyDescent="0.25">
      <c r="A83" s="3" t="s">
        <v>118</v>
      </c>
      <c r="B83" t="s">
        <v>70</v>
      </c>
      <c r="C83" t="s">
        <v>1013</v>
      </c>
    </row>
    <row r="84" spans="1:3" x14ac:dyDescent="0.25">
      <c r="A84" s="3" t="s">
        <v>203</v>
      </c>
      <c r="B84" t="s">
        <v>5</v>
      </c>
      <c r="C84" t="s">
        <v>1013</v>
      </c>
    </row>
    <row r="85" spans="1:3" x14ac:dyDescent="0.25">
      <c r="A85" s="3" t="s">
        <v>204</v>
      </c>
      <c r="B85" t="s">
        <v>33</v>
      </c>
      <c r="C85" t="s">
        <v>1013</v>
      </c>
    </row>
    <row r="86" spans="1:3" x14ac:dyDescent="0.25">
      <c r="A86" s="3" t="s">
        <v>57</v>
      </c>
      <c r="B86" t="s">
        <v>12</v>
      </c>
      <c r="C86" t="s">
        <v>1013</v>
      </c>
    </row>
    <row r="87" spans="1:3" x14ac:dyDescent="0.25">
      <c r="A87" s="3" t="s">
        <v>205</v>
      </c>
      <c r="B87" t="s">
        <v>91</v>
      </c>
      <c r="C87" t="s">
        <v>1013</v>
      </c>
    </row>
    <row r="88" spans="1:3" x14ac:dyDescent="0.25">
      <c r="A88" s="3" t="s">
        <v>206</v>
      </c>
      <c r="B88" t="s">
        <v>16</v>
      </c>
      <c r="C88" t="s">
        <v>1013</v>
      </c>
    </row>
    <row r="89" spans="1:3" x14ac:dyDescent="0.25">
      <c r="A89" s="3" t="s">
        <v>207</v>
      </c>
      <c r="B89" t="s">
        <v>126</v>
      </c>
      <c r="C89" t="s">
        <v>1013</v>
      </c>
    </row>
    <row r="90" spans="1:3" x14ac:dyDescent="0.25">
      <c r="A90" s="3" t="s">
        <v>208</v>
      </c>
      <c r="B90" t="s">
        <v>7</v>
      </c>
      <c r="C90" t="s">
        <v>1013</v>
      </c>
    </row>
    <row r="91" spans="1:3" x14ac:dyDescent="0.25">
      <c r="A91" s="3" t="s">
        <v>26</v>
      </c>
      <c r="B91" t="s">
        <v>12</v>
      </c>
      <c r="C91" t="s">
        <v>1013</v>
      </c>
    </row>
    <row r="92" spans="1:3" x14ac:dyDescent="0.25">
      <c r="A92" s="3" t="s">
        <v>61</v>
      </c>
      <c r="B92" t="s">
        <v>11</v>
      </c>
      <c r="C92" t="s">
        <v>1013</v>
      </c>
    </row>
    <row r="93" spans="1:3" x14ac:dyDescent="0.25">
      <c r="A93" s="3" t="s">
        <v>209</v>
      </c>
      <c r="B93" t="s">
        <v>39</v>
      </c>
      <c r="C93" t="s">
        <v>1013</v>
      </c>
    </row>
    <row r="94" spans="1:3" x14ac:dyDescent="0.25">
      <c r="A94" s="3" t="s">
        <v>210</v>
      </c>
      <c r="B94" t="s">
        <v>14</v>
      </c>
      <c r="C94" t="s">
        <v>1013</v>
      </c>
    </row>
    <row r="95" spans="1:3" x14ac:dyDescent="0.25">
      <c r="A95" s="3" t="s">
        <v>211</v>
      </c>
      <c r="B95" t="s">
        <v>87</v>
      </c>
      <c r="C95" t="s">
        <v>1013</v>
      </c>
    </row>
    <row r="96" spans="1:3" x14ac:dyDescent="0.25">
      <c r="A96" s="3" t="s">
        <v>143</v>
      </c>
      <c r="B96" t="s">
        <v>15</v>
      </c>
      <c r="C96" t="s">
        <v>1013</v>
      </c>
    </row>
    <row r="97" spans="1:3" x14ac:dyDescent="0.25">
      <c r="A97" s="3" t="s">
        <v>212</v>
      </c>
      <c r="B97" t="s">
        <v>100</v>
      </c>
      <c r="C97" t="s">
        <v>1013</v>
      </c>
    </row>
    <row r="98" spans="1:3" x14ac:dyDescent="0.25">
      <c r="A98" s="3" t="s">
        <v>34</v>
      </c>
      <c r="B98" t="s">
        <v>8</v>
      </c>
      <c r="C98" t="s">
        <v>1013</v>
      </c>
    </row>
    <row r="99" spans="1:3" x14ac:dyDescent="0.25">
      <c r="A99" s="3" t="s">
        <v>144</v>
      </c>
      <c r="B99" t="s">
        <v>31</v>
      </c>
      <c r="C99" t="s">
        <v>1013</v>
      </c>
    </row>
    <row r="100" spans="1:3" x14ac:dyDescent="0.25">
      <c r="A100" s="3" t="s">
        <v>213</v>
      </c>
      <c r="B100" t="s">
        <v>7</v>
      </c>
      <c r="C100" t="s">
        <v>1013</v>
      </c>
    </row>
    <row r="101" spans="1:3" x14ac:dyDescent="0.25">
      <c r="A101" s="3" t="s">
        <v>214</v>
      </c>
      <c r="B101" t="s">
        <v>97</v>
      </c>
      <c r="C101" t="s">
        <v>1013</v>
      </c>
    </row>
    <row r="102" spans="1:3" x14ac:dyDescent="0.25">
      <c r="A102" s="3" t="s">
        <v>215</v>
      </c>
      <c r="B102" t="s">
        <v>160</v>
      </c>
      <c r="C102" t="s">
        <v>1013</v>
      </c>
    </row>
    <row r="103" spans="1:3" x14ac:dyDescent="0.25">
      <c r="A103" s="3" t="s">
        <v>45</v>
      </c>
      <c r="B103" t="s">
        <v>16</v>
      </c>
      <c r="C103" t="s">
        <v>1013</v>
      </c>
    </row>
    <row r="104" spans="1:3" x14ac:dyDescent="0.25">
      <c r="A104" s="3" t="s">
        <v>216</v>
      </c>
      <c r="B104" t="s">
        <v>124</v>
      </c>
      <c r="C104" t="s">
        <v>1013</v>
      </c>
    </row>
    <row r="105" spans="1:3" x14ac:dyDescent="0.25">
      <c r="A105" s="3" t="s">
        <v>217</v>
      </c>
      <c r="B105" t="s">
        <v>5</v>
      </c>
      <c r="C105" t="s">
        <v>1013</v>
      </c>
    </row>
    <row r="106" spans="1:3" x14ac:dyDescent="0.25">
      <c r="A106" s="3" t="s">
        <v>43</v>
      </c>
      <c r="B106" t="s">
        <v>11</v>
      </c>
      <c r="C106" t="s">
        <v>1013</v>
      </c>
    </row>
    <row r="107" spans="1:3" x14ac:dyDescent="0.25">
      <c r="A107" s="3" t="s">
        <v>88</v>
      </c>
      <c r="B107" t="s">
        <v>16</v>
      </c>
      <c r="C107" t="s">
        <v>1013</v>
      </c>
    </row>
    <row r="108" spans="1:3" x14ac:dyDescent="0.25">
      <c r="A108" s="3" t="s">
        <v>218</v>
      </c>
      <c r="B108" t="s">
        <v>86</v>
      </c>
      <c r="C108" t="s">
        <v>1013</v>
      </c>
    </row>
    <row r="109" spans="1:3" x14ac:dyDescent="0.25">
      <c r="A109" s="3" t="s">
        <v>27</v>
      </c>
      <c r="B109" t="s">
        <v>7</v>
      </c>
      <c r="C109" t="s">
        <v>1013</v>
      </c>
    </row>
    <row r="110" spans="1:3" x14ac:dyDescent="0.25">
      <c r="A110" s="3" t="s">
        <v>152</v>
      </c>
      <c r="B110" t="s">
        <v>82</v>
      </c>
      <c r="C110" t="s">
        <v>1013</v>
      </c>
    </row>
    <row r="111" spans="1:3" x14ac:dyDescent="0.25">
      <c r="A111" s="3" t="s">
        <v>219</v>
      </c>
      <c r="B111" t="s">
        <v>91</v>
      </c>
      <c r="C111" t="s">
        <v>1013</v>
      </c>
    </row>
    <row r="112" spans="1:3" x14ac:dyDescent="0.25">
      <c r="A112" s="3" t="s">
        <v>19</v>
      </c>
      <c r="B112" t="s">
        <v>16</v>
      </c>
      <c r="C112" t="s">
        <v>1013</v>
      </c>
    </row>
    <row r="113" spans="1:3" x14ac:dyDescent="0.25">
      <c r="A113" s="3" t="s">
        <v>44</v>
      </c>
      <c r="B113" t="s">
        <v>11</v>
      </c>
      <c r="C113" t="s">
        <v>1013</v>
      </c>
    </row>
    <row r="114" spans="1:3" x14ac:dyDescent="0.25">
      <c r="A114" s="3" t="s">
        <v>220</v>
      </c>
      <c r="B114" t="s">
        <v>82</v>
      </c>
      <c r="C114" t="s">
        <v>1013</v>
      </c>
    </row>
    <row r="115" spans="1:3" x14ac:dyDescent="0.25">
      <c r="A115" s="3" t="s">
        <v>221</v>
      </c>
      <c r="B115" t="s">
        <v>91</v>
      </c>
      <c r="C115" t="s">
        <v>1013</v>
      </c>
    </row>
    <row r="116" spans="1:3" x14ac:dyDescent="0.25">
      <c r="A116" s="3" t="s">
        <v>63</v>
      </c>
      <c r="B116" t="s">
        <v>12</v>
      </c>
      <c r="C116" t="s">
        <v>1013</v>
      </c>
    </row>
    <row r="117" spans="1:3" x14ac:dyDescent="0.25">
      <c r="A117" s="3" t="s">
        <v>222</v>
      </c>
      <c r="B117" t="s">
        <v>70</v>
      </c>
      <c r="C117" t="s">
        <v>1013</v>
      </c>
    </row>
    <row r="118" spans="1:3" x14ac:dyDescent="0.25">
      <c r="A118" s="3" t="s">
        <v>223</v>
      </c>
      <c r="B118" t="s">
        <v>85</v>
      </c>
      <c r="C118" t="s">
        <v>1013</v>
      </c>
    </row>
    <row r="119" spans="1:3" x14ac:dyDescent="0.25">
      <c r="A119" s="3" t="s">
        <v>224</v>
      </c>
      <c r="B119" t="s">
        <v>85</v>
      </c>
      <c r="C119" t="s">
        <v>1013</v>
      </c>
    </row>
    <row r="120" spans="1:3" x14ac:dyDescent="0.25">
      <c r="A120" s="3" t="s">
        <v>107</v>
      </c>
      <c r="B120" t="s">
        <v>28</v>
      </c>
      <c r="C120" t="s">
        <v>1013</v>
      </c>
    </row>
    <row r="121" spans="1:3" x14ac:dyDescent="0.25">
      <c r="A121" s="3" t="s">
        <v>225</v>
      </c>
      <c r="B121" t="s">
        <v>126</v>
      </c>
      <c r="C121" t="s">
        <v>1013</v>
      </c>
    </row>
    <row r="122" spans="1:3" x14ac:dyDescent="0.25">
      <c r="A122" s="3" t="s">
        <v>226</v>
      </c>
      <c r="B122" t="s">
        <v>102</v>
      </c>
      <c r="C122" t="s">
        <v>1013</v>
      </c>
    </row>
    <row r="123" spans="1:3" x14ac:dyDescent="0.25">
      <c r="A123" s="3" t="s">
        <v>227</v>
      </c>
      <c r="B123" t="s">
        <v>70</v>
      </c>
      <c r="C123" t="s">
        <v>1013</v>
      </c>
    </row>
    <row r="124" spans="1:3" x14ac:dyDescent="0.25">
      <c r="A124" s="3" t="s">
        <v>228</v>
      </c>
      <c r="B124" t="s">
        <v>126</v>
      </c>
      <c r="C124" t="s">
        <v>1013</v>
      </c>
    </row>
    <row r="125" spans="1:3" x14ac:dyDescent="0.25">
      <c r="A125" s="3" t="s">
        <v>229</v>
      </c>
      <c r="B125" t="s">
        <v>25</v>
      </c>
      <c r="C125" t="s">
        <v>1013</v>
      </c>
    </row>
    <row r="126" spans="1:3" x14ac:dyDescent="0.25">
      <c r="A126" s="3" t="s">
        <v>230</v>
      </c>
      <c r="B126" t="s">
        <v>33</v>
      </c>
      <c r="C126" t="s">
        <v>1013</v>
      </c>
    </row>
    <row r="127" spans="1:3" x14ac:dyDescent="0.25">
      <c r="A127" s="3" t="s">
        <v>231</v>
      </c>
      <c r="B127" t="s">
        <v>91</v>
      </c>
      <c r="C127" t="s">
        <v>1013</v>
      </c>
    </row>
    <row r="128" spans="1:3" x14ac:dyDescent="0.25">
      <c r="A128" s="3" t="s">
        <v>232</v>
      </c>
      <c r="B128" t="s">
        <v>112</v>
      </c>
      <c r="C128" t="s">
        <v>1013</v>
      </c>
    </row>
    <row r="129" spans="1:3" x14ac:dyDescent="0.25">
      <c r="A129" s="3" t="s">
        <v>233</v>
      </c>
      <c r="B129" t="s">
        <v>15</v>
      </c>
      <c r="C129" t="s">
        <v>1013</v>
      </c>
    </row>
    <row r="130" spans="1:3" x14ac:dyDescent="0.25">
      <c r="A130" s="3" t="s">
        <v>125</v>
      </c>
      <c r="B130" t="s">
        <v>39</v>
      </c>
      <c r="C130" t="s">
        <v>1013</v>
      </c>
    </row>
    <row r="131" spans="1:3" x14ac:dyDescent="0.25">
      <c r="A131" s="3" t="s">
        <v>49</v>
      </c>
      <c r="B131" t="s">
        <v>12</v>
      </c>
      <c r="C131" t="s">
        <v>1013</v>
      </c>
    </row>
    <row r="132" spans="1:3" x14ac:dyDescent="0.25">
      <c r="A132" s="3" t="s">
        <v>234</v>
      </c>
      <c r="B132" t="s">
        <v>84</v>
      </c>
      <c r="C132" t="s">
        <v>1013</v>
      </c>
    </row>
    <row r="133" spans="1:3" x14ac:dyDescent="0.25">
      <c r="A133" s="3" t="s">
        <v>235</v>
      </c>
      <c r="B133" t="s">
        <v>11</v>
      </c>
      <c r="C133" t="s">
        <v>1013</v>
      </c>
    </row>
    <row r="134" spans="1:3" x14ac:dyDescent="0.25">
      <c r="A134" s="3" t="s">
        <v>130</v>
      </c>
      <c r="B134" t="s">
        <v>11</v>
      </c>
      <c r="C134" t="s">
        <v>1013</v>
      </c>
    </row>
    <row r="135" spans="1:3" x14ac:dyDescent="0.25">
      <c r="A135" s="3" t="s">
        <v>236</v>
      </c>
      <c r="B135" t="s">
        <v>100</v>
      </c>
      <c r="C135" t="s">
        <v>1013</v>
      </c>
    </row>
    <row r="136" spans="1:3" x14ac:dyDescent="0.25">
      <c r="A136" s="3" t="s">
        <v>237</v>
      </c>
      <c r="B136" t="s">
        <v>31</v>
      </c>
      <c r="C136" t="s">
        <v>1013</v>
      </c>
    </row>
    <row r="137" spans="1:3" x14ac:dyDescent="0.25">
      <c r="A137" s="3" t="s">
        <v>238</v>
      </c>
      <c r="B137" t="s">
        <v>102</v>
      </c>
      <c r="C137" t="s">
        <v>1013</v>
      </c>
    </row>
    <row r="138" spans="1:3" x14ac:dyDescent="0.25">
      <c r="A138" s="3" t="s">
        <v>239</v>
      </c>
      <c r="B138" t="s">
        <v>28</v>
      </c>
      <c r="C138" t="s">
        <v>1013</v>
      </c>
    </row>
    <row r="139" spans="1:3" x14ac:dyDescent="0.25">
      <c r="A139" s="3" t="s">
        <v>79</v>
      </c>
      <c r="B139" t="s">
        <v>12</v>
      </c>
      <c r="C139" t="s">
        <v>1013</v>
      </c>
    </row>
    <row r="140" spans="1:3" x14ac:dyDescent="0.25">
      <c r="A140" s="3" t="s">
        <v>240</v>
      </c>
      <c r="B140" t="s">
        <v>158</v>
      </c>
      <c r="C140" t="s">
        <v>1013</v>
      </c>
    </row>
    <row r="141" spans="1:3" x14ac:dyDescent="0.25">
      <c r="A141" s="3" t="s">
        <v>241</v>
      </c>
      <c r="B141" t="s">
        <v>87</v>
      </c>
      <c r="C141" t="s">
        <v>1013</v>
      </c>
    </row>
    <row r="142" spans="1:3" x14ac:dyDescent="0.25">
      <c r="A142" s="3" t="s">
        <v>242</v>
      </c>
      <c r="B142" t="s">
        <v>82</v>
      </c>
      <c r="C142" t="s">
        <v>1013</v>
      </c>
    </row>
    <row r="143" spans="1:3" x14ac:dyDescent="0.25">
      <c r="A143" s="3" t="s">
        <v>243</v>
      </c>
      <c r="B143" t="s">
        <v>129</v>
      </c>
      <c r="C143" t="s">
        <v>1013</v>
      </c>
    </row>
    <row r="144" spans="1:3" x14ac:dyDescent="0.25">
      <c r="A144" s="3" t="s">
        <v>244</v>
      </c>
      <c r="B144" t="s">
        <v>32</v>
      </c>
      <c r="C144" t="s">
        <v>1013</v>
      </c>
    </row>
    <row r="145" spans="1:3" x14ac:dyDescent="0.25">
      <c r="A145" s="3" t="s">
        <v>66</v>
      </c>
      <c r="B145" t="s">
        <v>28</v>
      </c>
      <c r="C145" t="s">
        <v>1013</v>
      </c>
    </row>
    <row r="146" spans="1:3" x14ac:dyDescent="0.25">
      <c r="A146" s="3" t="s">
        <v>245</v>
      </c>
      <c r="B146" t="s">
        <v>82</v>
      </c>
      <c r="C146" t="s">
        <v>1013</v>
      </c>
    </row>
    <row r="147" spans="1:3" x14ac:dyDescent="0.25">
      <c r="A147" s="3" t="s">
        <v>246</v>
      </c>
      <c r="B147" t="s">
        <v>39</v>
      </c>
      <c r="C147" t="s">
        <v>1013</v>
      </c>
    </row>
    <row r="148" spans="1:3" x14ac:dyDescent="0.25">
      <c r="A148" s="3" t="s">
        <v>247</v>
      </c>
      <c r="B148" t="s">
        <v>136</v>
      </c>
      <c r="C148" t="s">
        <v>1013</v>
      </c>
    </row>
    <row r="149" spans="1:3" x14ac:dyDescent="0.25">
      <c r="A149" s="3" t="s">
        <v>248</v>
      </c>
      <c r="B149" t="s">
        <v>91</v>
      </c>
      <c r="C149" t="s">
        <v>1013</v>
      </c>
    </row>
    <row r="150" spans="1:3" x14ac:dyDescent="0.25">
      <c r="A150" s="3" t="s">
        <v>249</v>
      </c>
      <c r="B150" t="s">
        <v>82</v>
      </c>
      <c r="C150" t="s">
        <v>1013</v>
      </c>
    </row>
    <row r="151" spans="1:3" x14ac:dyDescent="0.25">
      <c r="A151" s="3" t="s">
        <v>250</v>
      </c>
      <c r="B151" t="s">
        <v>70</v>
      </c>
      <c r="C151" t="s">
        <v>1013</v>
      </c>
    </row>
    <row r="152" spans="1:3" x14ac:dyDescent="0.25">
      <c r="A152" s="3" t="s">
        <v>251</v>
      </c>
      <c r="B152" t="s">
        <v>126</v>
      </c>
      <c r="C152" t="s">
        <v>1013</v>
      </c>
    </row>
    <row r="153" spans="1:3" x14ac:dyDescent="0.25">
      <c r="A153" s="3" t="s">
        <v>252</v>
      </c>
      <c r="B153" t="s">
        <v>16</v>
      </c>
      <c r="C153" t="s">
        <v>1013</v>
      </c>
    </row>
    <row r="154" spans="1:3" x14ac:dyDescent="0.25">
      <c r="A154" s="3" t="s">
        <v>253</v>
      </c>
      <c r="B154" t="s">
        <v>33</v>
      </c>
      <c r="C154" t="s">
        <v>1013</v>
      </c>
    </row>
    <row r="155" spans="1:3" x14ac:dyDescent="0.25">
      <c r="A155" s="3" t="s">
        <v>22</v>
      </c>
      <c r="B155" t="s">
        <v>8</v>
      </c>
      <c r="C155" t="s">
        <v>1013</v>
      </c>
    </row>
    <row r="156" spans="1:3" x14ac:dyDescent="0.25">
      <c r="A156" s="3" t="s">
        <v>254</v>
      </c>
      <c r="B156" t="s">
        <v>85</v>
      </c>
      <c r="C156" t="s">
        <v>1013</v>
      </c>
    </row>
    <row r="157" spans="1:3" x14ac:dyDescent="0.25">
      <c r="A157" s="3" t="s">
        <v>80</v>
      </c>
      <c r="B157" t="s">
        <v>8</v>
      </c>
      <c r="C157" t="s">
        <v>1013</v>
      </c>
    </row>
    <row r="158" spans="1:3" x14ac:dyDescent="0.25">
      <c r="A158" s="3" t="s">
        <v>255</v>
      </c>
      <c r="B158" t="s">
        <v>84</v>
      </c>
      <c r="C158" t="s">
        <v>1013</v>
      </c>
    </row>
    <row r="159" spans="1:3" x14ac:dyDescent="0.25">
      <c r="A159" s="3" t="s">
        <v>256</v>
      </c>
      <c r="B159" t="s">
        <v>5</v>
      </c>
      <c r="C159" t="s">
        <v>1013</v>
      </c>
    </row>
    <row r="160" spans="1:3" x14ac:dyDescent="0.25">
      <c r="A160" s="3" t="s">
        <v>257</v>
      </c>
      <c r="B160" t="s">
        <v>85</v>
      </c>
      <c r="C160" t="s">
        <v>1013</v>
      </c>
    </row>
    <row r="161" spans="1:3" x14ac:dyDescent="0.25">
      <c r="A161" s="3" t="s">
        <v>258</v>
      </c>
      <c r="B161" t="s">
        <v>31</v>
      </c>
      <c r="C161" t="s">
        <v>1013</v>
      </c>
    </row>
    <row r="162" spans="1:3" x14ac:dyDescent="0.25">
      <c r="A162" s="3" t="s">
        <v>259</v>
      </c>
      <c r="B162" t="s">
        <v>84</v>
      </c>
      <c r="C162" t="s">
        <v>1013</v>
      </c>
    </row>
    <row r="163" spans="1:3" x14ac:dyDescent="0.25">
      <c r="A163" s="3" t="s">
        <v>260</v>
      </c>
      <c r="B163" t="s">
        <v>82</v>
      </c>
      <c r="C163" t="s">
        <v>1013</v>
      </c>
    </row>
    <row r="164" spans="1:3" x14ac:dyDescent="0.25">
      <c r="A164" s="3" t="s">
        <v>261</v>
      </c>
      <c r="B164" t="s">
        <v>33</v>
      </c>
      <c r="C164" t="s">
        <v>1013</v>
      </c>
    </row>
    <row r="165" spans="1:3" x14ac:dyDescent="0.25">
      <c r="A165" s="3" t="s">
        <v>262</v>
      </c>
      <c r="B165" t="s">
        <v>126</v>
      </c>
      <c r="C165" t="s">
        <v>1013</v>
      </c>
    </row>
    <row r="166" spans="1:3" x14ac:dyDescent="0.25">
      <c r="A166" s="3" t="s">
        <v>263</v>
      </c>
      <c r="B166" t="s">
        <v>115</v>
      </c>
      <c r="C166" t="s">
        <v>1013</v>
      </c>
    </row>
    <row r="167" spans="1:3" x14ac:dyDescent="0.25">
      <c r="A167" s="3" t="s">
        <v>47</v>
      </c>
      <c r="B167" t="s">
        <v>8</v>
      </c>
      <c r="C167" t="s">
        <v>1013</v>
      </c>
    </row>
    <row r="168" spans="1:3" x14ac:dyDescent="0.25">
      <c r="A168" s="3" t="s">
        <v>264</v>
      </c>
      <c r="B168" t="s">
        <v>70</v>
      </c>
      <c r="C168" t="s">
        <v>1013</v>
      </c>
    </row>
    <row r="169" spans="1:3" x14ac:dyDescent="0.25">
      <c r="A169" s="3" t="s">
        <v>265</v>
      </c>
      <c r="B169" t="s">
        <v>112</v>
      </c>
      <c r="C169" t="s">
        <v>1013</v>
      </c>
    </row>
    <row r="170" spans="1:3" x14ac:dyDescent="0.25">
      <c r="A170" s="3" t="s">
        <v>266</v>
      </c>
      <c r="B170" t="s">
        <v>102</v>
      </c>
      <c r="C170" t="s">
        <v>1013</v>
      </c>
    </row>
    <row r="171" spans="1:3" x14ac:dyDescent="0.25">
      <c r="A171" s="3" t="s">
        <v>267</v>
      </c>
      <c r="B171" t="s">
        <v>82</v>
      </c>
      <c r="C171" t="s">
        <v>1013</v>
      </c>
    </row>
    <row r="172" spans="1:3" x14ac:dyDescent="0.25">
      <c r="A172" s="3" t="s">
        <v>268</v>
      </c>
      <c r="B172" t="s">
        <v>87</v>
      </c>
      <c r="C172" t="s">
        <v>1013</v>
      </c>
    </row>
    <row r="173" spans="1:3" x14ac:dyDescent="0.25">
      <c r="A173" s="3" t="s">
        <v>269</v>
      </c>
      <c r="B173" t="s">
        <v>39</v>
      </c>
      <c r="C173" t="s">
        <v>1013</v>
      </c>
    </row>
    <row r="174" spans="1:3" x14ac:dyDescent="0.25">
      <c r="A174" s="3" t="s">
        <v>270</v>
      </c>
      <c r="B174" t="s">
        <v>126</v>
      </c>
      <c r="C174" t="s">
        <v>1013</v>
      </c>
    </row>
    <row r="175" spans="1:3" x14ac:dyDescent="0.25">
      <c r="A175" s="3" t="s">
        <v>271</v>
      </c>
      <c r="B175" t="s">
        <v>102</v>
      </c>
      <c r="C175" t="s">
        <v>1013</v>
      </c>
    </row>
    <row r="176" spans="1:3" x14ac:dyDescent="0.25">
      <c r="A176" s="3" t="s">
        <v>272</v>
      </c>
      <c r="B176" t="s">
        <v>87</v>
      </c>
      <c r="C176" t="s">
        <v>1013</v>
      </c>
    </row>
    <row r="177" spans="1:3" x14ac:dyDescent="0.25">
      <c r="A177" s="3" t="s">
        <v>273</v>
      </c>
      <c r="B177" t="s">
        <v>12</v>
      </c>
      <c r="C177" t="s">
        <v>1013</v>
      </c>
    </row>
    <row r="178" spans="1:3" x14ac:dyDescent="0.25">
      <c r="A178" s="3" t="s">
        <v>274</v>
      </c>
      <c r="B178" t="s">
        <v>85</v>
      </c>
      <c r="C178" t="s">
        <v>1013</v>
      </c>
    </row>
    <row r="179" spans="1:3" x14ac:dyDescent="0.25">
      <c r="A179" s="3" t="s">
        <v>275</v>
      </c>
      <c r="B179" t="s">
        <v>97</v>
      </c>
      <c r="C179" t="s">
        <v>1013</v>
      </c>
    </row>
    <row r="180" spans="1:3" x14ac:dyDescent="0.25">
      <c r="A180" s="3" t="s">
        <v>276</v>
      </c>
      <c r="B180" t="s">
        <v>100</v>
      </c>
      <c r="C180" t="s">
        <v>1013</v>
      </c>
    </row>
    <row r="181" spans="1:3" x14ac:dyDescent="0.25">
      <c r="A181" s="3" t="s">
        <v>277</v>
      </c>
      <c r="B181" t="s">
        <v>136</v>
      </c>
      <c r="C181" t="s">
        <v>1013</v>
      </c>
    </row>
    <row r="182" spans="1:3" x14ac:dyDescent="0.25">
      <c r="A182" s="3" t="s">
        <v>278</v>
      </c>
      <c r="B182" t="s">
        <v>31</v>
      </c>
      <c r="C182" t="s">
        <v>1013</v>
      </c>
    </row>
    <row r="183" spans="1:3" x14ac:dyDescent="0.25">
      <c r="A183" s="3" t="s">
        <v>279</v>
      </c>
      <c r="B183" t="s">
        <v>11</v>
      </c>
      <c r="C183" t="s">
        <v>1013</v>
      </c>
    </row>
    <row r="184" spans="1:3" x14ac:dyDescent="0.25">
      <c r="A184" s="3" t="s">
        <v>280</v>
      </c>
      <c r="B184" t="s">
        <v>70</v>
      </c>
      <c r="C184" t="s">
        <v>1013</v>
      </c>
    </row>
    <row r="185" spans="1:3" x14ac:dyDescent="0.25">
      <c r="A185" s="3" t="s">
        <v>281</v>
      </c>
      <c r="B185" t="s">
        <v>126</v>
      </c>
      <c r="C185" t="s">
        <v>1013</v>
      </c>
    </row>
    <row r="186" spans="1:3" x14ac:dyDescent="0.25">
      <c r="A186" s="3" t="s">
        <v>282</v>
      </c>
      <c r="B186" t="s">
        <v>102</v>
      </c>
      <c r="C186" t="s">
        <v>1013</v>
      </c>
    </row>
    <row r="187" spans="1:3" x14ac:dyDescent="0.25">
      <c r="A187" s="3" t="s">
        <v>283</v>
      </c>
      <c r="B187" t="s">
        <v>82</v>
      </c>
      <c r="C187" t="s">
        <v>1013</v>
      </c>
    </row>
    <row r="188" spans="1:3" x14ac:dyDescent="0.25">
      <c r="A188" s="3" t="s">
        <v>284</v>
      </c>
      <c r="B188" t="s">
        <v>31</v>
      </c>
      <c r="C188" t="s">
        <v>1013</v>
      </c>
    </row>
    <row r="189" spans="1:3" x14ac:dyDescent="0.25">
      <c r="A189" s="3" t="s">
        <v>285</v>
      </c>
      <c r="B189" t="s">
        <v>112</v>
      </c>
      <c r="C189" t="s">
        <v>1013</v>
      </c>
    </row>
    <row r="190" spans="1:3" x14ac:dyDescent="0.25">
      <c r="A190" s="3" t="s">
        <v>286</v>
      </c>
      <c r="B190" t="s">
        <v>11</v>
      </c>
      <c r="C190" t="s">
        <v>1013</v>
      </c>
    </row>
    <row r="191" spans="1:3" x14ac:dyDescent="0.25">
      <c r="A191" s="3" t="s">
        <v>287</v>
      </c>
      <c r="B191" t="s">
        <v>32</v>
      </c>
      <c r="C191" t="s">
        <v>1013</v>
      </c>
    </row>
    <row r="192" spans="1:3" x14ac:dyDescent="0.25">
      <c r="A192" s="3" t="s">
        <v>42</v>
      </c>
      <c r="B192" t="s">
        <v>28</v>
      </c>
      <c r="C192" t="s">
        <v>1013</v>
      </c>
    </row>
    <row r="193" spans="1:3" x14ac:dyDescent="0.25">
      <c r="A193" s="3" t="s">
        <v>105</v>
      </c>
      <c r="B193" t="s">
        <v>11</v>
      </c>
      <c r="C193" t="s">
        <v>1013</v>
      </c>
    </row>
    <row r="194" spans="1:3" x14ac:dyDescent="0.25">
      <c r="A194" s="3" t="s">
        <v>288</v>
      </c>
      <c r="B194" t="s">
        <v>7</v>
      </c>
      <c r="C194" t="s">
        <v>1013</v>
      </c>
    </row>
    <row r="195" spans="1:3" x14ac:dyDescent="0.25">
      <c r="A195" s="3" t="s">
        <v>289</v>
      </c>
      <c r="B195" t="s">
        <v>15</v>
      </c>
      <c r="C195" t="s">
        <v>1013</v>
      </c>
    </row>
    <row r="196" spans="1:3" x14ac:dyDescent="0.25">
      <c r="A196" s="3" t="s">
        <v>290</v>
      </c>
      <c r="B196" t="s">
        <v>87</v>
      </c>
      <c r="C196" t="s">
        <v>1013</v>
      </c>
    </row>
    <row r="197" spans="1:3" x14ac:dyDescent="0.25">
      <c r="A197" s="3" t="s">
        <v>291</v>
      </c>
      <c r="B197" t="s">
        <v>15</v>
      </c>
      <c r="C197" t="s">
        <v>1013</v>
      </c>
    </row>
    <row r="198" spans="1:3" x14ac:dyDescent="0.25">
      <c r="A198" s="3" t="s">
        <v>292</v>
      </c>
      <c r="B198" t="s">
        <v>84</v>
      </c>
      <c r="C198" t="s">
        <v>1013</v>
      </c>
    </row>
    <row r="199" spans="1:3" x14ac:dyDescent="0.25">
      <c r="A199" s="3" t="s">
        <v>95</v>
      </c>
      <c r="B199" t="s">
        <v>11</v>
      </c>
      <c r="C199" t="s">
        <v>1013</v>
      </c>
    </row>
    <row r="200" spans="1:3" x14ac:dyDescent="0.25">
      <c r="A200" s="3" t="s">
        <v>293</v>
      </c>
      <c r="B200" t="s">
        <v>82</v>
      </c>
      <c r="C200" t="s">
        <v>1013</v>
      </c>
    </row>
    <row r="201" spans="1:3" x14ac:dyDescent="0.25">
      <c r="A201" s="3" t="s">
        <v>294</v>
      </c>
      <c r="B201" t="s">
        <v>31</v>
      </c>
      <c r="C201" t="s">
        <v>1013</v>
      </c>
    </row>
    <row r="202" spans="1:3" x14ac:dyDescent="0.25">
      <c r="A202" s="3" t="s">
        <v>295</v>
      </c>
      <c r="B202" t="s">
        <v>102</v>
      </c>
      <c r="C202" t="s">
        <v>1013</v>
      </c>
    </row>
    <row r="203" spans="1:3" x14ac:dyDescent="0.25">
      <c r="A203" s="3" t="s">
        <v>296</v>
      </c>
      <c r="B203" t="s">
        <v>136</v>
      </c>
      <c r="C203" t="s">
        <v>1013</v>
      </c>
    </row>
    <row r="204" spans="1:3" x14ac:dyDescent="0.25">
      <c r="A204" s="3" t="s">
        <v>146</v>
      </c>
      <c r="B204" t="s">
        <v>16</v>
      </c>
      <c r="C204" t="s">
        <v>1013</v>
      </c>
    </row>
    <row r="205" spans="1:3" x14ac:dyDescent="0.25">
      <c r="A205" s="3" t="s">
        <v>297</v>
      </c>
      <c r="B205" t="s">
        <v>32</v>
      </c>
      <c r="C205" t="s">
        <v>1013</v>
      </c>
    </row>
    <row r="206" spans="1:3" x14ac:dyDescent="0.25">
      <c r="A206" s="3" t="s">
        <v>73</v>
      </c>
      <c r="B206" t="s">
        <v>5</v>
      </c>
      <c r="C206" t="s">
        <v>1013</v>
      </c>
    </row>
    <row r="207" spans="1:3" x14ac:dyDescent="0.25">
      <c r="A207" s="3" t="s">
        <v>298</v>
      </c>
      <c r="B207" t="s">
        <v>12</v>
      </c>
      <c r="C207" t="s">
        <v>1013</v>
      </c>
    </row>
    <row r="208" spans="1:3" x14ac:dyDescent="0.25">
      <c r="A208" s="3" t="s">
        <v>299</v>
      </c>
      <c r="B208" t="s">
        <v>82</v>
      </c>
      <c r="C208" t="s">
        <v>1013</v>
      </c>
    </row>
    <row r="209" spans="1:3" x14ac:dyDescent="0.25">
      <c r="A209" s="3" t="s">
        <v>55</v>
      </c>
      <c r="B209" t="s">
        <v>28</v>
      </c>
      <c r="C209" t="s">
        <v>1013</v>
      </c>
    </row>
    <row r="210" spans="1:3" x14ac:dyDescent="0.25">
      <c r="A210" s="3" t="s">
        <v>145</v>
      </c>
      <c r="B210" t="s">
        <v>87</v>
      </c>
      <c r="C210" t="s">
        <v>1013</v>
      </c>
    </row>
    <row r="211" spans="1:3" x14ac:dyDescent="0.25">
      <c r="A211" s="3" t="s">
        <v>300</v>
      </c>
      <c r="B211" t="s">
        <v>14</v>
      </c>
      <c r="C211" t="s">
        <v>1013</v>
      </c>
    </row>
    <row r="212" spans="1:3" x14ac:dyDescent="0.25">
      <c r="A212" s="3" t="s">
        <v>301</v>
      </c>
      <c r="B212" t="s">
        <v>112</v>
      </c>
      <c r="C212" t="s">
        <v>1013</v>
      </c>
    </row>
    <row r="213" spans="1:3" x14ac:dyDescent="0.25">
      <c r="A213" s="3" t="s">
        <v>302</v>
      </c>
      <c r="B213" t="s">
        <v>16</v>
      </c>
      <c r="C213" t="s">
        <v>1013</v>
      </c>
    </row>
    <row r="214" spans="1:3" x14ac:dyDescent="0.25">
      <c r="A214" s="3" t="s">
        <v>303</v>
      </c>
      <c r="B214" t="s">
        <v>39</v>
      </c>
      <c r="C214" t="s">
        <v>1013</v>
      </c>
    </row>
    <row r="215" spans="1:3" x14ac:dyDescent="0.25">
      <c r="A215" s="3" t="s">
        <v>132</v>
      </c>
      <c r="B215" t="s">
        <v>15</v>
      </c>
      <c r="C215" t="s">
        <v>1013</v>
      </c>
    </row>
    <row r="216" spans="1:3" x14ac:dyDescent="0.25">
      <c r="A216" s="3" t="s">
        <v>304</v>
      </c>
      <c r="B216" t="s">
        <v>85</v>
      </c>
      <c r="C216" t="s">
        <v>1013</v>
      </c>
    </row>
    <row r="217" spans="1:3" x14ac:dyDescent="0.25">
      <c r="A217" s="3" t="s">
        <v>305</v>
      </c>
      <c r="B217" t="s">
        <v>7</v>
      </c>
      <c r="C217" t="s">
        <v>1013</v>
      </c>
    </row>
    <row r="218" spans="1:3" x14ac:dyDescent="0.25">
      <c r="A218" s="3" t="s">
        <v>306</v>
      </c>
      <c r="B218" t="s">
        <v>12</v>
      </c>
      <c r="C218" t="s">
        <v>1013</v>
      </c>
    </row>
    <row r="219" spans="1:3" x14ac:dyDescent="0.25">
      <c r="A219" s="3" t="s">
        <v>307</v>
      </c>
      <c r="B219" t="s">
        <v>7</v>
      </c>
      <c r="C219" t="s">
        <v>1013</v>
      </c>
    </row>
    <row r="220" spans="1:3" x14ac:dyDescent="0.25">
      <c r="A220" s="3" t="s">
        <v>308</v>
      </c>
      <c r="B220" t="s">
        <v>32</v>
      </c>
      <c r="C220" t="s">
        <v>1013</v>
      </c>
    </row>
    <row r="221" spans="1:3" x14ac:dyDescent="0.25">
      <c r="A221" s="3" t="s">
        <v>309</v>
      </c>
      <c r="B221" t="s">
        <v>86</v>
      </c>
      <c r="C221" t="s">
        <v>1013</v>
      </c>
    </row>
    <row r="222" spans="1:3" x14ac:dyDescent="0.25">
      <c r="A222" s="3" t="s">
        <v>310</v>
      </c>
      <c r="B222" t="s">
        <v>91</v>
      </c>
      <c r="C222" t="s">
        <v>1013</v>
      </c>
    </row>
    <row r="223" spans="1:3" x14ac:dyDescent="0.25">
      <c r="A223" s="3" t="s">
        <v>311</v>
      </c>
      <c r="B223" t="s">
        <v>15</v>
      </c>
      <c r="C223" t="s">
        <v>1013</v>
      </c>
    </row>
    <row r="224" spans="1:3" x14ac:dyDescent="0.25">
      <c r="A224" s="3" t="s">
        <v>312</v>
      </c>
      <c r="B224" t="s">
        <v>14</v>
      </c>
      <c r="C224" t="s">
        <v>1013</v>
      </c>
    </row>
    <row r="225" spans="1:3" x14ac:dyDescent="0.25">
      <c r="A225" s="3" t="s">
        <v>313</v>
      </c>
      <c r="B225" t="s">
        <v>15</v>
      </c>
      <c r="C225" t="s">
        <v>1013</v>
      </c>
    </row>
    <row r="226" spans="1:3" x14ac:dyDescent="0.25">
      <c r="A226" s="3" t="s">
        <v>314</v>
      </c>
      <c r="B226" t="s">
        <v>12</v>
      </c>
      <c r="C226" t="s">
        <v>1013</v>
      </c>
    </row>
    <row r="227" spans="1:3" x14ac:dyDescent="0.25">
      <c r="A227" s="3" t="s">
        <v>315</v>
      </c>
      <c r="B227" t="s">
        <v>12</v>
      </c>
      <c r="C227" t="s">
        <v>1013</v>
      </c>
    </row>
    <row r="228" spans="1:3" x14ac:dyDescent="0.25">
      <c r="A228" s="3" t="s">
        <v>316</v>
      </c>
      <c r="B228" t="s">
        <v>15</v>
      </c>
      <c r="C228" t="s">
        <v>1013</v>
      </c>
    </row>
    <row r="229" spans="1:3" x14ac:dyDescent="0.25">
      <c r="A229" s="3" t="s">
        <v>317</v>
      </c>
      <c r="B229" t="s">
        <v>136</v>
      </c>
      <c r="C229" t="s">
        <v>1013</v>
      </c>
    </row>
    <row r="230" spans="1:3" x14ac:dyDescent="0.25">
      <c r="A230" s="3" t="s">
        <v>318</v>
      </c>
      <c r="B230" t="s">
        <v>18</v>
      </c>
      <c r="C230" t="s">
        <v>1013</v>
      </c>
    </row>
    <row r="231" spans="1:3" x14ac:dyDescent="0.25">
      <c r="A231" s="3" t="s">
        <v>98</v>
      </c>
      <c r="B231" t="s">
        <v>86</v>
      </c>
      <c r="C231" t="s">
        <v>1013</v>
      </c>
    </row>
    <row r="232" spans="1:3" x14ac:dyDescent="0.25">
      <c r="A232" s="3" t="s">
        <v>319</v>
      </c>
      <c r="B232" t="s">
        <v>15</v>
      </c>
      <c r="C232" t="s">
        <v>1013</v>
      </c>
    </row>
    <row r="233" spans="1:3" x14ac:dyDescent="0.25">
      <c r="A233" s="3" t="s">
        <v>320</v>
      </c>
      <c r="B233" t="s">
        <v>16</v>
      </c>
      <c r="C233" t="s">
        <v>1013</v>
      </c>
    </row>
    <row r="234" spans="1:3" x14ac:dyDescent="0.25">
      <c r="A234" s="3" t="s">
        <v>321</v>
      </c>
      <c r="B234" t="s">
        <v>8</v>
      </c>
      <c r="C234" t="s">
        <v>1013</v>
      </c>
    </row>
    <row r="235" spans="1:3" x14ac:dyDescent="0.25">
      <c r="A235" s="3" t="s">
        <v>322</v>
      </c>
      <c r="B235" t="s">
        <v>18</v>
      </c>
      <c r="C235" t="s">
        <v>1013</v>
      </c>
    </row>
    <row r="236" spans="1:3" x14ac:dyDescent="0.25">
      <c r="A236" s="3" t="s">
        <v>54</v>
      </c>
      <c r="B236" t="s">
        <v>33</v>
      </c>
      <c r="C236" t="s">
        <v>1013</v>
      </c>
    </row>
    <row r="237" spans="1:3" x14ac:dyDescent="0.25">
      <c r="A237" s="3" t="s">
        <v>323</v>
      </c>
      <c r="B237" t="s">
        <v>7</v>
      </c>
      <c r="C237" t="s">
        <v>1013</v>
      </c>
    </row>
    <row r="238" spans="1:3" x14ac:dyDescent="0.25">
      <c r="A238" s="3" t="s">
        <v>324</v>
      </c>
      <c r="B238" t="s">
        <v>136</v>
      </c>
      <c r="C238" t="s">
        <v>1013</v>
      </c>
    </row>
    <row r="239" spans="1:3" x14ac:dyDescent="0.25">
      <c r="A239" s="3" t="s">
        <v>325</v>
      </c>
      <c r="B239" t="s">
        <v>85</v>
      </c>
      <c r="C239" t="s">
        <v>1013</v>
      </c>
    </row>
    <row r="240" spans="1:3" x14ac:dyDescent="0.25">
      <c r="A240" s="3" t="s">
        <v>326</v>
      </c>
      <c r="B240" t="s">
        <v>182</v>
      </c>
      <c r="C240" t="s">
        <v>1013</v>
      </c>
    </row>
    <row r="241" spans="1:3" x14ac:dyDescent="0.25">
      <c r="A241" s="3" t="s">
        <v>327</v>
      </c>
      <c r="B241" t="s">
        <v>160</v>
      </c>
      <c r="C241" t="s">
        <v>1013</v>
      </c>
    </row>
    <row r="242" spans="1:3" x14ac:dyDescent="0.25">
      <c r="A242" s="3" t="s">
        <v>328</v>
      </c>
      <c r="B242" t="s">
        <v>84</v>
      </c>
      <c r="C242" t="s">
        <v>1013</v>
      </c>
    </row>
    <row r="243" spans="1:3" x14ac:dyDescent="0.25">
      <c r="A243" s="3" t="s">
        <v>329</v>
      </c>
      <c r="B243" t="s">
        <v>100</v>
      </c>
      <c r="C243" t="s">
        <v>1013</v>
      </c>
    </row>
    <row r="244" spans="1:3" x14ac:dyDescent="0.25">
      <c r="A244" s="3" t="s">
        <v>330</v>
      </c>
      <c r="B244" t="s">
        <v>136</v>
      </c>
      <c r="C244" t="s">
        <v>1013</v>
      </c>
    </row>
    <row r="245" spans="1:3" x14ac:dyDescent="0.25">
      <c r="A245" s="3" t="s">
        <v>121</v>
      </c>
      <c r="B245" t="s">
        <v>14</v>
      </c>
      <c r="C245" t="s">
        <v>1013</v>
      </c>
    </row>
    <row r="246" spans="1:3" x14ac:dyDescent="0.25">
      <c r="A246" s="3" t="s">
        <v>331</v>
      </c>
      <c r="B246" t="s">
        <v>85</v>
      </c>
      <c r="C246" t="s">
        <v>1013</v>
      </c>
    </row>
    <row r="247" spans="1:3" x14ac:dyDescent="0.25">
      <c r="A247" s="3" t="s">
        <v>332</v>
      </c>
      <c r="B247" t="s">
        <v>87</v>
      </c>
      <c r="C247" t="s">
        <v>1013</v>
      </c>
    </row>
    <row r="248" spans="1:3" x14ac:dyDescent="0.25">
      <c r="A248" s="3" t="s">
        <v>333</v>
      </c>
      <c r="B248" t="s">
        <v>5</v>
      </c>
      <c r="C248" t="s">
        <v>1013</v>
      </c>
    </row>
    <row r="249" spans="1:3" x14ac:dyDescent="0.25">
      <c r="A249" s="3" t="s">
        <v>81</v>
      </c>
      <c r="B249" t="s">
        <v>11</v>
      </c>
      <c r="C249" t="s">
        <v>1013</v>
      </c>
    </row>
    <row r="250" spans="1:3" x14ac:dyDescent="0.25">
      <c r="A250" s="3" t="s">
        <v>334</v>
      </c>
      <c r="B250" t="s">
        <v>161</v>
      </c>
      <c r="C250" t="s">
        <v>1013</v>
      </c>
    </row>
    <row r="251" spans="1:3" x14ac:dyDescent="0.25">
      <c r="A251" s="3" t="s">
        <v>335</v>
      </c>
      <c r="B251" t="s">
        <v>7</v>
      </c>
      <c r="C251" t="s">
        <v>1013</v>
      </c>
    </row>
    <row r="252" spans="1:3" x14ac:dyDescent="0.25">
      <c r="A252" s="3" t="s">
        <v>336</v>
      </c>
      <c r="B252" t="s">
        <v>8</v>
      </c>
      <c r="C252" t="s">
        <v>1013</v>
      </c>
    </row>
    <row r="253" spans="1:3" x14ac:dyDescent="0.25">
      <c r="A253" s="3" t="s">
        <v>337</v>
      </c>
      <c r="B253" t="s">
        <v>7</v>
      </c>
      <c r="C253" t="s">
        <v>1013</v>
      </c>
    </row>
    <row r="254" spans="1:3" x14ac:dyDescent="0.25">
      <c r="A254" s="3" t="s">
        <v>338</v>
      </c>
      <c r="B254" t="s">
        <v>8</v>
      </c>
      <c r="C254" t="s">
        <v>1013</v>
      </c>
    </row>
    <row r="255" spans="1:3" x14ac:dyDescent="0.25">
      <c r="A255" s="3" t="s">
        <v>339</v>
      </c>
      <c r="B255" t="s">
        <v>16</v>
      </c>
      <c r="C255" t="s">
        <v>1013</v>
      </c>
    </row>
    <row r="256" spans="1:3" x14ac:dyDescent="0.25">
      <c r="A256" s="3" t="s">
        <v>340</v>
      </c>
      <c r="B256" t="s">
        <v>5</v>
      </c>
      <c r="C256" t="s">
        <v>1013</v>
      </c>
    </row>
    <row r="257" spans="1:3" x14ac:dyDescent="0.25">
      <c r="A257" s="3" t="s">
        <v>341</v>
      </c>
      <c r="B257" t="s">
        <v>16</v>
      </c>
      <c r="C257" t="s">
        <v>1013</v>
      </c>
    </row>
    <row r="258" spans="1:3" x14ac:dyDescent="0.25">
      <c r="A258" s="3" t="s">
        <v>342</v>
      </c>
      <c r="B258" t="s">
        <v>7</v>
      </c>
      <c r="C258" t="s">
        <v>1013</v>
      </c>
    </row>
    <row r="259" spans="1:3" x14ac:dyDescent="0.25">
      <c r="A259" s="3" t="s">
        <v>343</v>
      </c>
      <c r="B259" t="s">
        <v>5</v>
      </c>
      <c r="C259" t="s">
        <v>1013</v>
      </c>
    </row>
    <row r="260" spans="1:3" x14ac:dyDescent="0.25">
      <c r="A260" s="3" t="s">
        <v>344</v>
      </c>
      <c r="B260" t="s">
        <v>15</v>
      </c>
      <c r="C260" t="s">
        <v>1013</v>
      </c>
    </row>
    <row r="261" spans="1:3" x14ac:dyDescent="0.25">
      <c r="A261" s="3" t="s">
        <v>127</v>
      </c>
      <c r="B261" t="s">
        <v>5</v>
      </c>
      <c r="C261" t="s">
        <v>1013</v>
      </c>
    </row>
    <row r="262" spans="1:3" x14ac:dyDescent="0.25">
      <c r="A262" s="3" t="s">
        <v>345</v>
      </c>
      <c r="B262" t="s">
        <v>70</v>
      </c>
      <c r="C262" t="s">
        <v>1013</v>
      </c>
    </row>
    <row r="263" spans="1:3" x14ac:dyDescent="0.25">
      <c r="A263" s="3" t="s">
        <v>346</v>
      </c>
      <c r="B263" t="s">
        <v>8</v>
      </c>
      <c r="C263" t="s">
        <v>1013</v>
      </c>
    </row>
    <row r="264" spans="1:3" x14ac:dyDescent="0.25">
      <c r="A264" s="3" t="s">
        <v>347</v>
      </c>
      <c r="B264" t="s">
        <v>5</v>
      </c>
      <c r="C264" t="s">
        <v>1013</v>
      </c>
    </row>
    <row r="265" spans="1:3" x14ac:dyDescent="0.25">
      <c r="A265" s="3" t="s">
        <v>348</v>
      </c>
      <c r="B265" t="s">
        <v>15</v>
      </c>
      <c r="C265" t="s">
        <v>1013</v>
      </c>
    </row>
    <row r="266" spans="1:3" x14ac:dyDescent="0.25">
      <c r="A266" s="3" t="s">
        <v>349</v>
      </c>
      <c r="B266" t="s">
        <v>7</v>
      </c>
      <c r="C266" t="s">
        <v>1013</v>
      </c>
    </row>
    <row r="267" spans="1:3" x14ac:dyDescent="0.25">
      <c r="A267" s="3" t="s">
        <v>350</v>
      </c>
      <c r="B267" t="s">
        <v>5</v>
      </c>
      <c r="C267" t="s">
        <v>1013</v>
      </c>
    </row>
    <row r="268" spans="1:3" x14ac:dyDescent="0.25">
      <c r="A268" s="3" t="s">
        <v>351</v>
      </c>
      <c r="B268" t="s">
        <v>70</v>
      </c>
      <c r="C268" t="s">
        <v>1013</v>
      </c>
    </row>
    <row r="269" spans="1:3" x14ac:dyDescent="0.25">
      <c r="A269" s="3" t="s">
        <v>352</v>
      </c>
      <c r="B269" t="s">
        <v>15</v>
      </c>
      <c r="C269" t="s">
        <v>1013</v>
      </c>
    </row>
    <row r="270" spans="1:3" x14ac:dyDescent="0.25">
      <c r="A270" s="3" t="s">
        <v>353</v>
      </c>
      <c r="B270" t="s">
        <v>18</v>
      </c>
      <c r="C270" t="s">
        <v>1013</v>
      </c>
    </row>
    <row r="271" spans="1:3" x14ac:dyDescent="0.25">
      <c r="A271" s="3" t="s">
        <v>354</v>
      </c>
      <c r="B271" t="s">
        <v>7</v>
      </c>
      <c r="C271" t="s">
        <v>1013</v>
      </c>
    </row>
    <row r="272" spans="1:3" x14ac:dyDescent="0.25">
      <c r="A272" s="3" t="s">
        <v>355</v>
      </c>
      <c r="B272" t="s">
        <v>7</v>
      </c>
      <c r="C272" t="s">
        <v>1013</v>
      </c>
    </row>
    <row r="273" spans="1:3" x14ac:dyDescent="0.25">
      <c r="A273" s="3" t="s">
        <v>356</v>
      </c>
      <c r="B273" t="s">
        <v>8</v>
      </c>
      <c r="C273" t="s">
        <v>1013</v>
      </c>
    </row>
    <row r="274" spans="1:3" x14ac:dyDescent="0.25">
      <c r="A274" s="3" t="s">
        <v>357</v>
      </c>
      <c r="B274" t="s">
        <v>18</v>
      </c>
      <c r="C274" t="s">
        <v>1013</v>
      </c>
    </row>
    <row r="275" spans="1:3" x14ac:dyDescent="0.25">
      <c r="A275" s="3" t="s">
        <v>358</v>
      </c>
      <c r="B275" t="s">
        <v>70</v>
      </c>
      <c r="C275" t="s">
        <v>1013</v>
      </c>
    </row>
    <row r="276" spans="1:3" x14ac:dyDescent="0.25">
      <c r="A276" s="3" t="s">
        <v>359</v>
      </c>
      <c r="B276" t="s">
        <v>12</v>
      </c>
      <c r="C276" t="s">
        <v>1013</v>
      </c>
    </row>
    <row r="277" spans="1:3" x14ac:dyDescent="0.25">
      <c r="A277" s="3" t="s">
        <v>360</v>
      </c>
      <c r="B277" t="s">
        <v>12</v>
      </c>
      <c r="C277" t="s">
        <v>1013</v>
      </c>
    </row>
    <row r="278" spans="1:3" x14ac:dyDescent="0.25">
      <c r="A278" s="3" t="s">
        <v>361</v>
      </c>
      <c r="B278" t="s">
        <v>82</v>
      </c>
      <c r="C278" t="s">
        <v>1013</v>
      </c>
    </row>
    <row r="279" spans="1:3" x14ac:dyDescent="0.25">
      <c r="A279" s="3" t="s">
        <v>362</v>
      </c>
      <c r="B279" t="s">
        <v>18</v>
      </c>
      <c r="C279" t="s">
        <v>1013</v>
      </c>
    </row>
    <row r="280" spans="1:3" x14ac:dyDescent="0.25">
      <c r="A280" s="3" t="s">
        <v>363</v>
      </c>
      <c r="B280" t="s">
        <v>16</v>
      </c>
      <c r="C280" t="s">
        <v>1013</v>
      </c>
    </row>
    <row r="281" spans="1:3" x14ac:dyDescent="0.25">
      <c r="A281" s="3" t="s">
        <v>364</v>
      </c>
      <c r="B281" t="s">
        <v>8</v>
      </c>
      <c r="C281" t="s">
        <v>1013</v>
      </c>
    </row>
    <row r="282" spans="1:3" x14ac:dyDescent="0.25">
      <c r="A282" s="3" t="s">
        <v>365</v>
      </c>
      <c r="B282" t="s">
        <v>7</v>
      </c>
      <c r="C282" t="s">
        <v>1013</v>
      </c>
    </row>
    <row r="283" spans="1:3" x14ac:dyDescent="0.25">
      <c r="A283" s="3" t="s">
        <v>366</v>
      </c>
      <c r="B283" t="s">
        <v>5</v>
      </c>
      <c r="C283" t="s">
        <v>1013</v>
      </c>
    </row>
    <row r="284" spans="1:3" x14ac:dyDescent="0.25">
      <c r="A284" s="3" t="s">
        <v>367</v>
      </c>
      <c r="B284" t="s">
        <v>7</v>
      </c>
      <c r="C284" t="s">
        <v>1013</v>
      </c>
    </row>
    <row r="285" spans="1:3" x14ac:dyDescent="0.25">
      <c r="A285" s="3" t="s">
        <v>368</v>
      </c>
      <c r="B285" t="s">
        <v>16</v>
      </c>
      <c r="C285" t="s">
        <v>1013</v>
      </c>
    </row>
    <row r="286" spans="1:3" x14ac:dyDescent="0.25">
      <c r="A286" s="3" t="s">
        <v>369</v>
      </c>
      <c r="B286" t="s">
        <v>16</v>
      </c>
      <c r="C286" t="s">
        <v>1013</v>
      </c>
    </row>
    <row r="287" spans="1:3" x14ac:dyDescent="0.25">
      <c r="A287" s="3" t="s">
        <v>370</v>
      </c>
      <c r="B287" t="s">
        <v>7</v>
      </c>
      <c r="C287" t="s">
        <v>1013</v>
      </c>
    </row>
    <row r="288" spans="1:3" x14ac:dyDescent="0.25">
      <c r="A288" s="3" t="s">
        <v>371</v>
      </c>
      <c r="B288" t="s">
        <v>7</v>
      </c>
      <c r="C288" t="s">
        <v>1013</v>
      </c>
    </row>
    <row r="289" spans="1:3" x14ac:dyDescent="0.25">
      <c r="A289" s="3" t="s">
        <v>372</v>
      </c>
      <c r="B289" t="s">
        <v>12</v>
      </c>
      <c r="C289" t="s">
        <v>1013</v>
      </c>
    </row>
    <row r="290" spans="1:3" x14ac:dyDescent="0.25">
      <c r="A290" s="3" t="s">
        <v>373</v>
      </c>
      <c r="B290" t="s">
        <v>12</v>
      </c>
      <c r="C290" t="s">
        <v>1013</v>
      </c>
    </row>
    <row r="291" spans="1:3" x14ac:dyDescent="0.25">
      <c r="A291" s="3" t="s">
        <v>374</v>
      </c>
      <c r="B291" t="s">
        <v>5</v>
      </c>
      <c r="C291" t="s">
        <v>1010</v>
      </c>
    </row>
    <row r="292" spans="1:3" x14ac:dyDescent="0.25">
      <c r="A292" s="3" t="s">
        <v>375</v>
      </c>
      <c r="B292" t="s">
        <v>33</v>
      </c>
      <c r="C292" t="s">
        <v>1013</v>
      </c>
    </row>
    <row r="293" spans="1:3" x14ac:dyDescent="0.25">
      <c r="A293" s="3" t="s">
        <v>376</v>
      </c>
      <c r="B293" t="s">
        <v>7</v>
      </c>
      <c r="C293" t="s">
        <v>1013</v>
      </c>
    </row>
    <row r="294" spans="1:3" x14ac:dyDescent="0.25">
      <c r="A294" s="3" t="s">
        <v>377</v>
      </c>
      <c r="B294" t="s">
        <v>5</v>
      </c>
      <c r="C294" t="s">
        <v>1013</v>
      </c>
    </row>
    <row r="295" spans="1:3" x14ac:dyDescent="0.25">
      <c r="A295" s="3" t="s">
        <v>378</v>
      </c>
      <c r="B295" t="s">
        <v>8</v>
      </c>
      <c r="C295" t="s">
        <v>1013</v>
      </c>
    </row>
    <row r="296" spans="1:3" x14ac:dyDescent="0.25">
      <c r="A296" s="3" t="s">
        <v>379</v>
      </c>
      <c r="B296" t="s">
        <v>5</v>
      </c>
      <c r="C296" t="s">
        <v>1013</v>
      </c>
    </row>
    <row r="297" spans="1:3" x14ac:dyDescent="0.25">
      <c r="A297" s="3" t="s">
        <v>65</v>
      </c>
      <c r="B297" t="s">
        <v>8</v>
      </c>
      <c r="C297" t="s">
        <v>1013</v>
      </c>
    </row>
    <row r="298" spans="1:3" x14ac:dyDescent="0.25">
      <c r="A298" s="3" t="s">
        <v>67</v>
      </c>
      <c r="B298" t="s">
        <v>8</v>
      </c>
      <c r="C298" t="s">
        <v>1013</v>
      </c>
    </row>
    <row r="299" spans="1:3" x14ac:dyDescent="0.25">
      <c r="A299" s="3" t="s">
        <v>380</v>
      </c>
      <c r="B299" t="s">
        <v>5</v>
      </c>
      <c r="C299" t="s">
        <v>1013</v>
      </c>
    </row>
    <row r="300" spans="1:3" x14ac:dyDescent="0.25">
      <c r="A300" s="3" t="s">
        <v>381</v>
      </c>
      <c r="B300" t="s">
        <v>12</v>
      </c>
      <c r="C300" t="s">
        <v>1013</v>
      </c>
    </row>
    <row r="301" spans="1:3" x14ac:dyDescent="0.25">
      <c r="A301" s="3" t="s">
        <v>30</v>
      </c>
      <c r="B301" t="s">
        <v>7</v>
      </c>
      <c r="C301" t="s">
        <v>1013</v>
      </c>
    </row>
    <row r="302" spans="1:3" x14ac:dyDescent="0.25">
      <c r="A302" s="3" t="s">
        <v>382</v>
      </c>
      <c r="B302" t="s">
        <v>7</v>
      </c>
      <c r="C302" t="s">
        <v>1013</v>
      </c>
    </row>
    <row r="303" spans="1:3" x14ac:dyDescent="0.25">
      <c r="A303" s="3" t="s">
        <v>383</v>
      </c>
      <c r="B303" t="s">
        <v>8</v>
      </c>
      <c r="C303" t="s">
        <v>1013</v>
      </c>
    </row>
    <row r="304" spans="1:3" x14ac:dyDescent="0.25">
      <c r="A304" s="3" t="s">
        <v>384</v>
      </c>
      <c r="B304" t="s">
        <v>28</v>
      </c>
      <c r="C304" t="s">
        <v>1013</v>
      </c>
    </row>
    <row r="305" spans="1:3" x14ac:dyDescent="0.25">
      <c r="A305" s="3" t="s">
        <v>385</v>
      </c>
      <c r="B305" t="s">
        <v>12</v>
      </c>
      <c r="C305" t="s">
        <v>1013</v>
      </c>
    </row>
    <row r="306" spans="1:3" x14ac:dyDescent="0.25">
      <c r="A306" s="3" t="s">
        <v>386</v>
      </c>
      <c r="B306" t="s">
        <v>8</v>
      </c>
      <c r="C306" t="s">
        <v>1013</v>
      </c>
    </row>
    <row r="307" spans="1:3" x14ac:dyDescent="0.25">
      <c r="A307" s="3" t="s">
        <v>387</v>
      </c>
      <c r="B307" t="s">
        <v>12</v>
      </c>
      <c r="C307" t="s">
        <v>1013</v>
      </c>
    </row>
    <row r="308" spans="1:3" x14ac:dyDescent="0.25">
      <c r="A308" s="3" t="s">
        <v>388</v>
      </c>
      <c r="B308" t="s">
        <v>12</v>
      </c>
      <c r="C308" t="s">
        <v>1013</v>
      </c>
    </row>
    <row r="309" spans="1:3" x14ac:dyDescent="0.25">
      <c r="A309" s="3" t="s">
        <v>389</v>
      </c>
      <c r="B309" t="s">
        <v>8</v>
      </c>
      <c r="C309" t="s">
        <v>1013</v>
      </c>
    </row>
    <row r="310" spans="1:3" x14ac:dyDescent="0.25">
      <c r="A310" s="3" t="s">
        <v>390</v>
      </c>
      <c r="B310" t="s">
        <v>16</v>
      </c>
      <c r="C310" t="s">
        <v>1013</v>
      </c>
    </row>
    <row r="311" spans="1:3" x14ac:dyDescent="0.25">
      <c r="A311" s="3" t="s">
        <v>391</v>
      </c>
      <c r="B311" t="s">
        <v>86</v>
      </c>
      <c r="C311" t="s">
        <v>1013</v>
      </c>
    </row>
    <row r="312" spans="1:3" x14ac:dyDescent="0.25">
      <c r="A312" s="3" t="s">
        <v>392</v>
      </c>
      <c r="B312" t="s">
        <v>12</v>
      </c>
      <c r="C312" t="s">
        <v>1013</v>
      </c>
    </row>
    <row r="313" spans="1:3" x14ac:dyDescent="0.25">
      <c r="A313" s="3" t="s">
        <v>393</v>
      </c>
      <c r="B313" t="s">
        <v>12</v>
      </c>
      <c r="C313" t="s">
        <v>1013</v>
      </c>
    </row>
    <row r="314" spans="1:3" x14ac:dyDescent="0.25">
      <c r="A314" s="3" t="s">
        <v>394</v>
      </c>
      <c r="B314" t="s">
        <v>7</v>
      </c>
      <c r="C314" t="s">
        <v>1013</v>
      </c>
    </row>
    <row r="315" spans="1:3" x14ac:dyDescent="0.25">
      <c r="A315" s="3" t="s">
        <v>395</v>
      </c>
      <c r="B315" t="s">
        <v>12</v>
      </c>
      <c r="C315" t="s">
        <v>1013</v>
      </c>
    </row>
    <row r="316" spans="1:3" x14ac:dyDescent="0.25">
      <c r="A316" s="3" t="s">
        <v>396</v>
      </c>
      <c r="B316" t="s">
        <v>16</v>
      </c>
      <c r="C316" t="s">
        <v>1013</v>
      </c>
    </row>
    <row r="317" spans="1:3" x14ac:dyDescent="0.25">
      <c r="A317" s="3" t="s">
        <v>397</v>
      </c>
      <c r="B317" t="s">
        <v>18</v>
      </c>
      <c r="C317" t="s">
        <v>1013</v>
      </c>
    </row>
    <row r="318" spans="1:3" x14ac:dyDescent="0.25">
      <c r="A318" s="3" t="s">
        <v>398</v>
      </c>
      <c r="B318" t="s">
        <v>28</v>
      </c>
      <c r="C318" t="s">
        <v>1013</v>
      </c>
    </row>
    <row r="319" spans="1:3" x14ac:dyDescent="0.25">
      <c r="A319" s="3" t="s">
        <v>399</v>
      </c>
      <c r="B319" t="s">
        <v>70</v>
      </c>
      <c r="C319" t="s">
        <v>1013</v>
      </c>
    </row>
    <row r="320" spans="1:3" x14ac:dyDescent="0.25">
      <c r="A320" s="3" t="s">
        <v>400</v>
      </c>
      <c r="B320" t="s">
        <v>25</v>
      </c>
      <c r="C320" t="s">
        <v>1013</v>
      </c>
    </row>
    <row r="321" spans="1:3" x14ac:dyDescent="0.25">
      <c r="A321" s="3" t="s">
        <v>401</v>
      </c>
      <c r="B321" t="s">
        <v>8</v>
      </c>
      <c r="C321" t="s">
        <v>1013</v>
      </c>
    </row>
    <row r="322" spans="1:3" x14ac:dyDescent="0.25">
      <c r="A322" s="3" t="s">
        <v>402</v>
      </c>
      <c r="B322" t="s">
        <v>5</v>
      </c>
      <c r="C322" t="s">
        <v>1013</v>
      </c>
    </row>
    <row r="323" spans="1:3" x14ac:dyDescent="0.25">
      <c r="A323" s="3" t="s">
        <v>403</v>
      </c>
      <c r="B323" t="s">
        <v>31</v>
      </c>
      <c r="C323" t="s">
        <v>1013</v>
      </c>
    </row>
    <row r="324" spans="1:3" x14ac:dyDescent="0.25">
      <c r="A324" s="3" t="s">
        <v>404</v>
      </c>
      <c r="B324" t="s">
        <v>31</v>
      </c>
      <c r="C324" t="s">
        <v>1013</v>
      </c>
    </row>
    <row r="325" spans="1:3" x14ac:dyDescent="0.25">
      <c r="A325" s="3" t="s">
        <v>405</v>
      </c>
      <c r="B325" t="s">
        <v>16</v>
      </c>
      <c r="C325" t="s">
        <v>1013</v>
      </c>
    </row>
    <row r="326" spans="1:3" x14ac:dyDescent="0.25">
      <c r="A326" s="3" t="s">
        <v>406</v>
      </c>
      <c r="B326" t="s">
        <v>16</v>
      </c>
      <c r="C326" t="s">
        <v>1013</v>
      </c>
    </row>
    <row r="327" spans="1:3" x14ac:dyDescent="0.25">
      <c r="A327" s="3" t="s">
        <v>407</v>
      </c>
      <c r="B327" t="s">
        <v>28</v>
      </c>
      <c r="C327" t="s">
        <v>1013</v>
      </c>
    </row>
    <row r="328" spans="1:3" x14ac:dyDescent="0.25">
      <c r="A328" s="3" t="s">
        <v>408</v>
      </c>
      <c r="B328" t="s">
        <v>28</v>
      </c>
      <c r="C328" t="s">
        <v>1013</v>
      </c>
    </row>
    <row r="329" spans="1:3" x14ac:dyDescent="0.25">
      <c r="A329" s="3" t="s">
        <v>409</v>
      </c>
      <c r="B329" t="s">
        <v>18</v>
      </c>
      <c r="C329" t="s">
        <v>1013</v>
      </c>
    </row>
    <row r="330" spans="1:3" x14ac:dyDescent="0.25">
      <c r="A330" s="3" t="s">
        <v>410</v>
      </c>
      <c r="B330" t="s">
        <v>33</v>
      </c>
      <c r="C330" t="s">
        <v>1013</v>
      </c>
    </row>
    <row r="331" spans="1:3" x14ac:dyDescent="0.25">
      <c r="A331" s="3" t="s">
        <v>411</v>
      </c>
      <c r="B331" t="s">
        <v>136</v>
      </c>
      <c r="C331" t="s">
        <v>1013</v>
      </c>
    </row>
    <row r="332" spans="1:3" x14ac:dyDescent="0.25">
      <c r="A332" s="3" t="s">
        <v>412</v>
      </c>
      <c r="B332" t="s">
        <v>8</v>
      </c>
      <c r="C332" t="s">
        <v>1013</v>
      </c>
    </row>
    <row r="333" spans="1:3" x14ac:dyDescent="0.25">
      <c r="A333" s="3" t="s">
        <v>413</v>
      </c>
      <c r="B333" t="s">
        <v>15</v>
      </c>
      <c r="C333" t="s">
        <v>1013</v>
      </c>
    </row>
    <row r="334" spans="1:3" x14ac:dyDescent="0.25">
      <c r="A334" s="3" t="s">
        <v>414</v>
      </c>
      <c r="B334" t="s">
        <v>12</v>
      </c>
      <c r="C334" t="s">
        <v>1013</v>
      </c>
    </row>
    <row r="335" spans="1:3" x14ac:dyDescent="0.25">
      <c r="A335" s="3" t="s">
        <v>415</v>
      </c>
      <c r="B335" t="s">
        <v>15</v>
      </c>
      <c r="C335" t="s">
        <v>1013</v>
      </c>
    </row>
    <row r="336" spans="1:3" x14ac:dyDescent="0.25">
      <c r="A336" s="3" t="s">
        <v>416</v>
      </c>
      <c r="B336" t="s">
        <v>5</v>
      </c>
      <c r="C336" t="s">
        <v>1013</v>
      </c>
    </row>
    <row r="337" spans="1:3" x14ac:dyDescent="0.25">
      <c r="A337" s="3" t="s">
        <v>417</v>
      </c>
      <c r="B337" t="s">
        <v>5</v>
      </c>
      <c r="C337" t="s">
        <v>1013</v>
      </c>
    </row>
    <row r="338" spans="1:3" x14ac:dyDescent="0.25">
      <c r="A338" s="3" t="s">
        <v>418</v>
      </c>
      <c r="B338" t="s">
        <v>5</v>
      </c>
      <c r="C338" t="s">
        <v>1013</v>
      </c>
    </row>
    <row r="339" spans="1:3" x14ac:dyDescent="0.25">
      <c r="A339" s="3" t="s">
        <v>419</v>
      </c>
      <c r="B339" t="s">
        <v>7</v>
      </c>
      <c r="C339" t="s">
        <v>1013</v>
      </c>
    </row>
    <row r="340" spans="1:3" x14ac:dyDescent="0.25">
      <c r="A340" s="3" t="s">
        <v>420</v>
      </c>
      <c r="B340" t="s">
        <v>8</v>
      </c>
      <c r="C340" t="s">
        <v>1013</v>
      </c>
    </row>
    <row r="341" spans="1:3" x14ac:dyDescent="0.25">
      <c r="A341" s="3" t="s">
        <v>421</v>
      </c>
      <c r="B341" t="s">
        <v>7</v>
      </c>
      <c r="C341" t="s">
        <v>1013</v>
      </c>
    </row>
    <row r="342" spans="1:3" x14ac:dyDescent="0.25">
      <c r="A342" s="3" t="s">
        <v>422</v>
      </c>
      <c r="B342" t="s">
        <v>86</v>
      </c>
      <c r="C342" t="s">
        <v>1013</v>
      </c>
    </row>
    <row r="343" spans="1:3" x14ac:dyDescent="0.25">
      <c r="A343" s="3" t="s">
        <v>423</v>
      </c>
      <c r="B343" t="s">
        <v>7</v>
      </c>
      <c r="C343" t="s">
        <v>1013</v>
      </c>
    </row>
    <row r="344" spans="1:3" x14ac:dyDescent="0.25">
      <c r="A344" s="3" t="s">
        <v>424</v>
      </c>
      <c r="B344" t="s">
        <v>16</v>
      </c>
      <c r="C344" t="s">
        <v>1013</v>
      </c>
    </row>
    <row r="345" spans="1:3" x14ac:dyDescent="0.25">
      <c r="A345" s="3" t="s">
        <v>425</v>
      </c>
      <c r="B345" t="s">
        <v>8</v>
      </c>
      <c r="C345" t="s">
        <v>1013</v>
      </c>
    </row>
    <row r="346" spans="1:3" x14ac:dyDescent="0.25">
      <c r="A346" s="3" t="s">
        <v>426</v>
      </c>
      <c r="B346" t="s">
        <v>15</v>
      </c>
      <c r="C346" t="s">
        <v>1013</v>
      </c>
    </row>
    <row r="347" spans="1:3" x14ac:dyDescent="0.25">
      <c r="A347" s="3" t="s">
        <v>427</v>
      </c>
      <c r="B347" t="s">
        <v>28</v>
      </c>
      <c r="C347" t="s">
        <v>1013</v>
      </c>
    </row>
    <row r="348" spans="1:3" x14ac:dyDescent="0.25">
      <c r="A348" s="3" t="s">
        <v>428</v>
      </c>
      <c r="B348" t="s">
        <v>18</v>
      </c>
      <c r="C348" t="s">
        <v>1013</v>
      </c>
    </row>
    <row r="349" spans="1:3" x14ac:dyDescent="0.25">
      <c r="A349" s="3" t="s">
        <v>429</v>
      </c>
      <c r="B349" t="s">
        <v>7</v>
      </c>
      <c r="C349" t="s">
        <v>1013</v>
      </c>
    </row>
    <row r="350" spans="1:3" x14ac:dyDescent="0.25">
      <c r="A350" s="3" t="s">
        <v>430</v>
      </c>
      <c r="B350" t="s">
        <v>97</v>
      </c>
      <c r="C350" t="s">
        <v>1013</v>
      </c>
    </row>
    <row r="351" spans="1:3" x14ac:dyDescent="0.25">
      <c r="A351" s="3" t="s">
        <v>431</v>
      </c>
      <c r="B351" t="s">
        <v>91</v>
      </c>
      <c r="C351" t="s">
        <v>1013</v>
      </c>
    </row>
    <row r="352" spans="1:3" x14ac:dyDescent="0.25">
      <c r="A352" s="3" t="s">
        <v>432</v>
      </c>
      <c r="B352" t="s">
        <v>5</v>
      </c>
      <c r="C352" t="s">
        <v>1013</v>
      </c>
    </row>
    <row r="353" spans="1:3" x14ac:dyDescent="0.25">
      <c r="A353" s="3" t="s">
        <v>433</v>
      </c>
      <c r="B353" t="s">
        <v>5</v>
      </c>
      <c r="C353" t="s">
        <v>1013</v>
      </c>
    </row>
    <row r="354" spans="1:3" x14ac:dyDescent="0.25">
      <c r="A354" s="3" t="s">
        <v>434</v>
      </c>
      <c r="B354" t="s">
        <v>7</v>
      </c>
      <c r="C354" t="s">
        <v>1013</v>
      </c>
    </row>
    <row r="355" spans="1:3" x14ac:dyDescent="0.25">
      <c r="A355" s="3" t="s">
        <v>435</v>
      </c>
      <c r="B355" t="s">
        <v>12</v>
      </c>
      <c r="C355" t="s">
        <v>1013</v>
      </c>
    </row>
    <row r="356" spans="1:3" x14ac:dyDescent="0.25">
      <c r="A356" s="3" t="s">
        <v>436</v>
      </c>
      <c r="B356" t="s">
        <v>15</v>
      </c>
      <c r="C356" t="s">
        <v>1013</v>
      </c>
    </row>
    <row r="357" spans="1:3" x14ac:dyDescent="0.25">
      <c r="A357" s="3" t="s">
        <v>437</v>
      </c>
      <c r="B357" t="s">
        <v>100</v>
      </c>
      <c r="C357" t="s">
        <v>1013</v>
      </c>
    </row>
    <row r="358" spans="1:3" x14ac:dyDescent="0.25">
      <c r="A358" s="3" t="s">
        <v>438</v>
      </c>
      <c r="B358" t="s">
        <v>28</v>
      </c>
      <c r="C358" t="s">
        <v>1013</v>
      </c>
    </row>
    <row r="359" spans="1:3" x14ac:dyDescent="0.25">
      <c r="A359" s="3" t="s">
        <v>439</v>
      </c>
      <c r="B359" t="s">
        <v>16</v>
      </c>
      <c r="C359" t="s">
        <v>1013</v>
      </c>
    </row>
    <row r="360" spans="1:3" x14ac:dyDescent="0.25">
      <c r="A360" s="3" t="s">
        <v>440</v>
      </c>
      <c r="B360" t="s">
        <v>18</v>
      </c>
      <c r="C360" t="s">
        <v>1013</v>
      </c>
    </row>
    <row r="361" spans="1:3" x14ac:dyDescent="0.25">
      <c r="A361" s="3" t="s">
        <v>441</v>
      </c>
      <c r="B361" t="s">
        <v>8</v>
      </c>
      <c r="C361" t="s">
        <v>1013</v>
      </c>
    </row>
    <row r="362" spans="1:3" x14ac:dyDescent="0.25">
      <c r="A362" s="3" t="s">
        <v>442</v>
      </c>
      <c r="B362" t="s">
        <v>33</v>
      </c>
      <c r="C362" t="s">
        <v>1013</v>
      </c>
    </row>
    <row r="363" spans="1:3" x14ac:dyDescent="0.25">
      <c r="A363" s="3" t="s">
        <v>443</v>
      </c>
      <c r="B363" t="s">
        <v>7</v>
      </c>
      <c r="C363" t="s">
        <v>1013</v>
      </c>
    </row>
    <row r="364" spans="1:3" x14ac:dyDescent="0.25">
      <c r="A364" s="3" t="s">
        <v>444</v>
      </c>
      <c r="B364" t="s">
        <v>5</v>
      </c>
      <c r="C364" t="s">
        <v>1013</v>
      </c>
    </row>
    <row r="365" spans="1:3" x14ac:dyDescent="0.25">
      <c r="A365" s="3" t="s">
        <v>445</v>
      </c>
      <c r="B365" t="s">
        <v>7</v>
      </c>
      <c r="C365" t="s">
        <v>1013</v>
      </c>
    </row>
    <row r="366" spans="1:3" x14ac:dyDescent="0.25">
      <c r="A366" s="3" t="s">
        <v>446</v>
      </c>
      <c r="B366" t="s">
        <v>5</v>
      </c>
      <c r="C366" t="s">
        <v>1013</v>
      </c>
    </row>
    <row r="367" spans="1:3" x14ac:dyDescent="0.25">
      <c r="A367" s="3" t="s">
        <v>447</v>
      </c>
      <c r="B367" t="s">
        <v>5</v>
      </c>
      <c r="C367" t="s">
        <v>1013</v>
      </c>
    </row>
    <row r="368" spans="1:3" x14ac:dyDescent="0.25">
      <c r="A368" s="3" t="s">
        <v>448</v>
      </c>
      <c r="B368" t="s">
        <v>18</v>
      </c>
      <c r="C368" t="s">
        <v>1013</v>
      </c>
    </row>
    <row r="369" spans="1:3" x14ac:dyDescent="0.25">
      <c r="A369" s="3" t="s">
        <v>449</v>
      </c>
      <c r="B369" t="s">
        <v>31</v>
      </c>
      <c r="C369" t="s">
        <v>1013</v>
      </c>
    </row>
    <row r="370" spans="1:3" x14ac:dyDescent="0.25">
      <c r="A370" s="3" t="s">
        <v>450</v>
      </c>
      <c r="B370" t="s">
        <v>39</v>
      </c>
      <c r="C370" t="s">
        <v>1013</v>
      </c>
    </row>
    <row r="371" spans="1:3" x14ac:dyDescent="0.25">
      <c r="A371" s="3" t="s">
        <v>451</v>
      </c>
      <c r="B371" t="s">
        <v>100</v>
      </c>
      <c r="C371" t="s">
        <v>1013</v>
      </c>
    </row>
    <row r="372" spans="1:3" x14ac:dyDescent="0.25">
      <c r="A372" s="3" t="s">
        <v>452</v>
      </c>
      <c r="B372" t="s">
        <v>7</v>
      </c>
      <c r="C372" t="s">
        <v>1013</v>
      </c>
    </row>
    <row r="373" spans="1:3" x14ac:dyDescent="0.25">
      <c r="A373" s="3" t="s">
        <v>453</v>
      </c>
      <c r="B373" t="s">
        <v>28</v>
      </c>
      <c r="C373" t="s">
        <v>1013</v>
      </c>
    </row>
    <row r="374" spans="1:3" x14ac:dyDescent="0.25">
      <c r="A374" s="3" t="s">
        <v>454</v>
      </c>
      <c r="B374" t="s">
        <v>5</v>
      </c>
      <c r="C374" t="s">
        <v>1013</v>
      </c>
    </row>
    <row r="375" spans="1:3" x14ac:dyDescent="0.25">
      <c r="A375" s="3" t="s">
        <v>455</v>
      </c>
      <c r="B375" t="s">
        <v>8</v>
      </c>
      <c r="C375" t="s">
        <v>1013</v>
      </c>
    </row>
    <row r="376" spans="1:3" x14ac:dyDescent="0.25">
      <c r="A376" s="3" t="s">
        <v>456</v>
      </c>
      <c r="B376" t="s">
        <v>7</v>
      </c>
      <c r="C376" t="s">
        <v>1013</v>
      </c>
    </row>
    <row r="377" spans="1:3" x14ac:dyDescent="0.25">
      <c r="A377" s="3" t="s">
        <v>457</v>
      </c>
      <c r="B377" t="s">
        <v>16</v>
      </c>
      <c r="C377" t="s">
        <v>1013</v>
      </c>
    </row>
    <row r="378" spans="1:3" x14ac:dyDescent="0.25">
      <c r="A378" s="3" t="s">
        <v>458</v>
      </c>
      <c r="B378" t="s">
        <v>5</v>
      </c>
      <c r="C378" t="s">
        <v>1013</v>
      </c>
    </row>
    <row r="379" spans="1:3" x14ac:dyDescent="0.25">
      <c r="A379" s="3" t="s">
        <v>459</v>
      </c>
      <c r="B379" t="s">
        <v>7</v>
      </c>
      <c r="C379" t="s">
        <v>1013</v>
      </c>
    </row>
    <row r="380" spans="1:3" x14ac:dyDescent="0.25">
      <c r="A380" s="3" t="s">
        <v>460</v>
      </c>
      <c r="B380" t="s">
        <v>12</v>
      </c>
      <c r="C380" t="s">
        <v>1013</v>
      </c>
    </row>
    <row r="381" spans="1:3" x14ac:dyDescent="0.25">
      <c r="A381" s="3" t="s">
        <v>461</v>
      </c>
      <c r="B381" t="s">
        <v>7</v>
      </c>
      <c r="C381" t="s">
        <v>1013</v>
      </c>
    </row>
    <row r="382" spans="1:3" x14ac:dyDescent="0.25">
      <c r="A382" s="3" t="s">
        <v>462</v>
      </c>
      <c r="B382" t="s">
        <v>8</v>
      </c>
      <c r="C382" t="s">
        <v>1013</v>
      </c>
    </row>
    <row r="383" spans="1:3" x14ac:dyDescent="0.25">
      <c r="A383" s="3" t="s">
        <v>463</v>
      </c>
      <c r="B383" t="s">
        <v>7</v>
      </c>
      <c r="C383" t="s">
        <v>1013</v>
      </c>
    </row>
    <row r="384" spans="1:3" x14ac:dyDescent="0.25">
      <c r="A384" s="3" t="s">
        <v>89</v>
      </c>
      <c r="B384" t="s">
        <v>8</v>
      </c>
      <c r="C384" t="s">
        <v>1013</v>
      </c>
    </row>
    <row r="385" spans="1:3" x14ac:dyDescent="0.25">
      <c r="A385" s="3" t="s">
        <v>464</v>
      </c>
      <c r="B385" t="s">
        <v>12</v>
      </c>
      <c r="C385" t="s">
        <v>1013</v>
      </c>
    </row>
    <row r="386" spans="1:3" x14ac:dyDescent="0.25">
      <c r="A386" s="3" t="s">
        <v>465</v>
      </c>
      <c r="B386" t="s">
        <v>7</v>
      </c>
      <c r="C386" t="s">
        <v>1013</v>
      </c>
    </row>
    <row r="387" spans="1:3" x14ac:dyDescent="0.25">
      <c r="A387" s="3" t="s">
        <v>466</v>
      </c>
      <c r="B387" t="s">
        <v>5</v>
      </c>
      <c r="C387" t="s">
        <v>1013</v>
      </c>
    </row>
    <row r="388" spans="1:3" x14ac:dyDescent="0.25">
      <c r="A388" s="3" t="s">
        <v>153</v>
      </c>
      <c r="B388" t="s">
        <v>7</v>
      </c>
      <c r="C388" t="s">
        <v>1013</v>
      </c>
    </row>
    <row r="389" spans="1:3" x14ac:dyDescent="0.25">
      <c r="A389" s="3" t="s">
        <v>467</v>
      </c>
      <c r="B389" t="s">
        <v>16</v>
      </c>
      <c r="C389" t="s">
        <v>1013</v>
      </c>
    </row>
    <row r="390" spans="1:3" x14ac:dyDescent="0.25">
      <c r="A390" s="3" t="s">
        <v>468</v>
      </c>
      <c r="B390" t="s">
        <v>15</v>
      </c>
      <c r="C390" t="s">
        <v>1013</v>
      </c>
    </row>
    <row r="391" spans="1:3" x14ac:dyDescent="0.25">
      <c r="A391" s="3" t="s">
        <v>469</v>
      </c>
      <c r="B391" t="s">
        <v>8</v>
      </c>
      <c r="C391" t="s">
        <v>1013</v>
      </c>
    </row>
    <row r="392" spans="1:3" x14ac:dyDescent="0.25">
      <c r="A392" s="3" t="s">
        <v>470</v>
      </c>
      <c r="B392" t="s">
        <v>7</v>
      </c>
      <c r="C392" t="s">
        <v>1013</v>
      </c>
    </row>
    <row r="393" spans="1:3" x14ac:dyDescent="0.25">
      <c r="A393" s="3" t="s">
        <v>69</v>
      </c>
      <c r="B393" t="s">
        <v>5</v>
      </c>
      <c r="C393" t="s">
        <v>1010</v>
      </c>
    </row>
    <row r="394" spans="1:3" x14ac:dyDescent="0.25">
      <c r="A394" s="3" t="s">
        <v>471</v>
      </c>
      <c r="B394" t="s">
        <v>8</v>
      </c>
      <c r="C394" t="s">
        <v>1013</v>
      </c>
    </row>
    <row r="395" spans="1:3" x14ac:dyDescent="0.25">
      <c r="A395" s="3" t="s">
        <v>472</v>
      </c>
      <c r="B395" t="s">
        <v>12</v>
      </c>
      <c r="C395" t="s">
        <v>1013</v>
      </c>
    </row>
    <row r="396" spans="1:3" x14ac:dyDescent="0.25">
      <c r="A396" s="3" t="s">
        <v>473</v>
      </c>
      <c r="B396" t="s">
        <v>7</v>
      </c>
      <c r="C396" t="s">
        <v>1013</v>
      </c>
    </row>
    <row r="397" spans="1:3" x14ac:dyDescent="0.25">
      <c r="A397" s="3" t="s">
        <v>474</v>
      </c>
      <c r="B397" t="s">
        <v>7</v>
      </c>
      <c r="C397" t="s">
        <v>1013</v>
      </c>
    </row>
    <row r="398" spans="1:3" x14ac:dyDescent="0.25">
      <c r="A398" s="3" t="s">
        <v>475</v>
      </c>
      <c r="B398" t="s">
        <v>8</v>
      </c>
      <c r="C398" t="s">
        <v>1013</v>
      </c>
    </row>
    <row r="399" spans="1:3" x14ac:dyDescent="0.25">
      <c r="A399" s="3" t="s">
        <v>476</v>
      </c>
      <c r="B399" t="s">
        <v>12</v>
      </c>
      <c r="C399" t="s">
        <v>1013</v>
      </c>
    </row>
    <row r="400" spans="1:3" x14ac:dyDescent="0.25">
      <c r="A400" s="3" t="s">
        <v>477</v>
      </c>
      <c r="B400" t="s">
        <v>18</v>
      </c>
      <c r="C400" t="s">
        <v>1013</v>
      </c>
    </row>
    <row r="401" spans="1:3" x14ac:dyDescent="0.25">
      <c r="A401" s="3" t="s">
        <v>478</v>
      </c>
      <c r="B401" t="s">
        <v>5</v>
      </c>
      <c r="C401" t="s">
        <v>1013</v>
      </c>
    </row>
    <row r="402" spans="1:3" x14ac:dyDescent="0.25">
      <c r="A402" s="3" t="s">
        <v>479</v>
      </c>
      <c r="B402" t="s">
        <v>12</v>
      </c>
      <c r="C402" t="s">
        <v>1013</v>
      </c>
    </row>
    <row r="403" spans="1:3" x14ac:dyDescent="0.25">
      <c r="A403" s="3" t="s">
        <v>480</v>
      </c>
      <c r="B403" t="s">
        <v>7</v>
      </c>
      <c r="C403" t="s">
        <v>1013</v>
      </c>
    </row>
    <row r="404" spans="1:3" x14ac:dyDescent="0.25">
      <c r="A404" s="3" t="s">
        <v>481</v>
      </c>
      <c r="B404" t="s">
        <v>12</v>
      </c>
      <c r="C404" t="s">
        <v>1013</v>
      </c>
    </row>
    <row r="405" spans="1:3" x14ac:dyDescent="0.25">
      <c r="A405" s="3" t="s">
        <v>482</v>
      </c>
      <c r="B405" t="s">
        <v>8</v>
      </c>
      <c r="C405" t="s">
        <v>1013</v>
      </c>
    </row>
    <row r="406" spans="1:3" x14ac:dyDescent="0.25">
      <c r="A406" s="3" t="s">
        <v>483</v>
      </c>
      <c r="B406" t="s">
        <v>16</v>
      </c>
      <c r="C406" t="s">
        <v>1013</v>
      </c>
    </row>
    <row r="407" spans="1:3" x14ac:dyDescent="0.25">
      <c r="A407" s="3" t="s">
        <v>484</v>
      </c>
      <c r="B407" t="s">
        <v>5</v>
      </c>
      <c r="C407" t="s">
        <v>1013</v>
      </c>
    </row>
    <row r="408" spans="1:3" x14ac:dyDescent="0.25">
      <c r="A408" s="3" t="s">
        <v>485</v>
      </c>
      <c r="B408" t="s">
        <v>8</v>
      </c>
      <c r="C408" t="s">
        <v>1013</v>
      </c>
    </row>
    <row r="409" spans="1:3" x14ac:dyDescent="0.25">
      <c r="A409" s="3" t="s">
        <v>486</v>
      </c>
      <c r="B409" t="s">
        <v>16</v>
      </c>
      <c r="C409" t="s">
        <v>1013</v>
      </c>
    </row>
    <row r="410" spans="1:3" x14ac:dyDescent="0.25">
      <c r="A410" s="3" t="s">
        <v>487</v>
      </c>
      <c r="B410" t="s">
        <v>8</v>
      </c>
      <c r="C410" t="s">
        <v>1013</v>
      </c>
    </row>
    <row r="411" spans="1:3" x14ac:dyDescent="0.25">
      <c r="A411" s="3" t="s">
        <v>488</v>
      </c>
      <c r="B411" t="s">
        <v>8</v>
      </c>
      <c r="C411" t="s">
        <v>1013</v>
      </c>
    </row>
    <row r="412" spans="1:3" x14ac:dyDescent="0.25">
      <c r="A412" s="3" t="s">
        <v>489</v>
      </c>
      <c r="B412" t="s">
        <v>8</v>
      </c>
      <c r="C412" t="s">
        <v>1013</v>
      </c>
    </row>
    <row r="413" spans="1:3" x14ac:dyDescent="0.25">
      <c r="A413" s="3" t="s">
        <v>490</v>
      </c>
      <c r="B413" t="s">
        <v>18</v>
      </c>
      <c r="C413" t="s">
        <v>1013</v>
      </c>
    </row>
    <row r="414" spans="1:3" x14ac:dyDescent="0.25">
      <c r="A414" s="3" t="s">
        <v>491</v>
      </c>
      <c r="B414" t="s">
        <v>5</v>
      </c>
      <c r="C414" t="s">
        <v>1013</v>
      </c>
    </row>
    <row r="415" spans="1:3" x14ac:dyDescent="0.25">
      <c r="A415" s="3" t="s">
        <v>492</v>
      </c>
      <c r="B415" t="s">
        <v>16</v>
      </c>
      <c r="C415" t="s">
        <v>1013</v>
      </c>
    </row>
    <row r="416" spans="1:3" x14ac:dyDescent="0.25">
      <c r="A416" s="3" t="s">
        <v>493</v>
      </c>
      <c r="B416" t="s">
        <v>7</v>
      </c>
      <c r="C416" t="s">
        <v>1013</v>
      </c>
    </row>
    <row r="417" spans="1:3" x14ac:dyDescent="0.25">
      <c r="A417" s="3" t="s">
        <v>494</v>
      </c>
      <c r="B417" t="s">
        <v>7</v>
      </c>
      <c r="C417" t="s">
        <v>1013</v>
      </c>
    </row>
    <row r="418" spans="1:3" x14ac:dyDescent="0.25">
      <c r="A418" s="3" t="s">
        <v>495</v>
      </c>
      <c r="B418" t="s">
        <v>8</v>
      </c>
      <c r="C418" t="s">
        <v>1013</v>
      </c>
    </row>
    <row r="419" spans="1:3" x14ac:dyDescent="0.25">
      <c r="A419" s="3" t="s">
        <v>496</v>
      </c>
      <c r="B419" t="s">
        <v>7</v>
      </c>
      <c r="C419" t="s">
        <v>1013</v>
      </c>
    </row>
    <row r="420" spans="1:3" x14ac:dyDescent="0.25">
      <c r="A420" s="3" t="s">
        <v>497</v>
      </c>
      <c r="B420" t="s">
        <v>97</v>
      </c>
      <c r="C420" t="s">
        <v>1013</v>
      </c>
    </row>
    <row r="421" spans="1:3" x14ac:dyDescent="0.25">
      <c r="A421" s="3" t="s">
        <v>498</v>
      </c>
      <c r="B421" t="s">
        <v>18</v>
      </c>
      <c r="C421" t="s">
        <v>1013</v>
      </c>
    </row>
    <row r="422" spans="1:3" x14ac:dyDescent="0.25">
      <c r="A422" s="3" t="s">
        <v>499</v>
      </c>
      <c r="B422" t="s">
        <v>5</v>
      </c>
      <c r="C422" t="s">
        <v>1013</v>
      </c>
    </row>
    <row r="423" spans="1:3" x14ac:dyDescent="0.25">
      <c r="A423" s="3" t="s">
        <v>500</v>
      </c>
      <c r="B423" t="s">
        <v>12</v>
      </c>
      <c r="C423" t="s">
        <v>1013</v>
      </c>
    </row>
    <row r="424" spans="1:3" x14ac:dyDescent="0.25">
      <c r="A424" s="3" t="s">
        <v>501</v>
      </c>
      <c r="B424" t="s">
        <v>5</v>
      </c>
      <c r="C424" t="s">
        <v>1013</v>
      </c>
    </row>
    <row r="425" spans="1:3" x14ac:dyDescent="0.25">
      <c r="A425" s="3" t="s">
        <v>502</v>
      </c>
      <c r="B425" t="s">
        <v>16</v>
      </c>
      <c r="C425" t="s">
        <v>1013</v>
      </c>
    </row>
    <row r="426" spans="1:3" x14ac:dyDescent="0.25">
      <c r="A426" s="3" t="s">
        <v>503</v>
      </c>
      <c r="B426" t="s">
        <v>11</v>
      </c>
      <c r="C426" t="s">
        <v>1013</v>
      </c>
    </row>
    <row r="427" spans="1:3" x14ac:dyDescent="0.25">
      <c r="A427" s="3" t="s">
        <v>504</v>
      </c>
      <c r="B427" t="s">
        <v>7</v>
      </c>
      <c r="C427" t="s">
        <v>1013</v>
      </c>
    </row>
    <row r="428" spans="1:3" x14ac:dyDescent="0.25">
      <c r="A428" s="3" t="s">
        <v>505</v>
      </c>
      <c r="B428" t="s">
        <v>70</v>
      </c>
      <c r="C428" t="s">
        <v>1013</v>
      </c>
    </row>
    <row r="429" spans="1:3" x14ac:dyDescent="0.25">
      <c r="A429" s="3" t="s">
        <v>506</v>
      </c>
      <c r="B429" t="s">
        <v>7</v>
      </c>
      <c r="C429" t="s">
        <v>1013</v>
      </c>
    </row>
    <row r="430" spans="1:3" x14ac:dyDescent="0.25">
      <c r="A430" s="3" t="s">
        <v>507</v>
      </c>
      <c r="B430" t="s">
        <v>86</v>
      </c>
      <c r="C430" t="s">
        <v>1013</v>
      </c>
    </row>
    <row r="431" spans="1:3" x14ac:dyDescent="0.25">
      <c r="A431" s="3" t="s">
        <v>508</v>
      </c>
      <c r="B431" t="s">
        <v>33</v>
      </c>
      <c r="C431" t="s">
        <v>1013</v>
      </c>
    </row>
    <row r="432" spans="1:3" x14ac:dyDescent="0.25">
      <c r="A432" s="3" t="s">
        <v>509</v>
      </c>
      <c r="B432" t="s">
        <v>7</v>
      </c>
      <c r="C432" t="s">
        <v>1013</v>
      </c>
    </row>
    <row r="433" spans="1:3" x14ac:dyDescent="0.25">
      <c r="A433" s="3" t="s">
        <v>510</v>
      </c>
      <c r="B433" t="s">
        <v>12</v>
      </c>
      <c r="C433" t="s">
        <v>1013</v>
      </c>
    </row>
    <row r="434" spans="1:3" x14ac:dyDescent="0.25">
      <c r="A434" s="3" t="s">
        <v>511</v>
      </c>
      <c r="B434" t="s">
        <v>33</v>
      </c>
      <c r="C434" t="s">
        <v>1013</v>
      </c>
    </row>
    <row r="435" spans="1:3" x14ac:dyDescent="0.25">
      <c r="A435" s="3" t="s">
        <v>512</v>
      </c>
      <c r="B435" t="s">
        <v>5</v>
      </c>
      <c r="C435" t="s">
        <v>1013</v>
      </c>
    </row>
    <row r="436" spans="1:3" x14ac:dyDescent="0.25">
      <c r="A436" s="3" t="s">
        <v>513</v>
      </c>
      <c r="B436" t="s">
        <v>7</v>
      </c>
      <c r="C436" t="s">
        <v>1013</v>
      </c>
    </row>
    <row r="437" spans="1:3" x14ac:dyDescent="0.25">
      <c r="A437" s="3" t="s">
        <v>514</v>
      </c>
      <c r="B437" t="s">
        <v>5</v>
      </c>
      <c r="C437" t="s">
        <v>1013</v>
      </c>
    </row>
    <row r="438" spans="1:3" x14ac:dyDescent="0.25">
      <c r="A438" s="3" t="s">
        <v>515</v>
      </c>
      <c r="B438" t="s">
        <v>11</v>
      </c>
      <c r="C438" t="s">
        <v>1013</v>
      </c>
    </row>
    <row r="439" spans="1:3" x14ac:dyDescent="0.25">
      <c r="A439" s="3" t="s">
        <v>516</v>
      </c>
      <c r="B439" t="s">
        <v>15</v>
      </c>
      <c r="C439" t="s">
        <v>1013</v>
      </c>
    </row>
    <row r="440" spans="1:3" x14ac:dyDescent="0.25">
      <c r="A440" s="3" t="s">
        <v>517</v>
      </c>
      <c r="B440" t="s">
        <v>5</v>
      </c>
      <c r="C440" t="s">
        <v>1013</v>
      </c>
    </row>
    <row r="441" spans="1:3" x14ac:dyDescent="0.25">
      <c r="A441" s="3" t="s">
        <v>518</v>
      </c>
      <c r="B441" t="s">
        <v>12</v>
      </c>
      <c r="C441" t="s">
        <v>1013</v>
      </c>
    </row>
    <row r="442" spans="1:3" x14ac:dyDescent="0.25">
      <c r="A442" s="3" t="s">
        <v>519</v>
      </c>
      <c r="B442" t="s">
        <v>5</v>
      </c>
      <c r="C442" t="s">
        <v>1010</v>
      </c>
    </row>
    <row r="443" spans="1:3" x14ac:dyDescent="0.25">
      <c r="A443" s="3" t="s">
        <v>520</v>
      </c>
      <c r="B443" t="s">
        <v>70</v>
      </c>
      <c r="C443" t="s">
        <v>1013</v>
      </c>
    </row>
    <row r="444" spans="1:3" x14ac:dyDescent="0.25">
      <c r="A444" s="3" t="s">
        <v>521</v>
      </c>
      <c r="B444" t="s">
        <v>7</v>
      </c>
      <c r="C444" t="s">
        <v>1013</v>
      </c>
    </row>
    <row r="445" spans="1:3" x14ac:dyDescent="0.25">
      <c r="A445" s="3" t="s">
        <v>522</v>
      </c>
      <c r="B445" t="s">
        <v>12</v>
      </c>
      <c r="C445" t="s">
        <v>1013</v>
      </c>
    </row>
    <row r="446" spans="1:3" x14ac:dyDescent="0.25">
      <c r="A446" s="3" t="s">
        <v>523</v>
      </c>
      <c r="B446" t="s">
        <v>11</v>
      </c>
      <c r="C446" t="s">
        <v>1013</v>
      </c>
    </row>
    <row r="447" spans="1:3" x14ac:dyDescent="0.25">
      <c r="A447" s="3" t="s">
        <v>524</v>
      </c>
      <c r="B447" t="s">
        <v>5</v>
      </c>
      <c r="C447" t="s">
        <v>1013</v>
      </c>
    </row>
    <row r="448" spans="1:3" x14ac:dyDescent="0.25">
      <c r="A448" s="3" t="s">
        <v>525</v>
      </c>
      <c r="B448" t="s">
        <v>16</v>
      </c>
      <c r="C448" t="s">
        <v>1013</v>
      </c>
    </row>
    <row r="449" spans="1:3" x14ac:dyDescent="0.25">
      <c r="A449" s="3" t="s">
        <v>526</v>
      </c>
      <c r="B449" t="s">
        <v>7</v>
      </c>
      <c r="C449" t="s">
        <v>1013</v>
      </c>
    </row>
    <row r="450" spans="1:3" x14ac:dyDescent="0.25">
      <c r="A450" s="3" t="s">
        <v>527</v>
      </c>
      <c r="B450" t="s">
        <v>11</v>
      </c>
      <c r="C450" t="s">
        <v>1013</v>
      </c>
    </row>
    <row r="451" spans="1:3" x14ac:dyDescent="0.25">
      <c r="A451" s="3" t="s">
        <v>528</v>
      </c>
      <c r="B451" t="s">
        <v>5</v>
      </c>
      <c r="C451" t="s">
        <v>1013</v>
      </c>
    </row>
    <row r="452" spans="1:3" x14ac:dyDescent="0.25">
      <c r="A452" s="3" t="s">
        <v>529</v>
      </c>
      <c r="B452" t="s">
        <v>12</v>
      </c>
      <c r="C452" t="s">
        <v>1013</v>
      </c>
    </row>
    <row r="453" spans="1:3" x14ac:dyDescent="0.25">
      <c r="A453" s="3" t="s">
        <v>530</v>
      </c>
      <c r="B453" t="s">
        <v>16</v>
      </c>
      <c r="C453" t="s">
        <v>1013</v>
      </c>
    </row>
    <row r="454" spans="1:3" x14ac:dyDescent="0.25">
      <c r="A454" s="3" t="s">
        <v>68</v>
      </c>
      <c r="B454" t="s">
        <v>8</v>
      </c>
      <c r="C454" t="s">
        <v>1013</v>
      </c>
    </row>
    <row r="455" spans="1:3" x14ac:dyDescent="0.25">
      <c r="A455" s="3" t="s">
        <v>531</v>
      </c>
      <c r="B455" t="s">
        <v>7</v>
      </c>
      <c r="C455" t="s">
        <v>1013</v>
      </c>
    </row>
    <row r="456" spans="1:3" x14ac:dyDescent="0.25">
      <c r="A456" s="3" t="s">
        <v>532</v>
      </c>
      <c r="B456" t="s">
        <v>16</v>
      </c>
      <c r="C456" t="s">
        <v>1013</v>
      </c>
    </row>
    <row r="457" spans="1:3" x14ac:dyDescent="0.25">
      <c r="A457" s="3" t="s">
        <v>533</v>
      </c>
      <c r="B457" t="s">
        <v>11</v>
      </c>
      <c r="C457" t="s">
        <v>1013</v>
      </c>
    </row>
    <row r="458" spans="1:3" x14ac:dyDescent="0.25">
      <c r="A458" s="3" t="s">
        <v>534</v>
      </c>
      <c r="B458" t="s">
        <v>5</v>
      </c>
      <c r="C458" t="s">
        <v>1013</v>
      </c>
    </row>
    <row r="459" spans="1:3" x14ac:dyDescent="0.25">
      <c r="A459" s="3" t="s">
        <v>535</v>
      </c>
      <c r="B459" t="s">
        <v>8</v>
      </c>
      <c r="C459" t="s">
        <v>1013</v>
      </c>
    </row>
    <row r="460" spans="1:3" x14ac:dyDescent="0.25">
      <c r="A460" s="3" t="s">
        <v>536</v>
      </c>
      <c r="B460" t="s">
        <v>97</v>
      </c>
      <c r="C460" t="s">
        <v>1013</v>
      </c>
    </row>
    <row r="461" spans="1:3" x14ac:dyDescent="0.25">
      <c r="A461" s="3" t="s">
        <v>537</v>
      </c>
      <c r="B461" t="s">
        <v>5</v>
      </c>
      <c r="C461" t="s">
        <v>1013</v>
      </c>
    </row>
    <row r="462" spans="1:3" x14ac:dyDescent="0.25">
      <c r="A462" s="3" t="s">
        <v>538</v>
      </c>
      <c r="B462" t="s">
        <v>8</v>
      </c>
      <c r="C462" t="s">
        <v>1013</v>
      </c>
    </row>
    <row r="463" spans="1:3" x14ac:dyDescent="0.25">
      <c r="A463" s="3" t="s">
        <v>539</v>
      </c>
      <c r="B463" t="s">
        <v>7</v>
      </c>
      <c r="C463" t="s">
        <v>1013</v>
      </c>
    </row>
    <row r="464" spans="1:3" x14ac:dyDescent="0.25">
      <c r="A464" s="3" t="s">
        <v>540</v>
      </c>
      <c r="B464" t="s">
        <v>5</v>
      </c>
      <c r="C464" t="s">
        <v>1013</v>
      </c>
    </row>
    <row r="465" spans="1:3" x14ac:dyDescent="0.25">
      <c r="A465" s="3" t="s">
        <v>541</v>
      </c>
      <c r="B465" t="s">
        <v>7</v>
      </c>
      <c r="C465" t="s">
        <v>1013</v>
      </c>
    </row>
    <row r="466" spans="1:3" x14ac:dyDescent="0.25">
      <c r="A466" s="3" t="s">
        <v>542</v>
      </c>
      <c r="B466" t="s">
        <v>5</v>
      </c>
      <c r="C466" t="s">
        <v>1013</v>
      </c>
    </row>
    <row r="467" spans="1:3" x14ac:dyDescent="0.25">
      <c r="A467" s="3" t="s">
        <v>543</v>
      </c>
      <c r="B467" t="s">
        <v>100</v>
      </c>
      <c r="C467" t="s">
        <v>1013</v>
      </c>
    </row>
    <row r="468" spans="1:3" x14ac:dyDescent="0.25">
      <c r="A468" s="3" t="s">
        <v>544</v>
      </c>
      <c r="B468" t="s">
        <v>33</v>
      </c>
      <c r="C468" t="s">
        <v>1013</v>
      </c>
    </row>
    <row r="469" spans="1:3" x14ac:dyDescent="0.25">
      <c r="A469" s="3" t="s">
        <v>545</v>
      </c>
      <c r="B469" t="s">
        <v>39</v>
      </c>
      <c r="C469" t="s">
        <v>1013</v>
      </c>
    </row>
    <row r="470" spans="1:3" x14ac:dyDescent="0.25">
      <c r="A470" s="3" t="s">
        <v>546</v>
      </c>
      <c r="B470" t="s">
        <v>28</v>
      </c>
      <c r="C470" t="s">
        <v>1013</v>
      </c>
    </row>
    <row r="471" spans="1:3" x14ac:dyDescent="0.25">
      <c r="A471" s="3" t="s">
        <v>547</v>
      </c>
      <c r="B471" t="s">
        <v>16</v>
      </c>
      <c r="C471" t="s">
        <v>1013</v>
      </c>
    </row>
    <row r="472" spans="1:3" x14ac:dyDescent="0.25">
      <c r="A472" s="3" t="s">
        <v>548</v>
      </c>
      <c r="B472" t="s">
        <v>8</v>
      </c>
      <c r="C472" t="s">
        <v>1013</v>
      </c>
    </row>
    <row r="473" spans="1:3" x14ac:dyDescent="0.25">
      <c r="A473" s="3" t="s">
        <v>549</v>
      </c>
      <c r="B473" t="s">
        <v>7</v>
      </c>
      <c r="C473" t="s">
        <v>1013</v>
      </c>
    </row>
    <row r="474" spans="1:3" x14ac:dyDescent="0.25">
      <c r="A474" s="3" t="s">
        <v>550</v>
      </c>
      <c r="B474" t="s">
        <v>70</v>
      </c>
      <c r="C474" t="s">
        <v>1013</v>
      </c>
    </row>
    <row r="475" spans="1:3" x14ac:dyDescent="0.25">
      <c r="A475" s="3" t="s">
        <v>551</v>
      </c>
      <c r="B475" t="s">
        <v>5</v>
      </c>
      <c r="C475" t="s">
        <v>1013</v>
      </c>
    </row>
    <row r="476" spans="1:3" x14ac:dyDescent="0.25">
      <c r="A476" s="3" t="s">
        <v>552</v>
      </c>
      <c r="B476" t="s">
        <v>7</v>
      </c>
      <c r="C476" t="s">
        <v>1013</v>
      </c>
    </row>
    <row r="477" spans="1:3" x14ac:dyDescent="0.25">
      <c r="A477" s="3" t="s">
        <v>553</v>
      </c>
      <c r="B477" t="s">
        <v>5</v>
      </c>
      <c r="C477" t="s">
        <v>1013</v>
      </c>
    </row>
    <row r="478" spans="1:3" x14ac:dyDescent="0.25">
      <c r="A478" s="3" t="s">
        <v>554</v>
      </c>
      <c r="B478" t="s">
        <v>18</v>
      </c>
      <c r="C478" t="s">
        <v>1013</v>
      </c>
    </row>
    <row r="479" spans="1:3" x14ac:dyDescent="0.25">
      <c r="A479" s="3" t="s">
        <v>555</v>
      </c>
      <c r="B479" t="s">
        <v>7</v>
      </c>
      <c r="C479" t="s">
        <v>1013</v>
      </c>
    </row>
    <row r="480" spans="1:3" x14ac:dyDescent="0.25">
      <c r="A480" s="3" t="s">
        <v>556</v>
      </c>
      <c r="B480" t="s">
        <v>39</v>
      </c>
      <c r="C480" t="s">
        <v>1013</v>
      </c>
    </row>
    <row r="481" spans="1:3" x14ac:dyDescent="0.25">
      <c r="A481" s="3" t="s">
        <v>557</v>
      </c>
      <c r="B481" t="s">
        <v>5</v>
      </c>
      <c r="C481" t="s">
        <v>1013</v>
      </c>
    </row>
    <row r="482" spans="1:3" x14ac:dyDescent="0.25">
      <c r="A482" s="3" t="s">
        <v>558</v>
      </c>
      <c r="B482" t="s">
        <v>12</v>
      </c>
      <c r="C482" t="s">
        <v>1013</v>
      </c>
    </row>
    <row r="483" spans="1:3" x14ac:dyDescent="0.25">
      <c r="A483" s="3" t="s">
        <v>559</v>
      </c>
      <c r="B483" t="s">
        <v>12</v>
      </c>
      <c r="C483" t="s">
        <v>1013</v>
      </c>
    </row>
    <row r="484" spans="1:3" x14ac:dyDescent="0.25">
      <c r="A484" s="3" t="s">
        <v>560</v>
      </c>
      <c r="B484" t="s">
        <v>5</v>
      </c>
      <c r="C484" t="s">
        <v>1013</v>
      </c>
    </row>
    <row r="485" spans="1:3" x14ac:dyDescent="0.25">
      <c r="A485" s="3" t="s">
        <v>561</v>
      </c>
      <c r="B485" t="s">
        <v>7</v>
      </c>
      <c r="C485" t="s">
        <v>1013</v>
      </c>
    </row>
    <row r="486" spans="1:3" x14ac:dyDescent="0.25">
      <c r="A486" s="3" t="s">
        <v>562</v>
      </c>
      <c r="B486" t="s">
        <v>70</v>
      </c>
      <c r="C486" t="s">
        <v>1013</v>
      </c>
    </row>
    <row r="487" spans="1:3" x14ac:dyDescent="0.25">
      <c r="A487" s="3" t="s">
        <v>563</v>
      </c>
      <c r="B487" t="s">
        <v>16</v>
      </c>
      <c r="C487" t="s">
        <v>1013</v>
      </c>
    </row>
    <row r="488" spans="1:3" x14ac:dyDescent="0.25">
      <c r="A488" s="3" t="s">
        <v>564</v>
      </c>
      <c r="B488" t="s">
        <v>97</v>
      </c>
      <c r="C488" t="s">
        <v>1013</v>
      </c>
    </row>
    <row r="489" spans="1:3" x14ac:dyDescent="0.25">
      <c r="A489" s="3" t="s">
        <v>565</v>
      </c>
      <c r="B489" t="s">
        <v>86</v>
      </c>
      <c r="C489" t="s">
        <v>1013</v>
      </c>
    </row>
    <row r="490" spans="1:3" x14ac:dyDescent="0.25">
      <c r="A490" s="3" t="s">
        <v>566</v>
      </c>
      <c r="B490" t="s">
        <v>82</v>
      </c>
      <c r="C490" t="s">
        <v>1013</v>
      </c>
    </row>
    <row r="491" spans="1:3" x14ac:dyDescent="0.25">
      <c r="A491" s="3" t="s">
        <v>567</v>
      </c>
      <c r="B491" t="s">
        <v>97</v>
      </c>
      <c r="C491" t="s">
        <v>1013</v>
      </c>
    </row>
    <row r="492" spans="1:3" x14ac:dyDescent="0.25">
      <c r="A492" s="3" t="s">
        <v>568</v>
      </c>
      <c r="B492" t="s">
        <v>5</v>
      </c>
      <c r="C492" t="s">
        <v>1013</v>
      </c>
    </row>
    <row r="493" spans="1:3" x14ac:dyDescent="0.25">
      <c r="A493" s="3" t="s">
        <v>569</v>
      </c>
      <c r="B493" t="s">
        <v>5</v>
      </c>
      <c r="C493" t="s">
        <v>1013</v>
      </c>
    </row>
    <row r="494" spans="1:3" x14ac:dyDescent="0.25">
      <c r="A494" s="3" t="s">
        <v>570</v>
      </c>
      <c r="B494" t="s">
        <v>15</v>
      </c>
      <c r="C494" t="s">
        <v>1013</v>
      </c>
    </row>
    <row r="495" spans="1:3" x14ac:dyDescent="0.25">
      <c r="A495" s="3" t="s">
        <v>571</v>
      </c>
      <c r="B495" t="s">
        <v>70</v>
      </c>
      <c r="C495" t="s">
        <v>1013</v>
      </c>
    </row>
    <row r="496" spans="1:3" x14ac:dyDescent="0.25">
      <c r="A496" s="3" t="s">
        <v>572</v>
      </c>
      <c r="B496" t="s">
        <v>39</v>
      </c>
      <c r="C496" t="s">
        <v>1013</v>
      </c>
    </row>
    <row r="497" spans="1:3" x14ac:dyDescent="0.25">
      <c r="A497" s="3" t="s">
        <v>573</v>
      </c>
      <c r="B497" t="s">
        <v>7</v>
      </c>
      <c r="C497" t="s">
        <v>1013</v>
      </c>
    </row>
    <row r="498" spans="1:3" x14ac:dyDescent="0.25">
      <c r="A498" s="3" t="s">
        <v>574</v>
      </c>
      <c r="B498" t="s">
        <v>100</v>
      </c>
      <c r="C498" t="s">
        <v>1013</v>
      </c>
    </row>
    <row r="499" spans="1:3" x14ac:dyDescent="0.25">
      <c r="A499" s="3" t="s">
        <v>575</v>
      </c>
      <c r="B499" t="s">
        <v>31</v>
      </c>
      <c r="C499" t="s">
        <v>1013</v>
      </c>
    </row>
    <row r="500" spans="1:3" x14ac:dyDescent="0.25">
      <c r="A500" s="3" t="s">
        <v>576</v>
      </c>
      <c r="B500" t="s">
        <v>8</v>
      </c>
      <c r="C500" t="s">
        <v>1013</v>
      </c>
    </row>
    <row r="501" spans="1:3" x14ac:dyDescent="0.25">
      <c r="A501" s="3" t="s">
        <v>577</v>
      </c>
      <c r="B501" t="s">
        <v>16</v>
      </c>
      <c r="C501" t="s">
        <v>1013</v>
      </c>
    </row>
    <row r="502" spans="1:3" x14ac:dyDescent="0.25">
      <c r="A502" s="3" t="s">
        <v>578</v>
      </c>
      <c r="B502" t="s">
        <v>5</v>
      </c>
      <c r="C502" t="s">
        <v>1013</v>
      </c>
    </row>
    <row r="503" spans="1:3" x14ac:dyDescent="0.25">
      <c r="A503" s="3" t="s">
        <v>579</v>
      </c>
      <c r="B503" t="s">
        <v>14</v>
      </c>
      <c r="C503" t="s">
        <v>1013</v>
      </c>
    </row>
    <row r="504" spans="1:3" x14ac:dyDescent="0.25">
      <c r="A504" s="3" t="s">
        <v>580</v>
      </c>
      <c r="B504" t="s">
        <v>85</v>
      </c>
      <c r="C504" t="s">
        <v>1013</v>
      </c>
    </row>
    <row r="505" spans="1:3" x14ac:dyDescent="0.25">
      <c r="A505" s="3" t="s">
        <v>581</v>
      </c>
      <c r="B505" t="s">
        <v>15</v>
      </c>
      <c r="C505" t="s">
        <v>1013</v>
      </c>
    </row>
    <row r="506" spans="1:3" x14ac:dyDescent="0.25">
      <c r="A506" s="3" t="s">
        <v>582</v>
      </c>
      <c r="B506" t="s">
        <v>7</v>
      </c>
      <c r="C506" t="s">
        <v>1013</v>
      </c>
    </row>
    <row r="507" spans="1:3" x14ac:dyDescent="0.25">
      <c r="A507" s="3" t="s">
        <v>583</v>
      </c>
      <c r="B507" t="s">
        <v>12</v>
      </c>
      <c r="C507" t="s">
        <v>1013</v>
      </c>
    </row>
    <row r="508" spans="1:3" x14ac:dyDescent="0.25">
      <c r="A508" s="3" t="s">
        <v>584</v>
      </c>
      <c r="B508" t="s">
        <v>12</v>
      </c>
      <c r="C508" t="s">
        <v>1013</v>
      </c>
    </row>
    <row r="509" spans="1:3" x14ac:dyDescent="0.25">
      <c r="A509" s="3" t="s">
        <v>585</v>
      </c>
      <c r="B509" t="s">
        <v>33</v>
      </c>
      <c r="C509" t="s">
        <v>1013</v>
      </c>
    </row>
    <row r="510" spans="1:3" x14ac:dyDescent="0.25">
      <c r="A510" s="3" t="s">
        <v>586</v>
      </c>
      <c r="B510" t="s">
        <v>11</v>
      </c>
      <c r="C510" t="s">
        <v>1013</v>
      </c>
    </row>
    <row r="511" spans="1:3" x14ac:dyDescent="0.25">
      <c r="A511" s="3" t="s">
        <v>587</v>
      </c>
      <c r="B511" t="s">
        <v>87</v>
      </c>
      <c r="C511" t="s">
        <v>1013</v>
      </c>
    </row>
    <row r="512" spans="1:3" x14ac:dyDescent="0.25">
      <c r="A512" s="3" t="s">
        <v>588</v>
      </c>
      <c r="B512" t="s">
        <v>7</v>
      </c>
      <c r="C512" t="s">
        <v>1013</v>
      </c>
    </row>
    <row r="513" spans="1:3" x14ac:dyDescent="0.25">
      <c r="A513" s="3" t="s">
        <v>589</v>
      </c>
      <c r="B513" t="s">
        <v>7</v>
      </c>
      <c r="C513" t="s">
        <v>1013</v>
      </c>
    </row>
    <row r="514" spans="1:3" x14ac:dyDescent="0.25">
      <c r="A514" s="3" t="s">
        <v>590</v>
      </c>
      <c r="B514" t="s">
        <v>7</v>
      </c>
      <c r="C514" t="s">
        <v>1013</v>
      </c>
    </row>
    <row r="515" spans="1:3" x14ac:dyDescent="0.25">
      <c r="A515" s="3" t="s">
        <v>591</v>
      </c>
      <c r="B515" t="s">
        <v>5</v>
      </c>
      <c r="C515" t="s">
        <v>1013</v>
      </c>
    </row>
    <row r="516" spans="1:3" x14ac:dyDescent="0.25">
      <c r="A516" s="3" t="s">
        <v>592</v>
      </c>
      <c r="B516" t="s">
        <v>82</v>
      </c>
      <c r="C516" t="s">
        <v>1013</v>
      </c>
    </row>
    <row r="517" spans="1:3" x14ac:dyDescent="0.25">
      <c r="A517" s="3" t="s">
        <v>593</v>
      </c>
      <c r="B517" t="s">
        <v>7</v>
      </c>
      <c r="C517" t="s">
        <v>1013</v>
      </c>
    </row>
    <row r="518" spans="1:3" x14ac:dyDescent="0.25">
      <c r="A518" s="3" t="s">
        <v>594</v>
      </c>
      <c r="B518" t="s">
        <v>31</v>
      </c>
      <c r="C518" t="s">
        <v>1013</v>
      </c>
    </row>
    <row r="519" spans="1:3" x14ac:dyDescent="0.25">
      <c r="A519" s="3" t="s">
        <v>595</v>
      </c>
      <c r="B519" t="s">
        <v>7</v>
      </c>
      <c r="C519" t="s">
        <v>1013</v>
      </c>
    </row>
    <row r="520" spans="1:3" x14ac:dyDescent="0.25">
      <c r="A520" s="3" t="s">
        <v>596</v>
      </c>
      <c r="B520" t="s">
        <v>7</v>
      </c>
      <c r="C520" t="s">
        <v>1013</v>
      </c>
    </row>
    <row r="521" spans="1:3" x14ac:dyDescent="0.25">
      <c r="A521" s="3" t="s">
        <v>597</v>
      </c>
      <c r="B521" t="s">
        <v>5</v>
      </c>
      <c r="C521" t="s">
        <v>1013</v>
      </c>
    </row>
    <row r="522" spans="1:3" x14ac:dyDescent="0.25">
      <c r="A522" s="3" t="s">
        <v>598</v>
      </c>
      <c r="B522" t="s">
        <v>5</v>
      </c>
      <c r="C522" t="s">
        <v>1013</v>
      </c>
    </row>
    <row r="523" spans="1:3" x14ac:dyDescent="0.25">
      <c r="A523" s="3" t="s">
        <v>599</v>
      </c>
      <c r="B523" t="s">
        <v>11</v>
      </c>
      <c r="C523" t="s">
        <v>1013</v>
      </c>
    </row>
    <row r="524" spans="1:3" x14ac:dyDescent="0.25">
      <c r="A524" s="3" t="s">
        <v>600</v>
      </c>
      <c r="B524" t="s">
        <v>12</v>
      </c>
      <c r="C524" t="s">
        <v>1013</v>
      </c>
    </row>
    <row r="525" spans="1:3" x14ac:dyDescent="0.25">
      <c r="A525" s="3" t="s">
        <v>601</v>
      </c>
      <c r="B525" t="s">
        <v>5</v>
      </c>
      <c r="C525" t="s">
        <v>1013</v>
      </c>
    </row>
    <row r="526" spans="1:3" x14ac:dyDescent="0.25">
      <c r="A526" s="3" t="s">
        <v>602</v>
      </c>
      <c r="B526" t="s">
        <v>11</v>
      </c>
      <c r="C526" t="s">
        <v>1013</v>
      </c>
    </row>
    <row r="527" spans="1:3" x14ac:dyDescent="0.25">
      <c r="A527" s="3" t="s">
        <v>603</v>
      </c>
      <c r="B527" t="s">
        <v>100</v>
      </c>
      <c r="C527" t="s">
        <v>1013</v>
      </c>
    </row>
    <row r="528" spans="1:3" x14ac:dyDescent="0.25">
      <c r="A528" s="3" t="s">
        <v>604</v>
      </c>
      <c r="B528" t="s">
        <v>16</v>
      </c>
      <c r="C528" t="s">
        <v>1013</v>
      </c>
    </row>
    <row r="529" spans="1:3" x14ac:dyDescent="0.25">
      <c r="A529" s="3" t="s">
        <v>605</v>
      </c>
      <c r="B529" t="s">
        <v>5</v>
      </c>
      <c r="C529" t="s">
        <v>1013</v>
      </c>
    </row>
    <row r="530" spans="1:3" x14ac:dyDescent="0.25">
      <c r="A530" s="3" t="s">
        <v>606</v>
      </c>
      <c r="B530" t="s">
        <v>14</v>
      </c>
      <c r="C530" t="s">
        <v>1013</v>
      </c>
    </row>
    <row r="531" spans="1:3" x14ac:dyDescent="0.25">
      <c r="A531" s="3" t="s">
        <v>607</v>
      </c>
      <c r="B531" t="s">
        <v>33</v>
      </c>
      <c r="C531" t="s">
        <v>1013</v>
      </c>
    </row>
    <row r="532" spans="1:3" x14ac:dyDescent="0.25">
      <c r="A532" s="3" t="s">
        <v>608</v>
      </c>
      <c r="B532" t="s">
        <v>7</v>
      </c>
      <c r="C532" t="s">
        <v>1013</v>
      </c>
    </row>
    <row r="533" spans="1:3" x14ac:dyDescent="0.25">
      <c r="A533" s="3" t="s">
        <v>609</v>
      </c>
      <c r="B533" t="s">
        <v>5</v>
      </c>
      <c r="C533" t="s">
        <v>1013</v>
      </c>
    </row>
    <row r="534" spans="1:3" x14ac:dyDescent="0.25">
      <c r="A534" s="3" t="s">
        <v>610</v>
      </c>
      <c r="B534" t="s">
        <v>18</v>
      </c>
      <c r="C534" t="s">
        <v>1013</v>
      </c>
    </row>
    <row r="535" spans="1:3" x14ac:dyDescent="0.25">
      <c r="A535" s="3" t="s">
        <v>611</v>
      </c>
      <c r="B535" t="s">
        <v>7</v>
      </c>
      <c r="C535" t="s">
        <v>1013</v>
      </c>
    </row>
    <row r="536" spans="1:3" x14ac:dyDescent="0.25">
      <c r="A536" s="3" t="s">
        <v>612</v>
      </c>
      <c r="B536" t="s">
        <v>16</v>
      </c>
      <c r="C536" t="s">
        <v>1013</v>
      </c>
    </row>
    <row r="537" spans="1:3" x14ac:dyDescent="0.25">
      <c r="A537" s="3" t="s">
        <v>613</v>
      </c>
      <c r="B537" t="s">
        <v>5</v>
      </c>
      <c r="C537" t="s">
        <v>1013</v>
      </c>
    </row>
    <row r="538" spans="1:3" x14ac:dyDescent="0.25">
      <c r="A538" s="3" t="s">
        <v>614</v>
      </c>
      <c r="B538" t="s">
        <v>15</v>
      </c>
      <c r="C538" t="s">
        <v>1013</v>
      </c>
    </row>
    <row r="539" spans="1:3" x14ac:dyDescent="0.25">
      <c r="A539" s="3" t="s">
        <v>615</v>
      </c>
      <c r="B539" t="s">
        <v>8</v>
      </c>
      <c r="C539" t="s">
        <v>1013</v>
      </c>
    </row>
    <row r="540" spans="1:3" x14ac:dyDescent="0.25">
      <c r="A540" s="3" t="s">
        <v>616</v>
      </c>
      <c r="B540" t="s">
        <v>97</v>
      </c>
      <c r="C540" t="s">
        <v>1013</v>
      </c>
    </row>
    <row r="541" spans="1:3" x14ac:dyDescent="0.25">
      <c r="A541" s="3" t="s">
        <v>617</v>
      </c>
      <c r="B541" t="s">
        <v>12</v>
      </c>
      <c r="C541" t="s">
        <v>1013</v>
      </c>
    </row>
    <row r="542" spans="1:3" x14ac:dyDescent="0.25">
      <c r="A542" s="3" t="s">
        <v>618</v>
      </c>
      <c r="B542" t="s">
        <v>12</v>
      </c>
      <c r="C542" t="s">
        <v>1013</v>
      </c>
    </row>
    <row r="543" spans="1:3" x14ac:dyDescent="0.25">
      <c r="A543" s="3" t="s">
        <v>619</v>
      </c>
      <c r="B543" t="s">
        <v>12</v>
      </c>
      <c r="C543" t="s">
        <v>1013</v>
      </c>
    </row>
    <row r="544" spans="1:3" x14ac:dyDescent="0.25">
      <c r="A544" s="3" t="s">
        <v>620</v>
      </c>
      <c r="B544" t="s">
        <v>31</v>
      </c>
      <c r="C544" t="s">
        <v>1013</v>
      </c>
    </row>
    <row r="545" spans="1:3" x14ac:dyDescent="0.25">
      <c r="A545" s="3" t="s">
        <v>621</v>
      </c>
      <c r="B545" t="s">
        <v>70</v>
      </c>
      <c r="C545" t="s">
        <v>1013</v>
      </c>
    </row>
    <row r="546" spans="1:3" x14ac:dyDescent="0.25">
      <c r="A546" s="3" t="s">
        <v>622</v>
      </c>
      <c r="B546" t="s">
        <v>11</v>
      </c>
      <c r="C546" t="s">
        <v>1013</v>
      </c>
    </row>
    <row r="547" spans="1:3" x14ac:dyDescent="0.25">
      <c r="A547" s="3" t="s">
        <v>623</v>
      </c>
      <c r="B547" t="s">
        <v>28</v>
      </c>
      <c r="C547" t="s">
        <v>1013</v>
      </c>
    </row>
    <row r="548" spans="1:3" x14ac:dyDescent="0.25">
      <c r="A548" s="3" t="s">
        <v>624</v>
      </c>
      <c r="B548" t="s">
        <v>18</v>
      </c>
      <c r="C548" t="s">
        <v>1013</v>
      </c>
    </row>
    <row r="549" spans="1:3" x14ac:dyDescent="0.25">
      <c r="A549" s="3" t="s">
        <v>625</v>
      </c>
      <c r="B549" t="s">
        <v>14</v>
      </c>
      <c r="C549" t="s">
        <v>1013</v>
      </c>
    </row>
    <row r="550" spans="1:3" x14ac:dyDescent="0.25">
      <c r="A550" s="3" t="s">
        <v>626</v>
      </c>
      <c r="B550" t="s">
        <v>14</v>
      </c>
      <c r="C550" t="s">
        <v>1013</v>
      </c>
    </row>
    <row r="551" spans="1:3" x14ac:dyDescent="0.25">
      <c r="A551" s="3" t="s">
        <v>627</v>
      </c>
      <c r="B551" t="s">
        <v>5</v>
      </c>
      <c r="C551" t="s">
        <v>1013</v>
      </c>
    </row>
    <row r="552" spans="1:3" x14ac:dyDescent="0.25">
      <c r="A552" s="3" t="s">
        <v>628</v>
      </c>
      <c r="B552" t="s">
        <v>7</v>
      </c>
      <c r="C552" t="s">
        <v>1013</v>
      </c>
    </row>
    <row r="553" spans="1:3" x14ac:dyDescent="0.25">
      <c r="A553" s="3" t="s">
        <v>629</v>
      </c>
      <c r="B553" t="s">
        <v>28</v>
      </c>
      <c r="C553" t="s">
        <v>1013</v>
      </c>
    </row>
    <row r="554" spans="1:3" x14ac:dyDescent="0.25">
      <c r="A554" s="3" t="s">
        <v>630</v>
      </c>
      <c r="B554" t="s">
        <v>33</v>
      </c>
      <c r="C554" t="s">
        <v>1013</v>
      </c>
    </row>
    <row r="555" spans="1:3" x14ac:dyDescent="0.25">
      <c r="A555" s="3" t="s">
        <v>631</v>
      </c>
      <c r="B555" t="s">
        <v>31</v>
      </c>
      <c r="C555" t="s">
        <v>1013</v>
      </c>
    </row>
    <row r="556" spans="1:3" x14ac:dyDescent="0.25">
      <c r="A556" s="3" t="s">
        <v>632</v>
      </c>
      <c r="B556" t="s">
        <v>18</v>
      </c>
      <c r="C556" t="s">
        <v>1013</v>
      </c>
    </row>
    <row r="557" spans="1:3" x14ac:dyDescent="0.25">
      <c r="A557" s="3" t="s">
        <v>633</v>
      </c>
      <c r="B557" t="s">
        <v>31</v>
      </c>
      <c r="C557" t="s">
        <v>1013</v>
      </c>
    </row>
    <row r="558" spans="1:3" x14ac:dyDescent="0.25">
      <c r="A558" s="3" t="s">
        <v>634</v>
      </c>
      <c r="B558" t="s">
        <v>7</v>
      </c>
      <c r="C558" t="s">
        <v>1013</v>
      </c>
    </row>
    <row r="559" spans="1:3" x14ac:dyDescent="0.25">
      <c r="A559" s="3" t="s">
        <v>635</v>
      </c>
      <c r="B559" t="s">
        <v>7</v>
      </c>
      <c r="C559" t="s">
        <v>1013</v>
      </c>
    </row>
    <row r="560" spans="1:3" x14ac:dyDescent="0.25">
      <c r="A560" s="3" t="s">
        <v>636</v>
      </c>
      <c r="B560" t="s">
        <v>33</v>
      </c>
      <c r="C560" t="s">
        <v>1013</v>
      </c>
    </row>
    <row r="561" spans="1:3" x14ac:dyDescent="0.25">
      <c r="A561" s="3" t="s">
        <v>637</v>
      </c>
      <c r="B561" t="s">
        <v>15</v>
      </c>
      <c r="C561" t="s">
        <v>1013</v>
      </c>
    </row>
    <row r="562" spans="1:3" x14ac:dyDescent="0.25">
      <c r="A562" s="3" t="s">
        <v>638</v>
      </c>
      <c r="B562" t="s">
        <v>82</v>
      </c>
      <c r="C562" t="s">
        <v>1013</v>
      </c>
    </row>
    <row r="563" spans="1:3" x14ac:dyDescent="0.25">
      <c r="A563" s="3" t="s">
        <v>639</v>
      </c>
      <c r="B563" t="s">
        <v>91</v>
      </c>
      <c r="C563" t="s">
        <v>1013</v>
      </c>
    </row>
    <row r="564" spans="1:3" x14ac:dyDescent="0.25">
      <c r="A564" s="3" t="s">
        <v>640</v>
      </c>
      <c r="B564" t="s">
        <v>100</v>
      </c>
      <c r="C564" t="s">
        <v>1013</v>
      </c>
    </row>
    <row r="565" spans="1:3" x14ac:dyDescent="0.25">
      <c r="A565" s="3" t="s">
        <v>641</v>
      </c>
      <c r="B565" t="s">
        <v>39</v>
      </c>
      <c r="C565" t="s">
        <v>1013</v>
      </c>
    </row>
    <row r="566" spans="1:3" x14ac:dyDescent="0.25">
      <c r="A566" s="3" t="s">
        <v>642</v>
      </c>
      <c r="B566" t="s">
        <v>11</v>
      </c>
      <c r="C566" t="s">
        <v>1013</v>
      </c>
    </row>
    <row r="567" spans="1:3" x14ac:dyDescent="0.25">
      <c r="A567" s="3" t="s">
        <v>643</v>
      </c>
      <c r="B567" t="s">
        <v>31</v>
      </c>
      <c r="C567" t="s">
        <v>1013</v>
      </c>
    </row>
    <row r="568" spans="1:3" x14ac:dyDescent="0.25">
      <c r="A568" s="3" t="s">
        <v>644</v>
      </c>
      <c r="B568" t="s">
        <v>5</v>
      </c>
      <c r="C568" t="s">
        <v>1013</v>
      </c>
    </row>
    <row r="569" spans="1:3" x14ac:dyDescent="0.25">
      <c r="A569" s="3" t="s">
        <v>645</v>
      </c>
      <c r="B569" t="s">
        <v>18</v>
      </c>
      <c r="C569" t="s">
        <v>1013</v>
      </c>
    </row>
    <row r="570" spans="1:3" x14ac:dyDescent="0.25">
      <c r="A570" s="3" t="s">
        <v>646</v>
      </c>
      <c r="B570" t="s">
        <v>8</v>
      </c>
      <c r="C570" t="s">
        <v>1013</v>
      </c>
    </row>
    <row r="571" spans="1:3" x14ac:dyDescent="0.25">
      <c r="A571" s="3" t="s">
        <v>647</v>
      </c>
      <c r="B571" t="s">
        <v>102</v>
      </c>
      <c r="C571" t="s">
        <v>1013</v>
      </c>
    </row>
    <row r="572" spans="1:3" x14ac:dyDescent="0.25">
      <c r="A572" s="3" t="s">
        <v>648</v>
      </c>
      <c r="B572" t="s">
        <v>5</v>
      </c>
      <c r="C572" t="s">
        <v>1013</v>
      </c>
    </row>
    <row r="573" spans="1:3" x14ac:dyDescent="0.25">
      <c r="A573" s="3" t="s">
        <v>649</v>
      </c>
      <c r="B573" t="s">
        <v>28</v>
      </c>
      <c r="C573" t="s">
        <v>1013</v>
      </c>
    </row>
    <row r="574" spans="1:3" x14ac:dyDescent="0.25">
      <c r="A574" s="3" t="s">
        <v>650</v>
      </c>
      <c r="B574" t="s">
        <v>8</v>
      </c>
      <c r="C574" t="s">
        <v>1013</v>
      </c>
    </row>
    <row r="575" spans="1:3" x14ac:dyDescent="0.25">
      <c r="A575" s="3" t="s">
        <v>651</v>
      </c>
      <c r="B575" t="s">
        <v>7</v>
      </c>
      <c r="C575" t="s">
        <v>1013</v>
      </c>
    </row>
    <row r="576" spans="1:3" x14ac:dyDescent="0.25">
      <c r="A576" s="3" t="s">
        <v>652</v>
      </c>
      <c r="B576" t="s">
        <v>33</v>
      </c>
      <c r="C576" t="s">
        <v>1013</v>
      </c>
    </row>
    <row r="577" spans="1:3" x14ac:dyDescent="0.25">
      <c r="A577" s="3" t="s">
        <v>653</v>
      </c>
      <c r="B577" t="s">
        <v>11</v>
      </c>
      <c r="C577" t="s">
        <v>1013</v>
      </c>
    </row>
    <row r="578" spans="1:3" x14ac:dyDescent="0.25">
      <c r="A578" s="3" t="s">
        <v>654</v>
      </c>
      <c r="B578" t="s">
        <v>7</v>
      </c>
      <c r="C578" t="s">
        <v>1013</v>
      </c>
    </row>
    <row r="579" spans="1:3" x14ac:dyDescent="0.25">
      <c r="A579" s="3" t="s">
        <v>655</v>
      </c>
      <c r="B579" t="s">
        <v>82</v>
      </c>
      <c r="C579" t="s">
        <v>1013</v>
      </c>
    </row>
    <row r="580" spans="1:3" x14ac:dyDescent="0.25">
      <c r="A580" s="3" t="s">
        <v>656</v>
      </c>
      <c r="B580" t="s">
        <v>16</v>
      </c>
      <c r="C580" t="s">
        <v>1013</v>
      </c>
    </row>
    <row r="581" spans="1:3" x14ac:dyDescent="0.25">
      <c r="A581" s="3" t="s">
        <v>657</v>
      </c>
      <c r="B581" t="s">
        <v>12</v>
      </c>
      <c r="C581" t="s">
        <v>1013</v>
      </c>
    </row>
    <row r="582" spans="1:3" x14ac:dyDescent="0.25">
      <c r="A582" s="3" t="s">
        <v>658</v>
      </c>
      <c r="B582" t="s">
        <v>102</v>
      </c>
      <c r="C582" t="s">
        <v>1013</v>
      </c>
    </row>
    <row r="583" spans="1:3" x14ac:dyDescent="0.25">
      <c r="A583" s="3" t="s">
        <v>659</v>
      </c>
      <c r="B583" t="s">
        <v>39</v>
      </c>
      <c r="C583" t="s">
        <v>1013</v>
      </c>
    </row>
    <row r="584" spans="1:3" x14ac:dyDescent="0.25">
      <c r="A584" s="3" t="s">
        <v>660</v>
      </c>
      <c r="B584" t="s">
        <v>84</v>
      </c>
      <c r="C584" t="s">
        <v>1013</v>
      </c>
    </row>
    <row r="585" spans="1:3" x14ac:dyDescent="0.25">
      <c r="A585" s="3" t="s">
        <v>661</v>
      </c>
      <c r="B585" t="s">
        <v>18</v>
      </c>
      <c r="C585" t="s">
        <v>1013</v>
      </c>
    </row>
    <row r="586" spans="1:3" x14ac:dyDescent="0.25">
      <c r="A586" s="3" t="s">
        <v>662</v>
      </c>
      <c r="B586" t="s">
        <v>31</v>
      </c>
      <c r="C586" t="s">
        <v>1013</v>
      </c>
    </row>
    <row r="587" spans="1:3" x14ac:dyDescent="0.25">
      <c r="A587" s="3" t="s">
        <v>663</v>
      </c>
      <c r="B587" t="s">
        <v>8</v>
      </c>
      <c r="C587" t="s">
        <v>1013</v>
      </c>
    </row>
    <row r="588" spans="1:3" x14ac:dyDescent="0.25">
      <c r="A588" s="3" t="s">
        <v>664</v>
      </c>
      <c r="B588" t="s">
        <v>16</v>
      </c>
      <c r="C588" t="s">
        <v>1013</v>
      </c>
    </row>
    <row r="589" spans="1:3" x14ac:dyDescent="0.25">
      <c r="A589" s="3" t="s">
        <v>665</v>
      </c>
      <c r="B589" t="s">
        <v>86</v>
      </c>
      <c r="C589" t="s">
        <v>1013</v>
      </c>
    </row>
    <row r="590" spans="1:3" x14ac:dyDescent="0.25">
      <c r="A590" s="3" t="s">
        <v>666</v>
      </c>
      <c r="B590" t="s">
        <v>16</v>
      </c>
      <c r="C590" t="s">
        <v>1013</v>
      </c>
    </row>
    <row r="591" spans="1:3" x14ac:dyDescent="0.25">
      <c r="A591" s="3" t="s">
        <v>667</v>
      </c>
      <c r="B591" t="s">
        <v>7</v>
      </c>
      <c r="C591" t="s">
        <v>1013</v>
      </c>
    </row>
    <row r="592" spans="1:3" x14ac:dyDescent="0.25">
      <c r="A592" s="3" t="s">
        <v>668</v>
      </c>
      <c r="B592" t="s">
        <v>16</v>
      </c>
      <c r="C592" t="s">
        <v>1013</v>
      </c>
    </row>
    <row r="593" spans="1:3" x14ac:dyDescent="0.25">
      <c r="A593" s="3" t="s">
        <v>669</v>
      </c>
      <c r="B593" t="s">
        <v>97</v>
      </c>
      <c r="C593" t="s">
        <v>1013</v>
      </c>
    </row>
    <row r="594" spans="1:3" x14ac:dyDescent="0.25">
      <c r="A594" s="3" t="s">
        <v>670</v>
      </c>
      <c r="B594" t="s">
        <v>8</v>
      </c>
      <c r="C594" t="s">
        <v>1013</v>
      </c>
    </row>
    <row r="595" spans="1:3" x14ac:dyDescent="0.25">
      <c r="A595" s="3" t="s">
        <v>671</v>
      </c>
      <c r="B595" t="s">
        <v>15</v>
      </c>
      <c r="C595" t="s">
        <v>1013</v>
      </c>
    </row>
    <row r="596" spans="1:3" x14ac:dyDescent="0.25">
      <c r="A596" s="3" t="s">
        <v>672</v>
      </c>
      <c r="B596" t="s">
        <v>5</v>
      </c>
      <c r="C596" t="s">
        <v>1013</v>
      </c>
    </row>
    <row r="597" spans="1:3" x14ac:dyDescent="0.25">
      <c r="A597" s="3" t="s">
        <v>673</v>
      </c>
      <c r="B597" t="s">
        <v>12</v>
      </c>
      <c r="C597" t="s">
        <v>1013</v>
      </c>
    </row>
    <row r="598" spans="1:3" x14ac:dyDescent="0.25">
      <c r="A598" s="3" t="s">
        <v>674</v>
      </c>
      <c r="B598" t="s">
        <v>11</v>
      </c>
      <c r="C598" t="s">
        <v>1013</v>
      </c>
    </row>
    <row r="599" spans="1:3" x14ac:dyDescent="0.25">
      <c r="A599" s="3" t="s">
        <v>675</v>
      </c>
      <c r="B599" t="s">
        <v>39</v>
      </c>
      <c r="C599" t="s">
        <v>1013</v>
      </c>
    </row>
    <row r="600" spans="1:3" x14ac:dyDescent="0.25">
      <c r="A600" s="3" t="s">
        <v>676</v>
      </c>
      <c r="B600" t="s">
        <v>32</v>
      </c>
      <c r="C600" t="s">
        <v>1013</v>
      </c>
    </row>
    <row r="601" spans="1:3" x14ac:dyDescent="0.25">
      <c r="A601" s="3" t="s">
        <v>677</v>
      </c>
      <c r="B601" t="s">
        <v>11</v>
      </c>
      <c r="C601" t="s">
        <v>1013</v>
      </c>
    </row>
    <row r="602" spans="1:3" x14ac:dyDescent="0.25">
      <c r="A602" s="3" t="s">
        <v>678</v>
      </c>
      <c r="B602" t="s">
        <v>28</v>
      </c>
      <c r="C602" t="s">
        <v>1013</v>
      </c>
    </row>
    <row r="603" spans="1:3" x14ac:dyDescent="0.25">
      <c r="A603" s="3" t="s">
        <v>679</v>
      </c>
      <c r="B603" t="s">
        <v>102</v>
      </c>
      <c r="C603" t="s">
        <v>1013</v>
      </c>
    </row>
    <row r="604" spans="1:3" x14ac:dyDescent="0.25">
      <c r="A604" s="3" t="s">
        <v>680</v>
      </c>
      <c r="B604" t="s">
        <v>12</v>
      </c>
      <c r="C604" t="s">
        <v>1013</v>
      </c>
    </row>
    <row r="605" spans="1:3" x14ac:dyDescent="0.25">
      <c r="A605" s="3" t="s">
        <v>681</v>
      </c>
      <c r="B605" t="s">
        <v>102</v>
      </c>
      <c r="C605" t="s">
        <v>1013</v>
      </c>
    </row>
    <row r="606" spans="1:3" x14ac:dyDescent="0.25">
      <c r="A606" s="3" t="s">
        <v>682</v>
      </c>
      <c r="B606" t="s">
        <v>8</v>
      </c>
      <c r="C606" t="s">
        <v>1013</v>
      </c>
    </row>
    <row r="607" spans="1:3" x14ac:dyDescent="0.25">
      <c r="A607" s="3" t="s">
        <v>683</v>
      </c>
      <c r="B607" t="s">
        <v>12</v>
      </c>
      <c r="C607" t="s">
        <v>1013</v>
      </c>
    </row>
    <row r="608" spans="1:3" x14ac:dyDescent="0.25">
      <c r="A608" s="3" t="s">
        <v>684</v>
      </c>
      <c r="B608" t="s">
        <v>8</v>
      </c>
      <c r="C608" t="s">
        <v>1013</v>
      </c>
    </row>
    <row r="609" spans="1:3" x14ac:dyDescent="0.25">
      <c r="A609" s="3" t="s">
        <v>685</v>
      </c>
      <c r="B609" t="s">
        <v>5</v>
      </c>
      <c r="C609" t="s">
        <v>1013</v>
      </c>
    </row>
    <row r="610" spans="1:3" x14ac:dyDescent="0.25">
      <c r="A610" s="3" t="s">
        <v>686</v>
      </c>
      <c r="B610" t="s">
        <v>8</v>
      </c>
      <c r="C610" t="s">
        <v>1013</v>
      </c>
    </row>
    <row r="611" spans="1:3" x14ac:dyDescent="0.25">
      <c r="A611" s="3" t="s">
        <v>687</v>
      </c>
      <c r="B611" t="s">
        <v>31</v>
      </c>
      <c r="C611" t="s">
        <v>1013</v>
      </c>
    </row>
    <row r="612" spans="1:3" x14ac:dyDescent="0.25">
      <c r="A612" s="3" t="s">
        <v>688</v>
      </c>
      <c r="B612" t="s">
        <v>7</v>
      </c>
      <c r="C612" t="s">
        <v>1013</v>
      </c>
    </row>
    <row r="613" spans="1:3" x14ac:dyDescent="0.25">
      <c r="A613" s="3" t="s">
        <v>689</v>
      </c>
      <c r="B613" t="s">
        <v>12</v>
      </c>
      <c r="C613" t="s">
        <v>1013</v>
      </c>
    </row>
    <row r="614" spans="1:3" x14ac:dyDescent="0.25">
      <c r="A614" s="3" t="s">
        <v>690</v>
      </c>
      <c r="B614" t="s">
        <v>8</v>
      </c>
      <c r="C614" t="s">
        <v>1013</v>
      </c>
    </row>
    <row r="615" spans="1:3" x14ac:dyDescent="0.25">
      <c r="A615" s="3" t="s">
        <v>691</v>
      </c>
      <c r="B615" t="s">
        <v>16</v>
      </c>
      <c r="C615" t="s">
        <v>1013</v>
      </c>
    </row>
    <row r="616" spans="1:3" x14ac:dyDescent="0.25">
      <c r="A616" s="3" t="s">
        <v>692</v>
      </c>
      <c r="B616" t="s">
        <v>5</v>
      </c>
      <c r="C616" t="s">
        <v>1013</v>
      </c>
    </row>
    <row r="617" spans="1:3" x14ac:dyDescent="0.25">
      <c r="A617" s="3" t="s">
        <v>693</v>
      </c>
      <c r="B617" t="s">
        <v>100</v>
      </c>
      <c r="C617" t="s">
        <v>1013</v>
      </c>
    </row>
    <row r="618" spans="1:3" x14ac:dyDescent="0.25">
      <c r="A618" s="3" t="s">
        <v>694</v>
      </c>
      <c r="B618" t="s">
        <v>86</v>
      </c>
      <c r="C618" t="s">
        <v>1013</v>
      </c>
    </row>
    <row r="619" spans="1:3" x14ac:dyDescent="0.25">
      <c r="A619" s="3" t="s">
        <v>695</v>
      </c>
      <c r="B619" t="s">
        <v>12</v>
      </c>
      <c r="C619" t="s">
        <v>1013</v>
      </c>
    </row>
    <row r="620" spans="1:3" x14ac:dyDescent="0.25">
      <c r="A620" s="3" t="s">
        <v>696</v>
      </c>
      <c r="B620" t="s">
        <v>5</v>
      </c>
      <c r="C620" t="s">
        <v>1013</v>
      </c>
    </row>
    <row r="621" spans="1:3" x14ac:dyDescent="0.25">
      <c r="A621" s="3" t="s">
        <v>697</v>
      </c>
      <c r="B621" t="s">
        <v>87</v>
      </c>
      <c r="C621" t="s">
        <v>1013</v>
      </c>
    </row>
    <row r="622" spans="1:3" x14ac:dyDescent="0.25">
      <c r="A622" s="3" t="s">
        <v>698</v>
      </c>
      <c r="B622" t="s">
        <v>14</v>
      </c>
      <c r="C622" t="s">
        <v>1013</v>
      </c>
    </row>
    <row r="623" spans="1:3" x14ac:dyDescent="0.25">
      <c r="A623" s="3" t="s">
        <v>699</v>
      </c>
      <c r="B623" t="s">
        <v>5</v>
      </c>
      <c r="C623" t="s">
        <v>1013</v>
      </c>
    </row>
    <row r="624" spans="1:3" x14ac:dyDescent="0.25">
      <c r="A624" s="3" t="s">
        <v>700</v>
      </c>
      <c r="B624" t="s">
        <v>31</v>
      </c>
      <c r="C624" t="s">
        <v>1013</v>
      </c>
    </row>
    <row r="625" spans="1:3" x14ac:dyDescent="0.25">
      <c r="A625" s="3" t="s">
        <v>701</v>
      </c>
      <c r="B625" t="s">
        <v>12</v>
      </c>
      <c r="C625" t="s">
        <v>1013</v>
      </c>
    </row>
    <row r="626" spans="1:3" x14ac:dyDescent="0.25">
      <c r="A626" s="3" t="s">
        <v>702</v>
      </c>
      <c r="B626" t="s">
        <v>31</v>
      </c>
      <c r="C626" t="s">
        <v>1013</v>
      </c>
    </row>
    <row r="627" spans="1:3" x14ac:dyDescent="0.25">
      <c r="A627" s="3" t="s">
        <v>703</v>
      </c>
      <c r="B627" t="s">
        <v>12</v>
      </c>
      <c r="C627" t="s">
        <v>1013</v>
      </c>
    </row>
    <row r="628" spans="1:3" x14ac:dyDescent="0.25">
      <c r="A628" s="3" t="s">
        <v>704</v>
      </c>
      <c r="B628" t="s">
        <v>28</v>
      </c>
      <c r="C628" t="s">
        <v>1013</v>
      </c>
    </row>
    <row r="629" spans="1:3" x14ac:dyDescent="0.25">
      <c r="A629" s="3" t="s">
        <v>705</v>
      </c>
      <c r="B629" t="s">
        <v>12</v>
      </c>
      <c r="C629" t="s">
        <v>1013</v>
      </c>
    </row>
    <row r="630" spans="1:3" x14ac:dyDescent="0.25">
      <c r="A630" s="3" t="s">
        <v>706</v>
      </c>
      <c r="B630" t="s">
        <v>5</v>
      </c>
      <c r="C630" t="s">
        <v>1013</v>
      </c>
    </row>
    <row r="631" spans="1:3" x14ac:dyDescent="0.25">
      <c r="A631" s="3" t="s">
        <v>707</v>
      </c>
      <c r="B631" t="s">
        <v>8</v>
      </c>
      <c r="C631" t="s">
        <v>1013</v>
      </c>
    </row>
    <row r="632" spans="1:3" x14ac:dyDescent="0.25">
      <c r="A632" s="3" t="s">
        <v>708</v>
      </c>
      <c r="B632" t="s">
        <v>16</v>
      </c>
      <c r="C632" t="s">
        <v>1013</v>
      </c>
    </row>
    <row r="633" spans="1:3" x14ac:dyDescent="0.25">
      <c r="A633" s="3" t="s">
        <v>709</v>
      </c>
      <c r="B633" t="s">
        <v>5</v>
      </c>
      <c r="C633" t="s">
        <v>1013</v>
      </c>
    </row>
    <row r="634" spans="1:3" x14ac:dyDescent="0.25">
      <c r="A634" s="3" t="s">
        <v>710</v>
      </c>
      <c r="B634" t="s">
        <v>11</v>
      </c>
      <c r="C634" t="s">
        <v>1013</v>
      </c>
    </row>
    <row r="635" spans="1:3" x14ac:dyDescent="0.25">
      <c r="A635" s="3" t="s">
        <v>711</v>
      </c>
      <c r="B635" t="s">
        <v>7</v>
      </c>
      <c r="C635" t="s">
        <v>1013</v>
      </c>
    </row>
    <row r="636" spans="1:3" x14ac:dyDescent="0.25">
      <c r="A636" s="3" t="s">
        <v>712</v>
      </c>
      <c r="B636" t="s">
        <v>12</v>
      </c>
      <c r="C636" t="s">
        <v>1013</v>
      </c>
    </row>
    <row r="637" spans="1:3" x14ac:dyDescent="0.25">
      <c r="A637" s="3" t="s">
        <v>713</v>
      </c>
      <c r="B637" t="s">
        <v>16</v>
      </c>
      <c r="C637" t="s">
        <v>1013</v>
      </c>
    </row>
    <row r="638" spans="1:3" x14ac:dyDescent="0.25">
      <c r="A638" s="3" t="s">
        <v>714</v>
      </c>
      <c r="B638" t="s">
        <v>18</v>
      </c>
      <c r="C638" t="s">
        <v>1013</v>
      </c>
    </row>
    <row r="639" spans="1:3" x14ac:dyDescent="0.25">
      <c r="A639" s="3" t="s">
        <v>715</v>
      </c>
      <c r="B639" t="s">
        <v>28</v>
      </c>
      <c r="C639" t="s">
        <v>1013</v>
      </c>
    </row>
    <row r="640" spans="1:3" x14ac:dyDescent="0.25">
      <c r="A640" s="3" t="s">
        <v>716</v>
      </c>
      <c r="B640" t="s">
        <v>33</v>
      </c>
      <c r="C640" t="s">
        <v>1013</v>
      </c>
    </row>
    <row r="641" spans="1:3" x14ac:dyDescent="0.25">
      <c r="A641" s="3" t="s">
        <v>717</v>
      </c>
      <c r="B641" t="s">
        <v>11</v>
      </c>
      <c r="C641" t="s">
        <v>1013</v>
      </c>
    </row>
    <row r="642" spans="1:3" x14ac:dyDescent="0.25">
      <c r="A642" s="3" t="s">
        <v>718</v>
      </c>
      <c r="B642" t="s">
        <v>8</v>
      </c>
      <c r="C642" t="s">
        <v>1013</v>
      </c>
    </row>
    <row r="643" spans="1:3" x14ac:dyDescent="0.25">
      <c r="A643" s="3" t="s">
        <v>719</v>
      </c>
      <c r="B643" t="s">
        <v>28</v>
      </c>
      <c r="C643" t="s">
        <v>1013</v>
      </c>
    </row>
    <row r="644" spans="1:3" x14ac:dyDescent="0.25">
      <c r="A644" s="3" t="s">
        <v>720</v>
      </c>
      <c r="B644" t="s">
        <v>12</v>
      </c>
      <c r="C644" t="s">
        <v>1013</v>
      </c>
    </row>
    <row r="645" spans="1:3" x14ac:dyDescent="0.25">
      <c r="A645" s="3" t="s">
        <v>721</v>
      </c>
      <c r="B645" t="s">
        <v>39</v>
      </c>
      <c r="C645" t="s">
        <v>1013</v>
      </c>
    </row>
    <row r="646" spans="1:3" x14ac:dyDescent="0.25">
      <c r="A646" s="3" t="s">
        <v>722</v>
      </c>
      <c r="B646" t="s">
        <v>16</v>
      </c>
      <c r="C646" t="s">
        <v>1013</v>
      </c>
    </row>
    <row r="647" spans="1:3" x14ac:dyDescent="0.25">
      <c r="A647" s="3" t="s">
        <v>723</v>
      </c>
      <c r="B647" t="s">
        <v>102</v>
      </c>
      <c r="C647" t="s">
        <v>1013</v>
      </c>
    </row>
    <row r="648" spans="1:3" x14ac:dyDescent="0.25">
      <c r="A648" s="3" t="s">
        <v>724</v>
      </c>
      <c r="B648" t="s">
        <v>97</v>
      </c>
      <c r="C648" t="s">
        <v>1013</v>
      </c>
    </row>
    <row r="649" spans="1:3" x14ac:dyDescent="0.25">
      <c r="A649" s="3" t="s">
        <v>725</v>
      </c>
      <c r="B649" t="s">
        <v>102</v>
      </c>
      <c r="C649" t="s">
        <v>1013</v>
      </c>
    </row>
    <row r="650" spans="1:3" x14ac:dyDescent="0.25">
      <c r="A650" s="3" t="s">
        <v>726</v>
      </c>
      <c r="B650" t="s">
        <v>91</v>
      </c>
      <c r="C650" t="s">
        <v>1013</v>
      </c>
    </row>
    <row r="651" spans="1:3" x14ac:dyDescent="0.25">
      <c r="A651" s="3" t="s">
        <v>727</v>
      </c>
      <c r="B651" t="s">
        <v>7</v>
      </c>
      <c r="C651" t="s">
        <v>1013</v>
      </c>
    </row>
    <row r="652" spans="1:3" x14ac:dyDescent="0.25">
      <c r="A652" s="3" t="s">
        <v>728</v>
      </c>
      <c r="B652" t="s">
        <v>5</v>
      </c>
      <c r="C652" t="s">
        <v>1013</v>
      </c>
    </row>
    <row r="653" spans="1:3" x14ac:dyDescent="0.25">
      <c r="A653" s="3" t="s">
        <v>729</v>
      </c>
      <c r="B653" t="s">
        <v>15</v>
      </c>
      <c r="C653" t="s">
        <v>1013</v>
      </c>
    </row>
    <row r="654" spans="1:3" x14ac:dyDescent="0.25">
      <c r="A654" s="3" t="s">
        <v>730</v>
      </c>
      <c r="B654" t="s">
        <v>5</v>
      </c>
      <c r="C654" t="s">
        <v>1013</v>
      </c>
    </row>
    <row r="655" spans="1:3" x14ac:dyDescent="0.25">
      <c r="A655" s="3" t="s">
        <v>731</v>
      </c>
      <c r="B655" t="s">
        <v>70</v>
      </c>
      <c r="C655" t="s">
        <v>1013</v>
      </c>
    </row>
    <row r="656" spans="1:3" x14ac:dyDescent="0.25">
      <c r="A656" s="3" t="s">
        <v>732</v>
      </c>
      <c r="B656" t="s">
        <v>39</v>
      </c>
      <c r="C656" t="s">
        <v>1013</v>
      </c>
    </row>
    <row r="657" spans="1:3" x14ac:dyDescent="0.25">
      <c r="A657" s="3" t="s">
        <v>733</v>
      </c>
      <c r="B657" t="s">
        <v>11</v>
      </c>
      <c r="C657" t="s">
        <v>1013</v>
      </c>
    </row>
    <row r="658" spans="1:3" x14ac:dyDescent="0.25">
      <c r="A658" s="3" t="s">
        <v>734</v>
      </c>
      <c r="B658" t="s">
        <v>97</v>
      </c>
      <c r="C658" t="s">
        <v>1013</v>
      </c>
    </row>
    <row r="659" spans="1:3" x14ac:dyDescent="0.25">
      <c r="A659" s="3" t="s">
        <v>735</v>
      </c>
      <c r="B659" t="s">
        <v>70</v>
      </c>
      <c r="C659" t="s">
        <v>1013</v>
      </c>
    </row>
    <row r="660" spans="1:3" x14ac:dyDescent="0.25">
      <c r="A660" s="3" t="s">
        <v>736</v>
      </c>
      <c r="B660" t="s">
        <v>18</v>
      </c>
      <c r="C660" t="s">
        <v>1013</v>
      </c>
    </row>
    <row r="661" spans="1:3" x14ac:dyDescent="0.25">
      <c r="A661" s="3" t="s">
        <v>737</v>
      </c>
      <c r="B661" t="s">
        <v>16</v>
      </c>
      <c r="C661" t="s">
        <v>1013</v>
      </c>
    </row>
    <row r="662" spans="1:3" x14ac:dyDescent="0.25">
      <c r="A662" s="3" t="s">
        <v>738</v>
      </c>
      <c r="B662" t="s">
        <v>18</v>
      </c>
      <c r="C662" t="s">
        <v>1013</v>
      </c>
    </row>
    <row r="663" spans="1:3" x14ac:dyDescent="0.25">
      <c r="A663" s="3" t="s">
        <v>739</v>
      </c>
      <c r="B663" t="s">
        <v>7</v>
      </c>
      <c r="C663" t="s">
        <v>1013</v>
      </c>
    </row>
    <row r="664" spans="1:3" x14ac:dyDescent="0.25">
      <c r="A664" s="3" t="s">
        <v>740</v>
      </c>
      <c r="B664" t="s">
        <v>97</v>
      </c>
      <c r="C664" t="s">
        <v>1013</v>
      </c>
    </row>
    <row r="665" spans="1:3" x14ac:dyDescent="0.25">
      <c r="A665" s="3" t="s">
        <v>741</v>
      </c>
      <c r="B665" t="s">
        <v>18</v>
      </c>
      <c r="C665" t="s">
        <v>1013</v>
      </c>
    </row>
    <row r="666" spans="1:3" x14ac:dyDescent="0.25">
      <c r="A666" s="3" t="s">
        <v>742</v>
      </c>
      <c r="B666" t="s">
        <v>15</v>
      </c>
      <c r="C666" t="s">
        <v>1013</v>
      </c>
    </row>
    <row r="667" spans="1:3" x14ac:dyDescent="0.25">
      <c r="A667" s="3" t="s">
        <v>743</v>
      </c>
      <c r="B667" t="s">
        <v>8</v>
      </c>
      <c r="C667" t="s">
        <v>1013</v>
      </c>
    </row>
    <row r="668" spans="1:3" x14ac:dyDescent="0.25">
      <c r="A668" s="3" t="s">
        <v>744</v>
      </c>
      <c r="B668" t="s">
        <v>18</v>
      </c>
      <c r="C668" t="s">
        <v>1013</v>
      </c>
    </row>
    <row r="669" spans="1:3" x14ac:dyDescent="0.25">
      <c r="A669" s="3" t="s">
        <v>745</v>
      </c>
      <c r="B669" t="s">
        <v>12</v>
      </c>
      <c r="C669" t="s">
        <v>1013</v>
      </c>
    </row>
    <row r="670" spans="1:3" x14ac:dyDescent="0.25">
      <c r="A670" s="3" t="s">
        <v>746</v>
      </c>
      <c r="B670" t="s">
        <v>8</v>
      </c>
      <c r="C670" t="s">
        <v>1013</v>
      </c>
    </row>
    <row r="671" spans="1:3" x14ac:dyDescent="0.25">
      <c r="A671" s="3" t="s">
        <v>747</v>
      </c>
      <c r="B671" t="s">
        <v>18</v>
      </c>
      <c r="C671" t="s">
        <v>1013</v>
      </c>
    </row>
    <row r="672" spans="1:3" x14ac:dyDescent="0.25">
      <c r="A672" s="3" t="s">
        <v>748</v>
      </c>
      <c r="B672" t="s">
        <v>97</v>
      </c>
      <c r="C672" t="s">
        <v>1013</v>
      </c>
    </row>
    <row r="673" spans="1:3" x14ac:dyDescent="0.25">
      <c r="A673" s="3" t="s">
        <v>749</v>
      </c>
      <c r="B673" t="s">
        <v>8</v>
      </c>
      <c r="C673" t="s">
        <v>1013</v>
      </c>
    </row>
    <row r="674" spans="1:3" x14ac:dyDescent="0.25">
      <c r="A674" s="3" t="s">
        <v>750</v>
      </c>
      <c r="B674" t="s">
        <v>15</v>
      </c>
      <c r="C674" t="s">
        <v>1013</v>
      </c>
    </row>
    <row r="675" spans="1:3" x14ac:dyDescent="0.25">
      <c r="A675" s="3" t="s">
        <v>751</v>
      </c>
      <c r="B675" t="s">
        <v>15</v>
      </c>
      <c r="C675" t="s">
        <v>1013</v>
      </c>
    </row>
    <row r="676" spans="1:3" x14ac:dyDescent="0.25">
      <c r="A676" s="3" t="s">
        <v>752</v>
      </c>
      <c r="B676" t="s">
        <v>16</v>
      </c>
      <c r="C676" t="s">
        <v>1013</v>
      </c>
    </row>
    <row r="677" spans="1:3" x14ac:dyDescent="0.25">
      <c r="A677" s="3" t="s">
        <v>753</v>
      </c>
      <c r="B677" t="s">
        <v>18</v>
      </c>
      <c r="C677" t="s">
        <v>1013</v>
      </c>
    </row>
    <row r="678" spans="1:3" x14ac:dyDescent="0.25">
      <c r="A678" s="3" t="s">
        <v>754</v>
      </c>
      <c r="B678" t="s">
        <v>70</v>
      </c>
      <c r="C678" t="s">
        <v>1013</v>
      </c>
    </row>
    <row r="679" spans="1:3" x14ac:dyDescent="0.25">
      <c r="A679" s="3" t="s">
        <v>755</v>
      </c>
      <c r="B679" t="s">
        <v>18</v>
      </c>
      <c r="C679" t="s">
        <v>1013</v>
      </c>
    </row>
    <row r="680" spans="1:3" x14ac:dyDescent="0.25">
      <c r="A680" s="3" t="s">
        <v>756</v>
      </c>
      <c r="B680" t="s">
        <v>8</v>
      </c>
      <c r="C680" t="s">
        <v>1013</v>
      </c>
    </row>
    <row r="681" spans="1:3" x14ac:dyDescent="0.25">
      <c r="A681" s="3" t="s">
        <v>757</v>
      </c>
      <c r="B681" t="s">
        <v>33</v>
      </c>
      <c r="C681" t="s">
        <v>1013</v>
      </c>
    </row>
    <row r="682" spans="1:3" x14ac:dyDescent="0.25">
      <c r="A682" s="3" t="s">
        <v>758</v>
      </c>
      <c r="B682" t="s">
        <v>8</v>
      </c>
      <c r="C682" t="s">
        <v>1013</v>
      </c>
    </row>
    <row r="683" spans="1:3" x14ac:dyDescent="0.25">
      <c r="A683" s="3" t="s">
        <v>759</v>
      </c>
      <c r="B683" t="s">
        <v>16</v>
      </c>
      <c r="C683" t="s">
        <v>1013</v>
      </c>
    </row>
    <row r="684" spans="1:3" x14ac:dyDescent="0.25">
      <c r="A684" s="3" t="s">
        <v>760</v>
      </c>
      <c r="B684" t="s">
        <v>11</v>
      </c>
      <c r="C684" t="s">
        <v>1013</v>
      </c>
    </row>
    <row r="685" spans="1:3" x14ac:dyDescent="0.25">
      <c r="A685" s="3" t="s">
        <v>761</v>
      </c>
      <c r="B685" t="s">
        <v>18</v>
      </c>
      <c r="C685" t="s">
        <v>1013</v>
      </c>
    </row>
    <row r="686" spans="1:3" x14ac:dyDescent="0.25">
      <c r="A686" s="3" t="s">
        <v>762</v>
      </c>
      <c r="B686" t="s">
        <v>18</v>
      </c>
      <c r="C686" t="s">
        <v>1013</v>
      </c>
    </row>
    <row r="687" spans="1:3" x14ac:dyDescent="0.25">
      <c r="A687" s="3" t="s">
        <v>763</v>
      </c>
      <c r="B687" t="s">
        <v>15</v>
      </c>
      <c r="C687" t="s">
        <v>1013</v>
      </c>
    </row>
    <row r="688" spans="1:3" x14ac:dyDescent="0.25">
      <c r="A688" s="3" t="s">
        <v>764</v>
      </c>
      <c r="B688" t="s">
        <v>11</v>
      </c>
      <c r="C688" t="s">
        <v>1013</v>
      </c>
    </row>
    <row r="689" spans="1:3" x14ac:dyDescent="0.25">
      <c r="A689" s="3" t="s">
        <v>765</v>
      </c>
      <c r="B689" t="s">
        <v>28</v>
      </c>
      <c r="C689" t="s">
        <v>1013</v>
      </c>
    </row>
    <row r="690" spans="1:3" x14ac:dyDescent="0.25">
      <c r="A690" s="3" t="s">
        <v>766</v>
      </c>
      <c r="B690" t="s">
        <v>70</v>
      </c>
      <c r="C690" t="s">
        <v>1013</v>
      </c>
    </row>
    <row r="691" spans="1:3" x14ac:dyDescent="0.25">
      <c r="A691" s="3" t="s">
        <v>767</v>
      </c>
      <c r="B691" t="s">
        <v>100</v>
      </c>
      <c r="C691" t="s">
        <v>1013</v>
      </c>
    </row>
    <row r="692" spans="1:3" x14ac:dyDescent="0.25">
      <c r="A692" s="3" t="s">
        <v>768</v>
      </c>
      <c r="B692" t="s">
        <v>39</v>
      </c>
      <c r="C692" t="s">
        <v>1013</v>
      </c>
    </row>
    <row r="693" spans="1:3" x14ac:dyDescent="0.25">
      <c r="A693" s="3" t="s">
        <v>769</v>
      </c>
      <c r="B693" t="s">
        <v>16</v>
      </c>
      <c r="C693" t="s">
        <v>1013</v>
      </c>
    </row>
    <row r="694" spans="1:3" x14ac:dyDescent="0.25">
      <c r="A694" s="3" t="s">
        <v>770</v>
      </c>
      <c r="B694" t="s">
        <v>31</v>
      </c>
      <c r="C694" t="s">
        <v>1013</v>
      </c>
    </row>
    <row r="695" spans="1:3" x14ac:dyDescent="0.25">
      <c r="A695" s="3" t="s">
        <v>771</v>
      </c>
      <c r="B695" t="s">
        <v>15</v>
      </c>
      <c r="C695" t="s">
        <v>1013</v>
      </c>
    </row>
    <row r="696" spans="1:3" x14ac:dyDescent="0.25">
      <c r="A696" s="3" t="s">
        <v>772</v>
      </c>
      <c r="B696" t="s">
        <v>28</v>
      </c>
      <c r="C696" t="s">
        <v>1013</v>
      </c>
    </row>
    <row r="697" spans="1:3" x14ac:dyDescent="0.25">
      <c r="A697" s="3" t="s">
        <v>773</v>
      </c>
      <c r="B697" t="s">
        <v>16</v>
      </c>
      <c r="C697" t="s">
        <v>1013</v>
      </c>
    </row>
    <row r="698" spans="1:3" x14ac:dyDescent="0.25">
      <c r="A698" s="3" t="s">
        <v>774</v>
      </c>
      <c r="B698" t="s">
        <v>7</v>
      </c>
      <c r="C698" t="s">
        <v>1013</v>
      </c>
    </row>
    <row r="699" spans="1:3" x14ac:dyDescent="0.25">
      <c r="A699" s="3" t="s">
        <v>775</v>
      </c>
      <c r="B699" t="s">
        <v>7</v>
      </c>
      <c r="C699" t="s">
        <v>1013</v>
      </c>
    </row>
    <row r="700" spans="1:3" x14ac:dyDescent="0.25">
      <c r="A700" s="3" t="s">
        <v>776</v>
      </c>
      <c r="B700" t="s">
        <v>7</v>
      </c>
      <c r="C700" t="s">
        <v>1013</v>
      </c>
    </row>
    <row r="701" spans="1:3" x14ac:dyDescent="0.25">
      <c r="A701" s="3" t="s">
        <v>777</v>
      </c>
      <c r="B701" t="s">
        <v>7</v>
      </c>
      <c r="C701" t="s">
        <v>1013</v>
      </c>
    </row>
    <row r="702" spans="1:3" x14ac:dyDescent="0.25">
      <c r="A702" s="3" t="s">
        <v>778</v>
      </c>
      <c r="B702" t="s">
        <v>5</v>
      </c>
      <c r="C702" t="s">
        <v>1013</v>
      </c>
    </row>
    <row r="703" spans="1:3" x14ac:dyDescent="0.25">
      <c r="A703" s="3" t="s">
        <v>779</v>
      </c>
      <c r="B703" t="s">
        <v>5</v>
      </c>
      <c r="C703" t="s">
        <v>1013</v>
      </c>
    </row>
    <row r="704" spans="1:3" x14ac:dyDescent="0.25">
      <c r="A704" s="3" t="s">
        <v>780</v>
      </c>
      <c r="B704" t="s">
        <v>7</v>
      </c>
      <c r="C704" t="s">
        <v>1013</v>
      </c>
    </row>
    <row r="705" spans="1:3" x14ac:dyDescent="0.25">
      <c r="A705" s="3" t="s">
        <v>781</v>
      </c>
      <c r="B705" t="s">
        <v>5</v>
      </c>
      <c r="C705" t="s">
        <v>1013</v>
      </c>
    </row>
    <row r="706" spans="1:3" x14ac:dyDescent="0.25">
      <c r="A706" s="3" t="s">
        <v>782</v>
      </c>
      <c r="B706" t="s">
        <v>5</v>
      </c>
      <c r="C706" t="s">
        <v>1013</v>
      </c>
    </row>
    <row r="707" spans="1:3" x14ac:dyDescent="0.25">
      <c r="A707" s="3" t="s">
        <v>783</v>
      </c>
      <c r="B707" t="s">
        <v>7</v>
      </c>
      <c r="C707" t="s">
        <v>1013</v>
      </c>
    </row>
    <row r="708" spans="1:3" x14ac:dyDescent="0.25">
      <c r="A708" s="3" t="s">
        <v>784</v>
      </c>
      <c r="B708" t="s">
        <v>5</v>
      </c>
      <c r="C708" t="s">
        <v>1013</v>
      </c>
    </row>
    <row r="709" spans="1:3" x14ac:dyDescent="0.25">
      <c r="A709" s="3" t="s">
        <v>785</v>
      </c>
      <c r="B709" t="s">
        <v>12</v>
      </c>
      <c r="C709" t="s">
        <v>1013</v>
      </c>
    </row>
    <row r="710" spans="1:3" x14ac:dyDescent="0.25">
      <c r="A710" s="3" t="s">
        <v>786</v>
      </c>
      <c r="B710" t="s">
        <v>5</v>
      </c>
      <c r="C710" t="s">
        <v>1013</v>
      </c>
    </row>
    <row r="711" spans="1:3" x14ac:dyDescent="0.25">
      <c r="A711" s="3" t="s">
        <v>787</v>
      </c>
      <c r="B711" t="s">
        <v>8</v>
      </c>
      <c r="C711" t="s">
        <v>1013</v>
      </c>
    </row>
    <row r="712" spans="1:3" x14ac:dyDescent="0.25">
      <c r="A712" s="3" t="s">
        <v>788</v>
      </c>
      <c r="B712" t="s">
        <v>7</v>
      </c>
      <c r="C712" t="s">
        <v>1013</v>
      </c>
    </row>
    <row r="713" spans="1:3" x14ac:dyDescent="0.25">
      <c r="A713" s="3" t="s">
        <v>789</v>
      </c>
      <c r="B713" t="s">
        <v>12</v>
      </c>
      <c r="C713" t="s">
        <v>1013</v>
      </c>
    </row>
    <row r="714" spans="1:3" x14ac:dyDescent="0.25">
      <c r="A714" s="3" t="s">
        <v>790</v>
      </c>
      <c r="B714" t="s">
        <v>8</v>
      </c>
      <c r="C714" t="s">
        <v>1013</v>
      </c>
    </row>
    <row r="715" spans="1:3" x14ac:dyDescent="0.25">
      <c r="A715" s="3" t="s">
        <v>791</v>
      </c>
      <c r="B715" t="s">
        <v>7</v>
      </c>
      <c r="C715" t="s">
        <v>1013</v>
      </c>
    </row>
    <row r="716" spans="1:3" x14ac:dyDescent="0.25">
      <c r="A716" s="3" t="s">
        <v>792</v>
      </c>
      <c r="B716" t="s">
        <v>7</v>
      </c>
      <c r="C716" t="s">
        <v>1013</v>
      </c>
    </row>
    <row r="717" spans="1:3" x14ac:dyDescent="0.25">
      <c r="A717" s="3" t="s">
        <v>793</v>
      </c>
      <c r="B717" t="s">
        <v>5</v>
      </c>
      <c r="C717" t="s">
        <v>1013</v>
      </c>
    </row>
    <row r="718" spans="1:3" x14ac:dyDescent="0.25">
      <c r="A718" s="3" t="s">
        <v>794</v>
      </c>
      <c r="B718" t="s">
        <v>12</v>
      </c>
      <c r="C718" t="s">
        <v>1013</v>
      </c>
    </row>
    <row r="719" spans="1:3" x14ac:dyDescent="0.25">
      <c r="A719" s="3" t="s">
        <v>795</v>
      </c>
      <c r="B719" t="s">
        <v>5</v>
      </c>
      <c r="C719" t="s">
        <v>1013</v>
      </c>
    </row>
    <row r="720" spans="1:3" x14ac:dyDescent="0.25">
      <c r="A720" s="3" t="s">
        <v>796</v>
      </c>
      <c r="B720" t="s">
        <v>16</v>
      </c>
      <c r="C720" t="s">
        <v>1013</v>
      </c>
    </row>
    <row r="721" spans="1:3" x14ac:dyDescent="0.25">
      <c r="A721" s="3" t="s">
        <v>797</v>
      </c>
      <c r="B721" t="s">
        <v>12</v>
      </c>
      <c r="C721" t="s">
        <v>1013</v>
      </c>
    </row>
    <row r="722" spans="1:3" x14ac:dyDescent="0.25">
      <c r="A722" s="3" t="s">
        <v>798</v>
      </c>
      <c r="B722" t="s">
        <v>5</v>
      </c>
      <c r="C722" t="s">
        <v>1013</v>
      </c>
    </row>
    <row r="723" spans="1:3" x14ac:dyDescent="0.25">
      <c r="A723" s="3" t="s">
        <v>799</v>
      </c>
      <c r="B723" t="s">
        <v>16</v>
      </c>
      <c r="C723" t="s">
        <v>1013</v>
      </c>
    </row>
    <row r="724" spans="1:3" x14ac:dyDescent="0.25">
      <c r="A724" s="3" t="s">
        <v>800</v>
      </c>
      <c r="B724" t="s">
        <v>7</v>
      </c>
      <c r="C724" t="s">
        <v>1013</v>
      </c>
    </row>
    <row r="725" spans="1:3" x14ac:dyDescent="0.25">
      <c r="A725" s="3" t="s">
        <v>801</v>
      </c>
      <c r="B725" t="s">
        <v>12</v>
      </c>
      <c r="C725" t="s">
        <v>1013</v>
      </c>
    </row>
    <row r="726" spans="1:3" x14ac:dyDescent="0.25">
      <c r="A726" s="3" t="s">
        <v>802</v>
      </c>
      <c r="B726" t="s">
        <v>7</v>
      </c>
      <c r="C726" t="s">
        <v>1013</v>
      </c>
    </row>
    <row r="727" spans="1:3" x14ac:dyDescent="0.25">
      <c r="A727" s="3" t="s">
        <v>803</v>
      </c>
      <c r="B727" t="s">
        <v>5</v>
      </c>
      <c r="C727" t="s">
        <v>1013</v>
      </c>
    </row>
    <row r="728" spans="1:3" x14ac:dyDescent="0.25">
      <c r="A728" s="3" t="s">
        <v>804</v>
      </c>
      <c r="B728" t="s">
        <v>7</v>
      </c>
      <c r="C728" t="s">
        <v>1013</v>
      </c>
    </row>
    <row r="729" spans="1:3" x14ac:dyDescent="0.25">
      <c r="A729" s="3" t="s">
        <v>805</v>
      </c>
      <c r="B729" t="s">
        <v>16</v>
      </c>
      <c r="C729" t="s">
        <v>1013</v>
      </c>
    </row>
    <row r="730" spans="1:3" x14ac:dyDescent="0.25">
      <c r="A730" s="3" t="s">
        <v>806</v>
      </c>
      <c r="B730" t="s">
        <v>5</v>
      </c>
      <c r="C730" t="s">
        <v>1013</v>
      </c>
    </row>
    <row r="731" spans="1:3" x14ac:dyDescent="0.25">
      <c r="A731" s="3" t="s">
        <v>807</v>
      </c>
      <c r="B731" t="s">
        <v>16</v>
      </c>
      <c r="C731" t="s">
        <v>1013</v>
      </c>
    </row>
    <row r="732" spans="1:3" x14ac:dyDescent="0.25">
      <c r="A732" s="3" t="s">
        <v>808</v>
      </c>
      <c r="B732" t="s">
        <v>5</v>
      </c>
      <c r="C732" t="s">
        <v>1013</v>
      </c>
    </row>
    <row r="733" spans="1:3" x14ac:dyDescent="0.25">
      <c r="A733" s="3" t="s">
        <v>809</v>
      </c>
      <c r="B733" t="s">
        <v>7</v>
      </c>
      <c r="C733" t="s">
        <v>1013</v>
      </c>
    </row>
    <row r="734" spans="1:3" x14ac:dyDescent="0.25">
      <c r="A734" s="3" t="s">
        <v>810</v>
      </c>
      <c r="B734" t="s">
        <v>7</v>
      </c>
      <c r="C734" t="s">
        <v>1013</v>
      </c>
    </row>
    <row r="735" spans="1:3" x14ac:dyDescent="0.25">
      <c r="A735" s="3" t="s">
        <v>811</v>
      </c>
      <c r="B735" t="s">
        <v>5</v>
      </c>
      <c r="C735" t="s">
        <v>1013</v>
      </c>
    </row>
    <row r="736" spans="1:3" x14ac:dyDescent="0.25">
      <c r="A736" s="3" t="s">
        <v>812</v>
      </c>
      <c r="B736" t="s">
        <v>7</v>
      </c>
      <c r="C736" t="s">
        <v>1013</v>
      </c>
    </row>
    <row r="737" spans="1:3" x14ac:dyDescent="0.25">
      <c r="A737" s="3" t="s">
        <v>813</v>
      </c>
      <c r="B737" t="s">
        <v>7</v>
      </c>
      <c r="C737" t="s">
        <v>1013</v>
      </c>
    </row>
    <row r="738" spans="1:3" x14ac:dyDescent="0.25">
      <c r="A738" s="3" t="s">
        <v>814</v>
      </c>
      <c r="B738" t="s">
        <v>8</v>
      </c>
      <c r="C738" t="s">
        <v>1013</v>
      </c>
    </row>
    <row r="739" spans="1:3" x14ac:dyDescent="0.25">
      <c r="A739" s="3" t="s">
        <v>815</v>
      </c>
      <c r="B739" t="s">
        <v>16</v>
      </c>
      <c r="C739" t="s">
        <v>1013</v>
      </c>
    </row>
    <row r="740" spans="1:3" x14ac:dyDescent="0.25">
      <c r="A740" s="3" t="s">
        <v>816</v>
      </c>
      <c r="B740" t="s">
        <v>7</v>
      </c>
      <c r="C740" t="s">
        <v>1013</v>
      </c>
    </row>
    <row r="741" spans="1:3" x14ac:dyDescent="0.25">
      <c r="A741" s="3" t="s">
        <v>817</v>
      </c>
      <c r="B741" t="s">
        <v>5</v>
      </c>
      <c r="C741" t="s">
        <v>1013</v>
      </c>
    </row>
    <row r="742" spans="1:3" x14ac:dyDescent="0.25">
      <c r="A742" s="3" t="s">
        <v>818</v>
      </c>
      <c r="B742" t="s">
        <v>5</v>
      </c>
      <c r="C742" t="s">
        <v>1013</v>
      </c>
    </row>
    <row r="743" spans="1:3" x14ac:dyDescent="0.25">
      <c r="A743" s="3" t="s">
        <v>819</v>
      </c>
      <c r="B743" t="s">
        <v>33</v>
      </c>
      <c r="C743" t="s">
        <v>1013</v>
      </c>
    </row>
    <row r="744" spans="1:3" x14ac:dyDescent="0.25">
      <c r="A744" s="3" t="s">
        <v>820</v>
      </c>
      <c r="B744" t="s">
        <v>16</v>
      </c>
      <c r="C744" t="s">
        <v>1013</v>
      </c>
    </row>
    <row r="745" spans="1:3" x14ac:dyDescent="0.25">
      <c r="A745" s="3" t="s">
        <v>821</v>
      </c>
      <c r="B745" t="s">
        <v>100</v>
      </c>
      <c r="C745" t="s">
        <v>1013</v>
      </c>
    </row>
    <row r="746" spans="1:3" x14ac:dyDescent="0.25">
      <c r="A746" s="3" t="s">
        <v>822</v>
      </c>
      <c r="B746" t="s">
        <v>5</v>
      </c>
      <c r="C746" t="s">
        <v>1013</v>
      </c>
    </row>
    <row r="747" spans="1:3" x14ac:dyDescent="0.25">
      <c r="A747" s="3" t="s">
        <v>823</v>
      </c>
      <c r="B747" t="s">
        <v>33</v>
      </c>
      <c r="C747" t="s">
        <v>1013</v>
      </c>
    </row>
    <row r="748" spans="1:3" x14ac:dyDescent="0.25">
      <c r="A748" s="3" t="s">
        <v>824</v>
      </c>
      <c r="B748" t="s">
        <v>5</v>
      </c>
      <c r="C748" t="s">
        <v>1013</v>
      </c>
    </row>
    <row r="749" spans="1:3" x14ac:dyDescent="0.25">
      <c r="A749" s="3" t="s">
        <v>825</v>
      </c>
      <c r="B749" t="s">
        <v>5</v>
      </c>
      <c r="C749" t="s">
        <v>1013</v>
      </c>
    </row>
    <row r="750" spans="1:3" x14ac:dyDescent="0.25">
      <c r="A750" s="3" t="s">
        <v>826</v>
      </c>
      <c r="B750" t="s">
        <v>7</v>
      </c>
      <c r="C750" t="s">
        <v>1013</v>
      </c>
    </row>
    <row r="751" spans="1:3" x14ac:dyDescent="0.25">
      <c r="A751" s="3" t="s">
        <v>827</v>
      </c>
      <c r="B751" t="s">
        <v>7</v>
      </c>
      <c r="C751" t="s">
        <v>1013</v>
      </c>
    </row>
    <row r="752" spans="1:3" x14ac:dyDescent="0.25">
      <c r="A752" s="3" t="s">
        <v>828</v>
      </c>
      <c r="B752" t="s">
        <v>8</v>
      </c>
      <c r="C752" t="s">
        <v>1013</v>
      </c>
    </row>
    <row r="753" spans="1:3" x14ac:dyDescent="0.25">
      <c r="A753" s="3" t="s">
        <v>829</v>
      </c>
      <c r="B753" t="s">
        <v>5</v>
      </c>
      <c r="C753" t="s">
        <v>1013</v>
      </c>
    </row>
    <row r="754" spans="1:3" x14ac:dyDescent="0.25">
      <c r="A754" s="3" t="s">
        <v>830</v>
      </c>
      <c r="B754" t="s">
        <v>5</v>
      </c>
      <c r="C754" t="s">
        <v>1013</v>
      </c>
    </row>
    <row r="755" spans="1:3" x14ac:dyDescent="0.25">
      <c r="A755" s="3" t="s">
        <v>831</v>
      </c>
      <c r="B755" t="s">
        <v>28</v>
      </c>
      <c r="C755" t="s">
        <v>1013</v>
      </c>
    </row>
    <row r="756" spans="1:3" x14ac:dyDescent="0.25">
      <c r="A756" s="3" t="s">
        <v>832</v>
      </c>
      <c r="B756" t="s">
        <v>18</v>
      </c>
      <c r="C756" t="s">
        <v>1013</v>
      </c>
    </row>
    <row r="757" spans="1:3" x14ac:dyDescent="0.25">
      <c r="A757" s="3" t="s">
        <v>833</v>
      </c>
      <c r="B757" t="s">
        <v>12</v>
      </c>
      <c r="C757" t="s">
        <v>1013</v>
      </c>
    </row>
    <row r="758" spans="1:3" x14ac:dyDescent="0.25">
      <c r="A758" s="3" t="s">
        <v>834</v>
      </c>
      <c r="B758" t="s">
        <v>5</v>
      </c>
      <c r="C758" t="s">
        <v>1013</v>
      </c>
    </row>
    <row r="759" spans="1:3" x14ac:dyDescent="0.25">
      <c r="A759" s="3" t="s">
        <v>835</v>
      </c>
      <c r="B759" t="s">
        <v>168</v>
      </c>
      <c r="C759" t="s">
        <v>1013</v>
      </c>
    </row>
    <row r="760" spans="1:3" x14ac:dyDescent="0.25">
      <c r="A760" s="3" t="s">
        <v>836</v>
      </c>
      <c r="B760" t="s">
        <v>8</v>
      </c>
      <c r="C760" t="s">
        <v>1013</v>
      </c>
    </row>
    <row r="761" spans="1:3" x14ac:dyDescent="0.25">
      <c r="A761" s="3" t="s">
        <v>837</v>
      </c>
      <c r="B761" t="s">
        <v>16</v>
      </c>
      <c r="C761" t="s">
        <v>1013</v>
      </c>
    </row>
    <row r="762" spans="1:3" x14ac:dyDescent="0.25">
      <c r="A762" s="3" t="s">
        <v>838</v>
      </c>
      <c r="B762" t="s">
        <v>7</v>
      </c>
      <c r="C762" t="s">
        <v>1013</v>
      </c>
    </row>
    <row r="763" spans="1:3" x14ac:dyDescent="0.25">
      <c r="A763" s="3" t="s">
        <v>839</v>
      </c>
      <c r="B763" t="s">
        <v>5</v>
      </c>
      <c r="C763" t="s">
        <v>1013</v>
      </c>
    </row>
    <row r="764" spans="1:3" x14ac:dyDescent="0.25">
      <c r="A764" s="3" t="s">
        <v>840</v>
      </c>
      <c r="B764" t="s">
        <v>7</v>
      </c>
      <c r="C764" t="s">
        <v>1013</v>
      </c>
    </row>
    <row r="765" spans="1:3" x14ac:dyDescent="0.25">
      <c r="A765" s="3" t="s">
        <v>841</v>
      </c>
      <c r="B765" t="s">
        <v>7</v>
      </c>
      <c r="C765" t="s">
        <v>1013</v>
      </c>
    </row>
    <row r="766" spans="1:3" x14ac:dyDescent="0.25">
      <c r="A766" s="3" t="s">
        <v>842</v>
      </c>
      <c r="B766" t="s">
        <v>5</v>
      </c>
      <c r="C766" t="s">
        <v>1013</v>
      </c>
    </row>
    <row r="767" spans="1:3" x14ac:dyDescent="0.25">
      <c r="A767" s="3" t="s">
        <v>843</v>
      </c>
      <c r="B767" t="s">
        <v>70</v>
      </c>
      <c r="C767" t="s">
        <v>1013</v>
      </c>
    </row>
    <row r="768" spans="1:3" x14ac:dyDescent="0.25">
      <c r="A768" s="3" t="s">
        <v>844</v>
      </c>
      <c r="B768" t="s">
        <v>82</v>
      </c>
      <c r="C768" t="s">
        <v>1013</v>
      </c>
    </row>
    <row r="769" spans="1:3" x14ac:dyDescent="0.25">
      <c r="A769" s="3" t="s">
        <v>845</v>
      </c>
      <c r="B769" t="s">
        <v>70</v>
      </c>
      <c r="C769" t="s">
        <v>1013</v>
      </c>
    </row>
    <row r="770" spans="1:3" x14ac:dyDescent="0.25">
      <c r="A770" s="3" t="s">
        <v>846</v>
      </c>
      <c r="B770" t="s">
        <v>70</v>
      </c>
      <c r="C770" t="s">
        <v>1013</v>
      </c>
    </row>
    <row r="771" spans="1:3" x14ac:dyDescent="0.25">
      <c r="A771" s="3" t="s">
        <v>847</v>
      </c>
      <c r="B771" t="s">
        <v>18</v>
      </c>
      <c r="C771" t="s">
        <v>1013</v>
      </c>
    </row>
    <row r="772" spans="1:3" x14ac:dyDescent="0.25">
      <c r="A772" s="3" t="s">
        <v>848</v>
      </c>
      <c r="B772" t="s">
        <v>28</v>
      </c>
      <c r="C772" t="s">
        <v>1013</v>
      </c>
    </row>
    <row r="773" spans="1:3" x14ac:dyDescent="0.25">
      <c r="A773" s="3" t="s">
        <v>849</v>
      </c>
      <c r="B773" t="s">
        <v>16</v>
      </c>
      <c r="C773" t="s">
        <v>1013</v>
      </c>
    </row>
    <row r="774" spans="1:3" x14ac:dyDescent="0.25">
      <c r="A774" s="3" t="s">
        <v>850</v>
      </c>
      <c r="B774" t="s">
        <v>14</v>
      </c>
      <c r="C774" t="s">
        <v>1013</v>
      </c>
    </row>
    <row r="775" spans="1:3" x14ac:dyDescent="0.25">
      <c r="A775" s="3" t="s">
        <v>851</v>
      </c>
      <c r="B775" t="s">
        <v>5</v>
      </c>
      <c r="C775" t="s">
        <v>1013</v>
      </c>
    </row>
    <row r="776" spans="1:3" x14ac:dyDescent="0.25">
      <c r="A776" s="3" t="s">
        <v>852</v>
      </c>
      <c r="B776" t="s">
        <v>7</v>
      </c>
      <c r="C776" t="s">
        <v>1013</v>
      </c>
    </row>
    <row r="777" spans="1:3" x14ac:dyDescent="0.25">
      <c r="A777" s="3" t="s">
        <v>853</v>
      </c>
      <c r="B777" t="s">
        <v>70</v>
      </c>
      <c r="C777" t="s">
        <v>1013</v>
      </c>
    </row>
    <row r="778" spans="1:3" x14ac:dyDescent="0.25">
      <c r="A778" s="3" t="s">
        <v>854</v>
      </c>
      <c r="B778" t="s">
        <v>100</v>
      </c>
      <c r="C778" t="s">
        <v>1013</v>
      </c>
    </row>
    <row r="779" spans="1:3" x14ac:dyDescent="0.25">
      <c r="A779" s="3" t="s">
        <v>855</v>
      </c>
      <c r="B779" t="s">
        <v>5</v>
      </c>
      <c r="C779" t="s">
        <v>1013</v>
      </c>
    </row>
    <row r="780" spans="1:3" x14ac:dyDescent="0.25">
      <c r="A780" s="3" t="s">
        <v>856</v>
      </c>
      <c r="B780" t="s">
        <v>11</v>
      </c>
      <c r="C780" t="s">
        <v>1013</v>
      </c>
    </row>
    <row r="781" spans="1:3" x14ac:dyDescent="0.25">
      <c r="A781" s="3" t="s">
        <v>857</v>
      </c>
      <c r="B781" t="s">
        <v>5</v>
      </c>
      <c r="C781" t="s">
        <v>1013</v>
      </c>
    </row>
    <row r="782" spans="1:3" x14ac:dyDescent="0.25">
      <c r="A782" s="3" t="s">
        <v>858</v>
      </c>
      <c r="B782" t="s">
        <v>8</v>
      </c>
      <c r="C782" t="s">
        <v>1013</v>
      </c>
    </row>
    <row r="783" spans="1:3" x14ac:dyDescent="0.25">
      <c r="A783" s="3" t="s">
        <v>859</v>
      </c>
      <c r="B783" t="s">
        <v>7</v>
      </c>
      <c r="C783" t="s">
        <v>1013</v>
      </c>
    </row>
    <row r="784" spans="1:3" x14ac:dyDescent="0.25">
      <c r="A784" s="3" t="s">
        <v>860</v>
      </c>
      <c r="B784" t="s">
        <v>8</v>
      </c>
      <c r="C784" t="s">
        <v>1013</v>
      </c>
    </row>
    <row r="785" spans="1:3" x14ac:dyDescent="0.25">
      <c r="A785" s="3" t="s">
        <v>861</v>
      </c>
      <c r="B785" t="s">
        <v>7</v>
      </c>
      <c r="C785" t="s">
        <v>1013</v>
      </c>
    </row>
    <row r="786" spans="1:3" x14ac:dyDescent="0.25">
      <c r="A786" s="3" t="s">
        <v>862</v>
      </c>
      <c r="B786" t="s">
        <v>14</v>
      </c>
      <c r="C786" t="s">
        <v>1013</v>
      </c>
    </row>
    <row r="787" spans="1:3" x14ac:dyDescent="0.25">
      <c r="A787" s="3" t="s">
        <v>863</v>
      </c>
      <c r="B787" t="s">
        <v>7</v>
      </c>
      <c r="C787" t="s">
        <v>1013</v>
      </c>
    </row>
    <row r="788" spans="1:3" x14ac:dyDescent="0.25">
      <c r="A788" s="3" t="s">
        <v>864</v>
      </c>
      <c r="B788" t="s">
        <v>5</v>
      </c>
      <c r="C788" t="s">
        <v>1013</v>
      </c>
    </row>
    <row r="789" spans="1:3" x14ac:dyDescent="0.25">
      <c r="A789" s="3" t="s">
        <v>865</v>
      </c>
      <c r="B789" t="s">
        <v>5</v>
      </c>
      <c r="C789" t="s">
        <v>1013</v>
      </c>
    </row>
    <row r="790" spans="1:3" x14ac:dyDescent="0.25">
      <c r="A790" s="3" t="s">
        <v>866</v>
      </c>
      <c r="B790" t="s">
        <v>15</v>
      </c>
      <c r="C790" t="s">
        <v>1013</v>
      </c>
    </row>
    <row r="791" spans="1:3" x14ac:dyDescent="0.25">
      <c r="A791" s="3" t="s">
        <v>867</v>
      </c>
      <c r="B791" t="s">
        <v>100</v>
      </c>
      <c r="C791" t="s">
        <v>1013</v>
      </c>
    </row>
    <row r="792" spans="1:3" x14ac:dyDescent="0.25">
      <c r="A792" s="3" t="s">
        <v>868</v>
      </c>
      <c r="B792" t="s">
        <v>7</v>
      </c>
      <c r="C792" t="s">
        <v>1013</v>
      </c>
    </row>
    <row r="793" spans="1:3" x14ac:dyDescent="0.25">
      <c r="A793" s="3" t="s">
        <v>869</v>
      </c>
      <c r="B793" t="s">
        <v>82</v>
      </c>
      <c r="C793" t="s">
        <v>1013</v>
      </c>
    </row>
    <row r="794" spans="1:3" x14ac:dyDescent="0.25">
      <c r="A794" s="3" t="s">
        <v>870</v>
      </c>
      <c r="B794" t="s">
        <v>28</v>
      </c>
      <c r="C794" t="s">
        <v>1013</v>
      </c>
    </row>
    <row r="795" spans="1:3" x14ac:dyDescent="0.25">
      <c r="A795" s="3" t="s">
        <v>871</v>
      </c>
      <c r="B795" t="s">
        <v>87</v>
      </c>
      <c r="C795" t="s">
        <v>1013</v>
      </c>
    </row>
    <row r="796" spans="1:3" x14ac:dyDescent="0.25">
      <c r="A796" s="3" t="s">
        <v>872</v>
      </c>
      <c r="B796" t="s">
        <v>7</v>
      </c>
      <c r="C796" t="s">
        <v>1013</v>
      </c>
    </row>
    <row r="797" spans="1:3" x14ac:dyDescent="0.25">
      <c r="A797" s="3" t="s">
        <v>873</v>
      </c>
      <c r="B797" t="s">
        <v>5</v>
      </c>
      <c r="C797" t="s">
        <v>1013</v>
      </c>
    </row>
    <row r="798" spans="1:3" x14ac:dyDescent="0.25">
      <c r="A798" s="3" t="s">
        <v>874</v>
      </c>
      <c r="B798" t="s">
        <v>31</v>
      </c>
      <c r="C798" t="s">
        <v>1013</v>
      </c>
    </row>
    <row r="799" spans="1:3" x14ac:dyDescent="0.25">
      <c r="A799" s="3" t="s">
        <v>875</v>
      </c>
      <c r="B799" t="s">
        <v>8</v>
      </c>
      <c r="C799" t="s">
        <v>1013</v>
      </c>
    </row>
    <row r="800" spans="1:3" x14ac:dyDescent="0.25">
      <c r="A800" s="3" t="s">
        <v>876</v>
      </c>
      <c r="B800" t="s">
        <v>18</v>
      </c>
      <c r="C800" t="s">
        <v>1013</v>
      </c>
    </row>
    <row r="801" spans="1:3" x14ac:dyDescent="0.25">
      <c r="A801" s="3" t="s">
        <v>877</v>
      </c>
      <c r="B801" t="s">
        <v>8</v>
      </c>
      <c r="C801" t="s">
        <v>1013</v>
      </c>
    </row>
    <row r="802" spans="1:3" x14ac:dyDescent="0.25">
      <c r="A802" s="3" t="s">
        <v>878</v>
      </c>
      <c r="B802" t="s">
        <v>5</v>
      </c>
      <c r="C802" t="s">
        <v>1013</v>
      </c>
    </row>
    <row r="803" spans="1:3" x14ac:dyDescent="0.25">
      <c r="A803" s="3" t="s">
        <v>879</v>
      </c>
      <c r="B803" t="s">
        <v>86</v>
      </c>
      <c r="C803" t="s">
        <v>1013</v>
      </c>
    </row>
    <row r="804" spans="1:3" x14ac:dyDescent="0.25">
      <c r="A804" s="3" t="s">
        <v>880</v>
      </c>
      <c r="B804" t="s">
        <v>11</v>
      </c>
      <c r="C804" t="s">
        <v>1013</v>
      </c>
    </row>
    <row r="805" spans="1:3" x14ac:dyDescent="0.25">
      <c r="A805" s="3" t="s">
        <v>881</v>
      </c>
      <c r="B805" t="s">
        <v>8</v>
      </c>
      <c r="C805" t="s">
        <v>1013</v>
      </c>
    </row>
    <row r="806" spans="1:3" x14ac:dyDescent="0.25">
      <c r="A806" s="3" t="s">
        <v>882</v>
      </c>
      <c r="B806" t="s">
        <v>33</v>
      </c>
      <c r="C806" t="s">
        <v>1013</v>
      </c>
    </row>
    <row r="807" spans="1:3" x14ac:dyDescent="0.25">
      <c r="A807" s="3" t="s">
        <v>883</v>
      </c>
      <c r="B807" t="s">
        <v>12</v>
      </c>
      <c r="C807" t="s">
        <v>1013</v>
      </c>
    </row>
    <row r="808" spans="1:3" x14ac:dyDescent="0.25">
      <c r="A808" s="3" t="s">
        <v>884</v>
      </c>
      <c r="B808" t="s">
        <v>7</v>
      </c>
      <c r="C808" t="s">
        <v>1013</v>
      </c>
    </row>
    <row r="809" spans="1:3" x14ac:dyDescent="0.25">
      <c r="A809" s="3" t="s">
        <v>885</v>
      </c>
      <c r="B809" t="s">
        <v>7</v>
      </c>
      <c r="C809" t="s">
        <v>1013</v>
      </c>
    </row>
    <row r="810" spans="1:3" x14ac:dyDescent="0.25">
      <c r="A810" s="3" t="s">
        <v>886</v>
      </c>
      <c r="B810" t="s">
        <v>7</v>
      </c>
      <c r="C810" t="s">
        <v>1013</v>
      </c>
    </row>
    <row r="811" spans="1:3" x14ac:dyDescent="0.25">
      <c r="A811" s="3" t="s">
        <v>887</v>
      </c>
      <c r="B811" t="s">
        <v>91</v>
      </c>
      <c r="C811" t="s">
        <v>1013</v>
      </c>
    </row>
    <row r="812" spans="1:3" x14ac:dyDescent="0.25">
      <c r="A812" s="3" t="s">
        <v>888</v>
      </c>
      <c r="B812" t="s">
        <v>18</v>
      </c>
      <c r="C812" t="s">
        <v>1013</v>
      </c>
    </row>
    <row r="813" spans="1:3" x14ac:dyDescent="0.25">
      <c r="A813" s="3" t="s">
        <v>889</v>
      </c>
      <c r="B813" t="s">
        <v>7</v>
      </c>
      <c r="C813" t="s">
        <v>1013</v>
      </c>
    </row>
    <row r="814" spans="1:3" x14ac:dyDescent="0.25">
      <c r="A814" s="3" t="s">
        <v>890</v>
      </c>
      <c r="B814" t="s">
        <v>7</v>
      </c>
      <c r="C814" t="s">
        <v>1013</v>
      </c>
    </row>
    <row r="815" spans="1:3" x14ac:dyDescent="0.25">
      <c r="A815" s="3" t="s">
        <v>891</v>
      </c>
      <c r="B815" t="s">
        <v>87</v>
      </c>
      <c r="C815" t="s">
        <v>1013</v>
      </c>
    </row>
    <row r="816" spans="1:3" x14ac:dyDescent="0.25">
      <c r="A816" s="3" t="s">
        <v>892</v>
      </c>
      <c r="B816" t="s">
        <v>12</v>
      </c>
      <c r="C816" t="s">
        <v>1013</v>
      </c>
    </row>
    <row r="817" spans="1:3" x14ac:dyDescent="0.25">
      <c r="A817" s="3" t="s">
        <v>893</v>
      </c>
      <c r="B817" t="s">
        <v>31</v>
      </c>
      <c r="C817" t="s">
        <v>1013</v>
      </c>
    </row>
    <row r="818" spans="1:3" x14ac:dyDescent="0.25">
      <c r="A818" s="3" t="s">
        <v>894</v>
      </c>
      <c r="B818" t="s">
        <v>5</v>
      </c>
      <c r="C818" t="s">
        <v>1013</v>
      </c>
    </row>
    <row r="819" spans="1:3" x14ac:dyDescent="0.25">
      <c r="A819" s="3" t="s">
        <v>895</v>
      </c>
      <c r="B819" t="s">
        <v>28</v>
      </c>
      <c r="C819" t="s">
        <v>1013</v>
      </c>
    </row>
    <row r="820" spans="1:3" x14ac:dyDescent="0.25">
      <c r="A820" s="3" t="s">
        <v>896</v>
      </c>
      <c r="B820" t="s">
        <v>5</v>
      </c>
      <c r="C820" t="s">
        <v>1013</v>
      </c>
    </row>
    <row r="821" spans="1:3" x14ac:dyDescent="0.25">
      <c r="A821" s="3" t="s">
        <v>897</v>
      </c>
      <c r="B821" t="s">
        <v>7</v>
      </c>
      <c r="C821" t="s">
        <v>1013</v>
      </c>
    </row>
    <row r="822" spans="1:3" x14ac:dyDescent="0.25">
      <c r="A822" s="3" t="s">
        <v>898</v>
      </c>
      <c r="B822" t="s">
        <v>7</v>
      </c>
      <c r="C822" t="s">
        <v>1013</v>
      </c>
    </row>
    <row r="823" spans="1:3" x14ac:dyDescent="0.25">
      <c r="A823" s="3" t="s">
        <v>899</v>
      </c>
      <c r="B823" t="s">
        <v>7</v>
      </c>
      <c r="C823" t="s">
        <v>1013</v>
      </c>
    </row>
    <row r="824" spans="1:3" x14ac:dyDescent="0.25">
      <c r="A824" s="3" t="s">
        <v>900</v>
      </c>
      <c r="B824" t="s">
        <v>5</v>
      </c>
      <c r="C824" t="s">
        <v>1013</v>
      </c>
    </row>
    <row r="825" spans="1:3" x14ac:dyDescent="0.25">
      <c r="A825" s="3" t="s">
        <v>901</v>
      </c>
      <c r="B825" t="s">
        <v>18</v>
      </c>
      <c r="C825" t="s">
        <v>1013</v>
      </c>
    </row>
    <row r="826" spans="1:3" x14ac:dyDescent="0.25">
      <c r="A826" s="3" t="s">
        <v>902</v>
      </c>
      <c r="B826" t="s">
        <v>7</v>
      </c>
      <c r="C826" t="s">
        <v>1013</v>
      </c>
    </row>
    <row r="827" spans="1:3" x14ac:dyDescent="0.25">
      <c r="A827" s="3" t="s">
        <v>903</v>
      </c>
      <c r="B827" t="s">
        <v>31</v>
      </c>
      <c r="C827" t="s">
        <v>1013</v>
      </c>
    </row>
    <row r="828" spans="1:3" x14ac:dyDescent="0.25">
      <c r="A828" s="3" t="s">
        <v>904</v>
      </c>
      <c r="B828" t="s">
        <v>16</v>
      </c>
      <c r="C828" t="s">
        <v>1013</v>
      </c>
    </row>
    <row r="829" spans="1:3" x14ac:dyDescent="0.25">
      <c r="A829" s="3" t="s">
        <v>905</v>
      </c>
      <c r="B829" t="s">
        <v>15</v>
      </c>
      <c r="C829" t="s">
        <v>1013</v>
      </c>
    </row>
    <row r="830" spans="1:3" x14ac:dyDescent="0.25">
      <c r="A830" s="3" t="s">
        <v>906</v>
      </c>
      <c r="B830" t="s">
        <v>5</v>
      </c>
      <c r="C830" t="s">
        <v>1013</v>
      </c>
    </row>
    <row r="831" spans="1:3" x14ac:dyDescent="0.25">
      <c r="A831" s="3" t="s">
        <v>907</v>
      </c>
      <c r="B831" t="s">
        <v>5</v>
      </c>
      <c r="C831" t="s">
        <v>1013</v>
      </c>
    </row>
    <row r="832" spans="1:3" x14ac:dyDescent="0.25">
      <c r="A832" s="3" t="s">
        <v>908</v>
      </c>
      <c r="B832" t="s">
        <v>28</v>
      </c>
      <c r="C832" t="s">
        <v>1013</v>
      </c>
    </row>
    <row r="833" spans="1:3" x14ac:dyDescent="0.25">
      <c r="A833" s="3" t="s">
        <v>909</v>
      </c>
      <c r="B833" t="s">
        <v>7</v>
      </c>
      <c r="C833" t="s">
        <v>1013</v>
      </c>
    </row>
    <row r="834" spans="1:3" x14ac:dyDescent="0.25">
      <c r="A834" s="3" t="s">
        <v>910</v>
      </c>
      <c r="B834" t="s">
        <v>7</v>
      </c>
      <c r="C834" t="s">
        <v>1013</v>
      </c>
    </row>
    <row r="835" spans="1:3" x14ac:dyDescent="0.25">
      <c r="A835" s="3" t="s">
        <v>911</v>
      </c>
      <c r="B835" t="s">
        <v>7</v>
      </c>
      <c r="C835" t="s">
        <v>1013</v>
      </c>
    </row>
    <row r="836" spans="1:3" x14ac:dyDescent="0.25">
      <c r="A836" s="3" t="s">
        <v>912</v>
      </c>
      <c r="B836" t="s">
        <v>12</v>
      </c>
      <c r="C836" t="s">
        <v>1013</v>
      </c>
    </row>
    <row r="837" spans="1:3" x14ac:dyDescent="0.25">
      <c r="A837" s="3" t="s">
        <v>913</v>
      </c>
      <c r="B837" t="s">
        <v>70</v>
      </c>
      <c r="C837" t="s">
        <v>1013</v>
      </c>
    </row>
    <row r="838" spans="1:3" x14ac:dyDescent="0.25">
      <c r="A838" s="3" t="s">
        <v>914</v>
      </c>
      <c r="B838" t="s">
        <v>31</v>
      </c>
      <c r="C838" t="s">
        <v>1013</v>
      </c>
    </row>
    <row r="839" spans="1:3" x14ac:dyDescent="0.25">
      <c r="A839" s="3" t="s">
        <v>915</v>
      </c>
      <c r="B839" t="s">
        <v>15</v>
      </c>
      <c r="C839" t="s">
        <v>1013</v>
      </c>
    </row>
    <row r="840" spans="1:3" x14ac:dyDescent="0.25">
      <c r="A840" s="3" t="s">
        <v>916</v>
      </c>
      <c r="B840" t="s">
        <v>12</v>
      </c>
      <c r="C840" t="s">
        <v>1013</v>
      </c>
    </row>
    <row r="841" spans="1:3" x14ac:dyDescent="0.25">
      <c r="A841" s="3" t="s">
        <v>917</v>
      </c>
      <c r="B841" t="s">
        <v>5</v>
      </c>
      <c r="C841" t="s">
        <v>1013</v>
      </c>
    </row>
    <row r="842" spans="1:3" x14ac:dyDescent="0.25">
      <c r="A842" s="3" t="s">
        <v>918</v>
      </c>
      <c r="B842" t="s">
        <v>70</v>
      </c>
      <c r="C842" t="s">
        <v>1013</v>
      </c>
    </row>
    <row r="843" spans="1:3" x14ac:dyDescent="0.25">
      <c r="A843" s="3" t="s">
        <v>919</v>
      </c>
      <c r="B843" t="s">
        <v>8</v>
      </c>
      <c r="C843" t="s">
        <v>1013</v>
      </c>
    </row>
    <row r="844" spans="1:3" x14ac:dyDescent="0.25">
      <c r="A844" s="3" t="s">
        <v>920</v>
      </c>
      <c r="B844" t="s">
        <v>18</v>
      </c>
      <c r="C844" t="s">
        <v>1013</v>
      </c>
    </row>
    <row r="845" spans="1:3" x14ac:dyDescent="0.25">
      <c r="A845" s="3" t="s">
        <v>921</v>
      </c>
      <c r="B845" t="s">
        <v>16</v>
      </c>
      <c r="C845" t="s">
        <v>1013</v>
      </c>
    </row>
    <row r="846" spans="1:3" x14ac:dyDescent="0.25">
      <c r="A846" s="3" t="s">
        <v>922</v>
      </c>
      <c r="B846" t="s">
        <v>16</v>
      </c>
      <c r="C846" t="s">
        <v>1013</v>
      </c>
    </row>
    <row r="847" spans="1:3" x14ac:dyDescent="0.25">
      <c r="A847" s="3" t="s">
        <v>923</v>
      </c>
      <c r="B847" t="s">
        <v>12</v>
      </c>
      <c r="C847" t="s">
        <v>1013</v>
      </c>
    </row>
    <row r="848" spans="1:3" x14ac:dyDescent="0.25">
      <c r="A848" s="3" t="s">
        <v>924</v>
      </c>
      <c r="B848" t="s">
        <v>5</v>
      </c>
      <c r="C848" t="s">
        <v>1013</v>
      </c>
    </row>
    <row r="849" spans="1:3" x14ac:dyDescent="0.25">
      <c r="A849" s="3" t="s">
        <v>925</v>
      </c>
      <c r="B849" t="s">
        <v>12</v>
      </c>
      <c r="C849" t="s">
        <v>1013</v>
      </c>
    </row>
    <row r="850" spans="1:3" x14ac:dyDescent="0.25">
      <c r="A850" s="3" t="s">
        <v>926</v>
      </c>
      <c r="B850" t="s">
        <v>33</v>
      </c>
      <c r="C850" t="s">
        <v>1013</v>
      </c>
    </row>
    <row r="851" spans="1:3" x14ac:dyDescent="0.25">
      <c r="A851" s="3" t="s">
        <v>927</v>
      </c>
      <c r="B851" t="s">
        <v>70</v>
      </c>
      <c r="C851" t="s">
        <v>1013</v>
      </c>
    </row>
    <row r="852" spans="1:3" x14ac:dyDescent="0.25">
      <c r="A852" s="3" t="s">
        <v>928</v>
      </c>
      <c r="B852" t="s">
        <v>7</v>
      </c>
      <c r="C852" t="s">
        <v>1013</v>
      </c>
    </row>
    <row r="853" spans="1:3" x14ac:dyDescent="0.25">
      <c r="A853" s="3" t="s">
        <v>929</v>
      </c>
      <c r="B853" t="s">
        <v>100</v>
      </c>
      <c r="C853" t="s">
        <v>1013</v>
      </c>
    </row>
    <row r="854" spans="1:3" x14ac:dyDescent="0.25">
      <c r="A854" s="3" t="s">
        <v>930</v>
      </c>
      <c r="B854" t="s">
        <v>5</v>
      </c>
      <c r="C854" t="s">
        <v>1013</v>
      </c>
    </row>
    <row r="855" spans="1:3" x14ac:dyDescent="0.25">
      <c r="A855" s="3" t="s">
        <v>931</v>
      </c>
      <c r="B855" t="s">
        <v>8</v>
      </c>
      <c r="C855" t="s">
        <v>1013</v>
      </c>
    </row>
    <row r="856" spans="1:3" x14ac:dyDescent="0.25">
      <c r="A856" s="3" t="s">
        <v>932</v>
      </c>
      <c r="B856" t="s">
        <v>16</v>
      </c>
      <c r="C856" t="s">
        <v>1013</v>
      </c>
    </row>
    <row r="857" spans="1:3" x14ac:dyDescent="0.25">
      <c r="A857" s="3" t="s">
        <v>933</v>
      </c>
      <c r="B857" t="s">
        <v>86</v>
      </c>
      <c r="C857" t="s">
        <v>1013</v>
      </c>
    </row>
    <row r="858" spans="1:3" x14ac:dyDescent="0.25">
      <c r="A858" s="3" t="s">
        <v>934</v>
      </c>
      <c r="B858" t="s">
        <v>5</v>
      </c>
      <c r="C858" t="s">
        <v>1013</v>
      </c>
    </row>
    <row r="859" spans="1:3" x14ac:dyDescent="0.25">
      <c r="A859" s="3" t="s">
        <v>935</v>
      </c>
      <c r="B859" t="s">
        <v>5</v>
      </c>
      <c r="C859" t="s">
        <v>1010</v>
      </c>
    </row>
    <row r="860" spans="1:3" x14ac:dyDescent="0.25">
      <c r="A860" s="3" t="s">
        <v>936</v>
      </c>
      <c r="B860" t="s">
        <v>11</v>
      </c>
      <c r="C860" t="s">
        <v>1013</v>
      </c>
    </row>
    <row r="861" spans="1:3" x14ac:dyDescent="0.25">
      <c r="A861" s="3" t="s">
        <v>937</v>
      </c>
      <c r="B861" t="s">
        <v>18</v>
      </c>
      <c r="C861" t="s">
        <v>1013</v>
      </c>
    </row>
    <row r="862" spans="1:3" x14ac:dyDescent="0.25">
      <c r="A862" s="3" t="s">
        <v>938</v>
      </c>
      <c r="B862" t="s">
        <v>15</v>
      </c>
      <c r="C862" t="s">
        <v>1013</v>
      </c>
    </row>
    <row r="863" spans="1:3" x14ac:dyDescent="0.25">
      <c r="A863" s="3" t="s">
        <v>939</v>
      </c>
      <c r="B863" t="s">
        <v>70</v>
      </c>
      <c r="C863" t="s">
        <v>1013</v>
      </c>
    </row>
    <row r="864" spans="1:3" x14ac:dyDescent="0.25">
      <c r="A864" s="3" t="s">
        <v>940</v>
      </c>
      <c r="B864" t="s">
        <v>15</v>
      </c>
      <c r="C864" t="s">
        <v>1013</v>
      </c>
    </row>
    <row r="865" spans="1:3" x14ac:dyDescent="0.25">
      <c r="A865" s="3" t="s">
        <v>941</v>
      </c>
      <c r="B865" t="s">
        <v>15</v>
      </c>
      <c r="C865" t="s">
        <v>1013</v>
      </c>
    </row>
    <row r="866" spans="1:3" x14ac:dyDescent="0.25">
      <c r="A866" s="3" t="s">
        <v>942</v>
      </c>
      <c r="B866" t="s">
        <v>16</v>
      </c>
      <c r="C866" t="s">
        <v>1013</v>
      </c>
    </row>
    <row r="867" spans="1:3" x14ac:dyDescent="0.25">
      <c r="A867" s="3" t="s">
        <v>943</v>
      </c>
      <c r="B867" t="s">
        <v>16</v>
      </c>
      <c r="C867" t="s">
        <v>1013</v>
      </c>
    </row>
    <row r="868" spans="1:3" x14ac:dyDescent="0.25">
      <c r="A868" s="3" t="s">
        <v>944</v>
      </c>
      <c r="B868" t="s">
        <v>97</v>
      </c>
      <c r="C868" t="s">
        <v>1013</v>
      </c>
    </row>
    <row r="869" spans="1:3" x14ac:dyDescent="0.25">
      <c r="A869" s="3" t="s">
        <v>945</v>
      </c>
      <c r="B869" t="s">
        <v>5</v>
      </c>
      <c r="C869" t="s">
        <v>1013</v>
      </c>
    </row>
    <row r="870" spans="1:3" x14ac:dyDescent="0.25">
      <c r="A870" s="3" t="s">
        <v>946</v>
      </c>
      <c r="B870" t="s">
        <v>91</v>
      </c>
      <c r="C870" t="s">
        <v>1013</v>
      </c>
    </row>
    <row r="871" spans="1:3" x14ac:dyDescent="0.25">
      <c r="A871" s="3" t="s">
        <v>947</v>
      </c>
      <c r="B871" t="s">
        <v>102</v>
      </c>
      <c r="C871" t="s">
        <v>1013</v>
      </c>
    </row>
    <row r="872" spans="1:3" x14ac:dyDescent="0.25">
      <c r="A872" s="3" t="s">
        <v>948</v>
      </c>
      <c r="B872" t="s">
        <v>5</v>
      </c>
      <c r="C872" t="s">
        <v>1013</v>
      </c>
    </row>
    <row r="873" spans="1:3" x14ac:dyDescent="0.25">
      <c r="A873" s="3" t="s">
        <v>949</v>
      </c>
      <c r="B873" t="s">
        <v>102</v>
      </c>
      <c r="C873" t="s">
        <v>1013</v>
      </c>
    </row>
    <row r="874" spans="1:3" x14ac:dyDescent="0.25">
      <c r="A874" s="3" t="s">
        <v>950</v>
      </c>
      <c r="B874" t="s">
        <v>31</v>
      </c>
      <c r="C874" t="s">
        <v>1013</v>
      </c>
    </row>
    <row r="875" spans="1:3" x14ac:dyDescent="0.25">
      <c r="A875" s="3" t="s">
        <v>951</v>
      </c>
      <c r="B875" t="s">
        <v>11</v>
      </c>
      <c r="C875" t="s">
        <v>1013</v>
      </c>
    </row>
    <row r="876" spans="1:3" x14ac:dyDescent="0.25">
      <c r="A876" s="3" t="s">
        <v>952</v>
      </c>
      <c r="B876" t="s">
        <v>16</v>
      </c>
      <c r="C876" t="s">
        <v>1013</v>
      </c>
    </row>
    <row r="877" spans="1:3" x14ac:dyDescent="0.25">
      <c r="A877" s="3" t="s">
        <v>953</v>
      </c>
      <c r="B877" t="s">
        <v>5</v>
      </c>
      <c r="C877" t="s">
        <v>1013</v>
      </c>
    </row>
    <row r="878" spans="1:3" x14ac:dyDescent="0.25">
      <c r="A878" s="3" t="s">
        <v>954</v>
      </c>
      <c r="B878" t="s">
        <v>102</v>
      </c>
      <c r="C878" t="s">
        <v>1013</v>
      </c>
    </row>
    <row r="879" spans="1:3" x14ac:dyDescent="0.25">
      <c r="A879" s="3" t="s">
        <v>955</v>
      </c>
      <c r="B879" t="s">
        <v>70</v>
      </c>
      <c r="C879" t="s">
        <v>1013</v>
      </c>
    </row>
    <row r="880" spans="1:3" x14ac:dyDescent="0.25">
      <c r="A880" s="3" t="s">
        <v>956</v>
      </c>
      <c r="B880" t="s">
        <v>8</v>
      </c>
      <c r="C880" t="s">
        <v>1013</v>
      </c>
    </row>
    <row r="881" spans="1:3" x14ac:dyDescent="0.25">
      <c r="A881" s="3" t="s">
        <v>957</v>
      </c>
      <c r="B881" t="s">
        <v>7</v>
      </c>
      <c r="C881" t="s">
        <v>1013</v>
      </c>
    </row>
    <row r="882" spans="1:3" x14ac:dyDescent="0.25">
      <c r="A882" s="3" t="s">
        <v>958</v>
      </c>
      <c r="B882" t="s">
        <v>70</v>
      </c>
      <c r="C882" t="s">
        <v>1013</v>
      </c>
    </row>
    <row r="883" spans="1:3" x14ac:dyDescent="0.25">
      <c r="A883" s="3" t="s">
        <v>959</v>
      </c>
      <c r="B883" t="s">
        <v>16</v>
      </c>
      <c r="C883" t="s">
        <v>1013</v>
      </c>
    </row>
    <row r="884" spans="1:3" x14ac:dyDescent="0.25">
      <c r="A884" s="3" t="s">
        <v>960</v>
      </c>
      <c r="B884" t="s">
        <v>7</v>
      </c>
      <c r="C884" t="s">
        <v>1013</v>
      </c>
    </row>
    <row r="885" spans="1:3" x14ac:dyDescent="0.25">
      <c r="A885" s="3" t="s">
        <v>961</v>
      </c>
      <c r="B885" t="s">
        <v>33</v>
      </c>
      <c r="C885" t="s">
        <v>1013</v>
      </c>
    </row>
    <row r="886" spans="1:3" x14ac:dyDescent="0.25">
      <c r="A886" s="3" t="s">
        <v>962</v>
      </c>
      <c r="B886" t="s">
        <v>7</v>
      </c>
      <c r="C886" t="s">
        <v>1013</v>
      </c>
    </row>
    <row r="887" spans="1:3" x14ac:dyDescent="0.25">
      <c r="A887" s="3" t="s">
        <v>963</v>
      </c>
      <c r="B887" t="s">
        <v>7</v>
      </c>
      <c r="C887" t="s">
        <v>1013</v>
      </c>
    </row>
    <row r="888" spans="1:3" x14ac:dyDescent="0.25">
      <c r="A888" s="3" t="s">
        <v>964</v>
      </c>
      <c r="B888" t="s">
        <v>14</v>
      </c>
      <c r="C888" t="s">
        <v>1013</v>
      </c>
    </row>
    <row r="889" spans="1:3" x14ac:dyDescent="0.25">
      <c r="A889" s="3" t="s">
        <v>965</v>
      </c>
      <c r="B889" t="s">
        <v>7</v>
      </c>
      <c r="C889" t="s">
        <v>1013</v>
      </c>
    </row>
    <row r="890" spans="1:3" x14ac:dyDescent="0.25">
      <c r="A890" s="3" t="s">
        <v>966</v>
      </c>
      <c r="B890" t="s">
        <v>8</v>
      </c>
      <c r="C890" t="s">
        <v>1013</v>
      </c>
    </row>
    <row r="891" spans="1:3" x14ac:dyDescent="0.25">
      <c r="A891" s="3" t="s">
        <v>967</v>
      </c>
      <c r="B891" t="s">
        <v>7</v>
      </c>
      <c r="C891" t="s">
        <v>1013</v>
      </c>
    </row>
    <row r="892" spans="1:3" x14ac:dyDescent="0.25">
      <c r="A892" s="3" t="s">
        <v>968</v>
      </c>
      <c r="B892" t="s">
        <v>14</v>
      </c>
      <c r="C892" t="s">
        <v>1013</v>
      </c>
    </row>
    <row r="893" spans="1:3" x14ac:dyDescent="0.25">
      <c r="A893" s="3" t="s">
        <v>969</v>
      </c>
      <c r="B893" t="s">
        <v>7</v>
      </c>
      <c r="C893" t="s">
        <v>1013</v>
      </c>
    </row>
    <row r="894" spans="1:3" x14ac:dyDescent="0.25">
      <c r="A894" s="3" t="s">
        <v>970</v>
      </c>
      <c r="B894" t="s">
        <v>15</v>
      </c>
      <c r="C894" t="s">
        <v>1013</v>
      </c>
    </row>
    <row r="895" spans="1:3" x14ac:dyDescent="0.25">
      <c r="A895" s="3" t="s">
        <v>971</v>
      </c>
      <c r="B895" t="s">
        <v>15</v>
      </c>
      <c r="C895" t="s">
        <v>1013</v>
      </c>
    </row>
    <row r="896" spans="1:3" x14ac:dyDescent="0.25">
      <c r="A896" s="3" t="s">
        <v>972</v>
      </c>
      <c r="B896" t="s">
        <v>7</v>
      </c>
      <c r="C896" t="s">
        <v>1013</v>
      </c>
    </row>
    <row r="897" spans="1:3" x14ac:dyDescent="0.25">
      <c r="A897" s="3" t="s">
        <v>973</v>
      </c>
      <c r="B897" t="s">
        <v>18</v>
      </c>
      <c r="C897" t="s">
        <v>1013</v>
      </c>
    </row>
    <row r="898" spans="1:3" x14ac:dyDescent="0.25">
      <c r="A898" s="3" t="s">
        <v>974</v>
      </c>
      <c r="B898" t="s">
        <v>86</v>
      </c>
      <c r="C898" t="s">
        <v>1013</v>
      </c>
    </row>
    <row r="899" spans="1:3" x14ac:dyDescent="0.25">
      <c r="A899" s="3" t="s">
        <v>975</v>
      </c>
      <c r="B899" t="s">
        <v>11</v>
      </c>
      <c r="C899" t="s">
        <v>1013</v>
      </c>
    </row>
    <row r="900" spans="1:3" x14ac:dyDescent="0.25">
      <c r="A900" s="3" t="s">
        <v>976</v>
      </c>
      <c r="B900" t="s">
        <v>15</v>
      </c>
      <c r="C900" t="s">
        <v>1013</v>
      </c>
    </row>
    <row r="901" spans="1:3" x14ac:dyDescent="0.25">
      <c r="A901" s="3" t="s">
        <v>977</v>
      </c>
      <c r="B901" t="s">
        <v>7</v>
      </c>
      <c r="C901" t="s">
        <v>1013</v>
      </c>
    </row>
    <row r="902" spans="1:3" x14ac:dyDescent="0.25">
      <c r="A902" s="3" t="s">
        <v>978</v>
      </c>
      <c r="B902" t="s">
        <v>82</v>
      </c>
      <c r="C902" t="s">
        <v>1013</v>
      </c>
    </row>
    <row r="903" spans="1:3" x14ac:dyDescent="0.25">
      <c r="A903" s="3" t="s">
        <v>979</v>
      </c>
      <c r="B903" t="s">
        <v>70</v>
      </c>
      <c r="C903" t="s">
        <v>1013</v>
      </c>
    </row>
    <row r="904" spans="1:3" x14ac:dyDescent="0.25">
      <c r="A904" s="3" t="s">
        <v>980</v>
      </c>
      <c r="B904" t="s">
        <v>16</v>
      </c>
      <c r="C904" t="s">
        <v>1013</v>
      </c>
    </row>
    <row r="905" spans="1:3" x14ac:dyDescent="0.25">
      <c r="A905" s="3" t="s">
        <v>981</v>
      </c>
      <c r="B905" t="s">
        <v>97</v>
      </c>
      <c r="C905" t="s">
        <v>1013</v>
      </c>
    </row>
    <row r="906" spans="1:3" x14ac:dyDescent="0.25">
      <c r="A906" s="3" t="s">
        <v>982</v>
      </c>
      <c r="B906" t="s">
        <v>8</v>
      </c>
      <c r="C906" t="s">
        <v>1013</v>
      </c>
    </row>
    <row r="907" spans="1:3" x14ac:dyDescent="0.25">
      <c r="A907" s="3" t="s">
        <v>983</v>
      </c>
      <c r="B907" t="s">
        <v>100</v>
      </c>
      <c r="C907" t="s">
        <v>1013</v>
      </c>
    </row>
    <row r="908" spans="1:3" x14ac:dyDescent="0.25">
      <c r="A908" s="3" t="s">
        <v>984</v>
      </c>
      <c r="B908" t="s">
        <v>102</v>
      </c>
      <c r="C908" t="s">
        <v>1013</v>
      </c>
    </row>
    <row r="909" spans="1:3" x14ac:dyDescent="0.25">
      <c r="A909" s="3" t="s">
        <v>985</v>
      </c>
      <c r="B909" t="s">
        <v>97</v>
      </c>
      <c r="C909" t="s">
        <v>1013</v>
      </c>
    </row>
    <row r="910" spans="1:3" x14ac:dyDescent="0.25">
      <c r="A910" s="3" t="s">
        <v>986</v>
      </c>
      <c r="B910" t="s">
        <v>18</v>
      </c>
      <c r="C910" t="s">
        <v>1013</v>
      </c>
    </row>
    <row r="911" spans="1:3" x14ac:dyDescent="0.25">
      <c r="A911" s="3" t="s">
        <v>987</v>
      </c>
      <c r="B911" t="s">
        <v>18</v>
      </c>
      <c r="C911" t="s">
        <v>1013</v>
      </c>
    </row>
    <row r="912" spans="1:3" x14ac:dyDescent="0.25">
      <c r="A912" s="3" t="s">
        <v>988</v>
      </c>
      <c r="B912" t="s">
        <v>12</v>
      </c>
      <c r="C912" t="s">
        <v>1013</v>
      </c>
    </row>
    <row r="913" spans="1:3" x14ac:dyDescent="0.25">
      <c r="A913" s="3" t="s">
        <v>989</v>
      </c>
      <c r="B913" t="s">
        <v>5</v>
      </c>
      <c r="C913" t="s">
        <v>1013</v>
      </c>
    </row>
    <row r="914" spans="1:3" x14ac:dyDescent="0.25">
      <c r="A914" s="3" t="s">
        <v>990</v>
      </c>
      <c r="B914" t="s">
        <v>7</v>
      </c>
      <c r="C914" t="s">
        <v>1013</v>
      </c>
    </row>
    <row r="915" spans="1:3" x14ac:dyDescent="0.25">
      <c r="A915" s="3" t="s">
        <v>991</v>
      </c>
      <c r="B915" t="s">
        <v>28</v>
      </c>
      <c r="C915" t="s">
        <v>1013</v>
      </c>
    </row>
    <row r="916" spans="1:3" x14ac:dyDescent="0.25">
      <c r="A916" s="3" t="s">
        <v>992</v>
      </c>
      <c r="B916" t="s">
        <v>87</v>
      </c>
      <c r="C916" t="s">
        <v>1013</v>
      </c>
    </row>
    <row r="917" spans="1:3" x14ac:dyDescent="0.25">
      <c r="A917" s="3" t="s">
        <v>993</v>
      </c>
      <c r="B917" t="s">
        <v>86</v>
      </c>
      <c r="C917" t="s">
        <v>1013</v>
      </c>
    </row>
    <row r="918" spans="1:3" x14ac:dyDescent="0.25">
      <c r="A918" s="3" t="s">
        <v>994</v>
      </c>
      <c r="B918" t="s">
        <v>11</v>
      </c>
      <c r="C918" t="s">
        <v>1013</v>
      </c>
    </row>
    <row r="919" spans="1:3" x14ac:dyDescent="0.25">
      <c r="A919" s="3" t="s">
        <v>995</v>
      </c>
      <c r="B919" t="s">
        <v>7</v>
      </c>
      <c r="C919" t="s">
        <v>1013</v>
      </c>
    </row>
    <row r="920" spans="1:3" x14ac:dyDescent="0.25">
      <c r="A920" s="3" t="s">
        <v>996</v>
      </c>
      <c r="B920" t="s">
        <v>7</v>
      </c>
      <c r="C920" t="s">
        <v>1013</v>
      </c>
    </row>
    <row r="921" spans="1:3" x14ac:dyDescent="0.25">
      <c r="A921" s="3" t="s">
        <v>997</v>
      </c>
      <c r="B921" t="s">
        <v>7</v>
      </c>
      <c r="C921" t="s">
        <v>1013</v>
      </c>
    </row>
    <row r="922" spans="1:3" x14ac:dyDescent="0.25">
      <c r="A922" s="3" t="s">
        <v>998</v>
      </c>
      <c r="B922" t="s">
        <v>7</v>
      </c>
      <c r="C922" t="s">
        <v>1013</v>
      </c>
    </row>
    <row r="923" spans="1:3" x14ac:dyDescent="0.25">
      <c r="A923" s="3" t="s">
        <v>999</v>
      </c>
      <c r="B923" t="s">
        <v>15</v>
      </c>
      <c r="C923" t="s">
        <v>1013</v>
      </c>
    </row>
    <row r="924" spans="1:3" x14ac:dyDescent="0.25">
      <c r="A924" s="3" t="s">
        <v>1000</v>
      </c>
      <c r="B924" t="s">
        <v>7</v>
      </c>
      <c r="C924" t="s">
        <v>1013</v>
      </c>
    </row>
    <row r="925" spans="1:3" x14ac:dyDescent="0.25">
      <c r="A925" s="3" t="s">
        <v>1001</v>
      </c>
      <c r="B925" t="s">
        <v>7</v>
      </c>
      <c r="C925" t="s">
        <v>1013</v>
      </c>
    </row>
    <row r="926" spans="1:3" x14ac:dyDescent="0.25">
      <c r="A926" s="3" t="s">
        <v>1002</v>
      </c>
      <c r="B926" t="s">
        <v>28</v>
      </c>
      <c r="C926" t="s">
        <v>1013</v>
      </c>
    </row>
    <row r="927" spans="1:3" x14ac:dyDescent="0.25">
      <c r="A927" s="3" t="s">
        <v>1003</v>
      </c>
      <c r="B927" t="s">
        <v>18</v>
      </c>
      <c r="C927" t="s">
        <v>1013</v>
      </c>
    </row>
    <row r="928" spans="1:3" x14ac:dyDescent="0.25">
      <c r="A928" s="3" t="s">
        <v>1004</v>
      </c>
      <c r="B928" t="s">
        <v>16</v>
      </c>
      <c r="C928" t="s">
        <v>1013</v>
      </c>
    </row>
    <row r="929" spans="1:3" x14ac:dyDescent="0.25">
      <c r="A929" s="3" t="s">
        <v>1005</v>
      </c>
      <c r="B929" t="s">
        <v>7</v>
      </c>
      <c r="C929" t="s">
        <v>1013</v>
      </c>
    </row>
    <row r="930" spans="1:3" x14ac:dyDescent="0.25">
      <c r="A930" s="3" t="s">
        <v>1006</v>
      </c>
      <c r="B930" t="s">
        <v>5</v>
      </c>
      <c r="C930" t="s">
        <v>1013</v>
      </c>
    </row>
    <row r="931" spans="1:3" x14ac:dyDescent="0.25">
      <c r="A931" s="3" t="s">
        <v>1007</v>
      </c>
      <c r="B931" t="s">
        <v>12</v>
      </c>
      <c r="C931" t="s">
        <v>1013</v>
      </c>
    </row>
    <row r="932" spans="1:3" x14ac:dyDescent="0.25">
      <c r="A932" s="3" t="s">
        <v>1008</v>
      </c>
      <c r="B932" t="s">
        <v>8</v>
      </c>
      <c r="C932" t="s">
        <v>1013</v>
      </c>
    </row>
    <row r="933" spans="1:3" x14ac:dyDescent="0.25">
      <c r="A933" s="3" t="s">
        <v>1009</v>
      </c>
      <c r="B933" t="s">
        <v>11</v>
      </c>
      <c r="C933" t="s">
        <v>1013</v>
      </c>
    </row>
    <row r="934" spans="1:3" x14ac:dyDescent="0.25">
      <c r="A934" s="3" t="s">
        <v>116</v>
      </c>
      <c r="B934" t="s">
        <v>84</v>
      </c>
      <c r="C934" t="s">
        <v>1013</v>
      </c>
    </row>
    <row r="935" spans="1:3" x14ac:dyDescent="0.25">
      <c r="A935" s="3" t="s">
        <v>117</v>
      </c>
      <c r="B935" t="s">
        <v>25</v>
      </c>
      <c r="C935" t="s">
        <v>1013</v>
      </c>
    </row>
    <row r="936" spans="1:3" x14ac:dyDescent="0.25">
      <c r="A936" s="3" t="s">
        <v>119</v>
      </c>
      <c r="B936" t="s">
        <v>32</v>
      </c>
      <c r="C936" t="s">
        <v>1013</v>
      </c>
    </row>
    <row r="937" spans="1:3" x14ac:dyDescent="0.25">
      <c r="A937" s="3" t="s">
        <v>120</v>
      </c>
      <c r="B937" t="s">
        <v>14</v>
      </c>
      <c r="C937" t="s">
        <v>1013</v>
      </c>
    </row>
    <row r="938" spans="1:3" x14ac:dyDescent="0.25">
      <c r="A938" s="3" t="s">
        <v>122</v>
      </c>
      <c r="B938" t="s">
        <v>112</v>
      </c>
      <c r="C938" t="s">
        <v>1013</v>
      </c>
    </row>
    <row r="939" spans="1:3" x14ac:dyDescent="0.25">
      <c r="A939" s="3" t="s">
        <v>123</v>
      </c>
      <c r="B939" t="s">
        <v>100</v>
      </c>
      <c r="C939" t="s">
        <v>1013</v>
      </c>
    </row>
    <row r="940" spans="1:3" x14ac:dyDescent="0.25">
      <c r="A940" s="3" t="s">
        <v>131</v>
      </c>
      <c r="B940" t="s">
        <v>84</v>
      </c>
      <c r="C940" t="s">
        <v>1013</v>
      </c>
    </row>
    <row r="941" spans="1:3" x14ac:dyDescent="0.25">
      <c r="A941" s="3" t="s">
        <v>133</v>
      </c>
      <c r="B941" t="s">
        <v>97</v>
      </c>
      <c r="C941" t="s">
        <v>1013</v>
      </c>
    </row>
    <row r="942" spans="1:3" x14ac:dyDescent="0.25">
      <c r="A942" s="3" t="s">
        <v>134</v>
      </c>
      <c r="B942" t="s">
        <v>14</v>
      </c>
      <c r="C942" t="s">
        <v>1013</v>
      </c>
    </row>
    <row r="943" spans="1:3" x14ac:dyDescent="0.25">
      <c r="A943" s="3" t="s">
        <v>135</v>
      </c>
      <c r="B943" t="s">
        <v>136</v>
      </c>
      <c r="C943" t="s">
        <v>1013</v>
      </c>
    </row>
    <row r="944" spans="1:3" x14ac:dyDescent="0.25">
      <c r="A944" s="3" t="s">
        <v>137</v>
      </c>
      <c r="B944" t="s">
        <v>25</v>
      </c>
      <c r="C944" t="s">
        <v>1013</v>
      </c>
    </row>
    <row r="945" spans="1:3" x14ac:dyDescent="0.25">
      <c r="A945" s="3" t="s">
        <v>138</v>
      </c>
      <c r="B945" t="s">
        <v>12</v>
      </c>
      <c r="C945" t="s">
        <v>1013</v>
      </c>
    </row>
    <row r="946" spans="1:3" x14ac:dyDescent="0.25">
      <c r="A946" s="3" t="s">
        <v>140</v>
      </c>
      <c r="B946" t="s">
        <v>85</v>
      </c>
      <c r="C946" t="s">
        <v>1013</v>
      </c>
    </row>
    <row r="947" spans="1:3" x14ac:dyDescent="0.25">
      <c r="A947" s="3" t="s">
        <v>141</v>
      </c>
      <c r="B947" t="s">
        <v>32</v>
      </c>
      <c r="C947" t="s">
        <v>1013</v>
      </c>
    </row>
    <row r="948" spans="1:3" x14ac:dyDescent="0.25">
      <c r="A948" s="3" t="s">
        <v>142</v>
      </c>
      <c r="B948" t="s">
        <v>8</v>
      </c>
      <c r="C948" t="s">
        <v>1013</v>
      </c>
    </row>
    <row r="949" spans="1:3" x14ac:dyDescent="0.25">
      <c r="A949" s="3" t="s">
        <v>147</v>
      </c>
      <c r="B949" t="s">
        <v>33</v>
      </c>
      <c r="C949" t="s">
        <v>1013</v>
      </c>
    </row>
    <row r="950" spans="1:3" x14ac:dyDescent="0.25">
      <c r="A950" s="3" t="s">
        <v>148</v>
      </c>
      <c r="B950" t="s">
        <v>102</v>
      </c>
      <c r="C950" t="s">
        <v>1013</v>
      </c>
    </row>
    <row r="951" spans="1:3" x14ac:dyDescent="0.25">
      <c r="A951" s="3" t="s">
        <v>149</v>
      </c>
      <c r="B951" t="s">
        <v>112</v>
      </c>
      <c r="C951" t="s">
        <v>1013</v>
      </c>
    </row>
    <row r="952" spans="1:3" x14ac:dyDescent="0.25">
      <c r="A952" s="3" t="s">
        <v>150</v>
      </c>
      <c r="B952" t="s">
        <v>129</v>
      </c>
      <c r="C952" t="s">
        <v>1013</v>
      </c>
    </row>
    <row r="953" spans="1:3" x14ac:dyDescent="0.25">
      <c r="A953" s="3" t="s">
        <v>139</v>
      </c>
      <c r="B953" t="s">
        <v>7</v>
      </c>
      <c r="C953" t="s">
        <v>1013</v>
      </c>
    </row>
    <row r="954" spans="1:3" x14ac:dyDescent="0.25">
      <c r="A954" s="3" t="s">
        <v>20</v>
      </c>
      <c r="B954" t="s">
        <v>12</v>
      </c>
      <c r="C954" t="s">
        <v>1013</v>
      </c>
    </row>
    <row r="955" spans="1:3" x14ac:dyDescent="0.25">
      <c r="A955" s="3" t="s">
        <v>37</v>
      </c>
      <c r="B955" t="s">
        <v>11</v>
      </c>
      <c r="C955" t="s">
        <v>1013</v>
      </c>
    </row>
    <row r="956" spans="1:3" x14ac:dyDescent="0.25">
      <c r="A956" s="3" t="s">
        <v>38</v>
      </c>
      <c r="B956" t="s">
        <v>16</v>
      </c>
      <c r="C956" t="s">
        <v>1013</v>
      </c>
    </row>
    <row r="957" spans="1:3" x14ac:dyDescent="0.25">
      <c r="A957" s="3" t="s">
        <v>13</v>
      </c>
      <c r="B957" t="s">
        <v>5</v>
      </c>
      <c r="C957" t="s">
        <v>1013</v>
      </c>
    </row>
    <row r="958" spans="1:3" x14ac:dyDescent="0.25">
      <c r="A958" s="3" t="s">
        <v>51</v>
      </c>
      <c r="B958" t="s">
        <v>15</v>
      </c>
      <c r="C958" t="s">
        <v>1013</v>
      </c>
    </row>
    <row r="959" spans="1:3" x14ac:dyDescent="0.25">
      <c r="A959" s="3" t="s">
        <v>52</v>
      </c>
      <c r="B959" t="s">
        <v>5</v>
      </c>
      <c r="C959" t="s">
        <v>1013</v>
      </c>
    </row>
    <row r="960" spans="1:3" x14ac:dyDescent="0.25">
      <c r="A960" s="3" t="s">
        <v>56</v>
      </c>
      <c r="B960" t="s">
        <v>18</v>
      </c>
      <c r="C960" t="s">
        <v>1013</v>
      </c>
    </row>
    <row r="961" spans="1:5" x14ac:dyDescent="0.25">
      <c r="A961" s="3" t="s">
        <v>58</v>
      </c>
      <c r="B961" t="s">
        <v>8</v>
      </c>
      <c r="C961" t="s">
        <v>1013</v>
      </c>
    </row>
    <row r="962" spans="1:5" x14ac:dyDescent="0.25">
      <c r="A962" s="3" t="s">
        <v>59</v>
      </c>
      <c r="B962" t="s">
        <v>5</v>
      </c>
      <c r="C962" t="s">
        <v>1013</v>
      </c>
    </row>
    <row r="963" spans="1:5" x14ac:dyDescent="0.25">
      <c r="A963" s="3" t="s">
        <v>62</v>
      </c>
      <c r="B963" t="s">
        <v>12</v>
      </c>
      <c r="C963" t="s">
        <v>1013</v>
      </c>
    </row>
    <row r="964" spans="1:5" x14ac:dyDescent="0.25">
      <c r="A964" s="3" t="s">
        <v>71</v>
      </c>
      <c r="B964" t="s">
        <v>12</v>
      </c>
      <c r="C964" t="s">
        <v>1013</v>
      </c>
    </row>
    <row r="965" spans="1:5" x14ac:dyDescent="0.25">
      <c r="A965" s="3" t="s">
        <v>74</v>
      </c>
      <c r="B965" t="s">
        <v>11</v>
      </c>
      <c r="C965" t="s">
        <v>1013</v>
      </c>
    </row>
    <row r="966" spans="1:5" x14ac:dyDescent="0.25">
      <c r="A966" s="3" t="s">
        <v>75</v>
      </c>
      <c r="B966" t="s">
        <v>16</v>
      </c>
      <c r="C966" t="s">
        <v>1013</v>
      </c>
    </row>
    <row r="967" spans="1:5" x14ac:dyDescent="0.25">
      <c r="A967" s="3" t="s">
        <v>76</v>
      </c>
      <c r="B967" t="s">
        <v>12</v>
      </c>
      <c r="C967" t="s">
        <v>1013</v>
      </c>
    </row>
    <row r="968" spans="1:5" x14ac:dyDescent="0.25">
      <c r="A968" s="3" t="s">
        <v>77</v>
      </c>
      <c r="B968" t="s">
        <v>11</v>
      </c>
      <c r="C968" t="s">
        <v>1013</v>
      </c>
    </row>
    <row r="969" spans="1:5" x14ac:dyDescent="0.25">
      <c r="A969" s="3" t="s">
        <v>50</v>
      </c>
      <c r="B969" t="s">
        <v>5</v>
      </c>
      <c r="C969" t="s">
        <v>1013</v>
      </c>
    </row>
    <row r="970" spans="1:5" x14ac:dyDescent="0.25">
      <c r="A970" s="3" t="s">
        <v>92</v>
      </c>
      <c r="B970" t="s">
        <v>8</v>
      </c>
      <c r="C970" t="s">
        <v>1013</v>
      </c>
    </row>
    <row r="971" spans="1:5" x14ac:dyDescent="0.25">
      <c r="A971" s="3" t="s">
        <v>93</v>
      </c>
      <c r="B971" t="s">
        <v>16</v>
      </c>
      <c r="C971" t="s">
        <v>1013</v>
      </c>
    </row>
    <row r="972" spans="1:5" x14ac:dyDescent="0.25">
      <c r="A972" s="3" t="s">
        <v>94</v>
      </c>
      <c r="B972" s="7" t="s">
        <v>12</v>
      </c>
      <c r="C972" t="s">
        <v>1013</v>
      </c>
      <c r="D972" s="3"/>
      <c r="E972" s="7"/>
    </row>
    <row r="973" spans="1:5" x14ac:dyDescent="0.25">
      <c r="A973" s="3" t="s">
        <v>96</v>
      </c>
      <c r="B973" t="s">
        <v>39</v>
      </c>
      <c r="C973" t="s">
        <v>1013</v>
      </c>
    </row>
    <row r="974" spans="1:5" x14ac:dyDescent="0.25">
      <c r="A974" s="3" t="s">
        <v>99</v>
      </c>
      <c r="B974" t="s">
        <v>7</v>
      </c>
      <c r="C974" t="s">
        <v>1013</v>
      </c>
    </row>
    <row r="975" spans="1:5" x14ac:dyDescent="0.25">
      <c r="A975" s="3" t="s">
        <v>101</v>
      </c>
      <c r="B975" t="s">
        <v>11</v>
      </c>
      <c r="C975" t="s">
        <v>1013</v>
      </c>
    </row>
    <row r="976" spans="1:5" x14ac:dyDescent="0.25">
      <c r="A976" s="3" t="s">
        <v>103</v>
      </c>
      <c r="B976" t="s">
        <v>12</v>
      </c>
      <c r="C976" t="s">
        <v>1013</v>
      </c>
    </row>
    <row r="977" spans="1:3" x14ac:dyDescent="0.25">
      <c r="A977" s="3" t="s">
        <v>104</v>
      </c>
      <c r="B977" t="s">
        <v>11</v>
      </c>
      <c r="C977" t="s">
        <v>1013</v>
      </c>
    </row>
    <row r="978" spans="1:3" x14ac:dyDescent="0.25">
      <c r="A978" s="3" t="s">
        <v>106</v>
      </c>
      <c r="B978" t="s">
        <v>16</v>
      </c>
      <c r="C978" t="s">
        <v>1013</v>
      </c>
    </row>
    <row r="979" spans="1:3" x14ac:dyDescent="0.25">
      <c r="A979" s="3" t="s">
        <v>108</v>
      </c>
      <c r="B979" t="s">
        <v>28</v>
      </c>
      <c r="C979" t="s">
        <v>1013</v>
      </c>
    </row>
    <row r="980" spans="1:3" x14ac:dyDescent="0.25">
      <c r="A980" s="3" t="s">
        <v>110</v>
      </c>
      <c r="B980" t="s">
        <v>16</v>
      </c>
      <c r="C980" t="s">
        <v>1013</v>
      </c>
    </row>
    <row r="981" spans="1:3" x14ac:dyDescent="0.25">
      <c r="A981" s="3" t="s">
        <v>113</v>
      </c>
      <c r="B981" t="s">
        <v>18</v>
      </c>
      <c r="C981" t="s">
        <v>1013</v>
      </c>
    </row>
    <row r="982" spans="1:3" x14ac:dyDescent="0.25">
      <c r="A982" s="3" t="s">
        <v>114</v>
      </c>
      <c r="B982" t="s">
        <v>12</v>
      </c>
      <c r="C982" t="s">
        <v>1013</v>
      </c>
    </row>
    <row r="983" spans="1:3" x14ac:dyDescent="0.25">
      <c r="A983" s="3" t="s">
        <v>24</v>
      </c>
      <c r="B983" t="s">
        <v>5</v>
      </c>
      <c r="C983" t="s">
        <v>1010</v>
      </c>
    </row>
    <row r="984" spans="1:3" x14ac:dyDescent="0.25">
      <c r="A984" s="3" t="s">
        <v>128</v>
      </c>
      <c r="B984" t="s">
        <v>136</v>
      </c>
      <c r="C984" t="s">
        <v>1013</v>
      </c>
    </row>
    <row r="985" spans="1:3" x14ac:dyDescent="0.25">
      <c r="A985" s="3" t="s">
        <v>151</v>
      </c>
      <c r="B985" t="s">
        <v>86</v>
      </c>
      <c r="C985" t="s">
        <v>1013</v>
      </c>
    </row>
    <row r="986" spans="1:3" x14ac:dyDescent="0.25">
      <c r="A986" s="3" t="s">
        <v>154</v>
      </c>
      <c r="B986" t="s">
        <v>39</v>
      </c>
      <c r="C986" t="s">
        <v>1013</v>
      </c>
    </row>
    <row r="987" spans="1:3" x14ac:dyDescent="0.25">
      <c r="A987" s="3" t="s">
        <v>155</v>
      </c>
      <c r="B987" t="s">
        <v>136</v>
      </c>
      <c r="C987" t="s">
        <v>1013</v>
      </c>
    </row>
    <row r="988" spans="1:3" x14ac:dyDescent="0.25">
      <c r="A988" s="3" t="s">
        <v>156</v>
      </c>
      <c r="B988" t="s">
        <v>112</v>
      </c>
      <c r="C988" t="s">
        <v>1013</v>
      </c>
    </row>
    <row r="989" spans="1:3" x14ac:dyDescent="0.25">
      <c r="A989" s="6" t="s">
        <v>10</v>
      </c>
      <c r="B989" t="s">
        <v>5</v>
      </c>
      <c r="C989" s="4" t="s">
        <v>1018</v>
      </c>
    </row>
    <row r="990" spans="1:3" x14ac:dyDescent="0.25">
      <c r="A990" s="5" t="s">
        <v>17</v>
      </c>
      <c r="B990" t="s">
        <v>24</v>
      </c>
      <c r="C990" s="4" t="s">
        <v>1018</v>
      </c>
    </row>
    <row r="991" spans="1:3" x14ac:dyDescent="0.25">
      <c r="A991" s="6" t="s">
        <v>23</v>
      </c>
      <c r="B991" t="s">
        <v>5</v>
      </c>
      <c r="C991" s="4" t="s">
        <v>1018</v>
      </c>
    </row>
    <row r="992" spans="1:3" x14ac:dyDescent="0.25">
      <c r="A992" s="5" t="s">
        <v>35</v>
      </c>
      <c r="B992" t="s">
        <v>24</v>
      </c>
      <c r="C992" s="4" t="s">
        <v>1018</v>
      </c>
    </row>
    <row r="993" spans="1:3" x14ac:dyDescent="0.25">
      <c r="A993" s="5" t="s">
        <v>41</v>
      </c>
      <c r="B993" t="s">
        <v>24</v>
      </c>
      <c r="C993" s="4" t="s">
        <v>1018</v>
      </c>
    </row>
    <row r="994" spans="1:3" x14ac:dyDescent="0.25">
      <c r="A994" s="6" t="s">
        <v>46</v>
      </c>
      <c r="B994" t="s">
        <v>7</v>
      </c>
      <c r="C994" s="4" t="s">
        <v>1018</v>
      </c>
    </row>
    <row r="995" spans="1:3" x14ac:dyDescent="0.25">
      <c r="A995" s="5" t="s">
        <v>48</v>
      </c>
      <c r="B995" t="s">
        <v>24</v>
      </c>
      <c r="C995" s="4" t="s">
        <v>1018</v>
      </c>
    </row>
    <row r="996" spans="1:3" x14ac:dyDescent="0.25">
      <c r="A996" s="5" t="s">
        <v>53</v>
      </c>
      <c r="B996" t="s">
        <v>24</v>
      </c>
      <c r="C996" s="4" t="s">
        <v>1018</v>
      </c>
    </row>
    <row r="997" spans="1:3" ht="16.5" customHeight="1" x14ac:dyDescent="0.25">
      <c r="A997" s="6" t="s">
        <v>60</v>
      </c>
      <c r="B997" t="s">
        <v>24</v>
      </c>
      <c r="C997" s="4" t="s">
        <v>1018</v>
      </c>
    </row>
    <row r="998" spans="1:3" x14ac:dyDescent="0.25">
      <c r="A998" s="5" t="s">
        <v>64</v>
      </c>
      <c r="B998" t="s">
        <v>5</v>
      </c>
      <c r="C998" s="4" t="s">
        <v>1018</v>
      </c>
    </row>
    <row r="999" spans="1:3" x14ac:dyDescent="0.25">
      <c r="A999" s="5" t="s">
        <v>72</v>
      </c>
      <c r="B999" t="s">
        <v>24</v>
      </c>
      <c r="C999" s="4" t="s">
        <v>1018</v>
      </c>
    </row>
    <row r="1000" spans="1:3" x14ac:dyDescent="0.25">
      <c r="A1000" s="5" t="s">
        <v>78</v>
      </c>
      <c r="B1000" t="s">
        <v>24</v>
      </c>
      <c r="C1000" s="4" t="s">
        <v>1018</v>
      </c>
    </row>
    <row r="1001" spans="1:3" x14ac:dyDescent="0.25">
      <c r="A1001" s="5" t="s">
        <v>83</v>
      </c>
      <c r="B1001" t="s">
        <v>24</v>
      </c>
      <c r="C1001" s="4" t="s">
        <v>1018</v>
      </c>
    </row>
    <row r="1002" spans="1:3" x14ac:dyDescent="0.25">
      <c r="A1002" s="5" t="s">
        <v>90</v>
      </c>
      <c r="B1002" t="s">
        <v>24</v>
      </c>
      <c r="C1002" s="4" t="s">
        <v>1018</v>
      </c>
    </row>
    <row r="1003" spans="1:3" x14ac:dyDescent="0.25">
      <c r="A1003" s="6" t="s">
        <v>109</v>
      </c>
      <c r="B1003" t="s">
        <v>24</v>
      </c>
      <c r="C1003" s="4" t="s">
        <v>1018</v>
      </c>
    </row>
    <row r="1004" spans="1:3" x14ac:dyDescent="0.25">
      <c r="A1004" s="5" t="s">
        <v>111</v>
      </c>
      <c r="B1004" t="s">
        <v>24</v>
      </c>
      <c r="C1004" s="4" t="s">
        <v>1018</v>
      </c>
    </row>
    <row r="1005" spans="1:3" x14ac:dyDescent="0.25">
      <c r="A1005" s="8" t="s">
        <v>1027</v>
      </c>
      <c r="B1005" s="7" t="s">
        <v>85</v>
      </c>
      <c r="C1005" s="7" t="s">
        <v>1013</v>
      </c>
    </row>
    <row r="1006" spans="1:3" x14ac:dyDescent="0.25">
      <c r="A1006" s="8" t="s">
        <v>1028</v>
      </c>
      <c r="B1006" s="7" t="s">
        <v>32</v>
      </c>
      <c r="C1006" s="7" t="s">
        <v>1013</v>
      </c>
    </row>
    <row r="1007" spans="1:3" x14ac:dyDescent="0.25">
      <c r="A1007" s="8" t="s">
        <v>1029</v>
      </c>
      <c r="B1007" s="7" t="s">
        <v>163</v>
      </c>
      <c r="C1007" s="7" t="s">
        <v>1013</v>
      </c>
    </row>
    <row r="1008" spans="1:3" x14ac:dyDescent="0.25">
      <c r="A1008" s="8" t="s">
        <v>1030</v>
      </c>
      <c r="B1008" s="7" t="s">
        <v>70</v>
      </c>
      <c r="C1008" s="7" t="s">
        <v>1013</v>
      </c>
    </row>
    <row r="1009" spans="1:3" x14ac:dyDescent="0.25">
      <c r="A1009" s="11" t="s">
        <v>1032</v>
      </c>
      <c r="B1009" t="s">
        <v>158</v>
      </c>
      <c r="C1009" s="10" t="s">
        <v>1013</v>
      </c>
    </row>
    <row r="1010" spans="1:3" x14ac:dyDescent="0.25">
      <c r="A1010" s="11" t="s">
        <v>1033</v>
      </c>
      <c r="B1010" t="s">
        <v>97</v>
      </c>
      <c r="C1010" s="10" t="s">
        <v>1013</v>
      </c>
    </row>
    <row r="1011" spans="1:3" x14ac:dyDescent="0.25">
      <c r="A1011" t="s">
        <v>1034</v>
      </c>
      <c r="B1011" t="s">
        <v>11</v>
      </c>
      <c r="C1011" s="12" t="s">
        <v>1013</v>
      </c>
    </row>
    <row r="1012" spans="1:3" x14ac:dyDescent="0.25">
      <c r="A1012" t="s">
        <v>1035</v>
      </c>
      <c r="B1012" t="s">
        <v>85</v>
      </c>
      <c r="C1012" s="12" t="s">
        <v>1013</v>
      </c>
    </row>
    <row r="1013" spans="1:3" x14ac:dyDescent="0.25">
      <c r="A1013" t="s">
        <v>1036</v>
      </c>
      <c r="B1013" t="s">
        <v>32</v>
      </c>
      <c r="C1013" s="12" t="s">
        <v>1013</v>
      </c>
    </row>
    <row r="1014" spans="1:3" x14ac:dyDescent="0.25">
      <c r="A1014" t="s">
        <v>1037</v>
      </c>
      <c r="B1014" t="s">
        <v>91</v>
      </c>
      <c r="C1014" s="12" t="s">
        <v>1013</v>
      </c>
    </row>
    <row r="1015" spans="1:3" x14ac:dyDescent="0.25">
      <c r="A1015" s="15" t="s">
        <v>1041</v>
      </c>
      <c r="B1015" s="13" t="s">
        <v>82</v>
      </c>
      <c r="C1015" s="13" t="s">
        <v>1013</v>
      </c>
    </row>
    <row r="1016" spans="1:3" x14ac:dyDescent="0.25">
      <c r="A1016" s="15" t="s">
        <v>1042</v>
      </c>
      <c r="B1016" s="13" t="s">
        <v>126</v>
      </c>
      <c r="C1016" s="13" t="s">
        <v>1013</v>
      </c>
    </row>
    <row r="1017" spans="1:3" x14ac:dyDescent="0.25">
      <c r="A1017" s="15" t="s">
        <v>1043</v>
      </c>
      <c r="B1017" s="13" t="s">
        <v>86</v>
      </c>
      <c r="C1017" s="13" t="s">
        <v>1013</v>
      </c>
    </row>
    <row r="1018" spans="1:3" s="20" customFormat="1" x14ac:dyDescent="0.25">
      <c r="A1018" s="20" t="s">
        <v>1044</v>
      </c>
      <c r="B1018" s="20" t="s">
        <v>7</v>
      </c>
      <c r="C1018" s="20" t="s">
        <v>1013</v>
      </c>
    </row>
    <row r="1019" spans="1:3" x14ac:dyDescent="0.25">
      <c r="A1019"/>
    </row>
    <row r="1020" spans="1:3" x14ac:dyDescent="0.25">
      <c r="A1020"/>
    </row>
    <row r="1021" spans="1:3" x14ac:dyDescent="0.25">
      <c r="A1021"/>
    </row>
    <row r="1022" spans="1:3" x14ac:dyDescent="0.25">
      <c r="A1022"/>
    </row>
    <row r="1023" spans="1:3" x14ac:dyDescent="0.25">
      <c r="A1023"/>
    </row>
    <row r="1024" spans="1:3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Опр этажности</vt:lpstr>
      <vt:lpstr>Лист1</vt:lpstr>
      <vt:lpstr>Справочник соответствий</vt:lpstr>
    </vt:vector>
  </TitlesOfParts>
  <Company>ГБУ СО ЦГКО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2019-12-13T04:42:31Z</dcterms:created>
  <dcterms:modified xsi:type="dcterms:W3CDTF">2023-03-14T17:26:33Z</dcterms:modified>
</cp:coreProperties>
</file>